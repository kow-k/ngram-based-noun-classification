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wk/Dropbox/GitHub/ngram-based-noun-classification/results-Morfessor/ml2.0/1.2k/"/>
    </mc:Choice>
  </mc:AlternateContent>
  <xr:revisionPtr revIDLastSave="0" documentId="13_ncr:1_{EC4D7179-902E-4B4D-B0F0-C3546AB68CEF}" xr6:coauthVersionLast="47" xr6:coauthVersionMax="47" xr10:uidLastSave="{00000000-0000-0000-0000-000000000000}"/>
  <bookViews>
    <workbookView xWindow="9540" yWindow="500" windowWidth="27760" windowHeight="16940" xr2:uid="{FEC1A39E-7391-2845-8C61-52490C2DBA91}"/>
  </bookViews>
  <sheets>
    <sheet name="ml2.0-Czech-sample1200-xsk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1" l="1"/>
  <c r="G25" i="1"/>
  <c r="H25" i="1"/>
  <c r="I25" i="1"/>
  <c r="J25" i="1"/>
  <c r="K25" i="1"/>
  <c r="L25" i="1"/>
  <c r="M25" i="1"/>
  <c r="N25" i="1"/>
  <c r="O25" i="1"/>
  <c r="P25" i="1"/>
  <c r="Q25" i="1"/>
  <c r="F26" i="1"/>
  <c r="G26" i="1"/>
  <c r="H26" i="1"/>
  <c r="I26" i="1"/>
  <c r="J26" i="1"/>
  <c r="K26" i="1"/>
  <c r="L26" i="1"/>
  <c r="M26" i="1"/>
  <c r="N26" i="1"/>
  <c r="O26" i="1"/>
  <c r="P26" i="1"/>
  <c r="Q26" i="1"/>
  <c r="E26" i="1"/>
  <c r="E25" i="1"/>
  <c r="Q23" i="1"/>
  <c r="F23" i="1"/>
  <c r="G23" i="1"/>
  <c r="H23" i="1"/>
  <c r="I23" i="1"/>
  <c r="J23" i="1"/>
  <c r="K23" i="1"/>
  <c r="L23" i="1"/>
  <c r="M23" i="1"/>
  <c r="N23" i="1"/>
  <c r="O23" i="1"/>
  <c r="P23" i="1"/>
  <c r="E23" i="1"/>
  <c r="P24" i="1"/>
  <c r="O24" i="1"/>
  <c r="N24" i="1"/>
  <c r="M24" i="1"/>
  <c r="L24" i="1"/>
  <c r="K24" i="1"/>
  <c r="J24" i="1"/>
  <c r="I24" i="1"/>
  <c r="H24" i="1"/>
  <c r="G24" i="1"/>
  <c r="F24" i="1"/>
  <c r="E24" i="1"/>
  <c r="Q16" i="1"/>
  <c r="Q15" i="1"/>
  <c r="Q14" i="1"/>
  <c r="Q19" i="1"/>
  <c r="Q18" i="1"/>
  <c r="Q17" i="1"/>
  <c r="Q10" i="1"/>
  <c r="Q9" i="1"/>
  <c r="Q8" i="1"/>
  <c r="Q13" i="1"/>
  <c r="Q12" i="1"/>
  <c r="Q11" i="1"/>
  <c r="Q4" i="1"/>
  <c r="Q3" i="1"/>
  <c r="Q2" i="1"/>
  <c r="Q7" i="1"/>
  <c r="Q6" i="1"/>
  <c r="Q5" i="1"/>
  <c r="Q24" i="1" l="1"/>
</calcChain>
</file>

<file path=xl/sharedStrings.xml><?xml version="1.0" encoding="utf-8"?>
<sst xmlns="http://schemas.openxmlformats.org/spreadsheetml/2006/main" count="89" uniqueCount="28">
  <si>
    <t>lang</t>
  </si>
  <si>
    <t>attribute</t>
  </si>
  <si>
    <t>supplement</t>
  </si>
  <si>
    <t>method</t>
  </si>
  <si>
    <t>2gram-no-hash</t>
  </si>
  <si>
    <t>3gram-no-hash</t>
  </si>
  <si>
    <t>4gram-no-hash</t>
  </si>
  <si>
    <t>xsk2gram-no-hash</t>
  </si>
  <si>
    <t>xsk3gram-no-hash</t>
  </si>
  <si>
    <t>xsk4gram-no-hash</t>
  </si>
  <si>
    <t>2gram-hash-at-both</t>
  </si>
  <si>
    <t>3gram-hash-at-both</t>
  </si>
  <si>
    <t>4gram-hash-at-both</t>
  </si>
  <si>
    <t>xsk2gram-hash-at-both</t>
  </si>
  <si>
    <t>xsk3gram-hash-at-both</t>
  </si>
  <si>
    <t>xsk4gram-hash-at-both</t>
  </si>
  <si>
    <t>Czech</t>
  </si>
  <si>
    <t>plurality</t>
  </si>
  <si>
    <t>RF</t>
  </si>
  <si>
    <t>NN</t>
  </si>
  <si>
    <t>DT</t>
  </si>
  <si>
    <t>gender</t>
  </si>
  <si>
    <t>case</t>
  </si>
  <si>
    <t>average</t>
  </si>
  <si>
    <t>max</t>
  </si>
  <si>
    <t>min</t>
  </si>
  <si>
    <t>stdev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</si>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</sst>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>
    <font>
      <sz val="13"/>
      <color theme="1"/>
      <name val="LucidaSansUnico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15"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alignment horizontal="general" vertical="bottom" textRotation="0" wrapText="1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9FC1FC-8E6D-2D46-95F9-38445EB265B5}" name="Table1" displayName="Table1" ref="A1:Q19" totalsRowShown="0">
  <autoFilter ref="A1:Q19" xr:uid="{849FC1FC-8E6D-2D46-95F9-38445EB265B5}"/>
  <sortState xmlns:xlrd2="http://schemas.microsoft.com/office/spreadsheetml/2017/richdata2" ref="A2:Q19">
    <sortCondition ref="B1:B19"/>
  </sortState>
  <tableColumns count="17">
    <tableColumn id="1" xr3:uid="{04812615-C17C-EC4F-A009-2294D6B4567A}" name="lang"/>
    <tableColumn id="2" xr3:uid="{E5919760-3182-8940-8BE0-9F7FDCD62D26}" name="attribute"/>
    <tableColumn id="3" xr3:uid="{718FEA93-C44D-8441-BDC9-8C1AC75464D4}" name="supplement"/>
    <tableColumn id="4" xr3:uid="{A1C9A681-BC9D-964F-B3ED-2F6D37C45181}" name="method"/>
    <tableColumn id="5" xr3:uid="{B448ECF2-F3F5-DD48-A15C-8947DD3FC88F}" name="2gram-no-hash"/>
    <tableColumn id="6" xr3:uid="{3334770C-5FFE-BA41-A215-86AB4A6A1F4B}" name="3gram-no-hash"/>
    <tableColumn id="7" xr3:uid="{F1ACAD31-6E4B-3F45-A882-553EF43951DF}" name="4gram-no-hash"/>
    <tableColumn id="8" xr3:uid="{F52B6D9E-6027-0A47-9DE4-4212765A86CA}" name="xsk2gram-no-hash"/>
    <tableColumn id="9" xr3:uid="{547040A6-46C8-F64A-8DEC-250072D3C4E9}" name="xsk3gram-no-hash"/>
    <tableColumn id="10" xr3:uid="{D3575F6E-4CCA-E24A-B9CE-D56B45B6A319}" name="xsk4gram-no-hash"/>
    <tableColumn id="11" xr3:uid="{0D10368C-90B5-7C47-A7C6-3905B2535246}" name="2gram-hash-at-both"/>
    <tableColumn id="12" xr3:uid="{83331F34-DEA7-B446-A8C2-73B59E682500}" name="3gram-hash-at-both"/>
    <tableColumn id="13" xr3:uid="{273A3781-108D-EC41-B55F-021E22E68A6A}" name="4gram-hash-at-both"/>
    <tableColumn id="14" xr3:uid="{551A7AE0-C900-6A4A-8049-53E4593D0FE2}" name="xsk2gram-hash-at-both"/>
    <tableColumn id="15" xr3:uid="{69673659-BE7A-A74D-8762-C0DF9EC4F624}" name="xsk3gram-hash-at-both"/>
    <tableColumn id="16" xr3:uid="{B0B61B1C-54A8-E243-AB48-F5C9205E047C}" name="xsk4gram-hash-at-both"/>
    <tableColumn id="17" xr3:uid="{EC2A77AE-AAA7-3C47-B6CE-A9B858FD0E29}" name="max" dataDxfId="14">
      <calculatedColumnFormula>_xlfn.LET(_xlpm.d,$C2:$P2,MAX(_xlpm.d))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8EF1AE-EE29-9445-9FC9-533BDDC265B9}" name="Table2" displayName="Table2" ref="D22:Q26" totalsRowShown="0" headerRowDxfId="13">
  <autoFilter ref="D22:Q26" xr:uid="{838EF1AE-EE29-9445-9FC9-533BDDC265B9}"/>
  <tableColumns count="14">
    <tableColumn id="1" xr3:uid="{86F68BD4-1A72-3442-9207-E8F95BA8A1B0}" name="Column1"/>
    <tableColumn id="2" xr3:uid="{69181EF3-D741-CE47-9F13-FC2A3AF93F34}" name="2gram-no-hash" dataDxfId="12"/>
    <tableColumn id="3" xr3:uid="{24FECDCA-FF3F-8C41-98D7-630EC30AC724}" name="3gram-no-hash" dataDxfId="11"/>
    <tableColumn id="4" xr3:uid="{68CA0161-8DF8-E943-8AA2-36FC9ED1DE23}" name="4gram-no-hash" dataDxfId="10"/>
    <tableColumn id="5" xr3:uid="{525F6306-813D-D448-ABA4-154C2ADADCCD}" name="xsk2gram-no-hash" dataDxfId="9"/>
    <tableColumn id="6" xr3:uid="{6CA03298-3218-8A41-87FA-F7BF4CB2CB8C}" name="xsk3gram-no-hash" dataDxfId="8"/>
    <tableColumn id="7" xr3:uid="{67B7C4BA-818D-A240-9DD4-D0C00467010F}" name="xsk4gram-no-hash" dataDxfId="7"/>
    <tableColumn id="8" xr3:uid="{DCDAE7E0-85F9-2742-AA4F-AEC6C960AB88}" name="2gram-hash-at-both" dataDxfId="6"/>
    <tableColumn id="9" xr3:uid="{E6E6D69E-9109-0644-889B-72B57527570D}" name="3gram-hash-at-both" dataDxfId="5"/>
    <tableColumn id="10" xr3:uid="{0C9F97AB-BE39-FD42-BEB7-F1407B18D9AB}" name="4gram-hash-at-both" dataDxfId="4"/>
    <tableColumn id="11" xr3:uid="{55BFA41A-5D5A-C346-AC79-E7F19FA41237}" name="xsk2gram-hash-at-both" dataDxfId="3"/>
    <tableColumn id="12" xr3:uid="{BB60693C-BB13-FD48-8F64-B8E335AB0A6E}" name="xsk3gram-hash-at-both" dataDxfId="2"/>
    <tableColumn id="13" xr3:uid="{014DD710-E077-E044-8881-B0A344DF1EE1}" name="xsk4gram-hash-at-both" dataDxfId="1"/>
    <tableColumn id="14" xr3:uid="{5E889139-9BD6-D140-B68E-ECE2B9B7DFD4}" name="max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A7E47-E7DF-744B-909A-3AE80F9F84EA}">
  <dimension ref="A1:Q26"/>
  <sheetViews>
    <sheetView tabSelected="1" topLeftCell="D1" workbookViewId="0">
      <pane xSplit="10780" ySplit="3520" topLeftCell="J14" activePane="bottomRight"/>
      <selection activeCell="H4" sqref="H4"/>
      <selection pane="topRight" activeCell="R3" sqref="R3"/>
      <selection pane="bottomLeft" activeCell="F24" sqref="F24"/>
      <selection pane="bottomRight" activeCell="S24" sqref="S24"/>
    </sheetView>
  </sheetViews>
  <sheetFormatPr baseColWidth="10" defaultRowHeight="27" customHeight="1"/>
  <cols>
    <col min="3" max="3" width="11.875" customWidth="1"/>
    <col min="4" max="4" width="9.75" customWidth="1"/>
    <col min="5" max="16" width="9.5" customWidth="1"/>
    <col min="17" max="17" width="8.875" customWidth="1"/>
  </cols>
  <sheetData>
    <row r="1" spans="1:17" ht="27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24</v>
      </c>
    </row>
    <row r="2" spans="1:17" ht="27" customHeight="1">
      <c r="A2" t="s">
        <v>16</v>
      </c>
      <c r="B2" t="s">
        <v>22</v>
      </c>
      <c r="C2" t="b">
        <v>0</v>
      </c>
      <c r="D2" t="s">
        <v>20</v>
      </c>
      <c r="E2">
        <v>0.45</v>
      </c>
      <c r="F2">
        <v>0.37</v>
      </c>
      <c r="G2">
        <v>0.43</v>
      </c>
      <c r="H2">
        <v>0.37</v>
      </c>
      <c r="I2">
        <v>0.44</v>
      </c>
      <c r="J2">
        <v>0.31</v>
      </c>
      <c r="K2">
        <v>0.45</v>
      </c>
      <c r="L2">
        <v>0.34</v>
      </c>
      <c r="M2">
        <v>0.39</v>
      </c>
      <c r="N2">
        <v>0.36</v>
      </c>
      <c r="O2">
        <v>0.37</v>
      </c>
      <c r="P2">
        <v>0.26</v>
      </c>
      <c r="Q2">
        <f>_xlfn.LET(_xlpm.d,$C2:$P2,MAX(_xlpm.d))</f>
        <v>0.45</v>
      </c>
    </row>
    <row r="3" spans="1:17" ht="27" customHeight="1">
      <c r="A3" t="s">
        <v>16</v>
      </c>
      <c r="B3" t="s">
        <v>22</v>
      </c>
      <c r="C3" t="b">
        <v>0</v>
      </c>
      <c r="D3" t="s">
        <v>19</v>
      </c>
      <c r="E3">
        <v>0.42</v>
      </c>
      <c r="F3">
        <v>0.33</v>
      </c>
      <c r="G3">
        <v>0.36</v>
      </c>
      <c r="H3">
        <v>0.34</v>
      </c>
      <c r="I3">
        <v>0.42</v>
      </c>
      <c r="J3">
        <v>0.34</v>
      </c>
      <c r="K3">
        <v>0.37</v>
      </c>
      <c r="L3">
        <v>0.33</v>
      </c>
      <c r="M3">
        <v>0.26</v>
      </c>
      <c r="N3">
        <v>0.42</v>
      </c>
      <c r="O3">
        <v>0.36</v>
      </c>
      <c r="P3">
        <v>0.34</v>
      </c>
      <c r="Q3">
        <f>_xlfn.LET(_xlpm.d,$C3:$P3,MAX(_xlpm.d))</f>
        <v>0.42</v>
      </c>
    </row>
    <row r="4" spans="1:17" ht="27" customHeight="1">
      <c r="A4" t="s">
        <v>16</v>
      </c>
      <c r="B4" t="s">
        <v>22</v>
      </c>
      <c r="C4" t="b">
        <v>0</v>
      </c>
      <c r="D4" t="s">
        <v>18</v>
      </c>
      <c r="E4">
        <v>0.47</v>
      </c>
      <c r="F4">
        <v>0.32</v>
      </c>
      <c r="G4">
        <v>0.45</v>
      </c>
      <c r="H4">
        <v>0.43</v>
      </c>
      <c r="I4">
        <v>0.47</v>
      </c>
      <c r="J4">
        <v>0.36</v>
      </c>
      <c r="K4">
        <v>0.43</v>
      </c>
      <c r="L4">
        <v>0.38</v>
      </c>
      <c r="M4">
        <v>0.43</v>
      </c>
      <c r="N4">
        <v>0.45</v>
      </c>
      <c r="O4">
        <v>0.42</v>
      </c>
      <c r="P4">
        <v>0.36</v>
      </c>
      <c r="Q4">
        <f>_xlfn.LET(_xlpm.d,$C4:$P4,MAX(_xlpm.d))</f>
        <v>0.47</v>
      </c>
    </row>
    <row r="5" spans="1:17" ht="27" customHeight="1">
      <c r="A5" t="s">
        <v>16</v>
      </c>
      <c r="B5" t="s">
        <v>22</v>
      </c>
      <c r="C5" t="b">
        <v>1</v>
      </c>
      <c r="D5" t="s">
        <v>20</v>
      </c>
      <c r="E5">
        <v>0.49</v>
      </c>
      <c r="F5">
        <v>0.34</v>
      </c>
      <c r="G5">
        <v>0.45</v>
      </c>
      <c r="H5">
        <v>0.4</v>
      </c>
      <c r="I5">
        <v>0.44</v>
      </c>
      <c r="J5">
        <v>0.35</v>
      </c>
      <c r="K5">
        <v>0.54</v>
      </c>
      <c r="L5">
        <v>0.41</v>
      </c>
      <c r="M5">
        <v>0.47</v>
      </c>
      <c r="N5">
        <v>0.44</v>
      </c>
      <c r="O5">
        <v>0.44</v>
      </c>
      <c r="P5">
        <v>0.3</v>
      </c>
      <c r="Q5">
        <f>_xlfn.LET(_xlpm.d,$C5:$P5,MAX(_xlpm.d))</f>
        <v>0.54</v>
      </c>
    </row>
    <row r="6" spans="1:17" ht="27" customHeight="1">
      <c r="A6" t="s">
        <v>16</v>
      </c>
      <c r="B6" t="s">
        <v>22</v>
      </c>
      <c r="C6" t="b">
        <v>1</v>
      </c>
      <c r="D6" t="s">
        <v>19</v>
      </c>
      <c r="E6">
        <v>0.51</v>
      </c>
      <c r="F6">
        <v>0.34</v>
      </c>
      <c r="G6">
        <v>0.42</v>
      </c>
      <c r="H6">
        <v>0.35</v>
      </c>
      <c r="I6">
        <v>0.41</v>
      </c>
      <c r="J6">
        <v>0.4</v>
      </c>
      <c r="K6">
        <v>0.42</v>
      </c>
      <c r="L6">
        <v>0.4</v>
      </c>
      <c r="M6">
        <v>0.38</v>
      </c>
      <c r="N6">
        <v>0.45</v>
      </c>
      <c r="O6">
        <v>0.36</v>
      </c>
      <c r="P6">
        <v>0.35</v>
      </c>
      <c r="Q6">
        <f>_xlfn.LET(_xlpm.d,$C6:$P6,MAX(_xlpm.d))</f>
        <v>0.51</v>
      </c>
    </row>
    <row r="7" spans="1:17" ht="27" customHeight="1">
      <c r="A7" t="s">
        <v>16</v>
      </c>
      <c r="B7" t="s">
        <v>22</v>
      </c>
      <c r="C7" t="b">
        <v>1</v>
      </c>
      <c r="D7" t="s">
        <v>18</v>
      </c>
      <c r="E7">
        <v>0.59</v>
      </c>
      <c r="F7">
        <v>0.38</v>
      </c>
      <c r="G7">
        <v>0.51</v>
      </c>
      <c r="H7">
        <v>0.47</v>
      </c>
      <c r="I7">
        <v>0.5</v>
      </c>
      <c r="J7">
        <v>0.36</v>
      </c>
      <c r="K7">
        <v>0.53</v>
      </c>
      <c r="L7">
        <v>0.48</v>
      </c>
      <c r="M7">
        <v>0.52</v>
      </c>
      <c r="N7">
        <v>0.52</v>
      </c>
      <c r="O7">
        <v>0.47</v>
      </c>
      <c r="P7">
        <v>0.44</v>
      </c>
      <c r="Q7">
        <f>_xlfn.LET(_xlpm.d,$C7:$P7,MAX(_xlpm.d))</f>
        <v>0.59</v>
      </c>
    </row>
    <row r="8" spans="1:17" ht="27" customHeight="1">
      <c r="A8" t="s">
        <v>16</v>
      </c>
      <c r="B8" t="s">
        <v>21</v>
      </c>
      <c r="C8" t="b">
        <v>0</v>
      </c>
      <c r="D8" t="s">
        <v>20</v>
      </c>
      <c r="E8">
        <v>0.45</v>
      </c>
      <c r="F8">
        <v>0.38</v>
      </c>
      <c r="G8">
        <v>0.41</v>
      </c>
      <c r="H8">
        <v>0.47</v>
      </c>
      <c r="I8">
        <v>0.51</v>
      </c>
      <c r="J8">
        <v>0.48</v>
      </c>
      <c r="K8">
        <v>0.49</v>
      </c>
      <c r="L8">
        <v>0.4</v>
      </c>
      <c r="M8">
        <v>0.46</v>
      </c>
      <c r="N8">
        <v>0.5</v>
      </c>
      <c r="O8">
        <v>0.47</v>
      </c>
      <c r="P8">
        <v>0.47</v>
      </c>
      <c r="Q8">
        <f>_xlfn.LET(_xlpm.d,$C8:$P8,MAX(_xlpm.d))</f>
        <v>0.51</v>
      </c>
    </row>
    <row r="9" spans="1:17" ht="27" customHeight="1">
      <c r="A9" t="s">
        <v>16</v>
      </c>
      <c r="B9" t="s">
        <v>21</v>
      </c>
      <c r="C9" t="b">
        <v>0</v>
      </c>
      <c r="D9" t="s">
        <v>19</v>
      </c>
      <c r="E9">
        <v>0.56000000000000005</v>
      </c>
      <c r="F9">
        <v>0.56000000000000005</v>
      </c>
      <c r="G9">
        <v>0.6</v>
      </c>
      <c r="H9">
        <v>0.62</v>
      </c>
      <c r="I9">
        <v>0.57999999999999996</v>
      </c>
      <c r="J9">
        <v>0.65</v>
      </c>
      <c r="K9">
        <v>0.53</v>
      </c>
      <c r="L9">
        <v>0.56999999999999995</v>
      </c>
      <c r="M9">
        <v>0.53</v>
      </c>
      <c r="N9">
        <v>0.53</v>
      </c>
      <c r="O9">
        <v>0.7</v>
      </c>
      <c r="P9">
        <v>0.6</v>
      </c>
      <c r="Q9">
        <f>_xlfn.LET(_xlpm.d,$C9:$P9,MAX(_xlpm.d))</f>
        <v>0.7</v>
      </c>
    </row>
    <row r="10" spans="1:17" ht="27" customHeight="1">
      <c r="A10" t="s">
        <v>16</v>
      </c>
      <c r="B10" t="s">
        <v>21</v>
      </c>
      <c r="C10" t="b">
        <v>0</v>
      </c>
      <c r="D10" t="s">
        <v>18</v>
      </c>
      <c r="E10">
        <v>0.52</v>
      </c>
      <c r="F10">
        <v>0.56999999999999995</v>
      </c>
      <c r="G10">
        <v>0.65</v>
      </c>
      <c r="H10">
        <v>0.59</v>
      </c>
      <c r="I10">
        <v>0.6</v>
      </c>
      <c r="J10">
        <v>0.62</v>
      </c>
      <c r="K10">
        <v>0.66</v>
      </c>
      <c r="L10">
        <v>0.57999999999999996</v>
      </c>
      <c r="M10">
        <v>0.5</v>
      </c>
      <c r="N10">
        <v>0.56999999999999995</v>
      </c>
      <c r="O10">
        <v>0.62</v>
      </c>
      <c r="P10">
        <v>0.53</v>
      </c>
      <c r="Q10">
        <f>_xlfn.LET(_xlpm.d,$C10:$P10,MAX(_xlpm.d))</f>
        <v>0.66</v>
      </c>
    </row>
    <row r="11" spans="1:17" ht="27" customHeight="1">
      <c r="A11" t="s">
        <v>16</v>
      </c>
      <c r="B11" t="s">
        <v>21</v>
      </c>
      <c r="C11" t="b">
        <v>1</v>
      </c>
      <c r="D11" t="s">
        <v>20</v>
      </c>
      <c r="E11">
        <v>0.52</v>
      </c>
      <c r="F11">
        <v>0.54</v>
      </c>
      <c r="G11">
        <v>0.47</v>
      </c>
      <c r="H11">
        <v>0.45</v>
      </c>
      <c r="I11">
        <v>0.45</v>
      </c>
      <c r="J11">
        <v>0.56000000000000005</v>
      </c>
      <c r="K11">
        <v>0.51</v>
      </c>
      <c r="L11">
        <v>0.53</v>
      </c>
      <c r="M11">
        <v>0.48</v>
      </c>
      <c r="N11">
        <v>0.36</v>
      </c>
      <c r="O11">
        <v>0.44</v>
      </c>
      <c r="P11">
        <v>0.39</v>
      </c>
      <c r="Q11">
        <f>_xlfn.LET(_xlpm.d,$C11:$P11,MAX(_xlpm.d))</f>
        <v>0.56000000000000005</v>
      </c>
    </row>
    <row r="12" spans="1:17" ht="27" customHeight="1">
      <c r="A12" t="s">
        <v>16</v>
      </c>
      <c r="B12" t="s">
        <v>21</v>
      </c>
      <c r="C12" t="b">
        <v>1</v>
      </c>
      <c r="D12" t="s">
        <v>19</v>
      </c>
      <c r="E12">
        <v>0.56999999999999995</v>
      </c>
      <c r="F12">
        <v>0.52</v>
      </c>
      <c r="G12">
        <v>0.54</v>
      </c>
      <c r="H12">
        <v>0.56999999999999995</v>
      </c>
      <c r="I12">
        <v>0.56000000000000005</v>
      </c>
      <c r="J12">
        <v>0.62</v>
      </c>
      <c r="K12">
        <v>0.61</v>
      </c>
      <c r="L12">
        <v>0.6</v>
      </c>
      <c r="M12">
        <v>0.48</v>
      </c>
      <c r="N12">
        <v>0.51</v>
      </c>
      <c r="O12">
        <v>0.68</v>
      </c>
      <c r="P12">
        <v>0.6</v>
      </c>
      <c r="Q12">
        <f>_xlfn.LET(_xlpm.d,$C12:$P12,MAX(_xlpm.d))</f>
        <v>0.68</v>
      </c>
    </row>
    <row r="13" spans="1:17" ht="27" customHeight="1">
      <c r="A13" t="s">
        <v>16</v>
      </c>
      <c r="B13" t="s">
        <v>21</v>
      </c>
      <c r="C13" t="b">
        <v>1</v>
      </c>
      <c r="D13" t="s">
        <v>18</v>
      </c>
      <c r="E13">
        <v>0.62</v>
      </c>
      <c r="F13">
        <v>0.56999999999999995</v>
      </c>
      <c r="G13">
        <v>0.62</v>
      </c>
      <c r="H13">
        <v>0.62</v>
      </c>
      <c r="I13">
        <v>0.56999999999999995</v>
      </c>
      <c r="J13">
        <v>0.69</v>
      </c>
      <c r="K13">
        <v>0.64</v>
      </c>
      <c r="L13">
        <v>0.56999999999999995</v>
      </c>
      <c r="M13">
        <v>0.54</v>
      </c>
      <c r="N13">
        <v>0.61</v>
      </c>
      <c r="O13">
        <v>0.56999999999999995</v>
      </c>
      <c r="P13">
        <v>0.54</v>
      </c>
      <c r="Q13">
        <f>_xlfn.LET(_xlpm.d,$C13:$P13,MAX(_xlpm.d))</f>
        <v>0.69</v>
      </c>
    </row>
    <row r="14" spans="1:17" ht="27" customHeight="1">
      <c r="A14" t="s">
        <v>16</v>
      </c>
      <c r="B14" t="s">
        <v>17</v>
      </c>
      <c r="C14" t="b">
        <v>0</v>
      </c>
      <c r="D14" t="s">
        <v>20</v>
      </c>
      <c r="E14">
        <v>0.82</v>
      </c>
      <c r="F14">
        <v>0.79</v>
      </c>
      <c r="G14">
        <v>0.78</v>
      </c>
      <c r="H14">
        <v>0.75</v>
      </c>
      <c r="I14">
        <v>0.71</v>
      </c>
      <c r="J14">
        <v>0.77</v>
      </c>
      <c r="K14">
        <v>0.77</v>
      </c>
      <c r="L14">
        <v>0.76</v>
      </c>
      <c r="M14">
        <v>0.78</v>
      </c>
      <c r="N14">
        <v>0.73</v>
      </c>
      <c r="O14">
        <v>0.83</v>
      </c>
      <c r="P14">
        <v>0.79</v>
      </c>
      <c r="Q14">
        <f>_xlfn.LET(_xlpm.d,$C14:$P14,MAX(_xlpm.d))</f>
        <v>0.83</v>
      </c>
    </row>
    <row r="15" spans="1:17" ht="27" customHeight="1">
      <c r="A15" t="s">
        <v>16</v>
      </c>
      <c r="B15" t="s">
        <v>17</v>
      </c>
      <c r="C15" t="b">
        <v>0</v>
      </c>
      <c r="D15" t="s">
        <v>19</v>
      </c>
      <c r="E15">
        <v>0.82</v>
      </c>
      <c r="F15">
        <v>0.75</v>
      </c>
      <c r="G15">
        <v>0.78</v>
      </c>
      <c r="H15">
        <v>0.8</v>
      </c>
      <c r="I15">
        <v>0.8</v>
      </c>
      <c r="J15">
        <v>0.78</v>
      </c>
      <c r="K15">
        <v>0.78</v>
      </c>
      <c r="L15">
        <v>0.7</v>
      </c>
      <c r="M15">
        <v>0.75</v>
      </c>
      <c r="N15">
        <v>0.79</v>
      </c>
      <c r="O15">
        <v>0.84</v>
      </c>
      <c r="P15">
        <v>0.8</v>
      </c>
      <c r="Q15">
        <f>_xlfn.LET(_xlpm.d,$C15:$P15,MAX(_xlpm.d))</f>
        <v>0.84</v>
      </c>
    </row>
    <row r="16" spans="1:17" ht="27" customHeight="1">
      <c r="A16" t="s">
        <v>16</v>
      </c>
      <c r="B16" t="s">
        <v>17</v>
      </c>
      <c r="C16" t="b">
        <v>0</v>
      </c>
      <c r="D16" t="s">
        <v>18</v>
      </c>
      <c r="E16">
        <v>0.82</v>
      </c>
      <c r="F16">
        <v>0.79</v>
      </c>
      <c r="G16">
        <v>0.83</v>
      </c>
      <c r="H16">
        <v>0.85</v>
      </c>
      <c r="I16">
        <v>0.8</v>
      </c>
      <c r="J16">
        <v>0.82</v>
      </c>
      <c r="K16">
        <v>0.82</v>
      </c>
      <c r="L16">
        <v>0.79</v>
      </c>
      <c r="M16">
        <v>0.8</v>
      </c>
      <c r="N16">
        <v>0.82</v>
      </c>
      <c r="O16">
        <v>0.86</v>
      </c>
      <c r="P16">
        <v>0.81</v>
      </c>
      <c r="Q16">
        <f>_xlfn.LET(_xlpm.d,$C16:$P16,MAX(_xlpm.d))</f>
        <v>0.86</v>
      </c>
    </row>
    <row r="17" spans="1:17" ht="27" customHeight="1">
      <c r="A17" t="s">
        <v>16</v>
      </c>
      <c r="B17" t="s">
        <v>17</v>
      </c>
      <c r="C17" t="b">
        <v>1</v>
      </c>
      <c r="D17" t="s">
        <v>20</v>
      </c>
      <c r="E17">
        <v>0.87</v>
      </c>
      <c r="F17">
        <v>0.8</v>
      </c>
      <c r="G17">
        <v>0.86</v>
      </c>
      <c r="H17">
        <v>0.82</v>
      </c>
      <c r="I17">
        <v>0.72</v>
      </c>
      <c r="J17">
        <v>0.72</v>
      </c>
      <c r="K17">
        <v>0.85</v>
      </c>
      <c r="L17">
        <v>0.82</v>
      </c>
      <c r="M17">
        <v>0.85</v>
      </c>
      <c r="N17">
        <v>0.81</v>
      </c>
      <c r="O17">
        <v>0.81</v>
      </c>
      <c r="P17">
        <v>0.77</v>
      </c>
      <c r="Q17">
        <f>_xlfn.LET(_xlpm.d,$C17:$P17,MAX(_xlpm.d))</f>
        <v>0.87</v>
      </c>
    </row>
    <row r="18" spans="1:17" ht="27" customHeight="1">
      <c r="A18" t="s">
        <v>16</v>
      </c>
      <c r="B18" t="s">
        <v>17</v>
      </c>
      <c r="C18" t="b">
        <v>1</v>
      </c>
      <c r="D18" t="s">
        <v>19</v>
      </c>
      <c r="E18">
        <v>0.82</v>
      </c>
      <c r="F18">
        <v>0.78</v>
      </c>
      <c r="G18">
        <v>0.82</v>
      </c>
      <c r="H18">
        <v>0.82</v>
      </c>
      <c r="I18">
        <v>0.84</v>
      </c>
      <c r="J18">
        <v>0.76</v>
      </c>
      <c r="K18">
        <v>0.84</v>
      </c>
      <c r="L18">
        <v>0.74</v>
      </c>
      <c r="M18">
        <v>0.76</v>
      </c>
      <c r="N18">
        <v>0.79</v>
      </c>
      <c r="O18">
        <v>0.84</v>
      </c>
      <c r="P18">
        <v>0.8</v>
      </c>
      <c r="Q18">
        <f>_xlfn.LET(_xlpm.d,$C18:$P18,MAX(_xlpm.d))</f>
        <v>0.84</v>
      </c>
    </row>
    <row r="19" spans="1:17" ht="27" customHeight="1">
      <c r="A19" t="s">
        <v>16</v>
      </c>
      <c r="B19" t="s">
        <v>17</v>
      </c>
      <c r="C19" t="b">
        <v>1</v>
      </c>
      <c r="D19" t="s">
        <v>18</v>
      </c>
      <c r="E19">
        <v>0.85</v>
      </c>
      <c r="F19">
        <v>0.83</v>
      </c>
      <c r="G19">
        <v>0.85</v>
      </c>
      <c r="H19">
        <v>0.86</v>
      </c>
      <c r="I19">
        <v>0.79</v>
      </c>
      <c r="J19">
        <v>0.82</v>
      </c>
      <c r="K19">
        <v>0.89</v>
      </c>
      <c r="L19">
        <v>0.84</v>
      </c>
      <c r="M19">
        <v>0.88</v>
      </c>
      <c r="N19">
        <v>0.84</v>
      </c>
      <c r="O19">
        <v>0.85</v>
      </c>
      <c r="P19">
        <v>0.78</v>
      </c>
      <c r="Q19">
        <f>_xlfn.LET(_xlpm.d,$C19:$P19,MAX(_xlpm.d))</f>
        <v>0.89</v>
      </c>
    </row>
    <row r="22" spans="1:17" ht="45" customHeight="1">
      <c r="D22" t="s">
        <v>27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9</v>
      </c>
      <c r="K22" s="1" t="s">
        <v>10</v>
      </c>
      <c r="L22" s="1" t="s">
        <v>11</v>
      </c>
      <c r="M22" s="1" t="s">
        <v>12</v>
      </c>
      <c r="N22" s="1" t="s">
        <v>13</v>
      </c>
      <c r="O22" s="1" t="s">
        <v>14</v>
      </c>
      <c r="P22" s="1" t="s">
        <v>15</v>
      </c>
      <c r="Q22" s="1" t="s">
        <v>24</v>
      </c>
    </row>
    <row r="23" spans="1:17" ht="27" customHeight="1">
      <c r="D23" t="s">
        <v>23</v>
      </c>
      <c r="E23" s="2">
        <f>_xlfn.LET(_xlpm.d,E$2:E$19,AVERAGE(_xlpm.d))</f>
        <v>0.62055555555555553</v>
      </c>
      <c r="F23" s="2">
        <f t="shared" ref="F23:P23" si="0">_xlfn.LET(_xlpm.d,F$2:F$19,AVERAGE(_xlpm.d))</f>
        <v>0.55333333333333334</v>
      </c>
      <c r="G23" s="2">
        <f t="shared" si="0"/>
        <v>0.60166666666666668</v>
      </c>
      <c r="H23" s="2">
        <f t="shared" si="0"/>
        <v>0.58777777777777773</v>
      </c>
      <c r="I23" s="2">
        <f t="shared" si="0"/>
        <v>0.58944444444444466</v>
      </c>
      <c r="J23" s="2">
        <f t="shared" si="0"/>
        <v>0.57833333333333337</v>
      </c>
      <c r="K23" s="2">
        <f t="shared" si="0"/>
        <v>0.6183333333333334</v>
      </c>
      <c r="L23" s="2">
        <f t="shared" si="0"/>
        <v>0.56888888888888889</v>
      </c>
      <c r="M23" s="2">
        <f t="shared" si="0"/>
        <v>0.57000000000000006</v>
      </c>
      <c r="N23" s="2">
        <f t="shared" si="0"/>
        <v>0.58333333333333337</v>
      </c>
      <c r="O23" s="2">
        <f t="shared" si="0"/>
        <v>0.60722222222222222</v>
      </c>
      <c r="P23" s="2">
        <f t="shared" si="0"/>
        <v>0.55166666666666653</v>
      </c>
      <c r="Q23" s="2">
        <f>_xlfn.LET(_xlpm.d,Q$2:Q$19,AVERAGE(_xlpm.d))</f>
        <v>0.66166666666666663</v>
      </c>
    </row>
    <row r="24" spans="1:17" ht="27" customHeight="1">
      <c r="D24" t="s">
        <v>24</v>
      </c>
      <c r="E24" s="2">
        <f>_xlfn.LET(_xlpm.d,E$2:E$19,MAX(_xlpm.d))</f>
        <v>0.87</v>
      </c>
      <c r="F24" s="2">
        <f t="shared" ref="F24:Q24" si="1">_xlfn.LET(_xlpm.d,F$2:F$19,MAX(_xlpm.d))</f>
        <v>0.83</v>
      </c>
      <c r="G24" s="2">
        <f t="shared" si="1"/>
        <v>0.86</v>
      </c>
      <c r="H24" s="2">
        <f t="shared" si="1"/>
        <v>0.86</v>
      </c>
      <c r="I24" s="2">
        <f t="shared" si="1"/>
        <v>0.84</v>
      </c>
      <c r="J24" s="2">
        <f t="shared" si="1"/>
        <v>0.82</v>
      </c>
      <c r="K24" s="2">
        <f t="shared" si="1"/>
        <v>0.89</v>
      </c>
      <c r="L24" s="2">
        <f t="shared" si="1"/>
        <v>0.84</v>
      </c>
      <c r="M24" s="2">
        <f t="shared" si="1"/>
        <v>0.88</v>
      </c>
      <c r="N24" s="2">
        <f t="shared" si="1"/>
        <v>0.84</v>
      </c>
      <c r="O24" s="2">
        <f t="shared" si="1"/>
        <v>0.86</v>
      </c>
      <c r="P24" s="2">
        <f t="shared" si="1"/>
        <v>0.81</v>
      </c>
      <c r="Q24" s="2">
        <f t="shared" si="1"/>
        <v>0.89</v>
      </c>
    </row>
    <row r="25" spans="1:17" ht="27" customHeight="1">
      <c r="D25" t="s">
        <v>25</v>
      </c>
      <c r="E25" s="2">
        <f>_xlfn.LET(_xlpm.d,E$2:E$19,MIN(_xlpm.d))</f>
        <v>0.42</v>
      </c>
      <c r="F25" s="2">
        <f t="shared" ref="F25:Q25" si="2">_xlfn.LET(_xlpm.d,F$2:F$19,MIN(_xlpm.d))</f>
        <v>0.32</v>
      </c>
      <c r="G25" s="2">
        <f t="shared" si="2"/>
        <v>0.36</v>
      </c>
      <c r="H25" s="2">
        <f t="shared" si="2"/>
        <v>0.34</v>
      </c>
      <c r="I25" s="2">
        <f t="shared" si="2"/>
        <v>0.41</v>
      </c>
      <c r="J25" s="2">
        <f t="shared" si="2"/>
        <v>0.31</v>
      </c>
      <c r="K25" s="2">
        <f t="shared" si="2"/>
        <v>0.37</v>
      </c>
      <c r="L25" s="2">
        <f t="shared" si="2"/>
        <v>0.33</v>
      </c>
      <c r="M25" s="2">
        <f t="shared" si="2"/>
        <v>0.26</v>
      </c>
      <c r="N25" s="2">
        <f t="shared" si="2"/>
        <v>0.36</v>
      </c>
      <c r="O25" s="2">
        <f t="shared" si="2"/>
        <v>0.36</v>
      </c>
      <c r="P25" s="2">
        <f t="shared" si="2"/>
        <v>0.26</v>
      </c>
      <c r="Q25" s="2">
        <f t="shared" si="2"/>
        <v>0.42</v>
      </c>
    </row>
    <row r="26" spans="1:17" ht="27" customHeight="1">
      <c r="D26" t="s">
        <v>26</v>
      </c>
      <c r="E26" s="2">
        <f>_xlfn.LET(_xlpm.d,E$2:E$19,STDEV(_xlpm.d))</f>
        <v>0.16300386939550993</v>
      </c>
      <c r="F26" s="2">
        <f t="shared" ref="F26:Q26" si="3">_xlfn.LET(_xlpm.d,F$2:F$19,STDEV(_xlpm.d))</f>
        <v>0.19256778791162468</v>
      </c>
      <c r="G26" s="2">
        <f t="shared" si="3"/>
        <v>0.17617671609528221</v>
      </c>
      <c r="H26" s="2">
        <f t="shared" si="3"/>
        <v>0.18735168425923265</v>
      </c>
      <c r="I26" s="2">
        <f t="shared" si="3"/>
        <v>0.14917310206295487</v>
      </c>
      <c r="J26" s="2">
        <f t="shared" si="3"/>
        <v>0.18573383866040502</v>
      </c>
      <c r="K26" s="2">
        <f t="shared" si="3"/>
        <v>0.16863639967135688</v>
      </c>
      <c r="L26" s="2">
        <f t="shared" si="3"/>
        <v>0.17258889913483749</v>
      </c>
      <c r="M26" s="2">
        <f t="shared" si="3"/>
        <v>0.18349547197490737</v>
      </c>
      <c r="N26" s="2">
        <f t="shared" si="3"/>
        <v>0.1685229954635272</v>
      </c>
      <c r="O26" s="2">
        <f t="shared" si="3"/>
        <v>0.19471866751065298</v>
      </c>
      <c r="P26" s="2">
        <f t="shared" si="3"/>
        <v>0.19820518186376243</v>
      </c>
      <c r="Q26" s="2">
        <f t="shared" si="3"/>
        <v>0.16190956081205635</v>
      </c>
    </row>
  </sheetData>
  <conditionalFormatting sqref="E2:P19">
    <cfRule type="colorScale" priority="3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Q2:Q19">
    <cfRule type="colorScale" priority="2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E23:Q25">
    <cfRule type="colorScale" priority="1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ml2.0-Czech-sample1200-xsk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Kuroda, Kow</dc:creator>
  <cp:keywords/>
  <dc:description/>
  <cp:lastModifiedBy>Kuroda, Kow</cp:lastModifiedBy>
  <dcterms:created xsi:type="dcterms:W3CDTF">2025-02-18T05:44:13Z</dcterms:created>
  <dcterms:modified xsi:type="dcterms:W3CDTF">2025-02-18T06:01:24Z</dcterms:modified>
  <cp:category/>
</cp:coreProperties>
</file>