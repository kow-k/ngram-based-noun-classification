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wk/Dropbox/GitHub/ngram-based-noun-classification/results-Morfessor/ml3.0/1.2k/"/>
    </mc:Choice>
  </mc:AlternateContent>
  <xr:revisionPtr revIDLastSave="0" documentId="13_ncr:1_{80AB556F-660E-6F47-950D-17CCDA74CB0B}" xr6:coauthVersionLast="47" xr6:coauthVersionMax="47" xr10:uidLastSave="{00000000-0000-0000-0000-000000000000}"/>
  <bookViews>
    <workbookView xWindow="2960" yWindow="600" windowWidth="29780" windowHeight="18240" xr2:uid="{8399F130-1BD3-C840-99BC-DF90709EA86A}"/>
  </bookViews>
  <sheets>
    <sheet name="ml3.0-Czech-sample1200-xs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5" i="1" l="1"/>
  <c r="Q26" i="1"/>
  <c r="P23" i="1"/>
  <c r="Q23" i="1"/>
  <c r="Q24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F24" i="1"/>
  <c r="G24" i="1"/>
  <c r="H24" i="1"/>
  <c r="I24" i="1"/>
  <c r="J24" i="1"/>
  <c r="K24" i="1"/>
  <c r="L24" i="1"/>
  <c r="M24" i="1"/>
  <c r="N24" i="1"/>
  <c r="O24" i="1"/>
  <c r="P24" i="1"/>
  <c r="F25" i="1"/>
  <c r="G25" i="1"/>
  <c r="H25" i="1"/>
  <c r="I25" i="1"/>
  <c r="J25" i="1"/>
  <c r="K25" i="1"/>
  <c r="L25" i="1"/>
  <c r="M25" i="1"/>
  <c r="N25" i="1"/>
  <c r="O25" i="1"/>
  <c r="P25" i="1"/>
  <c r="F26" i="1"/>
  <c r="G26" i="1"/>
  <c r="H26" i="1"/>
  <c r="I26" i="1"/>
  <c r="J26" i="1"/>
  <c r="K26" i="1"/>
  <c r="L26" i="1"/>
  <c r="M26" i="1"/>
  <c r="N26" i="1"/>
  <c r="O26" i="1"/>
  <c r="P26" i="1"/>
  <c r="E26" i="1"/>
  <c r="E25" i="1"/>
  <c r="E24" i="1"/>
  <c r="F38" i="1" a="1"/>
  <c r="F38" i="1" s="1"/>
  <c r="G38" i="1" a="1"/>
  <c r="G38" i="1" s="1"/>
  <c r="H38" i="1" a="1"/>
  <c r="H38" i="1" s="1"/>
  <c r="I38" i="1" a="1"/>
  <c r="I38" i="1" s="1"/>
  <c r="J38" i="1" a="1"/>
  <c r="J38" i="1" s="1"/>
  <c r="K38" i="1" a="1"/>
  <c r="K38" i="1" s="1"/>
  <c r="L38" i="1" a="1"/>
  <c r="L38" i="1" s="1"/>
  <c r="M38" i="1" a="1"/>
  <c r="M38" i="1" s="1"/>
  <c r="N38" i="1" a="1"/>
  <c r="N38" i="1" s="1"/>
  <c r="O38" i="1" a="1"/>
  <c r="O38" i="1" s="1"/>
  <c r="P38" i="1" a="1"/>
  <c r="P38" i="1" s="1"/>
  <c r="E38" i="1" a="1"/>
  <c r="E38" i="1" s="1"/>
  <c r="F33" i="1" a="1"/>
  <c r="F33" i="1" s="1"/>
  <c r="G33" i="1" a="1"/>
  <c r="G33" i="1" s="1"/>
  <c r="H33" i="1" a="1"/>
  <c r="H33" i="1" s="1"/>
  <c r="I33" i="1" a="1"/>
  <c r="I33" i="1" s="1"/>
  <c r="J33" i="1" a="1"/>
  <c r="J33" i="1" s="1"/>
  <c r="K33" i="1" a="1"/>
  <c r="K33" i="1" s="1"/>
  <c r="L33" i="1" a="1"/>
  <c r="L33" i="1" s="1"/>
  <c r="M33" i="1" a="1"/>
  <c r="M33" i="1" s="1"/>
  <c r="N33" i="1" a="1"/>
  <c r="N33" i="1" s="1"/>
  <c r="O33" i="1" a="1"/>
  <c r="O33" i="1" s="1"/>
  <c r="P33" i="1" a="1"/>
  <c r="P33" i="1" s="1"/>
  <c r="E33" i="1" a="1"/>
  <c r="E33" i="1" s="1"/>
  <c r="F28" i="1" a="1"/>
  <c r="F28" i="1" s="1"/>
  <c r="G28" i="1" a="1"/>
  <c r="G28" i="1" s="1"/>
  <c r="H28" i="1" a="1"/>
  <c r="H28" i="1" s="1"/>
  <c r="I28" i="1" a="1"/>
  <c r="I28" i="1" s="1"/>
  <c r="J28" i="1" a="1"/>
  <c r="J28" i="1" s="1"/>
  <c r="K28" i="1" a="1"/>
  <c r="K28" i="1" s="1"/>
  <c r="L28" i="1" a="1"/>
  <c r="L28" i="1" s="1"/>
  <c r="M28" i="1" a="1"/>
  <c r="M28" i="1" s="1"/>
  <c r="N28" i="1" a="1"/>
  <c r="N28" i="1" s="1"/>
  <c r="O28" i="1" a="1"/>
  <c r="O28" i="1" s="1"/>
  <c r="P28" i="1" a="1"/>
  <c r="P28" i="1" s="1"/>
  <c r="E28" i="1" a="1"/>
  <c r="E28" i="1" s="1"/>
  <c r="O23" i="1"/>
  <c r="N23" i="1"/>
  <c r="M23" i="1"/>
  <c r="L23" i="1"/>
  <c r="K23" i="1"/>
  <c r="J23" i="1"/>
  <c r="I23" i="1"/>
  <c r="H23" i="1"/>
  <c r="G23" i="1"/>
  <c r="F23" i="1"/>
  <c r="E2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<sst xmlns="http://schemas.openxmlformats.org/spreadsheetml/2006/main" count="92" uniqueCount="31">
  <si>
    <t>lang</t>
  </si>
  <si>
    <t>attribute</t>
  </si>
  <si>
    <t>supplement</t>
  </si>
  <si>
    <t>method</t>
  </si>
  <si>
    <t>2gram-no-hash</t>
  </si>
  <si>
    <t>3gram-no-hash</t>
  </si>
  <si>
    <t>4gram-no-hash</t>
  </si>
  <si>
    <t>xsk2gram-no-hash</t>
  </si>
  <si>
    <t>xsk3gram-no-hash</t>
  </si>
  <si>
    <t>xsk4gram-no-hash</t>
  </si>
  <si>
    <t>2gram-hash-at-both</t>
  </si>
  <si>
    <t>3gram-hash-at-both</t>
  </si>
  <si>
    <t>4gram-hash-at-both</t>
  </si>
  <si>
    <t>xsk2gram-hash-at-both</t>
  </si>
  <si>
    <t>xsk3gram-hash-at-both</t>
  </si>
  <si>
    <t>xsk4gram-hash-at-both</t>
  </si>
  <si>
    <t>Czech</t>
  </si>
  <si>
    <t>plurality</t>
  </si>
  <si>
    <t>RF</t>
  </si>
  <si>
    <t>NN</t>
  </si>
  <si>
    <t>DT</t>
  </si>
  <si>
    <t>gender</t>
  </si>
  <si>
    <t>case</t>
  </si>
  <si>
    <t>average</t>
  </si>
  <si>
    <t>average.case</t>
  </si>
  <si>
    <t>average.gender</t>
  </si>
  <si>
    <t>average.plurality</t>
  </si>
  <si>
    <t>max</t>
  </si>
  <si>
    <t>min</t>
  </si>
  <si>
    <t>stdv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</si>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</sst>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>
    <font>
      <sz val="13"/>
      <color theme="1"/>
      <name val="LucidaSansUnicod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15"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alignment horizontal="general" vertical="bottom" textRotation="0" wrapText="1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C33DBD-BDE4-1C46-98BA-06D036BEAD6C}" name="Table1" displayName="Table1" ref="A1:Q19" totalsRowShown="0">
  <autoFilter ref="A1:Q19" xr:uid="{62C33DBD-BDE4-1C46-98BA-06D036BEAD6C}"/>
  <sortState xmlns:xlrd2="http://schemas.microsoft.com/office/spreadsheetml/2017/richdata2" ref="A2:P19">
    <sortCondition ref="B1:B19"/>
  </sortState>
  <tableColumns count="17">
    <tableColumn id="1" xr3:uid="{612E2458-8E74-E246-967D-A1170869A747}" name="lang"/>
    <tableColumn id="2" xr3:uid="{37C7A035-F8C8-5C4E-B4DF-D5CA0A5AA5C0}" name="attribute"/>
    <tableColumn id="3" xr3:uid="{D031297D-F6F0-F945-A74D-A8BAE29FEE55}" name="supplement"/>
    <tableColumn id="4" xr3:uid="{19FC2FCD-ECC9-D442-A745-B77EC4D15D13}" name="method"/>
    <tableColumn id="5" xr3:uid="{61F795D1-9E55-AB44-89F2-30248F7E7921}" name="2gram-no-hash"/>
    <tableColumn id="6" xr3:uid="{BA3712E0-7A40-E642-9775-AE6726A869D6}" name="3gram-no-hash"/>
    <tableColumn id="7" xr3:uid="{3E362E7F-22CE-E54F-9E30-F0DD80594D23}" name="4gram-no-hash"/>
    <tableColumn id="8" xr3:uid="{50A69ACA-7DD9-E64F-9494-40EBEAAAD1C4}" name="xsk2gram-no-hash"/>
    <tableColumn id="9" xr3:uid="{1DE1AB3A-CCB6-3F44-B627-CABF64E6B6F6}" name="xsk3gram-no-hash"/>
    <tableColumn id="10" xr3:uid="{6263A08D-944F-544F-8AEE-E306F3E4ACF4}" name="xsk4gram-no-hash"/>
    <tableColumn id="11" xr3:uid="{3DA6AB8A-AD01-4845-B5BE-43566F03A32A}" name="2gram-hash-at-both"/>
    <tableColumn id="12" xr3:uid="{04215951-6057-AD49-AB22-8B071068C09D}" name="3gram-hash-at-both"/>
    <tableColumn id="13" xr3:uid="{7D4FDBA7-8A34-9D44-B243-20E6BC181153}" name="4gram-hash-at-both"/>
    <tableColumn id="14" xr3:uid="{FE537402-E705-644F-A11E-E90E23B298C0}" name="xsk2gram-hash-at-both"/>
    <tableColumn id="15" xr3:uid="{9C1F0C1D-19D8-8A46-92D0-540EE49FE079}" name="xsk3gram-hash-at-both"/>
    <tableColumn id="16" xr3:uid="{5F8AA456-A2ED-E54A-9ACC-D43290DC1953}" name="xsk4gram-hash-at-both"/>
    <tableColumn id="17" xr3:uid="{018C34F6-72C5-2547-9484-230A2CCDD554}" name="max" dataDxfId="14">
      <calculatedColumnFormula>_xlfn.LET(_xlpm.d,$C2:$P2,MAX(_xlpm.d))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6ED3BC-2B7C-554C-869D-DB5005BFBBA7}" name="Table2" displayName="Table2" ref="D22:Q26" totalsRowShown="0" headerRowDxfId="13">
  <autoFilter ref="D22:Q26" xr:uid="{726ED3BC-2B7C-554C-869D-DB5005BFBBA7}"/>
  <tableColumns count="14">
    <tableColumn id="1" xr3:uid="{C0D77596-21AF-0946-A875-C93DC7CD14E0}" name="factor"/>
    <tableColumn id="2" xr3:uid="{831A5186-9207-7F44-8A06-F39D46CBBE5E}" name="2gram-no-hash" dataDxfId="12"/>
    <tableColumn id="3" xr3:uid="{A59B320B-5F98-6342-BEA3-690B9E9361CD}" name="3gram-no-hash" dataDxfId="11"/>
    <tableColumn id="4" xr3:uid="{D8882713-71BC-A845-99FD-5D9FEE879C6A}" name="4gram-no-hash" dataDxfId="10"/>
    <tableColumn id="5" xr3:uid="{AEFA5B47-8052-6143-BC85-CDBEE9B70407}" name="xsk2gram-no-hash" dataDxfId="9"/>
    <tableColumn id="6" xr3:uid="{3B28BCA5-1AB6-A44A-9ADF-34818796C5A6}" name="xsk3gram-no-hash" dataDxfId="8"/>
    <tableColumn id="7" xr3:uid="{67D87E9B-DC63-464D-9238-A167434E750A}" name="xsk4gram-no-hash" dataDxfId="7"/>
    <tableColumn id="8" xr3:uid="{56996FCC-0FBA-7B45-B9D9-11876672B8EE}" name="2gram-hash-at-both" dataDxfId="6"/>
    <tableColumn id="9" xr3:uid="{5532266C-7937-6E42-AE05-200B9881B03A}" name="3gram-hash-at-both" dataDxfId="5"/>
    <tableColumn id="10" xr3:uid="{713AB2CB-0605-BF40-B146-C146AE7BF505}" name="4gram-hash-at-both" dataDxfId="4"/>
    <tableColumn id="11" xr3:uid="{C2AD2CDF-33F0-BD4F-BC51-B9200226DFC3}" name="xsk2gram-hash-at-both" dataDxfId="3"/>
    <tableColumn id="12" xr3:uid="{E1ECA6F4-625C-FC4C-8C7D-613530E57606}" name="xsk3gram-hash-at-both" dataDxfId="2"/>
    <tableColumn id="13" xr3:uid="{8D2BA0CF-C982-CF4E-B328-E8DA4179B9B0}" name="xsk4gram-hash-at-both" dataDxfId="1"/>
    <tableColumn id="14" xr3:uid="{2AB4181F-AA97-0A42-8E1D-DC7AE78FABB3}" name="max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42EA9-DE1E-144B-9567-CE18CEC5AC84}">
  <dimension ref="A1:Q39"/>
  <sheetViews>
    <sheetView tabSelected="1" topLeftCell="D1" workbookViewId="0">
      <pane xSplit="9080" ySplit="3960" topLeftCell="P22" activePane="topRight"/>
      <selection activeCell="E1" sqref="E1:P1048576"/>
      <selection pane="topRight" activeCell="AA3" sqref="AA3"/>
      <selection pane="bottomLeft" activeCell="G28" sqref="G28"/>
      <selection pane="bottomRight" activeCell="C24" sqref="C24"/>
    </sheetView>
  </sheetViews>
  <sheetFormatPr baseColWidth="10" defaultRowHeight="27" customHeight="1"/>
  <cols>
    <col min="3" max="3" width="11.875" customWidth="1"/>
    <col min="5" max="16" width="9.125" customWidth="1"/>
    <col min="17" max="17" width="8.625" customWidth="1"/>
  </cols>
  <sheetData>
    <row r="1" spans="1:17" ht="27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27</v>
      </c>
    </row>
    <row r="2" spans="1:17" ht="27" customHeight="1">
      <c r="A2" t="s">
        <v>16</v>
      </c>
      <c r="B2" t="s">
        <v>22</v>
      </c>
      <c r="C2" t="b">
        <v>0</v>
      </c>
      <c r="D2" t="s">
        <v>20</v>
      </c>
      <c r="E2">
        <v>0.36</v>
      </c>
      <c r="F2">
        <v>0.42</v>
      </c>
      <c r="G2">
        <v>0.44</v>
      </c>
      <c r="H2">
        <v>0.36</v>
      </c>
      <c r="I2">
        <v>0.39</v>
      </c>
      <c r="J2">
        <v>0.3</v>
      </c>
      <c r="K2">
        <v>0.38</v>
      </c>
      <c r="L2">
        <v>0.35</v>
      </c>
      <c r="M2">
        <v>0.42</v>
      </c>
      <c r="N2">
        <v>0.38</v>
      </c>
      <c r="O2">
        <v>0.39</v>
      </c>
      <c r="P2">
        <v>0.43</v>
      </c>
      <c r="Q2">
        <f t="shared" ref="Q2:Q19" si="0">_xlfn.LET(_xlpm.d,$C2:$P2,MAX(_xlpm.d))</f>
        <v>0.44</v>
      </c>
    </row>
    <row r="3" spans="1:17" ht="27" customHeight="1">
      <c r="A3" t="s">
        <v>16</v>
      </c>
      <c r="B3" t="s">
        <v>22</v>
      </c>
      <c r="C3" t="b">
        <v>0</v>
      </c>
      <c r="D3" t="s">
        <v>19</v>
      </c>
      <c r="E3">
        <v>0.35</v>
      </c>
      <c r="F3">
        <v>0.38</v>
      </c>
      <c r="G3">
        <v>0.37</v>
      </c>
      <c r="H3">
        <v>0.39</v>
      </c>
      <c r="I3">
        <v>0.36</v>
      </c>
      <c r="J3">
        <v>0.45</v>
      </c>
      <c r="K3">
        <v>0.3</v>
      </c>
      <c r="L3">
        <v>0.3</v>
      </c>
      <c r="M3">
        <v>0.39</v>
      </c>
      <c r="N3">
        <v>0.34</v>
      </c>
      <c r="O3">
        <v>0.36</v>
      </c>
      <c r="P3">
        <v>0.38</v>
      </c>
      <c r="Q3">
        <f t="shared" si="0"/>
        <v>0.45</v>
      </c>
    </row>
    <row r="4" spans="1:17" ht="27" customHeight="1">
      <c r="A4" t="s">
        <v>16</v>
      </c>
      <c r="B4" t="s">
        <v>22</v>
      </c>
      <c r="C4" t="b">
        <v>0</v>
      </c>
      <c r="D4" t="s">
        <v>18</v>
      </c>
      <c r="E4">
        <v>0.35</v>
      </c>
      <c r="F4">
        <v>0.37</v>
      </c>
      <c r="G4">
        <v>0.47</v>
      </c>
      <c r="H4">
        <v>0.34</v>
      </c>
      <c r="I4">
        <v>0.44</v>
      </c>
      <c r="J4">
        <v>0.43</v>
      </c>
      <c r="K4">
        <v>0.35</v>
      </c>
      <c r="L4">
        <v>0.35</v>
      </c>
      <c r="M4">
        <v>0.35</v>
      </c>
      <c r="N4">
        <v>0.41</v>
      </c>
      <c r="O4">
        <v>0.38</v>
      </c>
      <c r="P4">
        <v>0.48</v>
      </c>
      <c r="Q4">
        <f t="shared" si="0"/>
        <v>0.48</v>
      </c>
    </row>
    <row r="5" spans="1:17" ht="27" customHeight="1">
      <c r="A5" t="s">
        <v>16</v>
      </c>
      <c r="B5" t="s">
        <v>22</v>
      </c>
      <c r="C5" t="b">
        <v>1</v>
      </c>
      <c r="D5" t="s">
        <v>20</v>
      </c>
      <c r="E5">
        <v>0.45</v>
      </c>
      <c r="F5">
        <v>0.54</v>
      </c>
      <c r="G5">
        <v>0.46</v>
      </c>
      <c r="H5">
        <v>0.45</v>
      </c>
      <c r="I5">
        <v>0.43</v>
      </c>
      <c r="J5">
        <v>0.37</v>
      </c>
      <c r="K5">
        <v>0.49</v>
      </c>
      <c r="L5">
        <v>0.46</v>
      </c>
      <c r="M5">
        <v>0.36</v>
      </c>
      <c r="N5">
        <v>0.37</v>
      </c>
      <c r="O5">
        <v>0.33</v>
      </c>
      <c r="P5">
        <v>0.42</v>
      </c>
      <c r="Q5">
        <f t="shared" si="0"/>
        <v>0.54</v>
      </c>
    </row>
    <row r="6" spans="1:17" ht="27" customHeight="1">
      <c r="A6" t="s">
        <v>16</v>
      </c>
      <c r="B6" t="s">
        <v>22</v>
      </c>
      <c r="C6" t="b">
        <v>1</v>
      </c>
      <c r="D6" t="s">
        <v>19</v>
      </c>
      <c r="E6">
        <v>0.31</v>
      </c>
      <c r="F6">
        <v>0.41</v>
      </c>
      <c r="G6">
        <v>0.39</v>
      </c>
      <c r="H6">
        <v>0.4</v>
      </c>
      <c r="I6">
        <v>0.47</v>
      </c>
      <c r="J6">
        <v>0.39</v>
      </c>
      <c r="K6">
        <v>0.37</v>
      </c>
      <c r="L6">
        <v>0.31</v>
      </c>
      <c r="M6">
        <v>0.37</v>
      </c>
      <c r="N6">
        <v>0.38</v>
      </c>
      <c r="O6">
        <v>0.37</v>
      </c>
      <c r="P6">
        <v>0.44</v>
      </c>
      <c r="Q6">
        <f t="shared" si="0"/>
        <v>0.47</v>
      </c>
    </row>
    <row r="7" spans="1:17" ht="27" customHeight="1">
      <c r="A7" t="s">
        <v>16</v>
      </c>
      <c r="B7" t="s">
        <v>22</v>
      </c>
      <c r="C7" t="b">
        <v>1</v>
      </c>
      <c r="D7" t="s">
        <v>18</v>
      </c>
      <c r="E7">
        <v>0.45</v>
      </c>
      <c r="F7">
        <v>0.53</v>
      </c>
      <c r="G7">
        <v>0.62</v>
      </c>
      <c r="H7">
        <v>0.49</v>
      </c>
      <c r="I7">
        <v>0.46</v>
      </c>
      <c r="J7">
        <v>0.47</v>
      </c>
      <c r="K7">
        <v>0.5</v>
      </c>
      <c r="L7">
        <v>0.42</v>
      </c>
      <c r="M7">
        <v>0.53</v>
      </c>
      <c r="N7">
        <v>0.43</v>
      </c>
      <c r="O7">
        <v>0.45</v>
      </c>
      <c r="P7">
        <v>0.51</v>
      </c>
      <c r="Q7">
        <f t="shared" si="0"/>
        <v>0.62</v>
      </c>
    </row>
    <row r="8" spans="1:17" ht="27" customHeight="1">
      <c r="A8" t="s">
        <v>16</v>
      </c>
      <c r="B8" t="s">
        <v>21</v>
      </c>
      <c r="C8" t="b">
        <v>0</v>
      </c>
      <c r="D8" t="s">
        <v>20</v>
      </c>
      <c r="E8">
        <v>0.43</v>
      </c>
      <c r="F8">
        <v>0.37</v>
      </c>
      <c r="G8">
        <v>0.51</v>
      </c>
      <c r="H8">
        <v>0.51</v>
      </c>
      <c r="I8">
        <v>0.39</v>
      </c>
      <c r="J8">
        <v>0.43</v>
      </c>
      <c r="K8">
        <v>0.47</v>
      </c>
      <c r="L8">
        <v>0.49</v>
      </c>
      <c r="M8">
        <v>0.46</v>
      </c>
      <c r="N8">
        <v>0.56999999999999995</v>
      </c>
      <c r="O8">
        <v>0.43</v>
      </c>
      <c r="P8">
        <v>0.45</v>
      </c>
      <c r="Q8">
        <f t="shared" si="0"/>
        <v>0.56999999999999995</v>
      </c>
    </row>
    <row r="9" spans="1:17" ht="27" customHeight="1">
      <c r="A9" t="s">
        <v>16</v>
      </c>
      <c r="B9" t="s">
        <v>21</v>
      </c>
      <c r="C9" t="b">
        <v>0</v>
      </c>
      <c r="D9" t="s">
        <v>19</v>
      </c>
      <c r="E9">
        <v>0.53</v>
      </c>
      <c r="F9">
        <v>0.53</v>
      </c>
      <c r="G9">
        <v>0.62</v>
      </c>
      <c r="H9">
        <v>0.57999999999999996</v>
      </c>
      <c r="I9">
        <v>0.56999999999999995</v>
      </c>
      <c r="J9">
        <v>0.56999999999999995</v>
      </c>
      <c r="K9">
        <v>0.61</v>
      </c>
      <c r="L9">
        <v>0.63</v>
      </c>
      <c r="M9">
        <v>0.64</v>
      </c>
      <c r="N9">
        <v>0.64</v>
      </c>
      <c r="O9">
        <v>0.6</v>
      </c>
      <c r="P9">
        <v>0.53</v>
      </c>
      <c r="Q9">
        <f t="shared" si="0"/>
        <v>0.64</v>
      </c>
    </row>
    <row r="10" spans="1:17" ht="27" customHeight="1">
      <c r="A10" t="s">
        <v>16</v>
      </c>
      <c r="B10" t="s">
        <v>21</v>
      </c>
      <c r="C10" t="b">
        <v>0</v>
      </c>
      <c r="D10" t="s">
        <v>18</v>
      </c>
      <c r="E10">
        <v>0.52</v>
      </c>
      <c r="F10">
        <v>0.56000000000000005</v>
      </c>
      <c r="G10">
        <v>0.55000000000000004</v>
      </c>
      <c r="H10">
        <v>0.61</v>
      </c>
      <c r="I10">
        <v>0.57999999999999996</v>
      </c>
      <c r="J10">
        <v>0.6</v>
      </c>
      <c r="K10">
        <v>0.62</v>
      </c>
      <c r="L10">
        <v>0.62</v>
      </c>
      <c r="M10">
        <v>0.68</v>
      </c>
      <c r="N10">
        <v>0.62</v>
      </c>
      <c r="O10">
        <v>0.56999999999999995</v>
      </c>
      <c r="P10">
        <v>0.53</v>
      </c>
      <c r="Q10">
        <f t="shared" si="0"/>
        <v>0.68</v>
      </c>
    </row>
    <row r="11" spans="1:17" ht="27" customHeight="1">
      <c r="A11" t="s">
        <v>16</v>
      </c>
      <c r="B11" t="s">
        <v>21</v>
      </c>
      <c r="C11" t="b">
        <v>1</v>
      </c>
      <c r="D11" t="s">
        <v>20</v>
      </c>
      <c r="E11">
        <v>0.51</v>
      </c>
      <c r="F11">
        <v>0.48</v>
      </c>
      <c r="G11">
        <v>0.56999999999999995</v>
      </c>
      <c r="H11">
        <v>0.51</v>
      </c>
      <c r="I11">
        <v>0.5</v>
      </c>
      <c r="J11">
        <v>0.48</v>
      </c>
      <c r="K11">
        <v>0.51</v>
      </c>
      <c r="L11">
        <v>0.48</v>
      </c>
      <c r="M11">
        <v>0.6</v>
      </c>
      <c r="N11">
        <v>0.56999999999999995</v>
      </c>
      <c r="O11">
        <v>0.46</v>
      </c>
      <c r="P11">
        <v>0.42</v>
      </c>
      <c r="Q11">
        <f t="shared" si="0"/>
        <v>0.6</v>
      </c>
    </row>
    <row r="12" spans="1:17" ht="27" customHeight="1">
      <c r="A12" t="s">
        <v>16</v>
      </c>
      <c r="B12" t="s">
        <v>21</v>
      </c>
      <c r="C12" t="b">
        <v>1</v>
      </c>
      <c r="D12" t="s">
        <v>19</v>
      </c>
      <c r="E12">
        <v>0.55000000000000004</v>
      </c>
      <c r="F12">
        <v>0.56999999999999995</v>
      </c>
      <c r="G12">
        <v>0.68</v>
      </c>
      <c r="H12">
        <v>0.63</v>
      </c>
      <c r="I12">
        <v>0.65</v>
      </c>
      <c r="J12">
        <v>0.59</v>
      </c>
      <c r="K12">
        <v>0.62</v>
      </c>
      <c r="L12">
        <v>0.68</v>
      </c>
      <c r="M12">
        <v>0.69</v>
      </c>
      <c r="N12">
        <v>0.64</v>
      </c>
      <c r="O12">
        <v>0.56999999999999995</v>
      </c>
      <c r="P12">
        <v>0.49</v>
      </c>
      <c r="Q12">
        <f t="shared" si="0"/>
        <v>0.69</v>
      </c>
    </row>
    <row r="13" spans="1:17" ht="27" customHeight="1">
      <c r="A13" t="s">
        <v>16</v>
      </c>
      <c r="B13" t="s">
        <v>21</v>
      </c>
      <c r="C13" t="b">
        <v>1</v>
      </c>
      <c r="D13" t="s">
        <v>18</v>
      </c>
      <c r="E13">
        <v>0.54</v>
      </c>
      <c r="F13">
        <v>0.57999999999999996</v>
      </c>
      <c r="G13">
        <v>0.62</v>
      </c>
      <c r="H13">
        <v>0.63</v>
      </c>
      <c r="I13">
        <v>0.55000000000000004</v>
      </c>
      <c r="J13">
        <v>0.6</v>
      </c>
      <c r="K13">
        <v>0.7</v>
      </c>
      <c r="L13">
        <v>0.63</v>
      </c>
      <c r="M13">
        <v>0.63</v>
      </c>
      <c r="N13">
        <v>0.71</v>
      </c>
      <c r="O13">
        <v>0.57999999999999996</v>
      </c>
      <c r="P13">
        <v>0.51</v>
      </c>
      <c r="Q13">
        <f t="shared" si="0"/>
        <v>0.71</v>
      </c>
    </row>
    <row r="14" spans="1:17" ht="27" customHeight="1">
      <c r="A14" t="s">
        <v>16</v>
      </c>
      <c r="B14" t="s">
        <v>17</v>
      </c>
      <c r="C14" t="b">
        <v>0</v>
      </c>
      <c r="D14" t="s">
        <v>20</v>
      </c>
      <c r="E14">
        <v>0.88</v>
      </c>
      <c r="F14">
        <v>0.78</v>
      </c>
      <c r="G14">
        <v>0.79</v>
      </c>
      <c r="H14">
        <v>0.82</v>
      </c>
      <c r="I14">
        <v>0.8</v>
      </c>
      <c r="J14">
        <v>0.82</v>
      </c>
      <c r="K14">
        <v>0.84</v>
      </c>
      <c r="L14">
        <v>0.82</v>
      </c>
      <c r="M14">
        <v>0.8</v>
      </c>
      <c r="N14">
        <v>0.8</v>
      </c>
      <c r="O14">
        <v>0.78</v>
      </c>
      <c r="P14">
        <v>0.79</v>
      </c>
      <c r="Q14">
        <f t="shared" si="0"/>
        <v>0.88</v>
      </c>
    </row>
    <row r="15" spans="1:17" ht="27" customHeight="1">
      <c r="A15" t="s">
        <v>16</v>
      </c>
      <c r="B15" t="s">
        <v>17</v>
      </c>
      <c r="C15" t="b">
        <v>0</v>
      </c>
      <c r="D15" t="s">
        <v>19</v>
      </c>
      <c r="E15">
        <v>0.84</v>
      </c>
      <c r="F15">
        <v>0.69</v>
      </c>
      <c r="G15">
        <v>0.77</v>
      </c>
      <c r="H15">
        <v>0.81</v>
      </c>
      <c r="I15">
        <v>0.86</v>
      </c>
      <c r="J15">
        <v>0.79</v>
      </c>
      <c r="K15">
        <v>0.83</v>
      </c>
      <c r="L15">
        <v>0.73</v>
      </c>
      <c r="M15">
        <v>0.77</v>
      </c>
      <c r="N15">
        <v>0.78</v>
      </c>
      <c r="O15">
        <v>0.83</v>
      </c>
      <c r="P15">
        <v>0.87</v>
      </c>
      <c r="Q15">
        <f t="shared" si="0"/>
        <v>0.87</v>
      </c>
    </row>
    <row r="16" spans="1:17" ht="27" customHeight="1">
      <c r="A16" t="s">
        <v>16</v>
      </c>
      <c r="B16" t="s">
        <v>17</v>
      </c>
      <c r="C16" t="b">
        <v>0</v>
      </c>
      <c r="D16" t="s">
        <v>18</v>
      </c>
      <c r="E16">
        <v>0.88</v>
      </c>
      <c r="F16">
        <v>0.78</v>
      </c>
      <c r="G16">
        <v>0.82</v>
      </c>
      <c r="H16">
        <v>0.85</v>
      </c>
      <c r="I16">
        <v>0.84</v>
      </c>
      <c r="J16">
        <v>0.85</v>
      </c>
      <c r="K16">
        <v>0.82</v>
      </c>
      <c r="L16">
        <v>0.83</v>
      </c>
      <c r="M16">
        <v>0.8</v>
      </c>
      <c r="N16">
        <v>0.85</v>
      </c>
      <c r="O16">
        <v>0.84</v>
      </c>
      <c r="P16">
        <v>0.79</v>
      </c>
      <c r="Q16">
        <f t="shared" si="0"/>
        <v>0.88</v>
      </c>
    </row>
    <row r="17" spans="1:17" ht="27" customHeight="1">
      <c r="A17" t="s">
        <v>16</v>
      </c>
      <c r="B17" t="s">
        <v>17</v>
      </c>
      <c r="C17" t="b">
        <v>1</v>
      </c>
      <c r="D17" t="s">
        <v>20</v>
      </c>
      <c r="E17">
        <v>0.88</v>
      </c>
      <c r="F17">
        <v>0.81</v>
      </c>
      <c r="G17">
        <v>0.81</v>
      </c>
      <c r="H17">
        <v>0.8</v>
      </c>
      <c r="I17">
        <v>0.81</v>
      </c>
      <c r="J17">
        <v>0.8</v>
      </c>
      <c r="K17">
        <v>0.85</v>
      </c>
      <c r="L17">
        <v>0.81</v>
      </c>
      <c r="M17">
        <v>0.78</v>
      </c>
      <c r="N17">
        <v>0.82</v>
      </c>
      <c r="O17">
        <v>0.85</v>
      </c>
      <c r="P17">
        <v>0.78</v>
      </c>
      <c r="Q17">
        <f t="shared" si="0"/>
        <v>0.88</v>
      </c>
    </row>
    <row r="18" spans="1:17" ht="27" customHeight="1">
      <c r="A18" t="s">
        <v>16</v>
      </c>
      <c r="B18" t="s">
        <v>17</v>
      </c>
      <c r="C18" t="b">
        <v>1</v>
      </c>
      <c r="D18" t="s">
        <v>19</v>
      </c>
      <c r="E18">
        <v>0.88</v>
      </c>
      <c r="F18">
        <v>0.74</v>
      </c>
      <c r="G18">
        <v>0.83</v>
      </c>
      <c r="H18">
        <v>0.82</v>
      </c>
      <c r="I18">
        <v>0.82</v>
      </c>
      <c r="J18">
        <v>0.81</v>
      </c>
      <c r="K18">
        <v>0.83</v>
      </c>
      <c r="L18">
        <v>0.72</v>
      </c>
      <c r="M18">
        <v>0.81</v>
      </c>
      <c r="N18">
        <v>0.82</v>
      </c>
      <c r="O18">
        <v>0.84</v>
      </c>
      <c r="P18">
        <v>0.82</v>
      </c>
      <c r="Q18">
        <f t="shared" si="0"/>
        <v>0.88</v>
      </c>
    </row>
    <row r="19" spans="1:17" ht="27" customHeight="1">
      <c r="A19" t="s">
        <v>16</v>
      </c>
      <c r="B19" t="s">
        <v>17</v>
      </c>
      <c r="C19" t="b">
        <v>1</v>
      </c>
      <c r="D19" t="s">
        <v>18</v>
      </c>
      <c r="E19">
        <v>0.91</v>
      </c>
      <c r="F19">
        <v>0.88</v>
      </c>
      <c r="G19">
        <v>0.87</v>
      </c>
      <c r="H19">
        <v>0.88</v>
      </c>
      <c r="I19">
        <v>0.9</v>
      </c>
      <c r="J19">
        <v>0.85</v>
      </c>
      <c r="K19">
        <v>0.88</v>
      </c>
      <c r="L19">
        <v>0.87</v>
      </c>
      <c r="M19">
        <v>0.86</v>
      </c>
      <c r="N19">
        <v>0.86</v>
      </c>
      <c r="O19">
        <v>0.85</v>
      </c>
      <c r="P19">
        <v>0.82</v>
      </c>
      <c r="Q19">
        <f t="shared" si="0"/>
        <v>0.91</v>
      </c>
    </row>
    <row r="22" spans="1:17" ht="68" customHeight="1">
      <c r="D22" t="s">
        <v>30</v>
      </c>
      <c r="E22" s="2" t="s">
        <v>4</v>
      </c>
      <c r="F22" s="2" t="s">
        <v>5</v>
      </c>
      <c r="G22" s="2" t="s">
        <v>6</v>
      </c>
      <c r="H22" s="2" t="s">
        <v>7</v>
      </c>
      <c r="I22" s="2" t="s">
        <v>8</v>
      </c>
      <c r="J22" s="2" t="s">
        <v>9</v>
      </c>
      <c r="K22" s="2" t="s">
        <v>10</v>
      </c>
      <c r="L22" s="2" t="s">
        <v>11</v>
      </c>
      <c r="M22" s="2" t="s">
        <v>12</v>
      </c>
      <c r="N22" s="2" t="s">
        <v>13</v>
      </c>
      <c r="O22" s="2" t="s">
        <v>14</v>
      </c>
      <c r="P22" s="2" t="s">
        <v>15</v>
      </c>
      <c r="Q22" s="2" t="s">
        <v>27</v>
      </c>
    </row>
    <row r="23" spans="1:17" ht="27" customHeight="1">
      <c r="D23" t="s">
        <v>23</v>
      </c>
      <c r="E23" s="1">
        <f>_xlfn.LET(_xlpm.d,E$2:E$19,AVERAGE(_xlpm.d))</f>
        <v>0.59000000000000008</v>
      </c>
      <c r="F23" s="1">
        <f t="shared" ref="F23:Q23" si="1">_xlfn.LET(_xlpm.d,F$2:F$19,AVERAGE(_xlpm.d))</f>
        <v>0.57888888888888912</v>
      </c>
      <c r="G23" s="1">
        <f t="shared" si="1"/>
        <v>0.62166666666666659</v>
      </c>
      <c r="H23" s="1">
        <f t="shared" si="1"/>
        <v>0.60444444444444445</v>
      </c>
      <c r="I23" s="1">
        <f t="shared" si="1"/>
        <v>0.60111111111111126</v>
      </c>
      <c r="J23" s="1">
        <f t="shared" si="1"/>
        <v>0.58888888888888902</v>
      </c>
      <c r="K23" s="1">
        <f t="shared" si="1"/>
        <v>0.60944444444444434</v>
      </c>
      <c r="L23" s="1">
        <f t="shared" si="1"/>
        <v>0.58333333333333337</v>
      </c>
      <c r="M23" s="1">
        <f t="shared" si="1"/>
        <v>0.60777777777777775</v>
      </c>
      <c r="N23" s="1">
        <f t="shared" si="1"/>
        <v>0.61055555555555552</v>
      </c>
      <c r="O23" s="1">
        <f t="shared" si="1"/>
        <v>0.5822222222222222</v>
      </c>
      <c r="P23" s="1">
        <f>_xlfn.LET(_xlpm.d,P$2:P$19,AVERAGE(_xlpm.d))</f>
        <v>0.58111111111111113</v>
      </c>
      <c r="Q23" s="1">
        <f t="shared" si="1"/>
        <v>0.67722222222222228</v>
      </c>
    </row>
    <row r="24" spans="1:17" ht="27" customHeight="1">
      <c r="D24" t="s">
        <v>27</v>
      </c>
      <c r="E24" s="1">
        <f>_xlfn.LET(_xlpm.d,E$2:E$19,MAX(_xlpm.d))</f>
        <v>0.91</v>
      </c>
      <c r="F24" s="1">
        <f t="shared" ref="F24:Q24" si="2">_xlfn.LET(_xlpm.d,F$2:F$19,MAX(_xlpm.d))</f>
        <v>0.88</v>
      </c>
      <c r="G24" s="1">
        <f t="shared" si="2"/>
        <v>0.87</v>
      </c>
      <c r="H24" s="1">
        <f t="shared" si="2"/>
        <v>0.88</v>
      </c>
      <c r="I24" s="1">
        <f t="shared" si="2"/>
        <v>0.9</v>
      </c>
      <c r="J24" s="1">
        <f t="shared" si="2"/>
        <v>0.85</v>
      </c>
      <c r="K24" s="1">
        <f t="shared" si="2"/>
        <v>0.88</v>
      </c>
      <c r="L24" s="1">
        <f t="shared" si="2"/>
        <v>0.87</v>
      </c>
      <c r="M24" s="1">
        <f t="shared" si="2"/>
        <v>0.86</v>
      </c>
      <c r="N24" s="1">
        <f t="shared" si="2"/>
        <v>0.86</v>
      </c>
      <c r="O24" s="1">
        <f t="shared" si="2"/>
        <v>0.85</v>
      </c>
      <c r="P24" s="1">
        <f t="shared" si="2"/>
        <v>0.87</v>
      </c>
      <c r="Q24" s="1">
        <f t="shared" si="2"/>
        <v>0.91</v>
      </c>
    </row>
    <row r="25" spans="1:17" ht="27" customHeight="1">
      <c r="D25" t="s">
        <v>28</v>
      </c>
      <c r="E25" s="1">
        <f>_xlfn.LET(_xlpm.d,E$2:E$19,MIN(_xlpm.d))</f>
        <v>0.31</v>
      </c>
      <c r="F25" s="1">
        <f t="shared" ref="F25:Q25" si="3">_xlfn.LET(_xlpm.d,F$2:F$19,MIN(_xlpm.d))</f>
        <v>0.37</v>
      </c>
      <c r="G25" s="1">
        <f t="shared" si="3"/>
        <v>0.37</v>
      </c>
      <c r="H25" s="1">
        <f t="shared" si="3"/>
        <v>0.34</v>
      </c>
      <c r="I25" s="1">
        <f t="shared" si="3"/>
        <v>0.36</v>
      </c>
      <c r="J25" s="1">
        <f t="shared" si="3"/>
        <v>0.3</v>
      </c>
      <c r="K25" s="1">
        <f t="shared" si="3"/>
        <v>0.3</v>
      </c>
      <c r="L25" s="1">
        <f t="shared" si="3"/>
        <v>0.3</v>
      </c>
      <c r="M25" s="1">
        <f t="shared" si="3"/>
        <v>0.35</v>
      </c>
      <c r="N25" s="1">
        <f t="shared" si="3"/>
        <v>0.34</v>
      </c>
      <c r="O25" s="1">
        <f t="shared" si="3"/>
        <v>0.33</v>
      </c>
      <c r="P25" s="1">
        <f t="shared" si="3"/>
        <v>0.38</v>
      </c>
      <c r="Q25" s="1">
        <f t="shared" si="3"/>
        <v>0.44</v>
      </c>
    </row>
    <row r="26" spans="1:17" ht="27" customHeight="1">
      <c r="D26" t="s">
        <v>29</v>
      </c>
      <c r="E26" s="1">
        <f>_xlfn.LET(_xlpm.d,E$2:E$19,STDEV(_xlpm.d))</f>
        <v>0.22117334165496397</v>
      </c>
      <c r="F26" s="1">
        <f t="shared" ref="F26:Q26" si="4">_xlfn.LET(_xlpm.d,F$2:F$19,STDEV(_xlpm.d))</f>
        <v>0.16456319683220111</v>
      </c>
      <c r="G26" s="1">
        <f t="shared" si="4"/>
        <v>0.16324827717314527</v>
      </c>
      <c r="H26" s="1">
        <f t="shared" si="4"/>
        <v>0.18532077824591911</v>
      </c>
      <c r="I26" s="1">
        <f t="shared" si="4"/>
        <v>0.18798901372432822</v>
      </c>
      <c r="J26" s="1">
        <f t="shared" si="4"/>
        <v>0.18644945345269978</v>
      </c>
      <c r="K26" s="1">
        <f t="shared" si="4"/>
        <v>0.19746845532811882</v>
      </c>
      <c r="L26" s="1">
        <f t="shared" si="4"/>
        <v>0.19262887206475868</v>
      </c>
      <c r="M26" s="1">
        <f t="shared" si="4"/>
        <v>0.17870631693484795</v>
      </c>
      <c r="N26" s="1">
        <f t="shared" si="4"/>
        <v>0.18741185291858961</v>
      </c>
      <c r="O26" s="1">
        <f t="shared" si="4"/>
        <v>0.19836257817012914</v>
      </c>
      <c r="P26" s="1">
        <f t="shared" si="4"/>
        <v>0.17330316479540853</v>
      </c>
      <c r="Q26" s="1">
        <f t="shared" si="4"/>
        <v>0.16938662894502426</v>
      </c>
    </row>
    <row r="27" spans="1:17" ht="27" customHeight="1"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7" ht="27" customHeight="1">
      <c r="D28" t="s">
        <v>24</v>
      </c>
      <c r="E28" s="1" cm="1">
        <f t="array" ref="E28">_xlfn.LET(_xlpm.data,E$2:E$19,_xlpm.attrib,$B$2:$B$19,AVERAGE(_xlfn._xlws.FILTER(_xlpm.data,_xlpm.attrib="case")))</f>
        <v>0.37833333333333335</v>
      </c>
      <c r="F28" s="1" cm="1">
        <f t="array" ref="F28">_xlfn.LET(_xlpm.data,F$2:F$19,_xlpm.attrib,$B$2:$B$19,AVERAGE(_xlfn._xlws.FILTER(_xlpm.data,_xlpm.attrib="case")))</f>
        <v>0.44166666666666671</v>
      </c>
      <c r="G28" s="1" cm="1">
        <f t="array" ref="G28">_xlfn.LET(_xlpm.data,G$2:G$19,_xlpm.attrib,$B$2:$B$19,AVERAGE(_xlfn._xlws.FILTER(_xlpm.data,_xlpm.attrib="case")))</f>
        <v>0.45833333333333331</v>
      </c>
      <c r="H28" s="1" cm="1">
        <f t="array" ref="H28">_xlfn.LET(_xlpm.data,H$2:H$19,_xlpm.attrib,$B$2:$B$19,AVERAGE(_xlfn._xlws.FILTER(_xlpm.data,_xlpm.attrib="case")))</f>
        <v>0.40499999999999997</v>
      </c>
      <c r="I28" s="1" cm="1">
        <f t="array" ref="I28">_xlfn.LET(_xlpm.data,I$2:I$19,_xlpm.attrib,$B$2:$B$19,AVERAGE(_xlfn._xlws.FILTER(_xlpm.data,_xlpm.attrib="case")))</f>
        <v>0.42499999999999999</v>
      </c>
      <c r="J28" s="1" cm="1">
        <f t="array" ref="J28">_xlfn.LET(_xlpm.data,J$2:J$19,_xlpm.attrib,$B$2:$B$19,AVERAGE(_xlfn._xlws.FILTER(_xlpm.data,_xlpm.attrib="case")))</f>
        <v>0.40166666666666667</v>
      </c>
      <c r="K28" s="1" cm="1">
        <f t="array" ref="K28">_xlfn.LET(_xlpm.data,K$2:K$19,_xlpm.attrib,$B$2:$B$19,AVERAGE(_xlfn._xlws.FILTER(_xlpm.data,_xlpm.attrib="case")))</f>
        <v>0.39833333333333326</v>
      </c>
      <c r="L28" s="1" cm="1">
        <f t="array" ref="L28">_xlfn.LET(_xlpm.data,L$2:L$19,_xlpm.attrib,$B$2:$B$19,AVERAGE(_xlfn._xlws.FILTER(_xlpm.data,_xlpm.attrib="case")))</f>
        <v>0.36499999999999999</v>
      </c>
      <c r="M28" s="1" cm="1">
        <f t="array" ref="M28">_xlfn.LET(_xlpm.data,M$2:M$19,_xlpm.attrib,$B$2:$B$19,AVERAGE(_xlfn._xlws.FILTER(_xlpm.data,_xlpm.attrib="case")))</f>
        <v>0.40333333333333332</v>
      </c>
      <c r="N28" s="1" cm="1">
        <f t="array" ref="N28">_xlfn.LET(_xlpm.data,N$2:N$19,_xlpm.attrib,$B$2:$B$19,AVERAGE(_xlfn._xlws.FILTER(_xlpm.data,_xlpm.attrib="case")))</f>
        <v>0.38500000000000001</v>
      </c>
      <c r="O28" s="1" cm="1">
        <f t="array" ref="O28">_xlfn.LET(_xlpm.data,O$2:O$19,_xlpm.attrib,$B$2:$B$19,AVERAGE(_xlfn._xlws.FILTER(_xlpm.data,_xlpm.attrib="case")))</f>
        <v>0.38000000000000006</v>
      </c>
      <c r="P28" s="1" cm="1">
        <f t="array" ref="P28">_xlfn.LET(_xlpm.data,P$2:P$19,_xlpm.attrib,$B$2:$B$19,AVERAGE(_xlfn._xlws.FILTER(_xlpm.data,_xlpm.attrib="case")))</f>
        <v>0.44333333333333336</v>
      </c>
    </row>
    <row r="29" spans="1:17" ht="27" customHeight="1"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7" ht="27" customHeight="1"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7" ht="27" customHeight="1"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7" ht="27" customHeight="1"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4:16" ht="27" customHeight="1">
      <c r="D33" t="s">
        <v>25</v>
      </c>
      <c r="E33" s="1" cm="1">
        <f t="array" ref="E33">_xlfn.LET(_xlpm.data,E$2:E$19,_xlpm.attrib,$B$2:$B$19,AVERAGE(_xlfn._xlws.FILTER(_xlpm.data,_xlpm.attrib="gender")))</f>
        <v>0.51333333333333331</v>
      </c>
      <c r="F33" s="1" cm="1">
        <f t="array" ref="F33">_xlfn.LET(_xlpm.data,F$2:F$19,_xlpm.attrib,$B$2:$B$19,AVERAGE(_xlfn._xlws.FILTER(_xlpm.data,_xlpm.attrib="gender")))</f>
        <v>0.51500000000000001</v>
      </c>
      <c r="G33" s="1" cm="1">
        <f t="array" ref="G33">_xlfn.LET(_xlpm.data,G$2:G$19,_xlpm.attrib,$B$2:$B$19,AVERAGE(_xlfn._xlws.FILTER(_xlpm.data,_xlpm.attrib="gender")))</f>
        <v>0.59166666666666667</v>
      </c>
      <c r="H33" s="1" cm="1">
        <f t="array" ref="H33">_xlfn.LET(_xlpm.data,H$2:H$19,_xlpm.attrib,$B$2:$B$19,AVERAGE(_xlfn._xlws.FILTER(_xlpm.data,_xlpm.attrib="gender")))</f>
        <v>0.57833333333333325</v>
      </c>
      <c r="I33" s="1" cm="1">
        <f t="array" ref="I33">_xlfn.LET(_xlpm.data,I$2:I$19,_xlpm.attrib,$B$2:$B$19,AVERAGE(_xlfn._xlws.FILTER(_xlpm.data,_xlpm.attrib="gender")))</f>
        <v>0.54</v>
      </c>
      <c r="J33" s="1" cm="1">
        <f t="array" ref="J33">_xlfn.LET(_xlpm.data,J$2:J$19,_xlpm.attrib,$B$2:$B$19,AVERAGE(_xlfn._xlws.FILTER(_xlpm.data,_xlpm.attrib="gender")))</f>
        <v>0.54500000000000004</v>
      </c>
      <c r="K33" s="1" cm="1">
        <f t="array" ref="K33">_xlfn.LET(_xlpm.data,K$2:K$19,_xlpm.attrib,$B$2:$B$19,AVERAGE(_xlfn._xlws.FILTER(_xlpm.data,_xlpm.attrib="gender")))</f>
        <v>0.58833333333333337</v>
      </c>
      <c r="L33" s="1" cm="1">
        <f t="array" ref="L33">_xlfn.LET(_xlpm.data,L$2:L$19,_xlpm.attrib,$B$2:$B$19,AVERAGE(_xlfn._xlws.FILTER(_xlpm.data,_xlpm.attrib="gender")))</f>
        <v>0.58833333333333337</v>
      </c>
      <c r="M33" s="1" cm="1">
        <f t="array" ref="M33">_xlfn.LET(_xlpm.data,M$2:M$19,_xlpm.attrib,$B$2:$B$19,AVERAGE(_xlfn._xlws.FILTER(_xlpm.data,_xlpm.attrib="gender")))</f>
        <v>0.6166666666666667</v>
      </c>
      <c r="N33" s="1" cm="1">
        <f t="array" ref="N33">_xlfn.LET(_xlpm.data,N$2:N$19,_xlpm.attrib,$B$2:$B$19,AVERAGE(_xlfn._xlws.FILTER(_xlpm.data,_xlpm.attrib="gender")))</f>
        <v>0.625</v>
      </c>
      <c r="O33" s="1" cm="1">
        <f t="array" ref="O33">_xlfn.LET(_xlpm.data,O$2:O$19,_xlpm.attrib,$B$2:$B$19,AVERAGE(_xlfn._xlws.FILTER(_xlpm.data,_xlpm.attrib="gender")))</f>
        <v>0.53500000000000003</v>
      </c>
      <c r="P33" s="1" cm="1">
        <f t="array" ref="P33">_xlfn.LET(_xlpm.data,P$2:P$19,_xlpm.attrib,$B$2:$B$19,AVERAGE(_xlfn._xlws.FILTER(_xlpm.data,_xlpm.attrib="gender")))</f>
        <v>0.48833333333333329</v>
      </c>
    </row>
    <row r="34" spans="4:16" ht="27" customHeight="1"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4:16" ht="27" customHeight="1"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4:16" ht="27" customHeight="1"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4:16" ht="27" customHeight="1"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4:16" ht="27" customHeight="1">
      <c r="D38" t="s">
        <v>26</v>
      </c>
      <c r="E38" s="1" cm="1">
        <f t="array" ref="E38">_xlfn.LET(_xlpm.data,E$2:E$19,_xlpm.attrib,$B$2:$B$19,AVERAGE(_xlfn._xlws.FILTER(_xlpm.data,_xlpm.attrib="plurality")))</f>
        <v>0.87833333333333341</v>
      </c>
      <c r="F38" s="1" cm="1">
        <f t="array" ref="F38">_xlfn.LET(_xlpm.data,F$2:F$19,_xlpm.attrib,$B$2:$B$19,AVERAGE(_xlfn._xlws.FILTER(_xlpm.data,_xlpm.attrib="plurality")))</f>
        <v>0.77999999999999992</v>
      </c>
      <c r="G38" s="1" cm="1">
        <f t="array" ref="G38">_xlfn.LET(_xlpm.data,G$2:G$19,_xlpm.attrib,$B$2:$B$19,AVERAGE(_xlfn._xlws.FILTER(_xlpm.data,_xlpm.attrib="plurality")))</f>
        <v>0.81499999999999995</v>
      </c>
      <c r="H38" s="1" cm="1">
        <f t="array" ref="H38">_xlfn.LET(_xlpm.data,H$2:H$19,_xlpm.attrib,$B$2:$B$19,AVERAGE(_xlfn._xlws.FILTER(_xlpm.data,_xlpm.attrib="plurality")))</f>
        <v>0.83000000000000007</v>
      </c>
      <c r="I38" s="1" cm="1">
        <f t="array" ref="I38">_xlfn.LET(_xlpm.data,I$2:I$19,_xlpm.attrib,$B$2:$B$19,AVERAGE(_xlfn._xlws.FILTER(_xlpm.data,_xlpm.attrib="plurality")))</f>
        <v>0.83833333333333337</v>
      </c>
      <c r="J38" s="1" cm="1">
        <f t="array" ref="J38">_xlfn.LET(_xlpm.data,J$2:J$19,_xlpm.attrib,$B$2:$B$19,AVERAGE(_xlfn._xlws.FILTER(_xlpm.data,_xlpm.attrib="plurality")))</f>
        <v>0.82</v>
      </c>
      <c r="K38" s="1" cm="1">
        <f t="array" ref="K38">_xlfn.LET(_xlpm.data,K$2:K$19,_xlpm.attrib,$B$2:$B$19,AVERAGE(_xlfn._xlws.FILTER(_xlpm.data,_xlpm.attrib="plurality")))</f>
        <v>0.84166666666666667</v>
      </c>
      <c r="L38" s="1" cm="1">
        <f t="array" ref="L38">_xlfn.LET(_xlpm.data,L$2:L$19,_xlpm.attrib,$B$2:$B$19,AVERAGE(_xlfn._xlws.FILTER(_xlpm.data,_xlpm.attrib="plurality")))</f>
        <v>0.79666666666666675</v>
      </c>
      <c r="M38" s="1" cm="1">
        <f t="array" ref="M38">_xlfn.LET(_xlpm.data,M$2:M$19,_xlpm.attrib,$B$2:$B$19,AVERAGE(_xlfn._xlws.FILTER(_xlpm.data,_xlpm.attrib="plurality")))</f>
        <v>0.80333333333333334</v>
      </c>
      <c r="N38" s="1" cm="1">
        <f t="array" ref="N38">_xlfn.LET(_xlpm.data,N$2:N$19,_xlpm.attrib,$B$2:$B$19,AVERAGE(_xlfn._xlws.FILTER(_xlpm.data,_xlpm.attrib="plurality")))</f>
        <v>0.82166666666666677</v>
      </c>
      <c r="O38" s="1" cm="1">
        <f t="array" ref="O38">_xlfn.LET(_xlpm.data,O$2:O$19,_xlpm.attrib,$B$2:$B$19,AVERAGE(_xlfn._xlws.FILTER(_xlpm.data,_xlpm.attrib="plurality")))</f>
        <v>0.83166666666666655</v>
      </c>
      <c r="P38" s="1" cm="1">
        <f t="array" ref="P38">_xlfn.LET(_xlpm.data,P$2:P$19,_xlpm.attrib,$B$2:$B$19,AVERAGE(_xlfn._xlws.FILTER(_xlpm.data,_xlpm.attrib="plurality")))</f>
        <v>0.81166666666666687</v>
      </c>
    </row>
    <row r="39" spans="4:16" ht="27" customHeight="1"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</sheetData>
  <conditionalFormatting sqref="E2:P19">
    <cfRule type="colorScale" priority="3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Q2:Q19">
    <cfRule type="colorScale" priority="2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E23:Q25">
    <cfRule type="colorScale" priority="1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pageMargins left="0.75" right="0.75" top="1" bottom="1" header="0.5" footer="0.5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ml3.0-Czech-sample1200-xsk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Kuroda, Kow</dc:creator>
  <cp:keywords/>
  <dc:description/>
  <cp:lastModifiedBy>Kuroda, Kow</cp:lastModifiedBy>
  <dcterms:created xsi:type="dcterms:W3CDTF">2025-02-18T05:10:29Z</dcterms:created>
  <dcterms:modified xsi:type="dcterms:W3CDTF">2025-02-18T06:01:26Z</dcterms:modified>
  <cp:category/>
</cp:coreProperties>
</file>