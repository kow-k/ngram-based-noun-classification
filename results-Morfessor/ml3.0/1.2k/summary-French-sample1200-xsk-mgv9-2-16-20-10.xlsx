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-Morfessor/ml3.0/1.2k/"/>
    </mc:Choice>
  </mc:AlternateContent>
  <xr:revisionPtr revIDLastSave="0" documentId="13_ncr:1_{DA95E975-8C48-2446-BF04-38D64C0251EF}" xr6:coauthVersionLast="47" xr6:coauthVersionMax="47" xr10:uidLastSave="{00000000-0000-0000-0000-000000000000}"/>
  <bookViews>
    <workbookView xWindow="7000" yWindow="1040" windowWidth="26960" windowHeight="15940" xr2:uid="{A151C9E2-DCAF-0C4F-9771-3A6412F385D0}"/>
  </bookViews>
  <sheets>
    <sheet name="summary-xsk-French-sample1200-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0" i="1" l="1"/>
  <c r="O20" i="1"/>
  <c r="N20" i="1"/>
  <c r="M20" i="1"/>
  <c r="L20" i="1"/>
  <c r="K20" i="1"/>
  <c r="J20" i="1"/>
  <c r="I20" i="1"/>
  <c r="H20" i="1"/>
  <c r="G20" i="1"/>
  <c r="F20" i="1"/>
  <c r="P19" i="1"/>
  <c r="O19" i="1"/>
  <c r="N19" i="1"/>
  <c r="M19" i="1"/>
  <c r="L19" i="1"/>
  <c r="K19" i="1"/>
  <c r="J19" i="1"/>
  <c r="I19" i="1"/>
  <c r="H19" i="1"/>
  <c r="G19" i="1"/>
  <c r="F19" i="1"/>
  <c r="P18" i="1"/>
  <c r="O18" i="1"/>
  <c r="N18" i="1"/>
  <c r="M18" i="1"/>
  <c r="L18" i="1"/>
  <c r="K18" i="1"/>
  <c r="J18" i="1"/>
  <c r="I18" i="1"/>
  <c r="H18" i="1"/>
  <c r="G18" i="1"/>
  <c r="F18" i="1"/>
  <c r="P17" i="1"/>
  <c r="O17" i="1"/>
  <c r="N17" i="1"/>
  <c r="M17" i="1"/>
  <c r="L17" i="1"/>
  <c r="K17" i="1"/>
  <c r="J17" i="1"/>
  <c r="I17" i="1"/>
  <c r="H17" i="1"/>
  <c r="G17" i="1"/>
  <c r="F17" i="1"/>
  <c r="P16" i="1"/>
  <c r="O16" i="1"/>
  <c r="N16" i="1"/>
  <c r="M16" i="1"/>
  <c r="L16" i="1"/>
  <c r="K16" i="1"/>
  <c r="J16" i="1"/>
  <c r="I16" i="1"/>
  <c r="H16" i="1"/>
  <c r="G16" i="1"/>
  <c r="F16" i="1"/>
  <c r="E16" i="1"/>
  <c r="E20" i="1"/>
  <c r="E19" i="1"/>
  <c r="E18" i="1"/>
  <c r="E17" i="1"/>
</calcChain>
</file>

<file path=xl/sharedStrings.xml><?xml version="1.0" encoding="utf-8"?>
<sst xmlns="http://schemas.openxmlformats.org/spreadsheetml/2006/main" count="56" uniqueCount="26">
  <si>
    <t>lang</t>
  </si>
  <si>
    <t>attribute</t>
  </si>
  <si>
    <t>supplement</t>
  </si>
  <si>
    <t>method</t>
  </si>
  <si>
    <t>2gram-no-hash</t>
  </si>
  <si>
    <t>3gram-no-hash</t>
  </si>
  <si>
    <t>4gram-no-hash</t>
  </si>
  <si>
    <t>xsk2gram-no-hash</t>
  </si>
  <si>
    <t>xsk3gram-no-hash</t>
  </si>
  <si>
    <t>xsk4gram-no-hash</t>
  </si>
  <si>
    <t>2gram-hash-at-both</t>
  </si>
  <si>
    <t>3gram-hash-at-both</t>
  </si>
  <si>
    <t>4gram-hash-at-both</t>
  </si>
  <si>
    <t>xsk2gram-hash-at-both</t>
  </si>
  <si>
    <t>xsk3gram-hash-at-both</t>
  </si>
  <si>
    <t>xsk4gram-hash-at-both</t>
  </si>
  <si>
    <t>French</t>
  </si>
  <si>
    <t>plurality</t>
  </si>
  <si>
    <t>RF</t>
  </si>
  <si>
    <t>NN</t>
  </si>
  <si>
    <t>DT</t>
  </si>
  <si>
    <t>gender</t>
  </si>
  <si>
    <t>max</t>
  </si>
  <si>
    <t>min</t>
  </si>
  <si>
    <t>average</t>
  </si>
  <si>
    <t>stdv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</si>
</sst>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3"/>
      <color theme="1"/>
      <name val="LucidaSansUnico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F7D1B6-3273-864E-B146-1D8774BC5429}" name="Table1" displayName="Table1" ref="A1:P13" totalsRowShown="0">
  <autoFilter ref="A1:P13" xr:uid="{05F7D1B6-3273-864E-B146-1D8774BC5429}"/>
  <sortState xmlns:xlrd2="http://schemas.microsoft.com/office/spreadsheetml/2017/richdata2" ref="A2:P13">
    <sortCondition ref="B1:B13"/>
  </sortState>
  <tableColumns count="16">
    <tableColumn id="1" xr3:uid="{65B44440-8D65-7B4B-80FF-58F4237A9648}" name="lang"/>
    <tableColumn id="2" xr3:uid="{10E98ADA-D674-0247-AFD1-661DFDCA8D07}" name="attribute"/>
    <tableColumn id="3" xr3:uid="{C54CDD2C-78B5-4640-8A97-92D0339FA46E}" name="supplement"/>
    <tableColumn id="4" xr3:uid="{7BB4127E-F76A-D649-BB0E-38894C5AD542}" name="method"/>
    <tableColumn id="5" xr3:uid="{55023720-0080-024D-9AB7-8DA8E3518656}" name="2gram-no-hash"/>
    <tableColumn id="6" xr3:uid="{0CCD14BE-BE1A-2046-A847-4F69354BF65A}" name="3gram-no-hash"/>
    <tableColumn id="7" xr3:uid="{F9BB06D3-DE97-5340-9102-28EDACA3DB57}" name="4gram-no-hash"/>
    <tableColumn id="8" xr3:uid="{31317800-9A32-2548-8860-2392330C7668}" name="xsk2gram-no-hash"/>
    <tableColumn id="9" xr3:uid="{92F390B4-32EE-404E-8979-FC3DD808CC35}" name="xsk3gram-no-hash"/>
    <tableColumn id="10" xr3:uid="{075593EC-21E8-8F4C-8E52-89E1395B1D3C}" name="xsk4gram-no-hash"/>
    <tableColumn id="11" xr3:uid="{8EB2F409-EB5A-C247-B541-922DBDFA1BD0}" name="2gram-hash-at-both"/>
    <tableColumn id="12" xr3:uid="{950229C3-123D-6A47-B993-0111CDCBEE54}" name="3gram-hash-at-both"/>
    <tableColumn id="13" xr3:uid="{05D2ADB7-EB01-3341-BEA2-DBF65FDF91C4}" name="4gram-hash-at-both"/>
    <tableColumn id="14" xr3:uid="{D9D8BB97-5220-694E-84F4-63EF389B38AC}" name="xsk2gram-hash-at-both"/>
    <tableColumn id="15" xr3:uid="{713EF8E8-061A-9E41-B4DD-FE27A747FF60}" name="xsk3gram-hash-at-both"/>
    <tableColumn id="16" xr3:uid="{20AB292F-05CE-6942-9B3B-21E0DF271603}" name="xsk4gram-hash-at-bo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9C2C5-4DEC-904A-A43F-43690AD70929}">
  <dimension ref="A1:P20"/>
  <sheetViews>
    <sheetView tabSelected="1" workbookViewId="0">
      <pane xSplit="12480" ySplit="2640" topLeftCell="K9" activePane="bottomRight"/>
      <selection activeCell="E1" sqref="E1:P1048576"/>
      <selection pane="topRight" activeCell="R3" sqref="R3"/>
      <selection pane="bottomLeft" activeCell="F22" sqref="F22"/>
      <selection pane="bottomRight" activeCell="N10" sqref="N10"/>
    </sheetView>
  </sheetViews>
  <sheetFormatPr baseColWidth="10" defaultRowHeight="27" customHeight="1"/>
  <cols>
    <col min="3" max="3" width="11.875" customWidth="1"/>
    <col min="5" max="16" width="10.625" customWidth="1"/>
  </cols>
  <sheetData>
    <row r="1" spans="1:16" ht="27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7" customHeight="1">
      <c r="A2" t="s">
        <v>16</v>
      </c>
      <c r="B2" t="s">
        <v>21</v>
      </c>
      <c r="C2" t="b">
        <v>0</v>
      </c>
      <c r="D2" t="s">
        <v>18</v>
      </c>
      <c r="E2">
        <v>0.74</v>
      </c>
      <c r="F2">
        <v>0.79</v>
      </c>
      <c r="G2">
        <v>0.74</v>
      </c>
      <c r="H2">
        <v>0.79</v>
      </c>
      <c r="I2">
        <v>0.82</v>
      </c>
      <c r="J2">
        <v>0.73</v>
      </c>
      <c r="K2">
        <v>0.79</v>
      </c>
      <c r="L2">
        <v>0.78</v>
      </c>
      <c r="M2">
        <v>0.81</v>
      </c>
      <c r="N2">
        <v>0.78</v>
      </c>
      <c r="O2">
        <v>0.72</v>
      </c>
      <c r="P2">
        <v>0.79</v>
      </c>
    </row>
    <row r="3" spans="1:16" ht="27" customHeight="1">
      <c r="A3" t="s">
        <v>16</v>
      </c>
      <c r="B3" t="s">
        <v>21</v>
      </c>
      <c r="C3" t="b">
        <v>0</v>
      </c>
      <c r="D3" t="s">
        <v>19</v>
      </c>
      <c r="E3">
        <v>0.76</v>
      </c>
      <c r="F3">
        <v>0.74</v>
      </c>
      <c r="G3">
        <v>0.73</v>
      </c>
      <c r="H3">
        <v>0.78</v>
      </c>
      <c r="I3">
        <v>0.8</v>
      </c>
      <c r="J3">
        <v>0.82</v>
      </c>
      <c r="K3">
        <v>0.7</v>
      </c>
      <c r="L3">
        <v>0.7</v>
      </c>
      <c r="M3">
        <v>0.76</v>
      </c>
      <c r="N3">
        <v>0.68</v>
      </c>
      <c r="O3">
        <v>0.64</v>
      </c>
      <c r="P3">
        <v>0.77</v>
      </c>
    </row>
    <row r="4" spans="1:16" ht="27" customHeight="1">
      <c r="A4" t="s">
        <v>16</v>
      </c>
      <c r="B4" t="s">
        <v>21</v>
      </c>
      <c r="C4" t="b">
        <v>0</v>
      </c>
      <c r="D4" t="s">
        <v>20</v>
      </c>
      <c r="E4">
        <v>0.7</v>
      </c>
      <c r="F4">
        <v>0.79</v>
      </c>
      <c r="G4">
        <v>0.68</v>
      </c>
      <c r="H4">
        <v>0.69</v>
      </c>
      <c r="I4">
        <v>0.67</v>
      </c>
      <c r="J4">
        <v>0.62</v>
      </c>
      <c r="K4">
        <v>0.69</v>
      </c>
      <c r="L4">
        <v>0.68</v>
      </c>
      <c r="M4">
        <v>0.69</v>
      </c>
      <c r="N4">
        <v>0.65</v>
      </c>
      <c r="O4">
        <v>0.62</v>
      </c>
      <c r="P4">
        <v>0.66</v>
      </c>
    </row>
    <row r="5" spans="1:16" ht="27" customHeight="1">
      <c r="A5" t="s">
        <v>16</v>
      </c>
      <c r="B5" t="s">
        <v>21</v>
      </c>
      <c r="C5" t="b">
        <v>1</v>
      </c>
      <c r="D5" t="s">
        <v>18</v>
      </c>
      <c r="E5">
        <v>0.77</v>
      </c>
      <c r="F5">
        <v>0.8</v>
      </c>
      <c r="G5">
        <v>0.77</v>
      </c>
      <c r="H5">
        <v>0.82</v>
      </c>
      <c r="I5">
        <v>0.84</v>
      </c>
      <c r="J5">
        <v>0.75</v>
      </c>
      <c r="K5">
        <v>0.82</v>
      </c>
      <c r="L5">
        <v>0.78</v>
      </c>
      <c r="M5">
        <v>0.81</v>
      </c>
      <c r="N5">
        <v>0.79</v>
      </c>
      <c r="O5">
        <v>0.72</v>
      </c>
      <c r="P5">
        <v>0.78</v>
      </c>
    </row>
    <row r="6" spans="1:16" ht="27" customHeight="1">
      <c r="A6" t="s">
        <v>16</v>
      </c>
      <c r="B6" t="s">
        <v>21</v>
      </c>
      <c r="C6" t="b">
        <v>1</v>
      </c>
      <c r="D6" t="s">
        <v>19</v>
      </c>
      <c r="E6">
        <v>0.75</v>
      </c>
      <c r="F6">
        <v>0.79</v>
      </c>
      <c r="G6">
        <v>0.72</v>
      </c>
      <c r="H6">
        <v>0.78</v>
      </c>
      <c r="I6">
        <v>0.74</v>
      </c>
      <c r="J6">
        <v>0.79</v>
      </c>
      <c r="K6">
        <v>0.79</v>
      </c>
      <c r="L6">
        <v>0.68</v>
      </c>
      <c r="M6">
        <v>0.77</v>
      </c>
      <c r="N6">
        <v>0.72</v>
      </c>
      <c r="O6">
        <v>0.72</v>
      </c>
      <c r="P6">
        <v>0.78</v>
      </c>
    </row>
    <row r="7" spans="1:16" ht="27" customHeight="1">
      <c r="A7" t="s">
        <v>16</v>
      </c>
      <c r="B7" t="s">
        <v>21</v>
      </c>
      <c r="C7" t="b">
        <v>1</v>
      </c>
      <c r="D7" t="s">
        <v>20</v>
      </c>
      <c r="E7">
        <v>0.72</v>
      </c>
      <c r="F7">
        <v>0.75</v>
      </c>
      <c r="G7">
        <v>0.7</v>
      </c>
      <c r="H7">
        <v>0.65</v>
      </c>
      <c r="I7">
        <v>0.69</v>
      </c>
      <c r="J7">
        <v>0.68</v>
      </c>
      <c r="K7">
        <v>0.78</v>
      </c>
      <c r="L7">
        <v>0.72</v>
      </c>
      <c r="M7">
        <v>0.72</v>
      </c>
      <c r="N7">
        <v>0.56999999999999995</v>
      </c>
      <c r="O7">
        <v>0.62</v>
      </c>
      <c r="P7">
        <v>0.73</v>
      </c>
    </row>
    <row r="8" spans="1:16" ht="27" customHeight="1">
      <c r="A8" t="s">
        <v>16</v>
      </c>
      <c r="B8" t="s">
        <v>17</v>
      </c>
      <c r="C8" t="b">
        <v>0</v>
      </c>
      <c r="D8" t="s">
        <v>18</v>
      </c>
      <c r="E8">
        <v>0.9</v>
      </c>
      <c r="F8">
        <v>0.94</v>
      </c>
      <c r="G8">
        <v>0.93</v>
      </c>
      <c r="H8">
        <v>0.96</v>
      </c>
      <c r="I8">
        <v>0.96</v>
      </c>
      <c r="J8">
        <v>0.97</v>
      </c>
      <c r="K8">
        <v>0.93</v>
      </c>
      <c r="L8">
        <v>0.93</v>
      </c>
      <c r="M8">
        <v>0.93</v>
      </c>
      <c r="N8">
        <v>0.97</v>
      </c>
      <c r="O8">
        <v>0.94</v>
      </c>
      <c r="P8">
        <v>0.93</v>
      </c>
    </row>
    <row r="9" spans="1:16" ht="27" customHeight="1">
      <c r="A9" t="s">
        <v>16</v>
      </c>
      <c r="B9" t="s">
        <v>17</v>
      </c>
      <c r="C9" t="b">
        <v>0</v>
      </c>
      <c r="D9" t="s">
        <v>19</v>
      </c>
      <c r="E9">
        <v>0.92</v>
      </c>
      <c r="F9">
        <v>0.96</v>
      </c>
      <c r="G9">
        <v>0.95</v>
      </c>
      <c r="H9">
        <v>0.95</v>
      </c>
      <c r="I9">
        <v>0.98</v>
      </c>
      <c r="J9">
        <v>0.96</v>
      </c>
      <c r="K9">
        <v>0.97</v>
      </c>
      <c r="L9">
        <v>0.88</v>
      </c>
      <c r="M9">
        <v>0.89</v>
      </c>
      <c r="N9">
        <v>0.98</v>
      </c>
      <c r="O9">
        <v>0.96</v>
      </c>
      <c r="P9">
        <v>0.95</v>
      </c>
    </row>
    <row r="10" spans="1:16" ht="27" customHeight="1">
      <c r="A10" t="s">
        <v>16</v>
      </c>
      <c r="B10" t="s">
        <v>17</v>
      </c>
      <c r="C10" t="b">
        <v>0</v>
      </c>
      <c r="D10" t="s">
        <v>20</v>
      </c>
      <c r="E10">
        <v>0.91</v>
      </c>
      <c r="F10">
        <v>0.92</v>
      </c>
      <c r="G10">
        <v>0.86</v>
      </c>
      <c r="H10">
        <v>0.84</v>
      </c>
      <c r="I10">
        <v>0.85</v>
      </c>
      <c r="J10">
        <v>0.86</v>
      </c>
      <c r="K10">
        <v>0.91</v>
      </c>
      <c r="L10">
        <v>0.91</v>
      </c>
      <c r="M10">
        <v>0.83</v>
      </c>
      <c r="N10">
        <v>0.92</v>
      </c>
      <c r="O10">
        <v>0.93</v>
      </c>
      <c r="P10">
        <v>0.88</v>
      </c>
    </row>
    <row r="11" spans="1:16" ht="27" customHeight="1">
      <c r="A11" t="s">
        <v>16</v>
      </c>
      <c r="B11" t="s">
        <v>17</v>
      </c>
      <c r="C11" t="b">
        <v>1</v>
      </c>
      <c r="D11" t="s">
        <v>18</v>
      </c>
      <c r="E11">
        <v>0.94</v>
      </c>
      <c r="F11">
        <v>0.94</v>
      </c>
      <c r="G11">
        <v>0.93</v>
      </c>
      <c r="H11">
        <v>0.97</v>
      </c>
      <c r="I11">
        <v>0.95</v>
      </c>
      <c r="J11">
        <v>0.97</v>
      </c>
      <c r="K11">
        <v>0.95</v>
      </c>
      <c r="L11">
        <v>0.93</v>
      </c>
      <c r="M11">
        <v>0.93</v>
      </c>
      <c r="N11">
        <v>0.96</v>
      </c>
      <c r="O11">
        <v>0.95</v>
      </c>
      <c r="P11">
        <v>0.93</v>
      </c>
    </row>
    <row r="12" spans="1:16" ht="27" customHeight="1">
      <c r="A12" t="s">
        <v>16</v>
      </c>
      <c r="B12" t="s">
        <v>17</v>
      </c>
      <c r="C12" t="b">
        <v>1</v>
      </c>
      <c r="D12" t="s">
        <v>19</v>
      </c>
      <c r="E12">
        <v>0.96</v>
      </c>
      <c r="F12">
        <v>0.93</v>
      </c>
      <c r="G12">
        <v>0.92</v>
      </c>
      <c r="H12">
        <v>0.96</v>
      </c>
      <c r="I12">
        <v>0.93</v>
      </c>
      <c r="J12">
        <v>0.98</v>
      </c>
      <c r="K12">
        <v>0.93</v>
      </c>
      <c r="L12">
        <v>0.9</v>
      </c>
      <c r="M12">
        <v>0.88</v>
      </c>
      <c r="N12">
        <v>0.98</v>
      </c>
      <c r="O12">
        <v>0.95</v>
      </c>
      <c r="P12">
        <v>0.96</v>
      </c>
    </row>
    <row r="13" spans="1:16" ht="27" customHeight="1">
      <c r="A13" t="s">
        <v>16</v>
      </c>
      <c r="B13" t="s">
        <v>17</v>
      </c>
      <c r="C13" t="b">
        <v>1</v>
      </c>
      <c r="D13" t="s">
        <v>20</v>
      </c>
      <c r="E13">
        <v>0.93</v>
      </c>
      <c r="F13">
        <v>0.9</v>
      </c>
      <c r="G13">
        <v>0.89</v>
      </c>
      <c r="H13">
        <v>0.84</v>
      </c>
      <c r="I13">
        <v>0.86</v>
      </c>
      <c r="J13">
        <v>0.91</v>
      </c>
      <c r="K13">
        <v>0.9</v>
      </c>
      <c r="L13">
        <v>0.95</v>
      </c>
      <c r="M13">
        <v>0.89</v>
      </c>
      <c r="N13">
        <v>0.9</v>
      </c>
      <c r="O13">
        <v>0.91</v>
      </c>
      <c r="P13">
        <v>0.88</v>
      </c>
    </row>
    <row r="16" spans="1:16" ht="52" customHeight="1">
      <c r="E16" s="1" t="str">
        <f>E$1</f>
        <v>2gram-no-hash</v>
      </c>
      <c r="F16" s="1" t="str">
        <f t="shared" ref="F16:P16" si="0">F$1</f>
        <v>3gram-no-hash</v>
      </c>
      <c r="G16" s="1" t="str">
        <f t="shared" si="0"/>
        <v>4gram-no-hash</v>
      </c>
      <c r="H16" s="1" t="str">
        <f t="shared" si="0"/>
        <v>xsk2gram-no-hash</v>
      </c>
      <c r="I16" s="1" t="str">
        <f t="shared" si="0"/>
        <v>xsk3gram-no-hash</v>
      </c>
      <c r="J16" s="1" t="str">
        <f t="shared" si="0"/>
        <v>xsk4gram-no-hash</v>
      </c>
      <c r="K16" s="1" t="str">
        <f t="shared" si="0"/>
        <v>2gram-hash-at-both</v>
      </c>
      <c r="L16" s="1" t="str">
        <f t="shared" si="0"/>
        <v>3gram-hash-at-both</v>
      </c>
      <c r="M16" s="1" t="str">
        <f t="shared" si="0"/>
        <v>4gram-hash-at-both</v>
      </c>
      <c r="N16" s="1" t="str">
        <f t="shared" si="0"/>
        <v>xsk2gram-hash-at-both</v>
      </c>
      <c r="O16" s="1" t="str">
        <f t="shared" si="0"/>
        <v>xsk3gram-hash-at-both</v>
      </c>
      <c r="P16" s="1" t="str">
        <f t="shared" si="0"/>
        <v>xsk4gram-hash-at-both</v>
      </c>
    </row>
    <row r="17" spans="4:16" ht="27" customHeight="1">
      <c r="D17" t="s">
        <v>24</v>
      </c>
      <c r="E17" s="2">
        <f>_xlfn.LET(_xlpm.d,E$2:E$13,AVERAGE(_xlpm.d))</f>
        <v>0.83333333333333337</v>
      </c>
      <c r="F17" s="2">
        <f t="shared" ref="F17:P17" si="1">_xlfn.LET(_xlpm.d,F$2:F$13,AVERAGE(_xlpm.d))</f>
        <v>0.85416666666666663</v>
      </c>
      <c r="G17" s="2">
        <f t="shared" si="1"/>
        <v>0.81833333333333336</v>
      </c>
      <c r="H17" s="2">
        <f t="shared" si="1"/>
        <v>0.83583333333333343</v>
      </c>
      <c r="I17" s="2">
        <f t="shared" si="1"/>
        <v>0.84083333333333321</v>
      </c>
      <c r="J17" s="2">
        <f t="shared" si="1"/>
        <v>0.83666666666666678</v>
      </c>
      <c r="K17" s="2">
        <f t="shared" si="1"/>
        <v>0.84666666666666657</v>
      </c>
      <c r="L17" s="2">
        <f t="shared" si="1"/>
        <v>0.82</v>
      </c>
      <c r="M17" s="2">
        <f t="shared" si="1"/>
        <v>0.82583333333333331</v>
      </c>
      <c r="N17" s="2">
        <f t="shared" si="1"/>
        <v>0.82500000000000007</v>
      </c>
      <c r="O17" s="2">
        <f t="shared" si="1"/>
        <v>0.80666666666666664</v>
      </c>
      <c r="P17" s="2">
        <f t="shared" si="1"/>
        <v>0.83666666666666678</v>
      </c>
    </row>
    <row r="18" spans="4:16" ht="27" customHeight="1">
      <c r="D18" t="s">
        <v>22</v>
      </c>
      <c r="E18" s="2">
        <f>_xlfn.LET(_xlpm.d,E$2:E$13,MAX(_xlpm.d))</f>
        <v>0.96</v>
      </c>
      <c r="F18" s="2">
        <f t="shared" ref="F18:P18" si="2">_xlfn.LET(_xlpm.d,F$2:F$13,MAX(_xlpm.d))</f>
        <v>0.96</v>
      </c>
      <c r="G18" s="2">
        <f t="shared" si="2"/>
        <v>0.95</v>
      </c>
      <c r="H18" s="2">
        <f t="shared" si="2"/>
        <v>0.97</v>
      </c>
      <c r="I18" s="2">
        <f t="shared" si="2"/>
        <v>0.98</v>
      </c>
      <c r="J18" s="2">
        <f t="shared" si="2"/>
        <v>0.98</v>
      </c>
      <c r="K18" s="2">
        <f t="shared" si="2"/>
        <v>0.97</v>
      </c>
      <c r="L18" s="2">
        <f t="shared" si="2"/>
        <v>0.95</v>
      </c>
      <c r="M18" s="2">
        <f t="shared" si="2"/>
        <v>0.93</v>
      </c>
      <c r="N18" s="2">
        <f t="shared" si="2"/>
        <v>0.98</v>
      </c>
      <c r="O18" s="2">
        <f t="shared" si="2"/>
        <v>0.96</v>
      </c>
      <c r="P18" s="2">
        <f t="shared" si="2"/>
        <v>0.96</v>
      </c>
    </row>
    <row r="19" spans="4:16" ht="27" customHeight="1">
      <c r="D19" t="s">
        <v>23</v>
      </c>
      <c r="E19" s="2">
        <f>_xlfn.LET(_xlpm.d,E$2:E$13,MIN(_xlpm.d))</f>
        <v>0.7</v>
      </c>
      <c r="F19" s="2">
        <f t="shared" ref="F19:P19" si="3">_xlfn.LET(_xlpm.d,F$2:F$13,MIN(_xlpm.d))</f>
        <v>0.74</v>
      </c>
      <c r="G19" s="2">
        <f t="shared" si="3"/>
        <v>0.68</v>
      </c>
      <c r="H19" s="2">
        <f t="shared" si="3"/>
        <v>0.65</v>
      </c>
      <c r="I19" s="2">
        <f t="shared" si="3"/>
        <v>0.67</v>
      </c>
      <c r="J19" s="2">
        <f t="shared" si="3"/>
        <v>0.62</v>
      </c>
      <c r="K19" s="2">
        <f t="shared" si="3"/>
        <v>0.69</v>
      </c>
      <c r="L19" s="2">
        <f t="shared" si="3"/>
        <v>0.68</v>
      </c>
      <c r="M19" s="2">
        <f t="shared" si="3"/>
        <v>0.69</v>
      </c>
      <c r="N19" s="2">
        <f t="shared" si="3"/>
        <v>0.56999999999999995</v>
      </c>
      <c r="O19" s="2">
        <f t="shared" si="3"/>
        <v>0.62</v>
      </c>
      <c r="P19" s="2">
        <f t="shared" si="3"/>
        <v>0.66</v>
      </c>
    </row>
    <row r="20" spans="4:16" ht="27" customHeight="1">
      <c r="D20" t="s">
        <v>25</v>
      </c>
      <c r="E20" s="2">
        <f>_xlfn.LET(_xlpm.d,E$2:E$13,STDEV(_xlpm.d))</f>
        <v>0.10012113874823024</v>
      </c>
      <c r="F20" s="2">
        <f t="shared" ref="F20:P20" si="4">_xlfn.LET(_xlpm.d,F$2:F$13,STDEV(_xlpm.d))</f>
        <v>8.3824311220046105E-2</v>
      </c>
      <c r="G20" s="2">
        <f t="shared" si="4"/>
        <v>0.10382094142699652</v>
      </c>
      <c r="H20" s="2">
        <f t="shared" si="4"/>
        <v>0.10714971118048011</v>
      </c>
      <c r="I20" s="2">
        <f t="shared" si="4"/>
        <v>0.1036127697757683</v>
      </c>
      <c r="J20" s="2">
        <f t="shared" si="4"/>
        <v>0.12434068545977191</v>
      </c>
      <c r="K20" s="2">
        <f t="shared" si="4"/>
        <v>9.7359066751834297E-2</v>
      </c>
      <c r="L20" s="2">
        <f t="shared" si="4"/>
        <v>0.10702591020190189</v>
      </c>
      <c r="M20" s="2">
        <f t="shared" si="4"/>
        <v>8.0052066390152207E-2</v>
      </c>
      <c r="N20" s="2">
        <f t="shared" si="4"/>
        <v>0.14550851271567303</v>
      </c>
      <c r="O20" s="2">
        <f t="shared" si="4"/>
        <v>0.14405386198056311</v>
      </c>
      <c r="P20" s="2">
        <f t="shared" si="4"/>
        <v>9.7638790105845197E-2</v>
      </c>
    </row>
  </sheetData>
  <conditionalFormatting sqref="E2:P13">
    <cfRule type="colorScale" priority="1">
      <colorScale>
        <cfvo type="num" val="0"/>
        <cfvo type="percentile" val="50"/>
        <cfvo type="num" val="1"/>
        <color rgb="FFFF7128"/>
        <color theme="0"/>
        <color theme="6" tint="0.59999389629810485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summary-xsk-French-sample1200-m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2025-02-18T05:26:30Z</dcterms:created>
  <dcterms:modified xsi:type="dcterms:W3CDTF">2025-02-18T05:33:13Z</dcterms:modified>
  <cp:category/>
</cp:coreProperties>
</file>