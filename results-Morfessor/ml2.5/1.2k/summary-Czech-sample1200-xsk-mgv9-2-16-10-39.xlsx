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wk/Dropbox/GitHub/ngram-based-noun-classification/results-Morfessor/ml2.5/1.2k/"/>
    </mc:Choice>
  </mc:AlternateContent>
  <xr:revisionPtr revIDLastSave="0" documentId="13_ncr:1_{CB079038-51F4-1B4C-A450-776C2226CAF2}" xr6:coauthVersionLast="47" xr6:coauthVersionMax="47" xr10:uidLastSave="{00000000-0000-0000-0000-000000000000}"/>
  <bookViews>
    <workbookView xWindow="9700" yWindow="1440" windowWidth="26920" windowHeight="17020" xr2:uid="{59A91E79-AD1F-F141-9C97-602A00C91686}"/>
  </bookViews>
  <sheets>
    <sheet name="ml2.5-Czech-sample1200-xsk-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G23" i="1"/>
  <c r="H23" i="1"/>
  <c r="I23" i="1"/>
  <c r="J23" i="1"/>
  <c r="K23" i="1"/>
  <c r="L23" i="1"/>
  <c r="M23" i="1"/>
  <c r="N23" i="1"/>
  <c r="O23" i="1"/>
  <c r="P23" i="1"/>
  <c r="F24" i="1"/>
  <c r="G24" i="1"/>
  <c r="H24" i="1"/>
  <c r="I24" i="1"/>
  <c r="J24" i="1"/>
  <c r="K24" i="1"/>
  <c r="L24" i="1"/>
  <c r="M24" i="1"/>
  <c r="N24" i="1"/>
  <c r="O24" i="1"/>
  <c r="P24" i="1"/>
  <c r="F25" i="1"/>
  <c r="G25" i="1"/>
  <c r="H25" i="1"/>
  <c r="I25" i="1"/>
  <c r="J25" i="1"/>
  <c r="K25" i="1"/>
  <c r="L25" i="1"/>
  <c r="M25" i="1"/>
  <c r="N25" i="1"/>
  <c r="O25" i="1"/>
  <c r="P25" i="1"/>
  <c r="F26" i="1"/>
  <c r="G26" i="1"/>
  <c r="H26" i="1"/>
  <c r="I26" i="1"/>
  <c r="J26" i="1"/>
  <c r="K26" i="1"/>
  <c r="L26" i="1"/>
  <c r="M26" i="1"/>
  <c r="N26" i="1"/>
  <c r="O26" i="1"/>
  <c r="P26" i="1"/>
  <c r="E26" i="1"/>
  <c r="E25" i="1"/>
  <c r="E24" i="1"/>
  <c r="E23" i="1"/>
  <c r="Q14" i="1"/>
  <c r="Q15" i="1"/>
  <c r="Q16" i="1"/>
  <c r="Q17" i="1"/>
  <c r="Q18" i="1"/>
  <c r="Q19" i="1"/>
  <c r="Q8" i="1"/>
  <c r="Q9" i="1"/>
  <c r="Q10" i="1"/>
  <c r="Q11" i="1"/>
  <c r="Q12" i="1"/>
  <c r="Q13" i="1"/>
  <c r="Q2" i="1"/>
  <c r="Q3" i="1"/>
  <c r="Q4" i="1"/>
  <c r="Q5" i="1"/>
  <c r="Q6" i="1"/>
  <c r="Q7" i="1"/>
  <c r="Q25" i="1" l="1"/>
  <c r="Q24" i="1"/>
  <c r="Q26" i="1"/>
  <c r="Q23" i="1"/>
</calcChain>
</file>

<file path=xl/sharedStrings.xml><?xml version="1.0" encoding="utf-8"?>
<sst xmlns="http://schemas.openxmlformats.org/spreadsheetml/2006/main" count="89" uniqueCount="28">
  <si>
    <t>lang</t>
  </si>
  <si>
    <t>attribute</t>
  </si>
  <si>
    <t>supplement</t>
  </si>
  <si>
    <t>method</t>
  </si>
  <si>
    <t>2gram-no-hash</t>
  </si>
  <si>
    <t>3gram-no-hash</t>
  </si>
  <si>
    <t>4gram-no-hash</t>
  </si>
  <si>
    <t>xsk2gram-no-hash</t>
  </si>
  <si>
    <t>xsk3gram-no-hash</t>
  </si>
  <si>
    <t>xsk4gram-no-hash</t>
  </si>
  <si>
    <t>2gram-hash-at-both</t>
  </si>
  <si>
    <t>3gram-hash-at-both</t>
  </si>
  <si>
    <t>4gram-hash-at-both</t>
  </si>
  <si>
    <t>xsk2gram-hash-at-both</t>
  </si>
  <si>
    <t>xsk3gram-hash-at-both</t>
  </si>
  <si>
    <t>xsk4gram-hash-at-both</t>
  </si>
  <si>
    <t>Czech</t>
  </si>
  <si>
    <t>plurality</t>
  </si>
  <si>
    <t>RF</t>
  </si>
  <si>
    <t>NN</t>
  </si>
  <si>
    <t>DT</t>
  </si>
  <si>
    <t>gender</t>
  </si>
  <si>
    <t>case</t>
  </si>
  <si>
    <t>max</t>
  </si>
  <si>
    <t>average</t>
  </si>
  <si>
    <t>min</t>
  </si>
  <si>
    <t>stdv</t>
  </si>
  <si>
    <t>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</si>
</sst>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>
    <font>
      <sz val="13"/>
      <color theme="1"/>
      <name val="LucidaSansUnico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4"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865A61-CD3E-0B40-97C6-1E62F08429BE}" name="Table1" displayName="Table1" ref="A1:Q19" totalsRowShown="0">
  <autoFilter ref="A1:Q19" xr:uid="{A4865A61-CD3E-0B40-97C6-1E62F08429BE}"/>
  <sortState xmlns:xlrd2="http://schemas.microsoft.com/office/spreadsheetml/2017/richdata2" ref="A2:Q19">
    <sortCondition ref="B1:B19"/>
  </sortState>
  <tableColumns count="17">
    <tableColumn id="1" xr3:uid="{85B55A3D-BACB-F243-ABCE-68BA49CD14AE}" name="lang"/>
    <tableColumn id="2" xr3:uid="{53CCC027-ABA5-F24A-A1D4-FC928FC24ED6}" name="attribute"/>
    <tableColumn id="3" xr3:uid="{C3897738-4850-EA44-AB82-CFE0E8D3839E}" name="supplement"/>
    <tableColumn id="4" xr3:uid="{E5C91773-7373-2043-B832-D773715FA6A4}" name="method"/>
    <tableColumn id="5" xr3:uid="{24947C97-0410-3345-AC3D-FE9249647C16}" name="2gram-no-hash"/>
    <tableColumn id="6" xr3:uid="{DFD7D6A1-0AA1-7747-A92E-41DA4FA3A551}" name="3gram-no-hash"/>
    <tableColumn id="7" xr3:uid="{6906A3B6-E353-4041-8CDE-B374A4FD0327}" name="4gram-no-hash"/>
    <tableColumn id="8" xr3:uid="{B1645CB1-97D3-6743-B0DA-BEE79B8D6201}" name="xsk2gram-no-hash"/>
    <tableColumn id="9" xr3:uid="{506CB05E-B899-6D42-82C8-E18217F6A697}" name="xsk3gram-no-hash"/>
    <tableColumn id="10" xr3:uid="{CD1FAA8A-7011-9543-B9BE-CC6C7F9AB02A}" name="xsk4gram-no-hash"/>
    <tableColumn id="11" xr3:uid="{15C5573D-49EC-3F4B-BD62-B0079C22DB6F}" name="2gram-hash-at-both"/>
    <tableColumn id="12" xr3:uid="{8858551C-2E8A-2D42-9566-1E4B83FA3E3D}" name="3gram-hash-at-both"/>
    <tableColumn id="13" xr3:uid="{EA518397-24AE-6D49-AB15-5AED9F266307}" name="4gram-hash-at-both"/>
    <tableColumn id="14" xr3:uid="{C9951149-3C93-1841-8B27-911F056E4021}" name="xsk2gram-hash-at-both"/>
    <tableColumn id="15" xr3:uid="{76CED719-2CDA-4845-A3A9-25C7C15D2908}" name="xsk3gram-hash-at-both"/>
    <tableColumn id="16" xr3:uid="{88D2583C-BFB9-DF41-BA90-167D42B962D2}" name="xsk4gram-hash-at-both"/>
    <tableColumn id="17" xr3:uid="{786848A0-CA82-714A-8548-1784C7DA2DBD}" name="max" dataDxfId="13">
      <calculatedColumnFormula>_xlfn.LET(_xlpm.d,$E2:$P2,MAX(_xlpm.d))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692A2A-5DB3-0F40-91C7-9DFBBBDA4492}" name="Table2" displayName="Table2" ref="D22:Q26" totalsRowShown="0">
  <autoFilter ref="D22:Q26" xr:uid="{A1692A2A-5DB3-0F40-91C7-9DFBBBDA4492}"/>
  <tableColumns count="14">
    <tableColumn id="1" xr3:uid="{DABA4D09-1071-C945-9E07-E993CCB8364F}" name="indicator"/>
    <tableColumn id="2" xr3:uid="{746C5331-B196-7047-8F1B-8352E3578643}" name="2gram-no-hash" dataDxfId="12"/>
    <tableColumn id="3" xr3:uid="{D8C700BC-ECB0-1741-AB9C-1E06F266C872}" name="3gram-no-hash" dataDxfId="11"/>
    <tableColumn id="4" xr3:uid="{96BEEDFE-1AD4-094E-B6F5-90E81FE67134}" name="4gram-no-hash" dataDxfId="10"/>
    <tableColumn id="5" xr3:uid="{B8608195-BB3B-814E-A980-FD29A603E603}" name="xsk2gram-no-hash" dataDxfId="9"/>
    <tableColumn id="6" xr3:uid="{B09335EB-EEC9-3B42-B8E6-4CCE965E6989}" name="xsk3gram-no-hash" dataDxfId="8"/>
    <tableColumn id="7" xr3:uid="{12442B15-2009-D847-A4A0-3BA045C795CB}" name="xsk4gram-no-hash" dataDxfId="7"/>
    <tableColumn id="8" xr3:uid="{1DA73E88-E07B-4B47-AF4C-AEBC0F21735F}" name="2gram-hash-at-both" dataDxfId="6"/>
    <tableColumn id="9" xr3:uid="{9EB26FC6-3344-4C48-A618-392F7A34000B}" name="3gram-hash-at-both" dataDxfId="5"/>
    <tableColumn id="10" xr3:uid="{56730A15-92D5-8F45-A0F7-1506E4837BFD}" name="4gram-hash-at-both" dataDxfId="4"/>
    <tableColumn id="11" xr3:uid="{44542953-800F-7E44-9101-8FF9913ABFE3}" name="xsk2gram-hash-at-both" dataDxfId="3"/>
    <tableColumn id="12" xr3:uid="{E7B732C2-FE55-024C-96CB-F8C9DC6C7BDD}" name="xsk3gram-hash-at-both" dataDxfId="2"/>
    <tableColumn id="13" xr3:uid="{A8C8DDEC-C1CE-3B45-B7AE-93F2DFB92F45}" name="xsk4gram-hash-at-both" dataDxfId="1"/>
    <tableColumn id="14" xr3:uid="{54AE08BF-57E7-7A4F-ABF0-F30A0575BD52}" name="max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FC24B-2193-4548-B1EE-600DAFCBA109}">
  <dimension ref="A1:Q26"/>
  <sheetViews>
    <sheetView tabSelected="1" workbookViewId="0">
      <pane xSplit="12480" ySplit="4400" topLeftCell="N18" activePane="bottomRight"/>
      <selection activeCell="E6" sqref="E6"/>
      <selection pane="topRight" activeCell="O4" sqref="O4"/>
      <selection pane="bottomLeft" activeCell="D23" sqref="D23:E26"/>
      <selection pane="bottomRight" activeCell="O16" sqref="O16"/>
    </sheetView>
  </sheetViews>
  <sheetFormatPr baseColWidth="10" defaultRowHeight="27" customHeight="1"/>
  <cols>
    <col min="3" max="3" width="11.875" customWidth="1"/>
    <col min="5" max="16" width="9.125" customWidth="1"/>
    <col min="17" max="17" width="8" customWidth="1"/>
  </cols>
  <sheetData>
    <row r="1" spans="1:17" ht="27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23</v>
      </c>
    </row>
    <row r="2" spans="1:17" ht="27" customHeight="1">
      <c r="A2" t="s">
        <v>16</v>
      </c>
      <c r="B2" t="s">
        <v>22</v>
      </c>
      <c r="C2" t="b">
        <v>0</v>
      </c>
      <c r="D2" t="s">
        <v>18</v>
      </c>
      <c r="E2">
        <v>0.32</v>
      </c>
      <c r="F2">
        <v>0.44</v>
      </c>
      <c r="G2">
        <v>0.39</v>
      </c>
      <c r="H2">
        <v>0.39</v>
      </c>
      <c r="I2">
        <v>0.43</v>
      </c>
      <c r="J2">
        <v>0.38</v>
      </c>
      <c r="K2">
        <v>0.37</v>
      </c>
      <c r="L2">
        <v>0.45</v>
      </c>
      <c r="M2">
        <v>0.42</v>
      </c>
      <c r="N2">
        <v>0.38</v>
      </c>
      <c r="O2">
        <v>0.33</v>
      </c>
      <c r="P2">
        <v>0.5</v>
      </c>
      <c r="Q2">
        <f t="shared" ref="Q2:Q19" si="0">_xlfn.LET(_xlpm.d,$E2:$P2,MAX(_xlpm.d))</f>
        <v>0.5</v>
      </c>
    </row>
    <row r="3" spans="1:17" ht="27" customHeight="1">
      <c r="A3" t="s">
        <v>16</v>
      </c>
      <c r="B3" t="s">
        <v>22</v>
      </c>
      <c r="C3" t="b">
        <v>0</v>
      </c>
      <c r="D3" t="s">
        <v>19</v>
      </c>
      <c r="E3">
        <v>0.36</v>
      </c>
      <c r="F3">
        <v>0.36</v>
      </c>
      <c r="G3">
        <v>0.41</v>
      </c>
      <c r="H3">
        <v>0.42</v>
      </c>
      <c r="I3">
        <v>0.36</v>
      </c>
      <c r="J3">
        <v>0.32</v>
      </c>
      <c r="K3">
        <v>0.32</v>
      </c>
      <c r="L3">
        <v>0.42</v>
      </c>
      <c r="M3">
        <v>0.34</v>
      </c>
      <c r="N3">
        <v>0.34</v>
      </c>
      <c r="O3">
        <v>0.39</v>
      </c>
      <c r="P3">
        <v>0.39</v>
      </c>
      <c r="Q3">
        <f t="shared" si="0"/>
        <v>0.42</v>
      </c>
    </row>
    <row r="4" spans="1:17" ht="27" customHeight="1">
      <c r="A4" t="s">
        <v>16</v>
      </c>
      <c r="B4" t="s">
        <v>22</v>
      </c>
      <c r="C4" t="b">
        <v>0</v>
      </c>
      <c r="D4" t="s">
        <v>20</v>
      </c>
      <c r="E4">
        <v>0.35</v>
      </c>
      <c r="F4">
        <v>0.39</v>
      </c>
      <c r="G4">
        <v>0.39</v>
      </c>
      <c r="H4">
        <v>0.34</v>
      </c>
      <c r="I4">
        <v>0.28999999999999998</v>
      </c>
      <c r="J4">
        <v>0.33</v>
      </c>
      <c r="K4">
        <v>0.38</v>
      </c>
      <c r="L4">
        <v>0.38</v>
      </c>
      <c r="M4">
        <v>0.38</v>
      </c>
      <c r="N4">
        <v>0.34</v>
      </c>
      <c r="O4">
        <v>0.27</v>
      </c>
      <c r="P4">
        <v>0.44</v>
      </c>
      <c r="Q4">
        <f t="shared" si="0"/>
        <v>0.44</v>
      </c>
    </row>
    <row r="5" spans="1:17" ht="27" customHeight="1">
      <c r="A5" t="s">
        <v>16</v>
      </c>
      <c r="B5" t="s">
        <v>22</v>
      </c>
      <c r="C5" t="b">
        <v>1</v>
      </c>
      <c r="D5" t="s">
        <v>18</v>
      </c>
      <c r="E5">
        <v>0.44</v>
      </c>
      <c r="F5">
        <v>0.54</v>
      </c>
      <c r="G5">
        <v>0.56000000000000005</v>
      </c>
      <c r="H5">
        <v>0.46</v>
      </c>
      <c r="I5">
        <v>0.44</v>
      </c>
      <c r="J5">
        <v>0.42</v>
      </c>
      <c r="K5">
        <v>0.44</v>
      </c>
      <c r="L5">
        <v>0.56000000000000005</v>
      </c>
      <c r="M5">
        <v>0.54</v>
      </c>
      <c r="N5">
        <v>0.49</v>
      </c>
      <c r="O5">
        <v>0.31</v>
      </c>
      <c r="P5">
        <v>0.56999999999999995</v>
      </c>
      <c r="Q5">
        <f t="shared" si="0"/>
        <v>0.56999999999999995</v>
      </c>
    </row>
    <row r="6" spans="1:17" ht="27" customHeight="1">
      <c r="A6" t="s">
        <v>16</v>
      </c>
      <c r="B6" t="s">
        <v>22</v>
      </c>
      <c r="C6" t="b">
        <v>1</v>
      </c>
      <c r="D6" t="s">
        <v>19</v>
      </c>
      <c r="E6">
        <v>0.41</v>
      </c>
      <c r="F6">
        <v>0.44</v>
      </c>
      <c r="G6">
        <v>0.44</v>
      </c>
      <c r="H6">
        <v>0.32</v>
      </c>
      <c r="I6">
        <v>0.32</v>
      </c>
      <c r="J6">
        <v>0.34</v>
      </c>
      <c r="K6">
        <v>0.36</v>
      </c>
      <c r="L6">
        <v>0.35</v>
      </c>
      <c r="M6">
        <v>0.39</v>
      </c>
      <c r="N6">
        <v>0.33</v>
      </c>
      <c r="O6">
        <v>0.31</v>
      </c>
      <c r="P6">
        <v>0.4</v>
      </c>
      <c r="Q6">
        <f t="shared" si="0"/>
        <v>0.44</v>
      </c>
    </row>
    <row r="7" spans="1:17" ht="27" customHeight="1">
      <c r="A7" t="s">
        <v>16</v>
      </c>
      <c r="B7" t="s">
        <v>22</v>
      </c>
      <c r="C7" t="b">
        <v>1</v>
      </c>
      <c r="D7" t="s">
        <v>20</v>
      </c>
      <c r="E7">
        <v>0.47</v>
      </c>
      <c r="F7">
        <v>0.45</v>
      </c>
      <c r="G7">
        <v>0.46</v>
      </c>
      <c r="H7">
        <v>0.42</v>
      </c>
      <c r="I7">
        <v>0.28000000000000003</v>
      </c>
      <c r="J7">
        <v>0.36</v>
      </c>
      <c r="K7">
        <v>0.43</v>
      </c>
      <c r="L7">
        <v>0.5</v>
      </c>
      <c r="M7">
        <v>0.51</v>
      </c>
      <c r="N7">
        <v>0.34</v>
      </c>
      <c r="O7">
        <v>0.31</v>
      </c>
      <c r="P7">
        <v>0.36</v>
      </c>
      <c r="Q7">
        <f t="shared" si="0"/>
        <v>0.51</v>
      </c>
    </row>
    <row r="8" spans="1:17" ht="27" customHeight="1">
      <c r="A8" t="s">
        <v>16</v>
      </c>
      <c r="B8" t="s">
        <v>21</v>
      </c>
      <c r="C8" t="b">
        <v>0</v>
      </c>
      <c r="D8" t="s">
        <v>18</v>
      </c>
      <c r="E8">
        <v>0.56999999999999995</v>
      </c>
      <c r="F8">
        <v>0.52</v>
      </c>
      <c r="G8">
        <v>0.59</v>
      </c>
      <c r="H8">
        <v>0.63</v>
      </c>
      <c r="I8">
        <v>0.53</v>
      </c>
      <c r="J8">
        <v>0.6</v>
      </c>
      <c r="K8">
        <v>0.63</v>
      </c>
      <c r="L8">
        <v>0.56000000000000005</v>
      </c>
      <c r="M8">
        <v>0.57999999999999996</v>
      </c>
      <c r="N8">
        <v>0.53</v>
      </c>
      <c r="O8">
        <v>0.6</v>
      </c>
      <c r="P8">
        <v>0.56999999999999995</v>
      </c>
      <c r="Q8">
        <f t="shared" si="0"/>
        <v>0.63</v>
      </c>
    </row>
    <row r="9" spans="1:17" ht="27" customHeight="1">
      <c r="A9" t="s">
        <v>16</v>
      </c>
      <c r="B9" t="s">
        <v>21</v>
      </c>
      <c r="C9" t="b">
        <v>0</v>
      </c>
      <c r="D9" t="s">
        <v>19</v>
      </c>
      <c r="E9">
        <v>0.51</v>
      </c>
      <c r="F9">
        <v>0.6</v>
      </c>
      <c r="G9">
        <v>0.43</v>
      </c>
      <c r="H9">
        <v>0.62</v>
      </c>
      <c r="I9">
        <v>0.6</v>
      </c>
      <c r="J9">
        <v>0.59</v>
      </c>
      <c r="K9">
        <v>0.56999999999999995</v>
      </c>
      <c r="L9">
        <v>0.55000000000000004</v>
      </c>
      <c r="M9">
        <v>0.61</v>
      </c>
      <c r="N9">
        <v>0.56999999999999995</v>
      </c>
      <c r="O9">
        <v>0.62</v>
      </c>
      <c r="P9">
        <v>0.61</v>
      </c>
      <c r="Q9">
        <f t="shared" si="0"/>
        <v>0.62</v>
      </c>
    </row>
    <row r="10" spans="1:17" ht="27" customHeight="1">
      <c r="A10" t="s">
        <v>16</v>
      </c>
      <c r="B10" t="s">
        <v>21</v>
      </c>
      <c r="C10" t="b">
        <v>0</v>
      </c>
      <c r="D10" t="s">
        <v>20</v>
      </c>
      <c r="E10">
        <v>0.45</v>
      </c>
      <c r="F10">
        <v>0.43</v>
      </c>
      <c r="G10">
        <v>0.48</v>
      </c>
      <c r="H10">
        <v>0.49</v>
      </c>
      <c r="I10">
        <v>0.42</v>
      </c>
      <c r="J10">
        <v>0.4</v>
      </c>
      <c r="K10">
        <v>0.5</v>
      </c>
      <c r="L10">
        <v>0.45</v>
      </c>
      <c r="M10">
        <v>0.54</v>
      </c>
      <c r="N10">
        <v>0.39</v>
      </c>
      <c r="O10">
        <v>0.43</v>
      </c>
      <c r="P10">
        <v>0.49</v>
      </c>
      <c r="Q10">
        <f t="shared" si="0"/>
        <v>0.54</v>
      </c>
    </row>
    <row r="11" spans="1:17" ht="27" customHeight="1">
      <c r="A11" t="s">
        <v>16</v>
      </c>
      <c r="B11" t="s">
        <v>21</v>
      </c>
      <c r="C11" t="b">
        <v>1</v>
      </c>
      <c r="D11" t="s">
        <v>18</v>
      </c>
      <c r="E11">
        <v>0.56000000000000005</v>
      </c>
      <c r="F11">
        <v>0.55000000000000004</v>
      </c>
      <c r="G11">
        <v>0.56000000000000005</v>
      </c>
      <c r="H11">
        <v>0.67</v>
      </c>
      <c r="I11">
        <v>0.56000000000000005</v>
      </c>
      <c r="J11">
        <v>0.61</v>
      </c>
      <c r="K11">
        <v>0.66</v>
      </c>
      <c r="L11">
        <v>0.56999999999999995</v>
      </c>
      <c r="M11">
        <v>0.62</v>
      </c>
      <c r="N11">
        <v>0.56999999999999995</v>
      </c>
      <c r="O11">
        <v>0.56000000000000005</v>
      </c>
      <c r="P11">
        <v>0.6</v>
      </c>
      <c r="Q11">
        <f t="shared" si="0"/>
        <v>0.67</v>
      </c>
    </row>
    <row r="12" spans="1:17" ht="27" customHeight="1">
      <c r="A12" t="s">
        <v>16</v>
      </c>
      <c r="B12" t="s">
        <v>21</v>
      </c>
      <c r="C12" t="b">
        <v>1</v>
      </c>
      <c r="D12" t="s">
        <v>19</v>
      </c>
      <c r="E12">
        <v>0.57999999999999996</v>
      </c>
      <c r="F12">
        <v>0.56000000000000005</v>
      </c>
      <c r="G12">
        <v>0.51</v>
      </c>
      <c r="H12">
        <v>0.62</v>
      </c>
      <c r="I12">
        <v>0.65</v>
      </c>
      <c r="J12">
        <v>0.56999999999999995</v>
      </c>
      <c r="K12">
        <v>0.6</v>
      </c>
      <c r="L12">
        <v>0.53</v>
      </c>
      <c r="M12">
        <v>0.57999999999999996</v>
      </c>
      <c r="N12">
        <v>0.62</v>
      </c>
      <c r="O12">
        <v>0.6</v>
      </c>
      <c r="P12">
        <v>0.56000000000000005</v>
      </c>
      <c r="Q12">
        <f t="shared" si="0"/>
        <v>0.65</v>
      </c>
    </row>
    <row r="13" spans="1:17" ht="27" customHeight="1">
      <c r="A13" t="s">
        <v>16</v>
      </c>
      <c r="B13" t="s">
        <v>21</v>
      </c>
      <c r="C13" t="b">
        <v>1</v>
      </c>
      <c r="D13" t="s">
        <v>20</v>
      </c>
      <c r="E13">
        <v>0.42</v>
      </c>
      <c r="F13">
        <v>0.49</v>
      </c>
      <c r="G13">
        <v>0.4</v>
      </c>
      <c r="H13">
        <v>0.44</v>
      </c>
      <c r="I13">
        <v>0.55000000000000004</v>
      </c>
      <c r="J13">
        <v>0.47</v>
      </c>
      <c r="K13">
        <v>0.54</v>
      </c>
      <c r="L13">
        <v>0.52</v>
      </c>
      <c r="M13">
        <v>0.56000000000000005</v>
      </c>
      <c r="N13">
        <v>0.44</v>
      </c>
      <c r="O13">
        <v>0.38</v>
      </c>
      <c r="P13">
        <v>0.42</v>
      </c>
      <c r="Q13">
        <f t="shared" si="0"/>
        <v>0.56000000000000005</v>
      </c>
    </row>
    <row r="14" spans="1:17" ht="27" customHeight="1">
      <c r="A14" t="s">
        <v>16</v>
      </c>
      <c r="B14" t="s">
        <v>17</v>
      </c>
      <c r="C14" t="b">
        <v>0</v>
      </c>
      <c r="D14" t="s">
        <v>18</v>
      </c>
      <c r="E14">
        <v>0.86</v>
      </c>
      <c r="F14">
        <v>0.88</v>
      </c>
      <c r="G14">
        <v>0.78</v>
      </c>
      <c r="H14">
        <v>0.8</v>
      </c>
      <c r="I14">
        <v>0.84</v>
      </c>
      <c r="J14">
        <v>0.84</v>
      </c>
      <c r="K14">
        <v>0.8</v>
      </c>
      <c r="L14">
        <v>0.82</v>
      </c>
      <c r="M14">
        <v>0.74</v>
      </c>
      <c r="N14">
        <v>0.88</v>
      </c>
      <c r="O14">
        <v>0.84</v>
      </c>
      <c r="P14">
        <v>0.81</v>
      </c>
      <c r="Q14">
        <f t="shared" si="0"/>
        <v>0.88</v>
      </c>
    </row>
    <row r="15" spans="1:17" ht="27" customHeight="1">
      <c r="A15" t="s">
        <v>16</v>
      </c>
      <c r="B15" t="s">
        <v>17</v>
      </c>
      <c r="C15" t="b">
        <v>0</v>
      </c>
      <c r="D15" t="s">
        <v>19</v>
      </c>
      <c r="E15">
        <v>0.76</v>
      </c>
      <c r="F15">
        <v>0.84</v>
      </c>
      <c r="G15">
        <v>0.72</v>
      </c>
      <c r="H15">
        <v>0.82</v>
      </c>
      <c r="I15">
        <v>0.78</v>
      </c>
      <c r="J15">
        <v>0.83</v>
      </c>
      <c r="K15">
        <v>0.73</v>
      </c>
      <c r="L15">
        <v>0.72</v>
      </c>
      <c r="M15">
        <v>0.73</v>
      </c>
      <c r="N15">
        <v>0.77</v>
      </c>
      <c r="O15">
        <v>0.88</v>
      </c>
      <c r="P15">
        <v>0.78</v>
      </c>
      <c r="Q15">
        <f t="shared" si="0"/>
        <v>0.88</v>
      </c>
    </row>
    <row r="16" spans="1:17" ht="27" customHeight="1">
      <c r="A16" t="s">
        <v>16</v>
      </c>
      <c r="B16" t="s">
        <v>17</v>
      </c>
      <c r="C16" t="b">
        <v>0</v>
      </c>
      <c r="D16" t="s">
        <v>20</v>
      </c>
      <c r="E16">
        <v>0.82</v>
      </c>
      <c r="F16">
        <v>0.82</v>
      </c>
      <c r="G16">
        <v>0.78</v>
      </c>
      <c r="H16">
        <v>0.75</v>
      </c>
      <c r="I16">
        <v>0.87</v>
      </c>
      <c r="J16">
        <v>0.78</v>
      </c>
      <c r="K16">
        <v>0.82</v>
      </c>
      <c r="L16">
        <v>0.84</v>
      </c>
      <c r="M16">
        <v>0.79</v>
      </c>
      <c r="N16">
        <v>0.82</v>
      </c>
      <c r="O16">
        <v>0.8</v>
      </c>
      <c r="P16">
        <v>0.79</v>
      </c>
      <c r="Q16">
        <f t="shared" si="0"/>
        <v>0.87</v>
      </c>
    </row>
    <row r="17" spans="1:17" ht="27" customHeight="1">
      <c r="A17" t="s">
        <v>16</v>
      </c>
      <c r="B17" t="s">
        <v>17</v>
      </c>
      <c r="C17" t="b">
        <v>1</v>
      </c>
      <c r="D17" t="s">
        <v>18</v>
      </c>
      <c r="E17">
        <v>0.89</v>
      </c>
      <c r="F17">
        <v>0.92</v>
      </c>
      <c r="G17">
        <v>0.88</v>
      </c>
      <c r="H17">
        <v>0.8</v>
      </c>
      <c r="I17">
        <v>0.85</v>
      </c>
      <c r="J17">
        <v>0.85</v>
      </c>
      <c r="K17">
        <v>0.86</v>
      </c>
      <c r="L17">
        <v>0.9</v>
      </c>
      <c r="M17">
        <v>0.87</v>
      </c>
      <c r="N17">
        <v>0.88</v>
      </c>
      <c r="O17">
        <v>0.85</v>
      </c>
      <c r="P17">
        <v>0.78</v>
      </c>
      <c r="Q17">
        <f t="shared" si="0"/>
        <v>0.92</v>
      </c>
    </row>
    <row r="18" spans="1:17" ht="27" customHeight="1">
      <c r="A18" t="s">
        <v>16</v>
      </c>
      <c r="B18" t="s">
        <v>17</v>
      </c>
      <c r="C18" t="b">
        <v>1</v>
      </c>
      <c r="D18" t="s">
        <v>19</v>
      </c>
      <c r="E18">
        <v>0.87</v>
      </c>
      <c r="F18">
        <v>0.82</v>
      </c>
      <c r="G18">
        <v>0.74</v>
      </c>
      <c r="H18">
        <v>0.81</v>
      </c>
      <c r="I18">
        <v>0.82</v>
      </c>
      <c r="J18">
        <v>0.81</v>
      </c>
      <c r="K18">
        <v>0.81</v>
      </c>
      <c r="L18">
        <v>0.73</v>
      </c>
      <c r="M18">
        <v>0.78</v>
      </c>
      <c r="N18">
        <v>0.83</v>
      </c>
      <c r="O18">
        <v>0.87</v>
      </c>
      <c r="P18">
        <v>0.77</v>
      </c>
      <c r="Q18">
        <f t="shared" si="0"/>
        <v>0.87</v>
      </c>
    </row>
    <row r="19" spans="1:17" ht="27" customHeight="1">
      <c r="A19" t="s">
        <v>16</v>
      </c>
      <c r="B19" t="s">
        <v>17</v>
      </c>
      <c r="C19" t="b">
        <v>1</v>
      </c>
      <c r="D19" t="s">
        <v>20</v>
      </c>
      <c r="E19">
        <v>0.89</v>
      </c>
      <c r="F19">
        <v>0.85</v>
      </c>
      <c r="G19">
        <v>0.79</v>
      </c>
      <c r="H19">
        <v>0.82</v>
      </c>
      <c r="I19">
        <v>0.86</v>
      </c>
      <c r="J19">
        <v>0.75</v>
      </c>
      <c r="K19">
        <v>0.86</v>
      </c>
      <c r="L19">
        <v>0.85</v>
      </c>
      <c r="M19">
        <v>0.83</v>
      </c>
      <c r="N19">
        <v>0.83</v>
      </c>
      <c r="O19">
        <v>0.82</v>
      </c>
      <c r="P19">
        <v>0.74</v>
      </c>
      <c r="Q19">
        <f t="shared" si="0"/>
        <v>0.89</v>
      </c>
    </row>
    <row r="22" spans="1:17" ht="27" customHeight="1">
      <c r="D22" t="s">
        <v>27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13</v>
      </c>
      <c r="O22" t="s">
        <v>14</v>
      </c>
      <c r="P22" t="s">
        <v>15</v>
      </c>
      <c r="Q22" t="s">
        <v>23</v>
      </c>
    </row>
    <row r="23" spans="1:17" ht="27" customHeight="1">
      <c r="D23" t="s">
        <v>24</v>
      </c>
      <c r="E23" s="1">
        <f>_xlfn.LET(_xlpm.d,E$2:E$19,AVERAGE(_xlpm.d))</f>
        <v>0.58499999999999996</v>
      </c>
      <c r="F23" s="1">
        <f t="shared" ref="F23:Q23" si="1">_xlfn.LET(_xlpm.d,F$2:F$19,AVERAGE(_xlpm.d))</f>
        <v>0.60555555555555551</v>
      </c>
      <c r="G23" s="1">
        <f t="shared" si="1"/>
        <v>0.57277777777777794</v>
      </c>
      <c r="H23" s="1">
        <f t="shared" si="1"/>
        <v>0.59000000000000019</v>
      </c>
      <c r="I23" s="1">
        <f t="shared" si="1"/>
        <v>0.5805555555555556</v>
      </c>
      <c r="J23" s="1">
        <f t="shared" si="1"/>
        <v>0.56944444444444442</v>
      </c>
      <c r="K23" s="1">
        <f t="shared" si="1"/>
        <v>0.59333333333333327</v>
      </c>
      <c r="L23" s="1">
        <f t="shared" si="1"/>
        <v>0.59444444444444455</v>
      </c>
      <c r="M23" s="1">
        <f t="shared" si="1"/>
        <v>0.60055555555555562</v>
      </c>
      <c r="N23" s="1">
        <f t="shared" si="1"/>
        <v>0.57500000000000007</v>
      </c>
      <c r="O23" s="1">
        <f t="shared" si="1"/>
        <v>0.56499999999999995</v>
      </c>
      <c r="P23" s="1">
        <f t="shared" si="1"/>
        <v>0.58777777777777773</v>
      </c>
      <c r="Q23" s="1">
        <f t="shared" si="1"/>
        <v>0.65888888888888886</v>
      </c>
    </row>
    <row r="24" spans="1:17" ht="27" customHeight="1">
      <c r="D24" t="s">
        <v>23</v>
      </c>
      <c r="E24" s="1">
        <f>_xlfn.LET(_xlpm.d,E$2:E$19,MAX(_xlpm.d))</f>
        <v>0.89</v>
      </c>
      <c r="F24" s="1">
        <f t="shared" ref="F24:Q24" si="2">_xlfn.LET(_xlpm.d,F$2:F$19,MAX(_xlpm.d))</f>
        <v>0.92</v>
      </c>
      <c r="G24" s="1">
        <f t="shared" si="2"/>
        <v>0.88</v>
      </c>
      <c r="H24" s="1">
        <f t="shared" si="2"/>
        <v>0.82</v>
      </c>
      <c r="I24" s="1">
        <f t="shared" si="2"/>
        <v>0.87</v>
      </c>
      <c r="J24" s="1">
        <f t="shared" si="2"/>
        <v>0.85</v>
      </c>
      <c r="K24" s="1">
        <f t="shared" si="2"/>
        <v>0.86</v>
      </c>
      <c r="L24" s="1">
        <f t="shared" si="2"/>
        <v>0.9</v>
      </c>
      <c r="M24" s="1">
        <f t="shared" si="2"/>
        <v>0.87</v>
      </c>
      <c r="N24" s="1">
        <f t="shared" si="2"/>
        <v>0.88</v>
      </c>
      <c r="O24" s="1">
        <f t="shared" si="2"/>
        <v>0.88</v>
      </c>
      <c r="P24" s="1">
        <f t="shared" si="2"/>
        <v>0.81</v>
      </c>
      <c r="Q24" s="1">
        <f t="shared" si="2"/>
        <v>0.92</v>
      </c>
    </row>
    <row r="25" spans="1:17" ht="27" customHeight="1">
      <c r="D25" t="s">
        <v>25</v>
      </c>
      <c r="E25" s="1">
        <f>_xlfn.LET(_xlpm.d,E$2:E$19,MIN(_xlpm.d))</f>
        <v>0.32</v>
      </c>
      <c r="F25" s="1">
        <f t="shared" ref="F25:Q25" si="3">_xlfn.LET(_xlpm.d,F$2:F$19,MIN(_xlpm.d))</f>
        <v>0.36</v>
      </c>
      <c r="G25" s="1">
        <f t="shared" si="3"/>
        <v>0.39</v>
      </c>
      <c r="H25" s="1">
        <f t="shared" si="3"/>
        <v>0.32</v>
      </c>
      <c r="I25" s="1">
        <f t="shared" si="3"/>
        <v>0.28000000000000003</v>
      </c>
      <c r="J25" s="1">
        <f t="shared" si="3"/>
        <v>0.32</v>
      </c>
      <c r="K25" s="1">
        <f t="shared" si="3"/>
        <v>0.32</v>
      </c>
      <c r="L25" s="1">
        <f t="shared" si="3"/>
        <v>0.35</v>
      </c>
      <c r="M25" s="1">
        <f t="shared" si="3"/>
        <v>0.34</v>
      </c>
      <c r="N25" s="1">
        <f t="shared" si="3"/>
        <v>0.33</v>
      </c>
      <c r="O25" s="1">
        <f t="shared" si="3"/>
        <v>0.27</v>
      </c>
      <c r="P25" s="1">
        <f t="shared" si="3"/>
        <v>0.36</v>
      </c>
      <c r="Q25" s="1">
        <f t="shared" si="3"/>
        <v>0.42</v>
      </c>
    </row>
    <row r="26" spans="1:17" ht="27" customHeight="1">
      <c r="D26" t="s">
        <v>26</v>
      </c>
      <c r="E26" s="1">
        <f>_xlfn.LET(_xlpm.d,E$2:E$19,STDEV(_xlpm.d))</f>
        <v>0.20603397778036506</v>
      </c>
      <c r="F26" s="1">
        <f t="shared" ref="F26:Q26" si="4">_xlfn.LET(_xlpm.d,F$2:F$19,STDEV(_xlpm.d))</f>
        <v>0.19214645830175617</v>
      </c>
      <c r="G26" s="1">
        <f t="shared" si="4"/>
        <v>0.16523799433314887</v>
      </c>
      <c r="H26" s="1">
        <f t="shared" si="4"/>
        <v>0.18156185139602635</v>
      </c>
      <c r="I26" s="1">
        <f t="shared" si="4"/>
        <v>0.21247760358716331</v>
      </c>
      <c r="J26" s="1">
        <f t="shared" si="4"/>
        <v>0.19859720459564043</v>
      </c>
      <c r="K26" s="1">
        <f t="shared" si="4"/>
        <v>0.18701997376813911</v>
      </c>
      <c r="L26" s="1">
        <f t="shared" si="4"/>
        <v>0.17242977162830841</v>
      </c>
      <c r="M26" s="1">
        <f t="shared" si="4"/>
        <v>0.16115291321570485</v>
      </c>
      <c r="N26" s="1">
        <f t="shared" si="4"/>
        <v>0.20886950612340516</v>
      </c>
      <c r="O26" s="1">
        <f t="shared" si="4"/>
        <v>0.22948151277582765</v>
      </c>
      <c r="P26" s="1">
        <f t="shared" si="4"/>
        <v>0.15645166724265583</v>
      </c>
      <c r="Q26" s="1">
        <f t="shared" si="4"/>
        <v>0.17875019996332348</v>
      </c>
    </row>
  </sheetData>
  <conditionalFormatting sqref="E2:Q19">
    <cfRule type="colorScale" priority="2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E23:Q25">
    <cfRule type="colorScale" priority="1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ml2.5-Czech-sample1200-xsk-m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Kuroda, Kow</dc:creator>
  <cp:keywords/>
  <dc:description/>
  <cp:lastModifiedBy>Kuroda, Kow</cp:lastModifiedBy>
  <dcterms:created xsi:type="dcterms:W3CDTF">2025-02-18T05:54:07Z</dcterms:created>
  <dcterms:modified xsi:type="dcterms:W3CDTF">2025-02-18T06:30:15Z</dcterms:modified>
  <cp:category/>
</cp:coreProperties>
</file>