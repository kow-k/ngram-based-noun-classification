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-Morfessor/ml2.5/1.2k/"/>
    </mc:Choice>
  </mc:AlternateContent>
  <xr:revisionPtr revIDLastSave="0" documentId="8_{22486E67-786A-AF45-A811-37B4FF88CDE9}" xr6:coauthVersionLast="47" xr6:coauthVersionMax="47" xr10:uidLastSave="{00000000-0000-0000-0000-000000000000}"/>
  <bookViews>
    <workbookView xWindow="9040" yWindow="2000" windowWidth="27760" windowHeight="16940" xr2:uid="{52091180-2F31-5D4B-93A0-42E1677DCE1D}"/>
  </bookViews>
  <sheets>
    <sheet name="ml2.5-German-sample1200-xsk-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P26" i="1"/>
  <c r="O26" i="1"/>
  <c r="N26" i="1"/>
  <c r="M26" i="1"/>
  <c r="L26" i="1"/>
  <c r="K26" i="1"/>
  <c r="J26" i="1"/>
  <c r="I26" i="1"/>
  <c r="H26" i="1"/>
  <c r="G26" i="1"/>
  <c r="F26" i="1"/>
  <c r="P25" i="1"/>
  <c r="O25" i="1"/>
  <c r="N25" i="1"/>
  <c r="M25" i="1"/>
  <c r="L25" i="1"/>
  <c r="K25" i="1"/>
  <c r="J25" i="1"/>
  <c r="I25" i="1"/>
  <c r="H25" i="1"/>
  <c r="G25" i="1"/>
  <c r="F25" i="1"/>
  <c r="P24" i="1"/>
  <c r="O24" i="1"/>
  <c r="N24" i="1"/>
  <c r="M24" i="1"/>
  <c r="L24" i="1"/>
  <c r="K24" i="1"/>
  <c r="J24" i="1"/>
  <c r="I24" i="1"/>
  <c r="H24" i="1"/>
  <c r="G24" i="1"/>
  <c r="F24" i="1"/>
  <c r="P23" i="1"/>
  <c r="O23" i="1"/>
  <c r="N23" i="1"/>
  <c r="M23" i="1"/>
  <c r="L23" i="1"/>
  <c r="K23" i="1"/>
  <c r="J23" i="1"/>
  <c r="I23" i="1"/>
  <c r="H23" i="1"/>
  <c r="G23" i="1"/>
  <c r="F23" i="1"/>
  <c r="Q14" i="1"/>
  <c r="Q15" i="1"/>
  <c r="Q16" i="1"/>
  <c r="Q17" i="1"/>
  <c r="Q18" i="1"/>
  <c r="Q19" i="1"/>
  <c r="Q8" i="1"/>
  <c r="Q9" i="1"/>
  <c r="Q10" i="1"/>
  <c r="Q11" i="1"/>
  <c r="Q12" i="1"/>
  <c r="Q13" i="1"/>
  <c r="Q2" i="1"/>
  <c r="Q3" i="1"/>
  <c r="Q4" i="1"/>
  <c r="Q5" i="1"/>
  <c r="Q6" i="1"/>
  <c r="Q7" i="1"/>
  <c r="E26" i="1"/>
  <c r="E25" i="1"/>
  <c r="E24" i="1"/>
  <c r="Q26" i="1" l="1"/>
  <c r="Q23" i="1"/>
  <c r="Q25" i="1"/>
  <c r="Q24" i="1"/>
</calcChain>
</file>

<file path=xl/sharedStrings.xml><?xml version="1.0" encoding="utf-8"?>
<sst xmlns="http://schemas.openxmlformats.org/spreadsheetml/2006/main" count="89" uniqueCount="40">
  <si>
    <t>lang</t>
  </si>
  <si>
    <t>attribute</t>
  </si>
  <si>
    <t>supplement</t>
  </si>
  <si>
    <t>method</t>
  </si>
  <si>
    <t>2gram-no-hash</t>
  </si>
  <si>
    <t>3gram-no-hash</t>
  </si>
  <si>
    <t>4gram-no-hash</t>
  </si>
  <si>
    <t>xsk2gram-no-hash</t>
  </si>
  <si>
    <t>xsk3gram-no-hash</t>
  </si>
  <si>
    <t>xsk4gram-no-hash</t>
  </si>
  <si>
    <t>2gram-hash-at-both</t>
  </si>
  <si>
    <t>3gram-hash-at-both</t>
  </si>
  <si>
    <t>4gram-hash-at-both</t>
  </si>
  <si>
    <t>xsk2gram-hash-at-both</t>
  </si>
  <si>
    <t>xsk3gram-hash-at-both</t>
  </si>
  <si>
    <t>xsk4gram-hash-at-both</t>
  </si>
  <si>
    <t>German</t>
  </si>
  <si>
    <t>plurality</t>
  </si>
  <si>
    <t>RF</t>
  </si>
  <si>
    <t>NN</t>
  </si>
  <si>
    <t>DT</t>
  </si>
  <si>
    <t>gender</t>
  </si>
  <si>
    <t>case</t>
  </si>
  <si>
    <t>max</t>
  </si>
  <si>
    <t>indicator</t>
  </si>
  <si>
    <t>average</t>
  </si>
  <si>
    <t>min</t>
  </si>
  <si>
    <t>stdv</t>
  </si>
  <si>
    <t>2gram-no-hash2</t>
  </si>
  <si>
    <t>2gram-no-hash3</t>
  </si>
  <si>
    <t>2gram-no-hash4</t>
  </si>
  <si>
    <t>2gram-no-hash5</t>
  </si>
  <si>
    <t>2gram-no-hash6</t>
  </si>
  <si>
    <t>2gram-no-hash7</t>
  </si>
  <si>
    <t>2gram-no-hash8</t>
  </si>
  <si>
    <t>2gram-no-hash9</t>
  </si>
  <si>
    <t>2gram-no-hash10</t>
  </si>
  <si>
    <t>2gram-no-hash11</t>
  </si>
  <si>
    <t>2gram-no-hash12</t>
  </si>
  <si>
    <t>2gram-no-hash13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</si>
</sst>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3"/>
      <color theme="1"/>
      <name val="LucidaSansUni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4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2DA2BD-7E86-014A-BB88-D2539E3E8CC4}" name="Table1" displayName="Table1" ref="A1:Q19" totalsRowShown="0">
  <autoFilter ref="A1:Q19" xr:uid="{E62DA2BD-7E86-014A-BB88-D2539E3E8CC4}"/>
  <sortState xmlns:xlrd2="http://schemas.microsoft.com/office/spreadsheetml/2017/richdata2" ref="A2:Q19">
    <sortCondition ref="B1:B19"/>
  </sortState>
  <tableColumns count="17">
    <tableColumn id="1" xr3:uid="{2F44D89D-0C00-8447-ADF4-5173B5764C4B}" name="lang"/>
    <tableColumn id="2" xr3:uid="{259B9038-E643-3240-B699-D7DCF058FB36}" name="attribute"/>
    <tableColumn id="3" xr3:uid="{AB721467-8C5E-524E-8ABC-0A067DE002B8}" name="supplement"/>
    <tableColumn id="4" xr3:uid="{1836D6E0-B8A5-FC44-B2E3-6C5CB489617C}" name="method"/>
    <tableColumn id="5" xr3:uid="{99CEA605-CC7B-D04A-B6E6-7CE315B1F1B4}" name="2gram-no-hash"/>
    <tableColumn id="6" xr3:uid="{532E6298-DCF6-BC4E-848B-2864B36D6E94}" name="3gram-no-hash"/>
    <tableColumn id="7" xr3:uid="{360A38D1-B862-9342-86A2-0C184B36F614}" name="4gram-no-hash"/>
    <tableColumn id="8" xr3:uid="{AE56C2CF-4E94-DA4B-9A1E-768150DF615B}" name="xsk2gram-no-hash"/>
    <tableColumn id="9" xr3:uid="{32ABEBE7-27CE-2A4B-9440-83B07181A9E3}" name="xsk3gram-no-hash"/>
    <tableColumn id="10" xr3:uid="{5ED08554-6210-CF41-8550-F6871332A219}" name="xsk4gram-no-hash"/>
    <tableColumn id="11" xr3:uid="{5624A820-B8E3-154F-BCB9-86CA677E1935}" name="2gram-hash-at-both"/>
    <tableColumn id="12" xr3:uid="{C7DD4A0E-DCAA-4B48-8EF3-AD5EEFFA99AE}" name="3gram-hash-at-both"/>
    <tableColumn id="13" xr3:uid="{D2D78535-37FF-C648-B33E-E7934034CB15}" name="4gram-hash-at-both"/>
    <tableColumn id="14" xr3:uid="{96D6EBC8-0FE0-3B40-BE83-415584DB69D8}" name="xsk2gram-hash-at-both"/>
    <tableColumn id="15" xr3:uid="{E06C5664-AE89-6C41-B14C-BE01C7ED7BDB}" name="xsk3gram-hash-at-both"/>
    <tableColumn id="16" xr3:uid="{7CA03B37-75A6-C24A-BCBD-CDE6DD1B4127}" name="xsk4gram-hash-at-both"/>
    <tableColumn id="17" xr3:uid="{507BC575-B55C-0945-96BD-771A71D64B73}" name="max" dataDxfId="13">
      <calculatedColumnFormula>_xlfn.LET(_xlpm.d,$E2:$P2,MAX(_xlpm.d))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7BAC64-50E7-D14F-9854-9376909903D2}" name="Table2" displayName="Table2" ref="D22:Q26" totalsRowShown="0">
  <autoFilter ref="D22:Q26" xr:uid="{317BAC64-50E7-D14F-9854-9376909903D2}"/>
  <tableColumns count="14">
    <tableColumn id="1" xr3:uid="{EA2A267A-C046-8243-9D00-2CA6A5D96AC7}" name="indicator"/>
    <tableColumn id="2" xr3:uid="{AA49C9A2-92AF-D24F-95C0-8E62A277850B}" name="2gram-no-hash" dataDxfId="12"/>
    <tableColumn id="3" xr3:uid="{C8E6B792-1EDB-AA4D-8025-F83CF77FE679}" name="2gram-no-hash2" dataDxfId="11"/>
    <tableColumn id="4" xr3:uid="{AAC4242F-4999-E34E-85F8-5D2FE4C9CE26}" name="2gram-no-hash3" dataDxfId="10"/>
    <tableColumn id="5" xr3:uid="{BCC9E8DF-DB00-414B-85BC-6AF2B8649B97}" name="2gram-no-hash4" dataDxfId="9"/>
    <tableColumn id="6" xr3:uid="{3C723149-6140-2E4A-9DD6-2D4330E61431}" name="2gram-no-hash5" dataDxfId="8"/>
    <tableColumn id="7" xr3:uid="{B88064A1-62BC-3F48-A457-2ECD17A5EF40}" name="2gram-no-hash6" dataDxfId="7"/>
    <tableColumn id="8" xr3:uid="{7CF79326-8F6A-974F-AB5B-51FE10429FE6}" name="2gram-no-hash7" dataDxfId="6"/>
    <tableColumn id="9" xr3:uid="{1FC879FE-9B2C-AC43-86D6-EEE78110F1C6}" name="2gram-no-hash8" dataDxfId="5"/>
    <tableColumn id="10" xr3:uid="{B1C92F51-4AB6-C24C-8BDF-2DCF2488BF50}" name="2gram-no-hash9" dataDxfId="4"/>
    <tableColumn id="11" xr3:uid="{E206173C-B5F9-5348-910D-1D41EDE201B1}" name="2gram-no-hash10" dataDxfId="3"/>
    <tableColumn id="12" xr3:uid="{E7940CB7-E9C3-954A-94F6-9736E8B7BCA6}" name="2gram-no-hash11" dataDxfId="2"/>
    <tableColumn id="13" xr3:uid="{C20219C4-C34D-B24F-86A2-2F875FA47698}" name="2gram-no-hash12" dataDxfId="1"/>
    <tableColumn id="14" xr3:uid="{27A5C03A-4D15-464C-9FF7-214B080388AB}" name="2gram-no-hash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1515-B621-8943-B220-8608F31A5DEC}">
  <dimension ref="A1:Q26"/>
  <sheetViews>
    <sheetView tabSelected="1" workbookViewId="0">
      <pane xSplit="12480" ySplit="3520" topLeftCell="N1" activePane="bottomLeft"/>
      <selection activeCell="A4" sqref="A4"/>
      <selection pane="topRight" activeCell="Q2" sqref="Q2"/>
      <selection pane="bottomLeft" activeCell="E24" sqref="E24"/>
      <selection pane="bottomRight" activeCell="O8" sqref="O8"/>
    </sheetView>
  </sheetViews>
  <sheetFormatPr baseColWidth="10" defaultRowHeight="27" customHeight="1"/>
  <cols>
    <col min="3" max="3" width="11.875" customWidth="1"/>
    <col min="5" max="17" width="8.625" customWidth="1"/>
  </cols>
  <sheetData>
    <row r="1" spans="1:17" ht="27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23</v>
      </c>
    </row>
    <row r="2" spans="1:17" ht="27" customHeight="1">
      <c r="A2" t="s">
        <v>16</v>
      </c>
      <c r="B2" t="s">
        <v>22</v>
      </c>
      <c r="C2" t="b">
        <v>0</v>
      </c>
      <c r="D2" t="s">
        <v>18</v>
      </c>
      <c r="E2">
        <v>0.35</v>
      </c>
      <c r="F2">
        <v>0.39</v>
      </c>
      <c r="G2">
        <v>0.38</v>
      </c>
      <c r="H2">
        <v>0.38</v>
      </c>
      <c r="I2">
        <v>0.42</v>
      </c>
      <c r="J2">
        <v>0.4</v>
      </c>
      <c r="K2">
        <v>0.42</v>
      </c>
      <c r="L2">
        <v>0.44</v>
      </c>
      <c r="M2">
        <v>0.38</v>
      </c>
      <c r="N2">
        <v>0.43</v>
      </c>
      <c r="O2">
        <v>0.3</v>
      </c>
      <c r="P2">
        <v>0.33</v>
      </c>
      <c r="Q2">
        <f>_xlfn.LET(_xlpm.d,$E2:$P2,MAX(_xlpm.d))</f>
        <v>0.44</v>
      </c>
    </row>
    <row r="3" spans="1:17" ht="27" customHeight="1">
      <c r="A3" t="s">
        <v>16</v>
      </c>
      <c r="B3" t="s">
        <v>22</v>
      </c>
      <c r="C3" t="b">
        <v>0</v>
      </c>
      <c r="D3" t="s">
        <v>19</v>
      </c>
      <c r="E3">
        <v>0.33</v>
      </c>
      <c r="F3">
        <v>0.3</v>
      </c>
      <c r="G3">
        <v>0.23</v>
      </c>
      <c r="H3">
        <v>0.4</v>
      </c>
      <c r="I3">
        <v>0.37</v>
      </c>
      <c r="J3">
        <v>0.38</v>
      </c>
      <c r="K3">
        <v>0.39</v>
      </c>
      <c r="L3">
        <v>0.32</v>
      </c>
      <c r="M3">
        <v>0.33</v>
      </c>
      <c r="N3">
        <v>0.42</v>
      </c>
      <c r="O3">
        <v>0.32</v>
      </c>
      <c r="P3">
        <v>0.27</v>
      </c>
      <c r="Q3">
        <f>_xlfn.LET(_xlpm.d,$E3:$P3,MAX(_xlpm.d))</f>
        <v>0.42</v>
      </c>
    </row>
    <row r="4" spans="1:17" ht="27" customHeight="1">
      <c r="A4" t="s">
        <v>16</v>
      </c>
      <c r="B4" t="s">
        <v>22</v>
      </c>
      <c r="C4" t="b">
        <v>0</v>
      </c>
      <c r="D4" t="s">
        <v>20</v>
      </c>
      <c r="E4">
        <v>0.33</v>
      </c>
      <c r="F4">
        <v>0.36</v>
      </c>
      <c r="G4">
        <v>0.27</v>
      </c>
      <c r="H4">
        <v>0.28000000000000003</v>
      </c>
      <c r="I4">
        <v>0.39</v>
      </c>
      <c r="J4">
        <v>0.36</v>
      </c>
      <c r="K4">
        <v>0.41</v>
      </c>
      <c r="L4">
        <v>0.39</v>
      </c>
      <c r="M4">
        <v>0.31</v>
      </c>
      <c r="N4">
        <v>0.38</v>
      </c>
      <c r="O4">
        <v>0.33</v>
      </c>
      <c r="P4">
        <v>0.33</v>
      </c>
      <c r="Q4">
        <f>_xlfn.LET(_xlpm.d,$E4:$P4,MAX(_xlpm.d))</f>
        <v>0.41</v>
      </c>
    </row>
    <row r="5" spans="1:17" ht="27" customHeight="1">
      <c r="A5" t="s">
        <v>16</v>
      </c>
      <c r="B5" t="s">
        <v>22</v>
      </c>
      <c r="C5" t="b">
        <v>1</v>
      </c>
      <c r="D5" t="s">
        <v>18</v>
      </c>
      <c r="E5">
        <v>0.4</v>
      </c>
      <c r="F5">
        <v>0.38</v>
      </c>
      <c r="G5">
        <v>0.37</v>
      </c>
      <c r="H5">
        <v>0.38</v>
      </c>
      <c r="I5">
        <v>0.37</v>
      </c>
      <c r="J5">
        <v>0.38</v>
      </c>
      <c r="K5">
        <v>0.41</v>
      </c>
      <c r="L5">
        <v>0.44</v>
      </c>
      <c r="M5">
        <v>0.42</v>
      </c>
      <c r="N5">
        <v>0.44</v>
      </c>
      <c r="O5">
        <v>0.37</v>
      </c>
      <c r="P5">
        <v>0.34</v>
      </c>
      <c r="Q5">
        <f>_xlfn.LET(_xlpm.d,$E5:$P5,MAX(_xlpm.d))</f>
        <v>0.44</v>
      </c>
    </row>
    <row r="6" spans="1:17" ht="27" customHeight="1">
      <c r="A6" t="s">
        <v>16</v>
      </c>
      <c r="B6" t="s">
        <v>22</v>
      </c>
      <c r="C6" t="b">
        <v>1</v>
      </c>
      <c r="D6" t="s">
        <v>19</v>
      </c>
      <c r="E6">
        <v>0.31</v>
      </c>
      <c r="F6">
        <v>0.25</v>
      </c>
      <c r="G6">
        <v>0.24</v>
      </c>
      <c r="H6">
        <v>0.34</v>
      </c>
      <c r="I6">
        <v>0.33</v>
      </c>
      <c r="J6">
        <v>0.42</v>
      </c>
      <c r="K6">
        <v>0.4</v>
      </c>
      <c r="L6">
        <v>0.36</v>
      </c>
      <c r="M6">
        <v>0.32</v>
      </c>
      <c r="N6">
        <v>0.37</v>
      </c>
      <c r="O6">
        <v>0.35</v>
      </c>
      <c r="P6">
        <v>0.33</v>
      </c>
      <c r="Q6">
        <f>_xlfn.LET(_xlpm.d,$E6:$P6,MAX(_xlpm.d))</f>
        <v>0.42</v>
      </c>
    </row>
    <row r="7" spans="1:17" ht="27" customHeight="1">
      <c r="A7" t="s">
        <v>16</v>
      </c>
      <c r="B7" t="s">
        <v>22</v>
      </c>
      <c r="C7" t="b">
        <v>1</v>
      </c>
      <c r="D7" t="s">
        <v>20</v>
      </c>
      <c r="E7">
        <v>0.37</v>
      </c>
      <c r="F7">
        <v>0.39</v>
      </c>
      <c r="G7">
        <v>0.33</v>
      </c>
      <c r="H7">
        <v>0.26</v>
      </c>
      <c r="I7">
        <v>0.38</v>
      </c>
      <c r="J7">
        <v>0.42</v>
      </c>
      <c r="K7">
        <v>0.39</v>
      </c>
      <c r="L7">
        <v>0.37</v>
      </c>
      <c r="M7">
        <v>0.39</v>
      </c>
      <c r="N7">
        <v>0.35</v>
      </c>
      <c r="O7">
        <v>0.33</v>
      </c>
      <c r="P7">
        <v>0.34</v>
      </c>
      <c r="Q7">
        <f>_xlfn.LET(_xlpm.d,$E7:$P7,MAX(_xlpm.d))</f>
        <v>0.42</v>
      </c>
    </row>
    <row r="8" spans="1:17" ht="27" customHeight="1">
      <c r="A8" t="s">
        <v>16</v>
      </c>
      <c r="B8" t="s">
        <v>21</v>
      </c>
      <c r="C8" t="b">
        <v>0</v>
      </c>
      <c r="D8" t="s">
        <v>18</v>
      </c>
      <c r="E8">
        <v>0.56000000000000005</v>
      </c>
      <c r="F8">
        <v>0.61</v>
      </c>
      <c r="G8">
        <v>0.56999999999999995</v>
      </c>
      <c r="H8">
        <v>0.61</v>
      </c>
      <c r="I8">
        <v>0.56000000000000005</v>
      </c>
      <c r="J8">
        <v>0.53</v>
      </c>
      <c r="K8">
        <v>0.54</v>
      </c>
      <c r="L8">
        <v>0.56000000000000005</v>
      </c>
      <c r="M8">
        <v>0.56999999999999995</v>
      </c>
      <c r="N8">
        <v>0.61</v>
      </c>
      <c r="O8">
        <v>0.61</v>
      </c>
      <c r="P8">
        <v>0.51</v>
      </c>
      <c r="Q8">
        <f>_xlfn.LET(_xlpm.d,$E8:$P8,MAX(_xlpm.d))</f>
        <v>0.61</v>
      </c>
    </row>
    <row r="9" spans="1:17" ht="27" customHeight="1">
      <c r="A9" t="s">
        <v>16</v>
      </c>
      <c r="B9" t="s">
        <v>21</v>
      </c>
      <c r="C9" t="b">
        <v>0</v>
      </c>
      <c r="D9" t="s">
        <v>19</v>
      </c>
      <c r="E9">
        <v>0.6</v>
      </c>
      <c r="F9">
        <v>0.59</v>
      </c>
      <c r="G9">
        <v>0.52</v>
      </c>
      <c r="H9">
        <v>0.54</v>
      </c>
      <c r="I9">
        <v>0.62</v>
      </c>
      <c r="J9">
        <v>0.5</v>
      </c>
      <c r="K9">
        <v>0.5</v>
      </c>
      <c r="L9">
        <v>0.59</v>
      </c>
      <c r="M9">
        <v>0.56000000000000005</v>
      </c>
      <c r="N9">
        <v>0.57999999999999996</v>
      </c>
      <c r="O9">
        <v>0.55000000000000004</v>
      </c>
      <c r="P9">
        <v>0.45</v>
      </c>
      <c r="Q9">
        <f>_xlfn.LET(_xlpm.d,$E9:$P9,MAX(_xlpm.d))</f>
        <v>0.62</v>
      </c>
    </row>
    <row r="10" spans="1:17" ht="27" customHeight="1">
      <c r="A10" t="s">
        <v>16</v>
      </c>
      <c r="B10" t="s">
        <v>21</v>
      </c>
      <c r="C10" t="b">
        <v>0</v>
      </c>
      <c r="D10" t="s">
        <v>20</v>
      </c>
      <c r="E10">
        <v>0.42</v>
      </c>
      <c r="F10">
        <v>0.51</v>
      </c>
      <c r="G10">
        <v>0.5</v>
      </c>
      <c r="H10">
        <v>0.53</v>
      </c>
      <c r="I10">
        <v>0.55000000000000004</v>
      </c>
      <c r="J10">
        <v>0.45</v>
      </c>
      <c r="K10">
        <v>0.45</v>
      </c>
      <c r="L10">
        <v>0.51</v>
      </c>
      <c r="M10">
        <v>0.48</v>
      </c>
      <c r="N10">
        <v>0.44</v>
      </c>
      <c r="O10">
        <v>0.5</v>
      </c>
      <c r="P10">
        <v>0.45</v>
      </c>
      <c r="Q10">
        <f>_xlfn.LET(_xlpm.d,$E10:$P10,MAX(_xlpm.d))</f>
        <v>0.55000000000000004</v>
      </c>
    </row>
    <row r="11" spans="1:17" ht="27" customHeight="1">
      <c r="A11" t="s">
        <v>16</v>
      </c>
      <c r="B11" t="s">
        <v>21</v>
      </c>
      <c r="C11" t="b">
        <v>1</v>
      </c>
      <c r="D11" t="s">
        <v>18</v>
      </c>
      <c r="E11">
        <v>0.56000000000000005</v>
      </c>
      <c r="F11">
        <v>0.56999999999999995</v>
      </c>
      <c r="G11">
        <v>0.56000000000000005</v>
      </c>
      <c r="H11">
        <v>0.66</v>
      </c>
      <c r="I11">
        <v>0.56999999999999995</v>
      </c>
      <c r="J11">
        <v>0.53</v>
      </c>
      <c r="K11">
        <v>0.53</v>
      </c>
      <c r="L11">
        <v>0.59</v>
      </c>
      <c r="M11">
        <v>0.55000000000000004</v>
      </c>
      <c r="N11">
        <v>0.68</v>
      </c>
      <c r="O11">
        <v>0.6</v>
      </c>
      <c r="P11">
        <v>0.53</v>
      </c>
      <c r="Q11">
        <f>_xlfn.LET(_xlpm.d,$E11:$P11,MAX(_xlpm.d))</f>
        <v>0.68</v>
      </c>
    </row>
    <row r="12" spans="1:17" ht="27" customHeight="1">
      <c r="A12" t="s">
        <v>16</v>
      </c>
      <c r="B12" t="s">
        <v>21</v>
      </c>
      <c r="C12" t="b">
        <v>1</v>
      </c>
      <c r="D12" t="s">
        <v>19</v>
      </c>
      <c r="E12">
        <v>0.56000000000000005</v>
      </c>
      <c r="F12">
        <v>0.56999999999999995</v>
      </c>
      <c r="G12">
        <v>0.54</v>
      </c>
      <c r="H12">
        <v>0.56000000000000005</v>
      </c>
      <c r="I12">
        <v>0.54</v>
      </c>
      <c r="J12">
        <v>0.61</v>
      </c>
      <c r="K12">
        <v>0.52</v>
      </c>
      <c r="L12">
        <v>0.57999999999999996</v>
      </c>
      <c r="M12">
        <v>0.53</v>
      </c>
      <c r="N12">
        <v>0.57999999999999996</v>
      </c>
      <c r="O12">
        <v>0.59</v>
      </c>
      <c r="P12">
        <v>0.45</v>
      </c>
      <c r="Q12">
        <f>_xlfn.LET(_xlpm.d,$E12:$P12,MAX(_xlpm.d))</f>
        <v>0.61</v>
      </c>
    </row>
    <row r="13" spans="1:17" ht="27" customHeight="1">
      <c r="A13" t="s">
        <v>16</v>
      </c>
      <c r="B13" t="s">
        <v>21</v>
      </c>
      <c r="C13" t="b">
        <v>1</v>
      </c>
      <c r="D13" t="s">
        <v>20</v>
      </c>
      <c r="E13">
        <v>0.5</v>
      </c>
      <c r="F13">
        <v>0.56999999999999995</v>
      </c>
      <c r="G13">
        <v>0.47</v>
      </c>
      <c r="H13">
        <v>0.55000000000000004</v>
      </c>
      <c r="I13">
        <v>0.53</v>
      </c>
      <c r="J13">
        <v>0.5</v>
      </c>
      <c r="K13">
        <v>0.5</v>
      </c>
      <c r="L13">
        <v>0.46</v>
      </c>
      <c r="M13">
        <v>0.48</v>
      </c>
      <c r="N13">
        <v>0.56999999999999995</v>
      </c>
      <c r="O13">
        <v>0.56000000000000005</v>
      </c>
      <c r="P13">
        <v>0.47</v>
      </c>
      <c r="Q13">
        <f>_xlfn.LET(_xlpm.d,$E13:$P13,MAX(_xlpm.d))</f>
        <v>0.56999999999999995</v>
      </c>
    </row>
    <row r="14" spans="1:17" ht="27" customHeight="1">
      <c r="A14" t="s">
        <v>16</v>
      </c>
      <c r="B14" t="s">
        <v>17</v>
      </c>
      <c r="C14" t="b">
        <v>0</v>
      </c>
      <c r="D14" t="s">
        <v>18</v>
      </c>
      <c r="E14">
        <v>0.85</v>
      </c>
      <c r="F14">
        <v>0.84</v>
      </c>
      <c r="G14">
        <v>0.85</v>
      </c>
      <c r="H14">
        <v>0.8</v>
      </c>
      <c r="I14">
        <v>0.79</v>
      </c>
      <c r="J14">
        <v>0.88</v>
      </c>
      <c r="K14">
        <v>0.79</v>
      </c>
      <c r="L14">
        <v>0.76</v>
      </c>
      <c r="M14">
        <v>0.83</v>
      </c>
      <c r="N14">
        <v>0.87</v>
      </c>
      <c r="O14">
        <v>0.82</v>
      </c>
      <c r="P14">
        <v>0.82</v>
      </c>
      <c r="Q14">
        <f>_xlfn.LET(_xlpm.d,$E14:$P14,MAX(_xlpm.d))</f>
        <v>0.88</v>
      </c>
    </row>
    <row r="15" spans="1:17" ht="27" customHeight="1">
      <c r="A15" t="s">
        <v>16</v>
      </c>
      <c r="B15" t="s">
        <v>17</v>
      </c>
      <c r="C15" t="b">
        <v>0</v>
      </c>
      <c r="D15" t="s">
        <v>19</v>
      </c>
      <c r="E15">
        <v>0.75</v>
      </c>
      <c r="F15">
        <v>0.81</v>
      </c>
      <c r="G15">
        <v>0.85</v>
      </c>
      <c r="H15">
        <v>0.77</v>
      </c>
      <c r="I15">
        <v>0.78</v>
      </c>
      <c r="J15">
        <v>0.82</v>
      </c>
      <c r="K15">
        <v>0.69</v>
      </c>
      <c r="L15">
        <v>0.76</v>
      </c>
      <c r="M15">
        <v>0.81</v>
      </c>
      <c r="N15">
        <v>0.86</v>
      </c>
      <c r="O15">
        <v>0.82</v>
      </c>
      <c r="P15">
        <v>0.75</v>
      </c>
      <c r="Q15">
        <f>_xlfn.LET(_xlpm.d,$E15:$P15,MAX(_xlpm.d))</f>
        <v>0.86</v>
      </c>
    </row>
    <row r="16" spans="1:17" ht="27" customHeight="1">
      <c r="A16" t="s">
        <v>16</v>
      </c>
      <c r="B16" t="s">
        <v>17</v>
      </c>
      <c r="C16" t="b">
        <v>0</v>
      </c>
      <c r="D16" t="s">
        <v>20</v>
      </c>
      <c r="E16">
        <v>0.78</v>
      </c>
      <c r="F16">
        <v>0.84</v>
      </c>
      <c r="G16">
        <v>0.83</v>
      </c>
      <c r="H16">
        <v>0.73</v>
      </c>
      <c r="I16">
        <v>0.81</v>
      </c>
      <c r="J16">
        <v>0.79</v>
      </c>
      <c r="K16">
        <v>0.83</v>
      </c>
      <c r="L16">
        <v>0.72</v>
      </c>
      <c r="M16">
        <v>0.77</v>
      </c>
      <c r="N16">
        <v>0.84</v>
      </c>
      <c r="O16">
        <v>0.7</v>
      </c>
      <c r="P16">
        <v>0.81</v>
      </c>
      <c r="Q16">
        <f>_xlfn.LET(_xlpm.d,$E16:$P16,MAX(_xlpm.d))</f>
        <v>0.84</v>
      </c>
    </row>
    <row r="17" spans="1:17" ht="27" customHeight="1">
      <c r="A17" t="s">
        <v>16</v>
      </c>
      <c r="B17" t="s">
        <v>17</v>
      </c>
      <c r="C17" t="b">
        <v>1</v>
      </c>
      <c r="D17" t="s">
        <v>18</v>
      </c>
      <c r="E17">
        <v>0.88</v>
      </c>
      <c r="F17">
        <v>0.87</v>
      </c>
      <c r="G17">
        <v>0.89</v>
      </c>
      <c r="H17">
        <v>0.81</v>
      </c>
      <c r="I17">
        <v>0.82</v>
      </c>
      <c r="J17">
        <v>0.88</v>
      </c>
      <c r="K17">
        <v>0.83</v>
      </c>
      <c r="L17">
        <v>0.77</v>
      </c>
      <c r="M17">
        <v>0.87</v>
      </c>
      <c r="N17">
        <v>0.88</v>
      </c>
      <c r="O17">
        <v>0.8</v>
      </c>
      <c r="P17">
        <v>0.8</v>
      </c>
      <c r="Q17">
        <f>_xlfn.LET(_xlpm.d,$E17:$P17,MAX(_xlpm.d))</f>
        <v>0.89</v>
      </c>
    </row>
    <row r="18" spans="1:17" ht="27" customHeight="1">
      <c r="A18" t="s">
        <v>16</v>
      </c>
      <c r="B18" t="s">
        <v>17</v>
      </c>
      <c r="C18" t="b">
        <v>1</v>
      </c>
      <c r="D18" t="s">
        <v>19</v>
      </c>
      <c r="E18">
        <v>0.81</v>
      </c>
      <c r="F18">
        <v>0.86</v>
      </c>
      <c r="G18">
        <v>0.86</v>
      </c>
      <c r="H18">
        <v>0.8</v>
      </c>
      <c r="I18">
        <v>0.78</v>
      </c>
      <c r="J18">
        <v>0.8</v>
      </c>
      <c r="K18">
        <v>0.75</v>
      </c>
      <c r="L18">
        <v>0.8</v>
      </c>
      <c r="M18">
        <v>0.84</v>
      </c>
      <c r="N18">
        <v>0.83</v>
      </c>
      <c r="O18">
        <v>0.8</v>
      </c>
      <c r="P18">
        <v>0.82</v>
      </c>
      <c r="Q18">
        <f>_xlfn.LET(_xlpm.d,$E18:$P18,MAX(_xlpm.d))</f>
        <v>0.86</v>
      </c>
    </row>
    <row r="19" spans="1:17" ht="27" customHeight="1">
      <c r="A19" t="s">
        <v>16</v>
      </c>
      <c r="B19" t="s">
        <v>17</v>
      </c>
      <c r="C19" t="b">
        <v>1</v>
      </c>
      <c r="D19" t="s">
        <v>20</v>
      </c>
      <c r="E19">
        <v>0.86</v>
      </c>
      <c r="F19">
        <v>0.83</v>
      </c>
      <c r="G19">
        <v>0.87</v>
      </c>
      <c r="H19">
        <v>0.74</v>
      </c>
      <c r="I19">
        <v>0.73</v>
      </c>
      <c r="J19">
        <v>0.82</v>
      </c>
      <c r="K19">
        <v>0.78</v>
      </c>
      <c r="L19">
        <v>0.79</v>
      </c>
      <c r="M19">
        <v>0.78</v>
      </c>
      <c r="N19">
        <v>0.82</v>
      </c>
      <c r="O19">
        <v>0.75</v>
      </c>
      <c r="P19">
        <v>0.78</v>
      </c>
      <c r="Q19">
        <f>_xlfn.LET(_xlpm.d,$E19:$P19,MAX(_xlpm.d))</f>
        <v>0.87</v>
      </c>
    </row>
    <row r="22" spans="1:17" ht="27" customHeight="1">
      <c r="D22" t="s">
        <v>24</v>
      </c>
      <c r="E22" t="s">
        <v>4</v>
      </c>
      <c r="F22" t="s">
        <v>28</v>
      </c>
      <c r="G22" t="s">
        <v>29</v>
      </c>
      <c r="H22" t="s">
        <v>30</v>
      </c>
      <c r="I22" t="s">
        <v>31</v>
      </c>
      <c r="J22" t="s">
        <v>32</v>
      </c>
      <c r="K22" t="s">
        <v>33</v>
      </c>
      <c r="L22" t="s">
        <v>34</v>
      </c>
      <c r="M22" t="s">
        <v>35</v>
      </c>
      <c r="N22" t="s">
        <v>36</v>
      </c>
      <c r="O22" t="s">
        <v>37</v>
      </c>
      <c r="P22" t="s">
        <v>38</v>
      </c>
      <c r="Q22" t="s">
        <v>39</v>
      </c>
    </row>
    <row r="23" spans="1:17" ht="27" customHeight="1">
      <c r="D23" t="s">
        <v>25</v>
      </c>
      <c r="E23" s="1">
        <f>_xlfn.LET(_xlpm.d,E$2:E$19,AVERAGE(_xlpm.d))</f>
        <v>0.56777777777777783</v>
      </c>
      <c r="F23" s="1">
        <f t="shared" ref="F23:Q23" si="0">_xlfn.LET(_xlpm.d,F$2:F$19,AVERAGE(_xlpm.d))</f>
        <v>0.5855555555555555</v>
      </c>
      <c r="G23" s="1">
        <f t="shared" si="0"/>
        <v>0.5627777777777776</v>
      </c>
      <c r="H23" s="1">
        <f t="shared" si="0"/>
        <v>0.56333333333333335</v>
      </c>
      <c r="I23" s="1">
        <f t="shared" si="0"/>
        <v>0.57444444444444454</v>
      </c>
      <c r="J23" s="1">
        <f t="shared" si="0"/>
        <v>0.58166666666666678</v>
      </c>
      <c r="K23" s="1">
        <f t="shared" si="0"/>
        <v>0.56277777777777782</v>
      </c>
      <c r="L23" s="1">
        <f t="shared" si="0"/>
        <v>0.56722222222222229</v>
      </c>
      <c r="M23" s="1">
        <f t="shared" si="0"/>
        <v>0.56777777777777771</v>
      </c>
      <c r="N23" s="1">
        <f t="shared" si="0"/>
        <v>0.6083333333333335</v>
      </c>
      <c r="O23" s="1">
        <f t="shared" si="0"/>
        <v>0.56111111111111123</v>
      </c>
      <c r="P23" s="1">
        <f t="shared" si="0"/>
        <v>0.53222222222222226</v>
      </c>
      <c r="Q23" s="1">
        <f t="shared" si="0"/>
        <v>0.63277777777777777</v>
      </c>
    </row>
    <row r="24" spans="1:17" ht="27" customHeight="1">
      <c r="D24" t="s">
        <v>23</v>
      </c>
      <c r="E24" s="1">
        <f>_xlfn.LET(_xlpm.d,E$2:E$19,MAX(_xlpm.d))</f>
        <v>0.88</v>
      </c>
      <c r="F24" s="1">
        <f t="shared" ref="F24:Q24" si="1">_xlfn.LET(_xlpm.d,F$2:F$19,MAX(_xlpm.d))</f>
        <v>0.87</v>
      </c>
      <c r="G24" s="1">
        <f t="shared" si="1"/>
        <v>0.89</v>
      </c>
      <c r="H24" s="1">
        <f t="shared" si="1"/>
        <v>0.81</v>
      </c>
      <c r="I24" s="1">
        <f t="shared" si="1"/>
        <v>0.82</v>
      </c>
      <c r="J24" s="1">
        <f t="shared" si="1"/>
        <v>0.88</v>
      </c>
      <c r="K24" s="1">
        <f t="shared" si="1"/>
        <v>0.83</v>
      </c>
      <c r="L24" s="1">
        <f t="shared" si="1"/>
        <v>0.8</v>
      </c>
      <c r="M24" s="1">
        <f t="shared" si="1"/>
        <v>0.87</v>
      </c>
      <c r="N24" s="1">
        <f t="shared" si="1"/>
        <v>0.88</v>
      </c>
      <c r="O24" s="1">
        <f t="shared" si="1"/>
        <v>0.82</v>
      </c>
      <c r="P24" s="1">
        <f t="shared" si="1"/>
        <v>0.82</v>
      </c>
      <c r="Q24" s="1">
        <f t="shared" si="1"/>
        <v>0.89</v>
      </c>
    </row>
    <row r="25" spans="1:17" ht="27" customHeight="1">
      <c r="D25" t="s">
        <v>26</v>
      </c>
      <c r="E25" s="1">
        <f>_xlfn.LET(_xlpm.d,E$2:E$19,MIN(_xlpm.d))</f>
        <v>0.31</v>
      </c>
      <c r="F25" s="1">
        <f t="shared" ref="F25:Q25" si="2">_xlfn.LET(_xlpm.d,F$2:F$19,MIN(_xlpm.d))</f>
        <v>0.25</v>
      </c>
      <c r="G25" s="1">
        <f t="shared" si="2"/>
        <v>0.23</v>
      </c>
      <c r="H25" s="1">
        <f t="shared" si="2"/>
        <v>0.26</v>
      </c>
      <c r="I25" s="1">
        <f t="shared" si="2"/>
        <v>0.33</v>
      </c>
      <c r="J25" s="1">
        <f t="shared" si="2"/>
        <v>0.36</v>
      </c>
      <c r="K25" s="1">
        <f t="shared" si="2"/>
        <v>0.39</v>
      </c>
      <c r="L25" s="1">
        <f t="shared" si="2"/>
        <v>0.32</v>
      </c>
      <c r="M25" s="1">
        <f t="shared" si="2"/>
        <v>0.31</v>
      </c>
      <c r="N25" s="1">
        <f t="shared" si="2"/>
        <v>0.35</v>
      </c>
      <c r="O25" s="1">
        <f t="shared" si="2"/>
        <v>0.3</v>
      </c>
      <c r="P25" s="1">
        <f t="shared" si="2"/>
        <v>0.27</v>
      </c>
      <c r="Q25" s="1">
        <f t="shared" si="2"/>
        <v>0.41</v>
      </c>
    </row>
    <row r="26" spans="1:17" ht="27" customHeight="1">
      <c r="D26" t="s">
        <v>27</v>
      </c>
      <c r="E26" s="1">
        <f>_xlfn.LET(_xlpm.d,E$2:E$19,STDEV(_xlpm.d))</f>
        <v>0.20598559502906286</v>
      </c>
      <c r="F26" s="1">
        <f t="shared" ref="F26:Q26" si="3">_xlfn.LET(_xlpm.d,F$2:F$19,STDEV(_xlpm.d))</f>
        <v>0.21235991153262385</v>
      </c>
      <c r="G26" s="1">
        <f t="shared" si="3"/>
        <v>0.2384460860398272</v>
      </c>
      <c r="H26" s="1">
        <f t="shared" si="3"/>
        <v>0.18849247137407357</v>
      </c>
      <c r="I26" s="1">
        <f t="shared" si="3"/>
        <v>0.17422845793829267</v>
      </c>
      <c r="J26" s="1">
        <f t="shared" si="3"/>
        <v>0.19330713142257175</v>
      </c>
      <c r="K26" s="1">
        <f t="shared" si="3"/>
        <v>0.16630254341925274</v>
      </c>
      <c r="L26" s="1">
        <f t="shared" si="3"/>
        <v>0.16545145211371187</v>
      </c>
      <c r="M26" s="1">
        <f t="shared" si="3"/>
        <v>0.1983922305035736</v>
      </c>
      <c r="N26" s="1">
        <f t="shared" si="3"/>
        <v>0.19719354481738699</v>
      </c>
      <c r="O26" s="1">
        <f t="shared" si="3"/>
        <v>0.19189117286165649</v>
      </c>
      <c r="P26" s="1">
        <f t="shared" si="3"/>
        <v>0.20484012576685987</v>
      </c>
      <c r="Q26" s="1">
        <f t="shared" si="3"/>
        <v>0.18845519222649246</v>
      </c>
    </row>
  </sheetData>
  <conditionalFormatting sqref="E2:Q19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E23:Q25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ml2.5-German-sample1200-xsk-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2025-02-18T06:01:54Z</dcterms:created>
  <dcterms:modified xsi:type="dcterms:W3CDTF">2025-02-18T06:07:14Z</dcterms:modified>
  <cp:category/>
</cp:coreProperties>
</file>