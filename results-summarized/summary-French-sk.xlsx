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/"/>
    </mc:Choice>
  </mc:AlternateContent>
  <xr:revisionPtr revIDLastSave="0" documentId="13_ncr:1_{D0A75E46-B439-5F4B-917C-B62ABA0BF047}" xr6:coauthVersionLast="47" xr6:coauthVersionMax="47" xr10:uidLastSave="{00000000-0000-0000-0000-000000000000}"/>
  <bookViews>
    <workbookView xWindow="2520" yWindow="1060" windowWidth="30300" windowHeight="17880" xr2:uid="{B0A33736-B64B-8347-9631-0CA8BEA708B1}"/>
  </bookViews>
  <sheets>
    <sheet name="summarized" sheetId="15" r:id="rId1"/>
    <sheet name="3k-sk-mgv9" sheetId="14" r:id="rId2"/>
    <sheet name="3k-sk-mgv6" sheetId="13" r:id="rId3"/>
    <sheet name="3k-sk-mgv3" sheetId="12" r:id="rId4"/>
    <sheet name="2k-sk-mgv9" sheetId="11" r:id="rId5"/>
    <sheet name="2k-sk-mgv6" sheetId="10" r:id="rId6"/>
    <sheet name="2k-sk-mgv3" sheetId="6" r:id="rId7"/>
    <sheet name="1.2k-sk-mgv9" sheetId="9" r:id="rId8"/>
    <sheet name="1.2k-sk-mgv6" sheetId="8" r:id="rId9"/>
    <sheet name="1.2k-sk-mgv3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5" l="1"/>
  <c r="I27" i="15"/>
  <c r="I14" i="15"/>
  <c r="I15" i="15"/>
  <c r="I2" i="15"/>
  <c r="I3" i="15"/>
  <c r="I28" i="15"/>
  <c r="I29" i="15"/>
  <c r="I16" i="15"/>
  <c r="I17" i="15"/>
  <c r="I4" i="15"/>
  <c r="I5" i="15"/>
  <c r="I30" i="15"/>
  <c r="I31" i="15"/>
  <c r="I18" i="15"/>
  <c r="I19" i="15"/>
  <c r="I6" i="15"/>
  <c r="I7" i="15"/>
  <c r="I32" i="15"/>
  <c r="I33" i="15"/>
  <c r="I20" i="15"/>
  <c r="I21" i="15"/>
  <c r="I8" i="15"/>
  <c r="I9" i="15"/>
  <c r="I34" i="15"/>
  <c r="I35" i="15"/>
  <c r="I22" i="15"/>
  <c r="I23" i="15"/>
  <c r="I10" i="15"/>
  <c r="I11" i="15"/>
  <c r="I36" i="15"/>
  <c r="I37" i="15"/>
  <c r="I24" i="15"/>
  <c r="I25" i="15"/>
  <c r="I12" i="15"/>
  <c r="I13" i="15"/>
  <c r="S2" i="14" l="1"/>
  <c r="S3" i="14"/>
  <c r="S4" i="14"/>
  <c r="S5" i="14"/>
  <c r="S6" i="14"/>
  <c r="S7" i="14"/>
  <c r="S8" i="14"/>
  <c r="S9" i="14"/>
  <c r="S10" i="14"/>
  <c r="S11" i="14"/>
  <c r="S12" i="14"/>
  <c r="S13" i="14"/>
  <c r="S20" i="14" a="1"/>
  <c r="S20" i="14" s="1"/>
  <c r="R20" i="14" a="1"/>
  <c r="R20" i="14" s="1"/>
  <c r="Q20" i="14" a="1"/>
  <c r="Q20" i="14" s="1"/>
  <c r="P20" i="14" a="1"/>
  <c r="P20" i="14" s="1"/>
  <c r="O20" i="14" a="1"/>
  <c r="O20" i="14" s="1"/>
  <c r="N20" i="14" a="1"/>
  <c r="N20" i="14" s="1"/>
  <c r="M20" i="14" a="1"/>
  <c r="M20" i="14" s="1"/>
  <c r="L20" i="14" a="1"/>
  <c r="L20" i="14" s="1"/>
  <c r="K20" i="14" a="1"/>
  <c r="K20" i="14" s="1"/>
  <c r="J20" i="14" a="1"/>
  <c r="J20" i="14" s="1"/>
  <c r="I20" i="14" a="1"/>
  <c r="I20" i="14" s="1"/>
  <c r="H20" i="14" a="1"/>
  <c r="H20" i="14" s="1"/>
  <c r="G20" i="14" a="1"/>
  <c r="G20" i="14" s="1"/>
  <c r="R19" i="14" a="1"/>
  <c r="R19" i="14" s="1"/>
  <c r="Q19" i="14" a="1"/>
  <c r="Q19" i="14" s="1"/>
  <c r="P19" i="14" a="1"/>
  <c r="P19" i="14" s="1"/>
  <c r="O19" i="14" a="1"/>
  <c r="O19" i="14" s="1"/>
  <c r="N19" i="14" a="1"/>
  <c r="N19" i="14" s="1"/>
  <c r="M19" i="14" a="1"/>
  <c r="M19" i="14" s="1"/>
  <c r="L19" i="14" a="1"/>
  <c r="L19" i="14" s="1"/>
  <c r="K19" i="14" a="1"/>
  <c r="K19" i="14" s="1"/>
  <c r="J19" i="14" a="1"/>
  <c r="J19" i="14" s="1"/>
  <c r="I19" i="14" a="1"/>
  <c r="I19" i="14" s="1"/>
  <c r="H19" i="14" a="1"/>
  <c r="H19" i="14" s="1"/>
  <c r="G19" i="14" a="1"/>
  <c r="G19" i="14" s="1"/>
  <c r="S18" i="14" a="1"/>
  <c r="S18" i="14" s="1"/>
  <c r="R18" i="14" a="1"/>
  <c r="R18" i="14" s="1"/>
  <c r="Q18" i="14" a="1"/>
  <c r="Q18" i="14" s="1"/>
  <c r="P18" i="14" a="1"/>
  <c r="P18" i="14" s="1"/>
  <c r="O18" i="14" a="1"/>
  <c r="O18" i="14" s="1"/>
  <c r="N18" i="14" a="1"/>
  <c r="N18" i="14" s="1"/>
  <c r="M18" i="14" a="1"/>
  <c r="M18" i="14" s="1"/>
  <c r="L18" i="14" a="1"/>
  <c r="L18" i="14" s="1"/>
  <c r="K18" i="14" a="1"/>
  <c r="K18" i="14" s="1"/>
  <c r="J18" i="14" a="1"/>
  <c r="J18" i="14" s="1"/>
  <c r="I18" i="14" a="1"/>
  <c r="I18" i="14" s="1"/>
  <c r="H18" i="14" a="1"/>
  <c r="H18" i="14" s="1"/>
  <c r="G18" i="14" a="1"/>
  <c r="G18" i="14" s="1"/>
  <c r="S17" i="14" a="1"/>
  <c r="S17" i="14" s="1"/>
  <c r="R17" i="14" a="1"/>
  <c r="R17" i="14" s="1"/>
  <c r="Q17" i="14" a="1"/>
  <c r="Q17" i="14" s="1"/>
  <c r="P17" i="14" a="1"/>
  <c r="P17" i="14" s="1"/>
  <c r="O17" i="14" a="1"/>
  <c r="O17" i="14" s="1"/>
  <c r="N17" i="14" a="1"/>
  <c r="N17" i="14" s="1"/>
  <c r="M17" i="14" a="1"/>
  <c r="M17" i="14" s="1"/>
  <c r="L17" i="14" a="1"/>
  <c r="L17" i="14" s="1"/>
  <c r="K17" i="14" a="1"/>
  <c r="K17" i="14" s="1"/>
  <c r="J17" i="14" a="1"/>
  <c r="J17" i="14" s="1"/>
  <c r="I17" i="14" a="1"/>
  <c r="I17" i="14" s="1"/>
  <c r="H17" i="14" a="1"/>
  <c r="H17" i="14" s="1"/>
  <c r="G17" i="14" a="1"/>
  <c r="G17" i="14" s="1"/>
  <c r="S2" i="13"/>
  <c r="S3" i="13"/>
  <c r="S4" i="13"/>
  <c r="S5" i="13"/>
  <c r="S6" i="13"/>
  <c r="S7" i="13"/>
  <c r="S8" i="13"/>
  <c r="S9" i="13"/>
  <c r="S10" i="13"/>
  <c r="S11" i="13"/>
  <c r="S12" i="13"/>
  <c r="S13" i="13"/>
  <c r="S20" i="13" a="1"/>
  <c r="S20" i="13" s="1"/>
  <c r="R20" i="13" a="1"/>
  <c r="R20" i="13" s="1"/>
  <c r="Q20" i="13" a="1"/>
  <c r="Q20" i="13" s="1"/>
  <c r="P20" i="13"/>
  <c r="P20" i="13" a="1"/>
  <c r="O20" i="13" a="1"/>
  <c r="O20" i="13" s="1"/>
  <c r="N20" i="13" a="1"/>
  <c r="N20" i="13" s="1"/>
  <c r="M20" i="13" a="1"/>
  <c r="M20" i="13" s="1"/>
  <c r="L20" i="13"/>
  <c r="L20" i="13" a="1"/>
  <c r="K20" i="13" a="1"/>
  <c r="K20" i="13" s="1"/>
  <c r="J20" i="13" a="1"/>
  <c r="J20" i="13" s="1"/>
  <c r="I20" i="13" a="1"/>
  <c r="I20" i="13" s="1"/>
  <c r="H20" i="13" a="1"/>
  <c r="H20" i="13" s="1"/>
  <c r="G20" i="13" a="1"/>
  <c r="G20" i="13" s="1"/>
  <c r="R19" i="13" a="1"/>
  <c r="R19" i="13" s="1"/>
  <c r="Q19" i="13" a="1"/>
  <c r="Q19" i="13" s="1"/>
  <c r="P19" i="13" a="1"/>
  <c r="P19" i="13" s="1"/>
  <c r="O19" i="13" a="1"/>
  <c r="O19" i="13" s="1"/>
  <c r="N19" i="13" a="1"/>
  <c r="N19" i="13" s="1"/>
  <c r="M19" i="13" a="1"/>
  <c r="M19" i="13" s="1"/>
  <c r="L19" i="13" a="1"/>
  <c r="L19" i="13" s="1"/>
  <c r="K19" i="13" a="1"/>
  <c r="K19" i="13" s="1"/>
  <c r="J19" i="13" a="1"/>
  <c r="J19" i="13" s="1"/>
  <c r="I19" i="13"/>
  <c r="I19" i="13" a="1"/>
  <c r="H19" i="13" a="1"/>
  <c r="H19" i="13" s="1"/>
  <c r="G19" i="13" a="1"/>
  <c r="G19" i="13" s="1"/>
  <c r="S18" i="13" a="1"/>
  <c r="S18" i="13" s="1"/>
  <c r="R18" i="13"/>
  <c r="R18" i="13" a="1"/>
  <c r="Q18" i="13" a="1"/>
  <c r="Q18" i="13" s="1"/>
  <c r="P18" i="13" a="1"/>
  <c r="P18" i="13" s="1"/>
  <c r="O18" i="13" a="1"/>
  <c r="O18" i="13" s="1"/>
  <c r="N18" i="13" a="1"/>
  <c r="N18" i="13" s="1"/>
  <c r="M18" i="13" a="1"/>
  <c r="M18" i="13" s="1"/>
  <c r="L18" i="13" a="1"/>
  <c r="L18" i="13" s="1"/>
  <c r="K18" i="13" a="1"/>
  <c r="K18" i="13" s="1"/>
  <c r="J18" i="13" a="1"/>
  <c r="J18" i="13" s="1"/>
  <c r="I18" i="13" a="1"/>
  <c r="I18" i="13" s="1"/>
  <c r="H18" i="13" a="1"/>
  <c r="H18" i="13" s="1"/>
  <c r="G18" i="13" a="1"/>
  <c r="G18" i="13" s="1"/>
  <c r="S17" i="13" a="1"/>
  <c r="S17" i="13" s="1"/>
  <c r="R17" i="13" a="1"/>
  <c r="R17" i="13" s="1"/>
  <c r="Q17" i="13" a="1"/>
  <c r="Q17" i="13" s="1"/>
  <c r="P17" i="13" a="1"/>
  <c r="P17" i="13" s="1"/>
  <c r="O17" i="13"/>
  <c r="O17" i="13" a="1"/>
  <c r="N17" i="13" a="1"/>
  <c r="N17" i="13" s="1"/>
  <c r="M17" i="13" a="1"/>
  <c r="M17" i="13" s="1"/>
  <c r="L17" i="13" a="1"/>
  <c r="L17" i="13" s="1"/>
  <c r="K17" i="13"/>
  <c r="K17" i="13" a="1"/>
  <c r="J17" i="13" a="1"/>
  <c r="J17" i="13" s="1"/>
  <c r="I17" i="13" a="1"/>
  <c r="I17" i="13" s="1"/>
  <c r="H17" i="13" a="1"/>
  <c r="H17" i="13" s="1"/>
  <c r="G17" i="13" a="1"/>
  <c r="G17" i="13" s="1"/>
  <c r="S2" i="12"/>
  <c r="S3" i="12"/>
  <c r="S4" i="12"/>
  <c r="S5" i="12"/>
  <c r="S6" i="12"/>
  <c r="S7" i="12"/>
  <c r="S8" i="12"/>
  <c r="S19" i="12" s="1" a="1"/>
  <c r="S19" i="12" s="1"/>
  <c r="S9" i="12"/>
  <c r="S10" i="12"/>
  <c r="S11" i="12"/>
  <c r="S12" i="12"/>
  <c r="S13" i="12"/>
  <c r="S20" i="12" a="1"/>
  <c r="S20" i="12" s="1"/>
  <c r="R20" i="12" a="1"/>
  <c r="R20" i="12" s="1"/>
  <c r="Q20" i="12" a="1"/>
  <c r="Q20" i="12" s="1"/>
  <c r="P20" i="12" a="1"/>
  <c r="P20" i="12" s="1"/>
  <c r="O20" i="12" a="1"/>
  <c r="O20" i="12" s="1"/>
  <c r="N20" i="12" a="1"/>
  <c r="N20" i="12" s="1"/>
  <c r="M20" i="12" a="1"/>
  <c r="M20" i="12" s="1"/>
  <c r="L20" i="12" a="1"/>
  <c r="L20" i="12" s="1"/>
  <c r="K20" i="12" a="1"/>
  <c r="K20" i="12" s="1"/>
  <c r="J20" i="12" a="1"/>
  <c r="J20" i="12" s="1"/>
  <c r="I20" i="12" a="1"/>
  <c r="I20" i="12" s="1"/>
  <c r="H20" i="12" a="1"/>
  <c r="H20" i="12" s="1"/>
  <c r="G20" i="12" a="1"/>
  <c r="G20" i="12" s="1"/>
  <c r="R19" i="12" a="1"/>
  <c r="R19" i="12" s="1"/>
  <c r="Q19" i="12" a="1"/>
  <c r="Q19" i="12" s="1"/>
  <c r="P19" i="12" a="1"/>
  <c r="P19" i="12" s="1"/>
  <c r="O19" i="12" a="1"/>
  <c r="O19" i="12" s="1"/>
  <c r="N19" i="12" a="1"/>
  <c r="N19" i="12" s="1"/>
  <c r="M19" i="12" a="1"/>
  <c r="M19" i="12" s="1"/>
  <c r="L19" i="12" a="1"/>
  <c r="L19" i="12" s="1"/>
  <c r="K19" i="12" a="1"/>
  <c r="K19" i="12" s="1"/>
  <c r="J19" i="12" a="1"/>
  <c r="J19" i="12" s="1"/>
  <c r="I19" i="12" a="1"/>
  <c r="I19" i="12" s="1"/>
  <c r="H19" i="12" a="1"/>
  <c r="H19" i="12" s="1"/>
  <c r="G19" i="12" a="1"/>
  <c r="G19" i="12" s="1"/>
  <c r="S18" i="12" a="1"/>
  <c r="S18" i="12" s="1"/>
  <c r="R18" i="12" a="1"/>
  <c r="R18" i="12" s="1"/>
  <c r="Q18" i="12" a="1"/>
  <c r="Q18" i="12" s="1"/>
  <c r="P18" i="12" a="1"/>
  <c r="P18" i="12" s="1"/>
  <c r="O18" i="12" a="1"/>
  <c r="O18" i="12" s="1"/>
  <c r="N18" i="12" a="1"/>
  <c r="N18" i="12" s="1"/>
  <c r="M18" i="12" a="1"/>
  <c r="M18" i="12" s="1"/>
  <c r="L18" i="12" a="1"/>
  <c r="L18" i="12" s="1"/>
  <c r="K18" i="12" a="1"/>
  <c r="K18" i="12" s="1"/>
  <c r="J18" i="12" a="1"/>
  <c r="J18" i="12" s="1"/>
  <c r="I18" i="12" a="1"/>
  <c r="I18" i="12" s="1"/>
  <c r="H18" i="12" a="1"/>
  <c r="H18" i="12" s="1"/>
  <c r="G18" i="12" a="1"/>
  <c r="G18" i="12" s="1"/>
  <c r="S17" i="12" a="1"/>
  <c r="S17" i="12" s="1"/>
  <c r="R17" i="12" a="1"/>
  <c r="R17" i="12" s="1"/>
  <c r="Q17" i="12" a="1"/>
  <c r="Q17" i="12" s="1"/>
  <c r="P17" i="12" a="1"/>
  <c r="P17" i="12" s="1"/>
  <c r="O17" i="12" a="1"/>
  <c r="O17" i="12" s="1"/>
  <c r="N17" i="12" a="1"/>
  <c r="N17" i="12" s="1"/>
  <c r="M17" i="12" a="1"/>
  <c r="M17" i="12" s="1"/>
  <c r="L17" i="12" a="1"/>
  <c r="L17" i="12" s="1"/>
  <c r="K17" i="12" a="1"/>
  <c r="K17" i="12" s="1"/>
  <c r="J17" i="12" a="1"/>
  <c r="J17" i="12" s="1"/>
  <c r="I17" i="12" a="1"/>
  <c r="I17" i="12" s="1"/>
  <c r="H17" i="12" a="1"/>
  <c r="H17" i="12" s="1"/>
  <c r="G17" i="12" a="1"/>
  <c r="G17" i="12" s="1"/>
  <c r="R20" i="11" a="1"/>
  <c r="R20" i="11" s="1"/>
  <c r="Q20" i="11" a="1"/>
  <c r="Q20" i="11" s="1"/>
  <c r="P20" i="11" a="1"/>
  <c r="P20" i="11" s="1"/>
  <c r="O20" i="11" a="1"/>
  <c r="O20" i="11" s="1"/>
  <c r="N20" i="11" a="1"/>
  <c r="N20" i="11" s="1"/>
  <c r="M20" i="11" a="1"/>
  <c r="M20" i="11" s="1"/>
  <c r="L20" i="11" a="1"/>
  <c r="L20" i="11" s="1"/>
  <c r="K20" i="11" a="1"/>
  <c r="K20" i="11" s="1"/>
  <c r="J20" i="11" a="1"/>
  <c r="J20" i="11" s="1"/>
  <c r="I20" i="11" a="1"/>
  <c r="I20" i="11" s="1"/>
  <c r="H20" i="11" a="1"/>
  <c r="H20" i="11" s="1"/>
  <c r="G20" i="11" a="1"/>
  <c r="G20" i="11" s="1"/>
  <c r="R19" i="11" a="1"/>
  <c r="R19" i="11" s="1"/>
  <c r="Q19" i="11" a="1"/>
  <c r="Q19" i="11" s="1"/>
  <c r="P19" i="11" a="1"/>
  <c r="P19" i="11" s="1"/>
  <c r="O19" i="11" a="1"/>
  <c r="O19" i="11" s="1"/>
  <c r="N19" i="11" a="1"/>
  <c r="N19" i="11" s="1"/>
  <c r="M19" i="11" a="1"/>
  <c r="M19" i="11" s="1"/>
  <c r="L19" i="11" a="1"/>
  <c r="L19" i="11" s="1"/>
  <c r="K19" i="11" a="1"/>
  <c r="K19" i="11" s="1"/>
  <c r="J19" i="11" a="1"/>
  <c r="J19" i="11" s="1"/>
  <c r="I19" i="11" a="1"/>
  <c r="I19" i="11" s="1"/>
  <c r="H19" i="11" a="1"/>
  <c r="H19" i="11" s="1"/>
  <c r="G19" i="11" a="1"/>
  <c r="G19" i="11" s="1"/>
  <c r="R18" i="11" a="1"/>
  <c r="R18" i="11" s="1"/>
  <c r="Q18" i="11" a="1"/>
  <c r="Q18" i="11" s="1"/>
  <c r="P18" i="11" a="1"/>
  <c r="P18" i="11" s="1"/>
  <c r="O18" i="11" a="1"/>
  <c r="O18" i="11" s="1"/>
  <c r="N18" i="11" a="1"/>
  <c r="N18" i="11" s="1"/>
  <c r="M18" i="11" a="1"/>
  <c r="M18" i="11" s="1"/>
  <c r="L18" i="11" a="1"/>
  <c r="L18" i="11" s="1"/>
  <c r="K18" i="11" a="1"/>
  <c r="K18" i="11" s="1"/>
  <c r="J18" i="11" a="1"/>
  <c r="J18" i="11" s="1"/>
  <c r="I18" i="11" a="1"/>
  <c r="I18" i="11" s="1"/>
  <c r="H18" i="11" a="1"/>
  <c r="H18" i="11" s="1"/>
  <c r="G18" i="11" a="1"/>
  <c r="G18" i="11" s="1"/>
  <c r="R17" i="11" a="1"/>
  <c r="R17" i="11" s="1"/>
  <c r="Q17" i="11" a="1"/>
  <c r="Q17" i="11" s="1"/>
  <c r="P17" i="11" a="1"/>
  <c r="P17" i="11" s="1"/>
  <c r="O17" i="11" a="1"/>
  <c r="O17" i="11" s="1"/>
  <c r="N17" i="11" a="1"/>
  <c r="N17" i="11" s="1"/>
  <c r="M17" i="11" a="1"/>
  <c r="M17" i="11" s="1"/>
  <c r="L17" i="11" a="1"/>
  <c r="L17" i="11" s="1"/>
  <c r="K17" i="11" a="1"/>
  <c r="K17" i="11" s="1"/>
  <c r="J17" i="11" a="1"/>
  <c r="J17" i="11" s="1"/>
  <c r="I17" i="11" a="1"/>
  <c r="I17" i="11" s="1"/>
  <c r="H17" i="11" a="1"/>
  <c r="H17" i="11" s="1"/>
  <c r="G17" i="11" a="1"/>
  <c r="G17" i="11" s="1"/>
  <c r="S6" i="11"/>
  <c r="S7" i="11"/>
  <c r="S5" i="11"/>
  <c r="S18" i="11" s="1" a="1"/>
  <c r="S18" i="11" s="1"/>
  <c r="S3" i="11"/>
  <c r="S4" i="11"/>
  <c r="S2" i="11"/>
  <c r="S12" i="11"/>
  <c r="S13" i="11"/>
  <c r="S11" i="11"/>
  <c r="S9" i="11"/>
  <c r="S10" i="11"/>
  <c r="S8" i="11"/>
  <c r="S19" i="11" s="1" a="1"/>
  <c r="S19" i="11" s="1"/>
  <c r="S2" i="10"/>
  <c r="S3" i="10"/>
  <c r="S4" i="10"/>
  <c r="S5" i="10"/>
  <c r="S6" i="10"/>
  <c r="S17" i="10" s="1" a="1"/>
  <c r="S17" i="10" s="1"/>
  <c r="S7" i="10"/>
  <c r="S8" i="10"/>
  <c r="S9" i="10"/>
  <c r="S20" i="10" s="1" a="1"/>
  <c r="S20" i="10" s="1"/>
  <c r="S10" i="10"/>
  <c r="S11" i="10"/>
  <c r="S12" i="10"/>
  <c r="S13" i="10"/>
  <c r="R20" i="10" a="1"/>
  <c r="R20" i="10" s="1"/>
  <c r="Q20" i="10" a="1"/>
  <c r="Q20" i="10" s="1"/>
  <c r="P20" i="10"/>
  <c r="P20" i="10" a="1"/>
  <c r="O20" i="10" a="1"/>
  <c r="O20" i="10" s="1"/>
  <c r="N20" i="10" a="1"/>
  <c r="N20" i="10" s="1"/>
  <c r="M20" i="10" a="1"/>
  <c r="M20" i="10" s="1"/>
  <c r="L20" i="10"/>
  <c r="L20" i="10" a="1"/>
  <c r="K20" i="10" a="1"/>
  <c r="K20" i="10" s="1"/>
  <c r="J20" i="10" a="1"/>
  <c r="J20" i="10" s="1"/>
  <c r="I20" i="10" a="1"/>
  <c r="I20" i="10" s="1"/>
  <c r="H20" i="10" a="1"/>
  <c r="H20" i="10" s="1"/>
  <c r="G20" i="10" a="1"/>
  <c r="G20" i="10" s="1"/>
  <c r="S19" i="10" a="1"/>
  <c r="S19" i="10" s="1"/>
  <c r="R19" i="10" a="1"/>
  <c r="R19" i="10" s="1"/>
  <c r="Q19" i="10" a="1"/>
  <c r="Q19" i="10" s="1"/>
  <c r="P19" i="10" a="1"/>
  <c r="P19" i="10" s="1"/>
  <c r="O19" i="10" a="1"/>
  <c r="O19" i="10" s="1"/>
  <c r="N19" i="10" a="1"/>
  <c r="N19" i="10" s="1"/>
  <c r="M19" i="10" a="1"/>
  <c r="M19" i="10" s="1"/>
  <c r="L19" i="10" a="1"/>
  <c r="L19" i="10" s="1"/>
  <c r="K19" i="10" a="1"/>
  <c r="K19" i="10" s="1"/>
  <c r="J19" i="10" a="1"/>
  <c r="J19" i="10" s="1"/>
  <c r="I19" i="10"/>
  <c r="I19" i="10" a="1"/>
  <c r="H19" i="10" a="1"/>
  <c r="H19" i="10" s="1"/>
  <c r="G19" i="10" a="1"/>
  <c r="G19" i="10" s="1"/>
  <c r="S18" i="10" a="1"/>
  <c r="S18" i="10" s="1"/>
  <c r="R18" i="10"/>
  <c r="R18" i="10" a="1"/>
  <c r="Q18" i="10" a="1"/>
  <c r="Q18" i="10" s="1"/>
  <c r="P18" i="10" a="1"/>
  <c r="P18" i="10" s="1"/>
  <c r="O18" i="10" a="1"/>
  <c r="O18" i="10" s="1"/>
  <c r="N18" i="10" a="1"/>
  <c r="N18" i="10" s="1"/>
  <c r="M18" i="10" a="1"/>
  <c r="M18" i="10" s="1"/>
  <c r="L18" i="10" a="1"/>
  <c r="L18" i="10" s="1"/>
  <c r="K18" i="10" a="1"/>
  <c r="K18" i="10" s="1"/>
  <c r="J18" i="10" a="1"/>
  <c r="J18" i="10" s="1"/>
  <c r="I18" i="10" a="1"/>
  <c r="I18" i="10" s="1"/>
  <c r="H18" i="10" a="1"/>
  <c r="H18" i="10" s="1"/>
  <c r="G18" i="10" a="1"/>
  <c r="G18" i="10" s="1"/>
  <c r="R17" i="10" a="1"/>
  <c r="R17" i="10" s="1"/>
  <c r="Q17" i="10" a="1"/>
  <c r="Q17" i="10" s="1"/>
  <c r="P17" i="10" a="1"/>
  <c r="P17" i="10" s="1"/>
  <c r="O17" i="10" a="1"/>
  <c r="O17" i="10" s="1"/>
  <c r="N17" i="10" a="1"/>
  <c r="N17" i="10" s="1"/>
  <c r="M17" i="10" a="1"/>
  <c r="M17" i="10" s="1"/>
  <c r="L17" i="10" a="1"/>
  <c r="L17" i="10" s="1"/>
  <c r="K17" i="10" a="1"/>
  <c r="K17" i="10" s="1"/>
  <c r="J17" i="10" a="1"/>
  <c r="J17" i="10" s="1"/>
  <c r="I17" i="10" a="1"/>
  <c r="I17" i="10" s="1"/>
  <c r="H17" i="10" a="1"/>
  <c r="H17" i="10" s="1"/>
  <c r="G17" i="10" a="1"/>
  <c r="G17" i="10" s="1"/>
  <c r="R20" i="9" a="1"/>
  <c r="R20" i="9" s="1"/>
  <c r="Q20" i="9" a="1"/>
  <c r="Q20" i="9" s="1"/>
  <c r="P20" i="9" a="1"/>
  <c r="P20" i="9" s="1"/>
  <c r="O20" i="9" a="1"/>
  <c r="O20" i="9" s="1"/>
  <c r="N20" i="9" a="1"/>
  <c r="N20" i="9" s="1"/>
  <c r="M20" i="9" a="1"/>
  <c r="M20" i="9" s="1"/>
  <c r="L20" i="9" a="1"/>
  <c r="L20" i="9" s="1"/>
  <c r="K20" i="9" a="1"/>
  <c r="K20" i="9" s="1"/>
  <c r="J20" i="9" a="1"/>
  <c r="J20" i="9" s="1"/>
  <c r="I20" i="9" a="1"/>
  <c r="I20" i="9" s="1"/>
  <c r="H20" i="9" a="1"/>
  <c r="H20" i="9" s="1"/>
  <c r="G20" i="9" a="1"/>
  <c r="G20" i="9" s="1"/>
  <c r="R19" i="9" a="1"/>
  <c r="R19" i="9" s="1"/>
  <c r="Q19" i="9" a="1"/>
  <c r="Q19" i="9" s="1"/>
  <c r="P19" i="9" a="1"/>
  <c r="P19" i="9" s="1"/>
  <c r="O19" i="9" a="1"/>
  <c r="O19" i="9" s="1"/>
  <c r="N19" i="9" a="1"/>
  <c r="N19" i="9" s="1"/>
  <c r="M19" i="9" a="1"/>
  <c r="M19" i="9" s="1"/>
  <c r="L19" i="9" a="1"/>
  <c r="L19" i="9" s="1"/>
  <c r="K19" i="9" a="1"/>
  <c r="K19" i="9" s="1"/>
  <c r="J19" i="9" a="1"/>
  <c r="J19" i="9" s="1"/>
  <c r="I19" i="9" a="1"/>
  <c r="I19" i="9" s="1"/>
  <c r="H19" i="9" a="1"/>
  <c r="H19" i="9" s="1"/>
  <c r="G19" i="9" a="1"/>
  <c r="G19" i="9" s="1"/>
  <c r="R18" i="9" a="1"/>
  <c r="R18" i="9" s="1"/>
  <c r="Q18" i="9" a="1"/>
  <c r="Q18" i="9" s="1"/>
  <c r="P18" i="9" a="1"/>
  <c r="P18" i="9" s="1"/>
  <c r="O18" i="9" a="1"/>
  <c r="O18" i="9" s="1"/>
  <c r="N18" i="9" a="1"/>
  <c r="N18" i="9" s="1"/>
  <c r="M18" i="9" a="1"/>
  <c r="M18" i="9" s="1"/>
  <c r="L18" i="9" a="1"/>
  <c r="L18" i="9" s="1"/>
  <c r="K18" i="9" a="1"/>
  <c r="K18" i="9" s="1"/>
  <c r="J18" i="9" a="1"/>
  <c r="J18" i="9" s="1"/>
  <c r="I18" i="9" a="1"/>
  <c r="I18" i="9" s="1"/>
  <c r="H18" i="9" a="1"/>
  <c r="H18" i="9" s="1"/>
  <c r="G18" i="9" a="1"/>
  <c r="G18" i="9" s="1"/>
  <c r="R17" i="9" a="1"/>
  <c r="R17" i="9" s="1"/>
  <c r="Q17" i="9" a="1"/>
  <c r="Q17" i="9" s="1"/>
  <c r="P17" i="9" a="1"/>
  <c r="P17" i="9" s="1"/>
  <c r="O17" i="9" a="1"/>
  <c r="O17" i="9" s="1"/>
  <c r="N17" i="9" a="1"/>
  <c r="N17" i="9" s="1"/>
  <c r="M17" i="9" a="1"/>
  <c r="M17" i="9" s="1"/>
  <c r="L17" i="9" a="1"/>
  <c r="L17" i="9" s="1"/>
  <c r="K17" i="9" a="1"/>
  <c r="K17" i="9" s="1"/>
  <c r="J17" i="9" a="1"/>
  <c r="J17" i="9" s="1"/>
  <c r="I17" i="9" a="1"/>
  <c r="I17" i="9" s="1"/>
  <c r="H17" i="9" a="1"/>
  <c r="H17" i="9" s="1"/>
  <c r="G17" i="9" a="1"/>
  <c r="G17" i="9" s="1"/>
  <c r="S2" i="9"/>
  <c r="S17" i="9" s="1" a="1"/>
  <c r="S17" i="9" s="1"/>
  <c r="S3" i="9"/>
  <c r="S4" i="9"/>
  <c r="S5" i="9"/>
  <c r="S6" i="9"/>
  <c r="S7" i="9"/>
  <c r="S18" i="9" s="1" a="1"/>
  <c r="S18" i="9" s="1"/>
  <c r="S8" i="9"/>
  <c r="S19" i="9" s="1" a="1"/>
  <c r="S19" i="9" s="1"/>
  <c r="S9" i="9"/>
  <c r="S10" i="9"/>
  <c r="S11" i="9"/>
  <c r="S20" i="9" s="1" a="1"/>
  <c r="S20" i="9" s="1"/>
  <c r="S12" i="9"/>
  <c r="S13" i="9"/>
  <c r="R20" i="8" a="1"/>
  <c r="R20" i="8" s="1"/>
  <c r="Q20" i="8" a="1"/>
  <c r="Q20" i="8" s="1"/>
  <c r="P20" i="8" a="1"/>
  <c r="P20" i="8" s="1"/>
  <c r="O20" i="8" a="1"/>
  <c r="O20" i="8" s="1"/>
  <c r="N20" i="8" a="1"/>
  <c r="N20" i="8" s="1"/>
  <c r="M20" i="8" a="1"/>
  <c r="M20" i="8" s="1"/>
  <c r="L20" i="8" a="1"/>
  <c r="L20" i="8" s="1"/>
  <c r="K20" i="8" a="1"/>
  <c r="K20" i="8" s="1"/>
  <c r="J20" i="8" a="1"/>
  <c r="J20" i="8" s="1"/>
  <c r="I20" i="8" a="1"/>
  <c r="I20" i="8" s="1"/>
  <c r="H20" i="8"/>
  <c r="H20" i="8" a="1"/>
  <c r="G20" i="8" a="1"/>
  <c r="G20" i="8" s="1"/>
  <c r="R19" i="8" a="1"/>
  <c r="R19" i="8" s="1"/>
  <c r="Q19" i="8" a="1"/>
  <c r="Q19" i="8" s="1"/>
  <c r="P19" i="8" a="1"/>
  <c r="P19" i="8" s="1"/>
  <c r="O19" i="8" a="1"/>
  <c r="O19" i="8" s="1"/>
  <c r="N19" i="8" a="1"/>
  <c r="N19" i="8" s="1"/>
  <c r="M19" i="8" a="1"/>
  <c r="M19" i="8" s="1"/>
  <c r="L19" i="8" a="1"/>
  <c r="L19" i="8" s="1"/>
  <c r="K19" i="8" a="1"/>
  <c r="K19" i="8" s="1"/>
  <c r="J19" i="8" a="1"/>
  <c r="J19" i="8" s="1"/>
  <c r="I19" i="8" a="1"/>
  <c r="I19" i="8" s="1"/>
  <c r="H19" i="8" a="1"/>
  <c r="H19" i="8" s="1"/>
  <c r="G19" i="8" a="1"/>
  <c r="G19" i="8" s="1"/>
  <c r="S18" i="8" a="1"/>
  <c r="S18" i="8" s="1"/>
  <c r="R18" i="8" a="1"/>
  <c r="R18" i="8" s="1"/>
  <c r="Q18" i="8" a="1"/>
  <c r="Q18" i="8" s="1"/>
  <c r="P18" i="8" a="1"/>
  <c r="P18" i="8" s="1"/>
  <c r="O18" i="8" a="1"/>
  <c r="O18" i="8" s="1"/>
  <c r="N18" i="8" a="1"/>
  <c r="N18" i="8" s="1"/>
  <c r="M18" i="8" a="1"/>
  <c r="M18" i="8" s="1"/>
  <c r="L18" i="8" a="1"/>
  <c r="L18" i="8" s="1"/>
  <c r="K18" i="8" a="1"/>
  <c r="K18" i="8" s="1"/>
  <c r="J18" i="8" a="1"/>
  <c r="J18" i="8" s="1"/>
  <c r="I18" i="8" a="1"/>
  <c r="I18" i="8" s="1"/>
  <c r="H18" i="8" a="1"/>
  <c r="H18" i="8" s="1"/>
  <c r="G18" i="8" a="1"/>
  <c r="G18" i="8" s="1"/>
  <c r="R17" i="8" a="1"/>
  <c r="R17" i="8" s="1"/>
  <c r="Q17" i="8" a="1"/>
  <c r="Q17" i="8" s="1"/>
  <c r="P17" i="8" a="1"/>
  <c r="P17" i="8" s="1"/>
  <c r="O17" i="8" a="1"/>
  <c r="O17" i="8" s="1"/>
  <c r="N17" i="8" a="1"/>
  <c r="N17" i="8" s="1"/>
  <c r="M17" i="8" a="1"/>
  <c r="M17" i="8" s="1"/>
  <c r="L17" i="8" a="1"/>
  <c r="L17" i="8" s="1"/>
  <c r="K17" i="8" a="1"/>
  <c r="K17" i="8" s="1"/>
  <c r="J17" i="8" a="1"/>
  <c r="J17" i="8" s="1"/>
  <c r="I17" i="8" a="1"/>
  <c r="I17" i="8" s="1"/>
  <c r="H17" i="8" a="1"/>
  <c r="H17" i="8" s="1"/>
  <c r="G17" i="8" a="1"/>
  <c r="G17" i="8" s="1"/>
  <c r="S2" i="8"/>
  <c r="S17" i="8" s="1" a="1"/>
  <c r="S17" i="8" s="1"/>
  <c r="S3" i="8"/>
  <c r="S4" i="8"/>
  <c r="S5" i="8"/>
  <c r="S6" i="8"/>
  <c r="S7" i="8"/>
  <c r="S8" i="8"/>
  <c r="S19" i="8" s="1" a="1"/>
  <c r="S19" i="8" s="1"/>
  <c r="S9" i="8"/>
  <c r="S10" i="8"/>
  <c r="S11" i="8"/>
  <c r="S20" i="8" s="1" a="1"/>
  <c r="S20" i="8" s="1"/>
  <c r="S12" i="8"/>
  <c r="S13" i="8"/>
  <c r="R20" i="7" a="1"/>
  <c r="R20" i="7" s="1"/>
  <c r="Q20" i="7" a="1"/>
  <c r="Q20" i="7" s="1"/>
  <c r="P20" i="7" a="1"/>
  <c r="P20" i="7" s="1"/>
  <c r="O20" i="7" a="1"/>
  <c r="O20" i="7" s="1"/>
  <c r="N20" i="7" a="1"/>
  <c r="N20" i="7" s="1"/>
  <c r="M20" i="7" a="1"/>
  <c r="M20" i="7" s="1"/>
  <c r="L20" i="7" a="1"/>
  <c r="L20" i="7" s="1"/>
  <c r="K20" i="7" a="1"/>
  <c r="K20" i="7" s="1"/>
  <c r="J20" i="7" a="1"/>
  <c r="J20" i="7" s="1"/>
  <c r="I20" i="7" a="1"/>
  <c r="I20" i="7" s="1"/>
  <c r="H20" i="7" a="1"/>
  <c r="H20" i="7" s="1"/>
  <c r="G20" i="7" a="1"/>
  <c r="G20" i="7" s="1"/>
  <c r="S19" i="7" a="1"/>
  <c r="S19" i="7" s="1"/>
  <c r="R19" i="7" a="1"/>
  <c r="R19" i="7" s="1"/>
  <c r="Q19" i="7" a="1"/>
  <c r="Q19" i="7" s="1"/>
  <c r="P19" i="7" a="1"/>
  <c r="P19" i="7" s="1"/>
  <c r="O19" i="7" a="1"/>
  <c r="O19" i="7" s="1"/>
  <c r="N19" i="7" a="1"/>
  <c r="N19" i="7" s="1"/>
  <c r="M19" i="7" a="1"/>
  <c r="M19" i="7" s="1"/>
  <c r="L19" i="7" a="1"/>
  <c r="L19" i="7" s="1"/>
  <c r="K19" i="7" a="1"/>
  <c r="K19" i="7" s="1"/>
  <c r="J19" i="7" a="1"/>
  <c r="J19" i="7" s="1"/>
  <c r="I19" i="7" a="1"/>
  <c r="I19" i="7" s="1"/>
  <c r="H19" i="7" a="1"/>
  <c r="H19" i="7" s="1"/>
  <c r="G19" i="7" a="1"/>
  <c r="G19" i="7" s="1"/>
  <c r="R18" i="7" a="1"/>
  <c r="R18" i="7" s="1"/>
  <c r="Q18" i="7" a="1"/>
  <c r="Q18" i="7" s="1"/>
  <c r="P18" i="7" a="1"/>
  <c r="P18" i="7" s="1"/>
  <c r="O18" i="7" a="1"/>
  <c r="O18" i="7" s="1"/>
  <c r="N18" i="7" a="1"/>
  <c r="N18" i="7" s="1"/>
  <c r="M18" i="7" a="1"/>
  <c r="M18" i="7" s="1"/>
  <c r="L18" i="7" a="1"/>
  <c r="L18" i="7" s="1"/>
  <c r="K18" i="7" a="1"/>
  <c r="K18" i="7" s="1"/>
  <c r="J18" i="7" a="1"/>
  <c r="J18" i="7" s="1"/>
  <c r="I18" i="7" a="1"/>
  <c r="I18" i="7" s="1"/>
  <c r="H18" i="7" a="1"/>
  <c r="H18" i="7" s="1"/>
  <c r="G18" i="7" a="1"/>
  <c r="G18" i="7" s="1"/>
  <c r="S17" i="7" a="1"/>
  <c r="S17" i="7" s="1"/>
  <c r="R17" i="7" a="1"/>
  <c r="R17" i="7" s="1"/>
  <c r="Q17" i="7" a="1"/>
  <c r="Q17" i="7" s="1"/>
  <c r="P17" i="7" a="1"/>
  <c r="P17" i="7" s="1"/>
  <c r="O17" i="7" a="1"/>
  <c r="O17" i="7" s="1"/>
  <c r="N17" i="7" a="1"/>
  <c r="N17" i="7" s="1"/>
  <c r="M17" i="7" a="1"/>
  <c r="M17" i="7" s="1"/>
  <c r="L17" i="7" a="1"/>
  <c r="L17" i="7" s="1"/>
  <c r="K17" i="7" a="1"/>
  <c r="K17" i="7" s="1"/>
  <c r="J17" i="7" a="1"/>
  <c r="J17" i="7" s="1"/>
  <c r="I17" i="7" a="1"/>
  <c r="I17" i="7" s="1"/>
  <c r="H17" i="7" a="1"/>
  <c r="H17" i="7" s="1"/>
  <c r="G17" i="7" a="1"/>
  <c r="G17" i="7" s="1"/>
  <c r="S2" i="7"/>
  <c r="S3" i="7"/>
  <c r="S4" i="7"/>
  <c r="S5" i="7"/>
  <c r="S18" i="7" s="1" a="1"/>
  <c r="S18" i="7" s="1"/>
  <c r="S6" i="7"/>
  <c r="S7" i="7"/>
  <c r="S8" i="7"/>
  <c r="S9" i="7"/>
  <c r="S10" i="7"/>
  <c r="S11" i="7"/>
  <c r="S20" i="7" s="1" a="1"/>
  <c r="S20" i="7" s="1"/>
  <c r="S12" i="7"/>
  <c r="S13" i="7"/>
  <c r="H17" i="6" a="1"/>
  <c r="H17" i="6" s="1"/>
  <c r="I17" i="6" a="1"/>
  <c r="I17" i="6" s="1"/>
  <c r="J17" i="6" a="1"/>
  <c r="J17" i="6" s="1"/>
  <c r="K17" i="6" a="1"/>
  <c r="K17" i="6" s="1"/>
  <c r="L17" i="6" a="1"/>
  <c r="L17" i="6" s="1"/>
  <c r="M17" i="6" a="1"/>
  <c r="M17" i="6" s="1"/>
  <c r="N17" i="6" a="1"/>
  <c r="N17" i="6" s="1"/>
  <c r="O17" i="6" a="1"/>
  <c r="O17" i="6" s="1"/>
  <c r="P17" i="6" a="1"/>
  <c r="P17" i="6" s="1"/>
  <c r="Q17" i="6" a="1"/>
  <c r="Q17" i="6" s="1"/>
  <c r="R17" i="6" a="1"/>
  <c r="R17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M18" i="6" a="1"/>
  <c r="M18" i="6" s="1"/>
  <c r="N18" i="6" a="1"/>
  <c r="N18" i="6" s="1"/>
  <c r="O18" i="6" a="1"/>
  <c r="O18" i="6" s="1"/>
  <c r="P18" i="6" a="1"/>
  <c r="P18" i="6" s="1"/>
  <c r="Q18" i="6" a="1"/>
  <c r="Q18" i="6" s="1"/>
  <c r="R18" i="6" a="1"/>
  <c r="R18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Q19" i="6" a="1"/>
  <c r="Q19" i="6" s="1"/>
  <c r="R19" i="6" a="1"/>
  <c r="R19" i="6" s="1"/>
  <c r="H20" i="6" a="1"/>
  <c r="H20" i="6" s="1"/>
  <c r="I20" i="6" a="1"/>
  <c r="I20" i="6" s="1"/>
  <c r="J20" i="6" a="1"/>
  <c r="J20" i="6" s="1"/>
  <c r="K20" i="6" a="1"/>
  <c r="K20" i="6" s="1"/>
  <c r="L20" i="6" a="1"/>
  <c r="L20" i="6" s="1"/>
  <c r="M20" i="6" a="1"/>
  <c r="M20" i="6" s="1"/>
  <c r="N20" i="6" a="1"/>
  <c r="N20" i="6" s="1"/>
  <c r="O20" i="6" a="1"/>
  <c r="O20" i="6" s="1"/>
  <c r="P20" i="6" a="1"/>
  <c r="P20" i="6" s="1"/>
  <c r="Q20" i="6" a="1"/>
  <c r="Q20" i="6" s="1"/>
  <c r="R20" i="6" a="1"/>
  <c r="R20" i="6" s="1"/>
  <c r="G20" i="6" a="1"/>
  <c r="G20" i="6" s="1"/>
  <c r="G19" i="6" a="1"/>
  <c r="G19" i="6" s="1"/>
  <c r="G18" i="6" a="1"/>
  <c r="G18" i="6" s="1"/>
  <c r="G17" i="6" a="1"/>
  <c r="G17" i="6" s="1"/>
  <c r="S3" i="6"/>
  <c r="S4" i="6"/>
  <c r="S2" i="6"/>
  <c r="S17" i="6" s="1" a="1"/>
  <c r="S17" i="6" s="1"/>
  <c r="S9" i="6"/>
  <c r="S10" i="6"/>
  <c r="S8" i="6"/>
  <c r="S19" i="6" s="1" a="1"/>
  <c r="S19" i="6" s="1"/>
  <c r="S6" i="6"/>
  <c r="S7" i="6"/>
  <c r="S5" i="6"/>
  <c r="S18" i="6" s="1" a="1"/>
  <c r="S18" i="6" s="1"/>
  <c r="S12" i="6"/>
  <c r="S13" i="6"/>
  <c r="S11" i="6"/>
  <c r="S20" i="6" s="1" a="1"/>
  <c r="S20" i="6" s="1"/>
  <c r="S19" i="14" l="1" a="1"/>
  <c r="S19" i="14" s="1"/>
  <c r="S19" i="13" a="1"/>
  <c r="S19" i="13" s="1"/>
  <c r="S17" i="11" a="1"/>
  <c r="S17" i="11" s="1"/>
  <c r="S20" i="11" a="1"/>
  <c r="S20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<sst xmlns="http://schemas.openxmlformats.org/spreadsheetml/2006/main" count="859" uniqueCount="44">
  <si>
    <t>lang</t>
  </si>
  <si>
    <t>attribute</t>
  </si>
  <si>
    <t>supplement</t>
  </si>
  <si>
    <t>method</t>
  </si>
  <si>
    <t>max</t>
  </si>
  <si>
    <t>plurality</t>
  </si>
  <si>
    <t>NN</t>
  </si>
  <si>
    <t>RF</t>
  </si>
  <si>
    <t>DT</t>
  </si>
  <si>
    <t>gender</t>
  </si>
  <si>
    <t>attribute.index</t>
  </si>
  <si>
    <t>method.index</t>
  </si>
  <si>
    <t>metric</t>
  </si>
  <si>
    <t>supplemented</t>
  </si>
  <si>
    <t>2g-no-hash</t>
  </si>
  <si>
    <t>3g-no-hash</t>
  </si>
  <si>
    <t>4g-no-hash</t>
  </si>
  <si>
    <t>sk2g-no-hash</t>
  </si>
  <si>
    <t>sk3g-no-hash</t>
  </si>
  <si>
    <t>sk4g-no-hash</t>
  </si>
  <si>
    <t>2g-hash-at-both</t>
  </si>
  <si>
    <t>3g-hash-at-both</t>
  </si>
  <si>
    <t>4g-hash-at-both</t>
  </si>
  <si>
    <t>sk2g-hash-at-both</t>
  </si>
  <si>
    <t>sk3g-hash-at-both</t>
  </si>
  <si>
    <t>sk4g-hash-at-both</t>
  </si>
  <si>
    <t>French</t>
  </si>
  <si>
    <t>sk4gram-no-hash</t>
  </si>
  <si>
    <t>sk3gram-no-hash</t>
  </si>
  <si>
    <t>sk2gram-no-hash</t>
  </si>
  <si>
    <t>4gram-no-hash</t>
  </si>
  <si>
    <t>3gram-no-hash</t>
  </si>
  <si>
    <t>2gram-no-hash</t>
  </si>
  <si>
    <t>sk4gram-hash-at-both</t>
  </si>
  <si>
    <t>sk3gram-hash-at-both</t>
  </si>
  <si>
    <t>sk2gram-hash-at-both</t>
  </si>
  <si>
    <t>4gram-hash-at-both</t>
  </si>
  <si>
    <t>3gram-hash-at-both</t>
  </si>
  <si>
    <t>2gram-hash-at-both</t>
  </si>
  <si>
    <t>sample.n</t>
  </si>
  <si>
    <t>mgv</t>
  </si>
  <si>
    <t>skippiness</t>
  </si>
  <si>
    <t>sk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</si>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</sst>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3"/>
      <color theme="1"/>
      <name val="LucidaSansUnicode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2" borderId="1" xfId="0" applyNumberFormat="1" applyFill="1" applyBorder="1"/>
    <xf numFmtId="2" fontId="0" fillId="2" borderId="0" xfId="0" applyNumberFormat="1" applyFill="1"/>
    <xf numFmtId="2" fontId="0" fillId="2" borderId="0" xfId="0" applyNumberFormat="1" applyFill="1" applyBorder="1"/>
  </cellXfs>
  <cellStyles count="1">
    <cellStyle name="Normal" xfId="0" builtinId="0"/>
  </cellStyles>
  <dxfs count="248"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French</a:t>
            </a:r>
            <a:r>
              <a:rPr lang="ja-JP" altLang="en-US" baseline="0"/>
              <a:t> </a:t>
            </a:r>
            <a:r>
              <a:rPr lang="en-US" altLang="ja-JP" baseline="0"/>
              <a:t>sk-based</a:t>
            </a:r>
            <a:r>
              <a:rPr lang="ja-JP" altLang="en-US" baseline="0"/>
              <a:t> </a:t>
            </a:r>
            <a:r>
              <a:rPr lang="en-US" altLang="ja-JP" baseline="0"/>
              <a:t>max</a:t>
            </a:r>
            <a:r>
              <a:rPr lang="ja-JP" altLang="en-US" baseline="0"/>
              <a:t> </a:t>
            </a:r>
            <a:r>
              <a:rPr lang="en-US" altLang="ja-JP" baseline="0"/>
              <a:t>accuracy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summarized!$J$1</c:f>
              <c:strCache>
                <c:ptCount val="1"/>
                <c:pt idx="0">
                  <c:v>2g-no-hash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"/>
                <c:pt idx="0">
                  <c:v>plu-spl:T-mgv:3-sn:1.2k</c:v>
                </c:pt>
                <c:pt idx="1">
                  <c:v>plu-spl:T-mgv:6-sn:1.2k</c:v>
                </c:pt>
                <c:pt idx="2">
                  <c:v>plu-spl:T-mgv:9-sn:1.2k</c:v>
                </c:pt>
              </c:strCache>
            </c:strRef>
          </c:cat>
          <c:val>
            <c:numRef>
              <c:f>summarized!$J$2:$J$37</c:f>
              <c:numCache>
                <c:formatCode>0.00</c:formatCode>
                <c:ptCount val="3"/>
                <c:pt idx="0">
                  <c:v>0.91</c:v>
                </c:pt>
                <c:pt idx="1">
                  <c:v>0.93</c:v>
                </c:pt>
                <c:pt idx="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4-894B-818A-CF7B460DAFA5}"/>
            </c:ext>
          </c:extLst>
        </c:ser>
        <c:ser>
          <c:idx val="1"/>
          <c:order val="1"/>
          <c:tx>
            <c:strRef>
              <c:f>summarized!$K$1</c:f>
              <c:strCache>
                <c:ptCount val="1"/>
                <c:pt idx="0">
                  <c:v>3g-no-hash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"/>
                <c:pt idx="0">
                  <c:v>plu-spl:T-mgv:3-sn:1.2k</c:v>
                </c:pt>
                <c:pt idx="1">
                  <c:v>plu-spl:T-mgv:6-sn:1.2k</c:v>
                </c:pt>
                <c:pt idx="2">
                  <c:v>plu-spl:T-mgv:9-sn:1.2k</c:v>
                </c:pt>
              </c:strCache>
            </c:strRef>
          </c:cat>
          <c:val>
            <c:numRef>
              <c:f>summarized!$K$2:$K$37</c:f>
              <c:numCache>
                <c:formatCode>0.00</c:formatCode>
                <c:ptCount val="3"/>
                <c:pt idx="0">
                  <c:v>0.97</c:v>
                </c:pt>
                <c:pt idx="1">
                  <c:v>0.93</c:v>
                </c:pt>
                <c:pt idx="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4-894B-818A-CF7B460DAFA5}"/>
            </c:ext>
          </c:extLst>
        </c:ser>
        <c:ser>
          <c:idx val="2"/>
          <c:order val="2"/>
          <c:tx>
            <c:strRef>
              <c:f>summarized!$L$1</c:f>
              <c:strCache>
                <c:ptCount val="1"/>
                <c:pt idx="0">
                  <c:v>4g-no-hash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"/>
                <c:pt idx="0">
                  <c:v>plu-spl:T-mgv:3-sn:1.2k</c:v>
                </c:pt>
                <c:pt idx="1">
                  <c:v>plu-spl:T-mgv:6-sn:1.2k</c:v>
                </c:pt>
                <c:pt idx="2">
                  <c:v>plu-spl:T-mgv:9-sn:1.2k</c:v>
                </c:pt>
              </c:strCache>
            </c:strRef>
          </c:cat>
          <c:val>
            <c:numRef>
              <c:f>summarized!$L$2:$L$37</c:f>
              <c:numCache>
                <c:formatCode>0.00</c:formatCode>
                <c:ptCount val="3"/>
                <c:pt idx="0">
                  <c:v>0.92</c:v>
                </c:pt>
                <c:pt idx="1">
                  <c:v>0.95</c:v>
                </c:pt>
                <c:pt idx="2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B4-894B-818A-CF7B460DAFA5}"/>
            </c:ext>
          </c:extLst>
        </c:ser>
        <c:ser>
          <c:idx val="3"/>
          <c:order val="3"/>
          <c:tx>
            <c:strRef>
              <c:f>summarized!$M$1</c:f>
              <c:strCache>
                <c:ptCount val="1"/>
                <c:pt idx="0">
                  <c:v>sk2g-no-hash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"/>
                <c:pt idx="0">
                  <c:v>plu-spl:T-mgv:3-sn:1.2k</c:v>
                </c:pt>
                <c:pt idx="1">
                  <c:v>plu-spl:T-mgv:6-sn:1.2k</c:v>
                </c:pt>
                <c:pt idx="2">
                  <c:v>plu-spl:T-mgv:9-sn:1.2k</c:v>
                </c:pt>
              </c:strCache>
            </c:strRef>
          </c:cat>
          <c:val>
            <c:numRef>
              <c:f>summarized!$M$2:$M$37</c:f>
              <c:numCache>
                <c:formatCode>0.00</c:formatCode>
                <c:ptCount val="3"/>
                <c:pt idx="0">
                  <c:v>0.93</c:v>
                </c:pt>
                <c:pt idx="1">
                  <c:v>0.96</c:v>
                </c:pt>
                <c:pt idx="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B4-894B-818A-CF7B460DAFA5}"/>
            </c:ext>
          </c:extLst>
        </c:ser>
        <c:ser>
          <c:idx val="4"/>
          <c:order val="4"/>
          <c:tx>
            <c:strRef>
              <c:f>summarized!$N$1</c:f>
              <c:strCache>
                <c:ptCount val="1"/>
                <c:pt idx="0">
                  <c:v>sk3g-no-hash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"/>
                <c:pt idx="0">
                  <c:v>plu-spl:T-mgv:3-sn:1.2k</c:v>
                </c:pt>
                <c:pt idx="1">
                  <c:v>plu-spl:T-mgv:6-sn:1.2k</c:v>
                </c:pt>
                <c:pt idx="2">
                  <c:v>plu-spl:T-mgv:9-sn:1.2k</c:v>
                </c:pt>
              </c:strCache>
            </c:strRef>
          </c:cat>
          <c:val>
            <c:numRef>
              <c:f>summarized!$N$2:$N$37</c:f>
              <c:numCache>
                <c:formatCode>0.00</c:formatCode>
                <c:ptCount val="3"/>
                <c:pt idx="0">
                  <c:v>0.95</c:v>
                </c:pt>
                <c:pt idx="1">
                  <c:v>0.95</c:v>
                </c:pt>
                <c:pt idx="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B4-894B-818A-CF7B460DAFA5}"/>
            </c:ext>
          </c:extLst>
        </c:ser>
        <c:ser>
          <c:idx val="5"/>
          <c:order val="5"/>
          <c:tx>
            <c:strRef>
              <c:f>summarized!$O$1</c:f>
              <c:strCache>
                <c:ptCount val="1"/>
                <c:pt idx="0">
                  <c:v>sk4g-no-hash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"/>
                <c:pt idx="0">
                  <c:v>plu-spl:T-mgv:3-sn:1.2k</c:v>
                </c:pt>
                <c:pt idx="1">
                  <c:v>plu-spl:T-mgv:6-sn:1.2k</c:v>
                </c:pt>
                <c:pt idx="2">
                  <c:v>plu-spl:T-mgv:9-sn:1.2k</c:v>
                </c:pt>
              </c:strCache>
            </c:strRef>
          </c:cat>
          <c:val>
            <c:numRef>
              <c:f>summarized!$O$2:$O$37</c:f>
              <c:numCache>
                <c:formatCode>0.00</c:formatCode>
                <c:ptCount val="3"/>
                <c:pt idx="0">
                  <c:v>0.93</c:v>
                </c:pt>
                <c:pt idx="1">
                  <c:v>0.93</c:v>
                </c:pt>
                <c:pt idx="2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B4-894B-818A-CF7B460DAFA5}"/>
            </c:ext>
          </c:extLst>
        </c:ser>
        <c:ser>
          <c:idx val="6"/>
          <c:order val="6"/>
          <c:tx>
            <c:strRef>
              <c:f>summarized!$P$1</c:f>
              <c:strCache>
                <c:ptCount val="1"/>
                <c:pt idx="0">
                  <c:v>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"/>
                <c:pt idx="0">
                  <c:v>plu-spl:T-mgv:3-sn:1.2k</c:v>
                </c:pt>
                <c:pt idx="1">
                  <c:v>plu-spl:T-mgv:6-sn:1.2k</c:v>
                </c:pt>
                <c:pt idx="2">
                  <c:v>plu-spl:T-mgv:9-sn:1.2k</c:v>
                </c:pt>
              </c:strCache>
            </c:strRef>
          </c:cat>
          <c:val>
            <c:numRef>
              <c:f>summarized!$P$2:$P$37</c:f>
              <c:numCache>
                <c:formatCode>0.00</c:formatCode>
                <c:ptCount val="3"/>
                <c:pt idx="0">
                  <c:v>0.96</c:v>
                </c:pt>
                <c:pt idx="1">
                  <c:v>0.93</c:v>
                </c:pt>
                <c:pt idx="2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B4-894B-818A-CF7B460DAFA5}"/>
            </c:ext>
          </c:extLst>
        </c:ser>
        <c:ser>
          <c:idx val="7"/>
          <c:order val="7"/>
          <c:tx>
            <c:strRef>
              <c:f>summarized!$Q$1</c:f>
              <c:strCache>
                <c:ptCount val="1"/>
                <c:pt idx="0">
                  <c:v>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"/>
                <c:pt idx="0">
                  <c:v>plu-spl:T-mgv:3-sn:1.2k</c:v>
                </c:pt>
                <c:pt idx="1">
                  <c:v>plu-spl:T-mgv:6-sn:1.2k</c:v>
                </c:pt>
                <c:pt idx="2">
                  <c:v>plu-spl:T-mgv:9-sn:1.2k</c:v>
                </c:pt>
              </c:strCache>
            </c:strRef>
          </c:cat>
          <c:val>
            <c:numRef>
              <c:f>summarized!$Q$2:$Q$37</c:f>
              <c:numCache>
                <c:formatCode>0.00</c:formatCode>
                <c:ptCount val="3"/>
                <c:pt idx="0">
                  <c:v>0.93</c:v>
                </c:pt>
                <c:pt idx="1">
                  <c:v>0.93</c:v>
                </c:pt>
                <c:pt idx="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AB4-894B-818A-CF7B460DAFA5}"/>
            </c:ext>
          </c:extLst>
        </c:ser>
        <c:ser>
          <c:idx val="8"/>
          <c:order val="8"/>
          <c:tx>
            <c:strRef>
              <c:f>summarized!$R$1</c:f>
              <c:strCache>
                <c:ptCount val="1"/>
                <c:pt idx="0">
                  <c:v>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"/>
                <c:pt idx="0">
                  <c:v>plu-spl:T-mgv:3-sn:1.2k</c:v>
                </c:pt>
                <c:pt idx="1">
                  <c:v>plu-spl:T-mgv:6-sn:1.2k</c:v>
                </c:pt>
                <c:pt idx="2">
                  <c:v>plu-spl:T-mgv:9-sn:1.2k</c:v>
                </c:pt>
              </c:strCache>
            </c:strRef>
          </c:cat>
          <c:val>
            <c:numRef>
              <c:f>summarized!$R$2:$R$37</c:f>
              <c:numCache>
                <c:formatCode>0.00</c:formatCode>
                <c:ptCount val="3"/>
                <c:pt idx="0">
                  <c:v>0.94</c:v>
                </c:pt>
                <c:pt idx="1">
                  <c:v>0.93</c:v>
                </c:pt>
                <c:pt idx="2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B4-894B-818A-CF7B460DAFA5}"/>
            </c:ext>
          </c:extLst>
        </c:ser>
        <c:ser>
          <c:idx val="9"/>
          <c:order val="9"/>
          <c:tx>
            <c:strRef>
              <c:f>summarized!$S$1</c:f>
              <c:strCache>
                <c:ptCount val="1"/>
                <c:pt idx="0">
                  <c:v>sk2g-hash-at-both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"/>
                <c:pt idx="0">
                  <c:v>plu-spl:T-mgv:3-sn:1.2k</c:v>
                </c:pt>
                <c:pt idx="1">
                  <c:v>plu-spl:T-mgv:6-sn:1.2k</c:v>
                </c:pt>
                <c:pt idx="2">
                  <c:v>plu-spl:T-mgv:9-sn:1.2k</c:v>
                </c:pt>
              </c:strCache>
            </c:strRef>
          </c:cat>
          <c:val>
            <c:numRef>
              <c:f>summarized!$S$2:$S$37</c:f>
              <c:numCache>
                <c:formatCode>0.00</c:formatCode>
                <c:ptCount val="3"/>
                <c:pt idx="0">
                  <c:v>0.93</c:v>
                </c:pt>
                <c:pt idx="1">
                  <c:v>0.96</c:v>
                </c:pt>
                <c:pt idx="2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AB4-894B-818A-CF7B460DAFA5}"/>
            </c:ext>
          </c:extLst>
        </c:ser>
        <c:ser>
          <c:idx val="10"/>
          <c:order val="10"/>
          <c:tx>
            <c:strRef>
              <c:f>summarized!$T$1</c:f>
              <c:strCache>
                <c:ptCount val="1"/>
                <c:pt idx="0">
                  <c:v>sk3g-hash-at-both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"/>
                <c:pt idx="0">
                  <c:v>plu-spl:T-mgv:3-sn:1.2k</c:v>
                </c:pt>
                <c:pt idx="1">
                  <c:v>plu-spl:T-mgv:6-sn:1.2k</c:v>
                </c:pt>
                <c:pt idx="2">
                  <c:v>plu-spl:T-mgv:9-sn:1.2k</c:v>
                </c:pt>
              </c:strCache>
            </c:strRef>
          </c:cat>
          <c:val>
            <c:numRef>
              <c:f>summarized!$T$2:$T$37</c:f>
              <c:numCache>
                <c:formatCode>0.00</c:formatCode>
                <c:ptCount val="3"/>
                <c:pt idx="0">
                  <c:v>0.93</c:v>
                </c:pt>
                <c:pt idx="1">
                  <c:v>0.95</c:v>
                </c:pt>
                <c:pt idx="2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AB4-894B-818A-CF7B460DAFA5}"/>
            </c:ext>
          </c:extLst>
        </c:ser>
        <c:ser>
          <c:idx val="11"/>
          <c:order val="11"/>
          <c:tx>
            <c:strRef>
              <c:f>summarized!$U$1</c:f>
              <c:strCache>
                <c:ptCount val="1"/>
                <c:pt idx="0">
                  <c:v>sk4g-hash-at-both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"/>
                <c:pt idx="0">
                  <c:v>plu-spl:T-mgv:3-sn:1.2k</c:v>
                </c:pt>
                <c:pt idx="1">
                  <c:v>plu-spl:T-mgv:6-sn:1.2k</c:v>
                </c:pt>
                <c:pt idx="2">
                  <c:v>plu-spl:T-mgv:9-sn:1.2k</c:v>
                </c:pt>
              </c:strCache>
            </c:strRef>
          </c:cat>
          <c:val>
            <c:numRef>
              <c:f>summarized!$U$2:$U$37</c:f>
              <c:numCache>
                <c:formatCode>0.00</c:formatCode>
                <c:ptCount val="3"/>
                <c:pt idx="0">
                  <c:v>0.89</c:v>
                </c:pt>
                <c:pt idx="1">
                  <c:v>0.93</c:v>
                </c:pt>
                <c:pt idx="2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AB4-894B-818A-CF7B460DA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316207"/>
        <c:axId val="1170317919"/>
      </c:lineChart>
      <c:catAx>
        <c:axId val="117031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170317919"/>
        <c:crosses val="autoZero"/>
        <c:auto val="1"/>
        <c:lblAlgn val="ctr"/>
        <c:lblOffset val="100"/>
        <c:noMultiLvlLbl val="0"/>
      </c:catAx>
      <c:valAx>
        <c:axId val="117031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17031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812800</xdr:colOff>
      <xdr:row>0</xdr:row>
      <xdr:rowOff>292100</xdr:rowOff>
    </xdr:from>
    <xdr:to>
      <xdr:col>27</xdr:col>
      <xdr:colOff>95300</xdr:colOff>
      <xdr:row>49</xdr:row>
      <xdr:rowOff>252100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E04BF1-7407-D602-03F9-4130AF66E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C5EEBBD-8864-CA48-A678-544F27757EA9}" name="Table20" displayName="Table20" ref="A1:V37" totalsRowShown="0">
  <autoFilter ref="A1:V37" xr:uid="{3C5EEBBD-8864-CA48-A678-544F27757EA9}">
    <filterColumn colId="1">
      <filters>
        <filter val="1.2"/>
      </filters>
    </filterColumn>
    <filterColumn colId="4">
      <filters>
        <filter val="plurality"/>
      </filters>
    </filterColumn>
    <filterColumn colId="5">
      <filters>
        <filter val="TRUE"/>
      </filters>
    </filterColumn>
  </autoFilter>
  <sortState xmlns:xlrd2="http://schemas.microsoft.com/office/spreadsheetml/2017/richdata2" ref="A2:V37">
    <sortCondition ref="C1:C37"/>
  </sortState>
  <tableColumns count="22">
    <tableColumn id="1" xr3:uid="{F917906A-8E42-1D4B-BC80-708E6018CD59}" name="skippiness"/>
    <tableColumn id="2" xr3:uid="{6617BB16-0DBE-124D-A088-4DBAA24A2BB7}" name="sample.n"/>
    <tableColumn id="3" xr3:uid="{ADE4AFFC-5513-DD47-BADA-1E789DDC8DDB}" name="mgv"/>
    <tableColumn id="4" xr3:uid="{ED34EE94-19F6-C440-9286-9841F64DA8EE}" name="attribute.index"/>
    <tableColumn id="5" xr3:uid="{0DA81CEB-1686-454E-B027-E52584E15528}" name="attribute"/>
    <tableColumn id="6" xr3:uid="{FCFFCD97-5D57-704B-A4C8-3A6225DF3494}" name="supplement"/>
    <tableColumn id="7" xr3:uid="{DE76F7EA-86BF-B043-ACD4-67B04C976AA4}" name="method.index"/>
    <tableColumn id="8" xr3:uid="{8E222575-864A-F84A-8DEA-8658A64D83AE}" name="method"/>
    <tableColumn id="22" xr3:uid="{9E0643C1-24ED-AE40-A3B6-C3065486319A}" name="var" dataDxfId="0">
      <calculatedColumnFormula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calculatedColumnFormula>
    </tableColumn>
    <tableColumn id="9" xr3:uid="{51A148FD-CBA2-1348-A214-D0C9AC2ECF30}" name="2g-no-hash" dataDxfId="247"/>
    <tableColumn id="10" xr3:uid="{B73C8DE9-5D1D-D649-939B-6A0A1A57EF3F}" name="3g-no-hash" dataDxfId="246"/>
    <tableColumn id="11" xr3:uid="{3FE1DD0B-02F4-F743-B460-9A20A8BB400F}" name="4g-no-hash" dataDxfId="245"/>
    <tableColumn id="12" xr3:uid="{8B7AD5B4-29D6-4E4F-AEFD-E952BD7C386D}" name="sk2g-no-hash" dataDxfId="244"/>
    <tableColumn id="13" xr3:uid="{8D41C356-1901-A748-8CF3-E3FF39F81028}" name="sk3g-no-hash" dataDxfId="243"/>
    <tableColumn id="14" xr3:uid="{3435835A-8CD1-494C-8384-E89863E275E4}" name="sk4g-no-hash" dataDxfId="242"/>
    <tableColumn id="15" xr3:uid="{5A451174-F7EE-FE43-B239-9BBE270576D7}" name="2g-hash-at-both" dataDxfId="241"/>
    <tableColumn id="16" xr3:uid="{1AC04722-15D3-404E-A61F-06D2C59115E3}" name="3g-hash-at-both" dataDxfId="240"/>
    <tableColumn id="17" xr3:uid="{57E0C0E1-D35C-C94F-9E18-8E7E2CAD050E}" name="4g-hash-at-both" dataDxfId="239"/>
    <tableColumn id="18" xr3:uid="{308E2C6E-D5B2-2D43-B3F2-96BC543EF204}" name="sk2g-hash-at-both" dataDxfId="238"/>
    <tableColumn id="19" xr3:uid="{DA993F3A-05CF-B549-8EBD-9A9A19790B9F}" name="sk3g-hash-at-both" dataDxfId="237"/>
    <tableColumn id="20" xr3:uid="{E7B34334-1EB3-2743-B693-3C96C0708BE4}" name="sk4g-hash-at-both" dataDxfId="236"/>
    <tableColumn id="21" xr3:uid="{AE2B110F-FF40-704B-BB4B-97DC51E55171}" name="max" dataDxfId="2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06E46E3-0BC8-5D40-800D-B8CC110FB5B8}" name="Table18" displayName="Table18" ref="A1:S13" totalsRowShown="0">
  <autoFilter ref="A1:S13" xr:uid="{406E46E3-0BC8-5D40-800D-B8CC110FB5B8}"/>
  <tableColumns count="19">
    <tableColumn id="1" xr3:uid="{9E41BD26-6332-8340-BD03-0DCE7F5B1D72}" name="lang"/>
    <tableColumn id="2" xr3:uid="{1FB0F1B6-23A2-1C48-A28B-4FA3DDB1AD29}" name="attribute.index"/>
    <tableColumn id="3" xr3:uid="{D5C97176-18B2-7C48-B7DD-4625E792C2E3}" name="attribute"/>
    <tableColumn id="4" xr3:uid="{88B9ABC4-6365-524D-87EC-07B735F41A12}" name="supplement"/>
    <tableColumn id="5" xr3:uid="{1CF837FA-2766-3E4B-9613-CE5393620968}" name="method.index"/>
    <tableColumn id="6" xr3:uid="{EBA034E0-C4A0-6C4A-8755-5643F16BD3ED}" name="method"/>
    <tableColumn id="7" xr3:uid="{391A8472-BFB3-0C48-BA0F-807C5F57890E}" name="2g-no-hash" dataDxfId="234"/>
    <tableColumn id="8" xr3:uid="{8546A5C8-707B-8440-A689-6E34A3A19731}" name="3g-no-hash" dataDxfId="233"/>
    <tableColumn id="9" xr3:uid="{0FC0AD22-99E9-E545-B7DA-C397888510BF}" name="4g-no-hash" dataDxfId="232"/>
    <tableColumn id="10" xr3:uid="{3CA7A18F-387A-D946-AE4E-FD52E80EE727}" name="sk2g-no-hash" dataDxfId="231"/>
    <tableColumn id="11" xr3:uid="{49750F1A-A73A-854A-871B-424D847A24FC}" name="sk3g-no-hash" dataDxfId="230"/>
    <tableColumn id="12" xr3:uid="{336135E2-7DDA-D646-BF9F-DC44A9EB7A07}" name="sk4g-no-hash" dataDxfId="229"/>
    <tableColumn id="13" xr3:uid="{1BEBC9A4-F895-294D-9989-1C4BF23E8279}" name="2g-hash-at-both" dataDxfId="228"/>
    <tableColumn id="14" xr3:uid="{A9A4DC82-9661-F44C-A33E-369DED33EF65}" name="3g-hash-at-both" dataDxfId="227"/>
    <tableColumn id="15" xr3:uid="{B6600DE6-CDE4-D74E-A20B-7922E938173B}" name="4g-hash-at-both" dataDxfId="226"/>
    <tableColumn id="16" xr3:uid="{1D04004C-4CB7-BE44-B218-B1EDD88802CC}" name="sk2g-hash-at-both" dataDxfId="225"/>
    <tableColumn id="17" xr3:uid="{7355B041-2705-964B-B99E-EF03A9398DA7}" name="sk3g-hash-at-both" dataDxfId="224"/>
    <tableColumn id="18" xr3:uid="{D16A901E-7E0B-554F-A0DC-44CE526524E2}" name="sk4g-hash-at-both" dataDxfId="223"/>
    <tableColumn id="19" xr3:uid="{C69ACBCC-16DF-0B46-AA28-6531B518D0C7}" name="max" dataDxfId="222">
      <calculatedColumnFormula>MAX($G2:$R2)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03AA568-1D80-AD4F-A095-1FF01E4439D8}" name="Table91214161820" displayName="Table91214161820" ref="B16:S20" totalsRowShown="0">
  <autoFilter ref="B16:S20" xr:uid="{603AA568-1D80-AD4F-A095-1FF01E4439D8}"/>
  <tableColumns count="18">
    <tableColumn id="1" xr3:uid="{A5B5D4AA-A9E9-FA46-833E-29D3C2237FD7}" name="attribute.index"/>
    <tableColumn id="2" xr3:uid="{5471697F-248A-A948-BE2C-5A6D95FC4B70}" name="attribute"/>
    <tableColumn id="3" xr3:uid="{65191CBC-7E3E-7140-A7C0-5E2C915E11FA}" name="supplemented"/>
    <tableColumn id="4" xr3:uid="{755A7252-5036-F048-9EDE-D78DC2F35943}" name="method.index"/>
    <tableColumn id="5" xr3:uid="{837A94D5-D055-3344-9C4F-D85932962CD1}" name="metric"/>
    <tableColumn id="6" xr3:uid="{0472C154-A187-FD44-BFB2-EF7DB9044498}" name="2g-no-hash" dataDxfId="221">
      <calculatedColumnFormula array="1">_xlfn.LET(_xlpm.d,G$2:G$13,_xlpm.a,$C$2:$C$13=$C17,_xlpm.b,$D$2:$D$13=$D17,MAX(_xlfn._xlws.FILTER(_xlpm.d,_xlpm.a*_xlpm.b)))</calculatedColumnFormula>
    </tableColumn>
    <tableColumn id="7" xr3:uid="{E25AAEC2-C949-1E45-B52F-3475D099EED7}" name="3g-no-hash" dataDxfId="220">
      <calculatedColumnFormula array="1">_xlfn.LET(_xlpm.d,H$2:H$13,_xlpm.a,$C$2:$C$13=$C17,_xlpm.b,$D$2:$D$13=$D17,MAX(_xlfn._xlws.FILTER(_xlpm.d,_xlpm.a*_xlpm.b)))</calculatedColumnFormula>
    </tableColumn>
    <tableColumn id="8" xr3:uid="{F1D28993-6887-BF44-BF1E-7199E69FC422}" name="4g-no-hash" dataDxfId="219">
      <calculatedColumnFormula array="1">_xlfn.LET(_xlpm.d,I$2:I$13,_xlpm.a,$C$2:$C$13=$C17,_xlpm.b,$D$2:$D$13=$D17,MAX(_xlfn._xlws.FILTER(_xlpm.d,_xlpm.a*_xlpm.b)))</calculatedColumnFormula>
    </tableColumn>
    <tableColumn id="9" xr3:uid="{D05E04CC-5077-7348-87F9-CDAF9ED7F2A2}" name="sk2g-no-hash" dataDxfId="218">
      <calculatedColumnFormula array="1">_xlfn.LET(_xlpm.d,J$2:J$13,_xlpm.a,$C$2:$C$13=$C17,_xlpm.b,$D$2:$D$13=$D17,MAX(_xlfn._xlws.FILTER(_xlpm.d,_xlpm.a*_xlpm.b)))</calculatedColumnFormula>
    </tableColumn>
    <tableColumn id="10" xr3:uid="{45E727F4-EEDF-0C4B-9753-F3293A1D2159}" name="sk3g-no-hash" dataDxfId="217">
      <calculatedColumnFormula array="1">_xlfn.LET(_xlpm.d,K$2:K$13,_xlpm.a,$C$2:$C$13=$C17,_xlpm.b,$D$2:$D$13=$D17,MAX(_xlfn._xlws.FILTER(_xlpm.d,_xlpm.a*_xlpm.b)))</calculatedColumnFormula>
    </tableColumn>
    <tableColumn id="11" xr3:uid="{1CD3F641-F68D-7A49-99A3-60D24A7F2A94}" name="sk4g-no-hash" dataDxfId="216">
      <calculatedColumnFormula array="1">_xlfn.LET(_xlpm.d,L$2:L$13,_xlpm.a,$C$2:$C$13=$C17,_xlpm.b,$D$2:$D$13=$D17,MAX(_xlfn._xlws.FILTER(_xlpm.d,_xlpm.a*_xlpm.b)))</calculatedColumnFormula>
    </tableColumn>
    <tableColumn id="12" xr3:uid="{F1894F8A-29F1-D64F-AAF2-177C73098966}" name="2g-hash-at-both" dataDxfId="215">
      <calculatedColumnFormula array="1">_xlfn.LET(_xlpm.d,M$2:M$13,_xlpm.a,$C$2:$C$13=$C17,_xlpm.b,$D$2:$D$13=$D17,MAX(_xlfn._xlws.FILTER(_xlpm.d,_xlpm.a*_xlpm.b)))</calculatedColumnFormula>
    </tableColumn>
    <tableColumn id="13" xr3:uid="{CE6FBEAE-5FEF-8F46-9F42-7D7730BAADED}" name="3g-hash-at-both" dataDxfId="214">
      <calculatedColumnFormula array="1">_xlfn.LET(_xlpm.d,N$2:N$13,_xlpm.a,$C$2:$C$13=$C17,_xlpm.b,$D$2:$D$13=$D17,MAX(_xlfn._xlws.FILTER(_xlpm.d,_xlpm.a*_xlpm.b)))</calculatedColumnFormula>
    </tableColumn>
    <tableColumn id="14" xr3:uid="{B68AFBBC-3C59-F340-B7F0-03FF39CD9BB7}" name="4g-hash-at-both" dataDxfId="213">
      <calculatedColumnFormula array="1">_xlfn.LET(_xlpm.d,O$2:O$13,_xlpm.a,$C$2:$C$13=$C17,_xlpm.b,$D$2:$D$13=$D17,MAX(_xlfn._xlws.FILTER(_xlpm.d,_xlpm.a*_xlpm.b)))</calculatedColumnFormula>
    </tableColumn>
    <tableColumn id="15" xr3:uid="{EDB14AB0-5569-CB41-A366-9ABAE6AB8412}" name="sk2g-hash-at-both" dataDxfId="212">
      <calculatedColumnFormula array="1">_xlfn.LET(_xlpm.d,P$2:P$13,_xlpm.a,$C$2:$C$13=$C17,_xlpm.b,$D$2:$D$13=$D17,MAX(_xlfn._xlws.FILTER(_xlpm.d,_xlpm.a*_xlpm.b)))</calculatedColumnFormula>
    </tableColumn>
    <tableColumn id="16" xr3:uid="{978B6708-C942-A34A-BA6D-9FCD8A097014}" name="sk3g-hash-at-both" dataDxfId="211">
      <calculatedColumnFormula array="1">_xlfn.LET(_xlpm.d,Q$2:Q$13,_xlpm.a,$C$2:$C$13=$C17,_xlpm.b,$D$2:$D$13=$D17,MAX(_xlfn._xlws.FILTER(_xlpm.d,_xlpm.a*_xlpm.b)))</calculatedColumnFormula>
    </tableColumn>
    <tableColumn id="17" xr3:uid="{1E7AA154-6277-7347-A1D7-A0A2645E0FA6}" name="sk4g-hash-at-both" dataDxfId="210">
      <calculatedColumnFormula array="1">_xlfn.LET(_xlpm.d,R$2:R$13,_xlpm.a,$C$2:$C$13=$C17,_xlpm.b,$D$2:$D$13=$D17,MAX(_xlfn._xlws.FILTER(_xlpm.d,_xlpm.a*_xlpm.b)))</calculatedColumnFormula>
    </tableColumn>
    <tableColumn id="18" xr3:uid="{E031CD06-FE34-6942-B493-5DEFD772FF1E}" name="max" dataDxfId="209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2AD2F30-8959-584C-A9C4-65DFE994B001}" name="Table16" displayName="Table16" ref="A1:S13" totalsRowShown="0">
  <autoFilter ref="A1:S13" xr:uid="{F2AD2F30-8959-584C-A9C4-65DFE994B001}"/>
  <tableColumns count="19">
    <tableColumn id="1" xr3:uid="{31C8DBAF-37DD-564A-BA27-97E3CA723CA5}" name="lang"/>
    <tableColumn id="2" xr3:uid="{36177407-B663-474E-9C3E-7692AFCDC2C2}" name="attribute.index"/>
    <tableColumn id="3" xr3:uid="{0331520F-C3C1-9248-B219-76FA49472EBD}" name="attribute"/>
    <tableColumn id="4" xr3:uid="{E2001F5C-2F05-FD49-8BCD-90E806BDFA0F}" name="supplement"/>
    <tableColumn id="5" xr3:uid="{4AC04359-71DE-3542-B501-CE69BADE2B22}" name="method.index"/>
    <tableColumn id="6" xr3:uid="{F668F682-F863-944C-A214-92097ED1942E}" name="method"/>
    <tableColumn id="7" xr3:uid="{AD84BEA4-5F75-994E-81C1-C1C02715F151}" name="2g-no-hash" dataDxfId="208"/>
    <tableColumn id="8" xr3:uid="{ACA96553-0DED-2E44-BAE9-D5F3A5A562CB}" name="3g-no-hash" dataDxfId="207"/>
    <tableColumn id="9" xr3:uid="{957362C3-F9EC-554F-AFF7-60A2D94A9B81}" name="4g-no-hash" dataDxfId="206"/>
    <tableColumn id="10" xr3:uid="{E0D1D689-46AE-9B4F-8279-9719BD9468F3}" name="sk2g-no-hash" dataDxfId="205"/>
    <tableColumn id="11" xr3:uid="{26B900F1-3314-D44F-921C-4328C8B0932D}" name="sk3g-no-hash" dataDxfId="204"/>
    <tableColumn id="12" xr3:uid="{7072E93C-81EC-F34E-B17E-6B7294CE2EB6}" name="sk4g-no-hash" dataDxfId="203"/>
    <tableColumn id="13" xr3:uid="{C508B75D-D38D-EA45-815F-4467D9FC2722}" name="2g-hash-at-both" dataDxfId="202"/>
    <tableColumn id="14" xr3:uid="{41287568-DBE5-CC4D-938A-59BD95FF6022}" name="3g-hash-at-both" dataDxfId="201"/>
    <tableColumn id="15" xr3:uid="{28BCC14C-4552-9841-8C09-4A817ED16288}" name="4g-hash-at-both" dataDxfId="200"/>
    <tableColumn id="16" xr3:uid="{FA7D7315-F083-C049-ADD8-72C0638D829C}" name="sk2g-hash-at-both" dataDxfId="199"/>
    <tableColumn id="17" xr3:uid="{884E0DA0-170C-F642-830A-96BC519751D9}" name="sk3g-hash-at-both" dataDxfId="198"/>
    <tableColumn id="18" xr3:uid="{B8C898FE-0A19-B348-BABF-F24F08072776}" name="sk4g-hash-at-both" dataDxfId="197"/>
    <tableColumn id="19" xr3:uid="{7DC86A11-601E-D545-828D-DAD5488E61D7}" name="max" dataDxfId="196">
      <calculatedColumnFormula>MAX($G2:$R2)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404BB40-E0EC-6040-A31D-C0FA1ED7E10B}" name="Table912141618" displayName="Table912141618" ref="B16:S20" totalsRowShown="0">
  <autoFilter ref="B16:S20" xr:uid="{A404BB40-E0EC-6040-A31D-C0FA1ED7E10B}"/>
  <tableColumns count="18">
    <tableColumn id="1" xr3:uid="{F71CED60-E463-DD48-8729-73DB59265E42}" name="attribute.index"/>
    <tableColumn id="2" xr3:uid="{8B5C8791-7B15-0049-834D-62F98DBFC18F}" name="attribute"/>
    <tableColumn id="3" xr3:uid="{380FF30A-BDA0-AB40-B9E8-E616A2FBD0F3}" name="supplemented"/>
    <tableColumn id="4" xr3:uid="{E6D3AA44-4174-C44D-9380-2D1554942132}" name="method.index"/>
    <tableColumn id="5" xr3:uid="{B15C6B18-9F17-9945-83A0-265610306FD1}" name="metric"/>
    <tableColumn id="6" xr3:uid="{B38E4C6B-E4A2-7E46-A1C2-44377390E38A}" name="2g-no-hash" dataDxfId="195">
      <calculatedColumnFormula array="1">_xlfn.LET(_xlpm.d,G$2:G$13,_xlpm.a,$C$2:$C$13=$C17,_xlpm.b,$D$2:$D$13=$D17,MAX(_xlfn._xlws.FILTER(_xlpm.d,_xlpm.a*_xlpm.b)))</calculatedColumnFormula>
    </tableColumn>
    <tableColumn id="7" xr3:uid="{EA07E5B3-4A4A-C848-80FA-8231AC279EE0}" name="3g-no-hash" dataDxfId="194">
      <calculatedColumnFormula array="1">_xlfn.LET(_xlpm.d,H$2:H$13,_xlpm.a,$C$2:$C$13=$C17,_xlpm.b,$D$2:$D$13=$D17,MAX(_xlfn._xlws.FILTER(_xlpm.d,_xlpm.a*_xlpm.b)))</calculatedColumnFormula>
    </tableColumn>
    <tableColumn id="8" xr3:uid="{1179F6F0-6CC8-EF4A-B3CA-BA6E30E8EE0A}" name="4g-no-hash" dataDxfId="193">
      <calculatedColumnFormula array="1">_xlfn.LET(_xlpm.d,I$2:I$13,_xlpm.a,$C$2:$C$13=$C17,_xlpm.b,$D$2:$D$13=$D17,MAX(_xlfn._xlws.FILTER(_xlpm.d,_xlpm.a*_xlpm.b)))</calculatedColumnFormula>
    </tableColumn>
    <tableColumn id="9" xr3:uid="{41F00FDF-7F8A-F444-9876-886EB2773C2B}" name="sk2g-no-hash" dataDxfId="192">
      <calculatedColumnFormula array="1">_xlfn.LET(_xlpm.d,J$2:J$13,_xlpm.a,$C$2:$C$13=$C17,_xlpm.b,$D$2:$D$13=$D17,MAX(_xlfn._xlws.FILTER(_xlpm.d,_xlpm.a*_xlpm.b)))</calculatedColumnFormula>
    </tableColumn>
    <tableColumn id="10" xr3:uid="{AD860F5B-E9B6-0343-92FB-BEE51CA7BFD8}" name="sk3g-no-hash" dataDxfId="191">
      <calculatedColumnFormula array="1">_xlfn.LET(_xlpm.d,K$2:K$13,_xlpm.a,$C$2:$C$13=$C17,_xlpm.b,$D$2:$D$13=$D17,MAX(_xlfn._xlws.FILTER(_xlpm.d,_xlpm.a*_xlpm.b)))</calculatedColumnFormula>
    </tableColumn>
    <tableColumn id="11" xr3:uid="{852FF3C3-EADE-054D-96A0-F22427F1545F}" name="sk4g-no-hash" dataDxfId="190">
      <calculatedColumnFormula array="1">_xlfn.LET(_xlpm.d,L$2:L$13,_xlpm.a,$C$2:$C$13=$C17,_xlpm.b,$D$2:$D$13=$D17,MAX(_xlfn._xlws.FILTER(_xlpm.d,_xlpm.a*_xlpm.b)))</calculatedColumnFormula>
    </tableColumn>
    <tableColumn id="12" xr3:uid="{F0AAA8A6-17F3-8144-A932-282BE45718FA}" name="2g-hash-at-both" dataDxfId="189">
      <calculatedColumnFormula array="1">_xlfn.LET(_xlpm.d,M$2:M$13,_xlpm.a,$C$2:$C$13=$C17,_xlpm.b,$D$2:$D$13=$D17,MAX(_xlfn._xlws.FILTER(_xlpm.d,_xlpm.a*_xlpm.b)))</calculatedColumnFormula>
    </tableColumn>
    <tableColumn id="13" xr3:uid="{0778FDDF-94BD-E146-9B34-60A49B58EB6D}" name="3g-hash-at-both" dataDxfId="188">
      <calculatedColumnFormula array="1">_xlfn.LET(_xlpm.d,N$2:N$13,_xlpm.a,$C$2:$C$13=$C17,_xlpm.b,$D$2:$D$13=$D17,MAX(_xlfn._xlws.FILTER(_xlpm.d,_xlpm.a*_xlpm.b)))</calculatedColumnFormula>
    </tableColumn>
    <tableColumn id="14" xr3:uid="{77DBF3D0-E53D-024E-8EA9-C3C2BFE93A63}" name="4g-hash-at-both" dataDxfId="187">
      <calculatedColumnFormula array="1">_xlfn.LET(_xlpm.d,O$2:O$13,_xlpm.a,$C$2:$C$13=$C17,_xlpm.b,$D$2:$D$13=$D17,MAX(_xlfn._xlws.FILTER(_xlpm.d,_xlpm.a*_xlpm.b)))</calculatedColumnFormula>
    </tableColumn>
    <tableColumn id="15" xr3:uid="{3EA297E8-6BF1-744F-A6C9-93E782D8444B}" name="sk2g-hash-at-both" dataDxfId="186">
      <calculatedColumnFormula array="1">_xlfn.LET(_xlpm.d,P$2:P$13,_xlpm.a,$C$2:$C$13=$C17,_xlpm.b,$D$2:$D$13=$D17,MAX(_xlfn._xlws.FILTER(_xlpm.d,_xlpm.a*_xlpm.b)))</calculatedColumnFormula>
    </tableColumn>
    <tableColumn id="16" xr3:uid="{337E750E-C231-034C-BDDF-8523DA5AE92A}" name="sk3g-hash-at-both" dataDxfId="185">
      <calculatedColumnFormula array="1">_xlfn.LET(_xlpm.d,Q$2:Q$13,_xlpm.a,$C$2:$C$13=$C17,_xlpm.b,$D$2:$D$13=$D17,MAX(_xlfn._xlws.FILTER(_xlpm.d,_xlpm.a*_xlpm.b)))</calculatedColumnFormula>
    </tableColumn>
    <tableColumn id="17" xr3:uid="{699D2232-653B-2343-97FE-8F1E308590BC}" name="sk4g-hash-at-both" dataDxfId="184">
      <calculatedColumnFormula array="1">_xlfn.LET(_xlpm.d,R$2:R$13,_xlpm.a,$C$2:$C$13=$C17,_xlpm.b,$D$2:$D$13=$D17,MAX(_xlfn._xlws.FILTER(_xlpm.d,_xlpm.a*_xlpm.b)))</calculatedColumnFormula>
    </tableColumn>
    <tableColumn id="18" xr3:uid="{6306355C-768E-534D-B478-8FBC8B313189}" name="max" dataDxfId="183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BE75018-5B5F-2C40-9A4B-9047B5E081F5}" name="Table14" displayName="Table14" ref="A1:S13" totalsRowShown="0">
  <autoFilter ref="A1:S13" xr:uid="{6BE75018-5B5F-2C40-9A4B-9047B5E081F5}"/>
  <tableColumns count="19">
    <tableColumn id="1" xr3:uid="{AEB41B31-DFC7-B046-A8B4-68AE83B425DA}" name="lang"/>
    <tableColumn id="2" xr3:uid="{B2396C00-5AD3-3540-81FA-286E4092927F}" name="attribute.index"/>
    <tableColumn id="3" xr3:uid="{75A6A907-6D1E-CB43-9215-283616BAEE55}" name="attribute"/>
    <tableColumn id="4" xr3:uid="{11401ED9-13F3-8C44-9625-C1C5975EAED5}" name="supplement"/>
    <tableColumn id="5" xr3:uid="{A0D977FD-91E8-5B43-B035-17D5CEA79E30}" name="method.index"/>
    <tableColumn id="6" xr3:uid="{C1E067B9-8C69-AE4B-9EEB-C01B202C594E}" name="method"/>
    <tableColumn id="7" xr3:uid="{51BB319D-3D97-704A-91C2-63C103EBBC82}" name="2g-no-hash" dataDxfId="182"/>
    <tableColumn id="8" xr3:uid="{F95A42AA-FE29-7341-A595-72F6D3871438}" name="3g-no-hash" dataDxfId="181"/>
    <tableColumn id="9" xr3:uid="{B38F7E18-56D5-264B-8472-7D197FD14FE8}" name="4g-no-hash" dataDxfId="180"/>
    <tableColumn id="10" xr3:uid="{036F1BF5-F069-7D48-B023-1CF027B54C3F}" name="sk2g-no-hash" dataDxfId="179"/>
    <tableColumn id="11" xr3:uid="{BC5E6451-6F46-5D46-B87B-98BDFFC8FFA3}" name="sk3g-no-hash" dataDxfId="178"/>
    <tableColumn id="12" xr3:uid="{28B2B189-3345-9D4E-A47C-0091483B8DF7}" name="sk4g-no-hash" dataDxfId="177"/>
    <tableColumn id="13" xr3:uid="{F4F0A59E-83EE-3D4D-9AFB-3E5E5A2E104E}" name="2g-hash-at-both" dataDxfId="176"/>
    <tableColumn id="14" xr3:uid="{1B525DEB-3ABD-D24F-874D-8F189460FFE1}" name="3g-hash-at-both" dataDxfId="175"/>
    <tableColumn id="15" xr3:uid="{67F4B52D-6748-6946-89F3-D3A30534B566}" name="4g-hash-at-both" dataDxfId="174"/>
    <tableColumn id="16" xr3:uid="{759FDB28-DA9D-B54A-8EA7-CFFA59E059F5}" name="sk2g-hash-at-both" dataDxfId="173"/>
    <tableColumn id="17" xr3:uid="{904057D3-55BB-C84D-A50A-A0F424809B58}" name="sk3g-hash-at-both" dataDxfId="172"/>
    <tableColumn id="18" xr3:uid="{D8120F49-3D07-3F41-8F58-EE174F7C930C}" name="sk4g-hash-at-both" dataDxfId="171"/>
    <tableColumn id="19" xr3:uid="{C6EEFD3F-CDE3-994A-9750-DE3A2BEE13F2}" name="max" dataDxfId="170">
      <calculatedColumnFormula>MAX($G2:$R2)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A74DA23-7912-234A-9EA2-C6B754521B6A}" name="Table9121416" displayName="Table9121416" ref="B16:S20" totalsRowShown="0">
  <autoFilter ref="B16:S20" xr:uid="{5A74DA23-7912-234A-9EA2-C6B754521B6A}"/>
  <tableColumns count="18">
    <tableColumn id="1" xr3:uid="{F4680EA5-609F-974C-BBC9-98C19517E36B}" name="attribute.index"/>
    <tableColumn id="2" xr3:uid="{8945ECC8-59F9-114A-92A0-FB111C5A64A8}" name="attribute"/>
    <tableColumn id="3" xr3:uid="{53BEE683-D096-2247-A0E6-844C9143F69C}" name="supplemented"/>
    <tableColumn id="4" xr3:uid="{5FD3EF00-2BB1-BD43-8E04-0CD5DA2CD613}" name="method.index"/>
    <tableColumn id="5" xr3:uid="{D63B2ED0-C39D-9745-986F-2638E02754BF}" name="metric"/>
    <tableColumn id="6" xr3:uid="{2049B214-5F5F-3B48-A9E7-96D653C65CF7}" name="2g-no-hash" dataDxfId="169">
      <calculatedColumnFormula array="1">_xlfn.LET(_xlpm.d,G$2:G$13,_xlpm.a,$C$2:$C$13=$C17,_xlpm.b,$D$2:$D$13=$D17,MAX(_xlfn._xlws.FILTER(_xlpm.d,_xlpm.a*_xlpm.b)))</calculatedColumnFormula>
    </tableColumn>
    <tableColumn id="7" xr3:uid="{AA2A2881-C1EE-1541-B99A-DB121A18A54A}" name="3g-no-hash" dataDxfId="168">
      <calculatedColumnFormula array="1">_xlfn.LET(_xlpm.d,H$2:H$13,_xlpm.a,$C$2:$C$13=$C17,_xlpm.b,$D$2:$D$13=$D17,MAX(_xlfn._xlws.FILTER(_xlpm.d,_xlpm.a*_xlpm.b)))</calculatedColumnFormula>
    </tableColumn>
    <tableColumn id="8" xr3:uid="{1DE6EDDF-8201-9941-AD66-CA28D9F8DE03}" name="4g-no-hash" dataDxfId="167">
      <calculatedColumnFormula array="1">_xlfn.LET(_xlpm.d,I$2:I$13,_xlpm.a,$C$2:$C$13=$C17,_xlpm.b,$D$2:$D$13=$D17,MAX(_xlfn._xlws.FILTER(_xlpm.d,_xlpm.a*_xlpm.b)))</calculatedColumnFormula>
    </tableColumn>
    <tableColumn id="9" xr3:uid="{17B8FCA4-905F-5442-909B-7EC76BB74664}" name="sk2g-no-hash" dataDxfId="166">
      <calculatedColumnFormula array="1">_xlfn.LET(_xlpm.d,J$2:J$13,_xlpm.a,$C$2:$C$13=$C17,_xlpm.b,$D$2:$D$13=$D17,MAX(_xlfn._xlws.FILTER(_xlpm.d,_xlpm.a*_xlpm.b)))</calculatedColumnFormula>
    </tableColumn>
    <tableColumn id="10" xr3:uid="{248A7494-508D-E94F-A6CD-E58C47E19F14}" name="sk3g-no-hash" dataDxfId="165">
      <calculatedColumnFormula array="1">_xlfn.LET(_xlpm.d,K$2:K$13,_xlpm.a,$C$2:$C$13=$C17,_xlpm.b,$D$2:$D$13=$D17,MAX(_xlfn._xlws.FILTER(_xlpm.d,_xlpm.a*_xlpm.b)))</calculatedColumnFormula>
    </tableColumn>
    <tableColumn id="11" xr3:uid="{667403EB-E460-894F-9590-0D87BA48C5A3}" name="sk4g-no-hash" dataDxfId="164">
      <calculatedColumnFormula array="1">_xlfn.LET(_xlpm.d,L$2:L$13,_xlpm.a,$C$2:$C$13=$C17,_xlpm.b,$D$2:$D$13=$D17,MAX(_xlfn._xlws.FILTER(_xlpm.d,_xlpm.a*_xlpm.b)))</calculatedColumnFormula>
    </tableColumn>
    <tableColumn id="12" xr3:uid="{3157C942-6D42-6447-922E-C90EA7E63B7D}" name="2g-hash-at-both" dataDxfId="163">
      <calculatedColumnFormula array="1">_xlfn.LET(_xlpm.d,M$2:M$13,_xlpm.a,$C$2:$C$13=$C17,_xlpm.b,$D$2:$D$13=$D17,MAX(_xlfn._xlws.FILTER(_xlpm.d,_xlpm.a*_xlpm.b)))</calculatedColumnFormula>
    </tableColumn>
    <tableColumn id="13" xr3:uid="{FC312037-3A22-9B4C-82A0-0377CF9D5FDE}" name="3g-hash-at-both" dataDxfId="162">
      <calculatedColumnFormula array="1">_xlfn.LET(_xlpm.d,N$2:N$13,_xlpm.a,$C$2:$C$13=$C17,_xlpm.b,$D$2:$D$13=$D17,MAX(_xlfn._xlws.FILTER(_xlpm.d,_xlpm.a*_xlpm.b)))</calculatedColumnFormula>
    </tableColumn>
    <tableColumn id="14" xr3:uid="{CC7D724F-39F5-9340-941D-16A9D5044B0B}" name="4g-hash-at-both" dataDxfId="161">
      <calculatedColumnFormula array="1">_xlfn.LET(_xlpm.d,O$2:O$13,_xlpm.a,$C$2:$C$13=$C17,_xlpm.b,$D$2:$D$13=$D17,MAX(_xlfn._xlws.FILTER(_xlpm.d,_xlpm.a*_xlpm.b)))</calculatedColumnFormula>
    </tableColumn>
    <tableColumn id="15" xr3:uid="{49C2A49E-252B-5843-96C3-D04BCAA41BA4}" name="sk2g-hash-at-both" dataDxfId="160">
      <calculatedColumnFormula array="1">_xlfn.LET(_xlpm.d,P$2:P$13,_xlpm.a,$C$2:$C$13=$C17,_xlpm.b,$D$2:$D$13=$D17,MAX(_xlfn._xlws.FILTER(_xlpm.d,_xlpm.a*_xlpm.b)))</calculatedColumnFormula>
    </tableColumn>
    <tableColumn id="16" xr3:uid="{BCF9D273-72AE-9041-8FA7-18F1345BBD80}" name="sk3g-hash-at-both" dataDxfId="159">
      <calculatedColumnFormula array="1">_xlfn.LET(_xlpm.d,Q$2:Q$13,_xlpm.a,$C$2:$C$13=$C17,_xlpm.b,$D$2:$D$13=$D17,MAX(_xlfn._xlws.FILTER(_xlpm.d,_xlpm.a*_xlpm.b)))</calculatedColumnFormula>
    </tableColumn>
    <tableColumn id="17" xr3:uid="{32486AF5-A243-F147-B003-417FB074E86D}" name="sk4g-hash-at-both" dataDxfId="158">
      <calculatedColumnFormula array="1">_xlfn.LET(_xlpm.d,R$2:R$13,_xlpm.a,$C$2:$C$13=$C17,_xlpm.b,$D$2:$D$13=$D17,MAX(_xlfn._xlws.FILTER(_xlpm.d,_xlpm.a*_xlpm.b)))</calculatedColumnFormula>
    </tableColumn>
    <tableColumn id="18" xr3:uid="{CA6A4DDE-4AA6-CF4B-833B-90B2F8DF0CFF}" name="max" dataDxfId="157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33E75ED-4325-6745-8216-AA8508E77016}" name="Table12" displayName="Table12" ref="A1:S13" totalsRowShown="0">
  <autoFilter ref="A1:S13" xr:uid="{333E75ED-4325-6745-8216-AA8508E77016}"/>
  <sortState xmlns:xlrd2="http://schemas.microsoft.com/office/spreadsheetml/2017/richdata2" ref="A2:S13">
    <sortCondition ref="B1:B13"/>
  </sortState>
  <tableColumns count="19">
    <tableColumn id="1" xr3:uid="{2209B75B-002D-BE4C-AA73-C00C9BF592C3}" name="lang"/>
    <tableColumn id="2" xr3:uid="{1E5E3AEC-AA9A-1746-8205-2C9914B5A349}" name="attribute.index"/>
    <tableColumn id="3" xr3:uid="{5CF8A431-7DA1-6C4A-95B8-BE923D57823C}" name="attribute"/>
    <tableColumn id="4" xr3:uid="{58E9A932-0035-6845-A5AD-B158B9A63E96}" name="supplement"/>
    <tableColumn id="5" xr3:uid="{2F731364-5E3B-6640-A252-A9ED6428E026}" name="method.index"/>
    <tableColumn id="6" xr3:uid="{15175F19-95E1-E944-9504-5FF053705ED3}" name="method"/>
    <tableColumn id="7" xr3:uid="{1D5FAA1B-A269-914E-9144-ACF066468E32}" name="2g-no-hash" dataDxfId="156"/>
    <tableColumn id="8" xr3:uid="{D10DC2B7-2213-524D-9453-E0CF30737756}" name="3g-no-hash" dataDxfId="155"/>
    <tableColumn id="9" xr3:uid="{150346E1-6396-BF43-BD56-DD9B53B5F2B0}" name="4g-no-hash" dataDxfId="154"/>
    <tableColumn id="10" xr3:uid="{4DF6C9DA-AEE3-4F47-90DF-D3961B4E66E7}" name="sk2g-no-hash" dataDxfId="153"/>
    <tableColumn id="11" xr3:uid="{D7EA5A44-4BB3-5A46-B5E6-DF46C1054B89}" name="sk3g-no-hash" dataDxfId="152"/>
    <tableColumn id="12" xr3:uid="{2C12E58A-2C5F-5244-8E47-E79490408178}" name="sk4g-no-hash" dataDxfId="151"/>
    <tableColumn id="13" xr3:uid="{88AD23C9-E16C-AE44-BB02-BF7A0B536F53}" name="2g-hash-at-both" dataDxfId="150"/>
    <tableColumn id="14" xr3:uid="{769935EA-EBFB-884C-AE63-F1177D3C8024}" name="3g-hash-at-both" dataDxfId="149"/>
    <tableColumn id="15" xr3:uid="{7C268C20-3510-5747-ADBE-15FCF6159859}" name="4g-hash-at-both" dataDxfId="148"/>
    <tableColumn id="16" xr3:uid="{A0D8E9BC-A1D3-AD4F-86EF-69C7A1BE652F}" name="sk2g-hash-at-both" dataDxfId="147"/>
    <tableColumn id="17" xr3:uid="{5AFDA29E-6C7C-D446-B356-DC346D7D310B}" name="sk3g-hash-at-both" dataDxfId="146"/>
    <tableColumn id="18" xr3:uid="{2B0D66AB-DD7C-7F4C-8F1B-00A75EF721AC}" name="sk4g-hash-at-both" dataDxfId="145"/>
    <tableColumn id="19" xr3:uid="{816D7580-C78E-6B41-B807-29D0C849FA11}" name="max" dataDxfId="144">
      <calculatedColumnFormula>MAX($G2:$R2)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B2A2AEA-4DF6-AC42-98B1-EAD35EF71C7A}" name="Table91214" displayName="Table91214" ref="B16:S20" totalsRowShown="0">
  <autoFilter ref="B16:S20" xr:uid="{2B2A2AEA-4DF6-AC42-98B1-EAD35EF71C7A}"/>
  <tableColumns count="18">
    <tableColumn id="1" xr3:uid="{BFE9887F-69B9-B745-ABF8-9E34C4C3C5B6}" name="attribute.index"/>
    <tableColumn id="2" xr3:uid="{5583A04F-B79E-664C-B721-DEA344C249AE}" name="attribute"/>
    <tableColumn id="3" xr3:uid="{78B003C7-566B-B449-B400-3CC49A7F239C}" name="supplemented"/>
    <tableColumn id="4" xr3:uid="{831585B0-9A3F-724B-A054-FFE145FB5A39}" name="method.index"/>
    <tableColumn id="5" xr3:uid="{2CA701D5-9763-4F49-B6BB-159F205B5829}" name="metric"/>
    <tableColumn id="6" xr3:uid="{42D6FEBB-12E1-4045-BF3E-8458F9429E59}" name="2g-no-hash" dataDxfId="143">
      <calculatedColumnFormula array="1">_xlfn.LET(_xlpm.d,G$2:G$13,_xlpm.a,$C$2:$C$13=$C17,_xlpm.b,$D$2:$D$13=$D17,MAX(_xlfn._xlws.FILTER(_xlpm.d,_xlpm.a*_xlpm.b)))</calculatedColumnFormula>
    </tableColumn>
    <tableColumn id="7" xr3:uid="{760936B0-C1D3-C04F-974B-30029A50B106}" name="3g-no-hash" dataDxfId="142">
      <calculatedColumnFormula array="1">_xlfn.LET(_xlpm.d,H$2:H$13,_xlpm.a,$C$2:$C$13=$C17,_xlpm.b,$D$2:$D$13=$D17,MAX(_xlfn._xlws.FILTER(_xlpm.d,_xlpm.a*_xlpm.b)))</calculatedColumnFormula>
    </tableColumn>
    <tableColumn id="8" xr3:uid="{203D829C-477E-1340-B9A7-949E56992B81}" name="4g-no-hash" dataDxfId="141">
      <calculatedColumnFormula array="1">_xlfn.LET(_xlpm.d,I$2:I$13,_xlpm.a,$C$2:$C$13=$C17,_xlpm.b,$D$2:$D$13=$D17,MAX(_xlfn._xlws.FILTER(_xlpm.d,_xlpm.a*_xlpm.b)))</calculatedColumnFormula>
    </tableColumn>
    <tableColumn id="9" xr3:uid="{786DA571-BAEB-5D4E-B908-C84EA2C36CC2}" name="sk2g-no-hash" dataDxfId="140">
      <calculatedColumnFormula array="1">_xlfn.LET(_xlpm.d,J$2:J$13,_xlpm.a,$C$2:$C$13=$C17,_xlpm.b,$D$2:$D$13=$D17,MAX(_xlfn._xlws.FILTER(_xlpm.d,_xlpm.a*_xlpm.b)))</calculatedColumnFormula>
    </tableColumn>
    <tableColumn id="10" xr3:uid="{A7C6C75D-C4C7-D840-B5F0-273508098A91}" name="sk3g-no-hash" dataDxfId="139">
      <calculatedColumnFormula array="1">_xlfn.LET(_xlpm.d,K$2:K$13,_xlpm.a,$C$2:$C$13=$C17,_xlpm.b,$D$2:$D$13=$D17,MAX(_xlfn._xlws.FILTER(_xlpm.d,_xlpm.a*_xlpm.b)))</calculatedColumnFormula>
    </tableColumn>
    <tableColumn id="11" xr3:uid="{FEF7A59E-24FF-4F4A-8648-26CFDEBA5CD7}" name="sk4g-no-hash" dataDxfId="138">
      <calculatedColumnFormula array="1">_xlfn.LET(_xlpm.d,L$2:L$13,_xlpm.a,$C$2:$C$13=$C17,_xlpm.b,$D$2:$D$13=$D17,MAX(_xlfn._xlws.FILTER(_xlpm.d,_xlpm.a*_xlpm.b)))</calculatedColumnFormula>
    </tableColumn>
    <tableColumn id="12" xr3:uid="{ED440824-6191-9E47-9A03-B527A1A55162}" name="2g-hash-at-both" dataDxfId="137">
      <calculatedColumnFormula array="1">_xlfn.LET(_xlpm.d,M$2:M$13,_xlpm.a,$C$2:$C$13=$C17,_xlpm.b,$D$2:$D$13=$D17,MAX(_xlfn._xlws.FILTER(_xlpm.d,_xlpm.a*_xlpm.b)))</calculatedColumnFormula>
    </tableColumn>
    <tableColumn id="13" xr3:uid="{A288B129-13E5-CF45-84FA-B541A6346826}" name="3g-hash-at-both" dataDxfId="136">
      <calculatedColumnFormula array="1">_xlfn.LET(_xlpm.d,N$2:N$13,_xlpm.a,$C$2:$C$13=$C17,_xlpm.b,$D$2:$D$13=$D17,MAX(_xlfn._xlws.FILTER(_xlpm.d,_xlpm.a*_xlpm.b)))</calculatedColumnFormula>
    </tableColumn>
    <tableColumn id="14" xr3:uid="{DC7A84EC-A5E3-D440-95AE-6DDC95CC6ACC}" name="4g-hash-at-both" dataDxfId="135">
      <calculatedColumnFormula array="1">_xlfn.LET(_xlpm.d,O$2:O$13,_xlpm.a,$C$2:$C$13=$C17,_xlpm.b,$D$2:$D$13=$D17,MAX(_xlfn._xlws.FILTER(_xlpm.d,_xlpm.a*_xlpm.b)))</calculatedColumnFormula>
    </tableColumn>
    <tableColumn id="15" xr3:uid="{4D3A33CB-FC9B-E643-BED6-9F87D4D3B055}" name="sk2g-hash-at-both" dataDxfId="134">
      <calculatedColumnFormula array="1">_xlfn.LET(_xlpm.d,P$2:P$13,_xlpm.a,$C$2:$C$13=$C17,_xlpm.b,$D$2:$D$13=$D17,MAX(_xlfn._xlws.FILTER(_xlpm.d,_xlpm.a*_xlpm.b)))</calculatedColumnFormula>
    </tableColumn>
    <tableColumn id="16" xr3:uid="{E7C6CC10-380D-F64F-B5ED-72023738E503}" name="sk3g-hash-at-both" dataDxfId="133">
      <calculatedColumnFormula array="1">_xlfn.LET(_xlpm.d,Q$2:Q$13,_xlpm.a,$C$2:$C$13=$C17,_xlpm.b,$D$2:$D$13=$D17,MAX(_xlfn._xlws.FILTER(_xlpm.d,_xlpm.a*_xlpm.b)))</calculatedColumnFormula>
    </tableColumn>
    <tableColumn id="17" xr3:uid="{E7AB14E9-A4AF-1C41-BFC9-C25EE3AB9995}" name="sk4g-hash-at-both" dataDxfId="132">
      <calculatedColumnFormula array="1">_xlfn.LET(_xlpm.d,R$2:R$13,_xlpm.a,$C$2:$C$13=$C17,_xlpm.b,$D$2:$D$13=$D17,MAX(_xlfn._xlws.FILTER(_xlpm.d,_xlpm.a*_xlpm.b)))</calculatedColumnFormula>
    </tableColumn>
    <tableColumn id="18" xr3:uid="{2B211ABC-1374-2240-9BF3-49CF7BC66BFA}" name="max" dataDxfId="131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2CEF947-AF9E-AB46-B551-466FBD4C4744}" name="Table10" displayName="Table10" ref="A1:S13" totalsRowShown="0">
  <autoFilter ref="A1:S13" xr:uid="{22CEF947-AF9E-AB46-B551-466FBD4C4744}"/>
  <tableColumns count="19">
    <tableColumn id="1" xr3:uid="{20993FB5-A1D4-B54F-A90C-5470A96D4AF7}" name="lang"/>
    <tableColumn id="18" xr3:uid="{AAA26524-F217-8E46-9A94-D8FAD451D0FC}" name="attribute.index"/>
    <tableColumn id="2" xr3:uid="{46C1C473-61ED-3F40-B671-325797CA7FB6}" name="attribute"/>
    <tableColumn id="3" xr3:uid="{4E1057AC-EE12-4541-9671-CB5007144139}" name="supplement"/>
    <tableColumn id="19" xr3:uid="{E8CEC5D8-AE21-1D45-9E3D-9E3D541D0400}" name="method.index"/>
    <tableColumn id="4" xr3:uid="{86DCF6E8-EE80-C945-80D1-2B653C55A69B}" name="method"/>
    <tableColumn id="5" xr3:uid="{08DBA1BE-97F5-7A4D-9F5A-098999F3B8D9}" name="2g-no-hash" dataDxfId="130"/>
    <tableColumn id="6" xr3:uid="{3061A3F8-57E4-BF45-9B29-14DED3ECAD57}" name="3g-no-hash" dataDxfId="129"/>
    <tableColumn id="7" xr3:uid="{F512720A-5333-0149-8AB8-52A0203BD125}" name="4g-no-hash" dataDxfId="128"/>
    <tableColumn id="8" xr3:uid="{EBB0D7E4-DAEF-8F4A-BCE1-6F5A7BC88AB7}" name="sk2g-no-hash" dataDxfId="127"/>
    <tableColumn id="9" xr3:uid="{64F2F79F-4DB3-6B4B-950F-D6C9CFBF169B}" name="sk3g-no-hash" dataDxfId="126"/>
    <tableColumn id="10" xr3:uid="{91FC2C5E-A1E0-3E4B-BF91-D391CAE0ECCF}" name="sk4g-no-hash" dataDxfId="125"/>
    <tableColumn id="11" xr3:uid="{5385892C-2BD9-F649-8F6E-20D248FE335A}" name="2g-hash-at-both" dataDxfId="124"/>
    <tableColumn id="12" xr3:uid="{B69F6318-8921-6E4E-BAA8-D7822135AA66}" name="3g-hash-at-both" dataDxfId="123"/>
    <tableColumn id="13" xr3:uid="{3FE90190-C352-FA4C-8752-4A433C92C100}" name="4g-hash-at-both" dataDxfId="122"/>
    <tableColumn id="14" xr3:uid="{ED02481C-80D0-024C-B7F9-330907B7F47F}" name="sk2g-hash-at-both" dataDxfId="121"/>
    <tableColumn id="15" xr3:uid="{5C8A71E8-8F17-5741-9E05-D106A354AF6D}" name="sk3g-hash-at-both" dataDxfId="120"/>
    <tableColumn id="16" xr3:uid="{5174D14F-D548-B141-9B61-43154718C4E3}" name="sk4g-hash-at-both" dataDxfId="119"/>
    <tableColumn id="17" xr3:uid="{2DF8CE00-3786-C445-A968-D3FAA40F1094}" name="max" dataDxfId="118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A159F53-635B-1C44-B2AB-18A667DD567C}" name="Table912" displayName="Table912" ref="B16:S20" totalsRowShown="0">
  <autoFilter ref="B16:S20" xr:uid="{9A159F53-635B-1C44-B2AB-18A667DD567C}"/>
  <tableColumns count="18">
    <tableColumn id="1" xr3:uid="{486D1EA5-CA83-F944-BB87-CC0EB818BADA}" name="attribute.index"/>
    <tableColumn id="2" xr3:uid="{3C148A4C-632C-894B-B64D-DC834FBF68C3}" name="attribute"/>
    <tableColumn id="3" xr3:uid="{178A995C-06FF-7640-A2CA-06CD20B34D50}" name="supplemented"/>
    <tableColumn id="4" xr3:uid="{47A42345-59A9-9E41-A122-4E59991349B5}" name="method.index"/>
    <tableColumn id="5" xr3:uid="{870770DF-522D-C54F-A0A3-1BDEF66EB202}" name="metric"/>
    <tableColumn id="6" xr3:uid="{0B2E9D2F-1AFE-2F43-9E68-19672C71578B}" name="2g-no-hash" dataDxfId="117">
      <calculatedColumnFormula array="1">_xlfn.LET(_xlpm.d,G$2:G$13,_xlpm.a,$C$2:$C$13=$C17,_xlpm.b,$D$2:$D$13=$D17,MAX(_xlfn._xlws.FILTER(_xlpm.d,_xlpm.a*_xlpm.b)))</calculatedColumnFormula>
    </tableColumn>
    <tableColumn id="7" xr3:uid="{26BE8031-580A-254F-A293-A876E639991F}" name="3g-no-hash" dataDxfId="116">
      <calculatedColumnFormula array="1">_xlfn.LET(_xlpm.d,H$2:H$13,_xlpm.a,$C$2:$C$13=$C17,_xlpm.b,$D$2:$D$13=$D17,MAX(_xlfn._xlws.FILTER(_xlpm.d,_xlpm.a*_xlpm.b)))</calculatedColumnFormula>
    </tableColumn>
    <tableColumn id="8" xr3:uid="{16567456-5605-4542-9E74-359885D08828}" name="4g-no-hash" dataDxfId="115">
      <calculatedColumnFormula array="1">_xlfn.LET(_xlpm.d,I$2:I$13,_xlpm.a,$C$2:$C$13=$C17,_xlpm.b,$D$2:$D$13=$D17,MAX(_xlfn._xlws.FILTER(_xlpm.d,_xlpm.a*_xlpm.b)))</calculatedColumnFormula>
    </tableColumn>
    <tableColumn id="9" xr3:uid="{0CBBFB7C-1A6D-3D47-8CBA-0B2442126E9D}" name="sk2g-no-hash" dataDxfId="114">
      <calculatedColumnFormula array="1">_xlfn.LET(_xlpm.d,J$2:J$13,_xlpm.a,$C$2:$C$13=$C17,_xlpm.b,$D$2:$D$13=$D17,MAX(_xlfn._xlws.FILTER(_xlpm.d,_xlpm.a*_xlpm.b)))</calculatedColumnFormula>
    </tableColumn>
    <tableColumn id="10" xr3:uid="{5A40EEB4-A579-0541-B9C4-3E6F609E5BE0}" name="sk3g-no-hash" dataDxfId="113">
      <calculatedColumnFormula array="1">_xlfn.LET(_xlpm.d,K$2:K$13,_xlpm.a,$C$2:$C$13=$C17,_xlpm.b,$D$2:$D$13=$D17,MAX(_xlfn._xlws.FILTER(_xlpm.d,_xlpm.a*_xlpm.b)))</calculatedColumnFormula>
    </tableColumn>
    <tableColumn id="11" xr3:uid="{DE7009C1-A66C-244D-8BEE-482077F0C6B5}" name="sk4g-no-hash" dataDxfId="112">
      <calculatedColumnFormula array="1">_xlfn.LET(_xlpm.d,L$2:L$13,_xlpm.a,$C$2:$C$13=$C17,_xlpm.b,$D$2:$D$13=$D17,MAX(_xlfn._xlws.FILTER(_xlpm.d,_xlpm.a*_xlpm.b)))</calculatedColumnFormula>
    </tableColumn>
    <tableColumn id="12" xr3:uid="{2BCCEF82-EE62-2546-9D3F-F050F7890517}" name="2g-hash-at-both" dataDxfId="111">
      <calculatedColumnFormula array="1">_xlfn.LET(_xlpm.d,M$2:M$13,_xlpm.a,$C$2:$C$13=$C17,_xlpm.b,$D$2:$D$13=$D17,MAX(_xlfn._xlws.FILTER(_xlpm.d,_xlpm.a*_xlpm.b)))</calculatedColumnFormula>
    </tableColumn>
    <tableColumn id="13" xr3:uid="{8E425903-71C3-AF4D-A28B-6180A850A911}" name="3g-hash-at-both" dataDxfId="110">
      <calculatedColumnFormula array="1">_xlfn.LET(_xlpm.d,N$2:N$13,_xlpm.a,$C$2:$C$13=$C17,_xlpm.b,$D$2:$D$13=$D17,MAX(_xlfn._xlws.FILTER(_xlpm.d,_xlpm.a*_xlpm.b)))</calculatedColumnFormula>
    </tableColumn>
    <tableColumn id="14" xr3:uid="{4C5B7F48-4BEC-6640-AA8F-C431CBD51233}" name="4g-hash-at-both" dataDxfId="109">
      <calculatedColumnFormula array="1">_xlfn.LET(_xlpm.d,O$2:O$13,_xlpm.a,$C$2:$C$13=$C17,_xlpm.b,$D$2:$D$13=$D17,MAX(_xlfn._xlws.FILTER(_xlpm.d,_xlpm.a*_xlpm.b)))</calculatedColumnFormula>
    </tableColumn>
    <tableColumn id="15" xr3:uid="{A1C9CD9B-9F58-174B-A983-1849FB66B9D1}" name="sk2g-hash-at-both" dataDxfId="108">
      <calculatedColumnFormula array="1">_xlfn.LET(_xlpm.d,P$2:P$13,_xlpm.a,$C$2:$C$13=$C17,_xlpm.b,$D$2:$D$13=$D17,MAX(_xlfn._xlws.FILTER(_xlpm.d,_xlpm.a*_xlpm.b)))</calculatedColumnFormula>
    </tableColumn>
    <tableColumn id="16" xr3:uid="{F913E1EA-75E8-B14B-A90A-9F0CACA53D7B}" name="sk3g-hash-at-both" dataDxfId="107">
      <calculatedColumnFormula array="1">_xlfn.LET(_xlpm.d,Q$2:Q$13,_xlpm.a,$C$2:$C$13=$C17,_xlpm.b,$D$2:$D$13=$D17,MAX(_xlfn._xlws.FILTER(_xlpm.d,_xlpm.a*_xlpm.b)))</calculatedColumnFormula>
    </tableColumn>
    <tableColumn id="17" xr3:uid="{FF5FE048-A429-AB4E-8F13-F5543794A20A}" name="sk4g-hash-at-both" dataDxfId="106">
      <calculatedColumnFormula array="1">_xlfn.LET(_xlpm.d,R$2:R$13,_xlpm.a,$C$2:$C$13=$C17,_xlpm.b,$D$2:$D$13=$D17,MAX(_xlfn._xlws.FILTER(_xlpm.d,_xlpm.a*_xlpm.b)))</calculatedColumnFormula>
    </tableColumn>
    <tableColumn id="18" xr3:uid="{0E7DBDAA-8B14-BA42-BE15-29A9737AAFB4}" name="max" dataDxfId="105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A557E0-29EC-A04A-BEEC-CD9398E5BDDC}" name="Table8" displayName="Table8" ref="A1:S13" totalsRowShown="0">
  <autoFilter ref="A1:S13" xr:uid="{26A557E0-29EC-A04A-BEEC-CD9398E5BDDC}"/>
  <sortState xmlns:xlrd2="http://schemas.microsoft.com/office/spreadsheetml/2017/richdata2" ref="A2:S13">
    <sortCondition ref="B1:B13"/>
  </sortState>
  <tableColumns count="19">
    <tableColumn id="1" xr3:uid="{9E17D031-8D61-CA4B-B414-29F5A2913026}" name="lang"/>
    <tableColumn id="2" xr3:uid="{F36009F1-526B-1445-9240-A5F0990F52D1}" name="attribute.index"/>
    <tableColumn id="3" xr3:uid="{9953B44D-03C0-B34A-B08C-25C4DD628A56}" name="attribute"/>
    <tableColumn id="4" xr3:uid="{CAED4755-7C75-DE4F-A07B-BA67D15F220D}" name="supplement"/>
    <tableColumn id="5" xr3:uid="{71B3F382-2754-4A4B-BF4B-2B617B304044}" name="method.index"/>
    <tableColumn id="6" xr3:uid="{C8987F2C-D278-C141-A14E-7C87F410515A}" name="method"/>
    <tableColumn id="7" xr3:uid="{EFD88B82-D422-F147-AD2C-A5DB715A4A85}" name="2gram-hash-at-both" dataDxfId="104"/>
    <tableColumn id="8" xr3:uid="{8788EBEA-DBD8-224A-BD67-BBBF550C8619}" name="3gram-hash-at-both" dataDxfId="103"/>
    <tableColumn id="9" xr3:uid="{E94E074C-6CDA-0242-ABA0-C841642A4AA1}" name="4gram-hash-at-both" dataDxfId="102"/>
    <tableColumn id="10" xr3:uid="{A9AD3516-2C27-1143-A8CF-7351427092BF}" name="sk2gram-hash-at-both" dataDxfId="101"/>
    <tableColumn id="11" xr3:uid="{52A6B021-774A-DC4C-B545-E4BD1BB339EF}" name="sk3gram-hash-at-both" dataDxfId="100"/>
    <tableColumn id="12" xr3:uid="{DE2E77ED-BEF2-5B41-B4D5-78DCDE03643A}" name="sk4gram-hash-at-both" dataDxfId="99"/>
    <tableColumn id="13" xr3:uid="{0E7D36EE-8005-5A4D-A4D6-7064F6E4A5D0}" name="2gram-no-hash" dataDxfId="98"/>
    <tableColumn id="14" xr3:uid="{1D739298-D18D-2E48-823A-CFEEAD9AC235}" name="3gram-no-hash" dataDxfId="97"/>
    <tableColumn id="15" xr3:uid="{01AE03F2-B1F9-0F4A-8961-7675AD76EE3C}" name="4gram-no-hash" dataDxfId="96"/>
    <tableColumn id="16" xr3:uid="{4A63C0D7-69D0-BB4D-8C64-A49417A5DEC6}" name="sk2gram-no-hash" dataDxfId="95"/>
    <tableColumn id="17" xr3:uid="{0E9E400D-C5E3-D240-8B00-AB7F3A267C45}" name="sk3gram-no-hash" dataDxfId="94"/>
    <tableColumn id="18" xr3:uid="{5B45114C-5B58-CF48-BB6B-1F8ECA68CDF3}" name="sk4gram-no-hash" dataDxfId="93"/>
    <tableColumn id="19" xr3:uid="{ED12EBD8-D590-5C4F-B11B-C20837EF2763}" name="max" dataDxfId="92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F3A15D6-43B3-8044-9F90-6B34F6F4A6EC}" name="Table9" displayName="Table9" ref="B16:S20" totalsRowShown="0">
  <autoFilter ref="B16:S20" xr:uid="{6F3A15D6-43B3-8044-9F90-6B34F6F4A6EC}"/>
  <tableColumns count="18">
    <tableColumn id="1" xr3:uid="{7529B273-A9E8-DA40-B1C8-B916F578A3E4}" name="attribute.index"/>
    <tableColumn id="2" xr3:uid="{0D473429-F7C6-F949-AF9A-12C0C278A310}" name="attribute"/>
    <tableColumn id="3" xr3:uid="{21DA45B4-AC22-4A40-B1F4-8F0BBC2EB0D3}" name="supplemented"/>
    <tableColumn id="4" xr3:uid="{A3E63DBD-BF7E-8445-B43A-C74249DEF455}" name="method.index"/>
    <tableColumn id="5" xr3:uid="{03DAB5FE-945E-8B40-91BE-25E0F7D3DBAA}" name="metric"/>
    <tableColumn id="6" xr3:uid="{29210640-3F9E-D143-BBBC-07A974EF70D0}" name="2g-no-hash" dataDxfId="91">
      <calculatedColumnFormula array="1">_xlfn.LET(_xlpm.d,G$2:G$13,_xlpm.a,$C$2:$C$13=$C17,_xlpm.b,$D$2:$D$13=$D17,MAX(_xlfn._xlws.FILTER(_xlpm.d,_xlpm.a*_xlpm.b)))</calculatedColumnFormula>
    </tableColumn>
    <tableColumn id="7" xr3:uid="{461F8BF6-9E21-364B-B719-7604F12BBF1D}" name="3g-no-hash" dataDxfId="90">
      <calculatedColumnFormula array="1">_xlfn.LET(_xlpm.d,H$2:H$13,_xlpm.a,$C$2:$C$13=$C17,_xlpm.b,$D$2:$D$13=$D17,MAX(_xlfn._xlws.FILTER(_xlpm.d,_xlpm.a*_xlpm.b)))</calculatedColumnFormula>
    </tableColumn>
    <tableColumn id="8" xr3:uid="{6D1DC7E1-9E3E-A347-BA31-C46BEE99533A}" name="4g-no-hash" dataDxfId="89">
      <calculatedColumnFormula array="1">_xlfn.LET(_xlpm.d,I$2:I$13,_xlpm.a,$C$2:$C$13=$C17,_xlpm.b,$D$2:$D$13=$D17,MAX(_xlfn._xlws.FILTER(_xlpm.d,_xlpm.a*_xlpm.b)))</calculatedColumnFormula>
    </tableColumn>
    <tableColumn id="9" xr3:uid="{C5F1361F-527B-2E40-9DF3-C030CE725240}" name="sk2g-no-hash" dataDxfId="88">
      <calculatedColumnFormula array="1">_xlfn.LET(_xlpm.d,J$2:J$13,_xlpm.a,$C$2:$C$13=$C17,_xlpm.b,$D$2:$D$13=$D17,MAX(_xlfn._xlws.FILTER(_xlpm.d,_xlpm.a*_xlpm.b)))</calculatedColumnFormula>
    </tableColumn>
    <tableColumn id="10" xr3:uid="{4B9E3B33-B0E0-2F47-BDDA-E33B5C414150}" name="sk3g-no-hash" dataDxfId="87">
      <calculatedColumnFormula array="1">_xlfn.LET(_xlpm.d,K$2:K$13,_xlpm.a,$C$2:$C$13=$C17,_xlpm.b,$D$2:$D$13=$D17,MAX(_xlfn._xlws.FILTER(_xlpm.d,_xlpm.a*_xlpm.b)))</calculatedColumnFormula>
    </tableColumn>
    <tableColumn id="11" xr3:uid="{49345B78-3CBF-0045-955D-789CBEE0B8AD}" name="sk4g-no-hash" dataDxfId="86">
      <calculatedColumnFormula array="1">_xlfn.LET(_xlpm.d,L$2:L$13,_xlpm.a,$C$2:$C$13=$C17,_xlpm.b,$D$2:$D$13=$D17,MAX(_xlfn._xlws.FILTER(_xlpm.d,_xlpm.a*_xlpm.b)))</calculatedColumnFormula>
    </tableColumn>
    <tableColumn id="12" xr3:uid="{0073BD88-28D5-BD42-908D-BB26ED914575}" name="2g-hash-at-both" dataDxfId="85">
      <calculatedColumnFormula array="1">_xlfn.LET(_xlpm.d,M$2:M$13,_xlpm.a,$C$2:$C$13=$C17,_xlpm.b,$D$2:$D$13=$D17,MAX(_xlfn._xlws.FILTER(_xlpm.d,_xlpm.a*_xlpm.b)))</calculatedColumnFormula>
    </tableColumn>
    <tableColumn id="13" xr3:uid="{B32EBA39-8451-5A4E-8C11-ACBBAF74D2CE}" name="3g-hash-at-both" dataDxfId="84">
      <calculatedColumnFormula array="1">_xlfn.LET(_xlpm.d,N$2:N$13,_xlpm.a,$C$2:$C$13=$C17,_xlpm.b,$D$2:$D$13=$D17,MAX(_xlfn._xlws.FILTER(_xlpm.d,_xlpm.a*_xlpm.b)))</calculatedColumnFormula>
    </tableColumn>
    <tableColumn id="14" xr3:uid="{E7043E7D-EF41-4A45-A878-F8F11FDDC2D2}" name="4g-hash-at-both" dataDxfId="83">
      <calculatedColumnFormula array="1">_xlfn.LET(_xlpm.d,O$2:O$13,_xlpm.a,$C$2:$C$13=$C17,_xlpm.b,$D$2:$D$13=$D17,MAX(_xlfn._xlws.FILTER(_xlpm.d,_xlpm.a*_xlpm.b)))</calculatedColumnFormula>
    </tableColumn>
    <tableColumn id="15" xr3:uid="{E76DAEE8-0942-DF48-A986-06E4D5AEAACE}" name="sk2g-hash-at-both" dataDxfId="82">
      <calculatedColumnFormula array="1">_xlfn.LET(_xlpm.d,P$2:P$13,_xlpm.a,$C$2:$C$13=$C17,_xlpm.b,$D$2:$D$13=$D17,MAX(_xlfn._xlws.FILTER(_xlpm.d,_xlpm.a*_xlpm.b)))</calculatedColumnFormula>
    </tableColumn>
    <tableColumn id="16" xr3:uid="{AB3280FA-E4CE-8F4F-B22B-36CABACF3B86}" name="sk3g-hash-at-both" dataDxfId="81">
      <calculatedColumnFormula array="1">_xlfn.LET(_xlpm.d,Q$2:Q$13,_xlpm.a,$C$2:$C$13=$C17,_xlpm.b,$D$2:$D$13=$D17,MAX(_xlfn._xlws.FILTER(_xlpm.d,_xlpm.a*_xlpm.b)))</calculatedColumnFormula>
    </tableColumn>
    <tableColumn id="17" xr3:uid="{73E2E114-F4FC-7643-8CC0-078B5C9F64DB}" name="sk4g-hash-at-both" dataDxfId="80">
      <calculatedColumnFormula array="1">_xlfn.LET(_xlpm.d,R$2:R$13,_xlpm.a,$C$2:$C$13=$C17,_xlpm.b,$D$2:$D$13=$D17,MAX(_xlfn._xlws.FILTER(_xlpm.d,_xlpm.a*_xlpm.b)))</calculatedColumnFormula>
    </tableColumn>
    <tableColumn id="18" xr3:uid="{8801E1AC-7908-C449-9B1B-D0F313E905BF}" name="max" dataDxfId="79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9F7A01-76C6-4C46-B59F-A0D8C18571A1}" name="Table6" displayName="Table6" ref="A1:S13" totalsRowShown="0">
  <autoFilter ref="A1:S13" xr:uid="{169F7A01-76C6-4C46-B59F-A0D8C18571A1}"/>
  <tableColumns count="19">
    <tableColumn id="1" xr3:uid="{052AF2E6-083F-B64D-8F89-DE5CFBD06BB0}" name="lang"/>
    <tableColumn id="2" xr3:uid="{6D882DB4-BD37-2A49-A73D-086643EC79B7}" name="attribute.index"/>
    <tableColumn id="3" xr3:uid="{BED44CB2-1BF6-9548-A89E-7005B96B9992}" name="attribute"/>
    <tableColumn id="4" xr3:uid="{3B46B3EC-E3CA-5044-ADA1-067610CB6E4D}" name="supplement"/>
    <tableColumn id="5" xr3:uid="{44F6D70F-A9E8-F44C-98DC-77C40AD4CA94}" name="method.index"/>
    <tableColumn id="6" xr3:uid="{BFBA7FDA-B27D-054C-9057-923C02F9E147}" name="method"/>
    <tableColumn id="7" xr3:uid="{1BD28638-D4FE-C040-86A3-36F4B924A53C}" name="2g-no-hash" dataDxfId="78"/>
    <tableColumn id="8" xr3:uid="{80189327-B131-9143-A223-863FBBA22C16}" name="3g-no-hash" dataDxfId="77"/>
    <tableColumn id="9" xr3:uid="{1A1A7155-96FB-DB4B-B546-0B4A90EC38AA}" name="4g-no-hash" dataDxfId="76"/>
    <tableColumn id="10" xr3:uid="{167306DD-9AB1-D348-B5AD-FE9C1A64C03B}" name="sk2g-no-hash" dataDxfId="75"/>
    <tableColumn id="11" xr3:uid="{FF505E03-0456-EB4B-9CAB-CB4E4EDD74CA}" name="sk3g-no-hash" dataDxfId="74"/>
    <tableColumn id="12" xr3:uid="{EB390D08-B1CB-654D-AAF0-B225F35D53A9}" name="sk4g-no-hash" dataDxfId="73"/>
    <tableColumn id="13" xr3:uid="{AE03A09A-58CD-B043-95F6-7C940B6B23D3}" name="2g-hash-at-both" dataDxfId="72"/>
    <tableColumn id="14" xr3:uid="{7F7EAAF4-070E-1949-A621-41176AEE02AF}" name="3g-hash-at-both" dataDxfId="71"/>
    <tableColumn id="15" xr3:uid="{F9E255C0-B1F3-0447-929C-7719B773F965}" name="4g-hash-at-both" dataDxfId="70"/>
    <tableColumn id="16" xr3:uid="{60596FD9-4370-6240-8B76-7A1B7CE1832C}" name="sk2g-hash-at-both" dataDxfId="69"/>
    <tableColumn id="17" xr3:uid="{ECCEB1E8-5234-4344-9DF0-3FB621B47593}" name="sk3g-hash-at-both" dataDxfId="68"/>
    <tableColumn id="18" xr3:uid="{2097D237-7CB0-ED40-8FBB-811FF058743D}" name="sk4g-hash-at-both" dataDxfId="67"/>
    <tableColumn id="19" xr3:uid="{223F8697-1D0B-CE49-9296-F8F89544D9A1}" name="max" dataDxfId="66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86E741-6783-B94F-A226-C99FF3A45E06}" name="Table9368" displayName="Table9368" ref="B16:S20" totalsRowShown="0">
  <autoFilter ref="B16:S20" xr:uid="{E486E741-6783-B94F-A226-C99FF3A45E06}"/>
  <tableColumns count="18">
    <tableColumn id="1" xr3:uid="{06F7854D-185F-DF4B-AECF-620749CB26B4}" name="attribute.index"/>
    <tableColumn id="2" xr3:uid="{6CF97711-0F4C-8D4F-82FA-1FFA6484107D}" name="attribute"/>
    <tableColumn id="3" xr3:uid="{9E0CB048-946E-DD4B-9D67-033B3CB64714}" name="supplemented"/>
    <tableColumn id="4" xr3:uid="{8D9E05BE-0C59-7E4E-B06A-2739EAD48DA8}" name="method.index"/>
    <tableColumn id="5" xr3:uid="{9BDC7A91-B761-854A-BD96-EDA8B2090F4F}" name="metric"/>
    <tableColumn id="6" xr3:uid="{590CB62C-C453-2B4B-BDFA-6861E43B4B58}" name="2g-no-hash" dataDxfId="65">
      <calculatedColumnFormula array="1">_xlfn.LET(_xlpm.d,G$2:G$13,_xlpm.a,$C$2:$C$13=$C17,_xlpm.b,$D$2:$D$13=$D17,MAX(_xlfn._xlws.FILTER(_xlpm.d,_xlpm.a*_xlpm.b)))</calculatedColumnFormula>
    </tableColumn>
    <tableColumn id="7" xr3:uid="{BB932B57-CBF3-2A4A-8BDD-DA7A52D9A104}" name="3g-no-hash" dataDxfId="64">
      <calculatedColumnFormula array="1">_xlfn.LET(_xlpm.d,H$2:H$13,_xlpm.a,$C$2:$C$13=$C17,_xlpm.b,$D$2:$D$13=$D17,MAX(_xlfn._xlws.FILTER(_xlpm.d,_xlpm.a*_xlpm.b)))</calculatedColumnFormula>
    </tableColumn>
    <tableColumn id="8" xr3:uid="{9C2D2541-CA76-9041-BD5D-98D6F80F034A}" name="4g-no-hash" dataDxfId="63">
      <calculatedColumnFormula array="1">_xlfn.LET(_xlpm.d,I$2:I$13,_xlpm.a,$C$2:$C$13=$C17,_xlpm.b,$D$2:$D$13=$D17,MAX(_xlfn._xlws.FILTER(_xlpm.d,_xlpm.a*_xlpm.b)))</calculatedColumnFormula>
    </tableColumn>
    <tableColumn id="9" xr3:uid="{6ACF6741-A72C-4848-B16E-DFC630614E65}" name="sk2g-no-hash" dataDxfId="62">
      <calculatedColumnFormula array="1">_xlfn.LET(_xlpm.d,J$2:J$13,_xlpm.a,$C$2:$C$13=$C17,_xlpm.b,$D$2:$D$13=$D17,MAX(_xlfn._xlws.FILTER(_xlpm.d,_xlpm.a*_xlpm.b)))</calculatedColumnFormula>
    </tableColumn>
    <tableColumn id="10" xr3:uid="{843B3AA0-B850-6E49-A57A-6F49EE32BA51}" name="sk3g-no-hash" dataDxfId="61">
      <calculatedColumnFormula array="1">_xlfn.LET(_xlpm.d,K$2:K$13,_xlpm.a,$C$2:$C$13=$C17,_xlpm.b,$D$2:$D$13=$D17,MAX(_xlfn._xlws.FILTER(_xlpm.d,_xlpm.a*_xlpm.b)))</calculatedColumnFormula>
    </tableColumn>
    <tableColumn id="11" xr3:uid="{BC3DF148-9E5F-B646-85B8-3CF7699A06A9}" name="sk4g-no-hash" dataDxfId="60">
      <calculatedColumnFormula array="1">_xlfn.LET(_xlpm.d,L$2:L$13,_xlpm.a,$C$2:$C$13=$C17,_xlpm.b,$D$2:$D$13=$D17,MAX(_xlfn._xlws.FILTER(_xlpm.d,_xlpm.a*_xlpm.b)))</calculatedColumnFormula>
    </tableColumn>
    <tableColumn id="12" xr3:uid="{BF3A1CBE-4356-1A4C-915A-CE85B9DFAE14}" name="2g-hash-at-both" dataDxfId="59">
      <calculatedColumnFormula array="1">_xlfn.LET(_xlpm.d,M$2:M$13,_xlpm.a,$C$2:$C$13=$C17,_xlpm.b,$D$2:$D$13=$D17,MAX(_xlfn._xlws.FILTER(_xlpm.d,_xlpm.a*_xlpm.b)))</calculatedColumnFormula>
    </tableColumn>
    <tableColumn id="13" xr3:uid="{DE0248BF-BCB6-9246-AC5E-E63A492E4440}" name="3g-hash-at-both" dataDxfId="58">
      <calculatedColumnFormula array="1">_xlfn.LET(_xlpm.d,N$2:N$13,_xlpm.a,$C$2:$C$13=$C17,_xlpm.b,$D$2:$D$13=$D17,MAX(_xlfn._xlws.FILTER(_xlpm.d,_xlpm.a*_xlpm.b)))</calculatedColumnFormula>
    </tableColumn>
    <tableColumn id="14" xr3:uid="{AFA85505-CE4E-6241-9226-44E897597F96}" name="4g-hash-at-both" dataDxfId="57">
      <calculatedColumnFormula array="1">_xlfn.LET(_xlpm.d,O$2:O$13,_xlpm.a,$C$2:$C$13=$C17,_xlpm.b,$D$2:$D$13=$D17,MAX(_xlfn._xlws.FILTER(_xlpm.d,_xlpm.a*_xlpm.b)))</calculatedColumnFormula>
    </tableColumn>
    <tableColumn id="15" xr3:uid="{DAB21B89-B05B-C642-A273-5C92B4EAE8D6}" name="sk2g-hash-at-both" dataDxfId="56">
      <calculatedColumnFormula array="1">_xlfn.LET(_xlpm.d,P$2:P$13,_xlpm.a,$C$2:$C$13=$C17,_xlpm.b,$D$2:$D$13=$D17,MAX(_xlfn._xlws.FILTER(_xlpm.d,_xlpm.a*_xlpm.b)))</calculatedColumnFormula>
    </tableColumn>
    <tableColumn id="16" xr3:uid="{977446A0-1BE9-3140-BFA4-E8F30915AB8D}" name="sk3g-hash-at-both" dataDxfId="55">
      <calculatedColumnFormula array="1">_xlfn.LET(_xlpm.d,Q$2:Q$13,_xlpm.a,$C$2:$C$13=$C17,_xlpm.b,$D$2:$D$13=$D17,MAX(_xlfn._xlws.FILTER(_xlpm.d,_xlpm.a*_xlpm.b)))</calculatedColumnFormula>
    </tableColumn>
    <tableColumn id="17" xr3:uid="{3286ECBD-EF1D-7440-BCB1-BD315F13B3AC}" name="sk4g-hash-at-both" dataDxfId="54">
      <calculatedColumnFormula array="1">_xlfn.LET(_xlpm.d,R$2:R$13,_xlpm.a,$C$2:$C$13=$C17,_xlpm.b,$D$2:$D$13=$D17,MAX(_xlfn._xlws.FILTER(_xlpm.d,_xlpm.a*_xlpm.b)))</calculatedColumnFormula>
    </tableColumn>
    <tableColumn id="18" xr3:uid="{9E10EACE-A651-6242-9887-DED656A46891}" name="max" dataDxfId="53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65A537-B42B-B240-A647-7D08724B1A00}" name="Table4" displayName="Table4" ref="A1:S13" totalsRowShown="0">
  <autoFilter ref="A1:S13" xr:uid="{A465A537-B42B-B240-A647-7D08724B1A00}"/>
  <tableColumns count="19">
    <tableColumn id="1" xr3:uid="{DCC4DD16-8273-0D48-B19F-87936A9F1851}" name="lang"/>
    <tableColumn id="2" xr3:uid="{87F984A5-0A55-4C40-B4FA-376FAB8665DA}" name="attribute.index"/>
    <tableColumn id="3" xr3:uid="{C21BA36E-95CE-094D-AF4B-38A11334FCA1}" name="attribute"/>
    <tableColumn id="4" xr3:uid="{F7D5B366-03BF-8E4D-A29D-62A331639824}" name="supplement"/>
    <tableColumn id="5" xr3:uid="{3228E1D4-6D60-3248-A6B8-E0CD01A39158}" name="method.index"/>
    <tableColumn id="6" xr3:uid="{975B6CC3-2BF0-6E4E-9678-67F2F4F78E6C}" name="method"/>
    <tableColumn id="7" xr3:uid="{E8EB8403-C7DE-A245-BB68-194F441D6B7A}" name="2g-hash-at-both" dataDxfId="52"/>
    <tableColumn id="8" xr3:uid="{B591D4B5-0871-3D40-9F87-729E1DB6CE63}" name="3g-hash-at-both" dataDxfId="51"/>
    <tableColumn id="9" xr3:uid="{C9FCD755-1A85-0B42-AC0B-B655E154FDD6}" name="4g-hash-at-both" dataDxfId="50"/>
    <tableColumn id="10" xr3:uid="{3E662912-3254-0D46-B122-74E238064117}" name="sk2g-hash-at-both" dataDxfId="49"/>
    <tableColumn id="11" xr3:uid="{81D9DC04-CA3A-BB41-A478-456E0833B922}" name="sk3g-hash-at-both" dataDxfId="48"/>
    <tableColumn id="12" xr3:uid="{70C96ED6-54D9-334B-830D-8DA989D74F81}" name="sk4g-hash-at-both" dataDxfId="47"/>
    <tableColumn id="13" xr3:uid="{C256C352-C52D-A64A-AA3E-7DD8DD93DA9E}" name="2g-no-hash" dataDxfId="46"/>
    <tableColumn id="14" xr3:uid="{B3239835-C4F3-8044-A1DF-FA8EE8E02BBE}" name="3g-no-hash" dataDxfId="45"/>
    <tableColumn id="15" xr3:uid="{644EB849-4FC8-724C-A6C2-B59C5258C8C3}" name="4g-no-hash" dataDxfId="44"/>
    <tableColumn id="16" xr3:uid="{1B5B3846-F17B-4E4E-9170-C078CAAADD71}" name="sk2g-no-hash" dataDxfId="43"/>
    <tableColumn id="17" xr3:uid="{E39A6654-8920-AE4B-8FD5-F5B65191D822}" name="sk3g-no-hash" dataDxfId="42"/>
    <tableColumn id="18" xr3:uid="{9FE165C1-61A2-544F-BBC8-EE592986D769}" name="sk4g-no-hash" dataDxfId="41"/>
    <tableColumn id="19" xr3:uid="{845C5B10-F94F-EE43-B349-0C55340038C8}" name="max" dataDxfId="40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CC61BA-6D34-4D40-AE4B-44C3BA9ED27E}" name="Table936" displayName="Table936" ref="B16:S20" totalsRowShown="0">
  <autoFilter ref="B16:S20" xr:uid="{A5CC61BA-6D34-4D40-AE4B-44C3BA9ED27E}"/>
  <tableColumns count="18">
    <tableColumn id="1" xr3:uid="{2772B516-D11A-D748-BCC7-2071BA33E4A9}" name="attribute.index"/>
    <tableColumn id="2" xr3:uid="{5AF360C7-2C8A-7341-ABA2-ED565E12A078}" name="attribute"/>
    <tableColumn id="3" xr3:uid="{7B488EDA-D062-7046-99DE-D21AAE02C910}" name="supplemented"/>
    <tableColumn id="4" xr3:uid="{F91AA2DA-97E3-E74A-AB3F-A7F49CC47F0F}" name="method.index"/>
    <tableColumn id="5" xr3:uid="{5B334E52-39BF-CA4E-8949-E2111C5056F3}" name="metric"/>
    <tableColumn id="6" xr3:uid="{C74C01F8-54F1-9A47-9A58-AD161E85AA62}" name="2g-no-hash" dataDxfId="39">
      <calculatedColumnFormula array="1">_xlfn.LET(_xlpm.d,G$2:G$13,_xlpm.a,$C$2:$C$13=$C17,_xlpm.b,$D$2:$D$13=$D17,MAX(_xlfn._xlws.FILTER(_xlpm.d,_xlpm.a*_xlpm.b)))</calculatedColumnFormula>
    </tableColumn>
    <tableColumn id="7" xr3:uid="{130CC054-0DBB-124D-BC05-CB287488FBE8}" name="3g-no-hash" dataDxfId="38">
      <calculatedColumnFormula array="1">_xlfn.LET(_xlpm.d,H$2:H$13,_xlpm.a,$C$2:$C$13=$C17,_xlpm.b,$D$2:$D$13=$D17,MAX(_xlfn._xlws.FILTER(_xlpm.d,_xlpm.a*_xlpm.b)))</calculatedColumnFormula>
    </tableColumn>
    <tableColumn id="8" xr3:uid="{40860174-BDBC-9449-9FFD-B5E2A548F2CC}" name="4g-no-hash" dataDxfId="37">
      <calculatedColumnFormula array="1">_xlfn.LET(_xlpm.d,I$2:I$13,_xlpm.a,$C$2:$C$13=$C17,_xlpm.b,$D$2:$D$13=$D17,MAX(_xlfn._xlws.FILTER(_xlpm.d,_xlpm.a*_xlpm.b)))</calculatedColumnFormula>
    </tableColumn>
    <tableColumn id="9" xr3:uid="{616398B0-7977-A44A-931E-C052239CCBDC}" name="sk2g-no-hash" dataDxfId="36">
      <calculatedColumnFormula array="1">_xlfn.LET(_xlpm.d,J$2:J$13,_xlpm.a,$C$2:$C$13=$C17,_xlpm.b,$D$2:$D$13=$D17,MAX(_xlfn._xlws.FILTER(_xlpm.d,_xlpm.a*_xlpm.b)))</calculatedColumnFormula>
    </tableColumn>
    <tableColumn id="10" xr3:uid="{547CDED5-2221-BB48-9C18-3EAD17B237C2}" name="sk3g-no-hash" dataDxfId="35">
      <calculatedColumnFormula array="1">_xlfn.LET(_xlpm.d,K$2:K$13,_xlpm.a,$C$2:$C$13=$C17,_xlpm.b,$D$2:$D$13=$D17,MAX(_xlfn._xlws.FILTER(_xlpm.d,_xlpm.a*_xlpm.b)))</calculatedColumnFormula>
    </tableColumn>
    <tableColumn id="11" xr3:uid="{B8F04644-6A78-2545-B79A-E5C07E0D2A8A}" name="sk4g-no-hash" dataDxfId="34">
      <calculatedColumnFormula array="1">_xlfn.LET(_xlpm.d,L$2:L$13,_xlpm.a,$C$2:$C$13=$C17,_xlpm.b,$D$2:$D$13=$D17,MAX(_xlfn._xlws.FILTER(_xlpm.d,_xlpm.a*_xlpm.b)))</calculatedColumnFormula>
    </tableColumn>
    <tableColumn id="12" xr3:uid="{D2A280B0-1931-B947-953A-726D04A65C5F}" name="2g-hash-at-both" dataDxfId="33">
      <calculatedColumnFormula array="1">_xlfn.LET(_xlpm.d,M$2:M$13,_xlpm.a,$C$2:$C$13=$C17,_xlpm.b,$D$2:$D$13=$D17,MAX(_xlfn._xlws.FILTER(_xlpm.d,_xlpm.a*_xlpm.b)))</calculatedColumnFormula>
    </tableColumn>
    <tableColumn id="13" xr3:uid="{9DE2B01A-E0E8-F54C-AD2F-7E37935DDD84}" name="3g-hash-at-both" dataDxfId="32">
      <calculatedColumnFormula array="1">_xlfn.LET(_xlpm.d,N$2:N$13,_xlpm.a,$C$2:$C$13=$C17,_xlpm.b,$D$2:$D$13=$D17,MAX(_xlfn._xlws.FILTER(_xlpm.d,_xlpm.a*_xlpm.b)))</calculatedColumnFormula>
    </tableColumn>
    <tableColumn id="14" xr3:uid="{B1D8C97E-A7B0-374E-A23D-597057B96A6C}" name="4g-hash-at-both" dataDxfId="31">
      <calculatedColumnFormula array="1">_xlfn.LET(_xlpm.d,O$2:O$13,_xlpm.a,$C$2:$C$13=$C17,_xlpm.b,$D$2:$D$13=$D17,MAX(_xlfn._xlws.FILTER(_xlpm.d,_xlpm.a*_xlpm.b)))</calculatedColumnFormula>
    </tableColumn>
    <tableColumn id="15" xr3:uid="{C9C0154B-B83B-1242-A493-964B28CC118F}" name="sk2g-hash-at-both" dataDxfId="30">
      <calculatedColumnFormula array="1">_xlfn.LET(_xlpm.d,P$2:P$13,_xlpm.a,$C$2:$C$13=$C17,_xlpm.b,$D$2:$D$13=$D17,MAX(_xlfn._xlws.FILTER(_xlpm.d,_xlpm.a*_xlpm.b)))</calculatedColumnFormula>
    </tableColumn>
    <tableColumn id="16" xr3:uid="{9F94C3FC-EBA6-684E-B306-98C076E4D95A}" name="sk3g-hash-at-both" dataDxfId="29">
      <calculatedColumnFormula array="1">_xlfn.LET(_xlpm.d,Q$2:Q$13,_xlpm.a,$C$2:$C$13=$C17,_xlpm.b,$D$2:$D$13=$D17,MAX(_xlfn._xlws.FILTER(_xlpm.d,_xlpm.a*_xlpm.b)))</calculatedColumnFormula>
    </tableColumn>
    <tableColumn id="17" xr3:uid="{0D9C79A5-FB6E-9F41-8244-E15EC2F06549}" name="sk4g-hash-at-both" dataDxfId="28">
      <calculatedColumnFormula array="1">_xlfn.LET(_xlpm.d,R$2:R$13,_xlpm.a,$C$2:$C$13=$C17,_xlpm.b,$D$2:$D$13=$D17,MAX(_xlfn._xlws.FILTER(_xlpm.d,_xlpm.a*_xlpm.b)))</calculatedColumnFormula>
    </tableColumn>
    <tableColumn id="18" xr3:uid="{18928332-20EE-3B44-8199-C30AAB8AF7D0}" name="max" dataDxfId="27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24DF5-487B-0040-86FA-C5D9B22537F9}" name="Table1" displayName="Table1" ref="A1:S13" totalsRowShown="0">
  <autoFilter ref="A1:S13" xr:uid="{4AB24DF5-487B-0040-86FA-C5D9B22537F9}"/>
  <tableColumns count="19">
    <tableColumn id="1" xr3:uid="{50568AD1-E417-BC4F-9E76-5A1E472E6AF4}" name="lang"/>
    <tableColumn id="2" xr3:uid="{9E5C882B-B3DA-F940-91AC-8BF1FC22B0E8}" name="attribute.index"/>
    <tableColumn id="3" xr3:uid="{7CCA55BA-3EE6-B342-AECF-71B8A5468346}" name="attribute"/>
    <tableColumn id="4" xr3:uid="{AFD2C7AF-AFD4-F84D-AB5A-621498B51E15}" name="supplement"/>
    <tableColumn id="5" xr3:uid="{A27EF299-2C3D-2544-B057-81F79030E65F}" name="method.index"/>
    <tableColumn id="6" xr3:uid="{C5D3E35A-452D-0E42-A4D4-38637B30A86D}" name="method"/>
    <tableColumn id="7" xr3:uid="{4E69ECFD-50B8-4A48-95D6-008798C1140D}" name="2g-hash-at-both" dataDxfId="26"/>
    <tableColumn id="8" xr3:uid="{4829CFAA-9DD6-574D-8CF0-9E1EDEF03CA7}" name="3g-hash-at-both" dataDxfId="25"/>
    <tableColumn id="9" xr3:uid="{D74DFF70-9593-724D-9BBA-389F93F30AB7}" name="4g-hash-at-both" dataDxfId="24"/>
    <tableColumn id="10" xr3:uid="{95FF4011-C963-714E-AB9C-6ACBDBF8DAFF}" name="sk2g-hash-at-both" dataDxfId="23"/>
    <tableColumn id="11" xr3:uid="{10C765A3-3F70-1044-B093-E1E8F13B9884}" name="sk3g-hash-at-both" dataDxfId="22"/>
    <tableColumn id="12" xr3:uid="{B43EFC3D-10D5-7645-828D-C6E846725638}" name="sk4g-hash-at-both" dataDxfId="21"/>
    <tableColumn id="13" xr3:uid="{056D44AE-C107-0A46-A6B3-F658B57A23AC}" name="2g-no-hash" dataDxfId="20"/>
    <tableColumn id="14" xr3:uid="{E93E9E03-CC99-3F40-9C0C-C32BCD2290AE}" name="3g-no-hash" dataDxfId="19"/>
    <tableColumn id="15" xr3:uid="{99D3AF79-2A10-5640-B2A3-EF8E9428BCC2}" name="4g-no-hash" dataDxfId="18"/>
    <tableColumn id="16" xr3:uid="{7291FE1E-E247-3643-8CB8-A30E890243A6}" name="sk2g-no-hash" dataDxfId="17"/>
    <tableColumn id="17" xr3:uid="{C3352CD9-7320-2A42-A19B-359C792F8655}" name="sk3g-no-hash" dataDxfId="16"/>
    <tableColumn id="18" xr3:uid="{5CD5C865-965A-3547-9BCE-0D2645D15EA4}" name="sk4g-no-hash" dataDxfId="15"/>
    <tableColumn id="19" xr3:uid="{2DB8ABB5-0BED-CF47-96C5-678AB567E53B}" name="max" dataDxfId="14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799147-7A53-1F4B-B71A-69D4EEB2EC3A}" name="Table93" displayName="Table93" ref="B16:S20" totalsRowShown="0">
  <autoFilter ref="B16:S20" xr:uid="{32799147-7A53-1F4B-B71A-69D4EEB2EC3A}"/>
  <tableColumns count="18">
    <tableColumn id="1" xr3:uid="{F41BD2DB-7048-FD45-9791-1ECB88E71E8F}" name="attribute.index"/>
    <tableColumn id="2" xr3:uid="{F766A25E-8AD8-2A4A-9B00-E878EB698E02}" name="attribute"/>
    <tableColumn id="3" xr3:uid="{190F4A87-233A-E348-80E4-DB1B066BCC86}" name="supplemented"/>
    <tableColumn id="4" xr3:uid="{93FFB040-3C59-AD43-8B3B-D8848FF950EE}" name="method.index"/>
    <tableColumn id="5" xr3:uid="{33143DD5-5410-A247-9F71-641939BD258E}" name="metric"/>
    <tableColumn id="6" xr3:uid="{343DF45C-2AAB-2947-AAA9-859E74272200}" name="2g-no-hash" dataDxfId="13">
      <calculatedColumnFormula array="1">_xlfn.LET(_xlpm.d,G$2:G$13,_xlpm.a,$C$2:$C$13=$C17,_xlpm.b,$D$2:$D$13=$D17,MAX(_xlfn._xlws.FILTER(_xlpm.d,_xlpm.a*_xlpm.b)))</calculatedColumnFormula>
    </tableColumn>
    <tableColumn id="7" xr3:uid="{8320A9BC-F07A-A34C-AB61-7A9AEE6BFB16}" name="3g-no-hash" dataDxfId="12">
      <calculatedColumnFormula array="1">_xlfn.LET(_xlpm.d,H$2:H$13,_xlpm.a,$C$2:$C$13=$C17,_xlpm.b,$D$2:$D$13=$D17,MAX(_xlfn._xlws.FILTER(_xlpm.d,_xlpm.a*_xlpm.b)))</calculatedColumnFormula>
    </tableColumn>
    <tableColumn id="8" xr3:uid="{6C494811-34BE-DE44-B303-22EDDF1045A5}" name="4g-no-hash" dataDxfId="11">
      <calculatedColumnFormula array="1">_xlfn.LET(_xlpm.d,I$2:I$13,_xlpm.a,$C$2:$C$13=$C17,_xlpm.b,$D$2:$D$13=$D17,MAX(_xlfn._xlws.FILTER(_xlpm.d,_xlpm.a*_xlpm.b)))</calculatedColumnFormula>
    </tableColumn>
    <tableColumn id="9" xr3:uid="{CC1A3EDA-C664-8946-AD86-4B98CCE7F366}" name="sk2g-no-hash" dataDxfId="10">
      <calculatedColumnFormula array="1">_xlfn.LET(_xlpm.d,J$2:J$13,_xlpm.a,$C$2:$C$13=$C17,_xlpm.b,$D$2:$D$13=$D17,MAX(_xlfn._xlws.FILTER(_xlpm.d,_xlpm.a*_xlpm.b)))</calculatedColumnFormula>
    </tableColumn>
    <tableColumn id="10" xr3:uid="{9B94B781-54F4-9340-B89A-6B89C3B6E6ED}" name="sk3g-no-hash" dataDxfId="9">
      <calculatedColumnFormula array="1">_xlfn.LET(_xlpm.d,K$2:K$13,_xlpm.a,$C$2:$C$13=$C17,_xlpm.b,$D$2:$D$13=$D17,MAX(_xlfn._xlws.FILTER(_xlpm.d,_xlpm.a*_xlpm.b)))</calculatedColumnFormula>
    </tableColumn>
    <tableColumn id="11" xr3:uid="{2166C9D9-6D21-E841-93A6-23BFD75213AB}" name="sk4g-no-hash" dataDxfId="8">
      <calculatedColumnFormula array="1">_xlfn.LET(_xlpm.d,L$2:L$13,_xlpm.a,$C$2:$C$13=$C17,_xlpm.b,$D$2:$D$13=$D17,MAX(_xlfn._xlws.FILTER(_xlpm.d,_xlpm.a*_xlpm.b)))</calculatedColumnFormula>
    </tableColumn>
    <tableColumn id="12" xr3:uid="{DFC9FFE4-34AC-C44A-8A01-47E00F77B216}" name="2g-hash-at-both" dataDxfId="7">
      <calculatedColumnFormula array="1">_xlfn.LET(_xlpm.d,M$2:M$13,_xlpm.a,$C$2:$C$13=$C17,_xlpm.b,$D$2:$D$13=$D17,MAX(_xlfn._xlws.FILTER(_xlpm.d,_xlpm.a*_xlpm.b)))</calculatedColumnFormula>
    </tableColumn>
    <tableColumn id="13" xr3:uid="{F9D287F5-E6D7-C04F-8CF6-A67ADFAE7751}" name="3g-hash-at-both" dataDxfId="6">
      <calculatedColumnFormula array="1">_xlfn.LET(_xlpm.d,N$2:N$13,_xlpm.a,$C$2:$C$13=$C17,_xlpm.b,$D$2:$D$13=$D17,MAX(_xlfn._xlws.FILTER(_xlpm.d,_xlpm.a*_xlpm.b)))</calculatedColumnFormula>
    </tableColumn>
    <tableColumn id="14" xr3:uid="{88C28EE9-ED91-8A43-900B-8F950E6980CC}" name="4g-hash-at-both" dataDxfId="5">
      <calculatedColumnFormula array="1">_xlfn.LET(_xlpm.d,O$2:O$13,_xlpm.a,$C$2:$C$13=$C17,_xlpm.b,$D$2:$D$13=$D17,MAX(_xlfn._xlws.FILTER(_xlpm.d,_xlpm.a*_xlpm.b)))</calculatedColumnFormula>
    </tableColumn>
    <tableColumn id="15" xr3:uid="{9A49544C-18D7-794C-82F3-517B2BB0DA4E}" name="sk2g-hash-at-both" dataDxfId="4">
      <calculatedColumnFormula array="1">_xlfn.LET(_xlpm.d,P$2:P$13,_xlpm.a,$C$2:$C$13=$C17,_xlpm.b,$D$2:$D$13=$D17,MAX(_xlfn._xlws.FILTER(_xlpm.d,_xlpm.a*_xlpm.b)))</calculatedColumnFormula>
    </tableColumn>
    <tableColumn id="16" xr3:uid="{65461013-2A99-074F-9EEC-1B7347CE6EEF}" name="sk3g-hash-at-both" dataDxfId="3">
      <calculatedColumnFormula array="1">_xlfn.LET(_xlpm.d,Q$2:Q$13,_xlpm.a,$C$2:$C$13=$C17,_xlpm.b,$D$2:$D$13=$D17,MAX(_xlfn._xlws.FILTER(_xlpm.d,_xlpm.a*_xlpm.b)))</calculatedColumnFormula>
    </tableColumn>
    <tableColumn id="17" xr3:uid="{FB5387EB-72C4-9941-AEAF-7EF9822F2126}" name="sk4g-hash-at-both" dataDxfId="2">
      <calculatedColumnFormula array="1">_xlfn.LET(_xlpm.d,R$2:R$13,_xlpm.a,$C$2:$C$13=$C17,_xlpm.b,$D$2:$D$13=$D17,MAX(_xlfn._xlws.FILTER(_xlpm.d,_xlpm.a*_xlpm.b)))</calculatedColumnFormula>
    </tableColumn>
    <tableColumn id="18" xr3:uid="{79DBD9E8-6968-F04C-9FC6-9B30B3BEE074}" name="max" dataDxfId="1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5243-34BE-C246-B2F7-7C703A36D1DC}">
  <dimension ref="A1:V37"/>
  <sheetViews>
    <sheetView tabSelected="1" workbookViewId="0">
      <pane xSplit="11440" ySplit="3440" topLeftCell="U1" activePane="bottomLeft"/>
      <selection activeCell="E1" sqref="E1:E1048576"/>
      <selection pane="topRight" activeCell="U13" sqref="U13"/>
      <selection pane="bottomLeft" activeCell="F43" sqref="F43"/>
      <selection pane="bottomRight" activeCell="X32" sqref="X32"/>
    </sheetView>
  </sheetViews>
  <sheetFormatPr baseColWidth="10" defaultRowHeight="25" customHeight="1"/>
  <cols>
    <col min="1" max="1" width="7.25" customWidth="1"/>
    <col min="2" max="2" width="7" customWidth="1"/>
    <col min="3" max="3" width="6.5" customWidth="1"/>
    <col min="4" max="4" width="5.875" customWidth="1"/>
    <col min="5" max="5" width="9.125" customWidth="1"/>
    <col min="6" max="6" width="8.5" customWidth="1"/>
    <col min="7" max="7" width="7.75" customWidth="1"/>
    <col min="8" max="8" width="8.125" customWidth="1"/>
    <col min="9" max="9" width="23.375" customWidth="1"/>
    <col min="10" max="22" width="7.75" customWidth="1"/>
  </cols>
  <sheetData>
    <row r="1" spans="1:22" ht="25" customHeight="1">
      <c r="A1" t="s">
        <v>41</v>
      </c>
      <c r="B1" t="s">
        <v>39</v>
      </c>
      <c r="C1" t="s">
        <v>40</v>
      </c>
      <c r="D1" t="s">
        <v>10</v>
      </c>
      <c r="E1" t="s">
        <v>1</v>
      </c>
      <c r="F1" t="s">
        <v>2</v>
      </c>
      <c r="G1" t="s">
        <v>11</v>
      </c>
      <c r="H1" t="s">
        <v>3</v>
      </c>
      <c r="I1" t="s">
        <v>43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4</v>
      </c>
    </row>
    <row r="2" spans="1:22" ht="25" hidden="1" customHeight="1">
      <c r="A2" t="s">
        <v>42</v>
      </c>
      <c r="B2">
        <v>1.2</v>
      </c>
      <c r="C2">
        <v>3</v>
      </c>
      <c r="D2">
        <v>1</v>
      </c>
      <c r="E2" t="s">
        <v>5</v>
      </c>
      <c r="F2" t="b">
        <v>0</v>
      </c>
      <c r="G2">
        <v>1</v>
      </c>
      <c r="H2" t="s">
        <v>4</v>
      </c>
      <c r="I2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plu-spl:F-mgv:3-sn:1.2k</v>
      </c>
      <c r="J2" s="1">
        <v>0.92</v>
      </c>
      <c r="K2" s="1">
        <v>0.98</v>
      </c>
      <c r="L2" s="1">
        <v>0.94</v>
      </c>
      <c r="M2" s="1">
        <v>0.93</v>
      </c>
      <c r="N2" s="1">
        <v>0.95</v>
      </c>
      <c r="O2" s="1">
        <v>0.94</v>
      </c>
      <c r="P2" s="1">
        <v>0.96</v>
      </c>
      <c r="Q2" s="1">
        <v>0.91</v>
      </c>
      <c r="R2" s="1">
        <v>0.94</v>
      </c>
      <c r="S2" s="1">
        <v>0.93</v>
      </c>
      <c r="T2" s="1">
        <v>0.93</v>
      </c>
      <c r="U2" s="1">
        <v>0.88</v>
      </c>
      <c r="V2" s="1">
        <v>0.98</v>
      </c>
    </row>
    <row r="3" spans="1:22" ht="25" customHeight="1">
      <c r="A3" t="s">
        <v>42</v>
      </c>
      <c r="B3">
        <v>1.2</v>
      </c>
      <c r="C3">
        <v>3</v>
      </c>
      <c r="D3">
        <v>1</v>
      </c>
      <c r="E3" t="s">
        <v>5</v>
      </c>
      <c r="F3" t="b">
        <v>1</v>
      </c>
      <c r="G3">
        <v>1</v>
      </c>
      <c r="H3" t="s">
        <v>4</v>
      </c>
      <c r="I3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plu-spl:T-mgv:3-sn:1.2k</v>
      </c>
      <c r="J3" s="1">
        <v>0.91</v>
      </c>
      <c r="K3" s="1">
        <v>0.97</v>
      </c>
      <c r="L3" s="1">
        <v>0.92</v>
      </c>
      <c r="M3" s="1">
        <v>0.93</v>
      </c>
      <c r="N3" s="1">
        <v>0.95</v>
      </c>
      <c r="O3" s="1">
        <v>0.93</v>
      </c>
      <c r="P3" s="1">
        <v>0.96</v>
      </c>
      <c r="Q3" s="1">
        <v>0.93</v>
      </c>
      <c r="R3" s="1">
        <v>0.94</v>
      </c>
      <c r="S3" s="1">
        <v>0.93</v>
      </c>
      <c r="T3" s="1">
        <v>0.93</v>
      </c>
      <c r="U3" s="1">
        <v>0.89</v>
      </c>
      <c r="V3" s="1">
        <v>0.97</v>
      </c>
    </row>
    <row r="4" spans="1:22" ht="25" hidden="1" customHeight="1">
      <c r="A4" t="s">
        <v>42</v>
      </c>
      <c r="B4">
        <v>1.2</v>
      </c>
      <c r="C4">
        <v>3</v>
      </c>
      <c r="D4">
        <v>2</v>
      </c>
      <c r="E4" t="s">
        <v>9</v>
      </c>
      <c r="F4" t="b">
        <v>0</v>
      </c>
      <c r="G4">
        <v>1</v>
      </c>
      <c r="H4" t="s">
        <v>4</v>
      </c>
      <c r="I4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gen-spl:F-mgv:3-sn:1.2k</v>
      </c>
      <c r="J4" s="1">
        <v>0.75</v>
      </c>
      <c r="K4" s="1">
        <v>0.72</v>
      </c>
      <c r="L4" s="1">
        <v>0.79</v>
      </c>
      <c r="M4" s="1">
        <v>0.75</v>
      </c>
      <c r="N4" s="1">
        <v>0.7</v>
      </c>
      <c r="O4" s="1">
        <v>0.78</v>
      </c>
      <c r="P4" s="1">
        <v>0.75</v>
      </c>
      <c r="Q4" s="1">
        <v>0.72</v>
      </c>
      <c r="R4" s="1">
        <v>0.79</v>
      </c>
      <c r="S4" s="1">
        <v>0.76</v>
      </c>
      <c r="T4" s="1">
        <v>0.77</v>
      </c>
      <c r="U4" s="1">
        <v>0.73</v>
      </c>
      <c r="V4" s="1">
        <v>0.79</v>
      </c>
    </row>
    <row r="5" spans="1:22" ht="25" hidden="1" customHeight="1">
      <c r="A5" t="s">
        <v>42</v>
      </c>
      <c r="B5">
        <v>1.2</v>
      </c>
      <c r="C5">
        <v>3</v>
      </c>
      <c r="D5">
        <v>2</v>
      </c>
      <c r="E5" t="s">
        <v>9</v>
      </c>
      <c r="F5" t="b">
        <v>1</v>
      </c>
      <c r="G5">
        <v>1</v>
      </c>
      <c r="H5" t="s">
        <v>4</v>
      </c>
      <c r="I5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gen-spl:T-mgv:3-sn:1.2k</v>
      </c>
      <c r="J5" s="1">
        <v>0.76</v>
      </c>
      <c r="K5" s="1">
        <v>0.71</v>
      </c>
      <c r="L5" s="1">
        <v>0.78</v>
      </c>
      <c r="M5" s="1">
        <v>0.76</v>
      </c>
      <c r="N5" s="1">
        <v>0.72</v>
      </c>
      <c r="O5" s="1">
        <v>0.78</v>
      </c>
      <c r="P5" s="1">
        <v>0.78</v>
      </c>
      <c r="Q5" s="1">
        <v>0.72</v>
      </c>
      <c r="R5" s="1">
        <v>0.8</v>
      </c>
      <c r="S5" s="1">
        <v>0.72</v>
      </c>
      <c r="T5" s="1">
        <v>0.74</v>
      </c>
      <c r="U5" s="1">
        <v>0.75</v>
      </c>
      <c r="V5" s="1">
        <v>0.8</v>
      </c>
    </row>
    <row r="6" spans="1:22" ht="25" hidden="1" customHeight="1">
      <c r="A6" t="s">
        <v>42</v>
      </c>
      <c r="B6">
        <v>2</v>
      </c>
      <c r="C6">
        <v>3</v>
      </c>
      <c r="D6">
        <v>1</v>
      </c>
      <c r="E6" t="s">
        <v>5</v>
      </c>
      <c r="F6" t="b">
        <v>0</v>
      </c>
      <c r="G6">
        <v>1</v>
      </c>
      <c r="H6" t="s">
        <v>4</v>
      </c>
      <c r="I6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plu-spl:F-mgv:3-sn:2k</v>
      </c>
      <c r="J6" s="1">
        <v>0.91</v>
      </c>
      <c r="K6" s="1">
        <v>0.92</v>
      </c>
      <c r="L6" s="1">
        <v>0.89</v>
      </c>
      <c r="M6" s="1">
        <v>0.95</v>
      </c>
      <c r="N6" s="1">
        <v>0.94</v>
      </c>
      <c r="O6" s="1">
        <v>0.94</v>
      </c>
      <c r="P6" s="1">
        <v>0.92</v>
      </c>
      <c r="Q6" s="1">
        <v>0.93</v>
      </c>
      <c r="R6" s="1">
        <v>0.92</v>
      </c>
      <c r="S6" s="1">
        <v>0.93</v>
      </c>
      <c r="T6" s="1">
        <v>0.96</v>
      </c>
      <c r="U6" s="1">
        <v>0.92</v>
      </c>
      <c r="V6" s="1">
        <v>0.96</v>
      </c>
    </row>
    <row r="7" spans="1:22" ht="25" hidden="1" customHeight="1">
      <c r="A7" t="s">
        <v>42</v>
      </c>
      <c r="B7">
        <v>2</v>
      </c>
      <c r="C7">
        <v>3</v>
      </c>
      <c r="D7">
        <v>1</v>
      </c>
      <c r="E7" t="s">
        <v>5</v>
      </c>
      <c r="F7" t="b">
        <v>1</v>
      </c>
      <c r="G7">
        <v>1</v>
      </c>
      <c r="H7" t="s">
        <v>4</v>
      </c>
      <c r="I7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plu-spl:T-mgv:3-sn:2k</v>
      </c>
      <c r="J7" s="1">
        <v>0.9</v>
      </c>
      <c r="K7" s="1">
        <v>0.93</v>
      </c>
      <c r="L7" s="1">
        <v>0.93</v>
      </c>
      <c r="M7" s="1">
        <v>0.94</v>
      </c>
      <c r="N7" s="1">
        <v>0.94</v>
      </c>
      <c r="O7" s="1">
        <v>0.93</v>
      </c>
      <c r="P7" s="1">
        <v>0.92</v>
      </c>
      <c r="Q7" s="1">
        <v>0.91</v>
      </c>
      <c r="R7" s="1">
        <v>0.92</v>
      </c>
      <c r="S7" s="1">
        <v>0.94</v>
      </c>
      <c r="T7" s="1">
        <v>0.95</v>
      </c>
      <c r="U7" s="1">
        <v>0.91</v>
      </c>
      <c r="V7" s="1">
        <v>0.95</v>
      </c>
    </row>
    <row r="8" spans="1:22" ht="25" hidden="1" customHeight="1">
      <c r="A8" t="s">
        <v>42</v>
      </c>
      <c r="B8">
        <v>2</v>
      </c>
      <c r="C8">
        <v>3</v>
      </c>
      <c r="D8">
        <v>2</v>
      </c>
      <c r="E8" t="s">
        <v>9</v>
      </c>
      <c r="F8" t="b">
        <v>0</v>
      </c>
      <c r="G8">
        <v>1</v>
      </c>
      <c r="H8" t="s">
        <v>4</v>
      </c>
      <c r="I8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gen-spl:F-mgv:3-sn:2k</v>
      </c>
      <c r="J8" s="3">
        <v>0.81</v>
      </c>
      <c r="K8" s="3">
        <v>0.76</v>
      </c>
      <c r="L8" s="3">
        <v>0.79</v>
      </c>
      <c r="M8" s="3">
        <v>0.76</v>
      </c>
      <c r="N8" s="3">
        <v>0.77</v>
      </c>
      <c r="O8" s="3">
        <v>0.81</v>
      </c>
      <c r="P8" s="3">
        <v>0.79</v>
      </c>
      <c r="Q8" s="3">
        <v>0.81</v>
      </c>
      <c r="R8" s="3">
        <v>0.82</v>
      </c>
      <c r="S8" s="3">
        <v>0.84</v>
      </c>
      <c r="T8" s="3">
        <v>0.79</v>
      </c>
      <c r="U8" s="3">
        <v>0.77</v>
      </c>
      <c r="V8" s="3">
        <v>0.84</v>
      </c>
    </row>
    <row r="9" spans="1:22" ht="25" hidden="1" customHeight="1">
      <c r="A9" t="s">
        <v>42</v>
      </c>
      <c r="B9">
        <v>2</v>
      </c>
      <c r="C9">
        <v>3</v>
      </c>
      <c r="D9">
        <v>2</v>
      </c>
      <c r="E9" t="s">
        <v>9</v>
      </c>
      <c r="F9" t="b">
        <v>1</v>
      </c>
      <c r="G9">
        <v>1</v>
      </c>
      <c r="H9" t="s">
        <v>4</v>
      </c>
      <c r="I9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gen-spl:T-mgv:3-sn:2k</v>
      </c>
      <c r="J9" s="3">
        <v>0.84</v>
      </c>
      <c r="K9" s="3">
        <v>0.78</v>
      </c>
      <c r="L9" s="3">
        <v>0.79</v>
      </c>
      <c r="M9" s="3">
        <v>0.78</v>
      </c>
      <c r="N9" s="3">
        <v>0.74</v>
      </c>
      <c r="O9" s="3">
        <v>0.81</v>
      </c>
      <c r="P9" s="3">
        <v>0.79</v>
      </c>
      <c r="Q9" s="3">
        <v>0.78</v>
      </c>
      <c r="R9" s="3">
        <v>0.82</v>
      </c>
      <c r="S9" s="3">
        <v>0.82</v>
      </c>
      <c r="T9" s="3">
        <v>0.78</v>
      </c>
      <c r="U9" s="3">
        <v>0.74</v>
      </c>
      <c r="V9" s="3">
        <v>0.84</v>
      </c>
    </row>
    <row r="10" spans="1:22" ht="25" hidden="1" customHeight="1">
      <c r="A10" t="s">
        <v>42</v>
      </c>
      <c r="B10">
        <v>3</v>
      </c>
      <c r="C10">
        <v>3</v>
      </c>
      <c r="D10">
        <v>1</v>
      </c>
      <c r="E10" t="s">
        <v>5</v>
      </c>
      <c r="F10" t="b">
        <v>0</v>
      </c>
      <c r="G10">
        <v>1</v>
      </c>
      <c r="H10" t="s">
        <v>4</v>
      </c>
      <c r="I10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plu-spl:F-mgv:3-sn:3k</v>
      </c>
      <c r="J10" s="1">
        <v>0.93</v>
      </c>
      <c r="K10" s="1">
        <v>0.94</v>
      </c>
      <c r="L10" s="1">
        <v>0.94</v>
      </c>
      <c r="M10" s="1">
        <v>0.95</v>
      </c>
      <c r="N10" s="1">
        <v>0.96</v>
      </c>
      <c r="O10" s="1">
        <v>0.95</v>
      </c>
      <c r="P10" s="1">
        <v>0.95</v>
      </c>
      <c r="Q10" s="1">
        <v>0.96</v>
      </c>
      <c r="R10" s="1">
        <v>0.93</v>
      </c>
      <c r="S10" s="1">
        <v>0.94</v>
      </c>
      <c r="T10" s="1">
        <v>0.93</v>
      </c>
      <c r="U10" s="1">
        <v>0.96</v>
      </c>
      <c r="V10" s="1">
        <v>0.96</v>
      </c>
    </row>
    <row r="11" spans="1:22" ht="25" hidden="1" customHeight="1">
      <c r="A11" t="s">
        <v>42</v>
      </c>
      <c r="B11">
        <v>3</v>
      </c>
      <c r="C11">
        <v>3</v>
      </c>
      <c r="D11">
        <v>1</v>
      </c>
      <c r="E11" t="s">
        <v>5</v>
      </c>
      <c r="F11" t="b">
        <v>1</v>
      </c>
      <c r="G11">
        <v>1</v>
      </c>
      <c r="H11" t="s">
        <v>4</v>
      </c>
      <c r="I11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plu-spl:T-mgv:3-sn:3k</v>
      </c>
      <c r="J11" s="1">
        <v>0.94</v>
      </c>
      <c r="K11" s="1">
        <v>0.93</v>
      </c>
      <c r="L11" s="1">
        <v>0.93</v>
      </c>
      <c r="M11" s="1">
        <v>0.93</v>
      </c>
      <c r="N11" s="1">
        <v>0.95</v>
      </c>
      <c r="O11" s="1">
        <v>0.96</v>
      </c>
      <c r="P11" s="1">
        <v>0.95</v>
      </c>
      <c r="Q11" s="1">
        <v>0.96</v>
      </c>
      <c r="R11" s="1">
        <v>0.94</v>
      </c>
      <c r="S11" s="1">
        <v>0.94</v>
      </c>
      <c r="T11" s="1">
        <v>0.93</v>
      </c>
      <c r="U11" s="1">
        <v>0.96</v>
      </c>
      <c r="V11" s="1">
        <v>0.96</v>
      </c>
    </row>
    <row r="12" spans="1:22" ht="25" hidden="1" customHeight="1">
      <c r="A12" t="s">
        <v>42</v>
      </c>
      <c r="B12">
        <v>3</v>
      </c>
      <c r="C12">
        <v>3</v>
      </c>
      <c r="D12">
        <v>2</v>
      </c>
      <c r="E12" t="s">
        <v>9</v>
      </c>
      <c r="F12" t="b">
        <v>0</v>
      </c>
      <c r="G12">
        <v>1</v>
      </c>
      <c r="H12" t="s">
        <v>4</v>
      </c>
      <c r="I12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gen-spl:F-mgv:3-sn:3k</v>
      </c>
      <c r="J12" s="2">
        <v>0.78</v>
      </c>
      <c r="K12" s="2">
        <v>0.78</v>
      </c>
      <c r="L12" s="2">
        <v>0.79</v>
      </c>
      <c r="M12" s="2">
        <v>0.83</v>
      </c>
      <c r="N12" s="2">
        <v>0.78</v>
      </c>
      <c r="O12" s="2">
        <v>0.82</v>
      </c>
      <c r="P12" s="2">
        <v>0.82</v>
      </c>
      <c r="Q12" s="2">
        <v>0.78</v>
      </c>
      <c r="R12" s="2">
        <v>0.8</v>
      </c>
      <c r="S12" s="2">
        <v>0.77</v>
      </c>
      <c r="T12" s="2">
        <v>0.81</v>
      </c>
      <c r="U12" s="2">
        <v>0.79</v>
      </c>
      <c r="V12" s="2">
        <v>0.83</v>
      </c>
    </row>
    <row r="13" spans="1:22" ht="25" hidden="1" customHeight="1">
      <c r="A13" t="s">
        <v>42</v>
      </c>
      <c r="B13">
        <v>3</v>
      </c>
      <c r="C13">
        <v>3</v>
      </c>
      <c r="D13">
        <v>2</v>
      </c>
      <c r="E13" t="s">
        <v>9</v>
      </c>
      <c r="F13" t="b">
        <v>1</v>
      </c>
      <c r="G13">
        <v>1</v>
      </c>
      <c r="H13" t="s">
        <v>4</v>
      </c>
      <c r="I13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gen-spl:T-mgv:3-sn:3k</v>
      </c>
      <c r="J13" s="2">
        <v>0.78</v>
      </c>
      <c r="K13" s="2">
        <v>0.81</v>
      </c>
      <c r="L13" s="2">
        <v>0.78</v>
      </c>
      <c r="M13" s="2">
        <v>0.81</v>
      </c>
      <c r="N13" s="2">
        <v>0.77</v>
      </c>
      <c r="O13" s="2">
        <v>0.85</v>
      </c>
      <c r="P13" s="2">
        <v>0.81</v>
      </c>
      <c r="Q13" s="2">
        <v>0.78</v>
      </c>
      <c r="R13" s="2">
        <v>0.81</v>
      </c>
      <c r="S13" s="2">
        <v>0.79</v>
      </c>
      <c r="T13" s="2">
        <v>0.8</v>
      </c>
      <c r="U13" s="2">
        <v>0.81</v>
      </c>
      <c r="V13" s="2">
        <v>0.85</v>
      </c>
    </row>
    <row r="14" spans="1:22" ht="25" hidden="1" customHeight="1">
      <c r="A14" t="s">
        <v>42</v>
      </c>
      <c r="B14">
        <v>1.2</v>
      </c>
      <c r="C14">
        <v>6</v>
      </c>
      <c r="D14">
        <v>1</v>
      </c>
      <c r="E14" t="s">
        <v>5</v>
      </c>
      <c r="F14" t="b">
        <v>0</v>
      </c>
      <c r="G14">
        <v>1</v>
      </c>
      <c r="H14" t="s">
        <v>4</v>
      </c>
      <c r="I14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plu-spl:F-mgv:6-sn:1.2k</v>
      </c>
      <c r="J14" s="1">
        <v>0.93</v>
      </c>
      <c r="K14" s="1">
        <v>0.89</v>
      </c>
      <c r="L14" s="1">
        <v>0.95</v>
      </c>
      <c r="M14" s="1">
        <v>0.94</v>
      </c>
      <c r="N14" s="1">
        <v>0.95</v>
      </c>
      <c r="O14" s="1">
        <v>0.96</v>
      </c>
      <c r="P14" s="1">
        <v>0.93</v>
      </c>
      <c r="Q14" s="1">
        <v>0.9</v>
      </c>
      <c r="R14" s="1">
        <v>0.93</v>
      </c>
      <c r="S14" s="1">
        <v>0.95</v>
      </c>
      <c r="T14" s="1">
        <v>0.94</v>
      </c>
      <c r="U14" s="1">
        <v>0.93</v>
      </c>
      <c r="V14" s="1">
        <v>0.96</v>
      </c>
    </row>
    <row r="15" spans="1:22" ht="25" customHeight="1">
      <c r="A15" t="s">
        <v>42</v>
      </c>
      <c r="B15">
        <v>1.2</v>
      </c>
      <c r="C15">
        <v>6</v>
      </c>
      <c r="D15">
        <v>1</v>
      </c>
      <c r="E15" t="s">
        <v>5</v>
      </c>
      <c r="F15" t="b">
        <v>1</v>
      </c>
      <c r="G15">
        <v>1</v>
      </c>
      <c r="H15" t="s">
        <v>4</v>
      </c>
      <c r="I15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plu-spl:T-mgv:6-sn:1.2k</v>
      </c>
      <c r="J15" s="1">
        <v>0.93</v>
      </c>
      <c r="K15" s="1">
        <v>0.93</v>
      </c>
      <c r="L15" s="1">
        <v>0.95</v>
      </c>
      <c r="M15" s="1">
        <v>0.96</v>
      </c>
      <c r="N15" s="1">
        <v>0.95</v>
      </c>
      <c r="O15" s="1">
        <v>0.93</v>
      </c>
      <c r="P15" s="1">
        <v>0.93</v>
      </c>
      <c r="Q15" s="1">
        <v>0.93</v>
      </c>
      <c r="R15" s="1">
        <v>0.93</v>
      </c>
      <c r="S15" s="1">
        <v>0.96</v>
      </c>
      <c r="T15" s="1">
        <v>0.95</v>
      </c>
      <c r="U15" s="1">
        <v>0.93</v>
      </c>
      <c r="V15" s="1">
        <v>0.96</v>
      </c>
    </row>
    <row r="16" spans="1:22" ht="25" hidden="1" customHeight="1">
      <c r="A16" t="s">
        <v>42</v>
      </c>
      <c r="B16">
        <v>1.2</v>
      </c>
      <c r="C16">
        <v>6</v>
      </c>
      <c r="D16">
        <v>2</v>
      </c>
      <c r="E16" t="s">
        <v>9</v>
      </c>
      <c r="F16" t="b">
        <v>0</v>
      </c>
      <c r="G16">
        <v>1</v>
      </c>
      <c r="H16" t="s">
        <v>4</v>
      </c>
      <c r="I16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gen-spl:F-mgv:6-sn:1.2k</v>
      </c>
      <c r="J16" s="3">
        <v>0.81</v>
      </c>
      <c r="K16" s="3">
        <v>0.83</v>
      </c>
      <c r="L16" s="3">
        <v>0.76</v>
      </c>
      <c r="M16" s="3">
        <v>0.78</v>
      </c>
      <c r="N16" s="3">
        <v>0.68</v>
      </c>
      <c r="O16" s="3">
        <v>0.79</v>
      </c>
      <c r="P16" s="3">
        <v>0.75</v>
      </c>
      <c r="Q16" s="3">
        <v>0.79</v>
      </c>
      <c r="R16" s="3">
        <v>0.76</v>
      </c>
      <c r="S16" s="3">
        <v>0.8</v>
      </c>
      <c r="T16" s="3">
        <v>0.69</v>
      </c>
      <c r="U16" s="3">
        <v>0.84</v>
      </c>
      <c r="V16" s="3">
        <v>0.84</v>
      </c>
    </row>
    <row r="17" spans="1:22" ht="25" hidden="1" customHeight="1">
      <c r="A17" t="s">
        <v>42</v>
      </c>
      <c r="B17">
        <v>1.2</v>
      </c>
      <c r="C17">
        <v>6</v>
      </c>
      <c r="D17">
        <v>2</v>
      </c>
      <c r="E17" t="s">
        <v>9</v>
      </c>
      <c r="F17" t="b">
        <v>1</v>
      </c>
      <c r="G17">
        <v>1</v>
      </c>
      <c r="H17" t="s">
        <v>4</v>
      </c>
      <c r="I17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gen-spl:T-mgv:6-sn:1.2k</v>
      </c>
      <c r="J17" s="3">
        <v>0.78</v>
      </c>
      <c r="K17" s="3">
        <v>0.83</v>
      </c>
      <c r="L17" s="3">
        <v>0.77</v>
      </c>
      <c r="M17" s="3">
        <v>0.79</v>
      </c>
      <c r="N17" s="3">
        <v>0.69</v>
      </c>
      <c r="O17" s="3">
        <v>0.79</v>
      </c>
      <c r="P17" s="3">
        <v>0.76</v>
      </c>
      <c r="Q17" s="3">
        <v>0.77</v>
      </c>
      <c r="R17" s="3">
        <v>0.76</v>
      </c>
      <c r="S17" s="3">
        <v>0.78</v>
      </c>
      <c r="T17" s="3">
        <v>0.72</v>
      </c>
      <c r="U17" s="3">
        <v>0.82</v>
      </c>
      <c r="V17" s="3">
        <v>0.83</v>
      </c>
    </row>
    <row r="18" spans="1:22" ht="25" hidden="1" customHeight="1">
      <c r="A18" t="s">
        <v>42</v>
      </c>
      <c r="B18">
        <v>2</v>
      </c>
      <c r="C18">
        <v>6</v>
      </c>
      <c r="D18">
        <v>1</v>
      </c>
      <c r="E18" t="s">
        <v>5</v>
      </c>
      <c r="F18" t="b">
        <v>0</v>
      </c>
      <c r="G18">
        <v>1</v>
      </c>
      <c r="H18" t="s">
        <v>4</v>
      </c>
      <c r="I18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plu-spl:F-mgv:6-sn:2k</v>
      </c>
      <c r="J18" s="1">
        <v>0.94</v>
      </c>
      <c r="K18" s="1">
        <v>0.95</v>
      </c>
      <c r="L18" s="1">
        <v>0.93</v>
      </c>
      <c r="M18" s="1">
        <v>0.92</v>
      </c>
      <c r="N18" s="1">
        <v>0.95</v>
      </c>
      <c r="O18" s="1">
        <v>0.95</v>
      </c>
      <c r="P18" s="1">
        <v>0.94</v>
      </c>
      <c r="Q18" s="1">
        <v>0.93</v>
      </c>
      <c r="R18" s="1">
        <v>0.93</v>
      </c>
      <c r="S18" s="1">
        <v>0.96</v>
      </c>
      <c r="T18" s="1">
        <v>0.94</v>
      </c>
      <c r="U18" s="1">
        <v>0.94</v>
      </c>
      <c r="V18" s="1">
        <v>0.96</v>
      </c>
    </row>
    <row r="19" spans="1:22" ht="25" hidden="1" customHeight="1">
      <c r="A19" t="s">
        <v>42</v>
      </c>
      <c r="B19">
        <v>2</v>
      </c>
      <c r="C19">
        <v>6</v>
      </c>
      <c r="D19">
        <v>1</v>
      </c>
      <c r="E19" t="s">
        <v>5</v>
      </c>
      <c r="F19" t="b">
        <v>1</v>
      </c>
      <c r="G19">
        <v>1</v>
      </c>
      <c r="H19" t="s">
        <v>4</v>
      </c>
      <c r="I19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plu-spl:T-mgv:6-sn:2k</v>
      </c>
      <c r="J19" s="1">
        <v>0.95</v>
      </c>
      <c r="K19" s="1">
        <v>0.94</v>
      </c>
      <c r="L19" s="1">
        <v>0.94</v>
      </c>
      <c r="M19" s="1">
        <v>0.94</v>
      </c>
      <c r="N19" s="1">
        <v>0.95</v>
      </c>
      <c r="O19" s="1">
        <v>0.94</v>
      </c>
      <c r="P19" s="1">
        <v>0.93</v>
      </c>
      <c r="Q19" s="1">
        <v>0.92</v>
      </c>
      <c r="R19" s="1">
        <v>0.95</v>
      </c>
      <c r="S19" s="1">
        <v>0.96</v>
      </c>
      <c r="T19" s="1">
        <v>0.94</v>
      </c>
      <c r="U19" s="1">
        <v>0.94</v>
      </c>
      <c r="V19" s="1">
        <v>0.96</v>
      </c>
    </row>
    <row r="20" spans="1:22" ht="25" hidden="1" customHeight="1">
      <c r="A20" t="s">
        <v>42</v>
      </c>
      <c r="B20">
        <v>2</v>
      </c>
      <c r="C20">
        <v>6</v>
      </c>
      <c r="D20">
        <v>2</v>
      </c>
      <c r="E20" t="s">
        <v>9</v>
      </c>
      <c r="F20" t="b">
        <v>0</v>
      </c>
      <c r="G20">
        <v>1</v>
      </c>
      <c r="H20" t="s">
        <v>4</v>
      </c>
      <c r="I20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gen-spl:F-mgv:6-sn:2k</v>
      </c>
      <c r="J20" s="3">
        <v>0.78</v>
      </c>
      <c r="K20" s="3">
        <v>0.8</v>
      </c>
      <c r="L20" s="3">
        <v>0.79</v>
      </c>
      <c r="M20" s="3">
        <v>0.78</v>
      </c>
      <c r="N20" s="3">
        <v>0.8</v>
      </c>
      <c r="O20" s="3">
        <v>0.76</v>
      </c>
      <c r="P20" s="3">
        <v>0.79</v>
      </c>
      <c r="Q20" s="3">
        <v>0.81</v>
      </c>
      <c r="R20" s="3">
        <v>0.77</v>
      </c>
      <c r="S20" s="3">
        <v>0.82</v>
      </c>
      <c r="T20" s="3">
        <v>0.78</v>
      </c>
      <c r="U20" s="3">
        <v>0.81</v>
      </c>
      <c r="V20" s="3">
        <v>0.82</v>
      </c>
    </row>
    <row r="21" spans="1:22" ht="25" hidden="1" customHeight="1">
      <c r="A21" t="s">
        <v>42</v>
      </c>
      <c r="B21">
        <v>2</v>
      </c>
      <c r="C21">
        <v>6</v>
      </c>
      <c r="D21">
        <v>2</v>
      </c>
      <c r="E21" t="s">
        <v>9</v>
      </c>
      <c r="F21" t="b">
        <v>1</v>
      </c>
      <c r="G21">
        <v>1</v>
      </c>
      <c r="H21" t="s">
        <v>4</v>
      </c>
      <c r="I21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gen-spl:T-mgv:6-sn:2k</v>
      </c>
      <c r="J21" s="3">
        <v>0.76</v>
      </c>
      <c r="K21" s="3">
        <v>0.81</v>
      </c>
      <c r="L21" s="3">
        <v>0.79</v>
      </c>
      <c r="M21" s="3">
        <v>0.8</v>
      </c>
      <c r="N21" s="3">
        <v>0.79</v>
      </c>
      <c r="O21" s="3">
        <v>0.72</v>
      </c>
      <c r="P21" s="3">
        <v>0.82</v>
      </c>
      <c r="Q21" s="3">
        <v>0.81</v>
      </c>
      <c r="R21" s="3">
        <v>0.78</v>
      </c>
      <c r="S21" s="3">
        <v>0.85</v>
      </c>
      <c r="T21" s="3">
        <v>0.78</v>
      </c>
      <c r="U21" s="3">
        <v>0.81</v>
      </c>
      <c r="V21" s="3">
        <v>0.85</v>
      </c>
    </row>
    <row r="22" spans="1:22" ht="25" hidden="1" customHeight="1">
      <c r="A22" t="s">
        <v>42</v>
      </c>
      <c r="B22">
        <v>3</v>
      </c>
      <c r="C22">
        <v>6</v>
      </c>
      <c r="D22">
        <v>1</v>
      </c>
      <c r="E22" t="s">
        <v>5</v>
      </c>
      <c r="F22" t="b">
        <v>0</v>
      </c>
      <c r="G22">
        <v>1</v>
      </c>
      <c r="H22" t="s">
        <v>4</v>
      </c>
      <c r="I22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plu-spl:F-mgv:6-sn:3k</v>
      </c>
      <c r="J22" s="1">
        <v>0.94</v>
      </c>
      <c r="K22" s="1">
        <v>0.9</v>
      </c>
      <c r="L22" s="1">
        <v>0.95</v>
      </c>
      <c r="M22" s="1">
        <v>0.95</v>
      </c>
      <c r="N22" s="1">
        <v>0.94</v>
      </c>
      <c r="O22" s="1">
        <v>0.96</v>
      </c>
      <c r="P22" s="1">
        <v>0.94</v>
      </c>
      <c r="Q22" s="1">
        <v>0.95</v>
      </c>
      <c r="R22" s="1">
        <v>0.94</v>
      </c>
      <c r="S22" s="1">
        <v>0.97</v>
      </c>
      <c r="T22" s="1">
        <v>0.96</v>
      </c>
      <c r="U22" s="1">
        <v>0.96</v>
      </c>
      <c r="V22" s="1">
        <v>0.97</v>
      </c>
    </row>
    <row r="23" spans="1:22" ht="25" hidden="1" customHeight="1">
      <c r="A23" t="s">
        <v>42</v>
      </c>
      <c r="B23">
        <v>3</v>
      </c>
      <c r="C23">
        <v>6</v>
      </c>
      <c r="D23">
        <v>1</v>
      </c>
      <c r="E23" t="s">
        <v>5</v>
      </c>
      <c r="F23" t="b">
        <v>1</v>
      </c>
      <c r="G23">
        <v>1</v>
      </c>
      <c r="H23" t="s">
        <v>4</v>
      </c>
      <c r="I23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plu-spl:T-mgv:6-sn:3k</v>
      </c>
      <c r="J23" s="1">
        <v>0.95</v>
      </c>
      <c r="K23" s="1">
        <v>0.91</v>
      </c>
      <c r="L23" s="1">
        <v>0.94</v>
      </c>
      <c r="M23" s="1">
        <v>0.95</v>
      </c>
      <c r="N23" s="1">
        <v>0.93</v>
      </c>
      <c r="O23" s="1">
        <v>0.94</v>
      </c>
      <c r="P23" s="1">
        <v>0.96</v>
      </c>
      <c r="Q23" s="1">
        <v>0.95</v>
      </c>
      <c r="R23" s="1">
        <v>0.96</v>
      </c>
      <c r="S23" s="1">
        <v>0.97</v>
      </c>
      <c r="T23" s="1">
        <v>0.96</v>
      </c>
      <c r="U23" s="1">
        <v>0.96</v>
      </c>
      <c r="V23" s="1">
        <v>0.97</v>
      </c>
    </row>
    <row r="24" spans="1:22" ht="25" hidden="1" customHeight="1">
      <c r="A24" t="s">
        <v>42</v>
      </c>
      <c r="B24">
        <v>3</v>
      </c>
      <c r="C24">
        <v>6</v>
      </c>
      <c r="D24">
        <v>2</v>
      </c>
      <c r="E24" t="s">
        <v>9</v>
      </c>
      <c r="F24" t="b">
        <v>0</v>
      </c>
      <c r="G24">
        <v>1</v>
      </c>
      <c r="H24" t="s">
        <v>4</v>
      </c>
      <c r="I24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gen-spl:F-mgv:6-sn:3k</v>
      </c>
      <c r="J24" s="3">
        <v>0.77</v>
      </c>
      <c r="K24" s="3">
        <v>0.8</v>
      </c>
      <c r="L24" s="3">
        <v>0.79</v>
      </c>
      <c r="M24" s="3">
        <v>0.82</v>
      </c>
      <c r="N24" s="3">
        <v>0.77</v>
      </c>
      <c r="O24" s="3">
        <v>0.79</v>
      </c>
      <c r="P24" s="3">
        <v>0.81</v>
      </c>
      <c r="Q24" s="3">
        <v>0.81</v>
      </c>
      <c r="R24" s="3">
        <v>0.77</v>
      </c>
      <c r="S24" s="3">
        <v>0.8</v>
      </c>
      <c r="T24" s="3">
        <v>0.81</v>
      </c>
      <c r="U24" s="3">
        <v>0.76</v>
      </c>
      <c r="V24" s="3">
        <v>0.82</v>
      </c>
    </row>
    <row r="25" spans="1:22" ht="25" hidden="1" customHeight="1">
      <c r="A25" t="s">
        <v>42</v>
      </c>
      <c r="B25">
        <v>3</v>
      </c>
      <c r="C25">
        <v>6</v>
      </c>
      <c r="D25">
        <v>2</v>
      </c>
      <c r="E25" t="s">
        <v>9</v>
      </c>
      <c r="F25" t="b">
        <v>1</v>
      </c>
      <c r="G25">
        <v>1</v>
      </c>
      <c r="H25" t="s">
        <v>4</v>
      </c>
      <c r="I25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gen-spl:T-mgv:6-sn:3k</v>
      </c>
      <c r="J25" s="3">
        <v>0.75</v>
      </c>
      <c r="K25" s="3">
        <v>0.81</v>
      </c>
      <c r="L25" s="3">
        <v>0.78</v>
      </c>
      <c r="M25" s="3">
        <v>0.82</v>
      </c>
      <c r="N25" s="3">
        <v>0.77</v>
      </c>
      <c r="O25" s="3">
        <v>0.76</v>
      </c>
      <c r="P25" s="3">
        <v>0.82</v>
      </c>
      <c r="Q25" s="3">
        <v>0.79</v>
      </c>
      <c r="R25" s="3">
        <v>0.74</v>
      </c>
      <c r="S25" s="3">
        <v>0.81</v>
      </c>
      <c r="T25" s="3">
        <v>0.8</v>
      </c>
      <c r="U25" s="3">
        <v>0.75</v>
      </c>
      <c r="V25" s="3">
        <v>0.82</v>
      </c>
    </row>
    <row r="26" spans="1:22" ht="25" hidden="1" customHeight="1">
      <c r="A26" t="s">
        <v>42</v>
      </c>
      <c r="B26">
        <v>1.2</v>
      </c>
      <c r="C26">
        <v>9</v>
      </c>
      <c r="D26">
        <v>1</v>
      </c>
      <c r="E26" t="s">
        <v>5</v>
      </c>
      <c r="F26" t="b">
        <v>0</v>
      </c>
      <c r="G26">
        <v>1</v>
      </c>
      <c r="H26" t="s">
        <v>4</v>
      </c>
      <c r="I26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plu-spl:F-mgv:9-sn:1.2k</v>
      </c>
      <c r="J26" s="1">
        <v>0.93</v>
      </c>
      <c r="K26" s="1">
        <v>0.92</v>
      </c>
      <c r="L26" s="1">
        <v>0.91</v>
      </c>
      <c r="M26" s="1">
        <v>0.9</v>
      </c>
      <c r="N26" s="1">
        <v>0.93</v>
      </c>
      <c r="O26" s="1">
        <v>0.92</v>
      </c>
      <c r="P26" s="1">
        <v>0.91</v>
      </c>
      <c r="Q26" s="1">
        <v>0.93</v>
      </c>
      <c r="R26" s="1">
        <v>0.89</v>
      </c>
      <c r="S26" s="1">
        <v>0.94</v>
      </c>
      <c r="T26" s="1">
        <v>0.96</v>
      </c>
      <c r="U26" s="1">
        <v>0.88</v>
      </c>
      <c r="V26" s="1">
        <v>0.96</v>
      </c>
    </row>
    <row r="27" spans="1:22" ht="25" customHeight="1">
      <c r="A27" t="s">
        <v>42</v>
      </c>
      <c r="B27">
        <v>1.2</v>
      </c>
      <c r="C27">
        <v>9</v>
      </c>
      <c r="D27">
        <v>1</v>
      </c>
      <c r="E27" t="s">
        <v>5</v>
      </c>
      <c r="F27" t="b">
        <v>1</v>
      </c>
      <c r="G27">
        <v>1</v>
      </c>
      <c r="H27" t="s">
        <v>4</v>
      </c>
      <c r="I27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plu-spl:T-mgv:9-sn:1.2k</v>
      </c>
      <c r="J27" s="1">
        <v>0.93</v>
      </c>
      <c r="K27" s="1">
        <v>0.93</v>
      </c>
      <c r="L27" s="1">
        <v>0.89</v>
      </c>
      <c r="M27" s="1">
        <v>0.93</v>
      </c>
      <c r="N27" s="1">
        <v>0.93</v>
      </c>
      <c r="O27" s="1">
        <v>0.88</v>
      </c>
      <c r="P27" s="1">
        <v>0.91</v>
      </c>
      <c r="Q27" s="1">
        <v>0.93</v>
      </c>
      <c r="R27" s="1">
        <v>0.91</v>
      </c>
      <c r="S27" s="1">
        <v>0.94</v>
      </c>
      <c r="T27" s="1">
        <v>0.94</v>
      </c>
      <c r="U27" s="1">
        <v>0.89</v>
      </c>
      <c r="V27" s="1">
        <v>0.94</v>
      </c>
    </row>
    <row r="28" spans="1:22" ht="25" hidden="1" customHeight="1">
      <c r="A28" t="s">
        <v>42</v>
      </c>
      <c r="B28">
        <v>1.2</v>
      </c>
      <c r="C28">
        <v>9</v>
      </c>
      <c r="D28">
        <v>2</v>
      </c>
      <c r="E28" t="s">
        <v>9</v>
      </c>
      <c r="F28" t="b">
        <v>0</v>
      </c>
      <c r="G28">
        <v>1</v>
      </c>
      <c r="H28" t="s">
        <v>4</v>
      </c>
      <c r="I28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gen-spl:F-mgv:9-sn:1.2k</v>
      </c>
      <c r="J28" s="2">
        <v>0.76</v>
      </c>
      <c r="K28" s="2">
        <v>0.78</v>
      </c>
      <c r="L28" s="2">
        <v>0.78</v>
      </c>
      <c r="M28" s="2">
        <v>0.78</v>
      </c>
      <c r="N28" s="2">
        <v>0.76</v>
      </c>
      <c r="O28" s="2">
        <v>0.78</v>
      </c>
      <c r="P28" s="2">
        <v>0.74</v>
      </c>
      <c r="Q28" s="2">
        <v>0.77</v>
      </c>
      <c r="R28" s="2">
        <v>0.78</v>
      </c>
      <c r="S28" s="2">
        <v>0.78</v>
      </c>
      <c r="T28" s="2">
        <v>0.76</v>
      </c>
      <c r="U28" s="2">
        <v>0.76</v>
      </c>
      <c r="V28" s="2">
        <v>0.78</v>
      </c>
    </row>
    <row r="29" spans="1:22" ht="25" hidden="1" customHeight="1">
      <c r="A29" t="s">
        <v>42</v>
      </c>
      <c r="B29">
        <v>1.2</v>
      </c>
      <c r="C29">
        <v>9</v>
      </c>
      <c r="D29">
        <v>2</v>
      </c>
      <c r="E29" t="s">
        <v>9</v>
      </c>
      <c r="F29" t="b">
        <v>1</v>
      </c>
      <c r="G29">
        <v>1</v>
      </c>
      <c r="H29" t="s">
        <v>4</v>
      </c>
      <c r="I29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gen-spl:T-mgv:9-sn:1.2k</v>
      </c>
      <c r="J29" s="2">
        <v>0.77</v>
      </c>
      <c r="K29" s="2">
        <v>0.77</v>
      </c>
      <c r="L29" s="2">
        <v>0.77</v>
      </c>
      <c r="M29" s="2">
        <v>0.78</v>
      </c>
      <c r="N29" s="2">
        <v>0.78</v>
      </c>
      <c r="O29" s="2">
        <v>0.82</v>
      </c>
      <c r="P29" s="2">
        <v>0.76</v>
      </c>
      <c r="Q29" s="2">
        <v>0.82</v>
      </c>
      <c r="R29" s="2">
        <v>0.78</v>
      </c>
      <c r="S29" s="2">
        <v>0.78</v>
      </c>
      <c r="T29" s="2">
        <v>0.77</v>
      </c>
      <c r="U29" s="2">
        <v>0.77</v>
      </c>
      <c r="V29" s="2">
        <v>0.82</v>
      </c>
    </row>
    <row r="30" spans="1:22" ht="25" hidden="1" customHeight="1">
      <c r="A30" t="s">
        <v>42</v>
      </c>
      <c r="B30">
        <v>2</v>
      </c>
      <c r="C30">
        <v>9</v>
      </c>
      <c r="D30">
        <v>1</v>
      </c>
      <c r="E30" t="s">
        <v>5</v>
      </c>
      <c r="F30" t="b">
        <v>0</v>
      </c>
      <c r="G30">
        <v>1</v>
      </c>
      <c r="H30" t="s">
        <v>4</v>
      </c>
      <c r="I30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plu-spl:F-mgv:9-sn:2k</v>
      </c>
      <c r="J30" s="1">
        <v>0.92</v>
      </c>
      <c r="K30" s="1">
        <v>0.91</v>
      </c>
      <c r="L30" s="1">
        <v>0.94</v>
      </c>
      <c r="M30" s="1">
        <v>0.94</v>
      </c>
      <c r="N30" s="1">
        <v>0.95</v>
      </c>
      <c r="O30" s="1">
        <v>0.93</v>
      </c>
      <c r="P30" s="1">
        <v>0.92</v>
      </c>
      <c r="Q30" s="1">
        <v>0.94</v>
      </c>
      <c r="R30" s="1">
        <v>0.94</v>
      </c>
      <c r="S30" s="1">
        <v>0.97</v>
      </c>
      <c r="T30" s="1">
        <v>0.97</v>
      </c>
      <c r="U30" s="1">
        <v>0.92</v>
      </c>
      <c r="V30" s="1">
        <v>0.97</v>
      </c>
    </row>
    <row r="31" spans="1:22" ht="25" hidden="1" customHeight="1">
      <c r="A31" t="s">
        <v>42</v>
      </c>
      <c r="B31">
        <v>2</v>
      </c>
      <c r="C31">
        <v>9</v>
      </c>
      <c r="D31">
        <v>1</v>
      </c>
      <c r="E31" t="s">
        <v>5</v>
      </c>
      <c r="F31" t="b">
        <v>1</v>
      </c>
      <c r="G31">
        <v>1</v>
      </c>
      <c r="H31" t="s">
        <v>4</v>
      </c>
      <c r="I31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plu-spl:T-mgv:9-sn:2k</v>
      </c>
      <c r="J31" s="1">
        <v>0.9</v>
      </c>
      <c r="K31" s="1">
        <v>0.95</v>
      </c>
      <c r="L31" s="1">
        <v>0.94</v>
      </c>
      <c r="M31" s="1">
        <v>0.93</v>
      </c>
      <c r="N31" s="1">
        <v>0.95</v>
      </c>
      <c r="O31" s="1">
        <v>0.93</v>
      </c>
      <c r="P31" s="1">
        <v>0.93</v>
      </c>
      <c r="Q31" s="1">
        <v>0.94</v>
      </c>
      <c r="R31" s="1">
        <v>0.93</v>
      </c>
      <c r="S31" s="1">
        <v>0.96</v>
      </c>
      <c r="T31" s="1">
        <v>0.97</v>
      </c>
      <c r="U31" s="1">
        <v>0.91</v>
      </c>
      <c r="V31" s="1">
        <v>0.97</v>
      </c>
    </row>
    <row r="32" spans="1:22" ht="25" hidden="1" customHeight="1">
      <c r="A32" t="s">
        <v>42</v>
      </c>
      <c r="B32">
        <v>2</v>
      </c>
      <c r="C32">
        <v>9</v>
      </c>
      <c r="D32">
        <v>2</v>
      </c>
      <c r="E32" t="s">
        <v>9</v>
      </c>
      <c r="F32" t="b">
        <v>0</v>
      </c>
      <c r="G32">
        <v>1</v>
      </c>
      <c r="H32" t="s">
        <v>4</v>
      </c>
      <c r="I32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gen-spl:F-mgv:9-sn:2k</v>
      </c>
      <c r="J32" s="3">
        <v>0.78</v>
      </c>
      <c r="K32" s="3">
        <v>0.78</v>
      </c>
      <c r="L32" s="3">
        <v>0.76</v>
      </c>
      <c r="M32" s="3">
        <v>0.82</v>
      </c>
      <c r="N32" s="3">
        <v>0.78</v>
      </c>
      <c r="O32" s="3">
        <v>0.77</v>
      </c>
      <c r="P32" s="3">
        <v>0.8</v>
      </c>
      <c r="Q32" s="3">
        <v>0.8</v>
      </c>
      <c r="R32" s="3">
        <v>0.75</v>
      </c>
      <c r="S32" s="3">
        <v>0.81</v>
      </c>
      <c r="T32" s="3">
        <v>0.76</v>
      </c>
      <c r="U32" s="3">
        <v>0.81</v>
      </c>
      <c r="V32" s="3">
        <v>0.82</v>
      </c>
    </row>
    <row r="33" spans="1:22" ht="25" hidden="1" customHeight="1">
      <c r="A33" t="s">
        <v>42</v>
      </c>
      <c r="B33">
        <v>2</v>
      </c>
      <c r="C33">
        <v>9</v>
      </c>
      <c r="D33">
        <v>2</v>
      </c>
      <c r="E33" t="s">
        <v>9</v>
      </c>
      <c r="F33" t="b">
        <v>1</v>
      </c>
      <c r="G33">
        <v>1</v>
      </c>
      <c r="H33" t="s">
        <v>4</v>
      </c>
      <c r="I33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gen-spl:T-mgv:9-sn:2k</v>
      </c>
      <c r="J33" s="3">
        <v>0.78</v>
      </c>
      <c r="K33" s="3">
        <v>0.78</v>
      </c>
      <c r="L33" s="3">
        <v>0.76</v>
      </c>
      <c r="M33" s="3">
        <v>0.81</v>
      </c>
      <c r="N33" s="3">
        <v>0.8</v>
      </c>
      <c r="O33" s="3">
        <v>0.79</v>
      </c>
      <c r="P33" s="3">
        <v>0.78</v>
      </c>
      <c r="Q33" s="3">
        <v>0.81</v>
      </c>
      <c r="R33" s="3">
        <v>0.76</v>
      </c>
      <c r="S33" s="3">
        <v>0.8</v>
      </c>
      <c r="T33" s="3">
        <v>0.74</v>
      </c>
      <c r="U33" s="3">
        <v>0.77</v>
      </c>
      <c r="V33" s="3">
        <v>0.81</v>
      </c>
    </row>
    <row r="34" spans="1:22" ht="25" hidden="1" customHeight="1">
      <c r="A34" t="s">
        <v>42</v>
      </c>
      <c r="B34">
        <v>3</v>
      </c>
      <c r="C34">
        <v>9</v>
      </c>
      <c r="D34">
        <v>1</v>
      </c>
      <c r="E34" t="s">
        <v>5</v>
      </c>
      <c r="F34" t="b">
        <v>0</v>
      </c>
      <c r="G34">
        <v>1</v>
      </c>
      <c r="H34" t="s">
        <v>4</v>
      </c>
      <c r="I34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plu-spl:F-mgv:9-sn:3k</v>
      </c>
      <c r="J34" s="1">
        <v>0.94</v>
      </c>
      <c r="K34" s="1">
        <v>0.95</v>
      </c>
      <c r="L34" s="1">
        <v>0.96</v>
      </c>
      <c r="M34" s="1">
        <v>0.95</v>
      </c>
      <c r="N34" s="1">
        <v>0.96</v>
      </c>
      <c r="O34" s="1">
        <v>0.94</v>
      </c>
      <c r="P34" s="1">
        <v>0.94</v>
      </c>
      <c r="Q34" s="1">
        <v>0.95</v>
      </c>
      <c r="R34" s="1">
        <v>0.94</v>
      </c>
      <c r="S34" s="1">
        <v>0.96</v>
      </c>
      <c r="T34" s="1">
        <v>0.97</v>
      </c>
      <c r="U34" s="1">
        <v>0.95</v>
      </c>
      <c r="V34" s="1">
        <v>0.97</v>
      </c>
    </row>
    <row r="35" spans="1:22" ht="25" hidden="1" customHeight="1">
      <c r="A35" t="s">
        <v>42</v>
      </c>
      <c r="B35">
        <v>3</v>
      </c>
      <c r="C35">
        <v>9</v>
      </c>
      <c r="D35">
        <v>1</v>
      </c>
      <c r="E35" t="s">
        <v>5</v>
      </c>
      <c r="F35" t="b">
        <v>1</v>
      </c>
      <c r="G35">
        <v>1</v>
      </c>
      <c r="H35" t="s">
        <v>4</v>
      </c>
      <c r="I35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plu-spl:T-mgv:9-sn:3k</v>
      </c>
      <c r="J35" s="1">
        <v>0.92</v>
      </c>
      <c r="K35" s="1">
        <v>0.95</v>
      </c>
      <c r="L35" s="1">
        <v>0.97</v>
      </c>
      <c r="M35" s="1">
        <v>0.95</v>
      </c>
      <c r="N35" s="1">
        <v>0.96</v>
      </c>
      <c r="O35" s="1">
        <v>0.95</v>
      </c>
      <c r="P35" s="1">
        <v>0.92</v>
      </c>
      <c r="Q35" s="1">
        <v>0.95</v>
      </c>
      <c r="R35" s="1">
        <v>0.94</v>
      </c>
      <c r="S35" s="1">
        <v>0.96</v>
      </c>
      <c r="T35" s="1">
        <v>0.96</v>
      </c>
      <c r="U35" s="1">
        <v>0.94</v>
      </c>
      <c r="V35" s="1">
        <v>0.97</v>
      </c>
    </row>
    <row r="36" spans="1:22" ht="25" hidden="1" customHeight="1">
      <c r="A36" t="s">
        <v>42</v>
      </c>
      <c r="B36">
        <v>3</v>
      </c>
      <c r="C36">
        <v>9</v>
      </c>
      <c r="D36">
        <v>2</v>
      </c>
      <c r="E36" t="s">
        <v>9</v>
      </c>
      <c r="F36" t="b">
        <v>0</v>
      </c>
      <c r="G36">
        <v>1</v>
      </c>
      <c r="H36" t="s">
        <v>4</v>
      </c>
      <c r="I36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gen-spl:F-mgv:9-sn:3k</v>
      </c>
      <c r="J36" s="2">
        <v>0.83</v>
      </c>
      <c r="K36" s="2">
        <v>0.79</v>
      </c>
      <c r="L36" s="2">
        <v>0.82</v>
      </c>
      <c r="M36" s="2">
        <v>0.78</v>
      </c>
      <c r="N36" s="2">
        <v>0.76</v>
      </c>
      <c r="O36" s="2">
        <v>0.8</v>
      </c>
      <c r="P36" s="2">
        <v>0.81</v>
      </c>
      <c r="Q36" s="2">
        <v>0.79</v>
      </c>
      <c r="R36" s="2">
        <v>0.8</v>
      </c>
      <c r="S36" s="2">
        <v>0.83</v>
      </c>
      <c r="T36" s="2">
        <v>0.82</v>
      </c>
      <c r="U36" s="2">
        <v>0.76</v>
      </c>
      <c r="V36" s="2">
        <v>0.83</v>
      </c>
    </row>
    <row r="37" spans="1:22" ht="25" hidden="1" customHeight="1">
      <c r="A37" t="s">
        <v>42</v>
      </c>
      <c r="B37">
        <v>3</v>
      </c>
      <c r="C37">
        <v>9</v>
      </c>
      <c r="D37">
        <v>2</v>
      </c>
      <c r="E37" t="s">
        <v>9</v>
      </c>
      <c r="F37" t="b">
        <v>1</v>
      </c>
      <c r="G37">
        <v>1</v>
      </c>
      <c r="H37" t="s">
        <v>4</v>
      </c>
      <c r="I37" t="str">
        <f>_xlfn.LET(_xlpm.sk,_xlfn.SINGLE(Table20[skippiness]),_xlpm.sn,_xlfn.SINGLE(Table20[sample.n]),_xlpm.mgv,_xlfn.SINGLE(Table20[mgv]),_xlpm.attr,_xlfn.SINGLE(Table20[attribute]),_xlpm.spl,_xlfn.SINGLE(Table20[supplement]),_xlfn.TEXTJOIN({"-spl:","-mgv:","-sn:",""},TRUE,LEFT(_xlpm.attr,3),LEFT(_xlpm.spl,1),_xlpm.mgv,_xlpm.sn,"k"))</f>
        <v>gen-spl:T-mgv:9-sn:3k</v>
      </c>
      <c r="J37" s="2">
        <v>0.83</v>
      </c>
      <c r="K37" s="2">
        <v>0.77</v>
      </c>
      <c r="L37" s="2">
        <v>0.81</v>
      </c>
      <c r="M37" s="2">
        <v>0.8</v>
      </c>
      <c r="N37" s="2">
        <v>0.78</v>
      </c>
      <c r="O37" s="2">
        <v>0.8</v>
      </c>
      <c r="P37" s="2">
        <v>0.83</v>
      </c>
      <c r="Q37" s="2">
        <v>0.8</v>
      </c>
      <c r="R37" s="2">
        <v>0.8</v>
      </c>
      <c r="S37" s="2">
        <v>0.82</v>
      </c>
      <c r="T37" s="2">
        <v>0.82</v>
      </c>
      <c r="U37" s="2">
        <v>0.76</v>
      </c>
      <c r="V37" s="2">
        <v>0.83</v>
      </c>
    </row>
  </sheetData>
  <conditionalFormatting sqref="J2:V37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A2EB-6418-A846-8521-964CD5064E37}">
  <dimension ref="A1:S20"/>
  <sheetViews>
    <sheetView workbookViewId="0">
      <pane xSplit="11040" ySplit="3520" topLeftCell="M8"/>
      <selection pane="topRight" activeCell="S3" sqref="S3"/>
      <selection pane="bottomLeft" activeCell="G18" sqref="G18"/>
      <selection pane="bottomRight" activeCell="S10" sqref="S10"/>
    </sheetView>
  </sheetViews>
  <sheetFormatPr baseColWidth="10" defaultRowHeight="25" customHeight="1"/>
  <cols>
    <col min="2" max="2" width="5.875" customWidth="1"/>
    <col min="3" max="4" width="9.25" customWidth="1"/>
    <col min="5" max="5" width="7.375" customWidth="1"/>
    <col min="7" max="19" width="7.25" customWidth="1"/>
  </cols>
  <sheetData>
    <row r="1" spans="1:19" ht="25" customHeight="1">
      <c r="A1" t="s">
        <v>0</v>
      </c>
      <c r="B1" t="s">
        <v>10</v>
      </c>
      <c r="C1" t="s">
        <v>1</v>
      </c>
      <c r="D1" t="s">
        <v>2</v>
      </c>
      <c r="E1" t="s">
        <v>11</v>
      </c>
      <c r="F1" t="s">
        <v>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4</v>
      </c>
    </row>
    <row r="2" spans="1:19" ht="25" customHeight="1">
      <c r="A2" t="s">
        <v>26</v>
      </c>
      <c r="B2">
        <v>1</v>
      </c>
      <c r="C2" t="s">
        <v>5</v>
      </c>
      <c r="D2" t="b">
        <v>1</v>
      </c>
      <c r="E2">
        <v>1</v>
      </c>
      <c r="F2" t="s">
        <v>8</v>
      </c>
      <c r="G2" s="1">
        <v>0.9</v>
      </c>
      <c r="H2" s="1">
        <v>0.92</v>
      </c>
      <c r="I2" s="1">
        <v>0.93</v>
      </c>
      <c r="J2" s="1">
        <v>0.93</v>
      </c>
      <c r="K2" s="1">
        <v>0.87</v>
      </c>
      <c r="L2" s="1">
        <v>0.86</v>
      </c>
      <c r="M2" s="1">
        <v>0.87</v>
      </c>
      <c r="N2" s="1">
        <v>0.92</v>
      </c>
      <c r="O2" s="1">
        <v>0.89</v>
      </c>
      <c r="P2" s="1">
        <v>0.88</v>
      </c>
      <c r="Q2" s="1">
        <v>0.9</v>
      </c>
      <c r="R2" s="1">
        <v>0.89</v>
      </c>
      <c r="S2" s="1">
        <f t="shared" ref="S2:S13" si="0">MAX($G2:$R2)</f>
        <v>0.93</v>
      </c>
    </row>
    <row r="3" spans="1:19" ht="25" customHeight="1">
      <c r="A3" t="s">
        <v>26</v>
      </c>
      <c r="B3">
        <v>1</v>
      </c>
      <c r="C3" t="s">
        <v>5</v>
      </c>
      <c r="D3" t="b">
        <v>1</v>
      </c>
      <c r="E3">
        <v>2</v>
      </c>
      <c r="F3" t="s">
        <v>7</v>
      </c>
      <c r="G3" s="1">
        <v>0.91</v>
      </c>
      <c r="H3" s="1">
        <v>0.95</v>
      </c>
      <c r="I3" s="1">
        <v>0.94</v>
      </c>
      <c r="J3" s="1">
        <v>0.93</v>
      </c>
      <c r="K3" s="1">
        <v>0.92</v>
      </c>
      <c r="L3" s="1">
        <v>0.9</v>
      </c>
      <c r="M3" s="1">
        <v>0.92</v>
      </c>
      <c r="N3" s="1">
        <v>0.95</v>
      </c>
      <c r="O3" s="1">
        <v>0.94</v>
      </c>
      <c r="P3" s="1">
        <v>0.93</v>
      </c>
      <c r="Q3" s="1">
        <v>0.91</v>
      </c>
      <c r="R3" s="1">
        <v>0.93</v>
      </c>
      <c r="S3" s="1">
        <f t="shared" si="0"/>
        <v>0.95</v>
      </c>
    </row>
    <row r="4" spans="1:19" ht="25" customHeight="1">
      <c r="A4" t="s">
        <v>26</v>
      </c>
      <c r="B4">
        <v>1</v>
      </c>
      <c r="C4" t="s">
        <v>5</v>
      </c>
      <c r="D4" t="b">
        <v>1</v>
      </c>
      <c r="E4">
        <v>3</v>
      </c>
      <c r="F4" t="s">
        <v>6</v>
      </c>
      <c r="G4" s="1">
        <v>0.92</v>
      </c>
      <c r="H4" s="1">
        <v>0.94</v>
      </c>
      <c r="I4" s="1">
        <v>0.97</v>
      </c>
      <c r="J4" s="1">
        <v>0.95</v>
      </c>
      <c r="K4" s="1">
        <v>0.96</v>
      </c>
      <c r="L4" s="1">
        <v>0.95</v>
      </c>
      <c r="M4" s="1">
        <v>0.92</v>
      </c>
      <c r="N4" s="1">
        <v>0.94</v>
      </c>
      <c r="O4" s="1">
        <v>0.93</v>
      </c>
      <c r="P4" s="1">
        <v>0.96</v>
      </c>
      <c r="Q4" s="1">
        <v>0.96</v>
      </c>
      <c r="R4" s="1">
        <v>0.94</v>
      </c>
      <c r="S4" s="1">
        <f t="shared" si="0"/>
        <v>0.97</v>
      </c>
    </row>
    <row r="5" spans="1:19" ht="25" customHeight="1">
      <c r="A5" t="s">
        <v>26</v>
      </c>
      <c r="B5">
        <v>1</v>
      </c>
      <c r="C5" t="s">
        <v>5</v>
      </c>
      <c r="D5" t="b">
        <v>0</v>
      </c>
      <c r="E5">
        <v>1</v>
      </c>
      <c r="F5" t="s">
        <v>8</v>
      </c>
      <c r="G5" s="1">
        <v>0.93</v>
      </c>
      <c r="H5" s="1">
        <v>0.89</v>
      </c>
      <c r="I5" s="1">
        <v>0.89</v>
      </c>
      <c r="J5" s="1">
        <v>0.88</v>
      </c>
      <c r="K5" s="1">
        <v>0.86</v>
      </c>
      <c r="L5" s="1">
        <v>0.75</v>
      </c>
      <c r="M5" s="1">
        <v>0.9</v>
      </c>
      <c r="N5" s="1">
        <v>0.93</v>
      </c>
      <c r="O5" s="1">
        <v>0.9</v>
      </c>
      <c r="P5" s="1">
        <v>0.87</v>
      </c>
      <c r="Q5" s="1">
        <v>0.9</v>
      </c>
      <c r="R5" s="1">
        <v>0.9</v>
      </c>
      <c r="S5" s="1">
        <f t="shared" si="0"/>
        <v>0.93</v>
      </c>
    </row>
    <row r="6" spans="1:19" ht="25" customHeight="1">
      <c r="A6" t="s">
        <v>26</v>
      </c>
      <c r="B6">
        <v>1</v>
      </c>
      <c r="C6" t="s">
        <v>5</v>
      </c>
      <c r="D6" t="b">
        <v>0</v>
      </c>
      <c r="E6">
        <v>2</v>
      </c>
      <c r="F6" t="s">
        <v>7</v>
      </c>
      <c r="G6" s="1">
        <v>0.93</v>
      </c>
      <c r="H6" s="1">
        <v>0.94</v>
      </c>
      <c r="I6" s="1">
        <v>0.92</v>
      </c>
      <c r="J6" s="1">
        <v>0.93</v>
      </c>
      <c r="K6" s="1">
        <v>0.92</v>
      </c>
      <c r="L6" s="1">
        <v>0.91</v>
      </c>
      <c r="M6" s="1">
        <v>0.92</v>
      </c>
      <c r="N6" s="1">
        <v>0.95</v>
      </c>
      <c r="O6" s="1">
        <v>0.94</v>
      </c>
      <c r="P6" s="1">
        <v>0.94</v>
      </c>
      <c r="Q6" s="1">
        <v>0.92</v>
      </c>
      <c r="R6" s="1">
        <v>0.93</v>
      </c>
      <c r="S6" s="1">
        <f t="shared" si="0"/>
        <v>0.95</v>
      </c>
    </row>
    <row r="7" spans="1:19" ht="25" customHeight="1">
      <c r="A7" t="s">
        <v>26</v>
      </c>
      <c r="B7">
        <v>1</v>
      </c>
      <c r="C7" t="s">
        <v>5</v>
      </c>
      <c r="D7" t="b">
        <v>0</v>
      </c>
      <c r="E7">
        <v>3</v>
      </c>
      <c r="F7" t="s">
        <v>6</v>
      </c>
      <c r="G7" s="1">
        <v>0.94</v>
      </c>
      <c r="H7" s="1">
        <v>0.95</v>
      </c>
      <c r="I7" s="1">
        <v>0.96</v>
      </c>
      <c r="J7" s="1">
        <v>0.95</v>
      </c>
      <c r="K7" s="1">
        <v>0.96</v>
      </c>
      <c r="L7" s="1">
        <v>0.94</v>
      </c>
      <c r="M7" s="1">
        <v>0.94</v>
      </c>
      <c r="N7" s="1">
        <v>0.94</v>
      </c>
      <c r="O7" s="1">
        <v>0.94</v>
      </c>
      <c r="P7" s="1">
        <v>0.96</v>
      </c>
      <c r="Q7" s="1">
        <v>0.97</v>
      </c>
      <c r="R7" s="1">
        <v>0.95</v>
      </c>
      <c r="S7" s="1">
        <f t="shared" si="0"/>
        <v>0.97</v>
      </c>
    </row>
    <row r="8" spans="1:19" ht="25" customHeight="1">
      <c r="A8" t="s">
        <v>26</v>
      </c>
      <c r="B8">
        <v>2</v>
      </c>
      <c r="C8" t="s">
        <v>9</v>
      </c>
      <c r="D8" t="b">
        <v>1</v>
      </c>
      <c r="E8">
        <v>1</v>
      </c>
      <c r="F8" t="s">
        <v>8</v>
      </c>
      <c r="G8" s="1">
        <v>0.74</v>
      </c>
      <c r="H8" s="1">
        <v>0.73</v>
      </c>
      <c r="I8" s="1">
        <v>0.74</v>
      </c>
      <c r="J8" s="1">
        <v>0.73</v>
      </c>
      <c r="K8" s="1">
        <v>0.62</v>
      </c>
      <c r="L8" s="1">
        <v>0.7</v>
      </c>
      <c r="M8" s="1">
        <v>0.77</v>
      </c>
      <c r="N8" s="1">
        <v>0.75</v>
      </c>
      <c r="O8" s="1">
        <v>0.74</v>
      </c>
      <c r="P8" s="1">
        <v>0.75</v>
      </c>
      <c r="Q8" s="1">
        <v>0.71</v>
      </c>
      <c r="R8" s="1">
        <v>0.69</v>
      </c>
      <c r="S8" s="1">
        <f t="shared" si="0"/>
        <v>0.77</v>
      </c>
    </row>
    <row r="9" spans="1:19" ht="25" customHeight="1">
      <c r="A9" t="s">
        <v>26</v>
      </c>
      <c r="B9">
        <v>2</v>
      </c>
      <c r="C9" t="s">
        <v>9</v>
      </c>
      <c r="D9" t="b">
        <v>1</v>
      </c>
      <c r="E9">
        <v>2</v>
      </c>
      <c r="F9" t="s">
        <v>7</v>
      </c>
      <c r="G9" s="1">
        <v>0.83</v>
      </c>
      <c r="H9" s="1">
        <v>0.74</v>
      </c>
      <c r="I9" s="1">
        <v>0.81</v>
      </c>
      <c r="J9" s="1">
        <v>0.8</v>
      </c>
      <c r="K9" s="1">
        <v>0.75</v>
      </c>
      <c r="L9" s="1">
        <v>0.8</v>
      </c>
      <c r="M9" s="1">
        <v>0.81</v>
      </c>
      <c r="N9" s="1">
        <v>0.8</v>
      </c>
      <c r="O9" s="1">
        <v>0.8</v>
      </c>
      <c r="P9" s="1">
        <v>0.82</v>
      </c>
      <c r="Q9" s="1">
        <v>0.77</v>
      </c>
      <c r="R9" s="1">
        <v>0.76</v>
      </c>
      <c r="S9" s="1">
        <f t="shared" si="0"/>
        <v>0.83</v>
      </c>
    </row>
    <row r="10" spans="1:19" ht="25" customHeight="1">
      <c r="A10" t="s">
        <v>26</v>
      </c>
      <c r="B10">
        <v>2</v>
      </c>
      <c r="C10" t="s">
        <v>9</v>
      </c>
      <c r="D10" t="b">
        <v>1</v>
      </c>
      <c r="E10">
        <v>3</v>
      </c>
      <c r="F10" t="s">
        <v>6</v>
      </c>
      <c r="G10" s="1">
        <v>0.77</v>
      </c>
      <c r="H10" s="1">
        <v>0.77</v>
      </c>
      <c r="I10" s="1">
        <v>0.81</v>
      </c>
      <c r="J10" s="1">
        <v>0.77</v>
      </c>
      <c r="K10" s="1">
        <v>0.78</v>
      </c>
      <c r="L10" s="1">
        <v>0.78</v>
      </c>
      <c r="M10" s="1">
        <v>0.83</v>
      </c>
      <c r="N10" s="1">
        <v>0.75</v>
      </c>
      <c r="O10" s="1">
        <v>0.77</v>
      </c>
      <c r="P10" s="1">
        <v>0.82</v>
      </c>
      <c r="Q10" s="1">
        <v>0.82</v>
      </c>
      <c r="R10" s="1">
        <v>0.74</v>
      </c>
      <c r="S10" s="1">
        <f t="shared" si="0"/>
        <v>0.83</v>
      </c>
    </row>
    <row r="11" spans="1:19" ht="25" customHeight="1">
      <c r="A11" t="s">
        <v>26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 s="1">
        <v>0.75</v>
      </c>
      <c r="H11" s="1">
        <v>0.74</v>
      </c>
      <c r="I11" s="1">
        <v>0.72</v>
      </c>
      <c r="J11" s="1">
        <v>0.72</v>
      </c>
      <c r="K11" s="1">
        <v>0.65</v>
      </c>
      <c r="L11" s="1">
        <v>0.72</v>
      </c>
      <c r="M11" s="1">
        <v>0.73</v>
      </c>
      <c r="N11" s="1">
        <v>0.69</v>
      </c>
      <c r="O11" s="1">
        <v>0.68</v>
      </c>
      <c r="P11" s="1">
        <v>0.74</v>
      </c>
      <c r="Q11" s="1">
        <v>0.66</v>
      </c>
      <c r="R11" s="1">
        <v>0.7</v>
      </c>
      <c r="S11" s="1">
        <f t="shared" si="0"/>
        <v>0.75</v>
      </c>
    </row>
    <row r="12" spans="1:19" ht="25" customHeight="1">
      <c r="A12" t="s">
        <v>26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 s="1">
        <v>0.83</v>
      </c>
      <c r="H12" s="1">
        <v>0.79</v>
      </c>
      <c r="I12" s="1">
        <v>0.82</v>
      </c>
      <c r="J12" s="1">
        <v>0.78</v>
      </c>
      <c r="K12" s="1">
        <v>0.73</v>
      </c>
      <c r="L12" s="1">
        <v>0.8</v>
      </c>
      <c r="M12" s="1">
        <v>0.81</v>
      </c>
      <c r="N12" s="1">
        <v>0.79</v>
      </c>
      <c r="O12" s="1">
        <v>0.78</v>
      </c>
      <c r="P12" s="1">
        <v>0.83</v>
      </c>
      <c r="Q12" s="1">
        <v>0.73</v>
      </c>
      <c r="R12" s="1">
        <v>0.76</v>
      </c>
      <c r="S12" s="1">
        <f t="shared" si="0"/>
        <v>0.83</v>
      </c>
    </row>
    <row r="13" spans="1:19" ht="25" customHeight="1">
      <c r="A13" t="s">
        <v>26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 s="1">
        <v>0.78</v>
      </c>
      <c r="H13" s="1">
        <v>0.77</v>
      </c>
      <c r="I13" s="1">
        <v>0.81</v>
      </c>
      <c r="J13" s="1">
        <v>0.75</v>
      </c>
      <c r="K13" s="1">
        <v>0.76</v>
      </c>
      <c r="L13" s="1">
        <v>0.76</v>
      </c>
      <c r="M13" s="1">
        <v>0.79</v>
      </c>
      <c r="N13" s="1">
        <v>0.72</v>
      </c>
      <c r="O13" s="1">
        <v>0.8</v>
      </c>
      <c r="P13" s="1">
        <v>0.79</v>
      </c>
      <c r="Q13" s="1">
        <v>0.82</v>
      </c>
      <c r="R13" s="1">
        <v>0.72</v>
      </c>
      <c r="S13" s="1">
        <f t="shared" si="0"/>
        <v>0.82</v>
      </c>
    </row>
    <row r="16" spans="1:19" ht="25" customHeight="1">
      <c r="B16" t="s">
        <v>10</v>
      </c>
      <c r="C16" t="s">
        <v>1</v>
      </c>
      <c r="D16" t="s">
        <v>13</v>
      </c>
      <c r="E16" t="s">
        <v>11</v>
      </c>
      <c r="F16" t="s">
        <v>12</v>
      </c>
      <c r="G16" t="s">
        <v>14</v>
      </c>
      <c r="H16" t="s">
        <v>15</v>
      </c>
      <c r="I16" t="s">
        <v>16</v>
      </c>
      <c r="J16" t="s">
        <v>17</v>
      </c>
      <c r="K16" t="s">
        <v>18</v>
      </c>
      <c r="L16" t="s">
        <v>19</v>
      </c>
      <c r="M16" t="s">
        <v>20</v>
      </c>
      <c r="N16" t="s">
        <v>21</v>
      </c>
      <c r="O16" t="s">
        <v>22</v>
      </c>
      <c r="P16" t="s">
        <v>23</v>
      </c>
      <c r="Q16" t="s">
        <v>24</v>
      </c>
      <c r="R16" t="s">
        <v>25</v>
      </c>
      <c r="S16" t="s">
        <v>4</v>
      </c>
    </row>
    <row r="17" spans="2:19" ht="25" customHeight="1">
      <c r="B17">
        <v>1</v>
      </c>
      <c r="C17" t="s">
        <v>5</v>
      </c>
      <c r="D17" t="b">
        <v>1</v>
      </c>
      <c r="E17">
        <v>1</v>
      </c>
      <c r="F17" t="s">
        <v>4</v>
      </c>
      <c r="G17" s="1" cm="1">
        <f t="array" ref="G17">_xlfn.LET(_xlpm.d,G$2:G$13,_xlpm.a,$C$2:$C$13=$C17,_xlpm.b,$D$2:$D$13=$D17,MAX(_xlfn._xlws.FILTER(_xlpm.d,_xlpm.a*_xlpm.b)))</f>
        <v>0.92</v>
      </c>
      <c r="H17" s="1" cm="1">
        <f t="array" ref="H17">_xlfn.LET(_xlpm.d,H$2:H$13,_xlpm.a,$C$2:$C$13=$C17,_xlpm.b,$D$2:$D$13=$D17,MAX(_xlfn._xlws.FILTER(_xlpm.d,_xlpm.a*_xlpm.b)))</f>
        <v>0.95</v>
      </c>
      <c r="I17" s="1" cm="1">
        <f t="array" ref="I17">_xlfn.LET(_xlpm.d,I$2:I$13,_xlpm.a,$C$2:$C$13=$C17,_xlpm.b,$D$2:$D$13=$D17,MAX(_xlfn._xlws.FILTER(_xlpm.d,_xlpm.a*_xlpm.b)))</f>
        <v>0.97</v>
      </c>
      <c r="J17" s="1" cm="1">
        <f t="array" ref="J17">_xlfn.LET(_xlpm.d,J$2:J$13,_xlpm.a,$C$2:$C$13=$C17,_xlpm.b,$D$2:$D$13=$D17,MAX(_xlfn._xlws.FILTER(_xlpm.d,_xlpm.a*_xlpm.b)))</f>
        <v>0.95</v>
      </c>
      <c r="K17" s="1" cm="1">
        <f t="array" ref="K17">_xlfn.LET(_xlpm.d,K$2:K$13,_xlpm.a,$C$2:$C$13=$C17,_xlpm.b,$D$2:$D$13=$D17,MAX(_xlfn._xlws.FILTER(_xlpm.d,_xlpm.a*_xlpm.b)))</f>
        <v>0.96</v>
      </c>
      <c r="L17" s="1" cm="1">
        <f t="array" ref="L17">_xlfn.LET(_xlpm.d,L$2:L$13,_xlpm.a,$C$2:$C$13=$C17,_xlpm.b,$D$2:$D$13=$D17,MAX(_xlfn._xlws.FILTER(_xlpm.d,_xlpm.a*_xlpm.b)))</f>
        <v>0.95</v>
      </c>
      <c r="M17" s="1" cm="1">
        <f t="array" ref="M17">_xlfn.LET(_xlpm.d,M$2:M$13,_xlpm.a,$C$2:$C$13=$C17,_xlpm.b,$D$2:$D$13=$D17,MAX(_xlfn._xlws.FILTER(_xlpm.d,_xlpm.a*_xlpm.b)))</f>
        <v>0.92</v>
      </c>
      <c r="N17" s="1" cm="1">
        <f t="array" ref="N17">_xlfn.LET(_xlpm.d,N$2:N$13,_xlpm.a,$C$2:$C$13=$C17,_xlpm.b,$D$2:$D$13=$D17,MAX(_xlfn._xlws.FILTER(_xlpm.d,_xlpm.a*_xlpm.b)))</f>
        <v>0.95</v>
      </c>
      <c r="O17" s="1" cm="1">
        <f t="array" ref="O17">_xlfn.LET(_xlpm.d,O$2:O$13,_xlpm.a,$C$2:$C$13=$C17,_xlpm.b,$D$2:$D$13=$D17,MAX(_xlfn._xlws.FILTER(_xlpm.d,_xlpm.a*_xlpm.b)))</f>
        <v>0.94</v>
      </c>
      <c r="P17" s="1" cm="1">
        <f t="array" ref="P17">_xlfn.LET(_xlpm.d,P$2:P$13,_xlpm.a,$C$2:$C$13=$C17,_xlpm.b,$D$2:$D$13=$D17,MAX(_xlfn._xlws.FILTER(_xlpm.d,_xlpm.a*_xlpm.b)))</f>
        <v>0.96</v>
      </c>
      <c r="Q17" s="1" cm="1">
        <f t="array" ref="Q17">_xlfn.LET(_xlpm.d,Q$2:Q$13,_xlpm.a,$C$2:$C$13=$C17,_xlpm.b,$D$2:$D$13=$D17,MAX(_xlfn._xlws.FILTER(_xlpm.d,_xlpm.a*_xlpm.b)))</f>
        <v>0.96</v>
      </c>
      <c r="R17" s="1" cm="1">
        <f t="array" ref="R17">_xlfn.LET(_xlpm.d,R$2:R$13,_xlpm.a,$C$2:$C$13=$C17,_xlpm.b,$D$2:$D$13=$D17,MAX(_xlfn._xlws.FILTER(_xlpm.d,_xlpm.a*_xlpm.b)))</f>
        <v>0.94</v>
      </c>
      <c r="S17" s="1" cm="1">
        <f t="array" ref="S17">_xlfn.LET(_xlpm.d,S$2:S$13,_xlpm.a,$C$2:$C$13=$C17,_xlpm.b,$D$2:$D$13=$D17,MAX(_xlfn._xlws.FILTER(_xlpm.d,_xlpm.a*_xlpm.b)))</f>
        <v>0.97</v>
      </c>
    </row>
    <row r="18" spans="2:19" ht="25" customHeight="1">
      <c r="B18">
        <v>1</v>
      </c>
      <c r="C18" t="s">
        <v>5</v>
      </c>
      <c r="D18" t="b">
        <v>0</v>
      </c>
      <c r="E18">
        <v>1</v>
      </c>
      <c r="F18" t="s">
        <v>4</v>
      </c>
      <c r="G18" s="1" cm="1">
        <f t="array" ref="G18">_xlfn.LET(_xlpm.d,G$2:G$13,_xlpm.a,$C$2:$C$13=$C18,_xlpm.b,$D$2:$D$13=$D18,MAX(_xlfn._xlws.FILTER(_xlpm.d,_xlpm.a*_xlpm.b)))</f>
        <v>0.94</v>
      </c>
      <c r="H18" s="1" cm="1">
        <f t="array" ref="H18">_xlfn.LET(_xlpm.d,H$2:H$13,_xlpm.a,$C$2:$C$13=$C18,_xlpm.b,$D$2:$D$13=$D18,MAX(_xlfn._xlws.FILTER(_xlpm.d,_xlpm.a*_xlpm.b)))</f>
        <v>0.95</v>
      </c>
      <c r="I18" s="1" cm="1">
        <f t="array" ref="I18">_xlfn.LET(_xlpm.d,I$2:I$13,_xlpm.a,$C$2:$C$13=$C18,_xlpm.b,$D$2:$D$13=$D18,MAX(_xlfn._xlws.FILTER(_xlpm.d,_xlpm.a*_xlpm.b)))</f>
        <v>0.96</v>
      </c>
      <c r="J18" s="1" cm="1">
        <f t="array" ref="J18">_xlfn.LET(_xlpm.d,J$2:J$13,_xlpm.a,$C$2:$C$13=$C18,_xlpm.b,$D$2:$D$13=$D18,MAX(_xlfn._xlws.FILTER(_xlpm.d,_xlpm.a*_xlpm.b)))</f>
        <v>0.95</v>
      </c>
      <c r="K18" s="1" cm="1">
        <f t="array" ref="K18">_xlfn.LET(_xlpm.d,K$2:K$13,_xlpm.a,$C$2:$C$13=$C18,_xlpm.b,$D$2:$D$13=$D18,MAX(_xlfn._xlws.FILTER(_xlpm.d,_xlpm.a*_xlpm.b)))</f>
        <v>0.96</v>
      </c>
      <c r="L18" s="1" cm="1">
        <f t="array" ref="L18">_xlfn.LET(_xlpm.d,L$2:L$13,_xlpm.a,$C$2:$C$13=$C18,_xlpm.b,$D$2:$D$13=$D18,MAX(_xlfn._xlws.FILTER(_xlpm.d,_xlpm.a*_xlpm.b)))</f>
        <v>0.94</v>
      </c>
      <c r="M18" s="1" cm="1">
        <f t="array" ref="M18">_xlfn.LET(_xlpm.d,M$2:M$13,_xlpm.a,$C$2:$C$13=$C18,_xlpm.b,$D$2:$D$13=$D18,MAX(_xlfn._xlws.FILTER(_xlpm.d,_xlpm.a*_xlpm.b)))</f>
        <v>0.94</v>
      </c>
      <c r="N18" s="1" cm="1">
        <f t="array" ref="N18">_xlfn.LET(_xlpm.d,N$2:N$13,_xlpm.a,$C$2:$C$13=$C18,_xlpm.b,$D$2:$D$13=$D18,MAX(_xlfn._xlws.FILTER(_xlpm.d,_xlpm.a*_xlpm.b)))</f>
        <v>0.95</v>
      </c>
      <c r="O18" s="1" cm="1">
        <f t="array" ref="O18">_xlfn.LET(_xlpm.d,O$2:O$13,_xlpm.a,$C$2:$C$13=$C18,_xlpm.b,$D$2:$D$13=$D18,MAX(_xlfn._xlws.FILTER(_xlpm.d,_xlpm.a*_xlpm.b)))</f>
        <v>0.94</v>
      </c>
      <c r="P18" s="1" cm="1">
        <f t="array" ref="P18">_xlfn.LET(_xlpm.d,P$2:P$13,_xlpm.a,$C$2:$C$13=$C18,_xlpm.b,$D$2:$D$13=$D18,MAX(_xlfn._xlws.FILTER(_xlpm.d,_xlpm.a*_xlpm.b)))</f>
        <v>0.96</v>
      </c>
      <c r="Q18" s="1" cm="1">
        <f t="array" ref="Q18">_xlfn.LET(_xlpm.d,Q$2:Q$13,_xlpm.a,$C$2:$C$13=$C18,_xlpm.b,$D$2:$D$13=$D18,MAX(_xlfn._xlws.FILTER(_xlpm.d,_xlpm.a*_xlpm.b)))</f>
        <v>0.97</v>
      </c>
      <c r="R18" s="1" cm="1">
        <f t="array" ref="R18">_xlfn.LET(_xlpm.d,R$2:R$13,_xlpm.a,$C$2:$C$13=$C18,_xlpm.b,$D$2:$D$13=$D18,MAX(_xlfn._xlws.FILTER(_xlpm.d,_xlpm.a*_xlpm.b)))</f>
        <v>0.95</v>
      </c>
      <c r="S18" s="1" cm="1">
        <f t="array" ref="S18">_xlfn.LET(_xlpm.d,S$2:S$13,_xlpm.a,$C$2:$C$13=$C18,_xlpm.b,$D$2:$D$13=$D18,MAX(_xlfn._xlws.FILTER(_xlpm.d,_xlpm.a*_xlpm.b)))</f>
        <v>0.97</v>
      </c>
    </row>
    <row r="19" spans="2:19" ht="25" customHeight="1">
      <c r="B19">
        <v>2</v>
      </c>
      <c r="C19" t="s">
        <v>9</v>
      </c>
      <c r="D19" t="b">
        <v>1</v>
      </c>
      <c r="E19">
        <v>1</v>
      </c>
      <c r="F19" t="s">
        <v>4</v>
      </c>
      <c r="G19" s="1" cm="1">
        <f t="array" ref="G19">_xlfn.LET(_xlpm.d,G$2:G$13,_xlpm.a,$C$2:$C$13=$C19,_xlpm.b,$D$2:$D$13=$D19,MAX(_xlfn._xlws.FILTER(_xlpm.d,_xlpm.a*_xlpm.b)))</f>
        <v>0.83</v>
      </c>
      <c r="H19" s="1" cm="1">
        <f t="array" ref="H19">_xlfn.LET(_xlpm.d,H$2:H$13,_xlpm.a,$C$2:$C$13=$C19,_xlpm.b,$D$2:$D$13=$D19,MAX(_xlfn._xlws.FILTER(_xlpm.d,_xlpm.a*_xlpm.b)))</f>
        <v>0.77</v>
      </c>
      <c r="I19" s="1" cm="1">
        <f t="array" ref="I19">_xlfn.LET(_xlpm.d,I$2:I$13,_xlpm.a,$C$2:$C$13=$C19,_xlpm.b,$D$2:$D$13=$D19,MAX(_xlfn._xlws.FILTER(_xlpm.d,_xlpm.a*_xlpm.b)))</f>
        <v>0.81</v>
      </c>
      <c r="J19" s="1" cm="1">
        <f t="array" ref="J19">_xlfn.LET(_xlpm.d,J$2:J$13,_xlpm.a,$C$2:$C$13=$C19,_xlpm.b,$D$2:$D$13=$D19,MAX(_xlfn._xlws.FILTER(_xlpm.d,_xlpm.a*_xlpm.b)))</f>
        <v>0.8</v>
      </c>
      <c r="K19" s="1" cm="1">
        <f t="array" ref="K19">_xlfn.LET(_xlpm.d,K$2:K$13,_xlpm.a,$C$2:$C$13=$C19,_xlpm.b,$D$2:$D$13=$D19,MAX(_xlfn._xlws.FILTER(_xlpm.d,_xlpm.a*_xlpm.b)))</f>
        <v>0.78</v>
      </c>
      <c r="L19" s="1" cm="1">
        <f t="array" ref="L19">_xlfn.LET(_xlpm.d,L$2:L$13,_xlpm.a,$C$2:$C$13=$C19,_xlpm.b,$D$2:$D$13=$D19,MAX(_xlfn._xlws.FILTER(_xlpm.d,_xlpm.a*_xlpm.b)))</f>
        <v>0.8</v>
      </c>
      <c r="M19" s="1" cm="1">
        <f t="array" ref="M19">_xlfn.LET(_xlpm.d,M$2:M$13,_xlpm.a,$C$2:$C$13=$C19,_xlpm.b,$D$2:$D$13=$D19,MAX(_xlfn._xlws.FILTER(_xlpm.d,_xlpm.a*_xlpm.b)))</f>
        <v>0.83</v>
      </c>
      <c r="N19" s="1" cm="1">
        <f t="array" ref="N19">_xlfn.LET(_xlpm.d,N$2:N$13,_xlpm.a,$C$2:$C$13=$C19,_xlpm.b,$D$2:$D$13=$D19,MAX(_xlfn._xlws.FILTER(_xlpm.d,_xlpm.a*_xlpm.b)))</f>
        <v>0.8</v>
      </c>
      <c r="O19" s="1" cm="1">
        <f t="array" ref="O19">_xlfn.LET(_xlpm.d,O$2:O$13,_xlpm.a,$C$2:$C$13=$C19,_xlpm.b,$D$2:$D$13=$D19,MAX(_xlfn._xlws.FILTER(_xlpm.d,_xlpm.a*_xlpm.b)))</f>
        <v>0.8</v>
      </c>
      <c r="P19" s="1" cm="1">
        <f t="array" ref="P19">_xlfn.LET(_xlpm.d,P$2:P$13,_xlpm.a,$C$2:$C$13=$C19,_xlpm.b,$D$2:$D$13=$D19,MAX(_xlfn._xlws.FILTER(_xlpm.d,_xlpm.a*_xlpm.b)))</f>
        <v>0.82</v>
      </c>
      <c r="Q19" s="1" cm="1">
        <f t="array" ref="Q19">_xlfn.LET(_xlpm.d,Q$2:Q$13,_xlpm.a,$C$2:$C$13=$C19,_xlpm.b,$D$2:$D$13=$D19,MAX(_xlfn._xlws.FILTER(_xlpm.d,_xlpm.a*_xlpm.b)))</f>
        <v>0.82</v>
      </c>
      <c r="R19" s="1" cm="1">
        <f t="array" ref="R19">_xlfn.LET(_xlpm.d,R$2:R$13,_xlpm.a,$C$2:$C$13=$C19,_xlpm.b,$D$2:$D$13=$D19,MAX(_xlfn._xlws.FILTER(_xlpm.d,_xlpm.a*_xlpm.b)))</f>
        <v>0.76</v>
      </c>
      <c r="S19" s="1" cm="1">
        <f t="array" ref="S19">_xlfn.LET(_xlpm.d,S$2:S$13,_xlpm.a,$C$2:$C$13=$C19,_xlpm.b,$D$2:$D$13=$D19,MAX(_xlfn._xlws.FILTER(_xlpm.d,_xlpm.a*_xlpm.b)))</f>
        <v>0.83</v>
      </c>
    </row>
    <row r="20" spans="2:19" ht="25" customHeight="1">
      <c r="B20">
        <v>2</v>
      </c>
      <c r="C20" t="s">
        <v>9</v>
      </c>
      <c r="D20" t="b">
        <v>0</v>
      </c>
      <c r="E20">
        <v>1</v>
      </c>
      <c r="F20" t="s">
        <v>4</v>
      </c>
      <c r="G20" s="1" cm="1">
        <f t="array" ref="G20">_xlfn.LET(_xlpm.d,G$2:G$13,_xlpm.a,$C$2:$C$13=$C20,_xlpm.b,$D$2:$D$13=$D20,MAX(_xlfn._xlws.FILTER(_xlpm.d,_xlpm.a*_xlpm.b)))</f>
        <v>0.83</v>
      </c>
      <c r="H20" s="1" cm="1">
        <f t="array" ref="H20">_xlfn.LET(_xlpm.d,H$2:H$13,_xlpm.a,$C$2:$C$13=$C20,_xlpm.b,$D$2:$D$13=$D20,MAX(_xlfn._xlws.FILTER(_xlpm.d,_xlpm.a*_xlpm.b)))</f>
        <v>0.79</v>
      </c>
      <c r="I20" s="1" cm="1">
        <f t="array" ref="I20">_xlfn.LET(_xlpm.d,I$2:I$13,_xlpm.a,$C$2:$C$13=$C20,_xlpm.b,$D$2:$D$13=$D20,MAX(_xlfn._xlws.FILTER(_xlpm.d,_xlpm.a*_xlpm.b)))</f>
        <v>0.82</v>
      </c>
      <c r="J20" s="1" cm="1">
        <f t="array" ref="J20">_xlfn.LET(_xlpm.d,J$2:J$13,_xlpm.a,$C$2:$C$13=$C20,_xlpm.b,$D$2:$D$13=$D20,MAX(_xlfn._xlws.FILTER(_xlpm.d,_xlpm.a*_xlpm.b)))</f>
        <v>0.78</v>
      </c>
      <c r="K20" s="1" cm="1">
        <f t="array" ref="K20">_xlfn.LET(_xlpm.d,K$2:K$13,_xlpm.a,$C$2:$C$13=$C20,_xlpm.b,$D$2:$D$13=$D20,MAX(_xlfn._xlws.FILTER(_xlpm.d,_xlpm.a*_xlpm.b)))</f>
        <v>0.76</v>
      </c>
      <c r="L20" s="1" cm="1">
        <f t="array" ref="L20">_xlfn.LET(_xlpm.d,L$2:L$13,_xlpm.a,$C$2:$C$13=$C20,_xlpm.b,$D$2:$D$13=$D20,MAX(_xlfn._xlws.FILTER(_xlpm.d,_xlpm.a*_xlpm.b)))</f>
        <v>0.8</v>
      </c>
      <c r="M20" s="1" cm="1">
        <f t="array" ref="M20">_xlfn.LET(_xlpm.d,M$2:M$13,_xlpm.a,$C$2:$C$13=$C20,_xlpm.b,$D$2:$D$13=$D20,MAX(_xlfn._xlws.FILTER(_xlpm.d,_xlpm.a*_xlpm.b)))</f>
        <v>0.81</v>
      </c>
      <c r="N20" s="1" cm="1">
        <f t="array" ref="N20">_xlfn.LET(_xlpm.d,N$2:N$13,_xlpm.a,$C$2:$C$13=$C20,_xlpm.b,$D$2:$D$13=$D20,MAX(_xlfn._xlws.FILTER(_xlpm.d,_xlpm.a*_xlpm.b)))</f>
        <v>0.79</v>
      </c>
      <c r="O20" s="1" cm="1">
        <f t="array" ref="O20">_xlfn.LET(_xlpm.d,O$2:O$13,_xlpm.a,$C$2:$C$13=$C20,_xlpm.b,$D$2:$D$13=$D20,MAX(_xlfn._xlws.FILTER(_xlpm.d,_xlpm.a*_xlpm.b)))</f>
        <v>0.8</v>
      </c>
      <c r="P20" s="1" cm="1">
        <f t="array" ref="P20">_xlfn.LET(_xlpm.d,P$2:P$13,_xlpm.a,$C$2:$C$13=$C20,_xlpm.b,$D$2:$D$13=$D20,MAX(_xlfn._xlws.FILTER(_xlpm.d,_xlpm.a*_xlpm.b)))</f>
        <v>0.83</v>
      </c>
      <c r="Q20" s="1" cm="1">
        <f t="array" ref="Q20">_xlfn.LET(_xlpm.d,Q$2:Q$13,_xlpm.a,$C$2:$C$13=$C20,_xlpm.b,$D$2:$D$13=$D20,MAX(_xlfn._xlws.FILTER(_xlpm.d,_xlpm.a*_xlpm.b)))</f>
        <v>0.82</v>
      </c>
      <c r="R20" s="1" cm="1">
        <f t="array" ref="R20">_xlfn.LET(_xlpm.d,R$2:R$13,_xlpm.a,$C$2:$C$13=$C20,_xlpm.b,$D$2:$D$13=$D20,MAX(_xlfn._xlws.FILTER(_xlpm.d,_xlpm.a*_xlpm.b)))</f>
        <v>0.76</v>
      </c>
      <c r="S20" s="1" cm="1">
        <f t="array" ref="S20">_xlfn.LET(_xlpm.d,S$2:S$13,_xlpm.a,$C$2:$C$13=$C20,_xlpm.b,$D$2:$D$13=$D20,MAX(_xlfn._xlws.FILTER(_xlpm.d,_xlpm.a*_xlpm.b)))</f>
        <v>0.83</v>
      </c>
    </row>
  </sheetData>
  <conditionalFormatting sqref="G2:S1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6887-37F8-EE42-947F-358D39D9E77E}">
  <dimension ref="A1:S20"/>
  <sheetViews>
    <sheetView topLeftCell="I1" workbookViewId="0">
      <pane xSplit="14180" ySplit="3960" topLeftCell="O9" activePane="bottomLeft"/>
      <selection sqref="A1:XFD1048576"/>
      <selection pane="topRight" activeCell="S3" sqref="S3"/>
      <selection pane="bottomLeft" activeCell="B17" sqref="B17:S20"/>
      <selection pane="bottomRight" activeCell="Q19" sqref="Q19"/>
    </sheetView>
  </sheetViews>
  <sheetFormatPr baseColWidth="10" defaultRowHeight="25" customHeight="1"/>
  <cols>
    <col min="2" max="6" width="7.5" customWidth="1"/>
    <col min="7" max="19" width="8" customWidth="1"/>
  </cols>
  <sheetData>
    <row r="1" spans="1:19" ht="25" customHeight="1">
      <c r="A1" t="s">
        <v>0</v>
      </c>
      <c r="B1" t="s">
        <v>10</v>
      </c>
      <c r="C1" t="s">
        <v>1</v>
      </c>
      <c r="D1" t="s">
        <v>2</v>
      </c>
      <c r="E1" t="s">
        <v>11</v>
      </c>
      <c r="F1" t="s">
        <v>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4</v>
      </c>
    </row>
    <row r="2" spans="1:19" ht="25" customHeight="1">
      <c r="A2" t="s">
        <v>26</v>
      </c>
      <c r="B2">
        <v>1</v>
      </c>
      <c r="C2" t="s">
        <v>5</v>
      </c>
      <c r="D2" t="b">
        <v>1</v>
      </c>
      <c r="E2">
        <v>1</v>
      </c>
      <c r="F2" t="s">
        <v>8</v>
      </c>
      <c r="G2" s="1">
        <v>0.93</v>
      </c>
      <c r="H2" s="1">
        <v>0.87</v>
      </c>
      <c r="I2" s="1">
        <v>0.88</v>
      </c>
      <c r="J2" s="1">
        <v>0.88</v>
      </c>
      <c r="K2" s="1">
        <v>0.87</v>
      </c>
      <c r="L2" s="1">
        <v>0.89</v>
      </c>
      <c r="M2" s="1">
        <v>0.93</v>
      </c>
      <c r="N2" s="1">
        <v>0.89</v>
      </c>
      <c r="O2" s="1">
        <v>0.87</v>
      </c>
      <c r="P2" s="1">
        <v>0.93</v>
      </c>
      <c r="Q2" s="1">
        <v>0.85</v>
      </c>
      <c r="R2" s="1">
        <v>0.89</v>
      </c>
      <c r="S2" s="1">
        <f t="shared" ref="S2:S13" si="0">MAX($G2:$R2)</f>
        <v>0.93</v>
      </c>
    </row>
    <row r="3" spans="1:19" ht="25" customHeight="1">
      <c r="A3" t="s">
        <v>26</v>
      </c>
      <c r="B3">
        <v>1</v>
      </c>
      <c r="C3" t="s">
        <v>5</v>
      </c>
      <c r="D3" t="b">
        <v>1</v>
      </c>
      <c r="E3">
        <v>2</v>
      </c>
      <c r="F3" t="s">
        <v>7</v>
      </c>
      <c r="G3" s="1">
        <v>0.91</v>
      </c>
      <c r="H3" s="1">
        <v>0.9</v>
      </c>
      <c r="I3" s="1">
        <v>0.91</v>
      </c>
      <c r="J3" s="1">
        <v>0.95</v>
      </c>
      <c r="K3" s="1">
        <v>0.89</v>
      </c>
      <c r="L3" s="1">
        <v>0.93</v>
      </c>
      <c r="M3" s="1">
        <v>0.93</v>
      </c>
      <c r="N3" s="1">
        <v>0.95</v>
      </c>
      <c r="O3" s="1">
        <v>0.93</v>
      </c>
      <c r="P3" s="1">
        <v>0.96</v>
      </c>
      <c r="Q3" s="1">
        <v>0.93</v>
      </c>
      <c r="R3" s="1">
        <v>0.96</v>
      </c>
      <c r="S3" s="1">
        <f t="shared" si="0"/>
        <v>0.96</v>
      </c>
    </row>
    <row r="4" spans="1:19" ht="25" customHeight="1">
      <c r="A4" t="s">
        <v>26</v>
      </c>
      <c r="B4">
        <v>1</v>
      </c>
      <c r="C4" t="s">
        <v>5</v>
      </c>
      <c r="D4" t="b">
        <v>1</v>
      </c>
      <c r="E4">
        <v>3</v>
      </c>
      <c r="F4" t="s">
        <v>6</v>
      </c>
      <c r="G4" s="1">
        <v>0.95</v>
      </c>
      <c r="H4" s="1">
        <v>0.91</v>
      </c>
      <c r="I4" s="1">
        <v>0.94</v>
      </c>
      <c r="J4" s="1">
        <v>0.94</v>
      </c>
      <c r="K4" s="1">
        <v>0.93</v>
      </c>
      <c r="L4" s="1">
        <v>0.94</v>
      </c>
      <c r="M4" s="1">
        <v>0.96</v>
      </c>
      <c r="N4" s="1">
        <v>0.95</v>
      </c>
      <c r="O4" s="1">
        <v>0.96</v>
      </c>
      <c r="P4" s="1">
        <v>0.97</v>
      </c>
      <c r="Q4" s="1">
        <v>0.96</v>
      </c>
      <c r="R4" s="1">
        <v>0.96</v>
      </c>
      <c r="S4" s="1">
        <f t="shared" si="0"/>
        <v>0.97</v>
      </c>
    </row>
    <row r="5" spans="1:19" ht="25" customHeight="1">
      <c r="A5" t="s">
        <v>26</v>
      </c>
      <c r="B5">
        <v>1</v>
      </c>
      <c r="C5" t="s">
        <v>5</v>
      </c>
      <c r="D5" t="b">
        <v>0</v>
      </c>
      <c r="E5">
        <v>1</v>
      </c>
      <c r="F5" t="s">
        <v>8</v>
      </c>
      <c r="G5" s="1">
        <v>0.9</v>
      </c>
      <c r="H5" s="1">
        <v>0.86</v>
      </c>
      <c r="I5" s="1">
        <v>0.91</v>
      </c>
      <c r="J5" s="1">
        <v>0.87</v>
      </c>
      <c r="K5" s="1">
        <v>0.84</v>
      </c>
      <c r="L5" s="1">
        <v>0.87</v>
      </c>
      <c r="M5" s="1">
        <v>0.92</v>
      </c>
      <c r="N5" s="1">
        <v>0.85</v>
      </c>
      <c r="O5" s="1">
        <v>0.9</v>
      </c>
      <c r="P5" s="1">
        <v>0.92</v>
      </c>
      <c r="Q5" s="1">
        <v>0.86</v>
      </c>
      <c r="R5" s="1">
        <v>0.94</v>
      </c>
      <c r="S5" s="1">
        <f t="shared" si="0"/>
        <v>0.94</v>
      </c>
    </row>
    <row r="6" spans="1:19" ht="25" customHeight="1">
      <c r="A6" t="s">
        <v>26</v>
      </c>
      <c r="B6">
        <v>1</v>
      </c>
      <c r="C6" t="s">
        <v>5</v>
      </c>
      <c r="D6" t="b">
        <v>0</v>
      </c>
      <c r="E6">
        <v>2</v>
      </c>
      <c r="F6" t="s">
        <v>7</v>
      </c>
      <c r="G6" s="1">
        <v>0.9</v>
      </c>
      <c r="H6" s="1">
        <v>0.9</v>
      </c>
      <c r="I6" s="1">
        <v>0.95</v>
      </c>
      <c r="J6" s="1">
        <v>0.95</v>
      </c>
      <c r="K6" s="1">
        <v>0.9</v>
      </c>
      <c r="L6" s="1">
        <v>0.93</v>
      </c>
      <c r="M6" s="1">
        <v>0.94</v>
      </c>
      <c r="N6" s="1">
        <v>0.95</v>
      </c>
      <c r="O6" s="1">
        <v>0.92</v>
      </c>
      <c r="P6" s="1">
        <v>0.95</v>
      </c>
      <c r="Q6" s="1">
        <v>0.93</v>
      </c>
      <c r="R6" s="1">
        <v>0.96</v>
      </c>
      <c r="S6" s="1">
        <f t="shared" si="0"/>
        <v>0.96</v>
      </c>
    </row>
    <row r="7" spans="1:19" ht="25" customHeight="1">
      <c r="A7" t="s">
        <v>26</v>
      </c>
      <c r="B7">
        <v>1</v>
      </c>
      <c r="C7" t="s">
        <v>5</v>
      </c>
      <c r="D7" t="b">
        <v>0</v>
      </c>
      <c r="E7">
        <v>3</v>
      </c>
      <c r="F7" t="s">
        <v>6</v>
      </c>
      <c r="G7" s="1">
        <v>0.94</v>
      </c>
      <c r="H7" s="1">
        <v>0.9</v>
      </c>
      <c r="I7" s="1">
        <v>0.95</v>
      </c>
      <c r="J7" s="1">
        <v>0.94</v>
      </c>
      <c r="K7" s="1">
        <v>0.94</v>
      </c>
      <c r="L7" s="1">
        <v>0.96</v>
      </c>
      <c r="M7" s="1">
        <v>0.93</v>
      </c>
      <c r="N7" s="1">
        <v>0.95</v>
      </c>
      <c r="O7" s="1">
        <v>0.94</v>
      </c>
      <c r="P7" s="1">
        <v>0.97</v>
      </c>
      <c r="Q7" s="1">
        <v>0.96</v>
      </c>
      <c r="R7" s="1">
        <v>0.96</v>
      </c>
      <c r="S7" s="1">
        <f t="shared" si="0"/>
        <v>0.97</v>
      </c>
    </row>
    <row r="8" spans="1:19" ht="25" customHeight="1">
      <c r="A8" t="s">
        <v>26</v>
      </c>
      <c r="B8">
        <v>2</v>
      </c>
      <c r="C8" t="s">
        <v>9</v>
      </c>
      <c r="D8" t="b">
        <v>1</v>
      </c>
      <c r="E8">
        <v>1</v>
      </c>
      <c r="F8" t="s">
        <v>8</v>
      </c>
      <c r="G8" s="1">
        <v>0.75</v>
      </c>
      <c r="H8" s="1">
        <v>0.75</v>
      </c>
      <c r="I8" s="1">
        <v>0.73</v>
      </c>
      <c r="J8" s="1">
        <v>0.74</v>
      </c>
      <c r="K8" s="1">
        <v>0.61</v>
      </c>
      <c r="L8" s="1">
        <v>0.67</v>
      </c>
      <c r="M8" s="1">
        <v>0.73</v>
      </c>
      <c r="N8" s="1">
        <v>0.75</v>
      </c>
      <c r="O8" s="1">
        <v>0.71</v>
      </c>
      <c r="P8" s="1">
        <v>0.74</v>
      </c>
      <c r="Q8" s="1">
        <v>0.74</v>
      </c>
      <c r="R8" s="1">
        <v>0.68</v>
      </c>
      <c r="S8" s="1">
        <f t="shared" si="0"/>
        <v>0.75</v>
      </c>
    </row>
    <row r="9" spans="1:19" ht="25" customHeight="1">
      <c r="A9" t="s">
        <v>26</v>
      </c>
      <c r="B9">
        <v>2</v>
      </c>
      <c r="C9" t="s">
        <v>9</v>
      </c>
      <c r="D9" t="b">
        <v>1</v>
      </c>
      <c r="E9">
        <v>2</v>
      </c>
      <c r="F9" t="s">
        <v>7</v>
      </c>
      <c r="G9" s="1">
        <v>0.74</v>
      </c>
      <c r="H9" s="1">
        <v>0.81</v>
      </c>
      <c r="I9" s="1">
        <v>0.78</v>
      </c>
      <c r="J9" s="1">
        <v>0.82</v>
      </c>
      <c r="K9" s="1">
        <v>0.75</v>
      </c>
      <c r="L9" s="1">
        <v>0.75</v>
      </c>
      <c r="M9" s="1">
        <v>0.82</v>
      </c>
      <c r="N9" s="1">
        <v>0.79</v>
      </c>
      <c r="O9" s="1">
        <v>0.72</v>
      </c>
      <c r="P9" s="1">
        <v>0.81</v>
      </c>
      <c r="Q9" s="1">
        <v>0.77</v>
      </c>
      <c r="R9" s="1">
        <v>0.71</v>
      </c>
      <c r="S9" s="1">
        <f t="shared" si="0"/>
        <v>0.82</v>
      </c>
    </row>
    <row r="10" spans="1:19" ht="25" customHeight="1">
      <c r="A10" t="s">
        <v>26</v>
      </c>
      <c r="B10">
        <v>2</v>
      </c>
      <c r="C10" t="s">
        <v>9</v>
      </c>
      <c r="D10" t="b">
        <v>1</v>
      </c>
      <c r="E10">
        <v>3</v>
      </c>
      <c r="F10" t="s">
        <v>6</v>
      </c>
      <c r="G10" s="1">
        <v>0.74</v>
      </c>
      <c r="H10" s="1">
        <v>0.76</v>
      </c>
      <c r="I10" s="1">
        <v>0.77</v>
      </c>
      <c r="J10" s="1">
        <v>0.78</v>
      </c>
      <c r="K10" s="1">
        <v>0.77</v>
      </c>
      <c r="L10" s="1">
        <v>0.76</v>
      </c>
      <c r="M10" s="1">
        <v>0.81</v>
      </c>
      <c r="N10" s="1">
        <v>0.79</v>
      </c>
      <c r="O10" s="1">
        <v>0.74</v>
      </c>
      <c r="P10" s="1">
        <v>0.77</v>
      </c>
      <c r="Q10" s="1">
        <v>0.8</v>
      </c>
      <c r="R10" s="1">
        <v>0.75</v>
      </c>
      <c r="S10" s="1">
        <f t="shared" si="0"/>
        <v>0.81</v>
      </c>
    </row>
    <row r="11" spans="1:19" ht="25" customHeight="1">
      <c r="A11" t="s">
        <v>26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 s="1">
        <v>0.73</v>
      </c>
      <c r="H11" s="1">
        <v>0.71</v>
      </c>
      <c r="I11" s="1">
        <v>0.73</v>
      </c>
      <c r="J11" s="1">
        <v>0.76</v>
      </c>
      <c r="K11" s="1">
        <v>0.67</v>
      </c>
      <c r="L11" s="1">
        <v>0.65</v>
      </c>
      <c r="M11" s="1">
        <v>0.74</v>
      </c>
      <c r="N11" s="1">
        <v>0.74</v>
      </c>
      <c r="O11" s="1">
        <v>0.74</v>
      </c>
      <c r="P11" s="1">
        <v>0.71</v>
      </c>
      <c r="Q11" s="1">
        <v>0.72</v>
      </c>
      <c r="R11" s="1">
        <v>0.71</v>
      </c>
      <c r="S11" s="1">
        <f t="shared" si="0"/>
        <v>0.76</v>
      </c>
    </row>
    <row r="12" spans="1:19" ht="25" customHeight="1">
      <c r="A12" t="s">
        <v>26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 s="1">
        <v>0.77</v>
      </c>
      <c r="H12" s="1">
        <v>0.8</v>
      </c>
      <c r="I12" s="1">
        <v>0.77</v>
      </c>
      <c r="J12" s="1">
        <v>0.82</v>
      </c>
      <c r="K12" s="1">
        <v>0.72</v>
      </c>
      <c r="L12" s="1">
        <v>0.71</v>
      </c>
      <c r="M12" s="1">
        <v>0.81</v>
      </c>
      <c r="N12" s="1">
        <v>0.78</v>
      </c>
      <c r="O12" s="1">
        <v>0.77</v>
      </c>
      <c r="P12" s="1">
        <v>0.8</v>
      </c>
      <c r="Q12" s="1">
        <v>0.78</v>
      </c>
      <c r="R12" s="1">
        <v>0.67</v>
      </c>
      <c r="S12" s="1">
        <f t="shared" si="0"/>
        <v>0.82</v>
      </c>
    </row>
    <row r="13" spans="1:19" ht="25" customHeight="1">
      <c r="A13" t="s">
        <v>26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 s="1">
        <v>0.76</v>
      </c>
      <c r="H13" s="1">
        <v>0.78</v>
      </c>
      <c r="I13" s="1">
        <v>0.79</v>
      </c>
      <c r="J13" s="1">
        <v>0.8</v>
      </c>
      <c r="K13" s="1">
        <v>0.77</v>
      </c>
      <c r="L13" s="1">
        <v>0.79</v>
      </c>
      <c r="M13" s="1">
        <v>0.8</v>
      </c>
      <c r="N13" s="1">
        <v>0.81</v>
      </c>
      <c r="O13" s="1">
        <v>0.77</v>
      </c>
      <c r="P13" s="1">
        <v>0.8</v>
      </c>
      <c r="Q13" s="1">
        <v>0.81</v>
      </c>
      <c r="R13" s="1">
        <v>0.76</v>
      </c>
      <c r="S13" s="1">
        <f t="shared" si="0"/>
        <v>0.81</v>
      </c>
    </row>
    <row r="16" spans="1:19" ht="25" customHeight="1">
      <c r="B16" t="s">
        <v>10</v>
      </c>
      <c r="C16" t="s">
        <v>1</v>
      </c>
      <c r="D16" t="s">
        <v>13</v>
      </c>
      <c r="E16" t="s">
        <v>11</v>
      </c>
      <c r="F16" t="s">
        <v>12</v>
      </c>
      <c r="G16" t="s">
        <v>14</v>
      </c>
      <c r="H16" t="s">
        <v>15</v>
      </c>
      <c r="I16" t="s">
        <v>16</v>
      </c>
      <c r="J16" t="s">
        <v>17</v>
      </c>
      <c r="K16" t="s">
        <v>18</v>
      </c>
      <c r="L16" t="s">
        <v>19</v>
      </c>
      <c r="M16" t="s">
        <v>20</v>
      </c>
      <c r="N16" t="s">
        <v>21</v>
      </c>
      <c r="O16" t="s">
        <v>22</v>
      </c>
      <c r="P16" t="s">
        <v>23</v>
      </c>
      <c r="Q16" t="s">
        <v>24</v>
      </c>
      <c r="R16" t="s">
        <v>25</v>
      </c>
      <c r="S16" t="s">
        <v>4</v>
      </c>
    </row>
    <row r="17" spans="2:19" ht="25" customHeight="1">
      <c r="B17">
        <v>1</v>
      </c>
      <c r="C17" t="s">
        <v>5</v>
      </c>
      <c r="D17" t="b">
        <v>1</v>
      </c>
      <c r="E17">
        <v>1</v>
      </c>
      <c r="F17" t="s">
        <v>4</v>
      </c>
      <c r="G17" s="1" cm="1">
        <f t="array" ref="G17">_xlfn.LET(_xlpm.d,G$2:G$13,_xlpm.a,$C$2:$C$13=$C17,_xlpm.b,$D$2:$D$13=$D17,MAX(_xlfn._xlws.FILTER(_xlpm.d,_xlpm.a*_xlpm.b)))</f>
        <v>0.95</v>
      </c>
      <c r="H17" s="1" cm="1">
        <f t="array" ref="H17">_xlfn.LET(_xlpm.d,H$2:H$13,_xlpm.a,$C$2:$C$13=$C17,_xlpm.b,$D$2:$D$13=$D17,MAX(_xlfn._xlws.FILTER(_xlpm.d,_xlpm.a*_xlpm.b)))</f>
        <v>0.91</v>
      </c>
      <c r="I17" s="1" cm="1">
        <f t="array" ref="I17">_xlfn.LET(_xlpm.d,I$2:I$13,_xlpm.a,$C$2:$C$13=$C17,_xlpm.b,$D$2:$D$13=$D17,MAX(_xlfn._xlws.FILTER(_xlpm.d,_xlpm.a*_xlpm.b)))</f>
        <v>0.94</v>
      </c>
      <c r="J17" s="1" cm="1">
        <f t="array" ref="J17">_xlfn.LET(_xlpm.d,J$2:J$13,_xlpm.a,$C$2:$C$13=$C17,_xlpm.b,$D$2:$D$13=$D17,MAX(_xlfn._xlws.FILTER(_xlpm.d,_xlpm.a*_xlpm.b)))</f>
        <v>0.95</v>
      </c>
      <c r="K17" s="1" cm="1">
        <f t="array" ref="K17">_xlfn.LET(_xlpm.d,K$2:K$13,_xlpm.a,$C$2:$C$13=$C17,_xlpm.b,$D$2:$D$13=$D17,MAX(_xlfn._xlws.FILTER(_xlpm.d,_xlpm.a*_xlpm.b)))</f>
        <v>0.93</v>
      </c>
      <c r="L17" s="1" cm="1">
        <f t="array" ref="L17">_xlfn.LET(_xlpm.d,L$2:L$13,_xlpm.a,$C$2:$C$13=$C17,_xlpm.b,$D$2:$D$13=$D17,MAX(_xlfn._xlws.FILTER(_xlpm.d,_xlpm.a*_xlpm.b)))</f>
        <v>0.94</v>
      </c>
      <c r="M17" s="1" cm="1">
        <f t="array" ref="M17">_xlfn.LET(_xlpm.d,M$2:M$13,_xlpm.a,$C$2:$C$13=$C17,_xlpm.b,$D$2:$D$13=$D17,MAX(_xlfn._xlws.FILTER(_xlpm.d,_xlpm.a*_xlpm.b)))</f>
        <v>0.96</v>
      </c>
      <c r="N17" s="1" cm="1">
        <f t="array" ref="N17">_xlfn.LET(_xlpm.d,N$2:N$13,_xlpm.a,$C$2:$C$13=$C17,_xlpm.b,$D$2:$D$13=$D17,MAX(_xlfn._xlws.FILTER(_xlpm.d,_xlpm.a*_xlpm.b)))</f>
        <v>0.95</v>
      </c>
      <c r="O17" s="1" cm="1">
        <f t="array" ref="O17">_xlfn.LET(_xlpm.d,O$2:O$13,_xlpm.a,$C$2:$C$13=$C17,_xlpm.b,$D$2:$D$13=$D17,MAX(_xlfn._xlws.FILTER(_xlpm.d,_xlpm.a*_xlpm.b)))</f>
        <v>0.96</v>
      </c>
      <c r="P17" s="1" cm="1">
        <f t="array" ref="P17">_xlfn.LET(_xlpm.d,P$2:P$13,_xlpm.a,$C$2:$C$13=$C17,_xlpm.b,$D$2:$D$13=$D17,MAX(_xlfn._xlws.FILTER(_xlpm.d,_xlpm.a*_xlpm.b)))</f>
        <v>0.97</v>
      </c>
      <c r="Q17" s="1" cm="1">
        <f t="array" ref="Q17">_xlfn.LET(_xlpm.d,Q$2:Q$13,_xlpm.a,$C$2:$C$13=$C17,_xlpm.b,$D$2:$D$13=$D17,MAX(_xlfn._xlws.FILTER(_xlpm.d,_xlpm.a*_xlpm.b)))</f>
        <v>0.96</v>
      </c>
      <c r="R17" s="1" cm="1">
        <f t="array" ref="R17">_xlfn.LET(_xlpm.d,R$2:R$13,_xlpm.a,$C$2:$C$13=$C17,_xlpm.b,$D$2:$D$13=$D17,MAX(_xlfn._xlws.FILTER(_xlpm.d,_xlpm.a*_xlpm.b)))</f>
        <v>0.96</v>
      </c>
      <c r="S17" s="1" cm="1">
        <f t="array" ref="S17">_xlfn.LET(_xlpm.d,S$2:S$13,_xlpm.a,$C$2:$C$13=$C17,_xlpm.b,$D$2:$D$13=$D17,MAX(_xlfn._xlws.FILTER(_xlpm.d,_xlpm.a*_xlpm.b)))</f>
        <v>0.97</v>
      </c>
    </row>
    <row r="18" spans="2:19" ht="25" customHeight="1">
      <c r="B18">
        <v>1</v>
      </c>
      <c r="C18" t="s">
        <v>5</v>
      </c>
      <c r="D18" t="b">
        <v>0</v>
      </c>
      <c r="E18">
        <v>1</v>
      </c>
      <c r="F18" t="s">
        <v>4</v>
      </c>
      <c r="G18" s="1" cm="1">
        <f t="array" ref="G18">_xlfn.LET(_xlpm.d,G$2:G$13,_xlpm.a,$C$2:$C$13=$C18,_xlpm.b,$D$2:$D$13=$D18,MAX(_xlfn._xlws.FILTER(_xlpm.d,_xlpm.a*_xlpm.b)))</f>
        <v>0.94</v>
      </c>
      <c r="H18" s="1" cm="1">
        <f t="array" ref="H18">_xlfn.LET(_xlpm.d,H$2:H$13,_xlpm.a,$C$2:$C$13=$C18,_xlpm.b,$D$2:$D$13=$D18,MAX(_xlfn._xlws.FILTER(_xlpm.d,_xlpm.a*_xlpm.b)))</f>
        <v>0.9</v>
      </c>
      <c r="I18" s="1" cm="1">
        <f t="array" ref="I18">_xlfn.LET(_xlpm.d,I$2:I$13,_xlpm.a,$C$2:$C$13=$C18,_xlpm.b,$D$2:$D$13=$D18,MAX(_xlfn._xlws.FILTER(_xlpm.d,_xlpm.a*_xlpm.b)))</f>
        <v>0.95</v>
      </c>
      <c r="J18" s="1" cm="1">
        <f t="array" ref="J18">_xlfn.LET(_xlpm.d,J$2:J$13,_xlpm.a,$C$2:$C$13=$C18,_xlpm.b,$D$2:$D$13=$D18,MAX(_xlfn._xlws.FILTER(_xlpm.d,_xlpm.a*_xlpm.b)))</f>
        <v>0.95</v>
      </c>
      <c r="K18" s="1" cm="1">
        <f t="array" ref="K18">_xlfn.LET(_xlpm.d,K$2:K$13,_xlpm.a,$C$2:$C$13=$C18,_xlpm.b,$D$2:$D$13=$D18,MAX(_xlfn._xlws.FILTER(_xlpm.d,_xlpm.a*_xlpm.b)))</f>
        <v>0.94</v>
      </c>
      <c r="L18" s="1" cm="1">
        <f t="array" ref="L18">_xlfn.LET(_xlpm.d,L$2:L$13,_xlpm.a,$C$2:$C$13=$C18,_xlpm.b,$D$2:$D$13=$D18,MAX(_xlfn._xlws.FILTER(_xlpm.d,_xlpm.a*_xlpm.b)))</f>
        <v>0.96</v>
      </c>
      <c r="M18" s="1" cm="1">
        <f t="array" ref="M18">_xlfn.LET(_xlpm.d,M$2:M$13,_xlpm.a,$C$2:$C$13=$C18,_xlpm.b,$D$2:$D$13=$D18,MAX(_xlfn._xlws.FILTER(_xlpm.d,_xlpm.a*_xlpm.b)))</f>
        <v>0.94</v>
      </c>
      <c r="N18" s="1" cm="1">
        <f t="array" ref="N18">_xlfn.LET(_xlpm.d,N$2:N$13,_xlpm.a,$C$2:$C$13=$C18,_xlpm.b,$D$2:$D$13=$D18,MAX(_xlfn._xlws.FILTER(_xlpm.d,_xlpm.a*_xlpm.b)))</f>
        <v>0.95</v>
      </c>
      <c r="O18" s="1" cm="1">
        <f t="array" ref="O18">_xlfn.LET(_xlpm.d,O$2:O$13,_xlpm.a,$C$2:$C$13=$C18,_xlpm.b,$D$2:$D$13=$D18,MAX(_xlfn._xlws.FILTER(_xlpm.d,_xlpm.a*_xlpm.b)))</f>
        <v>0.94</v>
      </c>
      <c r="P18" s="1" cm="1">
        <f t="array" ref="P18">_xlfn.LET(_xlpm.d,P$2:P$13,_xlpm.a,$C$2:$C$13=$C18,_xlpm.b,$D$2:$D$13=$D18,MAX(_xlfn._xlws.FILTER(_xlpm.d,_xlpm.a*_xlpm.b)))</f>
        <v>0.97</v>
      </c>
      <c r="Q18" s="1" cm="1">
        <f t="array" ref="Q18">_xlfn.LET(_xlpm.d,Q$2:Q$13,_xlpm.a,$C$2:$C$13=$C18,_xlpm.b,$D$2:$D$13=$D18,MAX(_xlfn._xlws.FILTER(_xlpm.d,_xlpm.a*_xlpm.b)))</f>
        <v>0.96</v>
      </c>
      <c r="R18" s="1" cm="1">
        <f t="array" ref="R18">_xlfn.LET(_xlpm.d,R$2:R$13,_xlpm.a,$C$2:$C$13=$C18,_xlpm.b,$D$2:$D$13=$D18,MAX(_xlfn._xlws.FILTER(_xlpm.d,_xlpm.a*_xlpm.b)))</f>
        <v>0.96</v>
      </c>
      <c r="S18" s="1" cm="1">
        <f t="array" ref="S18">_xlfn.LET(_xlpm.d,S$2:S$13,_xlpm.a,$C$2:$C$13=$C18,_xlpm.b,$D$2:$D$13=$D18,MAX(_xlfn._xlws.FILTER(_xlpm.d,_xlpm.a*_xlpm.b)))</f>
        <v>0.97</v>
      </c>
    </row>
    <row r="19" spans="2:19" ht="25" customHeight="1">
      <c r="B19">
        <v>2</v>
      </c>
      <c r="C19" t="s">
        <v>9</v>
      </c>
      <c r="D19" t="b">
        <v>1</v>
      </c>
      <c r="E19">
        <v>1</v>
      </c>
      <c r="F19" t="s">
        <v>4</v>
      </c>
      <c r="G19" s="1" cm="1">
        <f t="array" ref="G19">_xlfn.LET(_xlpm.d,G$2:G$13,_xlpm.a,$C$2:$C$13=$C19,_xlpm.b,$D$2:$D$13=$D19,MAX(_xlfn._xlws.FILTER(_xlpm.d,_xlpm.a*_xlpm.b)))</f>
        <v>0.75</v>
      </c>
      <c r="H19" s="1" cm="1">
        <f t="array" ref="H19">_xlfn.LET(_xlpm.d,H$2:H$13,_xlpm.a,$C$2:$C$13=$C19,_xlpm.b,$D$2:$D$13=$D19,MAX(_xlfn._xlws.FILTER(_xlpm.d,_xlpm.a*_xlpm.b)))</f>
        <v>0.81</v>
      </c>
      <c r="I19" s="1" cm="1">
        <f t="array" ref="I19">_xlfn.LET(_xlpm.d,I$2:I$13,_xlpm.a,$C$2:$C$13=$C19,_xlpm.b,$D$2:$D$13=$D19,MAX(_xlfn._xlws.FILTER(_xlpm.d,_xlpm.a*_xlpm.b)))</f>
        <v>0.78</v>
      </c>
      <c r="J19" s="1" cm="1">
        <f t="array" ref="J19">_xlfn.LET(_xlpm.d,J$2:J$13,_xlpm.a,$C$2:$C$13=$C19,_xlpm.b,$D$2:$D$13=$D19,MAX(_xlfn._xlws.FILTER(_xlpm.d,_xlpm.a*_xlpm.b)))</f>
        <v>0.82</v>
      </c>
      <c r="K19" s="1" cm="1">
        <f t="array" ref="K19">_xlfn.LET(_xlpm.d,K$2:K$13,_xlpm.a,$C$2:$C$13=$C19,_xlpm.b,$D$2:$D$13=$D19,MAX(_xlfn._xlws.FILTER(_xlpm.d,_xlpm.a*_xlpm.b)))</f>
        <v>0.77</v>
      </c>
      <c r="L19" s="1" cm="1">
        <f t="array" ref="L19">_xlfn.LET(_xlpm.d,L$2:L$13,_xlpm.a,$C$2:$C$13=$C19,_xlpm.b,$D$2:$D$13=$D19,MAX(_xlfn._xlws.FILTER(_xlpm.d,_xlpm.a*_xlpm.b)))</f>
        <v>0.76</v>
      </c>
      <c r="M19" s="1" cm="1">
        <f t="array" ref="M19">_xlfn.LET(_xlpm.d,M$2:M$13,_xlpm.a,$C$2:$C$13=$C19,_xlpm.b,$D$2:$D$13=$D19,MAX(_xlfn._xlws.FILTER(_xlpm.d,_xlpm.a*_xlpm.b)))</f>
        <v>0.82</v>
      </c>
      <c r="N19" s="1" cm="1">
        <f t="array" ref="N19">_xlfn.LET(_xlpm.d,N$2:N$13,_xlpm.a,$C$2:$C$13=$C19,_xlpm.b,$D$2:$D$13=$D19,MAX(_xlfn._xlws.FILTER(_xlpm.d,_xlpm.a*_xlpm.b)))</f>
        <v>0.79</v>
      </c>
      <c r="O19" s="1" cm="1">
        <f t="array" ref="O19">_xlfn.LET(_xlpm.d,O$2:O$13,_xlpm.a,$C$2:$C$13=$C19,_xlpm.b,$D$2:$D$13=$D19,MAX(_xlfn._xlws.FILTER(_xlpm.d,_xlpm.a*_xlpm.b)))</f>
        <v>0.74</v>
      </c>
      <c r="P19" s="1" cm="1">
        <f t="array" ref="P19">_xlfn.LET(_xlpm.d,P$2:P$13,_xlpm.a,$C$2:$C$13=$C19,_xlpm.b,$D$2:$D$13=$D19,MAX(_xlfn._xlws.FILTER(_xlpm.d,_xlpm.a*_xlpm.b)))</f>
        <v>0.81</v>
      </c>
      <c r="Q19" s="1" cm="1">
        <f t="array" ref="Q19">_xlfn.LET(_xlpm.d,Q$2:Q$13,_xlpm.a,$C$2:$C$13=$C19,_xlpm.b,$D$2:$D$13=$D19,MAX(_xlfn._xlws.FILTER(_xlpm.d,_xlpm.a*_xlpm.b)))</f>
        <v>0.8</v>
      </c>
      <c r="R19" s="1" cm="1">
        <f t="array" ref="R19">_xlfn.LET(_xlpm.d,R$2:R$13,_xlpm.a,$C$2:$C$13=$C19,_xlpm.b,$D$2:$D$13=$D19,MAX(_xlfn._xlws.FILTER(_xlpm.d,_xlpm.a*_xlpm.b)))</f>
        <v>0.75</v>
      </c>
      <c r="S19" s="1" cm="1">
        <f t="array" ref="S19">_xlfn.LET(_xlpm.d,S$2:S$13,_xlpm.a,$C$2:$C$13=$C19,_xlpm.b,$D$2:$D$13=$D19,MAX(_xlfn._xlws.FILTER(_xlpm.d,_xlpm.a*_xlpm.b)))</f>
        <v>0.82</v>
      </c>
    </row>
    <row r="20" spans="2:19" ht="25" customHeight="1">
      <c r="B20">
        <v>2</v>
      </c>
      <c r="C20" t="s">
        <v>9</v>
      </c>
      <c r="D20" t="b">
        <v>0</v>
      </c>
      <c r="E20">
        <v>1</v>
      </c>
      <c r="F20" t="s">
        <v>4</v>
      </c>
      <c r="G20" s="1" cm="1">
        <f t="array" ref="G20">_xlfn.LET(_xlpm.d,G$2:G$13,_xlpm.a,$C$2:$C$13=$C20,_xlpm.b,$D$2:$D$13=$D20,MAX(_xlfn._xlws.FILTER(_xlpm.d,_xlpm.a*_xlpm.b)))</f>
        <v>0.77</v>
      </c>
      <c r="H20" s="1" cm="1">
        <f t="array" ref="H20">_xlfn.LET(_xlpm.d,H$2:H$13,_xlpm.a,$C$2:$C$13=$C20,_xlpm.b,$D$2:$D$13=$D20,MAX(_xlfn._xlws.FILTER(_xlpm.d,_xlpm.a*_xlpm.b)))</f>
        <v>0.8</v>
      </c>
      <c r="I20" s="1" cm="1">
        <f t="array" ref="I20">_xlfn.LET(_xlpm.d,I$2:I$13,_xlpm.a,$C$2:$C$13=$C20,_xlpm.b,$D$2:$D$13=$D20,MAX(_xlfn._xlws.FILTER(_xlpm.d,_xlpm.a*_xlpm.b)))</f>
        <v>0.79</v>
      </c>
      <c r="J20" s="1" cm="1">
        <f t="array" ref="J20">_xlfn.LET(_xlpm.d,J$2:J$13,_xlpm.a,$C$2:$C$13=$C20,_xlpm.b,$D$2:$D$13=$D20,MAX(_xlfn._xlws.FILTER(_xlpm.d,_xlpm.a*_xlpm.b)))</f>
        <v>0.82</v>
      </c>
      <c r="K20" s="1" cm="1">
        <f t="array" ref="K20">_xlfn.LET(_xlpm.d,K$2:K$13,_xlpm.a,$C$2:$C$13=$C20,_xlpm.b,$D$2:$D$13=$D20,MAX(_xlfn._xlws.FILTER(_xlpm.d,_xlpm.a*_xlpm.b)))</f>
        <v>0.77</v>
      </c>
      <c r="L20" s="1" cm="1">
        <f t="array" ref="L20">_xlfn.LET(_xlpm.d,L$2:L$13,_xlpm.a,$C$2:$C$13=$C20,_xlpm.b,$D$2:$D$13=$D20,MAX(_xlfn._xlws.FILTER(_xlpm.d,_xlpm.a*_xlpm.b)))</f>
        <v>0.79</v>
      </c>
      <c r="M20" s="1" cm="1">
        <f t="array" ref="M20">_xlfn.LET(_xlpm.d,M$2:M$13,_xlpm.a,$C$2:$C$13=$C20,_xlpm.b,$D$2:$D$13=$D20,MAX(_xlfn._xlws.FILTER(_xlpm.d,_xlpm.a*_xlpm.b)))</f>
        <v>0.81</v>
      </c>
      <c r="N20" s="1" cm="1">
        <f t="array" ref="N20">_xlfn.LET(_xlpm.d,N$2:N$13,_xlpm.a,$C$2:$C$13=$C20,_xlpm.b,$D$2:$D$13=$D20,MAX(_xlfn._xlws.FILTER(_xlpm.d,_xlpm.a*_xlpm.b)))</f>
        <v>0.81</v>
      </c>
      <c r="O20" s="1" cm="1">
        <f t="array" ref="O20">_xlfn.LET(_xlpm.d,O$2:O$13,_xlpm.a,$C$2:$C$13=$C20,_xlpm.b,$D$2:$D$13=$D20,MAX(_xlfn._xlws.FILTER(_xlpm.d,_xlpm.a*_xlpm.b)))</f>
        <v>0.77</v>
      </c>
      <c r="P20" s="1" cm="1">
        <f t="array" ref="P20">_xlfn.LET(_xlpm.d,P$2:P$13,_xlpm.a,$C$2:$C$13=$C20,_xlpm.b,$D$2:$D$13=$D20,MAX(_xlfn._xlws.FILTER(_xlpm.d,_xlpm.a*_xlpm.b)))</f>
        <v>0.8</v>
      </c>
      <c r="Q20" s="1" cm="1">
        <f t="array" ref="Q20">_xlfn.LET(_xlpm.d,Q$2:Q$13,_xlpm.a,$C$2:$C$13=$C20,_xlpm.b,$D$2:$D$13=$D20,MAX(_xlfn._xlws.FILTER(_xlpm.d,_xlpm.a*_xlpm.b)))</f>
        <v>0.81</v>
      </c>
      <c r="R20" s="1" cm="1">
        <f t="array" ref="R20">_xlfn.LET(_xlpm.d,R$2:R$13,_xlpm.a,$C$2:$C$13=$C20,_xlpm.b,$D$2:$D$13=$D20,MAX(_xlfn._xlws.FILTER(_xlpm.d,_xlpm.a*_xlpm.b)))</f>
        <v>0.76</v>
      </c>
      <c r="S20" s="1" cm="1">
        <f t="array" ref="S20">_xlfn.LET(_xlpm.d,S$2:S$13,_xlpm.a,$C$2:$C$13=$C20,_xlpm.b,$D$2:$D$13=$D20,MAX(_xlfn._xlws.FILTER(_xlpm.d,_xlpm.a*_xlpm.b)))</f>
        <v>0.82</v>
      </c>
    </row>
  </sheetData>
  <conditionalFormatting sqref="G2:S1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D1CC-0CFB-044E-AAE1-1B88FE67592C}">
  <dimension ref="A1:S20"/>
  <sheetViews>
    <sheetView workbookViewId="0">
      <pane xSplit="15880" ySplit="2640" topLeftCell="P6" activePane="bottomLeft"/>
      <selection sqref="A1:XFD1048576"/>
      <selection pane="topRight" activeCell="S3" sqref="S3"/>
      <selection pane="bottomLeft" activeCell="B17" sqref="B17:S20"/>
      <selection pane="bottomRight" activeCell="R18" sqref="R18"/>
    </sheetView>
  </sheetViews>
  <sheetFormatPr baseColWidth="10" defaultRowHeight="25" customHeight="1"/>
  <cols>
    <col min="2" max="2" width="7.5" customWidth="1"/>
    <col min="3" max="3" width="8.5" customWidth="1"/>
    <col min="4" max="6" width="7.5" customWidth="1"/>
    <col min="7" max="19" width="8.125" customWidth="1"/>
  </cols>
  <sheetData>
    <row r="1" spans="1:19" ht="25" customHeight="1">
      <c r="A1" t="s">
        <v>0</v>
      </c>
      <c r="B1" t="s">
        <v>10</v>
      </c>
      <c r="C1" t="s">
        <v>1</v>
      </c>
      <c r="D1" t="s">
        <v>2</v>
      </c>
      <c r="E1" t="s">
        <v>11</v>
      </c>
      <c r="F1" t="s">
        <v>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4</v>
      </c>
    </row>
    <row r="2" spans="1:19" ht="25" customHeight="1">
      <c r="A2" t="s">
        <v>26</v>
      </c>
      <c r="B2">
        <v>1</v>
      </c>
      <c r="C2" t="s">
        <v>5</v>
      </c>
      <c r="D2" t="b">
        <v>1</v>
      </c>
      <c r="E2">
        <v>1</v>
      </c>
      <c r="F2" t="s">
        <v>8</v>
      </c>
      <c r="G2" s="1">
        <v>0.89</v>
      </c>
      <c r="H2" s="1">
        <v>0.86</v>
      </c>
      <c r="I2" s="1">
        <v>0.89</v>
      </c>
      <c r="J2" s="1">
        <v>0.9</v>
      </c>
      <c r="K2" s="1">
        <v>0.84</v>
      </c>
      <c r="L2" s="1">
        <v>0.88</v>
      </c>
      <c r="M2" s="1">
        <v>0.9</v>
      </c>
      <c r="N2" s="1">
        <v>0.91</v>
      </c>
      <c r="O2" s="1">
        <v>0.86</v>
      </c>
      <c r="P2" s="1">
        <v>0.92</v>
      </c>
      <c r="Q2" s="1">
        <v>0.86</v>
      </c>
      <c r="R2" s="1">
        <v>0.9</v>
      </c>
      <c r="S2" s="1">
        <f t="shared" ref="S2:S13" si="0">MAX($G2:$R2)</f>
        <v>0.92</v>
      </c>
    </row>
    <row r="3" spans="1:19" ht="25" customHeight="1">
      <c r="A3" t="s">
        <v>26</v>
      </c>
      <c r="B3">
        <v>1</v>
      </c>
      <c r="C3" t="s">
        <v>5</v>
      </c>
      <c r="D3" t="b">
        <v>1</v>
      </c>
      <c r="E3">
        <v>2</v>
      </c>
      <c r="F3" t="s">
        <v>7</v>
      </c>
      <c r="G3" s="1">
        <v>0.94</v>
      </c>
      <c r="H3" s="1">
        <v>0.93</v>
      </c>
      <c r="I3" s="1">
        <v>0.93</v>
      </c>
      <c r="J3" s="1">
        <v>0.92</v>
      </c>
      <c r="K3" s="1">
        <v>0.95</v>
      </c>
      <c r="L3" s="1">
        <v>0.94</v>
      </c>
      <c r="M3" s="1">
        <v>0.95</v>
      </c>
      <c r="N3" s="1">
        <v>0.96</v>
      </c>
      <c r="O3" s="1">
        <v>0.93</v>
      </c>
      <c r="P3" s="1">
        <v>0.94</v>
      </c>
      <c r="Q3" s="1">
        <v>0.92</v>
      </c>
      <c r="R3" s="1">
        <v>0.95</v>
      </c>
      <c r="S3" s="1">
        <f t="shared" si="0"/>
        <v>0.96</v>
      </c>
    </row>
    <row r="4" spans="1:19" ht="25" customHeight="1">
      <c r="A4" t="s">
        <v>26</v>
      </c>
      <c r="B4">
        <v>1</v>
      </c>
      <c r="C4" t="s">
        <v>5</v>
      </c>
      <c r="D4" t="b">
        <v>1</v>
      </c>
      <c r="E4">
        <v>3</v>
      </c>
      <c r="F4" t="s">
        <v>6</v>
      </c>
      <c r="G4" s="1">
        <v>0.9</v>
      </c>
      <c r="H4" s="1">
        <v>0.93</v>
      </c>
      <c r="I4" s="1">
        <v>0.93</v>
      </c>
      <c r="J4" s="1">
        <v>0.93</v>
      </c>
      <c r="K4" s="1">
        <v>0.95</v>
      </c>
      <c r="L4" s="1">
        <v>0.96</v>
      </c>
      <c r="M4" s="1">
        <v>0.95</v>
      </c>
      <c r="N4" s="1">
        <v>0.95</v>
      </c>
      <c r="O4" s="1">
        <v>0.94</v>
      </c>
      <c r="P4" s="1">
        <v>0.94</v>
      </c>
      <c r="Q4" s="1">
        <v>0.93</v>
      </c>
      <c r="R4" s="1">
        <v>0.96</v>
      </c>
      <c r="S4" s="1">
        <f t="shared" si="0"/>
        <v>0.96</v>
      </c>
    </row>
    <row r="5" spans="1:19" ht="25" customHeight="1">
      <c r="A5" t="s">
        <v>26</v>
      </c>
      <c r="B5">
        <v>1</v>
      </c>
      <c r="C5" t="s">
        <v>5</v>
      </c>
      <c r="D5" t="b">
        <v>0</v>
      </c>
      <c r="E5">
        <v>1</v>
      </c>
      <c r="F5" t="s">
        <v>8</v>
      </c>
      <c r="G5" s="1">
        <v>0.88</v>
      </c>
      <c r="H5" s="1">
        <v>0.92</v>
      </c>
      <c r="I5" s="1">
        <v>0.89</v>
      </c>
      <c r="J5" s="1">
        <v>0.91</v>
      </c>
      <c r="K5" s="1">
        <v>0.9</v>
      </c>
      <c r="L5" s="1">
        <v>0.89</v>
      </c>
      <c r="M5" s="1">
        <v>0.9</v>
      </c>
      <c r="N5" s="1">
        <v>0.93</v>
      </c>
      <c r="O5" s="1">
        <v>0.93</v>
      </c>
      <c r="P5" s="1">
        <v>0.91</v>
      </c>
      <c r="Q5" s="1">
        <v>0.87</v>
      </c>
      <c r="R5" s="1">
        <v>0.92</v>
      </c>
      <c r="S5" s="1">
        <f t="shared" si="0"/>
        <v>0.93</v>
      </c>
    </row>
    <row r="6" spans="1:19" ht="25" customHeight="1">
      <c r="A6" t="s">
        <v>26</v>
      </c>
      <c r="B6">
        <v>1</v>
      </c>
      <c r="C6" t="s">
        <v>5</v>
      </c>
      <c r="D6" t="b">
        <v>0</v>
      </c>
      <c r="E6">
        <v>2</v>
      </c>
      <c r="F6" t="s">
        <v>7</v>
      </c>
      <c r="G6" s="1">
        <v>0.93</v>
      </c>
      <c r="H6" s="1">
        <v>0.94</v>
      </c>
      <c r="I6" s="1">
        <v>0.91</v>
      </c>
      <c r="J6" s="1">
        <v>0.95</v>
      </c>
      <c r="K6" s="1">
        <v>0.93</v>
      </c>
      <c r="L6" s="1">
        <v>0.93</v>
      </c>
      <c r="M6" s="1">
        <v>0.95</v>
      </c>
      <c r="N6" s="1">
        <v>0.94</v>
      </c>
      <c r="O6" s="1">
        <v>0.9</v>
      </c>
      <c r="P6" s="1">
        <v>0.94</v>
      </c>
      <c r="Q6" s="1">
        <v>0.91</v>
      </c>
      <c r="R6" s="1">
        <v>0.94</v>
      </c>
      <c r="S6" s="1">
        <f t="shared" si="0"/>
        <v>0.95</v>
      </c>
    </row>
    <row r="7" spans="1:19" ht="25" customHeight="1">
      <c r="A7" t="s">
        <v>26</v>
      </c>
      <c r="B7">
        <v>1</v>
      </c>
      <c r="C7" t="s">
        <v>5</v>
      </c>
      <c r="D7" t="b">
        <v>0</v>
      </c>
      <c r="E7">
        <v>3</v>
      </c>
      <c r="F7" t="s">
        <v>6</v>
      </c>
      <c r="G7" s="1">
        <v>0.92</v>
      </c>
      <c r="H7" s="1">
        <v>0.93</v>
      </c>
      <c r="I7" s="1">
        <v>0.94</v>
      </c>
      <c r="J7" s="1">
        <v>0.95</v>
      </c>
      <c r="K7" s="1">
        <v>0.96</v>
      </c>
      <c r="L7" s="1">
        <v>0.95</v>
      </c>
      <c r="M7" s="1">
        <v>0.94</v>
      </c>
      <c r="N7" s="1">
        <v>0.96</v>
      </c>
      <c r="O7" s="1">
        <v>0.92</v>
      </c>
      <c r="P7" s="1">
        <v>0.93</v>
      </c>
      <c r="Q7" s="1">
        <v>0.93</v>
      </c>
      <c r="R7" s="1">
        <v>0.96</v>
      </c>
      <c r="S7" s="1">
        <f t="shared" si="0"/>
        <v>0.96</v>
      </c>
    </row>
    <row r="8" spans="1:19" ht="25" customHeight="1">
      <c r="A8" t="s">
        <v>26</v>
      </c>
      <c r="B8">
        <v>2</v>
      </c>
      <c r="C8" t="s">
        <v>9</v>
      </c>
      <c r="D8" t="b">
        <v>1</v>
      </c>
      <c r="E8">
        <v>1</v>
      </c>
      <c r="F8" t="s">
        <v>8</v>
      </c>
      <c r="G8" s="1">
        <v>0.72</v>
      </c>
      <c r="H8" s="1">
        <v>0.68</v>
      </c>
      <c r="I8" s="1">
        <v>0.73</v>
      </c>
      <c r="J8" s="1">
        <v>0.71</v>
      </c>
      <c r="K8" s="1">
        <v>0.71</v>
      </c>
      <c r="L8" s="1">
        <v>0.75</v>
      </c>
      <c r="M8" s="1">
        <v>0.75</v>
      </c>
      <c r="N8" s="1">
        <v>0.74</v>
      </c>
      <c r="O8" s="1">
        <v>0.75</v>
      </c>
      <c r="P8" s="1">
        <v>0.67</v>
      </c>
      <c r="Q8" s="1">
        <v>0.73</v>
      </c>
      <c r="R8" s="1">
        <v>0.71</v>
      </c>
      <c r="S8" s="1">
        <f t="shared" si="0"/>
        <v>0.75</v>
      </c>
    </row>
    <row r="9" spans="1:19" ht="25" customHeight="1">
      <c r="A9" t="s">
        <v>26</v>
      </c>
      <c r="B9">
        <v>2</v>
      </c>
      <c r="C9" t="s">
        <v>9</v>
      </c>
      <c r="D9" t="b">
        <v>1</v>
      </c>
      <c r="E9">
        <v>2</v>
      </c>
      <c r="F9" t="s">
        <v>7</v>
      </c>
      <c r="G9" s="1">
        <v>0.78</v>
      </c>
      <c r="H9" s="1">
        <v>0.81</v>
      </c>
      <c r="I9" s="1">
        <v>0.78</v>
      </c>
      <c r="J9" s="1">
        <v>0.81</v>
      </c>
      <c r="K9" s="1">
        <v>0.76</v>
      </c>
      <c r="L9" s="1">
        <v>0.85</v>
      </c>
      <c r="M9" s="1">
        <v>0.81</v>
      </c>
      <c r="N9" s="1">
        <v>0.78</v>
      </c>
      <c r="O9" s="1">
        <v>0.81</v>
      </c>
      <c r="P9" s="1">
        <v>0.77</v>
      </c>
      <c r="Q9" s="1">
        <v>0.8</v>
      </c>
      <c r="R9" s="1">
        <v>0.81</v>
      </c>
      <c r="S9" s="1">
        <f t="shared" si="0"/>
        <v>0.85</v>
      </c>
    </row>
    <row r="10" spans="1:19" ht="25" customHeight="1">
      <c r="A10" t="s">
        <v>26</v>
      </c>
      <c r="B10">
        <v>2</v>
      </c>
      <c r="C10" t="s">
        <v>9</v>
      </c>
      <c r="D10" t="b">
        <v>1</v>
      </c>
      <c r="E10">
        <v>3</v>
      </c>
      <c r="F10" t="s">
        <v>6</v>
      </c>
      <c r="G10" s="1">
        <v>0.77</v>
      </c>
      <c r="H10" s="1">
        <v>0.78</v>
      </c>
      <c r="I10" s="1">
        <v>0.78</v>
      </c>
      <c r="J10" s="1">
        <v>0.78</v>
      </c>
      <c r="K10" s="1">
        <v>0.77</v>
      </c>
      <c r="L10" s="1">
        <v>0.8</v>
      </c>
      <c r="M10" s="1">
        <v>0.78</v>
      </c>
      <c r="N10" s="1">
        <v>0.78</v>
      </c>
      <c r="O10" s="1">
        <v>0.81</v>
      </c>
      <c r="P10" s="1">
        <v>0.79</v>
      </c>
      <c r="Q10" s="1">
        <v>0.8</v>
      </c>
      <c r="R10" s="1">
        <v>0.77</v>
      </c>
      <c r="S10" s="1">
        <f t="shared" si="0"/>
        <v>0.81</v>
      </c>
    </row>
    <row r="11" spans="1:19" ht="25" customHeight="1">
      <c r="A11" t="s">
        <v>26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 s="1">
        <v>0.71</v>
      </c>
      <c r="H11" s="1">
        <v>0.67</v>
      </c>
      <c r="I11" s="1">
        <v>0.7</v>
      </c>
      <c r="J11" s="1">
        <v>0.7</v>
      </c>
      <c r="K11" s="1">
        <v>0.71</v>
      </c>
      <c r="L11" s="1">
        <v>0.76</v>
      </c>
      <c r="M11" s="1">
        <v>0.69</v>
      </c>
      <c r="N11" s="1">
        <v>0.74</v>
      </c>
      <c r="O11" s="1">
        <v>0.76</v>
      </c>
      <c r="P11" s="1">
        <v>0.68</v>
      </c>
      <c r="Q11" s="1">
        <v>0.7</v>
      </c>
      <c r="R11" s="1">
        <v>0.75</v>
      </c>
      <c r="S11" s="1">
        <f t="shared" si="0"/>
        <v>0.76</v>
      </c>
    </row>
    <row r="12" spans="1:19" ht="25" customHeight="1">
      <c r="A12" t="s">
        <v>26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 s="1">
        <v>0.78</v>
      </c>
      <c r="H12" s="1">
        <v>0.78</v>
      </c>
      <c r="I12" s="1">
        <v>0.78</v>
      </c>
      <c r="J12" s="1">
        <v>0.83</v>
      </c>
      <c r="K12" s="1">
        <v>0.75</v>
      </c>
      <c r="L12" s="1">
        <v>0.82</v>
      </c>
      <c r="M12" s="1">
        <v>0.82</v>
      </c>
      <c r="N12" s="1">
        <v>0.77</v>
      </c>
      <c r="O12" s="1">
        <v>0.8</v>
      </c>
      <c r="P12" s="1">
        <v>0.76</v>
      </c>
      <c r="Q12" s="1">
        <v>0.81</v>
      </c>
      <c r="R12" s="1">
        <v>0.79</v>
      </c>
      <c r="S12" s="1">
        <f t="shared" si="0"/>
        <v>0.83</v>
      </c>
    </row>
    <row r="13" spans="1:19" ht="25" customHeight="1">
      <c r="A13" t="s">
        <v>26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 s="1">
        <v>0.78</v>
      </c>
      <c r="H13" s="1">
        <v>0.78</v>
      </c>
      <c r="I13" s="1">
        <v>0.79</v>
      </c>
      <c r="J13" s="1">
        <v>0.77</v>
      </c>
      <c r="K13" s="1">
        <v>0.78</v>
      </c>
      <c r="L13" s="1">
        <v>0.82</v>
      </c>
      <c r="M13" s="1">
        <v>0.78</v>
      </c>
      <c r="N13" s="1">
        <v>0.78</v>
      </c>
      <c r="O13" s="1">
        <v>0.79</v>
      </c>
      <c r="P13" s="1">
        <v>0.77</v>
      </c>
      <c r="Q13" s="1">
        <v>0.8</v>
      </c>
      <c r="R13" s="1">
        <v>0.78</v>
      </c>
      <c r="S13" s="1">
        <f t="shared" si="0"/>
        <v>0.82</v>
      </c>
    </row>
    <row r="16" spans="1:19" ht="25" customHeight="1">
      <c r="B16" t="s">
        <v>10</v>
      </c>
      <c r="C16" t="s">
        <v>1</v>
      </c>
      <c r="D16" t="s">
        <v>13</v>
      </c>
      <c r="E16" t="s">
        <v>11</v>
      </c>
      <c r="F16" t="s">
        <v>12</v>
      </c>
      <c r="G16" t="s">
        <v>14</v>
      </c>
      <c r="H16" t="s">
        <v>15</v>
      </c>
      <c r="I16" t="s">
        <v>16</v>
      </c>
      <c r="J16" t="s">
        <v>17</v>
      </c>
      <c r="K16" t="s">
        <v>18</v>
      </c>
      <c r="L16" t="s">
        <v>19</v>
      </c>
      <c r="M16" t="s">
        <v>20</v>
      </c>
      <c r="N16" t="s">
        <v>21</v>
      </c>
      <c r="O16" t="s">
        <v>22</v>
      </c>
      <c r="P16" t="s">
        <v>23</v>
      </c>
      <c r="Q16" t="s">
        <v>24</v>
      </c>
      <c r="R16" t="s">
        <v>25</v>
      </c>
      <c r="S16" t="s">
        <v>4</v>
      </c>
    </row>
    <row r="17" spans="2:19" ht="25" customHeight="1">
      <c r="B17">
        <v>1</v>
      </c>
      <c r="C17" t="s">
        <v>5</v>
      </c>
      <c r="D17" t="b">
        <v>1</v>
      </c>
      <c r="E17">
        <v>1</v>
      </c>
      <c r="F17" t="s">
        <v>4</v>
      </c>
      <c r="G17" s="1" cm="1">
        <f t="array" ref="G17">_xlfn.LET(_xlpm.d,G$2:G$13,_xlpm.a,$C$2:$C$13=$C17,_xlpm.b,$D$2:$D$13=$D17,MAX(_xlfn._xlws.FILTER(_xlpm.d,_xlpm.a*_xlpm.b)))</f>
        <v>0.94</v>
      </c>
      <c r="H17" s="1" cm="1">
        <f t="array" ref="H17">_xlfn.LET(_xlpm.d,H$2:H$13,_xlpm.a,$C$2:$C$13=$C17,_xlpm.b,$D$2:$D$13=$D17,MAX(_xlfn._xlws.FILTER(_xlpm.d,_xlpm.a*_xlpm.b)))</f>
        <v>0.93</v>
      </c>
      <c r="I17" s="1" cm="1">
        <f t="array" ref="I17">_xlfn.LET(_xlpm.d,I$2:I$13,_xlpm.a,$C$2:$C$13=$C17,_xlpm.b,$D$2:$D$13=$D17,MAX(_xlfn._xlws.FILTER(_xlpm.d,_xlpm.a*_xlpm.b)))</f>
        <v>0.93</v>
      </c>
      <c r="J17" s="1" cm="1">
        <f t="array" ref="J17">_xlfn.LET(_xlpm.d,J$2:J$13,_xlpm.a,$C$2:$C$13=$C17,_xlpm.b,$D$2:$D$13=$D17,MAX(_xlfn._xlws.FILTER(_xlpm.d,_xlpm.a*_xlpm.b)))</f>
        <v>0.93</v>
      </c>
      <c r="K17" s="1" cm="1">
        <f t="array" ref="K17">_xlfn.LET(_xlpm.d,K$2:K$13,_xlpm.a,$C$2:$C$13=$C17,_xlpm.b,$D$2:$D$13=$D17,MAX(_xlfn._xlws.FILTER(_xlpm.d,_xlpm.a*_xlpm.b)))</f>
        <v>0.95</v>
      </c>
      <c r="L17" s="1" cm="1">
        <f t="array" ref="L17">_xlfn.LET(_xlpm.d,L$2:L$13,_xlpm.a,$C$2:$C$13=$C17,_xlpm.b,$D$2:$D$13=$D17,MAX(_xlfn._xlws.FILTER(_xlpm.d,_xlpm.a*_xlpm.b)))</f>
        <v>0.96</v>
      </c>
      <c r="M17" s="1" cm="1">
        <f t="array" ref="M17">_xlfn.LET(_xlpm.d,M$2:M$13,_xlpm.a,$C$2:$C$13=$C17,_xlpm.b,$D$2:$D$13=$D17,MAX(_xlfn._xlws.FILTER(_xlpm.d,_xlpm.a*_xlpm.b)))</f>
        <v>0.95</v>
      </c>
      <c r="N17" s="1" cm="1">
        <f t="array" ref="N17">_xlfn.LET(_xlpm.d,N$2:N$13,_xlpm.a,$C$2:$C$13=$C17,_xlpm.b,$D$2:$D$13=$D17,MAX(_xlfn._xlws.FILTER(_xlpm.d,_xlpm.a*_xlpm.b)))</f>
        <v>0.96</v>
      </c>
      <c r="O17" s="1" cm="1">
        <f t="array" ref="O17">_xlfn.LET(_xlpm.d,O$2:O$13,_xlpm.a,$C$2:$C$13=$C17,_xlpm.b,$D$2:$D$13=$D17,MAX(_xlfn._xlws.FILTER(_xlpm.d,_xlpm.a*_xlpm.b)))</f>
        <v>0.94</v>
      </c>
      <c r="P17" s="1" cm="1">
        <f t="array" ref="P17">_xlfn.LET(_xlpm.d,P$2:P$13,_xlpm.a,$C$2:$C$13=$C17,_xlpm.b,$D$2:$D$13=$D17,MAX(_xlfn._xlws.FILTER(_xlpm.d,_xlpm.a*_xlpm.b)))</f>
        <v>0.94</v>
      </c>
      <c r="Q17" s="1" cm="1">
        <f t="array" ref="Q17">_xlfn.LET(_xlpm.d,Q$2:Q$13,_xlpm.a,$C$2:$C$13=$C17,_xlpm.b,$D$2:$D$13=$D17,MAX(_xlfn._xlws.FILTER(_xlpm.d,_xlpm.a*_xlpm.b)))</f>
        <v>0.93</v>
      </c>
      <c r="R17" s="1" cm="1">
        <f t="array" ref="R17">_xlfn.LET(_xlpm.d,R$2:R$13,_xlpm.a,$C$2:$C$13=$C17,_xlpm.b,$D$2:$D$13=$D17,MAX(_xlfn._xlws.FILTER(_xlpm.d,_xlpm.a*_xlpm.b)))</f>
        <v>0.96</v>
      </c>
      <c r="S17" s="1" cm="1">
        <f t="array" ref="S17">_xlfn.LET(_xlpm.d,S$2:S$13,_xlpm.a,$C$2:$C$13=$C17,_xlpm.b,$D$2:$D$13=$D17,MAX(_xlfn._xlws.FILTER(_xlpm.d,_xlpm.a*_xlpm.b)))</f>
        <v>0.96</v>
      </c>
    </row>
    <row r="18" spans="2:19" ht="25" customHeight="1">
      <c r="B18">
        <v>1</v>
      </c>
      <c r="C18" t="s">
        <v>5</v>
      </c>
      <c r="D18" t="b">
        <v>0</v>
      </c>
      <c r="E18">
        <v>1</v>
      </c>
      <c r="F18" t="s">
        <v>4</v>
      </c>
      <c r="G18" s="1" cm="1">
        <f t="array" ref="G18">_xlfn.LET(_xlpm.d,G$2:G$13,_xlpm.a,$C$2:$C$13=$C18,_xlpm.b,$D$2:$D$13=$D18,MAX(_xlfn._xlws.FILTER(_xlpm.d,_xlpm.a*_xlpm.b)))</f>
        <v>0.93</v>
      </c>
      <c r="H18" s="1" cm="1">
        <f t="array" ref="H18">_xlfn.LET(_xlpm.d,H$2:H$13,_xlpm.a,$C$2:$C$13=$C18,_xlpm.b,$D$2:$D$13=$D18,MAX(_xlfn._xlws.FILTER(_xlpm.d,_xlpm.a*_xlpm.b)))</f>
        <v>0.94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0.95</v>
      </c>
      <c r="K18" s="1" cm="1">
        <f t="array" ref="K18">_xlfn.LET(_xlpm.d,K$2:K$13,_xlpm.a,$C$2:$C$13=$C18,_xlpm.b,$D$2:$D$13=$D18,MAX(_xlfn._xlws.FILTER(_xlpm.d,_xlpm.a*_xlpm.b)))</f>
        <v>0.96</v>
      </c>
      <c r="L18" s="1" cm="1">
        <f t="array" ref="L18">_xlfn.LET(_xlpm.d,L$2:L$13,_xlpm.a,$C$2:$C$13=$C18,_xlpm.b,$D$2:$D$13=$D18,MAX(_xlfn._xlws.FILTER(_xlpm.d,_xlpm.a*_xlpm.b)))</f>
        <v>0.95</v>
      </c>
      <c r="M18" s="1" cm="1">
        <f t="array" ref="M18">_xlfn.LET(_xlpm.d,M$2:M$13,_xlpm.a,$C$2:$C$13=$C18,_xlpm.b,$D$2:$D$13=$D18,MAX(_xlfn._xlws.FILTER(_xlpm.d,_xlpm.a*_xlpm.b)))</f>
        <v>0.95</v>
      </c>
      <c r="N18" s="1" cm="1">
        <f t="array" ref="N18">_xlfn.LET(_xlpm.d,N$2:N$13,_xlpm.a,$C$2:$C$13=$C18,_xlpm.b,$D$2:$D$13=$D18,MAX(_xlfn._xlws.FILTER(_xlpm.d,_xlpm.a*_xlpm.b)))</f>
        <v>0.96</v>
      </c>
      <c r="O18" s="1" cm="1">
        <f t="array" ref="O18">_xlfn.LET(_xlpm.d,O$2:O$13,_xlpm.a,$C$2:$C$13=$C18,_xlpm.b,$D$2:$D$13=$D18,MAX(_xlfn._xlws.FILTER(_xlpm.d,_xlpm.a*_xlpm.b)))</f>
        <v>0.93</v>
      </c>
      <c r="P18" s="1" cm="1">
        <f t="array" ref="P18">_xlfn.LET(_xlpm.d,P$2:P$13,_xlpm.a,$C$2:$C$13=$C18,_xlpm.b,$D$2:$D$13=$D18,MAX(_xlfn._xlws.FILTER(_xlpm.d,_xlpm.a*_xlpm.b)))</f>
        <v>0.94</v>
      </c>
      <c r="Q18" s="1" cm="1">
        <f t="array" ref="Q18">_xlfn.LET(_xlpm.d,Q$2:Q$13,_xlpm.a,$C$2:$C$13=$C18,_xlpm.b,$D$2:$D$13=$D18,MAX(_xlfn._xlws.FILTER(_xlpm.d,_xlpm.a*_xlpm.b)))</f>
        <v>0.93</v>
      </c>
      <c r="R18" s="1" cm="1">
        <f t="array" ref="R18">_xlfn.LET(_xlpm.d,R$2:R$13,_xlpm.a,$C$2:$C$13=$C18,_xlpm.b,$D$2:$D$13=$D18,MAX(_xlfn._xlws.FILTER(_xlpm.d,_xlpm.a*_xlpm.b)))</f>
        <v>0.96</v>
      </c>
      <c r="S18" s="1" cm="1">
        <f t="array" ref="S18">_xlfn.LET(_xlpm.d,S$2:S$13,_xlpm.a,$C$2:$C$13=$C18,_xlpm.b,$D$2:$D$13=$D18,MAX(_xlfn._xlws.FILTER(_xlpm.d,_xlpm.a*_xlpm.b)))</f>
        <v>0.96</v>
      </c>
    </row>
    <row r="19" spans="2:19" ht="25" customHeight="1">
      <c r="B19">
        <v>2</v>
      </c>
      <c r="C19" t="s">
        <v>9</v>
      </c>
      <c r="D19" t="b">
        <v>1</v>
      </c>
      <c r="E19">
        <v>1</v>
      </c>
      <c r="F19" t="s">
        <v>4</v>
      </c>
      <c r="G19" s="1" cm="1">
        <f t="array" ref="G19">_xlfn.LET(_xlpm.d,G$2:G$13,_xlpm.a,$C$2:$C$13=$C19,_xlpm.b,$D$2:$D$13=$D19,MAX(_xlfn._xlws.FILTER(_xlpm.d,_xlpm.a*_xlpm.b)))</f>
        <v>0.78</v>
      </c>
      <c r="H19" s="1" cm="1">
        <f t="array" ref="H19">_xlfn.LET(_xlpm.d,H$2:H$13,_xlpm.a,$C$2:$C$13=$C19,_xlpm.b,$D$2:$D$13=$D19,MAX(_xlfn._xlws.FILTER(_xlpm.d,_xlpm.a*_xlpm.b)))</f>
        <v>0.81</v>
      </c>
      <c r="I19" s="1" cm="1">
        <f t="array" ref="I19">_xlfn.LET(_xlpm.d,I$2:I$13,_xlpm.a,$C$2:$C$13=$C19,_xlpm.b,$D$2:$D$13=$D19,MAX(_xlfn._xlws.FILTER(_xlpm.d,_xlpm.a*_xlpm.b)))</f>
        <v>0.78</v>
      </c>
      <c r="J19" s="1" cm="1">
        <f t="array" ref="J19">_xlfn.LET(_xlpm.d,J$2:J$13,_xlpm.a,$C$2:$C$13=$C19,_xlpm.b,$D$2:$D$13=$D19,MAX(_xlfn._xlws.FILTER(_xlpm.d,_xlpm.a*_xlpm.b)))</f>
        <v>0.81</v>
      </c>
      <c r="K19" s="1" cm="1">
        <f t="array" ref="K19">_xlfn.LET(_xlpm.d,K$2:K$13,_xlpm.a,$C$2:$C$13=$C19,_xlpm.b,$D$2:$D$13=$D19,MAX(_xlfn._xlws.FILTER(_xlpm.d,_xlpm.a*_xlpm.b)))</f>
        <v>0.77</v>
      </c>
      <c r="L19" s="1" cm="1">
        <f t="array" ref="L19">_xlfn.LET(_xlpm.d,L$2:L$13,_xlpm.a,$C$2:$C$13=$C19,_xlpm.b,$D$2:$D$13=$D19,MAX(_xlfn._xlws.FILTER(_xlpm.d,_xlpm.a*_xlpm.b)))</f>
        <v>0.85</v>
      </c>
      <c r="M19" s="1" cm="1">
        <f t="array" ref="M19">_xlfn.LET(_xlpm.d,M$2:M$13,_xlpm.a,$C$2:$C$13=$C19,_xlpm.b,$D$2:$D$13=$D19,MAX(_xlfn._xlws.FILTER(_xlpm.d,_xlpm.a*_xlpm.b)))</f>
        <v>0.81</v>
      </c>
      <c r="N19" s="1" cm="1">
        <f t="array" ref="N19">_xlfn.LET(_xlpm.d,N$2:N$13,_xlpm.a,$C$2:$C$13=$C19,_xlpm.b,$D$2:$D$13=$D19,MAX(_xlfn._xlws.FILTER(_xlpm.d,_xlpm.a*_xlpm.b)))</f>
        <v>0.78</v>
      </c>
      <c r="O19" s="1" cm="1">
        <f t="array" ref="O19">_xlfn.LET(_xlpm.d,O$2:O$13,_xlpm.a,$C$2:$C$13=$C19,_xlpm.b,$D$2:$D$13=$D19,MAX(_xlfn._xlws.FILTER(_xlpm.d,_xlpm.a*_xlpm.b)))</f>
        <v>0.81</v>
      </c>
      <c r="P19" s="1" cm="1">
        <f t="array" ref="P19">_xlfn.LET(_xlpm.d,P$2:P$13,_xlpm.a,$C$2:$C$13=$C19,_xlpm.b,$D$2:$D$13=$D19,MAX(_xlfn._xlws.FILTER(_xlpm.d,_xlpm.a*_xlpm.b)))</f>
        <v>0.79</v>
      </c>
      <c r="Q19" s="1" cm="1">
        <f t="array" ref="Q19">_xlfn.LET(_xlpm.d,Q$2:Q$13,_xlpm.a,$C$2:$C$13=$C19,_xlpm.b,$D$2:$D$13=$D19,MAX(_xlfn._xlws.FILTER(_xlpm.d,_xlpm.a*_xlpm.b)))</f>
        <v>0.8</v>
      </c>
      <c r="R19" s="1" cm="1">
        <f t="array" ref="R19">_xlfn.LET(_xlpm.d,R$2:R$13,_xlpm.a,$C$2:$C$13=$C19,_xlpm.b,$D$2:$D$13=$D19,MAX(_xlfn._xlws.FILTER(_xlpm.d,_xlpm.a*_xlpm.b)))</f>
        <v>0.81</v>
      </c>
      <c r="S19" s="1" cm="1">
        <f t="array" ref="S19">_xlfn.LET(_xlpm.d,S$2:S$13,_xlpm.a,$C$2:$C$13=$C19,_xlpm.b,$D$2:$D$13=$D19,MAX(_xlfn._xlws.FILTER(_xlpm.d,_xlpm.a*_xlpm.b)))</f>
        <v>0.85</v>
      </c>
    </row>
    <row r="20" spans="2:19" ht="25" customHeight="1">
      <c r="B20">
        <v>2</v>
      </c>
      <c r="C20" t="s">
        <v>9</v>
      </c>
      <c r="D20" t="b">
        <v>0</v>
      </c>
      <c r="E20">
        <v>1</v>
      </c>
      <c r="F20" t="s">
        <v>4</v>
      </c>
      <c r="G20" s="1" cm="1">
        <f t="array" ref="G20">_xlfn.LET(_xlpm.d,G$2:G$13,_xlpm.a,$C$2:$C$13=$C20,_xlpm.b,$D$2:$D$13=$D20,MAX(_xlfn._xlws.FILTER(_xlpm.d,_xlpm.a*_xlpm.b)))</f>
        <v>0.78</v>
      </c>
      <c r="H20" s="1" cm="1">
        <f t="array" ref="H20">_xlfn.LET(_xlpm.d,H$2:H$13,_xlpm.a,$C$2:$C$13=$C20,_xlpm.b,$D$2:$D$13=$D20,MAX(_xlfn._xlws.FILTER(_xlpm.d,_xlpm.a*_xlpm.b)))</f>
        <v>0.78</v>
      </c>
      <c r="I20" s="1" cm="1">
        <f t="array" ref="I20">_xlfn.LET(_xlpm.d,I$2:I$13,_xlpm.a,$C$2:$C$13=$C20,_xlpm.b,$D$2:$D$13=$D20,MAX(_xlfn._xlws.FILTER(_xlpm.d,_xlpm.a*_xlpm.b)))</f>
        <v>0.79</v>
      </c>
      <c r="J20" s="1" cm="1">
        <f t="array" ref="J20">_xlfn.LET(_xlpm.d,J$2:J$13,_xlpm.a,$C$2:$C$13=$C20,_xlpm.b,$D$2:$D$13=$D20,MAX(_xlfn._xlws.FILTER(_xlpm.d,_xlpm.a*_xlpm.b)))</f>
        <v>0.83</v>
      </c>
      <c r="K20" s="1" cm="1">
        <f t="array" ref="K20">_xlfn.LET(_xlpm.d,K$2:K$13,_xlpm.a,$C$2:$C$13=$C20,_xlpm.b,$D$2:$D$13=$D20,MAX(_xlfn._xlws.FILTER(_xlpm.d,_xlpm.a*_xlpm.b)))</f>
        <v>0.78</v>
      </c>
      <c r="L20" s="1" cm="1">
        <f t="array" ref="L20">_xlfn.LET(_xlpm.d,L$2:L$13,_xlpm.a,$C$2:$C$13=$C20,_xlpm.b,$D$2:$D$13=$D20,MAX(_xlfn._xlws.FILTER(_xlpm.d,_xlpm.a*_xlpm.b)))</f>
        <v>0.82</v>
      </c>
      <c r="M20" s="1" cm="1">
        <f t="array" ref="M20">_xlfn.LET(_xlpm.d,M$2:M$13,_xlpm.a,$C$2:$C$13=$C20,_xlpm.b,$D$2:$D$13=$D20,MAX(_xlfn._xlws.FILTER(_xlpm.d,_xlpm.a*_xlpm.b)))</f>
        <v>0.82</v>
      </c>
      <c r="N20" s="1" cm="1">
        <f t="array" ref="N20">_xlfn.LET(_xlpm.d,N$2:N$13,_xlpm.a,$C$2:$C$13=$C20,_xlpm.b,$D$2:$D$13=$D20,MAX(_xlfn._xlws.FILTER(_xlpm.d,_xlpm.a*_xlpm.b)))</f>
        <v>0.78</v>
      </c>
      <c r="O20" s="1" cm="1">
        <f t="array" ref="O20">_xlfn.LET(_xlpm.d,O$2:O$13,_xlpm.a,$C$2:$C$13=$C20,_xlpm.b,$D$2:$D$13=$D20,MAX(_xlfn._xlws.FILTER(_xlpm.d,_xlpm.a*_xlpm.b)))</f>
        <v>0.8</v>
      </c>
      <c r="P20" s="1" cm="1">
        <f t="array" ref="P20">_xlfn.LET(_xlpm.d,P$2:P$13,_xlpm.a,$C$2:$C$13=$C20,_xlpm.b,$D$2:$D$13=$D20,MAX(_xlfn._xlws.FILTER(_xlpm.d,_xlpm.a*_xlpm.b)))</f>
        <v>0.77</v>
      </c>
      <c r="Q20" s="1" cm="1">
        <f t="array" ref="Q20">_xlfn.LET(_xlpm.d,Q$2:Q$13,_xlpm.a,$C$2:$C$13=$C20,_xlpm.b,$D$2:$D$13=$D20,MAX(_xlfn._xlws.FILTER(_xlpm.d,_xlpm.a*_xlpm.b)))</f>
        <v>0.81</v>
      </c>
      <c r="R20" s="1" cm="1">
        <f t="array" ref="R20">_xlfn.LET(_xlpm.d,R$2:R$13,_xlpm.a,$C$2:$C$13=$C20,_xlpm.b,$D$2:$D$13=$D20,MAX(_xlfn._xlws.FILTER(_xlpm.d,_xlpm.a*_xlpm.b)))</f>
        <v>0.79</v>
      </c>
      <c r="S20" s="1" cm="1">
        <f t="array" ref="S20">_xlfn.LET(_xlpm.d,S$2:S$13,_xlpm.a,$C$2:$C$13=$C20,_xlpm.b,$D$2:$D$13=$D20,MAX(_xlfn._xlws.FILTER(_xlpm.d,_xlpm.a*_xlpm.b)))</f>
        <v>0.83</v>
      </c>
    </row>
  </sheetData>
  <conditionalFormatting sqref="G2:S1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71C5-3155-1048-A4CF-B91AF363BA1E}">
  <dimension ref="A1:S20"/>
  <sheetViews>
    <sheetView workbookViewId="0">
      <pane xSplit="11160" ySplit="2640" topLeftCell="O9" activePane="bottomLeft"/>
      <selection sqref="A1:XFD1048576"/>
      <selection pane="topRight" activeCell="P3" sqref="P3"/>
      <selection pane="bottomLeft" activeCell="B17" sqref="B17:S20"/>
      <selection pane="bottomRight" activeCell="P18" sqref="P18"/>
    </sheetView>
  </sheetViews>
  <sheetFormatPr baseColWidth="10" defaultRowHeight="25" customHeight="1"/>
  <cols>
    <col min="2" max="2" width="8.875" customWidth="1"/>
    <col min="4" max="4" width="9.125" customWidth="1"/>
    <col min="5" max="5" width="10" customWidth="1"/>
    <col min="7" max="19" width="8.75" customWidth="1"/>
  </cols>
  <sheetData>
    <row r="1" spans="1:19" ht="25" customHeight="1">
      <c r="A1" t="s">
        <v>0</v>
      </c>
      <c r="B1" t="s">
        <v>10</v>
      </c>
      <c r="C1" t="s">
        <v>1</v>
      </c>
      <c r="D1" t="s">
        <v>2</v>
      </c>
      <c r="E1" t="s">
        <v>11</v>
      </c>
      <c r="F1" t="s">
        <v>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4</v>
      </c>
    </row>
    <row r="2" spans="1:19" ht="25" customHeight="1">
      <c r="A2" t="s">
        <v>26</v>
      </c>
      <c r="B2">
        <v>1</v>
      </c>
      <c r="C2" t="s">
        <v>5</v>
      </c>
      <c r="D2" t="b">
        <v>1</v>
      </c>
      <c r="E2">
        <v>1</v>
      </c>
      <c r="F2" t="s">
        <v>8</v>
      </c>
      <c r="G2" s="1">
        <v>0.9</v>
      </c>
      <c r="H2" s="1">
        <v>0.89</v>
      </c>
      <c r="I2" s="1">
        <v>0.91</v>
      </c>
      <c r="J2" s="1">
        <v>0.85</v>
      </c>
      <c r="K2" s="1">
        <v>0.89</v>
      </c>
      <c r="L2" s="1">
        <v>0.89</v>
      </c>
      <c r="M2" s="1">
        <v>0.89</v>
      </c>
      <c r="N2" s="1">
        <v>0.89</v>
      </c>
      <c r="O2" s="1">
        <v>0.85</v>
      </c>
      <c r="P2" s="1">
        <v>0.93</v>
      </c>
      <c r="Q2" s="1">
        <v>0.9</v>
      </c>
      <c r="R2" s="1">
        <v>0.87</v>
      </c>
      <c r="S2" s="1">
        <f t="shared" ref="S2:S13" si="0">MAX($G2:$R2)</f>
        <v>0.93</v>
      </c>
    </row>
    <row r="3" spans="1:19" ht="25" customHeight="1">
      <c r="A3" t="s">
        <v>26</v>
      </c>
      <c r="B3">
        <v>1</v>
      </c>
      <c r="C3" t="s">
        <v>5</v>
      </c>
      <c r="D3" t="b">
        <v>1</v>
      </c>
      <c r="E3">
        <v>2</v>
      </c>
      <c r="F3" t="s">
        <v>7</v>
      </c>
      <c r="G3" s="1">
        <v>0.9</v>
      </c>
      <c r="H3" s="1">
        <v>0.91</v>
      </c>
      <c r="I3" s="1">
        <v>0.94</v>
      </c>
      <c r="J3" s="1">
        <v>0.9</v>
      </c>
      <c r="K3" s="1">
        <v>0.91</v>
      </c>
      <c r="L3" s="1">
        <v>0.9</v>
      </c>
      <c r="M3" s="1">
        <v>0.93</v>
      </c>
      <c r="N3" s="1">
        <v>0.94</v>
      </c>
      <c r="O3" s="1">
        <v>0.93</v>
      </c>
      <c r="P3" s="1">
        <v>0.96</v>
      </c>
      <c r="Q3" s="1">
        <v>0.94</v>
      </c>
      <c r="R3" s="1">
        <v>0.89</v>
      </c>
      <c r="S3" s="1">
        <f t="shared" si="0"/>
        <v>0.96</v>
      </c>
    </row>
    <row r="4" spans="1:19" ht="25" customHeight="1">
      <c r="A4" t="s">
        <v>26</v>
      </c>
      <c r="B4">
        <v>1</v>
      </c>
      <c r="C4" t="s">
        <v>5</v>
      </c>
      <c r="D4" t="b">
        <v>1</v>
      </c>
      <c r="E4">
        <v>3</v>
      </c>
      <c r="F4" t="s">
        <v>6</v>
      </c>
      <c r="G4" s="1">
        <v>0.9</v>
      </c>
      <c r="H4" s="1">
        <v>0.95</v>
      </c>
      <c r="I4" s="1">
        <v>0.92</v>
      </c>
      <c r="J4" s="1">
        <v>0.93</v>
      </c>
      <c r="K4" s="1">
        <v>0.95</v>
      </c>
      <c r="L4" s="1">
        <v>0.93</v>
      </c>
      <c r="M4" s="1">
        <v>0.91</v>
      </c>
      <c r="N4" s="1">
        <v>0.92</v>
      </c>
      <c r="O4" s="1">
        <v>0.92</v>
      </c>
      <c r="P4" s="1">
        <v>0.96</v>
      </c>
      <c r="Q4" s="1">
        <v>0.97</v>
      </c>
      <c r="R4" s="1">
        <v>0.91</v>
      </c>
      <c r="S4" s="1">
        <f t="shared" si="0"/>
        <v>0.97</v>
      </c>
    </row>
    <row r="5" spans="1:19" ht="25" customHeight="1">
      <c r="A5" t="s">
        <v>26</v>
      </c>
      <c r="B5">
        <v>1</v>
      </c>
      <c r="C5" t="s">
        <v>5</v>
      </c>
      <c r="D5" t="b">
        <v>0</v>
      </c>
      <c r="E5">
        <v>1</v>
      </c>
      <c r="F5" t="s">
        <v>8</v>
      </c>
      <c r="G5" s="1">
        <v>0.87</v>
      </c>
      <c r="H5" s="1">
        <v>0.89</v>
      </c>
      <c r="I5" s="1">
        <v>0.91</v>
      </c>
      <c r="J5" s="1">
        <v>0.91</v>
      </c>
      <c r="K5" s="1">
        <v>0.84</v>
      </c>
      <c r="L5" s="1">
        <v>0.87</v>
      </c>
      <c r="M5" s="1">
        <v>0.9</v>
      </c>
      <c r="N5" s="1">
        <v>0.84</v>
      </c>
      <c r="O5" s="1">
        <v>0.88</v>
      </c>
      <c r="P5" s="1">
        <v>0.89</v>
      </c>
      <c r="Q5" s="1">
        <v>0.86</v>
      </c>
      <c r="R5" s="1">
        <v>0.78</v>
      </c>
      <c r="S5" s="1">
        <f t="shared" si="0"/>
        <v>0.91</v>
      </c>
    </row>
    <row r="6" spans="1:19" ht="25" customHeight="1">
      <c r="A6" t="s">
        <v>26</v>
      </c>
      <c r="B6">
        <v>1</v>
      </c>
      <c r="C6" t="s">
        <v>5</v>
      </c>
      <c r="D6" t="b">
        <v>0</v>
      </c>
      <c r="E6">
        <v>2</v>
      </c>
      <c r="F6" t="s">
        <v>7</v>
      </c>
      <c r="G6" s="1">
        <v>0.92</v>
      </c>
      <c r="H6" s="1">
        <v>0.91</v>
      </c>
      <c r="I6" s="1">
        <v>0.89</v>
      </c>
      <c r="J6" s="1">
        <v>0.91</v>
      </c>
      <c r="K6" s="1">
        <v>0.91</v>
      </c>
      <c r="L6" s="1">
        <v>0.91</v>
      </c>
      <c r="M6" s="1">
        <v>0.92</v>
      </c>
      <c r="N6" s="1">
        <v>0.94</v>
      </c>
      <c r="O6" s="1">
        <v>0.93</v>
      </c>
      <c r="P6" s="1">
        <v>0.94</v>
      </c>
      <c r="Q6" s="1">
        <v>0.93</v>
      </c>
      <c r="R6" s="1">
        <v>0.89</v>
      </c>
      <c r="S6" s="1">
        <f t="shared" si="0"/>
        <v>0.94</v>
      </c>
    </row>
    <row r="7" spans="1:19" ht="25" customHeight="1">
      <c r="A7" t="s">
        <v>26</v>
      </c>
      <c r="B7">
        <v>1</v>
      </c>
      <c r="C7" t="s">
        <v>5</v>
      </c>
      <c r="D7" t="b">
        <v>0</v>
      </c>
      <c r="E7">
        <v>3</v>
      </c>
      <c r="F7" t="s">
        <v>6</v>
      </c>
      <c r="G7" s="1">
        <v>0.92</v>
      </c>
      <c r="H7" s="1">
        <v>0.91</v>
      </c>
      <c r="I7" s="1">
        <v>0.94</v>
      </c>
      <c r="J7" s="1">
        <v>0.94</v>
      </c>
      <c r="K7" s="1">
        <v>0.95</v>
      </c>
      <c r="L7" s="1">
        <v>0.93</v>
      </c>
      <c r="M7" s="1">
        <v>0.92</v>
      </c>
      <c r="N7" s="1">
        <v>0.91</v>
      </c>
      <c r="O7" s="1">
        <v>0.94</v>
      </c>
      <c r="P7" s="1">
        <v>0.97</v>
      </c>
      <c r="Q7" s="1">
        <v>0.97</v>
      </c>
      <c r="R7" s="1">
        <v>0.92</v>
      </c>
      <c r="S7" s="1">
        <f t="shared" si="0"/>
        <v>0.97</v>
      </c>
    </row>
    <row r="8" spans="1:19" ht="25" customHeight="1">
      <c r="A8" t="s">
        <v>26</v>
      </c>
      <c r="B8">
        <v>2</v>
      </c>
      <c r="C8" t="s">
        <v>9</v>
      </c>
      <c r="D8" t="b">
        <v>1</v>
      </c>
      <c r="E8">
        <v>1</v>
      </c>
      <c r="F8" t="s">
        <v>8</v>
      </c>
      <c r="G8" s="1">
        <v>0.69</v>
      </c>
      <c r="H8" s="1">
        <v>0.7</v>
      </c>
      <c r="I8" s="1">
        <v>0.74</v>
      </c>
      <c r="J8" s="1">
        <v>0.72</v>
      </c>
      <c r="K8" s="1">
        <v>0.69</v>
      </c>
      <c r="L8" s="1">
        <v>0.68</v>
      </c>
      <c r="M8" s="1">
        <v>0.7</v>
      </c>
      <c r="N8" s="1">
        <v>0.72</v>
      </c>
      <c r="O8" s="1">
        <v>0.74</v>
      </c>
      <c r="P8" s="1">
        <v>0.68</v>
      </c>
      <c r="Q8" s="1">
        <v>0.68</v>
      </c>
      <c r="R8" s="1">
        <v>0.67</v>
      </c>
      <c r="S8" s="1">
        <f t="shared" si="0"/>
        <v>0.74</v>
      </c>
    </row>
    <row r="9" spans="1:19" ht="25" customHeight="1">
      <c r="A9" t="s">
        <v>26</v>
      </c>
      <c r="B9">
        <v>2</v>
      </c>
      <c r="C9" t="s">
        <v>9</v>
      </c>
      <c r="D9" t="b">
        <v>1</v>
      </c>
      <c r="E9">
        <v>2</v>
      </c>
      <c r="F9" t="s">
        <v>7</v>
      </c>
      <c r="G9" s="1">
        <v>0.77</v>
      </c>
      <c r="H9" s="1">
        <v>0.78</v>
      </c>
      <c r="I9" s="1">
        <v>0.76</v>
      </c>
      <c r="J9" s="1">
        <v>0.81</v>
      </c>
      <c r="K9" s="1">
        <v>0.8</v>
      </c>
      <c r="L9" s="1">
        <v>0.79</v>
      </c>
      <c r="M9" s="1">
        <v>0.78</v>
      </c>
      <c r="N9" s="1">
        <v>0.81</v>
      </c>
      <c r="O9" s="1">
        <v>0.76</v>
      </c>
      <c r="P9" s="1">
        <v>0.8</v>
      </c>
      <c r="Q9" s="1">
        <v>0.74</v>
      </c>
      <c r="R9" s="1">
        <v>0.77</v>
      </c>
      <c r="S9" s="1">
        <f t="shared" si="0"/>
        <v>0.81</v>
      </c>
    </row>
    <row r="10" spans="1:19" ht="25" customHeight="1">
      <c r="A10" t="s">
        <v>26</v>
      </c>
      <c r="B10">
        <v>2</v>
      </c>
      <c r="C10" t="s">
        <v>9</v>
      </c>
      <c r="D10" t="b">
        <v>1</v>
      </c>
      <c r="E10">
        <v>3</v>
      </c>
      <c r="F10" t="s">
        <v>6</v>
      </c>
      <c r="G10" s="1">
        <v>0.78</v>
      </c>
      <c r="H10" s="1">
        <v>0.76</v>
      </c>
      <c r="I10" s="1">
        <v>0.74</v>
      </c>
      <c r="J10" s="1">
        <v>0.79</v>
      </c>
      <c r="K10" s="1">
        <v>0.78</v>
      </c>
      <c r="L10" s="1">
        <v>0.73</v>
      </c>
      <c r="M10" s="1">
        <v>0.76</v>
      </c>
      <c r="N10" s="1">
        <v>0.74</v>
      </c>
      <c r="O10" s="1">
        <v>0.69</v>
      </c>
      <c r="P10" s="1">
        <v>0.79</v>
      </c>
      <c r="Q10" s="1">
        <v>0.74</v>
      </c>
      <c r="R10" s="1">
        <v>0.77</v>
      </c>
      <c r="S10" s="1">
        <f t="shared" si="0"/>
        <v>0.79</v>
      </c>
    </row>
    <row r="11" spans="1:19" ht="25" customHeight="1">
      <c r="A11" t="s">
        <v>26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 s="1">
        <v>0.71</v>
      </c>
      <c r="H11" s="1">
        <v>0.69</v>
      </c>
      <c r="I11" s="1">
        <v>0.67</v>
      </c>
      <c r="J11" s="1">
        <v>0.68</v>
      </c>
      <c r="K11" s="1">
        <v>0.71</v>
      </c>
      <c r="L11" s="1">
        <v>0.69</v>
      </c>
      <c r="M11" s="1">
        <v>0.72</v>
      </c>
      <c r="N11" s="1">
        <v>0.69</v>
      </c>
      <c r="O11" s="1">
        <v>0.66</v>
      </c>
      <c r="P11" s="1">
        <v>0.68</v>
      </c>
      <c r="Q11" s="1">
        <v>0.71</v>
      </c>
      <c r="R11" s="1">
        <v>0.76</v>
      </c>
      <c r="S11" s="1">
        <f t="shared" si="0"/>
        <v>0.76</v>
      </c>
    </row>
    <row r="12" spans="1:19" ht="25" customHeight="1">
      <c r="A12" t="s">
        <v>26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 s="1">
        <v>0.77</v>
      </c>
      <c r="H12" s="1">
        <v>0.74</v>
      </c>
      <c r="I12" s="1">
        <v>0.76</v>
      </c>
      <c r="J12" s="1">
        <v>0.82</v>
      </c>
      <c r="K12" s="1">
        <v>0.76</v>
      </c>
      <c r="L12" s="1">
        <v>0.77</v>
      </c>
      <c r="M12" s="1">
        <v>0.8</v>
      </c>
      <c r="N12" s="1">
        <v>0.8</v>
      </c>
      <c r="O12" s="1">
        <v>0.73</v>
      </c>
      <c r="P12" s="1">
        <v>0.81</v>
      </c>
      <c r="Q12" s="1">
        <v>0.73</v>
      </c>
      <c r="R12" s="1">
        <v>0.81</v>
      </c>
      <c r="S12" s="1">
        <f t="shared" si="0"/>
        <v>0.82</v>
      </c>
    </row>
    <row r="13" spans="1:19" ht="25" customHeight="1">
      <c r="A13" t="s">
        <v>26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 s="1">
        <v>0.78</v>
      </c>
      <c r="H13" s="1">
        <v>0.78</v>
      </c>
      <c r="I13" s="1">
        <v>0.72</v>
      </c>
      <c r="J13" s="1">
        <v>0.79</v>
      </c>
      <c r="K13" s="1">
        <v>0.78</v>
      </c>
      <c r="L13" s="1">
        <v>0.76</v>
      </c>
      <c r="M13" s="1">
        <v>0.79</v>
      </c>
      <c r="N13" s="1">
        <v>0.73</v>
      </c>
      <c r="O13" s="1">
        <v>0.75</v>
      </c>
      <c r="P13" s="1">
        <v>0.78</v>
      </c>
      <c r="Q13" s="1">
        <v>0.76</v>
      </c>
      <c r="R13" s="1">
        <v>0.76</v>
      </c>
      <c r="S13" s="1">
        <f t="shared" si="0"/>
        <v>0.79</v>
      </c>
    </row>
    <row r="16" spans="1:19" ht="25" customHeight="1">
      <c r="B16" t="s">
        <v>10</v>
      </c>
      <c r="C16" t="s">
        <v>1</v>
      </c>
      <c r="D16" t="s">
        <v>13</v>
      </c>
      <c r="E16" t="s">
        <v>11</v>
      </c>
      <c r="F16" t="s">
        <v>12</v>
      </c>
      <c r="G16" t="s">
        <v>14</v>
      </c>
      <c r="H16" t="s">
        <v>15</v>
      </c>
      <c r="I16" t="s">
        <v>16</v>
      </c>
      <c r="J16" t="s">
        <v>17</v>
      </c>
      <c r="K16" t="s">
        <v>18</v>
      </c>
      <c r="L16" t="s">
        <v>19</v>
      </c>
      <c r="M16" t="s">
        <v>20</v>
      </c>
      <c r="N16" t="s">
        <v>21</v>
      </c>
      <c r="O16" t="s">
        <v>22</v>
      </c>
      <c r="P16" t="s">
        <v>23</v>
      </c>
      <c r="Q16" t="s">
        <v>24</v>
      </c>
      <c r="R16" t="s">
        <v>25</v>
      </c>
      <c r="S16" t="s">
        <v>4</v>
      </c>
    </row>
    <row r="17" spans="2:19" ht="25" customHeight="1">
      <c r="B17">
        <v>1</v>
      </c>
      <c r="C17" t="s">
        <v>5</v>
      </c>
      <c r="D17" t="b">
        <v>1</v>
      </c>
      <c r="E17">
        <v>1</v>
      </c>
      <c r="F17" t="s">
        <v>4</v>
      </c>
      <c r="G17" s="1" cm="1">
        <f t="array" ref="G17">_xlfn.LET(_xlpm.d,G$2:G$13,_xlpm.a,$C$2:$C$13=$C17,_xlpm.b,$D$2:$D$13=$D17,MAX(_xlfn._xlws.FILTER(_xlpm.d,_xlpm.a*_xlpm.b)))</f>
        <v>0.9</v>
      </c>
      <c r="H17" s="1" cm="1">
        <f t="array" ref="H17">_xlfn.LET(_xlpm.d,H$2:H$13,_xlpm.a,$C$2:$C$13=$C17,_xlpm.b,$D$2:$D$13=$D17,MAX(_xlfn._xlws.FILTER(_xlpm.d,_xlpm.a*_xlpm.b)))</f>
        <v>0.95</v>
      </c>
      <c r="I17" s="1" cm="1">
        <f t="array" ref="I17">_xlfn.LET(_xlpm.d,I$2:I$13,_xlpm.a,$C$2:$C$13=$C17,_xlpm.b,$D$2:$D$13=$D17,MAX(_xlfn._xlws.FILTER(_xlpm.d,_xlpm.a*_xlpm.b)))</f>
        <v>0.94</v>
      </c>
      <c r="J17" s="1" cm="1">
        <f t="array" ref="J17">_xlfn.LET(_xlpm.d,J$2:J$13,_xlpm.a,$C$2:$C$13=$C17,_xlpm.b,$D$2:$D$13=$D17,MAX(_xlfn._xlws.FILTER(_xlpm.d,_xlpm.a*_xlpm.b)))</f>
        <v>0.93</v>
      </c>
      <c r="K17" s="1" cm="1">
        <f t="array" ref="K17">_xlfn.LET(_xlpm.d,K$2:K$13,_xlpm.a,$C$2:$C$13=$C17,_xlpm.b,$D$2:$D$13=$D17,MAX(_xlfn._xlws.FILTER(_xlpm.d,_xlpm.a*_xlpm.b)))</f>
        <v>0.95</v>
      </c>
      <c r="L17" s="1" cm="1">
        <f t="array" ref="L17">_xlfn.LET(_xlpm.d,L$2:L$13,_xlpm.a,$C$2:$C$13=$C17,_xlpm.b,$D$2:$D$13=$D17,MAX(_xlfn._xlws.FILTER(_xlpm.d,_xlpm.a*_xlpm.b)))</f>
        <v>0.93</v>
      </c>
      <c r="M17" s="1" cm="1">
        <f t="array" ref="M17">_xlfn.LET(_xlpm.d,M$2:M$13,_xlpm.a,$C$2:$C$13=$C17,_xlpm.b,$D$2:$D$13=$D17,MAX(_xlfn._xlws.FILTER(_xlpm.d,_xlpm.a*_xlpm.b)))</f>
        <v>0.93</v>
      </c>
      <c r="N17" s="1" cm="1">
        <f t="array" ref="N17">_xlfn.LET(_xlpm.d,N$2:N$13,_xlpm.a,$C$2:$C$13=$C17,_xlpm.b,$D$2:$D$13=$D17,MAX(_xlfn._xlws.FILTER(_xlpm.d,_xlpm.a*_xlpm.b)))</f>
        <v>0.94</v>
      </c>
      <c r="O17" s="1" cm="1">
        <f t="array" ref="O17">_xlfn.LET(_xlpm.d,O$2:O$13,_xlpm.a,$C$2:$C$13=$C17,_xlpm.b,$D$2:$D$13=$D17,MAX(_xlfn._xlws.FILTER(_xlpm.d,_xlpm.a*_xlpm.b)))</f>
        <v>0.93</v>
      </c>
      <c r="P17" s="1" cm="1">
        <f t="array" ref="P17">_xlfn.LET(_xlpm.d,P$2:P$13,_xlpm.a,$C$2:$C$13=$C17,_xlpm.b,$D$2:$D$13=$D17,MAX(_xlfn._xlws.FILTER(_xlpm.d,_xlpm.a*_xlpm.b)))</f>
        <v>0.96</v>
      </c>
      <c r="Q17" s="1" cm="1">
        <f t="array" ref="Q17">_xlfn.LET(_xlpm.d,Q$2:Q$13,_xlpm.a,$C$2:$C$13=$C17,_xlpm.b,$D$2:$D$13=$D17,MAX(_xlfn._xlws.FILTER(_xlpm.d,_xlpm.a*_xlpm.b)))</f>
        <v>0.97</v>
      </c>
      <c r="R17" s="1" cm="1">
        <f t="array" ref="R17">_xlfn.LET(_xlpm.d,R$2:R$13,_xlpm.a,$C$2:$C$13=$C17,_xlpm.b,$D$2:$D$13=$D17,MAX(_xlfn._xlws.FILTER(_xlpm.d,_xlpm.a*_xlpm.b)))</f>
        <v>0.91</v>
      </c>
      <c r="S17" s="1" cm="1">
        <f t="array" ref="S17">_xlfn.LET(_xlpm.d,S$2:S$13,_xlpm.a,$C$2:$C$13=$C17,_xlpm.b,$D$2:$D$13=$D17,MAX(_xlfn._xlws.FILTER(_xlpm.d,_xlpm.a*_xlpm.b)))</f>
        <v>0.97</v>
      </c>
    </row>
    <row r="18" spans="2:19" ht="25" customHeight="1">
      <c r="B18">
        <v>1</v>
      </c>
      <c r="C18" t="s">
        <v>5</v>
      </c>
      <c r="D18" t="b">
        <v>0</v>
      </c>
      <c r="E18">
        <v>1</v>
      </c>
      <c r="F18" t="s">
        <v>4</v>
      </c>
      <c r="G18" s="1" cm="1">
        <f t="array" ref="G18">_xlfn.LET(_xlpm.d,G$2:G$13,_xlpm.a,$C$2:$C$13=$C18,_xlpm.b,$D$2:$D$13=$D18,MAX(_xlfn._xlws.FILTER(_xlpm.d,_xlpm.a*_xlpm.b)))</f>
        <v>0.92</v>
      </c>
      <c r="H18" s="1" cm="1">
        <f t="array" ref="H18">_xlfn.LET(_xlpm.d,H$2:H$13,_xlpm.a,$C$2:$C$13=$C18,_xlpm.b,$D$2:$D$13=$D18,MAX(_xlfn._xlws.FILTER(_xlpm.d,_xlpm.a*_xlpm.b)))</f>
        <v>0.91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0.94</v>
      </c>
      <c r="K18" s="1" cm="1">
        <f t="array" ref="K18">_xlfn.LET(_xlpm.d,K$2:K$13,_xlpm.a,$C$2:$C$13=$C18,_xlpm.b,$D$2:$D$13=$D18,MAX(_xlfn._xlws.FILTER(_xlpm.d,_xlpm.a*_xlpm.b)))</f>
        <v>0.95</v>
      </c>
      <c r="L18" s="1" cm="1">
        <f t="array" ref="L18">_xlfn.LET(_xlpm.d,L$2:L$13,_xlpm.a,$C$2:$C$13=$C18,_xlpm.b,$D$2:$D$13=$D18,MAX(_xlfn._xlws.FILTER(_xlpm.d,_xlpm.a*_xlpm.b)))</f>
        <v>0.93</v>
      </c>
      <c r="M18" s="1" cm="1">
        <f t="array" ref="M18">_xlfn.LET(_xlpm.d,M$2:M$13,_xlpm.a,$C$2:$C$13=$C18,_xlpm.b,$D$2:$D$13=$D18,MAX(_xlfn._xlws.FILTER(_xlpm.d,_xlpm.a*_xlpm.b)))</f>
        <v>0.92</v>
      </c>
      <c r="N18" s="1" cm="1">
        <f t="array" ref="N18">_xlfn.LET(_xlpm.d,N$2:N$13,_xlpm.a,$C$2:$C$13=$C18,_xlpm.b,$D$2:$D$13=$D18,MAX(_xlfn._xlws.FILTER(_xlpm.d,_xlpm.a*_xlpm.b)))</f>
        <v>0.94</v>
      </c>
      <c r="O18" s="1" cm="1">
        <f t="array" ref="O18">_xlfn.LET(_xlpm.d,O$2:O$13,_xlpm.a,$C$2:$C$13=$C18,_xlpm.b,$D$2:$D$13=$D18,MAX(_xlfn._xlws.FILTER(_xlpm.d,_xlpm.a*_xlpm.b)))</f>
        <v>0.94</v>
      </c>
      <c r="P18" s="1" cm="1">
        <f t="array" ref="P18">_xlfn.LET(_xlpm.d,P$2:P$13,_xlpm.a,$C$2:$C$13=$C18,_xlpm.b,$D$2:$D$13=$D18,MAX(_xlfn._xlws.FILTER(_xlpm.d,_xlpm.a*_xlpm.b)))</f>
        <v>0.97</v>
      </c>
      <c r="Q18" s="1" cm="1">
        <f t="array" ref="Q18">_xlfn.LET(_xlpm.d,Q$2:Q$13,_xlpm.a,$C$2:$C$13=$C18,_xlpm.b,$D$2:$D$13=$D18,MAX(_xlfn._xlws.FILTER(_xlpm.d,_xlpm.a*_xlpm.b)))</f>
        <v>0.97</v>
      </c>
      <c r="R18" s="1" cm="1">
        <f t="array" ref="R18">_xlfn.LET(_xlpm.d,R$2:R$13,_xlpm.a,$C$2:$C$13=$C18,_xlpm.b,$D$2:$D$13=$D18,MAX(_xlfn._xlws.FILTER(_xlpm.d,_xlpm.a*_xlpm.b)))</f>
        <v>0.92</v>
      </c>
      <c r="S18" s="1" cm="1">
        <f t="array" ref="S18">_xlfn.LET(_xlpm.d,S$2:S$13,_xlpm.a,$C$2:$C$13=$C18,_xlpm.b,$D$2:$D$13=$D18,MAX(_xlfn._xlws.FILTER(_xlpm.d,_xlpm.a*_xlpm.b)))</f>
        <v>0.97</v>
      </c>
    </row>
    <row r="19" spans="2:19" ht="25" customHeight="1">
      <c r="B19">
        <v>2</v>
      </c>
      <c r="C19" t="s">
        <v>9</v>
      </c>
      <c r="D19" t="b">
        <v>1</v>
      </c>
      <c r="E19">
        <v>1</v>
      </c>
      <c r="F19" t="s">
        <v>4</v>
      </c>
      <c r="G19" s="1" cm="1">
        <f t="array" ref="G19">_xlfn.LET(_xlpm.d,G$2:G$13,_xlpm.a,$C$2:$C$13=$C19,_xlpm.b,$D$2:$D$13=$D19,MAX(_xlfn._xlws.FILTER(_xlpm.d,_xlpm.a*_xlpm.b)))</f>
        <v>0.78</v>
      </c>
      <c r="H19" s="1" cm="1">
        <f t="array" ref="H19">_xlfn.LET(_xlpm.d,H$2:H$13,_xlpm.a,$C$2:$C$13=$C19,_xlpm.b,$D$2:$D$13=$D19,MAX(_xlfn._xlws.FILTER(_xlpm.d,_xlpm.a*_xlpm.b)))</f>
        <v>0.78</v>
      </c>
      <c r="I19" s="1" cm="1">
        <f t="array" ref="I19">_xlfn.LET(_xlpm.d,I$2:I$13,_xlpm.a,$C$2:$C$13=$C19,_xlpm.b,$D$2:$D$13=$D19,MAX(_xlfn._xlws.FILTER(_xlpm.d,_xlpm.a*_xlpm.b)))</f>
        <v>0.76</v>
      </c>
      <c r="J19" s="1" cm="1">
        <f t="array" ref="J19">_xlfn.LET(_xlpm.d,J$2:J$13,_xlpm.a,$C$2:$C$13=$C19,_xlpm.b,$D$2:$D$13=$D19,MAX(_xlfn._xlws.FILTER(_xlpm.d,_xlpm.a*_xlpm.b)))</f>
        <v>0.81</v>
      </c>
      <c r="K19" s="1" cm="1">
        <f t="array" ref="K19">_xlfn.LET(_xlpm.d,K$2:K$13,_xlpm.a,$C$2:$C$13=$C19,_xlpm.b,$D$2:$D$13=$D19,MAX(_xlfn._xlws.FILTER(_xlpm.d,_xlpm.a*_xlpm.b)))</f>
        <v>0.8</v>
      </c>
      <c r="L19" s="1" cm="1">
        <f t="array" ref="L19">_xlfn.LET(_xlpm.d,L$2:L$13,_xlpm.a,$C$2:$C$13=$C19,_xlpm.b,$D$2:$D$13=$D19,MAX(_xlfn._xlws.FILTER(_xlpm.d,_xlpm.a*_xlpm.b)))</f>
        <v>0.79</v>
      </c>
      <c r="M19" s="1" cm="1">
        <f t="array" ref="M19">_xlfn.LET(_xlpm.d,M$2:M$13,_xlpm.a,$C$2:$C$13=$C19,_xlpm.b,$D$2:$D$13=$D19,MAX(_xlfn._xlws.FILTER(_xlpm.d,_xlpm.a*_xlpm.b)))</f>
        <v>0.78</v>
      </c>
      <c r="N19" s="1" cm="1">
        <f t="array" ref="N19">_xlfn.LET(_xlpm.d,N$2:N$13,_xlpm.a,$C$2:$C$13=$C19,_xlpm.b,$D$2:$D$13=$D19,MAX(_xlfn._xlws.FILTER(_xlpm.d,_xlpm.a*_xlpm.b)))</f>
        <v>0.81</v>
      </c>
      <c r="O19" s="1" cm="1">
        <f t="array" ref="O19">_xlfn.LET(_xlpm.d,O$2:O$13,_xlpm.a,$C$2:$C$13=$C19,_xlpm.b,$D$2:$D$13=$D19,MAX(_xlfn._xlws.FILTER(_xlpm.d,_xlpm.a*_xlpm.b)))</f>
        <v>0.76</v>
      </c>
      <c r="P19" s="1" cm="1">
        <f t="array" ref="P19">_xlfn.LET(_xlpm.d,P$2:P$13,_xlpm.a,$C$2:$C$13=$C19,_xlpm.b,$D$2:$D$13=$D19,MAX(_xlfn._xlws.FILTER(_xlpm.d,_xlpm.a*_xlpm.b)))</f>
        <v>0.8</v>
      </c>
      <c r="Q19" s="1" cm="1">
        <f t="array" ref="Q19">_xlfn.LET(_xlpm.d,Q$2:Q$13,_xlpm.a,$C$2:$C$13=$C19,_xlpm.b,$D$2:$D$13=$D19,MAX(_xlfn._xlws.FILTER(_xlpm.d,_xlpm.a*_xlpm.b)))</f>
        <v>0.74</v>
      </c>
      <c r="R19" s="1" cm="1">
        <f t="array" ref="R19">_xlfn.LET(_xlpm.d,R$2:R$13,_xlpm.a,$C$2:$C$13=$C19,_xlpm.b,$D$2:$D$13=$D19,MAX(_xlfn._xlws.FILTER(_xlpm.d,_xlpm.a*_xlpm.b)))</f>
        <v>0.77</v>
      </c>
      <c r="S19" s="1" cm="1">
        <f t="array" ref="S19">_xlfn.LET(_xlpm.d,S$2:S$13,_xlpm.a,$C$2:$C$13=$C19,_xlpm.b,$D$2:$D$13=$D19,MAX(_xlfn._xlws.FILTER(_xlpm.d,_xlpm.a*_xlpm.b)))</f>
        <v>0.81</v>
      </c>
    </row>
    <row r="20" spans="2:19" ht="25" customHeight="1">
      <c r="B20">
        <v>2</v>
      </c>
      <c r="C20" t="s">
        <v>9</v>
      </c>
      <c r="D20" t="b">
        <v>0</v>
      </c>
      <c r="E20">
        <v>1</v>
      </c>
      <c r="F20" t="s">
        <v>4</v>
      </c>
      <c r="G20" s="1" cm="1">
        <f t="array" ref="G20">_xlfn.LET(_xlpm.d,G$2:G$13,_xlpm.a,$C$2:$C$13=$C20,_xlpm.b,$D$2:$D$13=$D20,MAX(_xlfn._xlws.FILTER(_xlpm.d,_xlpm.a*_xlpm.b)))</f>
        <v>0.78</v>
      </c>
      <c r="H20" s="1" cm="1">
        <f t="array" ref="H20">_xlfn.LET(_xlpm.d,H$2:H$13,_xlpm.a,$C$2:$C$13=$C20,_xlpm.b,$D$2:$D$13=$D20,MAX(_xlfn._xlws.FILTER(_xlpm.d,_xlpm.a*_xlpm.b)))</f>
        <v>0.78</v>
      </c>
      <c r="I20" s="1" cm="1">
        <f t="array" ref="I20">_xlfn.LET(_xlpm.d,I$2:I$13,_xlpm.a,$C$2:$C$13=$C20,_xlpm.b,$D$2:$D$13=$D20,MAX(_xlfn._xlws.FILTER(_xlpm.d,_xlpm.a*_xlpm.b)))</f>
        <v>0.76</v>
      </c>
      <c r="J20" s="1" cm="1">
        <f t="array" ref="J20">_xlfn.LET(_xlpm.d,J$2:J$13,_xlpm.a,$C$2:$C$13=$C20,_xlpm.b,$D$2:$D$13=$D20,MAX(_xlfn._xlws.FILTER(_xlpm.d,_xlpm.a*_xlpm.b)))</f>
        <v>0.82</v>
      </c>
      <c r="K20" s="1" cm="1">
        <f t="array" ref="K20">_xlfn.LET(_xlpm.d,K$2:K$13,_xlpm.a,$C$2:$C$13=$C20,_xlpm.b,$D$2:$D$13=$D20,MAX(_xlfn._xlws.FILTER(_xlpm.d,_xlpm.a*_xlpm.b)))</f>
        <v>0.78</v>
      </c>
      <c r="L20" s="1" cm="1">
        <f t="array" ref="L20">_xlfn.LET(_xlpm.d,L$2:L$13,_xlpm.a,$C$2:$C$13=$C20,_xlpm.b,$D$2:$D$13=$D20,MAX(_xlfn._xlws.FILTER(_xlpm.d,_xlpm.a*_xlpm.b)))</f>
        <v>0.77</v>
      </c>
      <c r="M20" s="1" cm="1">
        <f t="array" ref="M20">_xlfn.LET(_xlpm.d,M$2:M$13,_xlpm.a,$C$2:$C$13=$C20,_xlpm.b,$D$2:$D$13=$D20,MAX(_xlfn._xlws.FILTER(_xlpm.d,_xlpm.a*_xlpm.b)))</f>
        <v>0.8</v>
      </c>
      <c r="N20" s="1" cm="1">
        <f t="array" ref="N20">_xlfn.LET(_xlpm.d,N$2:N$13,_xlpm.a,$C$2:$C$13=$C20,_xlpm.b,$D$2:$D$13=$D20,MAX(_xlfn._xlws.FILTER(_xlpm.d,_xlpm.a*_xlpm.b)))</f>
        <v>0.8</v>
      </c>
      <c r="O20" s="1" cm="1">
        <f t="array" ref="O20">_xlfn.LET(_xlpm.d,O$2:O$13,_xlpm.a,$C$2:$C$13=$C20,_xlpm.b,$D$2:$D$13=$D20,MAX(_xlfn._xlws.FILTER(_xlpm.d,_xlpm.a*_xlpm.b)))</f>
        <v>0.75</v>
      </c>
      <c r="P20" s="1" cm="1">
        <f t="array" ref="P20">_xlfn.LET(_xlpm.d,P$2:P$13,_xlpm.a,$C$2:$C$13=$C20,_xlpm.b,$D$2:$D$13=$D20,MAX(_xlfn._xlws.FILTER(_xlpm.d,_xlpm.a*_xlpm.b)))</f>
        <v>0.81</v>
      </c>
      <c r="Q20" s="1" cm="1">
        <f t="array" ref="Q20">_xlfn.LET(_xlpm.d,Q$2:Q$13,_xlpm.a,$C$2:$C$13=$C20,_xlpm.b,$D$2:$D$13=$D20,MAX(_xlfn._xlws.FILTER(_xlpm.d,_xlpm.a*_xlpm.b)))</f>
        <v>0.76</v>
      </c>
      <c r="R20" s="1" cm="1">
        <f t="array" ref="R20">_xlfn.LET(_xlpm.d,R$2:R$13,_xlpm.a,$C$2:$C$13=$C20,_xlpm.b,$D$2:$D$13=$D20,MAX(_xlfn._xlws.FILTER(_xlpm.d,_xlpm.a*_xlpm.b)))</f>
        <v>0.81</v>
      </c>
      <c r="S20" s="1" cm="1">
        <f t="array" ref="S20">_xlfn.LET(_xlpm.d,S$2:S$13,_xlpm.a,$C$2:$C$13=$C20,_xlpm.b,$D$2:$D$13=$D20,MAX(_xlfn._xlws.FILTER(_xlpm.d,_xlpm.a*_xlpm.b)))</f>
        <v>0.82</v>
      </c>
    </row>
  </sheetData>
  <conditionalFormatting sqref="G2:S1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8F0E-8845-2240-A7AA-FB994F92487B}">
  <dimension ref="A1:S20"/>
  <sheetViews>
    <sheetView workbookViewId="0">
      <pane xSplit="14180" ySplit="3080" topLeftCell="P7" activePane="bottomLeft"/>
      <selection activeCell="G1" sqref="G1:S1048576"/>
      <selection pane="topRight" activeCell="S2" sqref="S2"/>
      <selection pane="bottomLeft" activeCell="B17" sqref="B17:S20"/>
      <selection pane="bottomRight" activeCell="P12" sqref="P12"/>
    </sheetView>
  </sheetViews>
  <sheetFormatPr baseColWidth="10" defaultRowHeight="25" customHeight="1"/>
  <cols>
    <col min="2" max="6" width="7.625" customWidth="1"/>
    <col min="7" max="19" width="8.375" customWidth="1"/>
  </cols>
  <sheetData>
    <row r="1" spans="1:19" ht="25" customHeight="1">
      <c r="A1" t="s">
        <v>0</v>
      </c>
      <c r="B1" t="s">
        <v>10</v>
      </c>
      <c r="C1" t="s">
        <v>1</v>
      </c>
      <c r="D1" t="s">
        <v>2</v>
      </c>
      <c r="E1" t="s">
        <v>11</v>
      </c>
      <c r="F1" t="s">
        <v>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4</v>
      </c>
    </row>
    <row r="2" spans="1:19" ht="25" customHeight="1">
      <c r="A2" t="s">
        <v>26</v>
      </c>
      <c r="B2">
        <v>1</v>
      </c>
      <c r="C2" t="s">
        <v>5</v>
      </c>
      <c r="D2" t="b">
        <v>0</v>
      </c>
      <c r="E2">
        <v>2</v>
      </c>
      <c r="F2" t="s">
        <v>7</v>
      </c>
      <c r="G2" s="1">
        <v>0.92</v>
      </c>
      <c r="H2" s="1">
        <v>0.92</v>
      </c>
      <c r="I2" s="1">
        <v>0.93</v>
      </c>
      <c r="J2" s="1">
        <v>0.91</v>
      </c>
      <c r="K2" s="1">
        <v>0.94</v>
      </c>
      <c r="L2" s="1">
        <v>0.95</v>
      </c>
      <c r="M2" s="1">
        <v>0.93</v>
      </c>
      <c r="N2" s="1">
        <v>0.91</v>
      </c>
      <c r="O2" s="1">
        <v>0.92</v>
      </c>
      <c r="P2" s="1">
        <v>0.94</v>
      </c>
      <c r="Q2" s="1">
        <v>0.91</v>
      </c>
      <c r="R2" s="1">
        <v>0.93</v>
      </c>
      <c r="S2" s="1">
        <f t="shared" ref="S2:S13" si="0">MAX($G2:$R2)</f>
        <v>0.95</v>
      </c>
    </row>
    <row r="3" spans="1:19" ht="25" customHeight="1">
      <c r="A3" t="s">
        <v>26</v>
      </c>
      <c r="B3">
        <v>1</v>
      </c>
      <c r="C3" t="s">
        <v>5</v>
      </c>
      <c r="D3" t="b">
        <v>0</v>
      </c>
      <c r="E3">
        <v>3</v>
      </c>
      <c r="F3" t="s">
        <v>6</v>
      </c>
      <c r="G3" s="1">
        <v>0.94</v>
      </c>
      <c r="H3" s="1">
        <v>0.95</v>
      </c>
      <c r="I3" s="1">
        <v>0.93</v>
      </c>
      <c r="J3" s="1">
        <v>0.92</v>
      </c>
      <c r="K3" s="1">
        <v>0.95</v>
      </c>
      <c r="L3" s="1">
        <v>0.92</v>
      </c>
      <c r="M3" s="1">
        <v>0.94</v>
      </c>
      <c r="N3" s="1">
        <v>0.93</v>
      </c>
      <c r="O3" s="1">
        <v>0.93</v>
      </c>
      <c r="P3" s="1">
        <v>0.96</v>
      </c>
      <c r="Q3" s="1">
        <v>0.94</v>
      </c>
      <c r="R3" s="1">
        <v>0.94</v>
      </c>
      <c r="S3" s="1">
        <f t="shared" si="0"/>
        <v>0.96</v>
      </c>
    </row>
    <row r="4" spans="1:19" ht="25" customHeight="1">
      <c r="A4" t="s">
        <v>26</v>
      </c>
      <c r="B4">
        <v>1</v>
      </c>
      <c r="C4" t="s">
        <v>5</v>
      </c>
      <c r="D4" t="b">
        <v>0</v>
      </c>
      <c r="E4">
        <v>1</v>
      </c>
      <c r="F4" t="s">
        <v>8</v>
      </c>
      <c r="G4" s="1">
        <v>0.91</v>
      </c>
      <c r="H4" s="1">
        <v>0.85</v>
      </c>
      <c r="I4" s="1">
        <v>0.91</v>
      </c>
      <c r="J4" s="1">
        <v>0.87</v>
      </c>
      <c r="K4" s="1">
        <v>0.89</v>
      </c>
      <c r="L4" s="1">
        <v>0.85</v>
      </c>
      <c r="M4" s="1">
        <v>0.89</v>
      </c>
      <c r="N4" s="1">
        <v>0.85</v>
      </c>
      <c r="O4" s="1">
        <v>0.88</v>
      </c>
      <c r="P4" s="1">
        <v>0.91</v>
      </c>
      <c r="Q4" s="1">
        <v>0.9</v>
      </c>
      <c r="R4" s="1">
        <v>0.91</v>
      </c>
      <c r="S4" s="1">
        <f t="shared" si="0"/>
        <v>0.91</v>
      </c>
    </row>
    <row r="5" spans="1:19" ht="25" customHeight="1">
      <c r="A5" t="s">
        <v>26</v>
      </c>
      <c r="B5">
        <v>1</v>
      </c>
      <c r="C5" t="s">
        <v>5</v>
      </c>
      <c r="D5" t="b">
        <v>1</v>
      </c>
      <c r="E5">
        <v>2</v>
      </c>
      <c r="F5" t="s">
        <v>7</v>
      </c>
      <c r="G5" s="1">
        <v>0.93</v>
      </c>
      <c r="H5" s="1">
        <v>0.93</v>
      </c>
      <c r="I5" s="1">
        <v>0.91</v>
      </c>
      <c r="J5" s="1">
        <v>0.91</v>
      </c>
      <c r="K5" s="1">
        <v>0.93</v>
      </c>
      <c r="L5" s="1">
        <v>0.94</v>
      </c>
      <c r="M5" s="1">
        <v>0.91</v>
      </c>
      <c r="N5" s="1">
        <v>0.92</v>
      </c>
      <c r="O5" s="1">
        <v>0.94</v>
      </c>
      <c r="P5" s="1">
        <v>0.94</v>
      </c>
      <c r="Q5" s="1">
        <v>0.92</v>
      </c>
      <c r="R5" s="1">
        <v>0.94</v>
      </c>
      <c r="S5" s="1">
        <f t="shared" si="0"/>
        <v>0.94</v>
      </c>
    </row>
    <row r="6" spans="1:19" ht="25" customHeight="1">
      <c r="A6" t="s">
        <v>26</v>
      </c>
      <c r="B6">
        <v>1</v>
      </c>
      <c r="C6" t="s">
        <v>5</v>
      </c>
      <c r="D6" t="b">
        <v>1</v>
      </c>
      <c r="E6">
        <v>3</v>
      </c>
      <c r="F6" t="s">
        <v>6</v>
      </c>
      <c r="G6" s="1">
        <v>0.95</v>
      </c>
      <c r="H6" s="1">
        <v>0.94</v>
      </c>
      <c r="I6" s="1">
        <v>0.94</v>
      </c>
      <c r="J6" s="1">
        <v>0.94</v>
      </c>
      <c r="K6" s="1">
        <v>0.95</v>
      </c>
      <c r="L6" s="1">
        <v>0.93</v>
      </c>
      <c r="M6" s="1">
        <v>0.93</v>
      </c>
      <c r="N6" s="1">
        <v>0.92</v>
      </c>
      <c r="O6" s="1">
        <v>0.95</v>
      </c>
      <c r="P6" s="1">
        <v>0.96</v>
      </c>
      <c r="Q6" s="1">
        <v>0.94</v>
      </c>
      <c r="R6" s="1">
        <v>0.93</v>
      </c>
      <c r="S6" s="1">
        <f t="shared" si="0"/>
        <v>0.96</v>
      </c>
    </row>
    <row r="7" spans="1:19" ht="25" customHeight="1">
      <c r="A7" t="s">
        <v>26</v>
      </c>
      <c r="B7">
        <v>1</v>
      </c>
      <c r="C7" t="s">
        <v>5</v>
      </c>
      <c r="D7" t="b">
        <v>1</v>
      </c>
      <c r="E7">
        <v>1</v>
      </c>
      <c r="F7" t="s">
        <v>8</v>
      </c>
      <c r="G7" s="1">
        <v>0.92</v>
      </c>
      <c r="H7" s="1">
        <v>0.89</v>
      </c>
      <c r="I7" s="1">
        <v>0.85</v>
      </c>
      <c r="J7" s="1">
        <v>0.9</v>
      </c>
      <c r="K7" s="1">
        <v>0.8</v>
      </c>
      <c r="L7" s="1">
        <v>0.9</v>
      </c>
      <c r="M7" s="1">
        <v>0.89</v>
      </c>
      <c r="N7" s="1">
        <v>0.9</v>
      </c>
      <c r="O7" s="1">
        <v>0.88</v>
      </c>
      <c r="P7" s="1">
        <v>0.9</v>
      </c>
      <c r="Q7" s="1">
        <v>0.86</v>
      </c>
      <c r="R7" s="1">
        <v>0.92</v>
      </c>
      <c r="S7" s="1">
        <f t="shared" si="0"/>
        <v>0.92</v>
      </c>
    </row>
    <row r="8" spans="1:19" ht="25" customHeight="1">
      <c r="A8" t="s">
        <v>26</v>
      </c>
      <c r="B8">
        <v>2</v>
      </c>
      <c r="C8" t="s">
        <v>9</v>
      </c>
      <c r="D8" t="b">
        <v>0</v>
      </c>
      <c r="E8">
        <v>2</v>
      </c>
      <c r="F8" t="s">
        <v>7</v>
      </c>
      <c r="G8" s="1">
        <v>0.78</v>
      </c>
      <c r="H8" s="1">
        <v>0.8</v>
      </c>
      <c r="I8" s="1">
        <v>0.79</v>
      </c>
      <c r="J8" s="1">
        <v>0.78</v>
      </c>
      <c r="K8" s="1">
        <v>0.8</v>
      </c>
      <c r="L8" s="1">
        <v>0.73</v>
      </c>
      <c r="M8" s="1">
        <v>0.79</v>
      </c>
      <c r="N8" s="1">
        <v>0.81</v>
      </c>
      <c r="O8" s="1">
        <v>0.77</v>
      </c>
      <c r="P8" s="1">
        <v>0.8</v>
      </c>
      <c r="Q8" s="1">
        <v>0.73</v>
      </c>
      <c r="R8" s="1">
        <v>0.81</v>
      </c>
      <c r="S8" s="1">
        <f t="shared" si="0"/>
        <v>0.81</v>
      </c>
    </row>
    <row r="9" spans="1:19" ht="25" customHeight="1">
      <c r="A9" t="s">
        <v>26</v>
      </c>
      <c r="B9">
        <v>2</v>
      </c>
      <c r="C9" t="s">
        <v>9</v>
      </c>
      <c r="D9" t="b">
        <v>0</v>
      </c>
      <c r="E9">
        <v>3</v>
      </c>
      <c r="F9" t="s">
        <v>6</v>
      </c>
      <c r="G9" s="1">
        <v>0.76</v>
      </c>
      <c r="H9" s="1">
        <v>0.77</v>
      </c>
      <c r="I9" s="1">
        <v>0.74</v>
      </c>
      <c r="J9" s="1">
        <v>0.76</v>
      </c>
      <c r="K9" s="1">
        <v>0.77</v>
      </c>
      <c r="L9" s="1">
        <v>0.76</v>
      </c>
      <c r="M9" s="1">
        <v>0.77</v>
      </c>
      <c r="N9" s="1">
        <v>0.77</v>
      </c>
      <c r="O9" s="1">
        <v>0.74</v>
      </c>
      <c r="P9" s="1">
        <v>0.82</v>
      </c>
      <c r="Q9" s="1">
        <v>0.78</v>
      </c>
      <c r="R9" s="1">
        <v>0.78</v>
      </c>
      <c r="S9" s="1">
        <f t="shared" si="0"/>
        <v>0.82</v>
      </c>
    </row>
    <row r="10" spans="1:19" ht="25" customHeight="1">
      <c r="A10" t="s">
        <v>26</v>
      </c>
      <c r="B10">
        <v>2</v>
      </c>
      <c r="C10" t="s">
        <v>9</v>
      </c>
      <c r="D10" t="b">
        <v>0</v>
      </c>
      <c r="E10">
        <v>1</v>
      </c>
      <c r="F10" t="s">
        <v>8</v>
      </c>
      <c r="G10" s="1">
        <v>0.71</v>
      </c>
      <c r="H10" s="1">
        <v>0.77</v>
      </c>
      <c r="I10" s="1">
        <v>0.72</v>
      </c>
      <c r="J10" s="1">
        <v>0.71</v>
      </c>
      <c r="K10" s="1">
        <v>0.7</v>
      </c>
      <c r="L10" s="1">
        <v>0.7</v>
      </c>
      <c r="M10" s="1">
        <v>0.63</v>
      </c>
      <c r="N10" s="1">
        <v>0.72</v>
      </c>
      <c r="O10" s="1">
        <v>0.72</v>
      </c>
      <c r="P10" s="1">
        <v>0.72</v>
      </c>
      <c r="Q10" s="1">
        <v>0.69</v>
      </c>
      <c r="R10" s="1">
        <v>0.68</v>
      </c>
      <c r="S10" s="1">
        <f t="shared" si="0"/>
        <v>0.77</v>
      </c>
    </row>
    <row r="11" spans="1:19" ht="25" customHeight="1">
      <c r="A11" t="s">
        <v>26</v>
      </c>
      <c r="B11">
        <v>2</v>
      </c>
      <c r="C11" t="s">
        <v>9</v>
      </c>
      <c r="D11" t="b">
        <v>1</v>
      </c>
      <c r="E11">
        <v>2</v>
      </c>
      <c r="F11" t="s">
        <v>7</v>
      </c>
      <c r="G11" s="1">
        <v>0.76</v>
      </c>
      <c r="H11" s="1">
        <v>0.81</v>
      </c>
      <c r="I11" s="1">
        <v>0.79</v>
      </c>
      <c r="J11" s="1">
        <v>0.8</v>
      </c>
      <c r="K11" s="1">
        <v>0.78</v>
      </c>
      <c r="L11" s="1">
        <v>0.72</v>
      </c>
      <c r="M11" s="1">
        <v>0.82</v>
      </c>
      <c r="N11" s="1">
        <v>0.81</v>
      </c>
      <c r="O11" s="1">
        <v>0.77</v>
      </c>
      <c r="P11" s="1">
        <v>0.82</v>
      </c>
      <c r="Q11" s="1">
        <v>0.78</v>
      </c>
      <c r="R11" s="1">
        <v>0.8</v>
      </c>
      <c r="S11" s="1">
        <f t="shared" si="0"/>
        <v>0.82</v>
      </c>
    </row>
    <row r="12" spans="1:19" ht="25" customHeight="1">
      <c r="A12" t="s">
        <v>26</v>
      </c>
      <c r="B12">
        <v>2</v>
      </c>
      <c r="C12" t="s">
        <v>9</v>
      </c>
      <c r="D12" t="b">
        <v>1</v>
      </c>
      <c r="E12">
        <v>3</v>
      </c>
      <c r="F12" t="s">
        <v>6</v>
      </c>
      <c r="G12" s="1">
        <v>0.75</v>
      </c>
      <c r="H12" s="1">
        <v>0.81</v>
      </c>
      <c r="I12" s="1">
        <v>0.73</v>
      </c>
      <c r="J12" s="1">
        <v>0.78</v>
      </c>
      <c r="K12" s="1">
        <v>0.79</v>
      </c>
      <c r="L12" s="1">
        <v>0.72</v>
      </c>
      <c r="M12" s="1">
        <v>0.71</v>
      </c>
      <c r="N12" s="1">
        <v>0.79</v>
      </c>
      <c r="O12" s="1">
        <v>0.78</v>
      </c>
      <c r="P12" s="1">
        <v>0.85</v>
      </c>
      <c r="Q12" s="1">
        <v>0.78</v>
      </c>
      <c r="R12" s="1">
        <v>0.81</v>
      </c>
      <c r="S12" s="1">
        <f t="shared" si="0"/>
        <v>0.85</v>
      </c>
    </row>
    <row r="13" spans="1:19" ht="25" customHeight="1">
      <c r="A13" t="s">
        <v>26</v>
      </c>
      <c r="B13">
        <v>2</v>
      </c>
      <c r="C13" t="s">
        <v>9</v>
      </c>
      <c r="D13" t="b">
        <v>1</v>
      </c>
      <c r="E13">
        <v>1</v>
      </c>
      <c r="F13" t="s">
        <v>8</v>
      </c>
      <c r="G13" s="1">
        <v>0.74</v>
      </c>
      <c r="H13" s="1">
        <v>0.77</v>
      </c>
      <c r="I13" s="1">
        <v>0.72</v>
      </c>
      <c r="J13" s="1">
        <v>0.75</v>
      </c>
      <c r="K13" s="1">
        <v>0.73</v>
      </c>
      <c r="L13" s="1">
        <v>0.69</v>
      </c>
      <c r="M13" s="1">
        <v>0.71</v>
      </c>
      <c r="N13" s="1">
        <v>0.74</v>
      </c>
      <c r="O13" s="1">
        <v>0.69</v>
      </c>
      <c r="P13" s="1">
        <v>0.7</v>
      </c>
      <c r="Q13" s="1">
        <v>0.7</v>
      </c>
      <c r="R13" s="1">
        <v>0.77</v>
      </c>
      <c r="S13" s="1">
        <f t="shared" si="0"/>
        <v>0.77</v>
      </c>
    </row>
    <row r="16" spans="1:19" ht="25" customHeight="1">
      <c r="B16" t="s">
        <v>10</v>
      </c>
      <c r="C16" t="s">
        <v>1</v>
      </c>
      <c r="D16" t="s">
        <v>13</v>
      </c>
      <c r="E16" t="s">
        <v>11</v>
      </c>
      <c r="F16" t="s">
        <v>12</v>
      </c>
      <c r="G16" t="s">
        <v>14</v>
      </c>
      <c r="H16" t="s">
        <v>15</v>
      </c>
      <c r="I16" t="s">
        <v>16</v>
      </c>
      <c r="J16" t="s">
        <v>17</v>
      </c>
      <c r="K16" t="s">
        <v>18</v>
      </c>
      <c r="L16" t="s">
        <v>19</v>
      </c>
      <c r="M16" t="s">
        <v>20</v>
      </c>
      <c r="N16" t="s">
        <v>21</v>
      </c>
      <c r="O16" t="s">
        <v>22</v>
      </c>
      <c r="P16" t="s">
        <v>23</v>
      </c>
      <c r="Q16" t="s">
        <v>24</v>
      </c>
      <c r="R16" t="s">
        <v>25</v>
      </c>
      <c r="S16" t="s">
        <v>4</v>
      </c>
    </row>
    <row r="17" spans="2:19" ht="25" customHeight="1">
      <c r="B17">
        <v>1</v>
      </c>
      <c r="C17" t="s">
        <v>5</v>
      </c>
      <c r="D17" t="b">
        <v>1</v>
      </c>
      <c r="E17">
        <v>1</v>
      </c>
      <c r="F17" t="s">
        <v>4</v>
      </c>
      <c r="G17" s="1" cm="1">
        <f t="array" ref="G17">_xlfn.LET(_xlpm.d,G$2:G$13,_xlpm.a,$C$2:$C$13=$C17,_xlpm.b,$D$2:$D$13=$D17,MAX(_xlfn._xlws.FILTER(_xlpm.d,_xlpm.a*_xlpm.b)))</f>
        <v>0.95</v>
      </c>
      <c r="H17" s="1" cm="1">
        <f t="array" ref="H17">_xlfn.LET(_xlpm.d,H$2:H$13,_xlpm.a,$C$2:$C$13=$C17,_xlpm.b,$D$2:$D$13=$D17,MAX(_xlfn._xlws.FILTER(_xlpm.d,_xlpm.a*_xlpm.b)))</f>
        <v>0.94</v>
      </c>
      <c r="I17" s="1" cm="1">
        <f t="array" ref="I17">_xlfn.LET(_xlpm.d,I$2:I$13,_xlpm.a,$C$2:$C$13=$C17,_xlpm.b,$D$2:$D$13=$D17,MAX(_xlfn._xlws.FILTER(_xlpm.d,_xlpm.a*_xlpm.b)))</f>
        <v>0.94</v>
      </c>
      <c r="J17" s="1" cm="1">
        <f t="array" ref="J17">_xlfn.LET(_xlpm.d,J$2:J$13,_xlpm.a,$C$2:$C$13=$C17,_xlpm.b,$D$2:$D$13=$D17,MAX(_xlfn._xlws.FILTER(_xlpm.d,_xlpm.a*_xlpm.b)))</f>
        <v>0.94</v>
      </c>
      <c r="K17" s="1" cm="1">
        <f t="array" ref="K17">_xlfn.LET(_xlpm.d,K$2:K$13,_xlpm.a,$C$2:$C$13=$C17,_xlpm.b,$D$2:$D$13=$D17,MAX(_xlfn._xlws.FILTER(_xlpm.d,_xlpm.a*_xlpm.b)))</f>
        <v>0.95</v>
      </c>
      <c r="L17" s="1" cm="1">
        <f t="array" ref="L17">_xlfn.LET(_xlpm.d,L$2:L$13,_xlpm.a,$C$2:$C$13=$C17,_xlpm.b,$D$2:$D$13=$D17,MAX(_xlfn._xlws.FILTER(_xlpm.d,_xlpm.a*_xlpm.b)))</f>
        <v>0.94</v>
      </c>
      <c r="M17" s="1" cm="1">
        <f t="array" ref="M17">_xlfn.LET(_xlpm.d,M$2:M$13,_xlpm.a,$C$2:$C$13=$C17,_xlpm.b,$D$2:$D$13=$D17,MAX(_xlfn._xlws.FILTER(_xlpm.d,_xlpm.a*_xlpm.b)))</f>
        <v>0.93</v>
      </c>
      <c r="N17" s="1" cm="1">
        <f t="array" ref="N17">_xlfn.LET(_xlpm.d,N$2:N$13,_xlpm.a,$C$2:$C$13=$C17,_xlpm.b,$D$2:$D$13=$D17,MAX(_xlfn._xlws.FILTER(_xlpm.d,_xlpm.a*_xlpm.b)))</f>
        <v>0.92</v>
      </c>
      <c r="O17" s="1" cm="1">
        <f t="array" ref="O17">_xlfn.LET(_xlpm.d,O$2:O$13,_xlpm.a,$C$2:$C$13=$C17,_xlpm.b,$D$2:$D$13=$D17,MAX(_xlfn._xlws.FILTER(_xlpm.d,_xlpm.a*_xlpm.b)))</f>
        <v>0.95</v>
      </c>
      <c r="P17" s="1" cm="1">
        <f t="array" ref="P17">_xlfn.LET(_xlpm.d,P$2:P$13,_xlpm.a,$C$2:$C$13=$C17,_xlpm.b,$D$2:$D$13=$D17,MAX(_xlfn._xlws.FILTER(_xlpm.d,_xlpm.a*_xlpm.b)))</f>
        <v>0.96</v>
      </c>
      <c r="Q17" s="1" cm="1">
        <f t="array" ref="Q17">_xlfn.LET(_xlpm.d,Q$2:Q$13,_xlpm.a,$C$2:$C$13=$C17,_xlpm.b,$D$2:$D$13=$D17,MAX(_xlfn._xlws.FILTER(_xlpm.d,_xlpm.a*_xlpm.b)))</f>
        <v>0.94</v>
      </c>
      <c r="R17" s="1" cm="1">
        <f t="array" ref="R17">_xlfn.LET(_xlpm.d,R$2:R$13,_xlpm.a,$C$2:$C$13=$C17,_xlpm.b,$D$2:$D$13=$D17,MAX(_xlfn._xlws.FILTER(_xlpm.d,_xlpm.a*_xlpm.b)))</f>
        <v>0.94</v>
      </c>
      <c r="S17" s="1" cm="1">
        <f t="array" ref="S17">_xlfn.LET(_xlpm.d,S$2:S$13,_xlpm.a,$C$2:$C$13=$C17,_xlpm.b,$D$2:$D$13=$D17,MAX(_xlfn._xlws.FILTER(_xlpm.d,_xlpm.a*_xlpm.b)))</f>
        <v>0.96</v>
      </c>
    </row>
    <row r="18" spans="2:19" ht="25" customHeight="1">
      <c r="B18">
        <v>1</v>
      </c>
      <c r="C18" t="s">
        <v>5</v>
      </c>
      <c r="D18" t="b">
        <v>0</v>
      </c>
      <c r="E18">
        <v>1</v>
      </c>
      <c r="F18" t="s">
        <v>4</v>
      </c>
      <c r="G18" s="1" cm="1">
        <f t="array" ref="G18">_xlfn.LET(_xlpm.d,G$2:G$13,_xlpm.a,$C$2:$C$13=$C18,_xlpm.b,$D$2:$D$13=$D18,MAX(_xlfn._xlws.FILTER(_xlpm.d,_xlpm.a*_xlpm.b)))</f>
        <v>0.94</v>
      </c>
      <c r="H18" s="1" cm="1">
        <f t="array" ref="H18">_xlfn.LET(_xlpm.d,H$2:H$13,_xlpm.a,$C$2:$C$13=$C18,_xlpm.b,$D$2:$D$13=$D18,MAX(_xlfn._xlws.FILTER(_xlpm.d,_xlpm.a*_xlpm.b)))</f>
        <v>0.95</v>
      </c>
      <c r="I18" s="1" cm="1">
        <f t="array" ref="I18">_xlfn.LET(_xlpm.d,I$2:I$13,_xlpm.a,$C$2:$C$13=$C18,_xlpm.b,$D$2:$D$13=$D18,MAX(_xlfn._xlws.FILTER(_xlpm.d,_xlpm.a*_xlpm.b)))</f>
        <v>0.93</v>
      </c>
      <c r="J18" s="1" cm="1">
        <f t="array" ref="J18">_xlfn.LET(_xlpm.d,J$2:J$13,_xlpm.a,$C$2:$C$13=$C18,_xlpm.b,$D$2:$D$13=$D18,MAX(_xlfn._xlws.FILTER(_xlpm.d,_xlpm.a*_xlpm.b)))</f>
        <v>0.92</v>
      </c>
      <c r="K18" s="1" cm="1">
        <f t="array" ref="K18">_xlfn.LET(_xlpm.d,K$2:K$13,_xlpm.a,$C$2:$C$13=$C18,_xlpm.b,$D$2:$D$13=$D18,MAX(_xlfn._xlws.FILTER(_xlpm.d,_xlpm.a*_xlpm.b)))</f>
        <v>0.95</v>
      </c>
      <c r="L18" s="1" cm="1">
        <f t="array" ref="L18">_xlfn.LET(_xlpm.d,L$2:L$13,_xlpm.a,$C$2:$C$13=$C18,_xlpm.b,$D$2:$D$13=$D18,MAX(_xlfn._xlws.FILTER(_xlpm.d,_xlpm.a*_xlpm.b)))</f>
        <v>0.95</v>
      </c>
      <c r="M18" s="1" cm="1">
        <f t="array" ref="M18">_xlfn.LET(_xlpm.d,M$2:M$13,_xlpm.a,$C$2:$C$13=$C18,_xlpm.b,$D$2:$D$13=$D18,MAX(_xlfn._xlws.FILTER(_xlpm.d,_xlpm.a*_xlpm.b)))</f>
        <v>0.94</v>
      </c>
      <c r="N18" s="1" cm="1">
        <f t="array" ref="N18">_xlfn.LET(_xlpm.d,N$2:N$13,_xlpm.a,$C$2:$C$13=$C18,_xlpm.b,$D$2:$D$13=$D18,MAX(_xlfn._xlws.FILTER(_xlpm.d,_xlpm.a*_xlpm.b)))</f>
        <v>0.93</v>
      </c>
      <c r="O18" s="1" cm="1">
        <f t="array" ref="O18">_xlfn.LET(_xlpm.d,O$2:O$13,_xlpm.a,$C$2:$C$13=$C18,_xlpm.b,$D$2:$D$13=$D18,MAX(_xlfn._xlws.FILTER(_xlpm.d,_xlpm.a*_xlpm.b)))</f>
        <v>0.93</v>
      </c>
      <c r="P18" s="1" cm="1">
        <f t="array" ref="P18">_xlfn.LET(_xlpm.d,P$2:P$13,_xlpm.a,$C$2:$C$13=$C18,_xlpm.b,$D$2:$D$13=$D18,MAX(_xlfn._xlws.FILTER(_xlpm.d,_xlpm.a*_xlpm.b)))</f>
        <v>0.96</v>
      </c>
      <c r="Q18" s="1" cm="1">
        <f t="array" ref="Q18">_xlfn.LET(_xlpm.d,Q$2:Q$13,_xlpm.a,$C$2:$C$13=$C18,_xlpm.b,$D$2:$D$13=$D18,MAX(_xlfn._xlws.FILTER(_xlpm.d,_xlpm.a*_xlpm.b)))</f>
        <v>0.94</v>
      </c>
      <c r="R18" s="1" cm="1">
        <f t="array" ref="R18">_xlfn.LET(_xlpm.d,R$2:R$13,_xlpm.a,$C$2:$C$13=$C18,_xlpm.b,$D$2:$D$13=$D18,MAX(_xlfn._xlws.FILTER(_xlpm.d,_xlpm.a*_xlpm.b)))</f>
        <v>0.94</v>
      </c>
      <c r="S18" s="1" cm="1">
        <f t="array" ref="S18">_xlfn.LET(_xlpm.d,S$2:S$13,_xlpm.a,$C$2:$C$13=$C18,_xlpm.b,$D$2:$D$13=$D18,MAX(_xlfn._xlws.FILTER(_xlpm.d,_xlpm.a*_xlpm.b)))</f>
        <v>0.96</v>
      </c>
    </row>
    <row r="19" spans="2:19" ht="25" customHeight="1">
      <c r="B19">
        <v>2</v>
      </c>
      <c r="C19" t="s">
        <v>9</v>
      </c>
      <c r="D19" t="b">
        <v>1</v>
      </c>
      <c r="E19">
        <v>1</v>
      </c>
      <c r="F19" t="s">
        <v>4</v>
      </c>
      <c r="G19" s="1" cm="1">
        <f t="array" ref="G19">_xlfn.LET(_xlpm.d,G$2:G$13,_xlpm.a,$C$2:$C$13=$C19,_xlpm.b,$D$2:$D$13=$D19,MAX(_xlfn._xlws.FILTER(_xlpm.d,_xlpm.a*_xlpm.b)))</f>
        <v>0.76</v>
      </c>
      <c r="H19" s="1" cm="1">
        <f t="array" ref="H19">_xlfn.LET(_xlpm.d,H$2:H$13,_xlpm.a,$C$2:$C$13=$C19,_xlpm.b,$D$2:$D$13=$D19,MAX(_xlfn._xlws.FILTER(_xlpm.d,_xlpm.a*_xlpm.b)))</f>
        <v>0.81</v>
      </c>
      <c r="I19" s="1" cm="1">
        <f t="array" ref="I19">_xlfn.LET(_xlpm.d,I$2:I$13,_xlpm.a,$C$2:$C$13=$C19,_xlpm.b,$D$2:$D$13=$D19,MAX(_xlfn._xlws.FILTER(_xlpm.d,_xlpm.a*_xlpm.b)))</f>
        <v>0.79</v>
      </c>
      <c r="J19" s="1" cm="1">
        <f t="array" ref="J19">_xlfn.LET(_xlpm.d,J$2:J$13,_xlpm.a,$C$2:$C$13=$C19,_xlpm.b,$D$2:$D$13=$D19,MAX(_xlfn._xlws.FILTER(_xlpm.d,_xlpm.a*_xlpm.b)))</f>
        <v>0.8</v>
      </c>
      <c r="K19" s="1" cm="1">
        <f t="array" ref="K19">_xlfn.LET(_xlpm.d,K$2:K$13,_xlpm.a,$C$2:$C$13=$C19,_xlpm.b,$D$2:$D$13=$D19,MAX(_xlfn._xlws.FILTER(_xlpm.d,_xlpm.a*_xlpm.b)))</f>
        <v>0.79</v>
      </c>
      <c r="L19" s="1" cm="1">
        <f t="array" ref="L19">_xlfn.LET(_xlpm.d,L$2:L$13,_xlpm.a,$C$2:$C$13=$C19,_xlpm.b,$D$2:$D$13=$D19,MAX(_xlfn._xlws.FILTER(_xlpm.d,_xlpm.a*_xlpm.b)))</f>
        <v>0.72</v>
      </c>
      <c r="M19" s="1" cm="1">
        <f t="array" ref="M19">_xlfn.LET(_xlpm.d,M$2:M$13,_xlpm.a,$C$2:$C$13=$C19,_xlpm.b,$D$2:$D$13=$D19,MAX(_xlfn._xlws.FILTER(_xlpm.d,_xlpm.a*_xlpm.b)))</f>
        <v>0.82</v>
      </c>
      <c r="N19" s="1" cm="1">
        <f t="array" ref="N19">_xlfn.LET(_xlpm.d,N$2:N$13,_xlpm.a,$C$2:$C$13=$C19,_xlpm.b,$D$2:$D$13=$D19,MAX(_xlfn._xlws.FILTER(_xlpm.d,_xlpm.a*_xlpm.b)))</f>
        <v>0.81</v>
      </c>
      <c r="O19" s="1" cm="1">
        <f t="array" ref="O19">_xlfn.LET(_xlpm.d,O$2:O$13,_xlpm.a,$C$2:$C$13=$C19,_xlpm.b,$D$2:$D$13=$D19,MAX(_xlfn._xlws.FILTER(_xlpm.d,_xlpm.a*_xlpm.b)))</f>
        <v>0.78</v>
      </c>
      <c r="P19" s="1" cm="1">
        <f t="array" ref="P19">_xlfn.LET(_xlpm.d,P$2:P$13,_xlpm.a,$C$2:$C$13=$C19,_xlpm.b,$D$2:$D$13=$D19,MAX(_xlfn._xlws.FILTER(_xlpm.d,_xlpm.a*_xlpm.b)))</f>
        <v>0.85</v>
      </c>
      <c r="Q19" s="1" cm="1">
        <f t="array" ref="Q19">_xlfn.LET(_xlpm.d,Q$2:Q$13,_xlpm.a,$C$2:$C$13=$C19,_xlpm.b,$D$2:$D$13=$D19,MAX(_xlfn._xlws.FILTER(_xlpm.d,_xlpm.a*_xlpm.b)))</f>
        <v>0.78</v>
      </c>
      <c r="R19" s="1" cm="1">
        <f t="array" ref="R19">_xlfn.LET(_xlpm.d,R$2:R$13,_xlpm.a,$C$2:$C$13=$C19,_xlpm.b,$D$2:$D$13=$D19,MAX(_xlfn._xlws.FILTER(_xlpm.d,_xlpm.a*_xlpm.b)))</f>
        <v>0.81</v>
      </c>
      <c r="S19" s="1" cm="1">
        <f t="array" ref="S19">_xlfn.LET(_xlpm.d,S$2:S$13,_xlpm.a,$C$2:$C$13=$C19,_xlpm.b,$D$2:$D$13=$D19,MAX(_xlfn._xlws.FILTER(_xlpm.d,_xlpm.a*_xlpm.b)))</f>
        <v>0.85</v>
      </c>
    </row>
    <row r="20" spans="2:19" ht="25" customHeight="1">
      <c r="B20">
        <v>2</v>
      </c>
      <c r="C20" t="s">
        <v>9</v>
      </c>
      <c r="D20" t="b">
        <v>0</v>
      </c>
      <c r="E20">
        <v>1</v>
      </c>
      <c r="F20" t="s">
        <v>4</v>
      </c>
      <c r="G20" s="1" cm="1">
        <f t="array" ref="G20">_xlfn.LET(_xlpm.d,G$2:G$13,_xlpm.a,$C$2:$C$13=$C20,_xlpm.b,$D$2:$D$13=$D20,MAX(_xlfn._xlws.FILTER(_xlpm.d,_xlpm.a*_xlpm.b)))</f>
        <v>0.78</v>
      </c>
      <c r="H20" s="1" cm="1">
        <f t="array" ref="H20">_xlfn.LET(_xlpm.d,H$2:H$13,_xlpm.a,$C$2:$C$13=$C20,_xlpm.b,$D$2:$D$13=$D20,MAX(_xlfn._xlws.FILTER(_xlpm.d,_xlpm.a*_xlpm.b)))</f>
        <v>0.8</v>
      </c>
      <c r="I20" s="1" cm="1">
        <f t="array" ref="I20">_xlfn.LET(_xlpm.d,I$2:I$13,_xlpm.a,$C$2:$C$13=$C20,_xlpm.b,$D$2:$D$13=$D20,MAX(_xlfn._xlws.FILTER(_xlpm.d,_xlpm.a*_xlpm.b)))</f>
        <v>0.79</v>
      </c>
      <c r="J20" s="1" cm="1">
        <f t="array" ref="J20">_xlfn.LET(_xlpm.d,J$2:J$13,_xlpm.a,$C$2:$C$13=$C20,_xlpm.b,$D$2:$D$13=$D20,MAX(_xlfn._xlws.FILTER(_xlpm.d,_xlpm.a*_xlpm.b)))</f>
        <v>0.78</v>
      </c>
      <c r="K20" s="1" cm="1">
        <f t="array" ref="K20">_xlfn.LET(_xlpm.d,K$2:K$13,_xlpm.a,$C$2:$C$13=$C20,_xlpm.b,$D$2:$D$13=$D20,MAX(_xlfn._xlws.FILTER(_xlpm.d,_xlpm.a*_xlpm.b)))</f>
        <v>0.8</v>
      </c>
      <c r="L20" s="1" cm="1">
        <f t="array" ref="L20">_xlfn.LET(_xlpm.d,L$2:L$13,_xlpm.a,$C$2:$C$13=$C20,_xlpm.b,$D$2:$D$13=$D20,MAX(_xlfn._xlws.FILTER(_xlpm.d,_xlpm.a*_xlpm.b)))</f>
        <v>0.76</v>
      </c>
      <c r="M20" s="1" cm="1">
        <f t="array" ref="M20">_xlfn.LET(_xlpm.d,M$2:M$13,_xlpm.a,$C$2:$C$13=$C20,_xlpm.b,$D$2:$D$13=$D20,MAX(_xlfn._xlws.FILTER(_xlpm.d,_xlpm.a*_xlpm.b)))</f>
        <v>0.79</v>
      </c>
      <c r="N20" s="1" cm="1">
        <f t="array" ref="N20">_xlfn.LET(_xlpm.d,N$2:N$13,_xlpm.a,$C$2:$C$13=$C20,_xlpm.b,$D$2:$D$13=$D20,MAX(_xlfn._xlws.FILTER(_xlpm.d,_xlpm.a*_xlpm.b)))</f>
        <v>0.81</v>
      </c>
      <c r="O20" s="1" cm="1">
        <f t="array" ref="O20">_xlfn.LET(_xlpm.d,O$2:O$13,_xlpm.a,$C$2:$C$13=$C20,_xlpm.b,$D$2:$D$13=$D20,MAX(_xlfn._xlws.FILTER(_xlpm.d,_xlpm.a*_xlpm.b)))</f>
        <v>0.77</v>
      </c>
      <c r="P20" s="1" cm="1">
        <f t="array" ref="P20">_xlfn.LET(_xlpm.d,P$2:P$13,_xlpm.a,$C$2:$C$13=$C20,_xlpm.b,$D$2:$D$13=$D20,MAX(_xlfn._xlws.FILTER(_xlpm.d,_xlpm.a*_xlpm.b)))</f>
        <v>0.82</v>
      </c>
      <c r="Q20" s="1" cm="1">
        <f t="array" ref="Q20">_xlfn.LET(_xlpm.d,Q$2:Q$13,_xlpm.a,$C$2:$C$13=$C20,_xlpm.b,$D$2:$D$13=$D20,MAX(_xlfn._xlws.FILTER(_xlpm.d,_xlpm.a*_xlpm.b)))</f>
        <v>0.78</v>
      </c>
      <c r="R20" s="1" cm="1">
        <f t="array" ref="R20">_xlfn.LET(_xlpm.d,R$2:R$13,_xlpm.a,$C$2:$C$13=$C20,_xlpm.b,$D$2:$D$13=$D20,MAX(_xlfn._xlws.FILTER(_xlpm.d,_xlpm.a*_xlpm.b)))</f>
        <v>0.81</v>
      </c>
      <c r="S20" s="1" cm="1">
        <f t="array" ref="S20">_xlfn.LET(_xlpm.d,S$2:S$13,_xlpm.a,$C$2:$C$13=$C20,_xlpm.b,$D$2:$D$13=$D20,MAX(_xlfn._xlws.FILTER(_xlpm.d,_xlpm.a*_xlpm.b)))</f>
        <v>0.82</v>
      </c>
    </row>
  </sheetData>
  <conditionalFormatting sqref="G2:S1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BAB0-FC46-0344-AE12-E4A14E854FF2}">
  <dimension ref="A1:S20"/>
  <sheetViews>
    <sheetView workbookViewId="0">
      <pane xSplit="10700" ySplit="3520" topLeftCell="H11" activePane="bottomLeft"/>
      <selection activeCell="G2" sqref="G2:S13"/>
      <selection pane="topRight" activeCell="U4" sqref="U4"/>
      <selection pane="bottomLeft" activeCell="B17" sqref="B17:S20"/>
      <selection pane="bottomRight" activeCell="K11" sqref="K11"/>
    </sheetView>
  </sheetViews>
  <sheetFormatPr baseColWidth="10" defaultRowHeight="25" customHeight="1"/>
  <cols>
    <col min="2" max="2" width="8.875" customWidth="1"/>
    <col min="4" max="4" width="8.875" customWidth="1"/>
    <col min="5" max="5" width="8.75" customWidth="1"/>
    <col min="6" max="6" width="6.75" customWidth="1"/>
    <col min="7" max="19" width="8.375" customWidth="1"/>
  </cols>
  <sheetData>
    <row r="1" spans="1:19" ht="25" customHeight="1">
      <c r="A1" t="s">
        <v>0</v>
      </c>
      <c r="B1" t="s">
        <v>10</v>
      </c>
      <c r="C1" t="s">
        <v>1</v>
      </c>
      <c r="D1" t="s">
        <v>2</v>
      </c>
      <c r="E1" t="s">
        <v>11</v>
      </c>
      <c r="F1" t="s">
        <v>3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  <c r="L1" t="s">
        <v>33</v>
      </c>
      <c r="M1" t="s">
        <v>32</v>
      </c>
      <c r="N1" t="s">
        <v>31</v>
      </c>
      <c r="O1" t="s">
        <v>30</v>
      </c>
      <c r="P1" t="s">
        <v>29</v>
      </c>
      <c r="Q1" t="s">
        <v>28</v>
      </c>
      <c r="R1" t="s">
        <v>27</v>
      </c>
      <c r="S1" t="s">
        <v>4</v>
      </c>
    </row>
    <row r="2" spans="1:19" ht="25" customHeight="1">
      <c r="A2" t="s">
        <v>26</v>
      </c>
      <c r="B2">
        <v>1</v>
      </c>
      <c r="C2" t="s">
        <v>5</v>
      </c>
      <c r="D2" t="b">
        <v>1</v>
      </c>
      <c r="E2">
        <v>1</v>
      </c>
      <c r="F2" t="s">
        <v>8</v>
      </c>
      <c r="G2" s="1">
        <v>0.88</v>
      </c>
      <c r="H2" s="1">
        <v>0.88</v>
      </c>
      <c r="I2" s="1">
        <v>0.87</v>
      </c>
      <c r="J2" s="1">
        <v>0.92</v>
      </c>
      <c r="K2" s="1">
        <v>0.89</v>
      </c>
      <c r="L2" s="1">
        <v>0.9</v>
      </c>
      <c r="M2" s="1">
        <v>0.89</v>
      </c>
      <c r="N2" s="1">
        <v>0.87</v>
      </c>
      <c r="O2" s="1">
        <v>0.85</v>
      </c>
      <c r="P2" s="1">
        <v>0.87</v>
      </c>
      <c r="Q2" s="1">
        <v>0.92</v>
      </c>
      <c r="R2" s="1">
        <v>0.88</v>
      </c>
      <c r="S2" s="1">
        <f t="shared" ref="S2:S13" si="0">MAX($G2:$R2)</f>
        <v>0.92</v>
      </c>
    </row>
    <row r="3" spans="1:19" ht="25" customHeight="1">
      <c r="A3" t="s">
        <v>26</v>
      </c>
      <c r="B3">
        <v>1</v>
      </c>
      <c r="C3" t="s">
        <v>5</v>
      </c>
      <c r="D3" t="b">
        <v>1</v>
      </c>
      <c r="E3">
        <v>2</v>
      </c>
      <c r="F3" t="s">
        <v>7</v>
      </c>
      <c r="G3" s="1">
        <v>0.88</v>
      </c>
      <c r="H3" s="1">
        <v>0.93</v>
      </c>
      <c r="I3" s="1">
        <v>0.89</v>
      </c>
      <c r="J3" s="1">
        <v>0.94</v>
      </c>
      <c r="K3" s="1">
        <v>0.94</v>
      </c>
      <c r="L3" s="1">
        <v>0.92</v>
      </c>
      <c r="M3" s="1">
        <v>0.91</v>
      </c>
      <c r="N3" s="1">
        <v>0.9</v>
      </c>
      <c r="O3" s="1">
        <v>0.92</v>
      </c>
      <c r="P3" s="1">
        <v>0.93</v>
      </c>
      <c r="Q3" s="1">
        <v>0.95</v>
      </c>
      <c r="R3" s="1">
        <v>0.91</v>
      </c>
      <c r="S3" s="1">
        <f t="shared" si="0"/>
        <v>0.95</v>
      </c>
    </row>
    <row r="4" spans="1:19" ht="25" customHeight="1">
      <c r="A4" t="s">
        <v>26</v>
      </c>
      <c r="B4">
        <v>1</v>
      </c>
      <c r="C4" t="s">
        <v>5</v>
      </c>
      <c r="D4" t="b">
        <v>1</v>
      </c>
      <c r="E4">
        <v>3</v>
      </c>
      <c r="F4" t="s">
        <v>6</v>
      </c>
      <c r="G4" s="1">
        <v>0.9</v>
      </c>
      <c r="H4" s="1">
        <v>0.92</v>
      </c>
      <c r="I4" s="1">
        <v>0.93</v>
      </c>
      <c r="J4" s="1">
        <v>0.94</v>
      </c>
      <c r="K4" s="1">
        <v>0.93</v>
      </c>
      <c r="L4" s="1">
        <v>0.93</v>
      </c>
      <c r="M4" s="1">
        <v>0.92</v>
      </c>
      <c r="N4" s="1">
        <v>0.91</v>
      </c>
      <c r="O4" s="1">
        <v>0.91</v>
      </c>
      <c r="P4" s="1">
        <v>0.94</v>
      </c>
      <c r="Q4" s="1">
        <v>0.91</v>
      </c>
      <c r="R4" s="1">
        <v>0.89</v>
      </c>
      <c r="S4" s="1">
        <f t="shared" si="0"/>
        <v>0.94</v>
      </c>
    </row>
    <row r="5" spans="1:19" ht="25" customHeight="1">
      <c r="A5" t="s">
        <v>26</v>
      </c>
      <c r="B5">
        <v>1</v>
      </c>
      <c r="C5" t="s">
        <v>5</v>
      </c>
      <c r="D5" t="b">
        <v>0</v>
      </c>
      <c r="E5">
        <v>1</v>
      </c>
      <c r="F5" t="s">
        <v>8</v>
      </c>
      <c r="G5" s="1">
        <v>0.9</v>
      </c>
      <c r="H5" s="1">
        <v>0.89</v>
      </c>
      <c r="I5" s="1">
        <v>0.88</v>
      </c>
      <c r="J5" s="1">
        <v>0.89</v>
      </c>
      <c r="K5" s="1">
        <v>0.89</v>
      </c>
      <c r="L5" s="1">
        <v>0.88</v>
      </c>
      <c r="M5" s="1">
        <v>0.89</v>
      </c>
      <c r="N5" s="1">
        <v>0.9</v>
      </c>
      <c r="O5" s="1">
        <v>0.85</v>
      </c>
      <c r="P5" s="1">
        <v>0.88</v>
      </c>
      <c r="Q5" s="1">
        <v>0.89</v>
      </c>
      <c r="R5" s="1">
        <v>0.86</v>
      </c>
      <c r="S5" s="1">
        <f t="shared" si="0"/>
        <v>0.9</v>
      </c>
    </row>
    <row r="6" spans="1:19" ht="25" customHeight="1">
      <c r="A6" t="s">
        <v>26</v>
      </c>
      <c r="B6">
        <v>1</v>
      </c>
      <c r="C6" t="s">
        <v>5</v>
      </c>
      <c r="D6" t="b">
        <v>0</v>
      </c>
      <c r="E6">
        <v>2</v>
      </c>
      <c r="F6" t="s">
        <v>7</v>
      </c>
      <c r="G6" s="1">
        <v>0.9</v>
      </c>
      <c r="H6" s="1">
        <v>0.92</v>
      </c>
      <c r="I6" s="1">
        <v>0.89</v>
      </c>
      <c r="J6" s="1">
        <v>0.95</v>
      </c>
      <c r="K6" s="1">
        <v>0.93</v>
      </c>
      <c r="L6" s="1">
        <v>0.91</v>
      </c>
      <c r="M6" s="1">
        <v>0.91</v>
      </c>
      <c r="N6" s="1">
        <v>0.89</v>
      </c>
      <c r="O6" s="1">
        <v>0.89</v>
      </c>
      <c r="P6" s="1">
        <v>0.93</v>
      </c>
      <c r="Q6" s="1">
        <v>0.94</v>
      </c>
      <c r="R6" s="1">
        <v>0.92</v>
      </c>
      <c r="S6" s="1">
        <f t="shared" si="0"/>
        <v>0.95</v>
      </c>
    </row>
    <row r="7" spans="1:19" ht="25" customHeight="1">
      <c r="A7" t="s">
        <v>26</v>
      </c>
      <c r="B7">
        <v>1</v>
      </c>
      <c r="C7" t="s">
        <v>5</v>
      </c>
      <c r="D7" t="b">
        <v>0</v>
      </c>
      <c r="E7">
        <v>3</v>
      </c>
      <c r="F7" t="s">
        <v>6</v>
      </c>
      <c r="G7" s="1">
        <v>0.91</v>
      </c>
      <c r="H7" s="1">
        <v>0.92</v>
      </c>
      <c r="I7" s="1">
        <v>0.88</v>
      </c>
      <c r="J7" s="1">
        <v>0.94</v>
      </c>
      <c r="K7" s="1">
        <v>0.94</v>
      </c>
      <c r="L7" s="1">
        <v>0.94</v>
      </c>
      <c r="M7" s="1">
        <v>0.92</v>
      </c>
      <c r="N7" s="1">
        <v>0.93</v>
      </c>
      <c r="O7" s="1">
        <v>0.92</v>
      </c>
      <c r="P7" s="1">
        <v>0.92</v>
      </c>
      <c r="Q7" s="1">
        <v>0.96</v>
      </c>
      <c r="R7" s="1">
        <v>0.9</v>
      </c>
      <c r="S7" s="1">
        <f t="shared" si="0"/>
        <v>0.96</v>
      </c>
    </row>
    <row r="8" spans="1:19" ht="25" customHeight="1">
      <c r="A8" t="s">
        <v>26</v>
      </c>
      <c r="B8">
        <v>2</v>
      </c>
      <c r="C8" t="s">
        <v>9</v>
      </c>
      <c r="D8" t="b">
        <v>1</v>
      </c>
      <c r="E8">
        <v>1</v>
      </c>
      <c r="F8" t="s">
        <v>8</v>
      </c>
      <c r="G8" s="1">
        <v>0.79</v>
      </c>
      <c r="H8" s="1">
        <v>0.64</v>
      </c>
      <c r="I8" s="1">
        <v>0.75</v>
      </c>
      <c r="J8" s="1">
        <v>0.73</v>
      </c>
      <c r="K8" s="1">
        <v>0.7</v>
      </c>
      <c r="L8" s="1">
        <v>0.72</v>
      </c>
      <c r="M8" s="1">
        <v>0.73</v>
      </c>
      <c r="N8" s="1">
        <v>0.73</v>
      </c>
      <c r="O8" s="1">
        <v>0.75</v>
      </c>
      <c r="P8" s="1">
        <v>0.7</v>
      </c>
      <c r="Q8" s="1">
        <v>0.66</v>
      </c>
      <c r="R8" s="1">
        <v>0.67</v>
      </c>
      <c r="S8" s="1">
        <f t="shared" si="0"/>
        <v>0.79</v>
      </c>
    </row>
    <row r="9" spans="1:19" ht="25" customHeight="1">
      <c r="A9" t="s">
        <v>26</v>
      </c>
      <c r="B9">
        <v>2</v>
      </c>
      <c r="C9" t="s">
        <v>9</v>
      </c>
      <c r="D9" t="b">
        <v>1</v>
      </c>
      <c r="E9">
        <v>2</v>
      </c>
      <c r="F9" t="s">
        <v>7</v>
      </c>
      <c r="G9" s="1">
        <v>0.84</v>
      </c>
      <c r="H9" s="1">
        <v>0.78</v>
      </c>
      <c r="I9" s="1">
        <v>0.79</v>
      </c>
      <c r="J9" s="1">
        <v>0.78</v>
      </c>
      <c r="K9" s="1">
        <v>0.74</v>
      </c>
      <c r="L9" s="1">
        <v>0.78</v>
      </c>
      <c r="M9" s="1">
        <v>0.75</v>
      </c>
      <c r="N9" s="1">
        <v>0.78</v>
      </c>
      <c r="O9" s="1">
        <v>0.82</v>
      </c>
      <c r="P9" s="1">
        <v>0.82</v>
      </c>
      <c r="Q9" s="1">
        <v>0.77</v>
      </c>
      <c r="R9" s="1">
        <v>0.73</v>
      </c>
      <c r="S9" s="1">
        <f t="shared" si="0"/>
        <v>0.84</v>
      </c>
    </row>
    <row r="10" spans="1:19" ht="25" customHeight="1">
      <c r="A10" t="s">
        <v>26</v>
      </c>
      <c r="B10">
        <v>2</v>
      </c>
      <c r="C10" t="s">
        <v>9</v>
      </c>
      <c r="D10" t="b">
        <v>1</v>
      </c>
      <c r="E10">
        <v>3</v>
      </c>
      <c r="F10" t="s">
        <v>6</v>
      </c>
      <c r="G10" s="1">
        <v>0.81</v>
      </c>
      <c r="H10" s="1">
        <v>0.73</v>
      </c>
      <c r="I10" s="1">
        <v>0.76</v>
      </c>
      <c r="J10" s="1">
        <v>0.72</v>
      </c>
      <c r="K10" s="1">
        <v>0.71</v>
      </c>
      <c r="L10" s="1">
        <v>0.81</v>
      </c>
      <c r="M10" s="1">
        <v>0.79</v>
      </c>
      <c r="N10" s="1">
        <v>0.72</v>
      </c>
      <c r="O10" s="1">
        <v>0.81</v>
      </c>
      <c r="P10" s="1">
        <v>0.77</v>
      </c>
      <c r="Q10" s="1">
        <v>0.78</v>
      </c>
      <c r="R10" s="1">
        <v>0.74</v>
      </c>
      <c r="S10" s="1">
        <f t="shared" si="0"/>
        <v>0.81</v>
      </c>
    </row>
    <row r="11" spans="1:19" ht="25" customHeight="1">
      <c r="A11" t="s">
        <v>26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 s="1">
        <v>0.73</v>
      </c>
      <c r="H11" s="1">
        <v>0.67</v>
      </c>
      <c r="I11" s="1">
        <v>0.74</v>
      </c>
      <c r="J11" s="1">
        <v>0.64</v>
      </c>
      <c r="K11" s="1">
        <v>0.68</v>
      </c>
      <c r="L11" s="1">
        <v>0.67</v>
      </c>
      <c r="M11" s="1">
        <v>0.74</v>
      </c>
      <c r="N11" s="1">
        <v>0.79</v>
      </c>
      <c r="O11" s="1">
        <v>0.73</v>
      </c>
      <c r="P11" s="1">
        <v>0.73</v>
      </c>
      <c r="Q11" s="1">
        <v>0.72</v>
      </c>
      <c r="R11" s="1">
        <v>0.69</v>
      </c>
      <c r="S11" s="1">
        <f t="shared" si="0"/>
        <v>0.79</v>
      </c>
    </row>
    <row r="12" spans="1:19" ht="25" customHeight="1">
      <c r="A12" t="s">
        <v>26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 s="1">
        <v>0.8</v>
      </c>
      <c r="H12" s="1">
        <v>0.76</v>
      </c>
      <c r="I12" s="1">
        <v>0.79</v>
      </c>
      <c r="J12" s="1">
        <v>0.76</v>
      </c>
      <c r="K12" s="1">
        <v>0.77</v>
      </c>
      <c r="L12" s="1">
        <v>0.77</v>
      </c>
      <c r="M12" s="1">
        <v>0.79</v>
      </c>
      <c r="N12" s="1">
        <v>0.81</v>
      </c>
      <c r="O12" s="1">
        <v>0.81</v>
      </c>
      <c r="P12" s="1">
        <v>0.84</v>
      </c>
      <c r="Q12" s="1">
        <v>0.76</v>
      </c>
      <c r="R12" s="1">
        <v>0.75</v>
      </c>
      <c r="S12" s="1">
        <f t="shared" si="0"/>
        <v>0.84</v>
      </c>
    </row>
    <row r="13" spans="1:19" ht="25" customHeight="1">
      <c r="A13" t="s">
        <v>26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 s="1">
        <v>0.81</v>
      </c>
      <c r="H13" s="1">
        <v>0.73</v>
      </c>
      <c r="I13" s="1">
        <v>0.78</v>
      </c>
      <c r="J13" s="1">
        <v>0.73</v>
      </c>
      <c r="K13" s="1">
        <v>0.73</v>
      </c>
      <c r="L13" s="1">
        <v>0.81</v>
      </c>
      <c r="M13" s="1">
        <v>0.73</v>
      </c>
      <c r="N13" s="1">
        <v>0.74</v>
      </c>
      <c r="O13" s="1">
        <v>0.82</v>
      </c>
      <c r="P13" s="1">
        <v>0.8</v>
      </c>
      <c r="Q13" s="1">
        <v>0.79</v>
      </c>
      <c r="R13" s="1">
        <v>0.77</v>
      </c>
      <c r="S13" s="1">
        <f t="shared" si="0"/>
        <v>0.82</v>
      </c>
    </row>
    <row r="16" spans="1:19" ht="25" customHeight="1">
      <c r="B16" t="s">
        <v>10</v>
      </c>
      <c r="C16" t="s">
        <v>1</v>
      </c>
      <c r="D16" t="s">
        <v>13</v>
      </c>
      <c r="E16" t="s">
        <v>11</v>
      </c>
      <c r="F16" t="s">
        <v>12</v>
      </c>
      <c r="G16" t="s">
        <v>14</v>
      </c>
      <c r="H16" t="s">
        <v>15</v>
      </c>
      <c r="I16" t="s">
        <v>16</v>
      </c>
      <c r="J16" t="s">
        <v>17</v>
      </c>
      <c r="K16" t="s">
        <v>18</v>
      </c>
      <c r="L16" t="s">
        <v>19</v>
      </c>
      <c r="M16" t="s">
        <v>20</v>
      </c>
      <c r="N16" t="s">
        <v>21</v>
      </c>
      <c r="O16" t="s">
        <v>22</v>
      </c>
      <c r="P16" t="s">
        <v>23</v>
      </c>
      <c r="Q16" t="s">
        <v>24</v>
      </c>
      <c r="R16" t="s">
        <v>25</v>
      </c>
      <c r="S16" t="s">
        <v>4</v>
      </c>
    </row>
    <row r="17" spans="2:19" ht="25" customHeight="1">
      <c r="B17">
        <v>1</v>
      </c>
      <c r="C17" t="s">
        <v>5</v>
      </c>
      <c r="D17" t="b">
        <v>1</v>
      </c>
      <c r="E17">
        <v>1</v>
      </c>
      <c r="F17" t="s">
        <v>4</v>
      </c>
      <c r="G17" s="1" cm="1">
        <f t="array" ref="G17">_xlfn.LET(_xlpm.d,G$2:G$13,_xlpm.a,$C$2:$C$13=$C17,_xlpm.b,$D$2:$D$13=$D17,MAX(_xlfn._xlws.FILTER(_xlpm.d,_xlpm.a*_xlpm.b)))</f>
        <v>0.9</v>
      </c>
      <c r="H17" s="1" cm="1">
        <f t="array" ref="H17">_xlfn.LET(_xlpm.d,H$2:H$13,_xlpm.a,$C$2:$C$13=$C17,_xlpm.b,$D$2:$D$13=$D17,MAX(_xlfn._xlws.FILTER(_xlpm.d,_xlpm.a*_xlpm.b)))</f>
        <v>0.93</v>
      </c>
      <c r="I17" s="1" cm="1">
        <f t="array" ref="I17">_xlfn.LET(_xlpm.d,I$2:I$13,_xlpm.a,$C$2:$C$13=$C17,_xlpm.b,$D$2:$D$13=$D17,MAX(_xlfn._xlws.FILTER(_xlpm.d,_xlpm.a*_xlpm.b)))</f>
        <v>0.93</v>
      </c>
      <c r="J17" s="1" cm="1">
        <f t="array" ref="J17">_xlfn.LET(_xlpm.d,J$2:J$13,_xlpm.a,$C$2:$C$13=$C17,_xlpm.b,$D$2:$D$13=$D17,MAX(_xlfn._xlws.FILTER(_xlpm.d,_xlpm.a*_xlpm.b)))</f>
        <v>0.94</v>
      </c>
      <c r="K17" s="1" cm="1">
        <f t="array" ref="K17">_xlfn.LET(_xlpm.d,K$2:K$13,_xlpm.a,$C$2:$C$13=$C17,_xlpm.b,$D$2:$D$13=$D17,MAX(_xlfn._xlws.FILTER(_xlpm.d,_xlpm.a*_xlpm.b)))</f>
        <v>0.94</v>
      </c>
      <c r="L17" s="1" cm="1">
        <f t="array" ref="L17">_xlfn.LET(_xlpm.d,L$2:L$13,_xlpm.a,$C$2:$C$13=$C17,_xlpm.b,$D$2:$D$13=$D17,MAX(_xlfn._xlws.FILTER(_xlpm.d,_xlpm.a*_xlpm.b)))</f>
        <v>0.93</v>
      </c>
      <c r="M17" s="1" cm="1">
        <f t="array" ref="M17">_xlfn.LET(_xlpm.d,M$2:M$13,_xlpm.a,$C$2:$C$13=$C17,_xlpm.b,$D$2:$D$13=$D17,MAX(_xlfn._xlws.FILTER(_xlpm.d,_xlpm.a*_xlpm.b)))</f>
        <v>0.92</v>
      </c>
      <c r="N17" s="1" cm="1">
        <f t="array" ref="N17">_xlfn.LET(_xlpm.d,N$2:N$13,_xlpm.a,$C$2:$C$13=$C17,_xlpm.b,$D$2:$D$13=$D17,MAX(_xlfn._xlws.FILTER(_xlpm.d,_xlpm.a*_xlpm.b)))</f>
        <v>0.91</v>
      </c>
      <c r="O17" s="1" cm="1">
        <f t="array" ref="O17">_xlfn.LET(_xlpm.d,O$2:O$13,_xlpm.a,$C$2:$C$13=$C17,_xlpm.b,$D$2:$D$13=$D17,MAX(_xlfn._xlws.FILTER(_xlpm.d,_xlpm.a*_xlpm.b)))</f>
        <v>0.92</v>
      </c>
      <c r="P17" s="1" cm="1">
        <f t="array" ref="P17">_xlfn.LET(_xlpm.d,P$2:P$13,_xlpm.a,$C$2:$C$13=$C17,_xlpm.b,$D$2:$D$13=$D17,MAX(_xlfn._xlws.FILTER(_xlpm.d,_xlpm.a*_xlpm.b)))</f>
        <v>0.94</v>
      </c>
      <c r="Q17" s="1" cm="1">
        <f t="array" ref="Q17">_xlfn.LET(_xlpm.d,Q$2:Q$13,_xlpm.a,$C$2:$C$13=$C17,_xlpm.b,$D$2:$D$13=$D17,MAX(_xlfn._xlws.FILTER(_xlpm.d,_xlpm.a*_xlpm.b)))</f>
        <v>0.95</v>
      </c>
      <c r="R17" s="1" cm="1">
        <f t="array" ref="R17">_xlfn.LET(_xlpm.d,R$2:R$13,_xlpm.a,$C$2:$C$13=$C17,_xlpm.b,$D$2:$D$13=$D17,MAX(_xlfn._xlws.FILTER(_xlpm.d,_xlpm.a*_xlpm.b)))</f>
        <v>0.91</v>
      </c>
      <c r="S17" s="1" cm="1">
        <f t="array" ref="S17">_xlfn.LET(_xlpm.d,S$2:S$13,_xlpm.a,$C$2:$C$13=$C17,_xlpm.b,$D$2:$D$13=$D17,MAX(_xlfn._xlws.FILTER(_xlpm.d,_xlpm.a*_xlpm.b)))</f>
        <v>0.95</v>
      </c>
    </row>
    <row r="18" spans="2:19" ht="25" customHeight="1">
      <c r="B18">
        <v>1</v>
      </c>
      <c r="C18" t="s">
        <v>5</v>
      </c>
      <c r="D18" t="b">
        <v>0</v>
      </c>
      <c r="E18">
        <v>1</v>
      </c>
      <c r="F18" t="s">
        <v>4</v>
      </c>
      <c r="G18" s="1" cm="1">
        <f t="array" ref="G18">_xlfn.LET(_xlpm.d,G$2:G$13,_xlpm.a,$C$2:$C$13=$C18,_xlpm.b,$D$2:$D$13=$D18,MAX(_xlfn._xlws.FILTER(_xlpm.d,_xlpm.a*_xlpm.b)))</f>
        <v>0.91</v>
      </c>
      <c r="H18" s="1" cm="1">
        <f t="array" ref="H18">_xlfn.LET(_xlpm.d,H$2:H$13,_xlpm.a,$C$2:$C$13=$C18,_xlpm.b,$D$2:$D$13=$D18,MAX(_xlfn._xlws.FILTER(_xlpm.d,_xlpm.a*_xlpm.b)))</f>
        <v>0.92</v>
      </c>
      <c r="I18" s="1" cm="1">
        <f t="array" ref="I18">_xlfn.LET(_xlpm.d,I$2:I$13,_xlpm.a,$C$2:$C$13=$C18,_xlpm.b,$D$2:$D$13=$D18,MAX(_xlfn._xlws.FILTER(_xlpm.d,_xlpm.a*_xlpm.b)))</f>
        <v>0.89</v>
      </c>
      <c r="J18" s="1" cm="1">
        <f t="array" ref="J18">_xlfn.LET(_xlpm.d,J$2:J$13,_xlpm.a,$C$2:$C$13=$C18,_xlpm.b,$D$2:$D$13=$D18,MAX(_xlfn._xlws.FILTER(_xlpm.d,_xlpm.a*_xlpm.b)))</f>
        <v>0.95</v>
      </c>
      <c r="K18" s="1" cm="1">
        <f t="array" ref="K18">_xlfn.LET(_xlpm.d,K$2:K$13,_xlpm.a,$C$2:$C$13=$C18,_xlpm.b,$D$2:$D$13=$D18,MAX(_xlfn._xlws.FILTER(_xlpm.d,_xlpm.a*_xlpm.b)))</f>
        <v>0.94</v>
      </c>
      <c r="L18" s="1" cm="1">
        <f t="array" ref="L18">_xlfn.LET(_xlpm.d,L$2:L$13,_xlpm.a,$C$2:$C$13=$C18,_xlpm.b,$D$2:$D$13=$D18,MAX(_xlfn._xlws.FILTER(_xlpm.d,_xlpm.a*_xlpm.b)))</f>
        <v>0.94</v>
      </c>
      <c r="M18" s="1" cm="1">
        <f t="array" ref="M18">_xlfn.LET(_xlpm.d,M$2:M$13,_xlpm.a,$C$2:$C$13=$C18,_xlpm.b,$D$2:$D$13=$D18,MAX(_xlfn._xlws.FILTER(_xlpm.d,_xlpm.a*_xlpm.b)))</f>
        <v>0.92</v>
      </c>
      <c r="N18" s="1" cm="1">
        <f t="array" ref="N18">_xlfn.LET(_xlpm.d,N$2:N$13,_xlpm.a,$C$2:$C$13=$C18,_xlpm.b,$D$2:$D$13=$D18,MAX(_xlfn._xlws.FILTER(_xlpm.d,_xlpm.a*_xlpm.b)))</f>
        <v>0.93</v>
      </c>
      <c r="O18" s="1" cm="1">
        <f t="array" ref="O18">_xlfn.LET(_xlpm.d,O$2:O$13,_xlpm.a,$C$2:$C$13=$C18,_xlpm.b,$D$2:$D$13=$D18,MAX(_xlfn._xlws.FILTER(_xlpm.d,_xlpm.a*_xlpm.b)))</f>
        <v>0.92</v>
      </c>
      <c r="P18" s="1" cm="1">
        <f t="array" ref="P18">_xlfn.LET(_xlpm.d,P$2:P$13,_xlpm.a,$C$2:$C$13=$C18,_xlpm.b,$D$2:$D$13=$D18,MAX(_xlfn._xlws.FILTER(_xlpm.d,_xlpm.a*_xlpm.b)))</f>
        <v>0.93</v>
      </c>
      <c r="Q18" s="1" cm="1">
        <f t="array" ref="Q18">_xlfn.LET(_xlpm.d,Q$2:Q$13,_xlpm.a,$C$2:$C$13=$C18,_xlpm.b,$D$2:$D$13=$D18,MAX(_xlfn._xlws.FILTER(_xlpm.d,_xlpm.a*_xlpm.b)))</f>
        <v>0.96</v>
      </c>
      <c r="R18" s="1" cm="1">
        <f t="array" ref="R18">_xlfn.LET(_xlpm.d,R$2:R$13,_xlpm.a,$C$2:$C$13=$C18,_xlpm.b,$D$2:$D$13=$D18,MAX(_xlfn._xlws.FILTER(_xlpm.d,_xlpm.a*_xlpm.b)))</f>
        <v>0.92</v>
      </c>
      <c r="S18" s="1" cm="1">
        <f t="array" ref="S18">_xlfn.LET(_xlpm.d,S$2:S$13,_xlpm.a,$C$2:$C$13=$C18,_xlpm.b,$D$2:$D$13=$D18,MAX(_xlfn._xlws.FILTER(_xlpm.d,_xlpm.a*_xlpm.b)))</f>
        <v>0.96</v>
      </c>
    </row>
    <row r="19" spans="2:19" ht="25" customHeight="1">
      <c r="B19">
        <v>2</v>
      </c>
      <c r="C19" t="s">
        <v>9</v>
      </c>
      <c r="D19" t="b">
        <v>1</v>
      </c>
      <c r="E19">
        <v>1</v>
      </c>
      <c r="F19" t="s">
        <v>4</v>
      </c>
      <c r="G19" s="1" cm="1">
        <f t="array" ref="G19">_xlfn.LET(_xlpm.d,G$2:G$13,_xlpm.a,$C$2:$C$13=$C19,_xlpm.b,$D$2:$D$13=$D19,MAX(_xlfn._xlws.FILTER(_xlpm.d,_xlpm.a*_xlpm.b)))</f>
        <v>0.84</v>
      </c>
      <c r="H19" s="1" cm="1">
        <f t="array" ref="H19">_xlfn.LET(_xlpm.d,H$2:H$13,_xlpm.a,$C$2:$C$13=$C19,_xlpm.b,$D$2:$D$13=$D19,MAX(_xlfn._xlws.FILTER(_xlpm.d,_xlpm.a*_xlpm.b)))</f>
        <v>0.78</v>
      </c>
      <c r="I19" s="1" cm="1">
        <f t="array" ref="I19">_xlfn.LET(_xlpm.d,I$2:I$13,_xlpm.a,$C$2:$C$13=$C19,_xlpm.b,$D$2:$D$13=$D19,MAX(_xlfn._xlws.FILTER(_xlpm.d,_xlpm.a*_xlpm.b)))</f>
        <v>0.79</v>
      </c>
      <c r="J19" s="1" cm="1">
        <f t="array" ref="J19">_xlfn.LET(_xlpm.d,J$2:J$13,_xlpm.a,$C$2:$C$13=$C19,_xlpm.b,$D$2:$D$13=$D19,MAX(_xlfn._xlws.FILTER(_xlpm.d,_xlpm.a*_xlpm.b)))</f>
        <v>0.78</v>
      </c>
      <c r="K19" s="1" cm="1">
        <f t="array" ref="K19">_xlfn.LET(_xlpm.d,K$2:K$13,_xlpm.a,$C$2:$C$13=$C19,_xlpm.b,$D$2:$D$13=$D19,MAX(_xlfn._xlws.FILTER(_xlpm.d,_xlpm.a*_xlpm.b)))</f>
        <v>0.74</v>
      </c>
      <c r="L19" s="1" cm="1">
        <f t="array" ref="L19">_xlfn.LET(_xlpm.d,L$2:L$13,_xlpm.a,$C$2:$C$13=$C19,_xlpm.b,$D$2:$D$13=$D19,MAX(_xlfn._xlws.FILTER(_xlpm.d,_xlpm.a*_xlpm.b)))</f>
        <v>0.81</v>
      </c>
      <c r="M19" s="1" cm="1">
        <f t="array" ref="M19">_xlfn.LET(_xlpm.d,M$2:M$13,_xlpm.a,$C$2:$C$13=$C19,_xlpm.b,$D$2:$D$13=$D19,MAX(_xlfn._xlws.FILTER(_xlpm.d,_xlpm.a*_xlpm.b)))</f>
        <v>0.79</v>
      </c>
      <c r="N19" s="1" cm="1">
        <f t="array" ref="N19">_xlfn.LET(_xlpm.d,N$2:N$13,_xlpm.a,$C$2:$C$13=$C19,_xlpm.b,$D$2:$D$13=$D19,MAX(_xlfn._xlws.FILTER(_xlpm.d,_xlpm.a*_xlpm.b)))</f>
        <v>0.78</v>
      </c>
      <c r="O19" s="1" cm="1">
        <f t="array" ref="O19">_xlfn.LET(_xlpm.d,O$2:O$13,_xlpm.a,$C$2:$C$13=$C19,_xlpm.b,$D$2:$D$13=$D19,MAX(_xlfn._xlws.FILTER(_xlpm.d,_xlpm.a*_xlpm.b)))</f>
        <v>0.82</v>
      </c>
      <c r="P19" s="1" cm="1">
        <f t="array" ref="P19">_xlfn.LET(_xlpm.d,P$2:P$13,_xlpm.a,$C$2:$C$13=$C19,_xlpm.b,$D$2:$D$13=$D19,MAX(_xlfn._xlws.FILTER(_xlpm.d,_xlpm.a*_xlpm.b)))</f>
        <v>0.82</v>
      </c>
      <c r="Q19" s="1" cm="1">
        <f t="array" ref="Q19">_xlfn.LET(_xlpm.d,Q$2:Q$13,_xlpm.a,$C$2:$C$13=$C19,_xlpm.b,$D$2:$D$13=$D19,MAX(_xlfn._xlws.FILTER(_xlpm.d,_xlpm.a*_xlpm.b)))</f>
        <v>0.78</v>
      </c>
      <c r="R19" s="1" cm="1">
        <f t="array" ref="R19">_xlfn.LET(_xlpm.d,R$2:R$13,_xlpm.a,$C$2:$C$13=$C19,_xlpm.b,$D$2:$D$13=$D19,MAX(_xlfn._xlws.FILTER(_xlpm.d,_xlpm.a*_xlpm.b)))</f>
        <v>0.74</v>
      </c>
      <c r="S19" s="1" cm="1">
        <f t="array" ref="S19">_xlfn.LET(_xlpm.d,S$2:S$13,_xlpm.a,$C$2:$C$13=$C19,_xlpm.b,$D$2:$D$13=$D19,MAX(_xlfn._xlws.FILTER(_xlpm.d,_xlpm.a*_xlpm.b)))</f>
        <v>0.84</v>
      </c>
    </row>
    <row r="20" spans="2:19" ht="25" customHeight="1">
      <c r="B20">
        <v>2</v>
      </c>
      <c r="C20" t="s">
        <v>9</v>
      </c>
      <c r="D20" t="b">
        <v>0</v>
      </c>
      <c r="E20">
        <v>1</v>
      </c>
      <c r="F20" t="s">
        <v>4</v>
      </c>
      <c r="G20" s="1" cm="1">
        <f t="array" ref="G20">_xlfn.LET(_xlpm.d,G$2:G$13,_xlpm.a,$C$2:$C$13=$C20,_xlpm.b,$D$2:$D$13=$D20,MAX(_xlfn._xlws.FILTER(_xlpm.d,_xlpm.a*_xlpm.b)))</f>
        <v>0.81</v>
      </c>
      <c r="H20" s="1" cm="1">
        <f t="array" ref="H20">_xlfn.LET(_xlpm.d,H$2:H$13,_xlpm.a,$C$2:$C$13=$C20,_xlpm.b,$D$2:$D$13=$D20,MAX(_xlfn._xlws.FILTER(_xlpm.d,_xlpm.a*_xlpm.b)))</f>
        <v>0.76</v>
      </c>
      <c r="I20" s="1" cm="1">
        <f t="array" ref="I20">_xlfn.LET(_xlpm.d,I$2:I$13,_xlpm.a,$C$2:$C$13=$C20,_xlpm.b,$D$2:$D$13=$D20,MAX(_xlfn._xlws.FILTER(_xlpm.d,_xlpm.a*_xlpm.b)))</f>
        <v>0.79</v>
      </c>
      <c r="J20" s="1" cm="1">
        <f t="array" ref="J20">_xlfn.LET(_xlpm.d,J$2:J$13,_xlpm.a,$C$2:$C$13=$C20,_xlpm.b,$D$2:$D$13=$D20,MAX(_xlfn._xlws.FILTER(_xlpm.d,_xlpm.a*_xlpm.b)))</f>
        <v>0.76</v>
      </c>
      <c r="K20" s="1" cm="1">
        <f t="array" ref="K20">_xlfn.LET(_xlpm.d,K$2:K$13,_xlpm.a,$C$2:$C$13=$C20,_xlpm.b,$D$2:$D$13=$D20,MAX(_xlfn._xlws.FILTER(_xlpm.d,_xlpm.a*_xlpm.b)))</f>
        <v>0.77</v>
      </c>
      <c r="L20" s="1" cm="1">
        <f t="array" ref="L20">_xlfn.LET(_xlpm.d,L$2:L$13,_xlpm.a,$C$2:$C$13=$C20,_xlpm.b,$D$2:$D$13=$D20,MAX(_xlfn._xlws.FILTER(_xlpm.d,_xlpm.a*_xlpm.b)))</f>
        <v>0.81</v>
      </c>
      <c r="M20" s="1" cm="1">
        <f t="array" ref="M20">_xlfn.LET(_xlpm.d,M$2:M$13,_xlpm.a,$C$2:$C$13=$C20,_xlpm.b,$D$2:$D$13=$D20,MAX(_xlfn._xlws.FILTER(_xlpm.d,_xlpm.a*_xlpm.b)))</f>
        <v>0.79</v>
      </c>
      <c r="N20" s="1" cm="1">
        <f t="array" ref="N20">_xlfn.LET(_xlpm.d,N$2:N$13,_xlpm.a,$C$2:$C$13=$C20,_xlpm.b,$D$2:$D$13=$D20,MAX(_xlfn._xlws.FILTER(_xlpm.d,_xlpm.a*_xlpm.b)))</f>
        <v>0.81</v>
      </c>
      <c r="O20" s="1" cm="1">
        <f t="array" ref="O20">_xlfn.LET(_xlpm.d,O$2:O$13,_xlpm.a,$C$2:$C$13=$C20,_xlpm.b,$D$2:$D$13=$D20,MAX(_xlfn._xlws.FILTER(_xlpm.d,_xlpm.a*_xlpm.b)))</f>
        <v>0.82</v>
      </c>
      <c r="P20" s="1" cm="1">
        <f t="array" ref="P20">_xlfn.LET(_xlpm.d,P$2:P$13,_xlpm.a,$C$2:$C$13=$C20,_xlpm.b,$D$2:$D$13=$D20,MAX(_xlfn._xlws.FILTER(_xlpm.d,_xlpm.a*_xlpm.b)))</f>
        <v>0.84</v>
      </c>
      <c r="Q20" s="1" cm="1">
        <f t="array" ref="Q20">_xlfn.LET(_xlpm.d,Q$2:Q$13,_xlpm.a,$C$2:$C$13=$C20,_xlpm.b,$D$2:$D$13=$D20,MAX(_xlfn._xlws.FILTER(_xlpm.d,_xlpm.a*_xlpm.b)))</f>
        <v>0.79</v>
      </c>
      <c r="R20" s="1" cm="1">
        <f t="array" ref="R20">_xlfn.LET(_xlpm.d,R$2:R$13,_xlpm.a,$C$2:$C$13=$C20,_xlpm.b,$D$2:$D$13=$D20,MAX(_xlfn._xlws.FILTER(_xlpm.d,_xlpm.a*_xlpm.b)))</f>
        <v>0.77</v>
      </c>
      <c r="S20" s="1" cm="1">
        <f t="array" ref="S20">_xlfn.LET(_xlpm.d,S$2:S$13,_xlpm.a,$C$2:$C$13=$C20,_xlpm.b,$D$2:$D$13=$D20,MAX(_xlfn._xlws.FILTER(_xlpm.d,_xlpm.a*_xlpm.b)))</f>
        <v>0.84</v>
      </c>
    </row>
  </sheetData>
  <conditionalFormatting sqref="G2:S13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748C-F5E5-E045-8E9B-8B0C8EFA67CE}">
  <dimension ref="A1:S20"/>
  <sheetViews>
    <sheetView workbookViewId="0">
      <pane xSplit="9180" ySplit="3960" topLeftCell="M9" activePane="bottomLeft"/>
      <selection activeCell="G1" sqref="G1:S1048576"/>
      <selection pane="topRight" activeCell="R6" sqref="R6"/>
      <selection pane="bottomLeft" activeCell="B17" sqref="B17:S20"/>
      <selection pane="bottomRight" activeCell="F9" sqref="F9"/>
    </sheetView>
  </sheetViews>
  <sheetFormatPr baseColWidth="10" defaultRowHeight="25" customHeight="1"/>
  <cols>
    <col min="2" max="5" width="8.125" customWidth="1"/>
    <col min="6" max="19" width="8.625" customWidth="1"/>
  </cols>
  <sheetData>
    <row r="1" spans="1:19" ht="25" customHeight="1">
      <c r="A1" t="s">
        <v>0</v>
      </c>
      <c r="B1" t="s">
        <v>10</v>
      </c>
      <c r="C1" t="s">
        <v>1</v>
      </c>
      <c r="D1" t="s">
        <v>2</v>
      </c>
      <c r="E1" t="s">
        <v>11</v>
      </c>
      <c r="F1" t="s">
        <v>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4</v>
      </c>
    </row>
    <row r="2" spans="1:19" ht="25" customHeight="1">
      <c r="A2" t="s">
        <v>26</v>
      </c>
      <c r="B2">
        <v>1</v>
      </c>
      <c r="C2" t="s">
        <v>5</v>
      </c>
      <c r="D2" t="b">
        <v>1</v>
      </c>
      <c r="E2">
        <v>1</v>
      </c>
      <c r="F2" t="s">
        <v>8</v>
      </c>
      <c r="G2" s="1">
        <v>0.91</v>
      </c>
      <c r="H2" s="1">
        <v>0.85</v>
      </c>
      <c r="I2" s="1">
        <v>0.86</v>
      </c>
      <c r="J2" s="1">
        <v>0.87</v>
      </c>
      <c r="K2" s="1">
        <v>0.79</v>
      </c>
      <c r="L2" s="1">
        <v>0.88</v>
      </c>
      <c r="M2" s="1">
        <v>0.89</v>
      </c>
      <c r="N2" s="1">
        <v>0.9</v>
      </c>
      <c r="O2" s="1">
        <v>0.85</v>
      </c>
      <c r="P2" s="1">
        <v>0.91</v>
      </c>
      <c r="Q2" s="1">
        <v>0.87</v>
      </c>
      <c r="R2" s="1">
        <v>0.77</v>
      </c>
      <c r="S2" s="1">
        <f t="shared" ref="S2:S13" si="0">MAX($G2:$R2)</f>
        <v>0.91</v>
      </c>
    </row>
    <row r="3" spans="1:19" ht="25" customHeight="1">
      <c r="A3" t="s">
        <v>26</v>
      </c>
      <c r="B3">
        <v>1</v>
      </c>
      <c r="C3" t="s">
        <v>5</v>
      </c>
      <c r="D3" t="b">
        <v>1</v>
      </c>
      <c r="E3">
        <v>2</v>
      </c>
      <c r="F3" t="s">
        <v>7</v>
      </c>
      <c r="G3" s="1">
        <v>0.9</v>
      </c>
      <c r="H3" s="1">
        <v>0.93</v>
      </c>
      <c r="I3" s="1">
        <v>0.89</v>
      </c>
      <c r="J3" s="1">
        <v>0.9</v>
      </c>
      <c r="K3" s="1">
        <v>0.92</v>
      </c>
      <c r="L3" s="1">
        <v>0.82</v>
      </c>
      <c r="M3" s="1">
        <v>0.88</v>
      </c>
      <c r="N3" s="1">
        <v>0.93</v>
      </c>
      <c r="O3" s="1">
        <v>0.91</v>
      </c>
      <c r="P3" s="1">
        <v>0.93</v>
      </c>
      <c r="Q3" s="1">
        <v>0.91</v>
      </c>
      <c r="R3" s="1">
        <v>0.83</v>
      </c>
      <c r="S3" s="1">
        <f t="shared" si="0"/>
        <v>0.93</v>
      </c>
    </row>
    <row r="4" spans="1:19" ht="25" customHeight="1">
      <c r="A4" t="s">
        <v>26</v>
      </c>
      <c r="B4">
        <v>1</v>
      </c>
      <c r="C4" t="s">
        <v>5</v>
      </c>
      <c r="D4" t="b">
        <v>1</v>
      </c>
      <c r="E4">
        <v>3</v>
      </c>
      <c r="F4" t="s">
        <v>6</v>
      </c>
      <c r="G4" s="1">
        <v>0.93</v>
      </c>
      <c r="H4" s="1">
        <v>0.91</v>
      </c>
      <c r="I4" s="1">
        <v>0.88</v>
      </c>
      <c r="J4" s="1">
        <v>0.93</v>
      </c>
      <c r="K4" s="1">
        <v>0.93</v>
      </c>
      <c r="L4" s="1">
        <v>0.88</v>
      </c>
      <c r="M4" s="1">
        <v>0.91</v>
      </c>
      <c r="N4" s="1">
        <v>0.93</v>
      </c>
      <c r="O4" s="1">
        <v>0.91</v>
      </c>
      <c r="P4" s="1">
        <v>0.94</v>
      </c>
      <c r="Q4" s="1">
        <v>0.94</v>
      </c>
      <c r="R4" s="1">
        <v>0.89</v>
      </c>
      <c r="S4" s="1">
        <f t="shared" si="0"/>
        <v>0.94</v>
      </c>
    </row>
    <row r="5" spans="1:19" ht="25" customHeight="1">
      <c r="A5" t="s">
        <v>26</v>
      </c>
      <c r="B5">
        <v>1</v>
      </c>
      <c r="C5" t="s">
        <v>5</v>
      </c>
      <c r="D5" t="b">
        <v>0</v>
      </c>
      <c r="E5">
        <v>1</v>
      </c>
      <c r="F5" t="s">
        <v>8</v>
      </c>
      <c r="G5" s="1">
        <v>0.9</v>
      </c>
      <c r="H5" s="1">
        <v>0.84</v>
      </c>
      <c r="I5" s="1">
        <v>0.88</v>
      </c>
      <c r="J5" s="1">
        <v>0.82</v>
      </c>
      <c r="K5" s="1">
        <v>0.86</v>
      </c>
      <c r="L5" s="1">
        <v>0.91</v>
      </c>
      <c r="M5" s="1">
        <v>0.82</v>
      </c>
      <c r="N5" s="1">
        <v>0.9</v>
      </c>
      <c r="O5" s="1">
        <v>0.88</v>
      </c>
      <c r="P5" s="1">
        <v>0.88</v>
      </c>
      <c r="Q5" s="1">
        <v>0.86</v>
      </c>
      <c r="R5" s="1">
        <v>0.8</v>
      </c>
      <c r="S5" s="1">
        <f t="shared" si="0"/>
        <v>0.91</v>
      </c>
    </row>
    <row r="6" spans="1:19" ht="25" customHeight="1">
      <c r="A6" t="s">
        <v>26</v>
      </c>
      <c r="B6">
        <v>1</v>
      </c>
      <c r="C6" t="s">
        <v>5</v>
      </c>
      <c r="D6" t="b">
        <v>0</v>
      </c>
      <c r="E6">
        <v>2</v>
      </c>
      <c r="F6" t="s">
        <v>7</v>
      </c>
      <c r="G6" s="1">
        <v>0.91</v>
      </c>
      <c r="H6" s="1">
        <v>0.92</v>
      </c>
      <c r="I6" s="1">
        <v>0.89</v>
      </c>
      <c r="J6" s="1">
        <v>0.88</v>
      </c>
      <c r="K6" s="1">
        <v>0.91</v>
      </c>
      <c r="L6" s="1">
        <v>0.86</v>
      </c>
      <c r="M6" s="1">
        <v>0.88</v>
      </c>
      <c r="N6" s="1">
        <v>0.93</v>
      </c>
      <c r="O6" s="1">
        <v>0.89</v>
      </c>
      <c r="P6" s="1">
        <v>0.93</v>
      </c>
      <c r="Q6" s="1">
        <v>0.89</v>
      </c>
      <c r="R6" s="1">
        <v>0.83</v>
      </c>
      <c r="S6" s="1">
        <f t="shared" si="0"/>
        <v>0.93</v>
      </c>
    </row>
    <row r="7" spans="1:19" ht="25" customHeight="1">
      <c r="A7" t="s">
        <v>26</v>
      </c>
      <c r="B7">
        <v>1</v>
      </c>
      <c r="C7" t="s">
        <v>5</v>
      </c>
      <c r="D7" t="b">
        <v>0</v>
      </c>
      <c r="E7">
        <v>3</v>
      </c>
      <c r="F7" t="s">
        <v>6</v>
      </c>
      <c r="G7" s="1">
        <v>0.93</v>
      </c>
      <c r="H7" s="1">
        <v>0.91</v>
      </c>
      <c r="I7" s="1">
        <v>0.91</v>
      </c>
      <c r="J7" s="1">
        <v>0.9</v>
      </c>
      <c r="K7" s="1">
        <v>0.93</v>
      </c>
      <c r="L7" s="1">
        <v>0.92</v>
      </c>
      <c r="M7" s="1">
        <v>0.91</v>
      </c>
      <c r="N7" s="1">
        <v>0.89</v>
      </c>
      <c r="O7" s="1">
        <v>0.88</v>
      </c>
      <c r="P7" s="1">
        <v>0.94</v>
      </c>
      <c r="Q7" s="1">
        <v>0.96</v>
      </c>
      <c r="R7" s="1">
        <v>0.88</v>
      </c>
      <c r="S7" s="1">
        <f t="shared" si="0"/>
        <v>0.96</v>
      </c>
    </row>
    <row r="8" spans="1:19" ht="25" customHeight="1">
      <c r="A8" t="s">
        <v>26</v>
      </c>
      <c r="B8">
        <v>2</v>
      </c>
      <c r="C8" t="s">
        <v>9</v>
      </c>
      <c r="D8" t="b">
        <v>1</v>
      </c>
      <c r="E8">
        <v>1</v>
      </c>
      <c r="F8" t="s">
        <v>8</v>
      </c>
      <c r="G8" s="1">
        <v>0.72</v>
      </c>
      <c r="H8" s="1">
        <v>0.73</v>
      </c>
      <c r="I8" s="1">
        <v>0.66</v>
      </c>
      <c r="J8" s="1">
        <v>0.7</v>
      </c>
      <c r="K8" s="1">
        <v>0.69</v>
      </c>
      <c r="L8" s="1">
        <v>0.73</v>
      </c>
      <c r="M8" s="1">
        <v>0.7</v>
      </c>
      <c r="N8" s="1">
        <v>0.67</v>
      </c>
      <c r="O8" s="1">
        <v>0.71</v>
      </c>
      <c r="P8" s="1">
        <v>0.71</v>
      </c>
      <c r="Q8" s="1">
        <v>0.57999999999999996</v>
      </c>
      <c r="R8" s="1">
        <v>0.64</v>
      </c>
      <c r="S8" s="1">
        <f t="shared" si="0"/>
        <v>0.73</v>
      </c>
    </row>
    <row r="9" spans="1:19" ht="25" customHeight="1">
      <c r="A9" t="s">
        <v>26</v>
      </c>
      <c r="B9">
        <v>2</v>
      </c>
      <c r="C9" t="s">
        <v>9</v>
      </c>
      <c r="D9" t="b">
        <v>1</v>
      </c>
      <c r="E9">
        <v>2</v>
      </c>
      <c r="F9" t="s">
        <v>7</v>
      </c>
      <c r="G9" s="1">
        <v>0.77</v>
      </c>
      <c r="H9" s="1">
        <v>0.77</v>
      </c>
      <c r="I9" s="1">
        <v>0.77</v>
      </c>
      <c r="J9" s="1">
        <v>0.78</v>
      </c>
      <c r="K9" s="1">
        <v>0.78</v>
      </c>
      <c r="L9" s="1">
        <v>0.82</v>
      </c>
      <c r="M9" s="1">
        <v>0.73</v>
      </c>
      <c r="N9" s="1">
        <v>0.82</v>
      </c>
      <c r="O9" s="1">
        <v>0.78</v>
      </c>
      <c r="P9" s="1">
        <v>0.78</v>
      </c>
      <c r="Q9" s="1">
        <v>0.77</v>
      </c>
      <c r="R9" s="1">
        <v>0.77</v>
      </c>
      <c r="S9" s="1">
        <f t="shared" si="0"/>
        <v>0.82</v>
      </c>
    </row>
    <row r="10" spans="1:19" ht="25" customHeight="1">
      <c r="A10" t="s">
        <v>26</v>
      </c>
      <c r="B10">
        <v>2</v>
      </c>
      <c r="C10" t="s">
        <v>9</v>
      </c>
      <c r="D10" t="b">
        <v>1</v>
      </c>
      <c r="E10">
        <v>3</v>
      </c>
      <c r="F10" t="s">
        <v>6</v>
      </c>
      <c r="G10" s="1">
        <v>0.69</v>
      </c>
      <c r="H10" s="1">
        <v>0.72</v>
      </c>
      <c r="I10" s="1">
        <v>0.73</v>
      </c>
      <c r="J10" s="1">
        <v>0.73</v>
      </c>
      <c r="K10" s="1">
        <v>0.77</v>
      </c>
      <c r="L10" s="1">
        <v>0.79</v>
      </c>
      <c r="M10" s="1">
        <v>0.76</v>
      </c>
      <c r="N10" s="1">
        <v>0.78</v>
      </c>
      <c r="O10" s="1">
        <v>0.7</v>
      </c>
      <c r="P10" s="1">
        <v>0.76</v>
      </c>
      <c r="Q10" s="1">
        <v>0.75</v>
      </c>
      <c r="R10" s="1">
        <v>0.75</v>
      </c>
      <c r="S10" s="1">
        <f t="shared" si="0"/>
        <v>0.79</v>
      </c>
    </row>
    <row r="11" spans="1:19" ht="25" customHeight="1">
      <c r="A11" t="s">
        <v>26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 s="1">
        <v>0.68</v>
      </c>
      <c r="H11" s="1">
        <v>0.69</v>
      </c>
      <c r="I11" s="1">
        <v>0.73</v>
      </c>
      <c r="J11" s="1">
        <v>0.62</v>
      </c>
      <c r="K11" s="1">
        <v>0.6</v>
      </c>
      <c r="L11" s="1">
        <v>0.69</v>
      </c>
      <c r="M11" s="1">
        <v>0.71</v>
      </c>
      <c r="N11" s="1">
        <v>0.72</v>
      </c>
      <c r="O11" s="1">
        <v>0.72</v>
      </c>
      <c r="P11" s="1">
        <v>0.68</v>
      </c>
      <c r="Q11" s="1">
        <v>0.65</v>
      </c>
      <c r="R11" s="1">
        <v>0.75</v>
      </c>
      <c r="S11" s="1">
        <f t="shared" si="0"/>
        <v>0.75</v>
      </c>
    </row>
    <row r="12" spans="1:19" ht="25" customHeight="1">
      <c r="A12" t="s">
        <v>26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 s="1">
        <v>0.76</v>
      </c>
      <c r="H12" s="1">
        <v>0.78</v>
      </c>
      <c r="I12" s="1">
        <v>0.78</v>
      </c>
      <c r="J12" s="1">
        <v>0.78</v>
      </c>
      <c r="K12" s="1">
        <v>0.76</v>
      </c>
      <c r="L12" s="1">
        <v>0.78</v>
      </c>
      <c r="M12" s="1">
        <v>0.74</v>
      </c>
      <c r="N12" s="1">
        <v>0.76</v>
      </c>
      <c r="O12" s="1">
        <v>0.78</v>
      </c>
      <c r="P12" s="1">
        <v>0.78</v>
      </c>
      <c r="Q12" s="1">
        <v>0.76</v>
      </c>
      <c r="R12" s="1">
        <v>0.76</v>
      </c>
      <c r="S12" s="1">
        <f t="shared" si="0"/>
        <v>0.78</v>
      </c>
    </row>
    <row r="13" spans="1:19" ht="25" customHeight="1">
      <c r="A13" t="s">
        <v>26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 s="1">
        <v>0.73</v>
      </c>
      <c r="H13" s="1">
        <v>0.72</v>
      </c>
      <c r="I13" s="1">
        <v>0.71</v>
      </c>
      <c r="J13" s="1">
        <v>0.72</v>
      </c>
      <c r="K13" s="1">
        <v>0.75</v>
      </c>
      <c r="L13" s="1">
        <v>0.78</v>
      </c>
      <c r="M13" s="1">
        <v>0.71</v>
      </c>
      <c r="N13" s="1">
        <v>0.77</v>
      </c>
      <c r="O13" s="1">
        <v>0.72</v>
      </c>
      <c r="P13" s="1">
        <v>0.69</v>
      </c>
      <c r="Q13" s="1">
        <v>0.76</v>
      </c>
      <c r="R13" s="1">
        <v>0.74</v>
      </c>
      <c r="S13" s="1">
        <f t="shared" si="0"/>
        <v>0.78</v>
      </c>
    </row>
    <row r="16" spans="1:19" ht="25" customHeight="1">
      <c r="B16" t="s">
        <v>10</v>
      </c>
      <c r="C16" t="s">
        <v>1</v>
      </c>
      <c r="D16" t="s">
        <v>13</v>
      </c>
      <c r="E16" t="s">
        <v>11</v>
      </c>
      <c r="F16" t="s">
        <v>12</v>
      </c>
      <c r="G16" t="s">
        <v>14</v>
      </c>
      <c r="H16" t="s">
        <v>15</v>
      </c>
      <c r="I16" t="s">
        <v>16</v>
      </c>
      <c r="J16" t="s">
        <v>17</v>
      </c>
      <c r="K16" t="s">
        <v>18</v>
      </c>
      <c r="L16" t="s">
        <v>19</v>
      </c>
      <c r="M16" t="s">
        <v>20</v>
      </c>
      <c r="N16" t="s">
        <v>21</v>
      </c>
      <c r="O16" t="s">
        <v>22</v>
      </c>
      <c r="P16" t="s">
        <v>23</v>
      </c>
      <c r="Q16" t="s">
        <v>24</v>
      </c>
      <c r="R16" t="s">
        <v>25</v>
      </c>
      <c r="S16" t="s">
        <v>4</v>
      </c>
    </row>
    <row r="17" spans="2:19" ht="25" customHeight="1">
      <c r="B17">
        <v>1</v>
      </c>
      <c r="C17" t="s">
        <v>5</v>
      </c>
      <c r="D17" t="b">
        <v>1</v>
      </c>
      <c r="E17">
        <v>1</v>
      </c>
      <c r="F17" t="s">
        <v>4</v>
      </c>
      <c r="G17" s="1" cm="1">
        <f t="array" ref="G17">_xlfn.LET(_xlpm.d,G$2:G$13,_xlpm.a,$C$2:$C$13=$C17,_xlpm.b,$D$2:$D$13=$D17,MAX(_xlfn._xlws.FILTER(_xlpm.d,_xlpm.a*_xlpm.b)))</f>
        <v>0.93</v>
      </c>
      <c r="H17" s="1" cm="1">
        <f t="array" ref="H17">_xlfn.LET(_xlpm.d,H$2:H$13,_xlpm.a,$C$2:$C$13=$C17,_xlpm.b,$D$2:$D$13=$D17,MAX(_xlfn._xlws.FILTER(_xlpm.d,_xlpm.a*_xlpm.b)))</f>
        <v>0.93</v>
      </c>
      <c r="I17" s="1" cm="1">
        <f t="array" ref="I17">_xlfn.LET(_xlpm.d,I$2:I$13,_xlpm.a,$C$2:$C$13=$C17,_xlpm.b,$D$2:$D$13=$D17,MAX(_xlfn._xlws.FILTER(_xlpm.d,_xlpm.a*_xlpm.b)))</f>
        <v>0.89</v>
      </c>
      <c r="J17" s="1" cm="1">
        <f t="array" ref="J17">_xlfn.LET(_xlpm.d,J$2:J$13,_xlpm.a,$C$2:$C$13=$C17,_xlpm.b,$D$2:$D$13=$D17,MAX(_xlfn._xlws.FILTER(_xlpm.d,_xlpm.a*_xlpm.b)))</f>
        <v>0.93</v>
      </c>
      <c r="K17" s="1" cm="1">
        <f t="array" ref="K17">_xlfn.LET(_xlpm.d,K$2:K$13,_xlpm.a,$C$2:$C$13=$C17,_xlpm.b,$D$2:$D$13=$D17,MAX(_xlfn._xlws.FILTER(_xlpm.d,_xlpm.a*_xlpm.b)))</f>
        <v>0.93</v>
      </c>
      <c r="L17" s="1" cm="1">
        <f t="array" ref="L17">_xlfn.LET(_xlpm.d,L$2:L$13,_xlpm.a,$C$2:$C$13=$C17,_xlpm.b,$D$2:$D$13=$D17,MAX(_xlfn._xlws.FILTER(_xlpm.d,_xlpm.a*_xlpm.b)))</f>
        <v>0.88</v>
      </c>
      <c r="M17" s="1" cm="1">
        <f t="array" ref="M17">_xlfn.LET(_xlpm.d,M$2:M$13,_xlpm.a,$C$2:$C$13=$C17,_xlpm.b,$D$2:$D$13=$D17,MAX(_xlfn._xlws.FILTER(_xlpm.d,_xlpm.a*_xlpm.b)))</f>
        <v>0.91</v>
      </c>
      <c r="N17" s="1" cm="1">
        <f t="array" ref="N17">_xlfn.LET(_xlpm.d,N$2:N$13,_xlpm.a,$C$2:$C$13=$C17,_xlpm.b,$D$2:$D$13=$D17,MAX(_xlfn._xlws.FILTER(_xlpm.d,_xlpm.a*_xlpm.b)))</f>
        <v>0.93</v>
      </c>
      <c r="O17" s="1" cm="1">
        <f t="array" ref="O17">_xlfn.LET(_xlpm.d,O$2:O$13,_xlpm.a,$C$2:$C$13=$C17,_xlpm.b,$D$2:$D$13=$D17,MAX(_xlfn._xlws.FILTER(_xlpm.d,_xlpm.a*_xlpm.b)))</f>
        <v>0.91</v>
      </c>
      <c r="P17" s="1" cm="1">
        <f t="array" ref="P17">_xlfn.LET(_xlpm.d,P$2:P$13,_xlpm.a,$C$2:$C$13=$C17,_xlpm.b,$D$2:$D$13=$D17,MAX(_xlfn._xlws.FILTER(_xlpm.d,_xlpm.a*_xlpm.b)))</f>
        <v>0.94</v>
      </c>
      <c r="Q17" s="1" cm="1">
        <f t="array" ref="Q17">_xlfn.LET(_xlpm.d,Q$2:Q$13,_xlpm.a,$C$2:$C$13=$C17,_xlpm.b,$D$2:$D$13=$D17,MAX(_xlfn._xlws.FILTER(_xlpm.d,_xlpm.a*_xlpm.b)))</f>
        <v>0.94</v>
      </c>
      <c r="R17" s="1" cm="1">
        <f t="array" ref="R17">_xlfn.LET(_xlpm.d,R$2:R$13,_xlpm.a,$C$2:$C$13=$C17,_xlpm.b,$D$2:$D$13=$D17,MAX(_xlfn._xlws.FILTER(_xlpm.d,_xlpm.a*_xlpm.b)))</f>
        <v>0.89</v>
      </c>
      <c r="S17" s="1" cm="1">
        <f t="array" ref="S17">_xlfn.LET(_xlpm.d,S$2:S$13,_xlpm.a,$C$2:$C$13=$C17,_xlpm.b,$D$2:$D$13=$D17,MAX(_xlfn._xlws.FILTER(_xlpm.d,_xlpm.a*_xlpm.b)))</f>
        <v>0.94</v>
      </c>
    </row>
    <row r="18" spans="2:19" ht="25" customHeight="1">
      <c r="B18">
        <v>1</v>
      </c>
      <c r="C18" t="s">
        <v>5</v>
      </c>
      <c r="D18" t="b">
        <v>0</v>
      </c>
      <c r="E18">
        <v>1</v>
      </c>
      <c r="F18" t="s">
        <v>4</v>
      </c>
      <c r="G18" s="1" cm="1">
        <f t="array" ref="G18">_xlfn.LET(_xlpm.d,G$2:G$13,_xlpm.a,$C$2:$C$13=$C18,_xlpm.b,$D$2:$D$13=$D18,MAX(_xlfn._xlws.FILTER(_xlpm.d,_xlpm.a*_xlpm.b)))</f>
        <v>0.93</v>
      </c>
      <c r="H18" s="1" cm="1">
        <f t="array" ref="H18">_xlfn.LET(_xlpm.d,H$2:H$13,_xlpm.a,$C$2:$C$13=$C18,_xlpm.b,$D$2:$D$13=$D18,MAX(_xlfn._xlws.FILTER(_xlpm.d,_xlpm.a*_xlpm.b)))</f>
        <v>0.92</v>
      </c>
      <c r="I18" s="1" cm="1">
        <f t="array" ref="I18">_xlfn.LET(_xlpm.d,I$2:I$13,_xlpm.a,$C$2:$C$13=$C18,_xlpm.b,$D$2:$D$13=$D18,MAX(_xlfn._xlws.FILTER(_xlpm.d,_xlpm.a*_xlpm.b)))</f>
        <v>0.91</v>
      </c>
      <c r="J18" s="1" cm="1">
        <f t="array" ref="J18">_xlfn.LET(_xlpm.d,J$2:J$13,_xlpm.a,$C$2:$C$13=$C18,_xlpm.b,$D$2:$D$13=$D18,MAX(_xlfn._xlws.FILTER(_xlpm.d,_xlpm.a*_xlpm.b)))</f>
        <v>0.9</v>
      </c>
      <c r="K18" s="1" cm="1">
        <f t="array" ref="K18">_xlfn.LET(_xlpm.d,K$2:K$13,_xlpm.a,$C$2:$C$13=$C18,_xlpm.b,$D$2:$D$13=$D18,MAX(_xlfn._xlws.FILTER(_xlpm.d,_xlpm.a*_xlpm.b)))</f>
        <v>0.93</v>
      </c>
      <c r="L18" s="1" cm="1">
        <f t="array" ref="L18">_xlfn.LET(_xlpm.d,L$2:L$13,_xlpm.a,$C$2:$C$13=$C18,_xlpm.b,$D$2:$D$13=$D18,MAX(_xlfn._xlws.FILTER(_xlpm.d,_xlpm.a*_xlpm.b)))</f>
        <v>0.92</v>
      </c>
      <c r="M18" s="1" cm="1">
        <f t="array" ref="M18">_xlfn.LET(_xlpm.d,M$2:M$13,_xlpm.a,$C$2:$C$13=$C18,_xlpm.b,$D$2:$D$13=$D18,MAX(_xlfn._xlws.FILTER(_xlpm.d,_xlpm.a*_xlpm.b)))</f>
        <v>0.91</v>
      </c>
      <c r="N18" s="1" cm="1">
        <f t="array" ref="N18">_xlfn.LET(_xlpm.d,N$2:N$13,_xlpm.a,$C$2:$C$13=$C18,_xlpm.b,$D$2:$D$13=$D18,MAX(_xlfn._xlws.FILTER(_xlpm.d,_xlpm.a*_xlpm.b)))</f>
        <v>0.93</v>
      </c>
      <c r="O18" s="1" cm="1">
        <f t="array" ref="O18">_xlfn.LET(_xlpm.d,O$2:O$13,_xlpm.a,$C$2:$C$13=$C18,_xlpm.b,$D$2:$D$13=$D18,MAX(_xlfn._xlws.FILTER(_xlpm.d,_xlpm.a*_xlpm.b)))</f>
        <v>0.89</v>
      </c>
      <c r="P18" s="1" cm="1">
        <f t="array" ref="P18">_xlfn.LET(_xlpm.d,P$2:P$13,_xlpm.a,$C$2:$C$13=$C18,_xlpm.b,$D$2:$D$13=$D18,MAX(_xlfn._xlws.FILTER(_xlpm.d,_xlpm.a*_xlpm.b)))</f>
        <v>0.94</v>
      </c>
      <c r="Q18" s="1" cm="1">
        <f t="array" ref="Q18">_xlfn.LET(_xlpm.d,Q$2:Q$13,_xlpm.a,$C$2:$C$13=$C18,_xlpm.b,$D$2:$D$13=$D18,MAX(_xlfn._xlws.FILTER(_xlpm.d,_xlpm.a*_xlpm.b)))</f>
        <v>0.96</v>
      </c>
      <c r="R18" s="1" cm="1">
        <f t="array" ref="R18">_xlfn.LET(_xlpm.d,R$2:R$13,_xlpm.a,$C$2:$C$13=$C18,_xlpm.b,$D$2:$D$13=$D18,MAX(_xlfn._xlws.FILTER(_xlpm.d,_xlpm.a*_xlpm.b)))</f>
        <v>0.88</v>
      </c>
      <c r="S18" s="1" cm="1">
        <f t="array" ref="S18">_xlfn.LET(_xlpm.d,S$2:S$13,_xlpm.a,$C$2:$C$13=$C18,_xlpm.b,$D$2:$D$13=$D18,MAX(_xlfn._xlws.FILTER(_xlpm.d,_xlpm.a*_xlpm.b)))</f>
        <v>0.96</v>
      </c>
    </row>
    <row r="19" spans="2:19" ht="25" customHeight="1">
      <c r="B19">
        <v>2</v>
      </c>
      <c r="C19" t="s">
        <v>9</v>
      </c>
      <c r="D19" t="b">
        <v>1</v>
      </c>
      <c r="E19">
        <v>1</v>
      </c>
      <c r="F19" t="s">
        <v>4</v>
      </c>
      <c r="G19" s="1" cm="1">
        <f t="array" ref="G19">_xlfn.LET(_xlpm.d,G$2:G$13,_xlpm.a,$C$2:$C$13=$C19,_xlpm.b,$D$2:$D$13=$D19,MAX(_xlfn._xlws.FILTER(_xlpm.d,_xlpm.a*_xlpm.b)))</f>
        <v>0.77</v>
      </c>
      <c r="H19" s="1" cm="1">
        <f t="array" ref="H19">_xlfn.LET(_xlpm.d,H$2:H$13,_xlpm.a,$C$2:$C$13=$C19,_xlpm.b,$D$2:$D$13=$D19,MAX(_xlfn._xlws.FILTER(_xlpm.d,_xlpm.a*_xlpm.b)))</f>
        <v>0.77</v>
      </c>
      <c r="I19" s="1" cm="1">
        <f t="array" ref="I19">_xlfn.LET(_xlpm.d,I$2:I$13,_xlpm.a,$C$2:$C$13=$C19,_xlpm.b,$D$2:$D$13=$D19,MAX(_xlfn._xlws.FILTER(_xlpm.d,_xlpm.a*_xlpm.b)))</f>
        <v>0.77</v>
      </c>
      <c r="J19" s="1" cm="1">
        <f t="array" ref="J19">_xlfn.LET(_xlpm.d,J$2:J$13,_xlpm.a,$C$2:$C$13=$C19,_xlpm.b,$D$2:$D$13=$D19,MAX(_xlfn._xlws.FILTER(_xlpm.d,_xlpm.a*_xlpm.b)))</f>
        <v>0.78</v>
      </c>
      <c r="K19" s="1" cm="1">
        <f t="array" ref="K19">_xlfn.LET(_xlpm.d,K$2:K$13,_xlpm.a,$C$2:$C$13=$C19,_xlpm.b,$D$2:$D$13=$D19,MAX(_xlfn._xlws.FILTER(_xlpm.d,_xlpm.a*_xlpm.b)))</f>
        <v>0.78</v>
      </c>
      <c r="L19" s="1" cm="1">
        <f t="array" ref="L19">_xlfn.LET(_xlpm.d,L$2:L$13,_xlpm.a,$C$2:$C$13=$C19,_xlpm.b,$D$2:$D$13=$D19,MAX(_xlfn._xlws.FILTER(_xlpm.d,_xlpm.a*_xlpm.b)))</f>
        <v>0.82</v>
      </c>
      <c r="M19" s="1" cm="1">
        <f t="array" ref="M19">_xlfn.LET(_xlpm.d,M$2:M$13,_xlpm.a,$C$2:$C$13=$C19,_xlpm.b,$D$2:$D$13=$D19,MAX(_xlfn._xlws.FILTER(_xlpm.d,_xlpm.a*_xlpm.b)))</f>
        <v>0.76</v>
      </c>
      <c r="N19" s="1" cm="1">
        <f t="array" ref="N19">_xlfn.LET(_xlpm.d,N$2:N$13,_xlpm.a,$C$2:$C$13=$C19,_xlpm.b,$D$2:$D$13=$D19,MAX(_xlfn._xlws.FILTER(_xlpm.d,_xlpm.a*_xlpm.b)))</f>
        <v>0.82</v>
      </c>
      <c r="O19" s="1" cm="1">
        <f t="array" ref="O19">_xlfn.LET(_xlpm.d,O$2:O$13,_xlpm.a,$C$2:$C$13=$C19,_xlpm.b,$D$2:$D$13=$D19,MAX(_xlfn._xlws.FILTER(_xlpm.d,_xlpm.a*_xlpm.b)))</f>
        <v>0.78</v>
      </c>
      <c r="P19" s="1" cm="1">
        <f t="array" ref="P19">_xlfn.LET(_xlpm.d,P$2:P$13,_xlpm.a,$C$2:$C$13=$C19,_xlpm.b,$D$2:$D$13=$D19,MAX(_xlfn._xlws.FILTER(_xlpm.d,_xlpm.a*_xlpm.b)))</f>
        <v>0.78</v>
      </c>
      <c r="Q19" s="1" cm="1">
        <f t="array" ref="Q19">_xlfn.LET(_xlpm.d,Q$2:Q$13,_xlpm.a,$C$2:$C$13=$C19,_xlpm.b,$D$2:$D$13=$D19,MAX(_xlfn._xlws.FILTER(_xlpm.d,_xlpm.a*_xlpm.b)))</f>
        <v>0.77</v>
      </c>
      <c r="R19" s="1" cm="1">
        <f t="array" ref="R19">_xlfn.LET(_xlpm.d,R$2:R$13,_xlpm.a,$C$2:$C$13=$C19,_xlpm.b,$D$2:$D$13=$D19,MAX(_xlfn._xlws.FILTER(_xlpm.d,_xlpm.a*_xlpm.b)))</f>
        <v>0.77</v>
      </c>
      <c r="S19" s="1" cm="1">
        <f t="array" ref="S19">_xlfn.LET(_xlpm.d,S$2:S$13,_xlpm.a,$C$2:$C$13=$C19,_xlpm.b,$D$2:$D$13=$D19,MAX(_xlfn._xlws.FILTER(_xlpm.d,_xlpm.a*_xlpm.b)))</f>
        <v>0.82</v>
      </c>
    </row>
    <row r="20" spans="2:19" ht="25" customHeight="1">
      <c r="B20">
        <v>2</v>
      </c>
      <c r="C20" t="s">
        <v>9</v>
      </c>
      <c r="D20" t="b">
        <v>0</v>
      </c>
      <c r="E20">
        <v>1</v>
      </c>
      <c r="F20" t="s">
        <v>4</v>
      </c>
      <c r="G20" s="1" cm="1">
        <f t="array" ref="G20">_xlfn.LET(_xlpm.d,G$2:G$13,_xlpm.a,$C$2:$C$13=$C20,_xlpm.b,$D$2:$D$13=$D20,MAX(_xlfn._xlws.FILTER(_xlpm.d,_xlpm.a*_xlpm.b)))</f>
        <v>0.76</v>
      </c>
      <c r="H20" s="1" cm="1">
        <f t="array" ref="H20">_xlfn.LET(_xlpm.d,H$2:H$13,_xlpm.a,$C$2:$C$13=$C20,_xlpm.b,$D$2:$D$13=$D20,MAX(_xlfn._xlws.FILTER(_xlpm.d,_xlpm.a*_xlpm.b)))</f>
        <v>0.78</v>
      </c>
      <c r="I20" s="1" cm="1">
        <f t="array" ref="I20">_xlfn.LET(_xlpm.d,I$2:I$13,_xlpm.a,$C$2:$C$13=$C20,_xlpm.b,$D$2:$D$13=$D20,MAX(_xlfn._xlws.FILTER(_xlpm.d,_xlpm.a*_xlpm.b)))</f>
        <v>0.78</v>
      </c>
      <c r="J20" s="1" cm="1">
        <f t="array" ref="J20">_xlfn.LET(_xlpm.d,J$2:J$13,_xlpm.a,$C$2:$C$13=$C20,_xlpm.b,$D$2:$D$13=$D20,MAX(_xlfn._xlws.FILTER(_xlpm.d,_xlpm.a*_xlpm.b)))</f>
        <v>0.78</v>
      </c>
      <c r="K20" s="1" cm="1">
        <f t="array" ref="K20">_xlfn.LET(_xlpm.d,K$2:K$13,_xlpm.a,$C$2:$C$13=$C20,_xlpm.b,$D$2:$D$13=$D20,MAX(_xlfn._xlws.FILTER(_xlpm.d,_xlpm.a*_xlpm.b)))</f>
        <v>0.76</v>
      </c>
      <c r="L20" s="1" cm="1">
        <f t="array" ref="L20">_xlfn.LET(_xlpm.d,L$2:L$13,_xlpm.a,$C$2:$C$13=$C20,_xlpm.b,$D$2:$D$13=$D20,MAX(_xlfn._xlws.FILTER(_xlpm.d,_xlpm.a*_xlpm.b)))</f>
        <v>0.78</v>
      </c>
      <c r="M20" s="1" cm="1">
        <f t="array" ref="M20">_xlfn.LET(_xlpm.d,M$2:M$13,_xlpm.a,$C$2:$C$13=$C20,_xlpm.b,$D$2:$D$13=$D20,MAX(_xlfn._xlws.FILTER(_xlpm.d,_xlpm.a*_xlpm.b)))</f>
        <v>0.74</v>
      </c>
      <c r="N20" s="1" cm="1">
        <f t="array" ref="N20">_xlfn.LET(_xlpm.d,N$2:N$13,_xlpm.a,$C$2:$C$13=$C20,_xlpm.b,$D$2:$D$13=$D20,MAX(_xlfn._xlws.FILTER(_xlpm.d,_xlpm.a*_xlpm.b)))</f>
        <v>0.77</v>
      </c>
      <c r="O20" s="1" cm="1">
        <f t="array" ref="O20">_xlfn.LET(_xlpm.d,O$2:O$13,_xlpm.a,$C$2:$C$13=$C20,_xlpm.b,$D$2:$D$13=$D20,MAX(_xlfn._xlws.FILTER(_xlpm.d,_xlpm.a*_xlpm.b)))</f>
        <v>0.78</v>
      </c>
      <c r="P20" s="1" cm="1">
        <f t="array" ref="P20">_xlfn.LET(_xlpm.d,P$2:P$13,_xlpm.a,$C$2:$C$13=$C20,_xlpm.b,$D$2:$D$13=$D20,MAX(_xlfn._xlws.FILTER(_xlpm.d,_xlpm.a*_xlpm.b)))</f>
        <v>0.78</v>
      </c>
      <c r="Q20" s="1" cm="1">
        <f t="array" ref="Q20">_xlfn.LET(_xlpm.d,Q$2:Q$13,_xlpm.a,$C$2:$C$13=$C20,_xlpm.b,$D$2:$D$13=$D20,MAX(_xlfn._xlws.FILTER(_xlpm.d,_xlpm.a*_xlpm.b)))</f>
        <v>0.76</v>
      </c>
      <c r="R20" s="1" cm="1">
        <f t="array" ref="R20">_xlfn.LET(_xlpm.d,R$2:R$13,_xlpm.a,$C$2:$C$13=$C20,_xlpm.b,$D$2:$D$13=$D20,MAX(_xlfn._xlws.FILTER(_xlpm.d,_xlpm.a*_xlpm.b)))</f>
        <v>0.76</v>
      </c>
      <c r="S20" s="1" cm="1">
        <f t="array" ref="S20">_xlfn.LET(_xlpm.d,S$2:S$13,_xlpm.a,$C$2:$C$13=$C20,_xlpm.b,$D$2:$D$13=$D20,MAX(_xlfn._xlws.FILTER(_xlpm.d,_xlpm.a*_xlpm.b)))</f>
        <v>0.78</v>
      </c>
    </row>
  </sheetData>
  <conditionalFormatting sqref="G2:S1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A0D3-4634-D841-9E92-70BDA7BB1498}">
  <dimension ref="A1:S20"/>
  <sheetViews>
    <sheetView workbookViewId="0">
      <pane xSplit="14180" ySplit="4400" topLeftCell="M10" activePane="bottomLeft"/>
      <selection activeCell="G1" sqref="G1:S1048576"/>
      <selection pane="topRight" activeCell="S3" sqref="S3"/>
      <selection pane="bottomLeft" activeCell="B17" sqref="B17:S20"/>
      <selection pane="bottomRight" activeCell="I10" sqref="I10"/>
    </sheetView>
  </sheetViews>
  <sheetFormatPr baseColWidth="10" defaultRowHeight="25" customHeight="1"/>
  <cols>
    <col min="2" max="6" width="7.875" customWidth="1"/>
    <col min="7" max="19" width="8.125" customWidth="1"/>
  </cols>
  <sheetData>
    <row r="1" spans="1:19" ht="25" customHeight="1">
      <c r="A1" t="s">
        <v>0</v>
      </c>
      <c r="B1" t="s">
        <v>10</v>
      </c>
      <c r="C1" t="s">
        <v>1</v>
      </c>
      <c r="D1" t="s">
        <v>2</v>
      </c>
      <c r="E1" t="s">
        <v>11</v>
      </c>
      <c r="F1" t="s">
        <v>3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4</v>
      </c>
    </row>
    <row r="2" spans="1:19" ht="25" customHeight="1">
      <c r="A2" t="s">
        <v>26</v>
      </c>
      <c r="B2">
        <v>1</v>
      </c>
      <c r="C2" t="s">
        <v>5</v>
      </c>
      <c r="D2" t="b">
        <v>1</v>
      </c>
      <c r="E2">
        <v>1</v>
      </c>
      <c r="F2" t="s">
        <v>8</v>
      </c>
      <c r="G2" s="1">
        <v>0.87</v>
      </c>
      <c r="H2" s="1">
        <v>0.9</v>
      </c>
      <c r="I2" s="1">
        <v>0.89</v>
      </c>
      <c r="J2" s="1">
        <v>0.92</v>
      </c>
      <c r="K2" s="1">
        <v>0.86</v>
      </c>
      <c r="L2" s="1">
        <v>0.92</v>
      </c>
      <c r="M2" s="1">
        <v>0.84</v>
      </c>
      <c r="N2" s="1">
        <v>0.85</v>
      </c>
      <c r="O2" s="1">
        <v>0.86</v>
      </c>
      <c r="P2" s="1">
        <v>0.88</v>
      </c>
      <c r="Q2" s="1">
        <v>0.87</v>
      </c>
      <c r="R2" s="1">
        <v>0.85</v>
      </c>
      <c r="S2" s="1">
        <f t="shared" ref="S2:S13" si="0">MAX($G2:$R2)</f>
        <v>0.92</v>
      </c>
    </row>
    <row r="3" spans="1:19" ht="25" customHeight="1">
      <c r="A3" t="s">
        <v>26</v>
      </c>
      <c r="B3">
        <v>1</v>
      </c>
      <c r="C3" t="s">
        <v>5</v>
      </c>
      <c r="D3" t="b">
        <v>1</v>
      </c>
      <c r="E3">
        <v>2</v>
      </c>
      <c r="F3" t="s">
        <v>7</v>
      </c>
      <c r="G3" s="1">
        <v>0.93</v>
      </c>
      <c r="H3" s="1">
        <v>0.9</v>
      </c>
      <c r="I3" s="1">
        <v>0.93</v>
      </c>
      <c r="J3" s="1">
        <v>0.93</v>
      </c>
      <c r="K3" s="1">
        <v>0.93</v>
      </c>
      <c r="L3" s="1">
        <v>0.93</v>
      </c>
      <c r="M3" s="1">
        <v>0.93</v>
      </c>
      <c r="N3" s="1">
        <v>0.89</v>
      </c>
      <c r="O3" s="1">
        <v>0.93</v>
      </c>
      <c r="P3" s="1">
        <v>0.96</v>
      </c>
      <c r="Q3" s="1">
        <v>0.91</v>
      </c>
      <c r="R3" s="1">
        <v>0.93</v>
      </c>
      <c r="S3" s="1">
        <f t="shared" si="0"/>
        <v>0.96</v>
      </c>
    </row>
    <row r="4" spans="1:19" ht="25" customHeight="1">
      <c r="A4" t="s">
        <v>26</v>
      </c>
      <c r="B4">
        <v>1</v>
      </c>
      <c r="C4" t="s">
        <v>5</v>
      </c>
      <c r="D4" t="b">
        <v>1</v>
      </c>
      <c r="E4">
        <v>3</v>
      </c>
      <c r="F4" t="s">
        <v>6</v>
      </c>
      <c r="G4" s="1">
        <v>0.93</v>
      </c>
      <c r="H4" s="1">
        <v>0.93</v>
      </c>
      <c r="I4" s="1">
        <v>0.95</v>
      </c>
      <c r="J4" s="1">
        <v>0.96</v>
      </c>
      <c r="K4" s="1">
        <v>0.95</v>
      </c>
      <c r="L4" s="1">
        <v>0.93</v>
      </c>
      <c r="M4" s="1">
        <v>0.9</v>
      </c>
      <c r="N4" s="1">
        <v>0.93</v>
      </c>
      <c r="O4" s="1">
        <v>0.93</v>
      </c>
      <c r="P4" s="1">
        <v>0.95</v>
      </c>
      <c r="Q4" s="1">
        <v>0.95</v>
      </c>
      <c r="R4" s="1">
        <v>0.92</v>
      </c>
      <c r="S4" s="1">
        <f t="shared" si="0"/>
        <v>0.96</v>
      </c>
    </row>
    <row r="5" spans="1:19" ht="25" customHeight="1">
      <c r="A5" t="s">
        <v>26</v>
      </c>
      <c r="B5">
        <v>1</v>
      </c>
      <c r="C5" t="s">
        <v>5</v>
      </c>
      <c r="D5" t="b">
        <v>0</v>
      </c>
      <c r="E5">
        <v>1</v>
      </c>
      <c r="F5" t="s">
        <v>8</v>
      </c>
      <c r="G5" s="1">
        <v>0.9</v>
      </c>
      <c r="H5" s="1">
        <v>0.81</v>
      </c>
      <c r="I5" s="1">
        <v>0.92</v>
      </c>
      <c r="J5" s="1">
        <v>0.93</v>
      </c>
      <c r="K5" s="1">
        <v>0.81</v>
      </c>
      <c r="L5" s="1">
        <v>0.86</v>
      </c>
      <c r="M5" s="1">
        <v>0.9</v>
      </c>
      <c r="N5" s="1">
        <v>0.86</v>
      </c>
      <c r="O5" s="1">
        <v>0.86</v>
      </c>
      <c r="P5" s="1">
        <v>0.91</v>
      </c>
      <c r="Q5" s="1">
        <v>0.78</v>
      </c>
      <c r="R5" s="1">
        <v>0.85</v>
      </c>
      <c r="S5" s="1">
        <f t="shared" si="0"/>
        <v>0.93</v>
      </c>
    </row>
    <row r="6" spans="1:19" ht="25" customHeight="1">
      <c r="A6" t="s">
        <v>26</v>
      </c>
      <c r="B6">
        <v>1</v>
      </c>
      <c r="C6" t="s">
        <v>5</v>
      </c>
      <c r="D6" t="b">
        <v>0</v>
      </c>
      <c r="E6">
        <v>2</v>
      </c>
      <c r="F6" t="s">
        <v>7</v>
      </c>
      <c r="G6" s="1">
        <v>0.93</v>
      </c>
      <c r="H6" s="1">
        <v>0.89</v>
      </c>
      <c r="I6" s="1">
        <v>0.95</v>
      </c>
      <c r="J6" s="1">
        <v>0.93</v>
      </c>
      <c r="K6" s="1">
        <v>0.93</v>
      </c>
      <c r="L6" s="1">
        <v>0.96</v>
      </c>
      <c r="M6" s="1">
        <v>0.92</v>
      </c>
      <c r="N6" s="1">
        <v>0.88</v>
      </c>
      <c r="O6" s="1">
        <v>0.93</v>
      </c>
      <c r="P6" s="1">
        <v>0.95</v>
      </c>
      <c r="Q6" s="1">
        <v>0.91</v>
      </c>
      <c r="R6" s="1">
        <v>0.93</v>
      </c>
      <c r="S6" s="1">
        <f t="shared" si="0"/>
        <v>0.96</v>
      </c>
    </row>
    <row r="7" spans="1:19" ht="25" customHeight="1">
      <c r="A7" t="s">
        <v>26</v>
      </c>
      <c r="B7">
        <v>1</v>
      </c>
      <c r="C7" t="s">
        <v>5</v>
      </c>
      <c r="D7" t="b">
        <v>0</v>
      </c>
      <c r="E7">
        <v>3</v>
      </c>
      <c r="F7" t="s">
        <v>6</v>
      </c>
      <c r="G7" s="1">
        <v>0.93</v>
      </c>
      <c r="H7" s="1">
        <v>0.89</v>
      </c>
      <c r="I7" s="1">
        <v>0.93</v>
      </c>
      <c r="J7" s="1">
        <v>0.94</v>
      </c>
      <c r="K7" s="1">
        <v>0.95</v>
      </c>
      <c r="L7" s="1">
        <v>0.93</v>
      </c>
      <c r="M7" s="1">
        <v>0.93</v>
      </c>
      <c r="N7" s="1">
        <v>0.9</v>
      </c>
      <c r="O7" s="1">
        <v>0.91</v>
      </c>
      <c r="P7" s="1">
        <v>0.93</v>
      </c>
      <c r="Q7" s="1">
        <v>0.94</v>
      </c>
      <c r="R7" s="1">
        <v>0.93</v>
      </c>
      <c r="S7" s="1">
        <f t="shared" si="0"/>
        <v>0.95</v>
      </c>
    </row>
    <row r="8" spans="1:19" ht="25" customHeight="1">
      <c r="A8" t="s">
        <v>26</v>
      </c>
      <c r="B8">
        <v>2</v>
      </c>
      <c r="C8" t="s">
        <v>9</v>
      </c>
      <c r="D8" t="b">
        <v>1</v>
      </c>
      <c r="E8">
        <v>1</v>
      </c>
      <c r="F8" t="s">
        <v>8</v>
      </c>
      <c r="G8" s="1">
        <v>0.73</v>
      </c>
      <c r="H8" s="1">
        <v>0.71</v>
      </c>
      <c r="I8" s="1">
        <v>0.68</v>
      </c>
      <c r="J8" s="1">
        <v>0.7</v>
      </c>
      <c r="K8" s="1">
        <v>0.65</v>
      </c>
      <c r="L8" s="1">
        <v>0.65</v>
      </c>
      <c r="M8" s="1">
        <v>0.76</v>
      </c>
      <c r="N8" s="1">
        <v>0.77</v>
      </c>
      <c r="O8" s="1">
        <v>0.68</v>
      </c>
      <c r="P8" s="1">
        <v>0.68</v>
      </c>
      <c r="Q8" s="1">
        <v>0.61</v>
      </c>
      <c r="R8" s="1">
        <v>0.78</v>
      </c>
      <c r="S8" s="1">
        <f t="shared" si="0"/>
        <v>0.78</v>
      </c>
    </row>
    <row r="9" spans="1:19" ht="25" customHeight="1">
      <c r="A9" t="s">
        <v>26</v>
      </c>
      <c r="B9">
        <v>2</v>
      </c>
      <c r="C9" t="s">
        <v>9</v>
      </c>
      <c r="D9" t="b">
        <v>1</v>
      </c>
      <c r="E9">
        <v>2</v>
      </c>
      <c r="F9" t="s">
        <v>7</v>
      </c>
      <c r="G9" s="1">
        <v>0.78</v>
      </c>
      <c r="H9" s="1">
        <v>0.82</v>
      </c>
      <c r="I9" s="1">
        <v>0.77</v>
      </c>
      <c r="J9" s="1">
        <v>0.79</v>
      </c>
      <c r="K9" s="1">
        <v>0.69</v>
      </c>
      <c r="L9" s="1">
        <v>0.77</v>
      </c>
      <c r="M9" s="1">
        <v>0.74</v>
      </c>
      <c r="N9" s="1">
        <v>0.77</v>
      </c>
      <c r="O9" s="1">
        <v>0.76</v>
      </c>
      <c r="P9" s="1">
        <v>0.78</v>
      </c>
      <c r="Q9" s="1">
        <v>0.63</v>
      </c>
      <c r="R9" s="1">
        <v>0.82</v>
      </c>
      <c r="S9" s="1">
        <f t="shared" si="0"/>
        <v>0.82</v>
      </c>
    </row>
    <row r="10" spans="1:19" ht="25" customHeight="1">
      <c r="A10" t="s">
        <v>26</v>
      </c>
      <c r="B10">
        <v>2</v>
      </c>
      <c r="C10" t="s">
        <v>9</v>
      </c>
      <c r="D10" t="b">
        <v>1</v>
      </c>
      <c r="E10">
        <v>3</v>
      </c>
      <c r="F10" t="s">
        <v>6</v>
      </c>
      <c r="G10" s="1">
        <v>0.77</v>
      </c>
      <c r="H10" s="1">
        <v>0.83</v>
      </c>
      <c r="I10" s="1">
        <v>0.73</v>
      </c>
      <c r="J10" s="1">
        <v>0.69</v>
      </c>
      <c r="K10" s="1">
        <v>0.67</v>
      </c>
      <c r="L10" s="1">
        <v>0.79</v>
      </c>
      <c r="M10" s="1">
        <v>0.73</v>
      </c>
      <c r="N10" s="1">
        <v>0.67</v>
      </c>
      <c r="O10" s="1">
        <v>0.73</v>
      </c>
      <c r="P10" s="1">
        <v>0.76</v>
      </c>
      <c r="Q10" s="1">
        <v>0.72</v>
      </c>
      <c r="R10" s="1">
        <v>0.82</v>
      </c>
      <c r="S10" s="1">
        <f t="shared" si="0"/>
        <v>0.83</v>
      </c>
    </row>
    <row r="11" spans="1:19" ht="25" customHeight="1">
      <c r="A11" t="s">
        <v>26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 s="1">
        <v>0.68</v>
      </c>
      <c r="H11" s="1">
        <v>0.77</v>
      </c>
      <c r="I11" s="1">
        <v>0.72</v>
      </c>
      <c r="J11" s="1">
        <v>0.64</v>
      </c>
      <c r="K11" s="1">
        <v>0.68</v>
      </c>
      <c r="L11" s="1">
        <v>0.68</v>
      </c>
      <c r="M11" s="1">
        <v>0.75</v>
      </c>
      <c r="N11" s="1">
        <v>0.67</v>
      </c>
      <c r="O11" s="1">
        <v>0.66</v>
      </c>
      <c r="P11" s="1">
        <v>0.62</v>
      </c>
      <c r="Q11" s="1">
        <v>0.61</v>
      </c>
      <c r="R11" s="1">
        <v>0.76</v>
      </c>
      <c r="S11" s="1">
        <f t="shared" si="0"/>
        <v>0.77</v>
      </c>
    </row>
    <row r="12" spans="1:19" ht="25" customHeight="1">
      <c r="A12" t="s">
        <v>26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 s="1">
        <v>0.81</v>
      </c>
      <c r="H12" s="1">
        <v>0.83</v>
      </c>
      <c r="I12" s="1">
        <v>0.76</v>
      </c>
      <c r="J12" s="1">
        <v>0.78</v>
      </c>
      <c r="K12" s="1">
        <v>0.68</v>
      </c>
      <c r="L12" s="1">
        <v>0.79</v>
      </c>
      <c r="M12" s="1">
        <v>0.75</v>
      </c>
      <c r="N12" s="1">
        <v>0.79</v>
      </c>
      <c r="O12" s="1">
        <v>0.76</v>
      </c>
      <c r="P12" s="1">
        <v>0.8</v>
      </c>
      <c r="Q12" s="1">
        <v>0.65</v>
      </c>
      <c r="R12" s="1">
        <v>0.84</v>
      </c>
      <c r="S12" s="1">
        <f t="shared" si="0"/>
        <v>0.84</v>
      </c>
    </row>
    <row r="13" spans="1:19" ht="25" customHeight="1">
      <c r="A13" t="s">
        <v>26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 s="1">
        <v>0.78</v>
      </c>
      <c r="H13" s="1">
        <v>0.79</v>
      </c>
      <c r="I13" s="1">
        <v>0.7</v>
      </c>
      <c r="J13" s="1">
        <v>0.71</v>
      </c>
      <c r="K13" s="1">
        <v>0.66</v>
      </c>
      <c r="L13" s="1">
        <v>0.78</v>
      </c>
      <c r="M13" s="1">
        <v>0.75</v>
      </c>
      <c r="N13" s="1">
        <v>0.68</v>
      </c>
      <c r="O13" s="1">
        <v>0.75</v>
      </c>
      <c r="P13" s="1">
        <v>0.73</v>
      </c>
      <c r="Q13" s="1">
        <v>0.69</v>
      </c>
      <c r="R13" s="1">
        <v>0.78</v>
      </c>
      <c r="S13" s="1">
        <f t="shared" si="0"/>
        <v>0.79</v>
      </c>
    </row>
    <row r="16" spans="1:19" ht="25" customHeight="1">
      <c r="B16" t="s">
        <v>10</v>
      </c>
      <c r="C16" t="s">
        <v>1</v>
      </c>
      <c r="D16" t="s">
        <v>13</v>
      </c>
      <c r="E16" t="s">
        <v>11</v>
      </c>
      <c r="F16" t="s">
        <v>12</v>
      </c>
      <c r="G16" t="s">
        <v>14</v>
      </c>
      <c r="H16" t="s">
        <v>15</v>
      </c>
      <c r="I16" t="s">
        <v>16</v>
      </c>
      <c r="J16" t="s">
        <v>17</v>
      </c>
      <c r="K16" t="s">
        <v>18</v>
      </c>
      <c r="L16" t="s">
        <v>19</v>
      </c>
      <c r="M16" t="s">
        <v>20</v>
      </c>
      <c r="N16" t="s">
        <v>21</v>
      </c>
      <c r="O16" t="s">
        <v>22</v>
      </c>
      <c r="P16" t="s">
        <v>23</v>
      </c>
      <c r="Q16" t="s">
        <v>24</v>
      </c>
      <c r="R16" t="s">
        <v>25</v>
      </c>
      <c r="S16" t="s">
        <v>4</v>
      </c>
    </row>
    <row r="17" spans="2:19" ht="25" customHeight="1">
      <c r="B17">
        <v>1</v>
      </c>
      <c r="C17" t="s">
        <v>5</v>
      </c>
      <c r="D17" t="b">
        <v>1</v>
      </c>
      <c r="E17">
        <v>1</v>
      </c>
      <c r="F17" t="s">
        <v>4</v>
      </c>
      <c r="G17" s="1" cm="1">
        <f t="array" ref="G17">_xlfn.LET(_xlpm.d,G$2:G$13,_xlpm.a,$C$2:$C$13=$C17,_xlpm.b,$D$2:$D$13=$D17,MAX(_xlfn._xlws.FILTER(_xlpm.d,_xlpm.a*_xlpm.b)))</f>
        <v>0.93</v>
      </c>
      <c r="H17" s="1" cm="1">
        <f t="array" ref="H17">_xlfn.LET(_xlpm.d,H$2:H$13,_xlpm.a,$C$2:$C$13=$C17,_xlpm.b,$D$2:$D$13=$D17,MAX(_xlfn._xlws.FILTER(_xlpm.d,_xlpm.a*_xlpm.b)))</f>
        <v>0.93</v>
      </c>
      <c r="I17" s="1" cm="1">
        <f t="array" ref="I17">_xlfn.LET(_xlpm.d,I$2:I$13,_xlpm.a,$C$2:$C$13=$C17,_xlpm.b,$D$2:$D$13=$D17,MAX(_xlfn._xlws.FILTER(_xlpm.d,_xlpm.a*_xlpm.b)))</f>
        <v>0.95</v>
      </c>
      <c r="J17" s="1" cm="1">
        <f t="array" ref="J17">_xlfn.LET(_xlpm.d,J$2:J$13,_xlpm.a,$C$2:$C$13=$C17,_xlpm.b,$D$2:$D$13=$D17,MAX(_xlfn._xlws.FILTER(_xlpm.d,_xlpm.a*_xlpm.b)))</f>
        <v>0.96</v>
      </c>
      <c r="K17" s="1" cm="1">
        <f t="array" ref="K17">_xlfn.LET(_xlpm.d,K$2:K$13,_xlpm.a,$C$2:$C$13=$C17,_xlpm.b,$D$2:$D$13=$D17,MAX(_xlfn._xlws.FILTER(_xlpm.d,_xlpm.a*_xlpm.b)))</f>
        <v>0.95</v>
      </c>
      <c r="L17" s="1" cm="1">
        <f t="array" ref="L17">_xlfn.LET(_xlpm.d,L$2:L$13,_xlpm.a,$C$2:$C$13=$C17,_xlpm.b,$D$2:$D$13=$D17,MAX(_xlfn._xlws.FILTER(_xlpm.d,_xlpm.a*_xlpm.b)))</f>
        <v>0.93</v>
      </c>
      <c r="M17" s="1" cm="1">
        <f t="array" ref="M17">_xlfn.LET(_xlpm.d,M$2:M$13,_xlpm.a,$C$2:$C$13=$C17,_xlpm.b,$D$2:$D$13=$D17,MAX(_xlfn._xlws.FILTER(_xlpm.d,_xlpm.a*_xlpm.b)))</f>
        <v>0.93</v>
      </c>
      <c r="N17" s="1" cm="1">
        <f t="array" ref="N17">_xlfn.LET(_xlpm.d,N$2:N$13,_xlpm.a,$C$2:$C$13=$C17,_xlpm.b,$D$2:$D$13=$D17,MAX(_xlfn._xlws.FILTER(_xlpm.d,_xlpm.a*_xlpm.b)))</f>
        <v>0.93</v>
      </c>
      <c r="O17" s="1" cm="1">
        <f t="array" ref="O17">_xlfn.LET(_xlpm.d,O$2:O$13,_xlpm.a,$C$2:$C$13=$C17,_xlpm.b,$D$2:$D$13=$D17,MAX(_xlfn._xlws.FILTER(_xlpm.d,_xlpm.a*_xlpm.b)))</f>
        <v>0.93</v>
      </c>
      <c r="P17" s="1" cm="1">
        <f t="array" ref="P17">_xlfn.LET(_xlpm.d,P$2:P$13,_xlpm.a,$C$2:$C$13=$C17,_xlpm.b,$D$2:$D$13=$D17,MAX(_xlfn._xlws.FILTER(_xlpm.d,_xlpm.a*_xlpm.b)))</f>
        <v>0.96</v>
      </c>
      <c r="Q17" s="1" cm="1">
        <f t="array" ref="Q17">_xlfn.LET(_xlpm.d,Q$2:Q$13,_xlpm.a,$C$2:$C$13=$C17,_xlpm.b,$D$2:$D$13=$D17,MAX(_xlfn._xlws.FILTER(_xlpm.d,_xlpm.a*_xlpm.b)))</f>
        <v>0.95</v>
      </c>
      <c r="R17" s="1" cm="1">
        <f t="array" ref="R17">_xlfn.LET(_xlpm.d,R$2:R$13,_xlpm.a,$C$2:$C$13=$C17,_xlpm.b,$D$2:$D$13=$D17,MAX(_xlfn._xlws.FILTER(_xlpm.d,_xlpm.a*_xlpm.b)))</f>
        <v>0.93</v>
      </c>
      <c r="S17" s="1" cm="1">
        <f t="array" ref="S17">_xlfn.LET(_xlpm.d,S$2:S$13,_xlpm.a,$C$2:$C$13=$C17,_xlpm.b,$D$2:$D$13=$D17,MAX(_xlfn._xlws.FILTER(_xlpm.d,_xlpm.a*_xlpm.b)))</f>
        <v>0.96</v>
      </c>
    </row>
    <row r="18" spans="2:19" ht="25" customHeight="1">
      <c r="B18">
        <v>1</v>
      </c>
      <c r="C18" t="s">
        <v>5</v>
      </c>
      <c r="D18" t="b">
        <v>0</v>
      </c>
      <c r="E18">
        <v>1</v>
      </c>
      <c r="F18" t="s">
        <v>4</v>
      </c>
      <c r="G18" s="1" cm="1">
        <f t="array" ref="G18">_xlfn.LET(_xlpm.d,G$2:G$13,_xlpm.a,$C$2:$C$13=$C18,_xlpm.b,$D$2:$D$13=$D18,MAX(_xlfn._xlws.FILTER(_xlpm.d,_xlpm.a*_xlpm.b)))</f>
        <v>0.93</v>
      </c>
      <c r="H18" s="1" cm="1">
        <f t="array" ref="H18">_xlfn.LET(_xlpm.d,H$2:H$13,_xlpm.a,$C$2:$C$13=$C18,_xlpm.b,$D$2:$D$13=$D18,MAX(_xlfn._xlws.FILTER(_xlpm.d,_xlpm.a*_xlpm.b)))</f>
        <v>0.89</v>
      </c>
      <c r="I18" s="1" cm="1">
        <f t="array" ref="I18">_xlfn.LET(_xlpm.d,I$2:I$13,_xlpm.a,$C$2:$C$13=$C18,_xlpm.b,$D$2:$D$13=$D18,MAX(_xlfn._xlws.FILTER(_xlpm.d,_xlpm.a*_xlpm.b)))</f>
        <v>0.95</v>
      </c>
      <c r="J18" s="1" cm="1">
        <f t="array" ref="J18">_xlfn.LET(_xlpm.d,J$2:J$13,_xlpm.a,$C$2:$C$13=$C18,_xlpm.b,$D$2:$D$13=$D18,MAX(_xlfn._xlws.FILTER(_xlpm.d,_xlpm.a*_xlpm.b)))</f>
        <v>0.94</v>
      </c>
      <c r="K18" s="1" cm="1">
        <f t="array" ref="K18">_xlfn.LET(_xlpm.d,K$2:K$13,_xlpm.a,$C$2:$C$13=$C18,_xlpm.b,$D$2:$D$13=$D18,MAX(_xlfn._xlws.FILTER(_xlpm.d,_xlpm.a*_xlpm.b)))</f>
        <v>0.95</v>
      </c>
      <c r="L18" s="1" cm="1">
        <f t="array" ref="L18">_xlfn.LET(_xlpm.d,L$2:L$13,_xlpm.a,$C$2:$C$13=$C18,_xlpm.b,$D$2:$D$13=$D18,MAX(_xlfn._xlws.FILTER(_xlpm.d,_xlpm.a*_xlpm.b)))</f>
        <v>0.96</v>
      </c>
      <c r="M18" s="1" cm="1">
        <f t="array" ref="M18">_xlfn.LET(_xlpm.d,M$2:M$13,_xlpm.a,$C$2:$C$13=$C18,_xlpm.b,$D$2:$D$13=$D18,MAX(_xlfn._xlws.FILTER(_xlpm.d,_xlpm.a*_xlpm.b)))</f>
        <v>0.93</v>
      </c>
      <c r="N18" s="1" cm="1">
        <f t="array" ref="N18">_xlfn.LET(_xlpm.d,N$2:N$13,_xlpm.a,$C$2:$C$13=$C18,_xlpm.b,$D$2:$D$13=$D18,MAX(_xlfn._xlws.FILTER(_xlpm.d,_xlpm.a*_xlpm.b)))</f>
        <v>0.9</v>
      </c>
      <c r="O18" s="1" cm="1">
        <f t="array" ref="O18">_xlfn.LET(_xlpm.d,O$2:O$13,_xlpm.a,$C$2:$C$13=$C18,_xlpm.b,$D$2:$D$13=$D18,MAX(_xlfn._xlws.FILTER(_xlpm.d,_xlpm.a*_xlpm.b)))</f>
        <v>0.93</v>
      </c>
      <c r="P18" s="1" cm="1">
        <f t="array" ref="P18">_xlfn.LET(_xlpm.d,P$2:P$13,_xlpm.a,$C$2:$C$13=$C18,_xlpm.b,$D$2:$D$13=$D18,MAX(_xlfn._xlws.FILTER(_xlpm.d,_xlpm.a*_xlpm.b)))</f>
        <v>0.95</v>
      </c>
      <c r="Q18" s="1" cm="1">
        <f t="array" ref="Q18">_xlfn.LET(_xlpm.d,Q$2:Q$13,_xlpm.a,$C$2:$C$13=$C18,_xlpm.b,$D$2:$D$13=$D18,MAX(_xlfn._xlws.FILTER(_xlpm.d,_xlpm.a*_xlpm.b)))</f>
        <v>0.94</v>
      </c>
      <c r="R18" s="1" cm="1">
        <f t="array" ref="R18">_xlfn.LET(_xlpm.d,R$2:R$13,_xlpm.a,$C$2:$C$13=$C18,_xlpm.b,$D$2:$D$13=$D18,MAX(_xlfn._xlws.FILTER(_xlpm.d,_xlpm.a*_xlpm.b)))</f>
        <v>0.93</v>
      </c>
      <c r="S18" s="1" cm="1">
        <f t="array" ref="S18">_xlfn.LET(_xlpm.d,S$2:S$13,_xlpm.a,$C$2:$C$13=$C18,_xlpm.b,$D$2:$D$13=$D18,MAX(_xlfn._xlws.FILTER(_xlpm.d,_xlpm.a*_xlpm.b)))</f>
        <v>0.96</v>
      </c>
    </row>
    <row r="19" spans="2:19" ht="25" customHeight="1">
      <c r="B19">
        <v>2</v>
      </c>
      <c r="C19" t="s">
        <v>9</v>
      </c>
      <c r="D19" t="b">
        <v>1</v>
      </c>
      <c r="E19">
        <v>1</v>
      </c>
      <c r="F19" t="s">
        <v>4</v>
      </c>
      <c r="G19" s="1" cm="1">
        <f t="array" ref="G19">_xlfn.LET(_xlpm.d,G$2:G$13,_xlpm.a,$C$2:$C$13=$C19,_xlpm.b,$D$2:$D$13=$D19,MAX(_xlfn._xlws.FILTER(_xlpm.d,_xlpm.a*_xlpm.b)))</f>
        <v>0.78</v>
      </c>
      <c r="H19" s="1" cm="1">
        <f t="array" ref="H19">_xlfn.LET(_xlpm.d,H$2:H$13,_xlpm.a,$C$2:$C$13=$C19,_xlpm.b,$D$2:$D$13=$D19,MAX(_xlfn._xlws.FILTER(_xlpm.d,_xlpm.a*_xlpm.b)))</f>
        <v>0.83</v>
      </c>
      <c r="I19" s="1" cm="1">
        <f t="array" ref="I19">_xlfn.LET(_xlpm.d,I$2:I$13,_xlpm.a,$C$2:$C$13=$C19,_xlpm.b,$D$2:$D$13=$D19,MAX(_xlfn._xlws.FILTER(_xlpm.d,_xlpm.a*_xlpm.b)))</f>
        <v>0.77</v>
      </c>
      <c r="J19" s="1" cm="1">
        <f t="array" ref="J19">_xlfn.LET(_xlpm.d,J$2:J$13,_xlpm.a,$C$2:$C$13=$C19,_xlpm.b,$D$2:$D$13=$D19,MAX(_xlfn._xlws.FILTER(_xlpm.d,_xlpm.a*_xlpm.b)))</f>
        <v>0.79</v>
      </c>
      <c r="K19" s="1" cm="1">
        <f t="array" ref="K19">_xlfn.LET(_xlpm.d,K$2:K$13,_xlpm.a,$C$2:$C$13=$C19,_xlpm.b,$D$2:$D$13=$D19,MAX(_xlfn._xlws.FILTER(_xlpm.d,_xlpm.a*_xlpm.b)))</f>
        <v>0.69</v>
      </c>
      <c r="L19" s="1" cm="1">
        <f t="array" ref="L19">_xlfn.LET(_xlpm.d,L$2:L$13,_xlpm.a,$C$2:$C$13=$C19,_xlpm.b,$D$2:$D$13=$D19,MAX(_xlfn._xlws.FILTER(_xlpm.d,_xlpm.a*_xlpm.b)))</f>
        <v>0.79</v>
      </c>
      <c r="M19" s="1" cm="1">
        <f t="array" ref="M19">_xlfn.LET(_xlpm.d,M$2:M$13,_xlpm.a,$C$2:$C$13=$C19,_xlpm.b,$D$2:$D$13=$D19,MAX(_xlfn._xlws.FILTER(_xlpm.d,_xlpm.a*_xlpm.b)))</f>
        <v>0.76</v>
      </c>
      <c r="N19" s="1" cm="1">
        <f t="array" ref="N19">_xlfn.LET(_xlpm.d,N$2:N$13,_xlpm.a,$C$2:$C$13=$C19,_xlpm.b,$D$2:$D$13=$D19,MAX(_xlfn._xlws.FILTER(_xlpm.d,_xlpm.a*_xlpm.b)))</f>
        <v>0.77</v>
      </c>
      <c r="O19" s="1" cm="1">
        <f t="array" ref="O19">_xlfn.LET(_xlpm.d,O$2:O$13,_xlpm.a,$C$2:$C$13=$C19,_xlpm.b,$D$2:$D$13=$D19,MAX(_xlfn._xlws.FILTER(_xlpm.d,_xlpm.a*_xlpm.b)))</f>
        <v>0.76</v>
      </c>
      <c r="P19" s="1" cm="1">
        <f t="array" ref="P19">_xlfn.LET(_xlpm.d,P$2:P$13,_xlpm.a,$C$2:$C$13=$C19,_xlpm.b,$D$2:$D$13=$D19,MAX(_xlfn._xlws.FILTER(_xlpm.d,_xlpm.a*_xlpm.b)))</f>
        <v>0.78</v>
      </c>
      <c r="Q19" s="1" cm="1">
        <f t="array" ref="Q19">_xlfn.LET(_xlpm.d,Q$2:Q$13,_xlpm.a,$C$2:$C$13=$C19,_xlpm.b,$D$2:$D$13=$D19,MAX(_xlfn._xlws.FILTER(_xlpm.d,_xlpm.a*_xlpm.b)))</f>
        <v>0.72</v>
      </c>
      <c r="R19" s="1" cm="1">
        <f t="array" ref="R19">_xlfn.LET(_xlpm.d,R$2:R$13,_xlpm.a,$C$2:$C$13=$C19,_xlpm.b,$D$2:$D$13=$D19,MAX(_xlfn._xlws.FILTER(_xlpm.d,_xlpm.a*_xlpm.b)))</f>
        <v>0.82</v>
      </c>
      <c r="S19" s="1" cm="1">
        <f t="array" ref="S19">_xlfn.LET(_xlpm.d,S$2:S$13,_xlpm.a,$C$2:$C$13=$C19,_xlpm.b,$D$2:$D$13=$D19,MAX(_xlfn._xlws.FILTER(_xlpm.d,_xlpm.a*_xlpm.b)))</f>
        <v>0.83</v>
      </c>
    </row>
    <row r="20" spans="2:19" ht="25" customHeight="1">
      <c r="B20">
        <v>2</v>
      </c>
      <c r="C20" t="s">
        <v>9</v>
      </c>
      <c r="D20" t="b">
        <v>0</v>
      </c>
      <c r="E20">
        <v>1</v>
      </c>
      <c r="F20" t="s">
        <v>4</v>
      </c>
      <c r="G20" s="1" cm="1">
        <f t="array" ref="G20">_xlfn.LET(_xlpm.d,G$2:G$13,_xlpm.a,$C$2:$C$13=$C20,_xlpm.b,$D$2:$D$13=$D20,MAX(_xlfn._xlws.FILTER(_xlpm.d,_xlpm.a*_xlpm.b)))</f>
        <v>0.81</v>
      </c>
      <c r="H20" s="1" cm="1">
        <f t="array" ref="H20">_xlfn.LET(_xlpm.d,H$2:H$13,_xlpm.a,$C$2:$C$13=$C20,_xlpm.b,$D$2:$D$13=$D20,MAX(_xlfn._xlws.FILTER(_xlpm.d,_xlpm.a*_xlpm.b)))</f>
        <v>0.83</v>
      </c>
      <c r="I20" s="1" cm="1">
        <f t="array" ref="I20">_xlfn.LET(_xlpm.d,I$2:I$13,_xlpm.a,$C$2:$C$13=$C20,_xlpm.b,$D$2:$D$13=$D20,MAX(_xlfn._xlws.FILTER(_xlpm.d,_xlpm.a*_xlpm.b)))</f>
        <v>0.76</v>
      </c>
      <c r="J20" s="1" cm="1">
        <f t="array" ref="J20">_xlfn.LET(_xlpm.d,J$2:J$13,_xlpm.a,$C$2:$C$13=$C20,_xlpm.b,$D$2:$D$13=$D20,MAX(_xlfn._xlws.FILTER(_xlpm.d,_xlpm.a*_xlpm.b)))</f>
        <v>0.78</v>
      </c>
      <c r="K20" s="1" cm="1">
        <f t="array" ref="K20">_xlfn.LET(_xlpm.d,K$2:K$13,_xlpm.a,$C$2:$C$13=$C20,_xlpm.b,$D$2:$D$13=$D20,MAX(_xlfn._xlws.FILTER(_xlpm.d,_xlpm.a*_xlpm.b)))</f>
        <v>0.68</v>
      </c>
      <c r="L20" s="1" cm="1">
        <f t="array" ref="L20">_xlfn.LET(_xlpm.d,L$2:L$13,_xlpm.a,$C$2:$C$13=$C20,_xlpm.b,$D$2:$D$13=$D20,MAX(_xlfn._xlws.FILTER(_xlpm.d,_xlpm.a*_xlpm.b)))</f>
        <v>0.79</v>
      </c>
      <c r="M20" s="1" cm="1">
        <f t="array" ref="M20">_xlfn.LET(_xlpm.d,M$2:M$13,_xlpm.a,$C$2:$C$13=$C20,_xlpm.b,$D$2:$D$13=$D20,MAX(_xlfn._xlws.FILTER(_xlpm.d,_xlpm.a*_xlpm.b)))</f>
        <v>0.75</v>
      </c>
      <c r="N20" s="1" cm="1">
        <f t="array" ref="N20">_xlfn.LET(_xlpm.d,N$2:N$13,_xlpm.a,$C$2:$C$13=$C20,_xlpm.b,$D$2:$D$13=$D20,MAX(_xlfn._xlws.FILTER(_xlpm.d,_xlpm.a*_xlpm.b)))</f>
        <v>0.79</v>
      </c>
      <c r="O20" s="1" cm="1">
        <f t="array" ref="O20">_xlfn.LET(_xlpm.d,O$2:O$13,_xlpm.a,$C$2:$C$13=$C20,_xlpm.b,$D$2:$D$13=$D20,MAX(_xlfn._xlws.FILTER(_xlpm.d,_xlpm.a*_xlpm.b)))</f>
        <v>0.76</v>
      </c>
      <c r="P20" s="1" cm="1">
        <f t="array" ref="P20">_xlfn.LET(_xlpm.d,P$2:P$13,_xlpm.a,$C$2:$C$13=$C20,_xlpm.b,$D$2:$D$13=$D20,MAX(_xlfn._xlws.FILTER(_xlpm.d,_xlpm.a*_xlpm.b)))</f>
        <v>0.8</v>
      </c>
      <c r="Q20" s="1" cm="1">
        <f t="array" ref="Q20">_xlfn.LET(_xlpm.d,Q$2:Q$13,_xlpm.a,$C$2:$C$13=$C20,_xlpm.b,$D$2:$D$13=$D20,MAX(_xlfn._xlws.FILTER(_xlpm.d,_xlpm.a*_xlpm.b)))</f>
        <v>0.69</v>
      </c>
      <c r="R20" s="1" cm="1">
        <f t="array" ref="R20">_xlfn.LET(_xlpm.d,R$2:R$13,_xlpm.a,$C$2:$C$13=$C20,_xlpm.b,$D$2:$D$13=$D20,MAX(_xlfn._xlws.FILTER(_xlpm.d,_xlpm.a*_xlpm.b)))</f>
        <v>0.84</v>
      </c>
      <c r="S20" s="1" cm="1">
        <f t="array" ref="S20">_xlfn.LET(_xlpm.d,S$2:S$13,_xlpm.a,$C$2:$C$13=$C20,_xlpm.b,$D$2:$D$13=$D20,MAX(_xlfn._xlws.FILTER(_xlpm.d,_xlpm.a*_xlpm.b)))</f>
        <v>0.84</v>
      </c>
    </row>
  </sheetData>
  <conditionalFormatting sqref="G2:S1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3318-A632-114C-B0C0-8715F4789B9D}">
  <dimension ref="A1:S20"/>
  <sheetViews>
    <sheetView workbookViewId="0">
      <pane xSplit="12480" ySplit="2200" topLeftCell="M5" activePane="bottomLeft"/>
      <selection activeCell="G1" sqref="G1:S1048576"/>
      <selection pane="topRight" activeCell="S3" sqref="S3"/>
      <selection pane="bottomLeft" activeCell="B17" sqref="B17:S20"/>
      <selection pane="bottomRight" activeCell="Q11" sqref="Q11"/>
    </sheetView>
  </sheetViews>
  <sheetFormatPr baseColWidth="10" defaultRowHeight="25" customHeight="1"/>
  <cols>
    <col min="2" max="2" width="8.5" customWidth="1"/>
    <col min="3" max="3" width="10.875" customWidth="1"/>
    <col min="4" max="5" width="8.5" customWidth="1"/>
    <col min="6" max="19" width="8.375" customWidth="1"/>
  </cols>
  <sheetData>
    <row r="1" spans="1:19" ht="25" customHeight="1">
      <c r="A1" t="s">
        <v>0</v>
      </c>
      <c r="B1" t="s">
        <v>10</v>
      </c>
      <c r="C1" t="s">
        <v>1</v>
      </c>
      <c r="D1" t="s">
        <v>2</v>
      </c>
      <c r="E1" t="s">
        <v>11</v>
      </c>
      <c r="F1" t="s">
        <v>3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4</v>
      </c>
    </row>
    <row r="2" spans="1:19" ht="25" customHeight="1">
      <c r="A2" t="s">
        <v>26</v>
      </c>
      <c r="B2">
        <v>1</v>
      </c>
      <c r="C2" t="s">
        <v>5</v>
      </c>
      <c r="D2" t="b">
        <v>1</v>
      </c>
      <c r="E2">
        <v>1</v>
      </c>
      <c r="F2" t="s">
        <v>8</v>
      </c>
      <c r="G2" s="1">
        <v>0.82</v>
      </c>
      <c r="H2" s="1">
        <v>0.93</v>
      </c>
      <c r="I2" s="1">
        <v>0.88</v>
      </c>
      <c r="J2" s="1">
        <v>0.92</v>
      </c>
      <c r="K2" s="1">
        <v>0.82</v>
      </c>
      <c r="L2" s="1">
        <v>0.8</v>
      </c>
      <c r="M2" s="1">
        <v>0.9</v>
      </c>
      <c r="N2" s="1">
        <v>0.93</v>
      </c>
      <c r="O2" s="1">
        <v>0.9</v>
      </c>
      <c r="P2" s="1">
        <v>0.84</v>
      </c>
      <c r="Q2" s="1">
        <v>0.83</v>
      </c>
      <c r="R2" s="1">
        <v>0.83</v>
      </c>
      <c r="S2" s="1">
        <f t="shared" ref="S2:S13" si="0">MAX($G2:$R2)</f>
        <v>0.93</v>
      </c>
    </row>
    <row r="3" spans="1:19" ht="25" customHeight="1">
      <c r="A3" t="s">
        <v>26</v>
      </c>
      <c r="B3">
        <v>1</v>
      </c>
      <c r="C3" t="s">
        <v>5</v>
      </c>
      <c r="D3" t="b">
        <v>1</v>
      </c>
      <c r="E3">
        <v>2</v>
      </c>
      <c r="F3" t="s">
        <v>7</v>
      </c>
      <c r="G3" s="1">
        <v>0.91</v>
      </c>
      <c r="H3" s="1">
        <v>0.97</v>
      </c>
      <c r="I3" s="1">
        <v>0.92</v>
      </c>
      <c r="J3" s="1">
        <v>0.9</v>
      </c>
      <c r="K3" s="1">
        <v>0.95</v>
      </c>
      <c r="L3" s="1">
        <v>0.91</v>
      </c>
      <c r="M3" s="1">
        <v>0.93</v>
      </c>
      <c r="N3" s="1">
        <v>0.93</v>
      </c>
      <c r="O3" s="1">
        <v>0.87</v>
      </c>
      <c r="P3" s="1">
        <v>0.93</v>
      </c>
      <c r="Q3" s="1">
        <v>0.93</v>
      </c>
      <c r="R3" s="1">
        <v>0.88</v>
      </c>
      <c r="S3" s="1">
        <f t="shared" si="0"/>
        <v>0.97</v>
      </c>
    </row>
    <row r="4" spans="1:19" ht="25" customHeight="1">
      <c r="A4" t="s">
        <v>26</v>
      </c>
      <c r="B4">
        <v>1</v>
      </c>
      <c r="C4" t="s">
        <v>5</v>
      </c>
      <c r="D4" t="b">
        <v>1</v>
      </c>
      <c r="E4">
        <v>3</v>
      </c>
      <c r="F4" t="s">
        <v>6</v>
      </c>
      <c r="G4" s="1">
        <v>0.89</v>
      </c>
      <c r="H4" s="1">
        <v>0.96</v>
      </c>
      <c r="I4" s="1">
        <v>0.92</v>
      </c>
      <c r="J4" s="1">
        <v>0.93</v>
      </c>
      <c r="K4" s="1">
        <v>0.9</v>
      </c>
      <c r="L4" s="1">
        <v>0.93</v>
      </c>
      <c r="M4" s="1">
        <v>0.96</v>
      </c>
      <c r="N4" s="1">
        <v>0.88</v>
      </c>
      <c r="O4" s="1">
        <v>0.94</v>
      </c>
      <c r="P4" s="1">
        <v>0.92</v>
      </c>
      <c r="Q4" s="1">
        <v>0.9</v>
      </c>
      <c r="R4" s="1">
        <v>0.89</v>
      </c>
      <c r="S4" s="1">
        <f t="shared" si="0"/>
        <v>0.96</v>
      </c>
    </row>
    <row r="5" spans="1:19" ht="25" customHeight="1">
      <c r="A5" t="s">
        <v>26</v>
      </c>
      <c r="B5">
        <v>1</v>
      </c>
      <c r="C5" t="s">
        <v>5</v>
      </c>
      <c r="D5" t="b">
        <v>0</v>
      </c>
      <c r="E5">
        <v>1</v>
      </c>
      <c r="F5" t="s">
        <v>8</v>
      </c>
      <c r="G5" s="1">
        <v>0.86</v>
      </c>
      <c r="H5" s="1">
        <v>0.87</v>
      </c>
      <c r="I5" s="1">
        <v>0.9</v>
      </c>
      <c r="J5" s="1">
        <v>0.9</v>
      </c>
      <c r="K5" s="1">
        <v>0.8</v>
      </c>
      <c r="L5" s="1">
        <v>0.92</v>
      </c>
      <c r="M5" s="1">
        <v>0.92</v>
      </c>
      <c r="N5" s="1">
        <v>0.88</v>
      </c>
      <c r="O5" s="1">
        <v>0.7</v>
      </c>
      <c r="P5" s="1">
        <v>0.92</v>
      </c>
      <c r="Q5" s="1">
        <v>0.92</v>
      </c>
      <c r="R5" s="1">
        <v>0.8</v>
      </c>
      <c r="S5" s="1">
        <f t="shared" si="0"/>
        <v>0.92</v>
      </c>
    </row>
    <row r="6" spans="1:19" ht="25" customHeight="1">
      <c r="A6" t="s">
        <v>26</v>
      </c>
      <c r="B6">
        <v>1</v>
      </c>
      <c r="C6" t="s">
        <v>5</v>
      </c>
      <c r="D6" t="b">
        <v>0</v>
      </c>
      <c r="E6">
        <v>2</v>
      </c>
      <c r="F6" t="s">
        <v>7</v>
      </c>
      <c r="G6" s="1">
        <v>0.92</v>
      </c>
      <c r="H6" s="1">
        <v>0.98</v>
      </c>
      <c r="I6" s="1">
        <v>0.93</v>
      </c>
      <c r="J6" s="1">
        <v>0.89</v>
      </c>
      <c r="K6" s="1">
        <v>0.95</v>
      </c>
      <c r="L6" s="1">
        <v>0.93</v>
      </c>
      <c r="M6" s="1">
        <v>0.93</v>
      </c>
      <c r="N6" s="1">
        <v>0.91</v>
      </c>
      <c r="O6" s="1">
        <v>0.86</v>
      </c>
      <c r="P6" s="1">
        <v>0.93</v>
      </c>
      <c r="Q6" s="1">
        <v>0.93</v>
      </c>
      <c r="R6" s="1">
        <v>0.88</v>
      </c>
      <c r="S6" s="1">
        <f t="shared" si="0"/>
        <v>0.98</v>
      </c>
    </row>
    <row r="7" spans="1:19" ht="25" customHeight="1">
      <c r="A7" t="s">
        <v>26</v>
      </c>
      <c r="B7">
        <v>1</v>
      </c>
      <c r="C7" t="s">
        <v>5</v>
      </c>
      <c r="D7" t="b">
        <v>0</v>
      </c>
      <c r="E7">
        <v>3</v>
      </c>
      <c r="F7" t="s">
        <v>6</v>
      </c>
      <c r="G7" s="1">
        <v>0.88</v>
      </c>
      <c r="H7" s="1">
        <v>0.93</v>
      </c>
      <c r="I7" s="1">
        <v>0.94</v>
      </c>
      <c r="J7" s="1">
        <v>0.93</v>
      </c>
      <c r="K7" s="1">
        <v>0.94</v>
      </c>
      <c r="L7" s="1">
        <v>0.94</v>
      </c>
      <c r="M7" s="1">
        <v>0.96</v>
      </c>
      <c r="N7" s="1">
        <v>0.9</v>
      </c>
      <c r="O7" s="1">
        <v>0.94</v>
      </c>
      <c r="P7" s="1">
        <v>0.93</v>
      </c>
      <c r="Q7" s="1">
        <v>0.88</v>
      </c>
      <c r="R7" s="1">
        <v>0.87</v>
      </c>
      <c r="S7" s="1">
        <f t="shared" si="0"/>
        <v>0.96</v>
      </c>
    </row>
    <row r="8" spans="1:19" ht="25" customHeight="1">
      <c r="A8" t="s">
        <v>26</v>
      </c>
      <c r="B8">
        <v>2</v>
      </c>
      <c r="C8" t="s">
        <v>9</v>
      </c>
      <c r="D8" t="b">
        <v>1</v>
      </c>
      <c r="E8">
        <v>1</v>
      </c>
      <c r="F8" t="s">
        <v>8</v>
      </c>
      <c r="G8" s="1">
        <v>0.69</v>
      </c>
      <c r="H8" s="1">
        <v>0.66</v>
      </c>
      <c r="I8" s="1">
        <v>0.71</v>
      </c>
      <c r="J8" s="1">
        <v>0.7</v>
      </c>
      <c r="K8" s="1">
        <v>0.72</v>
      </c>
      <c r="L8" s="1">
        <v>0.75</v>
      </c>
      <c r="M8" s="1">
        <v>0.64</v>
      </c>
      <c r="N8" s="1">
        <v>0.66</v>
      </c>
      <c r="O8" s="1">
        <v>0.74</v>
      </c>
      <c r="P8" s="1">
        <v>0.62</v>
      </c>
      <c r="Q8" s="1">
        <v>0.68</v>
      </c>
      <c r="R8" s="1">
        <v>0.69</v>
      </c>
      <c r="S8" s="1">
        <f t="shared" si="0"/>
        <v>0.75</v>
      </c>
    </row>
    <row r="9" spans="1:19" ht="25" customHeight="1">
      <c r="A9" t="s">
        <v>26</v>
      </c>
      <c r="B9">
        <v>2</v>
      </c>
      <c r="C9" t="s">
        <v>9</v>
      </c>
      <c r="D9" t="b">
        <v>1</v>
      </c>
      <c r="E9">
        <v>2</v>
      </c>
      <c r="F9" t="s">
        <v>7</v>
      </c>
      <c r="G9" s="1">
        <v>0.71</v>
      </c>
      <c r="H9" s="1">
        <v>0.71</v>
      </c>
      <c r="I9" s="1">
        <v>0.78</v>
      </c>
      <c r="J9" s="1">
        <v>0.76</v>
      </c>
      <c r="K9" s="1">
        <v>0.72</v>
      </c>
      <c r="L9" s="1">
        <v>0.78</v>
      </c>
      <c r="M9" s="1">
        <v>0.78</v>
      </c>
      <c r="N9" s="1">
        <v>0.68</v>
      </c>
      <c r="O9" s="1">
        <v>0.8</v>
      </c>
      <c r="P9" s="1">
        <v>0.72</v>
      </c>
      <c r="Q9" s="1">
        <v>0.71</v>
      </c>
      <c r="R9" s="1">
        <v>0.75</v>
      </c>
      <c r="S9" s="1">
        <f t="shared" si="0"/>
        <v>0.8</v>
      </c>
    </row>
    <row r="10" spans="1:19" ht="25" customHeight="1">
      <c r="A10" t="s">
        <v>26</v>
      </c>
      <c r="B10">
        <v>2</v>
      </c>
      <c r="C10" t="s">
        <v>9</v>
      </c>
      <c r="D10" t="b">
        <v>1</v>
      </c>
      <c r="E10">
        <v>3</v>
      </c>
      <c r="F10" t="s">
        <v>6</v>
      </c>
      <c r="G10" s="1">
        <v>0.76</v>
      </c>
      <c r="H10" s="1">
        <v>0.71</v>
      </c>
      <c r="I10" s="1">
        <v>0.75</v>
      </c>
      <c r="J10" s="1">
        <v>0.74</v>
      </c>
      <c r="K10" s="1">
        <v>0.69</v>
      </c>
      <c r="L10" s="1">
        <v>0.77</v>
      </c>
      <c r="M10" s="1">
        <v>0.73</v>
      </c>
      <c r="N10" s="1">
        <v>0.72</v>
      </c>
      <c r="O10" s="1">
        <v>0.78</v>
      </c>
      <c r="P10" s="1">
        <v>0.66</v>
      </c>
      <c r="Q10" s="1">
        <v>0.74</v>
      </c>
      <c r="R10" s="1">
        <v>0.72</v>
      </c>
      <c r="S10" s="1">
        <f t="shared" si="0"/>
        <v>0.78</v>
      </c>
    </row>
    <row r="11" spans="1:19" ht="25" customHeight="1">
      <c r="A11" t="s">
        <v>26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 s="1">
        <v>0.7</v>
      </c>
      <c r="H11" s="1">
        <v>0.72</v>
      </c>
      <c r="I11" s="1">
        <v>0.72</v>
      </c>
      <c r="J11" s="1">
        <v>0.68</v>
      </c>
      <c r="K11" s="1">
        <v>0.69</v>
      </c>
      <c r="L11" s="1">
        <v>0.74</v>
      </c>
      <c r="M11" s="1">
        <v>0.63</v>
      </c>
      <c r="N11" s="1">
        <v>0.64</v>
      </c>
      <c r="O11" s="1">
        <v>0.59</v>
      </c>
      <c r="P11" s="1">
        <v>0.59</v>
      </c>
      <c r="Q11" s="1">
        <v>0.69</v>
      </c>
      <c r="R11" s="1">
        <v>0.67</v>
      </c>
      <c r="S11" s="1">
        <f t="shared" si="0"/>
        <v>0.74</v>
      </c>
    </row>
    <row r="12" spans="1:19" ht="25" customHeight="1">
      <c r="A12" t="s">
        <v>26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 s="1">
        <v>0.73</v>
      </c>
      <c r="H12" s="1">
        <v>0.72</v>
      </c>
      <c r="I12" s="1">
        <v>0.72</v>
      </c>
      <c r="J12" s="1">
        <v>0.75</v>
      </c>
      <c r="K12" s="1">
        <v>0.7</v>
      </c>
      <c r="L12" s="1">
        <v>0.78</v>
      </c>
      <c r="M12" s="1">
        <v>0.75</v>
      </c>
      <c r="N12" s="1">
        <v>0.72</v>
      </c>
      <c r="O12" s="1">
        <v>0.79</v>
      </c>
      <c r="P12" s="1">
        <v>0.76</v>
      </c>
      <c r="Q12" s="1">
        <v>0.72</v>
      </c>
      <c r="R12" s="1">
        <v>0.73</v>
      </c>
      <c r="S12" s="1">
        <f t="shared" si="0"/>
        <v>0.79</v>
      </c>
    </row>
    <row r="13" spans="1:19" ht="25" customHeight="1">
      <c r="A13" t="s">
        <v>26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 s="1">
        <v>0.75</v>
      </c>
      <c r="H13" s="1">
        <v>0.66</v>
      </c>
      <c r="I13" s="1">
        <v>0.79</v>
      </c>
      <c r="J13" s="1">
        <v>0.72</v>
      </c>
      <c r="K13" s="1">
        <v>0.67</v>
      </c>
      <c r="L13" s="1">
        <v>0.73</v>
      </c>
      <c r="M13" s="1">
        <v>0.72</v>
      </c>
      <c r="N13" s="1">
        <v>0.71</v>
      </c>
      <c r="O13" s="1">
        <v>0.78</v>
      </c>
      <c r="P13" s="1">
        <v>0.65</v>
      </c>
      <c r="Q13" s="1">
        <v>0.77</v>
      </c>
      <c r="R13" s="1">
        <v>0.67</v>
      </c>
      <c r="S13" s="1">
        <f t="shared" si="0"/>
        <v>0.79</v>
      </c>
    </row>
    <row r="16" spans="1:19" ht="25" customHeight="1">
      <c r="B16" t="s">
        <v>10</v>
      </c>
      <c r="C16" t="s">
        <v>1</v>
      </c>
      <c r="D16" t="s">
        <v>13</v>
      </c>
      <c r="E16" t="s">
        <v>11</v>
      </c>
      <c r="F16" t="s">
        <v>12</v>
      </c>
      <c r="G16" t="s">
        <v>14</v>
      </c>
      <c r="H16" t="s">
        <v>15</v>
      </c>
      <c r="I16" t="s">
        <v>16</v>
      </c>
      <c r="J16" t="s">
        <v>17</v>
      </c>
      <c r="K16" t="s">
        <v>18</v>
      </c>
      <c r="L16" t="s">
        <v>19</v>
      </c>
      <c r="M16" t="s">
        <v>20</v>
      </c>
      <c r="N16" t="s">
        <v>21</v>
      </c>
      <c r="O16" t="s">
        <v>22</v>
      </c>
      <c r="P16" t="s">
        <v>23</v>
      </c>
      <c r="Q16" t="s">
        <v>24</v>
      </c>
      <c r="R16" t="s">
        <v>25</v>
      </c>
      <c r="S16" t="s">
        <v>4</v>
      </c>
    </row>
    <row r="17" spans="2:19" ht="25" customHeight="1">
      <c r="B17">
        <v>1</v>
      </c>
      <c r="C17" t="s">
        <v>5</v>
      </c>
      <c r="D17" t="b">
        <v>1</v>
      </c>
      <c r="E17">
        <v>1</v>
      </c>
      <c r="F17" t="s">
        <v>4</v>
      </c>
      <c r="G17" s="1" cm="1">
        <f t="array" ref="G17">_xlfn.LET(_xlpm.d,G$2:G$13,_xlpm.a,$C$2:$C$13=$C17,_xlpm.b,$D$2:$D$13=$D17,MAX(_xlfn._xlws.FILTER(_xlpm.d,_xlpm.a*_xlpm.b)))</f>
        <v>0.91</v>
      </c>
      <c r="H17" s="1" cm="1">
        <f t="array" ref="H17">_xlfn.LET(_xlpm.d,H$2:H$13,_xlpm.a,$C$2:$C$13=$C17,_xlpm.b,$D$2:$D$13=$D17,MAX(_xlfn._xlws.FILTER(_xlpm.d,_xlpm.a*_xlpm.b)))</f>
        <v>0.97</v>
      </c>
      <c r="I17" s="1" cm="1">
        <f t="array" ref="I17">_xlfn.LET(_xlpm.d,I$2:I$13,_xlpm.a,$C$2:$C$13=$C17,_xlpm.b,$D$2:$D$13=$D17,MAX(_xlfn._xlws.FILTER(_xlpm.d,_xlpm.a*_xlpm.b)))</f>
        <v>0.92</v>
      </c>
      <c r="J17" s="1" cm="1">
        <f t="array" ref="J17">_xlfn.LET(_xlpm.d,J$2:J$13,_xlpm.a,$C$2:$C$13=$C17,_xlpm.b,$D$2:$D$13=$D17,MAX(_xlfn._xlws.FILTER(_xlpm.d,_xlpm.a*_xlpm.b)))</f>
        <v>0.93</v>
      </c>
      <c r="K17" s="1" cm="1">
        <f t="array" ref="K17">_xlfn.LET(_xlpm.d,K$2:K$13,_xlpm.a,$C$2:$C$13=$C17,_xlpm.b,$D$2:$D$13=$D17,MAX(_xlfn._xlws.FILTER(_xlpm.d,_xlpm.a*_xlpm.b)))</f>
        <v>0.95</v>
      </c>
      <c r="L17" s="1" cm="1">
        <f t="array" ref="L17">_xlfn.LET(_xlpm.d,L$2:L$13,_xlpm.a,$C$2:$C$13=$C17,_xlpm.b,$D$2:$D$13=$D17,MAX(_xlfn._xlws.FILTER(_xlpm.d,_xlpm.a*_xlpm.b)))</f>
        <v>0.93</v>
      </c>
      <c r="M17" s="1" cm="1">
        <f t="array" ref="M17">_xlfn.LET(_xlpm.d,M$2:M$13,_xlpm.a,$C$2:$C$13=$C17,_xlpm.b,$D$2:$D$13=$D17,MAX(_xlfn._xlws.FILTER(_xlpm.d,_xlpm.a*_xlpm.b)))</f>
        <v>0.96</v>
      </c>
      <c r="N17" s="1" cm="1">
        <f t="array" ref="N17">_xlfn.LET(_xlpm.d,N$2:N$13,_xlpm.a,$C$2:$C$13=$C17,_xlpm.b,$D$2:$D$13=$D17,MAX(_xlfn._xlws.FILTER(_xlpm.d,_xlpm.a*_xlpm.b)))</f>
        <v>0.93</v>
      </c>
      <c r="O17" s="1" cm="1">
        <f t="array" ref="O17">_xlfn.LET(_xlpm.d,O$2:O$13,_xlpm.a,$C$2:$C$13=$C17,_xlpm.b,$D$2:$D$13=$D17,MAX(_xlfn._xlws.FILTER(_xlpm.d,_xlpm.a*_xlpm.b)))</f>
        <v>0.94</v>
      </c>
      <c r="P17" s="1" cm="1">
        <f t="array" ref="P17">_xlfn.LET(_xlpm.d,P$2:P$13,_xlpm.a,$C$2:$C$13=$C17,_xlpm.b,$D$2:$D$13=$D17,MAX(_xlfn._xlws.FILTER(_xlpm.d,_xlpm.a*_xlpm.b)))</f>
        <v>0.93</v>
      </c>
      <c r="Q17" s="1" cm="1">
        <f t="array" ref="Q17">_xlfn.LET(_xlpm.d,Q$2:Q$13,_xlpm.a,$C$2:$C$13=$C17,_xlpm.b,$D$2:$D$13=$D17,MAX(_xlfn._xlws.FILTER(_xlpm.d,_xlpm.a*_xlpm.b)))</f>
        <v>0.93</v>
      </c>
      <c r="R17" s="1" cm="1">
        <f t="array" ref="R17">_xlfn.LET(_xlpm.d,R$2:R$13,_xlpm.a,$C$2:$C$13=$C17,_xlpm.b,$D$2:$D$13=$D17,MAX(_xlfn._xlws.FILTER(_xlpm.d,_xlpm.a*_xlpm.b)))</f>
        <v>0.89</v>
      </c>
      <c r="S17" s="1" cm="1">
        <f t="array" ref="S17">_xlfn.LET(_xlpm.d,S$2:S$13,_xlpm.a,$C$2:$C$13=$C17,_xlpm.b,$D$2:$D$13=$D17,MAX(_xlfn._xlws.FILTER(_xlpm.d,_xlpm.a*_xlpm.b)))</f>
        <v>0.97</v>
      </c>
    </row>
    <row r="18" spans="2:19" ht="25" customHeight="1">
      <c r="B18">
        <v>1</v>
      </c>
      <c r="C18" t="s">
        <v>5</v>
      </c>
      <c r="D18" t="b">
        <v>0</v>
      </c>
      <c r="E18">
        <v>1</v>
      </c>
      <c r="F18" t="s">
        <v>4</v>
      </c>
      <c r="G18" s="1" cm="1">
        <f t="array" ref="G18">_xlfn.LET(_xlpm.d,G$2:G$13,_xlpm.a,$C$2:$C$13=$C18,_xlpm.b,$D$2:$D$13=$D18,MAX(_xlfn._xlws.FILTER(_xlpm.d,_xlpm.a*_xlpm.b)))</f>
        <v>0.92</v>
      </c>
      <c r="H18" s="1" cm="1">
        <f t="array" ref="H18">_xlfn.LET(_xlpm.d,H$2:H$13,_xlpm.a,$C$2:$C$13=$C18,_xlpm.b,$D$2:$D$13=$D18,MAX(_xlfn._xlws.FILTER(_xlpm.d,_xlpm.a*_xlpm.b)))</f>
        <v>0.98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0.93</v>
      </c>
      <c r="K18" s="1" cm="1">
        <f t="array" ref="K18">_xlfn.LET(_xlpm.d,K$2:K$13,_xlpm.a,$C$2:$C$13=$C18,_xlpm.b,$D$2:$D$13=$D18,MAX(_xlfn._xlws.FILTER(_xlpm.d,_xlpm.a*_xlpm.b)))</f>
        <v>0.95</v>
      </c>
      <c r="L18" s="1" cm="1">
        <f t="array" ref="L18">_xlfn.LET(_xlpm.d,L$2:L$13,_xlpm.a,$C$2:$C$13=$C18,_xlpm.b,$D$2:$D$13=$D18,MAX(_xlfn._xlws.FILTER(_xlpm.d,_xlpm.a*_xlpm.b)))</f>
        <v>0.94</v>
      </c>
      <c r="M18" s="1" cm="1">
        <f t="array" ref="M18">_xlfn.LET(_xlpm.d,M$2:M$13,_xlpm.a,$C$2:$C$13=$C18,_xlpm.b,$D$2:$D$13=$D18,MAX(_xlfn._xlws.FILTER(_xlpm.d,_xlpm.a*_xlpm.b)))</f>
        <v>0.96</v>
      </c>
      <c r="N18" s="1" cm="1">
        <f t="array" ref="N18">_xlfn.LET(_xlpm.d,N$2:N$13,_xlpm.a,$C$2:$C$13=$C18,_xlpm.b,$D$2:$D$13=$D18,MAX(_xlfn._xlws.FILTER(_xlpm.d,_xlpm.a*_xlpm.b)))</f>
        <v>0.91</v>
      </c>
      <c r="O18" s="1" cm="1">
        <f t="array" ref="O18">_xlfn.LET(_xlpm.d,O$2:O$13,_xlpm.a,$C$2:$C$13=$C18,_xlpm.b,$D$2:$D$13=$D18,MAX(_xlfn._xlws.FILTER(_xlpm.d,_xlpm.a*_xlpm.b)))</f>
        <v>0.94</v>
      </c>
      <c r="P18" s="1" cm="1">
        <f t="array" ref="P18">_xlfn.LET(_xlpm.d,P$2:P$13,_xlpm.a,$C$2:$C$13=$C18,_xlpm.b,$D$2:$D$13=$D18,MAX(_xlfn._xlws.FILTER(_xlpm.d,_xlpm.a*_xlpm.b)))</f>
        <v>0.93</v>
      </c>
      <c r="Q18" s="1" cm="1">
        <f t="array" ref="Q18">_xlfn.LET(_xlpm.d,Q$2:Q$13,_xlpm.a,$C$2:$C$13=$C18,_xlpm.b,$D$2:$D$13=$D18,MAX(_xlfn._xlws.FILTER(_xlpm.d,_xlpm.a*_xlpm.b)))</f>
        <v>0.93</v>
      </c>
      <c r="R18" s="1" cm="1">
        <f t="array" ref="R18">_xlfn.LET(_xlpm.d,R$2:R$13,_xlpm.a,$C$2:$C$13=$C18,_xlpm.b,$D$2:$D$13=$D18,MAX(_xlfn._xlws.FILTER(_xlpm.d,_xlpm.a*_xlpm.b)))</f>
        <v>0.88</v>
      </c>
      <c r="S18" s="1" cm="1">
        <f t="array" ref="S18">_xlfn.LET(_xlpm.d,S$2:S$13,_xlpm.a,$C$2:$C$13=$C18,_xlpm.b,$D$2:$D$13=$D18,MAX(_xlfn._xlws.FILTER(_xlpm.d,_xlpm.a*_xlpm.b)))</f>
        <v>0.98</v>
      </c>
    </row>
    <row r="19" spans="2:19" ht="25" customHeight="1">
      <c r="B19">
        <v>2</v>
      </c>
      <c r="C19" t="s">
        <v>9</v>
      </c>
      <c r="D19" t="b">
        <v>1</v>
      </c>
      <c r="E19">
        <v>1</v>
      </c>
      <c r="F19" t="s">
        <v>4</v>
      </c>
      <c r="G19" s="1" cm="1">
        <f t="array" ref="G19">_xlfn.LET(_xlpm.d,G$2:G$13,_xlpm.a,$C$2:$C$13=$C19,_xlpm.b,$D$2:$D$13=$D19,MAX(_xlfn._xlws.FILTER(_xlpm.d,_xlpm.a*_xlpm.b)))</f>
        <v>0.76</v>
      </c>
      <c r="H19" s="1" cm="1">
        <f t="array" ref="H19">_xlfn.LET(_xlpm.d,H$2:H$13,_xlpm.a,$C$2:$C$13=$C19,_xlpm.b,$D$2:$D$13=$D19,MAX(_xlfn._xlws.FILTER(_xlpm.d,_xlpm.a*_xlpm.b)))</f>
        <v>0.71</v>
      </c>
      <c r="I19" s="1" cm="1">
        <f t="array" ref="I19">_xlfn.LET(_xlpm.d,I$2:I$13,_xlpm.a,$C$2:$C$13=$C19,_xlpm.b,$D$2:$D$13=$D19,MAX(_xlfn._xlws.FILTER(_xlpm.d,_xlpm.a*_xlpm.b)))</f>
        <v>0.78</v>
      </c>
      <c r="J19" s="1" cm="1">
        <f t="array" ref="J19">_xlfn.LET(_xlpm.d,J$2:J$13,_xlpm.a,$C$2:$C$13=$C19,_xlpm.b,$D$2:$D$13=$D19,MAX(_xlfn._xlws.FILTER(_xlpm.d,_xlpm.a*_xlpm.b)))</f>
        <v>0.76</v>
      </c>
      <c r="K19" s="1" cm="1">
        <f t="array" ref="K19">_xlfn.LET(_xlpm.d,K$2:K$13,_xlpm.a,$C$2:$C$13=$C19,_xlpm.b,$D$2:$D$13=$D19,MAX(_xlfn._xlws.FILTER(_xlpm.d,_xlpm.a*_xlpm.b)))</f>
        <v>0.72</v>
      </c>
      <c r="L19" s="1" cm="1">
        <f t="array" ref="L19">_xlfn.LET(_xlpm.d,L$2:L$13,_xlpm.a,$C$2:$C$13=$C19,_xlpm.b,$D$2:$D$13=$D19,MAX(_xlfn._xlws.FILTER(_xlpm.d,_xlpm.a*_xlpm.b)))</f>
        <v>0.78</v>
      </c>
      <c r="M19" s="1" cm="1">
        <f t="array" ref="M19">_xlfn.LET(_xlpm.d,M$2:M$13,_xlpm.a,$C$2:$C$13=$C19,_xlpm.b,$D$2:$D$13=$D19,MAX(_xlfn._xlws.FILTER(_xlpm.d,_xlpm.a*_xlpm.b)))</f>
        <v>0.78</v>
      </c>
      <c r="N19" s="1" cm="1">
        <f t="array" ref="N19">_xlfn.LET(_xlpm.d,N$2:N$13,_xlpm.a,$C$2:$C$13=$C19,_xlpm.b,$D$2:$D$13=$D19,MAX(_xlfn._xlws.FILTER(_xlpm.d,_xlpm.a*_xlpm.b)))</f>
        <v>0.72</v>
      </c>
      <c r="O19" s="1" cm="1">
        <f t="array" ref="O19">_xlfn.LET(_xlpm.d,O$2:O$13,_xlpm.a,$C$2:$C$13=$C19,_xlpm.b,$D$2:$D$13=$D19,MAX(_xlfn._xlws.FILTER(_xlpm.d,_xlpm.a*_xlpm.b)))</f>
        <v>0.8</v>
      </c>
      <c r="P19" s="1" cm="1">
        <f t="array" ref="P19">_xlfn.LET(_xlpm.d,P$2:P$13,_xlpm.a,$C$2:$C$13=$C19,_xlpm.b,$D$2:$D$13=$D19,MAX(_xlfn._xlws.FILTER(_xlpm.d,_xlpm.a*_xlpm.b)))</f>
        <v>0.72</v>
      </c>
      <c r="Q19" s="1" cm="1">
        <f t="array" ref="Q19">_xlfn.LET(_xlpm.d,Q$2:Q$13,_xlpm.a,$C$2:$C$13=$C19,_xlpm.b,$D$2:$D$13=$D19,MAX(_xlfn._xlws.FILTER(_xlpm.d,_xlpm.a*_xlpm.b)))</f>
        <v>0.74</v>
      </c>
      <c r="R19" s="1" cm="1">
        <f t="array" ref="R19">_xlfn.LET(_xlpm.d,R$2:R$13,_xlpm.a,$C$2:$C$13=$C19,_xlpm.b,$D$2:$D$13=$D19,MAX(_xlfn._xlws.FILTER(_xlpm.d,_xlpm.a*_xlpm.b)))</f>
        <v>0.75</v>
      </c>
      <c r="S19" s="1" cm="1">
        <f t="array" ref="S19">_xlfn.LET(_xlpm.d,S$2:S$13,_xlpm.a,$C$2:$C$13=$C19,_xlpm.b,$D$2:$D$13=$D19,MAX(_xlfn._xlws.FILTER(_xlpm.d,_xlpm.a*_xlpm.b)))</f>
        <v>0.8</v>
      </c>
    </row>
    <row r="20" spans="2:19" ht="25" customHeight="1">
      <c r="B20">
        <v>2</v>
      </c>
      <c r="C20" t="s">
        <v>9</v>
      </c>
      <c r="D20" t="b">
        <v>0</v>
      </c>
      <c r="E20">
        <v>1</v>
      </c>
      <c r="F20" t="s">
        <v>4</v>
      </c>
      <c r="G20" s="1" cm="1">
        <f t="array" ref="G20">_xlfn.LET(_xlpm.d,G$2:G$13,_xlpm.a,$C$2:$C$13=$C20,_xlpm.b,$D$2:$D$13=$D20,MAX(_xlfn._xlws.FILTER(_xlpm.d,_xlpm.a*_xlpm.b)))</f>
        <v>0.75</v>
      </c>
      <c r="H20" s="1" cm="1">
        <f t="array" ref="H20">_xlfn.LET(_xlpm.d,H$2:H$13,_xlpm.a,$C$2:$C$13=$C20,_xlpm.b,$D$2:$D$13=$D20,MAX(_xlfn._xlws.FILTER(_xlpm.d,_xlpm.a*_xlpm.b)))</f>
        <v>0.72</v>
      </c>
      <c r="I20" s="1" cm="1">
        <f t="array" ref="I20">_xlfn.LET(_xlpm.d,I$2:I$13,_xlpm.a,$C$2:$C$13=$C20,_xlpm.b,$D$2:$D$13=$D20,MAX(_xlfn._xlws.FILTER(_xlpm.d,_xlpm.a*_xlpm.b)))</f>
        <v>0.79</v>
      </c>
      <c r="J20" s="1" cm="1">
        <f t="array" ref="J20">_xlfn.LET(_xlpm.d,J$2:J$13,_xlpm.a,$C$2:$C$13=$C20,_xlpm.b,$D$2:$D$13=$D20,MAX(_xlfn._xlws.FILTER(_xlpm.d,_xlpm.a*_xlpm.b)))</f>
        <v>0.75</v>
      </c>
      <c r="K20" s="1" cm="1">
        <f t="array" ref="K20">_xlfn.LET(_xlpm.d,K$2:K$13,_xlpm.a,$C$2:$C$13=$C20,_xlpm.b,$D$2:$D$13=$D20,MAX(_xlfn._xlws.FILTER(_xlpm.d,_xlpm.a*_xlpm.b)))</f>
        <v>0.7</v>
      </c>
      <c r="L20" s="1" cm="1">
        <f t="array" ref="L20">_xlfn.LET(_xlpm.d,L$2:L$13,_xlpm.a,$C$2:$C$13=$C20,_xlpm.b,$D$2:$D$13=$D20,MAX(_xlfn._xlws.FILTER(_xlpm.d,_xlpm.a*_xlpm.b)))</f>
        <v>0.78</v>
      </c>
      <c r="M20" s="1" cm="1">
        <f t="array" ref="M20">_xlfn.LET(_xlpm.d,M$2:M$13,_xlpm.a,$C$2:$C$13=$C20,_xlpm.b,$D$2:$D$13=$D20,MAX(_xlfn._xlws.FILTER(_xlpm.d,_xlpm.a*_xlpm.b)))</f>
        <v>0.75</v>
      </c>
      <c r="N20" s="1" cm="1">
        <f t="array" ref="N20">_xlfn.LET(_xlpm.d,N$2:N$13,_xlpm.a,$C$2:$C$13=$C20,_xlpm.b,$D$2:$D$13=$D20,MAX(_xlfn._xlws.FILTER(_xlpm.d,_xlpm.a*_xlpm.b)))</f>
        <v>0.72</v>
      </c>
      <c r="O20" s="1" cm="1">
        <f t="array" ref="O20">_xlfn.LET(_xlpm.d,O$2:O$13,_xlpm.a,$C$2:$C$13=$C20,_xlpm.b,$D$2:$D$13=$D20,MAX(_xlfn._xlws.FILTER(_xlpm.d,_xlpm.a*_xlpm.b)))</f>
        <v>0.79</v>
      </c>
      <c r="P20" s="1" cm="1">
        <f t="array" ref="P20">_xlfn.LET(_xlpm.d,P$2:P$13,_xlpm.a,$C$2:$C$13=$C20,_xlpm.b,$D$2:$D$13=$D20,MAX(_xlfn._xlws.FILTER(_xlpm.d,_xlpm.a*_xlpm.b)))</f>
        <v>0.76</v>
      </c>
      <c r="Q20" s="1" cm="1">
        <f t="array" ref="Q20">_xlfn.LET(_xlpm.d,Q$2:Q$13,_xlpm.a,$C$2:$C$13=$C20,_xlpm.b,$D$2:$D$13=$D20,MAX(_xlfn._xlws.FILTER(_xlpm.d,_xlpm.a*_xlpm.b)))</f>
        <v>0.77</v>
      </c>
      <c r="R20" s="1" cm="1">
        <f t="array" ref="R20">_xlfn.LET(_xlpm.d,R$2:R$13,_xlpm.a,$C$2:$C$13=$C20,_xlpm.b,$D$2:$D$13=$D20,MAX(_xlfn._xlws.FILTER(_xlpm.d,_xlpm.a*_xlpm.b)))</f>
        <v>0.73</v>
      </c>
      <c r="S20" s="1" cm="1">
        <f t="array" ref="S20">_xlfn.LET(_xlpm.d,S$2:S$13,_xlpm.a,$C$2:$C$13=$C20,_xlpm.b,$D$2:$D$13=$D20,MAX(_xlfn._xlws.FILTER(_xlpm.d,_xlpm.a*_xlpm.b)))</f>
        <v>0.79</v>
      </c>
    </row>
  </sheetData>
  <conditionalFormatting sqref="G2:S1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summarized</vt:lpstr>
      <vt:lpstr>3k-sk-mgv9</vt:lpstr>
      <vt:lpstr>3k-sk-mgv6</vt:lpstr>
      <vt:lpstr>3k-sk-mgv3</vt:lpstr>
      <vt:lpstr>2k-sk-mgv9</vt:lpstr>
      <vt:lpstr>2k-sk-mgv6</vt:lpstr>
      <vt:lpstr>2k-sk-mgv3</vt:lpstr>
      <vt:lpstr>1.2k-sk-mgv9</vt:lpstr>
      <vt:lpstr>1.2k-sk-mgv6</vt:lpstr>
      <vt:lpstr>1.2k-sk-mgv3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2025-02-21T03:59:26Z</dcterms:created>
  <dcterms:modified xsi:type="dcterms:W3CDTF">2025-02-27T08:18:11Z</dcterms:modified>
  <cp:category/>
</cp:coreProperties>
</file>