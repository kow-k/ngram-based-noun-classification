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-summarized/"/>
    </mc:Choice>
  </mc:AlternateContent>
  <xr:revisionPtr revIDLastSave="0" documentId="13_ncr:1_{AB7FFECB-A771-6F48-A26D-9E645363A3E0}" xr6:coauthVersionLast="47" xr6:coauthVersionMax="47" xr10:uidLastSave="{00000000-0000-0000-0000-000000000000}"/>
  <bookViews>
    <workbookView xWindow="1360" yWindow="760" windowWidth="31820" windowHeight="17240" xr2:uid="{E43415BA-5522-5043-BC1C-44B5444A88EF}"/>
  </bookViews>
  <sheets>
    <sheet name="summarized" sheetId="7" r:id="rId1"/>
    <sheet name="ml3.0-2.0k-xsk-mgv9" sheetId="6" r:id="rId2"/>
    <sheet name="ml3.0-2k-xsk-mgv6" sheetId="10" r:id="rId3"/>
    <sheet name="ml3.0-1.2k-xsk-mgv9" sheetId="5" r:id="rId4"/>
    <sheet name="ml3.0-1.2k-xsk-mgv6" sheetId="11" r:id="rId5"/>
    <sheet name="ml2.0-2.0k-xsk-mgv9" sheetId="1" r:id="rId6"/>
    <sheet name="ml2.0-2k-xsk-mgv6" sheetId="13" r:id="rId7"/>
    <sheet name="ml2.0-1.2k-xsk-mgv9" sheetId="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7" l="1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S28" i="13" l="1" a="1"/>
  <c r="S28" i="13" s="1"/>
  <c r="R28" i="13" a="1"/>
  <c r="R28" i="13" s="1"/>
  <c r="Q28" i="13"/>
  <c r="Q28" i="13" a="1"/>
  <c r="P28" i="13"/>
  <c r="P28" i="13" a="1"/>
  <c r="O28" i="13" a="1"/>
  <c r="O28" i="13" s="1"/>
  <c r="N28" i="13" a="1"/>
  <c r="N28" i="13" s="1"/>
  <c r="M28" i="13"/>
  <c r="M28" i="13" a="1"/>
  <c r="L28" i="13"/>
  <c r="L28" i="13" a="1"/>
  <c r="K28" i="13" a="1"/>
  <c r="K28" i="13" s="1"/>
  <c r="J28" i="13" a="1"/>
  <c r="J28" i="13" s="1"/>
  <c r="I28" i="13" a="1"/>
  <c r="I28" i="13" s="1"/>
  <c r="H28" i="13" a="1"/>
  <c r="H28" i="13" s="1"/>
  <c r="T28" i="13" s="1"/>
  <c r="S27" i="13" a="1"/>
  <c r="S27" i="13" s="1"/>
  <c r="R27" i="13"/>
  <c r="R27" i="13" a="1"/>
  <c r="Q27" i="13" a="1"/>
  <c r="Q27" i="13" s="1"/>
  <c r="P27" i="13"/>
  <c r="P27" i="13" a="1"/>
  <c r="O27" i="13" a="1"/>
  <c r="O27" i="13" s="1"/>
  <c r="N27" i="13"/>
  <c r="N27" i="13" a="1"/>
  <c r="M27" i="13" a="1"/>
  <c r="M27" i="13" s="1"/>
  <c r="L27" i="13"/>
  <c r="L27" i="13" a="1"/>
  <c r="K27" i="13" a="1"/>
  <c r="K27" i="13" s="1"/>
  <c r="J27" i="13"/>
  <c r="J27" i="13" a="1"/>
  <c r="I27" i="13" a="1"/>
  <c r="I27" i="13" s="1"/>
  <c r="H27" i="13"/>
  <c r="H27" i="13" a="1"/>
  <c r="S26" i="13" a="1"/>
  <c r="S26" i="13" s="1"/>
  <c r="R26" i="13" a="1"/>
  <c r="R26" i="13" s="1"/>
  <c r="Q26" i="13" a="1"/>
  <c r="Q26" i="13" s="1"/>
  <c r="P26" i="13" a="1"/>
  <c r="P26" i="13" s="1"/>
  <c r="O26" i="13" a="1"/>
  <c r="O26" i="13" s="1"/>
  <c r="N26" i="13" a="1"/>
  <c r="N26" i="13" s="1"/>
  <c r="M26" i="13" a="1"/>
  <c r="M26" i="13" s="1"/>
  <c r="L26" i="13" a="1"/>
  <c r="L26" i="13" s="1"/>
  <c r="K26" i="13" a="1"/>
  <c r="K26" i="13" s="1"/>
  <c r="J26" i="13" a="1"/>
  <c r="J26" i="13" s="1"/>
  <c r="I26" i="13" a="1"/>
  <c r="I26" i="13" s="1"/>
  <c r="H26" i="13" a="1"/>
  <c r="H26" i="13" s="1"/>
  <c r="S25" i="13" a="1"/>
  <c r="S25" i="13" s="1"/>
  <c r="R25" i="13" a="1"/>
  <c r="R25" i="13" s="1"/>
  <c r="Q25" i="13" a="1"/>
  <c r="Q25" i="13" s="1"/>
  <c r="P25" i="13" a="1"/>
  <c r="P25" i="13" s="1"/>
  <c r="O25" i="13" a="1"/>
  <c r="O25" i="13" s="1"/>
  <c r="N25" i="13" a="1"/>
  <c r="N25" i="13" s="1"/>
  <c r="M25" i="13"/>
  <c r="M25" i="13" a="1"/>
  <c r="L25" i="13" a="1"/>
  <c r="L25" i="13" s="1"/>
  <c r="K25" i="13" a="1"/>
  <c r="K25" i="13" s="1"/>
  <c r="J25" i="13" a="1"/>
  <c r="J25" i="13" s="1"/>
  <c r="I25" i="13" a="1"/>
  <c r="I25" i="13" s="1"/>
  <c r="H25" i="13" a="1"/>
  <c r="H25" i="13" s="1"/>
  <c r="S24" i="13"/>
  <c r="S24" i="13" a="1"/>
  <c r="R24" i="13"/>
  <c r="R24" i="13" a="1"/>
  <c r="Q24" i="13" a="1"/>
  <c r="Q24" i="13" s="1"/>
  <c r="P24" i="13" a="1"/>
  <c r="P24" i="13" s="1"/>
  <c r="O24" i="13"/>
  <c r="O24" i="13" a="1"/>
  <c r="N24" i="13"/>
  <c r="N24" i="13" a="1"/>
  <c r="M24" i="13" a="1"/>
  <c r="M24" i="13" s="1"/>
  <c r="L24" i="13" a="1"/>
  <c r="L24" i="13" s="1"/>
  <c r="K24" i="13"/>
  <c r="K24" i="13" a="1"/>
  <c r="J24" i="13"/>
  <c r="J24" i="13" a="1"/>
  <c r="I24" i="13" a="1"/>
  <c r="I24" i="13" s="1"/>
  <c r="H24" i="13" a="1"/>
  <c r="H24" i="13" s="1"/>
  <c r="S23" i="13" a="1"/>
  <c r="S23" i="13" s="1"/>
  <c r="R23" i="13"/>
  <c r="R23" i="13" a="1"/>
  <c r="Q23" i="13" a="1"/>
  <c r="Q23" i="13" s="1"/>
  <c r="P23" i="13" a="1"/>
  <c r="P23" i="13" s="1"/>
  <c r="O23" i="13" a="1"/>
  <c r="O23" i="13" s="1"/>
  <c r="N23" i="13"/>
  <c r="N23" i="13" a="1"/>
  <c r="M23" i="13" a="1"/>
  <c r="M23" i="13" s="1"/>
  <c r="L23" i="13" a="1"/>
  <c r="L23" i="13" s="1"/>
  <c r="K23" i="13" a="1"/>
  <c r="K23" i="13" s="1"/>
  <c r="J23" i="13"/>
  <c r="J23" i="13" a="1"/>
  <c r="I23" i="13" a="1"/>
  <c r="I23" i="13" s="1"/>
  <c r="H23" i="13" a="1"/>
  <c r="H23" i="13" s="1"/>
  <c r="S28" i="11" a="1"/>
  <c r="S28" i="11" s="1"/>
  <c r="R28" i="11"/>
  <c r="R28" i="11" a="1"/>
  <c r="Q28" i="11" a="1"/>
  <c r="Q28" i="11" s="1"/>
  <c r="P28" i="11"/>
  <c r="P28" i="11" a="1"/>
  <c r="O28" i="11" a="1"/>
  <c r="O28" i="11" s="1"/>
  <c r="N28" i="11" a="1"/>
  <c r="N28" i="11" s="1"/>
  <c r="M28" i="11" a="1"/>
  <c r="M28" i="11" s="1"/>
  <c r="L28" i="11" a="1"/>
  <c r="L28" i="11" s="1"/>
  <c r="K28" i="11" a="1"/>
  <c r="K28" i="11" s="1"/>
  <c r="J28" i="11" a="1"/>
  <c r="J28" i="11" s="1"/>
  <c r="I28" i="11" a="1"/>
  <c r="I28" i="11" s="1"/>
  <c r="H28" i="11" a="1"/>
  <c r="H28" i="11" s="1"/>
  <c r="S27" i="11" a="1"/>
  <c r="S27" i="11" s="1"/>
  <c r="R27" i="11" a="1"/>
  <c r="R27" i="11" s="1"/>
  <c r="Q27" i="11"/>
  <c r="Q27" i="11" a="1"/>
  <c r="P27" i="11"/>
  <c r="P27" i="11" a="1"/>
  <c r="O27" i="11" a="1"/>
  <c r="O27" i="11" s="1"/>
  <c r="N27" i="11" a="1"/>
  <c r="N27" i="11" s="1"/>
  <c r="M27" i="11"/>
  <c r="M27" i="11" a="1"/>
  <c r="L27" i="11"/>
  <c r="L27" i="11" a="1"/>
  <c r="K27" i="11" a="1"/>
  <c r="K27" i="11" s="1"/>
  <c r="J27" i="11" a="1"/>
  <c r="J27" i="11" s="1"/>
  <c r="I27" i="11"/>
  <c r="I27" i="11" a="1"/>
  <c r="H27" i="11"/>
  <c r="H27" i="11" a="1"/>
  <c r="S26" i="11" a="1"/>
  <c r="S26" i="11" s="1"/>
  <c r="R26" i="11" a="1"/>
  <c r="R26" i="11" s="1"/>
  <c r="Q26" i="11" a="1"/>
  <c r="Q26" i="11" s="1"/>
  <c r="P26" i="11" a="1"/>
  <c r="P26" i="11" s="1"/>
  <c r="O26" i="11"/>
  <c r="O26" i="11" a="1"/>
  <c r="N26" i="11" a="1"/>
  <c r="N26" i="11" s="1"/>
  <c r="M26" i="11" a="1"/>
  <c r="M26" i="11" s="1"/>
  <c r="L26" i="11" a="1"/>
  <c r="L26" i="11" s="1"/>
  <c r="K26" i="11" a="1"/>
  <c r="K26" i="11" s="1"/>
  <c r="J26" i="11" a="1"/>
  <c r="J26" i="11" s="1"/>
  <c r="I26" i="11" a="1"/>
  <c r="I26" i="11" s="1"/>
  <c r="H26" i="11" a="1"/>
  <c r="H26" i="11" s="1"/>
  <c r="S25" i="11" a="1"/>
  <c r="S25" i="11" s="1"/>
  <c r="R25" i="11" a="1"/>
  <c r="R25" i="11" s="1"/>
  <c r="Q25" i="11"/>
  <c r="Q25" i="11" a="1"/>
  <c r="P25" i="11" a="1"/>
  <c r="P25" i="11" s="1"/>
  <c r="O25" i="11" a="1"/>
  <c r="O25" i="11" s="1"/>
  <c r="N25" i="11" a="1"/>
  <c r="N25" i="11" s="1"/>
  <c r="M25" i="11" a="1"/>
  <c r="M25" i="11" s="1"/>
  <c r="L25" i="11" a="1"/>
  <c r="L25" i="11" s="1"/>
  <c r="K25" i="11" a="1"/>
  <c r="K25" i="11" s="1"/>
  <c r="J25" i="11" a="1"/>
  <c r="J25" i="11" s="1"/>
  <c r="I25" i="11" a="1"/>
  <c r="I25" i="11" s="1"/>
  <c r="H25" i="11" a="1"/>
  <c r="H25" i="11" s="1"/>
  <c r="S24" i="11" a="1"/>
  <c r="S24" i="11" s="1"/>
  <c r="R24" i="11"/>
  <c r="R24" i="11" a="1"/>
  <c r="Q24" i="11" a="1"/>
  <c r="Q24" i="11" s="1"/>
  <c r="P24" i="11"/>
  <c r="P24" i="11" a="1"/>
  <c r="O24" i="11" a="1"/>
  <c r="O24" i="11" s="1"/>
  <c r="N24" i="11"/>
  <c r="N24" i="11" a="1"/>
  <c r="M24" i="11" a="1"/>
  <c r="M24" i="11" s="1"/>
  <c r="L24" i="11"/>
  <c r="L24" i="11" a="1"/>
  <c r="K24" i="11" a="1"/>
  <c r="K24" i="11" s="1"/>
  <c r="J24" i="11"/>
  <c r="J24" i="11" a="1"/>
  <c r="I24" i="11" a="1"/>
  <c r="I24" i="11" s="1"/>
  <c r="H24" i="11"/>
  <c r="H24" i="11" a="1"/>
  <c r="S23" i="11" a="1"/>
  <c r="S23" i="11" s="1"/>
  <c r="R23" i="11"/>
  <c r="R23" i="11" a="1"/>
  <c r="Q23" i="11" a="1"/>
  <c r="Q23" i="11" s="1"/>
  <c r="P23" i="11" a="1"/>
  <c r="P23" i="11" s="1"/>
  <c r="O23" i="11" a="1"/>
  <c r="O23" i="11" s="1"/>
  <c r="N23" i="11"/>
  <c r="N23" i="11" a="1"/>
  <c r="M23" i="11" a="1"/>
  <c r="M23" i="11" s="1"/>
  <c r="L23" i="11" a="1"/>
  <c r="L23" i="11" s="1"/>
  <c r="K23" i="11" a="1"/>
  <c r="K23" i="11" s="1"/>
  <c r="J23" i="11" a="1"/>
  <c r="J23" i="11" s="1"/>
  <c r="I23" i="11" a="1"/>
  <c r="I23" i="11" s="1"/>
  <c r="H23" i="11" a="1"/>
  <c r="H23" i="11" s="1"/>
  <c r="T23" i="11" s="1"/>
  <c r="S27" i="10" a="1"/>
  <c r="S27" i="10" s="1"/>
  <c r="R27" i="10" a="1"/>
  <c r="R27" i="10" s="1"/>
  <c r="Q27" i="10" a="1"/>
  <c r="Q27" i="10" s="1"/>
  <c r="P27" i="10" a="1"/>
  <c r="P27" i="10" s="1"/>
  <c r="O27" i="10" a="1"/>
  <c r="O27" i="10" s="1"/>
  <c r="N27" i="10" a="1"/>
  <c r="N27" i="10" s="1"/>
  <c r="M27" i="10" a="1"/>
  <c r="M27" i="10" s="1"/>
  <c r="L27" i="10" a="1"/>
  <c r="L27" i="10" s="1"/>
  <c r="K27" i="10" a="1"/>
  <c r="K27" i="10" s="1"/>
  <c r="J27" i="10" a="1"/>
  <c r="J27" i="10" s="1"/>
  <c r="I27" i="10" a="1"/>
  <c r="I27" i="10" s="1"/>
  <c r="H27" i="10" a="1"/>
  <c r="H27" i="10" s="1"/>
  <c r="S28" i="10" a="1"/>
  <c r="S28" i="10" s="1"/>
  <c r="R28" i="10" a="1"/>
  <c r="R28" i="10" s="1"/>
  <c r="Q28" i="10" a="1"/>
  <c r="Q28" i="10" s="1"/>
  <c r="P28" i="10" a="1"/>
  <c r="P28" i="10" s="1"/>
  <c r="O28" i="10" a="1"/>
  <c r="O28" i="10" s="1"/>
  <c r="N28" i="10" a="1"/>
  <c r="N28" i="10" s="1"/>
  <c r="M28" i="10" a="1"/>
  <c r="M28" i="10" s="1"/>
  <c r="L28" i="10" a="1"/>
  <c r="L28" i="10" s="1"/>
  <c r="K28" i="10" a="1"/>
  <c r="K28" i="10" s="1"/>
  <c r="J28" i="10" a="1"/>
  <c r="J28" i="10" s="1"/>
  <c r="I28" i="10" a="1"/>
  <c r="I28" i="10" s="1"/>
  <c r="H28" i="10" a="1"/>
  <c r="H28" i="10" s="1"/>
  <c r="S25" i="10" a="1"/>
  <c r="S25" i="10" s="1"/>
  <c r="R25" i="10" a="1"/>
  <c r="R25" i="10" s="1"/>
  <c r="Q25" i="10" a="1"/>
  <c r="Q25" i="10" s="1"/>
  <c r="P25" i="10" a="1"/>
  <c r="P25" i="10" s="1"/>
  <c r="O25" i="10" a="1"/>
  <c r="O25" i="10" s="1"/>
  <c r="N25" i="10" a="1"/>
  <c r="N25" i="10" s="1"/>
  <c r="M25" i="10" a="1"/>
  <c r="M25" i="10" s="1"/>
  <c r="L25" i="10" a="1"/>
  <c r="L25" i="10" s="1"/>
  <c r="K25" i="10" a="1"/>
  <c r="K25" i="10" s="1"/>
  <c r="J25" i="10" a="1"/>
  <c r="J25" i="10" s="1"/>
  <c r="I25" i="10" a="1"/>
  <c r="I25" i="10" s="1"/>
  <c r="H25" i="10" a="1"/>
  <c r="H25" i="10" s="1"/>
  <c r="S26" i="10" a="1"/>
  <c r="S26" i="10" s="1"/>
  <c r="R26" i="10" a="1"/>
  <c r="R26" i="10" s="1"/>
  <c r="Q26" i="10" a="1"/>
  <c r="Q26" i="10" s="1"/>
  <c r="P26" i="10" a="1"/>
  <c r="P26" i="10" s="1"/>
  <c r="O26" i="10" a="1"/>
  <c r="O26" i="10" s="1"/>
  <c r="N26" i="10" a="1"/>
  <c r="N26" i="10" s="1"/>
  <c r="M26" i="10" a="1"/>
  <c r="M26" i="10" s="1"/>
  <c r="L26" i="10" a="1"/>
  <c r="L26" i="10" s="1"/>
  <c r="K26" i="10" a="1"/>
  <c r="K26" i="10" s="1"/>
  <c r="J26" i="10" a="1"/>
  <c r="J26" i="10" s="1"/>
  <c r="I26" i="10" a="1"/>
  <c r="I26" i="10" s="1"/>
  <c r="H26" i="10" a="1"/>
  <c r="H26" i="10" s="1"/>
  <c r="S23" i="10" a="1"/>
  <c r="S23" i="10" s="1"/>
  <c r="R23" i="10" a="1"/>
  <c r="R23" i="10" s="1"/>
  <c r="Q23" i="10" a="1"/>
  <c r="Q23" i="10" s="1"/>
  <c r="P23" i="10" a="1"/>
  <c r="P23" i="10" s="1"/>
  <c r="O23" i="10" a="1"/>
  <c r="O23" i="10" s="1"/>
  <c r="N23" i="10" a="1"/>
  <c r="N23" i="10" s="1"/>
  <c r="M23" i="10" a="1"/>
  <c r="M23" i="10" s="1"/>
  <c r="L23" i="10" a="1"/>
  <c r="L23" i="10" s="1"/>
  <c r="K23" i="10" a="1"/>
  <c r="K23" i="10" s="1"/>
  <c r="J23" i="10" a="1"/>
  <c r="J23" i="10" s="1"/>
  <c r="I23" i="10" a="1"/>
  <c r="I23" i="10" s="1"/>
  <c r="H23" i="10" a="1"/>
  <c r="H23" i="10" s="1"/>
  <c r="S24" i="10" a="1"/>
  <c r="S24" i="10" s="1"/>
  <c r="R24" i="10" a="1"/>
  <c r="R24" i="10" s="1"/>
  <c r="Q24" i="10" a="1"/>
  <c r="Q24" i="10" s="1"/>
  <c r="P24" i="10" a="1"/>
  <c r="P24" i="10" s="1"/>
  <c r="O24" i="10" a="1"/>
  <c r="O24" i="10" s="1"/>
  <c r="N24" i="10" a="1"/>
  <c r="N24" i="10" s="1"/>
  <c r="M24" i="10" a="1"/>
  <c r="M24" i="10" s="1"/>
  <c r="L24" i="10" a="1"/>
  <c r="L24" i="10" s="1"/>
  <c r="K24" i="10" a="1"/>
  <c r="K24" i="10" s="1"/>
  <c r="J24" i="10" a="1"/>
  <c r="J24" i="10" s="1"/>
  <c r="I24" i="10" a="1"/>
  <c r="I24" i="10" s="1"/>
  <c r="H24" i="10" a="1"/>
  <c r="H24" i="10" s="1"/>
  <c r="T2" i="13"/>
  <c r="T3" i="13"/>
  <c r="T4" i="13"/>
  <c r="T5" i="13"/>
  <c r="T6" i="13"/>
  <c r="T7" i="13"/>
  <c r="T8" i="13"/>
  <c r="T9" i="13"/>
  <c r="T10" i="13"/>
  <c r="T11" i="13"/>
  <c r="T12" i="13"/>
  <c r="T13" i="13"/>
  <c r="T14" i="13"/>
  <c r="T15" i="13"/>
  <c r="T16" i="13"/>
  <c r="T17" i="13"/>
  <c r="T18" i="13"/>
  <c r="T19" i="13"/>
  <c r="T5" i="11"/>
  <c r="T7" i="11"/>
  <c r="T3" i="11"/>
  <c r="T6" i="11"/>
  <c r="T2" i="11"/>
  <c r="T4" i="11"/>
  <c r="T8" i="11"/>
  <c r="T11" i="11"/>
  <c r="T12" i="11"/>
  <c r="T13" i="11"/>
  <c r="T10" i="11"/>
  <c r="T9" i="11"/>
  <c r="T14" i="11"/>
  <c r="T19" i="11"/>
  <c r="T17" i="11"/>
  <c r="T18" i="11"/>
  <c r="T15" i="11"/>
  <c r="T16" i="11"/>
  <c r="T5" i="10"/>
  <c r="T6" i="10"/>
  <c r="T7" i="10"/>
  <c r="T2" i="10"/>
  <c r="T3" i="10"/>
  <c r="T4" i="10"/>
  <c r="T11" i="10"/>
  <c r="T8" i="10"/>
  <c r="T9" i="10"/>
  <c r="T10" i="10"/>
  <c r="T12" i="10"/>
  <c r="T13" i="10"/>
  <c r="T17" i="10"/>
  <c r="T18" i="10"/>
  <c r="T14" i="10"/>
  <c r="T19" i="10"/>
  <c r="T15" i="10"/>
  <c r="T16" i="10"/>
  <c r="T26" i="13" l="1"/>
  <c r="T25" i="13"/>
  <c r="T24" i="13"/>
  <c r="T23" i="13"/>
  <c r="T27" i="13"/>
  <c r="T26" i="11"/>
  <c r="T25" i="11"/>
  <c r="T27" i="11"/>
  <c r="T28" i="11"/>
  <c r="T24" i="11"/>
  <c r="T27" i="10"/>
  <c r="T28" i="10"/>
  <c r="T24" i="10"/>
  <c r="T25" i="10"/>
  <c r="T26" i="10"/>
  <c r="T23" i="10"/>
  <c r="S28" i="6" a="1"/>
  <c r="S28" i="6" s="1"/>
  <c r="R28" i="6" a="1"/>
  <c r="R28" i="6" s="1"/>
  <c r="Q28" i="6" a="1"/>
  <c r="Q28" i="6" s="1"/>
  <c r="P28" i="6" a="1"/>
  <c r="P28" i="6" s="1"/>
  <c r="O28" i="6" a="1"/>
  <c r="O28" i="6" s="1"/>
  <c r="N28" i="6" a="1"/>
  <c r="N28" i="6" s="1"/>
  <c r="M28" i="6" a="1"/>
  <c r="M28" i="6" s="1"/>
  <c r="L28" i="6" a="1"/>
  <c r="L28" i="6" s="1"/>
  <c r="K28" i="6" a="1"/>
  <c r="K28" i="6" s="1"/>
  <c r="J28" i="6" a="1"/>
  <c r="J28" i="6" s="1"/>
  <c r="I28" i="6" a="1"/>
  <c r="I28" i="6" s="1"/>
  <c r="H28" i="6" a="1"/>
  <c r="H28" i="6" s="1"/>
  <c r="S27" i="6" a="1"/>
  <c r="S27" i="6" s="1"/>
  <c r="R27" i="6" a="1"/>
  <c r="R27" i="6" s="1"/>
  <c r="Q27" i="6" a="1"/>
  <c r="Q27" i="6" s="1"/>
  <c r="P27" i="6" a="1"/>
  <c r="P27" i="6" s="1"/>
  <c r="O27" i="6" a="1"/>
  <c r="O27" i="6" s="1"/>
  <c r="N27" i="6" a="1"/>
  <c r="N27" i="6" s="1"/>
  <c r="M27" i="6" a="1"/>
  <c r="M27" i="6" s="1"/>
  <c r="L27" i="6" a="1"/>
  <c r="L27" i="6" s="1"/>
  <c r="K27" i="6" a="1"/>
  <c r="K27" i="6" s="1"/>
  <c r="J27" i="6" a="1"/>
  <c r="J27" i="6" s="1"/>
  <c r="I27" i="6" a="1"/>
  <c r="I27" i="6" s="1"/>
  <c r="H27" i="6" a="1"/>
  <c r="H27" i="6" s="1"/>
  <c r="S26" i="6" a="1"/>
  <c r="S26" i="6" s="1"/>
  <c r="R26" i="6" a="1"/>
  <c r="R26" i="6" s="1"/>
  <c r="Q26" i="6" a="1"/>
  <c r="Q26" i="6" s="1"/>
  <c r="P26" i="6" a="1"/>
  <c r="P26" i="6" s="1"/>
  <c r="O26" i="6" a="1"/>
  <c r="O26" i="6" s="1"/>
  <c r="N26" i="6" a="1"/>
  <c r="N26" i="6" s="1"/>
  <c r="M26" i="6" a="1"/>
  <c r="M26" i="6" s="1"/>
  <c r="L26" i="6" a="1"/>
  <c r="L26" i="6" s="1"/>
  <c r="K26" i="6" a="1"/>
  <c r="K26" i="6" s="1"/>
  <c r="J26" i="6" a="1"/>
  <c r="J26" i="6" s="1"/>
  <c r="I26" i="6" a="1"/>
  <c r="I26" i="6" s="1"/>
  <c r="H26" i="6" a="1"/>
  <c r="H26" i="6" s="1"/>
  <c r="S25" i="6" a="1"/>
  <c r="S25" i="6" s="1"/>
  <c r="R25" i="6" a="1"/>
  <c r="R25" i="6" s="1"/>
  <c r="Q25" i="6" a="1"/>
  <c r="Q25" i="6" s="1"/>
  <c r="P25" i="6" a="1"/>
  <c r="P25" i="6" s="1"/>
  <c r="O25" i="6" a="1"/>
  <c r="O25" i="6" s="1"/>
  <c r="N25" i="6" a="1"/>
  <c r="N25" i="6" s="1"/>
  <c r="M25" i="6" a="1"/>
  <c r="M25" i="6" s="1"/>
  <c r="L25" i="6" a="1"/>
  <c r="L25" i="6" s="1"/>
  <c r="K25" i="6" a="1"/>
  <c r="K25" i="6" s="1"/>
  <c r="J25" i="6" a="1"/>
  <c r="J25" i="6" s="1"/>
  <c r="I25" i="6" a="1"/>
  <c r="I25" i="6" s="1"/>
  <c r="H25" i="6" a="1"/>
  <c r="H25" i="6" s="1"/>
  <c r="S24" i="6" a="1"/>
  <c r="S24" i="6" s="1"/>
  <c r="R24" i="6" a="1"/>
  <c r="R24" i="6" s="1"/>
  <c r="Q24" i="6" a="1"/>
  <c r="Q24" i="6" s="1"/>
  <c r="P24" i="6" a="1"/>
  <c r="P24" i="6" s="1"/>
  <c r="O24" i="6" a="1"/>
  <c r="O24" i="6" s="1"/>
  <c r="N24" i="6" a="1"/>
  <c r="N24" i="6" s="1"/>
  <c r="M24" i="6" a="1"/>
  <c r="M24" i="6" s="1"/>
  <c r="L24" i="6" a="1"/>
  <c r="L24" i="6" s="1"/>
  <c r="K24" i="6" a="1"/>
  <c r="K24" i="6" s="1"/>
  <c r="J24" i="6" a="1"/>
  <c r="J24" i="6" s="1"/>
  <c r="I24" i="6" a="1"/>
  <c r="I24" i="6" s="1"/>
  <c r="H24" i="6" a="1"/>
  <c r="H24" i="6" s="1"/>
  <c r="S23" i="6" a="1"/>
  <c r="S23" i="6" s="1"/>
  <c r="R23" i="6" a="1"/>
  <c r="R23" i="6" s="1"/>
  <c r="Q23" i="6" a="1"/>
  <c r="Q23" i="6" s="1"/>
  <c r="P23" i="6" a="1"/>
  <c r="P23" i="6" s="1"/>
  <c r="O23" i="6" a="1"/>
  <c r="O23" i="6" s="1"/>
  <c r="N23" i="6" a="1"/>
  <c r="N23" i="6" s="1"/>
  <c r="M23" i="6" a="1"/>
  <c r="M23" i="6" s="1"/>
  <c r="L23" i="6" a="1"/>
  <c r="L23" i="6" s="1"/>
  <c r="K23" i="6" a="1"/>
  <c r="K23" i="6" s="1"/>
  <c r="J23" i="6" a="1"/>
  <c r="J23" i="6" s="1"/>
  <c r="I23" i="6" a="1"/>
  <c r="I23" i="6" s="1"/>
  <c r="H23" i="6" a="1"/>
  <c r="H23" i="6" s="1"/>
  <c r="T16" i="6"/>
  <c r="T14" i="6"/>
  <c r="T15" i="6"/>
  <c r="T18" i="6"/>
  <c r="T17" i="6"/>
  <c r="T19" i="6"/>
  <c r="T11" i="6"/>
  <c r="T13" i="6"/>
  <c r="T12" i="6"/>
  <c r="T10" i="6"/>
  <c r="T9" i="6"/>
  <c r="T8" i="6"/>
  <c r="T7" i="6"/>
  <c r="T4" i="6"/>
  <c r="T6" i="6"/>
  <c r="T3" i="6"/>
  <c r="T2" i="6"/>
  <c r="T5" i="6"/>
  <c r="S28" i="5" a="1"/>
  <c r="S28" i="5" s="1"/>
  <c r="R28" i="5" a="1"/>
  <c r="R28" i="5" s="1"/>
  <c r="Q28" i="5" a="1"/>
  <c r="Q28" i="5" s="1"/>
  <c r="P28" i="5" a="1"/>
  <c r="P28" i="5" s="1"/>
  <c r="O28" i="5" a="1"/>
  <c r="O28" i="5" s="1"/>
  <c r="N28" i="5" a="1"/>
  <c r="N28" i="5" s="1"/>
  <c r="M28" i="5" a="1"/>
  <c r="M28" i="5" s="1"/>
  <c r="L28" i="5" a="1"/>
  <c r="L28" i="5" s="1"/>
  <c r="K28" i="5" a="1"/>
  <c r="K28" i="5" s="1"/>
  <c r="J28" i="5" a="1"/>
  <c r="J28" i="5" s="1"/>
  <c r="I28" i="5" a="1"/>
  <c r="I28" i="5" s="1"/>
  <c r="H28" i="5" a="1"/>
  <c r="H28" i="5" s="1"/>
  <c r="S27" i="5" a="1"/>
  <c r="S27" i="5" s="1"/>
  <c r="R27" i="5" a="1"/>
  <c r="R27" i="5" s="1"/>
  <c r="Q27" i="5" a="1"/>
  <c r="Q27" i="5" s="1"/>
  <c r="P27" i="5" a="1"/>
  <c r="P27" i="5" s="1"/>
  <c r="O27" i="5" a="1"/>
  <c r="O27" i="5" s="1"/>
  <c r="N27" i="5" a="1"/>
  <c r="N27" i="5" s="1"/>
  <c r="M27" i="5" a="1"/>
  <c r="M27" i="5" s="1"/>
  <c r="L27" i="5" a="1"/>
  <c r="L27" i="5" s="1"/>
  <c r="K27" i="5" a="1"/>
  <c r="K27" i="5" s="1"/>
  <c r="J27" i="5" a="1"/>
  <c r="J27" i="5" s="1"/>
  <c r="I27" i="5" a="1"/>
  <c r="I27" i="5" s="1"/>
  <c r="H27" i="5" a="1"/>
  <c r="H27" i="5" s="1"/>
  <c r="S26" i="5" a="1"/>
  <c r="S26" i="5" s="1"/>
  <c r="R26" i="5" a="1"/>
  <c r="R26" i="5" s="1"/>
  <c r="Q26" i="5" a="1"/>
  <c r="Q26" i="5" s="1"/>
  <c r="P26" i="5" a="1"/>
  <c r="P26" i="5" s="1"/>
  <c r="O26" i="5" a="1"/>
  <c r="O26" i="5" s="1"/>
  <c r="N26" i="5" a="1"/>
  <c r="N26" i="5" s="1"/>
  <c r="M26" i="5" a="1"/>
  <c r="M26" i="5" s="1"/>
  <c r="L26" i="5" a="1"/>
  <c r="L26" i="5" s="1"/>
  <c r="K26" i="5" a="1"/>
  <c r="K26" i="5" s="1"/>
  <c r="J26" i="5" a="1"/>
  <c r="J26" i="5" s="1"/>
  <c r="I26" i="5" a="1"/>
  <c r="I26" i="5" s="1"/>
  <c r="H26" i="5" a="1"/>
  <c r="H26" i="5" s="1"/>
  <c r="S25" i="5" a="1"/>
  <c r="S25" i="5" s="1"/>
  <c r="R25" i="5" a="1"/>
  <c r="R25" i="5" s="1"/>
  <c r="Q25" i="5" a="1"/>
  <c r="Q25" i="5" s="1"/>
  <c r="P25" i="5" a="1"/>
  <c r="P25" i="5" s="1"/>
  <c r="O25" i="5" a="1"/>
  <c r="O25" i="5" s="1"/>
  <c r="N25" i="5" a="1"/>
  <c r="N25" i="5" s="1"/>
  <c r="M25" i="5" a="1"/>
  <c r="M25" i="5" s="1"/>
  <c r="L25" i="5" a="1"/>
  <c r="L25" i="5" s="1"/>
  <c r="K25" i="5" a="1"/>
  <c r="K25" i="5" s="1"/>
  <c r="J25" i="5" a="1"/>
  <c r="J25" i="5" s="1"/>
  <c r="I25" i="5" a="1"/>
  <c r="I25" i="5" s="1"/>
  <c r="H25" i="5" a="1"/>
  <c r="H25" i="5" s="1"/>
  <c r="S24" i="5" a="1"/>
  <c r="S24" i="5" s="1"/>
  <c r="R24" i="5" a="1"/>
  <c r="R24" i="5" s="1"/>
  <c r="Q24" i="5" a="1"/>
  <c r="Q24" i="5" s="1"/>
  <c r="P24" i="5" a="1"/>
  <c r="P24" i="5" s="1"/>
  <c r="O24" i="5" a="1"/>
  <c r="O24" i="5" s="1"/>
  <c r="N24" i="5" a="1"/>
  <c r="N24" i="5" s="1"/>
  <c r="M24" i="5" a="1"/>
  <c r="M24" i="5" s="1"/>
  <c r="L24" i="5" a="1"/>
  <c r="L24" i="5" s="1"/>
  <c r="K24" i="5" a="1"/>
  <c r="K24" i="5" s="1"/>
  <c r="J24" i="5" a="1"/>
  <c r="J24" i="5" s="1"/>
  <c r="I24" i="5" a="1"/>
  <c r="I24" i="5" s="1"/>
  <c r="H24" i="5" a="1"/>
  <c r="H24" i="5" s="1"/>
  <c r="S23" i="5" a="1"/>
  <c r="S23" i="5" s="1"/>
  <c r="R23" i="5" a="1"/>
  <c r="R23" i="5" s="1"/>
  <c r="Q23" i="5" a="1"/>
  <c r="Q23" i="5" s="1"/>
  <c r="P23" i="5" a="1"/>
  <c r="P23" i="5" s="1"/>
  <c r="O23" i="5" a="1"/>
  <c r="O23" i="5" s="1"/>
  <c r="N23" i="5" a="1"/>
  <c r="N23" i="5" s="1"/>
  <c r="M23" i="5" a="1"/>
  <c r="M23" i="5" s="1"/>
  <c r="L23" i="5" a="1"/>
  <c r="L23" i="5" s="1"/>
  <c r="K23" i="5" a="1"/>
  <c r="K23" i="5" s="1"/>
  <c r="J23" i="5" a="1"/>
  <c r="J23" i="5" s="1"/>
  <c r="I23" i="5" a="1"/>
  <c r="I23" i="5" s="1"/>
  <c r="H23" i="5" a="1"/>
  <c r="H23" i="5" s="1"/>
  <c r="T8" i="5"/>
  <c r="T17" i="5"/>
  <c r="T5" i="5"/>
  <c r="T14" i="5"/>
  <c r="T2" i="5"/>
  <c r="T11" i="5"/>
  <c r="T10" i="5"/>
  <c r="T19" i="5"/>
  <c r="T7" i="5"/>
  <c r="T16" i="5"/>
  <c r="T4" i="5"/>
  <c r="T13" i="5"/>
  <c r="T9" i="5"/>
  <c r="T18" i="5"/>
  <c r="T6" i="5"/>
  <c r="T15" i="5"/>
  <c r="T3" i="5"/>
  <c r="T12" i="5"/>
  <c r="H23" i="1" a="1"/>
  <c r="H23" i="1" s="1"/>
  <c r="S28" i="1" a="1"/>
  <c r="S28" i="1" s="1"/>
  <c r="R28" i="1" a="1"/>
  <c r="R28" i="1" s="1"/>
  <c r="Q28" i="1" a="1"/>
  <c r="Q28" i="1" s="1"/>
  <c r="P28" i="1" a="1"/>
  <c r="P28" i="1" s="1"/>
  <c r="O28" i="1" a="1"/>
  <c r="O28" i="1" s="1"/>
  <c r="N28" i="1" a="1"/>
  <c r="N28" i="1" s="1"/>
  <c r="M28" i="1" a="1"/>
  <c r="M28" i="1" s="1"/>
  <c r="L28" i="1" a="1"/>
  <c r="L28" i="1" s="1"/>
  <c r="K28" i="1" a="1"/>
  <c r="K28" i="1" s="1"/>
  <c r="J28" i="1" a="1"/>
  <c r="J28" i="1" s="1"/>
  <c r="I28" i="1" a="1"/>
  <c r="I28" i="1" s="1"/>
  <c r="H28" i="1" a="1"/>
  <c r="H28" i="1" s="1"/>
  <c r="S27" i="1" a="1"/>
  <c r="S27" i="1" s="1"/>
  <c r="R27" i="1" a="1"/>
  <c r="R27" i="1" s="1"/>
  <c r="Q27" i="1" a="1"/>
  <c r="Q27" i="1" s="1"/>
  <c r="P27" i="1" a="1"/>
  <c r="P27" i="1" s="1"/>
  <c r="O27" i="1" a="1"/>
  <c r="O27" i="1" s="1"/>
  <c r="N27" i="1" a="1"/>
  <c r="N27" i="1" s="1"/>
  <c r="M27" i="1" a="1"/>
  <c r="M27" i="1" s="1"/>
  <c r="L27" i="1" a="1"/>
  <c r="L27" i="1" s="1"/>
  <c r="K27" i="1" a="1"/>
  <c r="K27" i="1" s="1"/>
  <c r="J27" i="1" a="1"/>
  <c r="J27" i="1" s="1"/>
  <c r="I27" i="1" a="1"/>
  <c r="I27" i="1" s="1"/>
  <c r="H27" i="1" a="1"/>
  <c r="H27" i="1" s="1"/>
  <c r="S26" i="1" a="1"/>
  <c r="S26" i="1" s="1"/>
  <c r="R26" i="1" a="1"/>
  <c r="R26" i="1" s="1"/>
  <c r="Q26" i="1" a="1"/>
  <c r="Q26" i="1" s="1"/>
  <c r="P26" i="1" a="1"/>
  <c r="P26" i="1" s="1"/>
  <c r="O26" i="1" a="1"/>
  <c r="O26" i="1" s="1"/>
  <c r="N26" i="1" a="1"/>
  <c r="N26" i="1" s="1"/>
  <c r="M26" i="1" a="1"/>
  <c r="M26" i="1" s="1"/>
  <c r="L26" i="1" a="1"/>
  <c r="L26" i="1" s="1"/>
  <c r="K26" i="1" a="1"/>
  <c r="K26" i="1" s="1"/>
  <c r="J26" i="1" a="1"/>
  <c r="J26" i="1" s="1"/>
  <c r="I26" i="1" a="1"/>
  <c r="I26" i="1" s="1"/>
  <c r="H26" i="1" a="1"/>
  <c r="H26" i="1" s="1"/>
  <c r="S25" i="1" a="1"/>
  <c r="S25" i="1" s="1"/>
  <c r="R25" i="1" a="1"/>
  <c r="R25" i="1" s="1"/>
  <c r="Q25" i="1" a="1"/>
  <c r="Q25" i="1" s="1"/>
  <c r="P25" i="1" a="1"/>
  <c r="P25" i="1" s="1"/>
  <c r="O25" i="1" a="1"/>
  <c r="O25" i="1" s="1"/>
  <c r="N25" i="1" a="1"/>
  <c r="N25" i="1" s="1"/>
  <c r="M25" i="1" a="1"/>
  <c r="M25" i="1" s="1"/>
  <c r="L25" i="1" a="1"/>
  <c r="L25" i="1" s="1"/>
  <c r="K25" i="1" a="1"/>
  <c r="K25" i="1" s="1"/>
  <c r="J25" i="1" a="1"/>
  <c r="J25" i="1" s="1"/>
  <c r="I25" i="1" a="1"/>
  <c r="I25" i="1" s="1"/>
  <c r="H25" i="1" a="1"/>
  <c r="H25" i="1" s="1"/>
  <c r="S24" i="1" a="1"/>
  <c r="S24" i="1" s="1"/>
  <c r="R24" i="1" a="1"/>
  <c r="R24" i="1" s="1"/>
  <c r="Q24" i="1" a="1"/>
  <c r="Q24" i="1" s="1"/>
  <c r="P24" i="1" a="1"/>
  <c r="P24" i="1" s="1"/>
  <c r="O24" i="1" a="1"/>
  <c r="O24" i="1" s="1"/>
  <c r="N24" i="1" a="1"/>
  <c r="N24" i="1" s="1"/>
  <c r="M24" i="1" a="1"/>
  <c r="M24" i="1" s="1"/>
  <c r="L24" i="1" a="1"/>
  <c r="L24" i="1" s="1"/>
  <c r="K24" i="1" a="1"/>
  <c r="K24" i="1" s="1"/>
  <c r="J24" i="1" a="1"/>
  <c r="J24" i="1" s="1"/>
  <c r="I24" i="1" a="1"/>
  <c r="I24" i="1" s="1"/>
  <c r="H24" i="1" a="1"/>
  <c r="H24" i="1" s="1"/>
  <c r="S23" i="1" a="1"/>
  <c r="S23" i="1" s="1"/>
  <c r="R23" i="1" a="1"/>
  <c r="R23" i="1" s="1"/>
  <c r="Q23" i="1" a="1"/>
  <c r="Q23" i="1" s="1"/>
  <c r="P23" i="1" a="1"/>
  <c r="P23" i="1" s="1"/>
  <c r="O23" i="1" a="1"/>
  <c r="O23" i="1" s="1"/>
  <c r="N23" i="1" a="1"/>
  <c r="N23" i="1" s="1"/>
  <c r="M23" i="1" a="1"/>
  <c r="M23" i="1" s="1"/>
  <c r="L23" i="1" a="1"/>
  <c r="L23" i="1" s="1"/>
  <c r="K23" i="1" a="1"/>
  <c r="K23" i="1" s="1"/>
  <c r="J23" i="1" a="1"/>
  <c r="J23" i="1" s="1"/>
  <c r="I23" i="1" a="1"/>
  <c r="I23" i="1" s="1"/>
  <c r="H24" i="3" a="1"/>
  <c r="H24" i="3" s="1"/>
  <c r="S24" i="3" a="1"/>
  <c r="S24" i="3" s="1"/>
  <c r="R24" i="3" a="1"/>
  <c r="R24" i="3" s="1"/>
  <c r="Q24" i="3" a="1"/>
  <c r="Q24" i="3" s="1"/>
  <c r="P24" i="3" a="1"/>
  <c r="P24" i="3" s="1"/>
  <c r="O24" i="3" a="1"/>
  <c r="O24" i="3" s="1"/>
  <c r="N24" i="3" a="1"/>
  <c r="N24" i="3" s="1"/>
  <c r="M24" i="3" a="1"/>
  <c r="M24" i="3" s="1"/>
  <c r="L24" i="3" a="1"/>
  <c r="L24" i="3" s="1"/>
  <c r="K24" i="3" a="1"/>
  <c r="K24" i="3" s="1"/>
  <c r="J24" i="3" a="1"/>
  <c r="J24" i="3" s="1"/>
  <c r="I24" i="3" a="1"/>
  <c r="I24" i="3" s="1"/>
  <c r="S23" i="3" a="1"/>
  <c r="S23" i="3" s="1"/>
  <c r="R23" i="3" a="1"/>
  <c r="R23" i="3" s="1"/>
  <c r="Q23" i="3" a="1"/>
  <c r="Q23" i="3" s="1"/>
  <c r="P23" i="3" a="1"/>
  <c r="P23" i="3" s="1"/>
  <c r="O23" i="3" a="1"/>
  <c r="O23" i="3" s="1"/>
  <c r="N23" i="3" a="1"/>
  <c r="N23" i="3" s="1"/>
  <c r="M23" i="3" a="1"/>
  <c r="M23" i="3" s="1"/>
  <c r="L23" i="3" a="1"/>
  <c r="L23" i="3" s="1"/>
  <c r="K23" i="3" a="1"/>
  <c r="K23" i="3" s="1"/>
  <c r="J23" i="3" a="1"/>
  <c r="J23" i="3" s="1"/>
  <c r="I23" i="3" a="1"/>
  <c r="I23" i="3" s="1"/>
  <c r="H23" i="3" a="1"/>
  <c r="H23" i="3" s="1"/>
  <c r="S26" i="3" a="1"/>
  <c r="S26" i="3" s="1"/>
  <c r="R26" i="3" a="1"/>
  <c r="R26" i="3" s="1"/>
  <c r="Q26" i="3" a="1"/>
  <c r="Q26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J26" i="3" a="1"/>
  <c r="J26" i="3" s="1"/>
  <c r="I26" i="3" a="1"/>
  <c r="I26" i="3" s="1"/>
  <c r="H26" i="3" a="1"/>
  <c r="H26" i="3" s="1"/>
  <c r="S25" i="3" a="1"/>
  <c r="S25" i="3" s="1"/>
  <c r="R25" i="3" a="1"/>
  <c r="R25" i="3" s="1"/>
  <c r="Q25" i="3" a="1"/>
  <c r="Q25" i="3" s="1"/>
  <c r="P25" i="3" a="1"/>
  <c r="P25" i="3" s="1"/>
  <c r="O25" i="3" a="1"/>
  <c r="O25" i="3" s="1"/>
  <c r="N25" i="3" a="1"/>
  <c r="N25" i="3" s="1"/>
  <c r="M25" i="3" a="1"/>
  <c r="M25" i="3" s="1"/>
  <c r="L25" i="3" a="1"/>
  <c r="L25" i="3" s="1"/>
  <c r="K25" i="3" a="1"/>
  <c r="K25" i="3" s="1"/>
  <c r="J25" i="3" a="1"/>
  <c r="J25" i="3" s="1"/>
  <c r="I25" i="3" a="1"/>
  <c r="I25" i="3" s="1"/>
  <c r="H25" i="3" a="1"/>
  <c r="H25" i="3" s="1"/>
  <c r="S28" i="3" a="1"/>
  <c r="S28" i="3" s="1"/>
  <c r="R28" i="3" a="1"/>
  <c r="R28" i="3" s="1"/>
  <c r="Q28" i="3" a="1"/>
  <c r="Q28" i="3" s="1"/>
  <c r="P28" i="3" a="1"/>
  <c r="P28" i="3" s="1"/>
  <c r="O28" i="3" a="1"/>
  <c r="O28" i="3" s="1"/>
  <c r="N28" i="3" a="1"/>
  <c r="N28" i="3" s="1"/>
  <c r="M28" i="3" a="1"/>
  <c r="M28" i="3" s="1"/>
  <c r="L28" i="3" a="1"/>
  <c r="L28" i="3" s="1"/>
  <c r="K28" i="3" a="1"/>
  <c r="K28" i="3" s="1"/>
  <c r="J28" i="3" a="1"/>
  <c r="J28" i="3" s="1"/>
  <c r="I28" i="3" a="1"/>
  <c r="I28" i="3" s="1"/>
  <c r="H28" i="3" a="1"/>
  <c r="H28" i="3" s="1"/>
  <c r="S27" i="3" a="1"/>
  <c r="S27" i="3" s="1"/>
  <c r="R27" i="3" a="1"/>
  <c r="R27" i="3" s="1"/>
  <c r="Q27" i="3" a="1"/>
  <c r="Q27" i="3" s="1"/>
  <c r="P27" i="3" a="1"/>
  <c r="P27" i="3" s="1"/>
  <c r="O27" i="3" a="1"/>
  <c r="O27" i="3" s="1"/>
  <c r="N27" i="3" a="1"/>
  <c r="N27" i="3" s="1"/>
  <c r="M27" i="3" a="1"/>
  <c r="M27" i="3" s="1"/>
  <c r="L27" i="3" a="1"/>
  <c r="L27" i="3" s="1"/>
  <c r="K27" i="3" a="1"/>
  <c r="K27" i="3" s="1"/>
  <c r="J27" i="3" a="1"/>
  <c r="J27" i="3" s="1"/>
  <c r="I27" i="3" a="1"/>
  <c r="I27" i="3" s="1"/>
  <c r="H27" i="3" a="1"/>
  <c r="H27" i="3" s="1"/>
  <c r="J33" i="3" l="1" a="1"/>
  <c r="J33" i="3" s="1"/>
  <c r="J30" i="3" a="1"/>
  <c r="J30" i="3" s="1"/>
  <c r="J31" i="3" a="1"/>
  <c r="J31" i="3" s="1"/>
  <c r="J32" i="3" a="1"/>
  <c r="J32" i="3" s="1"/>
  <c r="K33" i="3" a="1"/>
  <c r="K33" i="3" s="1"/>
  <c r="K30" i="3" a="1"/>
  <c r="K30" i="3" s="1"/>
  <c r="K32" i="3" a="1"/>
  <c r="K32" i="3" s="1"/>
  <c r="K31" i="3" a="1"/>
  <c r="K31" i="3" s="1"/>
  <c r="I31" i="3" a="1"/>
  <c r="I31" i="3" s="1"/>
  <c r="I32" i="3" a="1"/>
  <c r="I32" i="3" s="1"/>
  <c r="I30" i="3" a="1"/>
  <c r="I30" i="3" s="1"/>
  <c r="I33" i="3" a="1"/>
  <c r="I33" i="3" s="1"/>
  <c r="Q31" i="3" a="1"/>
  <c r="Q31" i="3" s="1"/>
  <c r="Q30" i="3" a="1"/>
  <c r="Q30" i="3" s="1"/>
  <c r="Q33" i="3" a="1"/>
  <c r="Q33" i="3" s="1"/>
  <c r="Q32" i="3" a="1"/>
  <c r="Q32" i="3" s="1"/>
  <c r="R33" i="3" a="1"/>
  <c r="R33" i="3" s="1"/>
  <c r="R30" i="3" a="1"/>
  <c r="R30" i="3" s="1"/>
  <c r="R32" i="3" a="1"/>
  <c r="R32" i="3" s="1"/>
  <c r="R31" i="3" a="1"/>
  <c r="R31" i="3" s="1"/>
  <c r="S33" i="3" a="1"/>
  <c r="S33" i="3" s="1"/>
  <c r="S30" i="3" a="1"/>
  <c r="S30" i="3" s="1"/>
  <c r="S32" i="3" a="1"/>
  <c r="S32" i="3" s="1"/>
  <c r="S31" i="3" a="1"/>
  <c r="S31" i="3" s="1"/>
  <c r="H31" i="3" a="1"/>
  <c r="H31" i="3" s="1"/>
  <c r="H33" i="3" a="1"/>
  <c r="H33" i="3" s="1"/>
  <c r="H30" i="3" a="1"/>
  <c r="H30" i="3" s="1"/>
  <c r="H32" i="3" a="1"/>
  <c r="H32" i="3" s="1"/>
  <c r="N32" i="3" a="1"/>
  <c r="N32" i="3" s="1"/>
  <c r="N31" i="3" a="1"/>
  <c r="N31" i="3" s="1"/>
  <c r="N33" i="3" a="1"/>
  <c r="N33" i="3" s="1"/>
  <c r="N30" i="3" a="1"/>
  <c r="N30" i="3" s="1"/>
  <c r="L30" i="3" a="1"/>
  <c r="L30" i="3" s="1"/>
  <c r="L31" i="3" a="1"/>
  <c r="L31" i="3" s="1"/>
  <c r="L32" i="3" a="1"/>
  <c r="L32" i="3" s="1"/>
  <c r="L33" i="3" a="1"/>
  <c r="L33" i="3" s="1"/>
  <c r="O31" i="3" a="1"/>
  <c r="O31" i="3" s="1"/>
  <c r="O30" i="3" a="1"/>
  <c r="O30" i="3" s="1"/>
  <c r="O33" i="3" a="1"/>
  <c r="O33" i="3" s="1"/>
  <c r="O32" i="3" a="1"/>
  <c r="O32" i="3" s="1"/>
  <c r="M31" i="3" a="1"/>
  <c r="M31" i="3" s="1"/>
  <c r="M32" i="3" a="1"/>
  <c r="M32" i="3" s="1"/>
  <c r="M33" i="3" a="1"/>
  <c r="M33" i="3" s="1"/>
  <c r="M30" i="3" a="1"/>
  <c r="M30" i="3" s="1"/>
  <c r="P32" i="3" a="1"/>
  <c r="P32" i="3" s="1"/>
  <c r="P31" i="3" a="1"/>
  <c r="P31" i="3" s="1"/>
  <c r="P30" i="3" a="1"/>
  <c r="P30" i="3" s="1"/>
  <c r="P33" i="3" a="1"/>
  <c r="P33" i="3" s="1"/>
  <c r="T28" i="3"/>
  <c r="O42" i="3" s="1"/>
  <c r="I33" i="1" a="1"/>
  <c r="I33" i="1" s="1"/>
  <c r="T26" i="6"/>
  <c r="T27" i="6"/>
  <c r="T24" i="6"/>
  <c r="T25" i="6"/>
  <c r="T23" i="6"/>
  <c r="T28" i="6"/>
  <c r="T26" i="5"/>
  <c r="T27" i="5"/>
  <c r="T23" i="5"/>
  <c r="T28" i="5"/>
  <c r="T24" i="5"/>
  <c r="T25" i="5"/>
  <c r="P32" i="1" a="1"/>
  <c r="P32" i="1" s="1"/>
  <c r="N32" i="1" a="1"/>
  <c r="N32" i="1" s="1"/>
  <c r="P33" i="1" a="1"/>
  <c r="P33" i="1" s="1"/>
  <c r="J33" i="1" a="1"/>
  <c r="J33" i="1" s="1"/>
  <c r="R33" i="1" a="1"/>
  <c r="R33" i="1" s="1"/>
  <c r="H32" i="1" a="1"/>
  <c r="H32" i="1" s="1"/>
  <c r="K32" i="1" a="1"/>
  <c r="K32" i="1" s="1"/>
  <c r="O33" i="1" a="1"/>
  <c r="O33" i="1" s="1"/>
  <c r="H33" i="1" a="1"/>
  <c r="H33" i="1" s="1"/>
  <c r="R32" i="1" a="1"/>
  <c r="R32" i="1" s="1"/>
  <c r="R30" i="1" a="1"/>
  <c r="R30" i="1" s="1"/>
  <c r="K31" i="1" a="1"/>
  <c r="K31" i="1" s="1"/>
  <c r="K33" i="1" a="1"/>
  <c r="K33" i="1" s="1"/>
  <c r="G32" i="1" a="1"/>
  <c r="G32" i="1" s="1"/>
  <c r="G30" i="1" a="1"/>
  <c r="G30" i="1" s="1"/>
  <c r="Q33" i="1" a="1"/>
  <c r="Q33" i="1" s="1"/>
  <c r="Q31" i="1" a="1"/>
  <c r="Q31" i="1" s="1"/>
  <c r="Q32" i="1" a="1"/>
  <c r="Q32" i="1" s="1"/>
  <c r="Q30" i="1" a="1"/>
  <c r="Q30" i="1" s="1"/>
  <c r="M32" i="1" a="1"/>
  <c r="M32" i="1" s="1"/>
  <c r="M30" i="1" a="1"/>
  <c r="M30" i="1" s="1"/>
  <c r="M33" i="1" a="1"/>
  <c r="M33" i="1" s="1"/>
  <c r="M31" i="1" a="1"/>
  <c r="M31" i="1" s="1"/>
  <c r="G33" i="1" a="1"/>
  <c r="G33" i="1" s="1"/>
  <c r="N31" i="1" a="1"/>
  <c r="N31" i="1" s="1"/>
  <c r="N33" i="1" a="1"/>
  <c r="N33" i="1" s="1"/>
  <c r="L33" i="1" a="1"/>
  <c r="L33" i="1" s="1"/>
  <c r="L31" i="1" a="1"/>
  <c r="L31" i="1" s="1"/>
  <c r="L32" i="1" a="1"/>
  <c r="L32" i="1" s="1"/>
  <c r="H30" i="1" a="1"/>
  <c r="H30" i="1" s="1"/>
  <c r="O30" i="1" a="1"/>
  <c r="O30" i="1" s="1"/>
  <c r="P30" i="1" a="1"/>
  <c r="P30" i="1" s="1"/>
  <c r="I30" i="1" a="1"/>
  <c r="I30" i="1" s="1"/>
  <c r="I32" i="1" a="1"/>
  <c r="I32" i="1" s="1"/>
  <c r="O32" i="1" a="1"/>
  <c r="O32" i="1" s="1"/>
  <c r="J30" i="1" a="1"/>
  <c r="J30" i="1" s="1"/>
  <c r="J32" i="1" a="1"/>
  <c r="J32" i="1" s="1"/>
  <c r="O31" i="1" a="1"/>
  <c r="O31" i="1" s="1"/>
  <c r="L30" i="1" a="1"/>
  <c r="L30" i="1" s="1"/>
  <c r="H31" i="1" a="1"/>
  <c r="H31" i="1" s="1"/>
  <c r="P31" i="1" a="1"/>
  <c r="P31" i="1" s="1"/>
  <c r="G31" i="1" a="1"/>
  <c r="G31" i="1" s="1"/>
  <c r="I31" i="1" a="1"/>
  <c r="I31" i="1" s="1"/>
  <c r="K30" i="1" a="1"/>
  <c r="K30" i="1" s="1"/>
  <c r="N30" i="1" a="1"/>
  <c r="N30" i="1" s="1"/>
  <c r="J31" i="1" a="1"/>
  <c r="J31" i="1" s="1"/>
  <c r="R31" i="1" a="1"/>
  <c r="R31" i="1" s="1"/>
  <c r="T27" i="1"/>
  <c r="T23" i="1"/>
  <c r="T26" i="1"/>
  <c r="T24" i="1"/>
  <c r="T25" i="1"/>
  <c r="T28" i="1"/>
  <c r="T27" i="3"/>
  <c r="T23" i="3"/>
  <c r="H37" i="3" s="1"/>
  <c r="T25" i="3"/>
  <c r="J39" i="3" s="1"/>
  <c r="T26" i="3"/>
  <c r="T24" i="3"/>
  <c r="L37" i="3" l="1"/>
  <c r="R39" i="3"/>
  <c r="I41" i="3"/>
  <c r="R42" i="3"/>
  <c r="I37" i="3"/>
  <c r="N38" i="3"/>
  <c r="Q37" i="3"/>
  <c r="M39" i="3"/>
  <c r="P37" i="3"/>
  <c r="R37" i="3"/>
  <c r="I38" i="3"/>
  <c r="S37" i="3"/>
  <c r="S38" i="3"/>
  <c r="J37" i="3"/>
  <c r="P40" i="3"/>
  <c r="M37" i="3"/>
  <c r="N37" i="3"/>
  <c r="K37" i="3"/>
  <c r="P42" i="3"/>
  <c r="S39" i="3"/>
  <c r="O37" i="3"/>
  <c r="H38" i="3"/>
  <c r="R42" i="1"/>
  <c r="J42" i="1"/>
  <c r="Q42" i="1"/>
  <c r="I42" i="1"/>
  <c r="P42" i="1"/>
  <c r="H42" i="1"/>
  <c r="G42" i="1"/>
  <c r="O42" i="1"/>
  <c r="N42" i="1"/>
  <c r="M42" i="1"/>
  <c r="L42" i="1"/>
  <c r="K42" i="1"/>
  <c r="N39" i="1"/>
  <c r="J39" i="1"/>
  <c r="M39" i="1"/>
  <c r="R39" i="1"/>
  <c r="L39" i="1"/>
  <c r="Q39" i="1"/>
  <c r="I39" i="1"/>
  <c r="P39" i="1"/>
  <c r="H39" i="1"/>
  <c r="O39" i="1"/>
  <c r="G39" i="1"/>
  <c r="K39" i="1"/>
  <c r="R38" i="1"/>
  <c r="J38" i="1"/>
  <c r="G38" i="1"/>
  <c r="Q38" i="1"/>
  <c r="I38" i="1"/>
  <c r="O38" i="1"/>
  <c r="P38" i="1"/>
  <c r="H38" i="1"/>
  <c r="N38" i="1"/>
  <c r="M38" i="1"/>
  <c r="L38" i="1"/>
  <c r="K38" i="1"/>
  <c r="R40" i="1"/>
  <c r="J40" i="1"/>
  <c r="O40" i="1"/>
  <c r="Q40" i="1"/>
  <c r="I40" i="1"/>
  <c r="P40" i="1"/>
  <c r="H40" i="1"/>
  <c r="M40" i="1"/>
  <c r="L40" i="1"/>
  <c r="K40" i="1"/>
  <c r="G40" i="1"/>
  <c r="N40" i="1"/>
  <c r="N37" i="1"/>
  <c r="S33" i="1" a="1"/>
  <c r="S33" i="1" s="1"/>
  <c r="J37" i="1"/>
  <c r="M37" i="1"/>
  <c r="I37" i="1"/>
  <c r="L37" i="1"/>
  <c r="S31" i="1" a="1"/>
  <c r="S31" i="1" s="1"/>
  <c r="K37" i="1"/>
  <c r="S32" i="1" a="1"/>
  <c r="S32" i="1" s="1"/>
  <c r="R37" i="1"/>
  <c r="Q37" i="1"/>
  <c r="P37" i="1"/>
  <c r="H37" i="1"/>
  <c r="O37" i="1"/>
  <c r="G37" i="1"/>
  <c r="S30" i="1" a="1"/>
  <c r="S30" i="1" s="1"/>
  <c r="N41" i="1"/>
  <c r="M41" i="1"/>
  <c r="K41" i="1"/>
  <c r="L41" i="1"/>
  <c r="R41" i="1"/>
  <c r="J41" i="1"/>
  <c r="Q41" i="1"/>
  <c r="I41" i="1"/>
  <c r="P41" i="1"/>
  <c r="H41" i="1"/>
  <c r="O41" i="1"/>
  <c r="G41" i="1"/>
  <c r="N42" i="3"/>
  <c r="K42" i="3"/>
  <c r="P39" i="3"/>
  <c r="L40" i="3"/>
  <c r="N40" i="3"/>
  <c r="J38" i="3"/>
  <c r="S40" i="3"/>
  <c r="L39" i="3"/>
  <c r="L42" i="3"/>
  <c r="H42" i="3"/>
  <c r="S41" i="3"/>
  <c r="J41" i="3"/>
  <c r="I39" i="3"/>
  <c r="K39" i="3"/>
  <c r="O39" i="3"/>
  <c r="Q39" i="3"/>
  <c r="M41" i="3"/>
  <c r="N39" i="3"/>
  <c r="O41" i="3"/>
  <c r="I40" i="3"/>
  <c r="L41" i="3"/>
  <c r="K41" i="3"/>
  <c r="M42" i="3"/>
  <c r="O40" i="3"/>
  <c r="K38" i="3"/>
  <c r="H39" i="3"/>
  <c r="K40" i="3"/>
  <c r="R40" i="3"/>
  <c r="N41" i="3"/>
  <c r="H41" i="3"/>
  <c r="S42" i="3"/>
  <c r="H40" i="3"/>
  <c r="Q42" i="3"/>
  <c r="Q41" i="3"/>
  <c r="O38" i="3"/>
  <c r="R38" i="3"/>
  <c r="M40" i="3"/>
  <c r="Q38" i="3"/>
  <c r="J40" i="3"/>
  <c r="P41" i="3"/>
  <c r="Q40" i="3"/>
  <c r="R41" i="3"/>
  <c r="J42" i="3"/>
  <c r="I42" i="3"/>
  <c r="L38" i="3"/>
  <c r="P38" i="3"/>
  <c r="M38" i="3"/>
  <c r="T30" i="3" a="1"/>
  <c r="T30" i="3" s="1"/>
  <c r="T33" i="3" a="1"/>
  <c r="T33" i="3" s="1"/>
  <c r="T31" i="3" a="1"/>
  <c r="T31" i="3" s="1"/>
  <c r="T32" i="3" a="1"/>
  <c r="T32" i="3" s="1"/>
  <c r="T11" i="1" l="1"/>
  <c r="T13" i="1"/>
  <c r="T12" i="1"/>
  <c r="T8" i="1"/>
  <c r="T10" i="1"/>
  <c r="T9" i="1"/>
  <c r="T5" i="1"/>
  <c r="T7" i="1"/>
  <c r="T6" i="1"/>
  <c r="T2" i="1"/>
  <c r="T4" i="1"/>
  <c r="T3" i="1"/>
  <c r="T17" i="1"/>
  <c r="T19" i="1"/>
  <c r="T18" i="1"/>
  <c r="T14" i="1"/>
  <c r="T16" i="1"/>
  <c r="T15" i="1"/>
  <c r="T5" i="3"/>
  <c r="T6" i="3"/>
  <c r="T7" i="3"/>
  <c r="T2" i="3"/>
  <c r="T3" i="3"/>
  <c r="T4" i="3"/>
  <c r="T11" i="3"/>
  <c r="T12" i="3"/>
  <c r="T13" i="3"/>
  <c r="T8" i="3"/>
  <c r="T9" i="3"/>
  <c r="T10" i="3"/>
  <c r="T17" i="3"/>
  <c r="T18" i="3"/>
  <c r="T19" i="3"/>
  <c r="T14" i="3"/>
  <c r="T15" i="3"/>
  <c r="T16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<sst xmlns="http://schemas.openxmlformats.org/spreadsheetml/2006/main" count="1067" uniqueCount="51">
  <si>
    <t>lang</t>
  </si>
  <si>
    <t>attribute</t>
  </si>
  <si>
    <t>supplement</t>
  </si>
  <si>
    <t>method</t>
  </si>
  <si>
    <t>2g-no-hash</t>
  </si>
  <si>
    <t>3g-no-hash</t>
  </si>
  <si>
    <t>4g-no-hash</t>
  </si>
  <si>
    <t>xsk2g-no-hash</t>
  </si>
  <si>
    <t>xsk3g-no-hash</t>
  </si>
  <si>
    <t>xsk4g-no-hash</t>
  </si>
  <si>
    <t>2g-hash-at-both</t>
  </si>
  <si>
    <t>3g-hash-at-both</t>
  </si>
  <si>
    <t>4g-hash-at-both</t>
  </si>
  <si>
    <t>xsk2g-hash-at-both</t>
  </si>
  <si>
    <t>xsk3g-hash-at-both</t>
  </si>
  <si>
    <t>xsk4g-hash-at-both</t>
  </si>
  <si>
    <t>Czech</t>
  </si>
  <si>
    <t>plurality</t>
  </si>
  <si>
    <t>RF</t>
  </si>
  <si>
    <t>NN</t>
  </si>
  <si>
    <t>DT</t>
  </si>
  <si>
    <t>gender</t>
  </si>
  <si>
    <t>case</t>
  </si>
  <si>
    <t>attribute.index</t>
  </si>
  <si>
    <t>method.index</t>
  </si>
  <si>
    <t>max</t>
  </si>
  <si>
    <t>supplemented</t>
  </si>
  <si>
    <t>metric</t>
  </si>
  <si>
    <t>geomean</t>
  </si>
  <si>
    <t>min</t>
  </si>
  <si>
    <t>stdev</t>
  </si>
  <si>
    <t>max.rank</t>
  </si>
  <si>
    <t>ml</t>
  </si>
  <si>
    <t>var</t>
  </si>
  <si>
    <t>sample.n</t>
  </si>
  <si>
    <t>mgv</t>
  </si>
  <si>
    <t>xsk</t>
  </si>
  <si>
    <t>gender2</t>
  </si>
  <si>
    <t>skippiness</t>
  </si>
  <si>
    <t>2g-no-h</t>
  </si>
  <si>
    <t>3g-no-h</t>
  </si>
  <si>
    <t>4g-no-h</t>
  </si>
  <si>
    <t>xsk2g-no-h</t>
  </si>
  <si>
    <t>xsk3g-no-h</t>
  </si>
  <si>
    <t>xsk4g-no-h</t>
  </si>
  <si>
    <t>2g-h-at-b</t>
  </si>
  <si>
    <t>3g-h-at-b</t>
  </si>
  <si>
    <t>4g-h-at-b</t>
  </si>
  <si>
    <t>xsk2g-h-at-b</t>
  </si>
  <si>
    <t>xsk3g-h-at-b</t>
  </si>
  <si>
    <t>xsk4g-h-at-b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</si>
</sst>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>
    <font>
      <sz val="13"/>
      <color theme="1"/>
      <name val="LucidaSansUnicode"/>
      <family val="2"/>
    </font>
    <font>
      <sz val="13"/>
      <color theme="1"/>
      <name val="LucidaSansUnicode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LucidaSansUnicode"/>
      <family val="2"/>
    </font>
    <font>
      <b/>
      <sz val="13"/>
      <color theme="3"/>
      <name val="LucidaSansUnicode"/>
      <family val="2"/>
    </font>
    <font>
      <b/>
      <sz val="11"/>
      <color theme="3"/>
      <name val="LucidaSansUnicode"/>
      <family val="2"/>
    </font>
    <font>
      <sz val="13"/>
      <color rgb="FF006100"/>
      <name val="LucidaSansUnicode"/>
      <family val="2"/>
    </font>
    <font>
      <sz val="13"/>
      <color rgb="FF9C0006"/>
      <name val="LucidaSansUnicode"/>
      <family val="2"/>
    </font>
    <font>
      <sz val="13"/>
      <color rgb="FF9C5700"/>
      <name val="LucidaSansUnicode"/>
      <family val="2"/>
    </font>
    <font>
      <sz val="13"/>
      <color rgb="FF3F3F76"/>
      <name val="LucidaSansUnicode"/>
      <family val="2"/>
    </font>
    <font>
      <b/>
      <sz val="13"/>
      <color rgb="FF3F3F3F"/>
      <name val="LucidaSansUnicode"/>
      <family val="2"/>
    </font>
    <font>
      <b/>
      <sz val="13"/>
      <color rgb="FFFA7D00"/>
      <name val="LucidaSansUnicode"/>
      <family val="2"/>
    </font>
    <font>
      <sz val="13"/>
      <color rgb="FFFA7D00"/>
      <name val="LucidaSansUnicode"/>
      <family val="2"/>
    </font>
    <font>
      <b/>
      <sz val="13"/>
      <color theme="0"/>
      <name val="LucidaSansUnicode"/>
      <family val="2"/>
    </font>
    <font>
      <sz val="13"/>
      <color rgb="FFFF0000"/>
      <name val="LucidaSansUnicode"/>
      <family val="2"/>
    </font>
    <font>
      <i/>
      <sz val="13"/>
      <color rgb="FF7F7F7F"/>
      <name val="LucidaSansUnicode"/>
      <family val="2"/>
    </font>
    <font>
      <b/>
      <sz val="13"/>
      <color theme="1"/>
      <name val="LucidaSansUnicode"/>
      <family val="2"/>
    </font>
    <font>
      <sz val="13"/>
      <color theme="0"/>
      <name val="LucidaSansUnicode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" fontId="0" fillId="0" borderId="10" xfId="0" applyNumberFormat="1" applyBorder="1"/>
    <xf numFmtId="2" fontId="0" fillId="33" borderId="11" xfId="0" applyNumberFormat="1" applyFill="1" applyBorder="1"/>
    <xf numFmtId="0" fontId="0" fillId="0" borderId="11" xfId="0" applyBorder="1"/>
    <xf numFmtId="2" fontId="0" fillId="0" borderId="11" xfId="0" applyNumberFormat="1" applyBorder="1"/>
    <xf numFmtId="16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2" fontId="0" fillId="0" borderId="0" xfId="0" applyNumberFormat="1" applyBorder="1"/>
    <xf numFmtId="0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2">
    <dxf>
      <numFmt numFmtId="0" formatCode="General"/>
    </dxf>
    <dxf>
      <numFmt numFmtId="165" formatCode="0.0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bottom" textRotation="0" wrapText="1" indent="0" justifyLastLine="0" shrinkToFit="0" readingOrder="0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Czech</a:t>
            </a:r>
            <a:r>
              <a:rPr lang="ja-JP" altLang="en-US"/>
              <a:t> </a:t>
            </a:r>
            <a:r>
              <a:rPr lang="en-US" altLang="ja-JP"/>
              <a:t>xsk-based</a:t>
            </a:r>
            <a:r>
              <a:rPr lang="ja-JP" altLang="en-US"/>
              <a:t> </a:t>
            </a:r>
            <a:r>
              <a:rPr lang="en-US" altLang="ja-JP"/>
              <a:t>Morfessor,</a:t>
            </a:r>
            <a:r>
              <a:rPr lang="ja-JP" altLang="en-US"/>
              <a:t> </a:t>
            </a:r>
            <a:r>
              <a:rPr lang="en-US" altLang="ja-JP"/>
              <a:t>Non-Morfessor</a:t>
            </a:r>
            <a:r>
              <a:rPr lang="ja-JP" altLang="en-US"/>
              <a:t> </a:t>
            </a:r>
            <a:r>
              <a:rPr lang="en-US" altLang="ja-JP"/>
              <a:t>mixed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summarized!$J$2</c:f>
              <c:strCache>
                <c:ptCount val="1"/>
                <c:pt idx="0">
                  <c:v>plu-ml0-sn3k-mgv9-spl:T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summarized!$K$2:$V$2</c:f>
            </c:numRef>
          </c:val>
          <c:smooth val="0"/>
          <c:extLst>
            <c:ext xmlns:c16="http://schemas.microsoft.com/office/drawing/2014/chart" uri="{C3380CC4-5D6E-409C-BE32-E72D297353CC}">
              <c16:uniqueId val="{00000000-B4E5-AE4F-B3D9-CDE2ABAECFD7}"/>
            </c:ext>
          </c:extLst>
        </c:ser>
        <c:ser>
          <c:idx val="1"/>
          <c:order val="1"/>
          <c:tx>
            <c:strRef>
              <c:f>summarized!$J$3</c:f>
              <c:strCache>
                <c:ptCount val="1"/>
                <c:pt idx="0">
                  <c:v>plu-ml0-sn3k-mgv9-spl:F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summarized!$K$3:$V$3</c:f>
            </c:numRef>
          </c:val>
          <c:smooth val="0"/>
          <c:extLst>
            <c:ext xmlns:c16="http://schemas.microsoft.com/office/drawing/2014/chart" uri="{C3380CC4-5D6E-409C-BE32-E72D297353CC}">
              <c16:uniqueId val="{00000001-B4E5-AE4F-B3D9-CDE2ABAECFD7}"/>
            </c:ext>
          </c:extLst>
        </c:ser>
        <c:ser>
          <c:idx val="2"/>
          <c:order val="2"/>
          <c:tx>
            <c:strRef>
              <c:f>summarized!$J$4</c:f>
              <c:strCache>
                <c:ptCount val="1"/>
                <c:pt idx="0">
                  <c:v>gen-ml0-sn3k-mgv9-spl:T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summarized!$K$4:$V$4</c:f>
            </c:numRef>
          </c:val>
          <c:smooth val="0"/>
          <c:extLst>
            <c:ext xmlns:c16="http://schemas.microsoft.com/office/drawing/2014/chart" uri="{C3380CC4-5D6E-409C-BE32-E72D297353CC}">
              <c16:uniqueId val="{00000002-B4E5-AE4F-B3D9-CDE2ABAECFD7}"/>
            </c:ext>
          </c:extLst>
        </c:ser>
        <c:ser>
          <c:idx val="3"/>
          <c:order val="3"/>
          <c:tx>
            <c:strRef>
              <c:f>summarized!$J$5</c:f>
              <c:strCache>
                <c:ptCount val="1"/>
                <c:pt idx="0">
                  <c:v>gen-ml0-sn3k-mgv9-spl:F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summarized!$K$5:$V$5</c:f>
            </c:numRef>
          </c:val>
          <c:smooth val="0"/>
          <c:extLst>
            <c:ext xmlns:c16="http://schemas.microsoft.com/office/drawing/2014/chart" uri="{C3380CC4-5D6E-409C-BE32-E72D297353CC}">
              <c16:uniqueId val="{00000003-B4E5-AE4F-B3D9-CDE2ABAECFD7}"/>
            </c:ext>
          </c:extLst>
        </c:ser>
        <c:ser>
          <c:idx val="4"/>
          <c:order val="4"/>
          <c:tx>
            <c:strRef>
              <c:f>summarized!$J$6</c:f>
              <c:strCache>
                <c:ptCount val="1"/>
                <c:pt idx="0">
                  <c:v>cas-ml0-sn3k-mgv9-spl:T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summarized!$K$6:$V$6</c:f>
            </c:numRef>
          </c:val>
          <c:smooth val="0"/>
          <c:extLst>
            <c:ext xmlns:c16="http://schemas.microsoft.com/office/drawing/2014/chart" uri="{C3380CC4-5D6E-409C-BE32-E72D297353CC}">
              <c16:uniqueId val="{00000004-B4E5-AE4F-B3D9-CDE2ABAECFD7}"/>
            </c:ext>
          </c:extLst>
        </c:ser>
        <c:ser>
          <c:idx val="5"/>
          <c:order val="5"/>
          <c:tx>
            <c:strRef>
              <c:f>summarized!$J$7</c:f>
              <c:strCache>
                <c:ptCount val="1"/>
                <c:pt idx="0">
                  <c:v>cas-ml0-sn3k-mgv9-spl:F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summarized!$K$7:$V$7</c:f>
            </c:numRef>
          </c:val>
          <c:smooth val="0"/>
          <c:extLst>
            <c:ext xmlns:c16="http://schemas.microsoft.com/office/drawing/2014/chart" uri="{C3380CC4-5D6E-409C-BE32-E72D297353CC}">
              <c16:uniqueId val="{00000005-B4E5-AE4F-B3D9-CDE2ABAECFD7}"/>
            </c:ext>
          </c:extLst>
        </c:ser>
        <c:ser>
          <c:idx val="6"/>
          <c:order val="6"/>
          <c:tx>
            <c:strRef>
              <c:f>summarized!$J$8</c:f>
              <c:strCache>
                <c:ptCount val="1"/>
                <c:pt idx="0">
                  <c:v>plu-ml0-sn3k-mgv6-spl:F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summarized!$K$8:$V$8</c:f>
            </c:numRef>
          </c:val>
          <c:smooth val="0"/>
          <c:extLst>
            <c:ext xmlns:c16="http://schemas.microsoft.com/office/drawing/2014/chart" uri="{C3380CC4-5D6E-409C-BE32-E72D297353CC}">
              <c16:uniqueId val="{00000006-B4E5-AE4F-B3D9-CDE2ABAECFD7}"/>
            </c:ext>
          </c:extLst>
        </c:ser>
        <c:ser>
          <c:idx val="7"/>
          <c:order val="7"/>
          <c:tx>
            <c:strRef>
              <c:f>summarized!$J$9</c:f>
              <c:strCache>
                <c:ptCount val="1"/>
                <c:pt idx="0">
                  <c:v>plu-ml0-sn3k-mgv6-spl:T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summarized!$K$9:$V$9</c:f>
            </c:numRef>
          </c:val>
          <c:smooth val="0"/>
          <c:extLst>
            <c:ext xmlns:c16="http://schemas.microsoft.com/office/drawing/2014/chart" uri="{C3380CC4-5D6E-409C-BE32-E72D297353CC}">
              <c16:uniqueId val="{00000007-B4E5-AE4F-B3D9-CDE2ABAECFD7}"/>
            </c:ext>
          </c:extLst>
        </c:ser>
        <c:ser>
          <c:idx val="8"/>
          <c:order val="8"/>
          <c:tx>
            <c:strRef>
              <c:f>summarized!$J$10</c:f>
              <c:strCache>
                <c:ptCount val="1"/>
                <c:pt idx="0">
                  <c:v>gen-ml0-sn3k-mgv6-spl:F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summarized!$K$10:$V$10</c:f>
            </c:numRef>
          </c:val>
          <c:smooth val="0"/>
          <c:extLst>
            <c:ext xmlns:c16="http://schemas.microsoft.com/office/drawing/2014/chart" uri="{C3380CC4-5D6E-409C-BE32-E72D297353CC}">
              <c16:uniqueId val="{00000008-B4E5-AE4F-B3D9-CDE2ABAECFD7}"/>
            </c:ext>
          </c:extLst>
        </c:ser>
        <c:ser>
          <c:idx val="9"/>
          <c:order val="9"/>
          <c:tx>
            <c:strRef>
              <c:f>summarized!$J$11</c:f>
              <c:strCache>
                <c:ptCount val="1"/>
                <c:pt idx="0">
                  <c:v>gen-ml0-sn3k-mgv6-spl:T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summarized!$K$11:$V$11</c:f>
            </c:numRef>
          </c:val>
          <c:smooth val="0"/>
          <c:extLst>
            <c:ext xmlns:c16="http://schemas.microsoft.com/office/drawing/2014/chart" uri="{C3380CC4-5D6E-409C-BE32-E72D297353CC}">
              <c16:uniqueId val="{00000009-B4E5-AE4F-B3D9-CDE2ABAECFD7}"/>
            </c:ext>
          </c:extLst>
        </c:ser>
        <c:ser>
          <c:idx val="10"/>
          <c:order val="10"/>
          <c:tx>
            <c:strRef>
              <c:f>summarized!$J$12</c:f>
              <c:strCache>
                <c:ptCount val="1"/>
                <c:pt idx="0">
                  <c:v>cas-ml0-sn3k-mgv6-spl:F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summarized!$K$12:$V$12</c:f>
            </c:numRef>
          </c:val>
          <c:smooth val="0"/>
          <c:extLst>
            <c:ext xmlns:c16="http://schemas.microsoft.com/office/drawing/2014/chart" uri="{C3380CC4-5D6E-409C-BE32-E72D297353CC}">
              <c16:uniqueId val="{0000000A-B4E5-AE4F-B3D9-CDE2ABAECFD7}"/>
            </c:ext>
          </c:extLst>
        </c:ser>
        <c:ser>
          <c:idx val="11"/>
          <c:order val="11"/>
          <c:tx>
            <c:strRef>
              <c:f>summarized!$J$13</c:f>
              <c:strCache>
                <c:ptCount val="1"/>
                <c:pt idx="0">
                  <c:v>cas-ml0-sn3k-mgv6-spl:T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summarized!$K$13:$V$13</c:f>
            </c:numRef>
          </c:val>
          <c:smooth val="0"/>
          <c:extLst>
            <c:ext xmlns:c16="http://schemas.microsoft.com/office/drawing/2014/chart" uri="{C3380CC4-5D6E-409C-BE32-E72D297353CC}">
              <c16:uniqueId val="{0000000B-B4E5-AE4F-B3D9-CDE2ABAECFD7}"/>
            </c:ext>
          </c:extLst>
        </c:ser>
        <c:ser>
          <c:idx val="12"/>
          <c:order val="12"/>
          <c:tx>
            <c:strRef>
              <c:f>summarized!$J$14</c:f>
              <c:strCache>
                <c:ptCount val="1"/>
                <c:pt idx="0">
                  <c:v>plu-ml0-sn2k-mgv9-spl:T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summarized!$K$14:$V$14</c:f>
            </c:numRef>
          </c:val>
          <c:smooth val="0"/>
          <c:extLst>
            <c:ext xmlns:c16="http://schemas.microsoft.com/office/drawing/2014/chart" uri="{C3380CC4-5D6E-409C-BE32-E72D297353CC}">
              <c16:uniqueId val="{00000042-70BF-354C-A00E-FB3EF9279697}"/>
            </c:ext>
          </c:extLst>
        </c:ser>
        <c:ser>
          <c:idx val="13"/>
          <c:order val="13"/>
          <c:tx>
            <c:strRef>
              <c:f>summarized!$J$15</c:f>
              <c:strCache>
                <c:ptCount val="1"/>
                <c:pt idx="0">
                  <c:v>plu-ml0-sn2k-mgv9-spl:F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summarized!$K$15:$V$15</c:f>
            </c:numRef>
          </c:val>
          <c:smooth val="0"/>
          <c:extLst>
            <c:ext xmlns:c16="http://schemas.microsoft.com/office/drawing/2014/chart" uri="{C3380CC4-5D6E-409C-BE32-E72D297353CC}">
              <c16:uniqueId val="{00000043-70BF-354C-A00E-FB3EF9279697}"/>
            </c:ext>
          </c:extLst>
        </c:ser>
        <c:ser>
          <c:idx val="14"/>
          <c:order val="14"/>
          <c:tx>
            <c:strRef>
              <c:f>summarized!$J$16</c:f>
              <c:strCache>
                <c:ptCount val="1"/>
                <c:pt idx="0">
                  <c:v>gen-ml0-sn2k-mgv9-spl:T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summarized!$K$16:$V$16</c:f>
            </c:numRef>
          </c:val>
          <c:smooth val="0"/>
          <c:extLst>
            <c:ext xmlns:c16="http://schemas.microsoft.com/office/drawing/2014/chart" uri="{C3380CC4-5D6E-409C-BE32-E72D297353CC}">
              <c16:uniqueId val="{00000044-70BF-354C-A00E-FB3EF9279697}"/>
            </c:ext>
          </c:extLst>
        </c:ser>
        <c:ser>
          <c:idx val="15"/>
          <c:order val="15"/>
          <c:tx>
            <c:strRef>
              <c:f>summarized!$J$17</c:f>
              <c:strCache>
                <c:ptCount val="1"/>
                <c:pt idx="0">
                  <c:v>gen-ml0-sn2k-mgv9-spl:F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summarized!$K$17:$V$17</c:f>
            </c:numRef>
          </c:val>
          <c:smooth val="0"/>
          <c:extLst>
            <c:ext xmlns:c16="http://schemas.microsoft.com/office/drawing/2014/chart" uri="{C3380CC4-5D6E-409C-BE32-E72D297353CC}">
              <c16:uniqueId val="{00000045-70BF-354C-A00E-FB3EF9279697}"/>
            </c:ext>
          </c:extLst>
        </c:ser>
        <c:ser>
          <c:idx val="16"/>
          <c:order val="16"/>
          <c:tx>
            <c:strRef>
              <c:f>summarized!$J$18</c:f>
              <c:strCache>
                <c:ptCount val="1"/>
                <c:pt idx="0">
                  <c:v>cas-ml0-sn2k-mgv6-spl:T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summarized!$K$18:$V$18</c:f>
            </c:numRef>
          </c:val>
          <c:smooth val="0"/>
          <c:extLst>
            <c:ext xmlns:c16="http://schemas.microsoft.com/office/drawing/2014/chart" uri="{C3380CC4-5D6E-409C-BE32-E72D297353CC}">
              <c16:uniqueId val="{00000046-70BF-354C-A00E-FB3EF9279697}"/>
            </c:ext>
          </c:extLst>
        </c:ser>
        <c:ser>
          <c:idx val="17"/>
          <c:order val="17"/>
          <c:tx>
            <c:strRef>
              <c:f>summarized!$J$19</c:f>
              <c:strCache>
                <c:ptCount val="1"/>
                <c:pt idx="0">
                  <c:v>cas-ml0-sn2k-mgv9-spl:F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summarized!$K$19:$V$19</c:f>
            </c:numRef>
          </c:val>
          <c:smooth val="0"/>
          <c:extLst>
            <c:ext xmlns:c16="http://schemas.microsoft.com/office/drawing/2014/chart" uri="{C3380CC4-5D6E-409C-BE32-E72D297353CC}">
              <c16:uniqueId val="{00000047-70BF-354C-A00E-FB3EF9279697}"/>
            </c:ext>
          </c:extLst>
        </c:ser>
        <c:ser>
          <c:idx val="18"/>
          <c:order val="18"/>
          <c:tx>
            <c:strRef>
              <c:f>summarized!$J$20</c:f>
              <c:strCache>
                <c:ptCount val="1"/>
                <c:pt idx="0">
                  <c:v>plu-ml0-sn2k-mgv6-spl:T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summarized!$K$20:$V$20</c:f>
            </c:numRef>
          </c:val>
          <c:smooth val="0"/>
          <c:extLst>
            <c:ext xmlns:c16="http://schemas.microsoft.com/office/drawing/2014/chart" uri="{C3380CC4-5D6E-409C-BE32-E72D297353CC}">
              <c16:uniqueId val="{00000048-70BF-354C-A00E-FB3EF9279697}"/>
            </c:ext>
          </c:extLst>
        </c:ser>
        <c:ser>
          <c:idx val="19"/>
          <c:order val="19"/>
          <c:tx>
            <c:strRef>
              <c:f>summarized!$J$21</c:f>
              <c:strCache>
                <c:ptCount val="1"/>
                <c:pt idx="0">
                  <c:v>plu-ml0-sn2k-mgv6-spl:F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summarized!$K$21:$V$21</c:f>
            </c:numRef>
          </c:val>
          <c:smooth val="0"/>
          <c:extLst>
            <c:ext xmlns:c16="http://schemas.microsoft.com/office/drawing/2014/chart" uri="{C3380CC4-5D6E-409C-BE32-E72D297353CC}">
              <c16:uniqueId val="{00000049-70BF-354C-A00E-FB3EF9279697}"/>
            </c:ext>
          </c:extLst>
        </c:ser>
        <c:ser>
          <c:idx val="20"/>
          <c:order val="20"/>
          <c:tx>
            <c:strRef>
              <c:f>summarized!$J$22</c:f>
              <c:strCache>
                <c:ptCount val="1"/>
                <c:pt idx="0">
                  <c:v>gen-ml0-sn2k-mgv6-spl:T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summarized!$K$22:$V$22</c:f>
            </c:numRef>
          </c:val>
          <c:smooth val="0"/>
          <c:extLst>
            <c:ext xmlns:c16="http://schemas.microsoft.com/office/drawing/2014/chart" uri="{C3380CC4-5D6E-409C-BE32-E72D297353CC}">
              <c16:uniqueId val="{0000004A-70BF-354C-A00E-FB3EF9279697}"/>
            </c:ext>
          </c:extLst>
        </c:ser>
        <c:ser>
          <c:idx val="21"/>
          <c:order val="21"/>
          <c:tx>
            <c:strRef>
              <c:f>summarized!$J$23</c:f>
              <c:strCache>
                <c:ptCount val="1"/>
                <c:pt idx="0">
                  <c:v>gen-ml0-sn2k-mgv6-spl:F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summarized!$K$23:$V$23</c:f>
            </c:numRef>
          </c:val>
          <c:smooth val="0"/>
          <c:extLst>
            <c:ext xmlns:c16="http://schemas.microsoft.com/office/drawing/2014/chart" uri="{C3380CC4-5D6E-409C-BE32-E72D297353CC}">
              <c16:uniqueId val="{0000004B-70BF-354C-A00E-FB3EF9279697}"/>
            </c:ext>
          </c:extLst>
        </c:ser>
        <c:ser>
          <c:idx val="22"/>
          <c:order val="22"/>
          <c:tx>
            <c:strRef>
              <c:f>summarized!$J$24</c:f>
              <c:strCache>
                <c:ptCount val="1"/>
                <c:pt idx="0">
                  <c:v>cas-ml0-sn2k-mgv9-spl:T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summarized!$K$24:$V$24</c:f>
            </c:numRef>
          </c:val>
          <c:smooth val="0"/>
          <c:extLst>
            <c:ext xmlns:c16="http://schemas.microsoft.com/office/drawing/2014/chart" uri="{C3380CC4-5D6E-409C-BE32-E72D297353CC}">
              <c16:uniqueId val="{0000004C-70BF-354C-A00E-FB3EF9279697}"/>
            </c:ext>
          </c:extLst>
        </c:ser>
        <c:ser>
          <c:idx val="23"/>
          <c:order val="23"/>
          <c:tx>
            <c:strRef>
              <c:f>summarized!$J$25</c:f>
              <c:strCache>
                <c:ptCount val="1"/>
                <c:pt idx="0">
                  <c:v>cas-ml0-sn2k-mgv6-spl:F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summarized!$K$25:$V$25</c:f>
            </c:numRef>
          </c:val>
          <c:smooth val="0"/>
          <c:extLst>
            <c:ext xmlns:c16="http://schemas.microsoft.com/office/drawing/2014/chart" uri="{C3380CC4-5D6E-409C-BE32-E72D297353CC}">
              <c16:uniqueId val="{0000004D-70BF-354C-A00E-FB3EF9279697}"/>
            </c:ext>
          </c:extLst>
        </c:ser>
        <c:ser>
          <c:idx val="24"/>
          <c:order val="24"/>
          <c:tx>
            <c:strRef>
              <c:f>summarized!$J$26</c:f>
              <c:strCache>
                <c:ptCount val="1"/>
                <c:pt idx="0">
                  <c:v>plu-ml0-sn1.2k-mgv9-spl:T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summarized!$K$26:$V$26</c:f>
              <c:numCache>
                <c:formatCode>0.00</c:formatCode>
                <c:ptCount val="12"/>
                <c:pt idx="0">
                  <c:v>0.83</c:v>
                </c:pt>
                <c:pt idx="1">
                  <c:v>0.87</c:v>
                </c:pt>
                <c:pt idx="2">
                  <c:v>0.89</c:v>
                </c:pt>
                <c:pt idx="3">
                  <c:v>0.84</c:v>
                </c:pt>
                <c:pt idx="4">
                  <c:v>0.79</c:v>
                </c:pt>
                <c:pt idx="5">
                  <c:v>0.8</c:v>
                </c:pt>
                <c:pt idx="6">
                  <c:v>0.85</c:v>
                </c:pt>
                <c:pt idx="7">
                  <c:v>0.88</c:v>
                </c:pt>
                <c:pt idx="8">
                  <c:v>0.9</c:v>
                </c:pt>
                <c:pt idx="9">
                  <c:v>0.86</c:v>
                </c:pt>
                <c:pt idx="10">
                  <c:v>0.88</c:v>
                </c:pt>
                <c:pt idx="11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70BF-354C-A00E-FB3EF9279697}"/>
            </c:ext>
          </c:extLst>
        </c:ser>
        <c:ser>
          <c:idx val="25"/>
          <c:order val="25"/>
          <c:tx>
            <c:strRef>
              <c:f>summarized!$J$27</c:f>
              <c:strCache>
                <c:ptCount val="1"/>
                <c:pt idx="0">
                  <c:v>plu-ml0-sn1.2k-mgv9-spl:F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summarized!$K$27:$V$27</c:f>
            </c:numRef>
          </c:val>
          <c:smooth val="0"/>
          <c:extLst>
            <c:ext xmlns:c16="http://schemas.microsoft.com/office/drawing/2014/chart" uri="{C3380CC4-5D6E-409C-BE32-E72D297353CC}">
              <c16:uniqueId val="{0000004F-70BF-354C-A00E-FB3EF9279697}"/>
            </c:ext>
          </c:extLst>
        </c:ser>
        <c:ser>
          <c:idx val="26"/>
          <c:order val="26"/>
          <c:tx>
            <c:strRef>
              <c:f>summarized!$J$28</c:f>
              <c:strCache>
                <c:ptCount val="1"/>
                <c:pt idx="0">
                  <c:v>gen-ml0-sn1.2k-mgv9-spl:T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summarized!$K$28:$V$28</c:f>
            </c:numRef>
          </c:val>
          <c:smooth val="0"/>
          <c:extLst>
            <c:ext xmlns:c16="http://schemas.microsoft.com/office/drawing/2014/chart" uri="{C3380CC4-5D6E-409C-BE32-E72D297353CC}">
              <c16:uniqueId val="{00000050-70BF-354C-A00E-FB3EF9279697}"/>
            </c:ext>
          </c:extLst>
        </c:ser>
        <c:ser>
          <c:idx val="27"/>
          <c:order val="27"/>
          <c:tx>
            <c:strRef>
              <c:f>summarized!$J$29</c:f>
              <c:strCache>
                <c:ptCount val="1"/>
                <c:pt idx="0">
                  <c:v>gen-ml0-sn1.2k-mgv9-spl:F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summarized!$K$29:$V$29</c:f>
            </c:numRef>
          </c:val>
          <c:smooth val="0"/>
          <c:extLst>
            <c:ext xmlns:c16="http://schemas.microsoft.com/office/drawing/2014/chart" uri="{C3380CC4-5D6E-409C-BE32-E72D297353CC}">
              <c16:uniqueId val="{00000051-70BF-354C-A00E-FB3EF9279697}"/>
            </c:ext>
          </c:extLst>
        </c:ser>
        <c:ser>
          <c:idx val="28"/>
          <c:order val="28"/>
          <c:tx>
            <c:strRef>
              <c:f>summarized!$J$30</c:f>
              <c:strCache>
                <c:ptCount val="1"/>
                <c:pt idx="0">
                  <c:v>cas-ml0-sn1.2k-mgv9-spl:T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summarized!$K$30:$V$30</c:f>
            </c:numRef>
          </c:val>
          <c:smooth val="0"/>
          <c:extLst>
            <c:ext xmlns:c16="http://schemas.microsoft.com/office/drawing/2014/chart" uri="{C3380CC4-5D6E-409C-BE32-E72D297353CC}">
              <c16:uniqueId val="{00000052-70BF-354C-A00E-FB3EF9279697}"/>
            </c:ext>
          </c:extLst>
        </c:ser>
        <c:ser>
          <c:idx val="29"/>
          <c:order val="29"/>
          <c:tx>
            <c:strRef>
              <c:f>summarized!$J$31</c:f>
              <c:strCache>
                <c:ptCount val="1"/>
                <c:pt idx="0">
                  <c:v>cas-ml0-sn1.2k-mgv9-spl:F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summarized!$K$31:$V$31</c:f>
            </c:numRef>
          </c:val>
          <c:smooth val="0"/>
          <c:extLst>
            <c:ext xmlns:c16="http://schemas.microsoft.com/office/drawing/2014/chart" uri="{C3380CC4-5D6E-409C-BE32-E72D297353CC}">
              <c16:uniqueId val="{00000053-70BF-354C-A00E-FB3EF9279697}"/>
            </c:ext>
          </c:extLst>
        </c:ser>
        <c:ser>
          <c:idx val="30"/>
          <c:order val="30"/>
          <c:tx>
            <c:strRef>
              <c:f>summarized!$J$32</c:f>
              <c:strCache>
                <c:ptCount val="1"/>
                <c:pt idx="0">
                  <c:v>plu-ml0-sn1.2k-mgv6-spl:T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summarized!$K$32:$V$32</c:f>
              <c:numCache>
                <c:formatCode>0.00</c:formatCode>
                <c:ptCount val="12"/>
                <c:pt idx="0">
                  <c:v>0.86</c:v>
                </c:pt>
                <c:pt idx="1">
                  <c:v>0.93</c:v>
                </c:pt>
                <c:pt idx="2">
                  <c:v>0.84</c:v>
                </c:pt>
                <c:pt idx="3">
                  <c:v>0.82</c:v>
                </c:pt>
                <c:pt idx="4">
                  <c:v>0.85</c:v>
                </c:pt>
                <c:pt idx="5">
                  <c:v>0.84</c:v>
                </c:pt>
                <c:pt idx="6">
                  <c:v>0.92</c:v>
                </c:pt>
                <c:pt idx="7">
                  <c:v>0.86</c:v>
                </c:pt>
                <c:pt idx="8">
                  <c:v>0.87</c:v>
                </c:pt>
                <c:pt idx="9">
                  <c:v>0.88</c:v>
                </c:pt>
                <c:pt idx="10">
                  <c:v>0.87</c:v>
                </c:pt>
                <c:pt idx="11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70BF-354C-A00E-FB3EF9279697}"/>
            </c:ext>
          </c:extLst>
        </c:ser>
        <c:ser>
          <c:idx val="31"/>
          <c:order val="31"/>
          <c:tx>
            <c:strRef>
              <c:f>summarized!$J$33</c:f>
              <c:strCache>
                <c:ptCount val="1"/>
                <c:pt idx="0">
                  <c:v>plu-ml0-sn1.2k-mgv6-spl:F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summarized!$K$33:$V$33</c:f>
            </c:numRef>
          </c:val>
          <c:smooth val="0"/>
          <c:extLst>
            <c:ext xmlns:c16="http://schemas.microsoft.com/office/drawing/2014/chart" uri="{C3380CC4-5D6E-409C-BE32-E72D297353CC}">
              <c16:uniqueId val="{00000055-70BF-354C-A00E-FB3EF9279697}"/>
            </c:ext>
          </c:extLst>
        </c:ser>
        <c:ser>
          <c:idx val="32"/>
          <c:order val="32"/>
          <c:tx>
            <c:strRef>
              <c:f>summarized!$J$34</c:f>
              <c:strCache>
                <c:ptCount val="1"/>
                <c:pt idx="0">
                  <c:v>gen-ml0-sn1.2k-mgv6-spl:T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summarized!$K$34:$V$34</c:f>
            </c:numRef>
          </c:val>
          <c:smooth val="0"/>
          <c:extLst>
            <c:ext xmlns:c16="http://schemas.microsoft.com/office/drawing/2014/chart" uri="{C3380CC4-5D6E-409C-BE32-E72D297353CC}">
              <c16:uniqueId val="{00000056-70BF-354C-A00E-FB3EF9279697}"/>
            </c:ext>
          </c:extLst>
        </c:ser>
        <c:ser>
          <c:idx val="33"/>
          <c:order val="33"/>
          <c:tx>
            <c:strRef>
              <c:f>summarized!$J$35</c:f>
              <c:strCache>
                <c:ptCount val="1"/>
                <c:pt idx="0">
                  <c:v>gen-ml0-sn1.2k-mgv6-spl:F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summarized!$K$35:$V$35</c:f>
            </c:numRef>
          </c:val>
          <c:smooth val="0"/>
          <c:extLst>
            <c:ext xmlns:c16="http://schemas.microsoft.com/office/drawing/2014/chart" uri="{C3380CC4-5D6E-409C-BE32-E72D297353CC}">
              <c16:uniqueId val="{00000057-70BF-354C-A00E-FB3EF9279697}"/>
            </c:ext>
          </c:extLst>
        </c:ser>
        <c:ser>
          <c:idx val="34"/>
          <c:order val="34"/>
          <c:tx>
            <c:strRef>
              <c:f>summarized!$J$36</c:f>
              <c:strCache>
                <c:ptCount val="1"/>
                <c:pt idx="0">
                  <c:v>cas-ml0-sn1.2k-mgv6-spl:T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summarized!$K$36:$V$36</c:f>
            </c:numRef>
          </c:val>
          <c:smooth val="0"/>
          <c:extLst>
            <c:ext xmlns:c16="http://schemas.microsoft.com/office/drawing/2014/chart" uri="{C3380CC4-5D6E-409C-BE32-E72D297353CC}">
              <c16:uniqueId val="{00000058-70BF-354C-A00E-FB3EF9279697}"/>
            </c:ext>
          </c:extLst>
        </c:ser>
        <c:ser>
          <c:idx val="35"/>
          <c:order val="35"/>
          <c:tx>
            <c:strRef>
              <c:f>summarized!$J$37</c:f>
              <c:strCache>
                <c:ptCount val="1"/>
                <c:pt idx="0">
                  <c:v>cas-ml0-sn1.2k-mgv6-spl:F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summarized!$K$37:$V$37</c:f>
            </c:numRef>
          </c:val>
          <c:smooth val="0"/>
          <c:extLst>
            <c:ext xmlns:c16="http://schemas.microsoft.com/office/drawing/2014/chart" uri="{C3380CC4-5D6E-409C-BE32-E72D297353CC}">
              <c16:uniqueId val="{00000059-70BF-354C-A00E-FB3EF9279697}"/>
            </c:ext>
          </c:extLst>
        </c:ser>
        <c:ser>
          <c:idx val="36"/>
          <c:order val="36"/>
          <c:tx>
            <c:strRef>
              <c:f>summarized!$J$38</c:f>
              <c:strCache>
                <c:ptCount val="1"/>
                <c:pt idx="0">
                  <c:v>cas-ml2-sn1.2k-mgv9-spl:F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summarized!$K$38:$V$38</c:f>
            </c:numRef>
          </c:val>
          <c:smooth val="0"/>
          <c:extLst>
            <c:ext xmlns:c16="http://schemas.microsoft.com/office/drawing/2014/chart" uri="{C3380CC4-5D6E-409C-BE32-E72D297353CC}">
              <c16:uniqueId val="{0000005A-70BF-354C-A00E-FB3EF9279697}"/>
            </c:ext>
          </c:extLst>
        </c:ser>
        <c:ser>
          <c:idx val="37"/>
          <c:order val="37"/>
          <c:tx>
            <c:strRef>
              <c:f>summarized!$J$39</c:f>
              <c:strCache>
                <c:ptCount val="1"/>
                <c:pt idx="0">
                  <c:v>cas-ml2-sn1.2k-mgv9-spl:T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summarized!$K$39:$V$39</c:f>
            </c:numRef>
          </c:val>
          <c:smooth val="0"/>
          <c:extLst>
            <c:ext xmlns:c16="http://schemas.microsoft.com/office/drawing/2014/chart" uri="{C3380CC4-5D6E-409C-BE32-E72D297353CC}">
              <c16:uniqueId val="{0000005B-70BF-354C-A00E-FB3EF9279697}"/>
            </c:ext>
          </c:extLst>
        </c:ser>
        <c:ser>
          <c:idx val="38"/>
          <c:order val="38"/>
          <c:tx>
            <c:strRef>
              <c:f>summarized!$J$40</c:f>
              <c:strCache>
                <c:ptCount val="1"/>
                <c:pt idx="0">
                  <c:v>gen-ml2-sn1.2k-mgv9-spl:F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summarized!$K$40:$V$40</c:f>
            </c:numRef>
          </c:val>
          <c:smooth val="0"/>
          <c:extLst>
            <c:ext xmlns:c16="http://schemas.microsoft.com/office/drawing/2014/chart" uri="{C3380CC4-5D6E-409C-BE32-E72D297353CC}">
              <c16:uniqueId val="{0000005C-70BF-354C-A00E-FB3EF9279697}"/>
            </c:ext>
          </c:extLst>
        </c:ser>
        <c:ser>
          <c:idx val="39"/>
          <c:order val="39"/>
          <c:tx>
            <c:strRef>
              <c:f>summarized!$J$41</c:f>
              <c:strCache>
                <c:ptCount val="1"/>
                <c:pt idx="0">
                  <c:v>gen-ml2-sn1.2k-mgv9-spl:T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summarized!$K$41:$V$41</c:f>
            </c:numRef>
          </c:val>
          <c:smooth val="0"/>
          <c:extLst>
            <c:ext xmlns:c16="http://schemas.microsoft.com/office/drawing/2014/chart" uri="{C3380CC4-5D6E-409C-BE32-E72D297353CC}">
              <c16:uniqueId val="{0000005D-70BF-354C-A00E-FB3EF9279697}"/>
            </c:ext>
          </c:extLst>
        </c:ser>
        <c:ser>
          <c:idx val="40"/>
          <c:order val="40"/>
          <c:tx>
            <c:strRef>
              <c:f>summarized!$J$42</c:f>
              <c:strCache>
                <c:ptCount val="1"/>
                <c:pt idx="0">
                  <c:v>plu-ml2-sn1.2k-mgv9-spl:F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summarized!$K$42:$V$42</c:f>
            </c:numRef>
          </c:val>
          <c:smooth val="0"/>
          <c:extLst>
            <c:ext xmlns:c16="http://schemas.microsoft.com/office/drawing/2014/chart" uri="{C3380CC4-5D6E-409C-BE32-E72D297353CC}">
              <c16:uniqueId val="{0000005E-70BF-354C-A00E-FB3EF9279697}"/>
            </c:ext>
          </c:extLst>
        </c:ser>
        <c:ser>
          <c:idx val="41"/>
          <c:order val="41"/>
          <c:tx>
            <c:strRef>
              <c:f>summarized!$J$43</c:f>
              <c:strCache>
                <c:ptCount val="1"/>
                <c:pt idx="0">
                  <c:v>plu-ml2-sn1.2k-mgv9-spl:T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summarized!$K$43:$V$43</c:f>
              <c:numCache>
                <c:formatCode>0.00</c:formatCode>
                <c:ptCount val="12"/>
                <c:pt idx="0">
                  <c:v>0.87</c:v>
                </c:pt>
                <c:pt idx="1">
                  <c:v>0.83</c:v>
                </c:pt>
                <c:pt idx="2">
                  <c:v>0.86</c:v>
                </c:pt>
                <c:pt idx="3">
                  <c:v>0.86</c:v>
                </c:pt>
                <c:pt idx="4">
                  <c:v>0.84</c:v>
                </c:pt>
                <c:pt idx="5">
                  <c:v>0.82</c:v>
                </c:pt>
                <c:pt idx="6">
                  <c:v>0.89</c:v>
                </c:pt>
                <c:pt idx="7">
                  <c:v>0.84</c:v>
                </c:pt>
                <c:pt idx="8">
                  <c:v>0.88</c:v>
                </c:pt>
                <c:pt idx="9">
                  <c:v>0.84</c:v>
                </c:pt>
                <c:pt idx="10">
                  <c:v>0.85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70BF-354C-A00E-FB3EF9279697}"/>
            </c:ext>
          </c:extLst>
        </c:ser>
        <c:ser>
          <c:idx val="42"/>
          <c:order val="42"/>
          <c:tx>
            <c:strRef>
              <c:f>summarized!$J$44</c:f>
              <c:strCache>
                <c:ptCount val="1"/>
                <c:pt idx="0">
                  <c:v>cas-ml2-sn2k-mgv6-spl:T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summarized!$K$44:$V$44</c:f>
            </c:numRef>
          </c:val>
          <c:smooth val="0"/>
          <c:extLst>
            <c:ext xmlns:c16="http://schemas.microsoft.com/office/drawing/2014/chart" uri="{C3380CC4-5D6E-409C-BE32-E72D297353CC}">
              <c16:uniqueId val="{00000060-70BF-354C-A00E-FB3EF9279697}"/>
            </c:ext>
          </c:extLst>
        </c:ser>
        <c:ser>
          <c:idx val="43"/>
          <c:order val="43"/>
          <c:tx>
            <c:strRef>
              <c:f>summarized!$J$45</c:f>
              <c:strCache>
                <c:ptCount val="1"/>
                <c:pt idx="0">
                  <c:v>cas-ml2-sn2k-mgv6-spl:F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summarized!$K$45:$V$45</c:f>
            </c:numRef>
          </c:val>
          <c:smooth val="0"/>
          <c:extLst>
            <c:ext xmlns:c16="http://schemas.microsoft.com/office/drawing/2014/chart" uri="{C3380CC4-5D6E-409C-BE32-E72D297353CC}">
              <c16:uniqueId val="{00000061-70BF-354C-A00E-FB3EF9279697}"/>
            </c:ext>
          </c:extLst>
        </c:ser>
        <c:ser>
          <c:idx val="44"/>
          <c:order val="44"/>
          <c:tx>
            <c:strRef>
              <c:f>summarized!$J$46</c:f>
              <c:strCache>
                <c:ptCount val="1"/>
                <c:pt idx="0">
                  <c:v>gen-ml2-sn2k-mgv6-spl:T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summarized!$K$46:$V$46</c:f>
            </c:numRef>
          </c:val>
          <c:smooth val="0"/>
          <c:extLst>
            <c:ext xmlns:c16="http://schemas.microsoft.com/office/drawing/2014/chart" uri="{C3380CC4-5D6E-409C-BE32-E72D297353CC}">
              <c16:uniqueId val="{00000062-70BF-354C-A00E-FB3EF9279697}"/>
            </c:ext>
          </c:extLst>
        </c:ser>
        <c:ser>
          <c:idx val="45"/>
          <c:order val="45"/>
          <c:tx>
            <c:strRef>
              <c:f>summarized!$J$47</c:f>
              <c:strCache>
                <c:ptCount val="1"/>
                <c:pt idx="0">
                  <c:v>gen-ml2-sn2k-mgv6-spl:F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summarized!$K$47:$V$47</c:f>
            </c:numRef>
          </c:val>
          <c:smooth val="0"/>
          <c:extLst>
            <c:ext xmlns:c16="http://schemas.microsoft.com/office/drawing/2014/chart" uri="{C3380CC4-5D6E-409C-BE32-E72D297353CC}">
              <c16:uniqueId val="{00000063-70BF-354C-A00E-FB3EF9279697}"/>
            </c:ext>
          </c:extLst>
        </c:ser>
        <c:ser>
          <c:idx val="46"/>
          <c:order val="46"/>
          <c:tx>
            <c:strRef>
              <c:f>summarized!$J$48</c:f>
              <c:strCache>
                <c:ptCount val="1"/>
                <c:pt idx="0">
                  <c:v>plu-ml2-sn2k-mgv6-spl:T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summarized!$K$48:$V$48</c:f>
            </c:numRef>
          </c:val>
          <c:smooth val="0"/>
          <c:extLst>
            <c:ext xmlns:c16="http://schemas.microsoft.com/office/drawing/2014/chart" uri="{C3380CC4-5D6E-409C-BE32-E72D297353CC}">
              <c16:uniqueId val="{00000064-70BF-354C-A00E-FB3EF9279697}"/>
            </c:ext>
          </c:extLst>
        </c:ser>
        <c:ser>
          <c:idx val="47"/>
          <c:order val="47"/>
          <c:tx>
            <c:strRef>
              <c:f>summarized!$J$49</c:f>
              <c:strCache>
                <c:ptCount val="1"/>
                <c:pt idx="0">
                  <c:v>plu-ml2-sn2k-mgv6-spl:F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summarized!$K$49:$V$49</c:f>
            </c:numRef>
          </c:val>
          <c:smooth val="0"/>
          <c:extLst>
            <c:ext xmlns:c16="http://schemas.microsoft.com/office/drawing/2014/chart" uri="{C3380CC4-5D6E-409C-BE32-E72D297353CC}">
              <c16:uniqueId val="{00000065-70BF-354C-A00E-FB3EF9279697}"/>
            </c:ext>
          </c:extLst>
        </c:ser>
        <c:ser>
          <c:idx val="48"/>
          <c:order val="48"/>
          <c:tx>
            <c:strRef>
              <c:f>summarized!$J$50</c:f>
              <c:strCache>
                <c:ptCount val="1"/>
                <c:pt idx="0">
                  <c:v>cas-ml2-sn2k-mgv9-spl:F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summarized!$K$50:$V$50</c:f>
            </c:numRef>
          </c:val>
          <c:smooth val="0"/>
          <c:extLst>
            <c:ext xmlns:c16="http://schemas.microsoft.com/office/drawing/2014/chart" uri="{C3380CC4-5D6E-409C-BE32-E72D297353CC}">
              <c16:uniqueId val="{00000066-70BF-354C-A00E-FB3EF9279697}"/>
            </c:ext>
          </c:extLst>
        </c:ser>
        <c:ser>
          <c:idx val="49"/>
          <c:order val="49"/>
          <c:tx>
            <c:strRef>
              <c:f>summarized!$J$51</c:f>
              <c:strCache>
                <c:ptCount val="1"/>
                <c:pt idx="0">
                  <c:v>cas-ml2-sn2k-mgv9-spl:T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summarized!$K$51:$V$51</c:f>
            </c:numRef>
          </c:val>
          <c:smooth val="0"/>
          <c:extLst>
            <c:ext xmlns:c16="http://schemas.microsoft.com/office/drawing/2014/chart" uri="{C3380CC4-5D6E-409C-BE32-E72D297353CC}">
              <c16:uniqueId val="{00000067-70BF-354C-A00E-FB3EF9279697}"/>
            </c:ext>
          </c:extLst>
        </c:ser>
        <c:ser>
          <c:idx val="50"/>
          <c:order val="50"/>
          <c:tx>
            <c:strRef>
              <c:f>summarized!$J$52</c:f>
              <c:strCache>
                <c:ptCount val="1"/>
                <c:pt idx="0">
                  <c:v>gen-ml2-sn2k-mgv9-spl:F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summarized!$K$52:$V$52</c:f>
            </c:numRef>
          </c:val>
          <c:smooth val="0"/>
          <c:extLst>
            <c:ext xmlns:c16="http://schemas.microsoft.com/office/drawing/2014/chart" uri="{C3380CC4-5D6E-409C-BE32-E72D297353CC}">
              <c16:uniqueId val="{00000068-70BF-354C-A00E-FB3EF9279697}"/>
            </c:ext>
          </c:extLst>
        </c:ser>
        <c:ser>
          <c:idx val="51"/>
          <c:order val="51"/>
          <c:tx>
            <c:strRef>
              <c:f>summarized!$J$53</c:f>
              <c:strCache>
                <c:ptCount val="1"/>
                <c:pt idx="0">
                  <c:v>gen-ml2-sn2k-mgv9-spl:T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summarized!$K$53:$V$53</c:f>
            </c:numRef>
          </c:val>
          <c:smooth val="0"/>
          <c:extLst>
            <c:ext xmlns:c16="http://schemas.microsoft.com/office/drawing/2014/chart" uri="{C3380CC4-5D6E-409C-BE32-E72D297353CC}">
              <c16:uniqueId val="{00000069-70BF-354C-A00E-FB3EF9279697}"/>
            </c:ext>
          </c:extLst>
        </c:ser>
        <c:ser>
          <c:idx val="52"/>
          <c:order val="52"/>
          <c:tx>
            <c:strRef>
              <c:f>summarized!$J$54</c:f>
              <c:strCache>
                <c:ptCount val="1"/>
                <c:pt idx="0">
                  <c:v>plu-ml2-sn2k-mgv9-spl:F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summarized!$K$54:$V$54</c:f>
            </c:numRef>
          </c:val>
          <c:smooth val="0"/>
          <c:extLst>
            <c:ext xmlns:c16="http://schemas.microsoft.com/office/drawing/2014/chart" uri="{C3380CC4-5D6E-409C-BE32-E72D297353CC}">
              <c16:uniqueId val="{0000006A-70BF-354C-A00E-FB3EF9279697}"/>
            </c:ext>
          </c:extLst>
        </c:ser>
        <c:ser>
          <c:idx val="53"/>
          <c:order val="53"/>
          <c:tx>
            <c:strRef>
              <c:f>summarized!$J$55</c:f>
              <c:strCache>
                <c:ptCount val="1"/>
                <c:pt idx="0">
                  <c:v>plu-ml2-sn2k-mgv9-spl:T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summarized!$K$55:$V$55</c:f>
            </c:numRef>
          </c:val>
          <c:smooth val="0"/>
          <c:extLst>
            <c:ext xmlns:c16="http://schemas.microsoft.com/office/drawing/2014/chart" uri="{C3380CC4-5D6E-409C-BE32-E72D297353CC}">
              <c16:uniqueId val="{0000006B-70BF-354C-A00E-FB3EF9279697}"/>
            </c:ext>
          </c:extLst>
        </c:ser>
        <c:ser>
          <c:idx val="54"/>
          <c:order val="54"/>
          <c:tx>
            <c:strRef>
              <c:f>summarized!$J$56</c:f>
              <c:strCache>
                <c:ptCount val="1"/>
                <c:pt idx="0">
                  <c:v>cas-ml3-sn1.2k-mgv6-spl:T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summarized!$K$56:$V$56</c:f>
            </c:numRef>
          </c:val>
          <c:smooth val="0"/>
          <c:extLst>
            <c:ext xmlns:c16="http://schemas.microsoft.com/office/drawing/2014/chart" uri="{C3380CC4-5D6E-409C-BE32-E72D297353CC}">
              <c16:uniqueId val="{0000006C-70BF-354C-A00E-FB3EF9279697}"/>
            </c:ext>
          </c:extLst>
        </c:ser>
        <c:ser>
          <c:idx val="55"/>
          <c:order val="55"/>
          <c:tx>
            <c:strRef>
              <c:f>summarized!$J$57</c:f>
              <c:strCache>
                <c:ptCount val="1"/>
                <c:pt idx="0">
                  <c:v>cas-ml3-sn1.2k-mgv6-spl:F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summarized!$K$57:$V$57</c:f>
            </c:numRef>
          </c:val>
          <c:smooth val="0"/>
          <c:extLst>
            <c:ext xmlns:c16="http://schemas.microsoft.com/office/drawing/2014/chart" uri="{C3380CC4-5D6E-409C-BE32-E72D297353CC}">
              <c16:uniqueId val="{0000006D-70BF-354C-A00E-FB3EF9279697}"/>
            </c:ext>
          </c:extLst>
        </c:ser>
        <c:ser>
          <c:idx val="56"/>
          <c:order val="56"/>
          <c:tx>
            <c:strRef>
              <c:f>summarized!$J$58</c:f>
              <c:strCache>
                <c:ptCount val="1"/>
                <c:pt idx="0">
                  <c:v>gen-ml3-sn1.2k-mgv6-spl:T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summarized!$K$58:$V$58</c:f>
            </c:numRef>
          </c:val>
          <c:smooth val="0"/>
          <c:extLst>
            <c:ext xmlns:c16="http://schemas.microsoft.com/office/drawing/2014/chart" uri="{C3380CC4-5D6E-409C-BE32-E72D297353CC}">
              <c16:uniqueId val="{0000006E-70BF-354C-A00E-FB3EF9279697}"/>
            </c:ext>
          </c:extLst>
        </c:ser>
        <c:ser>
          <c:idx val="57"/>
          <c:order val="57"/>
          <c:tx>
            <c:strRef>
              <c:f>summarized!$J$59</c:f>
              <c:strCache>
                <c:ptCount val="1"/>
                <c:pt idx="0">
                  <c:v>gen-ml3-sn1.2k-mgv6-spl:F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summarized!$K$59:$V$59</c:f>
            </c:numRef>
          </c:val>
          <c:smooth val="0"/>
          <c:extLst>
            <c:ext xmlns:c16="http://schemas.microsoft.com/office/drawing/2014/chart" uri="{C3380CC4-5D6E-409C-BE32-E72D297353CC}">
              <c16:uniqueId val="{0000006F-70BF-354C-A00E-FB3EF9279697}"/>
            </c:ext>
          </c:extLst>
        </c:ser>
        <c:ser>
          <c:idx val="58"/>
          <c:order val="58"/>
          <c:tx>
            <c:strRef>
              <c:f>summarized!$J$60</c:f>
              <c:strCache>
                <c:ptCount val="1"/>
                <c:pt idx="0">
                  <c:v>plu-ml3-sn1.2k-mgv6-spl:T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summarized!$K$60:$V$60</c:f>
              <c:numCache>
                <c:formatCode>0.00</c:formatCode>
                <c:ptCount val="12"/>
                <c:pt idx="0">
                  <c:v>0.84</c:v>
                </c:pt>
                <c:pt idx="1">
                  <c:v>0.86</c:v>
                </c:pt>
                <c:pt idx="2">
                  <c:v>0.9</c:v>
                </c:pt>
                <c:pt idx="3">
                  <c:v>0.9</c:v>
                </c:pt>
                <c:pt idx="4">
                  <c:v>0.84</c:v>
                </c:pt>
                <c:pt idx="5">
                  <c:v>0.87</c:v>
                </c:pt>
                <c:pt idx="6">
                  <c:v>0.88</c:v>
                </c:pt>
                <c:pt idx="7">
                  <c:v>0.88</c:v>
                </c:pt>
                <c:pt idx="8">
                  <c:v>0.93</c:v>
                </c:pt>
                <c:pt idx="9">
                  <c:v>0.85</c:v>
                </c:pt>
                <c:pt idx="10">
                  <c:v>0.85</c:v>
                </c:pt>
                <c:pt idx="11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70BF-354C-A00E-FB3EF9279697}"/>
            </c:ext>
          </c:extLst>
        </c:ser>
        <c:ser>
          <c:idx val="59"/>
          <c:order val="59"/>
          <c:tx>
            <c:strRef>
              <c:f>summarized!$J$61</c:f>
              <c:strCache>
                <c:ptCount val="1"/>
                <c:pt idx="0">
                  <c:v>plu-ml3-sn1.2k-mgv6-spl:F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summarized!$K$61:$V$61</c:f>
            </c:numRef>
          </c:val>
          <c:smooth val="0"/>
          <c:extLst>
            <c:ext xmlns:c16="http://schemas.microsoft.com/office/drawing/2014/chart" uri="{C3380CC4-5D6E-409C-BE32-E72D297353CC}">
              <c16:uniqueId val="{00000071-70BF-354C-A00E-FB3EF9279697}"/>
            </c:ext>
          </c:extLst>
        </c:ser>
        <c:ser>
          <c:idx val="60"/>
          <c:order val="60"/>
          <c:tx>
            <c:strRef>
              <c:f>summarized!$J$62</c:f>
              <c:strCache>
                <c:ptCount val="1"/>
                <c:pt idx="0">
                  <c:v>cas-ml3-sn1.2k-mgv9-spl:F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summarized!$K$62:$V$62</c:f>
            </c:numRef>
          </c:val>
          <c:smooth val="0"/>
          <c:extLst>
            <c:ext xmlns:c16="http://schemas.microsoft.com/office/drawing/2014/chart" uri="{C3380CC4-5D6E-409C-BE32-E72D297353CC}">
              <c16:uniqueId val="{00000072-70BF-354C-A00E-FB3EF9279697}"/>
            </c:ext>
          </c:extLst>
        </c:ser>
        <c:ser>
          <c:idx val="61"/>
          <c:order val="61"/>
          <c:tx>
            <c:strRef>
              <c:f>summarized!$J$63</c:f>
              <c:strCache>
                <c:ptCount val="1"/>
                <c:pt idx="0">
                  <c:v>cas-ml3-sn1.2k-mgv9-spl:T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summarized!$K$63:$V$63</c:f>
            </c:numRef>
          </c:val>
          <c:smooth val="0"/>
          <c:extLst>
            <c:ext xmlns:c16="http://schemas.microsoft.com/office/drawing/2014/chart" uri="{C3380CC4-5D6E-409C-BE32-E72D297353CC}">
              <c16:uniqueId val="{00000073-70BF-354C-A00E-FB3EF9279697}"/>
            </c:ext>
          </c:extLst>
        </c:ser>
        <c:ser>
          <c:idx val="62"/>
          <c:order val="62"/>
          <c:tx>
            <c:strRef>
              <c:f>summarized!$J$64</c:f>
              <c:strCache>
                <c:ptCount val="1"/>
                <c:pt idx="0">
                  <c:v>gen-ml3-sn1.2k-mgv9-spl:F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summarized!$K$64:$V$64</c:f>
            </c:numRef>
          </c:val>
          <c:smooth val="0"/>
          <c:extLst>
            <c:ext xmlns:c16="http://schemas.microsoft.com/office/drawing/2014/chart" uri="{C3380CC4-5D6E-409C-BE32-E72D297353CC}">
              <c16:uniqueId val="{00000074-70BF-354C-A00E-FB3EF9279697}"/>
            </c:ext>
          </c:extLst>
        </c:ser>
        <c:ser>
          <c:idx val="63"/>
          <c:order val="63"/>
          <c:tx>
            <c:strRef>
              <c:f>summarized!$J$65</c:f>
              <c:strCache>
                <c:ptCount val="1"/>
                <c:pt idx="0">
                  <c:v>gen-ml3-sn1.2k-mgv9-spl:T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summarized!$K$65:$V$65</c:f>
            </c:numRef>
          </c:val>
          <c:smooth val="0"/>
          <c:extLst>
            <c:ext xmlns:c16="http://schemas.microsoft.com/office/drawing/2014/chart" uri="{C3380CC4-5D6E-409C-BE32-E72D297353CC}">
              <c16:uniqueId val="{00000075-70BF-354C-A00E-FB3EF9279697}"/>
            </c:ext>
          </c:extLst>
        </c:ser>
        <c:ser>
          <c:idx val="64"/>
          <c:order val="64"/>
          <c:tx>
            <c:strRef>
              <c:f>summarized!$J$66</c:f>
              <c:strCache>
                <c:ptCount val="1"/>
                <c:pt idx="0">
                  <c:v>plu-ml3-sn1.2k-mgv9-spl:F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summarized!$K$66:$V$66</c:f>
            </c:numRef>
          </c:val>
          <c:smooth val="0"/>
          <c:extLst>
            <c:ext xmlns:c16="http://schemas.microsoft.com/office/drawing/2014/chart" uri="{C3380CC4-5D6E-409C-BE32-E72D297353CC}">
              <c16:uniqueId val="{00000076-70BF-354C-A00E-FB3EF9279697}"/>
            </c:ext>
          </c:extLst>
        </c:ser>
        <c:ser>
          <c:idx val="65"/>
          <c:order val="65"/>
          <c:tx>
            <c:strRef>
              <c:f>summarized!$J$67</c:f>
              <c:strCache>
                <c:ptCount val="1"/>
                <c:pt idx="0">
                  <c:v>plu-ml3-sn1.2k-mgv9-spl:T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summarized!$K$67:$V$67</c:f>
              <c:numCache>
                <c:formatCode>0.00</c:formatCode>
                <c:ptCount val="12"/>
                <c:pt idx="0">
                  <c:v>0.91</c:v>
                </c:pt>
                <c:pt idx="1">
                  <c:v>0.88</c:v>
                </c:pt>
                <c:pt idx="2">
                  <c:v>0.87</c:v>
                </c:pt>
                <c:pt idx="3">
                  <c:v>0.88</c:v>
                </c:pt>
                <c:pt idx="4">
                  <c:v>0.9</c:v>
                </c:pt>
                <c:pt idx="5">
                  <c:v>0.85</c:v>
                </c:pt>
                <c:pt idx="6">
                  <c:v>0.88</c:v>
                </c:pt>
                <c:pt idx="7">
                  <c:v>0.87</c:v>
                </c:pt>
                <c:pt idx="8">
                  <c:v>0.86</c:v>
                </c:pt>
                <c:pt idx="9">
                  <c:v>0.86</c:v>
                </c:pt>
                <c:pt idx="10">
                  <c:v>0.85</c:v>
                </c:pt>
                <c:pt idx="11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70BF-354C-A00E-FB3EF9279697}"/>
            </c:ext>
          </c:extLst>
        </c:ser>
        <c:ser>
          <c:idx val="66"/>
          <c:order val="66"/>
          <c:tx>
            <c:strRef>
              <c:f>summarized!$J$68</c:f>
              <c:strCache>
                <c:ptCount val="1"/>
                <c:pt idx="0">
                  <c:v>cas-ml3-sn2k-mgv6-spl:F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summarized!$K$68:$V$68</c:f>
            </c:numRef>
          </c:val>
          <c:smooth val="0"/>
          <c:extLst>
            <c:ext xmlns:c16="http://schemas.microsoft.com/office/drawing/2014/chart" uri="{C3380CC4-5D6E-409C-BE32-E72D297353CC}">
              <c16:uniqueId val="{00000078-70BF-354C-A00E-FB3EF9279697}"/>
            </c:ext>
          </c:extLst>
        </c:ser>
        <c:ser>
          <c:idx val="67"/>
          <c:order val="67"/>
          <c:tx>
            <c:strRef>
              <c:f>summarized!$J$69</c:f>
              <c:strCache>
                <c:ptCount val="1"/>
                <c:pt idx="0">
                  <c:v>cas-ml3-sn2k-mgv6-spl:T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summarized!$K$69:$V$69</c:f>
            </c:numRef>
          </c:val>
          <c:smooth val="0"/>
          <c:extLst>
            <c:ext xmlns:c16="http://schemas.microsoft.com/office/drawing/2014/chart" uri="{C3380CC4-5D6E-409C-BE32-E72D297353CC}">
              <c16:uniqueId val="{00000079-70BF-354C-A00E-FB3EF9279697}"/>
            </c:ext>
          </c:extLst>
        </c:ser>
        <c:ser>
          <c:idx val="68"/>
          <c:order val="68"/>
          <c:tx>
            <c:strRef>
              <c:f>summarized!$J$70</c:f>
              <c:strCache>
                <c:ptCount val="1"/>
                <c:pt idx="0">
                  <c:v>gen-ml3-sn2k-mgv6-spl:F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summarized!$K$70:$V$70</c:f>
            </c:numRef>
          </c:val>
          <c:smooth val="0"/>
          <c:extLst>
            <c:ext xmlns:c16="http://schemas.microsoft.com/office/drawing/2014/chart" uri="{C3380CC4-5D6E-409C-BE32-E72D297353CC}">
              <c16:uniqueId val="{0000007A-70BF-354C-A00E-FB3EF9279697}"/>
            </c:ext>
          </c:extLst>
        </c:ser>
        <c:ser>
          <c:idx val="69"/>
          <c:order val="69"/>
          <c:tx>
            <c:strRef>
              <c:f>summarized!$J$71</c:f>
              <c:strCache>
                <c:ptCount val="1"/>
                <c:pt idx="0">
                  <c:v>gen-ml3-sn2k-mgv6-spl:T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summarized!$K$71:$V$71</c:f>
            </c:numRef>
          </c:val>
          <c:smooth val="0"/>
          <c:extLst>
            <c:ext xmlns:c16="http://schemas.microsoft.com/office/drawing/2014/chart" uri="{C3380CC4-5D6E-409C-BE32-E72D297353CC}">
              <c16:uniqueId val="{0000007B-70BF-354C-A00E-FB3EF9279697}"/>
            </c:ext>
          </c:extLst>
        </c:ser>
        <c:ser>
          <c:idx val="70"/>
          <c:order val="70"/>
          <c:tx>
            <c:strRef>
              <c:f>summarized!$J$72</c:f>
              <c:strCache>
                <c:ptCount val="1"/>
                <c:pt idx="0">
                  <c:v>plu-ml3-sn2k-mgv6-spl:F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summarized!$K$72:$V$72</c:f>
            </c:numRef>
          </c:val>
          <c:smooth val="0"/>
          <c:extLst>
            <c:ext xmlns:c16="http://schemas.microsoft.com/office/drawing/2014/chart" uri="{C3380CC4-5D6E-409C-BE32-E72D297353CC}">
              <c16:uniqueId val="{0000007C-70BF-354C-A00E-FB3EF9279697}"/>
            </c:ext>
          </c:extLst>
        </c:ser>
        <c:ser>
          <c:idx val="71"/>
          <c:order val="71"/>
          <c:tx>
            <c:strRef>
              <c:f>summarized!$J$73</c:f>
              <c:strCache>
                <c:ptCount val="1"/>
                <c:pt idx="0">
                  <c:v>plu-ml3-sn2k-mgv6-spl:T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summarized!$K$73:$V$73</c:f>
            </c:numRef>
          </c:val>
          <c:smooth val="0"/>
          <c:extLst>
            <c:ext xmlns:c16="http://schemas.microsoft.com/office/drawing/2014/chart" uri="{C3380CC4-5D6E-409C-BE32-E72D297353CC}">
              <c16:uniqueId val="{0000007D-70BF-354C-A00E-FB3EF9279697}"/>
            </c:ext>
          </c:extLst>
        </c:ser>
        <c:ser>
          <c:idx val="72"/>
          <c:order val="72"/>
          <c:tx>
            <c:strRef>
              <c:f>summarized!$J$74</c:f>
              <c:strCache>
                <c:ptCount val="1"/>
                <c:pt idx="0">
                  <c:v>cas-ml3-sn2k-mgv9-spl:F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summarized!$K$74:$V$74</c:f>
            </c:numRef>
          </c:val>
          <c:smooth val="0"/>
          <c:extLst>
            <c:ext xmlns:c16="http://schemas.microsoft.com/office/drawing/2014/chart" uri="{C3380CC4-5D6E-409C-BE32-E72D297353CC}">
              <c16:uniqueId val="{0000007E-70BF-354C-A00E-FB3EF9279697}"/>
            </c:ext>
          </c:extLst>
        </c:ser>
        <c:ser>
          <c:idx val="73"/>
          <c:order val="73"/>
          <c:tx>
            <c:strRef>
              <c:f>summarized!$J$75</c:f>
              <c:strCache>
                <c:ptCount val="1"/>
                <c:pt idx="0">
                  <c:v>cas-ml3-sn2k-mgv9-spl:T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summarized!$K$75:$V$75</c:f>
            </c:numRef>
          </c:val>
          <c:smooth val="0"/>
          <c:extLst>
            <c:ext xmlns:c16="http://schemas.microsoft.com/office/drawing/2014/chart" uri="{C3380CC4-5D6E-409C-BE32-E72D297353CC}">
              <c16:uniqueId val="{0000007F-70BF-354C-A00E-FB3EF9279697}"/>
            </c:ext>
          </c:extLst>
        </c:ser>
        <c:ser>
          <c:idx val="74"/>
          <c:order val="74"/>
          <c:tx>
            <c:strRef>
              <c:f>summarized!$J$76</c:f>
              <c:strCache>
                <c:ptCount val="1"/>
                <c:pt idx="0">
                  <c:v>gen-ml3-sn2k-mgv9-spl:F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summarized!$K$76:$V$76</c:f>
            </c:numRef>
          </c:val>
          <c:smooth val="0"/>
          <c:extLst>
            <c:ext xmlns:c16="http://schemas.microsoft.com/office/drawing/2014/chart" uri="{C3380CC4-5D6E-409C-BE32-E72D297353CC}">
              <c16:uniqueId val="{00000080-70BF-354C-A00E-FB3EF9279697}"/>
            </c:ext>
          </c:extLst>
        </c:ser>
        <c:ser>
          <c:idx val="75"/>
          <c:order val="75"/>
          <c:tx>
            <c:strRef>
              <c:f>summarized!$J$77</c:f>
              <c:strCache>
                <c:ptCount val="1"/>
                <c:pt idx="0">
                  <c:v>gen-ml3-sn2k-mgv9-spl:T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summarized!$K$77:$V$77</c:f>
            </c:numRef>
          </c:val>
          <c:smooth val="0"/>
          <c:extLst>
            <c:ext xmlns:c16="http://schemas.microsoft.com/office/drawing/2014/chart" uri="{C3380CC4-5D6E-409C-BE32-E72D297353CC}">
              <c16:uniqueId val="{00000081-70BF-354C-A00E-FB3EF9279697}"/>
            </c:ext>
          </c:extLst>
        </c:ser>
        <c:ser>
          <c:idx val="76"/>
          <c:order val="76"/>
          <c:tx>
            <c:strRef>
              <c:f>summarized!$J$78</c:f>
              <c:strCache>
                <c:ptCount val="1"/>
                <c:pt idx="0">
                  <c:v>plu-ml3-sn2k-mgv9-spl:F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summarized!$K$78:$V$78</c:f>
            </c:numRef>
          </c:val>
          <c:smooth val="0"/>
          <c:extLst>
            <c:ext xmlns:c16="http://schemas.microsoft.com/office/drawing/2014/chart" uri="{C3380CC4-5D6E-409C-BE32-E72D297353CC}">
              <c16:uniqueId val="{00000082-70BF-354C-A00E-FB3EF9279697}"/>
            </c:ext>
          </c:extLst>
        </c:ser>
        <c:ser>
          <c:idx val="77"/>
          <c:order val="77"/>
          <c:tx>
            <c:strRef>
              <c:f>summarized!$J$79</c:f>
              <c:strCache>
                <c:ptCount val="1"/>
                <c:pt idx="0">
                  <c:v>plu-ml3-sn2k-mgv9-spl:T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</c:v>
                </c:pt>
                <c:pt idx="1">
                  <c:v>3g-no-h</c:v>
                </c:pt>
                <c:pt idx="2">
                  <c:v>4g-no-h</c:v>
                </c:pt>
                <c:pt idx="3">
                  <c:v>xsk2g-no-h</c:v>
                </c:pt>
                <c:pt idx="4">
                  <c:v>xsk3g-no-h</c:v>
                </c:pt>
                <c:pt idx="5">
                  <c:v>xsk4g-no-h</c:v>
                </c:pt>
                <c:pt idx="6">
                  <c:v>2g-h-at-b</c:v>
                </c:pt>
                <c:pt idx="7">
                  <c:v>3g-h-at-b</c:v>
                </c:pt>
                <c:pt idx="8">
                  <c:v>4g-h-at-b</c:v>
                </c:pt>
                <c:pt idx="9">
                  <c:v>xsk2g-h-at-b</c:v>
                </c:pt>
                <c:pt idx="10">
                  <c:v>xsk3g-h-at-b</c:v>
                </c:pt>
                <c:pt idx="11">
                  <c:v>xsk4g-h-at-b</c:v>
                </c:pt>
              </c:strCache>
            </c:strRef>
          </c:cat>
          <c:val>
            <c:numRef>
              <c:f>summarized!$K$79:$V$79</c:f>
            </c:numRef>
          </c:val>
          <c:smooth val="0"/>
          <c:extLst>
            <c:ext xmlns:c16="http://schemas.microsoft.com/office/drawing/2014/chart" uri="{C3380CC4-5D6E-409C-BE32-E72D297353CC}">
              <c16:uniqueId val="{00000083-70BF-354C-A00E-FB3EF9279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1827008"/>
        <c:axId val="971027632"/>
      </c:lineChart>
      <c:catAx>
        <c:axId val="97182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971027632"/>
        <c:crosses val="autoZero"/>
        <c:auto val="1"/>
        <c:lblAlgn val="ctr"/>
        <c:lblOffset val="100"/>
        <c:noMultiLvlLbl val="0"/>
      </c:catAx>
      <c:valAx>
        <c:axId val="97102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9718270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622300</xdr:colOff>
      <xdr:row>1</xdr:row>
      <xdr:rowOff>0</xdr:rowOff>
    </xdr:from>
    <xdr:to>
      <xdr:col>27</xdr:col>
      <xdr:colOff>984300</xdr:colOff>
      <xdr:row>87</xdr:row>
      <xdr:rowOff>192500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9C9563-78E4-56A3-7AF8-13050DCF2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F527EAE-4C73-494D-90B4-D491BD5C5C9E}" name="Table6" displayName="Table6" ref="A1:W79" totalsRowShown="0">
  <autoFilter ref="A1:W79" xr:uid="{FF527EAE-4C73-494D-90B4-D491BD5C5C9E}">
    <filterColumn colId="2">
      <filters>
        <filter val="1.2"/>
      </filters>
    </filterColumn>
    <filterColumn colId="5">
      <filters>
        <filter val="plurality"/>
      </filters>
    </filterColumn>
    <filterColumn colId="6">
      <filters>
        <filter val="TRUE"/>
      </filters>
    </filterColumn>
  </autoFilter>
  <sortState xmlns:xlrd2="http://schemas.microsoft.com/office/spreadsheetml/2017/richdata2" ref="A18:W75">
    <sortCondition ref="A1:A79"/>
  </sortState>
  <tableColumns count="23">
    <tableColumn id="24" xr3:uid="{AE14DE27-CA1A-764F-B5DA-82D55607377D}" name="ml" dataDxfId="1"/>
    <tableColumn id="23" xr3:uid="{8D619E37-B32E-6242-999A-FEE016FD79F1}" name="skippiness"/>
    <tableColumn id="3" xr3:uid="{A11BA1A9-4347-1741-8CD1-F7257D22D076}" name="sample.n"/>
    <tableColumn id="4" xr3:uid="{D5F1933C-9602-984B-A4B0-E32C92B7B287}" name="mgv"/>
    <tableColumn id="5" xr3:uid="{8D0C024B-3E12-BD46-AC2C-09A28672C9C8}" name="attribute.index"/>
    <tableColumn id="6" xr3:uid="{CB6A9454-5999-9F4E-BBB6-8FE6DF6448B9}" name="attribute"/>
    <tableColumn id="7" xr3:uid="{4648D50A-FB13-E44B-95E1-43FCF2A4F513}" name="supplemented"/>
    <tableColumn id="8" xr3:uid="{4334E061-B655-104D-8EB1-7209EE94EB2F}" name="method.index"/>
    <tableColumn id="9" xr3:uid="{74842E72-E30D-7D41-9CAC-AA500F232E59}" name="metric"/>
    <tableColumn id="1" xr3:uid="{77CACCB7-B169-5B43-A2B8-42EC4D09657F}" name="var" dataDxfId="0">
      <calculatedColumnFormula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calculatedColumnFormula>
    </tableColumn>
    <tableColumn id="10" xr3:uid="{A8BCAFFD-120A-0246-903F-1CE26DD82701}" name="2g-no-h" dataDxfId="14"/>
    <tableColumn id="11" xr3:uid="{1C09E473-F70D-D741-B647-9D21B9BFD98A}" name="3g-no-h" dataDxfId="13"/>
    <tableColumn id="12" xr3:uid="{5B61C2F3-B396-014D-94E9-EBC347C94CAF}" name="4g-no-h" dataDxfId="12"/>
    <tableColumn id="13" xr3:uid="{D918E075-42A2-F041-A846-8A3D47819EC1}" name="xsk2g-no-h" dataDxfId="11"/>
    <tableColumn id="14" xr3:uid="{C0F5BFB3-3F3F-C24F-86CF-39651B3341E0}" name="xsk3g-no-h" dataDxfId="10"/>
    <tableColumn id="15" xr3:uid="{B48A4C39-E946-2742-879C-B7D837B8479E}" name="xsk4g-no-h" dataDxfId="9"/>
    <tableColumn id="16" xr3:uid="{DF143273-6B20-AA47-B496-5A3939F548A3}" name="2g-h-at-b" dataDxfId="8"/>
    <tableColumn id="17" xr3:uid="{5C36DC09-68D5-9441-A49B-983B956D0624}" name="3g-h-at-b" dataDxfId="7"/>
    <tableColumn id="18" xr3:uid="{491C42AB-2DC7-514D-9A20-6F1818E653BA}" name="4g-h-at-b" dataDxfId="6"/>
    <tableColumn id="19" xr3:uid="{309E3C4A-2DF2-CF44-9EA9-9FF661EAC82D}" name="xsk2g-h-at-b" dataDxfId="5"/>
    <tableColumn id="20" xr3:uid="{E1C3A6C1-0D1B-9744-AD82-EE340F3B375E}" name="xsk3g-h-at-b" dataDxfId="4"/>
    <tableColumn id="21" xr3:uid="{B319CE29-4BCE-E74D-AAB3-A44B2F6870C3}" name="xsk4g-h-at-b" dataDxfId="3"/>
    <tableColumn id="22" xr3:uid="{B3142545-21CF-DF40-B492-D5101B77E63B}" name="max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16F4647-0403-454A-9D15-AA0FF8411E8C}" name="Table12" displayName="Table12" ref="A1:T19" totalsRowShown="0">
  <autoFilter ref="A1:T19" xr:uid="{616F4647-0403-454A-9D15-AA0FF8411E8C}"/>
  <sortState xmlns:xlrd2="http://schemas.microsoft.com/office/spreadsheetml/2017/richdata2" ref="A2:T19">
    <sortCondition ref="B1:B19"/>
  </sortState>
  <tableColumns count="20">
    <tableColumn id="1" xr3:uid="{B16B8CC7-5B63-4842-A708-0A8B1C16F2EB}" name="lang"/>
    <tableColumn id="2" xr3:uid="{AB026572-797B-8F48-B24E-33692707E1CA}" name="attribute.index"/>
    <tableColumn id="3" xr3:uid="{584CB81D-3BC3-F642-A3B1-2BC725ACEA66}" name="attribute"/>
    <tableColumn id="4" xr3:uid="{AAA2EDB8-0D10-1848-AF8D-7761EA989028}" name="supplement"/>
    <tableColumn id="5" xr3:uid="{01A8B0A4-35AF-8246-B0F8-8767A1C736D8}" name="method.index"/>
    <tableColumn id="6" xr3:uid="{45901F38-9AE8-8447-8645-6F95FB0ED5F8}" name="method"/>
    <tableColumn id="20" xr3:uid="{0AA596E1-641B-ED40-9B70-34D3C104D8A3}" name="var"/>
    <tableColumn id="7" xr3:uid="{89556549-119B-C843-B2DF-16F3EE04DBEB}" name="2g-no-hash" dataDxfId="221"/>
    <tableColumn id="8" xr3:uid="{382789C9-9E79-5342-BA9E-91205321B3AE}" name="3g-no-hash" dataDxfId="220"/>
    <tableColumn id="9" xr3:uid="{537946EB-1DA6-524B-9774-BBCC73ECDD04}" name="4g-no-hash" dataDxfId="219"/>
    <tableColumn id="10" xr3:uid="{02459E8F-BB53-2E43-9596-B163149A09CA}" name="xsk2g-no-hash" dataDxfId="218"/>
    <tableColumn id="11" xr3:uid="{4C273D80-41E8-F04C-9297-39AC3F7E7111}" name="xsk3g-no-hash" dataDxfId="217"/>
    <tableColumn id="12" xr3:uid="{7C22EF3F-775E-834B-8D51-226F1309B52E}" name="xsk4g-no-hash" dataDxfId="216"/>
    <tableColumn id="13" xr3:uid="{2EC90B78-82EF-3045-992D-6F63ACB2D232}" name="2g-hash-at-both" dataDxfId="215"/>
    <tableColumn id="14" xr3:uid="{301CA17B-E6A0-B646-89C7-5D583C26F1A0}" name="3g-hash-at-both" dataDxfId="214"/>
    <tableColumn id="15" xr3:uid="{353C96B9-8E94-DB40-83D6-B62CF24F8123}" name="4g-hash-at-both" dataDxfId="213"/>
    <tableColumn id="16" xr3:uid="{0EDFDCB3-C050-4740-80EF-E864BFAD6A79}" name="xsk2g-hash-at-both" dataDxfId="212"/>
    <tableColumn id="17" xr3:uid="{F1136C7E-563B-EA49-BF55-457F412B75F7}" name="xsk3g-hash-at-both" dataDxfId="211"/>
    <tableColumn id="18" xr3:uid="{E5F0C86E-8424-E04D-8874-60DFB1CC085A}" name="xsk4g-hash-at-both" dataDxfId="210"/>
    <tableColumn id="19" xr3:uid="{7992A351-422B-F14B-A982-BE08DEBCAFF5}" name="max" dataDxfId="209">
      <calculatedColumnFormula>_xlfn.LET(_xlpm.d,$H2:$S2,MAX(_xlpm.d))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7D28673-FEE1-7644-AF9B-5CF63EA2E264}" name="Table13" displayName="Table13" ref="B22:T28" totalsRowShown="0">
  <autoFilter ref="B22:T28" xr:uid="{37D28673-FEE1-7644-AF9B-5CF63EA2E264}"/>
  <tableColumns count="19">
    <tableColumn id="1" xr3:uid="{6F159333-05B4-0047-8248-061F4E08FC39}" name="attribute.index"/>
    <tableColumn id="2" xr3:uid="{BA48BFA7-B0C7-1445-A829-1854E118D3C2}" name="attribute"/>
    <tableColumn id="3" xr3:uid="{27072A21-A57F-E347-BCC3-E9A7943FEAA2}" name="supplemented"/>
    <tableColumn id="4" xr3:uid="{AB194650-C313-1149-9BEE-A8472D9A9601}" name="method.index"/>
    <tableColumn id="5" xr3:uid="{AAE4D5CC-562F-B14B-B457-30D83FABA665}" name="method"/>
    <tableColumn id="19" xr3:uid="{1C74DDD2-25AE-BB4D-8D5E-AAE06E450CC6}" name="var"/>
    <tableColumn id="6" xr3:uid="{9AE37450-BB36-944D-BFD8-CCC3DB4885E0}" name="2g-no-hash" dataDxfId="208">
      <calculatedColumnFormula array="1">_xlfn.LET(_xlpm.d,H$2:H$19,_xlpm.a,$C$2:$C$19=$C23,_xlpm.b,$D$2:$D$19=$D23,MAX(_xlfn._xlws.FILTER(_xlpm.d,_xlpm.a*_xlpm.b)))</calculatedColumnFormula>
    </tableColumn>
    <tableColumn id="7" xr3:uid="{391B587E-4CFE-6541-9C86-35B591EBF209}" name="3g-no-hash" dataDxfId="207">
      <calculatedColumnFormula array="1">_xlfn.LET(_xlpm.d,I$2:I$19,_xlpm.a,$C$2:$C$19=$C23,_xlpm.b,$D$2:$D$19=$D23,MAX(_xlfn._xlws.FILTER(_xlpm.d,_xlpm.a*_xlpm.b)))</calculatedColumnFormula>
    </tableColumn>
    <tableColumn id="8" xr3:uid="{235A3347-F1A6-0C44-B361-DE6BE184744F}" name="4g-no-hash" dataDxfId="206">
      <calculatedColumnFormula array="1">_xlfn.LET(_xlpm.d,J$2:J$19,_xlpm.a,$C$2:$C$19=$C23,_xlpm.b,$D$2:$D$19=$D23,MAX(_xlfn._xlws.FILTER(_xlpm.d,_xlpm.a*_xlpm.b)))</calculatedColumnFormula>
    </tableColumn>
    <tableColumn id="9" xr3:uid="{DAD3E907-BE0C-2843-8C26-24FBB5158350}" name="xsk2g-no-hash" dataDxfId="205">
      <calculatedColumnFormula array="1">_xlfn.LET(_xlpm.d,K$2:K$19,_xlpm.a,$C$2:$C$19=$C23,_xlpm.b,$D$2:$D$19=$D23,MAX(_xlfn._xlws.FILTER(_xlpm.d,_xlpm.a*_xlpm.b)))</calculatedColumnFormula>
    </tableColumn>
    <tableColumn id="10" xr3:uid="{DB7BB2D8-2A25-8145-A4EF-CA0D7412FC47}" name="xsk3g-no-hash" dataDxfId="204">
      <calculatedColumnFormula array="1">_xlfn.LET(_xlpm.d,L$2:L$19,_xlpm.a,$C$2:$C$19=$C23,_xlpm.b,$D$2:$D$19=$D23,MAX(_xlfn._xlws.FILTER(_xlpm.d,_xlpm.a*_xlpm.b)))</calculatedColumnFormula>
    </tableColumn>
    <tableColumn id="11" xr3:uid="{67474F6D-2EFA-4347-B416-59FD0F4648B0}" name="xsk4g-no-hash" dataDxfId="203">
      <calculatedColumnFormula array="1">_xlfn.LET(_xlpm.d,M$2:M$19,_xlpm.a,$C$2:$C$19=$C23,_xlpm.b,$D$2:$D$19=$D23,MAX(_xlfn._xlws.FILTER(_xlpm.d,_xlpm.a*_xlpm.b)))</calculatedColumnFormula>
    </tableColumn>
    <tableColumn id="12" xr3:uid="{7FD4FB00-947E-7246-8B6E-225ECF3AD985}" name="2g-hash-at-both" dataDxfId="202">
      <calculatedColumnFormula array="1">_xlfn.LET(_xlpm.d,N$2:N$19,_xlpm.a,$C$2:$C$19=$C23,_xlpm.b,$D$2:$D$19=$D23,MAX(_xlfn._xlws.FILTER(_xlpm.d,_xlpm.a*_xlpm.b)))</calculatedColumnFormula>
    </tableColumn>
    <tableColumn id="13" xr3:uid="{02E80CD5-DE6B-434C-B544-38CA69147FA2}" name="3g-hash-at-both" dataDxfId="201">
      <calculatedColumnFormula array="1">_xlfn.LET(_xlpm.d,O$2:O$19,_xlpm.a,$C$2:$C$19=$C23,_xlpm.b,$D$2:$D$19=$D23,MAX(_xlfn._xlws.FILTER(_xlpm.d,_xlpm.a*_xlpm.b)))</calculatedColumnFormula>
    </tableColumn>
    <tableColumn id="14" xr3:uid="{5EB50D23-343B-004E-A377-40EC3C62E407}" name="4g-hash-at-both" dataDxfId="200">
      <calculatedColumnFormula array="1">_xlfn.LET(_xlpm.d,P$2:P$19,_xlpm.a,$C$2:$C$19=$C23,_xlpm.b,$D$2:$D$19=$D23,MAX(_xlfn._xlws.FILTER(_xlpm.d,_xlpm.a*_xlpm.b)))</calculatedColumnFormula>
    </tableColumn>
    <tableColumn id="15" xr3:uid="{718E8777-D121-8B47-93C8-85474CA623C2}" name="xsk2g-hash-at-both" dataDxfId="199">
      <calculatedColumnFormula array="1">_xlfn.LET(_xlpm.d,Q$2:Q$19,_xlpm.a,$C$2:$C$19=$C23,_xlpm.b,$D$2:$D$19=$D23,MAX(_xlfn._xlws.FILTER(_xlpm.d,_xlpm.a*_xlpm.b)))</calculatedColumnFormula>
    </tableColumn>
    <tableColumn id="16" xr3:uid="{853DC626-B9CA-354A-9985-BA80C69FB821}" name="xsk3g-hash-at-both" dataDxfId="198">
      <calculatedColumnFormula array="1">_xlfn.LET(_xlpm.d,R$2:R$19,_xlpm.a,$C$2:$C$19=$C23,_xlpm.b,$D$2:$D$19=$D23,MAX(_xlfn._xlws.FILTER(_xlpm.d,_xlpm.a*_xlpm.b)))</calculatedColumnFormula>
    </tableColumn>
    <tableColumn id="17" xr3:uid="{BCDD3A40-A8A8-0044-9281-BE823BF823B9}" name="xsk4g-hash-at-both" dataDxfId="197">
      <calculatedColumnFormula array="1">_xlfn.LET(_xlpm.d,S$2:S$19,_xlpm.a,$C$2:$C$19=$C23,_xlpm.b,$D$2:$D$19=$D23,MAX(_xlfn._xlws.FILTER(_xlpm.d,_xlpm.a*_xlpm.b)))</calculatedColumnFormula>
    </tableColumn>
    <tableColumn id="18" xr3:uid="{C4BBBE98-6ACE-DC4E-B169-0F7742CE5BD5}" name="max" dataDxfId="196">
      <calculatedColumnFormula>_xlfn.LET(_xlpm.d,$H23:$S23,MAX(_xlpm.d))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C26A67E-907C-6743-A09F-303BA10C19AC}" name="Table10" displayName="Table10" ref="A1:T19" totalsRowShown="0">
  <autoFilter ref="A1:T19" xr:uid="{1C26A67E-907C-6743-A09F-303BA10C19AC}"/>
  <sortState xmlns:xlrd2="http://schemas.microsoft.com/office/spreadsheetml/2017/richdata2" ref="A2:T19">
    <sortCondition ref="B1:B19"/>
  </sortState>
  <tableColumns count="20">
    <tableColumn id="1" xr3:uid="{CD395857-6782-1F40-A646-690786B37F3D}" name="lang"/>
    <tableColumn id="2" xr3:uid="{71BFEBE4-1697-374F-BED0-8B5B87477A30}" name="attribute.index"/>
    <tableColumn id="3" xr3:uid="{C57D0925-08A0-7F4A-8918-E8C266B08874}" name="attribute"/>
    <tableColumn id="4" xr3:uid="{AED26730-BEDC-244A-A004-7DFCB4597472}" name="supplement"/>
    <tableColumn id="5" xr3:uid="{566F2678-2A53-6346-8D31-0CD921D8E6B8}" name="method.index"/>
    <tableColumn id="6" xr3:uid="{3775C86C-7717-7443-B308-E18F53EFC7D4}" name="method"/>
    <tableColumn id="20" xr3:uid="{895E70EB-AE38-C041-9B2D-7D89B339EA96}" name="var"/>
    <tableColumn id="7" xr3:uid="{19D157D5-1126-3945-8035-BB6F0F5E9A2C}" name="2g-no-hash" dataDxfId="79"/>
    <tableColumn id="8" xr3:uid="{213E4830-E49B-5D4B-A01A-F87A33C5E51A}" name="3g-no-hash" dataDxfId="78"/>
    <tableColumn id="9" xr3:uid="{DD26793B-08AD-794C-B288-D899F875AEF3}" name="4g-no-hash" dataDxfId="77"/>
    <tableColumn id="10" xr3:uid="{F415B96B-255C-3241-B21E-D0A7D0D71EB9}" name="xsk2g-no-hash" dataDxfId="76"/>
    <tableColumn id="11" xr3:uid="{16FA18B4-0D69-804B-8C83-36FE41B78777}" name="xsk3g-no-hash" dataDxfId="75"/>
    <tableColumn id="12" xr3:uid="{1D993564-A400-3646-B453-E7C5AE9BC922}" name="xsk4g-no-hash" dataDxfId="74"/>
    <tableColumn id="13" xr3:uid="{7C6AF23C-9BE6-6940-9A35-5F81BAA443B9}" name="2g-hash-at-both" dataDxfId="73"/>
    <tableColumn id="14" xr3:uid="{93B9EB8C-BF30-FD4C-A4C8-4FE69DBF0F9D}" name="3g-hash-at-both" dataDxfId="72"/>
    <tableColumn id="15" xr3:uid="{36BAFC18-64EC-AF44-8028-BE4D0993307D}" name="4g-hash-at-both" dataDxfId="71"/>
    <tableColumn id="16" xr3:uid="{926D78AF-A0F4-944B-B1FA-3BD6831C6A45}" name="xsk2g-hash-at-both" dataDxfId="70"/>
    <tableColumn id="17" xr3:uid="{08BB3919-0EB9-B04C-AC89-A3462825CA47}" name="xsk3g-hash-at-both" dataDxfId="69"/>
    <tableColumn id="18" xr3:uid="{F1498576-16B8-8047-AD80-6D3E4CC2C63B}" name="xsk4g-hash-at-both" dataDxfId="68"/>
    <tableColumn id="19" xr3:uid="{43DBF1B3-4052-2142-BA12-3843DC17994F}" name="max" dataDxfId="67">
      <calculatedColumnFormula>MAX($H2:$S2)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6088831-E02A-4E4C-9ED5-ABED56368EB6}" name="Table1317" displayName="Table1317" ref="B22:T28" totalsRowShown="0">
  <autoFilter ref="B22:T28" xr:uid="{36088831-E02A-4E4C-9ED5-ABED56368EB6}"/>
  <sortState xmlns:xlrd2="http://schemas.microsoft.com/office/spreadsheetml/2017/richdata2" ref="B23:T28">
    <sortCondition ref="B22:B28"/>
  </sortState>
  <tableColumns count="19">
    <tableColumn id="1" xr3:uid="{1156FEF4-9A21-8E4A-9667-D235C87337C2}" name="attribute.index"/>
    <tableColumn id="2" xr3:uid="{20444BDA-0A62-1548-9CE3-1E59B3539407}" name="attribute"/>
    <tableColumn id="3" xr3:uid="{734AE06F-551C-304A-850F-397F0DC7FDD4}" name="supplemented"/>
    <tableColumn id="4" xr3:uid="{4CB2AA1E-F924-1E43-AFB1-DC9A61CD7549}" name="method.index"/>
    <tableColumn id="5" xr3:uid="{97FF132E-ED26-0B4C-A290-A5669DFCAF98}" name="method"/>
    <tableColumn id="19" xr3:uid="{7D32727D-716B-FD4E-95ED-CE85B3EA07D8}" name="var"/>
    <tableColumn id="6" xr3:uid="{2658E18F-445F-5740-B4BF-7D4FBF5B8100}" name="2g-no-hash" dataDxfId="53">
      <calculatedColumnFormula array="1">_xlfn.LET(_xlpm.d,H$2:H$19,_xlpm.a,$C$2:$C$19=$C23,_xlpm.b,$D$2:$D$19=$D23,MAX(_xlfn._xlws.FILTER(_xlpm.d,_xlpm.a*_xlpm.b)))</calculatedColumnFormula>
    </tableColumn>
    <tableColumn id="7" xr3:uid="{325A8633-A419-584B-90BA-CC0A8392667C}" name="3g-no-hash" dataDxfId="52">
      <calculatedColumnFormula array="1">_xlfn.LET(_xlpm.d,I$2:I$19,_xlpm.a,$C$2:$C$19=$C23,_xlpm.b,$D$2:$D$19=$D23,MAX(_xlfn._xlws.FILTER(_xlpm.d,_xlpm.a*_xlpm.b)))</calculatedColumnFormula>
    </tableColumn>
    <tableColumn id="8" xr3:uid="{20B68747-7B4A-3142-8D97-F7CFC184B053}" name="4g-no-hash" dataDxfId="51">
      <calculatedColumnFormula array="1">_xlfn.LET(_xlpm.d,J$2:J$19,_xlpm.a,$C$2:$C$19=$C23,_xlpm.b,$D$2:$D$19=$D23,MAX(_xlfn._xlws.FILTER(_xlpm.d,_xlpm.a*_xlpm.b)))</calculatedColumnFormula>
    </tableColumn>
    <tableColumn id="9" xr3:uid="{087948B0-E440-2C40-A381-163C0AE8501B}" name="xsk2g-no-hash" dataDxfId="50">
      <calculatedColumnFormula array="1">_xlfn.LET(_xlpm.d,K$2:K$19,_xlpm.a,$C$2:$C$19=$C23,_xlpm.b,$D$2:$D$19=$D23,MAX(_xlfn._xlws.FILTER(_xlpm.d,_xlpm.a*_xlpm.b)))</calculatedColumnFormula>
    </tableColumn>
    <tableColumn id="10" xr3:uid="{6C4101BD-8958-5A44-B520-7E40D7B013AC}" name="xsk3g-no-hash" dataDxfId="49">
      <calculatedColumnFormula array="1">_xlfn.LET(_xlpm.d,L$2:L$19,_xlpm.a,$C$2:$C$19=$C23,_xlpm.b,$D$2:$D$19=$D23,MAX(_xlfn._xlws.FILTER(_xlpm.d,_xlpm.a*_xlpm.b)))</calculatedColumnFormula>
    </tableColumn>
    <tableColumn id="11" xr3:uid="{4F50F5B5-A324-9C4D-9F7E-8F57E3B87A2A}" name="xsk4g-no-hash" dataDxfId="48">
      <calculatedColumnFormula array="1">_xlfn.LET(_xlpm.d,M$2:M$19,_xlpm.a,$C$2:$C$19=$C23,_xlpm.b,$D$2:$D$19=$D23,MAX(_xlfn._xlws.FILTER(_xlpm.d,_xlpm.a*_xlpm.b)))</calculatedColumnFormula>
    </tableColumn>
    <tableColumn id="12" xr3:uid="{EC791834-DF6F-E74E-AD7D-3A580B68A204}" name="2g-hash-at-both" dataDxfId="47">
      <calculatedColumnFormula array="1">_xlfn.LET(_xlpm.d,N$2:N$19,_xlpm.a,$C$2:$C$19=$C23,_xlpm.b,$D$2:$D$19=$D23,MAX(_xlfn._xlws.FILTER(_xlpm.d,_xlpm.a*_xlpm.b)))</calculatedColumnFormula>
    </tableColumn>
    <tableColumn id="13" xr3:uid="{E9FBCF10-517E-E343-B030-53FE27BAE260}" name="3g-hash-at-both" dataDxfId="46">
      <calculatedColumnFormula array="1">_xlfn.LET(_xlpm.d,O$2:O$19,_xlpm.a,$C$2:$C$19=$C23,_xlpm.b,$D$2:$D$19=$D23,MAX(_xlfn._xlws.FILTER(_xlpm.d,_xlpm.a*_xlpm.b)))</calculatedColumnFormula>
    </tableColumn>
    <tableColumn id="14" xr3:uid="{F19C3A23-190A-AD41-A65D-2295E5411F37}" name="4g-hash-at-both" dataDxfId="45">
      <calculatedColumnFormula array="1">_xlfn.LET(_xlpm.d,P$2:P$19,_xlpm.a,$C$2:$C$19=$C23,_xlpm.b,$D$2:$D$19=$D23,MAX(_xlfn._xlws.FILTER(_xlpm.d,_xlpm.a*_xlpm.b)))</calculatedColumnFormula>
    </tableColumn>
    <tableColumn id="15" xr3:uid="{B2EEF1AC-B561-8249-B76A-04667B916752}" name="xsk2g-hash-at-both" dataDxfId="44">
      <calculatedColumnFormula array="1">_xlfn.LET(_xlpm.d,Q$2:Q$19,_xlpm.a,$C$2:$C$19=$C23,_xlpm.b,$D$2:$D$19=$D23,MAX(_xlfn._xlws.FILTER(_xlpm.d,_xlpm.a*_xlpm.b)))</calculatedColumnFormula>
    </tableColumn>
    <tableColumn id="16" xr3:uid="{6F22226D-3A0E-1F4D-9B0F-DC98D13DF110}" name="xsk3g-hash-at-both" dataDxfId="43">
      <calculatedColumnFormula array="1">_xlfn.LET(_xlpm.d,R$2:R$19,_xlpm.a,$C$2:$C$19=$C23,_xlpm.b,$D$2:$D$19=$D23,MAX(_xlfn._xlws.FILTER(_xlpm.d,_xlpm.a*_xlpm.b)))</calculatedColumnFormula>
    </tableColumn>
    <tableColumn id="17" xr3:uid="{A4E309A4-0AA8-094C-9345-A7B5DE8BB617}" name="xsk4g-hash-at-both" dataDxfId="42">
      <calculatedColumnFormula array="1">_xlfn.LET(_xlpm.d,S$2:S$19,_xlpm.a,$C$2:$C$19=$C23,_xlpm.b,$D$2:$D$19=$D23,MAX(_xlfn._xlws.FILTER(_xlpm.d,_xlpm.a*_xlpm.b)))</calculatedColumnFormula>
    </tableColumn>
    <tableColumn id="18" xr3:uid="{2B183FC4-6105-024A-AF44-F9484674855A}" name="max" dataDxfId="41">
      <calculatedColumnFormula>_xlfn.LET(_xlpm.d,$H23:$S23,MAX(_xlpm.d))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8AA9E6E-9BDF-1C41-9893-B2A889CB478D}" name="Table110" displayName="Table110" ref="A1:T19" totalsRowShown="0">
  <autoFilter ref="A1:T19" xr:uid="{62C33DBD-BDE4-1C46-98BA-06D036BEAD6C}"/>
  <sortState xmlns:xlrd2="http://schemas.microsoft.com/office/spreadsheetml/2017/richdata2" ref="A2:T19">
    <sortCondition ref="D1:D19"/>
  </sortState>
  <tableColumns count="20">
    <tableColumn id="1" xr3:uid="{612E2458-8E74-E246-967D-A1170869A747}" name="lang"/>
    <tableColumn id="18" xr3:uid="{89A23AED-ED8C-9A49-8C70-5D1DEB97FE73}" name="attribute.index"/>
    <tableColumn id="2" xr3:uid="{37C7A035-F8C8-5C4E-B4DF-D5CA0A5AA5C0}" name="attribute"/>
    <tableColumn id="3" xr3:uid="{D031297D-F6F0-F945-A74D-A8BAE29FEE55}" name="supplement"/>
    <tableColumn id="19" xr3:uid="{2A2BCDDA-0C60-DC40-AF52-00C0532F7B82}" name="method.index"/>
    <tableColumn id="4" xr3:uid="{19FC2FCD-ECC9-D442-A745-B77EC4D15D13}" name="method"/>
    <tableColumn id="20" xr3:uid="{59E24EFA-6E98-1E49-9515-4E832EE1FCB7}" name="var"/>
    <tableColumn id="5" xr3:uid="{61F795D1-9E55-AB44-89F2-30248F7E7921}" name="2g-no-hash" dataDxfId="157"/>
    <tableColumn id="6" xr3:uid="{BA3712E0-7A40-E642-9775-AE6726A869D6}" name="3g-no-hash" dataDxfId="156"/>
    <tableColumn id="7" xr3:uid="{3E362E7F-22CE-E54F-9E30-F0DD80594D23}" name="4g-no-hash" dataDxfId="155"/>
    <tableColumn id="8" xr3:uid="{50A69ACA-7DD9-E64F-9494-40EBEAAAD1C4}" name="xsk2g-no-hash" dataDxfId="154"/>
    <tableColumn id="9" xr3:uid="{1DE1AB3A-CCB6-3F44-B627-CABF64E6B6F6}" name="xsk3g-no-hash" dataDxfId="153"/>
    <tableColumn id="10" xr3:uid="{6263A08D-944F-544F-8AEE-E306F3E4ACF4}" name="xsk4g-no-hash" dataDxfId="152"/>
    <tableColumn id="11" xr3:uid="{3DA6AB8A-AD01-4845-B5BE-43566F03A32A}" name="2g-hash-at-both" dataDxfId="151"/>
    <tableColumn id="12" xr3:uid="{04215951-6057-AD49-AB22-8B071068C09D}" name="3g-hash-at-both" dataDxfId="150"/>
    <tableColumn id="13" xr3:uid="{7D4FDBA7-8A34-9D44-B243-20E6BC181153}" name="4g-hash-at-both" dataDxfId="149"/>
    <tableColumn id="14" xr3:uid="{FE537402-E705-644F-A11E-E90E23B298C0}" name="xsk2g-hash-at-both" dataDxfId="148"/>
    <tableColumn id="15" xr3:uid="{9C1F0C1D-19D8-8A46-92D0-540EE49FE079}" name="xsk3g-hash-at-both" dataDxfId="147"/>
    <tableColumn id="16" xr3:uid="{5F8AA456-A2ED-E54A-9ACC-D43290DC1953}" name="xsk4g-hash-at-both" dataDxfId="146"/>
    <tableColumn id="17" xr3:uid="{018C34F6-72C5-2547-9484-230A2CCDD554}" name="max" dataDxfId="145">
      <calculatedColumnFormula>_xlfn.LET(_xlpm.d,$H2:$S2,MAX(_xlpm.d))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6E828DD-BAE1-0D41-B9FF-3A80A0F38066}" name="Table11" displayName="Table11" ref="B22:T28" totalsRowShown="0" headerRowDxfId="144">
  <autoFilter ref="B22:T28" xr:uid="{E6E828DD-BAE1-0D41-B9FF-3A80A0F38066}"/>
  <tableColumns count="19">
    <tableColumn id="1" xr3:uid="{06BBAFA8-30C7-C943-B7B1-4D009BACCC00}" name="attribute.index"/>
    <tableColumn id="2" xr3:uid="{04BDCF93-74B8-CC4A-A151-23AC2D697B6F}" name="attribute"/>
    <tableColumn id="3" xr3:uid="{3F09466F-54C9-334F-8E20-CCCABE1373DF}" name="supplemented"/>
    <tableColumn id="4" xr3:uid="{E8A38307-6316-0041-B295-75A92A0187E6}" name="method.index"/>
    <tableColumn id="5" xr3:uid="{28286CCA-7DD9-D94A-A25C-AB2EC960B357}" name="method"/>
    <tableColumn id="19" xr3:uid="{AE6E9142-6F54-284E-9C39-B50A1A82DE95}" name="var"/>
    <tableColumn id="6" xr3:uid="{C942D0AF-F8A3-1043-984F-2D0BE85CFC51}" name="2g-no-hash" dataDxfId="143">
      <calculatedColumnFormula array="1">_xlfn.LET(_xlpm.d,H$2:H$19,_xlpm.a,$C$2:$C$19=$C23,_xlpm.b,$D$2:$D$19=$D23,MAX(_xlfn._xlws.FILTER(_xlpm.d,_xlpm.a*_xlpm.b)))</calculatedColumnFormula>
    </tableColumn>
    <tableColumn id="7" xr3:uid="{46AAE389-CF33-4B4D-B11D-699824564800}" name="3g-no-hash" dataDxfId="142">
      <calculatedColumnFormula array="1">_xlfn.LET(_xlpm.d,I$2:I$19,_xlpm.a,$C$2:$C$19=$C23,_xlpm.b,$D$2:$D$19=$D23,MAX(_xlfn._xlws.FILTER(_xlpm.d,_xlpm.a*_xlpm.b)))</calculatedColumnFormula>
    </tableColumn>
    <tableColumn id="8" xr3:uid="{C2427AF7-1AE5-5947-BB1C-45E6E7B9E7ED}" name="4g-no-hash" dataDxfId="141">
      <calculatedColumnFormula array="1">_xlfn.LET(_xlpm.d,J$2:J$19,_xlpm.a,$C$2:$C$19=$C23,_xlpm.b,$D$2:$D$19=$D23,MAX(_xlfn._xlws.FILTER(_xlpm.d,_xlpm.a*_xlpm.b)))</calculatedColumnFormula>
    </tableColumn>
    <tableColumn id="9" xr3:uid="{ED956FEA-5A7D-4A45-915C-BCF1582E2B9D}" name="xsk2g-no-hash" dataDxfId="140">
      <calculatedColumnFormula array="1">_xlfn.LET(_xlpm.d,K$2:K$19,_xlpm.a,$C$2:$C$19=$C23,_xlpm.b,$D$2:$D$19=$D23,MAX(_xlfn._xlws.FILTER(_xlpm.d,_xlpm.a*_xlpm.b)))</calculatedColumnFormula>
    </tableColumn>
    <tableColumn id="10" xr3:uid="{A7300332-F14F-DA4D-BD71-A77BDE7F01B2}" name="xsk3g-no-hash" dataDxfId="139">
      <calculatedColumnFormula array="1">_xlfn.LET(_xlpm.d,L$2:L$19,_xlpm.a,$C$2:$C$19=$C23,_xlpm.b,$D$2:$D$19=$D23,MAX(_xlfn._xlws.FILTER(_xlpm.d,_xlpm.a*_xlpm.b)))</calculatedColumnFormula>
    </tableColumn>
    <tableColumn id="11" xr3:uid="{F73D60C9-BB5E-3D4E-94A3-85A2A6240EE4}" name="xsk4g-no-hash" dataDxfId="138">
      <calculatedColumnFormula array="1">_xlfn.LET(_xlpm.d,M$2:M$19,_xlpm.a,$C$2:$C$19=$C23,_xlpm.b,$D$2:$D$19=$D23,MAX(_xlfn._xlws.FILTER(_xlpm.d,_xlpm.a*_xlpm.b)))</calculatedColumnFormula>
    </tableColumn>
    <tableColumn id="12" xr3:uid="{9D8FFDA0-8AC1-C44C-878E-9D27D35F7960}" name="2g-hash-at-both" dataDxfId="137">
      <calculatedColumnFormula array="1">_xlfn.LET(_xlpm.d,N$2:N$19,_xlpm.a,$C$2:$C$19=$C23,_xlpm.b,$D$2:$D$19=$D23,MAX(_xlfn._xlws.FILTER(_xlpm.d,_xlpm.a*_xlpm.b)))</calculatedColumnFormula>
    </tableColumn>
    <tableColumn id="13" xr3:uid="{74B5B9B3-D509-8844-9208-5E11B511B031}" name="3g-hash-at-both" dataDxfId="136">
      <calculatedColumnFormula array="1">_xlfn.LET(_xlpm.d,O$2:O$19,_xlpm.a,$C$2:$C$19=$C23,_xlpm.b,$D$2:$D$19=$D23,MAX(_xlfn._xlws.FILTER(_xlpm.d,_xlpm.a*_xlpm.b)))</calculatedColumnFormula>
    </tableColumn>
    <tableColumn id="14" xr3:uid="{9B9CBD0C-6763-7042-A123-E3282BC788CB}" name="4g-hash-at-both" dataDxfId="135">
      <calculatedColumnFormula array="1">_xlfn.LET(_xlpm.d,P$2:P$19,_xlpm.a,$C$2:$C$19=$C23,_xlpm.b,$D$2:$D$19=$D23,MAX(_xlfn._xlws.FILTER(_xlpm.d,_xlpm.a*_xlpm.b)))</calculatedColumnFormula>
    </tableColumn>
    <tableColumn id="15" xr3:uid="{BCA72DE9-CE40-BA4D-80A7-D3D2D6BC2FA4}" name="xsk2g-hash-at-both" dataDxfId="134">
      <calculatedColumnFormula array="1">_xlfn.LET(_xlpm.d,Q$2:Q$19,_xlpm.a,$C$2:$C$19=$C23,_xlpm.b,$D$2:$D$19=$D23,MAX(_xlfn._xlws.FILTER(_xlpm.d,_xlpm.a*_xlpm.b)))</calculatedColumnFormula>
    </tableColumn>
    <tableColumn id="16" xr3:uid="{48136231-ABB5-C84B-A976-63BF06D63B16}" name="xsk3g-hash-at-both" dataDxfId="133">
      <calculatedColumnFormula array="1">_xlfn.LET(_xlpm.d,R$2:R$19,_xlpm.a,$C$2:$C$19=$C23,_xlpm.b,$D$2:$D$19=$D23,MAX(_xlfn._xlws.FILTER(_xlpm.d,_xlpm.a*_xlpm.b)))</calculatedColumnFormula>
    </tableColumn>
    <tableColumn id="17" xr3:uid="{4564DDDC-A2E5-E648-ADD7-2806FEF7A95B}" name="xsk4g-hash-at-both" dataDxfId="132">
      <calculatedColumnFormula array="1">_xlfn.LET(_xlpm.d,S$2:S$19,_xlpm.a,$C$2:$C$19=$C23,_xlpm.b,$D$2:$D$19=$D23,MAX(_xlfn._xlws.FILTER(_xlpm.d,_xlpm.a*_xlpm.b)))</calculatedColumnFormula>
    </tableColumn>
    <tableColumn id="18" xr3:uid="{EF6262A8-36CD-B94D-84E3-31FF184250FF}" name="max" dataDxfId="131">
      <calculatedColumnFormula>_xlfn.LET(_xlpm.d,$H23:$S23,MAX(_xlpm.d))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3FB76BC-D123-BC44-8DC7-9F328F525ECB}" name="Table14" displayName="Table14" ref="A1:T19" totalsRowShown="0">
  <autoFilter ref="A1:T19" xr:uid="{43FB76BC-D123-BC44-8DC7-9F328F525ECB}"/>
  <sortState xmlns:xlrd2="http://schemas.microsoft.com/office/spreadsheetml/2017/richdata2" ref="A2:T19">
    <sortCondition ref="B1:B19"/>
  </sortState>
  <tableColumns count="20">
    <tableColumn id="1" xr3:uid="{2CC8C60E-6811-9D41-8B6A-54276AD5F399}" name="lang"/>
    <tableColumn id="2" xr3:uid="{38D53C03-242C-0F45-A9BA-C068909691DE}" name="attribute.index"/>
    <tableColumn id="3" xr3:uid="{ECCD7256-EF81-9F4B-8806-BEF5A48E8937}" name="attribute"/>
    <tableColumn id="4" xr3:uid="{F5BB41C5-F940-1C4C-9B02-9D5CBB7FB468}" name="supplement"/>
    <tableColumn id="5" xr3:uid="{072E8FA3-0F17-6D40-8749-4C162D2F31A6}" name="method.index"/>
    <tableColumn id="6" xr3:uid="{25B1110C-67C9-CE4F-872D-D1BDAFFEB28B}" name="method"/>
    <tableColumn id="20" xr3:uid="{8CB8C7E1-525C-0C48-95E2-C0D55647B6A3}" name="var"/>
    <tableColumn id="7" xr3:uid="{95055167-7E3E-A945-9AA3-44A748FDAC02}" name="2g-no-hash" dataDxfId="66"/>
    <tableColumn id="8" xr3:uid="{2C12F199-671C-1848-94BB-96BC57B41468}" name="3g-no-hash" dataDxfId="65"/>
    <tableColumn id="9" xr3:uid="{615E8109-3FC0-1846-8EB3-824C106A6A3D}" name="4g-no-hash" dataDxfId="64"/>
    <tableColumn id="10" xr3:uid="{C4B43EAA-D4F9-944B-B613-99D8AED293EF}" name="xsk2g-no-hash" dataDxfId="63"/>
    <tableColumn id="11" xr3:uid="{575C200B-5A5B-C040-806D-58A512D2F0C2}" name="xsk3g-no-hash" dataDxfId="62"/>
    <tableColumn id="12" xr3:uid="{77D51002-79A7-0640-8746-280BBF4B5E57}" name="xsk4g-no-hash" dataDxfId="61"/>
    <tableColumn id="13" xr3:uid="{6197B346-A4F3-EF44-B5A7-8DBB0272BD63}" name="2g-hash-at-both" dataDxfId="60"/>
    <tableColumn id="14" xr3:uid="{E20DA42C-3E21-5048-BF35-E2760BD24569}" name="3g-hash-at-both" dataDxfId="59"/>
    <tableColumn id="15" xr3:uid="{53178938-5A3D-0642-AB5B-DD9530271174}" name="4g-hash-at-both" dataDxfId="58"/>
    <tableColumn id="16" xr3:uid="{D9695799-2FB8-9F41-A976-AC7DB54E81C7}" name="xsk2g-hash-at-both" dataDxfId="57"/>
    <tableColumn id="17" xr3:uid="{8E3E7C6F-A2A2-A241-98BD-9055103D09C6}" name="xsk3g-hash-at-both" dataDxfId="56"/>
    <tableColumn id="18" xr3:uid="{E55A3807-512C-A640-92B0-D8D134E77853}" name="xsk4g-hash-at-both" dataDxfId="55"/>
    <tableColumn id="19" xr3:uid="{895D750A-083D-7B45-BD6F-A87C374918B2}" name="max" dataDxfId="54">
      <calculatedColumnFormula>MAX($H2:$S2)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F2421AB-982C-1D47-A3DA-F0F52A127659}" name="Table1318" displayName="Table1318" ref="B22:T28" totalsRowShown="0">
  <autoFilter ref="B22:T28" xr:uid="{EF2421AB-982C-1D47-A3DA-F0F52A127659}"/>
  <tableColumns count="19">
    <tableColumn id="1" xr3:uid="{0177262A-5B37-A546-A7B3-C09A34550031}" name="attribute.index"/>
    <tableColumn id="2" xr3:uid="{3BA95CCE-AB83-A94B-A9D3-CCC1FCC59E4F}" name="attribute"/>
    <tableColumn id="3" xr3:uid="{AB9C44B8-855E-E543-B458-F6E544CB8BA1}" name="supplemented"/>
    <tableColumn id="4" xr3:uid="{485BF359-4256-F248-BAF3-E8F5213F0EA8}" name="method.index"/>
    <tableColumn id="5" xr3:uid="{9C974B8C-33B4-C94A-BA9B-2C0E090A6E46}" name="method"/>
    <tableColumn id="19" xr3:uid="{88EDB008-5371-9446-8078-81820C2009EE}" name="var"/>
    <tableColumn id="6" xr3:uid="{17C91B2D-1B31-7544-9D38-03E56FF153D5}" name="2g-no-hash" dataDxfId="40">
      <calculatedColumnFormula array="1">_xlfn.LET(_xlpm.d,H$2:H$19,_xlpm.a,$C$2:$C$19=$C23,_xlpm.b,$D$2:$D$19=$D23,MAX(_xlfn._xlws.FILTER(_xlpm.d,_xlpm.a*_xlpm.b)))</calculatedColumnFormula>
    </tableColumn>
    <tableColumn id="7" xr3:uid="{CEADB57C-A382-B344-9A45-7E8B0D850BB7}" name="3g-no-hash" dataDxfId="39">
      <calculatedColumnFormula array="1">_xlfn.LET(_xlpm.d,I$2:I$19,_xlpm.a,$C$2:$C$19=$C23,_xlpm.b,$D$2:$D$19=$D23,MAX(_xlfn._xlws.FILTER(_xlpm.d,_xlpm.a*_xlpm.b)))</calculatedColumnFormula>
    </tableColumn>
    <tableColumn id="8" xr3:uid="{1D0FE061-23E9-454B-B623-D7CFDD84186F}" name="4g-no-hash" dataDxfId="38">
      <calculatedColumnFormula array="1">_xlfn.LET(_xlpm.d,J$2:J$19,_xlpm.a,$C$2:$C$19=$C23,_xlpm.b,$D$2:$D$19=$D23,MAX(_xlfn._xlws.FILTER(_xlpm.d,_xlpm.a*_xlpm.b)))</calculatedColumnFormula>
    </tableColumn>
    <tableColumn id="9" xr3:uid="{B3233561-CD34-C74C-AC76-F8C6A37E7FF5}" name="xsk2g-no-hash" dataDxfId="37">
      <calculatedColumnFormula array="1">_xlfn.LET(_xlpm.d,K$2:K$19,_xlpm.a,$C$2:$C$19=$C23,_xlpm.b,$D$2:$D$19=$D23,MAX(_xlfn._xlws.FILTER(_xlpm.d,_xlpm.a*_xlpm.b)))</calculatedColumnFormula>
    </tableColumn>
    <tableColumn id="10" xr3:uid="{BB3E7C24-9C7E-CA41-B486-4A92CBCDA611}" name="xsk3g-no-hash" dataDxfId="36">
      <calculatedColumnFormula array="1">_xlfn.LET(_xlpm.d,L$2:L$19,_xlpm.a,$C$2:$C$19=$C23,_xlpm.b,$D$2:$D$19=$D23,MAX(_xlfn._xlws.FILTER(_xlpm.d,_xlpm.a*_xlpm.b)))</calculatedColumnFormula>
    </tableColumn>
    <tableColumn id="11" xr3:uid="{80F04C32-D01B-C643-A729-93F3B19FD5DB}" name="xsk4g-no-hash" dataDxfId="35">
      <calculatedColumnFormula array="1">_xlfn.LET(_xlpm.d,M$2:M$19,_xlpm.a,$C$2:$C$19=$C23,_xlpm.b,$D$2:$D$19=$D23,MAX(_xlfn._xlws.FILTER(_xlpm.d,_xlpm.a*_xlpm.b)))</calculatedColumnFormula>
    </tableColumn>
    <tableColumn id="12" xr3:uid="{17099EC4-6FA2-AE47-876E-5A2E668510D5}" name="2g-hash-at-both" dataDxfId="34">
      <calculatedColumnFormula array="1">_xlfn.LET(_xlpm.d,N$2:N$19,_xlpm.a,$C$2:$C$19=$C23,_xlpm.b,$D$2:$D$19=$D23,MAX(_xlfn._xlws.FILTER(_xlpm.d,_xlpm.a*_xlpm.b)))</calculatedColumnFormula>
    </tableColumn>
    <tableColumn id="13" xr3:uid="{7A57B511-0461-0040-A031-CCC77BB40E23}" name="3g-hash-at-both" dataDxfId="33">
      <calculatedColumnFormula array="1">_xlfn.LET(_xlpm.d,O$2:O$19,_xlpm.a,$C$2:$C$19=$C23,_xlpm.b,$D$2:$D$19=$D23,MAX(_xlfn._xlws.FILTER(_xlpm.d,_xlpm.a*_xlpm.b)))</calculatedColumnFormula>
    </tableColumn>
    <tableColumn id="14" xr3:uid="{6E037087-0A09-7242-9C53-FB6DBE07FC58}" name="4g-hash-at-both" dataDxfId="32">
      <calculatedColumnFormula array="1">_xlfn.LET(_xlpm.d,P$2:P$19,_xlpm.a,$C$2:$C$19=$C23,_xlpm.b,$D$2:$D$19=$D23,MAX(_xlfn._xlws.FILTER(_xlpm.d,_xlpm.a*_xlpm.b)))</calculatedColumnFormula>
    </tableColumn>
    <tableColumn id="15" xr3:uid="{AE5E2B4D-C978-C241-B23D-194F8B2EE4E8}" name="xsk2g-hash-at-both" dataDxfId="31">
      <calculatedColumnFormula array="1">_xlfn.LET(_xlpm.d,Q$2:Q$19,_xlpm.a,$C$2:$C$19=$C23,_xlpm.b,$D$2:$D$19=$D23,MAX(_xlfn._xlws.FILTER(_xlpm.d,_xlpm.a*_xlpm.b)))</calculatedColumnFormula>
    </tableColumn>
    <tableColumn id="16" xr3:uid="{C858AC52-CE22-A747-A058-427BD0FCE77F}" name="xsk3g-hash-at-both" dataDxfId="30">
      <calculatedColumnFormula array="1">_xlfn.LET(_xlpm.d,R$2:R$19,_xlpm.a,$C$2:$C$19=$C23,_xlpm.b,$D$2:$D$19=$D23,MAX(_xlfn._xlws.FILTER(_xlpm.d,_xlpm.a*_xlpm.b)))</calculatedColumnFormula>
    </tableColumn>
    <tableColumn id="17" xr3:uid="{BAAA5FDE-51FA-E046-A2A2-4B52D7CACC1B}" name="xsk4g-hash-at-both" dataDxfId="29">
      <calculatedColumnFormula array="1">_xlfn.LET(_xlpm.d,S$2:S$19,_xlpm.a,$C$2:$C$19=$C23,_xlpm.b,$D$2:$D$19=$D23,MAX(_xlfn._xlws.FILTER(_xlpm.d,_xlpm.a*_xlpm.b)))</calculatedColumnFormula>
    </tableColumn>
    <tableColumn id="18" xr3:uid="{51E4F515-B449-3B45-82A8-4EF53C961647}" name="max" dataDxfId="28">
      <calculatedColumnFormula>_xlfn.LET(_xlpm.d,$H23:$S23,MAX(_xlpm.d))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C5072-F047-8B44-8BB6-96052FE91454}" name="Table1" displayName="Table1" ref="A1:T19" totalsRowShown="0">
  <autoFilter ref="A1:T19" xr:uid="{AECC5072-F047-8B44-8BB6-96052FE91454}"/>
  <sortState xmlns:xlrd2="http://schemas.microsoft.com/office/spreadsheetml/2017/richdata2" ref="A2:T19">
    <sortCondition ref="B1:B19"/>
  </sortState>
  <tableColumns count="20">
    <tableColumn id="1" xr3:uid="{1327DC5E-DC70-8A4D-9B1F-3995AE90E6FD}" name="lang"/>
    <tableColumn id="2" xr3:uid="{5EF94ABC-9242-3F46-B0A6-BF578616549F}" name="attribute.index"/>
    <tableColumn id="3" xr3:uid="{7ABA1446-5876-F742-BFE2-C40E3818548C}" name="attribute"/>
    <tableColumn id="4" xr3:uid="{57C4556B-D00C-D24E-BADF-6D97D0CA4318}" name="supplement"/>
    <tableColumn id="5" xr3:uid="{988388D8-7223-204B-885D-63BE8FD231BA}" name="method.index"/>
    <tableColumn id="6" xr3:uid="{B6E039AA-5879-304A-BF97-3FD1C15339DC}" name="method"/>
    <tableColumn id="20" xr3:uid="{CCCF6BFB-699D-8C44-AF57-31ACBF41570F}" name="var"/>
    <tableColumn id="7" xr3:uid="{B547C5B4-5DE8-A540-9F99-C08EB5487E2F}" name="2g-no-hash" dataDxfId="195"/>
    <tableColumn id="8" xr3:uid="{61EE02A8-7C51-254F-8C4A-F987370F31B4}" name="3g-no-hash" dataDxfId="194"/>
    <tableColumn id="9" xr3:uid="{F7CEC792-9442-5845-B7FA-B7EB0C6BAFDB}" name="4g-no-hash" dataDxfId="193"/>
    <tableColumn id="10" xr3:uid="{48A3ABF5-42C0-B247-966C-F76FC9295319}" name="xsk2g-no-hash" dataDxfId="192"/>
    <tableColumn id="11" xr3:uid="{75523B27-FF4E-9041-B642-195593D373FD}" name="xsk3g-no-hash" dataDxfId="191"/>
    <tableColumn id="12" xr3:uid="{CE927920-C222-0044-863A-CD6CCEAB0264}" name="xsk4g-no-hash" dataDxfId="190"/>
    <tableColumn id="13" xr3:uid="{5355CE3B-D063-B74D-B6EE-829545E87A85}" name="2g-hash-at-both" dataDxfId="189"/>
    <tableColumn id="14" xr3:uid="{5A4024C9-DD8A-344F-A354-E76F042BB0C4}" name="3g-hash-at-both" dataDxfId="188"/>
    <tableColumn id="15" xr3:uid="{D0F84E10-490E-FC49-B941-5607004585D3}" name="4g-hash-at-both" dataDxfId="187"/>
    <tableColumn id="16" xr3:uid="{0BC3C2D0-5994-B046-991C-31524C3441D2}" name="xsk2g-hash-at-both" dataDxfId="186"/>
    <tableColumn id="17" xr3:uid="{3A798061-F077-CA49-859C-963FFBF75831}" name="xsk3g-hash-at-both" dataDxfId="185"/>
    <tableColumn id="18" xr3:uid="{36B31AED-5A21-3849-9CEF-A3C4A9D16F62}" name="xsk4g-hash-at-both" dataDxfId="184"/>
    <tableColumn id="19" xr3:uid="{D46E6BD6-2DB9-F94B-BE12-5609179FA557}" name="max" dataDxfId="183">
      <calculatedColumnFormula>_xlfn.LET(_xlpm.d,$H2:$S2,MAX(_xlpm.d))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92717F-4AD9-5A43-997B-DECCE73C02C3}" name="Table5" displayName="Table5" ref="B22:T28" totalsRowShown="0">
  <autoFilter ref="B22:T28" xr:uid="{0692717F-4AD9-5A43-997B-DECCE73C02C3}"/>
  <tableColumns count="19">
    <tableColumn id="1" xr3:uid="{0A4D604F-F8C1-0B4B-90C6-EAE050C704E4}" name="attribute.index"/>
    <tableColumn id="2" xr3:uid="{9D57305A-6224-C542-96F4-FBD9797D0BF6}" name="attribute"/>
    <tableColumn id="3" xr3:uid="{ABC18CB5-FED7-464B-993D-7CA8FB4F071A}" name="supplemented"/>
    <tableColumn id="4" xr3:uid="{847EC6B0-B5D5-F247-A98B-9ED19BC48F2A}" name="method.index"/>
    <tableColumn id="5" xr3:uid="{0ECBE385-F3F8-C340-8178-A4CB9B4B23B7}" name="method"/>
    <tableColumn id="19" xr3:uid="{FD85482E-9EDC-7344-B06B-D02D157CB52D}" name="var"/>
    <tableColumn id="6" xr3:uid="{15590882-F724-4343-85D1-377170A0E8EE}" name="2g-no-hash" dataDxfId="182">
      <calculatedColumnFormula array="1">_xlfn.LET(_xlpm.d,H$2:H$19,_xlpm.a,$C$2:$C$19=$C23,_xlpm.b,$D$2:$D$19=$D23,MAX(_xlfn._xlws.FILTER(_xlpm.d,_xlpm.a*_xlpm.b)))</calculatedColumnFormula>
    </tableColumn>
    <tableColumn id="7" xr3:uid="{A52E75AE-F946-5447-8299-5982E85CF780}" name="3g-no-hash" dataDxfId="181">
      <calculatedColumnFormula array="1">_xlfn.LET(_xlpm.d,I$2:I$19,_xlpm.a,$C$2:$C$19=$C23,_xlpm.b,$D$2:$D$19=$D23,MAX(_xlfn._xlws.FILTER(_xlpm.d,_xlpm.a*_xlpm.b)))</calculatedColumnFormula>
    </tableColumn>
    <tableColumn id="8" xr3:uid="{CDC64800-2690-CF48-BD74-EC01BE5C66DC}" name="4g-no-hash" dataDxfId="180">
      <calculatedColumnFormula array="1">_xlfn.LET(_xlpm.d,J$2:J$19,_xlpm.a,$C$2:$C$19=$C23,_xlpm.b,$D$2:$D$19=$D23,MAX(_xlfn._xlws.FILTER(_xlpm.d,_xlpm.a*_xlpm.b)))</calculatedColumnFormula>
    </tableColumn>
    <tableColumn id="9" xr3:uid="{82E7043E-D5FC-8F41-AA0B-8E3099E7D351}" name="xsk2g-no-hash" dataDxfId="179">
      <calculatedColumnFormula array="1">_xlfn.LET(_xlpm.d,K$2:K$19,_xlpm.a,$C$2:$C$19=$C23,_xlpm.b,$D$2:$D$19=$D23,MAX(_xlfn._xlws.FILTER(_xlpm.d,_xlpm.a*_xlpm.b)))</calculatedColumnFormula>
    </tableColumn>
    <tableColumn id="10" xr3:uid="{DCA1203B-8423-0744-8464-5312746CD7F2}" name="xsk3g-no-hash" dataDxfId="178">
      <calculatedColumnFormula array="1">_xlfn.LET(_xlpm.d,L$2:L$19,_xlpm.a,$C$2:$C$19=$C23,_xlpm.b,$D$2:$D$19=$D23,MAX(_xlfn._xlws.FILTER(_xlpm.d,_xlpm.a*_xlpm.b)))</calculatedColumnFormula>
    </tableColumn>
    <tableColumn id="11" xr3:uid="{CA3B62F6-6129-A24A-9549-B8B366058E32}" name="xsk4g-no-hash" dataDxfId="177">
      <calculatedColumnFormula array="1">_xlfn.LET(_xlpm.d,M$2:M$19,_xlpm.a,$C$2:$C$19=$C23,_xlpm.b,$D$2:$D$19=$D23,MAX(_xlfn._xlws.FILTER(_xlpm.d,_xlpm.a*_xlpm.b)))</calculatedColumnFormula>
    </tableColumn>
    <tableColumn id="12" xr3:uid="{1A869223-8620-BD4F-9428-8E966A3DB61F}" name="2g-hash-at-both" dataDxfId="176">
      <calculatedColumnFormula array="1">_xlfn.LET(_xlpm.d,N$2:N$19,_xlpm.a,$C$2:$C$19=$C23,_xlpm.b,$D$2:$D$19=$D23,MAX(_xlfn._xlws.FILTER(_xlpm.d,_xlpm.a*_xlpm.b)))</calculatedColumnFormula>
    </tableColumn>
    <tableColumn id="13" xr3:uid="{24A6594B-092E-3C4F-8A5F-47E5BB46BB2E}" name="3g-hash-at-both" dataDxfId="175">
      <calculatedColumnFormula array="1">_xlfn.LET(_xlpm.d,O$2:O$19,_xlpm.a,$C$2:$C$19=$C23,_xlpm.b,$D$2:$D$19=$D23,MAX(_xlfn._xlws.FILTER(_xlpm.d,_xlpm.a*_xlpm.b)))</calculatedColumnFormula>
    </tableColumn>
    <tableColumn id="14" xr3:uid="{16D8FD4F-762F-2F43-867F-15E30B5AD39D}" name="4g-hash-at-both" dataDxfId="174">
      <calculatedColumnFormula array="1">_xlfn.LET(_xlpm.d,P$2:P$19,_xlpm.a,$C$2:$C$19=$C23,_xlpm.b,$D$2:$D$19=$D23,MAX(_xlfn._xlws.FILTER(_xlpm.d,_xlpm.a*_xlpm.b)))</calculatedColumnFormula>
    </tableColumn>
    <tableColumn id="15" xr3:uid="{76D12C91-CCEF-C848-BB96-F03B2CD62923}" name="xsk2g-hash-at-both" dataDxfId="173">
      <calculatedColumnFormula array="1">_xlfn.LET(_xlpm.d,Q$2:Q$19,_xlpm.a,$C$2:$C$19=$C23,_xlpm.b,$D$2:$D$19=$D23,MAX(_xlfn._xlws.FILTER(_xlpm.d,_xlpm.a*_xlpm.b)))</calculatedColumnFormula>
    </tableColumn>
    <tableColumn id="16" xr3:uid="{81B15818-6876-A44C-A260-2A604BAEBA82}" name="xsk3g-hash-at-both" dataDxfId="172">
      <calculatedColumnFormula array="1">_xlfn.LET(_xlpm.d,R$2:R$19,_xlpm.a,$C$2:$C$19=$C23,_xlpm.b,$D$2:$D$19=$D23,MAX(_xlfn._xlws.FILTER(_xlpm.d,_xlpm.a*_xlpm.b)))</calculatedColumnFormula>
    </tableColumn>
    <tableColumn id="17" xr3:uid="{68EEFDA4-F174-D544-B865-C8873AAC456B}" name="xsk4g-hash-at-both" dataDxfId="171">
      <calculatedColumnFormula array="1">_xlfn.LET(_xlpm.d,S$2:S$19,_xlpm.a,$C$2:$C$19=$C23,_xlpm.b,$D$2:$D$19=$D23,MAX(_xlfn._xlws.FILTER(_xlpm.d,_xlpm.a*_xlpm.b)))</calculatedColumnFormula>
    </tableColumn>
    <tableColumn id="18" xr3:uid="{305EE662-6124-4B43-A625-37C51A44D2EB}" name="max" dataDxfId="170">
      <calculatedColumnFormula>_xlfn.LET(_xlpm.d,$H23:$S23,MAX(_xlpm.d))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01E4AC-E1BD-4B46-BA1F-009F8AD77F50}" name="Table7" displayName="Table7" ref="B36:R42" totalsRowShown="0">
  <autoFilter ref="B36:R42" xr:uid="{C401E4AC-E1BD-4B46-BA1F-009F8AD77F50}"/>
  <tableColumns count="17">
    <tableColumn id="1" xr3:uid="{56B3EF89-7FD5-B942-BB80-1168A5FD3080}" name="attribute.index"/>
    <tableColumn id="2" xr3:uid="{B3B6F63C-9DCD-1145-9396-EEA93ED3F654}" name="attribute"/>
    <tableColumn id="3" xr3:uid="{26C64D56-F266-964B-84C2-81CC0155F159}" name="supplemented"/>
    <tableColumn id="4" xr3:uid="{3DD6726E-6154-7246-AD5A-A532BFD45820}" name="method.index"/>
    <tableColumn id="5" xr3:uid="{9EE0ACFE-5BFA-C545-B5E1-8AC65D7DA907}" name="method"/>
    <tableColumn id="6" xr3:uid="{B25ED553-0048-354F-8E6A-9CA218DDA650}" name="2g-no-hash" dataDxfId="169">
      <calculatedColumnFormula>_xlfn.LET(_xlpm.d,$H23:$Y23,RANK(H23,_xlpm.d))</calculatedColumnFormula>
    </tableColumn>
    <tableColumn id="7" xr3:uid="{43AF6FE3-AB63-2947-92C1-DFBC7EB0B01C}" name="3g-no-hash" dataDxfId="168">
      <calculatedColumnFormula>_xlfn.LET(_xlpm.d,$H23:$Y23,RANK(I23,_xlpm.d))</calculatedColumnFormula>
    </tableColumn>
    <tableColumn id="8" xr3:uid="{68B4DDFF-FE87-1A4A-8AE5-2D25C1A0F149}" name="4g-no-hash" dataDxfId="167">
      <calculatedColumnFormula>_xlfn.LET(_xlpm.d,$H23:$Y23,RANK(J23,_xlpm.d))</calculatedColumnFormula>
    </tableColumn>
    <tableColumn id="9" xr3:uid="{2660BFF4-80A4-BE42-ABDA-FD0CEC726255}" name="xsk2g-no-hash" dataDxfId="166">
      <calculatedColumnFormula>_xlfn.LET(_xlpm.d,$H23:$Y23,RANK(K23,_xlpm.d))</calculatedColumnFormula>
    </tableColumn>
    <tableColumn id="10" xr3:uid="{EADBDB0B-2F23-484D-B529-BAB92E32C6CF}" name="xsk3g-no-hash" dataDxfId="165">
      <calculatedColumnFormula>_xlfn.LET(_xlpm.d,$H23:$Y23,RANK(L23,_xlpm.d))</calculatedColumnFormula>
    </tableColumn>
    <tableColumn id="11" xr3:uid="{B5C4D9BB-9BB8-9C44-AEAB-770E9AA3A25C}" name="xsk4g-no-hash" dataDxfId="164">
      <calculatedColumnFormula>_xlfn.LET(_xlpm.d,$H23:$Y23,RANK(M23,_xlpm.d))</calculatedColumnFormula>
    </tableColumn>
    <tableColumn id="12" xr3:uid="{DB7B33B1-2A72-E84E-BAD1-F7CAC688F8FE}" name="2g-hash-at-both" dataDxfId="163">
      <calculatedColumnFormula>_xlfn.LET(_xlpm.d,$H23:$Y23,RANK(N23,_xlpm.d))</calculatedColumnFormula>
    </tableColumn>
    <tableColumn id="13" xr3:uid="{6A1E6416-EF0B-7743-B8BA-75D1227DD32C}" name="3g-hash-at-both" dataDxfId="162">
      <calculatedColumnFormula>_xlfn.LET(_xlpm.d,$H23:$Y23,RANK(O23,_xlpm.d))</calculatedColumnFormula>
    </tableColumn>
    <tableColumn id="14" xr3:uid="{5E6B89E7-58A3-904C-9E47-0E3C51164BB7}" name="4g-hash-at-both" dataDxfId="161">
      <calculatedColumnFormula>_xlfn.LET(_xlpm.d,$H23:$Y23,RANK(P23,_xlpm.d))</calculatedColumnFormula>
    </tableColumn>
    <tableColumn id="15" xr3:uid="{21219D4A-B484-A546-8EDD-17BC82C048DA}" name="xsk2g-hash-at-both" dataDxfId="160">
      <calculatedColumnFormula>_xlfn.LET(_xlpm.d,$H23:$Y23,RANK(Q23,_xlpm.d))</calculatedColumnFormula>
    </tableColumn>
    <tableColumn id="16" xr3:uid="{3F4A3F78-7141-834C-94FF-F2D1E1F5E38D}" name="xsk3g-hash-at-both" dataDxfId="159">
      <calculatedColumnFormula>_xlfn.LET(_xlpm.d,$H23:$Y23,RANK(R23,_xlpm.d))</calculatedColumnFormula>
    </tableColumn>
    <tableColumn id="17" xr3:uid="{7A5E4F7B-263F-8A4C-B443-A6716A44D562}" name="xsk4g-hash-at-both" dataDxfId="158">
      <calculatedColumnFormula>_xlfn.LET(_xlpm.d,$H23:$Y23,RANK(S23,_xlpm.d))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23337EC-5711-564A-B351-1935FAB79A58}" name="Table15" displayName="Table15" ref="A1:T19" totalsRowShown="0">
  <autoFilter ref="A1:T19" xr:uid="{223337EC-5711-564A-B351-1935FAB79A58}"/>
  <tableColumns count="20">
    <tableColumn id="1" xr3:uid="{F1C8B7A0-10D7-3F40-A30E-20B715F5D6C3}" name="lang"/>
    <tableColumn id="2" xr3:uid="{75F5A51E-C195-7046-9C95-BADA7494DC0F}" name="attribute.index"/>
    <tableColumn id="3" xr3:uid="{34A98051-6E64-B84C-BB33-0006A9B845AB}" name="attribute"/>
    <tableColumn id="4" xr3:uid="{3E2C38FF-107D-AC45-95ED-F481A9449A8C}" name="supplement"/>
    <tableColumn id="5" xr3:uid="{E28CF826-B82B-3445-AAEE-1965B9696982}" name="method.index"/>
    <tableColumn id="6" xr3:uid="{F5E86172-E879-854F-8446-C7785E2952ED}" name="method"/>
    <tableColumn id="20" xr3:uid="{079BC762-FA8D-F04F-A50F-F0A0BCBECC9C}" name="var"/>
    <tableColumn id="7" xr3:uid="{1EC54AEF-6F3D-DD47-B4A0-CCABB873D750}" name="2g-no-hash" dataDxfId="92"/>
    <tableColumn id="8" xr3:uid="{0C5E380B-8FB1-F844-BB30-5C40BF798C5C}" name="3g-no-hash" dataDxfId="91"/>
    <tableColumn id="9" xr3:uid="{D6921DA4-377D-7540-AA0C-2E276C2262C2}" name="4g-no-hash" dataDxfId="90"/>
    <tableColumn id="10" xr3:uid="{59D9392F-5082-F245-ADD5-4011DBF9742A}" name="xsk2g-no-hash" dataDxfId="89"/>
    <tableColumn id="11" xr3:uid="{D59FB975-1C6D-164C-97CA-05591BBA8607}" name="xsk3g-no-hash" dataDxfId="88"/>
    <tableColumn id="12" xr3:uid="{ECFF8440-BC4D-784D-A7C5-D9ECA481B703}" name="xsk4g-no-hash" dataDxfId="87"/>
    <tableColumn id="13" xr3:uid="{1F573017-61BD-0246-9158-6D7132F34BFB}" name="2g-hash-at-both" dataDxfId="86"/>
    <tableColumn id="14" xr3:uid="{9D80B091-1EF9-EF46-8E9C-1C951A342A73}" name="3g-hash-at-both" dataDxfId="85"/>
    <tableColumn id="15" xr3:uid="{E463BCF8-11F3-394C-990E-550267C2D65F}" name="4g-hash-at-both" dataDxfId="84"/>
    <tableColumn id="16" xr3:uid="{D8F2A615-3D29-3343-804B-8AD6D3F46A75}" name="xsk2g-hash-at-both" dataDxfId="83"/>
    <tableColumn id="17" xr3:uid="{B1220F62-F5AF-064A-AF38-D7E8DE60470C}" name="xsk3g-hash-at-both" dataDxfId="82"/>
    <tableColumn id="18" xr3:uid="{F0011FE7-5ACC-9C47-9E66-3C83947AF72C}" name="xsk4g-hash-at-both" dataDxfId="81"/>
    <tableColumn id="19" xr3:uid="{BB8B82DD-0FFD-4E42-B59A-7974E0BE852A}" name="max" dataDxfId="80">
      <calculatedColumnFormula>MAX($H2:$S2)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9131EFC-BEC0-E948-B8B1-41DC30BAB200}" name="Table1319" displayName="Table1319" ref="B22:T28" totalsRowShown="0">
  <autoFilter ref="B22:T28" xr:uid="{99131EFC-BEC0-E948-B8B1-41DC30BAB200}"/>
  <tableColumns count="19">
    <tableColumn id="1" xr3:uid="{732ED10F-00E2-C54F-A73E-07DDBCB468BB}" name="attribute.index"/>
    <tableColumn id="2" xr3:uid="{61F4261F-5312-C647-A056-83EDD9FB128B}" name="attribute"/>
    <tableColumn id="3" xr3:uid="{A18D09D3-DAEB-7C42-8573-9A368A631E44}" name="supplemented"/>
    <tableColumn id="4" xr3:uid="{BA888DF9-BFAF-A349-83ED-C080BCF38057}" name="method.index"/>
    <tableColumn id="5" xr3:uid="{F6E70923-C3AE-DF4F-A19D-B0F0D411E152}" name="method"/>
    <tableColumn id="19" xr3:uid="{0CBF4B15-61A9-BD40-8241-157919B61FF6}" name="var"/>
    <tableColumn id="6" xr3:uid="{63507A04-0DEF-7C49-8B74-FF141EB82E4C}" name="2g-no-hash" dataDxfId="27">
      <calculatedColumnFormula array="1">_xlfn.LET(_xlpm.d,H$2:H$19,_xlpm.a,$C$2:$C$19=$C23,_xlpm.b,$D$2:$D$19=$D23,MAX(_xlfn._xlws.FILTER(_xlpm.d,_xlpm.a*_xlpm.b)))</calculatedColumnFormula>
    </tableColumn>
    <tableColumn id="7" xr3:uid="{87A2577D-05A7-9343-B3E7-2A55D65EB1BF}" name="3g-no-hash" dataDxfId="26">
      <calculatedColumnFormula array="1">_xlfn.LET(_xlpm.d,I$2:I$19,_xlpm.a,$C$2:$C$19=$C23,_xlpm.b,$D$2:$D$19=$D23,MAX(_xlfn._xlws.FILTER(_xlpm.d,_xlpm.a*_xlpm.b)))</calculatedColumnFormula>
    </tableColumn>
    <tableColumn id="8" xr3:uid="{AD20FBB3-5E93-1B40-BAAD-A4D62B31F535}" name="4g-no-hash" dataDxfId="25">
      <calculatedColumnFormula array="1">_xlfn.LET(_xlpm.d,J$2:J$19,_xlpm.a,$C$2:$C$19=$C23,_xlpm.b,$D$2:$D$19=$D23,MAX(_xlfn._xlws.FILTER(_xlpm.d,_xlpm.a*_xlpm.b)))</calculatedColumnFormula>
    </tableColumn>
    <tableColumn id="9" xr3:uid="{DF41BA54-4B8D-064F-9109-00E306D583B4}" name="xsk2g-no-hash" dataDxfId="24">
      <calculatedColumnFormula array="1">_xlfn.LET(_xlpm.d,K$2:K$19,_xlpm.a,$C$2:$C$19=$C23,_xlpm.b,$D$2:$D$19=$D23,MAX(_xlfn._xlws.FILTER(_xlpm.d,_xlpm.a*_xlpm.b)))</calculatedColumnFormula>
    </tableColumn>
    <tableColumn id="10" xr3:uid="{CA6A48B1-5D16-0B49-A2CE-792396A99ACE}" name="xsk3g-no-hash" dataDxfId="23">
      <calculatedColumnFormula array="1">_xlfn.LET(_xlpm.d,L$2:L$19,_xlpm.a,$C$2:$C$19=$C23,_xlpm.b,$D$2:$D$19=$D23,MAX(_xlfn._xlws.FILTER(_xlpm.d,_xlpm.a*_xlpm.b)))</calculatedColumnFormula>
    </tableColumn>
    <tableColumn id="11" xr3:uid="{505255C8-DE50-E141-AA89-9EAAAAB14AFF}" name="xsk4g-no-hash" dataDxfId="22">
      <calculatedColumnFormula array="1">_xlfn.LET(_xlpm.d,M$2:M$19,_xlpm.a,$C$2:$C$19=$C23,_xlpm.b,$D$2:$D$19=$D23,MAX(_xlfn._xlws.FILTER(_xlpm.d,_xlpm.a*_xlpm.b)))</calculatedColumnFormula>
    </tableColumn>
    <tableColumn id="12" xr3:uid="{6B005D4E-1B8B-D24D-B848-3E7ADEB49FB6}" name="2g-hash-at-both" dataDxfId="21">
      <calculatedColumnFormula array="1">_xlfn.LET(_xlpm.d,N$2:N$19,_xlpm.a,$C$2:$C$19=$C23,_xlpm.b,$D$2:$D$19=$D23,MAX(_xlfn._xlws.FILTER(_xlpm.d,_xlpm.a*_xlpm.b)))</calculatedColumnFormula>
    </tableColumn>
    <tableColumn id="13" xr3:uid="{D203DD4B-E636-6944-8C79-50F3AD737E71}" name="3g-hash-at-both" dataDxfId="20">
      <calculatedColumnFormula array="1">_xlfn.LET(_xlpm.d,O$2:O$19,_xlpm.a,$C$2:$C$19=$C23,_xlpm.b,$D$2:$D$19=$D23,MAX(_xlfn._xlws.FILTER(_xlpm.d,_xlpm.a*_xlpm.b)))</calculatedColumnFormula>
    </tableColumn>
    <tableColumn id="14" xr3:uid="{5739D3C2-ED03-9C45-82D5-28E8ECBF17FF}" name="4g-hash-at-both" dataDxfId="19">
      <calculatedColumnFormula array="1">_xlfn.LET(_xlpm.d,P$2:P$19,_xlpm.a,$C$2:$C$19=$C23,_xlpm.b,$D$2:$D$19=$D23,MAX(_xlfn._xlws.FILTER(_xlpm.d,_xlpm.a*_xlpm.b)))</calculatedColumnFormula>
    </tableColumn>
    <tableColumn id="15" xr3:uid="{27510718-D96D-5B4A-A8DE-3DDB969FF38D}" name="xsk2g-hash-at-both" dataDxfId="18">
      <calculatedColumnFormula array="1">_xlfn.LET(_xlpm.d,Q$2:Q$19,_xlpm.a,$C$2:$C$19=$C23,_xlpm.b,$D$2:$D$19=$D23,MAX(_xlfn._xlws.FILTER(_xlpm.d,_xlpm.a*_xlpm.b)))</calculatedColumnFormula>
    </tableColumn>
    <tableColumn id="16" xr3:uid="{BE22D828-F64A-3244-B3CB-1470DA320A96}" name="xsk3g-hash-at-both" dataDxfId="17">
      <calculatedColumnFormula array="1">_xlfn.LET(_xlpm.d,R$2:R$19,_xlpm.a,$C$2:$C$19=$C23,_xlpm.b,$D$2:$D$19=$D23,MAX(_xlfn._xlws.FILTER(_xlpm.d,_xlpm.a*_xlpm.b)))</calculatedColumnFormula>
    </tableColumn>
    <tableColumn id="17" xr3:uid="{C776C7C1-5F55-0242-85D8-2EAEB7649215}" name="xsk4g-hash-at-both" dataDxfId="16">
      <calculatedColumnFormula array="1">_xlfn.LET(_xlpm.d,S$2:S$19,_xlpm.a,$C$2:$C$19=$C23,_xlpm.b,$D$2:$D$19=$D23,MAX(_xlfn._xlws.FILTER(_xlpm.d,_xlpm.a*_xlpm.b)))</calculatedColumnFormula>
    </tableColumn>
    <tableColumn id="18" xr3:uid="{368D1F29-80C5-F545-ACF4-D321DBC3CDDA}" name="max" dataDxfId="15">
      <calculatedColumnFormula>_xlfn.LET(_xlpm.d,$H23:$S23,MAX(_xlpm.d))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CFC09F-4CA7-5A4B-8710-2254971E0D64}" name="Table3" displayName="Table3" ref="A1:T19" totalsRowShown="0">
  <autoFilter ref="A1:T19" xr:uid="{20CFC09F-4CA7-5A4B-8710-2254971E0D64}"/>
  <sortState xmlns:xlrd2="http://schemas.microsoft.com/office/spreadsheetml/2017/richdata2" ref="A2:T19">
    <sortCondition ref="B1:B19"/>
  </sortState>
  <tableColumns count="20">
    <tableColumn id="1" xr3:uid="{BF35C7E1-BA33-8348-81F9-C57324460597}" name="lang"/>
    <tableColumn id="2" xr3:uid="{D5E39B1A-2425-1D4E-BC5B-18BE3E7E6660}" name="attribute.index"/>
    <tableColumn id="3" xr3:uid="{6BAA365A-F6C8-5D4C-8F01-4A53503BDC88}" name="attribute"/>
    <tableColumn id="4" xr3:uid="{584BAD1A-9B8E-0547-96D9-A92A5A8DE50C}" name="supplement"/>
    <tableColumn id="5" xr3:uid="{9A00C24F-08E3-E844-B5A6-E2D6D4403A02}" name="method.index"/>
    <tableColumn id="6" xr3:uid="{FAC137F9-992F-F84A-8FEB-6E306FB9B6B7}" name="method"/>
    <tableColumn id="20" xr3:uid="{44FF8FEC-7D8F-7E4C-A907-C972A2D4E366}" name="var"/>
    <tableColumn id="7" xr3:uid="{B0EA0C28-58A7-7847-A0A3-D5CED943EFC0}" name="2g-no-hash" dataDxfId="130"/>
    <tableColumn id="8" xr3:uid="{EA3E43C7-1764-C347-A3E2-7D20096614E3}" name="3g-no-hash" dataDxfId="129"/>
    <tableColumn id="9" xr3:uid="{908B93EF-68ED-B840-9D06-53E9DA28FADB}" name="4g-no-hash" dataDxfId="128"/>
    <tableColumn id="10" xr3:uid="{A5CA07AC-2A66-C543-B13E-DD6CE094F3E3}" name="xsk2g-no-hash" dataDxfId="127"/>
    <tableColumn id="11" xr3:uid="{26A5F9ED-F6B2-134F-B1DC-AC26E155B105}" name="xsk3g-no-hash" dataDxfId="126"/>
    <tableColumn id="12" xr3:uid="{F47EE545-5E10-4848-BD75-A72E0AFE04AB}" name="xsk4g-no-hash" dataDxfId="125"/>
    <tableColumn id="13" xr3:uid="{AE7DBC1B-0B86-6844-A15A-A2602343D372}" name="2g-hash-at-both" dataDxfId="124"/>
    <tableColumn id="14" xr3:uid="{465F812F-73F8-8548-9144-04C25B3C278A}" name="3g-hash-at-both" dataDxfId="123"/>
    <tableColumn id="15" xr3:uid="{71E8F9E2-32E5-CC4E-A9B4-9BEB76A59277}" name="4g-hash-at-both" dataDxfId="122"/>
    <tableColumn id="16" xr3:uid="{8AD668A4-7E49-9443-ABE3-AA6A4B0AE83D}" name="xsk2g-hash-at-both" dataDxfId="121"/>
    <tableColumn id="17" xr3:uid="{861BBDFD-B295-FF44-9C9A-F8A1E16A6DDC}" name="xsk3g-hash-at-both" dataDxfId="120"/>
    <tableColumn id="18" xr3:uid="{1A3A42F7-BD1E-504A-B956-CBC1CB0D9385}" name="xsk4g-hash-at-both" dataDxfId="119"/>
    <tableColumn id="19" xr3:uid="{48EA1203-65AC-F84A-9C85-DD4C4DAE1843}" name="max" dataDxfId="118">
      <calculatedColumnFormula>_xlfn.LET(_xlpm.d,$H2:$S2,MAX(_xlpm.d))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F24483-B63C-3942-A489-0606D6A9489E}" name="Table2" displayName="Table2" ref="B22:T28" totalsRowShown="0">
  <autoFilter ref="B22:T28" xr:uid="{87F24483-B63C-3942-A489-0606D6A9489E}"/>
  <sortState xmlns:xlrd2="http://schemas.microsoft.com/office/spreadsheetml/2017/richdata2" ref="B23:T28">
    <sortCondition ref="B22:B28"/>
  </sortState>
  <tableColumns count="19">
    <tableColumn id="1" xr3:uid="{30E0AE77-C6FC-E347-B6D5-8EAAF1DF0E94}" name="attribute.index"/>
    <tableColumn id="2" xr3:uid="{C8C80A21-AD3B-DB46-87A6-CF62F2402F24}" name="attribute"/>
    <tableColumn id="3" xr3:uid="{3EF4C6F0-90A5-AB44-BE18-CF8C979EEE3D}" name="supplemented"/>
    <tableColumn id="4" xr3:uid="{D59D64D7-8BD8-F447-99AA-39C288527CC9}" name="method.index"/>
    <tableColumn id="5" xr3:uid="{CD69AB9A-CF97-2545-9577-614FA623566A}" name="metric"/>
    <tableColumn id="19" xr3:uid="{B2B56C8F-209E-DA4D-97EE-D1BBCAC1EFCA}" name="var"/>
    <tableColumn id="6" xr3:uid="{173BF06A-EB12-FE4B-B275-8757A59A2DD9}" name="2g-no-hash" dataDxfId="117">
      <calculatedColumnFormula array="1">_xlfn.LET(_xlpm.d,H$2:H$19,_xlpm.a,$C$2:$C$19=$C23,_xlpm.b,$D$2:$D$19=$D23,MAX(_xlfn._xlws.FILTER(_xlpm.d,_xlpm.a*_xlpm.b)))</calculatedColumnFormula>
    </tableColumn>
    <tableColumn id="7" xr3:uid="{500FC6A2-7D25-D44C-95C5-A83BC4EF1EF9}" name="3g-no-hash" dataDxfId="116">
      <calculatedColumnFormula array="1">_xlfn.LET(_xlpm.d,I$2:I$19,_xlpm.a,$C$2:$C$19=$C23,_xlpm.b,$D$2:$D$19=$D23,MAX(_xlfn._xlws.FILTER(_xlpm.d,_xlpm.a*_xlpm.b)))</calculatedColumnFormula>
    </tableColumn>
    <tableColumn id="8" xr3:uid="{F90254CD-E506-3748-A105-6E437DE172CF}" name="4g-no-hash" dataDxfId="115">
      <calculatedColumnFormula array="1">_xlfn.LET(_xlpm.d,J$2:J$19,_xlpm.a,$C$2:$C$19=$C23,_xlpm.b,$D$2:$D$19=$D23,MAX(_xlfn._xlws.FILTER(_xlpm.d,_xlpm.a*_xlpm.b)))</calculatedColumnFormula>
    </tableColumn>
    <tableColumn id="9" xr3:uid="{A21E58B8-9C99-684B-9B98-5E767F595E49}" name="xsk2g-no-hash" dataDxfId="114">
      <calculatedColumnFormula array="1">_xlfn.LET(_xlpm.d,K$2:K$19,_xlpm.a,$C$2:$C$19=$C23,_xlpm.b,$D$2:$D$19=$D23,MAX(_xlfn._xlws.FILTER(_xlpm.d,_xlpm.a*_xlpm.b)))</calculatedColumnFormula>
    </tableColumn>
    <tableColumn id="10" xr3:uid="{79DD0EFB-BCFF-3A44-BEE0-9708900FEEB7}" name="xsk3g-no-hash" dataDxfId="113">
      <calculatedColumnFormula array="1">_xlfn.LET(_xlpm.d,L$2:L$19,_xlpm.a,$C$2:$C$19=$C23,_xlpm.b,$D$2:$D$19=$D23,MAX(_xlfn._xlws.FILTER(_xlpm.d,_xlpm.a*_xlpm.b)))</calculatedColumnFormula>
    </tableColumn>
    <tableColumn id="11" xr3:uid="{918A39EA-63FB-E64B-B611-B0E0895AC4CC}" name="xsk4g-no-hash" dataDxfId="112">
      <calculatedColumnFormula array="1">_xlfn.LET(_xlpm.d,M$2:M$19,_xlpm.a,$C$2:$C$19=$C23,_xlpm.b,$D$2:$D$19=$D23,MAX(_xlfn._xlws.FILTER(_xlpm.d,_xlpm.a*_xlpm.b)))</calculatedColumnFormula>
    </tableColumn>
    <tableColumn id="12" xr3:uid="{643226FD-FE77-FC4C-B6AC-9EF55827BE1C}" name="2g-hash-at-both" dataDxfId="111">
      <calculatedColumnFormula array="1">_xlfn.LET(_xlpm.d,N$2:N$19,_xlpm.a,$C$2:$C$19=$C23,_xlpm.b,$D$2:$D$19=$D23,MAX(_xlfn._xlws.FILTER(_xlpm.d,_xlpm.a*_xlpm.b)))</calculatedColumnFormula>
    </tableColumn>
    <tableColumn id="13" xr3:uid="{2A89E8D4-95D1-9F46-ADCE-BA946555C8F2}" name="3g-hash-at-both" dataDxfId="110">
      <calculatedColumnFormula array="1">_xlfn.LET(_xlpm.d,O$2:O$19,_xlpm.a,$C$2:$C$19=$C23,_xlpm.b,$D$2:$D$19=$D23,MAX(_xlfn._xlws.FILTER(_xlpm.d,_xlpm.a*_xlpm.b)))</calculatedColumnFormula>
    </tableColumn>
    <tableColumn id="14" xr3:uid="{AB8A53EE-2B68-2841-8A75-23291B8F60AD}" name="4g-hash-at-both" dataDxfId="109">
      <calculatedColumnFormula array="1">_xlfn.LET(_xlpm.d,P$2:P$19,_xlpm.a,$C$2:$C$19=$C23,_xlpm.b,$D$2:$D$19=$D23,MAX(_xlfn._xlws.FILTER(_xlpm.d,_xlpm.a*_xlpm.b)))</calculatedColumnFormula>
    </tableColumn>
    <tableColumn id="15" xr3:uid="{C70701AA-8F74-B343-A646-B2B8D9B87822}" name="xsk2g-hash-at-both" dataDxfId="108">
      <calculatedColumnFormula array="1">_xlfn.LET(_xlpm.d,Q$2:Q$19,_xlpm.a,$C$2:$C$19=$C23,_xlpm.b,$D$2:$D$19=$D23,MAX(_xlfn._xlws.FILTER(_xlpm.d,_xlpm.a*_xlpm.b)))</calculatedColumnFormula>
    </tableColumn>
    <tableColumn id="16" xr3:uid="{6BBDF50F-486C-B048-A0EF-554CFC2A37EC}" name="xsk3g-hash-at-both" dataDxfId="107">
      <calculatedColumnFormula array="1">_xlfn.LET(_xlpm.d,R$2:R$19,_xlpm.a,$C$2:$C$19=$C23,_xlpm.b,$D$2:$D$19=$D23,MAX(_xlfn._xlws.FILTER(_xlpm.d,_xlpm.a*_xlpm.b)))</calculatedColumnFormula>
    </tableColumn>
    <tableColumn id="17" xr3:uid="{261F03BD-D62A-5747-AF6F-9F060FE5962A}" name="xsk4g-hash-at-both" dataDxfId="106">
      <calculatedColumnFormula array="1">_xlfn.LET(_xlpm.d,S$2:S$19,_xlpm.a,$C$2:$C$19=$C23,_xlpm.b,$D$2:$D$19=$D23,MAX(_xlfn._xlws.FILTER(_xlpm.d,_xlpm.a*_xlpm.b)))</calculatedColumnFormula>
    </tableColumn>
    <tableColumn id="18" xr3:uid="{6E7B9E79-3818-3648-984A-96BF80A0A86C}" name="max" dataDxfId="105">
      <calculatedColumnFormula>_xlfn.LET(_xlpm.d,$H23:$S23,MAX(_xlpm.d))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5B3FCA-ED32-0648-A329-5C488231AFA9}" name="Table4" displayName="Table4" ref="B36:S42" totalsRowShown="0">
  <autoFilter ref="B36:S42" xr:uid="{8D5B3FCA-ED32-0648-A329-5C488231AFA9}"/>
  <sortState xmlns:xlrd2="http://schemas.microsoft.com/office/spreadsheetml/2017/richdata2" ref="B37:S42">
    <sortCondition ref="B36:B42"/>
  </sortState>
  <tableColumns count="18">
    <tableColumn id="1" xr3:uid="{CD2F59C9-1D96-7344-B8FF-FF706ECF3765}" name="attribute.index"/>
    <tableColumn id="2" xr3:uid="{12066580-1BB8-CA49-8BB6-D316DD41F483}" name="attribute"/>
    <tableColumn id="3" xr3:uid="{A0850B8D-F5B5-D74E-A671-F484012D33D6}" name="supplemented"/>
    <tableColumn id="4" xr3:uid="{5F213885-F0F2-FA40-8D06-8042C2B8B917}" name="method.index"/>
    <tableColumn id="5" xr3:uid="{31F01251-0B8A-D44E-B198-2FE16019FEB1}" name="method"/>
    <tableColumn id="18" xr3:uid="{2B690372-159A-B94B-999D-363D8D85E6C1}" name="var"/>
    <tableColumn id="6" xr3:uid="{EEAC4039-F730-1549-801D-2EDDBA38DDDF}" name="2g-no-hash" dataDxfId="104">
      <calculatedColumnFormula>_xlfn.LET(_xlpm.d,$H23:$Y23,RANK(H23,_xlpm.d))</calculatedColumnFormula>
    </tableColumn>
    <tableColumn id="7" xr3:uid="{DBAB9736-99BD-CF4B-8361-8E0C51091906}" name="3g-no-hash" dataDxfId="103">
      <calculatedColumnFormula>_xlfn.LET(_xlpm.d,$H23:$Y23,RANK(I23,_xlpm.d))</calculatedColumnFormula>
    </tableColumn>
    <tableColumn id="8" xr3:uid="{927456A5-8AE3-4A45-846E-BFB936B70FF1}" name="4g-no-hash" dataDxfId="102">
      <calculatedColumnFormula>_xlfn.LET(_xlpm.d,$H23:$Y23,RANK(J23,_xlpm.d))</calculatedColumnFormula>
    </tableColumn>
    <tableColumn id="9" xr3:uid="{972C69D0-9DE2-6E49-BC3D-F5C31523CE66}" name="xsk2g-no-hash" dataDxfId="101">
      <calculatedColumnFormula>_xlfn.LET(_xlpm.d,$H23:$Y23,RANK(K23,_xlpm.d))</calculatedColumnFormula>
    </tableColumn>
    <tableColumn id="10" xr3:uid="{D861C871-6365-A543-9803-7D49C7032DD0}" name="xsk3g-no-hash" dataDxfId="100">
      <calculatedColumnFormula>_xlfn.LET(_xlpm.d,$H23:$Y23,RANK(L23,_xlpm.d))</calculatedColumnFormula>
    </tableColumn>
    <tableColumn id="11" xr3:uid="{417818D4-4BDB-444B-9498-70E594A7E163}" name="xsk4g-no-hash" dataDxfId="99">
      <calculatedColumnFormula>_xlfn.LET(_xlpm.d,$H23:$Y23,RANK(M23,_xlpm.d))</calculatedColumnFormula>
    </tableColumn>
    <tableColumn id="12" xr3:uid="{588D8201-C0E6-574E-92B8-F8C85F07BB1B}" name="2g-hash-at-both" dataDxfId="98">
      <calculatedColumnFormula>_xlfn.LET(_xlpm.d,$H23:$Y23,RANK(N23,_xlpm.d))</calculatedColumnFormula>
    </tableColumn>
    <tableColumn id="13" xr3:uid="{5B698121-E862-AA45-AD1C-50F295CD5C23}" name="3g-hash-at-both" dataDxfId="97">
      <calculatedColumnFormula>_xlfn.LET(_xlpm.d,$H23:$Y23,RANK(O23,_xlpm.d))</calculatedColumnFormula>
    </tableColumn>
    <tableColumn id="14" xr3:uid="{5219CE5F-7CE4-AA4D-9296-02118541158B}" name="4g-hash-at-both" dataDxfId="96">
      <calculatedColumnFormula>_xlfn.LET(_xlpm.d,$H23:$Y23,RANK(P23,_xlpm.d))</calculatedColumnFormula>
    </tableColumn>
    <tableColumn id="15" xr3:uid="{E668E961-BD4B-3346-828E-4C03DDAFC353}" name="xsk2g-hash-at-both" dataDxfId="95">
      <calculatedColumnFormula>_xlfn.LET(_xlpm.d,$H23:$Y23,RANK(Q23,_xlpm.d))</calculatedColumnFormula>
    </tableColumn>
    <tableColumn id="16" xr3:uid="{BA65E9DB-D9BF-6A45-9C28-6BF4DBEED5A4}" name="xsk3g-hash-at-both" dataDxfId="94">
      <calculatedColumnFormula>_xlfn.LET(_xlpm.d,$H23:$Y23,RANK(R23,_xlpm.d))</calculatedColumnFormula>
    </tableColumn>
    <tableColumn id="17" xr3:uid="{E938720F-87F8-5246-A76F-9B80CB8AA9ED}" name="xsk4g-hash-at-both" dataDxfId="93">
      <calculatedColumnFormula>_xlfn.LET(_xlpm.d,$H23:$Y23,RANK(S23,_xlpm.d))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D140D-504E-534B-B2B1-D21265CD68D5}">
  <dimension ref="A1:W79"/>
  <sheetViews>
    <sheetView tabSelected="1" workbookViewId="0">
      <pane xSplit="9700" ySplit="5440" topLeftCell="O26"/>
      <selection activeCell="E82" sqref="E82"/>
      <selection pane="topRight" activeCell="S44" sqref="A1:W80"/>
      <selection pane="bottomLeft" activeCell="F83" sqref="F83"/>
      <selection pane="bottomRight" activeCell="T84" sqref="T84"/>
    </sheetView>
  </sheetViews>
  <sheetFormatPr baseColWidth="10" defaultRowHeight="25" customHeight="1"/>
  <cols>
    <col min="1" max="1" width="6.375" customWidth="1"/>
    <col min="2" max="2" width="7.875" customWidth="1"/>
    <col min="3" max="3" width="7.25" customWidth="1"/>
    <col min="4" max="5" width="6.75" customWidth="1"/>
    <col min="6" max="6" width="9.875" customWidth="1"/>
    <col min="7" max="7" width="8.125" customWidth="1"/>
    <col min="8" max="9" width="6.5" customWidth="1"/>
    <col min="10" max="10" width="27.625" customWidth="1"/>
    <col min="11" max="23" width="8" customWidth="1"/>
  </cols>
  <sheetData>
    <row r="1" spans="1:23" ht="25" customHeight="1">
      <c r="A1" t="s">
        <v>32</v>
      </c>
      <c r="B1" t="s">
        <v>38</v>
      </c>
      <c r="C1" t="s">
        <v>34</v>
      </c>
      <c r="D1" t="s">
        <v>35</v>
      </c>
      <c r="E1" t="s">
        <v>23</v>
      </c>
      <c r="F1" t="s">
        <v>1</v>
      </c>
      <c r="G1" t="s">
        <v>26</v>
      </c>
      <c r="H1" t="s">
        <v>24</v>
      </c>
      <c r="I1" t="s">
        <v>27</v>
      </c>
      <c r="J1" t="s">
        <v>33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25</v>
      </c>
    </row>
    <row r="2" spans="1:23" ht="25" hidden="1" customHeight="1">
      <c r="A2" s="10">
        <v>0</v>
      </c>
      <c r="B2" t="s">
        <v>36</v>
      </c>
      <c r="C2">
        <v>3</v>
      </c>
      <c r="D2">
        <v>9</v>
      </c>
      <c r="E2">
        <v>1</v>
      </c>
      <c r="F2" t="s">
        <v>17</v>
      </c>
      <c r="G2" t="b">
        <v>1</v>
      </c>
      <c r="H2">
        <v>0</v>
      </c>
      <c r="I2" t="s">
        <v>25</v>
      </c>
      <c r="J2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plu-ml0-sn3k-mgv9-spl:T</v>
      </c>
      <c r="K2" s="1">
        <v>0.93</v>
      </c>
      <c r="L2" s="1">
        <v>0.89</v>
      </c>
      <c r="M2" s="1">
        <v>0.88</v>
      </c>
      <c r="N2" s="1">
        <v>0.89</v>
      </c>
      <c r="O2" s="1">
        <v>0.87</v>
      </c>
      <c r="P2" s="1">
        <v>0.89</v>
      </c>
      <c r="Q2" s="1">
        <v>0.91</v>
      </c>
      <c r="R2" s="1">
        <v>0.88</v>
      </c>
      <c r="S2" s="1">
        <v>0.84</v>
      </c>
      <c r="T2" s="1">
        <v>0.89</v>
      </c>
      <c r="U2" s="1">
        <v>0.9</v>
      </c>
      <c r="V2" s="1">
        <v>0.87</v>
      </c>
      <c r="W2" s="1">
        <v>0.93</v>
      </c>
    </row>
    <row r="3" spans="1:23" ht="25" hidden="1" customHeight="1">
      <c r="A3" s="10">
        <v>0</v>
      </c>
      <c r="B3" t="s">
        <v>36</v>
      </c>
      <c r="C3">
        <v>3</v>
      </c>
      <c r="D3">
        <v>9</v>
      </c>
      <c r="E3">
        <v>1</v>
      </c>
      <c r="F3" t="s">
        <v>17</v>
      </c>
      <c r="G3" t="b">
        <v>0</v>
      </c>
      <c r="H3">
        <v>0</v>
      </c>
      <c r="I3" t="s">
        <v>25</v>
      </c>
      <c r="J3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plu-ml0-sn3k-mgv9-spl:F</v>
      </c>
      <c r="K3" s="1">
        <v>0.83</v>
      </c>
      <c r="L3" s="1">
        <v>0.87</v>
      </c>
      <c r="M3" s="1">
        <v>0.82</v>
      </c>
      <c r="N3" s="1">
        <v>0.83</v>
      </c>
      <c r="O3" s="1">
        <v>0.87</v>
      </c>
      <c r="P3" s="1">
        <v>0.86</v>
      </c>
      <c r="Q3" s="1">
        <v>0.86</v>
      </c>
      <c r="R3" s="1">
        <v>0.84</v>
      </c>
      <c r="S3" s="1">
        <v>0.79</v>
      </c>
      <c r="T3" s="1">
        <v>0.85</v>
      </c>
      <c r="U3" s="1">
        <v>0.88</v>
      </c>
      <c r="V3" s="1">
        <v>0.83</v>
      </c>
      <c r="W3" s="1">
        <v>0.88</v>
      </c>
    </row>
    <row r="4" spans="1:23" ht="25" hidden="1" customHeight="1">
      <c r="A4" s="10">
        <v>0</v>
      </c>
      <c r="B4" t="s">
        <v>36</v>
      </c>
      <c r="C4">
        <v>3</v>
      </c>
      <c r="D4">
        <v>9</v>
      </c>
      <c r="E4">
        <v>2</v>
      </c>
      <c r="F4" t="s">
        <v>37</v>
      </c>
      <c r="G4" t="b">
        <v>1</v>
      </c>
      <c r="H4">
        <v>0</v>
      </c>
      <c r="I4" t="s">
        <v>25</v>
      </c>
      <c r="J4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gen-ml0-sn3k-mgv9-spl:T</v>
      </c>
      <c r="K4" s="1">
        <v>0.93</v>
      </c>
      <c r="L4" s="1">
        <v>0.94</v>
      </c>
      <c r="M4" s="1">
        <v>0.94</v>
      </c>
      <c r="N4" s="1">
        <v>0.91</v>
      </c>
      <c r="O4" s="1">
        <v>0.89</v>
      </c>
      <c r="P4" s="1">
        <v>0.9</v>
      </c>
      <c r="Q4" s="1">
        <v>0.94</v>
      </c>
      <c r="R4" s="1">
        <v>0.96</v>
      </c>
      <c r="S4" s="1">
        <v>0.96</v>
      </c>
      <c r="T4" s="1">
        <v>0.91</v>
      </c>
      <c r="U4" s="1">
        <v>0.88</v>
      </c>
      <c r="V4" s="1">
        <v>0.84</v>
      </c>
      <c r="W4" s="1">
        <v>0.96</v>
      </c>
    </row>
    <row r="5" spans="1:23" ht="25" hidden="1" customHeight="1">
      <c r="A5" s="10">
        <v>0</v>
      </c>
      <c r="B5" t="s">
        <v>36</v>
      </c>
      <c r="C5">
        <v>3</v>
      </c>
      <c r="D5">
        <v>9</v>
      </c>
      <c r="E5">
        <v>2</v>
      </c>
      <c r="F5" t="s">
        <v>37</v>
      </c>
      <c r="G5" t="b">
        <v>0</v>
      </c>
      <c r="H5">
        <v>0</v>
      </c>
      <c r="I5" t="s">
        <v>25</v>
      </c>
      <c r="J5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gen-ml0-sn3k-mgv9-spl:F</v>
      </c>
      <c r="K5" s="1">
        <v>0.77</v>
      </c>
      <c r="L5" s="1">
        <v>0.75</v>
      </c>
      <c r="M5" s="1">
        <v>0.72</v>
      </c>
      <c r="N5" s="1">
        <v>0.71</v>
      </c>
      <c r="O5" s="1">
        <v>0.77</v>
      </c>
      <c r="P5" s="1">
        <v>0.77</v>
      </c>
      <c r="Q5" s="1">
        <v>0.73</v>
      </c>
      <c r="R5" s="1">
        <v>0.78</v>
      </c>
      <c r="S5" s="1">
        <v>0.75</v>
      </c>
      <c r="T5" s="1">
        <v>0.75</v>
      </c>
      <c r="U5" s="1">
        <v>0.78</v>
      </c>
      <c r="V5" s="1">
        <v>0.75</v>
      </c>
      <c r="W5" s="1">
        <v>0.78</v>
      </c>
    </row>
    <row r="6" spans="1:23" ht="25" hidden="1" customHeight="1">
      <c r="A6" s="10">
        <v>0</v>
      </c>
      <c r="B6" t="s">
        <v>36</v>
      </c>
      <c r="C6">
        <v>3</v>
      </c>
      <c r="D6">
        <v>9</v>
      </c>
      <c r="E6">
        <v>3</v>
      </c>
      <c r="F6" t="s">
        <v>22</v>
      </c>
      <c r="G6" t="b">
        <v>1</v>
      </c>
      <c r="H6">
        <v>0</v>
      </c>
      <c r="I6" t="s">
        <v>25</v>
      </c>
      <c r="J6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cas-ml0-sn3k-mgv9-spl:T</v>
      </c>
      <c r="K6" s="1">
        <v>0.52</v>
      </c>
      <c r="L6" s="1">
        <v>0.56000000000000005</v>
      </c>
      <c r="M6" s="1">
        <v>0.54</v>
      </c>
      <c r="N6" s="1">
        <v>0.56000000000000005</v>
      </c>
      <c r="O6" s="1">
        <v>0.52</v>
      </c>
      <c r="P6" s="1">
        <v>0.49</v>
      </c>
      <c r="Q6" s="1">
        <v>0.61</v>
      </c>
      <c r="R6" s="1">
        <v>0.51</v>
      </c>
      <c r="S6" s="1">
        <v>0.56999999999999995</v>
      </c>
      <c r="T6" s="1">
        <v>0.56000000000000005</v>
      </c>
      <c r="U6" s="1">
        <v>0.56000000000000005</v>
      </c>
      <c r="V6" s="1">
        <v>0.47</v>
      </c>
      <c r="W6" s="1">
        <v>0.61</v>
      </c>
    </row>
    <row r="7" spans="1:23" ht="25" hidden="1" customHeight="1">
      <c r="A7" s="10">
        <v>0</v>
      </c>
      <c r="B7" t="s">
        <v>36</v>
      </c>
      <c r="C7">
        <v>3</v>
      </c>
      <c r="D7">
        <v>9</v>
      </c>
      <c r="E7">
        <v>3</v>
      </c>
      <c r="F7" t="s">
        <v>22</v>
      </c>
      <c r="G7" t="b">
        <v>0</v>
      </c>
      <c r="H7">
        <v>0</v>
      </c>
      <c r="I7" t="s">
        <v>25</v>
      </c>
      <c r="J7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cas-ml0-sn3k-mgv9-spl:F</v>
      </c>
      <c r="K7" s="1">
        <v>0.42</v>
      </c>
      <c r="L7" s="1">
        <v>0.47</v>
      </c>
      <c r="M7" s="1">
        <v>0.42</v>
      </c>
      <c r="N7" s="1">
        <v>0.46</v>
      </c>
      <c r="O7" s="1">
        <v>0.43</v>
      </c>
      <c r="P7" s="1">
        <v>0.48</v>
      </c>
      <c r="Q7" s="1">
        <v>0.48</v>
      </c>
      <c r="R7" s="1">
        <v>0.43</v>
      </c>
      <c r="S7" s="1">
        <v>0.46</v>
      </c>
      <c r="T7" s="1">
        <v>0.46</v>
      </c>
      <c r="U7" s="1">
        <v>0.51</v>
      </c>
      <c r="V7" s="1">
        <v>0.45</v>
      </c>
      <c r="W7" s="1">
        <v>0.51</v>
      </c>
    </row>
    <row r="8" spans="1:23" ht="25" hidden="1" customHeight="1">
      <c r="A8" s="10">
        <v>0</v>
      </c>
      <c r="B8" t="s">
        <v>36</v>
      </c>
      <c r="C8">
        <v>3</v>
      </c>
      <c r="D8">
        <v>6</v>
      </c>
      <c r="E8">
        <v>1</v>
      </c>
      <c r="F8" t="s">
        <v>17</v>
      </c>
      <c r="G8" t="b">
        <v>0</v>
      </c>
      <c r="H8">
        <v>1</v>
      </c>
      <c r="I8" t="s">
        <v>25</v>
      </c>
      <c r="J8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plu-ml0-sn3k-mgv6-spl:F</v>
      </c>
      <c r="K8" s="1">
        <v>0.8</v>
      </c>
      <c r="L8" s="1">
        <v>0.85</v>
      </c>
      <c r="M8" s="1">
        <v>0.85</v>
      </c>
      <c r="N8" s="1">
        <v>0.85</v>
      </c>
      <c r="O8" s="1">
        <v>0.85</v>
      </c>
      <c r="P8" s="1">
        <v>0.86</v>
      </c>
      <c r="Q8" s="1">
        <v>0.85</v>
      </c>
      <c r="R8" s="1">
        <v>0.87</v>
      </c>
      <c r="S8" s="1">
        <v>0.84</v>
      </c>
      <c r="T8" s="1">
        <v>0.85</v>
      </c>
      <c r="U8" s="1">
        <v>0.84</v>
      </c>
      <c r="V8" s="1">
        <v>0.83</v>
      </c>
      <c r="W8" s="1">
        <v>0.87</v>
      </c>
    </row>
    <row r="9" spans="1:23" ht="25" hidden="1" customHeight="1">
      <c r="A9" s="10">
        <v>0</v>
      </c>
      <c r="B9" t="s">
        <v>36</v>
      </c>
      <c r="C9">
        <v>3</v>
      </c>
      <c r="D9">
        <v>6</v>
      </c>
      <c r="E9">
        <v>1</v>
      </c>
      <c r="F9" t="s">
        <v>17</v>
      </c>
      <c r="G9" t="b">
        <v>1</v>
      </c>
      <c r="H9">
        <v>1</v>
      </c>
      <c r="I9" t="s">
        <v>25</v>
      </c>
      <c r="J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plu-ml0-sn3k-mgv6-spl:T</v>
      </c>
      <c r="K9" s="1">
        <v>0.9</v>
      </c>
      <c r="L9" s="1">
        <v>0.88</v>
      </c>
      <c r="M9" s="1">
        <v>0.88</v>
      </c>
      <c r="N9" s="1">
        <v>0.88</v>
      </c>
      <c r="O9" s="1">
        <v>0.86</v>
      </c>
      <c r="P9" s="1">
        <v>0.9</v>
      </c>
      <c r="Q9" s="1">
        <v>0.92</v>
      </c>
      <c r="R9" s="1">
        <v>0.9</v>
      </c>
      <c r="S9" s="1">
        <v>0.91</v>
      </c>
      <c r="T9" s="1">
        <v>0.88</v>
      </c>
      <c r="U9" s="1">
        <v>0.87</v>
      </c>
      <c r="V9" s="1">
        <v>0.83</v>
      </c>
      <c r="W9" s="1">
        <v>0.92</v>
      </c>
    </row>
    <row r="10" spans="1:23" ht="25" hidden="1" customHeight="1">
      <c r="A10" s="10">
        <v>0</v>
      </c>
      <c r="B10" t="s">
        <v>36</v>
      </c>
      <c r="C10">
        <v>3</v>
      </c>
      <c r="D10">
        <v>6</v>
      </c>
      <c r="E10">
        <v>2</v>
      </c>
      <c r="F10" t="s">
        <v>37</v>
      </c>
      <c r="G10" t="b">
        <v>0</v>
      </c>
      <c r="H10">
        <v>1</v>
      </c>
      <c r="I10" t="s">
        <v>25</v>
      </c>
      <c r="J10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gen-ml0-sn3k-mgv6-spl:F</v>
      </c>
      <c r="K10" s="8">
        <v>0.77</v>
      </c>
      <c r="L10" s="8">
        <v>0.73</v>
      </c>
      <c r="M10" s="8">
        <v>0.73</v>
      </c>
      <c r="N10" s="8">
        <v>0.74</v>
      </c>
      <c r="O10" s="8">
        <v>0.74</v>
      </c>
      <c r="P10" s="8">
        <v>0.76</v>
      </c>
      <c r="Q10" s="8">
        <v>0.7</v>
      </c>
      <c r="R10" s="8">
        <v>0.74</v>
      </c>
      <c r="S10" s="8">
        <v>0.78</v>
      </c>
      <c r="T10" s="8">
        <v>0.72</v>
      </c>
      <c r="U10" s="8">
        <v>0.82</v>
      </c>
      <c r="V10" s="8">
        <v>0.76</v>
      </c>
      <c r="W10" s="8">
        <v>0.82</v>
      </c>
    </row>
    <row r="11" spans="1:23" ht="25" hidden="1" customHeight="1">
      <c r="A11" s="10">
        <v>0</v>
      </c>
      <c r="B11" t="s">
        <v>36</v>
      </c>
      <c r="C11">
        <v>3</v>
      </c>
      <c r="D11">
        <v>6</v>
      </c>
      <c r="E11">
        <v>2</v>
      </c>
      <c r="F11" t="s">
        <v>37</v>
      </c>
      <c r="G11" t="b">
        <v>1</v>
      </c>
      <c r="H11">
        <v>1</v>
      </c>
      <c r="I11" t="s">
        <v>25</v>
      </c>
      <c r="J11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gen-ml0-sn3k-mgv6-spl:T</v>
      </c>
      <c r="K11" s="8">
        <v>0.95</v>
      </c>
      <c r="L11" s="8">
        <v>0.92</v>
      </c>
      <c r="M11" s="8">
        <v>0.94</v>
      </c>
      <c r="N11" s="8">
        <v>0.91</v>
      </c>
      <c r="O11" s="8">
        <v>0.86</v>
      </c>
      <c r="P11" s="8">
        <v>0.87</v>
      </c>
      <c r="Q11" s="8">
        <v>0.94</v>
      </c>
      <c r="R11" s="8">
        <v>0.94</v>
      </c>
      <c r="S11" s="8">
        <v>0.93</v>
      </c>
      <c r="T11" s="8">
        <v>0.92</v>
      </c>
      <c r="U11" s="8">
        <v>0.91</v>
      </c>
      <c r="V11" s="8">
        <v>0.86</v>
      </c>
      <c r="W11" s="8">
        <v>0.95</v>
      </c>
    </row>
    <row r="12" spans="1:23" ht="25" hidden="1" customHeight="1">
      <c r="A12" s="10">
        <v>0</v>
      </c>
      <c r="B12" t="s">
        <v>36</v>
      </c>
      <c r="C12">
        <v>3</v>
      </c>
      <c r="D12">
        <v>6</v>
      </c>
      <c r="E12">
        <v>3</v>
      </c>
      <c r="F12" t="s">
        <v>22</v>
      </c>
      <c r="G12" t="b">
        <v>0</v>
      </c>
      <c r="H12">
        <v>1</v>
      </c>
      <c r="I12" t="s">
        <v>25</v>
      </c>
      <c r="J12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cas-ml0-sn3k-mgv6-spl:F</v>
      </c>
      <c r="K12" s="8">
        <v>0.45</v>
      </c>
      <c r="L12" s="8">
        <v>0.48</v>
      </c>
      <c r="M12" s="8">
        <v>0.41</v>
      </c>
      <c r="N12" s="8">
        <v>0.45</v>
      </c>
      <c r="O12" s="8">
        <v>0.49</v>
      </c>
      <c r="P12" s="8">
        <v>0.49</v>
      </c>
      <c r="Q12" s="8">
        <v>0.45</v>
      </c>
      <c r="R12" s="8">
        <v>0.44</v>
      </c>
      <c r="S12" s="8">
        <v>0.43</v>
      </c>
      <c r="T12" s="8">
        <v>0.49</v>
      </c>
      <c r="U12" s="8">
        <v>0.49</v>
      </c>
      <c r="V12" s="8">
        <v>0.44</v>
      </c>
      <c r="W12" s="8">
        <v>0.49</v>
      </c>
    </row>
    <row r="13" spans="1:23" ht="25" hidden="1" customHeight="1">
      <c r="A13" s="10">
        <v>0</v>
      </c>
      <c r="B13" t="s">
        <v>36</v>
      </c>
      <c r="C13">
        <v>3</v>
      </c>
      <c r="D13">
        <v>6</v>
      </c>
      <c r="E13">
        <v>3</v>
      </c>
      <c r="F13" t="s">
        <v>22</v>
      </c>
      <c r="G13" t="b">
        <v>1</v>
      </c>
      <c r="H13">
        <v>1</v>
      </c>
      <c r="I13" t="s">
        <v>25</v>
      </c>
      <c r="J13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cas-ml0-sn3k-mgv6-spl:T</v>
      </c>
      <c r="K13" s="8">
        <v>0.57999999999999996</v>
      </c>
      <c r="L13" s="8">
        <v>0.59</v>
      </c>
      <c r="M13" s="8">
        <v>0.55000000000000004</v>
      </c>
      <c r="N13" s="8">
        <v>0.54</v>
      </c>
      <c r="O13" s="8">
        <v>0.52</v>
      </c>
      <c r="P13" s="8">
        <v>0.54</v>
      </c>
      <c r="Q13" s="8">
        <v>0.56000000000000005</v>
      </c>
      <c r="R13" s="8">
        <v>0.55000000000000004</v>
      </c>
      <c r="S13" s="8">
        <v>0.56000000000000005</v>
      </c>
      <c r="T13" s="8">
        <v>0.54</v>
      </c>
      <c r="U13" s="8">
        <v>0.5</v>
      </c>
      <c r="V13" s="8">
        <v>0.48</v>
      </c>
      <c r="W13" s="8">
        <v>0.59</v>
      </c>
    </row>
    <row r="14" spans="1:23" ht="25" hidden="1" customHeight="1">
      <c r="A14" s="10">
        <v>0</v>
      </c>
      <c r="B14" t="s">
        <v>36</v>
      </c>
      <c r="C14">
        <v>2</v>
      </c>
      <c r="D14">
        <v>9</v>
      </c>
      <c r="E14">
        <v>1</v>
      </c>
      <c r="F14" t="s">
        <v>17</v>
      </c>
      <c r="G14" t="b">
        <v>1</v>
      </c>
      <c r="H14">
        <v>1</v>
      </c>
      <c r="I14" t="s">
        <v>25</v>
      </c>
      <c r="J14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plu-ml0-sn2k-mgv9-spl:T</v>
      </c>
      <c r="K14" s="1">
        <v>0.93</v>
      </c>
      <c r="L14" s="1">
        <v>0.89</v>
      </c>
      <c r="M14" s="1">
        <v>0.86</v>
      </c>
      <c r="N14" s="1">
        <v>0.89</v>
      </c>
      <c r="O14" s="1">
        <v>0.86</v>
      </c>
      <c r="P14" s="1">
        <v>0.81</v>
      </c>
      <c r="Q14" s="1">
        <v>0.89</v>
      </c>
      <c r="R14" s="1">
        <v>0.88</v>
      </c>
      <c r="S14" s="1">
        <v>0.91</v>
      </c>
      <c r="T14" s="1">
        <v>0.88</v>
      </c>
      <c r="U14" s="1">
        <v>0.84</v>
      </c>
      <c r="V14" s="1">
        <v>0.89</v>
      </c>
      <c r="W14" s="1">
        <v>0.93</v>
      </c>
    </row>
    <row r="15" spans="1:23" ht="25" hidden="1" customHeight="1">
      <c r="A15" s="10">
        <v>0</v>
      </c>
      <c r="B15" t="s">
        <v>36</v>
      </c>
      <c r="C15">
        <v>2</v>
      </c>
      <c r="D15">
        <v>9</v>
      </c>
      <c r="E15">
        <v>1</v>
      </c>
      <c r="F15" t="s">
        <v>17</v>
      </c>
      <c r="G15" t="b">
        <v>0</v>
      </c>
      <c r="H15">
        <v>1</v>
      </c>
      <c r="I15" t="s">
        <v>25</v>
      </c>
      <c r="J15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plu-ml0-sn2k-mgv9-spl:F</v>
      </c>
      <c r="K15" s="1">
        <v>0.85</v>
      </c>
      <c r="L15" s="1">
        <v>0.84</v>
      </c>
      <c r="M15" s="1">
        <v>0.81</v>
      </c>
      <c r="N15" s="1">
        <v>0.86</v>
      </c>
      <c r="O15" s="1">
        <v>0.85</v>
      </c>
      <c r="P15" s="1">
        <v>0.8</v>
      </c>
      <c r="Q15" s="1">
        <v>0.79</v>
      </c>
      <c r="R15" s="1">
        <v>0.83</v>
      </c>
      <c r="S15" s="1">
        <v>0.87</v>
      </c>
      <c r="T15" s="1">
        <v>0.84</v>
      </c>
      <c r="U15" s="1">
        <v>0.82</v>
      </c>
      <c r="V15" s="1">
        <v>0.87</v>
      </c>
      <c r="W15" s="1">
        <v>0.87</v>
      </c>
    </row>
    <row r="16" spans="1:23" ht="25" hidden="1" customHeight="1">
      <c r="A16" s="10">
        <v>0</v>
      </c>
      <c r="B16" t="s">
        <v>36</v>
      </c>
      <c r="C16">
        <v>2</v>
      </c>
      <c r="D16">
        <v>9</v>
      </c>
      <c r="E16">
        <v>2</v>
      </c>
      <c r="F16" t="s">
        <v>37</v>
      </c>
      <c r="G16" t="b">
        <v>1</v>
      </c>
      <c r="H16">
        <v>1</v>
      </c>
      <c r="I16" t="s">
        <v>25</v>
      </c>
      <c r="J16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gen-ml0-sn2k-mgv9-spl:T</v>
      </c>
      <c r="K16" s="8">
        <v>0.91</v>
      </c>
      <c r="L16" s="8">
        <v>0.92</v>
      </c>
      <c r="M16" s="8">
        <v>0.93</v>
      </c>
      <c r="N16" s="8">
        <v>0.89</v>
      </c>
      <c r="O16" s="8">
        <v>0.84</v>
      </c>
      <c r="P16" s="8">
        <v>0.83</v>
      </c>
      <c r="Q16" s="8">
        <v>0.91</v>
      </c>
      <c r="R16" s="8">
        <v>0.94</v>
      </c>
      <c r="S16" s="8">
        <v>0.93</v>
      </c>
      <c r="T16" s="8">
        <v>0.91</v>
      </c>
      <c r="U16" s="8">
        <v>0.89</v>
      </c>
      <c r="V16" s="8">
        <v>0.86</v>
      </c>
      <c r="W16" s="8">
        <v>0.94</v>
      </c>
    </row>
    <row r="17" spans="1:23" ht="25" hidden="1" customHeight="1">
      <c r="A17" s="10">
        <v>0</v>
      </c>
      <c r="B17" t="s">
        <v>36</v>
      </c>
      <c r="C17">
        <v>2</v>
      </c>
      <c r="D17">
        <v>9</v>
      </c>
      <c r="E17">
        <v>2</v>
      </c>
      <c r="F17" t="s">
        <v>37</v>
      </c>
      <c r="G17" t="b">
        <v>0</v>
      </c>
      <c r="H17">
        <v>1</v>
      </c>
      <c r="I17" t="s">
        <v>25</v>
      </c>
      <c r="J17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gen-ml0-sn2k-mgv9-spl:F</v>
      </c>
      <c r="K17" s="8">
        <v>0.7</v>
      </c>
      <c r="L17" s="8">
        <v>0.7</v>
      </c>
      <c r="M17" s="8">
        <v>0.71</v>
      </c>
      <c r="N17" s="8">
        <v>0.71</v>
      </c>
      <c r="O17" s="8">
        <v>0.77</v>
      </c>
      <c r="P17" s="8">
        <v>0.73</v>
      </c>
      <c r="Q17" s="8">
        <v>0.72</v>
      </c>
      <c r="R17" s="8">
        <v>0.71</v>
      </c>
      <c r="S17" s="8">
        <v>0.72</v>
      </c>
      <c r="T17" s="8">
        <v>0.71</v>
      </c>
      <c r="U17" s="8">
        <v>0.71</v>
      </c>
      <c r="V17" s="8">
        <v>0.71</v>
      </c>
      <c r="W17" s="8">
        <v>0.77</v>
      </c>
    </row>
    <row r="18" spans="1:23" ht="25" hidden="1" customHeight="1">
      <c r="A18" s="10">
        <v>0</v>
      </c>
      <c r="B18" t="s">
        <v>36</v>
      </c>
      <c r="C18">
        <v>2</v>
      </c>
      <c r="D18">
        <v>6</v>
      </c>
      <c r="E18">
        <v>3</v>
      </c>
      <c r="F18" t="s">
        <v>22</v>
      </c>
      <c r="G18" t="b">
        <v>1</v>
      </c>
      <c r="H18">
        <v>0</v>
      </c>
      <c r="I18" t="s">
        <v>25</v>
      </c>
      <c r="J18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cas-ml0-sn2k-mgv6-spl:T</v>
      </c>
      <c r="K18" s="8">
        <v>0.55000000000000004</v>
      </c>
      <c r="L18" s="8">
        <v>0.52</v>
      </c>
      <c r="M18" s="8">
        <v>0.56999999999999995</v>
      </c>
      <c r="N18" s="8">
        <v>0.54</v>
      </c>
      <c r="O18" s="8">
        <v>0.5</v>
      </c>
      <c r="P18" s="8">
        <v>0.5</v>
      </c>
      <c r="Q18" s="8">
        <v>0.56000000000000005</v>
      </c>
      <c r="R18" s="8">
        <v>0.54</v>
      </c>
      <c r="S18" s="8">
        <v>0.56000000000000005</v>
      </c>
      <c r="T18" s="8">
        <v>0.48</v>
      </c>
      <c r="U18" s="8">
        <v>0.45</v>
      </c>
      <c r="V18" s="8">
        <v>0.52</v>
      </c>
      <c r="W18" s="8">
        <v>0.56999999999999995</v>
      </c>
    </row>
    <row r="19" spans="1:23" ht="25" hidden="1" customHeight="1">
      <c r="A19" s="10">
        <v>0</v>
      </c>
      <c r="B19" t="s">
        <v>36</v>
      </c>
      <c r="C19">
        <v>2</v>
      </c>
      <c r="D19">
        <v>9</v>
      </c>
      <c r="E19">
        <v>3</v>
      </c>
      <c r="F19" t="s">
        <v>22</v>
      </c>
      <c r="G19" t="b">
        <v>0</v>
      </c>
      <c r="H19">
        <v>1</v>
      </c>
      <c r="I19" t="s">
        <v>25</v>
      </c>
      <c r="J1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cas-ml0-sn2k-mgv9-spl:F</v>
      </c>
      <c r="K19" s="8">
        <v>0.44</v>
      </c>
      <c r="L19" s="8">
        <v>0.46</v>
      </c>
      <c r="M19" s="8">
        <v>0.39</v>
      </c>
      <c r="N19" s="8">
        <v>0.42</v>
      </c>
      <c r="O19" s="8">
        <v>0.41</v>
      </c>
      <c r="P19" s="8">
        <v>0.41</v>
      </c>
      <c r="Q19" s="8">
        <v>0.47</v>
      </c>
      <c r="R19" s="8">
        <v>0.43</v>
      </c>
      <c r="S19" s="8">
        <v>0.43</v>
      </c>
      <c r="T19" s="8">
        <v>0.53</v>
      </c>
      <c r="U19" s="8">
        <v>0.47</v>
      </c>
      <c r="V19" s="8">
        <v>0.45</v>
      </c>
      <c r="W19" s="8">
        <v>0.53</v>
      </c>
    </row>
    <row r="20" spans="1:23" ht="25" hidden="1" customHeight="1">
      <c r="A20" s="10">
        <v>0</v>
      </c>
      <c r="B20" t="s">
        <v>36</v>
      </c>
      <c r="C20">
        <v>2</v>
      </c>
      <c r="D20">
        <v>6</v>
      </c>
      <c r="E20">
        <v>1</v>
      </c>
      <c r="F20" t="s">
        <v>17</v>
      </c>
      <c r="G20" t="b">
        <v>1</v>
      </c>
      <c r="H20">
        <v>0</v>
      </c>
      <c r="I20" t="s">
        <v>25</v>
      </c>
      <c r="J20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plu-ml0-sn2k-mgv6-spl:T</v>
      </c>
      <c r="K20" s="1">
        <v>0.92</v>
      </c>
      <c r="L20" s="1">
        <v>0.88</v>
      </c>
      <c r="M20" s="1">
        <v>0.91</v>
      </c>
      <c r="N20" s="1">
        <v>0.93</v>
      </c>
      <c r="O20" s="1">
        <v>0.88</v>
      </c>
      <c r="P20" s="1">
        <v>0.84</v>
      </c>
      <c r="Q20" s="1">
        <v>0.94</v>
      </c>
      <c r="R20" s="1">
        <v>0.86</v>
      </c>
      <c r="S20" s="1">
        <v>0.9</v>
      </c>
      <c r="T20" s="1">
        <v>0.88</v>
      </c>
      <c r="U20" s="1">
        <v>0.86</v>
      </c>
      <c r="V20" s="1">
        <v>0.85</v>
      </c>
      <c r="W20" s="1">
        <v>0.94</v>
      </c>
    </row>
    <row r="21" spans="1:23" ht="25" hidden="1" customHeight="1">
      <c r="A21" s="10">
        <v>0</v>
      </c>
      <c r="B21" t="s">
        <v>36</v>
      </c>
      <c r="C21">
        <v>2</v>
      </c>
      <c r="D21">
        <v>6</v>
      </c>
      <c r="E21">
        <v>1</v>
      </c>
      <c r="F21" t="s">
        <v>17</v>
      </c>
      <c r="G21" t="b">
        <v>0</v>
      </c>
      <c r="H21">
        <v>0</v>
      </c>
      <c r="I21" t="s">
        <v>25</v>
      </c>
      <c r="J21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plu-ml0-sn2k-mgv6-spl:F</v>
      </c>
      <c r="K21" s="1">
        <v>0.77</v>
      </c>
      <c r="L21" s="1">
        <v>0.83</v>
      </c>
      <c r="M21" s="1">
        <v>0.87</v>
      </c>
      <c r="N21" s="1">
        <v>0.92</v>
      </c>
      <c r="O21" s="1">
        <v>0.86</v>
      </c>
      <c r="P21" s="1">
        <v>0.84</v>
      </c>
      <c r="Q21" s="1">
        <v>0.86</v>
      </c>
      <c r="R21" s="1">
        <v>0.81</v>
      </c>
      <c r="S21" s="1">
        <v>0.87</v>
      </c>
      <c r="T21" s="1">
        <v>0.85</v>
      </c>
      <c r="U21" s="1">
        <v>0.9</v>
      </c>
      <c r="V21" s="1">
        <v>0.84</v>
      </c>
      <c r="W21" s="1">
        <v>0.92</v>
      </c>
    </row>
    <row r="22" spans="1:23" ht="25" hidden="1" customHeight="1">
      <c r="A22" s="10">
        <v>0</v>
      </c>
      <c r="B22" t="s">
        <v>36</v>
      </c>
      <c r="C22">
        <v>2</v>
      </c>
      <c r="D22">
        <v>6</v>
      </c>
      <c r="E22">
        <v>2</v>
      </c>
      <c r="F22" t="s">
        <v>37</v>
      </c>
      <c r="G22" t="b">
        <v>1</v>
      </c>
      <c r="H22">
        <v>0</v>
      </c>
      <c r="I22" t="s">
        <v>25</v>
      </c>
      <c r="J22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gen-ml0-sn2k-mgv6-spl:T</v>
      </c>
      <c r="K22" s="8">
        <v>0.94</v>
      </c>
      <c r="L22" s="8">
        <v>0.92</v>
      </c>
      <c r="M22" s="8">
        <v>0.94</v>
      </c>
      <c r="N22" s="8">
        <v>0.94</v>
      </c>
      <c r="O22" s="8">
        <v>0.88</v>
      </c>
      <c r="P22" s="8">
        <v>0.82</v>
      </c>
      <c r="Q22" s="8">
        <v>0.91</v>
      </c>
      <c r="R22" s="8">
        <v>0.9</v>
      </c>
      <c r="S22" s="8">
        <v>0.91</v>
      </c>
      <c r="T22" s="8">
        <v>0.93</v>
      </c>
      <c r="U22" s="8">
        <v>0.88</v>
      </c>
      <c r="V22" s="8">
        <v>0.85</v>
      </c>
      <c r="W22" s="8">
        <v>0.94</v>
      </c>
    </row>
    <row r="23" spans="1:23" ht="25" hidden="1" customHeight="1">
      <c r="A23" s="10">
        <v>0</v>
      </c>
      <c r="B23" t="s">
        <v>36</v>
      </c>
      <c r="C23">
        <v>2</v>
      </c>
      <c r="D23">
        <v>6</v>
      </c>
      <c r="E23">
        <v>2</v>
      </c>
      <c r="F23" t="s">
        <v>37</v>
      </c>
      <c r="G23" t="b">
        <v>0</v>
      </c>
      <c r="H23">
        <v>0</v>
      </c>
      <c r="I23" t="s">
        <v>25</v>
      </c>
      <c r="J23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gen-ml0-sn2k-mgv6-spl:F</v>
      </c>
      <c r="K23" s="8">
        <v>0.7</v>
      </c>
      <c r="L23" s="8">
        <v>0.74</v>
      </c>
      <c r="M23" s="8">
        <v>0.7</v>
      </c>
      <c r="N23" s="8">
        <v>0.75</v>
      </c>
      <c r="O23" s="8">
        <v>0.72</v>
      </c>
      <c r="P23" s="8">
        <v>0.73</v>
      </c>
      <c r="Q23" s="8">
        <v>0.71</v>
      </c>
      <c r="R23" s="8">
        <v>0.71</v>
      </c>
      <c r="S23" s="8">
        <v>0.71</v>
      </c>
      <c r="T23" s="8">
        <v>0.73</v>
      </c>
      <c r="U23" s="8">
        <v>0.72</v>
      </c>
      <c r="V23" s="8">
        <v>0.72</v>
      </c>
      <c r="W23" s="8">
        <v>0.75</v>
      </c>
    </row>
    <row r="24" spans="1:23" ht="25" hidden="1" customHeight="1">
      <c r="A24" s="10">
        <v>0</v>
      </c>
      <c r="B24" t="s">
        <v>36</v>
      </c>
      <c r="C24">
        <v>2</v>
      </c>
      <c r="D24">
        <v>9</v>
      </c>
      <c r="E24">
        <v>3</v>
      </c>
      <c r="F24" t="s">
        <v>22</v>
      </c>
      <c r="G24" t="b">
        <v>1</v>
      </c>
      <c r="H24">
        <v>1</v>
      </c>
      <c r="I24" t="s">
        <v>25</v>
      </c>
      <c r="J24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cas-ml0-sn2k-mgv9-spl:T</v>
      </c>
      <c r="K24" s="8">
        <v>0.48</v>
      </c>
      <c r="L24" s="8">
        <v>0.56999999999999995</v>
      </c>
      <c r="M24" s="8">
        <v>0.62</v>
      </c>
      <c r="N24" s="8">
        <v>0.56000000000000005</v>
      </c>
      <c r="O24" s="8">
        <v>0.48</v>
      </c>
      <c r="P24" s="8">
        <v>0.47</v>
      </c>
      <c r="Q24" s="8">
        <v>0.56000000000000005</v>
      </c>
      <c r="R24" s="8">
        <v>0.51</v>
      </c>
      <c r="S24" s="8">
        <v>0.51</v>
      </c>
      <c r="T24" s="8">
        <v>0.6</v>
      </c>
      <c r="U24" s="8">
        <v>0.47</v>
      </c>
      <c r="V24" s="8">
        <v>0.46</v>
      </c>
      <c r="W24" s="8">
        <v>0.62</v>
      </c>
    </row>
    <row r="25" spans="1:23" ht="25" hidden="1" customHeight="1">
      <c r="A25" s="10">
        <v>0</v>
      </c>
      <c r="B25" t="s">
        <v>36</v>
      </c>
      <c r="C25">
        <v>2</v>
      </c>
      <c r="D25">
        <v>6</v>
      </c>
      <c r="E25">
        <v>3</v>
      </c>
      <c r="F25" t="s">
        <v>22</v>
      </c>
      <c r="G25" t="b">
        <v>0</v>
      </c>
      <c r="H25">
        <v>0</v>
      </c>
      <c r="I25" t="s">
        <v>25</v>
      </c>
      <c r="J25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cas-ml0-sn2k-mgv6-spl:F</v>
      </c>
      <c r="K25" s="8">
        <v>0.45</v>
      </c>
      <c r="L25" s="8">
        <v>0.44</v>
      </c>
      <c r="M25" s="8">
        <v>0.46</v>
      </c>
      <c r="N25" s="8">
        <v>0.45</v>
      </c>
      <c r="O25" s="8">
        <v>0.44</v>
      </c>
      <c r="P25" s="8">
        <v>0.44</v>
      </c>
      <c r="Q25" s="8">
        <v>0.48</v>
      </c>
      <c r="R25" s="8">
        <v>0.42</v>
      </c>
      <c r="S25" s="8">
        <v>0.43</v>
      </c>
      <c r="T25" s="8">
        <v>0.4</v>
      </c>
      <c r="U25" s="8">
        <v>0.47</v>
      </c>
      <c r="V25" s="8">
        <v>0.46</v>
      </c>
      <c r="W25" s="8">
        <v>0.48</v>
      </c>
    </row>
    <row r="26" spans="1:23" ht="25" customHeight="1">
      <c r="A26" s="10">
        <v>0</v>
      </c>
      <c r="B26" t="s">
        <v>36</v>
      </c>
      <c r="C26">
        <v>1.2</v>
      </c>
      <c r="D26">
        <v>9</v>
      </c>
      <c r="E26">
        <v>1</v>
      </c>
      <c r="F26" t="s">
        <v>17</v>
      </c>
      <c r="G26" t="b">
        <v>1</v>
      </c>
      <c r="H26">
        <v>0</v>
      </c>
      <c r="I26" t="s">
        <v>25</v>
      </c>
      <c r="J26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plu-ml0-sn1.2k-mgv9-spl:T</v>
      </c>
      <c r="K26" s="1">
        <v>0.83</v>
      </c>
      <c r="L26" s="1">
        <v>0.87</v>
      </c>
      <c r="M26" s="1">
        <v>0.89</v>
      </c>
      <c r="N26" s="1">
        <v>0.84</v>
      </c>
      <c r="O26" s="1">
        <v>0.79</v>
      </c>
      <c r="P26" s="1">
        <v>0.8</v>
      </c>
      <c r="Q26" s="1">
        <v>0.85</v>
      </c>
      <c r="R26" s="1">
        <v>0.88</v>
      </c>
      <c r="S26" s="1">
        <v>0.9</v>
      </c>
      <c r="T26" s="1">
        <v>0.86</v>
      </c>
      <c r="U26" s="1">
        <v>0.88</v>
      </c>
      <c r="V26" s="1">
        <v>0.87</v>
      </c>
      <c r="W26" s="1">
        <v>0.9</v>
      </c>
    </row>
    <row r="27" spans="1:23" ht="25" hidden="1" customHeight="1">
      <c r="A27" s="10">
        <v>0</v>
      </c>
      <c r="B27" t="s">
        <v>36</v>
      </c>
      <c r="C27">
        <v>1.2</v>
      </c>
      <c r="D27">
        <v>9</v>
      </c>
      <c r="E27">
        <v>1</v>
      </c>
      <c r="F27" t="s">
        <v>17</v>
      </c>
      <c r="G27" t="b">
        <v>0</v>
      </c>
      <c r="H27">
        <v>0</v>
      </c>
      <c r="I27" t="s">
        <v>25</v>
      </c>
      <c r="J27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plu-ml0-sn1.2k-mgv9-spl:F</v>
      </c>
      <c r="K27" s="1">
        <v>0.79</v>
      </c>
      <c r="L27" s="1">
        <v>0.81</v>
      </c>
      <c r="M27" s="1">
        <v>0.88</v>
      </c>
      <c r="N27" s="1">
        <v>0.84</v>
      </c>
      <c r="O27" s="1">
        <v>0.78</v>
      </c>
      <c r="P27" s="1">
        <v>0.78</v>
      </c>
      <c r="Q27" s="1">
        <v>0.75</v>
      </c>
      <c r="R27" s="1">
        <v>0.85</v>
      </c>
      <c r="S27" s="1">
        <v>0.82</v>
      </c>
      <c r="T27" s="1">
        <v>0.79</v>
      </c>
      <c r="U27" s="1">
        <v>0.82</v>
      </c>
      <c r="V27" s="1">
        <v>0.86</v>
      </c>
      <c r="W27" s="1">
        <v>0.88</v>
      </c>
    </row>
    <row r="28" spans="1:23" ht="25" hidden="1" customHeight="1">
      <c r="A28" s="10">
        <v>0</v>
      </c>
      <c r="B28" t="s">
        <v>36</v>
      </c>
      <c r="C28">
        <v>1.2</v>
      </c>
      <c r="D28">
        <v>9</v>
      </c>
      <c r="E28">
        <v>2</v>
      </c>
      <c r="F28" t="s">
        <v>37</v>
      </c>
      <c r="G28" t="b">
        <v>1</v>
      </c>
      <c r="H28">
        <v>0</v>
      </c>
      <c r="I28" t="s">
        <v>25</v>
      </c>
      <c r="J28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gen-ml0-sn1.2k-mgv9-spl:T</v>
      </c>
      <c r="K28" s="8">
        <v>0.91</v>
      </c>
      <c r="L28" s="8">
        <v>0.95</v>
      </c>
      <c r="M28" s="8">
        <v>0.93</v>
      </c>
      <c r="N28" s="8">
        <v>0.93</v>
      </c>
      <c r="O28" s="8">
        <v>0.84</v>
      </c>
      <c r="P28" s="8">
        <v>0.88</v>
      </c>
      <c r="Q28" s="8">
        <v>0.93</v>
      </c>
      <c r="R28" s="8">
        <v>0.88</v>
      </c>
      <c r="S28" s="8">
        <v>0.95</v>
      </c>
      <c r="T28" s="8">
        <v>0.86</v>
      </c>
      <c r="U28" s="8">
        <v>0.81</v>
      </c>
      <c r="V28" s="8">
        <v>0.88</v>
      </c>
      <c r="W28" s="8">
        <v>0.95</v>
      </c>
    </row>
    <row r="29" spans="1:23" ht="25" hidden="1" customHeight="1">
      <c r="A29" s="10">
        <v>0</v>
      </c>
      <c r="B29" t="s">
        <v>36</v>
      </c>
      <c r="C29">
        <v>1.2</v>
      </c>
      <c r="D29">
        <v>9</v>
      </c>
      <c r="E29">
        <v>2</v>
      </c>
      <c r="F29" t="s">
        <v>37</v>
      </c>
      <c r="G29" t="b">
        <v>0</v>
      </c>
      <c r="H29">
        <v>0</v>
      </c>
      <c r="I29" t="s">
        <v>25</v>
      </c>
      <c r="J2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gen-ml0-sn1.2k-mgv9-spl:F</v>
      </c>
      <c r="K29" s="8">
        <v>0.68</v>
      </c>
      <c r="L29" s="8">
        <v>0.71</v>
      </c>
      <c r="M29" s="8">
        <v>0.7</v>
      </c>
      <c r="N29" s="8">
        <v>0.69</v>
      </c>
      <c r="O29" s="8">
        <v>0.62</v>
      </c>
      <c r="P29" s="8">
        <v>0.73</v>
      </c>
      <c r="Q29" s="8">
        <v>0.72</v>
      </c>
      <c r="R29" s="8">
        <v>0.64</v>
      </c>
      <c r="S29" s="8">
        <v>0.7</v>
      </c>
      <c r="T29" s="8">
        <v>0.68</v>
      </c>
      <c r="U29" s="8">
        <v>0.68</v>
      </c>
      <c r="V29" s="8">
        <v>0.63</v>
      </c>
      <c r="W29" s="8">
        <v>0.73</v>
      </c>
    </row>
    <row r="30" spans="1:23" ht="25" hidden="1" customHeight="1">
      <c r="A30" s="10">
        <v>0</v>
      </c>
      <c r="B30" t="s">
        <v>36</v>
      </c>
      <c r="C30">
        <v>1.2</v>
      </c>
      <c r="D30">
        <v>9</v>
      </c>
      <c r="E30">
        <v>3</v>
      </c>
      <c r="F30" t="s">
        <v>22</v>
      </c>
      <c r="G30" t="b">
        <v>1</v>
      </c>
      <c r="H30">
        <v>0</v>
      </c>
      <c r="I30" t="s">
        <v>25</v>
      </c>
      <c r="J30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cas-ml0-sn1.2k-mgv9-spl:T</v>
      </c>
      <c r="K30" s="8">
        <v>0.56999999999999995</v>
      </c>
      <c r="L30" s="8">
        <v>0.46</v>
      </c>
      <c r="M30" s="8">
        <v>0.62</v>
      </c>
      <c r="N30" s="8">
        <v>0.59</v>
      </c>
      <c r="O30" s="8">
        <v>0.35</v>
      </c>
      <c r="P30" s="8">
        <v>0.57999999999999996</v>
      </c>
      <c r="Q30" s="8">
        <v>0.53</v>
      </c>
      <c r="R30" s="8">
        <v>0.53</v>
      </c>
      <c r="S30" s="8">
        <v>0.53</v>
      </c>
      <c r="T30" s="8">
        <v>0.43</v>
      </c>
      <c r="U30" s="8">
        <v>0.53</v>
      </c>
      <c r="V30" s="8">
        <v>0.48</v>
      </c>
      <c r="W30" s="8">
        <v>0.62</v>
      </c>
    </row>
    <row r="31" spans="1:23" ht="25" hidden="1" customHeight="1">
      <c r="A31" s="10">
        <v>0</v>
      </c>
      <c r="B31" t="s">
        <v>36</v>
      </c>
      <c r="C31">
        <v>1.2</v>
      </c>
      <c r="D31">
        <v>9</v>
      </c>
      <c r="E31">
        <v>3</v>
      </c>
      <c r="F31" t="s">
        <v>22</v>
      </c>
      <c r="G31" t="b">
        <v>0</v>
      </c>
      <c r="H31">
        <v>0</v>
      </c>
      <c r="I31" t="s">
        <v>25</v>
      </c>
      <c r="J31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cas-ml0-sn1.2k-mgv9-spl:F</v>
      </c>
      <c r="K31" s="8">
        <v>0.41</v>
      </c>
      <c r="L31" s="8">
        <v>0.35</v>
      </c>
      <c r="M31" s="8">
        <v>0.47</v>
      </c>
      <c r="N31" s="8">
        <v>0.42</v>
      </c>
      <c r="O31" s="8">
        <v>0.31</v>
      </c>
      <c r="P31" s="8">
        <v>0.48</v>
      </c>
      <c r="Q31" s="8">
        <v>0.4</v>
      </c>
      <c r="R31" s="8">
        <v>0.46</v>
      </c>
      <c r="S31" s="8">
        <v>0.4</v>
      </c>
      <c r="T31" s="8">
        <v>0.36</v>
      </c>
      <c r="U31" s="8">
        <v>0.45</v>
      </c>
      <c r="V31" s="8">
        <v>0.43</v>
      </c>
      <c r="W31" s="8">
        <v>0.48</v>
      </c>
    </row>
    <row r="32" spans="1:23" ht="25" customHeight="1">
      <c r="A32" s="10">
        <v>0</v>
      </c>
      <c r="B32" t="s">
        <v>36</v>
      </c>
      <c r="C32">
        <v>1.2</v>
      </c>
      <c r="D32">
        <v>6</v>
      </c>
      <c r="E32">
        <v>1</v>
      </c>
      <c r="F32" t="s">
        <v>17</v>
      </c>
      <c r="G32" t="b">
        <v>1</v>
      </c>
      <c r="H32">
        <v>0</v>
      </c>
      <c r="I32" t="s">
        <v>25</v>
      </c>
      <c r="J32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plu-ml0-sn1.2k-mgv6-spl:T</v>
      </c>
      <c r="K32" s="1">
        <v>0.86</v>
      </c>
      <c r="L32" s="1">
        <v>0.93</v>
      </c>
      <c r="M32" s="1">
        <v>0.84</v>
      </c>
      <c r="N32" s="1">
        <v>0.82</v>
      </c>
      <c r="O32" s="1">
        <v>0.85</v>
      </c>
      <c r="P32" s="1">
        <v>0.84</v>
      </c>
      <c r="Q32" s="1">
        <v>0.92</v>
      </c>
      <c r="R32" s="1">
        <v>0.86</v>
      </c>
      <c r="S32" s="1">
        <v>0.87</v>
      </c>
      <c r="T32" s="1">
        <v>0.88</v>
      </c>
      <c r="U32" s="1">
        <v>0.87</v>
      </c>
      <c r="V32" s="1">
        <v>0.82</v>
      </c>
      <c r="W32" s="1">
        <v>0.93</v>
      </c>
    </row>
    <row r="33" spans="1:23" ht="25" hidden="1" customHeight="1">
      <c r="A33" s="10">
        <v>0</v>
      </c>
      <c r="B33" t="s">
        <v>36</v>
      </c>
      <c r="C33">
        <v>1.2</v>
      </c>
      <c r="D33">
        <v>6</v>
      </c>
      <c r="E33">
        <v>1</v>
      </c>
      <c r="F33" t="s">
        <v>17</v>
      </c>
      <c r="G33" t="b">
        <v>0</v>
      </c>
      <c r="H33">
        <v>0</v>
      </c>
      <c r="I33" t="s">
        <v>25</v>
      </c>
      <c r="J33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plu-ml0-sn1.2k-mgv6-spl:F</v>
      </c>
      <c r="K33" s="1">
        <v>0.81</v>
      </c>
      <c r="L33" s="1">
        <v>0.87</v>
      </c>
      <c r="M33" s="1">
        <v>0.79</v>
      </c>
      <c r="N33" s="1">
        <v>0.82</v>
      </c>
      <c r="O33" s="1">
        <v>0.86</v>
      </c>
      <c r="P33" s="1">
        <v>0.82</v>
      </c>
      <c r="Q33" s="1">
        <v>0.84</v>
      </c>
      <c r="R33" s="1">
        <v>0.83</v>
      </c>
      <c r="S33" s="1">
        <v>0.79</v>
      </c>
      <c r="T33" s="1">
        <v>0.88</v>
      </c>
      <c r="U33" s="1">
        <v>0.85</v>
      </c>
      <c r="V33" s="1">
        <v>0.82</v>
      </c>
      <c r="W33" s="1">
        <v>0.88</v>
      </c>
    </row>
    <row r="34" spans="1:23" ht="25" hidden="1" customHeight="1">
      <c r="A34" s="10">
        <v>0</v>
      </c>
      <c r="B34" t="s">
        <v>36</v>
      </c>
      <c r="C34">
        <v>1.2</v>
      </c>
      <c r="D34">
        <v>6</v>
      </c>
      <c r="E34">
        <v>2</v>
      </c>
      <c r="F34" t="s">
        <v>37</v>
      </c>
      <c r="G34" t="b">
        <v>1</v>
      </c>
      <c r="H34">
        <v>0</v>
      </c>
      <c r="I34" t="s">
        <v>25</v>
      </c>
      <c r="J34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gen-ml0-sn1.2k-mgv6-spl:T</v>
      </c>
      <c r="K34" s="8">
        <v>0.94</v>
      </c>
      <c r="L34" s="8">
        <v>0.92</v>
      </c>
      <c r="M34" s="8">
        <v>0.91</v>
      </c>
      <c r="N34" s="8">
        <v>0.87</v>
      </c>
      <c r="O34" s="8">
        <v>0.88</v>
      </c>
      <c r="P34" s="8">
        <v>0.89</v>
      </c>
      <c r="Q34" s="8">
        <v>0.93</v>
      </c>
      <c r="R34" s="8">
        <v>0.95</v>
      </c>
      <c r="S34" s="8">
        <v>0.91</v>
      </c>
      <c r="T34" s="8">
        <v>0.86</v>
      </c>
      <c r="U34" s="8">
        <v>0.84</v>
      </c>
      <c r="V34" s="8">
        <v>0.8</v>
      </c>
      <c r="W34" s="8">
        <v>0.95</v>
      </c>
    </row>
    <row r="35" spans="1:23" ht="25" hidden="1" customHeight="1">
      <c r="A35" s="10">
        <v>0</v>
      </c>
      <c r="B35" t="s">
        <v>36</v>
      </c>
      <c r="C35">
        <v>1.2</v>
      </c>
      <c r="D35">
        <v>6</v>
      </c>
      <c r="E35">
        <v>2</v>
      </c>
      <c r="F35" t="s">
        <v>37</v>
      </c>
      <c r="G35" t="b">
        <v>0</v>
      </c>
      <c r="H35">
        <v>0</v>
      </c>
      <c r="I35" t="s">
        <v>25</v>
      </c>
      <c r="J35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gen-ml0-sn1.2k-mgv6-spl:F</v>
      </c>
      <c r="K35" s="8">
        <v>0.75</v>
      </c>
      <c r="L35" s="8">
        <v>0.7</v>
      </c>
      <c r="M35" s="8">
        <v>0.69</v>
      </c>
      <c r="N35" s="8">
        <v>0.68</v>
      </c>
      <c r="O35" s="8">
        <v>0.69</v>
      </c>
      <c r="P35" s="8">
        <v>0.67</v>
      </c>
      <c r="Q35" s="8">
        <v>0.67</v>
      </c>
      <c r="R35" s="8">
        <v>0.75</v>
      </c>
      <c r="S35" s="8">
        <v>0.71</v>
      </c>
      <c r="T35" s="8">
        <v>0.67</v>
      </c>
      <c r="U35" s="8">
        <v>0.69</v>
      </c>
      <c r="V35" s="8">
        <v>0.67</v>
      </c>
      <c r="W35" s="8">
        <v>0.75</v>
      </c>
    </row>
    <row r="36" spans="1:23" ht="25" hidden="1" customHeight="1">
      <c r="A36" s="10">
        <v>0</v>
      </c>
      <c r="B36" t="s">
        <v>36</v>
      </c>
      <c r="C36">
        <v>1.2</v>
      </c>
      <c r="D36">
        <v>6</v>
      </c>
      <c r="E36">
        <v>3</v>
      </c>
      <c r="F36" t="s">
        <v>22</v>
      </c>
      <c r="G36" t="b">
        <v>1</v>
      </c>
      <c r="H36">
        <v>0</v>
      </c>
      <c r="I36" t="s">
        <v>25</v>
      </c>
      <c r="J36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cas-ml0-sn1.2k-mgv6-spl:T</v>
      </c>
      <c r="K36" s="8">
        <v>0.45</v>
      </c>
      <c r="L36" s="8">
        <v>0.56000000000000005</v>
      </c>
      <c r="M36" s="8">
        <v>0.47</v>
      </c>
      <c r="N36" s="8">
        <v>0.47</v>
      </c>
      <c r="O36" s="8">
        <v>0.5</v>
      </c>
      <c r="P36" s="8">
        <v>0.5</v>
      </c>
      <c r="Q36" s="8">
        <v>0.47</v>
      </c>
      <c r="R36" s="8">
        <v>0.45</v>
      </c>
      <c r="S36" s="8">
        <v>0.48</v>
      </c>
      <c r="T36" s="8">
        <v>0.45</v>
      </c>
      <c r="U36" s="8">
        <v>0.43</v>
      </c>
      <c r="V36" s="8">
        <v>0.45</v>
      </c>
      <c r="W36" s="8">
        <v>0.56000000000000005</v>
      </c>
    </row>
    <row r="37" spans="1:23" ht="25" hidden="1" customHeight="1">
      <c r="A37" s="10">
        <v>0</v>
      </c>
      <c r="B37" t="s">
        <v>36</v>
      </c>
      <c r="C37">
        <v>1.2</v>
      </c>
      <c r="D37">
        <v>6</v>
      </c>
      <c r="E37">
        <v>3</v>
      </c>
      <c r="F37" t="s">
        <v>22</v>
      </c>
      <c r="G37" t="b">
        <v>0</v>
      </c>
      <c r="H37">
        <v>0</v>
      </c>
      <c r="I37" t="s">
        <v>25</v>
      </c>
      <c r="J37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cas-ml0-sn1.2k-mgv6-spl:F</v>
      </c>
      <c r="K37" s="8">
        <v>0.37</v>
      </c>
      <c r="L37" s="8">
        <v>0.46</v>
      </c>
      <c r="M37" s="8">
        <v>0.44</v>
      </c>
      <c r="N37" s="8">
        <v>0.44</v>
      </c>
      <c r="O37" s="8">
        <v>0.41</v>
      </c>
      <c r="P37" s="8">
        <v>0.44</v>
      </c>
      <c r="Q37" s="8">
        <v>0.45</v>
      </c>
      <c r="R37" s="8">
        <v>0.39</v>
      </c>
      <c r="S37" s="8">
        <v>0.42</v>
      </c>
      <c r="T37" s="8">
        <v>0.39</v>
      </c>
      <c r="U37" s="8">
        <v>0.42</v>
      </c>
      <c r="V37" s="8">
        <v>0.37</v>
      </c>
      <c r="W37" s="8">
        <v>0.46</v>
      </c>
    </row>
    <row r="38" spans="1:23" ht="25" hidden="1" customHeight="1">
      <c r="A38" s="10">
        <v>2</v>
      </c>
      <c r="B38" t="s">
        <v>36</v>
      </c>
      <c r="C38">
        <v>1.2</v>
      </c>
      <c r="D38">
        <v>9</v>
      </c>
      <c r="E38">
        <v>3</v>
      </c>
      <c r="F38" t="s">
        <v>22</v>
      </c>
      <c r="G38" t="b">
        <v>0</v>
      </c>
      <c r="H38">
        <v>1</v>
      </c>
      <c r="I38" t="s">
        <v>25</v>
      </c>
      <c r="J38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cas-ml2-sn1.2k-mgv9-spl:F</v>
      </c>
      <c r="K38" s="1">
        <v>0.47</v>
      </c>
      <c r="L38" s="1">
        <v>0.37</v>
      </c>
      <c r="M38" s="1">
        <v>0.45</v>
      </c>
      <c r="N38" s="1">
        <v>0.43</v>
      </c>
      <c r="O38" s="1">
        <v>0.47</v>
      </c>
      <c r="P38" s="1">
        <v>0.36</v>
      </c>
      <c r="Q38" s="1">
        <v>0.45</v>
      </c>
      <c r="R38" s="1">
        <v>0.38</v>
      </c>
      <c r="S38" s="1">
        <v>0.43</v>
      </c>
      <c r="T38" s="1">
        <v>0.45</v>
      </c>
      <c r="U38" s="1">
        <v>0.42</v>
      </c>
      <c r="V38" s="1">
        <v>0.36</v>
      </c>
      <c r="W38" s="1">
        <v>0.47</v>
      </c>
    </row>
    <row r="39" spans="1:23" ht="25" hidden="1" customHeight="1">
      <c r="A39" s="10">
        <v>2</v>
      </c>
      <c r="B39" t="s">
        <v>36</v>
      </c>
      <c r="C39">
        <v>1.2</v>
      </c>
      <c r="D39">
        <v>9</v>
      </c>
      <c r="E39">
        <v>3</v>
      </c>
      <c r="F39" t="s">
        <v>22</v>
      </c>
      <c r="G39" t="b">
        <v>1</v>
      </c>
      <c r="H39">
        <v>1</v>
      </c>
      <c r="I39" t="s">
        <v>25</v>
      </c>
      <c r="J3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cas-ml2-sn1.2k-mgv9-spl:T</v>
      </c>
      <c r="K39" s="1">
        <v>0.59</v>
      </c>
      <c r="L39" s="1">
        <v>0.38</v>
      </c>
      <c r="M39" s="1">
        <v>0.51</v>
      </c>
      <c r="N39" s="1">
        <v>0.47</v>
      </c>
      <c r="O39" s="1">
        <v>0.5</v>
      </c>
      <c r="P39" s="1">
        <v>0.4</v>
      </c>
      <c r="Q39" s="1">
        <v>0.54</v>
      </c>
      <c r="R39" s="1">
        <v>0.48</v>
      </c>
      <c r="S39" s="1">
        <v>0.52</v>
      </c>
      <c r="T39" s="1">
        <v>0.52</v>
      </c>
      <c r="U39" s="1">
        <v>0.47</v>
      </c>
      <c r="V39" s="1">
        <v>0.44</v>
      </c>
      <c r="W39" s="1">
        <v>0.59</v>
      </c>
    </row>
    <row r="40" spans="1:23" ht="25" hidden="1" customHeight="1">
      <c r="A40" s="10">
        <v>2</v>
      </c>
      <c r="B40" t="s">
        <v>36</v>
      </c>
      <c r="C40">
        <v>1.2</v>
      </c>
      <c r="D40">
        <v>9</v>
      </c>
      <c r="E40">
        <v>2</v>
      </c>
      <c r="F40" t="s">
        <v>37</v>
      </c>
      <c r="G40" t="b">
        <v>0</v>
      </c>
      <c r="H40">
        <v>1</v>
      </c>
      <c r="I40" t="s">
        <v>25</v>
      </c>
      <c r="J40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gen-ml2-sn1.2k-mgv9-spl:F</v>
      </c>
      <c r="K40" s="8">
        <v>0.56000000000000005</v>
      </c>
      <c r="L40" s="8">
        <v>0.56999999999999995</v>
      </c>
      <c r="M40" s="8">
        <v>0.65</v>
      </c>
      <c r="N40" s="8">
        <v>0.62</v>
      </c>
      <c r="O40" s="8">
        <v>0.6</v>
      </c>
      <c r="P40" s="8">
        <v>0.65</v>
      </c>
      <c r="Q40" s="8">
        <v>0.66</v>
      </c>
      <c r="R40" s="8">
        <v>0.57999999999999996</v>
      </c>
      <c r="S40" s="8">
        <v>0.53</v>
      </c>
      <c r="T40" s="8">
        <v>0.56999999999999995</v>
      </c>
      <c r="U40" s="8">
        <v>0.7</v>
      </c>
      <c r="V40" s="8">
        <v>0.6</v>
      </c>
      <c r="W40" s="8">
        <v>0.7</v>
      </c>
    </row>
    <row r="41" spans="1:23" ht="25" hidden="1" customHeight="1">
      <c r="A41" s="10">
        <v>2</v>
      </c>
      <c r="B41" t="s">
        <v>36</v>
      </c>
      <c r="C41">
        <v>1.2</v>
      </c>
      <c r="D41">
        <v>9</v>
      </c>
      <c r="E41">
        <v>2</v>
      </c>
      <c r="F41" t="s">
        <v>37</v>
      </c>
      <c r="G41" t="b">
        <v>1</v>
      </c>
      <c r="H41">
        <v>1</v>
      </c>
      <c r="I41" t="s">
        <v>25</v>
      </c>
      <c r="J41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gen-ml2-sn1.2k-mgv9-spl:T</v>
      </c>
      <c r="K41" s="8">
        <v>0.62</v>
      </c>
      <c r="L41" s="8">
        <v>0.56999999999999995</v>
      </c>
      <c r="M41" s="8">
        <v>0.62</v>
      </c>
      <c r="N41" s="8">
        <v>0.62</v>
      </c>
      <c r="O41" s="8">
        <v>0.56999999999999995</v>
      </c>
      <c r="P41" s="8">
        <v>0.69</v>
      </c>
      <c r="Q41" s="8">
        <v>0.64</v>
      </c>
      <c r="R41" s="8">
        <v>0.6</v>
      </c>
      <c r="S41" s="8">
        <v>0.54</v>
      </c>
      <c r="T41" s="8">
        <v>0.61</v>
      </c>
      <c r="U41" s="8">
        <v>0.68</v>
      </c>
      <c r="V41" s="8">
        <v>0.6</v>
      </c>
      <c r="W41" s="8">
        <v>0.69</v>
      </c>
    </row>
    <row r="42" spans="1:23" ht="25" hidden="1" customHeight="1">
      <c r="A42" s="10">
        <v>2</v>
      </c>
      <c r="B42" t="s">
        <v>36</v>
      </c>
      <c r="C42">
        <v>1.2</v>
      </c>
      <c r="D42">
        <v>9</v>
      </c>
      <c r="E42">
        <v>1</v>
      </c>
      <c r="F42" t="s">
        <v>17</v>
      </c>
      <c r="G42" t="b">
        <v>0</v>
      </c>
      <c r="H42">
        <v>1</v>
      </c>
      <c r="I42" t="s">
        <v>25</v>
      </c>
      <c r="J42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plu-ml2-sn1.2k-mgv9-spl:F</v>
      </c>
      <c r="K42" s="8">
        <v>0.82</v>
      </c>
      <c r="L42" s="8">
        <v>0.79</v>
      </c>
      <c r="M42" s="8">
        <v>0.83</v>
      </c>
      <c r="N42" s="8">
        <v>0.85</v>
      </c>
      <c r="O42" s="8">
        <v>0.8</v>
      </c>
      <c r="P42" s="8">
        <v>0.82</v>
      </c>
      <c r="Q42" s="8">
        <v>0.82</v>
      </c>
      <c r="R42" s="8">
        <v>0.79</v>
      </c>
      <c r="S42" s="8">
        <v>0.8</v>
      </c>
      <c r="T42" s="8">
        <v>0.82</v>
      </c>
      <c r="U42" s="8">
        <v>0.86</v>
      </c>
      <c r="V42" s="8">
        <v>0.81</v>
      </c>
      <c r="W42" s="8">
        <v>0.86</v>
      </c>
    </row>
    <row r="43" spans="1:23" ht="25" customHeight="1">
      <c r="A43" s="10">
        <v>2</v>
      </c>
      <c r="B43" t="s">
        <v>36</v>
      </c>
      <c r="C43">
        <v>1.2</v>
      </c>
      <c r="D43">
        <v>9</v>
      </c>
      <c r="E43">
        <v>1</v>
      </c>
      <c r="F43" t="s">
        <v>17</v>
      </c>
      <c r="G43" t="b">
        <v>1</v>
      </c>
      <c r="H43">
        <v>1</v>
      </c>
      <c r="I43" t="s">
        <v>25</v>
      </c>
      <c r="J43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plu-ml2-sn1.2k-mgv9-spl:T</v>
      </c>
      <c r="K43" s="8">
        <v>0.87</v>
      </c>
      <c r="L43" s="8">
        <v>0.83</v>
      </c>
      <c r="M43" s="8">
        <v>0.86</v>
      </c>
      <c r="N43" s="8">
        <v>0.86</v>
      </c>
      <c r="O43" s="8">
        <v>0.84</v>
      </c>
      <c r="P43" s="8">
        <v>0.82</v>
      </c>
      <c r="Q43" s="8">
        <v>0.89</v>
      </c>
      <c r="R43" s="8">
        <v>0.84</v>
      </c>
      <c r="S43" s="8">
        <v>0.88</v>
      </c>
      <c r="T43" s="8">
        <v>0.84</v>
      </c>
      <c r="U43" s="8">
        <v>0.85</v>
      </c>
      <c r="V43" s="8">
        <v>0.8</v>
      </c>
      <c r="W43" s="8">
        <v>0.89</v>
      </c>
    </row>
    <row r="44" spans="1:23" ht="25" hidden="1" customHeight="1">
      <c r="A44" s="10">
        <v>2</v>
      </c>
      <c r="B44" t="s">
        <v>36</v>
      </c>
      <c r="C44">
        <v>2</v>
      </c>
      <c r="D44">
        <v>6</v>
      </c>
      <c r="E44">
        <v>3</v>
      </c>
      <c r="F44" t="s">
        <v>22</v>
      </c>
      <c r="G44" t="b">
        <v>1</v>
      </c>
      <c r="H44">
        <v>1</v>
      </c>
      <c r="I44" t="s">
        <v>25</v>
      </c>
      <c r="J44" s="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cas-ml2-sn2k-mgv6-spl:T</v>
      </c>
      <c r="K44" s="1">
        <v>0.55000000000000004</v>
      </c>
      <c r="L44" s="1">
        <v>0.53</v>
      </c>
      <c r="M44" s="1">
        <v>0.54</v>
      </c>
      <c r="N44" s="1">
        <v>0.56999999999999995</v>
      </c>
      <c r="O44" s="1">
        <v>0.5</v>
      </c>
      <c r="P44" s="1">
        <v>0.51</v>
      </c>
      <c r="Q44" s="1">
        <v>0.55000000000000004</v>
      </c>
      <c r="R44" s="1">
        <v>0.56000000000000005</v>
      </c>
      <c r="S44" s="1">
        <v>0.51</v>
      </c>
      <c r="T44" s="1">
        <v>0.53</v>
      </c>
      <c r="U44" s="1">
        <v>0.55000000000000004</v>
      </c>
      <c r="V44" s="1">
        <v>0.48</v>
      </c>
      <c r="W44" s="1">
        <v>0.56999999999999995</v>
      </c>
    </row>
    <row r="45" spans="1:23" ht="25" hidden="1" customHeight="1">
      <c r="A45" s="10">
        <v>2</v>
      </c>
      <c r="B45" t="s">
        <v>36</v>
      </c>
      <c r="C45">
        <v>2</v>
      </c>
      <c r="D45">
        <v>6</v>
      </c>
      <c r="E45">
        <v>3</v>
      </c>
      <c r="F45" t="s">
        <v>22</v>
      </c>
      <c r="G45" t="b">
        <v>0</v>
      </c>
      <c r="H45">
        <v>1</v>
      </c>
      <c r="I45" t="s">
        <v>25</v>
      </c>
      <c r="J45" s="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cas-ml2-sn2k-mgv6-spl:F</v>
      </c>
      <c r="K45" s="1">
        <v>0.44</v>
      </c>
      <c r="L45" s="1">
        <v>0.42</v>
      </c>
      <c r="M45" s="1">
        <v>0.44</v>
      </c>
      <c r="N45" s="1">
        <v>0.51</v>
      </c>
      <c r="O45" s="1">
        <v>0.46</v>
      </c>
      <c r="P45" s="1">
        <v>0.46</v>
      </c>
      <c r="Q45" s="1">
        <v>0.43</v>
      </c>
      <c r="R45" s="1">
        <v>0.44</v>
      </c>
      <c r="S45" s="1">
        <v>0.41</v>
      </c>
      <c r="T45" s="1">
        <v>0.48</v>
      </c>
      <c r="U45" s="1">
        <v>0.47</v>
      </c>
      <c r="V45" s="1">
        <v>0.42</v>
      </c>
      <c r="W45" s="1">
        <v>0.51</v>
      </c>
    </row>
    <row r="46" spans="1:23" ht="25" hidden="1" customHeight="1">
      <c r="A46" s="10">
        <v>2</v>
      </c>
      <c r="B46" t="s">
        <v>36</v>
      </c>
      <c r="C46">
        <v>2</v>
      </c>
      <c r="D46">
        <v>6</v>
      </c>
      <c r="E46">
        <v>2</v>
      </c>
      <c r="F46" t="s">
        <v>37</v>
      </c>
      <c r="G46" t="b">
        <v>1</v>
      </c>
      <c r="H46">
        <v>1</v>
      </c>
      <c r="I46" t="s">
        <v>25</v>
      </c>
      <c r="J46" s="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gen-ml2-sn2k-mgv6-spl:T</v>
      </c>
      <c r="K46" s="8">
        <v>0.94</v>
      </c>
      <c r="L46" s="8">
        <v>0.95</v>
      </c>
      <c r="M46" s="8">
        <v>0.94</v>
      </c>
      <c r="N46" s="8">
        <v>0.91</v>
      </c>
      <c r="O46" s="8">
        <v>0.84</v>
      </c>
      <c r="P46" s="8">
        <v>0.86</v>
      </c>
      <c r="Q46" s="8">
        <v>0.92</v>
      </c>
      <c r="R46" s="8">
        <v>0.93</v>
      </c>
      <c r="S46" s="8">
        <v>0.93</v>
      </c>
      <c r="T46" s="8">
        <v>0.92</v>
      </c>
      <c r="U46" s="8">
        <v>0.88</v>
      </c>
      <c r="V46" s="8">
        <v>0.89</v>
      </c>
      <c r="W46" s="8">
        <v>0.95</v>
      </c>
    </row>
    <row r="47" spans="1:23" ht="25" hidden="1" customHeight="1">
      <c r="A47" s="10">
        <v>2</v>
      </c>
      <c r="B47" t="s">
        <v>36</v>
      </c>
      <c r="C47">
        <v>2</v>
      </c>
      <c r="D47">
        <v>6</v>
      </c>
      <c r="E47">
        <v>2</v>
      </c>
      <c r="F47" t="s">
        <v>37</v>
      </c>
      <c r="G47" t="b">
        <v>0</v>
      </c>
      <c r="H47">
        <v>1</v>
      </c>
      <c r="I47" t="s">
        <v>25</v>
      </c>
      <c r="J47" s="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gen-ml2-sn2k-mgv6-spl:F</v>
      </c>
      <c r="K47" s="8">
        <v>0.69</v>
      </c>
      <c r="L47" s="8">
        <v>0.73</v>
      </c>
      <c r="M47" s="8">
        <v>0.65</v>
      </c>
      <c r="N47" s="8">
        <v>0.68</v>
      </c>
      <c r="O47" s="8">
        <v>0.73</v>
      </c>
      <c r="P47" s="8">
        <v>0.69</v>
      </c>
      <c r="Q47" s="8">
        <v>0.69</v>
      </c>
      <c r="R47" s="8">
        <v>0.69</v>
      </c>
      <c r="S47" s="8">
        <v>0.76</v>
      </c>
      <c r="T47" s="8">
        <v>0.69</v>
      </c>
      <c r="U47" s="8">
        <v>0.73</v>
      </c>
      <c r="V47" s="8">
        <v>0.73</v>
      </c>
      <c r="W47" s="8">
        <v>0.76</v>
      </c>
    </row>
    <row r="48" spans="1:23" ht="25" hidden="1" customHeight="1">
      <c r="A48" s="10">
        <v>2</v>
      </c>
      <c r="B48" t="s">
        <v>36</v>
      </c>
      <c r="C48">
        <v>2</v>
      </c>
      <c r="D48">
        <v>6</v>
      </c>
      <c r="E48">
        <v>1</v>
      </c>
      <c r="F48" t="s">
        <v>17</v>
      </c>
      <c r="G48" t="b">
        <v>1</v>
      </c>
      <c r="H48">
        <v>1</v>
      </c>
      <c r="I48" t="s">
        <v>25</v>
      </c>
      <c r="J48" s="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plu-ml2-sn2k-mgv6-spl:T</v>
      </c>
      <c r="K48" s="8">
        <v>0.85</v>
      </c>
      <c r="L48" s="8">
        <v>0.86</v>
      </c>
      <c r="M48" s="8">
        <v>0.91</v>
      </c>
      <c r="N48" s="8">
        <v>0.82</v>
      </c>
      <c r="O48" s="8">
        <v>0.82</v>
      </c>
      <c r="P48" s="8">
        <v>0.83</v>
      </c>
      <c r="Q48" s="8">
        <v>0.93</v>
      </c>
      <c r="R48" s="8">
        <v>0.9</v>
      </c>
      <c r="S48" s="8">
        <v>0.9</v>
      </c>
      <c r="T48" s="8">
        <v>0.88</v>
      </c>
      <c r="U48" s="8">
        <v>0.87</v>
      </c>
      <c r="V48" s="8">
        <v>0.81</v>
      </c>
      <c r="W48" s="8">
        <v>0.93</v>
      </c>
    </row>
    <row r="49" spans="1:23" ht="25" hidden="1" customHeight="1">
      <c r="A49" s="10">
        <v>2</v>
      </c>
      <c r="B49" t="s">
        <v>36</v>
      </c>
      <c r="C49">
        <v>2</v>
      </c>
      <c r="D49">
        <v>6</v>
      </c>
      <c r="E49">
        <v>1</v>
      </c>
      <c r="F49" t="s">
        <v>17</v>
      </c>
      <c r="G49" t="b">
        <v>0</v>
      </c>
      <c r="H49">
        <v>1</v>
      </c>
      <c r="I49" t="s">
        <v>25</v>
      </c>
      <c r="J49" s="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plu-ml2-sn2k-mgv6-spl:F</v>
      </c>
      <c r="K49" s="8">
        <v>0.76</v>
      </c>
      <c r="L49" s="8">
        <v>0.81</v>
      </c>
      <c r="M49" s="8">
        <v>0.84</v>
      </c>
      <c r="N49" s="8">
        <v>0.81</v>
      </c>
      <c r="O49" s="8">
        <v>0.83</v>
      </c>
      <c r="P49" s="8">
        <v>0.83</v>
      </c>
      <c r="Q49" s="8">
        <v>0.86</v>
      </c>
      <c r="R49" s="8">
        <v>0.82</v>
      </c>
      <c r="S49" s="8">
        <v>0.86</v>
      </c>
      <c r="T49" s="8">
        <v>0.86</v>
      </c>
      <c r="U49" s="8">
        <v>0.84</v>
      </c>
      <c r="V49" s="8">
        <v>0.8</v>
      </c>
      <c r="W49" s="8">
        <v>0.86</v>
      </c>
    </row>
    <row r="50" spans="1:23" ht="25" hidden="1" customHeight="1">
      <c r="A50" s="10">
        <v>2</v>
      </c>
      <c r="B50" t="s">
        <v>36</v>
      </c>
      <c r="C50">
        <v>2</v>
      </c>
      <c r="D50">
        <v>9</v>
      </c>
      <c r="E50">
        <v>3</v>
      </c>
      <c r="F50" t="s">
        <v>22</v>
      </c>
      <c r="G50" t="b">
        <v>0</v>
      </c>
      <c r="H50">
        <v>1</v>
      </c>
      <c r="I50" t="s">
        <v>25</v>
      </c>
      <c r="J50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cas-ml2-sn2k-mgv9-spl:F</v>
      </c>
      <c r="K50" s="1">
        <v>0.42</v>
      </c>
      <c r="L50" s="1">
        <v>0.5</v>
      </c>
      <c r="M50" s="1">
        <v>0.45</v>
      </c>
      <c r="N50" s="1">
        <v>0.46</v>
      </c>
      <c r="O50" s="1">
        <v>0.53</v>
      </c>
      <c r="P50" s="1">
        <v>0.45</v>
      </c>
      <c r="Q50" s="1">
        <v>0.42</v>
      </c>
      <c r="R50" s="1">
        <v>0.43</v>
      </c>
      <c r="S50" s="1">
        <v>0.44</v>
      </c>
      <c r="T50" s="1">
        <v>0.4</v>
      </c>
      <c r="U50" s="1">
        <v>0.43</v>
      </c>
      <c r="V50" s="1">
        <v>0.47</v>
      </c>
      <c r="W50" s="1">
        <v>0.53</v>
      </c>
    </row>
    <row r="51" spans="1:23" ht="25" hidden="1" customHeight="1">
      <c r="A51" s="10">
        <v>2</v>
      </c>
      <c r="B51" t="s">
        <v>36</v>
      </c>
      <c r="C51">
        <v>2</v>
      </c>
      <c r="D51">
        <v>9</v>
      </c>
      <c r="E51">
        <v>3</v>
      </c>
      <c r="F51" t="s">
        <v>22</v>
      </c>
      <c r="G51" t="b">
        <v>1</v>
      </c>
      <c r="H51">
        <v>1</v>
      </c>
      <c r="I51" t="s">
        <v>25</v>
      </c>
      <c r="J51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cas-ml2-sn2k-mgv9-spl:T</v>
      </c>
      <c r="K51" s="1">
        <v>0.55000000000000004</v>
      </c>
      <c r="L51" s="1">
        <v>0.6</v>
      </c>
      <c r="M51" s="1">
        <v>0.55000000000000004</v>
      </c>
      <c r="N51" s="1">
        <v>0.52</v>
      </c>
      <c r="O51" s="1">
        <v>0.54</v>
      </c>
      <c r="P51" s="1">
        <v>0.54</v>
      </c>
      <c r="Q51" s="1">
        <v>0.55000000000000004</v>
      </c>
      <c r="R51" s="1">
        <v>0.56000000000000005</v>
      </c>
      <c r="S51" s="1">
        <v>0.49</v>
      </c>
      <c r="T51" s="1">
        <v>0.47</v>
      </c>
      <c r="U51" s="1">
        <v>0.51</v>
      </c>
      <c r="V51" s="1">
        <v>0.54</v>
      </c>
      <c r="W51" s="1">
        <v>0.6</v>
      </c>
    </row>
    <row r="52" spans="1:23" ht="25" hidden="1" customHeight="1">
      <c r="A52" s="10">
        <v>2</v>
      </c>
      <c r="B52" t="s">
        <v>36</v>
      </c>
      <c r="C52">
        <v>2</v>
      </c>
      <c r="D52">
        <v>9</v>
      </c>
      <c r="E52">
        <v>2</v>
      </c>
      <c r="F52" t="s">
        <v>37</v>
      </c>
      <c r="G52" t="b">
        <v>0</v>
      </c>
      <c r="H52">
        <v>1</v>
      </c>
      <c r="I52" t="s">
        <v>25</v>
      </c>
      <c r="J52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gen-ml2-sn2k-mgv9-spl:F</v>
      </c>
      <c r="K52" s="8">
        <v>0.69</v>
      </c>
      <c r="L52" s="8">
        <v>0.69</v>
      </c>
      <c r="M52" s="8">
        <v>0.6</v>
      </c>
      <c r="N52" s="8">
        <v>0.65</v>
      </c>
      <c r="O52" s="8">
        <v>0.59</v>
      </c>
      <c r="P52" s="8">
        <v>0.66</v>
      </c>
      <c r="Q52" s="8">
        <v>0.61</v>
      </c>
      <c r="R52" s="8">
        <v>0.66</v>
      </c>
      <c r="S52" s="8">
        <v>0.69</v>
      </c>
      <c r="T52" s="8">
        <v>0.65</v>
      </c>
      <c r="U52" s="8">
        <v>0.64</v>
      </c>
      <c r="V52" s="8">
        <v>0.66</v>
      </c>
      <c r="W52" s="8">
        <v>0.69</v>
      </c>
    </row>
    <row r="53" spans="1:23" ht="25" hidden="1" customHeight="1">
      <c r="A53" s="10">
        <v>2</v>
      </c>
      <c r="B53" t="s">
        <v>36</v>
      </c>
      <c r="C53">
        <v>2</v>
      </c>
      <c r="D53">
        <v>9</v>
      </c>
      <c r="E53">
        <v>2</v>
      </c>
      <c r="F53" t="s">
        <v>37</v>
      </c>
      <c r="G53" t="b">
        <v>1</v>
      </c>
      <c r="H53">
        <v>1</v>
      </c>
      <c r="I53" t="s">
        <v>25</v>
      </c>
      <c r="J53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gen-ml2-sn2k-mgv9-spl:T</v>
      </c>
      <c r="K53" s="8">
        <v>0.67</v>
      </c>
      <c r="L53" s="8">
        <v>0.69</v>
      </c>
      <c r="M53" s="8">
        <v>0.65</v>
      </c>
      <c r="N53" s="8">
        <v>0.67</v>
      </c>
      <c r="O53" s="8">
        <v>0.6</v>
      </c>
      <c r="P53" s="8">
        <v>0.69</v>
      </c>
      <c r="Q53" s="8">
        <v>0.66</v>
      </c>
      <c r="R53" s="8">
        <v>0.69</v>
      </c>
      <c r="S53" s="8">
        <v>0.73</v>
      </c>
      <c r="T53" s="8">
        <v>0.64</v>
      </c>
      <c r="U53" s="8">
        <v>0.67</v>
      </c>
      <c r="V53" s="8">
        <v>0.62</v>
      </c>
      <c r="W53" s="8">
        <v>0.73</v>
      </c>
    </row>
    <row r="54" spans="1:23" ht="25" hidden="1" customHeight="1">
      <c r="A54" s="10">
        <v>2</v>
      </c>
      <c r="B54" t="s">
        <v>36</v>
      </c>
      <c r="C54">
        <v>2</v>
      </c>
      <c r="D54">
        <v>9</v>
      </c>
      <c r="E54">
        <v>1</v>
      </c>
      <c r="F54" t="s">
        <v>17</v>
      </c>
      <c r="G54" t="b">
        <v>0</v>
      </c>
      <c r="H54">
        <v>1</v>
      </c>
      <c r="I54" t="s">
        <v>25</v>
      </c>
      <c r="J54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plu-ml2-sn2k-mgv9-spl:F</v>
      </c>
      <c r="K54" s="8">
        <v>0.86</v>
      </c>
      <c r="L54" s="8">
        <v>0.8</v>
      </c>
      <c r="M54" s="8">
        <v>0.82</v>
      </c>
      <c r="N54" s="8">
        <v>0.88</v>
      </c>
      <c r="O54" s="8">
        <v>0.82</v>
      </c>
      <c r="P54" s="8">
        <v>0.85</v>
      </c>
      <c r="Q54" s="8">
        <v>0.84</v>
      </c>
      <c r="R54" s="8">
        <v>0.79</v>
      </c>
      <c r="S54" s="8">
        <v>0.82</v>
      </c>
      <c r="T54" s="8">
        <v>0.84</v>
      </c>
      <c r="U54" s="8">
        <v>0.82</v>
      </c>
      <c r="V54" s="8">
        <v>0.88</v>
      </c>
      <c r="W54" s="8">
        <v>0.88</v>
      </c>
    </row>
    <row r="55" spans="1:23" ht="25" hidden="1" customHeight="1">
      <c r="A55" s="10">
        <v>2</v>
      </c>
      <c r="B55" t="s">
        <v>36</v>
      </c>
      <c r="C55">
        <v>2</v>
      </c>
      <c r="D55">
        <v>9</v>
      </c>
      <c r="E55">
        <v>1</v>
      </c>
      <c r="F55" t="s">
        <v>17</v>
      </c>
      <c r="G55" t="b">
        <v>1</v>
      </c>
      <c r="H55">
        <v>1</v>
      </c>
      <c r="I55" t="s">
        <v>25</v>
      </c>
      <c r="J55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plu-ml2-sn2k-mgv9-spl:T</v>
      </c>
      <c r="K55" s="8">
        <v>0.94</v>
      </c>
      <c r="L55" s="8">
        <v>0.86</v>
      </c>
      <c r="M55" s="8">
        <v>0.91</v>
      </c>
      <c r="N55" s="8">
        <v>0.88</v>
      </c>
      <c r="O55" s="8">
        <v>0.83</v>
      </c>
      <c r="P55" s="8">
        <v>0.89</v>
      </c>
      <c r="Q55" s="8">
        <v>0.9</v>
      </c>
      <c r="R55" s="8">
        <v>0.83</v>
      </c>
      <c r="S55" s="8">
        <v>0.85</v>
      </c>
      <c r="T55" s="8">
        <v>0.85</v>
      </c>
      <c r="U55" s="8">
        <v>0.81</v>
      </c>
      <c r="V55" s="8">
        <v>0.84</v>
      </c>
      <c r="W55" s="8">
        <v>0.94</v>
      </c>
    </row>
    <row r="56" spans="1:23" ht="25" hidden="1" customHeight="1">
      <c r="A56" s="10">
        <v>3</v>
      </c>
      <c r="B56" t="s">
        <v>36</v>
      </c>
      <c r="C56">
        <v>1.2</v>
      </c>
      <c r="D56">
        <v>6</v>
      </c>
      <c r="E56">
        <v>3</v>
      </c>
      <c r="F56" t="s">
        <v>22</v>
      </c>
      <c r="G56" t="b">
        <v>1</v>
      </c>
      <c r="H56">
        <v>1</v>
      </c>
      <c r="I56" t="s">
        <v>25</v>
      </c>
      <c r="J56" s="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cas-ml3-sn1.2k-mgv6-spl:T</v>
      </c>
      <c r="K56" s="1">
        <v>0.52</v>
      </c>
      <c r="L56" s="1">
        <v>0.53</v>
      </c>
      <c r="M56" s="1">
        <v>0.49</v>
      </c>
      <c r="N56" s="1">
        <v>0.39</v>
      </c>
      <c r="O56" s="1">
        <v>0.56000000000000005</v>
      </c>
      <c r="P56" s="1">
        <v>0.37</v>
      </c>
      <c r="Q56" s="1">
        <v>0.6</v>
      </c>
      <c r="R56" s="1">
        <v>0.5</v>
      </c>
      <c r="S56" s="1">
        <v>0.5</v>
      </c>
      <c r="T56" s="1">
        <v>0.53</v>
      </c>
      <c r="U56" s="1">
        <v>0.46</v>
      </c>
      <c r="V56" s="1">
        <v>0.37</v>
      </c>
      <c r="W56" s="1">
        <v>0.6</v>
      </c>
    </row>
    <row r="57" spans="1:23" ht="25" hidden="1" customHeight="1">
      <c r="A57" s="10">
        <v>3</v>
      </c>
      <c r="B57" t="s">
        <v>36</v>
      </c>
      <c r="C57">
        <v>1.2</v>
      </c>
      <c r="D57">
        <v>6</v>
      </c>
      <c r="E57">
        <v>3</v>
      </c>
      <c r="F57" t="s">
        <v>22</v>
      </c>
      <c r="G57" t="b">
        <v>0</v>
      </c>
      <c r="H57">
        <v>1</v>
      </c>
      <c r="I57" t="s">
        <v>25</v>
      </c>
      <c r="J57" s="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cas-ml3-sn1.2k-mgv6-spl:F</v>
      </c>
      <c r="K57" s="1">
        <v>0.38</v>
      </c>
      <c r="L57" s="1">
        <v>0.49</v>
      </c>
      <c r="M57" s="1">
        <v>0.46</v>
      </c>
      <c r="N57" s="1">
        <v>0.38</v>
      </c>
      <c r="O57" s="1">
        <v>0.48</v>
      </c>
      <c r="P57" s="1">
        <v>0.34</v>
      </c>
      <c r="Q57" s="1">
        <v>0.48</v>
      </c>
      <c r="R57" s="1">
        <v>0.45</v>
      </c>
      <c r="S57" s="1">
        <v>0.44</v>
      </c>
      <c r="T57" s="1">
        <v>0.47</v>
      </c>
      <c r="U57" s="1">
        <v>0.43</v>
      </c>
      <c r="V57" s="1">
        <v>0.42</v>
      </c>
      <c r="W57" s="1">
        <v>0.49</v>
      </c>
    </row>
    <row r="58" spans="1:23" ht="25" hidden="1" customHeight="1">
      <c r="A58" s="10">
        <v>3</v>
      </c>
      <c r="B58" t="s">
        <v>36</v>
      </c>
      <c r="C58">
        <v>1.2</v>
      </c>
      <c r="D58">
        <v>6</v>
      </c>
      <c r="E58">
        <v>2</v>
      </c>
      <c r="F58" t="s">
        <v>37</v>
      </c>
      <c r="G58" t="b">
        <v>1</v>
      </c>
      <c r="H58">
        <v>1</v>
      </c>
      <c r="I58" t="s">
        <v>25</v>
      </c>
      <c r="J58" s="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gen-ml3-sn1.2k-mgv6-spl:T</v>
      </c>
      <c r="K58" s="8">
        <v>0.9</v>
      </c>
      <c r="L58" s="8">
        <v>0.93</v>
      </c>
      <c r="M58" s="8">
        <v>0.93</v>
      </c>
      <c r="N58" s="8">
        <v>0.9</v>
      </c>
      <c r="O58" s="8">
        <v>0.85</v>
      </c>
      <c r="P58" s="8">
        <v>0.89</v>
      </c>
      <c r="Q58" s="8">
        <v>0.92</v>
      </c>
      <c r="R58" s="8">
        <v>0.93</v>
      </c>
      <c r="S58" s="8">
        <v>0.97</v>
      </c>
      <c r="T58" s="8">
        <v>0.86</v>
      </c>
      <c r="U58" s="8">
        <v>0.82</v>
      </c>
      <c r="V58" s="8">
        <v>0.85</v>
      </c>
      <c r="W58" s="8">
        <v>0.97</v>
      </c>
    </row>
    <row r="59" spans="1:23" ht="25" hidden="1" customHeight="1">
      <c r="A59" s="10">
        <v>3</v>
      </c>
      <c r="B59" t="s">
        <v>36</v>
      </c>
      <c r="C59">
        <v>1.2</v>
      </c>
      <c r="D59">
        <v>6</v>
      </c>
      <c r="E59">
        <v>2</v>
      </c>
      <c r="F59" t="s">
        <v>37</v>
      </c>
      <c r="G59" t="b">
        <v>0</v>
      </c>
      <c r="H59">
        <v>1</v>
      </c>
      <c r="I59" t="s">
        <v>25</v>
      </c>
      <c r="J59" s="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gen-ml3-sn1.2k-mgv6-spl:F</v>
      </c>
      <c r="K59" s="8">
        <v>0.55000000000000004</v>
      </c>
      <c r="L59" s="8">
        <v>0.65</v>
      </c>
      <c r="M59" s="8">
        <v>0.69</v>
      </c>
      <c r="N59" s="8">
        <v>0.72</v>
      </c>
      <c r="O59" s="8">
        <v>0.68</v>
      </c>
      <c r="P59" s="8">
        <v>0.61</v>
      </c>
      <c r="Q59" s="8">
        <v>0.67</v>
      </c>
      <c r="R59" s="8">
        <v>0.68</v>
      </c>
      <c r="S59" s="8">
        <v>0.69</v>
      </c>
      <c r="T59" s="8">
        <v>0.68</v>
      </c>
      <c r="U59" s="8">
        <v>0.62</v>
      </c>
      <c r="V59" s="8">
        <v>0.68</v>
      </c>
      <c r="W59" s="8">
        <v>0.72</v>
      </c>
    </row>
    <row r="60" spans="1:23" ht="25" customHeight="1">
      <c r="A60" s="10">
        <v>3</v>
      </c>
      <c r="B60" t="s">
        <v>36</v>
      </c>
      <c r="C60">
        <v>1.2</v>
      </c>
      <c r="D60">
        <v>6</v>
      </c>
      <c r="E60">
        <v>1</v>
      </c>
      <c r="F60" t="s">
        <v>17</v>
      </c>
      <c r="G60" t="b">
        <v>1</v>
      </c>
      <c r="H60">
        <v>1</v>
      </c>
      <c r="I60" t="s">
        <v>25</v>
      </c>
      <c r="J60" s="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plu-ml3-sn1.2k-mgv6-spl:T</v>
      </c>
      <c r="K60" s="8">
        <v>0.84</v>
      </c>
      <c r="L60" s="8">
        <v>0.86</v>
      </c>
      <c r="M60" s="8">
        <v>0.9</v>
      </c>
      <c r="N60" s="8">
        <v>0.9</v>
      </c>
      <c r="O60" s="8">
        <v>0.84</v>
      </c>
      <c r="P60" s="8">
        <v>0.87</v>
      </c>
      <c r="Q60" s="8">
        <v>0.88</v>
      </c>
      <c r="R60" s="8">
        <v>0.88</v>
      </c>
      <c r="S60" s="8">
        <v>0.93</v>
      </c>
      <c r="T60" s="8">
        <v>0.85</v>
      </c>
      <c r="U60" s="8">
        <v>0.85</v>
      </c>
      <c r="V60" s="8">
        <v>0.82</v>
      </c>
      <c r="W60" s="8">
        <v>0.93</v>
      </c>
    </row>
    <row r="61" spans="1:23" ht="25" hidden="1" customHeight="1">
      <c r="A61" s="10">
        <v>3</v>
      </c>
      <c r="B61" t="s">
        <v>36</v>
      </c>
      <c r="C61">
        <v>1.2</v>
      </c>
      <c r="D61">
        <v>6</v>
      </c>
      <c r="E61">
        <v>1</v>
      </c>
      <c r="F61" t="s">
        <v>17</v>
      </c>
      <c r="G61" t="b">
        <v>0</v>
      </c>
      <c r="H61">
        <v>1</v>
      </c>
      <c r="I61" t="s">
        <v>25</v>
      </c>
      <c r="J61" s="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plu-ml3-sn1.2k-mgv6-spl:F</v>
      </c>
      <c r="K61" s="8">
        <v>0.8</v>
      </c>
      <c r="L61" s="8">
        <v>0.84</v>
      </c>
      <c r="M61" s="8">
        <v>0.83</v>
      </c>
      <c r="N61" s="8">
        <v>0.87</v>
      </c>
      <c r="O61" s="8">
        <v>0.82</v>
      </c>
      <c r="P61" s="8">
        <v>0.84</v>
      </c>
      <c r="Q61" s="8">
        <v>0.82</v>
      </c>
      <c r="R61" s="8">
        <v>0.82</v>
      </c>
      <c r="S61" s="8">
        <v>0.85</v>
      </c>
      <c r="T61" s="8">
        <v>0.81</v>
      </c>
      <c r="U61" s="8">
        <v>0.8</v>
      </c>
      <c r="V61" s="8">
        <v>0.81</v>
      </c>
      <c r="W61" s="8">
        <v>0.87</v>
      </c>
    </row>
    <row r="62" spans="1:23" ht="25" hidden="1" customHeight="1">
      <c r="A62" s="10">
        <v>3</v>
      </c>
      <c r="B62" t="s">
        <v>36</v>
      </c>
      <c r="C62">
        <v>1.2</v>
      </c>
      <c r="D62">
        <v>9</v>
      </c>
      <c r="E62">
        <v>3</v>
      </c>
      <c r="F62" t="s">
        <v>22</v>
      </c>
      <c r="G62" t="b">
        <v>0</v>
      </c>
      <c r="H62">
        <v>1</v>
      </c>
      <c r="I62" t="s">
        <v>25</v>
      </c>
      <c r="J62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cas-ml3-sn1.2k-mgv9-spl:F</v>
      </c>
      <c r="K62" s="1">
        <v>0.36</v>
      </c>
      <c r="L62" s="1">
        <v>0.42</v>
      </c>
      <c r="M62" s="1">
        <v>0.47</v>
      </c>
      <c r="N62" s="1">
        <v>0.39</v>
      </c>
      <c r="O62" s="1">
        <v>0.44</v>
      </c>
      <c r="P62" s="1">
        <v>0.45</v>
      </c>
      <c r="Q62" s="1">
        <v>0.38</v>
      </c>
      <c r="R62" s="1">
        <v>0.35</v>
      </c>
      <c r="S62" s="1">
        <v>0.42</v>
      </c>
      <c r="T62" s="1">
        <v>0.41</v>
      </c>
      <c r="U62" s="1">
        <v>0.39</v>
      </c>
      <c r="V62" s="1">
        <v>0.48</v>
      </c>
      <c r="W62" s="1">
        <v>0.48</v>
      </c>
    </row>
    <row r="63" spans="1:23" ht="25" hidden="1" customHeight="1">
      <c r="A63" s="10">
        <v>3</v>
      </c>
      <c r="B63" t="s">
        <v>36</v>
      </c>
      <c r="C63">
        <v>1.2</v>
      </c>
      <c r="D63">
        <v>9</v>
      </c>
      <c r="E63">
        <v>3</v>
      </c>
      <c r="F63" t="s">
        <v>22</v>
      </c>
      <c r="G63" t="b">
        <v>1</v>
      </c>
      <c r="H63">
        <v>1</v>
      </c>
      <c r="I63" t="s">
        <v>25</v>
      </c>
      <c r="J63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cas-ml3-sn1.2k-mgv9-spl:T</v>
      </c>
      <c r="K63" s="1">
        <v>0.45</v>
      </c>
      <c r="L63" s="1">
        <v>0.54</v>
      </c>
      <c r="M63" s="1">
        <v>0.62</v>
      </c>
      <c r="N63" s="1">
        <v>0.49</v>
      </c>
      <c r="O63" s="1">
        <v>0.47</v>
      </c>
      <c r="P63" s="1">
        <v>0.47</v>
      </c>
      <c r="Q63" s="1">
        <v>0.5</v>
      </c>
      <c r="R63" s="1">
        <v>0.46</v>
      </c>
      <c r="S63" s="1">
        <v>0.53</v>
      </c>
      <c r="T63" s="1">
        <v>0.43</v>
      </c>
      <c r="U63" s="1">
        <v>0.45</v>
      </c>
      <c r="V63" s="1">
        <v>0.51</v>
      </c>
      <c r="W63" s="1">
        <v>0.62</v>
      </c>
    </row>
    <row r="64" spans="1:23" ht="25" hidden="1" customHeight="1">
      <c r="A64" s="10">
        <v>3</v>
      </c>
      <c r="B64" t="s">
        <v>36</v>
      </c>
      <c r="C64">
        <v>1.2</v>
      </c>
      <c r="D64">
        <v>9</v>
      </c>
      <c r="E64">
        <v>2</v>
      </c>
      <c r="F64" t="s">
        <v>37</v>
      </c>
      <c r="G64" t="b">
        <v>0</v>
      </c>
      <c r="H64">
        <v>1</v>
      </c>
      <c r="I64" t="s">
        <v>25</v>
      </c>
      <c r="J64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gen-ml3-sn1.2k-mgv9-spl:F</v>
      </c>
      <c r="K64" s="8">
        <v>0.53</v>
      </c>
      <c r="L64" s="8">
        <v>0.56000000000000005</v>
      </c>
      <c r="M64" s="8">
        <v>0.62</v>
      </c>
      <c r="N64" s="8">
        <v>0.61</v>
      </c>
      <c r="O64" s="8">
        <v>0.57999999999999996</v>
      </c>
      <c r="P64" s="8">
        <v>0.6</v>
      </c>
      <c r="Q64" s="8">
        <v>0.62</v>
      </c>
      <c r="R64" s="8">
        <v>0.63</v>
      </c>
      <c r="S64" s="8">
        <v>0.68</v>
      </c>
      <c r="T64" s="8">
        <v>0.64</v>
      </c>
      <c r="U64" s="8">
        <v>0.6</v>
      </c>
      <c r="V64" s="8">
        <v>0.53</v>
      </c>
      <c r="W64" s="8">
        <v>0.68</v>
      </c>
    </row>
    <row r="65" spans="1:23" ht="25" hidden="1" customHeight="1">
      <c r="A65" s="10">
        <v>3</v>
      </c>
      <c r="B65" t="s">
        <v>36</v>
      </c>
      <c r="C65">
        <v>1.2</v>
      </c>
      <c r="D65">
        <v>9</v>
      </c>
      <c r="E65">
        <v>2</v>
      </c>
      <c r="F65" t="s">
        <v>37</v>
      </c>
      <c r="G65" t="b">
        <v>1</v>
      </c>
      <c r="H65">
        <v>1</v>
      </c>
      <c r="I65" t="s">
        <v>25</v>
      </c>
      <c r="J65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gen-ml3-sn1.2k-mgv9-spl:T</v>
      </c>
      <c r="K65" s="8">
        <v>0.55000000000000004</v>
      </c>
      <c r="L65" s="8">
        <v>0.57999999999999996</v>
      </c>
      <c r="M65" s="8">
        <v>0.68</v>
      </c>
      <c r="N65" s="8">
        <v>0.63</v>
      </c>
      <c r="O65" s="8">
        <v>0.65</v>
      </c>
      <c r="P65" s="8">
        <v>0.6</v>
      </c>
      <c r="Q65" s="8">
        <v>0.7</v>
      </c>
      <c r="R65" s="8">
        <v>0.68</v>
      </c>
      <c r="S65" s="8">
        <v>0.69</v>
      </c>
      <c r="T65" s="8">
        <v>0.71</v>
      </c>
      <c r="U65" s="8">
        <v>0.57999999999999996</v>
      </c>
      <c r="V65" s="8">
        <v>0.51</v>
      </c>
      <c r="W65" s="8">
        <v>0.71</v>
      </c>
    </row>
    <row r="66" spans="1:23" ht="25" hidden="1" customHeight="1">
      <c r="A66" s="10">
        <v>3</v>
      </c>
      <c r="B66" t="s">
        <v>36</v>
      </c>
      <c r="C66">
        <v>1.2</v>
      </c>
      <c r="D66">
        <v>9</v>
      </c>
      <c r="E66">
        <v>1</v>
      </c>
      <c r="F66" t="s">
        <v>17</v>
      </c>
      <c r="G66" t="b">
        <v>0</v>
      </c>
      <c r="H66">
        <v>1</v>
      </c>
      <c r="I66" t="s">
        <v>25</v>
      </c>
      <c r="J66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plu-ml3-sn1.2k-mgv9-spl:F</v>
      </c>
      <c r="K66" s="8">
        <v>0.88</v>
      </c>
      <c r="L66" s="8">
        <v>0.78</v>
      </c>
      <c r="M66" s="8">
        <v>0.82</v>
      </c>
      <c r="N66" s="8">
        <v>0.85</v>
      </c>
      <c r="O66" s="8">
        <v>0.86</v>
      </c>
      <c r="P66" s="8">
        <v>0.85</v>
      </c>
      <c r="Q66" s="8">
        <v>0.84</v>
      </c>
      <c r="R66" s="8">
        <v>0.83</v>
      </c>
      <c r="S66" s="8">
        <v>0.8</v>
      </c>
      <c r="T66" s="8">
        <v>0.85</v>
      </c>
      <c r="U66" s="8">
        <v>0.84</v>
      </c>
      <c r="V66" s="8">
        <v>0.87</v>
      </c>
      <c r="W66" s="8">
        <v>0.88</v>
      </c>
    </row>
    <row r="67" spans="1:23" ht="25" customHeight="1">
      <c r="A67" s="10">
        <v>3</v>
      </c>
      <c r="B67" t="s">
        <v>36</v>
      </c>
      <c r="C67">
        <v>1.2</v>
      </c>
      <c r="D67">
        <v>9</v>
      </c>
      <c r="E67">
        <v>1</v>
      </c>
      <c r="F67" t="s">
        <v>17</v>
      </c>
      <c r="G67" t="b">
        <v>1</v>
      </c>
      <c r="H67">
        <v>1</v>
      </c>
      <c r="I67" t="s">
        <v>25</v>
      </c>
      <c r="J67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plu-ml3-sn1.2k-mgv9-spl:T</v>
      </c>
      <c r="K67" s="8">
        <v>0.91</v>
      </c>
      <c r="L67" s="8">
        <v>0.88</v>
      </c>
      <c r="M67" s="8">
        <v>0.87</v>
      </c>
      <c r="N67" s="8">
        <v>0.88</v>
      </c>
      <c r="O67" s="8">
        <v>0.9</v>
      </c>
      <c r="P67" s="8">
        <v>0.85</v>
      </c>
      <c r="Q67" s="8">
        <v>0.88</v>
      </c>
      <c r="R67" s="8">
        <v>0.87</v>
      </c>
      <c r="S67" s="8">
        <v>0.86</v>
      </c>
      <c r="T67" s="8">
        <v>0.86</v>
      </c>
      <c r="U67" s="8">
        <v>0.85</v>
      </c>
      <c r="V67" s="8">
        <v>0.82</v>
      </c>
      <c r="W67" s="8">
        <v>0.91</v>
      </c>
    </row>
    <row r="68" spans="1:23" ht="25" hidden="1" customHeight="1">
      <c r="A68" s="10">
        <v>3</v>
      </c>
      <c r="B68" t="s">
        <v>36</v>
      </c>
      <c r="C68">
        <v>2</v>
      </c>
      <c r="D68">
        <v>6</v>
      </c>
      <c r="E68">
        <v>3</v>
      </c>
      <c r="F68" t="s">
        <v>22</v>
      </c>
      <c r="G68" t="b">
        <v>0</v>
      </c>
      <c r="H68">
        <v>1</v>
      </c>
      <c r="I68" t="s">
        <v>25</v>
      </c>
      <c r="J68" s="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cas-ml3-sn2k-mgv6-spl:F</v>
      </c>
      <c r="K68" s="1">
        <v>0.34</v>
      </c>
      <c r="L68" s="1">
        <v>0.39</v>
      </c>
      <c r="M68" s="1">
        <v>0.49</v>
      </c>
      <c r="N68" s="1">
        <v>0.5</v>
      </c>
      <c r="O68" s="1">
        <v>0.41</v>
      </c>
      <c r="P68" s="1">
        <v>0.49</v>
      </c>
      <c r="Q68" s="1">
        <v>0.48</v>
      </c>
      <c r="R68" s="1">
        <v>0.41</v>
      </c>
      <c r="S68" s="1">
        <v>0.44</v>
      </c>
      <c r="T68" s="1">
        <v>0.4</v>
      </c>
      <c r="U68" s="1">
        <v>0.43</v>
      </c>
      <c r="V68" s="1">
        <v>0.41</v>
      </c>
      <c r="W68" s="1">
        <v>0.5</v>
      </c>
    </row>
    <row r="69" spans="1:23" ht="25" hidden="1" customHeight="1">
      <c r="A69" s="10">
        <v>3</v>
      </c>
      <c r="B69" t="s">
        <v>36</v>
      </c>
      <c r="C69">
        <v>2</v>
      </c>
      <c r="D69">
        <v>6</v>
      </c>
      <c r="E69">
        <v>3</v>
      </c>
      <c r="F69" t="s">
        <v>22</v>
      </c>
      <c r="G69" t="b">
        <v>1</v>
      </c>
      <c r="H69">
        <v>1</v>
      </c>
      <c r="I69" t="s">
        <v>25</v>
      </c>
      <c r="J69" s="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cas-ml3-sn2k-mgv6-spl:T</v>
      </c>
      <c r="K69" s="1">
        <v>0.48</v>
      </c>
      <c r="L69" s="1">
        <v>0.52</v>
      </c>
      <c r="M69" s="1">
        <v>0.52</v>
      </c>
      <c r="N69" s="1">
        <v>0.56000000000000005</v>
      </c>
      <c r="O69" s="1">
        <v>0.47</v>
      </c>
      <c r="P69" s="1">
        <v>0.45</v>
      </c>
      <c r="Q69" s="1">
        <v>0.56000000000000005</v>
      </c>
      <c r="R69" s="1">
        <v>0.48</v>
      </c>
      <c r="S69" s="1">
        <v>0.57999999999999996</v>
      </c>
      <c r="T69" s="1">
        <v>0.44</v>
      </c>
      <c r="U69" s="1">
        <v>0.47</v>
      </c>
      <c r="V69" s="1">
        <v>0.45</v>
      </c>
      <c r="W69" s="1">
        <v>0.57999999999999996</v>
      </c>
    </row>
    <row r="70" spans="1:23" ht="25" hidden="1" customHeight="1">
      <c r="A70" s="10">
        <v>3</v>
      </c>
      <c r="B70" t="s">
        <v>36</v>
      </c>
      <c r="C70">
        <v>2</v>
      </c>
      <c r="D70">
        <v>6</v>
      </c>
      <c r="E70">
        <v>2</v>
      </c>
      <c r="F70" t="s">
        <v>37</v>
      </c>
      <c r="G70" t="b">
        <v>0</v>
      </c>
      <c r="H70">
        <v>1</v>
      </c>
      <c r="I70" t="s">
        <v>25</v>
      </c>
      <c r="J70" s="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gen-ml3-sn2k-mgv6-spl:F</v>
      </c>
      <c r="K70" s="8">
        <v>0.72</v>
      </c>
      <c r="L70" s="8">
        <v>0.7</v>
      </c>
      <c r="M70" s="8">
        <v>0.71</v>
      </c>
      <c r="N70" s="8">
        <v>0.71</v>
      </c>
      <c r="O70" s="8">
        <v>0.71</v>
      </c>
      <c r="P70" s="8">
        <v>0.74</v>
      </c>
      <c r="Q70" s="8">
        <v>0.73</v>
      </c>
      <c r="R70" s="8">
        <v>0.71</v>
      </c>
      <c r="S70" s="8">
        <v>0.7</v>
      </c>
      <c r="T70" s="8">
        <v>0.76</v>
      </c>
      <c r="U70" s="8">
        <v>0.77</v>
      </c>
      <c r="V70" s="8">
        <v>0.76</v>
      </c>
      <c r="W70" s="8">
        <v>0.77</v>
      </c>
    </row>
    <row r="71" spans="1:23" ht="25" hidden="1" customHeight="1">
      <c r="A71" s="10">
        <v>3</v>
      </c>
      <c r="B71" t="s">
        <v>36</v>
      </c>
      <c r="C71">
        <v>2</v>
      </c>
      <c r="D71">
        <v>6</v>
      </c>
      <c r="E71">
        <v>2</v>
      </c>
      <c r="F71" t="s">
        <v>37</v>
      </c>
      <c r="G71" t="b">
        <v>1</v>
      </c>
      <c r="H71">
        <v>1</v>
      </c>
      <c r="I71" t="s">
        <v>25</v>
      </c>
      <c r="J71" s="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gen-ml3-sn2k-mgv6-spl:T</v>
      </c>
      <c r="K71" s="8">
        <v>0.93</v>
      </c>
      <c r="L71" s="8">
        <v>0.94</v>
      </c>
      <c r="M71" s="8">
        <v>0.93</v>
      </c>
      <c r="N71" s="8">
        <v>0.92</v>
      </c>
      <c r="O71" s="8">
        <v>0.86</v>
      </c>
      <c r="P71" s="8">
        <v>0.85</v>
      </c>
      <c r="Q71" s="8">
        <v>0.94</v>
      </c>
      <c r="R71" s="8">
        <v>0.94</v>
      </c>
      <c r="S71" s="8">
        <v>0.94</v>
      </c>
      <c r="T71" s="8">
        <v>0.93</v>
      </c>
      <c r="U71" s="8">
        <v>0.89</v>
      </c>
      <c r="V71" s="8">
        <v>0.89</v>
      </c>
      <c r="W71" s="8">
        <v>0.94</v>
      </c>
    </row>
    <row r="72" spans="1:23" ht="25" hidden="1" customHeight="1">
      <c r="A72" s="10">
        <v>3</v>
      </c>
      <c r="B72" t="s">
        <v>36</v>
      </c>
      <c r="C72">
        <v>2</v>
      </c>
      <c r="D72">
        <v>6</v>
      </c>
      <c r="E72">
        <v>1</v>
      </c>
      <c r="F72" t="s">
        <v>17</v>
      </c>
      <c r="G72" t="b">
        <v>0</v>
      </c>
      <c r="H72">
        <v>1</v>
      </c>
      <c r="I72" t="s">
        <v>25</v>
      </c>
      <c r="J72" s="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plu-ml3-sn2k-mgv6-spl:F</v>
      </c>
      <c r="K72" s="8">
        <v>0.86</v>
      </c>
      <c r="L72" s="8">
        <v>0.83</v>
      </c>
      <c r="M72" s="8">
        <v>0.84</v>
      </c>
      <c r="N72" s="8">
        <v>0.88</v>
      </c>
      <c r="O72" s="8">
        <v>0.85</v>
      </c>
      <c r="P72" s="8">
        <v>0.82</v>
      </c>
      <c r="Q72" s="8">
        <v>0.82</v>
      </c>
      <c r="R72" s="8">
        <v>0.83</v>
      </c>
      <c r="S72" s="8">
        <v>0.83</v>
      </c>
      <c r="T72" s="8">
        <v>0.85</v>
      </c>
      <c r="U72" s="8">
        <v>0.84</v>
      </c>
      <c r="V72" s="8">
        <v>0.85</v>
      </c>
      <c r="W72" s="8">
        <v>0.88</v>
      </c>
    </row>
    <row r="73" spans="1:23" ht="25" hidden="1" customHeight="1">
      <c r="A73" s="10">
        <v>3</v>
      </c>
      <c r="B73" t="s">
        <v>36</v>
      </c>
      <c r="C73">
        <v>2</v>
      </c>
      <c r="D73">
        <v>6</v>
      </c>
      <c r="E73">
        <v>1</v>
      </c>
      <c r="F73" t="s">
        <v>17</v>
      </c>
      <c r="G73" t="b">
        <v>1</v>
      </c>
      <c r="H73">
        <v>1</v>
      </c>
      <c r="I73" t="s">
        <v>25</v>
      </c>
      <c r="J73" s="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plu-ml3-sn2k-mgv6-spl:T</v>
      </c>
      <c r="K73" s="8">
        <v>0.92</v>
      </c>
      <c r="L73" s="8">
        <v>0.89</v>
      </c>
      <c r="M73" s="8">
        <v>0.9</v>
      </c>
      <c r="N73" s="8">
        <v>0.9</v>
      </c>
      <c r="O73" s="8">
        <v>0.85</v>
      </c>
      <c r="P73" s="8">
        <v>0.83</v>
      </c>
      <c r="Q73" s="8">
        <v>0.9</v>
      </c>
      <c r="R73" s="8">
        <v>0.86</v>
      </c>
      <c r="S73" s="8">
        <v>0.84</v>
      </c>
      <c r="T73" s="8">
        <v>0.88</v>
      </c>
      <c r="U73" s="8">
        <v>0.86</v>
      </c>
      <c r="V73" s="8">
        <v>0.86</v>
      </c>
      <c r="W73" s="8">
        <v>0.92</v>
      </c>
    </row>
    <row r="74" spans="1:23" ht="25" hidden="1" customHeight="1">
      <c r="A74" s="10">
        <v>3</v>
      </c>
      <c r="B74" t="s">
        <v>36</v>
      </c>
      <c r="C74">
        <v>2</v>
      </c>
      <c r="D74">
        <v>9</v>
      </c>
      <c r="E74">
        <v>3</v>
      </c>
      <c r="F74" t="s">
        <v>22</v>
      </c>
      <c r="G74" t="b">
        <v>0</v>
      </c>
      <c r="H74">
        <v>1</v>
      </c>
      <c r="I74" t="s">
        <v>25</v>
      </c>
      <c r="J74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cas-ml3-sn2k-mgv9-spl:F</v>
      </c>
      <c r="K74" s="1">
        <v>0.42</v>
      </c>
      <c r="L74" s="1">
        <v>0.5</v>
      </c>
      <c r="M74" s="1">
        <v>0.45</v>
      </c>
      <c r="N74" s="1">
        <v>0.46</v>
      </c>
      <c r="O74" s="1">
        <v>0.53</v>
      </c>
      <c r="P74" s="1">
        <v>0.45</v>
      </c>
      <c r="Q74" s="1">
        <v>0.42</v>
      </c>
      <c r="R74" s="1">
        <v>0.43</v>
      </c>
      <c r="S74" s="1">
        <v>0.44</v>
      </c>
      <c r="T74" s="1">
        <v>0.4</v>
      </c>
      <c r="U74" s="1">
        <v>0.43</v>
      </c>
      <c r="V74" s="1">
        <v>0.47</v>
      </c>
      <c r="W74" s="1">
        <v>0.53</v>
      </c>
    </row>
    <row r="75" spans="1:23" ht="25" hidden="1" customHeight="1">
      <c r="A75" s="10">
        <v>3</v>
      </c>
      <c r="B75" t="s">
        <v>36</v>
      </c>
      <c r="C75">
        <v>2</v>
      </c>
      <c r="D75">
        <v>9</v>
      </c>
      <c r="E75">
        <v>3</v>
      </c>
      <c r="F75" t="s">
        <v>22</v>
      </c>
      <c r="G75" t="b">
        <v>1</v>
      </c>
      <c r="H75">
        <v>1</v>
      </c>
      <c r="I75" t="s">
        <v>25</v>
      </c>
      <c r="J75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cas-ml3-sn2k-mgv9-spl:T</v>
      </c>
      <c r="K75" s="1">
        <v>0.55000000000000004</v>
      </c>
      <c r="L75" s="1">
        <v>0.6</v>
      </c>
      <c r="M75" s="1">
        <v>0.55000000000000004</v>
      </c>
      <c r="N75" s="1">
        <v>0.52</v>
      </c>
      <c r="O75" s="1">
        <v>0.54</v>
      </c>
      <c r="P75" s="1">
        <v>0.54</v>
      </c>
      <c r="Q75" s="1">
        <v>0.55000000000000004</v>
      </c>
      <c r="R75" s="1">
        <v>0.56000000000000005</v>
      </c>
      <c r="S75" s="1">
        <v>0.49</v>
      </c>
      <c r="T75" s="1">
        <v>0.47</v>
      </c>
      <c r="U75" s="1">
        <v>0.51</v>
      </c>
      <c r="V75" s="1">
        <v>0.54</v>
      </c>
      <c r="W75" s="1">
        <v>0.6</v>
      </c>
    </row>
    <row r="76" spans="1:23" ht="25" hidden="1" customHeight="1">
      <c r="A76" s="10">
        <v>3</v>
      </c>
      <c r="B76" t="s">
        <v>36</v>
      </c>
      <c r="C76">
        <v>2</v>
      </c>
      <c r="D76">
        <v>9</v>
      </c>
      <c r="E76">
        <v>2</v>
      </c>
      <c r="F76" t="s">
        <v>37</v>
      </c>
      <c r="G76" t="b">
        <v>0</v>
      </c>
      <c r="H76">
        <v>1</v>
      </c>
      <c r="I76" t="s">
        <v>25</v>
      </c>
      <c r="J76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gen-ml3-sn2k-mgv9-spl:F</v>
      </c>
      <c r="K76" s="7">
        <v>0.69</v>
      </c>
      <c r="L76" s="7">
        <v>0.69</v>
      </c>
      <c r="M76" s="7">
        <v>0.6</v>
      </c>
      <c r="N76" s="7">
        <v>0.65</v>
      </c>
      <c r="O76" s="7">
        <v>0.59</v>
      </c>
      <c r="P76" s="7">
        <v>0.66</v>
      </c>
      <c r="Q76" s="7">
        <v>0.61</v>
      </c>
      <c r="R76" s="7">
        <v>0.66</v>
      </c>
      <c r="S76" s="7">
        <v>0.69</v>
      </c>
      <c r="T76" s="7">
        <v>0.65</v>
      </c>
      <c r="U76" s="7">
        <v>0.64</v>
      </c>
      <c r="V76" s="7">
        <v>0.66</v>
      </c>
      <c r="W76" s="7">
        <v>0.69</v>
      </c>
    </row>
    <row r="77" spans="1:23" ht="25" hidden="1" customHeight="1">
      <c r="A77" s="10">
        <v>3</v>
      </c>
      <c r="B77" t="s">
        <v>36</v>
      </c>
      <c r="C77">
        <v>2</v>
      </c>
      <c r="D77">
        <v>9</v>
      </c>
      <c r="E77">
        <v>2</v>
      </c>
      <c r="F77" t="s">
        <v>37</v>
      </c>
      <c r="G77" t="b">
        <v>1</v>
      </c>
      <c r="H77">
        <v>1</v>
      </c>
      <c r="I77" t="s">
        <v>25</v>
      </c>
      <c r="J77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gen-ml3-sn2k-mgv9-spl:T</v>
      </c>
      <c r="K77" s="8">
        <v>0.67</v>
      </c>
      <c r="L77" s="8">
        <v>0.69</v>
      </c>
      <c r="M77" s="8">
        <v>0.65</v>
      </c>
      <c r="N77" s="8">
        <v>0.67</v>
      </c>
      <c r="O77" s="8">
        <v>0.6</v>
      </c>
      <c r="P77" s="8">
        <v>0.69</v>
      </c>
      <c r="Q77" s="8">
        <v>0.66</v>
      </c>
      <c r="R77" s="8">
        <v>0.69</v>
      </c>
      <c r="S77" s="8">
        <v>0.73</v>
      </c>
      <c r="T77" s="8">
        <v>0.64</v>
      </c>
      <c r="U77" s="8">
        <v>0.67</v>
      </c>
      <c r="V77" s="8">
        <v>0.62</v>
      </c>
      <c r="W77" s="8">
        <v>0.73</v>
      </c>
    </row>
    <row r="78" spans="1:23" ht="25" hidden="1" customHeight="1">
      <c r="A78" s="10">
        <v>3</v>
      </c>
      <c r="B78" t="s">
        <v>36</v>
      </c>
      <c r="C78">
        <v>2</v>
      </c>
      <c r="D78">
        <v>9</v>
      </c>
      <c r="E78">
        <v>1</v>
      </c>
      <c r="F78" t="s">
        <v>17</v>
      </c>
      <c r="G78" t="b">
        <v>0</v>
      </c>
      <c r="H78">
        <v>1</v>
      </c>
      <c r="I78" t="s">
        <v>25</v>
      </c>
      <c r="J78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plu-ml3-sn2k-mgv9-spl:F</v>
      </c>
      <c r="K78" s="8">
        <v>0.86</v>
      </c>
      <c r="L78" s="8">
        <v>0.8</v>
      </c>
      <c r="M78" s="8">
        <v>0.82</v>
      </c>
      <c r="N78" s="8">
        <v>0.88</v>
      </c>
      <c r="O78" s="8">
        <v>0.82</v>
      </c>
      <c r="P78" s="8">
        <v>0.85</v>
      </c>
      <c r="Q78" s="8">
        <v>0.84</v>
      </c>
      <c r="R78" s="8">
        <v>0.79</v>
      </c>
      <c r="S78" s="8">
        <v>0.82</v>
      </c>
      <c r="T78" s="8">
        <v>0.84</v>
      </c>
      <c r="U78" s="8">
        <v>0.82</v>
      </c>
      <c r="V78" s="8">
        <v>0.88</v>
      </c>
      <c r="W78" s="8">
        <v>0.88</v>
      </c>
    </row>
    <row r="79" spans="1:23" ht="25" hidden="1" customHeight="1">
      <c r="A79" s="10">
        <v>3</v>
      </c>
      <c r="B79" t="s">
        <v>36</v>
      </c>
      <c r="C79">
        <v>2</v>
      </c>
      <c r="D79">
        <v>9</v>
      </c>
      <c r="E79">
        <v>1</v>
      </c>
      <c r="F79" t="s">
        <v>17</v>
      </c>
      <c r="G79" t="b">
        <v>1</v>
      </c>
      <c r="H79">
        <v>1</v>
      </c>
      <c r="I79" t="s">
        <v>25</v>
      </c>
      <c r="J79" t="str">
        <f>_xlfn.LET(_xlpm.sk,_xlfn.SINGLE(Table6[skippiness]),_xlpm.ml,_xlfn.SINGLE(Table6[ml]),_xlpm.sn,_xlfn.SINGLE(Table6[sample.n]),_xlpm.spl,_xlfn.SINGLE(Table6[supplemented]),_xlpm.mgv,_xlfn.SINGLE(Table6[mgv]),_xlpm.attr,_xlfn.SINGLE(Table6[attribute]),CONCATENATE(LEFT(_xlpm.attr,3),"-ml",_xlpm.ml,"-sn",_xlpm.sn,"k-mgv",_xlpm.mgv,"-spl:",LEFT(_xlpm.spl,1)))</f>
        <v>plu-ml3-sn2k-mgv9-spl:T</v>
      </c>
      <c r="K79" s="8">
        <v>0.94</v>
      </c>
      <c r="L79" s="8">
        <v>0.86</v>
      </c>
      <c r="M79" s="8">
        <v>0.91</v>
      </c>
      <c r="N79" s="8">
        <v>0.88</v>
      </c>
      <c r="O79" s="8">
        <v>0.83</v>
      </c>
      <c r="P79" s="8">
        <v>0.89</v>
      </c>
      <c r="Q79" s="8">
        <v>0.9</v>
      </c>
      <c r="R79" s="8">
        <v>0.83</v>
      </c>
      <c r="S79" s="8">
        <v>0.85</v>
      </c>
      <c r="T79" s="8">
        <v>0.85</v>
      </c>
      <c r="U79" s="8">
        <v>0.81</v>
      </c>
      <c r="V79" s="8">
        <v>0.84</v>
      </c>
      <c r="W79" s="8">
        <v>0.94</v>
      </c>
    </row>
  </sheetData>
  <conditionalFormatting sqref="K2:W7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72E40-885E-3A4F-84F6-67339B580D57}">
  <dimension ref="A1:T28"/>
  <sheetViews>
    <sheetView workbookViewId="0"/>
  </sheetViews>
  <sheetFormatPr baseColWidth="10" defaultRowHeight="25" customHeight="1"/>
  <cols>
    <col min="1" max="1" width="10" customWidth="1"/>
    <col min="2" max="2" width="7.75" customWidth="1"/>
    <col min="3" max="3" width="10" customWidth="1"/>
    <col min="4" max="4" width="9.375" customWidth="1"/>
    <col min="5" max="19" width="8" customWidth="1"/>
  </cols>
  <sheetData>
    <row r="1" spans="1:20" ht="25" customHeight="1">
      <c r="A1" t="s">
        <v>0</v>
      </c>
      <c r="B1" t="s">
        <v>23</v>
      </c>
      <c r="C1" t="s">
        <v>1</v>
      </c>
      <c r="D1" t="s">
        <v>2</v>
      </c>
      <c r="E1" t="s">
        <v>24</v>
      </c>
      <c r="F1" t="s">
        <v>3</v>
      </c>
      <c r="G1" t="s">
        <v>33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25</v>
      </c>
    </row>
    <row r="2" spans="1:20" ht="25" customHeight="1">
      <c r="A2" t="s">
        <v>16</v>
      </c>
      <c r="B2">
        <v>1</v>
      </c>
      <c r="C2" t="s">
        <v>17</v>
      </c>
      <c r="D2" t="b">
        <v>0</v>
      </c>
      <c r="E2">
        <v>1</v>
      </c>
      <c r="F2" t="s">
        <v>20</v>
      </c>
      <c r="H2" s="1">
        <v>0.81</v>
      </c>
      <c r="I2" s="1">
        <v>0.8</v>
      </c>
      <c r="J2" s="1">
        <v>0.77</v>
      </c>
      <c r="K2" s="1">
        <v>0.83</v>
      </c>
      <c r="L2" s="1">
        <v>0.83</v>
      </c>
      <c r="M2" s="1">
        <v>0.79</v>
      </c>
      <c r="N2" s="1">
        <v>0.78</v>
      </c>
      <c r="O2" s="1">
        <v>0.81</v>
      </c>
      <c r="P2" s="1">
        <v>0.79</v>
      </c>
      <c r="Q2" s="1">
        <v>0.76</v>
      </c>
      <c r="R2" s="1">
        <v>0.83</v>
      </c>
      <c r="S2" s="1">
        <v>0.84</v>
      </c>
      <c r="T2" s="1">
        <f>_xlfn.LET(_xlpm.d,$H2:$S2,MAX(_xlpm.d))</f>
        <v>0.84</v>
      </c>
    </row>
    <row r="3" spans="1:20" ht="25" customHeight="1">
      <c r="A3" t="s">
        <v>16</v>
      </c>
      <c r="B3">
        <v>1</v>
      </c>
      <c r="C3" t="s">
        <v>17</v>
      </c>
      <c r="D3" t="b">
        <v>0</v>
      </c>
      <c r="E3">
        <v>2</v>
      </c>
      <c r="F3" t="s">
        <v>18</v>
      </c>
      <c r="H3" s="1">
        <v>0.84</v>
      </c>
      <c r="I3" s="1">
        <v>0.83</v>
      </c>
      <c r="J3" s="1">
        <v>0.76</v>
      </c>
      <c r="K3" s="1">
        <v>0.85</v>
      </c>
      <c r="L3" s="1">
        <v>0.87</v>
      </c>
      <c r="M3" s="1">
        <v>0.85</v>
      </c>
      <c r="N3" s="1">
        <v>0.83</v>
      </c>
      <c r="O3" s="1">
        <v>0.82</v>
      </c>
      <c r="P3" s="1">
        <v>0.79</v>
      </c>
      <c r="Q3" s="1">
        <v>0.79</v>
      </c>
      <c r="R3" s="1">
        <v>0.83</v>
      </c>
      <c r="S3" s="1">
        <v>0.84</v>
      </c>
      <c r="T3" s="1">
        <f>_xlfn.LET(_xlpm.d,$H3:$S3,MAX(_xlpm.d))</f>
        <v>0.87</v>
      </c>
    </row>
    <row r="4" spans="1:20" ht="25" customHeight="1">
      <c r="A4" t="s">
        <v>16</v>
      </c>
      <c r="B4">
        <v>1</v>
      </c>
      <c r="C4" t="s">
        <v>17</v>
      </c>
      <c r="D4" t="b">
        <v>0</v>
      </c>
      <c r="E4">
        <v>3</v>
      </c>
      <c r="F4" t="s">
        <v>19</v>
      </c>
      <c r="H4" s="1">
        <v>0.78</v>
      </c>
      <c r="I4" s="1">
        <v>0.81</v>
      </c>
      <c r="J4" s="1">
        <v>0.73</v>
      </c>
      <c r="K4" s="1">
        <v>0.86</v>
      </c>
      <c r="L4" s="1">
        <v>0.84</v>
      </c>
      <c r="M4" s="1">
        <v>0.82</v>
      </c>
      <c r="N4" s="1">
        <v>0.76</v>
      </c>
      <c r="O4" s="1">
        <v>0.79</v>
      </c>
      <c r="P4" s="1">
        <v>0.78</v>
      </c>
      <c r="Q4" s="1">
        <v>0.78</v>
      </c>
      <c r="R4" s="1">
        <v>0.84</v>
      </c>
      <c r="S4" s="1">
        <v>0.85</v>
      </c>
      <c r="T4" s="1">
        <f>_xlfn.LET(_xlpm.d,$H4:$S4,MAX(_xlpm.d))</f>
        <v>0.86</v>
      </c>
    </row>
    <row r="5" spans="1:20" ht="25" customHeight="1">
      <c r="A5" t="s">
        <v>16</v>
      </c>
      <c r="B5">
        <v>1</v>
      </c>
      <c r="C5" t="s">
        <v>17</v>
      </c>
      <c r="D5" t="b">
        <v>1</v>
      </c>
      <c r="E5">
        <v>1</v>
      </c>
      <c r="F5" t="s">
        <v>20</v>
      </c>
      <c r="H5" s="1">
        <v>0.9</v>
      </c>
      <c r="I5" s="1">
        <v>0.83</v>
      </c>
      <c r="J5" s="1">
        <v>0.8</v>
      </c>
      <c r="K5" s="1">
        <v>0.81</v>
      </c>
      <c r="L5" s="1">
        <v>0.82</v>
      </c>
      <c r="M5" s="1">
        <v>0.83</v>
      </c>
      <c r="N5" s="1">
        <v>0.85</v>
      </c>
      <c r="O5" s="1">
        <v>0.85</v>
      </c>
      <c r="P5" s="1">
        <v>0.89</v>
      </c>
      <c r="Q5" s="1">
        <v>0.79</v>
      </c>
      <c r="R5" s="1">
        <v>0.81</v>
      </c>
      <c r="S5" s="1">
        <v>0.78</v>
      </c>
      <c r="T5" s="1">
        <f>_xlfn.LET(_xlpm.d,$H5:$S5,MAX(_xlpm.d))</f>
        <v>0.9</v>
      </c>
    </row>
    <row r="6" spans="1:20" ht="25" customHeight="1">
      <c r="A6" t="s">
        <v>16</v>
      </c>
      <c r="B6">
        <v>1</v>
      </c>
      <c r="C6" t="s">
        <v>17</v>
      </c>
      <c r="D6" t="b">
        <v>1</v>
      </c>
      <c r="E6">
        <v>2</v>
      </c>
      <c r="F6" t="s">
        <v>18</v>
      </c>
      <c r="H6" s="1">
        <v>0.92</v>
      </c>
      <c r="I6" s="1">
        <v>0.89</v>
      </c>
      <c r="J6" s="1">
        <v>0.83</v>
      </c>
      <c r="K6" s="1">
        <v>0.88</v>
      </c>
      <c r="L6" s="1">
        <v>0.88</v>
      </c>
      <c r="M6" s="1">
        <v>0.84</v>
      </c>
      <c r="N6" s="1">
        <v>0.88</v>
      </c>
      <c r="O6" s="1">
        <v>0.88</v>
      </c>
      <c r="P6" s="1">
        <v>0.85</v>
      </c>
      <c r="Q6" s="1">
        <v>0.84</v>
      </c>
      <c r="R6" s="1">
        <v>0.86</v>
      </c>
      <c r="S6" s="1">
        <v>0.85</v>
      </c>
      <c r="T6" s="1">
        <f>_xlfn.LET(_xlpm.d,$H6:$S6,MAX(_xlpm.d))</f>
        <v>0.92</v>
      </c>
    </row>
    <row r="7" spans="1:20" ht="25" customHeight="1">
      <c r="A7" t="s">
        <v>16</v>
      </c>
      <c r="B7">
        <v>1</v>
      </c>
      <c r="C7" t="s">
        <v>17</v>
      </c>
      <c r="D7" t="b">
        <v>1</v>
      </c>
      <c r="E7">
        <v>3</v>
      </c>
      <c r="F7" t="s">
        <v>19</v>
      </c>
      <c r="H7" s="1">
        <v>0.88</v>
      </c>
      <c r="I7" s="1">
        <v>0.81</v>
      </c>
      <c r="J7" s="1">
        <v>0.82</v>
      </c>
      <c r="K7" s="1">
        <v>0.83</v>
      </c>
      <c r="L7" s="1">
        <v>0.85</v>
      </c>
      <c r="M7" s="1">
        <v>0.88</v>
      </c>
      <c r="N7" s="1">
        <v>0.83</v>
      </c>
      <c r="O7" s="1">
        <v>0.86</v>
      </c>
      <c r="P7" s="1">
        <v>0.82</v>
      </c>
      <c r="Q7" s="1">
        <v>0.81</v>
      </c>
      <c r="R7" s="1">
        <v>0.85</v>
      </c>
      <c r="S7" s="1">
        <v>0.87</v>
      </c>
      <c r="T7" s="1">
        <f>_xlfn.LET(_xlpm.d,$H7:$S7,MAX(_xlpm.d))</f>
        <v>0.88</v>
      </c>
    </row>
    <row r="8" spans="1:20" ht="25" customHeight="1">
      <c r="A8" t="s">
        <v>16</v>
      </c>
      <c r="B8">
        <v>2</v>
      </c>
      <c r="C8" t="s">
        <v>21</v>
      </c>
      <c r="D8" t="b">
        <v>0</v>
      </c>
      <c r="E8">
        <v>1</v>
      </c>
      <c r="F8" t="s">
        <v>20</v>
      </c>
      <c r="H8" s="1">
        <v>0.53</v>
      </c>
      <c r="I8" s="1">
        <v>0.48</v>
      </c>
      <c r="J8" s="1">
        <v>0.52</v>
      </c>
      <c r="K8" s="1">
        <v>0.57999999999999996</v>
      </c>
      <c r="L8" s="1">
        <v>0.45</v>
      </c>
      <c r="M8" s="1">
        <v>0.43</v>
      </c>
      <c r="N8" s="1">
        <v>0.5</v>
      </c>
      <c r="O8" s="1">
        <v>0.56000000000000005</v>
      </c>
      <c r="P8" s="1">
        <v>0.57999999999999996</v>
      </c>
      <c r="Q8" s="1">
        <v>0.49</v>
      </c>
      <c r="R8" s="1">
        <v>0.5</v>
      </c>
      <c r="S8" s="1">
        <v>0.49</v>
      </c>
      <c r="T8" s="1">
        <f>_xlfn.LET(_xlpm.d,$H8:$S8,MAX(_xlpm.d))</f>
        <v>0.57999999999999996</v>
      </c>
    </row>
    <row r="9" spans="1:20" ht="25" customHeight="1">
      <c r="A9" t="s">
        <v>16</v>
      </c>
      <c r="B9">
        <v>2</v>
      </c>
      <c r="C9" t="s">
        <v>21</v>
      </c>
      <c r="D9" t="b">
        <v>0</v>
      </c>
      <c r="E9">
        <v>2</v>
      </c>
      <c r="F9" t="s">
        <v>18</v>
      </c>
      <c r="H9" s="1">
        <v>0.68</v>
      </c>
      <c r="I9" s="1">
        <v>0.61</v>
      </c>
      <c r="J9" s="1">
        <v>0.62</v>
      </c>
      <c r="K9" s="1">
        <v>0.62</v>
      </c>
      <c r="L9" s="1">
        <v>0.57999999999999996</v>
      </c>
      <c r="M9" s="1">
        <v>0.57999999999999996</v>
      </c>
      <c r="N9" s="1">
        <v>0.68</v>
      </c>
      <c r="O9" s="1">
        <v>0.69</v>
      </c>
      <c r="P9" s="1">
        <v>0.6</v>
      </c>
      <c r="Q9" s="1">
        <v>0.63</v>
      </c>
      <c r="R9" s="1">
        <v>0.6</v>
      </c>
      <c r="S9" s="1">
        <v>0.61</v>
      </c>
      <c r="T9" s="1">
        <f>_xlfn.LET(_xlpm.d,$H9:$S9,MAX(_xlpm.d))</f>
        <v>0.69</v>
      </c>
    </row>
    <row r="10" spans="1:20" ht="25" customHeight="1">
      <c r="A10" t="s">
        <v>16</v>
      </c>
      <c r="B10">
        <v>2</v>
      </c>
      <c r="C10" t="s">
        <v>21</v>
      </c>
      <c r="D10" t="b">
        <v>0</v>
      </c>
      <c r="E10">
        <v>3</v>
      </c>
      <c r="F10" t="s">
        <v>19</v>
      </c>
      <c r="H10" s="1">
        <v>0.61</v>
      </c>
      <c r="I10" s="1">
        <v>0.65</v>
      </c>
      <c r="J10" s="1">
        <v>0.69</v>
      </c>
      <c r="K10" s="1">
        <v>0.63</v>
      </c>
      <c r="L10" s="1">
        <v>0.67</v>
      </c>
      <c r="M10" s="1">
        <v>0.62</v>
      </c>
      <c r="N10" s="1">
        <v>0.57999999999999996</v>
      </c>
      <c r="O10" s="1">
        <v>0.73</v>
      </c>
      <c r="P10" s="1">
        <v>0.56000000000000005</v>
      </c>
      <c r="Q10" s="1">
        <v>0.7</v>
      </c>
      <c r="R10" s="1">
        <v>0.65</v>
      </c>
      <c r="S10" s="1">
        <v>0.69</v>
      </c>
      <c r="T10" s="1">
        <f>_xlfn.LET(_xlpm.d,$H10:$S10,MAX(_xlpm.d))</f>
        <v>0.73</v>
      </c>
    </row>
    <row r="11" spans="1:20" ht="25" customHeight="1">
      <c r="A11" t="s">
        <v>16</v>
      </c>
      <c r="B11">
        <v>2</v>
      </c>
      <c r="C11" t="s">
        <v>21</v>
      </c>
      <c r="D11" t="b">
        <v>1</v>
      </c>
      <c r="E11">
        <v>1</v>
      </c>
      <c r="F11" t="s">
        <v>20</v>
      </c>
      <c r="H11" s="1">
        <v>0.57999999999999996</v>
      </c>
      <c r="I11" s="1">
        <v>0.52</v>
      </c>
      <c r="J11" s="1">
        <v>0.54</v>
      </c>
      <c r="K11" s="1">
        <v>0.55000000000000004</v>
      </c>
      <c r="L11" s="1">
        <v>0.49</v>
      </c>
      <c r="M11" s="1">
        <v>0.45</v>
      </c>
      <c r="N11" s="1">
        <v>0.55000000000000004</v>
      </c>
      <c r="O11" s="1">
        <v>0.55000000000000004</v>
      </c>
      <c r="P11" s="1">
        <v>0.55000000000000004</v>
      </c>
      <c r="Q11" s="1">
        <v>0.55000000000000004</v>
      </c>
      <c r="R11" s="1">
        <v>0.46</v>
      </c>
      <c r="S11" s="1">
        <v>0.55000000000000004</v>
      </c>
      <c r="T11" s="1">
        <f>_xlfn.LET(_xlpm.d,$H11:$S11,MAX(_xlpm.d))</f>
        <v>0.57999999999999996</v>
      </c>
    </row>
    <row r="12" spans="1:20" ht="25" customHeight="1">
      <c r="A12" t="s">
        <v>16</v>
      </c>
      <c r="B12">
        <v>2</v>
      </c>
      <c r="C12" t="s">
        <v>21</v>
      </c>
      <c r="D12" t="b">
        <v>1</v>
      </c>
      <c r="E12">
        <v>2</v>
      </c>
      <c r="F12" t="s">
        <v>18</v>
      </c>
      <c r="H12" s="1">
        <v>0.7</v>
      </c>
      <c r="I12" s="1">
        <v>0.66</v>
      </c>
      <c r="J12" s="1">
        <v>0.7</v>
      </c>
      <c r="K12" s="1">
        <v>0.65</v>
      </c>
      <c r="L12" s="1">
        <v>0.59</v>
      </c>
      <c r="M12" s="1">
        <v>0.6</v>
      </c>
      <c r="N12" s="1">
        <v>0.71</v>
      </c>
      <c r="O12" s="1">
        <v>0.69</v>
      </c>
      <c r="P12" s="1">
        <v>0.66</v>
      </c>
      <c r="Q12" s="1">
        <v>0.55000000000000004</v>
      </c>
      <c r="R12" s="1">
        <v>0.63</v>
      </c>
      <c r="S12" s="1">
        <v>0.65</v>
      </c>
      <c r="T12" s="1">
        <f>_xlfn.LET(_xlpm.d,$H12:$S12,MAX(_xlpm.d))</f>
        <v>0.71</v>
      </c>
    </row>
    <row r="13" spans="1:20" ht="25" customHeight="1">
      <c r="A13" t="s">
        <v>16</v>
      </c>
      <c r="B13">
        <v>2</v>
      </c>
      <c r="C13" t="s">
        <v>21</v>
      </c>
      <c r="D13" t="b">
        <v>1</v>
      </c>
      <c r="E13">
        <v>3</v>
      </c>
      <c r="F13" t="s">
        <v>19</v>
      </c>
      <c r="H13" s="1">
        <v>0.61</v>
      </c>
      <c r="I13" s="1">
        <v>0.66</v>
      </c>
      <c r="J13" s="1">
        <v>0.7</v>
      </c>
      <c r="K13" s="1">
        <v>0.64</v>
      </c>
      <c r="L13" s="1">
        <v>0.68</v>
      </c>
      <c r="M13" s="1">
        <v>0.62</v>
      </c>
      <c r="N13" s="1">
        <v>0.62</v>
      </c>
      <c r="O13" s="1">
        <v>0.71</v>
      </c>
      <c r="P13" s="1">
        <v>0.61</v>
      </c>
      <c r="Q13" s="1">
        <v>0.68</v>
      </c>
      <c r="R13" s="1">
        <v>0.64</v>
      </c>
      <c r="S13" s="1">
        <v>0.69</v>
      </c>
      <c r="T13" s="1">
        <f>_xlfn.LET(_xlpm.d,$H13:$S13,MAX(_xlpm.d))</f>
        <v>0.71</v>
      </c>
    </row>
    <row r="14" spans="1:20" ht="25" customHeight="1">
      <c r="A14" t="s">
        <v>16</v>
      </c>
      <c r="B14">
        <v>3</v>
      </c>
      <c r="C14" t="s">
        <v>22</v>
      </c>
      <c r="D14" t="b">
        <v>0</v>
      </c>
      <c r="E14">
        <v>1</v>
      </c>
      <c r="F14" t="s">
        <v>20</v>
      </c>
      <c r="H14" s="1">
        <v>0.41</v>
      </c>
      <c r="I14" s="1">
        <v>0.36</v>
      </c>
      <c r="J14" s="1">
        <v>0.42</v>
      </c>
      <c r="K14" s="1">
        <v>0.34</v>
      </c>
      <c r="L14" s="1">
        <v>0.37</v>
      </c>
      <c r="M14" s="1">
        <v>0.38</v>
      </c>
      <c r="N14" s="1">
        <v>0.47</v>
      </c>
      <c r="O14" s="1">
        <v>0.41</v>
      </c>
      <c r="P14" s="1">
        <v>0.49</v>
      </c>
      <c r="Q14" s="1">
        <v>0.38</v>
      </c>
      <c r="R14" s="1">
        <v>0.41</v>
      </c>
      <c r="S14" s="1">
        <v>0.33</v>
      </c>
      <c r="T14" s="1">
        <f>_xlfn.LET(_xlpm.d,$H14:$S14,MAX(_xlpm.d))</f>
        <v>0.49</v>
      </c>
    </row>
    <row r="15" spans="1:20" ht="25" customHeight="1">
      <c r="A15" t="s">
        <v>16</v>
      </c>
      <c r="B15">
        <v>3</v>
      </c>
      <c r="C15" t="s">
        <v>22</v>
      </c>
      <c r="D15" t="b">
        <v>0</v>
      </c>
      <c r="E15">
        <v>2</v>
      </c>
      <c r="F15" t="s">
        <v>18</v>
      </c>
      <c r="H15" s="1">
        <v>0.43</v>
      </c>
      <c r="I15" s="1">
        <v>0.4</v>
      </c>
      <c r="J15" s="1">
        <v>0.49</v>
      </c>
      <c r="K15" s="1">
        <v>0.44</v>
      </c>
      <c r="L15" s="1">
        <v>0.46</v>
      </c>
      <c r="M15" s="1">
        <v>0.45</v>
      </c>
      <c r="N15" s="1">
        <v>0.49</v>
      </c>
      <c r="O15" s="1">
        <v>0.44</v>
      </c>
      <c r="P15" s="1">
        <v>0.5</v>
      </c>
      <c r="Q15" s="1">
        <v>0.49</v>
      </c>
      <c r="R15" s="1">
        <v>0.46</v>
      </c>
      <c r="S15" s="1">
        <v>0.49</v>
      </c>
      <c r="T15" s="1">
        <f>_xlfn.LET(_xlpm.d,$H15:$S15,MAX(_xlpm.d))</f>
        <v>0.5</v>
      </c>
    </row>
    <row r="16" spans="1:20" ht="25" customHeight="1">
      <c r="A16" t="s">
        <v>16</v>
      </c>
      <c r="B16">
        <v>3</v>
      </c>
      <c r="C16" t="s">
        <v>22</v>
      </c>
      <c r="D16" t="b">
        <v>0</v>
      </c>
      <c r="E16">
        <v>3</v>
      </c>
      <c r="F16" t="s">
        <v>19</v>
      </c>
      <c r="H16" s="1">
        <v>0.35</v>
      </c>
      <c r="I16" s="1">
        <v>0.36</v>
      </c>
      <c r="J16" s="1">
        <v>0.37</v>
      </c>
      <c r="K16" s="1">
        <v>0.43</v>
      </c>
      <c r="L16" s="1">
        <v>0.4</v>
      </c>
      <c r="M16" s="1">
        <v>0.4</v>
      </c>
      <c r="N16" s="1">
        <v>0.36</v>
      </c>
      <c r="O16" s="1">
        <v>0.39</v>
      </c>
      <c r="P16" s="1">
        <v>0.35</v>
      </c>
      <c r="Q16" s="1">
        <v>0.46</v>
      </c>
      <c r="R16" s="1">
        <v>0.4</v>
      </c>
      <c r="S16" s="1">
        <v>0.36</v>
      </c>
      <c r="T16" s="1">
        <f>_xlfn.LET(_xlpm.d,$H16:$S16,MAX(_xlpm.d))</f>
        <v>0.46</v>
      </c>
    </row>
    <row r="17" spans="1:20" ht="25" customHeight="1">
      <c r="A17" t="s">
        <v>16</v>
      </c>
      <c r="B17">
        <v>3</v>
      </c>
      <c r="C17" t="s">
        <v>22</v>
      </c>
      <c r="D17" t="b">
        <v>1</v>
      </c>
      <c r="E17">
        <v>1</v>
      </c>
      <c r="F17" t="s">
        <v>20</v>
      </c>
      <c r="H17" s="1">
        <v>0.5</v>
      </c>
      <c r="I17" s="1">
        <v>0.5</v>
      </c>
      <c r="J17" s="1">
        <v>0.47</v>
      </c>
      <c r="K17" s="1">
        <v>0.41</v>
      </c>
      <c r="L17" s="1">
        <v>0.41</v>
      </c>
      <c r="M17" s="1">
        <v>0.43</v>
      </c>
      <c r="N17" s="1">
        <v>0.54</v>
      </c>
      <c r="O17" s="1">
        <v>0.55000000000000004</v>
      </c>
      <c r="P17" s="1">
        <v>0.55000000000000004</v>
      </c>
      <c r="Q17" s="1">
        <v>0.46</v>
      </c>
      <c r="R17" s="1">
        <v>0.4</v>
      </c>
      <c r="S17" s="1">
        <v>0.41</v>
      </c>
      <c r="T17" s="1">
        <f>_xlfn.LET(_xlpm.d,$H17:$S17,MAX(_xlpm.d))</f>
        <v>0.55000000000000004</v>
      </c>
    </row>
    <row r="18" spans="1:20" ht="25" customHeight="1">
      <c r="A18" t="s">
        <v>16</v>
      </c>
      <c r="B18">
        <v>3</v>
      </c>
      <c r="C18" t="s">
        <v>22</v>
      </c>
      <c r="D18" t="b">
        <v>1</v>
      </c>
      <c r="E18">
        <v>2</v>
      </c>
      <c r="F18" t="s">
        <v>18</v>
      </c>
      <c r="H18" s="1">
        <v>0.55000000000000004</v>
      </c>
      <c r="I18" s="1">
        <v>0.53</v>
      </c>
      <c r="J18" s="1">
        <v>0.56000000000000005</v>
      </c>
      <c r="K18" s="1">
        <v>0.48</v>
      </c>
      <c r="L18" s="1">
        <v>0.49</v>
      </c>
      <c r="M18" s="1">
        <v>0.51</v>
      </c>
      <c r="N18" s="1">
        <v>0.56999999999999995</v>
      </c>
      <c r="O18" s="1">
        <v>0.56000000000000005</v>
      </c>
      <c r="P18" s="1">
        <v>0.59</v>
      </c>
      <c r="Q18" s="1">
        <v>0.54</v>
      </c>
      <c r="R18" s="1">
        <v>0.5</v>
      </c>
      <c r="S18" s="1">
        <v>0.5</v>
      </c>
      <c r="T18" s="1">
        <f>_xlfn.LET(_xlpm.d,$H18:$S18,MAX(_xlpm.d))</f>
        <v>0.59</v>
      </c>
    </row>
    <row r="19" spans="1:20" ht="25" customHeight="1">
      <c r="A19" t="s">
        <v>16</v>
      </c>
      <c r="B19">
        <v>3</v>
      </c>
      <c r="C19" t="s">
        <v>22</v>
      </c>
      <c r="D19" t="b">
        <v>1</v>
      </c>
      <c r="E19">
        <v>3</v>
      </c>
      <c r="F19" t="s">
        <v>19</v>
      </c>
      <c r="H19" s="1">
        <v>0.51</v>
      </c>
      <c r="I19" s="1">
        <v>0.41</v>
      </c>
      <c r="J19" s="1">
        <v>0.38</v>
      </c>
      <c r="K19" s="1">
        <v>0.4</v>
      </c>
      <c r="L19" s="1">
        <v>0.45</v>
      </c>
      <c r="M19" s="1">
        <v>0.38</v>
      </c>
      <c r="N19" s="1">
        <v>0.48</v>
      </c>
      <c r="O19" s="1">
        <v>0.48</v>
      </c>
      <c r="P19" s="1">
        <v>0.42</v>
      </c>
      <c r="Q19" s="1">
        <v>0.48</v>
      </c>
      <c r="R19" s="1">
        <v>0.41</v>
      </c>
      <c r="S19" s="1">
        <v>0.35</v>
      </c>
      <c r="T19" s="1">
        <f>_xlfn.LET(_xlpm.d,$H19:$S19,MAX(_xlpm.d))</f>
        <v>0.51</v>
      </c>
    </row>
    <row r="22" spans="1:20" ht="25" customHeight="1">
      <c r="B22" t="s">
        <v>23</v>
      </c>
      <c r="C22" t="s">
        <v>1</v>
      </c>
      <c r="D22" t="s">
        <v>26</v>
      </c>
      <c r="E22" t="s">
        <v>24</v>
      </c>
      <c r="F22" t="s">
        <v>3</v>
      </c>
      <c r="G22" t="s">
        <v>33</v>
      </c>
      <c r="H22" t="s">
        <v>4</v>
      </c>
      <c r="I22" t="s">
        <v>5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t="s">
        <v>15</v>
      </c>
      <c r="T22" t="s">
        <v>25</v>
      </c>
    </row>
    <row r="23" spans="1:20" ht="25" customHeight="1">
      <c r="B23">
        <v>1</v>
      </c>
      <c r="C23" t="s">
        <v>17</v>
      </c>
      <c r="D23" t="b">
        <v>1</v>
      </c>
      <c r="E23">
        <v>1</v>
      </c>
      <c r="F23" t="s">
        <v>25</v>
      </c>
      <c r="H23" s="1" cm="1">
        <f t="array" ref="H23">_xlfn.LET(_xlpm.d,H$2:H$19,_xlpm.a,$C$2:$C$19=$C23,_xlpm.b,$D$2:$D$19=$D23,MAX(_xlfn._xlws.FILTER(_xlpm.d,_xlpm.a*_xlpm.b)))</f>
        <v>0.92</v>
      </c>
      <c r="I23" s="1" cm="1">
        <f t="array" ref="I23">_xlfn.LET(_xlpm.d,I$2:I$19,_xlpm.a,$C$2:$C$19=$C23,_xlpm.b,$D$2:$D$19=$D23,MAX(_xlfn._xlws.FILTER(_xlpm.d,_xlpm.a*_xlpm.b)))</f>
        <v>0.89</v>
      </c>
      <c r="J23" s="1" cm="1">
        <f t="array" ref="J23">_xlfn.LET(_xlpm.d,J$2:J$19,_xlpm.a,$C$2:$C$19=$C23,_xlpm.b,$D$2:$D$19=$D23,MAX(_xlfn._xlws.FILTER(_xlpm.d,_xlpm.a*_xlpm.b)))</f>
        <v>0.83</v>
      </c>
      <c r="K23" s="1" cm="1">
        <f t="array" ref="K23">_xlfn.LET(_xlpm.d,K$2:K$19,_xlpm.a,$C$2:$C$19=$C23,_xlpm.b,$D$2:$D$19=$D23,MAX(_xlfn._xlws.FILTER(_xlpm.d,_xlpm.a*_xlpm.b)))</f>
        <v>0.88</v>
      </c>
      <c r="L23" s="1" cm="1">
        <f t="array" ref="L23">_xlfn.LET(_xlpm.d,L$2:L$19,_xlpm.a,$C$2:$C$19=$C23,_xlpm.b,$D$2:$D$19=$D23,MAX(_xlfn._xlws.FILTER(_xlpm.d,_xlpm.a*_xlpm.b)))</f>
        <v>0.88</v>
      </c>
      <c r="M23" s="1" cm="1">
        <f t="array" ref="M23">_xlfn.LET(_xlpm.d,M$2:M$19,_xlpm.a,$C$2:$C$19=$C23,_xlpm.b,$D$2:$D$19=$D23,MAX(_xlfn._xlws.FILTER(_xlpm.d,_xlpm.a*_xlpm.b)))</f>
        <v>0.88</v>
      </c>
      <c r="N23" s="1" cm="1">
        <f t="array" ref="N23">_xlfn.LET(_xlpm.d,N$2:N$19,_xlpm.a,$C$2:$C$19=$C23,_xlpm.b,$D$2:$D$19=$D23,MAX(_xlfn._xlws.FILTER(_xlpm.d,_xlpm.a*_xlpm.b)))</f>
        <v>0.88</v>
      </c>
      <c r="O23" s="1" cm="1">
        <f t="array" ref="O23">_xlfn.LET(_xlpm.d,O$2:O$19,_xlpm.a,$C$2:$C$19=$C23,_xlpm.b,$D$2:$D$19=$D23,MAX(_xlfn._xlws.FILTER(_xlpm.d,_xlpm.a*_xlpm.b)))</f>
        <v>0.88</v>
      </c>
      <c r="P23" s="1" cm="1">
        <f t="array" ref="P23">_xlfn.LET(_xlpm.d,P$2:P$19,_xlpm.a,$C$2:$C$19=$C23,_xlpm.b,$D$2:$D$19=$D23,MAX(_xlfn._xlws.FILTER(_xlpm.d,_xlpm.a*_xlpm.b)))</f>
        <v>0.89</v>
      </c>
      <c r="Q23" s="1" cm="1">
        <f t="array" ref="Q23">_xlfn.LET(_xlpm.d,Q$2:Q$19,_xlpm.a,$C$2:$C$19=$C23,_xlpm.b,$D$2:$D$19=$D23,MAX(_xlfn._xlws.FILTER(_xlpm.d,_xlpm.a*_xlpm.b)))</f>
        <v>0.84</v>
      </c>
      <c r="R23" s="1" cm="1">
        <f t="array" ref="R23">_xlfn.LET(_xlpm.d,R$2:R$19,_xlpm.a,$C$2:$C$19=$C23,_xlpm.b,$D$2:$D$19=$D23,MAX(_xlfn._xlws.FILTER(_xlpm.d,_xlpm.a*_xlpm.b)))</f>
        <v>0.86</v>
      </c>
      <c r="S23" s="1" cm="1">
        <f t="array" ref="S23">_xlfn.LET(_xlpm.d,S$2:S$19,_xlpm.a,$C$2:$C$19=$C23,_xlpm.b,$D$2:$D$19=$D23,MAX(_xlfn._xlws.FILTER(_xlpm.d,_xlpm.a*_xlpm.b)))</f>
        <v>0.87</v>
      </c>
      <c r="T23" s="1">
        <f t="shared" ref="T23:T28" si="0">_xlfn.LET(_xlpm.d,$H23:$S23,MAX(_xlpm.d))</f>
        <v>0.92</v>
      </c>
    </row>
    <row r="24" spans="1:20" ht="25" customHeight="1">
      <c r="B24">
        <v>1</v>
      </c>
      <c r="C24" t="s">
        <v>17</v>
      </c>
      <c r="D24" t="b">
        <v>0</v>
      </c>
      <c r="E24">
        <v>1</v>
      </c>
      <c r="F24" t="s">
        <v>25</v>
      </c>
      <c r="H24" s="1" cm="1">
        <f t="array" ref="H24">_xlfn.LET(_xlpm.d,H$2:H$19,_xlpm.a,$C$2:$C$19=$C24,_xlpm.b,$D$2:$D$19=$D24,MAX(_xlfn._xlws.FILTER(_xlpm.d,_xlpm.a*_xlpm.b)))</f>
        <v>0.84</v>
      </c>
      <c r="I24" s="1" cm="1">
        <f t="array" ref="I24">_xlfn.LET(_xlpm.d,I$2:I$19,_xlpm.a,$C$2:$C$19=$C24,_xlpm.b,$D$2:$D$19=$D24,MAX(_xlfn._xlws.FILTER(_xlpm.d,_xlpm.a*_xlpm.b)))</f>
        <v>0.83</v>
      </c>
      <c r="J24" s="1" cm="1">
        <f t="array" ref="J24">_xlfn.LET(_xlpm.d,J$2:J$19,_xlpm.a,$C$2:$C$19=$C24,_xlpm.b,$D$2:$D$19=$D24,MAX(_xlfn._xlws.FILTER(_xlpm.d,_xlpm.a*_xlpm.b)))</f>
        <v>0.77</v>
      </c>
      <c r="K24" s="1" cm="1">
        <f t="array" ref="K24">_xlfn.LET(_xlpm.d,K$2:K$19,_xlpm.a,$C$2:$C$19=$C24,_xlpm.b,$D$2:$D$19=$D24,MAX(_xlfn._xlws.FILTER(_xlpm.d,_xlpm.a*_xlpm.b)))</f>
        <v>0.86</v>
      </c>
      <c r="L24" s="1" cm="1">
        <f t="array" ref="L24">_xlfn.LET(_xlpm.d,L$2:L$19,_xlpm.a,$C$2:$C$19=$C24,_xlpm.b,$D$2:$D$19=$D24,MAX(_xlfn._xlws.FILTER(_xlpm.d,_xlpm.a*_xlpm.b)))</f>
        <v>0.87</v>
      </c>
      <c r="M24" s="1" cm="1">
        <f t="array" ref="M24">_xlfn.LET(_xlpm.d,M$2:M$19,_xlpm.a,$C$2:$C$19=$C24,_xlpm.b,$D$2:$D$19=$D24,MAX(_xlfn._xlws.FILTER(_xlpm.d,_xlpm.a*_xlpm.b)))</f>
        <v>0.85</v>
      </c>
      <c r="N24" s="1" cm="1">
        <f t="array" ref="N24">_xlfn.LET(_xlpm.d,N$2:N$19,_xlpm.a,$C$2:$C$19=$C24,_xlpm.b,$D$2:$D$19=$D24,MAX(_xlfn._xlws.FILTER(_xlpm.d,_xlpm.a*_xlpm.b)))</f>
        <v>0.83</v>
      </c>
      <c r="O24" s="1" cm="1">
        <f t="array" ref="O24">_xlfn.LET(_xlpm.d,O$2:O$19,_xlpm.a,$C$2:$C$19=$C24,_xlpm.b,$D$2:$D$19=$D24,MAX(_xlfn._xlws.FILTER(_xlpm.d,_xlpm.a*_xlpm.b)))</f>
        <v>0.82</v>
      </c>
      <c r="P24" s="1" cm="1">
        <f t="array" ref="P24">_xlfn.LET(_xlpm.d,P$2:P$19,_xlpm.a,$C$2:$C$19=$C24,_xlpm.b,$D$2:$D$19=$D24,MAX(_xlfn._xlws.FILTER(_xlpm.d,_xlpm.a*_xlpm.b)))</f>
        <v>0.79</v>
      </c>
      <c r="Q24" s="1" cm="1">
        <f t="array" ref="Q24">_xlfn.LET(_xlpm.d,Q$2:Q$19,_xlpm.a,$C$2:$C$19=$C24,_xlpm.b,$D$2:$D$19=$D24,MAX(_xlfn._xlws.FILTER(_xlpm.d,_xlpm.a*_xlpm.b)))</f>
        <v>0.79</v>
      </c>
      <c r="R24" s="1" cm="1">
        <f t="array" ref="R24">_xlfn.LET(_xlpm.d,R$2:R$19,_xlpm.a,$C$2:$C$19=$C24,_xlpm.b,$D$2:$D$19=$D24,MAX(_xlfn._xlws.FILTER(_xlpm.d,_xlpm.a*_xlpm.b)))</f>
        <v>0.84</v>
      </c>
      <c r="S24" s="1" cm="1">
        <f t="array" ref="S24">_xlfn.LET(_xlpm.d,S$2:S$19,_xlpm.a,$C$2:$C$19=$C24,_xlpm.b,$D$2:$D$19=$D24,MAX(_xlfn._xlws.FILTER(_xlpm.d,_xlpm.a*_xlpm.b)))</f>
        <v>0.85</v>
      </c>
      <c r="T24" s="1">
        <f t="shared" si="0"/>
        <v>0.87</v>
      </c>
    </row>
    <row r="25" spans="1:20" ht="25" customHeight="1">
      <c r="B25">
        <v>2</v>
      </c>
      <c r="C25" t="s">
        <v>21</v>
      </c>
      <c r="D25" t="b">
        <v>1</v>
      </c>
      <c r="E25">
        <v>1</v>
      </c>
      <c r="F25" t="s">
        <v>25</v>
      </c>
      <c r="H25" s="1" cm="1">
        <f t="array" ref="H25">_xlfn.LET(_xlpm.d,H$2:H$19,_xlpm.a,$C$2:$C$19=$C25,_xlpm.b,$D$2:$D$19=$D25,MAX(_xlfn._xlws.FILTER(_xlpm.d,_xlpm.a*_xlpm.b)))</f>
        <v>0.7</v>
      </c>
      <c r="I25" s="1" cm="1">
        <f t="array" ref="I25">_xlfn.LET(_xlpm.d,I$2:I$19,_xlpm.a,$C$2:$C$19=$C25,_xlpm.b,$D$2:$D$19=$D25,MAX(_xlfn._xlws.FILTER(_xlpm.d,_xlpm.a*_xlpm.b)))</f>
        <v>0.66</v>
      </c>
      <c r="J25" s="1" cm="1">
        <f t="array" ref="J25">_xlfn.LET(_xlpm.d,J$2:J$19,_xlpm.a,$C$2:$C$19=$C25,_xlpm.b,$D$2:$D$19=$D25,MAX(_xlfn._xlws.FILTER(_xlpm.d,_xlpm.a*_xlpm.b)))</f>
        <v>0.7</v>
      </c>
      <c r="K25" s="1" cm="1">
        <f t="array" ref="K25">_xlfn.LET(_xlpm.d,K$2:K$19,_xlpm.a,$C$2:$C$19=$C25,_xlpm.b,$D$2:$D$19=$D25,MAX(_xlfn._xlws.FILTER(_xlpm.d,_xlpm.a*_xlpm.b)))</f>
        <v>0.65</v>
      </c>
      <c r="L25" s="1" cm="1">
        <f t="array" ref="L25">_xlfn.LET(_xlpm.d,L$2:L$19,_xlpm.a,$C$2:$C$19=$C25,_xlpm.b,$D$2:$D$19=$D25,MAX(_xlfn._xlws.FILTER(_xlpm.d,_xlpm.a*_xlpm.b)))</f>
        <v>0.68</v>
      </c>
      <c r="M25" s="1" cm="1">
        <f t="array" ref="M25">_xlfn.LET(_xlpm.d,M$2:M$19,_xlpm.a,$C$2:$C$19=$C25,_xlpm.b,$D$2:$D$19=$D25,MAX(_xlfn._xlws.FILTER(_xlpm.d,_xlpm.a*_xlpm.b)))</f>
        <v>0.62</v>
      </c>
      <c r="N25" s="1" cm="1">
        <f t="array" ref="N25">_xlfn.LET(_xlpm.d,N$2:N$19,_xlpm.a,$C$2:$C$19=$C25,_xlpm.b,$D$2:$D$19=$D25,MAX(_xlfn._xlws.FILTER(_xlpm.d,_xlpm.a*_xlpm.b)))</f>
        <v>0.71</v>
      </c>
      <c r="O25" s="1" cm="1">
        <f t="array" ref="O25">_xlfn.LET(_xlpm.d,O$2:O$19,_xlpm.a,$C$2:$C$19=$C25,_xlpm.b,$D$2:$D$19=$D25,MAX(_xlfn._xlws.FILTER(_xlpm.d,_xlpm.a*_xlpm.b)))</f>
        <v>0.71</v>
      </c>
      <c r="P25" s="1" cm="1">
        <f t="array" ref="P25">_xlfn.LET(_xlpm.d,P$2:P$19,_xlpm.a,$C$2:$C$19=$C25,_xlpm.b,$D$2:$D$19=$D25,MAX(_xlfn._xlws.FILTER(_xlpm.d,_xlpm.a*_xlpm.b)))</f>
        <v>0.66</v>
      </c>
      <c r="Q25" s="1" cm="1">
        <f t="array" ref="Q25">_xlfn.LET(_xlpm.d,Q$2:Q$19,_xlpm.a,$C$2:$C$19=$C25,_xlpm.b,$D$2:$D$19=$D25,MAX(_xlfn._xlws.FILTER(_xlpm.d,_xlpm.a*_xlpm.b)))</f>
        <v>0.68</v>
      </c>
      <c r="R25" s="1" cm="1">
        <f t="array" ref="R25">_xlfn.LET(_xlpm.d,R$2:R$19,_xlpm.a,$C$2:$C$19=$C25,_xlpm.b,$D$2:$D$19=$D25,MAX(_xlfn._xlws.FILTER(_xlpm.d,_xlpm.a*_xlpm.b)))</f>
        <v>0.64</v>
      </c>
      <c r="S25" s="1" cm="1">
        <f t="array" ref="S25">_xlfn.LET(_xlpm.d,S$2:S$19,_xlpm.a,$C$2:$C$19=$C25,_xlpm.b,$D$2:$D$19=$D25,MAX(_xlfn._xlws.FILTER(_xlpm.d,_xlpm.a*_xlpm.b)))</f>
        <v>0.69</v>
      </c>
      <c r="T25" s="1">
        <f t="shared" si="0"/>
        <v>0.71</v>
      </c>
    </row>
    <row r="26" spans="1:20" ht="25" customHeight="1">
      <c r="B26">
        <v>2</v>
      </c>
      <c r="C26" t="s">
        <v>21</v>
      </c>
      <c r="D26" t="b">
        <v>0</v>
      </c>
      <c r="E26">
        <v>1</v>
      </c>
      <c r="F26" t="s">
        <v>25</v>
      </c>
      <c r="H26" s="1" cm="1">
        <f t="array" ref="H26">_xlfn.LET(_xlpm.d,H$2:H$19,_xlpm.a,$C$2:$C$19=$C26,_xlpm.b,$D$2:$D$19=$D26,MAX(_xlfn._xlws.FILTER(_xlpm.d,_xlpm.a*_xlpm.b)))</f>
        <v>0.68</v>
      </c>
      <c r="I26" s="1" cm="1">
        <f t="array" ref="I26">_xlfn.LET(_xlpm.d,I$2:I$19,_xlpm.a,$C$2:$C$19=$C26,_xlpm.b,$D$2:$D$19=$D26,MAX(_xlfn._xlws.FILTER(_xlpm.d,_xlpm.a*_xlpm.b)))</f>
        <v>0.65</v>
      </c>
      <c r="J26" s="1" cm="1">
        <f t="array" ref="J26">_xlfn.LET(_xlpm.d,J$2:J$19,_xlpm.a,$C$2:$C$19=$C26,_xlpm.b,$D$2:$D$19=$D26,MAX(_xlfn._xlws.FILTER(_xlpm.d,_xlpm.a*_xlpm.b)))</f>
        <v>0.69</v>
      </c>
      <c r="K26" s="1" cm="1">
        <f t="array" ref="K26">_xlfn.LET(_xlpm.d,K$2:K$19,_xlpm.a,$C$2:$C$19=$C26,_xlpm.b,$D$2:$D$19=$D26,MAX(_xlfn._xlws.FILTER(_xlpm.d,_xlpm.a*_xlpm.b)))</f>
        <v>0.63</v>
      </c>
      <c r="L26" s="1" cm="1">
        <f t="array" ref="L26">_xlfn.LET(_xlpm.d,L$2:L$19,_xlpm.a,$C$2:$C$19=$C26,_xlpm.b,$D$2:$D$19=$D26,MAX(_xlfn._xlws.FILTER(_xlpm.d,_xlpm.a*_xlpm.b)))</f>
        <v>0.67</v>
      </c>
      <c r="M26" s="1" cm="1">
        <f t="array" ref="M26">_xlfn.LET(_xlpm.d,M$2:M$19,_xlpm.a,$C$2:$C$19=$C26,_xlpm.b,$D$2:$D$19=$D26,MAX(_xlfn._xlws.FILTER(_xlpm.d,_xlpm.a*_xlpm.b)))</f>
        <v>0.62</v>
      </c>
      <c r="N26" s="1" cm="1">
        <f t="array" ref="N26">_xlfn.LET(_xlpm.d,N$2:N$19,_xlpm.a,$C$2:$C$19=$C26,_xlpm.b,$D$2:$D$19=$D26,MAX(_xlfn._xlws.FILTER(_xlpm.d,_xlpm.a*_xlpm.b)))</f>
        <v>0.68</v>
      </c>
      <c r="O26" s="1" cm="1">
        <f t="array" ref="O26">_xlfn.LET(_xlpm.d,O$2:O$19,_xlpm.a,$C$2:$C$19=$C26,_xlpm.b,$D$2:$D$19=$D26,MAX(_xlfn._xlws.FILTER(_xlpm.d,_xlpm.a*_xlpm.b)))</f>
        <v>0.73</v>
      </c>
      <c r="P26" s="1" cm="1">
        <f t="array" ref="P26">_xlfn.LET(_xlpm.d,P$2:P$19,_xlpm.a,$C$2:$C$19=$C26,_xlpm.b,$D$2:$D$19=$D26,MAX(_xlfn._xlws.FILTER(_xlpm.d,_xlpm.a*_xlpm.b)))</f>
        <v>0.6</v>
      </c>
      <c r="Q26" s="1" cm="1">
        <f t="array" ref="Q26">_xlfn.LET(_xlpm.d,Q$2:Q$19,_xlpm.a,$C$2:$C$19=$C26,_xlpm.b,$D$2:$D$19=$D26,MAX(_xlfn._xlws.FILTER(_xlpm.d,_xlpm.a*_xlpm.b)))</f>
        <v>0.7</v>
      </c>
      <c r="R26" s="1" cm="1">
        <f t="array" ref="R26">_xlfn.LET(_xlpm.d,R$2:R$19,_xlpm.a,$C$2:$C$19=$C26,_xlpm.b,$D$2:$D$19=$D26,MAX(_xlfn._xlws.FILTER(_xlpm.d,_xlpm.a*_xlpm.b)))</f>
        <v>0.65</v>
      </c>
      <c r="S26" s="1" cm="1">
        <f t="array" ref="S26">_xlfn.LET(_xlpm.d,S$2:S$19,_xlpm.a,$C$2:$C$19=$C26,_xlpm.b,$D$2:$D$19=$D26,MAX(_xlfn._xlws.FILTER(_xlpm.d,_xlpm.a*_xlpm.b)))</f>
        <v>0.69</v>
      </c>
      <c r="T26" s="1">
        <f t="shared" si="0"/>
        <v>0.73</v>
      </c>
    </row>
    <row r="27" spans="1:20" ht="25" customHeight="1">
      <c r="B27">
        <v>3</v>
      </c>
      <c r="C27" t="s">
        <v>22</v>
      </c>
      <c r="D27" t="b">
        <v>1</v>
      </c>
      <c r="E27">
        <v>1</v>
      </c>
      <c r="F27" t="s">
        <v>25</v>
      </c>
      <c r="H27" s="1" cm="1">
        <f t="array" ref="H27">_xlfn.LET(_xlpm.d,H$2:H$19,_xlpm.a,$C$2:$C$19=$C27,_xlpm.b,$D$2:$D$19=$D27,MAX(_xlfn._xlws.FILTER(_xlpm.d,_xlpm.a*_xlpm.b)))</f>
        <v>0.55000000000000004</v>
      </c>
      <c r="I27" s="1" cm="1">
        <f t="array" ref="I27">_xlfn.LET(_xlpm.d,I$2:I$19,_xlpm.a,$C$2:$C$19=$C27,_xlpm.b,$D$2:$D$19=$D27,MAX(_xlfn._xlws.FILTER(_xlpm.d,_xlpm.a*_xlpm.b)))</f>
        <v>0.53</v>
      </c>
      <c r="J27" s="1" cm="1">
        <f t="array" ref="J27">_xlfn.LET(_xlpm.d,J$2:J$19,_xlpm.a,$C$2:$C$19=$C27,_xlpm.b,$D$2:$D$19=$D27,MAX(_xlfn._xlws.FILTER(_xlpm.d,_xlpm.a*_xlpm.b)))</f>
        <v>0.56000000000000005</v>
      </c>
      <c r="K27" s="1" cm="1">
        <f t="array" ref="K27">_xlfn.LET(_xlpm.d,K$2:K$19,_xlpm.a,$C$2:$C$19=$C27,_xlpm.b,$D$2:$D$19=$D27,MAX(_xlfn._xlws.FILTER(_xlpm.d,_xlpm.a*_xlpm.b)))</f>
        <v>0.48</v>
      </c>
      <c r="L27" s="1" cm="1">
        <f t="array" ref="L27">_xlfn.LET(_xlpm.d,L$2:L$19,_xlpm.a,$C$2:$C$19=$C27,_xlpm.b,$D$2:$D$19=$D27,MAX(_xlfn._xlws.FILTER(_xlpm.d,_xlpm.a*_xlpm.b)))</f>
        <v>0.49</v>
      </c>
      <c r="M27" s="1" cm="1">
        <f t="array" ref="M27">_xlfn.LET(_xlpm.d,M$2:M$19,_xlpm.a,$C$2:$C$19=$C27,_xlpm.b,$D$2:$D$19=$D27,MAX(_xlfn._xlws.FILTER(_xlpm.d,_xlpm.a*_xlpm.b)))</f>
        <v>0.51</v>
      </c>
      <c r="N27" s="1" cm="1">
        <f t="array" ref="N27">_xlfn.LET(_xlpm.d,N$2:N$19,_xlpm.a,$C$2:$C$19=$C27,_xlpm.b,$D$2:$D$19=$D27,MAX(_xlfn._xlws.FILTER(_xlpm.d,_xlpm.a*_xlpm.b)))</f>
        <v>0.56999999999999995</v>
      </c>
      <c r="O27" s="1" cm="1">
        <f t="array" ref="O27">_xlfn.LET(_xlpm.d,O$2:O$19,_xlpm.a,$C$2:$C$19=$C27,_xlpm.b,$D$2:$D$19=$D27,MAX(_xlfn._xlws.FILTER(_xlpm.d,_xlpm.a*_xlpm.b)))</f>
        <v>0.56000000000000005</v>
      </c>
      <c r="P27" s="1" cm="1">
        <f t="array" ref="P27">_xlfn.LET(_xlpm.d,P$2:P$19,_xlpm.a,$C$2:$C$19=$C27,_xlpm.b,$D$2:$D$19=$D27,MAX(_xlfn._xlws.FILTER(_xlpm.d,_xlpm.a*_xlpm.b)))</f>
        <v>0.59</v>
      </c>
      <c r="Q27" s="1" cm="1">
        <f t="array" ref="Q27">_xlfn.LET(_xlpm.d,Q$2:Q$19,_xlpm.a,$C$2:$C$19=$C27,_xlpm.b,$D$2:$D$19=$D27,MAX(_xlfn._xlws.FILTER(_xlpm.d,_xlpm.a*_xlpm.b)))</f>
        <v>0.54</v>
      </c>
      <c r="R27" s="1" cm="1">
        <f t="array" ref="R27">_xlfn.LET(_xlpm.d,R$2:R$19,_xlpm.a,$C$2:$C$19=$C27,_xlpm.b,$D$2:$D$19=$D27,MAX(_xlfn._xlws.FILTER(_xlpm.d,_xlpm.a*_xlpm.b)))</f>
        <v>0.5</v>
      </c>
      <c r="S27" s="1" cm="1">
        <f t="array" ref="S27">_xlfn.LET(_xlpm.d,S$2:S$19,_xlpm.a,$C$2:$C$19=$C27,_xlpm.b,$D$2:$D$19=$D27,MAX(_xlfn._xlws.FILTER(_xlpm.d,_xlpm.a*_xlpm.b)))</f>
        <v>0.5</v>
      </c>
      <c r="T27" s="1">
        <f t="shared" si="0"/>
        <v>0.59</v>
      </c>
    </row>
    <row r="28" spans="1:20" ht="25" customHeight="1">
      <c r="B28">
        <v>3</v>
      </c>
      <c r="C28" t="s">
        <v>22</v>
      </c>
      <c r="D28" t="b">
        <v>0</v>
      </c>
      <c r="E28">
        <v>1</v>
      </c>
      <c r="F28" t="s">
        <v>25</v>
      </c>
      <c r="H28" s="1" cm="1">
        <f t="array" ref="H28">_xlfn.LET(_xlpm.d,H$2:H$19,_xlpm.a,$C$2:$C$19=$C28,_xlpm.b,$D$2:$D$19=$D28,MAX(_xlfn._xlws.FILTER(_xlpm.d,_xlpm.a*_xlpm.b)))</f>
        <v>0.43</v>
      </c>
      <c r="I28" s="1" cm="1">
        <f t="array" ref="I28">_xlfn.LET(_xlpm.d,I$2:I$19,_xlpm.a,$C$2:$C$19=$C28,_xlpm.b,$D$2:$D$19=$D28,MAX(_xlfn._xlws.FILTER(_xlpm.d,_xlpm.a*_xlpm.b)))</f>
        <v>0.4</v>
      </c>
      <c r="J28" s="1" cm="1">
        <f t="array" ref="J28">_xlfn.LET(_xlpm.d,J$2:J$19,_xlpm.a,$C$2:$C$19=$C28,_xlpm.b,$D$2:$D$19=$D28,MAX(_xlfn._xlws.FILTER(_xlpm.d,_xlpm.a*_xlpm.b)))</f>
        <v>0.49</v>
      </c>
      <c r="K28" s="1" cm="1">
        <f t="array" ref="K28">_xlfn.LET(_xlpm.d,K$2:K$19,_xlpm.a,$C$2:$C$19=$C28,_xlpm.b,$D$2:$D$19=$D28,MAX(_xlfn._xlws.FILTER(_xlpm.d,_xlpm.a*_xlpm.b)))</f>
        <v>0.44</v>
      </c>
      <c r="L28" s="1" cm="1">
        <f t="array" ref="L28">_xlfn.LET(_xlpm.d,L$2:L$19,_xlpm.a,$C$2:$C$19=$C28,_xlpm.b,$D$2:$D$19=$D28,MAX(_xlfn._xlws.FILTER(_xlpm.d,_xlpm.a*_xlpm.b)))</f>
        <v>0.46</v>
      </c>
      <c r="M28" s="1" cm="1">
        <f t="array" ref="M28">_xlfn.LET(_xlpm.d,M$2:M$19,_xlpm.a,$C$2:$C$19=$C28,_xlpm.b,$D$2:$D$19=$D28,MAX(_xlfn._xlws.FILTER(_xlpm.d,_xlpm.a*_xlpm.b)))</f>
        <v>0.45</v>
      </c>
      <c r="N28" s="1" cm="1">
        <f t="array" ref="N28">_xlfn.LET(_xlpm.d,N$2:N$19,_xlpm.a,$C$2:$C$19=$C28,_xlpm.b,$D$2:$D$19=$D28,MAX(_xlfn._xlws.FILTER(_xlpm.d,_xlpm.a*_xlpm.b)))</f>
        <v>0.49</v>
      </c>
      <c r="O28" s="1" cm="1">
        <f t="array" ref="O28">_xlfn.LET(_xlpm.d,O$2:O$19,_xlpm.a,$C$2:$C$19=$C28,_xlpm.b,$D$2:$D$19=$D28,MAX(_xlfn._xlws.FILTER(_xlpm.d,_xlpm.a*_xlpm.b)))</f>
        <v>0.44</v>
      </c>
      <c r="P28" s="1" cm="1">
        <f t="array" ref="P28">_xlfn.LET(_xlpm.d,P$2:P$19,_xlpm.a,$C$2:$C$19=$C28,_xlpm.b,$D$2:$D$19=$D28,MAX(_xlfn._xlws.FILTER(_xlpm.d,_xlpm.a*_xlpm.b)))</f>
        <v>0.5</v>
      </c>
      <c r="Q28" s="1" cm="1">
        <f t="array" ref="Q28">_xlfn.LET(_xlpm.d,Q$2:Q$19,_xlpm.a,$C$2:$C$19=$C28,_xlpm.b,$D$2:$D$19=$D28,MAX(_xlfn._xlws.FILTER(_xlpm.d,_xlpm.a*_xlpm.b)))</f>
        <v>0.49</v>
      </c>
      <c r="R28" s="1" cm="1">
        <f t="array" ref="R28">_xlfn.LET(_xlpm.d,R$2:R$19,_xlpm.a,$C$2:$C$19=$C28,_xlpm.b,$D$2:$D$19=$D28,MAX(_xlfn._xlws.FILTER(_xlpm.d,_xlpm.a*_xlpm.b)))</f>
        <v>0.46</v>
      </c>
      <c r="S28" s="1" cm="1">
        <f t="array" ref="S28">_xlfn.LET(_xlpm.d,S$2:S$19,_xlpm.a,$C$2:$C$19=$C28,_xlpm.b,$D$2:$D$19=$D28,MAX(_xlfn._xlws.FILTER(_xlpm.d,_xlpm.a*_xlpm.b)))</f>
        <v>0.49</v>
      </c>
      <c r="T28" s="1">
        <f t="shared" si="0"/>
        <v>0.5</v>
      </c>
    </row>
  </sheetData>
  <conditionalFormatting sqref="H2:T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270A-69FB-E74E-B775-6419632A9FAF}">
  <dimension ref="A1:T28"/>
  <sheetViews>
    <sheetView workbookViewId="0"/>
  </sheetViews>
  <sheetFormatPr baseColWidth="10" defaultRowHeight="25" customHeight="1"/>
  <cols>
    <col min="2" max="2" width="8.125" customWidth="1"/>
    <col min="3" max="3" width="10.5" customWidth="1"/>
    <col min="4" max="4" width="8.125" customWidth="1"/>
    <col min="5" max="5" width="8.875" customWidth="1"/>
    <col min="7" max="19" width="10" customWidth="1"/>
  </cols>
  <sheetData>
    <row r="1" spans="1:20" ht="25" customHeight="1">
      <c r="A1" t="s">
        <v>0</v>
      </c>
      <c r="B1" t="s">
        <v>23</v>
      </c>
      <c r="C1" t="s">
        <v>1</v>
      </c>
      <c r="D1" t="s">
        <v>2</v>
      </c>
      <c r="E1" t="s">
        <v>24</v>
      </c>
      <c r="F1" t="s">
        <v>3</v>
      </c>
      <c r="G1" t="s">
        <v>33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25</v>
      </c>
    </row>
    <row r="2" spans="1:20" ht="25" customHeight="1">
      <c r="A2" t="s">
        <v>16</v>
      </c>
      <c r="B2">
        <v>1</v>
      </c>
      <c r="C2" t="s">
        <v>17</v>
      </c>
      <c r="D2" t="b">
        <v>0</v>
      </c>
      <c r="E2">
        <v>2</v>
      </c>
      <c r="F2" t="s">
        <v>18</v>
      </c>
      <c r="H2" s="1">
        <v>0.85</v>
      </c>
      <c r="I2" s="1">
        <v>0.83</v>
      </c>
      <c r="J2" s="1">
        <v>0.84</v>
      </c>
      <c r="K2" s="1">
        <v>0.86</v>
      </c>
      <c r="L2" s="1">
        <v>0.84</v>
      </c>
      <c r="M2" s="1">
        <v>0.82</v>
      </c>
      <c r="N2" s="1">
        <v>0.82</v>
      </c>
      <c r="O2" s="1">
        <v>0.83</v>
      </c>
      <c r="P2" s="1">
        <v>0.82</v>
      </c>
      <c r="Q2" s="1">
        <v>0.85</v>
      </c>
      <c r="R2" s="1">
        <v>0.84</v>
      </c>
      <c r="S2" s="1">
        <v>0.84</v>
      </c>
      <c r="T2" s="1">
        <f>MAX($H2:$S2)</f>
        <v>0.86</v>
      </c>
    </row>
    <row r="3" spans="1:20" ht="25" customHeight="1">
      <c r="A3" t="s">
        <v>16</v>
      </c>
      <c r="B3">
        <v>1</v>
      </c>
      <c r="C3" t="s">
        <v>17</v>
      </c>
      <c r="D3" t="b">
        <v>0</v>
      </c>
      <c r="E3">
        <v>3</v>
      </c>
      <c r="F3" t="s">
        <v>19</v>
      </c>
      <c r="H3" s="1">
        <v>0.82</v>
      </c>
      <c r="I3" s="1">
        <v>0.74</v>
      </c>
      <c r="J3" s="1">
        <v>0.82</v>
      </c>
      <c r="K3" s="1">
        <v>0.88</v>
      </c>
      <c r="L3" s="1">
        <v>0.84</v>
      </c>
      <c r="M3" s="1">
        <v>0.8</v>
      </c>
      <c r="N3" s="1">
        <v>0.79</v>
      </c>
      <c r="O3" s="1">
        <v>0.8</v>
      </c>
      <c r="P3" s="1">
        <v>0.79</v>
      </c>
      <c r="Q3" s="1">
        <v>0.81</v>
      </c>
      <c r="R3" s="1">
        <v>0.82</v>
      </c>
      <c r="S3" s="1">
        <v>0.85</v>
      </c>
      <c r="T3" s="1">
        <f>MAX($H3:$S3)</f>
        <v>0.88</v>
      </c>
    </row>
    <row r="4" spans="1:20" ht="25" customHeight="1">
      <c r="A4" t="s">
        <v>16</v>
      </c>
      <c r="B4">
        <v>1</v>
      </c>
      <c r="C4" t="s">
        <v>17</v>
      </c>
      <c r="D4" t="b">
        <v>0</v>
      </c>
      <c r="E4">
        <v>1</v>
      </c>
      <c r="F4" t="s">
        <v>20</v>
      </c>
      <c r="H4" s="1">
        <v>0.86</v>
      </c>
      <c r="I4" s="1">
        <v>0.81</v>
      </c>
      <c r="J4" s="1">
        <v>0.78</v>
      </c>
      <c r="K4" s="1">
        <v>0.84</v>
      </c>
      <c r="L4" s="1">
        <v>0.85</v>
      </c>
      <c r="M4" s="1">
        <v>0.82</v>
      </c>
      <c r="N4" s="1">
        <v>0.81</v>
      </c>
      <c r="O4" s="1">
        <v>0.82</v>
      </c>
      <c r="P4" s="1">
        <v>0.83</v>
      </c>
      <c r="Q4" s="1">
        <v>0.8</v>
      </c>
      <c r="R4" s="1">
        <v>0.8</v>
      </c>
      <c r="S4" s="1">
        <v>0.82</v>
      </c>
      <c r="T4" s="1">
        <f>MAX($H4:$S4)</f>
        <v>0.86</v>
      </c>
    </row>
    <row r="5" spans="1:20" ht="25" customHeight="1">
      <c r="A5" t="s">
        <v>16</v>
      </c>
      <c r="B5">
        <v>1</v>
      </c>
      <c r="C5" t="s">
        <v>17</v>
      </c>
      <c r="D5" t="b">
        <v>1</v>
      </c>
      <c r="E5">
        <v>1</v>
      </c>
      <c r="F5" t="s">
        <v>20</v>
      </c>
      <c r="H5" s="1">
        <v>0.86</v>
      </c>
      <c r="I5" s="1">
        <v>0.87</v>
      </c>
      <c r="J5" s="1">
        <v>0.9</v>
      </c>
      <c r="K5" s="1">
        <v>0.84</v>
      </c>
      <c r="L5" s="1">
        <v>0.82</v>
      </c>
      <c r="M5" s="1">
        <v>0.81</v>
      </c>
      <c r="N5" s="1">
        <v>0.9</v>
      </c>
      <c r="O5" s="1">
        <v>0.84</v>
      </c>
      <c r="P5" s="1">
        <v>0.84</v>
      </c>
      <c r="Q5" s="1">
        <v>0.84</v>
      </c>
      <c r="R5" s="1">
        <v>0.83</v>
      </c>
      <c r="S5" s="1">
        <v>0.86</v>
      </c>
      <c r="T5" s="1">
        <f>MAX($H5:$S5)</f>
        <v>0.9</v>
      </c>
    </row>
    <row r="6" spans="1:20" ht="25" customHeight="1">
      <c r="A6" t="s">
        <v>16</v>
      </c>
      <c r="B6">
        <v>1</v>
      </c>
      <c r="C6" t="s">
        <v>17</v>
      </c>
      <c r="D6" t="b">
        <v>1</v>
      </c>
      <c r="E6">
        <v>3</v>
      </c>
      <c r="F6" t="s">
        <v>19</v>
      </c>
      <c r="H6" s="1">
        <v>0.88</v>
      </c>
      <c r="I6" s="1">
        <v>0.84</v>
      </c>
      <c r="J6" s="1">
        <v>0.85</v>
      </c>
      <c r="K6" s="1">
        <v>0.85</v>
      </c>
      <c r="L6" s="1">
        <v>0.8</v>
      </c>
      <c r="M6" s="1">
        <v>0.81</v>
      </c>
      <c r="N6" s="1">
        <v>0.86</v>
      </c>
      <c r="O6" s="1">
        <v>0.81</v>
      </c>
      <c r="P6" s="1">
        <v>0.83</v>
      </c>
      <c r="Q6" s="1">
        <v>0.83</v>
      </c>
      <c r="R6" s="1">
        <v>0.85</v>
      </c>
      <c r="S6" s="1">
        <v>0.83</v>
      </c>
      <c r="T6" s="1">
        <f>MAX($H6:$S6)</f>
        <v>0.88</v>
      </c>
    </row>
    <row r="7" spans="1:20" ht="25" customHeight="1">
      <c r="A7" t="s">
        <v>16</v>
      </c>
      <c r="B7">
        <v>1</v>
      </c>
      <c r="C7" t="s">
        <v>17</v>
      </c>
      <c r="D7" t="b">
        <v>1</v>
      </c>
      <c r="E7">
        <v>2</v>
      </c>
      <c r="F7" t="s">
        <v>18</v>
      </c>
      <c r="H7" s="1">
        <v>0.92</v>
      </c>
      <c r="I7" s="1">
        <v>0.89</v>
      </c>
      <c r="J7" s="1">
        <v>0.86</v>
      </c>
      <c r="K7" s="1">
        <v>0.9</v>
      </c>
      <c r="L7" s="1">
        <v>0.85</v>
      </c>
      <c r="M7" s="1">
        <v>0.83</v>
      </c>
      <c r="N7" s="1">
        <v>0.88</v>
      </c>
      <c r="O7" s="1">
        <v>0.86</v>
      </c>
      <c r="P7" s="1">
        <v>0.84</v>
      </c>
      <c r="Q7" s="1">
        <v>0.88</v>
      </c>
      <c r="R7" s="1">
        <v>0.86</v>
      </c>
      <c r="S7" s="1">
        <v>0.84</v>
      </c>
      <c r="T7" s="1">
        <f>MAX($H7:$S7)</f>
        <v>0.92</v>
      </c>
    </row>
    <row r="8" spans="1:20" ht="25" customHeight="1">
      <c r="A8" t="s">
        <v>16</v>
      </c>
      <c r="B8">
        <v>2</v>
      </c>
      <c r="C8" t="s">
        <v>37</v>
      </c>
      <c r="D8" t="b">
        <v>0</v>
      </c>
      <c r="E8">
        <v>2</v>
      </c>
      <c r="F8" t="s">
        <v>18</v>
      </c>
      <c r="H8" s="1">
        <v>0.72</v>
      </c>
      <c r="I8" s="1">
        <v>0.68</v>
      </c>
      <c r="J8" s="1">
        <v>0.71</v>
      </c>
      <c r="K8" s="1">
        <v>0.67</v>
      </c>
      <c r="L8" s="1">
        <v>0.6</v>
      </c>
      <c r="M8" s="1">
        <v>0.72</v>
      </c>
      <c r="N8" s="1">
        <v>0.73</v>
      </c>
      <c r="O8" s="1">
        <v>0.71</v>
      </c>
      <c r="P8" s="1">
        <v>0.7</v>
      </c>
      <c r="Q8" s="1">
        <v>0.67</v>
      </c>
      <c r="R8" s="1">
        <v>0.64</v>
      </c>
      <c r="S8" s="1">
        <v>0.69</v>
      </c>
      <c r="T8" s="1">
        <f>MAX($H8:$S8)</f>
        <v>0.73</v>
      </c>
    </row>
    <row r="9" spans="1:20" ht="25" customHeight="1">
      <c r="A9" t="s">
        <v>16</v>
      </c>
      <c r="B9">
        <v>2</v>
      </c>
      <c r="C9" t="s">
        <v>37</v>
      </c>
      <c r="D9" t="b">
        <v>0</v>
      </c>
      <c r="E9">
        <v>1</v>
      </c>
      <c r="F9" t="s">
        <v>20</v>
      </c>
      <c r="H9" s="1">
        <v>0.66</v>
      </c>
      <c r="I9" s="1">
        <v>0.64</v>
      </c>
      <c r="J9" s="1">
        <v>0.63</v>
      </c>
      <c r="K9" s="1">
        <v>0.56999999999999995</v>
      </c>
      <c r="L9" s="1">
        <v>0.56999999999999995</v>
      </c>
      <c r="M9" s="1">
        <v>0.64</v>
      </c>
      <c r="N9" s="1">
        <v>0.61</v>
      </c>
      <c r="O9" s="1">
        <v>0.69</v>
      </c>
      <c r="P9" s="1">
        <v>0.64</v>
      </c>
      <c r="Q9" s="1">
        <v>0.6</v>
      </c>
      <c r="R9" s="1">
        <v>0.56999999999999995</v>
      </c>
      <c r="S9" s="1">
        <v>0.56000000000000005</v>
      </c>
      <c r="T9" s="1">
        <f>MAX($H9:$S9)</f>
        <v>0.69</v>
      </c>
    </row>
    <row r="10" spans="1:20" ht="25" customHeight="1">
      <c r="A10" t="s">
        <v>16</v>
      </c>
      <c r="B10">
        <v>2</v>
      </c>
      <c r="C10" t="s">
        <v>37</v>
      </c>
      <c r="D10" t="b">
        <v>0</v>
      </c>
      <c r="E10">
        <v>3</v>
      </c>
      <c r="F10" t="s">
        <v>19</v>
      </c>
      <c r="H10" s="1">
        <v>0.71</v>
      </c>
      <c r="I10" s="1">
        <v>0.7</v>
      </c>
      <c r="J10" s="1">
        <v>0.67</v>
      </c>
      <c r="K10" s="1">
        <v>0.71</v>
      </c>
      <c r="L10" s="1">
        <v>0.71</v>
      </c>
      <c r="M10" s="1">
        <v>0.74</v>
      </c>
      <c r="N10" s="1">
        <v>0.66</v>
      </c>
      <c r="O10" s="1">
        <v>0.7</v>
      </c>
      <c r="P10" s="1">
        <v>0.69</v>
      </c>
      <c r="Q10" s="1">
        <v>0.76</v>
      </c>
      <c r="R10" s="1">
        <v>0.77</v>
      </c>
      <c r="S10" s="1">
        <v>0.76</v>
      </c>
      <c r="T10" s="1">
        <f>MAX($H10:$S10)</f>
        <v>0.77</v>
      </c>
    </row>
    <row r="11" spans="1:20" ht="25" customHeight="1">
      <c r="A11" t="s">
        <v>16</v>
      </c>
      <c r="B11">
        <v>2</v>
      </c>
      <c r="C11" t="s">
        <v>37</v>
      </c>
      <c r="D11" t="b">
        <v>1</v>
      </c>
      <c r="E11">
        <v>3</v>
      </c>
      <c r="F11" t="s">
        <v>19</v>
      </c>
      <c r="H11" s="1">
        <v>0.93</v>
      </c>
      <c r="I11" s="1">
        <v>0.91</v>
      </c>
      <c r="J11" s="1">
        <v>0.93</v>
      </c>
      <c r="K11" s="1">
        <v>0.92</v>
      </c>
      <c r="L11" s="1">
        <v>0.85</v>
      </c>
      <c r="M11" s="1">
        <v>0.85</v>
      </c>
      <c r="N11" s="1">
        <v>0.94</v>
      </c>
      <c r="O11" s="1">
        <v>0.93</v>
      </c>
      <c r="P11" s="1">
        <v>0.92</v>
      </c>
      <c r="Q11" s="1">
        <v>0.93</v>
      </c>
      <c r="R11" s="1">
        <v>0.88</v>
      </c>
      <c r="S11" s="1">
        <v>0.86</v>
      </c>
      <c r="T11" s="1">
        <f>MAX($H11:$S11)</f>
        <v>0.94</v>
      </c>
    </row>
    <row r="12" spans="1:20" ht="25" customHeight="1">
      <c r="A12" t="s">
        <v>16</v>
      </c>
      <c r="B12">
        <v>2</v>
      </c>
      <c r="C12" t="s">
        <v>37</v>
      </c>
      <c r="D12" t="b">
        <v>1</v>
      </c>
      <c r="E12">
        <v>1</v>
      </c>
      <c r="F12" t="s">
        <v>20</v>
      </c>
      <c r="H12" s="1">
        <v>0.91</v>
      </c>
      <c r="I12" s="1">
        <v>0.92</v>
      </c>
      <c r="J12" s="1">
        <v>0.86</v>
      </c>
      <c r="K12" s="1">
        <v>0.61</v>
      </c>
      <c r="L12" s="1">
        <v>0.62</v>
      </c>
      <c r="M12" s="1">
        <v>0.61</v>
      </c>
      <c r="N12" s="1">
        <v>0.94</v>
      </c>
      <c r="O12" s="1">
        <v>0.91</v>
      </c>
      <c r="P12" s="1">
        <v>0.94</v>
      </c>
      <c r="Q12" s="1">
        <v>0.67</v>
      </c>
      <c r="R12" s="1">
        <v>0.71</v>
      </c>
      <c r="S12" s="1">
        <v>0.57999999999999996</v>
      </c>
      <c r="T12" s="1">
        <f>MAX($H12:$S12)</f>
        <v>0.94</v>
      </c>
    </row>
    <row r="13" spans="1:20" ht="25" customHeight="1">
      <c r="A13" t="s">
        <v>16</v>
      </c>
      <c r="B13">
        <v>2</v>
      </c>
      <c r="C13" t="s">
        <v>37</v>
      </c>
      <c r="D13" t="b">
        <v>1</v>
      </c>
      <c r="E13">
        <v>2</v>
      </c>
      <c r="F13" t="s">
        <v>18</v>
      </c>
      <c r="H13" s="1">
        <v>0.91</v>
      </c>
      <c r="I13" s="1">
        <v>0.94</v>
      </c>
      <c r="J13" s="1">
        <v>0.88</v>
      </c>
      <c r="K13" s="1">
        <v>0.86</v>
      </c>
      <c r="L13" s="1">
        <v>0.86</v>
      </c>
      <c r="M13" s="1">
        <v>0.84</v>
      </c>
      <c r="N13" s="1">
        <v>0.94</v>
      </c>
      <c r="O13" s="1">
        <v>0.94</v>
      </c>
      <c r="P13" s="1">
        <v>0.94</v>
      </c>
      <c r="Q13" s="1">
        <v>0.9</v>
      </c>
      <c r="R13" s="1">
        <v>0.89</v>
      </c>
      <c r="S13" s="1">
        <v>0.89</v>
      </c>
      <c r="T13" s="1">
        <f>MAX($H13:$S13)</f>
        <v>0.94</v>
      </c>
    </row>
    <row r="14" spans="1:20" ht="25" customHeight="1">
      <c r="A14" t="s">
        <v>16</v>
      </c>
      <c r="B14">
        <v>3</v>
      </c>
      <c r="C14" t="s">
        <v>22</v>
      </c>
      <c r="D14" t="b">
        <v>0</v>
      </c>
      <c r="E14">
        <v>2</v>
      </c>
      <c r="F14" t="s">
        <v>18</v>
      </c>
      <c r="H14" s="1">
        <v>0.34</v>
      </c>
      <c r="I14" s="1">
        <v>0.38</v>
      </c>
      <c r="J14" s="1">
        <v>0.49</v>
      </c>
      <c r="K14" s="1">
        <v>0.5</v>
      </c>
      <c r="L14" s="1">
        <v>0.41</v>
      </c>
      <c r="M14" s="1">
        <v>0.49</v>
      </c>
      <c r="N14" s="1">
        <v>0.48</v>
      </c>
      <c r="O14" s="1">
        <v>0.41</v>
      </c>
      <c r="P14" s="1">
        <v>0.44</v>
      </c>
      <c r="Q14" s="1">
        <v>0.39</v>
      </c>
      <c r="R14" s="1">
        <v>0.43</v>
      </c>
      <c r="S14" s="1">
        <v>0.41</v>
      </c>
      <c r="T14" s="1">
        <f>MAX($H14:$S14)</f>
        <v>0.5</v>
      </c>
    </row>
    <row r="15" spans="1:20" ht="25" customHeight="1">
      <c r="A15" t="s">
        <v>16</v>
      </c>
      <c r="B15">
        <v>3</v>
      </c>
      <c r="C15" t="s">
        <v>22</v>
      </c>
      <c r="D15" t="b">
        <v>0</v>
      </c>
      <c r="E15">
        <v>1</v>
      </c>
      <c r="F15" t="s">
        <v>20</v>
      </c>
      <c r="H15" s="1">
        <v>0.28999999999999998</v>
      </c>
      <c r="I15" s="1">
        <v>0.38</v>
      </c>
      <c r="J15" s="1">
        <v>0.45</v>
      </c>
      <c r="K15" s="1">
        <v>0.38</v>
      </c>
      <c r="L15" s="1">
        <v>0.37</v>
      </c>
      <c r="M15" s="1">
        <v>0.41</v>
      </c>
      <c r="N15" s="1">
        <v>0.44</v>
      </c>
      <c r="O15" s="1">
        <v>0.31</v>
      </c>
      <c r="P15" s="1">
        <v>0.37</v>
      </c>
      <c r="Q15" s="1">
        <v>0.4</v>
      </c>
      <c r="R15" s="1">
        <v>0.37</v>
      </c>
      <c r="S15" s="1">
        <v>0.32</v>
      </c>
      <c r="T15" s="1">
        <f>MAX($H15:$S15)</f>
        <v>0.45</v>
      </c>
    </row>
    <row r="16" spans="1:20" ht="25" customHeight="1">
      <c r="A16" t="s">
        <v>16</v>
      </c>
      <c r="B16">
        <v>3</v>
      </c>
      <c r="C16" t="s">
        <v>22</v>
      </c>
      <c r="D16" t="b">
        <v>0</v>
      </c>
      <c r="E16">
        <v>3</v>
      </c>
      <c r="F16" t="s">
        <v>19</v>
      </c>
      <c r="H16" s="1">
        <v>0.34</v>
      </c>
      <c r="I16" s="1">
        <v>0.39</v>
      </c>
      <c r="J16" s="1">
        <v>0.45</v>
      </c>
      <c r="K16" s="1">
        <v>0.49</v>
      </c>
      <c r="L16" s="1">
        <v>0.39</v>
      </c>
      <c r="M16" s="1">
        <v>0.38</v>
      </c>
      <c r="N16" s="1">
        <v>0.42</v>
      </c>
      <c r="O16" s="1">
        <v>0.32</v>
      </c>
      <c r="P16" s="1">
        <v>0.4</v>
      </c>
      <c r="Q16" s="1">
        <v>0.38</v>
      </c>
      <c r="R16" s="1">
        <v>0.33</v>
      </c>
      <c r="S16" s="1">
        <v>0.36</v>
      </c>
      <c r="T16" s="1">
        <f>MAX($H16:$S16)</f>
        <v>0.49</v>
      </c>
    </row>
    <row r="17" spans="1:20" ht="25" customHeight="1">
      <c r="A17" t="s">
        <v>16</v>
      </c>
      <c r="B17">
        <v>3</v>
      </c>
      <c r="C17" t="s">
        <v>22</v>
      </c>
      <c r="D17" t="b">
        <v>1</v>
      </c>
      <c r="E17">
        <v>1</v>
      </c>
      <c r="F17" t="s">
        <v>20</v>
      </c>
      <c r="H17" s="1">
        <v>0.48</v>
      </c>
      <c r="I17" s="1">
        <v>0.48</v>
      </c>
      <c r="J17" s="1">
        <v>0.42</v>
      </c>
      <c r="K17" s="1">
        <v>0.45</v>
      </c>
      <c r="L17" s="1">
        <v>0.35</v>
      </c>
      <c r="M17" s="1">
        <v>0.38</v>
      </c>
      <c r="N17" s="1">
        <v>0.5</v>
      </c>
      <c r="O17" s="1">
        <v>0.47</v>
      </c>
      <c r="P17" s="1">
        <v>0.48</v>
      </c>
      <c r="Q17" s="1">
        <v>0.4</v>
      </c>
      <c r="R17" s="1">
        <v>0.41</v>
      </c>
      <c r="S17" s="1">
        <v>0.37</v>
      </c>
      <c r="T17" s="1">
        <f>MAX($H17:$S17)</f>
        <v>0.5</v>
      </c>
    </row>
    <row r="18" spans="1:20" ht="25" customHeight="1">
      <c r="A18" t="s">
        <v>16</v>
      </c>
      <c r="B18">
        <v>3</v>
      </c>
      <c r="C18" t="s">
        <v>22</v>
      </c>
      <c r="D18" t="b">
        <v>1</v>
      </c>
      <c r="E18">
        <v>3</v>
      </c>
      <c r="F18" t="s">
        <v>19</v>
      </c>
      <c r="H18" s="1">
        <v>0.43</v>
      </c>
      <c r="I18" s="1">
        <v>0.43</v>
      </c>
      <c r="J18" s="1">
        <v>0.48</v>
      </c>
      <c r="K18" s="1">
        <v>0.47</v>
      </c>
      <c r="L18" s="1">
        <v>0.47</v>
      </c>
      <c r="M18" s="1">
        <v>0.43</v>
      </c>
      <c r="N18" s="1">
        <v>0.52</v>
      </c>
      <c r="O18" s="1">
        <v>0.43</v>
      </c>
      <c r="P18" s="1">
        <v>0.49</v>
      </c>
      <c r="Q18" s="1">
        <v>0.43</v>
      </c>
      <c r="R18" s="1">
        <v>0.36</v>
      </c>
      <c r="S18" s="1">
        <v>0.36</v>
      </c>
      <c r="T18" s="1">
        <f>MAX($H18:$S18)</f>
        <v>0.52</v>
      </c>
    </row>
    <row r="19" spans="1:20" ht="25" customHeight="1">
      <c r="A19" t="s">
        <v>16</v>
      </c>
      <c r="B19">
        <v>3</v>
      </c>
      <c r="C19" t="s">
        <v>22</v>
      </c>
      <c r="D19" t="b">
        <v>1</v>
      </c>
      <c r="E19">
        <v>2</v>
      </c>
      <c r="F19" t="s">
        <v>18</v>
      </c>
      <c r="H19" s="1">
        <v>0.42</v>
      </c>
      <c r="I19" s="1">
        <v>0.52</v>
      </c>
      <c r="J19" s="1">
        <v>0.52</v>
      </c>
      <c r="K19" s="1">
        <v>0.56000000000000005</v>
      </c>
      <c r="L19" s="1">
        <v>0.44</v>
      </c>
      <c r="M19" s="1">
        <v>0.45</v>
      </c>
      <c r="N19" s="1">
        <v>0.56000000000000005</v>
      </c>
      <c r="O19" s="1">
        <v>0.48</v>
      </c>
      <c r="P19" s="1">
        <v>0.57999999999999996</v>
      </c>
      <c r="Q19" s="1">
        <v>0.44</v>
      </c>
      <c r="R19" s="1">
        <v>0.47</v>
      </c>
      <c r="S19" s="1">
        <v>0.45</v>
      </c>
      <c r="T19" s="1">
        <f>MAX($H19:$S19)</f>
        <v>0.57999999999999996</v>
      </c>
    </row>
    <row r="22" spans="1:20" ht="25" customHeight="1">
      <c r="B22" t="s">
        <v>23</v>
      </c>
      <c r="C22" t="s">
        <v>1</v>
      </c>
      <c r="D22" t="s">
        <v>26</v>
      </c>
      <c r="E22" t="s">
        <v>24</v>
      </c>
      <c r="F22" t="s">
        <v>3</v>
      </c>
      <c r="G22" t="s">
        <v>33</v>
      </c>
      <c r="H22" t="s">
        <v>4</v>
      </c>
      <c r="I22" t="s">
        <v>5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t="s">
        <v>15</v>
      </c>
      <c r="T22" t="s">
        <v>25</v>
      </c>
    </row>
    <row r="23" spans="1:20" ht="25" customHeight="1">
      <c r="B23">
        <v>1</v>
      </c>
      <c r="C23" t="s">
        <v>17</v>
      </c>
      <c r="D23" t="b">
        <v>0</v>
      </c>
      <c r="E23">
        <v>1</v>
      </c>
      <c r="F23" t="s">
        <v>25</v>
      </c>
      <c r="H23" s="1" cm="1">
        <f t="array" ref="H23">_xlfn.LET(_xlpm.d,H$2:H$19,_xlpm.a,$C$2:$C$19=$C23,_xlpm.b,$D$2:$D$19=$D23,MAX(_xlfn._xlws.FILTER(_xlpm.d,_xlpm.a*_xlpm.b)))</f>
        <v>0.86</v>
      </c>
      <c r="I23" s="1" cm="1">
        <f t="array" ref="I23">_xlfn.LET(_xlpm.d,I$2:I$19,_xlpm.a,$C$2:$C$19=$C23,_xlpm.b,$D$2:$D$19=$D23,MAX(_xlfn._xlws.FILTER(_xlpm.d,_xlpm.a*_xlpm.b)))</f>
        <v>0.83</v>
      </c>
      <c r="J23" s="1" cm="1">
        <f t="array" ref="J23">_xlfn.LET(_xlpm.d,J$2:J$19,_xlpm.a,$C$2:$C$19=$C23,_xlpm.b,$D$2:$D$19=$D23,MAX(_xlfn._xlws.FILTER(_xlpm.d,_xlpm.a*_xlpm.b)))</f>
        <v>0.84</v>
      </c>
      <c r="K23" s="1" cm="1">
        <f t="array" ref="K23">_xlfn.LET(_xlpm.d,K$2:K$19,_xlpm.a,$C$2:$C$19=$C23,_xlpm.b,$D$2:$D$19=$D23,MAX(_xlfn._xlws.FILTER(_xlpm.d,_xlpm.a*_xlpm.b)))</f>
        <v>0.88</v>
      </c>
      <c r="L23" s="1" cm="1">
        <f t="array" ref="L23">_xlfn.LET(_xlpm.d,L$2:L$19,_xlpm.a,$C$2:$C$19=$C23,_xlpm.b,$D$2:$D$19=$D23,MAX(_xlfn._xlws.FILTER(_xlpm.d,_xlpm.a*_xlpm.b)))</f>
        <v>0.85</v>
      </c>
      <c r="M23" s="1" cm="1">
        <f t="array" ref="M23">_xlfn.LET(_xlpm.d,M$2:M$19,_xlpm.a,$C$2:$C$19=$C23,_xlpm.b,$D$2:$D$19=$D23,MAX(_xlfn._xlws.FILTER(_xlpm.d,_xlpm.a*_xlpm.b)))</f>
        <v>0.82</v>
      </c>
      <c r="N23" s="1" cm="1">
        <f t="array" ref="N23">_xlfn.LET(_xlpm.d,N$2:N$19,_xlpm.a,$C$2:$C$19=$C23,_xlpm.b,$D$2:$D$19=$D23,MAX(_xlfn._xlws.FILTER(_xlpm.d,_xlpm.a*_xlpm.b)))</f>
        <v>0.82</v>
      </c>
      <c r="O23" s="1" cm="1">
        <f t="array" ref="O23">_xlfn.LET(_xlpm.d,O$2:O$19,_xlpm.a,$C$2:$C$19=$C23,_xlpm.b,$D$2:$D$19=$D23,MAX(_xlfn._xlws.FILTER(_xlpm.d,_xlpm.a*_xlpm.b)))</f>
        <v>0.83</v>
      </c>
      <c r="P23" s="1" cm="1">
        <f t="array" ref="P23">_xlfn.LET(_xlpm.d,P$2:P$19,_xlpm.a,$C$2:$C$19=$C23,_xlpm.b,$D$2:$D$19=$D23,MAX(_xlfn._xlws.FILTER(_xlpm.d,_xlpm.a*_xlpm.b)))</f>
        <v>0.83</v>
      </c>
      <c r="Q23" s="1" cm="1">
        <f t="array" ref="Q23">_xlfn.LET(_xlpm.d,Q$2:Q$19,_xlpm.a,$C$2:$C$19=$C23,_xlpm.b,$D$2:$D$19=$D23,MAX(_xlfn._xlws.FILTER(_xlpm.d,_xlpm.a*_xlpm.b)))</f>
        <v>0.85</v>
      </c>
      <c r="R23" s="1" cm="1">
        <f t="array" ref="R23">_xlfn.LET(_xlpm.d,R$2:R$19,_xlpm.a,$C$2:$C$19=$C23,_xlpm.b,$D$2:$D$19=$D23,MAX(_xlfn._xlws.FILTER(_xlpm.d,_xlpm.a*_xlpm.b)))</f>
        <v>0.84</v>
      </c>
      <c r="S23" s="1" cm="1">
        <f t="array" ref="S23">_xlfn.LET(_xlpm.d,S$2:S$19,_xlpm.a,$C$2:$C$19=$C23,_xlpm.b,$D$2:$D$19=$D23,MAX(_xlfn._xlws.FILTER(_xlpm.d,_xlpm.a*_xlpm.b)))</f>
        <v>0.85</v>
      </c>
      <c r="T23" s="1">
        <f>_xlfn.LET(_xlpm.d,$H23:$S23,MAX(_xlpm.d))</f>
        <v>0.88</v>
      </c>
    </row>
    <row r="24" spans="1:20" ht="25" customHeight="1">
      <c r="B24">
        <v>1</v>
      </c>
      <c r="C24" t="s">
        <v>17</v>
      </c>
      <c r="D24" t="b">
        <v>1</v>
      </c>
      <c r="E24">
        <v>1</v>
      </c>
      <c r="F24" t="s">
        <v>25</v>
      </c>
      <c r="H24" s="1" cm="1">
        <f t="array" ref="H24">_xlfn.LET(_xlpm.d,H$2:H$19,_xlpm.a,$C$2:$C$19=$C24,_xlpm.b,$D$2:$D$19=$D24,MAX(_xlfn._xlws.FILTER(_xlpm.d,_xlpm.a*_xlpm.b)))</f>
        <v>0.92</v>
      </c>
      <c r="I24" s="1" cm="1">
        <f t="array" ref="I24">_xlfn.LET(_xlpm.d,I$2:I$19,_xlpm.a,$C$2:$C$19=$C24,_xlpm.b,$D$2:$D$19=$D24,MAX(_xlfn._xlws.FILTER(_xlpm.d,_xlpm.a*_xlpm.b)))</f>
        <v>0.89</v>
      </c>
      <c r="J24" s="1" cm="1">
        <f t="array" ref="J24">_xlfn.LET(_xlpm.d,J$2:J$19,_xlpm.a,$C$2:$C$19=$C24,_xlpm.b,$D$2:$D$19=$D24,MAX(_xlfn._xlws.FILTER(_xlpm.d,_xlpm.a*_xlpm.b)))</f>
        <v>0.9</v>
      </c>
      <c r="K24" s="1" cm="1">
        <f t="array" ref="K24">_xlfn.LET(_xlpm.d,K$2:K$19,_xlpm.a,$C$2:$C$19=$C24,_xlpm.b,$D$2:$D$19=$D24,MAX(_xlfn._xlws.FILTER(_xlpm.d,_xlpm.a*_xlpm.b)))</f>
        <v>0.9</v>
      </c>
      <c r="L24" s="1" cm="1">
        <f t="array" ref="L24">_xlfn.LET(_xlpm.d,L$2:L$19,_xlpm.a,$C$2:$C$19=$C24,_xlpm.b,$D$2:$D$19=$D24,MAX(_xlfn._xlws.FILTER(_xlpm.d,_xlpm.a*_xlpm.b)))</f>
        <v>0.85</v>
      </c>
      <c r="M24" s="1" cm="1">
        <f t="array" ref="M24">_xlfn.LET(_xlpm.d,M$2:M$19,_xlpm.a,$C$2:$C$19=$C24,_xlpm.b,$D$2:$D$19=$D24,MAX(_xlfn._xlws.FILTER(_xlpm.d,_xlpm.a*_xlpm.b)))</f>
        <v>0.83</v>
      </c>
      <c r="N24" s="1" cm="1">
        <f t="array" ref="N24">_xlfn.LET(_xlpm.d,N$2:N$19,_xlpm.a,$C$2:$C$19=$C24,_xlpm.b,$D$2:$D$19=$D24,MAX(_xlfn._xlws.FILTER(_xlpm.d,_xlpm.a*_xlpm.b)))</f>
        <v>0.9</v>
      </c>
      <c r="O24" s="1" cm="1">
        <f t="array" ref="O24">_xlfn.LET(_xlpm.d,O$2:O$19,_xlpm.a,$C$2:$C$19=$C24,_xlpm.b,$D$2:$D$19=$D24,MAX(_xlfn._xlws.FILTER(_xlpm.d,_xlpm.a*_xlpm.b)))</f>
        <v>0.86</v>
      </c>
      <c r="P24" s="1" cm="1">
        <f t="array" ref="P24">_xlfn.LET(_xlpm.d,P$2:P$19,_xlpm.a,$C$2:$C$19=$C24,_xlpm.b,$D$2:$D$19=$D24,MAX(_xlfn._xlws.FILTER(_xlpm.d,_xlpm.a*_xlpm.b)))</f>
        <v>0.84</v>
      </c>
      <c r="Q24" s="1" cm="1">
        <f t="array" ref="Q24">_xlfn.LET(_xlpm.d,Q$2:Q$19,_xlpm.a,$C$2:$C$19=$C24,_xlpm.b,$D$2:$D$19=$D24,MAX(_xlfn._xlws.FILTER(_xlpm.d,_xlpm.a*_xlpm.b)))</f>
        <v>0.88</v>
      </c>
      <c r="R24" s="1" cm="1">
        <f t="array" ref="R24">_xlfn.LET(_xlpm.d,R$2:R$19,_xlpm.a,$C$2:$C$19=$C24,_xlpm.b,$D$2:$D$19=$D24,MAX(_xlfn._xlws.FILTER(_xlpm.d,_xlpm.a*_xlpm.b)))</f>
        <v>0.86</v>
      </c>
      <c r="S24" s="1" cm="1">
        <f t="array" ref="S24">_xlfn.LET(_xlpm.d,S$2:S$19,_xlpm.a,$C$2:$C$19=$C24,_xlpm.b,$D$2:$D$19=$D24,MAX(_xlfn._xlws.FILTER(_xlpm.d,_xlpm.a*_xlpm.b)))</f>
        <v>0.86</v>
      </c>
      <c r="T24" s="1">
        <f>_xlfn.LET(_xlpm.d,$H24:$S24,MAX(_xlpm.d))</f>
        <v>0.92</v>
      </c>
    </row>
    <row r="25" spans="1:20" ht="25" customHeight="1">
      <c r="B25">
        <v>2</v>
      </c>
      <c r="C25" t="s">
        <v>37</v>
      </c>
      <c r="D25" t="b">
        <v>0</v>
      </c>
      <c r="E25">
        <v>1</v>
      </c>
      <c r="F25" t="s">
        <v>25</v>
      </c>
      <c r="H25" s="1" cm="1">
        <f t="array" ref="H25">_xlfn.LET(_xlpm.d,H$2:H$19,_xlpm.a,$C$2:$C$19=$C25,_xlpm.b,$D$2:$D$19=$D25,MAX(_xlfn._xlws.FILTER(_xlpm.d,_xlpm.a*_xlpm.b)))</f>
        <v>0.72</v>
      </c>
      <c r="I25" s="1" cm="1">
        <f t="array" ref="I25">_xlfn.LET(_xlpm.d,I$2:I$19,_xlpm.a,$C$2:$C$19=$C25,_xlpm.b,$D$2:$D$19=$D25,MAX(_xlfn._xlws.FILTER(_xlpm.d,_xlpm.a*_xlpm.b)))</f>
        <v>0.7</v>
      </c>
      <c r="J25" s="1" cm="1">
        <f t="array" ref="J25">_xlfn.LET(_xlpm.d,J$2:J$19,_xlpm.a,$C$2:$C$19=$C25,_xlpm.b,$D$2:$D$19=$D25,MAX(_xlfn._xlws.FILTER(_xlpm.d,_xlpm.a*_xlpm.b)))</f>
        <v>0.71</v>
      </c>
      <c r="K25" s="1" cm="1">
        <f t="array" ref="K25">_xlfn.LET(_xlpm.d,K$2:K$19,_xlpm.a,$C$2:$C$19=$C25,_xlpm.b,$D$2:$D$19=$D25,MAX(_xlfn._xlws.FILTER(_xlpm.d,_xlpm.a*_xlpm.b)))</f>
        <v>0.71</v>
      </c>
      <c r="L25" s="1" cm="1">
        <f t="array" ref="L25">_xlfn.LET(_xlpm.d,L$2:L$19,_xlpm.a,$C$2:$C$19=$C25,_xlpm.b,$D$2:$D$19=$D25,MAX(_xlfn._xlws.FILTER(_xlpm.d,_xlpm.a*_xlpm.b)))</f>
        <v>0.71</v>
      </c>
      <c r="M25" s="1" cm="1">
        <f t="array" ref="M25">_xlfn.LET(_xlpm.d,M$2:M$19,_xlpm.a,$C$2:$C$19=$C25,_xlpm.b,$D$2:$D$19=$D25,MAX(_xlfn._xlws.FILTER(_xlpm.d,_xlpm.a*_xlpm.b)))</f>
        <v>0.74</v>
      </c>
      <c r="N25" s="1" cm="1">
        <f t="array" ref="N25">_xlfn.LET(_xlpm.d,N$2:N$19,_xlpm.a,$C$2:$C$19=$C25,_xlpm.b,$D$2:$D$19=$D25,MAX(_xlfn._xlws.FILTER(_xlpm.d,_xlpm.a*_xlpm.b)))</f>
        <v>0.73</v>
      </c>
      <c r="O25" s="1" cm="1">
        <f t="array" ref="O25">_xlfn.LET(_xlpm.d,O$2:O$19,_xlpm.a,$C$2:$C$19=$C25,_xlpm.b,$D$2:$D$19=$D25,MAX(_xlfn._xlws.FILTER(_xlpm.d,_xlpm.a*_xlpm.b)))</f>
        <v>0.71</v>
      </c>
      <c r="P25" s="1" cm="1">
        <f t="array" ref="P25">_xlfn.LET(_xlpm.d,P$2:P$19,_xlpm.a,$C$2:$C$19=$C25,_xlpm.b,$D$2:$D$19=$D25,MAX(_xlfn._xlws.FILTER(_xlpm.d,_xlpm.a*_xlpm.b)))</f>
        <v>0.7</v>
      </c>
      <c r="Q25" s="1" cm="1">
        <f t="array" ref="Q25">_xlfn.LET(_xlpm.d,Q$2:Q$19,_xlpm.a,$C$2:$C$19=$C25,_xlpm.b,$D$2:$D$19=$D25,MAX(_xlfn._xlws.FILTER(_xlpm.d,_xlpm.a*_xlpm.b)))</f>
        <v>0.76</v>
      </c>
      <c r="R25" s="1" cm="1">
        <f t="array" ref="R25">_xlfn.LET(_xlpm.d,R$2:R$19,_xlpm.a,$C$2:$C$19=$C25,_xlpm.b,$D$2:$D$19=$D25,MAX(_xlfn._xlws.FILTER(_xlpm.d,_xlpm.a*_xlpm.b)))</f>
        <v>0.77</v>
      </c>
      <c r="S25" s="1" cm="1">
        <f t="array" ref="S25">_xlfn.LET(_xlpm.d,S$2:S$19,_xlpm.a,$C$2:$C$19=$C25,_xlpm.b,$D$2:$D$19=$D25,MAX(_xlfn._xlws.FILTER(_xlpm.d,_xlpm.a*_xlpm.b)))</f>
        <v>0.76</v>
      </c>
      <c r="T25" s="1">
        <f>_xlfn.LET(_xlpm.d,$H25:$S25,MAX(_xlpm.d))</f>
        <v>0.77</v>
      </c>
    </row>
    <row r="26" spans="1:20" ht="25" customHeight="1">
      <c r="B26">
        <v>2</v>
      </c>
      <c r="C26" t="s">
        <v>37</v>
      </c>
      <c r="D26" t="b">
        <v>1</v>
      </c>
      <c r="E26">
        <v>1</v>
      </c>
      <c r="F26" t="s">
        <v>25</v>
      </c>
      <c r="H26" s="1" cm="1">
        <f t="array" ref="H26">_xlfn.LET(_xlpm.d,H$2:H$19,_xlpm.a,$C$2:$C$19=$C26,_xlpm.b,$D$2:$D$19=$D26,MAX(_xlfn._xlws.FILTER(_xlpm.d,_xlpm.a*_xlpm.b)))</f>
        <v>0.93</v>
      </c>
      <c r="I26" s="1" cm="1">
        <f t="array" ref="I26">_xlfn.LET(_xlpm.d,I$2:I$19,_xlpm.a,$C$2:$C$19=$C26,_xlpm.b,$D$2:$D$19=$D26,MAX(_xlfn._xlws.FILTER(_xlpm.d,_xlpm.a*_xlpm.b)))</f>
        <v>0.94</v>
      </c>
      <c r="J26" s="1" cm="1">
        <f t="array" ref="J26">_xlfn.LET(_xlpm.d,J$2:J$19,_xlpm.a,$C$2:$C$19=$C26,_xlpm.b,$D$2:$D$19=$D26,MAX(_xlfn._xlws.FILTER(_xlpm.d,_xlpm.a*_xlpm.b)))</f>
        <v>0.93</v>
      </c>
      <c r="K26" s="1" cm="1">
        <f t="array" ref="K26">_xlfn.LET(_xlpm.d,K$2:K$19,_xlpm.a,$C$2:$C$19=$C26,_xlpm.b,$D$2:$D$19=$D26,MAX(_xlfn._xlws.FILTER(_xlpm.d,_xlpm.a*_xlpm.b)))</f>
        <v>0.92</v>
      </c>
      <c r="L26" s="1" cm="1">
        <f t="array" ref="L26">_xlfn.LET(_xlpm.d,L$2:L$19,_xlpm.a,$C$2:$C$19=$C26,_xlpm.b,$D$2:$D$19=$D26,MAX(_xlfn._xlws.FILTER(_xlpm.d,_xlpm.a*_xlpm.b)))</f>
        <v>0.86</v>
      </c>
      <c r="M26" s="1" cm="1">
        <f t="array" ref="M26">_xlfn.LET(_xlpm.d,M$2:M$19,_xlpm.a,$C$2:$C$19=$C26,_xlpm.b,$D$2:$D$19=$D26,MAX(_xlfn._xlws.FILTER(_xlpm.d,_xlpm.a*_xlpm.b)))</f>
        <v>0.85</v>
      </c>
      <c r="N26" s="1" cm="1">
        <f t="array" ref="N26">_xlfn.LET(_xlpm.d,N$2:N$19,_xlpm.a,$C$2:$C$19=$C26,_xlpm.b,$D$2:$D$19=$D26,MAX(_xlfn._xlws.FILTER(_xlpm.d,_xlpm.a*_xlpm.b)))</f>
        <v>0.94</v>
      </c>
      <c r="O26" s="1" cm="1">
        <f t="array" ref="O26">_xlfn.LET(_xlpm.d,O$2:O$19,_xlpm.a,$C$2:$C$19=$C26,_xlpm.b,$D$2:$D$19=$D26,MAX(_xlfn._xlws.FILTER(_xlpm.d,_xlpm.a*_xlpm.b)))</f>
        <v>0.94</v>
      </c>
      <c r="P26" s="1" cm="1">
        <f t="array" ref="P26">_xlfn.LET(_xlpm.d,P$2:P$19,_xlpm.a,$C$2:$C$19=$C26,_xlpm.b,$D$2:$D$19=$D26,MAX(_xlfn._xlws.FILTER(_xlpm.d,_xlpm.a*_xlpm.b)))</f>
        <v>0.94</v>
      </c>
      <c r="Q26" s="1" cm="1">
        <f t="array" ref="Q26">_xlfn.LET(_xlpm.d,Q$2:Q$19,_xlpm.a,$C$2:$C$19=$C26,_xlpm.b,$D$2:$D$19=$D26,MAX(_xlfn._xlws.FILTER(_xlpm.d,_xlpm.a*_xlpm.b)))</f>
        <v>0.93</v>
      </c>
      <c r="R26" s="1" cm="1">
        <f t="array" ref="R26">_xlfn.LET(_xlpm.d,R$2:R$19,_xlpm.a,$C$2:$C$19=$C26,_xlpm.b,$D$2:$D$19=$D26,MAX(_xlfn._xlws.FILTER(_xlpm.d,_xlpm.a*_xlpm.b)))</f>
        <v>0.89</v>
      </c>
      <c r="S26" s="1" cm="1">
        <f t="array" ref="S26">_xlfn.LET(_xlpm.d,S$2:S$19,_xlpm.a,$C$2:$C$19=$C26,_xlpm.b,$D$2:$D$19=$D26,MAX(_xlfn._xlws.FILTER(_xlpm.d,_xlpm.a*_xlpm.b)))</f>
        <v>0.89</v>
      </c>
      <c r="T26" s="1">
        <f>_xlfn.LET(_xlpm.d,$H26:$S26,MAX(_xlpm.d))</f>
        <v>0.94</v>
      </c>
    </row>
    <row r="27" spans="1:20" ht="25" customHeight="1">
      <c r="B27">
        <v>3</v>
      </c>
      <c r="C27" t="s">
        <v>22</v>
      </c>
      <c r="D27" t="b">
        <v>0</v>
      </c>
      <c r="E27">
        <v>1</v>
      </c>
      <c r="F27" t="s">
        <v>25</v>
      </c>
      <c r="H27" s="1" cm="1">
        <f t="array" ref="H27">_xlfn.LET(_xlpm.d,H$2:H$19,_xlpm.a,$C$2:$C$19=$C27,_xlpm.b,$D$2:$D$19=$D27,MAX(_xlfn._xlws.FILTER(_xlpm.d,_xlpm.a*_xlpm.b)))</f>
        <v>0.34</v>
      </c>
      <c r="I27" s="1" cm="1">
        <f t="array" ref="I27">_xlfn.LET(_xlpm.d,I$2:I$19,_xlpm.a,$C$2:$C$19=$C27,_xlpm.b,$D$2:$D$19=$D27,MAX(_xlfn._xlws.FILTER(_xlpm.d,_xlpm.a*_xlpm.b)))</f>
        <v>0.39</v>
      </c>
      <c r="J27" s="1" cm="1">
        <f t="array" ref="J27">_xlfn.LET(_xlpm.d,J$2:J$19,_xlpm.a,$C$2:$C$19=$C27,_xlpm.b,$D$2:$D$19=$D27,MAX(_xlfn._xlws.FILTER(_xlpm.d,_xlpm.a*_xlpm.b)))</f>
        <v>0.49</v>
      </c>
      <c r="K27" s="1" cm="1">
        <f t="array" ref="K27">_xlfn.LET(_xlpm.d,K$2:K$19,_xlpm.a,$C$2:$C$19=$C27,_xlpm.b,$D$2:$D$19=$D27,MAX(_xlfn._xlws.FILTER(_xlpm.d,_xlpm.a*_xlpm.b)))</f>
        <v>0.5</v>
      </c>
      <c r="L27" s="1" cm="1">
        <f t="array" ref="L27">_xlfn.LET(_xlpm.d,L$2:L$19,_xlpm.a,$C$2:$C$19=$C27,_xlpm.b,$D$2:$D$19=$D27,MAX(_xlfn._xlws.FILTER(_xlpm.d,_xlpm.a*_xlpm.b)))</f>
        <v>0.41</v>
      </c>
      <c r="M27" s="1" cm="1">
        <f t="array" ref="M27">_xlfn.LET(_xlpm.d,M$2:M$19,_xlpm.a,$C$2:$C$19=$C27,_xlpm.b,$D$2:$D$19=$D27,MAX(_xlfn._xlws.FILTER(_xlpm.d,_xlpm.a*_xlpm.b)))</f>
        <v>0.49</v>
      </c>
      <c r="N27" s="1" cm="1">
        <f t="array" ref="N27">_xlfn.LET(_xlpm.d,N$2:N$19,_xlpm.a,$C$2:$C$19=$C27,_xlpm.b,$D$2:$D$19=$D27,MAX(_xlfn._xlws.FILTER(_xlpm.d,_xlpm.a*_xlpm.b)))</f>
        <v>0.48</v>
      </c>
      <c r="O27" s="1" cm="1">
        <f t="array" ref="O27">_xlfn.LET(_xlpm.d,O$2:O$19,_xlpm.a,$C$2:$C$19=$C27,_xlpm.b,$D$2:$D$19=$D27,MAX(_xlfn._xlws.FILTER(_xlpm.d,_xlpm.a*_xlpm.b)))</f>
        <v>0.41</v>
      </c>
      <c r="P27" s="1" cm="1">
        <f t="array" ref="P27">_xlfn.LET(_xlpm.d,P$2:P$19,_xlpm.a,$C$2:$C$19=$C27,_xlpm.b,$D$2:$D$19=$D27,MAX(_xlfn._xlws.FILTER(_xlpm.d,_xlpm.a*_xlpm.b)))</f>
        <v>0.44</v>
      </c>
      <c r="Q27" s="1" cm="1">
        <f t="array" ref="Q27">_xlfn.LET(_xlpm.d,Q$2:Q$19,_xlpm.a,$C$2:$C$19=$C27,_xlpm.b,$D$2:$D$19=$D27,MAX(_xlfn._xlws.FILTER(_xlpm.d,_xlpm.a*_xlpm.b)))</f>
        <v>0.4</v>
      </c>
      <c r="R27" s="1" cm="1">
        <f t="array" ref="R27">_xlfn.LET(_xlpm.d,R$2:R$19,_xlpm.a,$C$2:$C$19=$C27,_xlpm.b,$D$2:$D$19=$D27,MAX(_xlfn._xlws.FILTER(_xlpm.d,_xlpm.a*_xlpm.b)))</f>
        <v>0.43</v>
      </c>
      <c r="S27" s="1" cm="1">
        <f t="array" ref="S27">_xlfn.LET(_xlpm.d,S$2:S$19,_xlpm.a,$C$2:$C$19=$C27,_xlpm.b,$D$2:$D$19=$D27,MAX(_xlfn._xlws.FILTER(_xlpm.d,_xlpm.a*_xlpm.b)))</f>
        <v>0.41</v>
      </c>
      <c r="T27" s="1">
        <f>_xlfn.LET(_xlpm.d,$H27:$S27,MAX(_xlpm.d))</f>
        <v>0.5</v>
      </c>
    </row>
    <row r="28" spans="1:20" ht="25" customHeight="1">
      <c r="B28">
        <v>3</v>
      </c>
      <c r="C28" t="s">
        <v>22</v>
      </c>
      <c r="D28" t="b">
        <v>1</v>
      </c>
      <c r="E28">
        <v>1</v>
      </c>
      <c r="F28" t="s">
        <v>25</v>
      </c>
      <c r="H28" s="1" cm="1">
        <f t="array" ref="H28">_xlfn.LET(_xlpm.d,H$2:H$19,_xlpm.a,$C$2:$C$19=$C28,_xlpm.b,$D$2:$D$19=$D28,MAX(_xlfn._xlws.FILTER(_xlpm.d,_xlpm.a*_xlpm.b)))</f>
        <v>0.48</v>
      </c>
      <c r="I28" s="1" cm="1">
        <f t="array" ref="I28">_xlfn.LET(_xlpm.d,I$2:I$19,_xlpm.a,$C$2:$C$19=$C28,_xlpm.b,$D$2:$D$19=$D28,MAX(_xlfn._xlws.FILTER(_xlpm.d,_xlpm.a*_xlpm.b)))</f>
        <v>0.52</v>
      </c>
      <c r="J28" s="1" cm="1">
        <f t="array" ref="J28">_xlfn.LET(_xlpm.d,J$2:J$19,_xlpm.a,$C$2:$C$19=$C28,_xlpm.b,$D$2:$D$19=$D28,MAX(_xlfn._xlws.FILTER(_xlpm.d,_xlpm.a*_xlpm.b)))</f>
        <v>0.52</v>
      </c>
      <c r="K28" s="1" cm="1">
        <f t="array" ref="K28">_xlfn.LET(_xlpm.d,K$2:K$19,_xlpm.a,$C$2:$C$19=$C28,_xlpm.b,$D$2:$D$19=$D28,MAX(_xlfn._xlws.FILTER(_xlpm.d,_xlpm.a*_xlpm.b)))</f>
        <v>0.56000000000000005</v>
      </c>
      <c r="L28" s="1" cm="1">
        <f t="array" ref="L28">_xlfn.LET(_xlpm.d,L$2:L$19,_xlpm.a,$C$2:$C$19=$C28,_xlpm.b,$D$2:$D$19=$D28,MAX(_xlfn._xlws.FILTER(_xlpm.d,_xlpm.a*_xlpm.b)))</f>
        <v>0.47</v>
      </c>
      <c r="M28" s="1" cm="1">
        <f t="array" ref="M28">_xlfn.LET(_xlpm.d,M$2:M$19,_xlpm.a,$C$2:$C$19=$C28,_xlpm.b,$D$2:$D$19=$D28,MAX(_xlfn._xlws.FILTER(_xlpm.d,_xlpm.a*_xlpm.b)))</f>
        <v>0.45</v>
      </c>
      <c r="N28" s="1" cm="1">
        <f t="array" ref="N28">_xlfn.LET(_xlpm.d,N$2:N$19,_xlpm.a,$C$2:$C$19=$C28,_xlpm.b,$D$2:$D$19=$D28,MAX(_xlfn._xlws.FILTER(_xlpm.d,_xlpm.a*_xlpm.b)))</f>
        <v>0.56000000000000005</v>
      </c>
      <c r="O28" s="1" cm="1">
        <f t="array" ref="O28">_xlfn.LET(_xlpm.d,O$2:O$19,_xlpm.a,$C$2:$C$19=$C28,_xlpm.b,$D$2:$D$19=$D28,MAX(_xlfn._xlws.FILTER(_xlpm.d,_xlpm.a*_xlpm.b)))</f>
        <v>0.48</v>
      </c>
      <c r="P28" s="1" cm="1">
        <f t="array" ref="P28">_xlfn.LET(_xlpm.d,P$2:P$19,_xlpm.a,$C$2:$C$19=$C28,_xlpm.b,$D$2:$D$19=$D28,MAX(_xlfn._xlws.FILTER(_xlpm.d,_xlpm.a*_xlpm.b)))</f>
        <v>0.57999999999999996</v>
      </c>
      <c r="Q28" s="1" cm="1">
        <f t="array" ref="Q28">_xlfn.LET(_xlpm.d,Q$2:Q$19,_xlpm.a,$C$2:$C$19=$C28,_xlpm.b,$D$2:$D$19=$D28,MAX(_xlfn._xlws.FILTER(_xlpm.d,_xlpm.a*_xlpm.b)))</f>
        <v>0.44</v>
      </c>
      <c r="R28" s="1" cm="1">
        <f t="array" ref="R28">_xlfn.LET(_xlpm.d,R$2:R$19,_xlpm.a,$C$2:$C$19=$C28,_xlpm.b,$D$2:$D$19=$D28,MAX(_xlfn._xlws.FILTER(_xlpm.d,_xlpm.a*_xlpm.b)))</f>
        <v>0.47</v>
      </c>
      <c r="S28" s="1" cm="1">
        <f t="array" ref="S28">_xlfn.LET(_xlpm.d,S$2:S$19,_xlpm.a,$C$2:$C$19=$C28,_xlpm.b,$D$2:$D$19=$D28,MAX(_xlfn._xlws.FILTER(_xlpm.d,_xlpm.a*_xlpm.b)))</f>
        <v>0.45</v>
      </c>
      <c r="T28" s="1">
        <f>_xlfn.LET(_xlpm.d,$H28:$S28,MAX(_xlpm.d))</f>
        <v>0.57999999999999996</v>
      </c>
    </row>
  </sheetData>
  <conditionalFormatting sqref="H2:T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8589-3A5F-894D-9477-8620D1A5FD56}">
  <dimension ref="A1:T39"/>
  <sheetViews>
    <sheetView workbookViewId="0">
      <pane xSplit="19020" ySplit="6380" topLeftCell="N1"/>
      <selection activeCell="C8" sqref="C8"/>
      <selection pane="topRight" activeCell="N1" sqref="N1"/>
      <selection pane="bottomLeft" activeCell="K22" sqref="K22"/>
      <selection pane="bottomRight" activeCell="N12" sqref="N12"/>
    </sheetView>
  </sheetViews>
  <sheetFormatPr baseColWidth="10" defaultRowHeight="27" customHeight="1"/>
  <cols>
    <col min="2" max="2" width="7.5" customWidth="1"/>
    <col min="4" max="4" width="8.375" customWidth="1"/>
    <col min="5" max="5" width="7.5" customWidth="1"/>
    <col min="6" max="6" width="7.625" customWidth="1"/>
    <col min="7" max="19" width="9" customWidth="1"/>
  </cols>
  <sheetData>
    <row r="1" spans="1:20" ht="27" customHeight="1">
      <c r="A1" t="s">
        <v>0</v>
      </c>
      <c r="B1" t="s">
        <v>23</v>
      </c>
      <c r="C1" t="s">
        <v>1</v>
      </c>
      <c r="D1" t="s">
        <v>2</v>
      </c>
      <c r="E1" t="s">
        <v>24</v>
      </c>
      <c r="F1" t="s">
        <v>3</v>
      </c>
      <c r="G1" t="s">
        <v>33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25</v>
      </c>
    </row>
    <row r="2" spans="1:20" ht="27" customHeight="1">
      <c r="A2" t="s">
        <v>16</v>
      </c>
      <c r="B2">
        <v>1</v>
      </c>
      <c r="C2" t="s">
        <v>17</v>
      </c>
      <c r="D2" t="b">
        <v>0</v>
      </c>
      <c r="E2">
        <v>1</v>
      </c>
      <c r="F2" t="s">
        <v>20</v>
      </c>
      <c r="H2" s="1">
        <v>0.88</v>
      </c>
      <c r="I2" s="1">
        <v>0.78</v>
      </c>
      <c r="J2" s="1">
        <v>0.79</v>
      </c>
      <c r="K2" s="1">
        <v>0.82</v>
      </c>
      <c r="L2" s="1">
        <v>0.8</v>
      </c>
      <c r="M2" s="1">
        <v>0.82</v>
      </c>
      <c r="N2" s="1">
        <v>0.84</v>
      </c>
      <c r="O2" s="1">
        <v>0.82</v>
      </c>
      <c r="P2" s="1">
        <v>0.8</v>
      </c>
      <c r="Q2" s="1">
        <v>0.8</v>
      </c>
      <c r="R2" s="1">
        <v>0.78</v>
      </c>
      <c r="S2" s="1">
        <v>0.79</v>
      </c>
      <c r="T2" s="1">
        <f>_xlfn.LET(_xlpm.d,$H2:$S2,MAX(_xlpm.d))</f>
        <v>0.88</v>
      </c>
    </row>
    <row r="3" spans="1:20" ht="27" customHeight="1">
      <c r="A3" t="s">
        <v>16</v>
      </c>
      <c r="B3">
        <v>1</v>
      </c>
      <c r="C3" t="s">
        <v>17</v>
      </c>
      <c r="D3" t="b">
        <v>0</v>
      </c>
      <c r="E3">
        <v>2</v>
      </c>
      <c r="F3" t="s">
        <v>18</v>
      </c>
      <c r="H3" s="1">
        <v>0.88</v>
      </c>
      <c r="I3" s="1">
        <v>0.78</v>
      </c>
      <c r="J3" s="1">
        <v>0.82</v>
      </c>
      <c r="K3" s="1">
        <v>0.85</v>
      </c>
      <c r="L3" s="1">
        <v>0.84</v>
      </c>
      <c r="M3" s="1">
        <v>0.85</v>
      </c>
      <c r="N3" s="1">
        <v>0.82</v>
      </c>
      <c r="O3" s="1">
        <v>0.83</v>
      </c>
      <c r="P3" s="1">
        <v>0.8</v>
      </c>
      <c r="Q3" s="1">
        <v>0.85</v>
      </c>
      <c r="R3" s="1">
        <v>0.84</v>
      </c>
      <c r="S3" s="1">
        <v>0.79</v>
      </c>
      <c r="T3" s="1">
        <f>_xlfn.LET(_xlpm.d,$H3:$S3,MAX(_xlpm.d))</f>
        <v>0.88</v>
      </c>
    </row>
    <row r="4" spans="1:20" ht="27" customHeight="1">
      <c r="A4" t="s">
        <v>16</v>
      </c>
      <c r="B4">
        <v>1</v>
      </c>
      <c r="C4" t="s">
        <v>17</v>
      </c>
      <c r="D4" t="b">
        <v>0</v>
      </c>
      <c r="E4">
        <v>3</v>
      </c>
      <c r="F4" t="s">
        <v>19</v>
      </c>
      <c r="H4" s="1">
        <v>0.84</v>
      </c>
      <c r="I4" s="1">
        <v>0.69</v>
      </c>
      <c r="J4" s="1">
        <v>0.77</v>
      </c>
      <c r="K4" s="1">
        <v>0.81</v>
      </c>
      <c r="L4" s="1">
        <v>0.86</v>
      </c>
      <c r="M4" s="1">
        <v>0.79</v>
      </c>
      <c r="N4" s="1">
        <v>0.83</v>
      </c>
      <c r="O4" s="1">
        <v>0.73</v>
      </c>
      <c r="P4" s="1">
        <v>0.77</v>
      </c>
      <c r="Q4" s="1">
        <v>0.78</v>
      </c>
      <c r="R4" s="1">
        <v>0.83</v>
      </c>
      <c r="S4" s="1">
        <v>0.87</v>
      </c>
      <c r="T4" s="1">
        <f>_xlfn.LET(_xlpm.d,$H4:$S4,MAX(_xlpm.d))</f>
        <v>0.87</v>
      </c>
    </row>
    <row r="5" spans="1:20" ht="27" customHeight="1">
      <c r="A5" t="s">
        <v>16</v>
      </c>
      <c r="B5">
        <v>2</v>
      </c>
      <c r="C5" t="s">
        <v>21</v>
      </c>
      <c r="D5" t="b">
        <v>0</v>
      </c>
      <c r="E5">
        <v>1</v>
      </c>
      <c r="F5" t="s">
        <v>20</v>
      </c>
      <c r="H5" s="1">
        <v>0.43</v>
      </c>
      <c r="I5" s="1">
        <v>0.37</v>
      </c>
      <c r="J5" s="1">
        <v>0.51</v>
      </c>
      <c r="K5" s="1">
        <v>0.51</v>
      </c>
      <c r="L5" s="1">
        <v>0.39</v>
      </c>
      <c r="M5" s="1">
        <v>0.43</v>
      </c>
      <c r="N5" s="1">
        <v>0.47</v>
      </c>
      <c r="O5" s="1">
        <v>0.49</v>
      </c>
      <c r="P5" s="1">
        <v>0.46</v>
      </c>
      <c r="Q5" s="1">
        <v>0.56999999999999995</v>
      </c>
      <c r="R5" s="1">
        <v>0.43</v>
      </c>
      <c r="S5" s="1">
        <v>0.45</v>
      </c>
      <c r="T5" s="1">
        <f>_xlfn.LET(_xlpm.d,$H5:$S5,MAX(_xlpm.d))</f>
        <v>0.56999999999999995</v>
      </c>
    </row>
    <row r="6" spans="1:20" ht="27" customHeight="1">
      <c r="A6" t="s">
        <v>16</v>
      </c>
      <c r="B6">
        <v>2</v>
      </c>
      <c r="C6" t="s">
        <v>21</v>
      </c>
      <c r="D6" t="b">
        <v>0</v>
      </c>
      <c r="E6">
        <v>2</v>
      </c>
      <c r="F6" t="s">
        <v>18</v>
      </c>
      <c r="H6" s="1">
        <v>0.52</v>
      </c>
      <c r="I6" s="1">
        <v>0.56000000000000005</v>
      </c>
      <c r="J6" s="1">
        <v>0.55000000000000004</v>
      </c>
      <c r="K6" s="1">
        <v>0.61</v>
      </c>
      <c r="L6" s="1">
        <v>0.57999999999999996</v>
      </c>
      <c r="M6" s="1">
        <v>0.6</v>
      </c>
      <c r="N6" s="1">
        <v>0.62</v>
      </c>
      <c r="O6" s="1">
        <v>0.62</v>
      </c>
      <c r="P6" s="1">
        <v>0.68</v>
      </c>
      <c r="Q6" s="1">
        <v>0.62</v>
      </c>
      <c r="R6" s="1">
        <v>0.56999999999999995</v>
      </c>
      <c r="S6" s="1">
        <v>0.53</v>
      </c>
      <c r="T6" s="1">
        <f>_xlfn.LET(_xlpm.d,$H6:$S6,MAX(_xlpm.d))</f>
        <v>0.68</v>
      </c>
    </row>
    <row r="7" spans="1:20" ht="27" customHeight="1">
      <c r="A7" t="s">
        <v>16</v>
      </c>
      <c r="B7">
        <v>2</v>
      </c>
      <c r="C7" t="s">
        <v>21</v>
      </c>
      <c r="D7" t="b">
        <v>0</v>
      </c>
      <c r="E7">
        <v>3</v>
      </c>
      <c r="F7" t="s">
        <v>19</v>
      </c>
      <c r="H7" s="1">
        <v>0.53</v>
      </c>
      <c r="I7" s="1">
        <v>0.53</v>
      </c>
      <c r="J7" s="1">
        <v>0.62</v>
      </c>
      <c r="K7" s="1">
        <v>0.57999999999999996</v>
      </c>
      <c r="L7" s="1">
        <v>0.56999999999999995</v>
      </c>
      <c r="M7" s="1">
        <v>0.56999999999999995</v>
      </c>
      <c r="N7" s="1">
        <v>0.61</v>
      </c>
      <c r="O7" s="1">
        <v>0.63</v>
      </c>
      <c r="P7" s="1">
        <v>0.64</v>
      </c>
      <c r="Q7" s="1">
        <v>0.64</v>
      </c>
      <c r="R7" s="1">
        <v>0.6</v>
      </c>
      <c r="S7" s="1">
        <v>0.53</v>
      </c>
      <c r="T7" s="1">
        <f>_xlfn.LET(_xlpm.d,$H7:$S7,MAX(_xlpm.d))</f>
        <v>0.64</v>
      </c>
    </row>
    <row r="8" spans="1:20" ht="27" customHeight="1">
      <c r="A8" t="s">
        <v>16</v>
      </c>
      <c r="B8">
        <v>3</v>
      </c>
      <c r="C8" t="s">
        <v>22</v>
      </c>
      <c r="D8" t="b">
        <v>0</v>
      </c>
      <c r="E8">
        <v>1</v>
      </c>
      <c r="F8" t="s">
        <v>20</v>
      </c>
      <c r="H8" s="1">
        <v>0.36</v>
      </c>
      <c r="I8" s="1">
        <v>0.42</v>
      </c>
      <c r="J8" s="1">
        <v>0.44</v>
      </c>
      <c r="K8" s="1">
        <v>0.36</v>
      </c>
      <c r="L8" s="1">
        <v>0.39</v>
      </c>
      <c r="M8" s="1">
        <v>0.3</v>
      </c>
      <c r="N8" s="1">
        <v>0.38</v>
      </c>
      <c r="O8" s="1">
        <v>0.35</v>
      </c>
      <c r="P8" s="1">
        <v>0.42</v>
      </c>
      <c r="Q8" s="1">
        <v>0.38</v>
      </c>
      <c r="R8" s="1">
        <v>0.39</v>
      </c>
      <c r="S8" s="1">
        <v>0.43</v>
      </c>
      <c r="T8" s="1">
        <f>_xlfn.LET(_xlpm.d,$H8:$S8,MAX(_xlpm.d))</f>
        <v>0.44</v>
      </c>
    </row>
    <row r="9" spans="1:20" ht="27" customHeight="1">
      <c r="A9" t="s">
        <v>16</v>
      </c>
      <c r="B9">
        <v>3</v>
      </c>
      <c r="C9" t="s">
        <v>22</v>
      </c>
      <c r="D9" t="b">
        <v>0</v>
      </c>
      <c r="E9">
        <v>2</v>
      </c>
      <c r="F9" t="s">
        <v>18</v>
      </c>
      <c r="H9" s="1">
        <v>0.35</v>
      </c>
      <c r="I9" s="1">
        <v>0.37</v>
      </c>
      <c r="J9" s="1">
        <v>0.47</v>
      </c>
      <c r="K9" s="1">
        <v>0.34</v>
      </c>
      <c r="L9" s="1">
        <v>0.44</v>
      </c>
      <c r="M9" s="1">
        <v>0.43</v>
      </c>
      <c r="N9" s="1">
        <v>0.35</v>
      </c>
      <c r="O9" s="1">
        <v>0.35</v>
      </c>
      <c r="P9" s="1">
        <v>0.35</v>
      </c>
      <c r="Q9" s="1">
        <v>0.41</v>
      </c>
      <c r="R9" s="1">
        <v>0.38</v>
      </c>
      <c r="S9" s="1">
        <v>0.48</v>
      </c>
      <c r="T9" s="1">
        <f>_xlfn.LET(_xlpm.d,$H9:$S9,MAX(_xlpm.d))</f>
        <v>0.48</v>
      </c>
    </row>
    <row r="10" spans="1:20" ht="27" customHeight="1">
      <c r="A10" t="s">
        <v>16</v>
      </c>
      <c r="B10">
        <v>3</v>
      </c>
      <c r="C10" t="s">
        <v>22</v>
      </c>
      <c r="D10" t="b">
        <v>0</v>
      </c>
      <c r="E10">
        <v>3</v>
      </c>
      <c r="F10" t="s">
        <v>19</v>
      </c>
      <c r="H10" s="1">
        <v>0.35</v>
      </c>
      <c r="I10" s="1">
        <v>0.38</v>
      </c>
      <c r="J10" s="1">
        <v>0.37</v>
      </c>
      <c r="K10" s="1">
        <v>0.39</v>
      </c>
      <c r="L10" s="1">
        <v>0.36</v>
      </c>
      <c r="M10" s="1">
        <v>0.45</v>
      </c>
      <c r="N10" s="1">
        <v>0.3</v>
      </c>
      <c r="O10" s="1">
        <v>0.3</v>
      </c>
      <c r="P10" s="1">
        <v>0.39</v>
      </c>
      <c r="Q10" s="1">
        <v>0.34</v>
      </c>
      <c r="R10" s="1">
        <v>0.36</v>
      </c>
      <c r="S10" s="1">
        <v>0.38</v>
      </c>
      <c r="T10" s="1">
        <f>_xlfn.LET(_xlpm.d,$H10:$S10,MAX(_xlpm.d))</f>
        <v>0.45</v>
      </c>
    </row>
    <row r="11" spans="1:20" ht="27" customHeight="1">
      <c r="A11" t="s">
        <v>16</v>
      </c>
      <c r="B11">
        <v>1</v>
      </c>
      <c r="C11" t="s">
        <v>17</v>
      </c>
      <c r="D11" t="b">
        <v>1</v>
      </c>
      <c r="E11">
        <v>1</v>
      </c>
      <c r="F11" t="s">
        <v>20</v>
      </c>
      <c r="H11" s="1">
        <v>0.88</v>
      </c>
      <c r="I11" s="1">
        <v>0.81</v>
      </c>
      <c r="J11" s="1">
        <v>0.81</v>
      </c>
      <c r="K11" s="1">
        <v>0.8</v>
      </c>
      <c r="L11" s="1">
        <v>0.81</v>
      </c>
      <c r="M11" s="1">
        <v>0.8</v>
      </c>
      <c r="N11" s="1">
        <v>0.85</v>
      </c>
      <c r="O11" s="1">
        <v>0.81</v>
      </c>
      <c r="P11" s="1">
        <v>0.78</v>
      </c>
      <c r="Q11" s="1">
        <v>0.82</v>
      </c>
      <c r="R11" s="1">
        <v>0.85</v>
      </c>
      <c r="S11" s="1">
        <v>0.78</v>
      </c>
      <c r="T11" s="1">
        <f>_xlfn.LET(_xlpm.d,$H11:$S11,MAX(_xlpm.d))</f>
        <v>0.88</v>
      </c>
    </row>
    <row r="12" spans="1:20" ht="27" customHeight="1">
      <c r="A12" t="s">
        <v>16</v>
      </c>
      <c r="B12">
        <v>1</v>
      </c>
      <c r="C12" t="s">
        <v>17</v>
      </c>
      <c r="D12" t="b">
        <v>1</v>
      </c>
      <c r="E12">
        <v>2</v>
      </c>
      <c r="F12" t="s">
        <v>18</v>
      </c>
      <c r="H12" s="1">
        <v>0.91</v>
      </c>
      <c r="I12" s="1">
        <v>0.88</v>
      </c>
      <c r="J12" s="1">
        <v>0.87</v>
      </c>
      <c r="K12" s="1">
        <v>0.88</v>
      </c>
      <c r="L12" s="1">
        <v>0.9</v>
      </c>
      <c r="M12" s="1">
        <v>0.85</v>
      </c>
      <c r="N12" s="1">
        <v>0.88</v>
      </c>
      <c r="O12" s="1">
        <v>0.87</v>
      </c>
      <c r="P12" s="1">
        <v>0.86</v>
      </c>
      <c r="Q12" s="1">
        <v>0.86</v>
      </c>
      <c r="R12" s="1">
        <v>0.85</v>
      </c>
      <c r="S12" s="1">
        <v>0.82</v>
      </c>
      <c r="T12" s="1">
        <f>_xlfn.LET(_xlpm.d,$H12:$S12,MAX(_xlpm.d))</f>
        <v>0.91</v>
      </c>
    </row>
    <row r="13" spans="1:20" ht="27" customHeight="1">
      <c r="A13" t="s">
        <v>16</v>
      </c>
      <c r="B13">
        <v>1</v>
      </c>
      <c r="C13" t="s">
        <v>17</v>
      </c>
      <c r="D13" t="b">
        <v>1</v>
      </c>
      <c r="E13">
        <v>3</v>
      </c>
      <c r="F13" t="s">
        <v>19</v>
      </c>
      <c r="H13" s="1">
        <v>0.88</v>
      </c>
      <c r="I13" s="1">
        <v>0.74</v>
      </c>
      <c r="J13" s="1">
        <v>0.83</v>
      </c>
      <c r="K13" s="1">
        <v>0.82</v>
      </c>
      <c r="L13" s="1">
        <v>0.82</v>
      </c>
      <c r="M13" s="1">
        <v>0.81</v>
      </c>
      <c r="N13" s="1">
        <v>0.83</v>
      </c>
      <c r="O13" s="1">
        <v>0.72</v>
      </c>
      <c r="P13" s="1">
        <v>0.81</v>
      </c>
      <c r="Q13" s="1">
        <v>0.82</v>
      </c>
      <c r="R13" s="1">
        <v>0.84</v>
      </c>
      <c r="S13" s="1">
        <v>0.82</v>
      </c>
      <c r="T13" s="1">
        <f>_xlfn.LET(_xlpm.d,$H13:$S13,MAX(_xlpm.d))</f>
        <v>0.88</v>
      </c>
    </row>
    <row r="14" spans="1:20" ht="27" customHeight="1">
      <c r="A14" t="s">
        <v>16</v>
      </c>
      <c r="B14">
        <v>2</v>
      </c>
      <c r="C14" t="s">
        <v>21</v>
      </c>
      <c r="D14" t="b">
        <v>1</v>
      </c>
      <c r="E14">
        <v>1</v>
      </c>
      <c r="F14" t="s">
        <v>20</v>
      </c>
      <c r="H14" s="1">
        <v>0.51</v>
      </c>
      <c r="I14" s="1">
        <v>0.48</v>
      </c>
      <c r="J14" s="1">
        <v>0.56999999999999995</v>
      </c>
      <c r="K14" s="1">
        <v>0.51</v>
      </c>
      <c r="L14" s="1">
        <v>0.5</v>
      </c>
      <c r="M14" s="1">
        <v>0.48</v>
      </c>
      <c r="N14" s="1">
        <v>0.51</v>
      </c>
      <c r="O14" s="1">
        <v>0.48</v>
      </c>
      <c r="P14" s="1">
        <v>0.6</v>
      </c>
      <c r="Q14" s="1">
        <v>0.56999999999999995</v>
      </c>
      <c r="R14" s="1">
        <v>0.46</v>
      </c>
      <c r="S14" s="1">
        <v>0.42</v>
      </c>
      <c r="T14" s="1">
        <f>_xlfn.LET(_xlpm.d,$H14:$S14,MAX(_xlpm.d))</f>
        <v>0.6</v>
      </c>
    </row>
    <row r="15" spans="1:20" ht="27" customHeight="1">
      <c r="A15" t="s">
        <v>16</v>
      </c>
      <c r="B15">
        <v>2</v>
      </c>
      <c r="C15" t="s">
        <v>21</v>
      </c>
      <c r="D15" t="b">
        <v>1</v>
      </c>
      <c r="E15">
        <v>2</v>
      </c>
      <c r="F15" t="s">
        <v>18</v>
      </c>
      <c r="H15" s="1">
        <v>0.54</v>
      </c>
      <c r="I15" s="1">
        <v>0.57999999999999996</v>
      </c>
      <c r="J15" s="1">
        <v>0.62</v>
      </c>
      <c r="K15" s="1">
        <v>0.63</v>
      </c>
      <c r="L15" s="1">
        <v>0.55000000000000004</v>
      </c>
      <c r="M15" s="1">
        <v>0.6</v>
      </c>
      <c r="N15" s="1">
        <v>0.7</v>
      </c>
      <c r="O15" s="1">
        <v>0.63</v>
      </c>
      <c r="P15" s="1">
        <v>0.63</v>
      </c>
      <c r="Q15" s="1">
        <v>0.71</v>
      </c>
      <c r="R15" s="1">
        <v>0.57999999999999996</v>
      </c>
      <c r="S15" s="1">
        <v>0.51</v>
      </c>
      <c r="T15" s="1">
        <f>_xlfn.LET(_xlpm.d,$H15:$S15,MAX(_xlpm.d))</f>
        <v>0.71</v>
      </c>
    </row>
    <row r="16" spans="1:20" ht="27" customHeight="1">
      <c r="A16" t="s">
        <v>16</v>
      </c>
      <c r="B16">
        <v>2</v>
      </c>
      <c r="C16" t="s">
        <v>21</v>
      </c>
      <c r="D16" t="b">
        <v>1</v>
      </c>
      <c r="E16">
        <v>3</v>
      </c>
      <c r="F16" t="s">
        <v>19</v>
      </c>
      <c r="H16" s="1">
        <v>0.55000000000000004</v>
      </c>
      <c r="I16" s="1">
        <v>0.56999999999999995</v>
      </c>
      <c r="J16" s="1">
        <v>0.68</v>
      </c>
      <c r="K16" s="1">
        <v>0.63</v>
      </c>
      <c r="L16" s="1">
        <v>0.65</v>
      </c>
      <c r="M16" s="1">
        <v>0.59</v>
      </c>
      <c r="N16" s="1">
        <v>0.62</v>
      </c>
      <c r="O16" s="1">
        <v>0.68</v>
      </c>
      <c r="P16" s="1">
        <v>0.69</v>
      </c>
      <c r="Q16" s="1">
        <v>0.64</v>
      </c>
      <c r="R16" s="1">
        <v>0.56999999999999995</v>
      </c>
      <c r="S16" s="1">
        <v>0.49</v>
      </c>
      <c r="T16" s="1">
        <f>_xlfn.LET(_xlpm.d,$H16:$S16,MAX(_xlpm.d))</f>
        <v>0.69</v>
      </c>
    </row>
    <row r="17" spans="1:20" ht="27" customHeight="1">
      <c r="A17" t="s">
        <v>16</v>
      </c>
      <c r="B17">
        <v>3</v>
      </c>
      <c r="C17" t="s">
        <v>22</v>
      </c>
      <c r="D17" t="b">
        <v>1</v>
      </c>
      <c r="E17">
        <v>1</v>
      </c>
      <c r="F17" t="s">
        <v>20</v>
      </c>
      <c r="H17" s="1">
        <v>0.45</v>
      </c>
      <c r="I17" s="1">
        <v>0.54</v>
      </c>
      <c r="J17" s="1">
        <v>0.46</v>
      </c>
      <c r="K17" s="1">
        <v>0.45</v>
      </c>
      <c r="L17" s="1">
        <v>0.43</v>
      </c>
      <c r="M17" s="1">
        <v>0.37</v>
      </c>
      <c r="N17" s="1">
        <v>0.49</v>
      </c>
      <c r="O17" s="1">
        <v>0.46</v>
      </c>
      <c r="P17" s="1">
        <v>0.36</v>
      </c>
      <c r="Q17" s="1">
        <v>0.37</v>
      </c>
      <c r="R17" s="1">
        <v>0.33</v>
      </c>
      <c r="S17" s="1">
        <v>0.42</v>
      </c>
      <c r="T17" s="1">
        <f>_xlfn.LET(_xlpm.d,$H17:$S17,MAX(_xlpm.d))</f>
        <v>0.54</v>
      </c>
    </row>
    <row r="18" spans="1:20" ht="27" customHeight="1">
      <c r="A18" t="s">
        <v>16</v>
      </c>
      <c r="B18">
        <v>3</v>
      </c>
      <c r="C18" t="s">
        <v>22</v>
      </c>
      <c r="D18" t="b">
        <v>1</v>
      </c>
      <c r="E18">
        <v>2</v>
      </c>
      <c r="F18" t="s">
        <v>18</v>
      </c>
      <c r="H18" s="1">
        <v>0.45</v>
      </c>
      <c r="I18" s="1">
        <v>0.53</v>
      </c>
      <c r="J18" s="1">
        <v>0.62</v>
      </c>
      <c r="K18" s="1">
        <v>0.49</v>
      </c>
      <c r="L18" s="1">
        <v>0.46</v>
      </c>
      <c r="M18" s="1">
        <v>0.47</v>
      </c>
      <c r="N18" s="1">
        <v>0.5</v>
      </c>
      <c r="O18" s="1">
        <v>0.42</v>
      </c>
      <c r="P18" s="1">
        <v>0.53</v>
      </c>
      <c r="Q18" s="1">
        <v>0.43</v>
      </c>
      <c r="R18" s="1">
        <v>0.45</v>
      </c>
      <c r="S18" s="1">
        <v>0.51</v>
      </c>
      <c r="T18" s="1">
        <f>_xlfn.LET(_xlpm.d,$H18:$S18,MAX(_xlpm.d))</f>
        <v>0.62</v>
      </c>
    </row>
    <row r="19" spans="1:20" ht="27" customHeight="1">
      <c r="A19" t="s">
        <v>16</v>
      </c>
      <c r="B19">
        <v>3</v>
      </c>
      <c r="C19" t="s">
        <v>22</v>
      </c>
      <c r="D19" t="b">
        <v>1</v>
      </c>
      <c r="E19">
        <v>3</v>
      </c>
      <c r="F19" t="s">
        <v>19</v>
      </c>
      <c r="H19" s="1">
        <v>0.31</v>
      </c>
      <c r="I19" s="1">
        <v>0.41</v>
      </c>
      <c r="J19" s="1">
        <v>0.39</v>
      </c>
      <c r="K19" s="1">
        <v>0.4</v>
      </c>
      <c r="L19" s="1">
        <v>0.47</v>
      </c>
      <c r="M19" s="1">
        <v>0.39</v>
      </c>
      <c r="N19" s="1">
        <v>0.37</v>
      </c>
      <c r="O19" s="1">
        <v>0.31</v>
      </c>
      <c r="P19" s="1">
        <v>0.37</v>
      </c>
      <c r="Q19" s="1">
        <v>0.38</v>
      </c>
      <c r="R19" s="1">
        <v>0.37</v>
      </c>
      <c r="S19" s="1">
        <v>0.44</v>
      </c>
      <c r="T19" s="1">
        <f>_xlfn.LET(_xlpm.d,$H19:$S19,MAX(_xlpm.d))</f>
        <v>0.47</v>
      </c>
    </row>
    <row r="22" spans="1:20" ht="68" customHeight="1">
      <c r="B22" t="s">
        <v>23</v>
      </c>
      <c r="C22" t="s">
        <v>1</v>
      </c>
      <c r="D22" t="s">
        <v>26</v>
      </c>
      <c r="E22" t="s">
        <v>24</v>
      </c>
      <c r="F22" t="s">
        <v>3</v>
      </c>
      <c r="G22" t="s">
        <v>33</v>
      </c>
      <c r="H22" s="6" t="s">
        <v>4</v>
      </c>
      <c r="I22" s="6" t="s">
        <v>5</v>
      </c>
      <c r="J22" s="6" t="s">
        <v>6</v>
      </c>
      <c r="K22" s="6" t="s">
        <v>7</v>
      </c>
      <c r="L22" s="6" t="s">
        <v>8</v>
      </c>
      <c r="M22" s="6" t="s">
        <v>9</v>
      </c>
      <c r="N22" s="6" t="s">
        <v>10</v>
      </c>
      <c r="O22" s="6" t="s">
        <v>11</v>
      </c>
      <c r="P22" s="6" t="s">
        <v>12</v>
      </c>
      <c r="Q22" s="6" t="s">
        <v>13</v>
      </c>
      <c r="R22" s="6" t="s">
        <v>14</v>
      </c>
      <c r="S22" s="6" t="s">
        <v>15</v>
      </c>
      <c r="T22" s="6" t="s">
        <v>25</v>
      </c>
    </row>
    <row r="23" spans="1:20" ht="27" customHeight="1">
      <c r="B23">
        <v>1</v>
      </c>
      <c r="C23" t="s">
        <v>17</v>
      </c>
      <c r="D23" t="b">
        <v>1</v>
      </c>
      <c r="E23">
        <v>1</v>
      </c>
      <c r="F23" t="s">
        <v>25</v>
      </c>
      <c r="H23" s="1" cm="1">
        <f t="array" ref="H23">_xlfn.LET(_xlpm.d,H$2:H$19,_xlpm.a,$C$2:$C$19=$C23,_xlpm.b,$D$2:$D$19=$D23,MAX(_xlfn._xlws.FILTER(_xlpm.d,_xlpm.a*_xlpm.b)))</f>
        <v>0.91</v>
      </c>
      <c r="I23" s="1" cm="1">
        <f t="array" ref="I23">_xlfn.LET(_xlpm.d,I$2:I$19,_xlpm.a,$C$2:$C$19=$C23,_xlpm.b,$D$2:$D$19=$D23,MAX(_xlfn._xlws.FILTER(_xlpm.d,_xlpm.a*_xlpm.b)))</f>
        <v>0.88</v>
      </c>
      <c r="J23" s="1" cm="1">
        <f t="array" ref="J23">_xlfn.LET(_xlpm.d,J$2:J$19,_xlpm.a,$C$2:$C$19=$C23,_xlpm.b,$D$2:$D$19=$D23,MAX(_xlfn._xlws.FILTER(_xlpm.d,_xlpm.a*_xlpm.b)))</f>
        <v>0.87</v>
      </c>
      <c r="K23" s="1" cm="1">
        <f t="array" ref="K23">_xlfn.LET(_xlpm.d,K$2:K$19,_xlpm.a,$C$2:$C$19=$C23,_xlpm.b,$D$2:$D$19=$D23,MAX(_xlfn._xlws.FILTER(_xlpm.d,_xlpm.a*_xlpm.b)))</f>
        <v>0.88</v>
      </c>
      <c r="L23" s="1" cm="1">
        <f t="array" ref="L23">_xlfn.LET(_xlpm.d,L$2:L$19,_xlpm.a,$C$2:$C$19=$C23,_xlpm.b,$D$2:$D$19=$D23,MAX(_xlfn._xlws.FILTER(_xlpm.d,_xlpm.a*_xlpm.b)))</f>
        <v>0.9</v>
      </c>
      <c r="M23" s="1" cm="1">
        <f t="array" ref="M23">_xlfn.LET(_xlpm.d,M$2:M$19,_xlpm.a,$C$2:$C$19=$C23,_xlpm.b,$D$2:$D$19=$D23,MAX(_xlfn._xlws.FILTER(_xlpm.d,_xlpm.a*_xlpm.b)))</f>
        <v>0.85</v>
      </c>
      <c r="N23" s="1" cm="1">
        <f t="array" ref="N23">_xlfn.LET(_xlpm.d,N$2:N$19,_xlpm.a,$C$2:$C$19=$C23,_xlpm.b,$D$2:$D$19=$D23,MAX(_xlfn._xlws.FILTER(_xlpm.d,_xlpm.a*_xlpm.b)))</f>
        <v>0.88</v>
      </c>
      <c r="O23" s="1" cm="1">
        <f t="array" ref="O23">_xlfn.LET(_xlpm.d,O$2:O$19,_xlpm.a,$C$2:$C$19=$C23,_xlpm.b,$D$2:$D$19=$D23,MAX(_xlfn._xlws.FILTER(_xlpm.d,_xlpm.a*_xlpm.b)))</f>
        <v>0.87</v>
      </c>
      <c r="P23" s="1" cm="1">
        <f t="array" ref="P23">_xlfn.LET(_xlpm.d,P$2:P$19,_xlpm.a,$C$2:$C$19=$C23,_xlpm.b,$D$2:$D$19=$D23,MAX(_xlfn._xlws.FILTER(_xlpm.d,_xlpm.a*_xlpm.b)))</f>
        <v>0.86</v>
      </c>
      <c r="Q23" s="1" cm="1">
        <f t="array" ref="Q23">_xlfn.LET(_xlpm.d,Q$2:Q$19,_xlpm.a,$C$2:$C$19=$C23,_xlpm.b,$D$2:$D$19=$D23,MAX(_xlfn._xlws.FILTER(_xlpm.d,_xlpm.a*_xlpm.b)))</f>
        <v>0.86</v>
      </c>
      <c r="R23" s="1" cm="1">
        <f t="array" ref="R23">_xlfn.LET(_xlpm.d,R$2:R$19,_xlpm.a,$C$2:$C$19=$C23,_xlpm.b,$D$2:$D$19=$D23,MAX(_xlfn._xlws.FILTER(_xlpm.d,_xlpm.a*_xlpm.b)))</f>
        <v>0.85</v>
      </c>
      <c r="S23" s="1" cm="1">
        <f t="array" ref="S23">_xlfn.LET(_xlpm.d,S$2:S$19,_xlpm.a,$C$2:$C$19=$C23,_xlpm.b,$D$2:$D$19=$D23,MAX(_xlfn._xlws.FILTER(_xlpm.d,_xlpm.a*_xlpm.b)))</f>
        <v>0.82</v>
      </c>
      <c r="T23" s="1">
        <f t="shared" ref="T23:T28" si="0">_xlfn.LET(_xlpm.d,$H23:$S23,MAX(_xlpm.d))</f>
        <v>0.91</v>
      </c>
    </row>
    <row r="24" spans="1:20" ht="27" customHeight="1">
      <c r="B24">
        <v>1</v>
      </c>
      <c r="C24" t="s">
        <v>17</v>
      </c>
      <c r="D24" t="b">
        <v>0</v>
      </c>
      <c r="E24">
        <v>1</v>
      </c>
      <c r="F24" t="s">
        <v>25</v>
      </c>
      <c r="H24" s="1" cm="1">
        <f t="array" ref="H24">_xlfn.LET(_xlpm.d,H$2:H$19,_xlpm.a,$C$2:$C$19=$C24,_xlpm.b,$D$2:$D$19=$D24,MAX(_xlfn._xlws.FILTER(_xlpm.d,_xlpm.a*_xlpm.b)))</f>
        <v>0.88</v>
      </c>
      <c r="I24" s="1" cm="1">
        <f t="array" ref="I24">_xlfn.LET(_xlpm.d,I$2:I$19,_xlpm.a,$C$2:$C$19=$C24,_xlpm.b,$D$2:$D$19=$D24,MAX(_xlfn._xlws.FILTER(_xlpm.d,_xlpm.a*_xlpm.b)))</f>
        <v>0.78</v>
      </c>
      <c r="J24" s="1" cm="1">
        <f t="array" ref="J24">_xlfn.LET(_xlpm.d,J$2:J$19,_xlpm.a,$C$2:$C$19=$C24,_xlpm.b,$D$2:$D$19=$D24,MAX(_xlfn._xlws.FILTER(_xlpm.d,_xlpm.a*_xlpm.b)))</f>
        <v>0.82</v>
      </c>
      <c r="K24" s="1" cm="1">
        <f t="array" ref="K24">_xlfn.LET(_xlpm.d,K$2:K$19,_xlpm.a,$C$2:$C$19=$C24,_xlpm.b,$D$2:$D$19=$D24,MAX(_xlfn._xlws.FILTER(_xlpm.d,_xlpm.a*_xlpm.b)))</f>
        <v>0.85</v>
      </c>
      <c r="L24" s="1" cm="1">
        <f t="array" ref="L24">_xlfn.LET(_xlpm.d,L$2:L$19,_xlpm.a,$C$2:$C$19=$C24,_xlpm.b,$D$2:$D$19=$D24,MAX(_xlfn._xlws.FILTER(_xlpm.d,_xlpm.a*_xlpm.b)))</f>
        <v>0.86</v>
      </c>
      <c r="M24" s="1" cm="1">
        <f t="array" ref="M24">_xlfn.LET(_xlpm.d,M$2:M$19,_xlpm.a,$C$2:$C$19=$C24,_xlpm.b,$D$2:$D$19=$D24,MAX(_xlfn._xlws.FILTER(_xlpm.d,_xlpm.a*_xlpm.b)))</f>
        <v>0.85</v>
      </c>
      <c r="N24" s="1" cm="1">
        <f t="array" ref="N24">_xlfn.LET(_xlpm.d,N$2:N$19,_xlpm.a,$C$2:$C$19=$C24,_xlpm.b,$D$2:$D$19=$D24,MAX(_xlfn._xlws.FILTER(_xlpm.d,_xlpm.a*_xlpm.b)))</f>
        <v>0.84</v>
      </c>
      <c r="O24" s="1" cm="1">
        <f t="array" ref="O24">_xlfn.LET(_xlpm.d,O$2:O$19,_xlpm.a,$C$2:$C$19=$C24,_xlpm.b,$D$2:$D$19=$D24,MAX(_xlfn._xlws.FILTER(_xlpm.d,_xlpm.a*_xlpm.b)))</f>
        <v>0.83</v>
      </c>
      <c r="P24" s="1" cm="1">
        <f t="array" ref="P24">_xlfn.LET(_xlpm.d,P$2:P$19,_xlpm.a,$C$2:$C$19=$C24,_xlpm.b,$D$2:$D$19=$D24,MAX(_xlfn._xlws.FILTER(_xlpm.d,_xlpm.a*_xlpm.b)))</f>
        <v>0.8</v>
      </c>
      <c r="Q24" s="1" cm="1">
        <f t="array" ref="Q24">_xlfn.LET(_xlpm.d,Q$2:Q$19,_xlpm.a,$C$2:$C$19=$C24,_xlpm.b,$D$2:$D$19=$D24,MAX(_xlfn._xlws.FILTER(_xlpm.d,_xlpm.a*_xlpm.b)))</f>
        <v>0.85</v>
      </c>
      <c r="R24" s="1" cm="1">
        <f t="array" ref="R24">_xlfn.LET(_xlpm.d,R$2:R$19,_xlpm.a,$C$2:$C$19=$C24,_xlpm.b,$D$2:$D$19=$D24,MAX(_xlfn._xlws.FILTER(_xlpm.d,_xlpm.a*_xlpm.b)))</f>
        <v>0.84</v>
      </c>
      <c r="S24" s="1" cm="1">
        <f t="array" ref="S24">_xlfn.LET(_xlpm.d,S$2:S$19,_xlpm.a,$C$2:$C$19=$C24,_xlpm.b,$D$2:$D$19=$D24,MAX(_xlfn._xlws.FILTER(_xlpm.d,_xlpm.a*_xlpm.b)))</f>
        <v>0.87</v>
      </c>
      <c r="T24" s="1">
        <f t="shared" si="0"/>
        <v>0.88</v>
      </c>
    </row>
    <row r="25" spans="1:20" ht="27" customHeight="1">
      <c r="B25">
        <v>2</v>
      </c>
      <c r="C25" t="s">
        <v>21</v>
      </c>
      <c r="D25" t="b">
        <v>1</v>
      </c>
      <c r="E25">
        <v>1</v>
      </c>
      <c r="F25" t="s">
        <v>25</v>
      </c>
      <c r="H25" s="1" cm="1">
        <f t="array" ref="H25">_xlfn.LET(_xlpm.d,H$2:H$19,_xlpm.a,$C$2:$C$19=$C25,_xlpm.b,$D$2:$D$19=$D25,MAX(_xlfn._xlws.FILTER(_xlpm.d,_xlpm.a*_xlpm.b)))</f>
        <v>0.55000000000000004</v>
      </c>
      <c r="I25" s="1" cm="1">
        <f t="array" ref="I25">_xlfn.LET(_xlpm.d,I$2:I$19,_xlpm.a,$C$2:$C$19=$C25,_xlpm.b,$D$2:$D$19=$D25,MAX(_xlfn._xlws.FILTER(_xlpm.d,_xlpm.a*_xlpm.b)))</f>
        <v>0.57999999999999996</v>
      </c>
      <c r="J25" s="1" cm="1">
        <f t="array" ref="J25">_xlfn.LET(_xlpm.d,J$2:J$19,_xlpm.a,$C$2:$C$19=$C25,_xlpm.b,$D$2:$D$19=$D25,MAX(_xlfn._xlws.FILTER(_xlpm.d,_xlpm.a*_xlpm.b)))</f>
        <v>0.68</v>
      </c>
      <c r="K25" s="1" cm="1">
        <f t="array" ref="K25">_xlfn.LET(_xlpm.d,K$2:K$19,_xlpm.a,$C$2:$C$19=$C25,_xlpm.b,$D$2:$D$19=$D25,MAX(_xlfn._xlws.FILTER(_xlpm.d,_xlpm.a*_xlpm.b)))</f>
        <v>0.63</v>
      </c>
      <c r="L25" s="1" cm="1">
        <f t="array" ref="L25">_xlfn.LET(_xlpm.d,L$2:L$19,_xlpm.a,$C$2:$C$19=$C25,_xlpm.b,$D$2:$D$19=$D25,MAX(_xlfn._xlws.FILTER(_xlpm.d,_xlpm.a*_xlpm.b)))</f>
        <v>0.65</v>
      </c>
      <c r="M25" s="1" cm="1">
        <f t="array" ref="M25">_xlfn.LET(_xlpm.d,M$2:M$19,_xlpm.a,$C$2:$C$19=$C25,_xlpm.b,$D$2:$D$19=$D25,MAX(_xlfn._xlws.FILTER(_xlpm.d,_xlpm.a*_xlpm.b)))</f>
        <v>0.6</v>
      </c>
      <c r="N25" s="1" cm="1">
        <f t="array" ref="N25">_xlfn.LET(_xlpm.d,N$2:N$19,_xlpm.a,$C$2:$C$19=$C25,_xlpm.b,$D$2:$D$19=$D25,MAX(_xlfn._xlws.FILTER(_xlpm.d,_xlpm.a*_xlpm.b)))</f>
        <v>0.7</v>
      </c>
      <c r="O25" s="1" cm="1">
        <f t="array" ref="O25">_xlfn.LET(_xlpm.d,O$2:O$19,_xlpm.a,$C$2:$C$19=$C25,_xlpm.b,$D$2:$D$19=$D25,MAX(_xlfn._xlws.FILTER(_xlpm.d,_xlpm.a*_xlpm.b)))</f>
        <v>0.68</v>
      </c>
      <c r="P25" s="1" cm="1">
        <f t="array" ref="P25">_xlfn.LET(_xlpm.d,P$2:P$19,_xlpm.a,$C$2:$C$19=$C25,_xlpm.b,$D$2:$D$19=$D25,MAX(_xlfn._xlws.FILTER(_xlpm.d,_xlpm.a*_xlpm.b)))</f>
        <v>0.69</v>
      </c>
      <c r="Q25" s="1" cm="1">
        <f t="array" ref="Q25">_xlfn.LET(_xlpm.d,Q$2:Q$19,_xlpm.a,$C$2:$C$19=$C25,_xlpm.b,$D$2:$D$19=$D25,MAX(_xlfn._xlws.FILTER(_xlpm.d,_xlpm.a*_xlpm.b)))</f>
        <v>0.71</v>
      </c>
      <c r="R25" s="1" cm="1">
        <f t="array" ref="R25">_xlfn.LET(_xlpm.d,R$2:R$19,_xlpm.a,$C$2:$C$19=$C25,_xlpm.b,$D$2:$D$19=$D25,MAX(_xlfn._xlws.FILTER(_xlpm.d,_xlpm.a*_xlpm.b)))</f>
        <v>0.57999999999999996</v>
      </c>
      <c r="S25" s="1" cm="1">
        <f t="array" ref="S25">_xlfn.LET(_xlpm.d,S$2:S$19,_xlpm.a,$C$2:$C$19=$C25,_xlpm.b,$D$2:$D$19=$D25,MAX(_xlfn._xlws.FILTER(_xlpm.d,_xlpm.a*_xlpm.b)))</f>
        <v>0.51</v>
      </c>
      <c r="T25" s="1">
        <f t="shared" si="0"/>
        <v>0.71</v>
      </c>
    </row>
    <row r="26" spans="1:20" ht="27" customHeight="1">
      <c r="B26">
        <v>2</v>
      </c>
      <c r="C26" t="s">
        <v>21</v>
      </c>
      <c r="D26" t="b">
        <v>0</v>
      </c>
      <c r="E26">
        <v>1</v>
      </c>
      <c r="F26" t="s">
        <v>25</v>
      </c>
      <c r="H26" s="1" cm="1">
        <f t="array" ref="H26">_xlfn.LET(_xlpm.d,H$2:H$19,_xlpm.a,$C$2:$C$19=$C26,_xlpm.b,$D$2:$D$19=$D26,MAX(_xlfn._xlws.FILTER(_xlpm.d,_xlpm.a*_xlpm.b)))</f>
        <v>0.53</v>
      </c>
      <c r="I26" s="1" cm="1">
        <f t="array" ref="I26">_xlfn.LET(_xlpm.d,I$2:I$19,_xlpm.a,$C$2:$C$19=$C26,_xlpm.b,$D$2:$D$19=$D26,MAX(_xlfn._xlws.FILTER(_xlpm.d,_xlpm.a*_xlpm.b)))</f>
        <v>0.56000000000000005</v>
      </c>
      <c r="J26" s="1" cm="1">
        <f t="array" ref="J26">_xlfn.LET(_xlpm.d,J$2:J$19,_xlpm.a,$C$2:$C$19=$C26,_xlpm.b,$D$2:$D$19=$D26,MAX(_xlfn._xlws.FILTER(_xlpm.d,_xlpm.a*_xlpm.b)))</f>
        <v>0.62</v>
      </c>
      <c r="K26" s="1" cm="1">
        <f t="array" ref="K26">_xlfn.LET(_xlpm.d,K$2:K$19,_xlpm.a,$C$2:$C$19=$C26,_xlpm.b,$D$2:$D$19=$D26,MAX(_xlfn._xlws.FILTER(_xlpm.d,_xlpm.a*_xlpm.b)))</f>
        <v>0.61</v>
      </c>
      <c r="L26" s="1" cm="1">
        <f t="array" ref="L26">_xlfn.LET(_xlpm.d,L$2:L$19,_xlpm.a,$C$2:$C$19=$C26,_xlpm.b,$D$2:$D$19=$D26,MAX(_xlfn._xlws.FILTER(_xlpm.d,_xlpm.a*_xlpm.b)))</f>
        <v>0.57999999999999996</v>
      </c>
      <c r="M26" s="1" cm="1">
        <f t="array" ref="M26">_xlfn.LET(_xlpm.d,M$2:M$19,_xlpm.a,$C$2:$C$19=$C26,_xlpm.b,$D$2:$D$19=$D26,MAX(_xlfn._xlws.FILTER(_xlpm.d,_xlpm.a*_xlpm.b)))</f>
        <v>0.6</v>
      </c>
      <c r="N26" s="1" cm="1">
        <f t="array" ref="N26">_xlfn.LET(_xlpm.d,N$2:N$19,_xlpm.a,$C$2:$C$19=$C26,_xlpm.b,$D$2:$D$19=$D26,MAX(_xlfn._xlws.FILTER(_xlpm.d,_xlpm.a*_xlpm.b)))</f>
        <v>0.62</v>
      </c>
      <c r="O26" s="1" cm="1">
        <f t="array" ref="O26">_xlfn.LET(_xlpm.d,O$2:O$19,_xlpm.a,$C$2:$C$19=$C26,_xlpm.b,$D$2:$D$19=$D26,MAX(_xlfn._xlws.FILTER(_xlpm.d,_xlpm.a*_xlpm.b)))</f>
        <v>0.63</v>
      </c>
      <c r="P26" s="1" cm="1">
        <f t="array" ref="P26">_xlfn.LET(_xlpm.d,P$2:P$19,_xlpm.a,$C$2:$C$19=$C26,_xlpm.b,$D$2:$D$19=$D26,MAX(_xlfn._xlws.FILTER(_xlpm.d,_xlpm.a*_xlpm.b)))</f>
        <v>0.68</v>
      </c>
      <c r="Q26" s="1" cm="1">
        <f t="array" ref="Q26">_xlfn.LET(_xlpm.d,Q$2:Q$19,_xlpm.a,$C$2:$C$19=$C26,_xlpm.b,$D$2:$D$19=$D26,MAX(_xlfn._xlws.FILTER(_xlpm.d,_xlpm.a*_xlpm.b)))</f>
        <v>0.64</v>
      </c>
      <c r="R26" s="1" cm="1">
        <f t="array" ref="R26">_xlfn.LET(_xlpm.d,R$2:R$19,_xlpm.a,$C$2:$C$19=$C26,_xlpm.b,$D$2:$D$19=$D26,MAX(_xlfn._xlws.FILTER(_xlpm.d,_xlpm.a*_xlpm.b)))</f>
        <v>0.6</v>
      </c>
      <c r="S26" s="1" cm="1">
        <f t="array" ref="S26">_xlfn.LET(_xlpm.d,S$2:S$19,_xlpm.a,$C$2:$C$19=$C26,_xlpm.b,$D$2:$D$19=$D26,MAX(_xlfn._xlws.FILTER(_xlpm.d,_xlpm.a*_xlpm.b)))</f>
        <v>0.53</v>
      </c>
      <c r="T26" s="1">
        <f t="shared" si="0"/>
        <v>0.68</v>
      </c>
    </row>
    <row r="27" spans="1:20" ht="27" customHeight="1">
      <c r="B27">
        <v>3</v>
      </c>
      <c r="C27" t="s">
        <v>22</v>
      </c>
      <c r="D27" t="b">
        <v>1</v>
      </c>
      <c r="E27">
        <v>1</v>
      </c>
      <c r="F27" t="s">
        <v>25</v>
      </c>
      <c r="H27" s="1" cm="1">
        <f t="array" ref="H27">_xlfn.LET(_xlpm.d,H$2:H$19,_xlpm.a,$C$2:$C$19=$C27,_xlpm.b,$D$2:$D$19=$D27,MAX(_xlfn._xlws.FILTER(_xlpm.d,_xlpm.a*_xlpm.b)))</f>
        <v>0.45</v>
      </c>
      <c r="I27" s="1" cm="1">
        <f t="array" ref="I27">_xlfn.LET(_xlpm.d,I$2:I$19,_xlpm.a,$C$2:$C$19=$C27,_xlpm.b,$D$2:$D$19=$D27,MAX(_xlfn._xlws.FILTER(_xlpm.d,_xlpm.a*_xlpm.b)))</f>
        <v>0.54</v>
      </c>
      <c r="J27" s="1" cm="1">
        <f t="array" ref="J27">_xlfn.LET(_xlpm.d,J$2:J$19,_xlpm.a,$C$2:$C$19=$C27,_xlpm.b,$D$2:$D$19=$D27,MAX(_xlfn._xlws.FILTER(_xlpm.d,_xlpm.a*_xlpm.b)))</f>
        <v>0.62</v>
      </c>
      <c r="K27" s="1" cm="1">
        <f t="array" ref="K27">_xlfn.LET(_xlpm.d,K$2:K$19,_xlpm.a,$C$2:$C$19=$C27,_xlpm.b,$D$2:$D$19=$D27,MAX(_xlfn._xlws.FILTER(_xlpm.d,_xlpm.a*_xlpm.b)))</f>
        <v>0.49</v>
      </c>
      <c r="L27" s="1" cm="1">
        <f t="array" ref="L27">_xlfn.LET(_xlpm.d,L$2:L$19,_xlpm.a,$C$2:$C$19=$C27,_xlpm.b,$D$2:$D$19=$D27,MAX(_xlfn._xlws.FILTER(_xlpm.d,_xlpm.a*_xlpm.b)))</f>
        <v>0.47</v>
      </c>
      <c r="M27" s="1" cm="1">
        <f t="array" ref="M27">_xlfn.LET(_xlpm.d,M$2:M$19,_xlpm.a,$C$2:$C$19=$C27,_xlpm.b,$D$2:$D$19=$D27,MAX(_xlfn._xlws.FILTER(_xlpm.d,_xlpm.a*_xlpm.b)))</f>
        <v>0.47</v>
      </c>
      <c r="N27" s="1" cm="1">
        <f t="array" ref="N27">_xlfn.LET(_xlpm.d,N$2:N$19,_xlpm.a,$C$2:$C$19=$C27,_xlpm.b,$D$2:$D$19=$D27,MAX(_xlfn._xlws.FILTER(_xlpm.d,_xlpm.a*_xlpm.b)))</f>
        <v>0.5</v>
      </c>
      <c r="O27" s="1" cm="1">
        <f t="array" ref="O27">_xlfn.LET(_xlpm.d,O$2:O$19,_xlpm.a,$C$2:$C$19=$C27,_xlpm.b,$D$2:$D$19=$D27,MAX(_xlfn._xlws.FILTER(_xlpm.d,_xlpm.a*_xlpm.b)))</f>
        <v>0.46</v>
      </c>
      <c r="P27" s="1" cm="1">
        <f t="array" ref="P27">_xlfn.LET(_xlpm.d,P$2:P$19,_xlpm.a,$C$2:$C$19=$C27,_xlpm.b,$D$2:$D$19=$D27,MAX(_xlfn._xlws.FILTER(_xlpm.d,_xlpm.a*_xlpm.b)))</f>
        <v>0.53</v>
      </c>
      <c r="Q27" s="1" cm="1">
        <f t="array" ref="Q27">_xlfn.LET(_xlpm.d,Q$2:Q$19,_xlpm.a,$C$2:$C$19=$C27,_xlpm.b,$D$2:$D$19=$D27,MAX(_xlfn._xlws.FILTER(_xlpm.d,_xlpm.a*_xlpm.b)))</f>
        <v>0.43</v>
      </c>
      <c r="R27" s="1" cm="1">
        <f t="array" ref="R27">_xlfn.LET(_xlpm.d,R$2:R$19,_xlpm.a,$C$2:$C$19=$C27,_xlpm.b,$D$2:$D$19=$D27,MAX(_xlfn._xlws.FILTER(_xlpm.d,_xlpm.a*_xlpm.b)))</f>
        <v>0.45</v>
      </c>
      <c r="S27" s="1" cm="1">
        <f t="array" ref="S27">_xlfn.LET(_xlpm.d,S$2:S$19,_xlpm.a,$C$2:$C$19=$C27,_xlpm.b,$D$2:$D$19=$D27,MAX(_xlfn._xlws.FILTER(_xlpm.d,_xlpm.a*_xlpm.b)))</f>
        <v>0.51</v>
      </c>
      <c r="T27" s="1">
        <f t="shared" si="0"/>
        <v>0.62</v>
      </c>
    </row>
    <row r="28" spans="1:20" ht="27" customHeight="1">
      <c r="B28">
        <v>3</v>
      </c>
      <c r="C28" t="s">
        <v>22</v>
      </c>
      <c r="D28" t="b">
        <v>0</v>
      </c>
      <c r="E28">
        <v>1</v>
      </c>
      <c r="F28" t="s">
        <v>25</v>
      </c>
      <c r="H28" s="1" cm="1">
        <f t="array" ref="H28">_xlfn.LET(_xlpm.d,H$2:H$19,_xlpm.a,$C$2:$C$19=$C28,_xlpm.b,$D$2:$D$19=$D28,MAX(_xlfn._xlws.FILTER(_xlpm.d,_xlpm.a*_xlpm.b)))</f>
        <v>0.36</v>
      </c>
      <c r="I28" s="1" cm="1">
        <f t="array" ref="I28">_xlfn.LET(_xlpm.d,I$2:I$19,_xlpm.a,$C$2:$C$19=$C28,_xlpm.b,$D$2:$D$19=$D28,MAX(_xlfn._xlws.FILTER(_xlpm.d,_xlpm.a*_xlpm.b)))</f>
        <v>0.42</v>
      </c>
      <c r="J28" s="1" cm="1">
        <f t="array" ref="J28">_xlfn.LET(_xlpm.d,J$2:J$19,_xlpm.a,$C$2:$C$19=$C28,_xlpm.b,$D$2:$D$19=$D28,MAX(_xlfn._xlws.FILTER(_xlpm.d,_xlpm.a*_xlpm.b)))</f>
        <v>0.47</v>
      </c>
      <c r="K28" s="1" cm="1">
        <f t="array" ref="K28">_xlfn.LET(_xlpm.d,K$2:K$19,_xlpm.a,$C$2:$C$19=$C28,_xlpm.b,$D$2:$D$19=$D28,MAX(_xlfn._xlws.FILTER(_xlpm.d,_xlpm.a*_xlpm.b)))</f>
        <v>0.39</v>
      </c>
      <c r="L28" s="1" cm="1">
        <f t="array" ref="L28">_xlfn.LET(_xlpm.d,L$2:L$19,_xlpm.a,$C$2:$C$19=$C28,_xlpm.b,$D$2:$D$19=$D28,MAX(_xlfn._xlws.FILTER(_xlpm.d,_xlpm.a*_xlpm.b)))</f>
        <v>0.44</v>
      </c>
      <c r="M28" s="1" cm="1">
        <f t="array" ref="M28">_xlfn.LET(_xlpm.d,M$2:M$19,_xlpm.a,$C$2:$C$19=$C28,_xlpm.b,$D$2:$D$19=$D28,MAX(_xlfn._xlws.FILTER(_xlpm.d,_xlpm.a*_xlpm.b)))</f>
        <v>0.45</v>
      </c>
      <c r="N28" s="1" cm="1">
        <f t="array" ref="N28">_xlfn.LET(_xlpm.d,N$2:N$19,_xlpm.a,$C$2:$C$19=$C28,_xlpm.b,$D$2:$D$19=$D28,MAX(_xlfn._xlws.FILTER(_xlpm.d,_xlpm.a*_xlpm.b)))</f>
        <v>0.38</v>
      </c>
      <c r="O28" s="1" cm="1">
        <f t="array" ref="O28">_xlfn.LET(_xlpm.d,O$2:O$19,_xlpm.a,$C$2:$C$19=$C28,_xlpm.b,$D$2:$D$19=$D28,MAX(_xlfn._xlws.FILTER(_xlpm.d,_xlpm.a*_xlpm.b)))</f>
        <v>0.35</v>
      </c>
      <c r="P28" s="1" cm="1">
        <f t="array" ref="P28">_xlfn.LET(_xlpm.d,P$2:P$19,_xlpm.a,$C$2:$C$19=$C28,_xlpm.b,$D$2:$D$19=$D28,MAX(_xlfn._xlws.FILTER(_xlpm.d,_xlpm.a*_xlpm.b)))</f>
        <v>0.42</v>
      </c>
      <c r="Q28" s="1" cm="1">
        <f t="array" ref="Q28">_xlfn.LET(_xlpm.d,Q$2:Q$19,_xlpm.a,$C$2:$C$19=$C28,_xlpm.b,$D$2:$D$19=$D28,MAX(_xlfn._xlws.FILTER(_xlpm.d,_xlpm.a*_xlpm.b)))</f>
        <v>0.41</v>
      </c>
      <c r="R28" s="1" cm="1">
        <f t="array" ref="R28">_xlfn.LET(_xlpm.d,R$2:R$19,_xlpm.a,$C$2:$C$19=$C28,_xlpm.b,$D$2:$D$19=$D28,MAX(_xlfn._xlws.FILTER(_xlpm.d,_xlpm.a*_xlpm.b)))</f>
        <v>0.39</v>
      </c>
      <c r="S28" s="1" cm="1">
        <f t="array" ref="S28">_xlfn.LET(_xlpm.d,S$2:S$19,_xlpm.a,$C$2:$C$19=$C28,_xlpm.b,$D$2:$D$19=$D28,MAX(_xlfn._xlws.FILTER(_xlpm.d,_xlpm.a*_xlpm.b)))</f>
        <v>0.48</v>
      </c>
      <c r="T28" s="1">
        <f t="shared" si="0"/>
        <v>0.48</v>
      </c>
    </row>
    <row r="29" spans="1:20" ht="27" customHeight="1"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20" ht="27" customHeight="1"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20" ht="27" customHeight="1"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20" ht="27" customHeight="1"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6:17" ht="27" customHeight="1"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6:17" ht="27" customHeight="1"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6:17" ht="27" customHeight="1"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6:17" ht="27" customHeight="1"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6:17" ht="27" customHeight="1"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6:17" ht="27" customHeight="1"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6:17" ht="27" customHeight="1"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</sheetData>
  <conditionalFormatting sqref="H2:T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9814-BE79-C148-BD01-119D89E30359}">
  <dimension ref="A1:T28"/>
  <sheetViews>
    <sheetView workbookViewId="0"/>
  </sheetViews>
  <sheetFormatPr baseColWidth="10" defaultRowHeight="25" customHeight="1"/>
  <cols>
    <col min="2" max="2" width="8.125" customWidth="1"/>
    <col min="3" max="3" width="10.375" customWidth="1"/>
    <col min="4" max="5" width="9.5" customWidth="1"/>
    <col min="6" max="6" width="8.25" customWidth="1"/>
    <col min="7" max="7" width="13.5" customWidth="1"/>
    <col min="8" max="19" width="7" customWidth="1"/>
    <col min="20" max="20" width="7.125" customWidth="1"/>
  </cols>
  <sheetData>
    <row r="1" spans="1:20" ht="25" customHeight="1">
      <c r="A1" t="s">
        <v>0</v>
      </c>
      <c r="B1" t="s">
        <v>23</v>
      </c>
      <c r="C1" t="s">
        <v>1</v>
      </c>
      <c r="D1" t="s">
        <v>2</v>
      </c>
      <c r="E1" t="s">
        <v>24</v>
      </c>
      <c r="F1" t="s">
        <v>3</v>
      </c>
      <c r="G1" t="s">
        <v>33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25</v>
      </c>
    </row>
    <row r="2" spans="1:20" ht="25" customHeight="1">
      <c r="A2" t="s">
        <v>16</v>
      </c>
      <c r="B2">
        <v>1</v>
      </c>
      <c r="C2" t="s">
        <v>17</v>
      </c>
      <c r="D2" t="b">
        <v>0</v>
      </c>
      <c r="E2">
        <v>1</v>
      </c>
      <c r="F2" t="s">
        <v>20</v>
      </c>
      <c r="H2" s="1">
        <v>0.8</v>
      </c>
      <c r="I2" s="1">
        <v>0.8</v>
      </c>
      <c r="J2" s="1">
        <v>0.83</v>
      </c>
      <c r="K2" s="1">
        <v>0.82</v>
      </c>
      <c r="L2" s="1">
        <v>0.78</v>
      </c>
      <c r="M2" s="1">
        <v>0.84</v>
      </c>
      <c r="N2" s="1">
        <v>0.81</v>
      </c>
      <c r="O2" s="1">
        <v>0.75</v>
      </c>
      <c r="P2" s="1">
        <v>0.85</v>
      </c>
      <c r="Q2" s="1">
        <v>0.74</v>
      </c>
      <c r="R2" s="1">
        <v>0.7</v>
      </c>
      <c r="S2" s="1">
        <v>0.78</v>
      </c>
      <c r="T2" s="1">
        <f>MAX($H2:$S2)</f>
        <v>0.85</v>
      </c>
    </row>
    <row r="3" spans="1:20" ht="25" customHeight="1">
      <c r="A3" t="s">
        <v>16</v>
      </c>
      <c r="B3">
        <v>1</v>
      </c>
      <c r="C3" t="s">
        <v>17</v>
      </c>
      <c r="D3" t="b">
        <v>0</v>
      </c>
      <c r="E3">
        <v>2</v>
      </c>
      <c r="F3" t="s">
        <v>18</v>
      </c>
      <c r="H3" s="1">
        <v>0.78</v>
      </c>
      <c r="I3" s="1">
        <v>0.84</v>
      </c>
      <c r="J3" s="1">
        <v>0.79</v>
      </c>
      <c r="K3" s="1">
        <v>0.87</v>
      </c>
      <c r="L3" s="1">
        <v>0.82</v>
      </c>
      <c r="M3" s="1">
        <v>0.84</v>
      </c>
      <c r="N3" s="1">
        <v>0.82</v>
      </c>
      <c r="O3" s="1">
        <v>0.78</v>
      </c>
      <c r="P3" s="1">
        <v>0.83</v>
      </c>
      <c r="Q3" s="1">
        <v>0.81</v>
      </c>
      <c r="R3" s="1">
        <v>0.8</v>
      </c>
      <c r="S3" s="1">
        <v>0.81</v>
      </c>
      <c r="T3" s="1">
        <f>MAX($H3:$S3)</f>
        <v>0.87</v>
      </c>
    </row>
    <row r="4" spans="1:20" ht="25" customHeight="1">
      <c r="A4" t="s">
        <v>16</v>
      </c>
      <c r="B4">
        <v>1</v>
      </c>
      <c r="C4" t="s">
        <v>17</v>
      </c>
      <c r="D4" t="b">
        <v>0</v>
      </c>
      <c r="E4">
        <v>3</v>
      </c>
      <c r="F4" t="s">
        <v>19</v>
      </c>
      <c r="H4" s="1">
        <v>0.72</v>
      </c>
      <c r="I4" s="1">
        <v>0.78</v>
      </c>
      <c r="J4" s="1">
        <v>0.79</v>
      </c>
      <c r="K4" s="1">
        <v>0.82</v>
      </c>
      <c r="L4" s="1">
        <v>0.82</v>
      </c>
      <c r="M4" s="1">
        <v>0.79</v>
      </c>
      <c r="N4" s="1">
        <v>0.79</v>
      </c>
      <c r="O4" s="1">
        <v>0.82</v>
      </c>
      <c r="P4" s="1">
        <v>0.84</v>
      </c>
      <c r="Q4" s="1">
        <v>0.78</v>
      </c>
      <c r="R4" s="1">
        <v>0.78</v>
      </c>
      <c r="S4" s="1">
        <v>0.8</v>
      </c>
      <c r="T4" s="1">
        <f>MAX($H4:$S4)</f>
        <v>0.84</v>
      </c>
    </row>
    <row r="5" spans="1:20" ht="25" customHeight="1">
      <c r="A5" t="s">
        <v>16</v>
      </c>
      <c r="B5">
        <v>1</v>
      </c>
      <c r="C5" t="s">
        <v>17</v>
      </c>
      <c r="D5" t="b">
        <v>1</v>
      </c>
      <c r="E5">
        <v>1</v>
      </c>
      <c r="F5" t="s">
        <v>20</v>
      </c>
      <c r="H5" s="1">
        <v>0.82</v>
      </c>
      <c r="I5" s="1">
        <v>0.86</v>
      </c>
      <c r="J5" s="1">
        <v>0.9</v>
      </c>
      <c r="K5" s="1">
        <v>0.81</v>
      </c>
      <c r="L5" s="1">
        <v>0.82</v>
      </c>
      <c r="M5" s="1">
        <v>0.76</v>
      </c>
      <c r="N5" s="1">
        <v>0.79</v>
      </c>
      <c r="O5" s="1">
        <v>0.81</v>
      </c>
      <c r="P5" s="1">
        <v>0.82</v>
      </c>
      <c r="Q5" s="1">
        <v>0.85</v>
      </c>
      <c r="R5" s="1">
        <v>0.78</v>
      </c>
      <c r="S5" s="1">
        <v>0.78</v>
      </c>
      <c r="T5" s="1">
        <f>MAX($H5:$S5)</f>
        <v>0.9</v>
      </c>
    </row>
    <row r="6" spans="1:20" ht="25" customHeight="1">
      <c r="A6" t="s">
        <v>16</v>
      </c>
      <c r="B6">
        <v>1</v>
      </c>
      <c r="C6" t="s">
        <v>17</v>
      </c>
      <c r="D6" t="b">
        <v>1</v>
      </c>
      <c r="E6">
        <v>2</v>
      </c>
      <c r="F6" t="s">
        <v>18</v>
      </c>
      <c r="H6" s="1">
        <v>0.84</v>
      </c>
      <c r="I6" s="1">
        <v>0.84</v>
      </c>
      <c r="J6" s="1">
        <v>0.83</v>
      </c>
      <c r="K6" s="1">
        <v>0.9</v>
      </c>
      <c r="L6" s="1">
        <v>0.84</v>
      </c>
      <c r="M6" s="1">
        <v>0.87</v>
      </c>
      <c r="N6" s="1">
        <v>0.88</v>
      </c>
      <c r="O6" s="1">
        <v>0.88</v>
      </c>
      <c r="P6" s="1">
        <v>0.93</v>
      </c>
      <c r="Q6" s="1">
        <v>0.82</v>
      </c>
      <c r="R6" s="1">
        <v>0.85</v>
      </c>
      <c r="S6" s="1">
        <v>0.82</v>
      </c>
      <c r="T6" s="1">
        <f>MAX($H6:$S6)</f>
        <v>0.93</v>
      </c>
    </row>
    <row r="7" spans="1:20" ht="25" customHeight="1">
      <c r="A7" t="s">
        <v>16</v>
      </c>
      <c r="B7">
        <v>1</v>
      </c>
      <c r="C7" t="s">
        <v>17</v>
      </c>
      <c r="D7" t="b">
        <v>1</v>
      </c>
      <c r="E7">
        <v>3</v>
      </c>
      <c r="F7" t="s">
        <v>19</v>
      </c>
      <c r="H7" s="1">
        <v>0.81</v>
      </c>
      <c r="I7" s="1">
        <v>0.82</v>
      </c>
      <c r="J7" s="1">
        <v>0.83</v>
      </c>
      <c r="K7" s="1">
        <v>0.85</v>
      </c>
      <c r="L7" s="1">
        <v>0.79</v>
      </c>
      <c r="M7" s="1">
        <v>0.85</v>
      </c>
      <c r="N7" s="1">
        <v>0.85</v>
      </c>
      <c r="O7" s="1">
        <v>0.88</v>
      </c>
      <c r="P7" s="1">
        <v>0.82</v>
      </c>
      <c r="Q7" s="1">
        <v>0.82</v>
      </c>
      <c r="R7" s="1">
        <v>0.83</v>
      </c>
      <c r="S7" s="1">
        <v>0.76</v>
      </c>
      <c r="T7" s="1">
        <f>MAX($H7:$S7)</f>
        <v>0.88</v>
      </c>
    </row>
    <row r="8" spans="1:20" ht="25" customHeight="1">
      <c r="A8" t="s">
        <v>16</v>
      </c>
      <c r="B8">
        <v>2</v>
      </c>
      <c r="C8" t="s">
        <v>37</v>
      </c>
      <c r="D8" t="b">
        <v>0</v>
      </c>
      <c r="E8">
        <v>1</v>
      </c>
      <c r="F8" t="s">
        <v>20</v>
      </c>
      <c r="H8" s="1">
        <v>0.53</v>
      </c>
      <c r="I8" s="1">
        <v>0.56000000000000005</v>
      </c>
      <c r="J8" s="1">
        <v>0.69</v>
      </c>
      <c r="K8" s="1">
        <v>0.59</v>
      </c>
      <c r="L8" s="1">
        <v>0.53</v>
      </c>
      <c r="M8" s="1">
        <v>0.56999999999999995</v>
      </c>
      <c r="N8" s="1">
        <v>0.56999999999999995</v>
      </c>
      <c r="O8" s="1">
        <v>0.59</v>
      </c>
      <c r="P8" s="1">
        <v>0.56999999999999995</v>
      </c>
      <c r="Q8" s="1">
        <v>0.56999999999999995</v>
      </c>
      <c r="R8" s="1">
        <v>0.53</v>
      </c>
      <c r="S8" s="1">
        <v>0.56999999999999995</v>
      </c>
      <c r="T8" s="1">
        <f>MAX($H8:$S8)</f>
        <v>0.69</v>
      </c>
    </row>
    <row r="9" spans="1:20" ht="25" customHeight="1">
      <c r="A9" t="s">
        <v>16</v>
      </c>
      <c r="B9">
        <v>2</v>
      </c>
      <c r="C9" t="s">
        <v>37</v>
      </c>
      <c r="D9" t="b">
        <v>0</v>
      </c>
      <c r="E9">
        <v>2</v>
      </c>
      <c r="F9" t="s">
        <v>18</v>
      </c>
      <c r="H9" s="1">
        <v>0.55000000000000004</v>
      </c>
      <c r="I9" s="1">
        <v>0.65</v>
      </c>
      <c r="J9" s="1">
        <v>0.66</v>
      </c>
      <c r="K9" s="1">
        <v>0.72</v>
      </c>
      <c r="L9" s="1">
        <v>0.67</v>
      </c>
      <c r="M9" s="1">
        <v>0.61</v>
      </c>
      <c r="N9" s="1">
        <v>0.67</v>
      </c>
      <c r="O9" s="1">
        <v>0.68</v>
      </c>
      <c r="P9" s="1">
        <v>0.69</v>
      </c>
      <c r="Q9" s="1">
        <v>0.61</v>
      </c>
      <c r="R9" s="1">
        <v>0.6</v>
      </c>
      <c r="S9" s="1">
        <v>0.66</v>
      </c>
      <c r="T9" s="1">
        <f>MAX($H9:$S9)</f>
        <v>0.72</v>
      </c>
    </row>
    <row r="10" spans="1:20" ht="25" customHeight="1">
      <c r="A10" t="s">
        <v>16</v>
      </c>
      <c r="B10">
        <v>2</v>
      </c>
      <c r="C10" t="s">
        <v>37</v>
      </c>
      <c r="D10" t="b">
        <v>0</v>
      </c>
      <c r="E10">
        <v>3</v>
      </c>
      <c r="F10" t="s">
        <v>19</v>
      </c>
      <c r="H10" s="1">
        <v>0.47</v>
      </c>
      <c r="I10" s="1">
        <v>0.64</v>
      </c>
      <c r="J10" s="1">
        <v>0.68</v>
      </c>
      <c r="K10" s="1">
        <v>0.6</v>
      </c>
      <c r="L10" s="1">
        <v>0.68</v>
      </c>
      <c r="M10" s="1">
        <v>0.59</v>
      </c>
      <c r="N10" s="1">
        <v>0.62</v>
      </c>
      <c r="O10" s="1">
        <v>0.61</v>
      </c>
      <c r="P10" s="1">
        <v>0.61</v>
      </c>
      <c r="Q10" s="1">
        <v>0.68</v>
      </c>
      <c r="R10" s="1">
        <v>0.62</v>
      </c>
      <c r="S10" s="1">
        <v>0.68</v>
      </c>
      <c r="T10" s="1">
        <f>MAX($H10:$S10)</f>
        <v>0.68</v>
      </c>
    </row>
    <row r="11" spans="1:20" ht="25" customHeight="1">
      <c r="A11" t="s">
        <v>16</v>
      </c>
      <c r="B11">
        <v>2</v>
      </c>
      <c r="C11" t="s">
        <v>37</v>
      </c>
      <c r="D11" t="b">
        <v>1</v>
      </c>
      <c r="E11">
        <v>1</v>
      </c>
      <c r="F11" t="s">
        <v>20</v>
      </c>
      <c r="H11" s="1">
        <v>0.76</v>
      </c>
      <c r="I11" s="1">
        <v>0.88</v>
      </c>
      <c r="J11" s="1">
        <v>0.78</v>
      </c>
      <c r="K11" s="1">
        <v>0.61</v>
      </c>
      <c r="L11" s="1">
        <v>0.56000000000000005</v>
      </c>
      <c r="M11" s="1">
        <v>0.74</v>
      </c>
      <c r="N11" s="1">
        <v>0.88</v>
      </c>
      <c r="O11" s="1">
        <v>0.84</v>
      </c>
      <c r="P11" s="1">
        <v>0.82</v>
      </c>
      <c r="Q11" s="1">
        <v>0.6</v>
      </c>
      <c r="R11" s="1">
        <v>0.62</v>
      </c>
      <c r="S11" s="1">
        <v>0.59</v>
      </c>
      <c r="T11" s="1">
        <f>MAX($H11:$S11)</f>
        <v>0.88</v>
      </c>
    </row>
    <row r="12" spans="1:20" ht="25" customHeight="1">
      <c r="A12" t="s">
        <v>16</v>
      </c>
      <c r="B12">
        <v>2</v>
      </c>
      <c r="C12" t="s">
        <v>37</v>
      </c>
      <c r="D12" t="b">
        <v>1</v>
      </c>
      <c r="E12">
        <v>2</v>
      </c>
      <c r="F12" t="s">
        <v>18</v>
      </c>
      <c r="H12" s="1">
        <v>0.9</v>
      </c>
      <c r="I12" s="1">
        <v>0.93</v>
      </c>
      <c r="J12" s="1">
        <v>0.92</v>
      </c>
      <c r="K12" s="1">
        <v>0.9</v>
      </c>
      <c r="L12" s="1">
        <v>0.85</v>
      </c>
      <c r="M12" s="1">
        <v>0.89</v>
      </c>
      <c r="N12" s="1">
        <v>0.92</v>
      </c>
      <c r="O12" s="1">
        <v>0.93</v>
      </c>
      <c r="P12" s="1">
        <v>0.93</v>
      </c>
      <c r="Q12" s="1">
        <v>0.82</v>
      </c>
      <c r="R12" s="1">
        <v>0.82</v>
      </c>
      <c r="S12" s="1">
        <v>0.85</v>
      </c>
      <c r="T12" s="1">
        <f>MAX($H12:$S12)</f>
        <v>0.93</v>
      </c>
    </row>
    <row r="13" spans="1:20" ht="25" customHeight="1">
      <c r="A13" t="s">
        <v>16</v>
      </c>
      <c r="B13">
        <v>2</v>
      </c>
      <c r="C13" t="s">
        <v>37</v>
      </c>
      <c r="D13" t="b">
        <v>1</v>
      </c>
      <c r="E13">
        <v>3</v>
      </c>
      <c r="F13" t="s">
        <v>19</v>
      </c>
      <c r="H13" s="1">
        <v>0.88</v>
      </c>
      <c r="I13" s="1">
        <v>0.91</v>
      </c>
      <c r="J13" s="1">
        <v>0.93</v>
      </c>
      <c r="K13" s="1">
        <v>0.87</v>
      </c>
      <c r="L13" s="1">
        <v>0.81</v>
      </c>
      <c r="M13" s="1">
        <v>0.8</v>
      </c>
      <c r="N13" s="1">
        <v>0.91</v>
      </c>
      <c r="O13" s="1">
        <v>0.93</v>
      </c>
      <c r="P13" s="1">
        <v>0.97</v>
      </c>
      <c r="Q13" s="1">
        <v>0.86</v>
      </c>
      <c r="R13" s="1">
        <v>0.78</v>
      </c>
      <c r="S13" s="1">
        <v>0.82</v>
      </c>
      <c r="T13" s="1">
        <f>MAX($H13:$S13)</f>
        <v>0.97</v>
      </c>
    </row>
    <row r="14" spans="1:20" ht="25" customHeight="1">
      <c r="A14" t="s">
        <v>16</v>
      </c>
      <c r="B14">
        <v>3</v>
      </c>
      <c r="C14" t="s">
        <v>22</v>
      </c>
      <c r="D14" t="b">
        <v>0</v>
      </c>
      <c r="E14">
        <v>1</v>
      </c>
      <c r="F14" t="s">
        <v>20</v>
      </c>
      <c r="H14" s="1">
        <v>0.36</v>
      </c>
      <c r="I14" s="1">
        <v>0.49</v>
      </c>
      <c r="J14" s="1">
        <v>0.41</v>
      </c>
      <c r="K14" s="1">
        <v>0.37</v>
      </c>
      <c r="L14" s="1">
        <v>0.38</v>
      </c>
      <c r="M14" s="1">
        <v>0.31</v>
      </c>
      <c r="N14" s="1">
        <v>0.46</v>
      </c>
      <c r="O14" s="1">
        <v>0.45</v>
      </c>
      <c r="P14" s="1">
        <v>0.41</v>
      </c>
      <c r="Q14" s="1">
        <v>0.43</v>
      </c>
      <c r="R14" s="1">
        <v>0.32</v>
      </c>
      <c r="S14" s="1">
        <v>0.42</v>
      </c>
      <c r="T14" s="1">
        <f>MAX($H14:$S14)</f>
        <v>0.49</v>
      </c>
    </row>
    <row r="15" spans="1:20" ht="25" customHeight="1">
      <c r="A15" t="s">
        <v>16</v>
      </c>
      <c r="B15">
        <v>3</v>
      </c>
      <c r="C15" t="s">
        <v>22</v>
      </c>
      <c r="D15" t="b">
        <v>0</v>
      </c>
      <c r="E15">
        <v>2</v>
      </c>
      <c r="F15" t="s">
        <v>18</v>
      </c>
      <c r="H15" s="1">
        <v>0.38</v>
      </c>
      <c r="I15" s="1">
        <v>0.49</v>
      </c>
      <c r="J15" s="1">
        <v>0.46</v>
      </c>
      <c r="K15" s="1">
        <v>0.38</v>
      </c>
      <c r="L15" s="1">
        <v>0.48</v>
      </c>
      <c r="M15" s="1">
        <v>0.32</v>
      </c>
      <c r="N15" s="1">
        <v>0.48</v>
      </c>
      <c r="O15" s="1">
        <v>0.44</v>
      </c>
      <c r="P15" s="1">
        <v>0.44</v>
      </c>
      <c r="Q15" s="1">
        <v>0.47</v>
      </c>
      <c r="R15" s="1">
        <v>0.43</v>
      </c>
      <c r="S15" s="1">
        <v>0.41</v>
      </c>
      <c r="T15" s="1">
        <f>MAX($H15:$S15)</f>
        <v>0.49</v>
      </c>
    </row>
    <row r="16" spans="1:20" ht="25" customHeight="1">
      <c r="A16" t="s">
        <v>16</v>
      </c>
      <c r="B16">
        <v>3</v>
      </c>
      <c r="C16" t="s">
        <v>22</v>
      </c>
      <c r="D16" t="b">
        <v>0</v>
      </c>
      <c r="E16">
        <v>3</v>
      </c>
      <c r="F16" t="s">
        <v>19</v>
      </c>
      <c r="H16" s="1">
        <v>0.31</v>
      </c>
      <c r="I16" s="1">
        <v>0.38</v>
      </c>
      <c r="J16" s="1">
        <v>0.44</v>
      </c>
      <c r="K16" s="1">
        <v>0.36</v>
      </c>
      <c r="L16" s="1">
        <v>0.45</v>
      </c>
      <c r="M16" s="1">
        <v>0.34</v>
      </c>
      <c r="N16" s="1">
        <v>0.36</v>
      </c>
      <c r="O16" s="1">
        <v>0.37</v>
      </c>
      <c r="P16" s="1">
        <v>0.4</v>
      </c>
      <c r="Q16" s="1">
        <v>0.44</v>
      </c>
      <c r="R16" s="1">
        <v>0.27</v>
      </c>
      <c r="S16" s="1">
        <v>0.36</v>
      </c>
      <c r="T16" s="1">
        <f>MAX($H16:$S16)</f>
        <v>0.45</v>
      </c>
    </row>
    <row r="17" spans="1:20" ht="25" customHeight="1">
      <c r="A17" t="s">
        <v>16</v>
      </c>
      <c r="B17">
        <v>3</v>
      </c>
      <c r="C17" t="s">
        <v>22</v>
      </c>
      <c r="D17" t="b">
        <v>1</v>
      </c>
      <c r="E17">
        <v>1</v>
      </c>
      <c r="F17" t="s">
        <v>20</v>
      </c>
      <c r="H17" s="1">
        <v>0.47</v>
      </c>
      <c r="I17" s="1">
        <v>0.46</v>
      </c>
      <c r="J17" s="1">
        <v>0.49</v>
      </c>
      <c r="K17" s="1">
        <v>0.28999999999999998</v>
      </c>
      <c r="L17" s="1">
        <v>0.38</v>
      </c>
      <c r="M17" s="1">
        <v>0.32</v>
      </c>
      <c r="N17" s="1">
        <v>0.6</v>
      </c>
      <c r="O17" s="1">
        <v>0.42</v>
      </c>
      <c r="P17" s="1">
        <v>0.45</v>
      </c>
      <c r="Q17" s="1">
        <v>0.46</v>
      </c>
      <c r="R17" s="1">
        <v>0.38</v>
      </c>
      <c r="S17" s="1">
        <v>0.32</v>
      </c>
      <c r="T17" s="1">
        <f>MAX($H17:$S17)</f>
        <v>0.6</v>
      </c>
    </row>
    <row r="18" spans="1:20" ht="25" customHeight="1">
      <c r="A18" t="s">
        <v>16</v>
      </c>
      <c r="B18">
        <v>3</v>
      </c>
      <c r="C18" t="s">
        <v>22</v>
      </c>
      <c r="D18" t="b">
        <v>1</v>
      </c>
      <c r="E18">
        <v>2</v>
      </c>
      <c r="F18" t="s">
        <v>18</v>
      </c>
      <c r="H18" s="1">
        <v>0.52</v>
      </c>
      <c r="I18" s="1">
        <v>0.53</v>
      </c>
      <c r="J18" s="1">
        <v>0.49</v>
      </c>
      <c r="K18" s="1">
        <v>0.38</v>
      </c>
      <c r="L18" s="1">
        <v>0.56000000000000005</v>
      </c>
      <c r="M18" s="1">
        <v>0.37</v>
      </c>
      <c r="N18" s="1">
        <v>0.56999999999999995</v>
      </c>
      <c r="O18" s="1">
        <v>0.5</v>
      </c>
      <c r="P18" s="1">
        <v>0.5</v>
      </c>
      <c r="Q18" s="1">
        <v>0.53</v>
      </c>
      <c r="R18" s="1">
        <v>0.46</v>
      </c>
      <c r="S18" s="1">
        <v>0.37</v>
      </c>
      <c r="T18" s="1">
        <f>MAX($H18:$S18)</f>
        <v>0.56999999999999995</v>
      </c>
    </row>
    <row r="19" spans="1:20" ht="25" customHeight="1">
      <c r="A19" t="s">
        <v>16</v>
      </c>
      <c r="B19">
        <v>3</v>
      </c>
      <c r="C19" t="s">
        <v>22</v>
      </c>
      <c r="D19" t="b">
        <v>1</v>
      </c>
      <c r="E19">
        <v>3</v>
      </c>
      <c r="F19" t="s">
        <v>19</v>
      </c>
      <c r="H19" s="1">
        <v>0.43</v>
      </c>
      <c r="I19" s="1">
        <v>0.5</v>
      </c>
      <c r="J19" s="1">
        <v>0.41</v>
      </c>
      <c r="K19" s="1">
        <v>0.39</v>
      </c>
      <c r="L19" s="1">
        <v>0.41</v>
      </c>
      <c r="M19" s="1">
        <v>0.28999999999999998</v>
      </c>
      <c r="N19" s="1">
        <v>0.44</v>
      </c>
      <c r="O19" s="1">
        <v>0.44</v>
      </c>
      <c r="P19" s="1">
        <v>0.37</v>
      </c>
      <c r="Q19" s="1">
        <v>0.42</v>
      </c>
      <c r="R19" s="1">
        <v>0.38</v>
      </c>
      <c r="S19" s="1">
        <v>0.37</v>
      </c>
      <c r="T19" s="1">
        <f>MAX($H19:$S19)</f>
        <v>0.5</v>
      </c>
    </row>
    <row r="22" spans="1:20" ht="25" customHeight="1">
      <c r="B22" t="s">
        <v>23</v>
      </c>
      <c r="C22" t="s">
        <v>1</v>
      </c>
      <c r="D22" t="s">
        <v>26</v>
      </c>
      <c r="E22" t="s">
        <v>24</v>
      </c>
      <c r="F22" t="s">
        <v>3</v>
      </c>
      <c r="G22" t="s">
        <v>33</v>
      </c>
      <c r="H22" t="s">
        <v>4</v>
      </c>
      <c r="I22" t="s">
        <v>5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t="s">
        <v>15</v>
      </c>
      <c r="T22" t="s">
        <v>25</v>
      </c>
    </row>
    <row r="23" spans="1:20" ht="25" customHeight="1">
      <c r="B23">
        <v>1</v>
      </c>
      <c r="C23" t="s">
        <v>17</v>
      </c>
      <c r="D23" t="b">
        <v>1</v>
      </c>
      <c r="E23">
        <v>1</v>
      </c>
      <c r="F23" t="s">
        <v>25</v>
      </c>
      <c r="H23" s="1" cm="1">
        <f t="array" ref="H23">_xlfn.LET(_xlpm.d,H$2:H$19,_xlpm.a,$C$2:$C$19=$C23,_xlpm.b,$D$2:$D$19=$D23,MAX(_xlfn._xlws.FILTER(_xlpm.d,_xlpm.a*_xlpm.b)))</f>
        <v>0.84</v>
      </c>
      <c r="I23" s="1" cm="1">
        <f t="array" ref="I23">_xlfn.LET(_xlpm.d,I$2:I$19,_xlpm.a,$C$2:$C$19=$C23,_xlpm.b,$D$2:$D$19=$D23,MAX(_xlfn._xlws.FILTER(_xlpm.d,_xlpm.a*_xlpm.b)))</f>
        <v>0.86</v>
      </c>
      <c r="J23" s="1" cm="1">
        <f t="array" ref="J23">_xlfn.LET(_xlpm.d,J$2:J$19,_xlpm.a,$C$2:$C$19=$C23,_xlpm.b,$D$2:$D$19=$D23,MAX(_xlfn._xlws.FILTER(_xlpm.d,_xlpm.a*_xlpm.b)))</f>
        <v>0.9</v>
      </c>
      <c r="K23" s="1" cm="1">
        <f t="array" ref="K23">_xlfn.LET(_xlpm.d,K$2:K$19,_xlpm.a,$C$2:$C$19=$C23,_xlpm.b,$D$2:$D$19=$D23,MAX(_xlfn._xlws.FILTER(_xlpm.d,_xlpm.a*_xlpm.b)))</f>
        <v>0.9</v>
      </c>
      <c r="L23" s="1" cm="1">
        <f t="array" ref="L23">_xlfn.LET(_xlpm.d,L$2:L$19,_xlpm.a,$C$2:$C$19=$C23,_xlpm.b,$D$2:$D$19=$D23,MAX(_xlfn._xlws.FILTER(_xlpm.d,_xlpm.a*_xlpm.b)))</f>
        <v>0.84</v>
      </c>
      <c r="M23" s="1" cm="1">
        <f t="array" ref="M23">_xlfn.LET(_xlpm.d,M$2:M$19,_xlpm.a,$C$2:$C$19=$C23,_xlpm.b,$D$2:$D$19=$D23,MAX(_xlfn._xlws.FILTER(_xlpm.d,_xlpm.a*_xlpm.b)))</f>
        <v>0.87</v>
      </c>
      <c r="N23" s="1" cm="1">
        <f t="array" ref="N23">_xlfn.LET(_xlpm.d,N$2:N$19,_xlpm.a,$C$2:$C$19=$C23,_xlpm.b,$D$2:$D$19=$D23,MAX(_xlfn._xlws.FILTER(_xlpm.d,_xlpm.a*_xlpm.b)))</f>
        <v>0.88</v>
      </c>
      <c r="O23" s="1" cm="1">
        <f t="array" ref="O23">_xlfn.LET(_xlpm.d,O$2:O$19,_xlpm.a,$C$2:$C$19=$C23,_xlpm.b,$D$2:$D$19=$D23,MAX(_xlfn._xlws.FILTER(_xlpm.d,_xlpm.a*_xlpm.b)))</f>
        <v>0.88</v>
      </c>
      <c r="P23" s="1" cm="1">
        <f t="array" ref="P23">_xlfn.LET(_xlpm.d,P$2:P$19,_xlpm.a,$C$2:$C$19=$C23,_xlpm.b,$D$2:$D$19=$D23,MAX(_xlfn._xlws.FILTER(_xlpm.d,_xlpm.a*_xlpm.b)))</f>
        <v>0.93</v>
      </c>
      <c r="Q23" s="1" cm="1">
        <f t="array" ref="Q23">_xlfn.LET(_xlpm.d,Q$2:Q$19,_xlpm.a,$C$2:$C$19=$C23,_xlpm.b,$D$2:$D$19=$D23,MAX(_xlfn._xlws.FILTER(_xlpm.d,_xlpm.a*_xlpm.b)))</f>
        <v>0.85</v>
      </c>
      <c r="R23" s="1" cm="1">
        <f t="array" ref="R23">_xlfn.LET(_xlpm.d,R$2:R$19,_xlpm.a,$C$2:$C$19=$C23,_xlpm.b,$D$2:$D$19=$D23,MAX(_xlfn._xlws.FILTER(_xlpm.d,_xlpm.a*_xlpm.b)))</f>
        <v>0.85</v>
      </c>
      <c r="S23" s="1" cm="1">
        <f t="array" ref="S23">_xlfn.LET(_xlpm.d,S$2:S$19,_xlpm.a,$C$2:$C$19=$C23,_xlpm.b,$D$2:$D$19=$D23,MAX(_xlfn._xlws.FILTER(_xlpm.d,_xlpm.a*_xlpm.b)))</f>
        <v>0.82</v>
      </c>
      <c r="T23" s="1">
        <f t="shared" ref="T23:T28" si="0">_xlfn.LET(_xlpm.d,$H23:$S23,MAX(_xlpm.d))</f>
        <v>0.93</v>
      </c>
    </row>
    <row r="24" spans="1:20" ht="25" customHeight="1">
      <c r="B24">
        <v>1</v>
      </c>
      <c r="C24" t="s">
        <v>17</v>
      </c>
      <c r="D24" t="b">
        <v>0</v>
      </c>
      <c r="E24">
        <v>1</v>
      </c>
      <c r="F24" t="s">
        <v>25</v>
      </c>
      <c r="H24" s="1" cm="1">
        <f t="array" ref="H24">_xlfn.LET(_xlpm.d,H$2:H$19,_xlpm.a,$C$2:$C$19=$C24,_xlpm.b,$D$2:$D$19=$D24,MAX(_xlfn._xlws.FILTER(_xlpm.d,_xlpm.a*_xlpm.b)))</f>
        <v>0.8</v>
      </c>
      <c r="I24" s="1" cm="1">
        <f t="array" ref="I24">_xlfn.LET(_xlpm.d,I$2:I$19,_xlpm.a,$C$2:$C$19=$C24,_xlpm.b,$D$2:$D$19=$D24,MAX(_xlfn._xlws.FILTER(_xlpm.d,_xlpm.a*_xlpm.b)))</f>
        <v>0.84</v>
      </c>
      <c r="J24" s="1" cm="1">
        <f t="array" ref="J24">_xlfn.LET(_xlpm.d,J$2:J$19,_xlpm.a,$C$2:$C$19=$C24,_xlpm.b,$D$2:$D$19=$D24,MAX(_xlfn._xlws.FILTER(_xlpm.d,_xlpm.a*_xlpm.b)))</f>
        <v>0.83</v>
      </c>
      <c r="K24" s="1" cm="1">
        <f t="array" ref="K24">_xlfn.LET(_xlpm.d,K$2:K$19,_xlpm.a,$C$2:$C$19=$C24,_xlpm.b,$D$2:$D$19=$D24,MAX(_xlfn._xlws.FILTER(_xlpm.d,_xlpm.a*_xlpm.b)))</f>
        <v>0.87</v>
      </c>
      <c r="L24" s="1" cm="1">
        <f t="array" ref="L24">_xlfn.LET(_xlpm.d,L$2:L$19,_xlpm.a,$C$2:$C$19=$C24,_xlpm.b,$D$2:$D$19=$D24,MAX(_xlfn._xlws.FILTER(_xlpm.d,_xlpm.a*_xlpm.b)))</f>
        <v>0.82</v>
      </c>
      <c r="M24" s="1" cm="1">
        <f t="array" ref="M24">_xlfn.LET(_xlpm.d,M$2:M$19,_xlpm.a,$C$2:$C$19=$C24,_xlpm.b,$D$2:$D$19=$D24,MAX(_xlfn._xlws.FILTER(_xlpm.d,_xlpm.a*_xlpm.b)))</f>
        <v>0.84</v>
      </c>
      <c r="N24" s="1" cm="1">
        <f t="array" ref="N24">_xlfn.LET(_xlpm.d,N$2:N$19,_xlpm.a,$C$2:$C$19=$C24,_xlpm.b,$D$2:$D$19=$D24,MAX(_xlfn._xlws.FILTER(_xlpm.d,_xlpm.a*_xlpm.b)))</f>
        <v>0.82</v>
      </c>
      <c r="O24" s="1" cm="1">
        <f t="array" ref="O24">_xlfn.LET(_xlpm.d,O$2:O$19,_xlpm.a,$C$2:$C$19=$C24,_xlpm.b,$D$2:$D$19=$D24,MAX(_xlfn._xlws.FILTER(_xlpm.d,_xlpm.a*_xlpm.b)))</f>
        <v>0.82</v>
      </c>
      <c r="P24" s="1" cm="1">
        <f t="array" ref="P24">_xlfn.LET(_xlpm.d,P$2:P$19,_xlpm.a,$C$2:$C$19=$C24,_xlpm.b,$D$2:$D$19=$D24,MAX(_xlfn._xlws.FILTER(_xlpm.d,_xlpm.a*_xlpm.b)))</f>
        <v>0.85</v>
      </c>
      <c r="Q24" s="1" cm="1">
        <f t="array" ref="Q24">_xlfn.LET(_xlpm.d,Q$2:Q$19,_xlpm.a,$C$2:$C$19=$C24,_xlpm.b,$D$2:$D$19=$D24,MAX(_xlfn._xlws.FILTER(_xlpm.d,_xlpm.a*_xlpm.b)))</f>
        <v>0.81</v>
      </c>
      <c r="R24" s="1" cm="1">
        <f t="array" ref="R24">_xlfn.LET(_xlpm.d,R$2:R$19,_xlpm.a,$C$2:$C$19=$C24,_xlpm.b,$D$2:$D$19=$D24,MAX(_xlfn._xlws.FILTER(_xlpm.d,_xlpm.a*_xlpm.b)))</f>
        <v>0.8</v>
      </c>
      <c r="S24" s="1" cm="1">
        <f t="array" ref="S24">_xlfn.LET(_xlpm.d,S$2:S$19,_xlpm.a,$C$2:$C$19=$C24,_xlpm.b,$D$2:$D$19=$D24,MAX(_xlfn._xlws.FILTER(_xlpm.d,_xlpm.a*_xlpm.b)))</f>
        <v>0.81</v>
      </c>
      <c r="T24" s="1">
        <f t="shared" si="0"/>
        <v>0.87</v>
      </c>
    </row>
    <row r="25" spans="1:20" ht="25" customHeight="1">
      <c r="B25">
        <v>2</v>
      </c>
      <c r="C25" t="s">
        <v>37</v>
      </c>
      <c r="D25" t="b">
        <v>1</v>
      </c>
      <c r="E25">
        <v>1</v>
      </c>
      <c r="F25" t="s">
        <v>25</v>
      </c>
      <c r="H25" s="1" cm="1">
        <f t="array" ref="H25">_xlfn.LET(_xlpm.d,H$2:H$19,_xlpm.a,$C$2:$C$19=$C25,_xlpm.b,$D$2:$D$19=$D25,MAX(_xlfn._xlws.FILTER(_xlpm.d,_xlpm.a*_xlpm.b)))</f>
        <v>0.9</v>
      </c>
      <c r="I25" s="1" cm="1">
        <f t="array" ref="I25">_xlfn.LET(_xlpm.d,I$2:I$19,_xlpm.a,$C$2:$C$19=$C25,_xlpm.b,$D$2:$D$19=$D25,MAX(_xlfn._xlws.FILTER(_xlpm.d,_xlpm.a*_xlpm.b)))</f>
        <v>0.93</v>
      </c>
      <c r="J25" s="1" cm="1">
        <f t="array" ref="J25">_xlfn.LET(_xlpm.d,J$2:J$19,_xlpm.a,$C$2:$C$19=$C25,_xlpm.b,$D$2:$D$19=$D25,MAX(_xlfn._xlws.FILTER(_xlpm.d,_xlpm.a*_xlpm.b)))</f>
        <v>0.93</v>
      </c>
      <c r="K25" s="1" cm="1">
        <f t="array" ref="K25">_xlfn.LET(_xlpm.d,K$2:K$19,_xlpm.a,$C$2:$C$19=$C25,_xlpm.b,$D$2:$D$19=$D25,MAX(_xlfn._xlws.FILTER(_xlpm.d,_xlpm.a*_xlpm.b)))</f>
        <v>0.9</v>
      </c>
      <c r="L25" s="1" cm="1">
        <f t="array" ref="L25">_xlfn.LET(_xlpm.d,L$2:L$19,_xlpm.a,$C$2:$C$19=$C25,_xlpm.b,$D$2:$D$19=$D25,MAX(_xlfn._xlws.FILTER(_xlpm.d,_xlpm.a*_xlpm.b)))</f>
        <v>0.85</v>
      </c>
      <c r="M25" s="1" cm="1">
        <f t="array" ref="M25">_xlfn.LET(_xlpm.d,M$2:M$19,_xlpm.a,$C$2:$C$19=$C25,_xlpm.b,$D$2:$D$19=$D25,MAX(_xlfn._xlws.FILTER(_xlpm.d,_xlpm.a*_xlpm.b)))</f>
        <v>0.89</v>
      </c>
      <c r="N25" s="1" cm="1">
        <f t="array" ref="N25">_xlfn.LET(_xlpm.d,N$2:N$19,_xlpm.a,$C$2:$C$19=$C25,_xlpm.b,$D$2:$D$19=$D25,MAX(_xlfn._xlws.FILTER(_xlpm.d,_xlpm.a*_xlpm.b)))</f>
        <v>0.92</v>
      </c>
      <c r="O25" s="1" cm="1">
        <f t="array" ref="O25">_xlfn.LET(_xlpm.d,O$2:O$19,_xlpm.a,$C$2:$C$19=$C25,_xlpm.b,$D$2:$D$19=$D25,MAX(_xlfn._xlws.FILTER(_xlpm.d,_xlpm.a*_xlpm.b)))</f>
        <v>0.93</v>
      </c>
      <c r="P25" s="1" cm="1">
        <f t="array" ref="P25">_xlfn.LET(_xlpm.d,P$2:P$19,_xlpm.a,$C$2:$C$19=$C25,_xlpm.b,$D$2:$D$19=$D25,MAX(_xlfn._xlws.FILTER(_xlpm.d,_xlpm.a*_xlpm.b)))</f>
        <v>0.97</v>
      </c>
      <c r="Q25" s="1" cm="1">
        <f t="array" ref="Q25">_xlfn.LET(_xlpm.d,Q$2:Q$19,_xlpm.a,$C$2:$C$19=$C25,_xlpm.b,$D$2:$D$19=$D25,MAX(_xlfn._xlws.FILTER(_xlpm.d,_xlpm.a*_xlpm.b)))</f>
        <v>0.86</v>
      </c>
      <c r="R25" s="1" cm="1">
        <f t="array" ref="R25">_xlfn.LET(_xlpm.d,R$2:R$19,_xlpm.a,$C$2:$C$19=$C25,_xlpm.b,$D$2:$D$19=$D25,MAX(_xlfn._xlws.FILTER(_xlpm.d,_xlpm.a*_xlpm.b)))</f>
        <v>0.82</v>
      </c>
      <c r="S25" s="1" cm="1">
        <f t="array" ref="S25">_xlfn.LET(_xlpm.d,S$2:S$19,_xlpm.a,$C$2:$C$19=$C25,_xlpm.b,$D$2:$D$19=$D25,MAX(_xlfn._xlws.FILTER(_xlpm.d,_xlpm.a*_xlpm.b)))</f>
        <v>0.85</v>
      </c>
      <c r="T25" s="1">
        <f t="shared" si="0"/>
        <v>0.97</v>
      </c>
    </row>
    <row r="26" spans="1:20" ht="25" customHeight="1">
      <c r="B26">
        <v>2</v>
      </c>
      <c r="C26" t="s">
        <v>37</v>
      </c>
      <c r="D26" t="b">
        <v>0</v>
      </c>
      <c r="E26">
        <v>1</v>
      </c>
      <c r="F26" t="s">
        <v>25</v>
      </c>
      <c r="H26" s="1" cm="1">
        <f t="array" ref="H26">_xlfn.LET(_xlpm.d,H$2:H$19,_xlpm.a,$C$2:$C$19=$C26,_xlpm.b,$D$2:$D$19=$D26,MAX(_xlfn._xlws.FILTER(_xlpm.d,_xlpm.a*_xlpm.b)))</f>
        <v>0.55000000000000004</v>
      </c>
      <c r="I26" s="1" cm="1">
        <f t="array" ref="I26">_xlfn.LET(_xlpm.d,I$2:I$19,_xlpm.a,$C$2:$C$19=$C26,_xlpm.b,$D$2:$D$19=$D26,MAX(_xlfn._xlws.FILTER(_xlpm.d,_xlpm.a*_xlpm.b)))</f>
        <v>0.65</v>
      </c>
      <c r="J26" s="1" cm="1">
        <f t="array" ref="J26">_xlfn.LET(_xlpm.d,J$2:J$19,_xlpm.a,$C$2:$C$19=$C26,_xlpm.b,$D$2:$D$19=$D26,MAX(_xlfn._xlws.FILTER(_xlpm.d,_xlpm.a*_xlpm.b)))</f>
        <v>0.69</v>
      </c>
      <c r="K26" s="1" cm="1">
        <f t="array" ref="K26">_xlfn.LET(_xlpm.d,K$2:K$19,_xlpm.a,$C$2:$C$19=$C26,_xlpm.b,$D$2:$D$19=$D26,MAX(_xlfn._xlws.FILTER(_xlpm.d,_xlpm.a*_xlpm.b)))</f>
        <v>0.72</v>
      </c>
      <c r="L26" s="1" cm="1">
        <f t="array" ref="L26">_xlfn.LET(_xlpm.d,L$2:L$19,_xlpm.a,$C$2:$C$19=$C26,_xlpm.b,$D$2:$D$19=$D26,MAX(_xlfn._xlws.FILTER(_xlpm.d,_xlpm.a*_xlpm.b)))</f>
        <v>0.68</v>
      </c>
      <c r="M26" s="1" cm="1">
        <f t="array" ref="M26">_xlfn.LET(_xlpm.d,M$2:M$19,_xlpm.a,$C$2:$C$19=$C26,_xlpm.b,$D$2:$D$19=$D26,MAX(_xlfn._xlws.FILTER(_xlpm.d,_xlpm.a*_xlpm.b)))</f>
        <v>0.61</v>
      </c>
      <c r="N26" s="1" cm="1">
        <f t="array" ref="N26">_xlfn.LET(_xlpm.d,N$2:N$19,_xlpm.a,$C$2:$C$19=$C26,_xlpm.b,$D$2:$D$19=$D26,MAX(_xlfn._xlws.FILTER(_xlpm.d,_xlpm.a*_xlpm.b)))</f>
        <v>0.67</v>
      </c>
      <c r="O26" s="1" cm="1">
        <f t="array" ref="O26">_xlfn.LET(_xlpm.d,O$2:O$19,_xlpm.a,$C$2:$C$19=$C26,_xlpm.b,$D$2:$D$19=$D26,MAX(_xlfn._xlws.FILTER(_xlpm.d,_xlpm.a*_xlpm.b)))</f>
        <v>0.68</v>
      </c>
      <c r="P26" s="1" cm="1">
        <f t="array" ref="P26">_xlfn.LET(_xlpm.d,P$2:P$19,_xlpm.a,$C$2:$C$19=$C26,_xlpm.b,$D$2:$D$19=$D26,MAX(_xlfn._xlws.FILTER(_xlpm.d,_xlpm.a*_xlpm.b)))</f>
        <v>0.69</v>
      </c>
      <c r="Q26" s="1" cm="1">
        <f t="array" ref="Q26">_xlfn.LET(_xlpm.d,Q$2:Q$19,_xlpm.a,$C$2:$C$19=$C26,_xlpm.b,$D$2:$D$19=$D26,MAX(_xlfn._xlws.FILTER(_xlpm.d,_xlpm.a*_xlpm.b)))</f>
        <v>0.68</v>
      </c>
      <c r="R26" s="1" cm="1">
        <f t="array" ref="R26">_xlfn.LET(_xlpm.d,R$2:R$19,_xlpm.a,$C$2:$C$19=$C26,_xlpm.b,$D$2:$D$19=$D26,MAX(_xlfn._xlws.FILTER(_xlpm.d,_xlpm.a*_xlpm.b)))</f>
        <v>0.62</v>
      </c>
      <c r="S26" s="1" cm="1">
        <f t="array" ref="S26">_xlfn.LET(_xlpm.d,S$2:S$19,_xlpm.a,$C$2:$C$19=$C26,_xlpm.b,$D$2:$D$19=$D26,MAX(_xlfn._xlws.FILTER(_xlpm.d,_xlpm.a*_xlpm.b)))</f>
        <v>0.68</v>
      </c>
      <c r="T26" s="1">
        <f t="shared" si="0"/>
        <v>0.72</v>
      </c>
    </row>
    <row r="27" spans="1:20" ht="25" customHeight="1">
      <c r="B27">
        <v>3</v>
      </c>
      <c r="C27" t="s">
        <v>22</v>
      </c>
      <c r="D27" t="b">
        <v>1</v>
      </c>
      <c r="E27">
        <v>1</v>
      </c>
      <c r="F27" t="s">
        <v>25</v>
      </c>
      <c r="H27" s="1" cm="1">
        <f t="array" ref="H27">_xlfn.LET(_xlpm.d,H$2:H$19,_xlpm.a,$C$2:$C$19=$C27,_xlpm.b,$D$2:$D$19=$D27,MAX(_xlfn._xlws.FILTER(_xlpm.d,_xlpm.a*_xlpm.b)))</f>
        <v>0.52</v>
      </c>
      <c r="I27" s="1" cm="1">
        <f t="array" ref="I27">_xlfn.LET(_xlpm.d,I$2:I$19,_xlpm.a,$C$2:$C$19=$C27,_xlpm.b,$D$2:$D$19=$D27,MAX(_xlfn._xlws.FILTER(_xlpm.d,_xlpm.a*_xlpm.b)))</f>
        <v>0.53</v>
      </c>
      <c r="J27" s="1" cm="1">
        <f t="array" ref="J27">_xlfn.LET(_xlpm.d,J$2:J$19,_xlpm.a,$C$2:$C$19=$C27,_xlpm.b,$D$2:$D$19=$D27,MAX(_xlfn._xlws.FILTER(_xlpm.d,_xlpm.a*_xlpm.b)))</f>
        <v>0.49</v>
      </c>
      <c r="K27" s="1" cm="1">
        <f t="array" ref="K27">_xlfn.LET(_xlpm.d,K$2:K$19,_xlpm.a,$C$2:$C$19=$C27,_xlpm.b,$D$2:$D$19=$D27,MAX(_xlfn._xlws.FILTER(_xlpm.d,_xlpm.a*_xlpm.b)))</f>
        <v>0.39</v>
      </c>
      <c r="L27" s="1" cm="1">
        <f t="array" ref="L27">_xlfn.LET(_xlpm.d,L$2:L$19,_xlpm.a,$C$2:$C$19=$C27,_xlpm.b,$D$2:$D$19=$D27,MAX(_xlfn._xlws.FILTER(_xlpm.d,_xlpm.a*_xlpm.b)))</f>
        <v>0.56000000000000005</v>
      </c>
      <c r="M27" s="1" cm="1">
        <f t="array" ref="M27">_xlfn.LET(_xlpm.d,M$2:M$19,_xlpm.a,$C$2:$C$19=$C27,_xlpm.b,$D$2:$D$19=$D27,MAX(_xlfn._xlws.FILTER(_xlpm.d,_xlpm.a*_xlpm.b)))</f>
        <v>0.37</v>
      </c>
      <c r="N27" s="1" cm="1">
        <f t="array" ref="N27">_xlfn.LET(_xlpm.d,N$2:N$19,_xlpm.a,$C$2:$C$19=$C27,_xlpm.b,$D$2:$D$19=$D27,MAX(_xlfn._xlws.FILTER(_xlpm.d,_xlpm.a*_xlpm.b)))</f>
        <v>0.6</v>
      </c>
      <c r="O27" s="1" cm="1">
        <f t="array" ref="O27">_xlfn.LET(_xlpm.d,O$2:O$19,_xlpm.a,$C$2:$C$19=$C27,_xlpm.b,$D$2:$D$19=$D27,MAX(_xlfn._xlws.FILTER(_xlpm.d,_xlpm.a*_xlpm.b)))</f>
        <v>0.5</v>
      </c>
      <c r="P27" s="1" cm="1">
        <f t="array" ref="P27">_xlfn.LET(_xlpm.d,P$2:P$19,_xlpm.a,$C$2:$C$19=$C27,_xlpm.b,$D$2:$D$19=$D27,MAX(_xlfn._xlws.FILTER(_xlpm.d,_xlpm.a*_xlpm.b)))</f>
        <v>0.5</v>
      </c>
      <c r="Q27" s="1" cm="1">
        <f t="array" ref="Q27">_xlfn.LET(_xlpm.d,Q$2:Q$19,_xlpm.a,$C$2:$C$19=$C27,_xlpm.b,$D$2:$D$19=$D27,MAX(_xlfn._xlws.FILTER(_xlpm.d,_xlpm.a*_xlpm.b)))</f>
        <v>0.53</v>
      </c>
      <c r="R27" s="1" cm="1">
        <f t="array" ref="R27">_xlfn.LET(_xlpm.d,R$2:R$19,_xlpm.a,$C$2:$C$19=$C27,_xlpm.b,$D$2:$D$19=$D27,MAX(_xlfn._xlws.FILTER(_xlpm.d,_xlpm.a*_xlpm.b)))</f>
        <v>0.46</v>
      </c>
      <c r="S27" s="1" cm="1">
        <f t="array" ref="S27">_xlfn.LET(_xlpm.d,S$2:S$19,_xlpm.a,$C$2:$C$19=$C27,_xlpm.b,$D$2:$D$19=$D27,MAX(_xlfn._xlws.FILTER(_xlpm.d,_xlpm.a*_xlpm.b)))</f>
        <v>0.37</v>
      </c>
      <c r="T27" s="1">
        <f t="shared" si="0"/>
        <v>0.6</v>
      </c>
    </row>
    <row r="28" spans="1:20" ht="25" customHeight="1">
      <c r="B28">
        <v>3</v>
      </c>
      <c r="C28" t="s">
        <v>22</v>
      </c>
      <c r="D28" t="b">
        <v>0</v>
      </c>
      <c r="E28">
        <v>1</v>
      </c>
      <c r="F28" t="s">
        <v>25</v>
      </c>
      <c r="H28" s="1" cm="1">
        <f t="array" ref="H28">_xlfn.LET(_xlpm.d,H$2:H$19,_xlpm.a,$C$2:$C$19=$C28,_xlpm.b,$D$2:$D$19=$D28,MAX(_xlfn._xlws.FILTER(_xlpm.d,_xlpm.a*_xlpm.b)))</f>
        <v>0.38</v>
      </c>
      <c r="I28" s="1" cm="1">
        <f t="array" ref="I28">_xlfn.LET(_xlpm.d,I$2:I$19,_xlpm.a,$C$2:$C$19=$C28,_xlpm.b,$D$2:$D$19=$D28,MAX(_xlfn._xlws.FILTER(_xlpm.d,_xlpm.a*_xlpm.b)))</f>
        <v>0.49</v>
      </c>
      <c r="J28" s="1" cm="1">
        <f t="array" ref="J28">_xlfn.LET(_xlpm.d,J$2:J$19,_xlpm.a,$C$2:$C$19=$C28,_xlpm.b,$D$2:$D$19=$D28,MAX(_xlfn._xlws.FILTER(_xlpm.d,_xlpm.a*_xlpm.b)))</f>
        <v>0.46</v>
      </c>
      <c r="K28" s="1" cm="1">
        <f t="array" ref="K28">_xlfn.LET(_xlpm.d,K$2:K$19,_xlpm.a,$C$2:$C$19=$C28,_xlpm.b,$D$2:$D$19=$D28,MAX(_xlfn._xlws.FILTER(_xlpm.d,_xlpm.a*_xlpm.b)))</f>
        <v>0.38</v>
      </c>
      <c r="L28" s="1" cm="1">
        <f t="array" ref="L28">_xlfn.LET(_xlpm.d,L$2:L$19,_xlpm.a,$C$2:$C$19=$C28,_xlpm.b,$D$2:$D$19=$D28,MAX(_xlfn._xlws.FILTER(_xlpm.d,_xlpm.a*_xlpm.b)))</f>
        <v>0.48</v>
      </c>
      <c r="M28" s="1" cm="1">
        <f t="array" ref="M28">_xlfn.LET(_xlpm.d,M$2:M$19,_xlpm.a,$C$2:$C$19=$C28,_xlpm.b,$D$2:$D$19=$D28,MAX(_xlfn._xlws.FILTER(_xlpm.d,_xlpm.a*_xlpm.b)))</f>
        <v>0.34</v>
      </c>
      <c r="N28" s="1" cm="1">
        <f t="array" ref="N28">_xlfn.LET(_xlpm.d,N$2:N$19,_xlpm.a,$C$2:$C$19=$C28,_xlpm.b,$D$2:$D$19=$D28,MAX(_xlfn._xlws.FILTER(_xlpm.d,_xlpm.a*_xlpm.b)))</f>
        <v>0.48</v>
      </c>
      <c r="O28" s="1" cm="1">
        <f t="array" ref="O28">_xlfn.LET(_xlpm.d,O$2:O$19,_xlpm.a,$C$2:$C$19=$C28,_xlpm.b,$D$2:$D$19=$D28,MAX(_xlfn._xlws.FILTER(_xlpm.d,_xlpm.a*_xlpm.b)))</f>
        <v>0.45</v>
      </c>
      <c r="P28" s="1" cm="1">
        <f t="array" ref="P28">_xlfn.LET(_xlpm.d,P$2:P$19,_xlpm.a,$C$2:$C$19=$C28,_xlpm.b,$D$2:$D$19=$D28,MAX(_xlfn._xlws.FILTER(_xlpm.d,_xlpm.a*_xlpm.b)))</f>
        <v>0.44</v>
      </c>
      <c r="Q28" s="1" cm="1">
        <f t="array" ref="Q28">_xlfn.LET(_xlpm.d,Q$2:Q$19,_xlpm.a,$C$2:$C$19=$C28,_xlpm.b,$D$2:$D$19=$D28,MAX(_xlfn._xlws.FILTER(_xlpm.d,_xlpm.a*_xlpm.b)))</f>
        <v>0.47</v>
      </c>
      <c r="R28" s="1" cm="1">
        <f t="array" ref="R28">_xlfn.LET(_xlpm.d,R$2:R$19,_xlpm.a,$C$2:$C$19=$C28,_xlpm.b,$D$2:$D$19=$D28,MAX(_xlfn._xlws.FILTER(_xlpm.d,_xlpm.a*_xlpm.b)))</f>
        <v>0.43</v>
      </c>
      <c r="S28" s="1" cm="1">
        <f t="array" ref="S28">_xlfn.LET(_xlpm.d,S$2:S$19,_xlpm.a,$C$2:$C$19=$C28,_xlpm.b,$D$2:$D$19=$D28,MAX(_xlfn._xlws.FILTER(_xlpm.d,_xlpm.a*_xlpm.b)))</f>
        <v>0.42</v>
      </c>
      <c r="T28" s="1">
        <f t="shared" si="0"/>
        <v>0.49</v>
      </c>
    </row>
  </sheetData>
  <conditionalFormatting sqref="H2:T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55A3-ED0D-8042-AE2F-2AB0F1AC6A90}">
  <dimension ref="A1:T42"/>
  <sheetViews>
    <sheetView workbookViewId="0"/>
  </sheetViews>
  <sheetFormatPr baseColWidth="10" defaultRowHeight="25" customHeight="1"/>
  <cols>
    <col min="2" max="6" width="9.25" customWidth="1"/>
    <col min="7" max="19" width="8.625" customWidth="1"/>
  </cols>
  <sheetData>
    <row r="1" spans="1:20" ht="25" customHeight="1">
      <c r="A1" t="s">
        <v>0</v>
      </c>
      <c r="B1" t="s">
        <v>23</v>
      </c>
      <c r="C1" t="s">
        <v>1</v>
      </c>
      <c r="D1" t="s">
        <v>2</v>
      </c>
      <c r="E1" t="s">
        <v>24</v>
      </c>
      <c r="F1" t="s">
        <v>3</v>
      </c>
      <c r="G1" t="s">
        <v>33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25</v>
      </c>
    </row>
    <row r="2" spans="1:20" ht="25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H2" s="1">
        <v>0.86</v>
      </c>
      <c r="I2" s="1">
        <v>0.83</v>
      </c>
      <c r="J2" s="1">
        <v>0.89</v>
      </c>
      <c r="K2" s="1">
        <v>0.83</v>
      </c>
      <c r="L2" s="1">
        <v>0.81</v>
      </c>
      <c r="M2" s="1">
        <v>0.83</v>
      </c>
      <c r="N2" s="1">
        <v>0.88</v>
      </c>
      <c r="O2" s="1">
        <v>0.81</v>
      </c>
      <c r="P2" s="1">
        <v>0.85</v>
      </c>
      <c r="Q2" s="1">
        <v>0.81</v>
      </c>
      <c r="R2" s="1">
        <v>0.79</v>
      </c>
      <c r="S2" s="1">
        <v>0.82</v>
      </c>
      <c r="T2" s="1">
        <f>_xlfn.LET(_xlpm.d,$H2:$S2,MAX(_xlpm.d))</f>
        <v>0.89</v>
      </c>
    </row>
    <row r="3" spans="1:20" ht="25" customHeight="1">
      <c r="A3" t="s">
        <v>16</v>
      </c>
      <c r="B3">
        <v>1</v>
      </c>
      <c r="C3" t="s">
        <v>17</v>
      </c>
      <c r="D3" t="b">
        <v>1</v>
      </c>
      <c r="E3">
        <v>2</v>
      </c>
      <c r="F3" t="s">
        <v>18</v>
      </c>
      <c r="H3" s="1">
        <v>0.93</v>
      </c>
      <c r="I3" s="1">
        <v>0.86</v>
      </c>
      <c r="J3" s="1">
        <v>0.91</v>
      </c>
      <c r="K3" s="1">
        <v>0.88</v>
      </c>
      <c r="L3" s="1">
        <v>0.83</v>
      </c>
      <c r="M3" s="1">
        <v>0.89</v>
      </c>
      <c r="N3" s="1">
        <v>0.9</v>
      </c>
      <c r="O3" s="1">
        <v>0.83</v>
      </c>
      <c r="P3" s="1">
        <v>0.85</v>
      </c>
      <c r="Q3" s="1">
        <v>0.85</v>
      </c>
      <c r="R3" s="1">
        <v>0.81</v>
      </c>
      <c r="S3" s="1">
        <v>0.84</v>
      </c>
      <c r="T3" s="1">
        <f>_xlfn.LET(_xlpm.d,$H3:$S3,MAX(_xlpm.d))</f>
        <v>0.93</v>
      </c>
    </row>
    <row r="4" spans="1:20" ht="25" customHeight="1">
      <c r="A4" t="s">
        <v>16</v>
      </c>
      <c r="B4">
        <v>1</v>
      </c>
      <c r="C4" t="s">
        <v>17</v>
      </c>
      <c r="D4" t="b">
        <v>1</v>
      </c>
      <c r="E4">
        <v>3</v>
      </c>
      <c r="F4" t="s">
        <v>19</v>
      </c>
      <c r="H4" s="1">
        <v>0.94</v>
      </c>
      <c r="I4" s="1">
        <v>0.82</v>
      </c>
      <c r="J4" s="1">
        <v>0.9</v>
      </c>
      <c r="K4" s="1">
        <v>0.86</v>
      </c>
      <c r="L4" s="1">
        <v>0.83</v>
      </c>
      <c r="M4" s="1">
        <v>0.81</v>
      </c>
      <c r="N4" s="1">
        <v>0.86</v>
      </c>
      <c r="O4" s="1">
        <v>0.82</v>
      </c>
      <c r="P4" s="1">
        <v>0.85</v>
      </c>
      <c r="Q4" s="1">
        <v>0.82</v>
      </c>
      <c r="R4" s="1">
        <v>0.81</v>
      </c>
      <c r="S4" s="1">
        <v>0.8</v>
      </c>
      <c r="T4" s="1">
        <f>_xlfn.LET(_xlpm.d,$H4:$S4,MAX(_xlpm.d))</f>
        <v>0.94</v>
      </c>
    </row>
    <row r="5" spans="1:20" ht="25" customHeight="1">
      <c r="A5" t="s">
        <v>16</v>
      </c>
      <c r="B5">
        <v>1</v>
      </c>
      <c r="C5" t="s">
        <v>17</v>
      </c>
      <c r="D5" t="b">
        <v>0</v>
      </c>
      <c r="E5">
        <v>1</v>
      </c>
      <c r="F5" t="s">
        <v>20</v>
      </c>
      <c r="H5" s="1">
        <v>0.86</v>
      </c>
      <c r="I5" s="1">
        <v>0.8</v>
      </c>
      <c r="J5" s="1">
        <v>0.81</v>
      </c>
      <c r="K5" s="1">
        <v>0.79</v>
      </c>
      <c r="L5" s="1">
        <v>0.81</v>
      </c>
      <c r="M5" s="1">
        <v>0.84</v>
      </c>
      <c r="N5" s="1">
        <v>0.84</v>
      </c>
      <c r="O5" s="1">
        <v>0.78</v>
      </c>
      <c r="P5" s="1">
        <v>0.76</v>
      </c>
      <c r="Q5" s="1">
        <v>0.82</v>
      </c>
      <c r="R5" s="1">
        <v>0.77</v>
      </c>
      <c r="S5" s="1">
        <v>0.82</v>
      </c>
      <c r="T5" s="1">
        <f>_xlfn.LET(_xlpm.d,$H5:$S5,MAX(_xlpm.d))</f>
        <v>0.86</v>
      </c>
    </row>
    <row r="6" spans="1:20" ht="25" customHeight="1">
      <c r="A6" t="s">
        <v>16</v>
      </c>
      <c r="B6">
        <v>1</v>
      </c>
      <c r="C6" t="s">
        <v>17</v>
      </c>
      <c r="D6" t="b">
        <v>0</v>
      </c>
      <c r="E6">
        <v>2</v>
      </c>
      <c r="F6" t="s">
        <v>18</v>
      </c>
      <c r="H6" s="1">
        <v>0.85</v>
      </c>
      <c r="I6" s="1">
        <v>0.78</v>
      </c>
      <c r="J6" s="1">
        <v>0.82</v>
      </c>
      <c r="K6" s="1">
        <v>0.88</v>
      </c>
      <c r="L6" s="1">
        <v>0.81</v>
      </c>
      <c r="M6" s="1">
        <v>0.85</v>
      </c>
      <c r="N6" s="1">
        <v>0.84</v>
      </c>
      <c r="O6" s="1">
        <v>0.79</v>
      </c>
      <c r="P6" s="1">
        <v>0.82</v>
      </c>
      <c r="Q6" s="1">
        <v>0.83</v>
      </c>
      <c r="R6" s="1">
        <v>0.8</v>
      </c>
      <c r="S6" s="1">
        <v>0.88</v>
      </c>
      <c r="T6" s="1">
        <f>_xlfn.LET(_xlpm.d,$H6:$S6,MAX(_xlpm.d))</f>
        <v>0.88</v>
      </c>
    </row>
    <row r="7" spans="1:20" ht="25" customHeight="1">
      <c r="A7" t="s">
        <v>16</v>
      </c>
      <c r="B7">
        <v>1</v>
      </c>
      <c r="C7" t="s">
        <v>17</v>
      </c>
      <c r="D7" t="b">
        <v>0</v>
      </c>
      <c r="E7">
        <v>3</v>
      </c>
      <c r="F7" t="s">
        <v>19</v>
      </c>
      <c r="H7" s="1">
        <v>0.79</v>
      </c>
      <c r="I7" s="1">
        <v>0.79</v>
      </c>
      <c r="J7" s="1">
        <v>0.8</v>
      </c>
      <c r="K7" s="1">
        <v>0.83</v>
      </c>
      <c r="L7" s="1">
        <v>0.82</v>
      </c>
      <c r="M7" s="1">
        <v>0.84</v>
      </c>
      <c r="N7" s="1">
        <v>0.79</v>
      </c>
      <c r="O7" s="1">
        <v>0.76</v>
      </c>
      <c r="P7" s="1">
        <v>0.81</v>
      </c>
      <c r="Q7" s="1">
        <v>0.84</v>
      </c>
      <c r="R7" s="1">
        <v>0.82</v>
      </c>
      <c r="S7" s="1">
        <v>0.82</v>
      </c>
      <c r="T7" s="1">
        <f>_xlfn.LET(_xlpm.d,$H7:$S7,MAX(_xlpm.d))</f>
        <v>0.84</v>
      </c>
    </row>
    <row r="8" spans="1:20" ht="25" customHeight="1">
      <c r="A8" t="s">
        <v>16</v>
      </c>
      <c r="B8">
        <v>2</v>
      </c>
      <c r="C8" t="s">
        <v>21</v>
      </c>
      <c r="D8" t="b">
        <v>1</v>
      </c>
      <c r="E8">
        <v>1</v>
      </c>
      <c r="F8" t="s">
        <v>20</v>
      </c>
      <c r="H8" s="1">
        <v>0.51</v>
      </c>
      <c r="I8" s="1">
        <v>0.6</v>
      </c>
      <c r="J8" s="1">
        <v>0.51</v>
      </c>
      <c r="K8" s="1">
        <v>0.48</v>
      </c>
      <c r="L8" s="1">
        <v>0.45</v>
      </c>
      <c r="M8" s="1">
        <v>0.51</v>
      </c>
      <c r="N8" s="1">
        <v>0.59</v>
      </c>
      <c r="O8" s="1">
        <v>0.53</v>
      </c>
      <c r="P8" s="1">
        <v>0.56000000000000005</v>
      </c>
      <c r="Q8" s="1">
        <v>0.53</v>
      </c>
      <c r="R8" s="1">
        <v>0.47</v>
      </c>
      <c r="S8" s="1">
        <v>0.4</v>
      </c>
      <c r="T8" s="1">
        <f>_xlfn.LET(_xlpm.d,$H8:$S8,MAX(_xlpm.d))</f>
        <v>0.6</v>
      </c>
    </row>
    <row r="9" spans="1:20" ht="25" customHeight="1">
      <c r="A9" t="s">
        <v>16</v>
      </c>
      <c r="B9">
        <v>2</v>
      </c>
      <c r="C9" t="s">
        <v>21</v>
      </c>
      <c r="D9" t="b">
        <v>1</v>
      </c>
      <c r="E9">
        <v>2</v>
      </c>
      <c r="F9" t="s">
        <v>18</v>
      </c>
      <c r="H9" s="1">
        <v>0.67</v>
      </c>
      <c r="I9" s="1">
        <v>0.69</v>
      </c>
      <c r="J9" s="1">
        <v>0.65</v>
      </c>
      <c r="K9" s="1">
        <v>0.65</v>
      </c>
      <c r="L9" s="1">
        <v>0.56000000000000005</v>
      </c>
      <c r="M9" s="1">
        <v>0.62</v>
      </c>
      <c r="N9" s="1">
        <v>0.66</v>
      </c>
      <c r="O9" s="1">
        <v>0.69</v>
      </c>
      <c r="P9" s="1">
        <v>0.71</v>
      </c>
      <c r="Q9" s="1">
        <v>0.64</v>
      </c>
      <c r="R9" s="1">
        <v>0.65</v>
      </c>
      <c r="S9" s="1">
        <v>0.6</v>
      </c>
      <c r="T9" s="1">
        <f>_xlfn.LET(_xlpm.d,$H9:$S9,MAX(_xlpm.d))</f>
        <v>0.71</v>
      </c>
    </row>
    <row r="10" spans="1:20" ht="25" customHeight="1">
      <c r="A10" t="s">
        <v>16</v>
      </c>
      <c r="B10">
        <v>2</v>
      </c>
      <c r="C10" t="s">
        <v>21</v>
      </c>
      <c r="D10" t="b">
        <v>1</v>
      </c>
      <c r="E10">
        <v>3</v>
      </c>
      <c r="F10" t="s">
        <v>19</v>
      </c>
      <c r="H10" s="1">
        <v>0.65</v>
      </c>
      <c r="I10" s="1">
        <v>0.69</v>
      </c>
      <c r="J10" s="1">
        <v>0.63</v>
      </c>
      <c r="K10" s="1">
        <v>0.67</v>
      </c>
      <c r="L10" s="1">
        <v>0.6</v>
      </c>
      <c r="M10" s="1">
        <v>0.69</v>
      </c>
      <c r="N10" s="1">
        <v>0.57999999999999996</v>
      </c>
      <c r="O10" s="1">
        <v>0.63</v>
      </c>
      <c r="P10" s="1">
        <v>0.73</v>
      </c>
      <c r="Q10" s="1">
        <v>0.64</v>
      </c>
      <c r="R10" s="1">
        <v>0.67</v>
      </c>
      <c r="S10" s="1">
        <v>0.62</v>
      </c>
      <c r="T10" s="1">
        <f>_xlfn.LET(_xlpm.d,$H10:$S10,MAX(_xlpm.d))</f>
        <v>0.73</v>
      </c>
    </row>
    <row r="11" spans="1:20" ht="25" customHeight="1">
      <c r="A11" t="s">
        <v>16</v>
      </c>
      <c r="B11">
        <v>2</v>
      </c>
      <c r="C11" t="s">
        <v>21</v>
      </c>
      <c r="D11" t="b">
        <v>0</v>
      </c>
      <c r="E11">
        <v>1</v>
      </c>
      <c r="F11" t="s">
        <v>20</v>
      </c>
      <c r="H11" s="1">
        <v>0.56999999999999995</v>
      </c>
      <c r="I11" s="1">
        <v>0.61</v>
      </c>
      <c r="J11" s="1">
        <v>0.48</v>
      </c>
      <c r="K11" s="1">
        <v>0.45</v>
      </c>
      <c r="L11" s="1">
        <v>0.48</v>
      </c>
      <c r="M11" s="1">
        <v>0.48</v>
      </c>
      <c r="N11" s="1">
        <v>0.49</v>
      </c>
      <c r="O11" s="1">
        <v>0.47</v>
      </c>
      <c r="P11" s="1">
        <v>0.56000000000000005</v>
      </c>
      <c r="Q11" s="1">
        <v>0.48</v>
      </c>
      <c r="R11" s="1">
        <v>0.45</v>
      </c>
      <c r="S11" s="1">
        <v>0.4</v>
      </c>
      <c r="T11" s="1">
        <f>_xlfn.LET(_xlpm.d,$H11:$S11,MAX(_xlpm.d))</f>
        <v>0.61</v>
      </c>
    </row>
    <row r="12" spans="1:20" ht="25" customHeight="1">
      <c r="A12" t="s">
        <v>16</v>
      </c>
      <c r="B12">
        <v>2</v>
      </c>
      <c r="C12" t="s">
        <v>21</v>
      </c>
      <c r="D12" t="b">
        <v>0</v>
      </c>
      <c r="E12">
        <v>2</v>
      </c>
      <c r="F12" t="s">
        <v>18</v>
      </c>
      <c r="H12" s="1">
        <v>0.68</v>
      </c>
      <c r="I12" s="1">
        <v>0.65</v>
      </c>
      <c r="J12" s="1">
        <v>0.6</v>
      </c>
      <c r="K12" s="1">
        <v>0.56000000000000005</v>
      </c>
      <c r="L12" s="1">
        <v>0.55000000000000004</v>
      </c>
      <c r="M12" s="1">
        <v>0.61</v>
      </c>
      <c r="N12" s="1">
        <v>0.61</v>
      </c>
      <c r="O12" s="1">
        <v>0.66</v>
      </c>
      <c r="P12" s="1">
        <v>0.66</v>
      </c>
      <c r="Q12" s="1">
        <v>0.65</v>
      </c>
      <c r="R12" s="1">
        <v>0.64</v>
      </c>
      <c r="S12" s="1">
        <v>0.54</v>
      </c>
      <c r="T12" s="1">
        <f>_xlfn.LET(_xlpm.d,$H12:$S12,MAX(_xlpm.d))</f>
        <v>0.68</v>
      </c>
    </row>
    <row r="13" spans="1:20" ht="25" customHeight="1">
      <c r="A13" t="s">
        <v>16</v>
      </c>
      <c r="B13">
        <v>2</v>
      </c>
      <c r="C13" t="s">
        <v>21</v>
      </c>
      <c r="D13" t="b">
        <v>0</v>
      </c>
      <c r="E13">
        <v>3</v>
      </c>
      <c r="F13" t="s">
        <v>19</v>
      </c>
      <c r="H13" s="1">
        <v>0.69</v>
      </c>
      <c r="I13" s="1">
        <v>0.69</v>
      </c>
      <c r="J13" s="1">
        <v>0.56999999999999995</v>
      </c>
      <c r="K13" s="1">
        <v>0.65</v>
      </c>
      <c r="L13" s="1">
        <v>0.59</v>
      </c>
      <c r="M13" s="1">
        <v>0.66</v>
      </c>
      <c r="N13" s="1">
        <v>0.57999999999999996</v>
      </c>
      <c r="O13" s="1">
        <v>0.65</v>
      </c>
      <c r="P13" s="1">
        <v>0.69</v>
      </c>
      <c r="Q13" s="1">
        <v>0.6</v>
      </c>
      <c r="R13" s="1">
        <v>0.63</v>
      </c>
      <c r="S13" s="1">
        <v>0.66</v>
      </c>
      <c r="T13" s="1">
        <f>_xlfn.LET(_xlpm.d,$H13:$S13,MAX(_xlpm.d))</f>
        <v>0.69</v>
      </c>
    </row>
    <row r="14" spans="1:20" ht="25" customHeight="1">
      <c r="A14" t="s">
        <v>16</v>
      </c>
      <c r="B14">
        <v>3</v>
      </c>
      <c r="C14" t="s">
        <v>22</v>
      </c>
      <c r="D14" t="b">
        <v>1</v>
      </c>
      <c r="E14">
        <v>1</v>
      </c>
      <c r="F14" t="s">
        <v>20</v>
      </c>
      <c r="H14" s="1">
        <v>0.55000000000000004</v>
      </c>
      <c r="I14" s="1">
        <v>0.51</v>
      </c>
      <c r="J14" s="1">
        <v>0.54</v>
      </c>
      <c r="K14" s="1">
        <v>0.52</v>
      </c>
      <c r="L14" s="1">
        <v>0.47</v>
      </c>
      <c r="M14" s="1">
        <v>0.46</v>
      </c>
      <c r="N14" s="1">
        <v>0.45</v>
      </c>
      <c r="O14" s="1">
        <v>0.51</v>
      </c>
      <c r="P14" s="1">
        <v>0.49</v>
      </c>
      <c r="Q14" s="1">
        <v>0.35</v>
      </c>
      <c r="R14" s="1">
        <v>0.41</v>
      </c>
      <c r="S14" s="1">
        <v>0.36</v>
      </c>
      <c r="T14" s="1">
        <f>_xlfn.LET(_xlpm.d,$H14:$S14,MAX(_xlpm.d))</f>
        <v>0.55000000000000004</v>
      </c>
    </row>
    <row r="15" spans="1:20" ht="25" customHeight="1">
      <c r="A15" t="s">
        <v>16</v>
      </c>
      <c r="B15">
        <v>3</v>
      </c>
      <c r="C15" t="s">
        <v>22</v>
      </c>
      <c r="D15" t="b">
        <v>1</v>
      </c>
      <c r="E15">
        <v>2</v>
      </c>
      <c r="F15" t="s">
        <v>18</v>
      </c>
      <c r="H15" s="1">
        <v>0.55000000000000004</v>
      </c>
      <c r="I15" s="1">
        <v>0.6</v>
      </c>
      <c r="J15" s="1">
        <v>0.55000000000000004</v>
      </c>
      <c r="K15" s="1">
        <v>0.48</v>
      </c>
      <c r="L15" s="1">
        <v>0.54</v>
      </c>
      <c r="M15" s="1">
        <v>0.54</v>
      </c>
      <c r="N15" s="1">
        <v>0.55000000000000004</v>
      </c>
      <c r="O15" s="1">
        <v>0.56000000000000005</v>
      </c>
      <c r="P15" s="1">
        <v>0.48</v>
      </c>
      <c r="Q15" s="1">
        <v>0.47</v>
      </c>
      <c r="R15" s="1">
        <v>0.51</v>
      </c>
      <c r="S15" s="1">
        <v>0.54</v>
      </c>
      <c r="T15" s="1">
        <f>_xlfn.LET(_xlpm.d,$H15:$S15,MAX(_xlpm.d))</f>
        <v>0.6</v>
      </c>
    </row>
    <row r="16" spans="1:20" ht="25" customHeight="1">
      <c r="A16" t="s">
        <v>16</v>
      </c>
      <c r="B16">
        <v>3</v>
      </c>
      <c r="C16" t="s">
        <v>22</v>
      </c>
      <c r="D16" t="b">
        <v>1</v>
      </c>
      <c r="E16">
        <v>3</v>
      </c>
      <c r="F16" t="s">
        <v>19</v>
      </c>
      <c r="H16" s="1">
        <v>0.52</v>
      </c>
      <c r="I16" s="1">
        <v>0.44</v>
      </c>
      <c r="J16" s="1">
        <v>0.47</v>
      </c>
      <c r="K16" s="1">
        <v>0.4</v>
      </c>
      <c r="L16" s="1">
        <v>0.45</v>
      </c>
      <c r="M16" s="1">
        <v>0.41</v>
      </c>
      <c r="N16" s="1">
        <v>0.45</v>
      </c>
      <c r="O16" s="1">
        <v>0.42</v>
      </c>
      <c r="P16" s="1">
        <v>0.43</v>
      </c>
      <c r="Q16" s="1">
        <v>0.42</v>
      </c>
      <c r="R16" s="1">
        <v>0.37</v>
      </c>
      <c r="S16" s="1">
        <v>0.39</v>
      </c>
      <c r="T16" s="1">
        <f>_xlfn.LET(_xlpm.d,$H16:$S16,MAX(_xlpm.d))</f>
        <v>0.52</v>
      </c>
    </row>
    <row r="17" spans="1:20" ht="25" customHeight="1">
      <c r="A17" t="s">
        <v>16</v>
      </c>
      <c r="B17">
        <v>3</v>
      </c>
      <c r="C17" t="s">
        <v>22</v>
      </c>
      <c r="D17" t="b">
        <v>0</v>
      </c>
      <c r="E17">
        <v>1</v>
      </c>
      <c r="F17" t="s">
        <v>20</v>
      </c>
      <c r="H17" s="1">
        <v>0.41</v>
      </c>
      <c r="I17" s="1">
        <v>0.47</v>
      </c>
      <c r="J17" s="1">
        <v>0.4</v>
      </c>
      <c r="K17" s="1">
        <v>0.39</v>
      </c>
      <c r="L17" s="1">
        <v>0.5</v>
      </c>
      <c r="M17" s="1">
        <v>0.4</v>
      </c>
      <c r="N17" s="1">
        <v>0.37</v>
      </c>
      <c r="O17" s="1">
        <v>0.43</v>
      </c>
      <c r="P17" s="1">
        <v>0.32</v>
      </c>
      <c r="Q17" s="1">
        <v>0.31</v>
      </c>
      <c r="R17" s="1">
        <v>0.33</v>
      </c>
      <c r="S17" s="1">
        <v>0.37</v>
      </c>
      <c r="T17" s="1">
        <f>_xlfn.LET(_xlpm.d,$H17:$S17,MAX(_xlpm.d))</f>
        <v>0.5</v>
      </c>
    </row>
    <row r="18" spans="1:20" ht="25" customHeight="1">
      <c r="A18" t="s">
        <v>16</v>
      </c>
      <c r="B18">
        <v>3</v>
      </c>
      <c r="C18" t="s">
        <v>22</v>
      </c>
      <c r="D18" t="b">
        <v>0</v>
      </c>
      <c r="E18">
        <v>2</v>
      </c>
      <c r="F18" t="s">
        <v>18</v>
      </c>
      <c r="H18" s="1">
        <v>0.42</v>
      </c>
      <c r="I18" s="1">
        <v>0.5</v>
      </c>
      <c r="J18" s="1">
        <v>0.45</v>
      </c>
      <c r="K18" s="1">
        <v>0.46</v>
      </c>
      <c r="L18" s="1">
        <v>0.53</v>
      </c>
      <c r="M18" s="1">
        <v>0.45</v>
      </c>
      <c r="N18" s="1">
        <v>0.41</v>
      </c>
      <c r="O18" s="1">
        <v>0.43</v>
      </c>
      <c r="P18" s="1">
        <v>0.44</v>
      </c>
      <c r="Q18" s="1">
        <v>0.4</v>
      </c>
      <c r="R18" s="1">
        <v>0.43</v>
      </c>
      <c r="S18" s="1">
        <v>0.47</v>
      </c>
      <c r="T18" s="1">
        <f>_xlfn.LET(_xlpm.d,$H18:$S18,MAX(_xlpm.d))</f>
        <v>0.53</v>
      </c>
    </row>
    <row r="19" spans="1:20" ht="25" customHeight="1">
      <c r="A19" t="s">
        <v>16</v>
      </c>
      <c r="B19">
        <v>3</v>
      </c>
      <c r="C19" t="s">
        <v>22</v>
      </c>
      <c r="D19" t="b">
        <v>0</v>
      </c>
      <c r="E19">
        <v>3</v>
      </c>
      <c r="F19" t="s">
        <v>19</v>
      </c>
      <c r="H19" s="1">
        <v>0.41</v>
      </c>
      <c r="I19" s="1">
        <v>0.42</v>
      </c>
      <c r="J19" s="1">
        <v>0.4</v>
      </c>
      <c r="K19" s="1">
        <v>0.37</v>
      </c>
      <c r="L19" s="1">
        <v>0.42</v>
      </c>
      <c r="M19" s="1">
        <v>0.38</v>
      </c>
      <c r="N19" s="1">
        <v>0.42</v>
      </c>
      <c r="O19" s="1">
        <v>0.43</v>
      </c>
      <c r="P19" s="1">
        <v>0.37</v>
      </c>
      <c r="Q19" s="1">
        <v>0.33</v>
      </c>
      <c r="R19" s="1">
        <v>0.36</v>
      </c>
      <c r="S19" s="1">
        <v>0.32</v>
      </c>
      <c r="T19" s="1">
        <f>_xlfn.LET(_xlpm.d,$H19:$S19,MAX(_xlpm.d))</f>
        <v>0.43</v>
      </c>
    </row>
    <row r="22" spans="1:20" ht="25" customHeight="1">
      <c r="B22" t="s">
        <v>23</v>
      </c>
      <c r="C22" t="s">
        <v>1</v>
      </c>
      <c r="D22" t="s">
        <v>26</v>
      </c>
      <c r="E22" t="s">
        <v>24</v>
      </c>
      <c r="F22" t="s">
        <v>3</v>
      </c>
      <c r="G22" t="s">
        <v>33</v>
      </c>
      <c r="H22" t="s">
        <v>4</v>
      </c>
      <c r="I22" t="s">
        <v>5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t="s">
        <v>15</v>
      </c>
      <c r="T22" t="s">
        <v>25</v>
      </c>
    </row>
    <row r="23" spans="1:20" ht="25" customHeight="1">
      <c r="B23">
        <v>1</v>
      </c>
      <c r="C23" t="s">
        <v>17</v>
      </c>
      <c r="D23" t="b">
        <v>1</v>
      </c>
      <c r="E23">
        <v>1</v>
      </c>
      <c r="F23" t="s">
        <v>25</v>
      </c>
      <c r="H23" s="1" cm="1">
        <f t="array" ref="H23">_xlfn.LET(_xlpm.d,H$2:H$19,_xlpm.a,$C$2:$C$19=$C23,_xlpm.b,$D$2:$D$19=$D23,MAX(_xlfn._xlws.FILTER(_xlpm.d,_xlpm.a*_xlpm.b)))</f>
        <v>0.94</v>
      </c>
      <c r="I23" s="1" cm="1">
        <f t="array" ref="I23">_xlfn.LET(_xlpm.d,I$2:I$19,_xlpm.a,$C$2:$C$19=$C23,_xlpm.b,$D$2:$D$19=$D23,MAX(_xlfn._xlws.FILTER(_xlpm.d,_xlpm.a*_xlpm.b)))</f>
        <v>0.86</v>
      </c>
      <c r="J23" s="1" cm="1">
        <f t="array" ref="J23">_xlfn.LET(_xlpm.d,J$2:J$19,_xlpm.a,$C$2:$C$19=$C23,_xlpm.b,$D$2:$D$19=$D23,MAX(_xlfn._xlws.FILTER(_xlpm.d,_xlpm.a*_xlpm.b)))</f>
        <v>0.91</v>
      </c>
      <c r="K23" s="1" cm="1">
        <f t="array" ref="K23">_xlfn.LET(_xlpm.d,K$2:K$19,_xlpm.a,$C$2:$C$19=$C23,_xlpm.b,$D$2:$D$19=$D23,MAX(_xlfn._xlws.FILTER(_xlpm.d,_xlpm.a*_xlpm.b)))</f>
        <v>0.88</v>
      </c>
      <c r="L23" s="1" cm="1">
        <f t="array" ref="L23">_xlfn.LET(_xlpm.d,L$2:L$19,_xlpm.a,$C$2:$C$19=$C23,_xlpm.b,$D$2:$D$19=$D23,MAX(_xlfn._xlws.FILTER(_xlpm.d,_xlpm.a*_xlpm.b)))</f>
        <v>0.83</v>
      </c>
      <c r="M23" s="1" cm="1">
        <f t="array" ref="M23">_xlfn.LET(_xlpm.d,M$2:M$19,_xlpm.a,$C$2:$C$19=$C23,_xlpm.b,$D$2:$D$19=$D23,MAX(_xlfn._xlws.FILTER(_xlpm.d,_xlpm.a*_xlpm.b)))</f>
        <v>0.89</v>
      </c>
      <c r="N23" s="1" cm="1">
        <f t="array" ref="N23">_xlfn.LET(_xlpm.d,N$2:N$19,_xlpm.a,$C$2:$C$19=$C23,_xlpm.b,$D$2:$D$19=$D23,MAX(_xlfn._xlws.FILTER(_xlpm.d,_xlpm.a*_xlpm.b)))</f>
        <v>0.9</v>
      </c>
      <c r="O23" s="1" cm="1">
        <f t="array" ref="O23">_xlfn.LET(_xlpm.d,O$2:O$19,_xlpm.a,$C$2:$C$19=$C23,_xlpm.b,$D$2:$D$19=$D23,MAX(_xlfn._xlws.FILTER(_xlpm.d,_xlpm.a*_xlpm.b)))</f>
        <v>0.83</v>
      </c>
      <c r="P23" s="1" cm="1">
        <f t="array" ref="P23">_xlfn.LET(_xlpm.d,P$2:P$19,_xlpm.a,$C$2:$C$19=$C23,_xlpm.b,$D$2:$D$19=$D23,MAX(_xlfn._xlws.FILTER(_xlpm.d,_xlpm.a*_xlpm.b)))</f>
        <v>0.85</v>
      </c>
      <c r="Q23" s="1" cm="1">
        <f t="array" ref="Q23">_xlfn.LET(_xlpm.d,Q$2:Q$19,_xlpm.a,$C$2:$C$19=$C23,_xlpm.b,$D$2:$D$19=$D23,MAX(_xlfn._xlws.FILTER(_xlpm.d,_xlpm.a*_xlpm.b)))</f>
        <v>0.85</v>
      </c>
      <c r="R23" s="1" cm="1">
        <f t="array" ref="R23">_xlfn.LET(_xlpm.d,R$2:R$19,_xlpm.a,$C$2:$C$19=$C23,_xlpm.b,$D$2:$D$19=$D23,MAX(_xlfn._xlws.FILTER(_xlpm.d,_xlpm.a*_xlpm.b)))</f>
        <v>0.81</v>
      </c>
      <c r="S23" s="1" cm="1">
        <f t="array" ref="S23">_xlfn.LET(_xlpm.d,S$2:S$19,_xlpm.a,$C$2:$C$19=$C23,_xlpm.b,$D$2:$D$19=$D23,MAX(_xlfn._xlws.FILTER(_xlpm.d,_xlpm.a*_xlpm.b)))</f>
        <v>0.84</v>
      </c>
      <c r="T23" s="1">
        <f t="shared" ref="T23:T28" si="0">_xlfn.LET(_xlpm.d,$H23:$S23,MAX(_xlpm.d))</f>
        <v>0.94</v>
      </c>
    </row>
    <row r="24" spans="1:20" ht="25" customHeight="1">
      <c r="B24">
        <v>1</v>
      </c>
      <c r="C24" t="s">
        <v>17</v>
      </c>
      <c r="D24" t="b">
        <v>0</v>
      </c>
      <c r="E24">
        <v>1</v>
      </c>
      <c r="F24" t="s">
        <v>25</v>
      </c>
      <c r="H24" s="1" cm="1">
        <f t="array" ref="H24">_xlfn.LET(_xlpm.d,H$2:H$19,_xlpm.a,$C$2:$C$19=$C24,_xlpm.b,$D$2:$D$19=$D24,MAX(_xlfn._xlws.FILTER(_xlpm.d,_xlpm.a*_xlpm.b)))</f>
        <v>0.86</v>
      </c>
      <c r="I24" s="1" cm="1">
        <f t="array" ref="I24">_xlfn.LET(_xlpm.d,I$2:I$19,_xlpm.a,$C$2:$C$19=$C24,_xlpm.b,$D$2:$D$19=$D24,MAX(_xlfn._xlws.FILTER(_xlpm.d,_xlpm.a*_xlpm.b)))</f>
        <v>0.8</v>
      </c>
      <c r="J24" s="1" cm="1">
        <f t="array" ref="J24">_xlfn.LET(_xlpm.d,J$2:J$19,_xlpm.a,$C$2:$C$19=$C24,_xlpm.b,$D$2:$D$19=$D24,MAX(_xlfn._xlws.FILTER(_xlpm.d,_xlpm.a*_xlpm.b)))</f>
        <v>0.82</v>
      </c>
      <c r="K24" s="1" cm="1">
        <f t="array" ref="K24">_xlfn.LET(_xlpm.d,K$2:K$19,_xlpm.a,$C$2:$C$19=$C24,_xlpm.b,$D$2:$D$19=$D24,MAX(_xlfn._xlws.FILTER(_xlpm.d,_xlpm.a*_xlpm.b)))</f>
        <v>0.88</v>
      </c>
      <c r="L24" s="1" cm="1">
        <f t="array" ref="L24">_xlfn.LET(_xlpm.d,L$2:L$19,_xlpm.a,$C$2:$C$19=$C24,_xlpm.b,$D$2:$D$19=$D24,MAX(_xlfn._xlws.FILTER(_xlpm.d,_xlpm.a*_xlpm.b)))</f>
        <v>0.82</v>
      </c>
      <c r="M24" s="1" cm="1">
        <f t="array" ref="M24">_xlfn.LET(_xlpm.d,M$2:M$19,_xlpm.a,$C$2:$C$19=$C24,_xlpm.b,$D$2:$D$19=$D24,MAX(_xlfn._xlws.FILTER(_xlpm.d,_xlpm.a*_xlpm.b)))</f>
        <v>0.85</v>
      </c>
      <c r="N24" s="1" cm="1">
        <f t="array" ref="N24">_xlfn.LET(_xlpm.d,N$2:N$19,_xlpm.a,$C$2:$C$19=$C24,_xlpm.b,$D$2:$D$19=$D24,MAX(_xlfn._xlws.FILTER(_xlpm.d,_xlpm.a*_xlpm.b)))</f>
        <v>0.84</v>
      </c>
      <c r="O24" s="1" cm="1">
        <f t="array" ref="O24">_xlfn.LET(_xlpm.d,O$2:O$19,_xlpm.a,$C$2:$C$19=$C24,_xlpm.b,$D$2:$D$19=$D24,MAX(_xlfn._xlws.FILTER(_xlpm.d,_xlpm.a*_xlpm.b)))</f>
        <v>0.79</v>
      </c>
      <c r="P24" s="1" cm="1">
        <f t="array" ref="P24">_xlfn.LET(_xlpm.d,P$2:P$19,_xlpm.a,$C$2:$C$19=$C24,_xlpm.b,$D$2:$D$19=$D24,MAX(_xlfn._xlws.FILTER(_xlpm.d,_xlpm.a*_xlpm.b)))</f>
        <v>0.82</v>
      </c>
      <c r="Q24" s="1" cm="1">
        <f t="array" ref="Q24">_xlfn.LET(_xlpm.d,Q$2:Q$19,_xlpm.a,$C$2:$C$19=$C24,_xlpm.b,$D$2:$D$19=$D24,MAX(_xlfn._xlws.FILTER(_xlpm.d,_xlpm.a*_xlpm.b)))</f>
        <v>0.84</v>
      </c>
      <c r="R24" s="1" cm="1">
        <f t="array" ref="R24">_xlfn.LET(_xlpm.d,R$2:R$19,_xlpm.a,$C$2:$C$19=$C24,_xlpm.b,$D$2:$D$19=$D24,MAX(_xlfn._xlws.FILTER(_xlpm.d,_xlpm.a*_xlpm.b)))</f>
        <v>0.82</v>
      </c>
      <c r="S24" s="1" cm="1">
        <f t="array" ref="S24">_xlfn.LET(_xlpm.d,S$2:S$19,_xlpm.a,$C$2:$C$19=$C24,_xlpm.b,$D$2:$D$19=$D24,MAX(_xlfn._xlws.FILTER(_xlpm.d,_xlpm.a*_xlpm.b)))</f>
        <v>0.88</v>
      </c>
      <c r="T24" s="1">
        <f t="shared" si="0"/>
        <v>0.88</v>
      </c>
    </row>
    <row r="25" spans="1:20" ht="25" customHeight="1">
      <c r="B25">
        <v>2</v>
      </c>
      <c r="C25" t="s">
        <v>21</v>
      </c>
      <c r="D25" t="b">
        <v>1</v>
      </c>
      <c r="E25">
        <v>1</v>
      </c>
      <c r="F25" t="s">
        <v>25</v>
      </c>
      <c r="H25" s="1" cm="1">
        <f t="array" ref="H25">_xlfn.LET(_xlpm.d,H$2:H$19,_xlpm.a,$C$2:$C$19=$C25,_xlpm.b,$D$2:$D$19=$D25,MAX(_xlfn._xlws.FILTER(_xlpm.d,_xlpm.a*_xlpm.b)))</f>
        <v>0.67</v>
      </c>
      <c r="I25" s="1" cm="1">
        <f t="array" ref="I25">_xlfn.LET(_xlpm.d,I$2:I$19,_xlpm.a,$C$2:$C$19=$C25,_xlpm.b,$D$2:$D$19=$D25,MAX(_xlfn._xlws.FILTER(_xlpm.d,_xlpm.a*_xlpm.b)))</f>
        <v>0.69</v>
      </c>
      <c r="J25" s="1" cm="1">
        <f t="array" ref="J25">_xlfn.LET(_xlpm.d,J$2:J$19,_xlpm.a,$C$2:$C$19=$C25,_xlpm.b,$D$2:$D$19=$D25,MAX(_xlfn._xlws.FILTER(_xlpm.d,_xlpm.a*_xlpm.b)))</f>
        <v>0.65</v>
      </c>
      <c r="K25" s="1" cm="1">
        <f t="array" ref="K25">_xlfn.LET(_xlpm.d,K$2:K$19,_xlpm.a,$C$2:$C$19=$C25,_xlpm.b,$D$2:$D$19=$D25,MAX(_xlfn._xlws.FILTER(_xlpm.d,_xlpm.a*_xlpm.b)))</f>
        <v>0.67</v>
      </c>
      <c r="L25" s="1" cm="1">
        <f t="array" ref="L25">_xlfn.LET(_xlpm.d,L$2:L$19,_xlpm.a,$C$2:$C$19=$C25,_xlpm.b,$D$2:$D$19=$D25,MAX(_xlfn._xlws.FILTER(_xlpm.d,_xlpm.a*_xlpm.b)))</f>
        <v>0.6</v>
      </c>
      <c r="M25" s="1" cm="1">
        <f t="array" ref="M25">_xlfn.LET(_xlpm.d,M$2:M$19,_xlpm.a,$C$2:$C$19=$C25,_xlpm.b,$D$2:$D$19=$D25,MAX(_xlfn._xlws.FILTER(_xlpm.d,_xlpm.a*_xlpm.b)))</f>
        <v>0.69</v>
      </c>
      <c r="N25" s="1" cm="1">
        <f t="array" ref="N25">_xlfn.LET(_xlpm.d,N$2:N$19,_xlpm.a,$C$2:$C$19=$C25,_xlpm.b,$D$2:$D$19=$D25,MAX(_xlfn._xlws.FILTER(_xlpm.d,_xlpm.a*_xlpm.b)))</f>
        <v>0.66</v>
      </c>
      <c r="O25" s="1" cm="1">
        <f t="array" ref="O25">_xlfn.LET(_xlpm.d,O$2:O$19,_xlpm.a,$C$2:$C$19=$C25,_xlpm.b,$D$2:$D$19=$D25,MAX(_xlfn._xlws.FILTER(_xlpm.d,_xlpm.a*_xlpm.b)))</f>
        <v>0.69</v>
      </c>
      <c r="P25" s="1" cm="1">
        <f t="array" ref="P25">_xlfn.LET(_xlpm.d,P$2:P$19,_xlpm.a,$C$2:$C$19=$C25,_xlpm.b,$D$2:$D$19=$D25,MAX(_xlfn._xlws.FILTER(_xlpm.d,_xlpm.a*_xlpm.b)))</f>
        <v>0.73</v>
      </c>
      <c r="Q25" s="1" cm="1">
        <f t="array" ref="Q25">_xlfn.LET(_xlpm.d,Q$2:Q$19,_xlpm.a,$C$2:$C$19=$C25,_xlpm.b,$D$2:$D$19=$D25,MAX(_xlfn._xlws.FILTER(_xlpm.d,_xlpm.a*_xlpm.b)))</f>
        <v>0.64</v>
      </c>
      <c r="R25" s="1" cm="1">
        <f t="array" ref="R25">_xlfn.LET(_xlpm.d,R$2:R$19,_xlpm.a,$C$2:$C$19=$C25,_xlpm.b,$D$2:$D$19=$D25,MAX(_xlfn._xlws.FILTER(_xlpm.d,_xlpm.a*_xlpm.b)))</f>
        <v>0.67</v>
      </c>
      <c r="S25" s="1" cm="1">
        <f t="array" ref="S25">_xlfn.LET(_xlpm.d,S$2:S$19,_xlpm.a,$C$2:$C$19=$C25,_xlpm.b,$D$2:$D$19=$D25,MAX(_xlfn._xlws.FILTER(_xlpm.d,_xlpm.a*_xlpm.b)))</f>
        <v>0.62</v>
      </c>
      <c r="T25" s="1">
        <f t="shared" si="0"/>
        <v>0.73</v>
      </c>
    </row>
    <row r="26" spans="1:20" ht="25" customHeight="1">
      <c r="B26">
        <v>2</v>
      </c>
      <c r="C26" t="s">
        <v>21</v>
      </c>
      <c r="D26" t="b">
        <v>0</v>
      </c>
      <c r="E26">
        <v>1</v>
      </c>
      <c r="F26" t="s">
        <v>25</v>
      </c>
      <c r="H26" s="1" cm="1">
        <f t="array" ref="H26">_xlfn.LET(_xlpm.d,H$2:H$19,_xlpm.a,$C$2:$C$19=$C26,_xlpm.b,$D$2:$D$19=$D26,MAX(_xlfn._xlws.FILTER(_xlpm.d,_xlpm.a*_xlpm.b)))</f>
        <v>0.69</v>
      </c>
      <c r="I26" s="1" cm="1">
        <f t="array" ref="I26">_xlfn.LET(_xlpm.d,I$2:I$19,_xlpm.a,$C$2:$C$19=$C26,_xlpm.b,$D$2:$D$19=$D26,MAX(_xlfn._xlws.FILTER(_xlpm.d,_xlpm.a*_xlpm.b)))</f>
        <v>0.69</v>
      </c>
      <c r="J26" s="1" cm="1">
        <f t="array" ref="J26">_xlfn.LET(_xlpm.d,J$2:J$19,_xlpm.a,$C$2:$C$19=$C26,_xlpm.b,$D$2:$D$19=$D26,MAX(_xlfn._xlws.FILTER(_xlpm.d,_xlpm.a*_xlpm.b)))</f>
        <v>0.6</v>
      </c>
      <c r="K26" s="1" cm="1">
        <f t="array" ref="K26">_xlfn.LET(_xlpm.d,K$2:K$19,_xlpm.a,$C$2:$C$19=$C26,_xlpm.b,$D$2:$D$19=$D26,MAX(_xlfn._xlws.FILTER(_xlpm.d,_xlpm.a*_xlpm.b)))</f>
        <v>0.65</v>
      </c>
      <c r="L26" s="1" cm="1">
        <f t="array" ref="L26">_xlfn.LET(_xlpm.d,L$2:L$19,_xlpm.a,$C$2:$C$19=$C26,_xlpm.b,$D$2:$D$19=$D26,MAX(_xlfn._xlws.FILTER(_xlpm.d,_xlpm.a*_xlpm.b)))</f>
        <v>0.59</v>
      </c>
      <c r="M26" s="1" cm="1">
        <f t="array" ref="M26">_xlfn.LET(_xlpm.d,M$2:M$19,_xlpm.a,$C$2:$C$19=$C26,_xlpm.b,$D$2:$D$19=$D26,MAX(_xlfn._xlws.FILTER(_xlpm.d,_xlpm.a*_xlpm.b)))</f>
        <v>0.66</v>
      </c>
      <c r="N26" s="1" cm="1">
        <f t="array" ref="N26">_xlfn.LET(_xlpm.d,N$2:N$19,_xlpm.a,$C$2:$C$19=$C26,_xlpm.b,$D$2:$D$19=$D26,MAX(_xlfn._xlws.FILTER(_xlpm.d,_xlpm.a*_xlpm.b)))</f>
        <v>0.61</v>
      </c>
      <c r="O26" s="1" cm="1">
        <f t="array" ref="O26">_xlfn.LET(_xlpm.d,O$2:O$19,_xlpm.a,$C$2:$C$19=$C26,_xlpm.b,$D$2:$D$19=$D26,MAX(_xlfn._xlws.FILTER(_xlpm.d,_xlpm.a*_xlpm.b)))</f>
        <v>0.66</v>
      </c>
      <c r="P26" s="1" cm="1">
        <f t="array" ref="P26">_xlfn.LET(_xlpm.d,P$2:P$19,_xlpm.a,$C$2:$C$19=$C26,_xlpm.b,$D$2:$D$19=$D26,MAX(_xlfn._xlws.FILTER(_xlpm.d,_xlpm.a*_xlpm.b)))</f>
        <v>0.69</v>
      </c>
      <c r="Q26" s="1" cm="1">
        <f t="array" ref="Q26">_xlfn.LET(_xlpm.d,Q$2:Q$19,_xlpm.a,$C$2:$C$19=$C26,_xlpm.b,$D$2:$D$19=$D26,MAX(_xlfn._xlws.FILTER(_xlpm.d,_xlpm.a*_xlpm.b)))</f>
        <v>0.65</v>
      </c>
      <c r="R26" s="1" cm="1">
        <f t="array" ref="R26">_xlfn.LET(_xlpm.d,R$2:R$19,_xlpm.a,$C$2:$C$19=$C26,_xlpm.b,$D$2:$D$19=$D26,MAX(_xlfn._xlws.FILTER(_xlpm.d,_xlpm.a*_xlpm.b)))</f>
        <v>0.64</v>
      </c>
      <c r="S26" s="1" cm="1">
        <f t="array" ref="S26">_xlfn.LET(_xlpm.d,S$2:S$19,_xlpm.a,$C$2:$C$19=$C26,_xlpm.b,$D$2:$D$19=$D26,MAX(_xlfn._xlws.FILTER(_xlpm.d,_xlpm.a*_xlpm.b)))</f>
        <v>0.66</v>
      </c>
      <c r="T26" s="1">
        <f t="shared" si="0"/>
        <v>0.69</v>
      </c>
    </row>
    <row r="27" spans="1:20" ht="25" customHeight="1">
      <c r="B27">
        <v>3</v>
      </c>
      <c r="C27" t="s">
        <v>22</v>
      </c>
      <c r="D27" t="b">
        <v>1</v>
      </c>
      <c r="E27">
        <v>1</v>
      </c>
      <c r="F27" t="s">
        <v>25</v>
      </c>
      <c r="H27" s="1" cm="1">
        <f t="array" ref="H27">_xlfn.LET(_xlpm.d,H$2:H$19,_xlpm.a,$C$2:$C$19=$C27,_xlpm.b,$D$2:$D$19=$D27,MAX(_xlfn._xlws.FILTER(_xlpm.d,_xlpm.a*_xlpm.b)))</f>
        <v>0.55000000000000004</v>
      </c>
      <c r="I27" s="1" cm="1">
        <f t="array" ref="I27">_xlfn.LET(_xlpm.d,I$2:I$19,_xlpm.a,$C$2:$C$19=$C27,_xlpm.b,$D$2:$D$19=$D27,MAX(_xlfn._xlws.FILTER(_xlpm.d,_xlpm.a*_xlpm.b)))</f>
        <v>0.6</v>
      </c>
      <c r="J27" s="1" cm="1">
        <f t="array" ref="J27">_xlfn.LET(_xlpm.d,J$2:J$19,_xlpm.a,$C$2:$C$19=$C27,_xlpm.b,$D$2:$D$19=$D27,MAX(_xlfn._xlws.FILTER(_xlpm.d,_xlpm.a*_xlpm.b)))</f>
        <v>0.55000000000000004</v>
      </c>
      <c r="K27" s="1" cm="1">
        <f t="array" ref="K27">_xlfn.LET(_xlpm.d,K$2:K$19,_xlpm.a,$C$2:$C$19=$C27,_xlpm.b,$D$2:$D$19=$D27,MAX(_xlfn._xlws.FILTER(_xlpm.d,_xlpm.a*_xlpm.b)))</f>
        <v>0.52</v>
      </c>
      <c r="L27" s="1" cm="1">
        <f t="array" ref="L27">_xlfn.LET(_xlpm.d,L$2:L$19,_xlpm.a,$C$2:$C$19=$C27,_xlpm.b,$D$2:$D$19=$D27,MAX(_xlfn._xlws.FILTER(_xlpm.d,_xlpm.a*_xlpm.b)))</f>
        <v>0.54</v>
      </c>
      <c r="M27" s="1" cm="1">
        <f t="array" ref="M27">_xlfn.LET(_xlpm.d,M$2:M$19,_xlpm.a,$C$2:$C$19=$C27,_xlpm.b,$D$2:$D$19=$D27,MAX(_xlfn._xlws.FILTER(_xlpm.d,_xlpm.a*_xlpm.b)))</f>
        <v>0.54</v>
      </c>
      <c r="N27" s="1" cm="1">
        <f t="array" ref="N27">_xlfn.LET(_xlpm.d,N$2:N$19,_xlpm.a,$C$2:$C$19=$C27,_xlpm.b,$D$2:$D$19=$D27,MAX(_xlfn._xlws.FILTER(_xlpm.d,_xlpm.a*_xlpm.b)))</f>
        <v>0.55000000000000004</v>
      </c>
      <c r="O27" s="1" cm="1">
        <f t="array" ref="O27">_xlfn.LET(_xlpm.d,O$2:O$19,_xlpm.a,$C$2:$C$19=$C27,_xlpm.b,$D$2:$D$19=$D27,MAX(_xlfn._xlws.FILTER(_xlpm.d,_xlpm.a*_xlpm.b)))</f>
        <v>0.56000000000000005</v>
      </c>
      <c r="P27" s="1" cm="1">
        <f t="array" ref="P27">_xlfn.LET(_xlpm.d,P$2:P$19,_xlpm.a,$C$2:$C$19=$C27,_xlpm.b,$D$2:$D$19=$D27,MAX(_xlfn._xlws.FILTER(_xlpm.d,_xlpm.a*_xlpm.b)))</f>
        <v>0.49</v>
      </c>
      <c r="Q27" s="1" cm="1">
        <f t="array" ref="Q27">_xlfn.LET(_xlpm.d,Q$2:Q$19,_xlpm.a,$C$2:$C$19=$C27,_xlpm.b,$D$2:$D$19=$D27,MAX(_xlfn._xlws.FILTER(_xlpm.d,_xlpm.a*_xlpm.b)))</f>
        <v>0.47</v>
      </c>
      <c r="R27" s="1" cm="1">
        <f t="array" ref="R27">_xlfn.LET(_xlpm.d,R$2:R$19,_xlpm.a,$C$2:$C$19=$C27,_xlpm.b,$D$2:$D$19=$D27,MAX(_xlfn._xlws.FILTER(_xlpm.d,_xlpm.a*_xlpm.b)))</f>
        <v>0.51</v>
      </c>
      <c r="S27" s="1" cm="1">
        <f t="array" ref="S27">_xlfn.LET(_xlpm.d,S$2:S$19,_xlpm.a,$C$2:$C$19=$C27,_xlpm.b,$D$2:$D$19=$D27,MAX(_xlfn._xlws.FILTER(_xlpm.d,_xlpm.a*_xlpm.b)))</f>
        <v>0.54</v>
      </c>
      <c r="T27" s="1">
        <f t="shared" si="0"/>
        <v>0.6</v>
      </c>
    </row>
    <row r="28" spans="1:20" ht="25" customHeight="1">
      <c r="B28">
        <v>3</v>
      </c>
      <c r="C28" t="s">
        <v>22</v>
      </c>
      <c r="D28" t="b">
        <v>0</v>
      </c>
      <c r="E28">
        <v>1</v>
      </c>
      <c r="F28" t="s">
        <v>25</v>
      </c>
      <c r="H28" s="1" cm="1">
        <f t="array" ref="H28">_xlfn.LET(_xlpm.d,H$2:H$19,_xlpm.a,$C$2:$C$19=$C28,_xlpm.b,$D$2:$D$19=$D28,MAX(_xlfn._xlws.FILTER(_xlpm.d,_xlpm.a*_xlpm.b)))</f>
        <v>0.42</v>
      </c>
      <c r="I28" s="1" cm="1">
        <f t="array" ref="I28">_xlfn.LET(_xlpm.d,I$2:I$19,_xlpm.a,$C$2:$C$19=$C28,_xlpm.b,$D$2:$D$19=$D28,MAX(_xlfn._xlws.FILTER(_xlpm.d,_xlpm.a*_xlpm.b)))</f>
        <v>0.5</v>
      </c>
      <c r="J28" s="1" cm="1">
        <f t="array" ref="J28">_xlfn.LET(_xlpm.d,J$2:J$19,_xlpm.a,$C$2:$C$19=$C28,_xlpm.b,$D$2:$D$19=$D28,MAX(_xlfn._xlws.FILTER(_xlpm.d,_xlpm.a*_xlpm.b)))</f>
        <v>0.45</v>
      </c>
      <c r="K28" s="1" cm="1">
        <f t="array" ref="K28">_xlfn.LET(_xlpm.d,K$2:K$19,_xlpm.a,$C$2:$C$19=$C28,_xlpm.b,$D$2:$D$19=$D28,MAX(_xlfn._xlws.FILTER(_xlpm.d,_xlpm.a*_xlpm.b)))</f>
        <v>0.46</v>
      </c>
      <c r="L28" s="1" cm="1">
        <f t="array" ref="L28">_xlfn.LET(_xlpm.d,L$2:L$19,_xlpm.a,$C$2:$C$19=$C28,_xlpm.b,$D$2:$D$19=$D28,MAX(_xlfn._xlws.FILTER(_xlpm.d,_xlpm.a*_xlpm.b)))</f>
        <v>0.53</v>
      </c>
      <c r="M28" s="1" cm="1">
        <f t="array" ref="M28">_xlfn.LET(_xlpm.d,M$2:M$19,_xlpm.a,$C$2:$C$19=$C28,_xlpm.b,$D$2:$D$19=$D28,MAX(_xlfn._xlws.FILTER(_xlpm.d,_xlpm.a*_xlpm.b)))</f>
        <v>0.45</v>
      </c>
      <c r="N28" s="1" cm="1">
        <f t="array" ref="N28">_xlfn.LET(_xlpm.d,N$2:N$19,_xlpm.a,$C$2:$C$19=$C28,_xlpm.b,$D$2:$D$19=$D28,MAX(_xlfn._xlws.FILTER(_xlpm.d,_xlpm.a*_xlpm.b)))</f>
        <v>0.42</v>
      </c>
      <c r="O28" s="1" cm="1">
        <f t="array" ref="O28">_xlfn.LET(_xlpm.d,O$2:O$19,_xlpm.a,$C$2:$C$19=$C28,_xlpm.b,$D$2:$D$19=$D28,MAX(_xlfn._xlws.FILTER(_xlpm.d,_xlpm.a*_xlpm.b)))</f>
        <v>0.43</v>
      </c>
      <c r="P28" s="1" cm="1">
        <f t="array" ref="P28">_xlfn.LET(_xlpm.d,P$2:P$19,_xlpm.a,$C$2:$C$19=$C28,_xlpm.b,$D$2:$D$19=$D28,MAX(_xlfn._xlws.FILTER(_xlpm.d,_xlpm.a*_xlpm.b)))</f>
        <v>0.44</v>
      </c>
      <c r="Q28" s="1" cm="1">
        <f t="array" ref="Q28">_xlfn.LET(_xlpm.d,Q$2:Q$19,_xlpm.a,$C$2:$C$19=$C28,_xlpm.b,$D$2:$D$19=$D28,MAX(_xlfn._xlws.FILTER(_xlpm.d,_xlpm.a*_xlpm.b)))</f>
        <v>0.4</v>
      </c>
      <c r="R28" s="1" cm="1">
        <f t="array" ref="R28">_xlfn.LET(_xlpm.d,R$2:R$19,_xlpm.a,$C$2:$C$19=$C28,_xlpm.b,$D$2:$D$19=$D28,MAX(_xlfn._xlws.FILTER(_xlpm.d,_xlpm.a*_xlpm.b)))</f>
        <v>0.43</v>
      </c>
      <c r="S28" s="1" cm="1">
        <f t="array" ref="S28">_xlfn.LET(_xlpm.d,S$2:S$19,_xlpm.a,$C$2:$C$19=$C28,_xlpm.b,$D$2:$D$19=$D28,MAX(_xlfn._xlws.FILTER(_xlpm.d,_xlpm.a*_xlpm.b)))</f>
        <v>0.47</v>
      </c>
      <c r="T28" s="1">
        <f t="shared" si="0"/>
        <v>0.53</v>
      </c>
    </row>
    <row r="30" spans="1:20" ht="25" customHeight="1">
      <c r="E30" t="s">
        <v>25</v>
      </c>
      <c r="F30" t="s">
        <v>28</v>
      </c>
      <c r="G30" s="4" cm="1">
        <f t="array" ref="G30">_xlfn.LET(_xlpm.d,H$23:H$28,_xlpm.c,$E$23:$E$28=1,GEOMEAN(_xlfn._xlws.FILTER(_xlpm.d,_xlpm.c)))</f>
        <v>0.66480411099679249</v>
      </c>
      <c r="H30" s="4" cm="1">
        <f t="array" ref="H30">_xlfn.LET(_xlpm.d,I$23:I$28,_xlpm.c,$E$23:$E$28=1,GEOMEAN(_xlfn._xlws.FILTER(_xlpm.d,_xlpm.c)))</f>
        <v>0.67930995505060743</v>
      </c>
      <c r="I30" s="4" cm="1">
        <f t="array" ref="I30">_xlfn.LET(_xlpm.d,J$23:J$28,_xlpm.c,$E$23:$E$28=1,GEOMEAN(_xlfn._xlws.FILTER(_xlpm.d,_xlpm.c)))</f>
        <v>0.64503385458325557</v>
      </c>
      <c r="J30" s="4" cm="1">
        <f t="array" ref="J30">_xlfn.LET(_xlpm.d,K$23:K$28,_xlpm.c,$E$23:$E$28=1,GEOMEAN(_xlfn._xlws.FILTER(_xlpm.d,_xlpm.c)))</f>
        <v>0.65733352092654151</v>
      </c>
      <c r="K30" s="4" cm="1">
        <f t="array" ref="K30">_xlfn.LET(_xlpm.d,L$23:L$28,_xlpm.c,$E$23:$E$28=1,GEOMEAN(_xlfn._xlws.FILTER(_xlpm.d,_xlpm.c)))</f>
        <v>0.64036483153549206</v>
      </c>
      <c r="L30" s="4" cm="1">
        <f t="array" ref="L30">_xlfn.LET(_xlpm.d,M$23:M$28,_xlpm.c,$E$23:$E$28=1,GEOMEAN(_xlfn._xlws.FILTER(_xlpm.d,_xlpm.c)))</f>
        <v>0.66140586045533811</v>
      </c>
      <c r="M30" s="4" cm="1">
        <f t="array" ref="M30">_xlfn.LET(_xlpm.d,N$23:N$28,_xlpm.c,$E$23:$E$28=1,GEOMEAN(_xlfn._xlws.FILTER(_xlpm.d,_xlpm.c)))</f>
        <v>0.64244298453532445</v>
      </c>
      <c r="N30" s="4" cm="1">
        <f t="array" ref="N30">_xlfn.LET(_xlpm.d,O$23:O$28,_xlpm.c,$E$23:$E$28=1,GEOMEAN(_xlfn._xlws.FILTER(_xlpm.d,_xlpm.c)))</f>
        <v>0.64485061063217164</v>
      </c>
      <c r="O30" s="4" cm="1">
        <f t="array" ref="O30">_xlfn.LET(_xlpm.d,P$23:P$28,_xlpm.c,$E$23:$E$28=1,GEOMEAN(_xlfn._xlws.FILTER(_xlpm.d,_xlpm.c)))</f>
        <v>0.65039258440822367</v>
      </c>
      <c r="P30" s="4" cm="1">
        <f t="array" ref="P30">_xlfn.LET(_xlpm.d,Q$23:Q$28,_xlpm.c,$E$23:$E$28=1,GEOMEAN(_xlfn._xlws.FILTER(_xlpm.d,_xlpm.c)))</f>
        <v>0.61824161081329299</v>
      </c>
      <c r="Q30" s="4" cm="1">
        <f t="array" ref="Q30">_xlfn.LET(_xlpm.d,R$23:R$28,_xlpm.c,$E$23:$E$28=1,GEOMEAN(_xlfn._xlws.FILTER(_xlpm.d,_xlpm.c)))</f>
        <v>0.6298909663856529</v>
      </c>
      <c r="R30" s="4" cm="1">
        <f t="array" ref="R30">_xlfn.LET(_xlpm.d,S$23:S$28,_xlpm.c,$E$23:$E$28=1,GEOMEAN(_xlfn._xlws.FILTER(_xlpm.d,_xlpm.c)))</f>
        <v>0.65192584737484083</v>
      </c>
      <c r="S30" s="4" cm="1">
        <f t="array" ref="S30">_xlfn.LET(_xlpm.d,T$23:T$28,_xlpm.c,$E$23:$E$28=1,GEOMEAN(_xlfn._xlws.FILTER(_xlpm.d,_xlpm.c)))</f>
        <v>0.71400556948290927</v>
      </c>
    </row>
    <row r="31" spans="1:20" ht="25" customHeight="1">
      <c r="E31" t="s">
        <v>25</v>
      </c>
      <c r="F31" t="s">
        <v>25</v>
      </c>
      <c r="G31" s="4" cm="1">
        <f t="array" ref="G31">_xlfn.LET(_xlpm.d,G$23:G$33,_xlpm.c,$E$23:$E$33=1,MAX(_xlfn._xlws.FILTER(_xlpm.d,_xlpm.c)))</f>
        <v>0</v>
      </c>
      <c r="H31" s="4" cm="1">
        <f t="array" ref="H31">_xlfn.LET(_xlpm.d,H$23:H$33,_xlpm.c,$E$23:$E$33=1,MAX(_xlfn._xlws.FILTER(_xlpm.d,_xlpm.c)))</f>
        <v>0.94</v>
      </c>
      <c r="I31" s="4" cm="1">
        <f t="array" ref="I31">_xlfn.LET(_xlpm.d,I$23:I$33,_xlpm.c,$E$23:$E$33=1,MAX(_xlfn._xlws.FILTER(_xlpm.d,_xlpm.c)))</f>
        <v>0.86</v>
      </c>
      <c r="J31" s="4" cm="1">
        <f t="array" ref="J31">_xlfn.LET(_xlpm.d,J$23:J$33,_xlpm.c,$E$23:$E$33=1,MAX(_xlfn._xlws.FILTER(_xlpm.d,_xlpm.c)))</f>
        <v>0.91</v>
      </c>
      <c r="K31" s="4" cm="1">
        <f t="array" ref="K31">_xlfn.LET(_xlpm.d,K$23:K$33,_xlpm.c,$E$23:$E$33=1,MAX(_xlfn._xlws.FILTER(_xlpm.d,_xlpm.c)))</f>
        <v>0.88</v>
      </c>
      <c r="L31" s="4" cm="1">
        <f t="array" ref="L31">_xlfn.LET(_xlpm.d,L$23:L$33,_xlpm.c,$E$23:$E$33=1,MAX(_xlfn._xlws.FILTER(_xlpm.d,_xlpm.c)))</f>
        <v>0.83</v>
      </c>
      <c r="M31" s="4" cm="1">
        <f t="array" ref="M31">_xlfn.LET(_xlpm.d,M$23:M$33,_xlpm.c,$E$23:$E$33=1,MAX(_xlfn._xlws.FILTER(_xlpm.d,_xlpm.c)))</f>
        <v>0.89</v>
      </c>
      <c r="N31" s="4" cm="1">
        <f t="array" ref="N31">_xlfn.LET(_xlpm.d,N$23:N$33,_xlpm.c,$E$23:$E$33=1,MAX(_xlfn._xlws.FILTER(_xlpm.d,_xlpm.c)))</f>
        <v>0.9</v>
      </c>
      <c r="O31" s="4" cm="1">
        <f t="array" ref="O31">_xlfn.LET(_xlpm.d,O$23:O$33,_xlpm.c,$E$23:$E$33=1,MAX(_xlfn._xlws.FILTER(_xlpm.d,_xlpm.c)))</f>
        <v>0.83</v>
      </c>
      <c r="P31" s="4" cm="1">
        <f t="array" ref="P31">_xlfn.LET(_xlpm.d,P$23:P$33,_xlpm.c,$E$23:$E$33=1,MAX(_xlfn._xlws.FILTER(_xlpm.d,_xlpm.c)))</f>
        <v>0.85</v>
      </c>
      <c r="Q31" s="4" cm="1">
        <f t="array" ref="Q31">_xlfn.LET(_xlpm.d,Q$23:Q$33,_xlpm.c,$E$23:$E$33=1,MAX(_xlfn._xlws.FILTER(_xlpm.d,_xlpm.c)))</f>
        <v>0.85</v>
      </c>
      <c r="R31" s="4" cm="1">
        <f t="array" ref="R31">_xlfn.LET(_xlpm.d,R$23:R$33,_xlpm.c,$E$23:$E$33=1,MAX(_xlfn._xlws.FILTER(_xlpm.d,_xlpm.c)))</f>
        <v>0.82</v>
      </c>
      <c r="S31" s="4" cm="1">
        <f t="array" ref="S31">_xlfn.LET(_xlpm.d,S$23:S$33,_xlpm.c,$E$23:$E$33=1,MAX(_xlfn._xlws.FILTER(_xlpm.d,_xlpm.c)))</f>
        <v>0.88</v>
      </c>
    </row>
    <row r="32" spans="1:20" ht="25" customHeight="1">
      <c r="E32" t="s">
        <v>25</v>
      </c>
      <c r="F32" t="s">
        <v>29</v>
      </c>
      <c r="G32" s="4" cm="1">
        <f t="array" ref="G32">_xlfn.LET(_xlpm.d,G$23:G$33,_xlpm.c,$E$23:$E$33=1,MIN(_xlfn._xlws.FILTER(_xlpm.d,_xlpm.c)))</f>
        <v>0</v>
      </c>
      <c r="H32" s="4" cm="1">
        <f t="array" ref="H32">_xlfn.LET(_xlpm.d,H$23:H$33,_xlpm.c,$E$23:$E$33=1,MIN(_xlfn._xlws.FILTER(_xlpm.d,_xlpm.c)))</f>
        <v>0.42</v>
      </c>
      <c r="I32" s="4" cm="1">
        <f t="array" ref="I32">_xlfn.LET(_xlpm.d,I$23:I$33,_xlpm.c,$E$23:$E$33=1,MIN(_xlfn._xlws.FILTER(_xlpm.d,_xlpm.c)))</f>
        <v>0.5</v>
      </c>
      <c r="J32" s="4" cm="1">
        <f t="array" ref="J32">_xlfn.LET(_xlpm.d,J$23:J$33,_xlpm.c,$E$23:$E$33=1,MIN(_xlfn._xlws.FILTER(_xlpm.d,_xlpm.c)))</f>
        <v>0.45</v>
      </c>
      <c r="K32" s="4" cm="1">
        <f t="array" ref="K32">_xlfn.LET(_xlpm.d,K$23:K$33,_xlpm.c,$E$23:$E$33=1,MIN(_xlfn._xlws.FILTER(_xlpm.d,_xlpm.c)))</f>
        <v>0.46</v>
      </c>
      <c r="L32" s="4" cm="1">
        <f t="array" ref="L32">_xlfn.LET(_xlpm.d,L$23:L$33,_xlpm.c,$E$23:$E$33=1,MIN(_xlfn._xlws.FILTER(_xlpm.d,_xlpm.c)))</f>
        <v>0.53</v>
      </c>
      <c r="M32" s="4" cm="1">
        <f t="array" ref="M32">_xlfn.LET(_xlpm.d,M$23:M$33,_xlpm.c,$E$23:$E$33=1,MIN(_xlfn._xlws.FILTER(_xlpm.d,_xlpm.c)))</f>
        <v>0.45</v>
      </c>
      <c r="N32" s="4" cm="1">
        <f t="array" ref="N32">_xlfn.LET(_xlpm.d,N$23:N$33,_xlpm.c,$E$23:$E$33=1,MIN(_xlfn._xlws.FILTER(_xlpm.d,_xlpm.c)))</f>
        <v>0.42</v>
      </c>
      <c r="O32" s="4" cm="1">
        <f t="array" ref="O32">_xlfn.LET(_xlpm.d,O$23:O$33,_xlpm.c,$E$23:$E$33=1,MIN(_xlfn._xlws.FILTER(_xlpm.d,_xlpm.c)))</f>
        <v>0.43</v>
      </c>
      <c r="P32" s="4" cm="1">
        <f t="array" ref="P32">_xlfn.LET(_xlpm.d,P$23:P$33,_xlpm.c,$E$23:$E$33=1,MIN(_xlfn._xlws.FILTER(_xlpm.d,_xlpm.c)))</f>
        <v>0.44</v>
      </c>
      <c r="Q32" s="4" cm="1">
        <f t="array" ref="Q32">_xlfn.LET(_xlpm.d,Q$23:Q$33,_xlpm.c,$E$23:$E$33=1,MIN(_xlfn._xlws.FILTER(_xlpm.d,_xlpm.c)))</f>
        <v>0.4</v>
      </c>
      <c r="R32" s="4" cm="1">
        <f t="array" ref="R32">_xlfn.LET(_xlpm.d,R$23:R$33,_xlpm.c,$E$23:$E$33=1,MIN(_xlfn._xlws.FILTER(_xlpm.d,_xlpm.c)))</f>
        <v>0.43</v>
      </c>
      <c r="S32" s="4" cm="1">
        <f t="array" ref="S32">_xlfn.LET(_xlpm.d,S$23:S$33,_xlpm.c,$E$23:$E$33=1,MIN(_xlfn._xlws.FILTER(_xlpm.d,_xlpm.c)))</f>
        <v>0.47</v>
      </c>
    </row>
    <row r="33" spans="2:19" ht="25" customHeight="1">
      <c r="E33" t="s">
        <v>25</v>
      </c>
      <c r="F33" t="s">
        <v>30</v>
      </c>
      <c r="G33" t="e" cm="1">
        <f t="array" ref="G33">_xlfn.LET(_xlpm.d,G$23:G$33,_xlpm.c,$E$23:$E$33=1,STDEV(_xlfn._xlws.FILTER(_xlpm.d,_xlpm.c)))</f>
        <v>#DIV/0!</v>
      </c>
      <c r="H33" cm="1">
        <f t="array" ref="H33">_xlfn.LET(_xlpm.d,H$23:H$33,_xlpm.c,$E$23:$E$33=1,STDEV(_xlfn._xlws.FILTER(_xlpm.d,_xlpm.c)))</f>
        <v>0.1919809018279337</v>
      </c>
      <c r="I33" cm="1">
        <f t="array" ref="I33">_xlfn.LET(_xlpm.d,I$23:I$33,_xlpm.c,$E$23:$E$33=1,STDEV(_xlfn._xlws.FILTER(_xlpm.d,_xlpm.c)))</f>
        <v>0.13053735097664504</v>
      </c>
      <c r="J33" cm="1">
        <f t="array" ref="J33">_xlfn.LET(_xlpm.d,J$23:J$33,_xlpm.c,$E$23:$E$33=1,STDEV(_xlfn._xlws.FILTER(_xlpm.d,_xlpm.c)))</f>
        <v>0.17200775176330457</v>
      </c>
      <c r="K33" cm="1">
        <f t="array" ref="K33">_xlfn.LET(_xlpm.d,K$23:K$33,_xlpm.c,$E$23:$E$33=1,STDEV(_xlfn._xlws.FILTER(_xlpm.d,_xlpm.c)))</f>
        <v>0.17603030042201978</v>
      </c>
      <c r="L33" cm="1">
        <f t="array" ref="L33">_xlfn.LET(_xlpm.d,L$23:L$33,_xlpm.c,$E$23:$E$33=1,STDEV(_xlfn._xlws.FILTER(_xlpm.d,_xlpm.c)))</f>
        <v>0.13702797767852584</v>
      </c>
      <c r="M33" cm="1">
        <f t="array" ref="M33">_xlfn.LET(_xlpm.d,M$23:M$33,_xlpm.c,$E$23:$E$33=1,STDEV(_xlfn._xlws.FILTER(_xlpm.d,_xlpm.c)))</f>
        <v>0.17088007490635057</v>
      </c>
      <c r="N33" cm="1">
        <f t="array" ref="N33">_xlfn.LET(_xlpm.d,N$23:N$33,_xlpm.c,$E$23:$E$33=1,STDEV(_xlfn._xlws.FILTER(_xlpm.d,_xlpm.c)))</f>
        <v>0.18007405883876451</v>
      </c>
      <c r="O33" cm="1">
        <f t="array" ref="O33">_xlfn.LET(_xlpm.d,O$23:O$33,_xlpm.c,$E$23:$E$33=1,STDEV(_xlfn._xlws.FILTER(_xlpm.d,_xlpm.c)))</f>
        <v>0.14805404418657392</v>
      </c>
      <c r="P33" cm="1">
        <f t="array" ref="P33">_xlfn.LET(_xlpm.d,P$23:P$33,_xlpm.c,$E$23:$E$33=1,STDEV(_xlfn._xlws.FILTER(_xlpm.d,_xlpm.c)))</f>
        <v>0.16982343772282979</v>
      </c>
      <c r="Q33" cm="1">
        <f t="array" ref="Q33">_xlfn.LET(_xlpm.d,Q$23:Q$33,_xlpm.c,$E$23:$E$33=1,STDEV(_xlfn._xlws.FILTER(_xlpm.d,_xlpm.c)))</f>
        <v>0.18476110701840517</v>
      </c>
      <c r="R33" cm="1">
        <f t="array" ref="R33">_xlfn.LET(_xlpm.d,R$23:R$33,_xlpm.c,$E$23:$E$33=1,STDEV(_xlfn._xlws.FILTER(_xlpm.d,_xlpm.c)))</f>
        <v>0.15680136053831492</v>
      </c>
      <c r="S33" cm="1">
        <f t="array" ref="S33">_xlfn.LET(_xlpm.d,S$23:S$33,_xlpm.c,$E$23:$E$33=1,STDEV(_xlfn._xlws.FILTER(_xlpm.d,_xlpm.c)))</f>
        <v>0.16277796738707209</v>
      </c>
    </row>
    <row r="36" spans="2:19" ht="25" customHeight="1">
      <c r="B36" t="s">
        <v>23</v>
      </c>
      <c r="C36" t="s">
        <v>1</v>
      </c>
      <c r="D36" t="s">
        <v>26</v>
      </c>
      <c r="E36" t="s">
        <v>24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t="s">
        <v>12</v>
      </c>
      <c r="P36" t="s">
        <v>13</v>
      </c>
      <c r="Q36" t="s">
        <v>14</v>
      </c>
      <c r="R36" t="s">
        <v>15</v>
      </c>
    </row>
    <row r="37" spans="2:19" ht="25" customHeight="1">
      <c r="B37">
        <v>1</v>
      </c>
      <c r="C37" t="s">
        <v>17</v>
      </c>
      <c r="D37" t="b">
        <v>1</v>
      </c>
      <c r="E37">
        <v>1</v>
      </c>
      <c r="F37" t="s">
        <v>31</v>
      </c>
      <c r="G37" s="3">
        <f t="shared" ref="G37:R37" si="1">_xlfn.LET(_xlpm.d,$H23:$Y23,RANK(H23,_xlpm.d))</f>
        <v>1</v>
      </c>
      <c r="H37" s="3">
        <f t="shared" si="1"/>
        <v>7</v>
      </c>
      <c r="I37" s="3">
        <f t="shared" si="1"/>
        <v>3</v>
      </c>
      <c r="J37" s="3">
        <f t="shared" si="1"/>
        <v>6</v>
      </c>
      <c r="K37" s="3">
        <f t="shared" si="1"/>
        <v>11</v>
      </c>
      <c r="L37" s="3">
        <f t="shared" si="1"/>
        <v>5</v>
      </c>
      <c r="M37" s="3">
        <f t="shared" si="1"/>
        <v>4</v>
      </c>
      <c r="N37" s="3">
        <f t="shared" si="1"/>
        <v>11</v>
      </c>
      <c r="O37" s="3">
        <f t="shared" si="1"/>
        <v>8</v>
      </c>
      <c r="P37" s="3">
        <f t="shared" si="1"/>
        <v>8</v>
      </c>
      <c r="Q37" s="3">
        <f t="shared" si="1"/>
        <v>13</v>
      </c>
      <c r="R37" s="3">
        <f t="shared" si="1"/>
        <v>10</v>
      </c>
    </row>
    <row r="38" spans="2:19" ht="25" customHeight="1">
      <c r="B38">
        <v>1</v>
      </c>
      <c r="C38" t="s">
        <v>17</v>
      </c>
      <c r="D38" t="b">
        <v>0</v>
      </c>
      <c r="E38">
        <v>1</v>
      </c>
      <c r="F38" t="s">
        <v>31</v>
      </c>
      <c r="G38" s="3">
        <f t="shared" ref="G38:R38" si="2">_xlfn.LET(_xlpm.d,$H24:$Y24,RANK(H24,_xlpm.d))</f>
        <v>4</v>
      </c>
      <c r="H38" s="3">
        <f t="shared" si="2"/>
        <v>12</v>
      </c>
      <c r="I38" s="3">
        <f t="shared" si="2"/>
        <v>8</v>
      </c>
      <c r="J38" s="3">
        <f t="shared" si="2"/>
        <v>1</v>
      </c>
      <c r="K38" s="3">
        <f t="shared" si="2"/>
        <v>8</v>
      </c>
      <c r="L38" s="3">
        <f t="shared" si="2"/>
        <v>5</v>
      </c>
      <c r="M38" s="3">
        <f t="shared" si="2"/>
        <v>6</v>
      </c>
      <c r="N38" s="3">
        <f t="shared" si="2"/>
        <v>13</v>
      </c>
      <c r="O38" s="3">
        <f t="shared" si="2"/>
        <v>8</v>
      </c>
      <c r="P38" s="3">
        <f t="shared" si="2"/>
        <v>6</v>
      </c>
      <c r="Q38" s="3">
        <f t="shared" si="2"/>
        <v>8</v>
      </c>
      <c r="R38" s="3">
        <f t="shared" si="2"/>
        <v>1</v>
      </c>
    </row>
    <row r="39" spans="2:19" ht="25" customHeight="1">
      <c r="B39">
        <v>2</v>
      </c>
      <c r="C39" t="s">
        <v>21</v>
      </c>
      <c r="D39" t="b">
        <v>1</v>
      </c>
      <c r="E39">
        <v>1</v>
      </c>
      <c r="F39" t="s">
        <v>31</v>
      </c>
      <c r="G39" s="3">
        <f t="shared" ref="G39:R39" si="3">_xlfn.LET(_xlpm.d,$H25:$Y25,RANK(H25,_xlpm.d))</f>
        <v>6</v>
      </c>
      <c r="H39" s="3">
        <f t="shared" si="3"/>
        <v>3</v>
      </c>
      <c r="I39" s="3">
        <f t="shared" si="3"/>
        <v>10</v>
      </c>
      <c r="J39" s="3">
        <f t="shared" si="3"/>
        <v>6</v>
      </c>
      <c r="K39" s="3">
        <f t="shared" si="3"/>
        <v>13</v>
      </c>
      <c r="L39" s="3">
        <f t="shared" si="3"/>
        <v>3</v>
      </c>
      <c r="M39" s="3">
        <f t="shared" si="3"/>
        <v>9</v>
      </c>
      <c r="N39" s="3">
        <f t="shared" si="3"/>
        <v>3</v>
      </c>
      <c r="O39" s="3">
        <f t="shared" si="3"/>
        <v>1</v>
      </c>
      <c r="P39" s="3">
        <f t="shared" si="3"/>
        <v>11</v>
      </c>
      <c r="Q39" s="3">
        <f t="shared" si="3"/>
        <v>6</v>
      </c>
      <c r="R39" s="3">
        <f t="shared" si="3"/>
        <v>12</v>
      </c>
    </row>
    <row r="40" spans="2:19" ht="25" customHeight="1">
      <c r="B40">
        <v>2</v>
      </c>
      <c r="C40" t="s">
        <v>21</v>
      </c>
      <c r="D40" t="b">
        <v>0</v>
      </c>
      <c r="E40">
        <v>1</v>
      </c>
      <c r="F40" t="s">
        <v>31</v>
      </c>
      <c r="G40" s="3">
        <f t="shared" ref="G40:R40" si="4">_xlfn.LET(_xlpm.d,$H26:$Y26,RANK(H26,_xlpm.d))</f>
        <v>1</v>
      </c>
      <c r="H40" s="3">
        <f t="shared" si="4"/>
        <v>1</v>
      </c>
      <c r="I40" s="3">
        <f t="shared" si="4"/>
        <v>12</v>
      </c>
      <c r="J40" s="3">
        <f t="shared" si="4"/>
        <v>8</v>
      </c>
      <c r="K40" s="3">
        <f t="shared" si="4"/>
        <v>13</v>
      </c>
      <c r="L40" s="3">
        <f t="shared" si="4"/>
        <v>5</v>
      </c>
      <c r="M40" s="3">
        <f t="shared" si="4"/>
        <v>11</v>
      </c>
      <c r="N40" s="3">
        <f t="shared" si="4"/>
        <v>5</v>
      </c>
      <c r="O40" s="3">
        <f t="shared" si="4"/>
        <v>1</v>
      </c>
      <c r="P40" s="3">
        <f t="shared" si="4"/>
        <v>8</v>
      </c>
      <c r="Q40" s="3">
        <f t="shared" si="4"/>
        <v>10</v>
      </c>
      <c r="R40" s="3">
        <f t="shared" si="4"/>
        <v>5</v>
      </c>
    </row>
    <row r="41" spans="2:19" ht="25" customHeight="1">
      <c r="B41">
        <v>3</v>
      </c>
      <c r="C41" t="s">
        <v>22</v>
      </c>
      <c r="D41" t="b">
        <v>1</v>
      </c>
      <c r="E41">
        <v>1</v>
      </c>
      <c r="F41" t="s">
        <v>31</v>
      </c>
      <c r="G41" s="3">
        <f t="shared" ref="G41:R41" si="5">_xlfn.LET(_xlpm.d,$H27:$Y27,RANK(H27,_xlpm.d))</f>
        <v>4</v>
      </c>
      <c r="H41" s="3">
        <f t="shared" si="5"/>
        <v>1</v>
      </c>
      <c r="I41" s="3">
        <f t="shared" si="5"/>
        <v>4</v>
      </c>
      <c r="J41" s="3">
        <f t="shared" si="5"/>
        <v>10</v>
      </c>
      <c r="K41" s="3">
        <f t="shared" si="5"/>
        <v>7</v>
      </c>
      <c r="L41" s="3">
        <f t="shared" si="5"/>
        <v>7</v>
      </c>
      <c r="M41" s="3">
        <f t="shared" si="5"/>
        <v>4</v>
      </c>
      <c r="N41" s="3">
        <f t="shared" si="5"/>
        <v>3</v>
      </c>
      <c r="O41" s="3">
        <f t="shared" si="5"/>
        <v>12</v>
      </c>
      <c r="P41" s="3">
        <f t="shared" si="5"/>
        <v>13</v>
      </c>
      <c r="Q41" s="3">
        <f t="shared" si="5"/>
        <v>11</v>
      </c>
      <c r="R41" s="3">
        <f t="shared" si="5"/>
        <v>7</v>
      </c>
    </row>
    <row r="42" spans="2:19" ht="25" customHeight="1">
      <c r="B42">
        <v>3</v>
      </c>
      <c r="C42" t="s">
        <v>22</v>
      </c>
      <c r="D42" t="b">
        <v>0</v>
      </c>
      <c r="E42">
        <v>1</v>
      </c>
      <c r="F42" t="s">
        <v>31</v>
      </c>
      <c r="G42" s="3">
        <f t="shared" ref="G42:R42" si="6">_xlfn.LET(_xlpm.d,$H28:$Y28,RANK(H28,_xlpm.d))</f>
        <v>11</v>
      </c>
      <c r="H42" s="3">
        <f t="shared" si="6"/>
        <v>3</v>
      </c>
      <c r="I42" s="3">
        <f t="shared" si="6"/>
        <v>6</v>
      </c>
      <c r="J42" s="3">
        <f t="shared" si="6"/>
        <v>5</v>
      </c>
      <c r="K42" s="3">
        <f t="shared" si="6"/>
        <v>1</v>
      </c>
      <c r="L42" s="3">
        <f t="shared" si="6"/>
        <v>6</v>
      </c>
      <c r="M42" s="3">
        <f t="shared" si="6"/>
        <v>11</v>
      </c>
      <c r="N42" s="3">
        <f t="shared" si="6"/>
        <v>9</v>
      </c>
      <c r="O42" s="3">
        <f t="shared" si="6"/>
        <v>8</v>
      </c>
      <c r="P42" s="3">
        <f t="shared" si="6"/>
        <v>13</v>
      </c>
      <c r="Q42" s="3">
        <f t="shared" si="6"/>
        <v>9</v>
      </c>
      <c r="R42" s="3">
        <f t="shared" si="6"/>
        <v>4</v>
      </c>
    </row>
  </sheetData>
  <conditionalFormatting sqref="G37:R42">
    <cfRule type="colorScale" priority="3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2:T19">
    <cfRule type="colorScale" priority="4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30:S32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1B42-9C5D-9B45-B537-5DC309FADBED}">
  <dimension ref="A1:T28"/>
  <sheetViews>
    <sheetView topLeftCell="D1" workbookViewId="0">
      <pane xSplit="10780" ySplit="4400" topLeftCell="N13" activePane="topRight"/>
      <selection activeCell="G1" sqref="G1:G19"/>
      <selection pane="topRight" activeCell="Q4" sqref="Q4"/>
      <selection pane="bottomLeft" activeCell="A10" sqref="A10"/>
      <selection pane="bottomRight" activeCell="S15" sqref="S15"/>
    </sheetView>
  </sheetViews>
  <sheetFormatPr baseColWidth="10" defaultRowHeight="25" customHeight="1"/>
  <cols>
    <col min="2" max="2" width="8.5" customWidth="1"/>
    <col min="3" max="3" width="9.875" customWidth="1"/>
    <col min="4" max="5" width="8.5" customWidth="1"/>
    <col min="7" max="19" width="9" customWidth="1"/>
  </cols>
  <sheetData>
    <row r="1" spans="1:20" ht="25" customHeight="1">
      <c r="A1" t="s">
        <v>0</v>
      </c>
      <c r="B1" t="s">
        <v>23</v>
      </c>
      <c r="C1" t="s">
        <v>1</v>
      </c>
      <c r="D1" t="s">
        <v>2</v>
      </c>
      <c r="E1" t="s">
        <v>24</v>
      </c>
      <c r="F1" t="s">
        <v>3</v>
      </c>
      <c r="G1" t="s">
        <v>33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25</v>
      </c>
    </row>
    <row r="2" spans="1:20" ht="25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H2" s="1">
        <v>0.82</v>
      </c>
      <c r="I2" s="1">
        <v>0.81</v>
      </c>
      <c r="J2" s="1">
        <v>0.83</v>
      </c>
      <c r="K2" s="1">
        <v>0.79</v>
      </c>
      <c r="L2" s="1">
        <v>0.78</v>
      </c>
      <c r="M2" s="1">
        <v>0.79</v>
      </c>
      <c r="N2" s="1">
        <v>0.85</v>
      </c>
      <c r="O2" s="1">
        <v>0.86</v>
      </c>
      <c r="P2" s="1">
        <v>0.82</v>
      </c>
      <c r="Q2" s="1">
        <v>0.81</v>
      </c>
      <c r="R2" s="1">
        <v>0.81</v>
      </c>
      <c r="S2" s="1">
        <v>0.81</v>
      </c>
      <c r="T2" s="1">
        <f t="shared" ref="T2:T19" si="0">MAX($H2:$S2)</f>
        <v>0.86</v>
      </c>
    </row>
    <row r="3" spans="1:20" ht="25" customHeight="1">
      <c r="A3" t="s">
        <v>16</v>
      </c>
      <c r="B3">
        <v>1</v>
      </c>
      <c r="C3" t="s">
        <v>17</v>
      </c>
      <c r="D3" t="b">
        <v>1</v>
      </c>
      <c r="E3">
        <v>3</v>
      </c>
      <c r="F3" t="s">
        <v>19</v>
      </c>
      <c r="H3" s="1">
        <v>0.85</v>
      </c>
      <c r="I3" s="1">
        <v>0.84</v>
      </c>
      <c r="J3" s="1">
        <v>0.82</v>
      </c>
      <c r="K3" s="1">
        <v>0.81</v>
      </c>
      <c r="L3" s="1">
        <v>0.78</v>
      </c>
      <c r="M3" s="1">
        <v>0.8</v>
      </c>
      <c r="N3" s="1">
        <v>0.89</v>
      </c>
      <c r="O3" s="1">
        <v>0.86</v>
      </c>
      <c r="P3" s="1">
        <v>0.86</v>
      </c>
      <c r="Q3" s="1">
        <v>0.85</v>
      </c>
      <c r="R3" s="1">
        <v>0.87</v>
      </c>
      <c r="S3" s="1">
        <v>0.81</v>
      </c>
      <c r="T3" s="1">
        <f t="shared" si="0"/>
        <v>0.89</v>
      </c>
    </row>
    <row r="4" spans="1:20" ht="25" customHeight="1">
      <c r="A4" t="s">
        <v>16</v>
      </c>
      <c r="B4">
        <v>1</v>
      </c>
      <c r="C4" t="s">
        <v>17</v>
      </c>
      <c r="D4" t="b">
        <v>0</v>
      </c>
      <c r="E4">
        <v>2</v>
      </c>
      <c r="F4" t="s">
        <v>18</v>
      </c>
      <c r="H4" s="1">
        <v>0.76</v>
      </c>
      <c r="I4" s="1">
        <v>0.81</v>
      </c>
      <c r="J4" s="1">
        <v>0.84</v>
      </c>
      <c r="K4" s="1">
        <v>0.81</v>
      </c>
      <c r="L4" s="1">
        <v>0.83</v>
      </c>
      <c r="M4" s="1">
        <v>0.83</v>
      </c>
      <c r="N4" s="1">
        <v>0.86</v>
      </c>
      <c r="O4" s="1">
        <v>0.8</v>
      </c>
      <c r="P4" s="1">
        <v>0.86</v>
      </c>
      <c r="Q4" s="1">
        <v>0.83</v>
      </c>
      <c r="R4" s="1">
        <v>0.84</v>
      </c>
      <c r="S4" s="1">
        <v>0.79</v>
      </c>
      <c r="T4" s="1">
        <f t="shared" si="0"/>
        <v>0.86</v>
      </c>
    </row>
    <row r="5" spans="1:20" ht="25" customHeight="1">
      <c r="A5" t="s">
        <v>16</v>
      </c>
      <c r="B5">
        <v>1</v>
      </c>
      <c r="C5" t="s">
        <v>17</v>
      </c>
      <c r="D5" t="b">
        <v>1</v>
      </c>
      <c r="E5">
        <v>2</v>
      </c>
      <c r="F5" t="s">
        <v>18</v>
      </c>
      <c r="H5" s="1">
        <v>0.84</v>
      </c>
      <c r="I5" s="1">
        <v>0.86</v>
      </c>
      <c r="J5" s="1">
        <v>0.91</v>
      </c>
      <c r="K5" s="1">
        <v>0.82</v>
      </c>
      <c r="L5" s="1">
        <v>0.82</v>
      </c>
      <c r="M5" s="1">
        <v>0.83</v>
      </c>
      <c r="N5" s="1">
        <v>0.93</v>
      </c>
      <c r="O5" s="1">
        <v>0.9</v>
      </c>
      <c r="P5" s="1">
        <v>0.9</v>
      </c>
      <c r="Q5" s="1">
        <v>0.88</v>
      </c>
      <c r="R5" s="1">
        <v>0.85</v>
      </c>
      <c r="S5" s="1">
        <v>0.81</v>
      </c>
      <c r="T5" s="1">
        <f t="shared" si="0"/>
        <v>0.93</v>
      </c>
    </row>
    <row r="6" spans="1:20" ht="25" customHeight="1">
      <c r="A6" t="s">
        <v>16</v>
      </c>
      <c r="B6">
        <v>1</v>
      </c>
      <c r="C6" t="s">
        <v>17</v>
      </c>
      <c r="D6" t="b">
        <v>0</v>
      </c>
      <c r="E6">
        <v>1</v>
      </c>
      <c r="F6" t="s">
        <v>20</v>
      </c>
      <c r="H6" s="1">
        <v>0.74</v>
      </c>
      <c r="I6" s="1">
        <v>0.79</v>
      </c>
      <c r="J6" s="1">
        <v>0.84</v>
      </c>
      <c r="K6" s="1">
        <v>0.76</v>
      </c>
      <c r="L6" s="1">
        <v>0.81</v>
      </c>
      <c r="M6" s="1">
        <v>0.82</v>
      </c>
      <c r="N6" s="1">
        <v>0.82</v>
      </c>
      <c r="O6" s="1">
        <v>0.82</v>
      </c>
      <c r="P6" s="1">
        <v>0.82</v>
      </c>
      <c r="Q6" s="1">
        <v>0.82</v>
      </c>
      <c r="R6" s="1">
        <v>0.8</v>
      </c>
      <c r="S6" s="1">
        <v>0.8</v>
      </c>
      <c r="T6" s="1">
        <f t="shared" si="0"/>
        <v>0.84</v>
      </c>
    </row>
    <row r="7" spans="1:20" ht="25" customHeight="1">
      <c r="A7" t="s">
        <v>16</v>
      </c>
      <c r="B7">
        <v>1</v>
      </c>
      <c r="C7" t="s">
        <v>17</v>
      </c>
      <c r="D7" t="b">
        <v>0</v>
      </c>
      <c r="E7">
        <v>3</v>
      </c>
      <c r="F7" t="s">
        <v>19</v>
      </c>
      <c r="H7" s="1">
        <v>0.75</v>
      </c>
      <c r="I7" s="1">
        <v>0.78</v>
      </c>
      <c r="J7" s="1">
        <v>0.79</v>
      </c>
      <c r="K7" s="1">
        <v>0.8</v>
      </c>
      <c r="L7" s="1">
        <v>0.81</v>
      </c>
      <c r="M7" s="1">
        <v>0.83</v>
      </c>
      <c r="N7" s="1">
        <v>0.84</v>
      </c>
      <c r="O7" s="1">
        <v>0.78</v>
      </c>
      <c r="P7" s="1">
        <v>0.8</v>
      </c>
      <c r="Q7" s="1">
        <v>0.86</v>
      </c>
      <c r="R7" s="1">
        <v>0.82</v>
      </c>
      <c r="S7" s="1">
        <v>0.77</v>
      </c>
      <c r="T7" s="1">
        <f t="shared" si="0"/>
        <v>0.86</v>
      </c>
    </row>
    <row r="8" spans="1:20" ht="25" customHeight="1">
      <c r="A8" t="s">
        <v>16</v>
      </c>
      <c r="B8">
        <v>2</v>
      </c>
      <c r="C8" t="s">
        <v>37</v>
      </c>
      <c r="D8" t="b">
        <v>0</v>
      </c>
      <c r="E8">
        <v>1</v>
      </c>
      <c r="F8" t="s">
        <v>20</v>
      </c>
      <c r="H8" s="1">
        <v>0.57999999999999996</v>
      </c>
      <c r="I8" s="1">
        <v>0.56000000000000005</v>
      </c>
      <c r="J8" s="1">
        <v>0.56999999999999995</v>
      </c>
      <c r="K8" s="1">
        <v>0.55000000000000004</v>
      </c>
      <c r="L8" s="1">
        <v>0.56000000000000005</v>
      </c>
      <c r="M8" s="1">
        <v>0.56999999999999995</v>
      </c>
      <c r="N8" s="1">
        <v>0.62</v>
      </c>
      <c r="O8" s="1">
        <v>0.56000000000000005</v>
      </c>
      <c r="P8" s="1">
        <v>0.64</v>
      </c>
      <c r="Q8" s="1">
        <v>0.69</v>
      </c>
      <c r="R8" s="1">
        <v>0.59</v>
      </c>
      <c r="S8" s="1">
        <v>0.55000000000000004</v>
      </c>
      <c r="T8" s="1">
        <f t="shared" si="0"/>
        <v>0.69</v>
      </c>
    </row>
    <row r="9" spans="1:20" ht="25" customHeight="1">
      <c r="A9" t="s">
        <v>16</v>
      </c>
      <c r="B9">
        <v>2</v>
      </c>
      <c r="C9" t="s">
        <v>37</v>
      </c>
      <c r="D9" t="b">
        <v>1</v>
      </c>
      <c r="E9">
        <v>1</v>
      </c>
      <c r="F9" t="s">
        <v>20</v>
      </c>
      <c r="H9" s="1">
        <v>0.86</v>
      </c>
      <c r="I9" s="1">
        <v>0.91</v>
      </c>
      <c r="J9" s="1">
        <v>0.92</v>
      </c>
      <c r="K9" s="1">
        <v>0.55000000000000004</v>
      </c>
      <c r="L9" s="1">
        <v>0.64</v>
      </c>
      <c r="M9" s="1">
        <v>0.6</v>
      </c>
      <c r="N9" s="1">
        <v>0.89</v>
      </c>
      <c r="O9" s="1">
        <v>0.86</v>
      </c>
      <c r="P9" s="1">
        <v>0.71</v>
      </c>
      <c r="Q9" s="1">
        <v>0.91</v>
      </c>
      <c r="R9" s="1">
        <v>0.53</v>
      </c>
      <c r="S9" s="1">
        <v>0.7</v>
      </c>
      <c r="T9" s="1">
        <f t="shared" si="0"/>
        <v>0.92</v>
      </c>
    </row>
    <row r="10" spans="1:20" ht="25" customHeight="1">
      <c r="A10" t="s">
        <v>16</v>
      </c>
      <c r="B10">
        <v>2</v>
      </c>
      <c r="C10" t="s">
        <v>37</v>
      </c>
      <c r="D10" t="b">
        <v>1</v>
      </c>
      <c r="E10">
        <v>2</v>
      </c>
      <c r="F10" t="s">
        <v>18</v>
      </c>
      <c r="H10" s="1">
        <v>0.94</v>
      </c>
      <c r="I10" s="1">
        <v>0.95</v>
      </c>
      <c r="J10" s="1">
        <v>0.92</v>
      </c>
      <c r="K10" s="1">
        <v>0.85</v>
      </c>
      <c r="L10" s="1">
        <v>0.84</v>
      </c>
      <c r="M10" s="1">
        <v>0.84</v>
      </c>
      <c r="N10" s="1">
        <v>0.92</v>
      </c>
      <c r="O10" s="1">
        <v>0.9</v>
      </c>
      <c r="P10" s="1">
        <v>0.92</v>
      </c>
      <c r="Q10" s="1">
        <v>0.92</v>
      </c>
      <c r="R10" s="1">
        <v>0.88</v>
      </c>
      <c r="S10" s="1">
        <v>0.88</v>
      </c>
      <c r="T10" s="1">
        <f t="shared" si="0"/>
        <v>0.95</v>
      </c>
    </row>
    <row r="11" spans="1:20" ht="25" customHeight="1">
      <c r="A11" t="s">
        <v>16</v>
      </c>
      <c r="B11">
        <v>2</v>
      </c>
      <c r="C11" t="s">
        <v>37</v>
      </c>
      <c r="D11" t="b">
        <v>1</v>
      </c>
      <c r="E11">
        <v>3</v>
      </c>
      <c r="F11" t="s">
        <v>19</v>
      </c>
      <c r="H11" s="1">
        <v>0.89</v>
      </c>
      <c r="I11" s="1">
        <v>0.95</v>
      </c>
      <c r="J11" s="1">
        <v>0.94</v>
      </c>
      <c r="K11" s="1">
        <v>0.91</v>
      </c>
      <c r="L11" s="1">
        <v>0.83</v>
      </c>
      <c r="M11" s="1">
        <v>0.86</v>
      </c>
      <c r="N11" s="1">
        <v>0.91</v>
      </c>
      <c r="O11" s="1">
        <v>0.93</v>
      </c>
      <c r="P11" s="1">
        <v>0.93</v>
      </c>
      <c r="Q11" s="1">
        <v>0.9</v>
      </c>
      <c r="R11" s="1">
        <v>0.85</v>
      </c>
      <c r="S11" s="1">
        <v>0.89</v>
      </c>
      <c r="T11" s="1">
        <f t="shared" si="0"/>
        <v>0.95</v>
      </c>
    </row>
    <row r="12" spans="1:20" ht="25" customHeight="1">
      <c r="A12" t="s">
        <v>16</v>
      </c>
      <c r="B12">
        <v>2</v>
      </c>
      <c r="C12" t="s">
        <v>37</v>
      </c>
      <c r="D12" t="b">
        <v>0</v>
      </c>
      <c r="E12">
        <v>3</v>
      </c>
      <c r="F12" t="s">
        <v>19</v>
      </c>
      <c r="H12" s="1">
        <v>0.69</v>
      </c>
      <c r="I12" s="1">
        <v>0.73</v>
      </c>
      <c r="J12" s="1">
        <v>0.62</v>
      </c>
      <c r="K12" s="1">
        <v>0.68</v>
      </c>
      <c r="L12" s="1">
        <v>0.73</v>
      </c>
      <c r="M12" s="1">
        <v>0.69</v>
      </c>
      <c r="N12" s="1">
        <v>0.68</v>
      </c>
      <c r="O12" s="1">
        <v>0.68</v>
      </c>
      <c r="P12" s="1">
        <v>0.76</v>
      </c>
      <c r="Q12" s="1">
        <v>0.66</v>
      </c>
      <c r="R12" s="1">
        <v>0.73</v>
      </c>
      <c r="S12" s="1">
        <v>0.73</v>
      </c>
      <c r="T12" s="1">
        <f t="shared" si="0"/>
        <v>0.76</v>
      </c>
    </row>
    <row r="13" spans="1:20" ht="25" customHeight="1">
      <c r="A13" t="s">
        <v>16</v>
      </c>
      <c r="B13">
        <v>2</v>
      </c>
      <c r="C13" t="s">
        <v>37</v>
      </c>
      <c r="D13" t="b">
        <v>0</v>
      </c>
      <c r="E13">
        <v>2</v>
      </c>
      <c r="F13" t="s">
        <v>18</v>
      </c>
      <c r="H13" s="1">
        <v>0.65</v>
      </c>
      <c r="I13" s="1">
        <v>0.67</v>
      </c>
      <c r="J13" s="1">
        <v>0.65</v>
      </c>
      <c r="K13" s="1">
        <v>0.68</v>
      </c>
      <c r="L13" s="1">
        <v>0.67</v>
      </c>
      <c r="M13" s="1">
        <v>0.69</v>
      </c>
      <c r="N13" s="1">
        <v>0.69</v>
      </c>
      <c r="O13" s="1">
        <v>0.69</v>
      </c>
      <c r="P13" s="1">
        <v>0.72</v>
      </c>
      <c r="Q13" s="1">
        <v>0.69</v>
      </c>
      <c r="R13" s="1">
        <v>0.6</v>
      </c>
      <c r="S13" s="1">
        <v>0.67</v>
      </c>
      <c r="T13" s="1">
        <f t="shared" si="0"/>
        <v>0.72</v>
      </c>
    </row>
    <row r="14" spans="1:20" ht="25" customHeight="1">
      <c r="A14" t="s">
        <v>16</v>
      </c>
      <c r="B14">
        <v>3</v>
      </c>
      <c r="C14" t="s">
        <v>22</v>
      </c>
      <c r="D14" t="b">
        <v>0</v>
      </c>
      <c r="E14">
        <v>1</v>
      </c>
      <c r="F14" t="s">
        <v>20</v>
      </c>
      <c r="H14" s="1">
        <v>0.39</v>
      </c>
      <c r="I14" s="1">
        <v>0.4</v>
      </c>
      <c r="J14" s="1">
        <v>0.38</v>
      </c>
      <c r="K14" s="1">
        <v>0.36</v>
      </c>
      <c r="L14" s="1">
        <v>0.32</v>
      </c>
      <c r="M14" s="1">
        <v>0.38</v>
      </c>
      <c r="N14" s="1">
        <v>0.43</v>
      </c>
      <c r="O14" s="1">
        <v>0.4</v>
      </c>
      <c r="P14" s="1">
        <v>0.37</v>
      </c>
      <c r="Q14" s="1">
        <v>0.38</v>
      </c>
      <c r="R14" s="1">
        <v>0.37</v>
      </c>
      <c r="S14" s="1">
        <v>0.41</v>
      </c>
      <c r="T14" s="1">
        <f t="shared" si="0"/>
        <v>0.43</v>
      </c>
    </row>
    <row r="15" spans="1:20" ht="25" customHeight="1">
      <c r="A15" t="s">
        <v>16</v>
      </c>
      <c r="B15">
        <v>3</v>
      </c>
      <c r="C15" t="s">
        <v>22</v>
      </c>
      <c r="D15" t="b">
        <v>1</v>
      </c>
      <c r="E15">
        <v>3</v>
      </c>
      <c r="F15" t="s">
        <v>19</v>
      </c>
      <c r="H15" s="1">
        <v>0.45</v>
      </c>
      <c r="I15" s="1">
        <v>0.42</v>
      </c>
      <c r="J15" s="1">
        <v>0.45</v>
      </c>
      <c r="K15" s="1">
        <v>0.4</v>
      </c>
      <c r="L15" s="1">
        <v>0.33</v>
      </c>
      <c r="M15" s="1">
        <v>0.43</v>
      </c>
      <c r="N15" s="1">
        <v>0.44</v>
      </c>
      <c r="O15" s="1">
        <v>0.46</v>
      </c>
      <c r="P15" s="1">
        <v>0.44</v>
      </c>
      <c r="Q15" s="1">
        <v>0.45</v>
      </c>
      <c r="R15" s="1">
        <v>0.42</v>
      </c>
      <c r="S15" s="1">
        <v>0.45</v>
      </c>
      <c r="T15" s="1">
        <f t="shared" si="0"/>
        <v>0.46</v>
      </c>
    </row>
    <row r="16" spans="1:20" ht="25" customHeight="1">
      <c r="A16" t="s">
        <v>16</v>
      </c>
      <c r="B16">
        <v>3</v>
      </c>
      <c r="C16" t="s">
        <v>22</v>
      </c>
      <c r="D16" t="b">
        <v>1</v>
      </c>
      <c r="E16">
        <v>1</v>
      </c>
      <c r="F16" t="s">
        <v>20</v>
      </c>
      <c r="H16" s="1">
        <v>0.45</v>
      </c>
      <c r="I16" s="1">
        <v>0.41</v>
      </c>
      <c r="J16" s="1">
        <v>0.39</v>
      </c>
      <c r="K16" s="1">
        <v>0.42</v>
      </c>
      <c r="L16" s="1">
        <v>0.44</v>
      </c>
      <c r="M16" s="1">
        <v>0.35</v>
      </c>
      <c r="N16" s="1">
        <v>0.53</v>
      </c>
      <c r="O16" s="1">
        <v>0.53</v>
      </c>
      <c r="P16" s="1">
        <v>0.46</v>
      </c>
      <c r="Q16" s="1">
        <v>0.4</v>
      </c>
      <c r="R16" s="1">
        <v>0.37</v>
      </c>
      <c r="S16" s="1">
        <v>0.43</v>
      </c>
      <c r="T16" s="1">
        <f t="shared" si="0"/>
        <v>0.53</v>
      </c>
    </row>
    <row r="17" spans="1:20" ht="25" customHeight="1">
      <c r="A17" t="s">
        <v>16</v>
      </c>
      <c r="B17">
        <v>3</v>
      </c>
      <c r="C17" t="s">
        <v>22</v>
      </c>
      <c r="D17" t="b">
        <v>1</v>
      </c>
      <c r="E17">
        <v>2</v>
      </c>
      <c r="F17" t="s">
        <v>18</v>
      </c>
      <c r="H17" s="1">
        <v>0.55000000000000004</v>
      </c>
      <c r="I17" s="1">
        <v>0.53</v>
      </c>
      <c r="J17" s="1">
        <v>0.54</v>
      </c>
      <c r="K17" s="1">
        <v>0.56999999999999995</v>
      </c>
      <c r="L17" s="1">
        <v>0.5</v>
      </c>
      <c r="M17" s="1">
        <v>0.51</v>
      </c>
      <c r="N17" s="1">
        <v>0.55000000000000004</v>
      </c>
      <c r="O17" s="1">
        <v>0.56000000000000005</v>
      </c>
      <c r="P17" s="1">
        <v>0.51</v>
      </c>
      <c r="Q17" s="1">
        <v>0.53</v>
      </c>
      <c r="R17" s="1">
        <v>0.55000000000000004</v>
      </c>
      <c r="S17" s="1">
        <v>0.48</v>
      </c>
      <c r="T17" s="1">
        <f t="shared" si="0"/>
        <v>0.56999999999999995</v>
      </c>
    </row>
    <row r="18" spans="1:20" ht="25" customHeight="1">
      <c r="A18" t="s">
        <v>16</v>
      </c>
      <c r="B18">
        <v>3</v>
      </c>
      <c r="C18" t="s">
        <v>22</v>
      </c>
      <c r="D18" t="b">
        <v>0</v>
      </c>
      <c r="E18">
        <v>2</v>
      </c>
      <c r="F18" t="s">
        <v>18</v>
      </c>
      <c r="H18" s="1">
        <v>0.44</v>
      </c>
      <c r="I18" s="1">
        <v>0.42</v>
      </c>
      <c r="J18" s="1">
        <v>0.44</v>
      </c>
      <c r="K18" s="1">
        <v>0.51</v>
      </c>
      <c r="L18" s="1">
        <v>0.46</v>
      </c>
      <c r="M18" s="1">
        <v>0.46</v>
      </c>
      <c r="N18" s="1">
        <v>0.43</v>
      </c>
      <c r="O18" s="1">
        <v>0.44</v>
      </c>
      <c r="P18" s="1">
        <v>0.4</v>
      </c>
      <c r="Q18" s="1">
        <v>0.48</v>
      </c>
      <c r="R18" s="1">
        <v>0.47</v>
      </c>
      <c r="S18" s="1">
        <v>0.42</v>
      </c>
      <c r="T18" s="1">
        <f t="shared" si="0"/>
        <v>0.51</v>
      </c>
    </row>
    <row r="19" spans="1:20" ht="25" customHeight="1">
      <c r="A19" t="s">
        <v>16</v>
      </c>
      <c r="B19">
        <v>3</v>
      </c>
      <c r="C19" t="s">
        <v>22</v>
      </c>
      <c r="D19" t="b">
        <v>0</v>
      </c>
      <c r="E19">
        <v>3</v>
      </c>
      <c r="F19" t="s">
        <v>19</v>
      </c>
      <c r="H19" s="1">
        <v>0.35</v>
      </c>
      <c r="I19" s="1">
        <v>0.42</v>
      </c>
      <c r="J19" s="1">
        <v>0.43</v>
      </c>
      <c r="K19" s="1">
        <v>0.42</v>
      </c>
      <c r="L19" s="1">
        <v>0.36</v>
      </c>
      <c r="M19" s="1">
        <v>0.42</v>
      </c>
      <c r="N19" s="1">
        <v>0.36</v>
      </c>
      <c r="O19" s="1">
        <v>0.35</v>
      </c>
      <c r="P19" s="1">
        <v>0.41</v>
      </c>
      <c r="Q19" s="1">
        <v>0.44</v>
      </c>
      <c r="R19" s="1">
        <v>0.4</v>
      </c>
      <c r="S19" s="1">
        <v>0.39</v>
      </c>
      <c r="T19" s="1">
        <f t="shared" si="0"/>
        <v>0.44</v>
      </c>
    </row>
    <row r="22" spans="1:20" ht="25" customHeight="1">
      <c r="B22" t="s">
        <v>23</v>
      </c>
      <c r="C22" t="s">
        <v>1</v>
      </c>
      <c r="D22" t="s">
        <v>26</v>
      </c>
      <c r="E22" t="s">
        <v>24</v>
      </c>
      <c r="F22" t="s">
        <v>3</v>
      </c>
      <c r="G22" t="s">
        <v>33</v>
      </c>
      <c r="H22" t="s">
        <v>4</v>
      </c>
      <c r="I22" t="s">
        <v>5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t="s">
        <v>15</v>
      </c>
      <c r="T22" t="s">
        <v>25</v>
      </c>
    </row>
    <row r="23" spans="1:20" ht="25" customHeight="1">
      <c r="B23">
        <v>1</v>
      </c>
      <c r="C23" t="s">
        <v>17</v>
      </c>
      <c r="D23" t="b">
        <v>1</v>
      </c>
      <c r="E23">
        <v>1</v>
      </c>
      <c r="F23" t="s">
        <v>25</v>
      </c>
      <c r="H23" s="1" cm="1">
        <f t="array" ref="H23">_xlfn.LET(_xlpm.d,H$2:H$19,_xlpm.a,$C$2:$C$19=$C23,_xlpm.b,$D$2:$D$19=$D23,MAX(_xlfn._xlws.FILTER(_xlpm.d,_xlpm.a*_xlpm.b)))</f>
        <v>0.85</v>
      </c>
      <c r="I23" s="1" cm="1">
        <f t="array" ref="I23">_xlfn.LET(_xlpm.d,I$2:I$19,_xlpm.a,$C$2:$C$19=$C23,_xlpm.b,$D$2:$D$19=$D23,MAX(_xlfn._xlws.FILTER(_xlpm.d,_xlpm.a*_xlpm.b)))</f>
        <v>0.86</v>
      </c>
      <c r="J23" s="1" cm="1">
        <f t="array" ref="J23">_xlfn.LET(_xlpm.d,J$2:J$19,_xlpm.a,$C$2:$C$19=$C23,_xlpm.b,$D$2:$D$19=$D23,MAX(_xlfn._xlws.FILTER(_xlpm.d,_xlpm.a*_xlpm.b)))</f>
        <v>0.91</v>
      </c>
      <c r="K23" s="1" cm="1">
        <f t="array" ref="K23">_xlfn.LET(_xlpm.d,K$2:K$19,_xlpm.a,$C$2:$C$19=$C23,_xlpm.b,$D$2:$D$19=$D23,MAX(_xlfn._xlws.FILTER(_xlpm.d,_xlpm.a*_xlpm.b)))</f>
        <v>0.82</v>
      </c>
      <c r="L23" s="1" cm="1">
        <f t="array" ref="L23">_xlfn.LET(_xlpm.d,L$2:L$19,_xlpm.a,$C$2:$C$19=$C23,_xlpm.b,$D$2:$D$19=$D23,MAX(_xlfn._xlws.FILTER(_xlpm.d,_xlpm.a*_xlpm.b)))</f>
        <v>0.82</v>
      </c>
      <c r="M23" s="1" cm="1">
        <f t="array" ref="M23">_xlfn.LET(_xlpm.d,M$2:M$19,_xlpm.a,$C$2:$C$19=$C23,_xlpm.b,$D$2:$D$19=$D23,MAX(_xlfn._xlws.FILTER(_xlpm.d,_xlpm.a*_xlpm.b)))</f>
        <v>0.83</v>
      </c>
      <c r="N23" s="1" cm="1">
        <f t="array" ref="N23">_xlfn.LET(_xlpm.d,N$2:N$19,_xlpm.a,$C$2:$C$19=$C23,_xlpm.b,$D$2:$D$19=$D23,MAX(_xlfn._xlws.FILTER(_xlpm.d,_xlpm.a*_xlpm.b)))</f>
        <v>0.93</v>
      </c>
      <c r="O23" s="1" cm="1">
        <f t="array" ref="O23">_xlfn.LET(_xlpm.d,O$2:O$19,_xlpm.a,$C$2:$C$19=$C23,_xlpm.b,$D$2:$D$19=$D23,MAX(_xlfn._xlws.FILTER(_xlpm.d,_xlpm.a*_xlpm.b)))</f>
        <v>0.9</v>
      </c>
      <c r="P23" s="1" cm="1">
        <f t="array" ref="P23">_xlfn.LET(_xlpm.d,P$2:P$19,_xlpm.a,$C$2:$C$19=$C23,_xlpm.b,$D$2:$D$19=$D23,MAX(_xlfn._xlws.FILTER(_xlpm.d,_xlpm.a*_xlpm.b)))</f>
        <v>0.9</v>
      </c>
      <c r="Q23" s="1" cm="1">
        <f t="array" ref="Q23">_xlfn.LET(_xlpm.d,Q$2:Q$19,_xlpm.a,$C$2:$C$19=$C23,_xlpm.b,$D$2:$D$19=$D23,MAX(_xlfn._xlws.FILTER(_xlpm.d,_xlpm.a*_xlpm.b)))</f>
        <v>0.88</v>
      </c>
      <c r="R23" s="1" cm="1">
        <f t="array" ref="R23">_xlfn.LET(_xlpm.d,R$2:R$19,_xlpm.a,$C$2:$C$19=$C23,_xlpm.b,$D$2:$D$19=$D23,MAX(_xlfn._xlws.FILTER(_xlpm.d,_xlpm.a*_xlpm.b)))</f>
        <v>0.87</v>
      </c>
      <c r="S23" s="1" cm="1">
        <f t="array" ref="S23">_xlfn.LET(_xlpm.d,S$2:S$19,_xlpm.a,$C$2:$C$19=$C23,_xlpm.b,$D$2:$D$19=$D23,MAX(_xlfn._xlws.FILTER(_xlpm.d,_xlpm.a*_xlpm.b)))</f>
        <v>0.81</v>
      </c>
      <c r="T23" s="1">
        <f t="shared" ref="T23:T28" si="1">_xlfn.LET(_xlpm.d,$H23:$S23,MAX(_xlpm.d))</f>
        <v>0.93</v>
      </c>
    </row>
    <row r="24" spans="1:20" ht="25" customHeight="1">
      <c r="B24">
        <v>1</v>
      </c>
      <c r="C24" t="s">
        <v>17</v>
      </c>
      <c r="D24" t="b">
        <v>0</v>
      </c>
      <c r="E24">
        <v>1</v>
      </c>
      <c r="F24" t="s">
        <v>25</v>
      </c>
      <c r="H24" s="1" cm="1">
        <f t="array" ref="H24">_xlfn.LET(_xlpm.d,H$2:H$19,_xlpm.a,$C$2:$C$19=$C24,_xlpm.b,$D$2:$D$19=$D24,MAX(_xlfn._xlws.FILTER(_xlpm.d,_xlpm.a*_xlpm.b)))</f>
        <v>0.76</v>
      </c>
      <c r="I24" s="1" cm="1">
        <f t="array" ref="I24">_xlfn.LET(_xlpm.d,I$2:I$19,_xlpm.a,$C$2:$C$19=$C24,_xlpm.b,$D$2:$D$19=$D24,MAX(_xlfn._xlws.FILTER(_xlpm.d,_xlpm.a*_xlpm.b)))</f>
        <v>0.81</v>
      </c>
      <c r="J24" s="1" cm="1">
        <f t="array" ref="J24">_xlfn.LET(_xlpm.d,J$2:J$19,_xlpm.a,$C$2:$C$19=$C24,_xlpm.b,$D$2:$D$19=$D24,MAX(_xlfn._xlws.FILTER(_xlpm.d,_xlpm.a*_xlpm.b)))</f>
        <v>0.84</v>
      </c>
      <c r="K24" s="1" cm="1">
        <f t="array" ref="K24">_xlfn.LET(_xlpm.d,K$2:K$19,_xlpm.a,$C$2:$C$19=$C24,_xlpm.b,$D$2:$D$19=$D24,MAX(_xlfn._xlws.FILTER(_xlpm.d,_xlpm.a*_xlpm.b)))</f>
        <v>0.81</v>
      </c>
      <c r="L24" s="1" cm="1">
        <f t="array" ref="L24">_xlfn.LET(_xlpm.d,L$2:L$19,_xlpm.a,$C$2:$C$19=$C24,_xlpm.b,$D$2:$D$19=$D24,MAX(_xlfn._xlws.FILTER(_xlpm.d,_xlpm.a*_xlpm.b)))</f>
        <v>0.83</v>
      </c>
      <c r="M24" s="1" cm="1">
        <f t="array" ref="M24">_xlfn.LET(_xlpm.d,M$2:M$19,_xlpm.a,$C$2:$C$19=$C24,_xlpm.b,$D$2:$D$19=$D24,MAX(_xlfn._xlws.FILTER(_xlpm.d,_xlpm.a*_xlpm.b)))</f>
        <v>0.83</v>
      </c>
      <c r="N24" s="1" cm="1">
        <f t="array" ref="N24">_xlfn.LET(_xlpm.d,N$2:N$19,_xlpm.a,$C$2:$C$19=$C24,_xlpm.b,$D$2:$D$19=$D24,MAX(_xlfn._xlws.FILTER(_xlpm.d,_xlpm.a*_xlpm.b)))</f>
        <v>0.86</v>
      </c>
      <c r="O24" s="1" cm="1">
        <f t="array" ref="O24">_xlfn.LET(_xlpm.d,O$2:O$19,_xlpm.a,$C$2:$C$19=$C24,_xlpm.b,$D$2:$D$19=$D24,MAX(_xlfn._xlws.FILTER(_xlpm.d,_xlpm.a*_xlpm.b)))</f>
        <v>0.82</v>
      </c>
      <c r="P24" s="1" cm="1">
        <f t="array" ref="P24">_xlfn.LET(_xlpm.d,P$2:P$19,_xlpm.a,$C$2:$C$19=$C24,_xlpm.b,$D$2:$D$19=$D24,MAX(_xlfn._xlws.FILTER(_xlpm.d,_xlpm.a*_xlpm.b)))</f>
        <v>0.86</v>
      </c>
      <c r="Q24" s="1" cm="1">
        <f t="array" ref="Q24">_xlfn.LET(_xlpm.d,Q$2:Q$19,_xlpm.a,$C$2:$C$19=$C24,_xlpm.b,$D$2:$D$19=$D24,MAX(_xlfn._xlws.FILTER(_xlpm.d,_xlpm.a*_xlpm.b)))</f>
        <v>0.86</v>
      </c>
      <c r="R24" s="1" cm="1">
        <f t="array" ref="R24">_xlfn.LET(_xlpm.d,R$2:R$19,_xlpm.a,$C$2:$C$19=$C24,_xlpm.b,$D$2:$D$19=$D24,MAX(_xlfn._xlws.FILTER(_xlpm.d,_xlpm.a*_xlpm.b)))</f>
        <v>0.84</v>
      </c>
      <c r="S24" s="1" cm="1">
        <f t="array" ref="S24">_xlfn.LET(_xlpm.d,S$2:S$19,_xlpm.a,$C$2:$C$19=$C24,_xlpm.b,$D$2:$D$19=$D24,MAX(_xlfn._xlws.FILTER(_xlpm.d,_xlpm.a*_xlpm.b)))</f>
        <v>0.8</v>
      </c>
      <c r="T24" s="1">
        <f t="shared" si="1"/>
        <v>0.86</v>
      </c>
    </row>
    <row r="25" spans="1:20" ht="25" customHeight="1">
      <c r="B25">
        <v>2</v>
      </c>
      <c r="C25" t="s">
        <v>37</v>
      </c>
      <c r="D25" t="b">
        <v>1</v>
      </c>
      <c r="E25">
        <v>1</v>
      </c>
      <c r="F25" t="s">
        <v>25</v>
      </c>
      <c r="H25" s="1" cm="1">
        <f t="array" ref="H25">_xlfn.LET(_xlpm.d,H$2:H$19,_xlpm.a,$C$2:$C$19=$C25,_xlpm.b,$D$2:$D$19=$D25,MAX(_xlfn._xlws.FILTER(_xlpm.d,_xlpm.a*_xlpm.b)))</f>
        <v>0.94</v>
      </c>
      <c r="I25" s="1" cm="1">
        <f t="array" ref="I25">_xlfn.LET(_xlpm.d,I$2:I$19,_xlpm.a,$C$2:$C$19=$C25,_xlpm.b,$D$2:$D$19=$D25,MAX(_xlfn._xlws.FILTER(_xlpm.d,_xlpm.a*_xlpm.b)))</f>
        <v>0.95</v>
      </c>
      <c r="J25" s="1" cm="1">
        <f t="array" ref="J25">_xlfn.LET(_xlpm.d,J$2:J$19,_xlpm.a,$C$2:$C$19=$C25,_xlpm.b,$D$2:$D$19=$D25,MAX(_xlfn._xlws.FILTER(_xlpm.d,_xlpm.a*_xlpm.b)))</f>
        <v>0.94</v>
      </c>
      <c r="K25" s="1" cm="1">
        <f t="array" ref="K25">_xlfn.LET(_xlpm.d,K$2:K$19,_xlpm.a,$C$2:$C$19=$C25,_xlpm.b,$D$2:$D$19=$D25,MAX(_xlfn._xlws.FILTER(_xlpm.d,_xlpm.a*_xlpm.b)))</f>
        <v>0.91</v>
      </c>
      <c r="L25" s="1" cm="1">
        <f t="array" ref="L25">_xlfn.LET(_xlpm.d,L$2:L$19,_xlpm.a,$C$2:$C$19=$C25,_xlpm.b,$D$2:$D$19=$D25,MAX(_xlfn._xlws.FILTER(_xlpm.d,_xlpm.a*_xlpm.b)))</f>
        <v>0.84</v>
      </c>
      <c r="M25" s="1" cm="1">
        <f t="array" ref="M25">_xlfn.LET(_xlpm.d,M$2:M$19,_xlpm.a,$C$2:$C$19=$C25,_xlpm.b,$D$2:$D$19=$D25,MAX(_xlfn._xlws.FILTER(_xlpm.d,_xlpm.a*_xlpm.b)))</f>
        <v>0.86</v>
      </c>
      <c r="N25" s="1" cm="1">
        <f t="array" ref="N25">_xlfn.LET(_xlpm.d,N$2:N$19,_xlpm.a,$C$2:$C$19=$C25,_xlpm.b,$D$2:$D$19=$D25,MAX(_xlfn._xlws.FILTER(_xlpm.d,_xlpm.a*_xlpm.b)))</f>
        <v>0.92</v>
      </c>
      <c r="O25" s="1" cm="1">
        <f t="array" ref="O25">_xlfn.LET(_xlpm.d,O$2:O$19,_xlpm.a,$C$2:$C$19=$C25,_xlpm.b,$D$2:$D$19=$D25,MAX(_xlfn._xlws.FILTER(_xlpm.d,_xlpm.a*_xlpm.b)))</f>
        <v>0.93</v>
      </c>
      <c r="P25" s="1" cm="1">
        <f t="array" ref="P25">_xlfn.LET(_xlpm.d,P$2:P$19,_xlpm.a,$C$2:$C$19=$C25,_xlpm.b,$D$2:$D$19=$D25,MAX(_xlfn._xlws.FILTER(_xlpm.d,_xlpm.a*_xlpm.b)))</f>
        <v>0.93</v>
      </c>
      <c r="Q25" s="1" cm="1">
        <f t="array" ref="Q25">_xlfn.LET(_xlpm.d,Q$2:Q$19,_xlpm.a,$C$2:$C$19=$C25,_xlpm.b,$D$2:$D$19=$D25,MAX(_xlfn._xlws.FILTER(_xlpm.d,_xlpm.a*_xlpm.b)))</f>
        <v>0.92</v>
      </c>
      <c r="R25" s="1" cm="1">
        <f t="array" ref="R25">_xlfn.LET(_xlpm.d,R$2:R$19,_xlpm.a,$C$2:$C$19=$C25,_xlpm.b,$D$2:$D$19=$D25,MAX(_xlfn._xlws.FILTER(_xlpm.d,_xlpm.a*_xlpm.b)))</f>
        <v>0.88</v>
      </c>
      <c r="S25" s="1" cm="1">
        <f t="array" ref="S25">_xlfn.LET(_xlpm.d,S$2:S$19,_xlpm.a,$C$2:$C$19=$C25,_xlpm.b,$D$2:$D$19=$D25,MAX(_xlfn._xlws.FILTER(_xlpm.d,_xlpm.a*_xlpm.b)))</f>
        <v>0.89</v>
      </c>
      <c r="T25" s="1">
        <f t="shared" si="1"/>
        <v>0.95</v>
      </c>
    </row>
    <row r="26" spans="1:20" ht="25" customHeight="1">
      <c r="B26">
        <v>2</v>
      </c>
      <c r="C26" t="s">
        <v>37</v>
      </c>
      <c r="D26" t="b">
        <v>0</v>
      </c>
      <c r="E26">
        <v>1</v>
      </c>
      <c r="F26" t="s">
        <v>25</v>
      </c>
      <c r="H26" s="1" cm="1">
        <f t="array" ref="H26">_xlfn.LET(_xlpm.d,H$2:H$19,_xlpm.a,$C$2:$C$19=$C26,_xlpm.b,$D$2:$D$19=$D26,MAX(_xlfn._xlws.FILTER(_xlpm.d,_xlpm.a*_xlpm.b)))</f>
        <v>0.69</v>
      </c>
      <c r="I26" s="1" cm="1">
        <f t="array" ref="I26">_xlfn.LET(_xlpm.d,I$2:I$19,_xlpm.a,$C$2:$C$19=$C26,_xlpm.b,$D$2:$D$19=$D26,MAX(_xlfn._xlws.FILTER(_xlpm.d,_xlpm.a*_xlpm.b)))</f>
        <v>0.73</v>
      </c>
      <c r="J26" s="1" cm="1">
        <f t="array" ref="J26">_xlfn.LET(_xlpm.d,J$2:J$19,_xlpm.a,$C$2:$C$19=$C26,_xlpm.b,$D$2:$D$19=$D26,MAX(_xlfn._xlws.FILTER(_xlpm.d,_xlpm.a*_xlpm.b)))</f>
        <v>0.65</v>
      </c>
      <c r="K26" s="1" cm="1">
        <f t="array" ref="K26">_xlfn.LET(_xlpm.d,K$2:K$19,_xlpm.a,$C$2:$C$19=$C26,_xlpm.b,$D$2:$D$19=$D26,MAX(_xlfn._xlws.FILTER(_xlpm.d,_xlpm.a*_xlpm.b)))</f>
        <v>0.68</v>
      </c>
      <c r="L26" s="1" cm="1">
        <f t="array" ref="L26">_xlfn.LET(_xlpm.d,L$2:L$19,_xlpm.a,$C$2:$C$19=$C26,_xlpm.b,$D$2:$D$19=$D26,MAX(_xlfn._xlws.FILTER(_xlpm.d,_xlpm.a*_xlpm.b)))</f>
        <v>0.73</v>
      </c>
      <c r="M26" s="1" cm="1">
        <f t="array" ref="M26">_xlfn.LET(_xlpm.d,M$2:M$19,_xlpm.a,$C$2:$C$19=$C26,_xlpm.b,$D$2:$D$19=$D26,MAX(_xlfn._xlws.FILTER(_xlpm.d,_xlpm.a*_xlpm.b)))</f>
        <v>0.69</v>
      </c>
      <c r="N26" s="1" cm="1">
        <f t="array" ref="N26">_xlfn.LET(_xlpm.d,N$2:N$19,_xlpm.a,$C$2:$C$19=$C26,_xlpm.b,$D$2:$D$19=$D26,MAX(_xlfn._xlws.FILTER(_xlpm.d,_xlpm.a*_xlpm.b)))</f>
        <v>0.69</v>
      </c>
      <c r="O26" s="1" cm="1">
        <f t="array" ref="O26">_xlfn.LET(_xlpm.d,O$2:O$19,_xlpm.a,$C$2:$C$19=$C26,_xlpm.b,$D$2:$D$19=$D26,MAX(_xlfn._xlws.FILTER(_xlpm.d,_xlpm.a*_xlpm.b)))</f>
        <v>0.69</v>
      </c>
      <c r="P26" s="1" cm="1">
        <f t="array" ref="P26">_xlfn.LET(_xlpm.d,P$2:P$19,_xlpm.a,$C$2:$C$19=$C26,_xlpm.b,$D$2:$D$19=$D26,MAX(_xlfn._xlws.FILTER(_xlpm.d,_xlpm.a*_xlpm.b)))</f>
        <v>0.76</v>
      </c>
      <c r="Q26" s="1" cm="1">
        <f t="array" ref="Q26">_xlfn.LET(_xlpm.d,Q$2:Q$19,_xlpm.a,$C$2:$C$19=$C26,_xlpm.b,$D$2:$D$19=$D26,MAX(_xlfn._xlws.FILTER(_xlpm.d,_xlpm.a*_xlpm.b)))</f>
        <v>0.69</v>
      </c>
      <c r="R26" s="1" cm="1">
        <f t="array" ref="R26">_xlfn.LET(_xlpm.d,R$2:R$19,_xlpm.a,$C$2:$C$19=$C26,_xlpm.b,$D$2:$D$19=$D26,MAX(_xlfn._xlws.FILTER(_xlpm.d,_xlpm.a*_xlpm.b)))</f>
        <v>0.73</v>
      </c>
      <c r="S26" s="1" cm="1">
        <f t="array" ref="S26">_xlfn.LET(_xlpm.d,S$2:S$19,_xlpm.a,$C$2:$C$19=$C26,_xlpm.b,$D$2:$D$19=$D26,MAX(_xlfn._xlws.FILTER(_xlpm.d,_xlpm.a*_xlpm.b)))</f>
        <v>0.73</v>
      </c>
      <c r="T26" s="1">
        <f t="shared" si="1"/>
        <v>0.76</v>
      </c>
    </row>
    <row r="27" spans="1:20" ht="25" customHeight="1">
      <c r="B27">
        <v>3</v>
      </c>
      <c r="C27" t="s">
        <v>22</v>
      </c>
      <c r="D27" t="b">
        <v>1</v>
      </c>
      <c r="E27">
        <v>1</v>
      </c>
      <c r="F27" t="s">
        <v>25</v>
      </c>
      <c r="H27" s="1" cm="1">
        <f t="array" ref="H27">_xlfn.LET(_xlpm.d,H$2:H$19,_xlpm.a,$C$2:$C$19=$C27,_xlpm.b,$D$2:$D$19=$D27,MAX(_xlfn._xlws.FILTER(_xlpm.d,_xlpm.a*_xlpm.b)))</f>
        <v>0.55000000000000004</v>
      </c>
      <c r="I27" s="1" cm="1">
        <f t="array" ref="I27">_xlfn.LET(_xlpm.d,I$2:I$19,_xlpm.a,$C$2:$C$19=$C27,_xlpm.b,$D$2:$D$19=$D27,MAX(_xlfn._xlws.FILTER(_xlpm.d,_xlpm.a*_xlpm.b)))</f>
        <v>0.53</v>
      </c>
      <c r="J27" s="1" cm="1">
        <f t="array" ref="J27">_xlfn.LET(_xlpm.d,J$2:J$19,_xlpm.a,$C$2:$C$19=$C27,_xlpm.b,$D$2:$D$19=$D27,MAX(_xlfn._xlws.FILTER(_xlpm.d,_xlpm.a*_xlpm.b)))</f>
        <v>0.54</v>
      </c>
      <c r="K27" s="1" cm="1">
        <f t="array" ref="K27">_xlfn.LET(_xlpm.d,K$2:K$19,_xlpm.a,$C$2:$C$19=$C27,_xlpm.b,$D$2:$D$19=$D27,MAX(_xlfn._xlws.FILTER(_xlpm.d,_xlpm.a*_xlpm.b)))</f>
        <v>0.56999999999999995</v>
      </c>
      <c r="L27" s="1" cm="1">
        <f t="array" ref="L27">_xlfn.LET(_xlpm.d,L$2:L$19,_xlpm.a,$C$2:$C$19=$C27,_xlpm.b,$D$2:$D$19=$D27,MAX(_xlfn._xlws.FILTER(_xlpm.d,_xlpm.a*_xlpm.b)))</f>
        <v>0.5</v>
      </c>
      <c r="M27" s="1" cm="1">
        <f t="array" ref="M27">_xlfn.LET(_xlpm.d,M$2:M$19,_xlpm.a,$C$2:$C$19=$C27,_xlpm.b,$D$2:$D$19=$D27,MAX(_xlfn._xlws.FILTER(_xlpm.d,_xlpm.a*_xlpm.b)))</f>
        <v>0.51</v>
      </c>
      <c r="N27" s="1" cm="1">
        <f t="array" ref="N27">_xlfn.LET(_xlpm.d,N$2:N$19,_xlpm.a,$C$2:$C$19=$C27,_xlpm.b,$D$2:$D$19=$D27,MAX(_xlfn._xlws.FILTER(_xlpm.d,_xlpm.a*_xlpm.b)))</f>
        <v>0.55000000000000004</v>
      </c>
      <c r="O27" s="1" cm="1">
        <f t="array" ref="O27">_xlfn.LET(_xlpm.d,O$2:O$19,_xlpm.a,$C$2:$C$19=$C27,_xlpm.b,$D$2:$D$19=$D27,MAX(_xlfn._xlws.FILTER(_xlpm.d,_xlpm.a*_xlpm.b)))</f>
        <v>0.56000000000000005</v>
      </c>
      <c r="P27" s="1" cm="1">
        <f t="array" ref="P27">_xlfn.LET(_xlpm.d,P$2:P$19,_xlpm.a,$C$2:$C$19=$C27,_xlpm.b,$D$2:$D$19=$D27,MAX(_xlfn._xlws.FILTER(_xlpm.d,_xlpm.a*_xlpm.b)))</f>
        <v>0.51</v>
      </c>
      <c r="Q27" s="1" cm="1">
        <f t="array" ref="Q27">_xlfn.LET(_xlpm.d,Q$2:Q$19,_xlpm.a,$C$2:$C$19=$C27,_xlpm.b,$D$2:$D$19=$D27,MAX(_xlfn._xlws.FILTER(_xlpm.d,_xlpm.a*_xlpm.b)))</f>
        <v>0.53</v>
      </c>
      <c r="R27" s="1" cm="1">
        <f t="array" ref="R27">_xlfn.LET(_xlpm.d,R$2:R$19,_xlpm.a,$C$2:$C$19=$C27,_xlpm.b,$D$2:$D$19=$D27,MAX(_xlfn._xlws.FILTER(_xlpm.d,_xlpm.a*_xlpm.b)))</f>
        <v>0.55000000000000004</v>
      </c>
      <c r="S27" s="1" cm="1">
        <f t="array" ref="S27">_xlfn.LET(_xlpm.d,S$2:S$19,_xlpm.a,$C$2:$C$19=$C27,_xlpm.b,$D$2:$D$19=$D27,MAX(_xlfn._xlws.FILTER(_xlpm.d,_xlpm.a*_xlpm.b)))</f>
        <v>0.48</v>
      </c>
      <c r="T27" s="1">
        <f t="shared" si="1"/>
        <v>0.56999999999999995</v>
      </c>
    </row>
    <row r="28" spans="1:20" ht="25" customHeight="1">
      <c r="B28">
        <v>3</v>
      </c>
      <c r="C28" t="s">
        <v>22</v>
      </c>
      <c r="D28" t="b">
        <v>0</v>
      </c>
      <c r="E28">
        <v>1</v>
      </c>
      <c r="F28" t="s">
        <v>25</v>
      </c>
      <c r="H28" s="1" cm="1">
        <f t="array" ref="H28">_xlfn.LET(_xlpm.d,H$2:H$19,_xlpm.a,$C$2:$C$19=$C28,_xlpm.b,$D$2:$D$19=$D28,MAX(_xlfn._xlws.FILTER(_xlpm.d,_xlpm.a*_xlpm.b)))</f>
        <v>0.44</v>
      </c>
      <c r="I28" s="1" cm="1">
        <f t="array" ref="I28">_xlfn.LET(_xlpm.d,I$2:I$19,_xlpm.a,$C$2:$C$19=$C28,_xlpm.b,$D$2:$D$19=$D28,MAX(_xlfn._xlws.FILTER(_xlpm.d,_xlpm.a*_xlpm.b)))</f>
        <v>0.42</v>
      </c>
      <c r="J28" s="1" cm="1">
        <f t="array" ref="J28">_xlfn.LET(_xlpm.d,J$2:J$19,_xlpm.a,$C$2:$C$19=$C28,_xlpm.b,$D$2:$D$19=$D28,MAX(_xlfn._xlws.FILTER(_xlpm.d,_xlpm.a*_xlpm.b)))</f>
        <v>0.44</v>
      </c>
      <c r="K28" s="1" cm="1">
        <f t="array" ref="K28">_xlfn.LET(_xlpm.d,K$2:K$19,_xlpm.a,$C$2:$C$19=$C28,_xlpm.b,$D$2:$D$19=$D28,MAX(_xlfn._xlws.FILTER(_xlpm.d,_xlpm.a*_xlpm.b)))</f>
        <v>0.51</v>
      </c>
      <c r="L28" s="1" cm="1">
        <f t="array" ref="L28">_xlfn.LET(_xlpm.d,L$2:L$19,_xlpm.a,$C$2:$C$19=$C28,_xlpm.b,$D$2:$D$19=$D28,MAX(_xlfn._xlws.FILTER(_xlpm.d,_xlpm.a*_xlpm.b)))</f>
        <v>0.46</v>
      </c>
      <c r="M28" s="1" cm="1">
        <f t="array" ref="M28">_xlfn.LET(_xlpm.d,M$2:M$19,_xlpm.a,$C$2:$C$19=$C28,_xlpm.b,$D$2:$D$19=$D28,MAX(_xlfn._xlws.FILTER(_xlpm.d,_xlpm.a*_xlpm.b)))</f>
        <v>0.46</v>
      </c>
      <c r="N28" s="1" cm="1">
        <f t="array" ref="N28">_xlfn.LET(_xlpm.d,N$2:N$19,_xlpm.a,$C$2:$C$19=$C28,_xlpm.b,$D$2:$D$19=$D28,MAX(_xlfn._xlws.FILTER(_xlpm.d,_xlpm.a*_xlpm.b)))</f>
        <v>0.43</v>
      </c>
      <c r="O28" s="1" cm="1">
        <f t="array" ref="O28">_xlfn.LET(_xlpm.d,O$2:O$19,_xlpm.a,$C$2:$C$19=$C28,_xlpm.b,$D$2:$D$19=$D28,MAX(_xlfn._xlws.FILTER(_xlpm.d,_xlpm.a*_xlpm.b)))</f>
        <v>0.44</v>
      </c>
      <c r="P28" s="1" cm="1">
        <f t="array" ref="P28">_xlfn.LET(_xlpm.d,P$2:P$19,_xlpm.a,$C$2:$C$19=$C28,_xlpm.b,$D$2:$D$19=$D28,MAX(_xlfn._xlws.FILTER(_xlpm.d,_xlpm.a*_xlpm.b)))</f>
        <v>0.41</v>
      </c>
      <c r="Q28" s="1" cm="1">
        <f t="array" ref="Q28">_xlfn.LET(_xlpm.d,Q$2:Q$19,_xlpm.a,$C$2:$C$19=$C28,_xlpm.b,$D$2:$D$19=$D28,MAX(_xlfn._xlws.FILTER(_xlpm.d,_xlpm.a*_xlpm.b)))</f>
        <v>0.48</v>
      </c>
      <c r="R28" s="1" cm="1">
        <f t="array" ref="R28">_xlfn.LET(_xlpm.d,R$2:R$19,_xlpm.a,$C$2:$C$19=$C28,_xlpm.b,$D$2:$D$19=$D28,MAX(_xlfn._xlws.FILTER(_xlpm.d,_xlpm.a*_xlpm.b)))</f>
        <v>0.47</v>
      </c>
      <c r="S28" s="1" cm="1">
        <f t="array" ref="S28">_xlfn.LET(_xlpm.d,S$2:S$19,_xlpm.a,$C$2:$C$19=$C28,_xlpm.b,$D$2:$D$19=$D28,MAX(_xlfn._xlws.FILTER(_xlpm.d,_xlpm.a*_xlpm.b)))</f>
        <v>0.42</v>
      </c>
      <c r="T28" s="1">
        <f t="shared" si="1"/>
        <v>0.51</v>
      </c>
    </row>
  </sheetData>
  <conditionalFormatting sqref="H2:T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03AA5-E025-F347-8D4B-F2B6715A9644}">
  <dimension ref="A1:T42"/>
  <sheetViews>
    <sheetView workbookViewId="0"/>
  </sheetViews>
  <sheetFormatPr baseColWidth="10" defaultRowHeight="25" customHeight="1"/>
  <cols>
    <col min="1" max="1" width="8.375" customWidth="1"/>
    <col min="2" max="2" width="6.875" customWidth="1"/>
    <col min="4" max="4" width="8.625" customWidth="1"/>
    <col min="5" max="5" width="7.5" customWidth="1"/>
    <col min="6" max="6" width="9" customWidth="1"/>
    <col min="7" max="7" width="9.875" customWidth="1"/>
    <col min="8" max="19" width="8.25" customWidth="1"/>
  </cols>
  <sheetData>
    <row r="1" spans="1:20" ht="25" customHeight="1">
      <c r="A1" t="s">
        <v>0</v>
      </c>
      <c r="B1" t="s">
        <v>23</v>
      </c>
      <c r="C1" t="s">
        <v>1</v>
      </c>
      <c r="D1" t="s">
        <v>2</v>
      </c>
      <c r="E1" t="s">
        <v>24</v>
      </c>
      <c r="F1" t="s">
        <v>3</v>
      </c>
      <c r="G1" t="s">
        <v>33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25</v>
      </c>
    </row>
    <row r="2" spans="1:20" ht="25" customHeight="1">
      <c r="A2" t="s">
        <v>16</v>
      </c>
      <c r="B2">
        <v>1</v>
      </c>
      <c r="C2" t="s">
        <v>17</v>
      </c>
      <c r="D2" t="b">
        <v>0</v>
      </c>
      <c r="E2">
        <v>1</v>
      </c>
      <c r="F2" t="s">
        <v>20</v>
      </c>
      <c r="H2" s="1">
        <v>0.82</v>
      </c>
      <c r="I2" s="1">
        <v>0.79</v>
      </c>
      <c r="J2" s="1">
        <v>0.78</v>
      </c>
      <c r="K2" s="1">
        <v>0.75</v>
      </c>
      <c r="L2" s="1">
        <v>0.71</v>
      </c>
      <c r="M2" s="1">
        <v>0.77</v>
      </c>
      <c r="N2" s="1">
        <v>0.77</v>
      </c>
      <c r="O2" s="1">
        <v>0.76</v>
      </c>
      <c r="P2" s="1">
        <v>0.78</v>
      </c>
      <c r="Q2" s="1">
        <v>0.73</v>
      </c>
      <c r="R2" s="1">
        <v>0.83</v>
      </c>
      <c r="S2" s="1">
        <v>0.79</v>
      </c>
      <c r="T2" s="1">
        <f>_xlfn.LET(_xlpm.d,$H2:$S2,MAX(_xlpm.d))</f>
        <v>0.83</v>
      </c>
    </row>
    <row r="3" spans="1:20" ht="25" customHeight="1">
      <c r="A3" t="s">
        <v>16</v>
      </c>
      <c r="B3">
        <v>1</v>
      </c>
      <c r="C3" t="s">
        <v>17</v>
      </c>
      <c r="D3" t="b">
        <v>0</v>
      </c>
      <c r="E3">
        <v>2</v>
      </c>
      <c r="F3" t="s">
        <v>18</v>
      </c>
      <c r="H3" s="1">
        <v>0.82</v>
      </c>
      <c r="I3" s="1">
        <v>0.79</v>
      </c>
      <c r="J3" s="1">
        <v>0.83</v>
      </c>
      <c r="K3" s="1">
        <v>0.85</v>
      </c>
      <c r="L3" s="1">
        <v>0.8</v>
      </c>
      <c r="M3" s="1">
        <v>0.82</v>
      </c>
      <c r="N3" s="1">
        <v>0.82</v>
      </c>
      <c r="O3" s="1">
        <v>0.79</v>
      </c>
      <c r="P3" s="1">
        <v>0.8</v>
      </c>
      <c r="Q3" s="1">
        <v>0.82</v>
      </c>
      <c r="R3" s="1">
        <v>0.86</v>
      </c>
      <c r="S3" s="1">
        <v>0.81</v>
      </c>
      <c r="T3" s="1">
        <f>_xlfn.LET(_xlpm.d,$H3:$S3,MAX(_xlpm.d))</f>
        <v>0.86</v>
      </c>
    </row>
    <row r="4" spans="1:20" ht="25" customHeight="1">
      <c r="A4" t="s">
        <v>16</v>
      </c>
      <c r="B4">
        <v>1</v>
      </c>
      <c r="C4" t="s">
        <v>17</v>
      </c>
      <c r="D4" t="b">
        <v>0</v>
      </c>
      <c r="E4">
        <v>3</v>
      </c>
      <c r="F4" t="s">
        <v>19</v>
      </c>
      <c r="H4" s="1">
        <v>0.82</v>
      </c>
      <c r="I4" s="1">
        <v>0.75</v>
      </c>
      <c r="J4" s="1">
        <v>0.78</v>
      </c>
      <c r="K4" s="1">
        <v>0.8</v>
      </c>
      <c r="L4" s="1">
        <v>0.8</v>
      </c>
      <c r="M4" s="1">
        <v>0.78</v>
      </c>
      <c r="N4" s="1">
        <v>0.78</v>
      </c>
      <c r="O4" s="1">
        <v>0.7</v>
      </c>
      <c r="P4" s="1">
        <v>0.75</v>
      </c>
      <c r="Q4" s="1">
        <v>0.79</v>
      </c>
      <c r="R4" s="1">
        <v>0.84</v>
      </c>
      <c r="S4" s="1">
        <v>0.8</v>
      </c>
      <c r="T4" s="1">
        <f>_xlfn.LET(_xlpm.d,$H4:$S4,MAX(_xlpm.d))</f>
        <v>0.84</v>
      </c>
    </row>
    <row r="5" spans="1:20" ht="25" customHeight="1">
      <c r="A5" t="s">
        <v>16</v>
      </c>
      <c r="B5">
        <v>1</v>
      </c>
      <c r="C5" t="s">
        <v>17</v>
      </c>
      <c r="D5" t="b">
        <v>1</v>
      </c>
      <c r="E5">
        <v>1</v>
      </c>
      <c r="F5" t="s">
        <v>20</v>
      </c>
      <c r="H5" s="1">
        <v>0.87</v>
      </c>
      <c r="I5" s="1">
        <v>0.8</v>
      </c>
      <c r="J5" s="1">
        <v>0.86</v>
      </c>
      <c r="K5" s="1">
        <v>0.82</v>
      </c>
      <c r="L5" s="1">
        <v>0.72</v>
      </c>
      <c r="M5" s="1">
        <v>0.72</v>
      </c>
      <c r="N5" s="1">
        <v>0.85</v>
      </c>
      <c r="O5" s="1">
        <v>0.82</v>
      </c>
      <c r="P5" s="1">
        <v>0.85</v>
      </c>
      <c r="Q5" s="1">
        <v>0.81</v>
      </c>
      <c r="R5" s="1">
        <v>0.81</v>
      </c>
      <c r="S5" s="1">
        <v>0.77</v>
      </c>
      <c r="T5" s="1">
        <f>_xlfn.LET(_xlpm.d,$H5:$S5,MAX(_xlpm.d))</f>
        <v>0.87</v>
      </c>
    </row>
    <row r="6" spans="1:20" ht="25" customHeight="1">
      <c r="A6" t="s">
        <v>16</v>
      </c>
      <c r="B6">
        <v>1</v>
      </c>
      <c r="C6" t="s">
        <v>17</v>
      </c>
      <c r="D6" t="b">
        <v>1</v>
      </c>
      <c r="E6">
        <v>2</v>
      </c>
      <c r="F6" t="s">
        <v>18</v>
      </c>
      <c r="H6" s="1">
        <v>0.85</v>
      </c>
      <c r="I6" s="1">
        <v>0.83</v>
      </c>
      <c r="J6" s="1">
        <v>0.85</v>
      </c>
      <c r="K6" s="1">
        <v>0.86</v>
      </c>
      <c r="L6" s="1">
        <v>0.79</v>
      </c>
      <c r="M6" s="1">
        <v>0.82</v>
      </c>
      <c r="N6" s="1">
        <v>0.89</v>
      </c>
      <c r="O6" s="1">
        <v>0.84</v>
      </c>
      <c r="P6" s="1">
        <v>0.88</v>
      </c>
      <c r="Q6" s="1">
        <v>0.84</v>
      </c>
      <c r="R6" s="1">
        <v>0.85</v>
      </c>
      <c r="S6" s="1">
        <v>0.78</v>
      </c>
      <c r="T6" s="1">
        <f>_xlfn.LET(_xlpm.d,$H6:$S6,MAX(_xlpm.d))</f>
        <v>0.89</v>
      </c>
    </row>
    <row r="7" spans="1:20" ht="25" customHeight="1">
      <c r="A7" t="s">
        <v>16</v>
      </c>
      <c r="B7">
        <v>1</v>
      </c>
      <c r="C7" t="s">
        <v>17</v>
      </c>
      <c r="D7" t="b">
        <v>1</v>
      </c>
      <c r="E7">
        <v>3</v>
      </c>
      <c r="F7" t="s">
        <v>19</v>
      </c>
      <c r="H7" s="1">
        <v>0.82</v>
      </c>
      <c r="I7" s="1">
        <v>0.78</v>
      </c>
      <c r="J7" s="1">
        <v>0.82</v>
      </c>
      <c r="K7" s="1">
        <v>0.82</v>
      </c>
      <c r="L7" s="1">
        <v>0.84</v>
      </c>
      <c r="M7" s="1">
        <v>0.76</v>
      </c>
      <c r="N7" s="1">
        <v>0.84</v>
      </c>
      <c r="O7" s="1">
        <v>0.74</v>
      </c>
      <c r="P7" s="1">
        <v>0.76</v>
      </c>
      <c r="Q7" s="1">
        <v>0.79</v>
      </c>
      <c r="R7" s="1">
        <v>0.84</v>
      </c>
      <c r="S7" s="1">
        <v>0.8</v>
      </c>
      <c r="T7" s="1">
        <f>_xlfn.LET(_xlpm.d,$H7:$S7,MAX(_xlpm.d))</f>
        <v>0.84</v>
      </c>
    </row>
    <row r="8" spans="1:20" ht="25" customHeight="1">
      <c r="A8" t="s">
        <v>16</v>
      </c>
      <c r="B8">
        <v>2</v>
      </c>
      <c r="C8" t="s">
        <v>21</v>
      </c>
      <c r="D8" t="b">
        <v>0</v>
      </c>
      <c r="E8">
        <v>1</v>
      </c>
      <c r="F8" t="s">
        <v>20</v>
      </c>
      <c r="H8" s="1">
        <v>0.45</v>
      </c>
      <c r="I8" s="1">
        <v>0.38</v>
      </c>
      <c r="J8" s="1">
        <v>0.41</v>
      </c>
      <c r="K8" s="1">
        <v>0.47</v>
      </c>
      <c r="L8" s="1">
        <v>0.51</v>
      </c>
      <c r="M8" s="1">
        <v>0.48</v>
      </c>
      <c r="N8" s="1">
        <v>0.49</v>
      </c>
      <c r="O8" s="1">
        <v>0.4</v>
      </c>
      <c r="P8" s="1">
        <v>0.46</v>
      </c>
      <c r="Q8" s="1">
        <v>0.5</v>
      </c>
      <c r="R8" s="1">
        <v>0.47</v>
      </c>
      <c r="S8" s="1">
        <v>0.47</v>
      </c>
      <c r="T8" s="1">
        <f>_xlfn.LET(_xlpm.d,$H8:$S8,MAX(_xlpm.d))</f>
        <v>0.51</v>
      </c>
    </row>
    <row r="9" spans="1:20" ht="25" customHeight="1">
      <c r="A9" t="s">
        <v>16</v>
      </c>
      <c r="B9">
        <v>2</v>
      </c>
      <c r="C9" t="s">
        <v>21</v>
      </c>
      <c r="D9" t="b">
        <v>0</v>
      </c>
      <c r="E9">
        <v>2</v>
      </c>
      <c r="F9" t="s">
        <v>18</v>
      </c>
      <c r="H9" s="1">
        <v>0.52</v>
      </c>
      <c r="I9" s="1">
        <v>0.56999999999999995</v>
      </c>
      <c r="J9" s="1">
        <v>0.65</v>
      </c>
      <c r="K9" s="1">
        <v>0.59</v>
      </c>
      <c r="L9" s="1">
        <v>0.6</v>
      </c>
      <c r="M9" s="1">
        <v>0.62</v>
      </c>
      <c r="N9" s="1">
        <v>0.66</v>
      </c>
      <c r="O9" s="1">
        <v>0.57999999999999996</v>
      </c>
      <c r="P9" s="1">
        <v>0.5</v>
      </c>
      <c r="Q9" s="1">
        <v>0.56999999999999995</v>
      </c>
      <c r="R9" s="1">
        <v>0.62</v>
      </c>
      <c r="S9" s="1">
        <v>0.53</v>
      </c>
      <c r="T9" s="1">
        <f>_xlfn.LET(_xlpm.d,$H9:$S9,MAX(_xlpm.d))</f>
        <v>0.66</v>
      </c>
    </row>
    <row r="10" spans="1:20" ht="25" customHeight="1">
      <c r="A10" t="s">
        <v>16</v>
      </c>
      <c r="B10">
        <v>2</v>
      </c>
      <c r="C10" t="s">
        <v>21</v>
      </c>
      <c r="D10" t="b">
        <v>0</v>
      </c>
      <c r="E10">
        <v>3</v>
      </c>
      <c r="F10" t="s">
        <v>19</v>
      </c>
      <c r="H10" s="1">
        <v>0.56000000000000005</v>
      </c>
      <c r="I10" s="1">
        <v>0.56000000000000005</v>
      </c>
      <c r="J10" s="1">
        <v>0.6</v>
      </c>
      <c r="K10" s="1">
        <v>0.62</v>
      </c>
      <c r="L10" s="1">
        <v>0.57999999999999996</v>
      </c>
      <c r="M10" s="1">
        <v>0.65</v>
      </c>
      <c r="N10" s="1">
        <v>0.53</v>
      </c>
      <c r="O10" s="1">
        <v>0.56999999999999995</v>
      </c>
      <c r="P10" s="1">
        <v>0.53</v>
      </c>
      <c r="Q10" s="1">
        <v>0.53</v>
      </c>
      <c r="R10" s="1">
        <v>0.7</v>
      </c>
      <c r="S10" s="1">
        <v>0.6</v>
      </c>
      <c r="T10" s="1">
        <f>_xlfn.LET(_xlpm.d,$H10:$S10,MAX(_xlpm.d))</f>
        <v>0.7</v>
      </c>
    </row>
    <row r="11" spans="1:20" ht="25" customHeight="1">
      <c r="A11" t="s">
        <v>16</v>
      </c>
      <c r="B11">
        <v>2</v>
      </c>
      <c r="C11" t="s">
        <v>21</v>
      </c>
      <c r="D11" t="b">
        <v>1</v>
      </c>
      <c r="E11">
        <v>1</v>
      </c>
      <c r="F11" t="s">
        <v>20</v>
      </c>
      <c r="H11" s="1">
        <v>0.52</v>
      </c>
      <c r="I11" s="1">
        <v>0.54</v>
      </c>
      <c r="J11" s="1">
        <v>0.47</v>
      </c>
      <c r="K11" s="1">
        <v>0.45</v>
      </c>
      <c r="L11" s="1">
        <v>0.45</v>
      </c>
      <c r="M11" s="1">
        <v>0.56000000000000005</v>
      </c>
      <c r="N11" s="1">
        <v>0.51</v>
      </c>
      <c r="O11" s="1">
        <v>0.53</v>
      </c>
      <c r="P11" s="1">
        <v>0.48</v>
      </c>
      <c r="Q11" s="1">
        <v>0.36</v>
      </c>
      <c r="R11" s="1">
        <v>0.44</v>
      </c>
      <c r="S11" s="1">
        <v>0.39</v>
      </c>
      <c r="T11" s="1">
        <f>_xlfn.LET(_xlpm.d,$H11:$S11,MAX(_xlpm.d))</f>
        <v>0.56000000000000005</v>
      </c>
    </row>
    <row r="12" spans="1:20" ht="25" customHeight="1">
      <c r="A12" t="s">
        <v>16</v>
      </c>
      <c r="B12">
        <v>2</v>
      </c>
      <c r="C12" t="s">
        <v>21</v>
      </c>
      <c r="D12" t="b">
        <v>1</v>
      </c>
      <c r="E12">
        <v>2</v>
      </c>
      <c r="F12" t="s">
        <v>18</v>
      </c>
      <c r="H12" s="1">
        <v>0.62</v>
      </c>
      <c r="I12" s="1">
        <v>0.56999999999999995</v>
      </c>
      <c r="J12" s="1">
        <v>0.62</v>
      </c>
      <c r="K12" s="1">
        <v>0.62</v>
      </c>
      <c r="L12" s="1">
        <v>0.56999999999999995</v>
      </c>
      <c r="M12" s="1">
        <v>0.69</v>
      </c>
      <c r="N12" s="1">
        <v>0.64</v>
      </c>
      <c r="O12" s="1">
        <v>0.56999999999999995</v>
      </c>
      <c r="P12" s="1">
        <v>0.54</v>
      </c>
      <c r="Q12" s="1">
        <v>0.61</v>
      </c>
      <c r="R12" s="1">
        <v>0.56999999999999995</v>
      </c>
      <c r="S12" s="1">
        <v>0.54</v>
      </c>
      <c r="T12" s="1">
        <f>_xlfn.LET(_xlpm.d,$H12:$S12,MAX(_xlpm.d))</f>
        <v>0.69</v>
      </c>
    </row>
    <row r="13" spans="1:20" ht="25" customHeight="1">
      <c r="A13" t="s">
        <v>16</v>
      </c>
      <c r="B13">
        <v>2</v>
      </c>
      <c r="C13" t="s">
        <v>21</v>
      </c>
      <c r="D13" t="b">
        <v>1</v>
      </c>
      <c r="E13">
        <v>3</v>
      </c>
      <c r="F13" t="s">
        <v>19</v>
      </c>
      <c r="H13" s="1">
        <v>0.56999999999999995</v>
      </c>
      <c r="I13" s="1">
        <v>0.52</v>
      </c>
      <c r="J13" s="1">
        <v>0.54</v>
      </c>
      <c r="K13" s="1">
        <v>0.56999999999999995</v>
      </c>
      <c r="L13" s="1">
        <v>0.56000000000000005</v>
      </c>
      <c r="M13" s="1">
        <v>0.62</v>
      </c>
      <c r="N13" s="1">
        <v>0.61</v>
      </c>
      <c r="O13" s="1">
        <v>0.6</v>
      </c>
      <c r="P13" s="1">
        <v>0.48</v>
      </c>
      <c r="Q13" s="1">
        <v>0.51</v>
      </c>
      <c r="R13" s="1">
        <v>0.68</v>
      </c>
      <c r="S13" s="1">
        <v>0.6</v>
      </c>
      <c r="T13" s="1">
        <f>_xlfn.LET(_xlpm.d,$H13:$S13,MAX(_xlpm.d))</f>
        <v>0.68</v>
      </c>
    </row>
    <row r="14" spans="1:20" ht="25" customHeight="1">
      <c r="A14" t="s">
        <v>16</v>
      </c>
      <c r="B14">
        <v>3</v>
      </c>
      <c r="C14" t="s">
        <v>22</v>
      </c>
      <c r="D14" t="b">
        <v>0</v>
      </c>
      <c r="E14">
        <v>1</v>
      </c>
      <c r="F14" t="s">
        <v>20</v>
      </c>
      <c r="H14" s="1">
        <v>0.45</v>
      </c>
      <c r="I14" s="1">
        <v>0.37</v>
      </c>
      <c r="J14" s="1">
        <v>0.43</v>
      </c>
      <c r="K14" s="1">
        <v>0.37</v>
      </c>
      <c r="L14" s="1">
        <v>0.44</v>
      </c>
      <c r="M14" s="1">
        <v>0.31</v>
      </c>
      <c r="N14" s="1">
        <v>0.45</v>
      </c>
      <c r="O14" s="1">
        <v>0.34</v>
      </c>
      <c r="P14" s="1">
        <v>0.39</v>
      </c>
      <c r="Q14" s="1">
        <v>0.36</v>
      </c>
      <c r="R14" s="1">
        <v>0.37</v>
      </c>
      <c r="S14" s="1">
        <v>0.26</v>
      </c>
      <c r="T14" s="1">
        <f>_xlfn.LET(_xlpm.d,$H14:$S14,MAX(_xlpm.d))</f>
        <v>0.45</v>
      </c>
    </row>
    <row r="15" spans="1:20" ht="25" customHeight="1">
      <c r="A15" t="s">
        <v>16</v>
      </c>
      <c r="B15">
        <v>3</v>
      </c>
      <c r="C15" t="s">
        <v>22</v>
      </c>
      <c r="D15" t="b">
        <v>0</v>
      </c>
      <c r="E15">
        <v>2</v>
      </c>
      <c r="F15" t="s">
        <v>18</v>
      </c>
      <c r="H15" s="1">
        <v>0.47</v>
      </c>
      <c r="I15" s="1">
        <v>0.32</v>
      </c>
      <c r="J15" s="1">
        <v>0.45</v>
      </c>
      <c r="K15" s="1">
        <v>0.43</v>
      </c>
      <c r="L15" s="1">
        <v>0.47</v>
      </c>
      <c r="M15" s="1">
        <v>0.36</v>
      </c>
      <c r="N15" s="1">
        <v>0.43</v>
      </c>
      <c r="O15" s="1">
        <v>0.38</v>
      </c>
      <c r="P15" s="1">
        <v>0.43</v>
      </c>
      <c r="Q15" s="1">
        <v>0.45</v>
      </c>
      <c r="R15" s="1">
        <v>0.42</v>
      </c>
      <c r="S15" s="1">
        <v>0.36</v>
      </c>
      <c r="T15" s="1">
        <f>_xlfn.LET(_xlpm.d,$H15:$S15,MAX(_xlpm.d))</f>
        <v>0.47</v>
      </c>
    </row>
    <row r="16" spans="1:20" ht="25" customHeight="1">
      <c r="A16" t="s">
        <v>16</v>
      </c>
      <c r="B16">
        <v>3</v>
      </c>
      <c r="C16" t="s">
        <v>22</v>
      </c>
      <c r="D16" t="b">
        <v>0</v>
      </c>
      <c r="E16">
        <v>3</v>
      </c>
      <c r="F16" t="s">
        <v>19</v>
      </c>
      <c r="H16" s="1">
        <v>0.42</v>
      </c>
      <c r="I16" s="1">
        <v>0.33</v>
      </c>
      <c r="J16" s="1">
        <v>0.36</v>
      </c>
      <c r="K16" s="1">
        <v>0.34</v>
      </c>
      <c r="L16" s="1">
        <v>0.42</v>
      </c>
      <c r="M16" s="1">
        <v>0.34</v>
      </c>
      <c r="N16" s="1">
        <v>0.37</v>
      </c>
      <c r="O16" s="1">
        <v>0.33</v>
      </c>
      <c r="P16" s="1">
        <v>0.26</v>
      </c>
      <c r="Q16" s="1">
        <v>0.42</v>
      </c>
      <c r="R16" s="1">
        <v>0.36</v>
      </c>
      <c r="S16" s="1">
        <v>0.34</v>
      </c>
      <c r="T16" s="1">
        <f>_xlfn.LET(_xlpm.d,$H16:$S16,MAX(_xlpm.d))</f>
        <v>0.42</v>
      </c>
    </row>
    <row r="17" spans="1:20" ht="25" customHeight="1">
      <c r="A17" t="s">
        <v>16</v>
      </c>
      <c r="B17">
        <v>3</v>
      </c>
      <c r="C17" t="s">
        <v>22</v>
      </c>
      <c r="D17" t="b">
        <v>1</v>
      </c>
      <c r="E17">
        <v>1</v>
      </c>
      <c r="F17" t="s">
        <v>20</v>
      </c>
      <c r="H17" s="1">
        <v>0.49</v>
      </c>
      <c r="I17" s="1">
        <v>0.34</v>
      </c>
      <c r="J17" s="1">
        <v>0.45</v>
      </c>
      <c r="K17" s="1">
        <v>0.4</v>
      </c>
      <c r="L17" s="1">
        <v>0.44</v>
      </c>
      <c r="M17" s="1">
        <v>0.35</v>
      </c>
      <c r="N17" s="1">
        <v>0.54</v>
      </c>
      <c r="O17" s="1">
        <v>0.41</v>
      </c>
      <c r="P17" s="1">
        <v>0.47</v>
      </c>
      <c r="Q17" s="1">
        <v>0.44</v>
      </c>
      <c r="R17" s="1">
        <v>0.44</v>
      </c>
      <c r="S17" s="1">
        <v>0.3</v>
      </c>
      <c r="T17" s="1">
        <f>_xlfn.LET(_xlpm.d,$H17:$S17,MAX(_xlpm.d))</f>
        <v>0.54</v>
      </c>
    </row>
    <row r="18" spans="1:20" ht="25" customHeight="1">
      <c r="A18" t="s">
        <v>16</v>
      </c>
      <c r="B18">
        <v>3</v>
      </c>
      <c r="C18" t="s">
        <v>22</v>
      </c>
      <c r="D18" t="b">
        <v>1</v>
      </c>
      <c r="E18">
        <v>2</v>
      </c>
      <c r="F18" t="s">
        <v>18</v>
      </c>
      <c r="H18" s="1">
        <v>0.59</v>
      </c>
      <c r="I18" s="1">
        <v>0.38</v>
      </c>
      <c r="J18" s="1">
        <v>0.51</v>
      </c>
      <c r="K18" s="1">
        <v>0.47</v>
      </c>
      <c r="L18" s="1">
        <v>0.5</v>
      </c>
      <c r="M18" s="1">
        <v>0.36</v>
      </c>
      <c r="N18" s="1">
        <v>0.53</v>
      </c>
      <c r="O18" s="1">
        <v>0.48</v>
      </c>
      <c r="P18" s="1">
        <v>0.52</v>
      </c>
      <c r="Q18" s="1">
        <v>0.52</v>
      </c>
      <c r="R18" s="1">
        <v>0.47</v>
      </c>
      <c r="S18" s="1">
        <v>0.44</v>
      </c>
      <c r="T18" s="1">
        <f>_xlfn.LET(_xlpm.d,$H18:$S18,MAX(_xlpm.d))</f>
        <v>0.59</v>
      </c>
    </row>
    <row r="19" spans="1:20" ht="25" customHeight="1">
      <c r="A19" t="s">
        <v>16</v>
      </c>
      <c r="B19">
        <v>3</v>
      </c>
      <c r="C19" t="s">
        <v>22</v>
      </c>
      <c r="D19" t="b">
        <v>1</v>
      </c>
      <c r="E19">
        <v>3</v>
      </c>
      <c r="F19" t="s">
        <v>19</v>
      </c>
      <c r="H19" s="1">
        <v>0.51</v>
      </c>
      <c r="I19" s="1">
        <v>0.34</v>
      </c>
      <c r="J19" s="1">
        <v>0.42</v>
      </c>
      <c r="K19" s="1">
        <v>0.35</v>
      </c>
      <c r="L19" s="1">
        <v>0.41</v>
      </c>
      <c r="M19" s="1">
        <v>0.4</v>
      </c>
      <c r="N19" s="1">
        <v>0.42</v>
      </c>
      <c r="O19" s="1">
        <v>0.4</v>
      </c>
      <c r="P19" s="1">
        <v>0.38</v>
      </c>
      <c r="Q19" s="1">
        <v>0.45</v>
      </c>
      <c r="R19" s="1">
        <v>0.36</v>
      </c>
      <c r="S19" s="1">
        <v>0.35</v>
      </c>
      <c r="T19" s="1">
        <f>_xlfn.LET(_xlpm.d,$H19:$S19,MAX(_xlpm.d))</f>
        <v>0.51</v>
      </c>
    </row>
    <row r="22" spans="1:20" ht="25" customHeight="1">
      <c r="B22" t="s">
        <v>23</v>
      </c>
      <c r="C22" t="s">
        <v>1</v>
      </c>
      <c r="D22" t="s">
        <v>26</v>
      </c>
      <c r="E22" t="s">
        <v>24</v>
      </c>
      <c r="F22" t="s">
        <v>27</v>
      </c>
      <c r="G22" t="s">
        <v>33</v>
      </c>
      <c r="H22" t="s">
        <v>4</v>
      </c>
      <c r="I22" t="s">
        <v>5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t="s">
        <v>15</v>
      </c>
      <c r="T22" t="s">
        <v>25</v>
      </c>
    </row>
    <row r="23" spans="1:20" ht="25" customHeight="1">
      <c r="B23">
        <v>1</v>
      </c>
      <c r="C23" t="s">
        <v>17</v>
      </c>
      <c r="D23" t="b">
        <v>0</v>
      </c>
      <c r="E23">
        <v>1</v>
      </c>
      <c r="F23" t="s">
        <v>25</v>
      </c>
      <c r="H23" s="1" cm="1">
        <f t="array" ref="H23">_xlfn.LET(_xlpm.d,H$2:H$19,_xlpm.a,$C$2:$C$19=$C23,_xlpm.b,$D$2:$D$19=$D23,MAX(_xlfn._xlws.FILTER(_xlpm.d,_xlpm.a*_xlpm.b)))</f>
        <v>0.82</v>
      </c>
      <c r="I23" s="1" cm="1">
        <f t="array" ref="I23">_xlfn.LET(_xlpm.d,I$2:I$19,_xlpm.a,$C$2:$C$19=$C23,_xlpm.b,$D$2:$D$19=$D23,MAX(_xlfn._xlws.FILTER(_xlpm.d,_xlpm.a*_xlpm.b)))</f>
        <v>0.79</v>
      </c>
      <c r="J23" s="1" cm="1">
        <f t="array" ref="J23">_xlfn.LET(_xlpm.d,J$2:J$19,_xlpm.a,$C$2:$C$19=$C23,_xlpm.b,$D$2:$D$19=$D23,MAX(_xlfn._xlws.FILTER(_xlpm.d,_xlpm.a*_xlpm.b)))</f>
        <v>0.83</v>
      </c>
      <c r="K23" s="1" cm="1">
        <f t="array" ref="K23">_xlfn.LET(_xlpm.d,K$2:K$19,_xlpm.a,$C$2:$C$19=$C23,_xlpm.b,$D$2:$D$19=$D23,MAX(_xlfn._xlws.FILTER(_xlpm.d,_xlpm.a*_xlpm.b)))</f>
        <v>0.85</v>
      </c>
      <c r="L23" s="1" cm="1">
        <f t="array" ref="L23">_xlfn.LET(_xlpm.d,L$2:L$19,_xlpm.a,$C$2:$C$19=$C23,_xlpm.b,$D$2:$D$19=$D23,MAX(_xlfn._xlws.FILTER(_xlpm.d,_xlpm.a*_xlpm.b)))</f>
        <v>0.8</v>
      </c>
      <c r="M23" s="1" cm="1">
        <f t="array" ref="M23">_xlfn.LET(_xlpm.d,M$2:M$19,_xlpm.a,$C$2:$C$19=$C23,_xlpm.b,$D$2:$D$19=$D23,MAX(_xlfn._xlws.FILTER(_xlpm.d,_xlpm.a*_xlpm.b)))</f>
        <v>0.82</v>
      </c>
      <c r="N23" s="1" cm="1">
        <f t="array" ref="N23">_xlfn.LET(_xlpm.d,N$2:N$19,_xlpm.a,$C$2:$C$19=$C23,_xlpm.b,$D$2:$D$19=$D23,MAX(_xlfn._xlws.FILTER(_xlpm.d,_xlpm.a*_xlpm.b)))</f>
        <v>0.82</v>
      </c>
      <c r="O23" s="1" cm="1">
        <f t="array" ref="O23">_xlfn.LET(_xlpm.d,O$2:O$19,_xlpm.a,$C$2:$C$19=$C23,_xlpm.b,$D$2:$D$19=$D23,MAX(_xlfn._xlws.FILTER(_xlpm.d,_xlpm.a*_xlpm.b)))</f>
        <v>0.79</v>
      </c>
      <c r="P23" s="1" cm="1">
        <f t="array" ref="P23">_xlfn.LET(_xlpm.d,P$2:P$19,_xlpm.a,$C$2:$C$19=$C23,_xlpm.b,$D$2:$D$19=$D23,MAX(_xlfn._xlws.FILTER(_xlpm.d,_xlpm.a*_xlpm.b)))</f>
        <v>0.8</v>
      </c>
      <c r="Q23" s="1" cm="1">
        <f t="array" ref="Q23">_xlfn.LET(_xlpm.d,Q$2:Q$19,_xlpm.a,$C$2:$C$19=$C23,_xlpm.b,$D$2:$D$19=$D23,MAX(_xlfn._xlws.FILTER(_xlpm.d,_xlpm.a*_xlpm.b)))</f>
        <v>0.82</v>
      </c>
      <c r="R23" s="1" cm="1">
        <f t="array" ref="R23">_xlfn.LET(_xlpm.d,R$2:R$19,_xlpm.a,$C$2:$C$19=$C23,_xlpm.b,$D$2:$D$19=$D23,MAX(_xlfn._xlws.FILTER(_xlpm.d,_xlpm.a*_xlpm.b)))</f>
        <v>0.86</v>
      </c>
      <c r="S23" s="1" cm="1">
        <f t="array" ref="S23">_xlfn.LET(_xlpm.d,S$2:S$19,_xlpm.a,$C$2:$C$19=$C23,_xlpm.b,$D$2:$D$19=$D23,MAX(_xlfn._xlws.FILTER(_xlpm.d,_xlpm.a*_xlpm.b)))</f>
        <v>0.81</v>
      </c>
      <c r="T23" s="1">
        <f>_xlfn.LET(_xlpm.d,$H23:$S23,MAX(_xlpm.d))</f>
        <v>0.86</v>
      </c>
    </row>
    <row r="24" spans="1:20" ht="25" customHeight="1">
      <c r="B24">
        <v>1</v>
      </c>
      <c r="C24" t="s">
        <v>17</v>
      </c>
      <c r="D24" t="b">
        <v>1</v>
      </c>
      <c r="E24">
        <v>1</v>
      </c>
      <c r="F24" t="s">
        <v>25</v>
      </c>
      <c r="H24" s="1" cm="1">
        <f t="array" ref="H24">_xlfn.LET(_xlpm.d,H$2:H$19,_xlpm.a,$C$2:$C$19=$C24,_xlpm.b,$D$2:$D$19=$D24,MAX(_xlfn._xlws.FILTER(_xlpm.d,_xlpm.a*_xlpm.b)))</f>
        <v>0.87</v>
      </c>
      <c r="I24" s="1" cm="1">
        <f t="array" ref="I24">_xlfn.LET(_xlpm.d,I$2:I$19,_xlpm.a,$C$2:$C$19=$C24,_xlpm.b,$D$2:$D$19=$D24,MAX(_xlfn._xlws.FILTER(_xlpm.d,_xlpm.a*_xlpm.b)))</f>
        <v>0.83</v>
      </c>
      <c r="J24" s="1" cm="1">
        <f t="array" ref="J24">_xlfn.LET(_xlpm.d,J$2:J$19,_xlpm.a,$C$2:$C$19=$C24,_xlpm.b,$D$2:$D$19=$D24,MAX(_xlfn._xlws.FILTER(_xlpm.d,_xlpm.a*_xlpm.b)))</f>
        <v>0.86</v>
      </c>
      <c r="K24" s="1" cm="1">
        <f t="array" ref="K24">_xlfn.LET(_xlpm.d,K$2:K$19,_xlpm.a,$C$2:$C$19=$C24,_xlpm.b,$D$2:$D$19=$D24,MAX(_xlfn._xlws.FILTER(_xlpm.d,_xlpm.a*_xlpm.b)))</f>
        <v>0.86</v>
      </c>
      <c r="L24" s="1" cm="1">
        <f t="array" ref="L24">_xlfn.LET(_xlpm.d,L$2:L$19,_xlpm.a,$C$2:$C$19=$C24,_xlpm.b,$D$2:$D$19=$D24,MAX(_xlfn._xlws.FILTER(_xlpm.d,_xlpm.a*_xlpm.b)))</f>
        <v>0.84</v>
      </c>
      <c r="M24" s="1" cm="1">
        <f t="array" ref="M24">_xlfn.LET(_xlpm.d,M$2:M$19,_xlpm.a,$C$2:$C$19=$C24,_xlpm.b,$D$2:$D$19=$D24,MAX(_xlfn._xlws.FILTER(_xlpm.d,_xlpm.a*_xlpm.b)))</f>
        <v>0.82</v>
      </c>
      <c r="N24" s="1" cm="1">
        <f t="array" ref="N24">_xlfn.LET(_xlpm.d,N$2:N$19,_xlpm.a,$C$2:$C$19=$C24,_xlpm.b,$D$2:$D$19=$D24,MAX(_xlfn._xlws.FILTER(_xlpm.d,_xlpm.a*_xlpm.b)))</f>
        <v>0.89</v>
      </c>
      <c r="O24" s="1" cm="1">
        <f t="array" ref="O24">_xlfn.LET(_xlpm.d,O$2:O$19,_xlpm.a,$C$2:$C$19=$C24,_xlpm.b,$D$2:$D$19=$D24,MAX(_xlfn._xlws.FILTER(_xlpm.d,_xlpm.a*_xlpm.b)))</f>
        <v>0.84</v>
      </c>
      <c r="P24" s="1" cm="1">
        <f t="array" ref="P24">_xlfn.LET(_xlpm.d,P$2:P$19,_xlpm.a,$C$2:$C$19=$C24,_xlpm.b,$D$2:$D$19=$D24,MAX(_xlfn._xlws.FILTER(_xlpm.d,_xlpm.a*_xlpm.b)))</f>
        <v>0.88</v>
      </c>
      <c r="Q24" s="1" cm="1">
        <f t="array" ref="Q24">_xlfn.LET(_xlpm.d,Q$2:Q$19,_xlpm.a,$C$2:$C$19=$C24,_xlpm.b,$D$2:$D$19=$D24,MAX(_xlfn._xlws.FILTER(_xlpm.d,_xlpm.a*_xlpm.b)))</f>
        <v>0.84</v>
      </c>
      <c r="R24" s="1" cm="1">
        <f t="array" ref="R24">_xlfn.LET(_xlpm.d,R$2:R$19,_xlpm.a,$C$2:$C$19=$C24,_xlpm.b,$D$2:$D$19=$D24,MAX(_xlfn._xlws.FILTER(_xlpm.d,_xlpm.a*_xlpm.b)))</f>
        <v>0.85</v>
      </c>
      <c r="S24" s="1" cm="1">
        <f t="array" ref="S24">_xlfn.LET(_xlpm.d,S$2:S$19,_xlpm.a,$C$2:$C$19=$C24,_xlpm.b,$D$2:$D$19=$D24,MAX(_xlfn._xlws.FILTER(_xlpm.d,_xlpm.a*_xlpm.b)))</f>
        <v>0.8</v>
      </c>
      <c r="T24" s="1">
        <f>_xlfn.LET(_xlpm.d,$H24:$S24,MAX(_xlpm.d))</f>
        <v>0.89</v>
      </c>
    </row>
    <row r="25" spans="1:20" ht="25" customHeight="1">
      <c r="B25">
        <v>2</v>
      </c>
      <c r="C25" t="s">
        <v>21</v>
      </c>
      <c r="D25" t="b">
        <v>0</v>
      </c>
      <c r="E25">
        <v>1</v>
      </c>
      <c r="F25" t="s">
        <v>25</v>
      </c>
      <c r="H25" s="1" cm="1">
        <f t="array" ref="H25">_xlfn.LET(_xlpm.d,H$2:H$19,_xlpm.a,$C$2:$C$19=$C25,_xlpm.b,$D$2:$D$19=$D25,MAX(_xlfn._xlws.FILTER(_xlpm.d,_xlpm.a*_xlpm.b)))</f>
        <v>0.56000000000000005</v>
      </c>
      <c r="I25" s="1" cm="1">
        <f t="array" ref="I25">_xlfn.LET(_xlpm.d,I$2:I$19,_xlpm.a,$C$2:$C$19=$C25,_xlpm.b,$D$2:$D$19=$D25,MAX(_xlfn._xlws.FILTER(_xlpm.d,_xlpm.a*_xlpm.b)))</f>
        <v>0.56999999999999995</v>
      </c>
      <c r="J25" s="1" cm="1">
        <f t="array" ref="J25">_xlfn.LET(_xlpm.d,J$2:J$19,_xlpm.a,$C$2:$C$19=$C25,_xlpm.b,$D$2:$D$19=$D25,MAX(_xlfn._xlws.FILTER(_xlpm.d,_xlpm.a*_xlpm.b)))</f>
        <v>0.65</v>
      </c>
      <c r="K25" s="1" cm="1">
        <f t="array" ref="K25">_xlfn.LET(_xlpm.d,K$2:K$19,_xlpm.a,$C$2:$C$19=$C25,_xlpm.b,$D$2:$D$19=$D25,MAX(_xlfn._xlws.FILTER(_xlpm.d,_xlpm.a*_xlpm.b)))</f>
        <v>0.62</v>
      </c>
      <c r="L25" s="1" cm="1">
        <f t="array" ref="L25">_xlfn.LET(_xlpm.d,L$2:L$19,_xlpm.a,$C$2:$C$19=$C25,_xlpm.b,$D$2:$D$19=$D25,MAX(_xlfn._xlws.FILTER(_xlpm.d,_xlpm.a*_xlpm.b)))</f>
        <v>0.6</v>
      </c>
      <c r="M25" s="1" cm="1">
        <f t="array" ref="M25">_xlfn.LET(_xlpm.d,M$2:M$19,_xlpm.a,$C$2:$C$19=$C25,_xlpm.b,$D$2:$D$19=$D25,MAX(_xlfn._xlws.FILTER(_xlpm.d,_xlpm.a*_xlpm.b)))</f>
        <v>0.65</v>
      </c>
      <c r="N25" s="1" cm="1">
        <f t="array" ref="N25">_xlfn.LET(_xlpm.d,N$2:N$19,_xlpm.a,$C$2:$C$19=$C25,_xlpm.b,$D$2:$D$19=$D25,MAX(_xlfn._xlws.FILTER(_xlpm.d,_xlpm.a*_xlpm.b)))</f>
        <v>0.66</v>
      </c>
      <c r="O25" s="1" cm="1">
        <f t="array" ref="O25">_xlfn.LET(_xlpm.d,O$2:O$19,_xlpm.a,$C$2:$C$19=$C25,_xlpm.b,$D$2:$D$19=$D25,MAX(_xlfn._xlws.FILTER(_xlpm.d,_xlpm.a*_xlpm.b)))</f>
        <v>0.57999999999999996</v>
      </c>
      <c r="P25" s="1" cm="1">
        <f t="array" ref="P25">_xlfn.LET(_xlpm.d,P$2:P$19,_xlpm.a,$C$2:$C$19=$C25,_xlpm.b,$D$2:$D$19=$D25,MAX(_xlfn._xlws.FILTER(_xlpm.d,_xlpm.a*_xlpm.b)))</f>
        <v>0.53</v>
      </c>
      <c r="Q25" s="1" cm="1">
        <f t="array" ref="Q25">_xlfn.LET(_xlpm.d,Q$2:Q$19,_xlpm.a,$C$2:$C$19=$C25,_xlpm.b,$D$2:$D$19=$D25,MAX(_xlfn._xlws.FILTER(_xlpm.d,_xlpm.a*_xlpm.b)))</f>
        <v>0.56999999999999995</v>
      </c>
      <c r="R25" s="1" cm="1">
        <f t="array" ref="R25">_xlfn.LET(_xlpm.d,R$2:R$19,_xlpm.a,$C$2:$C$19=$C25,_xlpm.b,$D$2:$D$19=$D25,MAX(_xlfn._xlws.FILTER(_xlpm.d,_xlpm.a*_xlpm.b)))</f>
        <v>0.7</v>
      </c>
      <c r="S25" s="1" cm="1">
        <f t="array" ref="S25">_xlfn.LET(_xlpm.d,S$2:S$19,_xlpm.a,$C$2:$C$19=$C25,_xlpm.b,$D$2:$D$19=$D25,MAX(_xlfn._xlws.FILTER(_xlpm.d,_xlpm.a*_xlpm.b)))</f>
        <v>0.6</v>
      </c>
      <c r="T25" s="1">
        <f>_xlfn.LET(_xlpm.d,$H25:$S25,MAX(_xlpm.d))</f>
        <v>0.7</v>
      </c>
    </row>
    <row r="26" spans="1:20" ht="25" customHeight="1">
      <c r="B26">
        <v>2</v>
      </c>
      <c r="C26" t="s">
        <v>21</v>
      </c>
      <c r="D26" t="b">
        <v>1</v>
      </c>
      <c r="E26">
        <v>1</v>
      </c>
      <c r="F26" t="s">
        <v>25</v>
      </c>
      <c r="H26" s="1" cm="1">
        <f t="array" ref="H26">_xlfn.LET(_xlpm.d,H$2:H$19,_xlpm.a,$C$2:$C$19=$C26,_xlpm.b,$D$2:$D$19=$D26,MAX(_xlfn._xlws.FILTER(_xlpm.d,_xlpm.a*_xlpm.b)))</f>
        <v>0.62</v>
      </c>
      <c r="I26" s="1" cm="1">
        <f t="array" ref="I26">_xlfn.LET(_xlpm.d,I$2:I$19,_xlpm.a,$C$2:$C$19=$C26,_xlpm.b,$D$2:$D$19=$D26,MAX(_xlfn._xlws.FILTER(_xlpm.d,_xlpm.a*_xlpm.b)))</f>
        <v>0.56999999999999995</v>
      </c>
      <c r="J26" s="1" cm="1">
        <f t="array" ref="J26">_xlfn.LET(_xlpm.d,J$2:J$19,_xlpm.a,$C$2:$C$19=$C26,_xlpm.b,$D$2:$D$19=$D26,MAX(_xlfn._xlws.FILTER(_xlpm.d,_xlpm.a*_xlpm.b)))</f>
        <v>0.62</v>
      </c>
      <c r="K26" s="1" cm="1">
        <f t="array" ref="K26">_xlfn.LET(_xlpm.d,K$2:K$19,_xlpm.a,$C$2:$C$19=$C26,_xlpm.b,$D$2:$D$19=$D26,MAX(_xlfn._xlws.FILTER(_xlpm.d,_xlpm.a*_xlpm.b)))</f>
        <v>0.62</v>
      </c>
      <c r="L26" s="1" cm="1">
        <f t="array" ref="L26">_xlfn.LET(_xlpm.d,L$2:L$19,_xlpm.a,$C$2:$C$19=$C26,_xlpm.b,$D$2:$D$19=$D26,MAX(_xlfn._xlws.FILTER(_xlpm.d,_xlpm.a*_xlpm.b)))</f>
        <v>0.56999999999999995</v>
      </c>
      <c r="M26" s="1" cm="1">
        <f t="array" ref="M26">_xlfn.LET(_xlpm.d,M$2:M$19,_xlpm.a,$C$2:$C$19=$C26,_xlpm.b,$D$2:$D$19=$D26,MAX(_xlfn._xlws.FILTER(_xlpm.d,_xlpm.a*_xlpm.b)))</f>
        <v>0.69</v>
      </c>
      <c r="N26" s="1" cm="1">
        <f t="array" ref="N26">_xlfn.LET(_xlpm.d,N$2:N$19,_xlpm.a,$C$2:$C$19=$C26,_xlpm.b,$D$2:$D$19=$D26,MAX(_xlfn._xlws.FILTER(_xlpm.d,_xlpm.a*_xlpm.b)))</f>
        <v>0.64</v>
      </c>
      <c r="O26" s="1" cm="1">
        <f t="array" ref="O26">_xlfn.LET(_xlpm.d,O$2:O$19,_xlpm.a,$C$2:$C$19=$C26,_xlpm.b,$D$2:$D$19=$D26,MAX(_xlfn._xlws.FILTER(_xlpm.d,_xlpm.a*_xlpm.b)))</f>
        <v>0.6</v>
      </c>
      <c r="P26" s="1" cm="1">
        <f t="array" ref="P26">_xlfn.LET(_xlpm.d,P$2:P$19,_xlpm.a,$C$2:$C$19=$C26,_xlpm.b,$D$2:$D$19=$D26,MAX(_xlfn._xlws.FILTER(_xlpm.d,_xlpm.a*_xlpm.b)))</f>
        <v>0.54</v>
      </c>
      <c r="Q26" s="1" cm="1">
        <f t="array" ref="Q26">_xlfn.LET(_xlpm.d,Q$2:Q$19,_xlpm.a,$C$2:$C$19=$C26,_xlpm.b,$D$2:$D$19=$D26,MAX(_xlfn._xlws.FILTER(_xlpm.d,_xlpm.a*_xlpm.b)))</f>
        <v>0.61</v>
      </c>
      <c r="R26" s="1" cm="1">
        <f t="array" ref="R26">_xlfn.LET(_xlpm.d,R$2:R$19,_xlpm.a,$C$2:$C$19=$C26,_xlpm.b,$D$2:$D$19=$D26,MAX(_xlfn._xlws.FILTER(_xlpm.d,_xlpm.a*_xlpm.b)))</f>
        <v>0.68</v>
      </c>
      <c r="S26" s="1" cm="1">
        <f t="array" ref="S26">_xlfn.LET(_xlpm.d,S$2:S$19,_xlpm.a,$C$2:$C$19=$C26,_xlpm.b,$D$2:$D$19=$D26,MAX(_xlfn._xlws.FILTER(_xlpm.d,_xlpm.a*_xlpm.b)))</f>
        <v>0.6</v>
      </c>
      <c r="T26" s="1">
        <f>_xlfn.LET(_xlpm.d,$H26:$S26,MAX(_xlpm.d))</f>
        <v>0.69</v>
      </c>
    </row>
    <row r="27" spans="1:20" ht="25" customHeight="1">
      <c r="B27">
        <v>3</v>
      </c>
      <c r="C27" t="s">
        <v>22</v>
      </c>
      <c r="D27" t="b">
        <v>0</v>
      </c>
      <c r="E27">
        <v>1</v>
      </c>
      <c r="F27" t="s">
        <v>25</v>
      </c>
      <c r="H27" s="1" cm="1">
        <f t="array" ref="H27">_xlfn.LET(_xlpm.d,H$2:H$19,_xlpm.a,$C$2:$C$19=$C27,_xlpm.b,$D$2:$D$19=$D27,MAX(_xlfn._xlws.FILTER(_xlpm.d,_xlpm.a*_xlpm.b)))</f>
        <v>0.47</v>
      </c>
      <c r="I27" s="1" cm="1">
        <f t="array" ref="I27">_xlfn.LET(_xlpm.d,I$2:I$19,_xlpm.a,$C$2:$C$19=$C27,_xlpm.b,$D$2:$D$19=$D27,MAX(_xlfn._xlws.FILTER(_xlpm.d,_xlpm.a*_xlpm.b)))</f>
        <v>0.37</v>
      </c>
      <c r="J27" s="1" cm="1">
        <f t="array" ref="J27">_xlfn.LET(_xlpm.d,J$2:J$19,_xlpm.a,$C$2:$C$19=$C27,_xlpm.b,$D$2:$D$19=$D27,MAX(_xlfn._xlws.FILTER(_xlpm.d,_xlpm.a*_xlpm.b)))</f>
        <v>0.45</v>
      </c>
      <c r="K27" s="1" cm="1">
        <f t="array" ref="K27">_xlfn.LET(_xlpm.d,K$2:K$19,_xlpm.a,$C$2:$C$19=$C27,_xlpm.b,$D$2:$D$19=$D27,MAX(_xlfn._xlws.FILTER(_xlpm.d,_xlpm.a*_xlpm.b)))</f>
        <v>0.43</v>
      </c>
      <c r="L27" s="1" cm="1">
        <f t="array" ref="L27">_xlfn.LET(_xlpm.d,L$2:L$19,_xlpm.a,$C$2:$C$19=$C27,_xlpm.b,$D$2:$D$19=$D27,MAX(_xlfn._xlws.FILTER(_xlpm.d,_xlpm.a*_xlpm.b)))</f>
        <v>0.47</v>
      </c>
      <c r="M27" s="1" cm="1">
        <f t="array" ref="M27">_xlfn.LET(_xlpm.d,M$2:M$19,_xlpm.a,$C$2:$C$19=$C27,_xlpm.b,$D$2:$D$19=$D27,MAX(_xlfn._xlws.FILTER(_xlpm.d,_xlpm.a*_xlpm.b)))</f>
        <v>0.36</v>
      </c>
      <c r="N27" s="1" cm="1">
        <f t="array" ref="N27">_xlfn.LET(_xlpm.d,N$2:N$19,_xlpm.a,$C$2:$C$19=$C27,_xlpm.b,$D$2:$D$19=$D27,MAX(_xlfn._xlws.FILTER(_xlpm.d,_xlpm.a*_xlpm.b)))</f>
        <v>0.45</v>
      </c>
      <c r="O27" s="1" cm="1">
        <f t="array" ref="O27">_xlfn.LET(_xlpm.d,O$2:O$19,_xlpm.a,$C$2:$C$19=$C27,_xlpm.b,$D$2:$D$19=$D27,MAX(_xlfn._xlws.FILTER(_xlpm.d,_xlpm.a*_xlpm.b)))</f>
        <v>0.38</v>
      </c>
      <c r="P27" s="1" cm="1">
        <f t="array" ref="P27">_xlfn.LET(_xlpm.d,P$2:P$19,_xlpm.a,$C$2:$C$19=$C27,_xlpm.b,$D$2:$D$19=$D27,MAX(_xlfn._xlws.FILTER(_xlpm.d,_xlpm.a*_xlpm.b)))</f>
        <v>0.43</v>
      </c>
      <c r="Q27" s="1" cm="1">
        <f t="array" ref="Q27">_xlfn.LET(_xlpm.d,Q$2:Q$19,_xlpm.a,$C$2:$C$19=$C27,_xlpm.b,$D$2:$D$19=$D27,MAX(_xlfn._xlws.FILTER(_xlpm.d,_xlpm.a*_xlpm.b)))</f>
        <v>0.45</v>
      </c>
      <c r="R27" s="1" cm="1">
        <f t="array" ref="R27">_xlfn.LET(_xlpm.d,R$2:R$19,_xlpm.a,$C$2:$C$19=$C27,_xlpm.b,$D$2:$D$19=$D27,MAX(_xlfn._xlws.FILTER(_xlpm.d,_xlpm.a*_xlpm.b)))</f>
        <v>0.42</v>
      </c>
      <c r="S27" s="1" cm="1">
        <f t="array" ref="S27">_xlfn.LET(_xlpm.d,S$2:S$19,_xlpm.a,$C$2:$C$19=$C27,_xlpm.b,$D$2:$D$19=$D27,MAX(_xlfn._xlws.FILTER(_xlpm.d,_xlpm.a*_xlpm.b)))</f>
        <v>0.36</v>
      </c>
      <c r="T27" s="1">
        <f>_xlfn.LET(_xlpm.d,$H27:$S27,MAX(_xlpm.d))</f>
        <v>0.47</v>
      </c>
    </row>
    <row r="28" spans="1:20" ht="25" customHeight="1">
      <c r="B28">
        <v>3</v>
      </c>
      <c r="C28" t="s">
        <v>22</v>
      </c>
      <c r="D28" t="b">
        <v>1</v>
      </c>
      <c r="E28">
        <v>1</v>
      </c>
      <c r="F28" t="s">
        <v>25</v>
      </c>
      <c r="H28" s="1" cm="1">
        <f t="array" ref="H28">_xlfn.LET(_xlpm.d,H$2:H$19,_xlpm.a,$C$2:$C$19=$C28,_xlpm.b,$D$2:$D$19=$D28,MAX(_xlfn._xlws.FILTER(_xlpm.d,_xlpm.a*_xlpm.b)))</f>
        <v>0.59</v>
      </c>
      <c r="I28" s="1" cm="1">
        <f t="array" ref="I28">_xlfn.LET(_xlpm.d,I$2:I$19,_xlpm.a,$C$2:$C$19=$C28,_xlpm.b,$D$2:$D$19=$D28,MAX(_xlfn._xlws.FILTER(_xlpm.d,_xlpm.a*_xlpm.b)))</f>
        <v>0.38</v>
      </c>
      <c r="J28" s="1" cm="1">
        <f t="array" ref="J28">_xlfn.LET(_xlpm.d,J$2:J$19,_xlpm.a,$C$2:$C$19=$C28,_xlpm.b,$D$2:$D$19=$D28,MAX(_xlfn._xlws.FILTER(_xlpm.d,_xlpm.a*_xlpm.b)))</f>
        <v>0.51</v>
      </c>
      <c r="K28" s="1" cm="1">
        <f t="array" ref="K28">_xlfn.LET(_xlpm.d,K$2:K$19,_xlpm.a,$C$2:$C$19=$C28,_xlpm.b,$D$2:$D$19=$D28,MAX(_xlfn._xlws.FILTER(_xlpm.d,_xlpm.a*_xlpm.b)))</f>
        <v>0.47</v>
      </c>
      <c r="L28" s="1" cm="1">
        <f t="array" ref="L28">_xlfn.LET(_xlpm.d,L$2:L$19,_xlpm.a,$C$2:$C$19=$C28,_xlpm.b,$D$2:$D$19=$D28,MAX(_xlfn._xlws.FILTER(_xlpm.d,_xlpm.a*_xlpm.b)))</f>
        <v>0.5</v>
      </c>
      <c r="M28" s="1" cm="1">
        <f t="array" ref="M28">_xlfn.LET(_xlpm.d,M$2:M$19,_xlpm.a,$C$2:$C$19=$C28,_xlpm.b,$D$2:$D$19=$D28,MAX(_xlfn._xlws.FILTER(_xlpm.d,_xlpm.a*_xlpm.b)))</f>
        <v>0.4</v>
      </c>
      <c r="N28" s="1" cm="1">
        <f t="array" ref="N28">_xlfn.LET(_xlpm.d,N$2:N$19,_xlpm.a,$C$2:$C$19=$C28,_xlpm.b,$D$2:$D$19=$D28,MAX(_xlfn._xlws.FILTER(_xlpm.d,_xlpm.a*_xlpm.b)))</f>
        <v>0.54</v>
      </c>
      <c r="O28" s="1" cm="1">
        <f t="array" ref="O28">_xlfn.LET(_xlpm.d,O$2:O$19,_xlpm.a,$C$2:$C$19=$C28,_xlpm.b,$D$2:$D$19=$D28,MAX(_xlfn._xlws.FILTER(_xlpm.d,_xlpm.a*_xlpm.b)))</f>
        <v>0.48</v>
      </c>
      <c r="P28" s="1" cm="1">
        <f t="array" ref="P28">_xlfn.LET(_xlpm.d,P$2:P$19,_xlpm.a,$C$2:$C$19=$C28,_xlpm.b,$D$2:$D$19=$D28,MAX(_xlfn._xlws.FILTER(_xlpm.d,_xlpm.a*_xlpm.b)))</f>
        <v>0.52</v>
      </c>
      <c r="Q28" s="1" cm="1">
        <f t="array" ref="Q28">_xlfn.LET(_xlpm.d,Q$2:Q$19,_xlpm.a,$C$2:$C$19=$C28,_xlpm.b,$D$2:$D$19=$D28,MAX(_xlfn._xlws.FILTER(_xlpm.d,_xlpm.a*_xlpm.b)))</f>
        <v>0.52</v>
      </c>
      <c r="R28" s="1" cm="1">
        <f t="array" ref="R28">_xlfn.LET(_xlpm.d,R$2:R$19,_xlpm.a,$C$2:$C$19=$C28,_xlpm.b,$D$2:$D$19=$D28,MAX(_xlfn._xlws.FILTER(_xlpm.d,_xlpm.a*_xlpm.b)))</f>
        <v>0.47</v>
      </c>
      <c r="S28" s="1" cm="1">
        <f t="array" ref="S28">_xlfn.LET(_xlpm.d,S$2:S$19,_xlpm.a,$C$2:$C$19=$C28,_xlpm.b,$D$2:$D$19=$D28,MAX(_xlfn._xlws.FILTER(_xlpm.d,_xlpm.a*_xlpm.b)))</f>
        <v>0.44</v>
      </c>
      <c r="T28" s="1">
        <f>_xlfn.LET(_xlpm.d,$H28:$S28,MAX(_xlpm.d))</f>
        <v>0.59</v>
      </c>
    </row>
    <row r="30" spans="1:20" ht="25" customHeight="1">
      <c r="E30" t="s">
        <v>25</v>
      </c>
      <c r="F30" t="s">
        <v>28</v>
      </c>
      <c r="H30" s="2" cm="1">
        <f t="array" ref="H30">_xlfn.LET(_xlpm.d,H$23:H$28,_xlpm.c,$E$23:$E$28=1,GEOMEAN(_xlfn._xlws.FILTER(_xlpm.d,_xlpm.c)))</f>
        <v>0.63994666751900253</v>
      </c>
      <c r="I30" s="2" cm="1">
        <f t="array" ref="I30">_xlfn.LET(_xlpm.d,I$23:I$28,_xlpm.c,$E$23:$E$28=1,GEOMEAN(_xlfn._xlws.FILTER(_xlpm.d,_xlpm.c)))</f>
        <v>0.55727988729583955</v>
      </c>
      <c r="J30" s="2" cm="1">
        <f t="array" ref="J30">_xlfn.LET(_xlpm.d,J$23:J$28,_xlpm.c,$E$23:$E$28=1,GEOMEAN(_xlfn._xlws.FILTER(_xlpm.d,_xlpm.c)))</f>
        <v>0.63573684155606347</v>
      </c>
      <c r="K30" s="2" cm="1">
        <f t="array" ref="K30">_xlfn.LET(_xlpm.d,K$23:K$28,_xlpm.c,$E$23:$E$28=1,GEOMEAN(_xlfn._xlws.FILTER(_xlpm.d,_xlpm.c)))</f>
        <v>0.61998023574495897</v>
      </c>
      <c r="L30" s="2" cm="1">
        <f t="array" ref="L30">_xlfn.LET(_xlpm.d,L$23:L$28,_xlpm.c,$E$23:$E$28=1,GEOMEAN(_xlfn._xlws.FILTER(_xlpm.d,_xlpm.c)))</f>
        <v>0.61481417731719812</v>
      </c>
      <c r="M30" s="2" cm="1">
        <f t="array" ref="M30">_xlfn.LET(_xlpm.d,M$23:M$28,_xlpm.c,$E$23:$E$28=1,GEOMEAN(_xlfn._xlws.FILTER(_xlpm.d,_xlpm.c)))</f>
        <v>0.59286904305603794</v>
      </c>
      <c r="N30" s="2" cm="1">
        <f t="array" ref="N30">_xlfn.LET(_xlpm.d,N$23:N$28,_xlpm.c,$E$23:$E$28=1,GEOMEAN(_xlfn._xlws.FILTER(_xlpm.d,_xlpm.c)))</f>
        <v>0.64926552087729517</v>
      </c>
      <c r="O30" s="2" cm="1">
        <f t="array" ref="O30">_xlfn.LET(_xlpm.d,O$23:O$28,_xlpm.c,$E$23:$E$28=1,GEOMEAN(_xlfn._xlws.FILTER(_xlpm.d,_xlpm.c)))</f>
        <v>0.58986379763276175</v>
      </c>
      <c r="P30" s="2" cm="1">
        <f t="array" ref="P30">_xlfn.LET(_xlpm.d,P$23:P$28,_xlpm.c,$E$23:$E$28=1,GEOMEAN(_xlfn._xlws.FILTER(_xlpm.d,_xlpm.c)))</f>
        <v>0.59651176630520941</v>
      </c>
      <c r="Q30" s="2" cm="1">
        <f t="array" ref="Q30">_xlfn.LET(_xlpm.d,Q$23:Q$28,_xlpm.c,$E$23:$E$28=1,GEOMEAN(_xlfn._xlws.FILTER(_xlpm.d,_xlpm.c)))</f>
        <v>0.61861286525341275</v>
      </c>
      <c r="R30" s="2" cm="1">
        <f t="array" ref="R30">_xlfn.LET(_xlpm.d,R$23:R$28,_xlpm.c,$E$23:$E$28=1,GEOMEAN(_xlfn._xlws.FILTER(_xlpm.d,_xlpm.c)))</f>
        <v>0.63994882549190335</v>
      </c>
      <c r="S30" s="2" cm="1">
        <f t="array" ref="S30">_xlfn.LET(_xlpm.d,S$23:S$28,_xlpm.c,$E$23:$E$28=1,GEOMEAN(_xlfn._xlws.FILTER(_xlpm.d,_xlpm.c)))</f>
        <v>0.57712795865488742</v>
      </c>
      <c r="T30" s="2" cm="1">
        <f t="array" ref="T30">_xlfn.LET(_xlpm.d,T$23:T$28,_xlpm.c,$E$23:$E$28=1,GEOMEAN(_xlfn._xlws.FILTER(_xlpm.d,_xlpm.c)))</f>
        <v>0.68411783034232954</v>
      </c>
    </row>
    <row r="31" spans="1:20" ht="25" customHeight="1">
      <c r="E31" t="s">
        <v>25</v>
      </c>
      <c r="F31" t="s">
        <v>25</v>
      </c>
      <c r="H31" s="2" cm="1">
        <f t="array" ref="H31">_xlfn.LET(_xlpm.d,H$23:H$28,_xlpm.c,$E$23:$E$28=1,MAX(_xlfn._xlws.FILTER(_xlpm.d,_xlpm.c)))</f>
        <v>0.87</v>
      </c>
      <c r="I31" s="2" cm="1">
        <f t="array" ref="I31">_xlfn.LET(_xlpm.d,I$23:I$28,_xlpm.c,$E$23:$E$28=1,MAX(_xlfn._xlws.FILTER(_xlpm.d,_xlpm.c)))</f>
        <v>0.83</v>
      </c>
      <c r="J31" s="2" cm="1">
        <f t="array" ref="J31">_xlfn.LET(_xlpm.d,J$23:J$28,_xlpm.c,$E$23:$E$28=1,MAX(_xlfn._xlws.FILTER(_xlpm.d,_xlpm.c)))</f>
        <v>0.86</v>
      </c>
      <c r="K31" s="2" cm="1">
        <f t="array" ref="K31">_xlfn.LET(_xlpm.d,K$23:K$28,_xlpm.c,$E$23:$E$28=1,MAX(_xlfn._xlws.FILTER(_xlpm.d,_xlpm.c)))</f>
        <v>0.86</v>
      </c>
      <c r="L31" s="2" cm="1">
        <f t="array" ref="L31">_xlfn.LET(_xlpm.d,L$23:L$28,_xlpm.c,$E$23:$E$28=1,MAX(_xlfn._xlws.FILTER(_xlpm.d,_xlpm.c)))</f>
        <v>0.84</v>
      </c>
      <c r="M31" s="2" cm="1">
        <f t="array" ref="M31">_xlfn.LET(_xlpm.d,M$23:M$28,_xlpm.c,$E$23:$E$28=1,MAX(_xlfn._xlws.FILTER(_xlpm.d,_xlpm.c)))</f>
        <v>0.82</v>
      </c>
      <c r="N31" s="2" cm="1">
        <f t="array" ref="N31">_xlfn.LET(_xlpm.d,N$23:N$28,_xlpm.c,$E$23:$E$28=1,MAX(_xlfn._xlws.FILTER(_xlpm.d,_xlpm.c)))</f>
        <v>0.89</v>
      </c>
      <c r="O31" s="2" cm="1">
        <f t="array" ref="O31">_xlfn.LET(_xlpm.d,O$23:O$28,_xlpm.c,$E$23:$E$28=1,MAX(_xlfn._xlws.FILTER(_xlpm.d,_xlpm.c)))</f>
        <v>0.84</v>
      </c>
      <c r="P31" s="2" cm="1">
        <f t="array" ref="P31">_xlfn.LET(_xlpm.d,P$23:P$28,_xlpm.c,$E$23:$E$28=1,MAX(_xlfn._xlws.FILTER(_xlpm.d,_xlpm.c)))</f>
        <v>0.88</v>
      </c>
      <c r="Q31" s="2" cm="1">
        <f t="array" ref="Q31">_xlfn.LET(_xlpm.d,Q$23:Q$28,_xlpm.c,$E$23:$E$28=1,MAX(_xlfn._xlws.FILTER(_xlpm.d,_xlpm.c)))</f>
        <v>0.84</v>
      </c>
      <c r="R31" s="2" cm="1">
        <f t="array" ref="R31">_xlfn.LET(_xlpm.d,R$23:R$28,_xlpm.c,$E$23:$E$28=1,MAX(_xlfn._xlws.FILTER(_xlpm.d,_xlpm.c)))</f>
        <v>0.86</v>
      </c>
      <c r="S31" s="2" cm="1">
        <f t="array" ref="S31">_xlfn.LET(_xlpm.d,S$23:S$28,_xlpm.c,$E$23:$E$28=1,MAX(_xlfn._xlws.FILTER(_xlpm.d,_xlpm.c)))</f>
        <v>0.81</v>
      </c>
      <c r="T31" s="2" cm="1">
        <f t="array" ref="T31">_xlfn.LET(_xlpm.d,S$23:S$33,_xlpm.c,$E$23:$E$33=1,MAX(_xlfn._xlws.FILTER(_xlpm.d,_xlpm.c)))</f>
        <v>0.81</v>
      </c>
    </row>
    <row r="32" spans="1:20" ht="25" customHeight="1">
      <c r="E32" t="s">
        <v>25</v>
      </c>
      <c r="F32" t="s">
        <v>29</v>
      </c>
      <c r="H32" s="2" cm="1">
        <f t="array" ref="H32">_xlfn.LET(_xlpm.d,H$23:H$28,_xlpm.c,$E$23:$E$28=1,MIN(_xlfn._xlws.FILTER(_xlpm.d,_xlpm.c)))</f>
        <v>0.47</v>
      </c>
      <c r="I32" s="2" cm="1">
        <f t="array" ref="I32">_xlfn.LET(_xlpm.d,I$23:I$28,_xlpm.c,$E$23:$E$28=1,MIN(_xlfn._xlws.FILTER(_xlpm.d,_xlpm.c)))</f>
        <v>0.37</v>
      </c>
      <c r="J32" s="2" cm="1">
        <f t="array" ref="J32">_xlfn.LET(_xlpm.d,J$23:J$28,_xlpm.c,$E$23:$E$28=1,MIN(_xlfn._xlws.FILTER(_xlpm.d,_xlpm.c)))</f>
        <v>0.45</v>
      </c>
      <c r="K32" s="2" cm="1">
        <f t="array" ref="K32">_xlfn.LET(_xlpm.d,K$23:K$28,_xlpm.c,$E$23:$E$28=1,MIN(_xlfn._xlws.FILTER(_xlpm.d,_xlpm.c)))</f>
        <v>0.43</v>
      </c>
      <c r="L32" s="2" cm="1">
        <f t="array" ref="L32">_xlfn.LET(_xlpm.d,L$23:L$28,_xlpm.c,$E$23:$E$28=1,MIN(_xlfn._xlws.FILTER(_xlpm.d,_xlpm.c)))</f>
        <v>0.47</v>
      </c>
      <c r="M32" s="2" cm="1">
        <f t="array" ref="M32">_xlfn.LET(_xlpm.d,M$23:M$28,_xlpm.c,$E$23:$E$28=1,MIN(_xlfn._xlws.FILTER(_xlpm.d,_xlpm.c)))</f>
        <v>0.36</v>
      </c>
      <c r="N32" s="2" cm="1">
        <f t="array" ref="N32">_xlfn.LET(_xlpm.d,N$23:N$28,_xlpm.c,$E$23:$E$28=1,MIN(_xlfn._xlws.FILTER(_xlpm.d,_xlpm.c)))</f>
        <v>0.45</v>
      </c>
      <c r="O32" s="2" cm="1">
        <f t="array" ref="O32">_xlfn.LET(_xlpm.d,O$23:O$28,_xlpm.c,$E$23:$E$28=1,MIN(_xlfn._xlws.FILTER(_xlpm.d,_xlpm.c)))</f>
        <v>0.38</v>
      </c>
      <c r="P32" s="2" cm="1">
        <f t="array" ref="P32">_xlfn.LET(_xlpm.d,P$23:P$28,_xlpm.c,$E$23:$E$28=1,MIN(_xlfn._xlws.FILTER(_xlpm.d,_xlpm.c)))</f>
        <v>0.43</v>
      </c>
      <c r="Q32" s="2" cm="1">
        <f t="array" ref="Q32">_xlfn.LET(_xlpm.d,Q$23:Q$28,_xlpm.c,$E$23:$E$28=1,MIN(_xlfn._xlws.FILTER(_xlpm.d,_xlpm.c)))</f>
        <v>0.45</v>
      </c>
      <c r="R32" s="2" cm="1">
        <f t="array" ref="R32">_xlfn.LET(_xlpm.d,R$23:R$28,_xlpm.c,$E$23:$E$28=1,MIN(_xlfn._xlws.FILTER(_xlpm.d,_xlpm.c)))</f>
        <v>0.42</v>
      </c>
      <c r="S32" s="2" cm="1">
        <f t="array" ref="S32">_xlfn.LET(_xlpm.d,S$23:S$28,_xlpm.c,$E$23:$E$28=1,MIN(_xlfn._xlws.FILTER(_xlpm.d,_xlpm.c)))</f>
        <v>0.36</v>
      </c>
      <c r="T32" s="2" cm="1">
        <f t="array" ref="T32">_xlfn.LET(_xlpm.d,S$23:S$33,_xlpm.c,$E$23:$E$33=1,MIN(_xlfn._xlws.FILTER(_xlpm.d,_xlpm.c)))</f>
        <v>0.36</v>
      </c>
    </row>
    <row r="33" spans="2:20" ht="25" customHeight="1">
      <c r="E33" t="s">
        <v>25</v>
      </c>
      <c r="F33" t="s">
        <v>30</v>
      </c>
      <c r="H33" cm="1">
        <f t="array" ref="H33">_xlfn.LET(_xlpm.d,H$23:H$28,_xlpm.c,$E$23:$E$28=1,STDEV(_xlfn._xlws.FILTER(_xlpm.d,_xlpm.c)))</f>
        <v>0.15630099167951586</v>
      </c>
      <c r="I33" cm="1">
        <f t="array" ref="I33">_xlfn.LET(_xlpm.d,I$23:I$28,_xlpm.c,$E$23:$E$28=1,STDEV(_xlfn._xlws.FILTER(_xlpm.d,_xlpm.c)))</f>
        <v>0.19532024984624632</v>
      </c>
      <c r="J33" cm="1">
        <f t="array" ref="J33">_xlfn.LET(_xlpm.d,J$23:J$28,_xlpm.c,$E$23:$E$28=1,STDEV(_xlfn._xlws.FILTER(_xlpm.d,_xlpm.c)))</f>
        <v>0.16548917386544254</v>
      </c>
      <c r="K33" cm="1">
        <f t="array" ref="K33">_xlfn.LET(_xlpm.d,K$23:K$28,_xlpm.c,$E$23:$E$28=1,STDEV(_xlfn._xlws.FILTER(_xlpm.d,_xlpm.c)))</f>
        <v>0.18236410465512803</v>
      </c>
      <c r="L33" cm="1">
        <f t="array" ref="L33">_xlfn.LET(_xlpm.d,L$23:L$28,_xlpm.c,$E$23:$E$28=1,STDEV(_xlfn._xlws.FILTER(_xlpm.d,_xlpm.c)))</f>
        <v>0.15491933384829645</v>
      </c>
      <c r="M33" cm="1">
        <f t="array" ref="M33">_xlfn.LET(_xlpm.d,M$23:M$28,_xlpm.c,$E$23:$E$28=1,STDEV(_xlfn._xlws.FILTER(_xlpm.d,_xlpm.c)))</f>
        <v>0.20086479698211596</v>
      </c>
      <c r="N33" cm="1">
        <f t="array" ref="N33">_xlfn.LET(_xlpm.d,N$23:N$28,_xlpm.c,$E$23:$E$28=1,STDEV(_xlfn._xlws.FILTER(_xlpm.d,_xlpm.c)))</f>
        <v>0.16560998359599782</v>
      </c>
      <c r="O33" cm="1">
        <f t="array" ref="O33">_xlfn.LET(_xlpm.d,O$23:O$28,_xlpm.c,$E$23:$E$28=1,STDEV(_xlfn._xlws.FILTER(_xlpm.d,_xlpm.c)))</f>
        <v>0.17668238923748658</v>
      </c>
      <c r="P33" cm="1">
        <f t="array" ref="P33">_xlfn.LET(_xlpm.d,P$23:P$28,_xlpm.c,$E$23:$E$28=1,STDEV(_xlfn._xlws.FILTER(_xlpm.d,_xlpm.c)))</f>
        <v>0.1791833325582117</v>
      </c>
      <c r="Q33" cm="1">
        <f t="array" ref="Q33">_xlfn.LET(_xlpm.d,Q$23:Q$28,_xlpm.c,$E$23:$E$28=1,STDEV(_xlfn._xlws.FILTER(_xlpm.d,_xlpm.c)))</f>
        <v>0.16034338152851818</v>
      </c>
      <c r="R33" cm="1">
        <f t="array" ref="R33">_xlfn.LET(_xlpm.d,R$23:R$28,_xlpm.c,$E$23:$E$28=1,STDEV(_xlfn._xlws.FILTER(_xlpm.d,_xlpm.c)))</f>
        <v>0.18532853710820285</v>
      </c>
      <c r="S33" cm="1">
        <f t="array" ref="S33">_xlfn.LET(_xlpm.d,S$23:S$28,_xlpm.c,$E$23:$E$28=1,STDEV(_xlfn._xlws.FILTER(_xlpm.d,_xlpm.c)))</f>
        <v>0.18291163622543738</v>
      </c>
      <c r="T33" cm="1">
        <f t="array" ref="T33">_xlfn.LET(_xlpm.d,S$23:S$33,_xlpm.c,$E$23:$E$33=1,STDEV(_xlfn._xlws.FILTER(_xlpm.d,_xlpm.c)))</f>
        <v>0.18291163622543738</v>
      </c>
    </row>
    <row r="36" spans="2:20" ht="25" customHeight="1">
      <c r="B36" t="s">
        <v>23</v>
      </c>
      <c r="C36" t="s">
        <v>1</v>
      </c>
      <c r="D36" t="s">
        <v>26</v>
      </c>
      <c r="E36" t="s">
        <v>24</v>
      </c>
      <c r="F36" t="s">
        <v>3</v>
      </c>
      <c r="G36" t="s">
        <v>33</v>
      </c>
      <c r="H36" t="s">
        <v>4</v>
      </c>
      <c r="I36" t="s">
        <v>5</v>
      </c>
      <c r="J36" t="s">
        <v>6</v>
      </c>
      <c r="K36" t="s">
        <v>7</v>
      </c>
      <c r="L36" t="s">
        <v>8</v>
      </c>
      <c r="M36" t="s">
        <v>9</v>
      </c>
      <c r="N36" t="s">
        <v>10</v>
      </c>
      <c r="O36" t="s">
        <v>11</v>
      </c>
      <c r="P36" t="s">
        <v>12</v>
      </c>
      <c r="Q36" t="s">
        <v>13</v>
      </c>
      <c r="R36" t="s">
        <v>14</v>
      </c>
      <c r="S36" t="s">
        <v>15</v>
      </c>
    </row>
    <row r="37" spans="2:20" ht="25" customHeight="1">
      <c r="B37">
        <v>1</v>
      </c>
      <c r="C37" t="s">
        <v>17</v>
      </c>
      <c r="D37" t="b">
        <v>0</v>
      </c>
      <c r="E37">
        <v>1</v>
      </c>
      <c r="F37" t="s">
        <v>31</v>
      </c>
      <c r="H37" s="3">
        <f>_xlfn.LET(_xlpm.d,$H23:$Y23,RANK(H23,_xlpm.d))</f>
        <v>5</v>
      </c>
      <c r="I37" s="3">
        <f>_xlfn.LET(_xlpm.d,$H23:$Y23,RANK(I23,_xlpm.d))</f>
        <v>12</v>
      </c>
      <c r="J37" s="3">
        <f>_xlfn.LET(_xlpm.d,$H23:$Y23,RANK(J23,_xlpm.d))</f>
        <v>4</v>
      </c>
      <c r="K37" s="3">
        <f>_xlfn.LET(_xlpm.d,$H23:$Y23,RANK(K23,_xlpm.d))</f>
        <v>3</v>
      </c>
      <c r="L37" s="3">
        <f>_xlfn.LET(_xlpm.d,$H23:$Y23,RANK(L23,_xlpm.d))</f>
        <v>10</v>
      </c>
      <c r="M37" s="3">
        <f>_xlfn.LET(_xlpm.d,$H23:$Y23,RANK(M23,_xlpm.d))</f>
        <v>5</v>
      </c>
      <c r="N37" s="3">
        <f>_xlfn.LET(_xlpm.d,$H23:$Y23,RANK(N23,_xlpm.d))</f>
        <v>5</v>
      </c>
      <c r="O37" s="3">
        <f>_xlfn.LET(_xlpm.d,$H23:$Y23,RANK(O23,_xlpm.d))</f>
        <v>12</v>
      </c>
      <c r="P37" s="3">
        <f>_xlfn.LET(_xlpm.d,$H23:$Y23,RANK(P23,_xlpm.d))</f>
        <v>10</v>
      </c>
      <c r="Q37" s="3">
        <f>_xlfn.LET(_xlpm.d,$H23:$Y23,RANK(Q23,_xlpm.d))</f>
        <v>5</v>
      </c>
      <c r="R37" s="3">
        <f>_xlfn.LET(_xlpm.d,$H23:$Y23,RANK(R23,_xlpm.d))</f>
        <v>1</v>
      </c>
      <c r="S37" s="3">
        <f>_xlfn.LET(_xlpm.d,$H23:$Y23,RANK(S23,_xlpm.d))</f>
        <v>9</v>
      </c>
    </row>
    <row r="38" spans="2:20" ht="25" customHeight="1">
      <c r="B38">
        <v>1</v>
      </c>
      <c r="C38" t="s">
        <v>17</v>
      </c>
      <c r="D38" t="b">
        <v>1</v>
      </c>
      <c r="E38">
        <v>1</v>
      </c>
      <c r="F38" t="s">
        <v>31</v>
      </c>
      <c r="H38" s="3">
        <f>_xlfn.LET(_xlpm.d,$H24:$Y24,RANK(H24,_xlpm.d))</f>
        <v>4</v>
      </c>
      <c r="I38" s="3">
        <f>_xlfn.LET(_xlpm.d,$H24:$Y24,RANK(I24,_xlpm.d))</f>
        <v>11</v>
      </c>
      <c r="J38" s="3">
        <f>_xlfn.LET(_xlpm.d,$H24:$Y24,RANK(J24,_xlpm.d))</f>
        <v>5</v>
      </c>
      <c r="K38" s="3">
        <f>_xlfn.LET(_xlpm.d,$H24:$Y24,RANK(K24,_xlpm.d))</f>
        <v>5</v>
      </c>
      <c r="L38" s="3">
        <f>_xlfn.LET(_xlpm.d,$H24:$Y24,RANK(L24,_xlpm.d))</f>
        <v>8</v>
      </c>
      <c r="M38" s="3">
        <f>_xlfn.LET(_xlpm.d,$H24:$Y24,RANK(M24,_xlpm.d))</f>
        <v>12</v>
      </c>
      <c r="N38" s="3">
        <f>_xlfn.LET(_xlpm.d,$H24:$Y24,RANK(N24,_xlpm.d))</f>
        <v>1</v>
      </c>
      <c r="O38" s="3">
        <f>_xlfn.LET(_xlpm.d,$H24:$Y24,RANK(O24,_xlpm.d))</f>
        <v>8</v>
      </c>
      <c r="P38" s="3">
        <f>_xlfn.LET(_xlpm.d,$H24:$Y24,RANK(P24,_xlpm.d))</f>
        <v>3</v>
      </c>
      <c r="Q38" s="3">
        <f>_xlfn.LET(_xlpm.d,$H24:$Y24,RANK(Q24,_xlpm.d))</f>
        <v>8</v>
      </c>
      <c r="R38" s="3">
        <f>_xlfn.LET(_xlpm.d,$H24:$Y24,RANK(R24,_xlpm.d))</f>
        <v>7</v>
      </c>
      <c r="S38" s="3">
        <f>_xlfn.LET(_xlpm.d,$H24:$Y24,RANK(S24,_xlpm.d))</f>
        <v>13</v>
      </c>
    </row>
    <row r="39" spans="2:20" ht="25" customHeight="1">
      <c r="B39">
        <v>2</v>
      </c>
      <c r="C39" t="s">
        <v>21</v>
      </c>
      <c r="D39" t="b">
        <v>0</v>
      </c>
      <c r="E39">
        <v>1</v>
      </c>
      <c r="F39" t="s">
        <v>31</v>
      </c>
      <c r="H39" s="3">
        <f>_xlfn.LET(_xlpm.d,$H25:$Y25,RANK(H25,_xlpm.d))</f>
        <v>12</v>
      </c>
      <c r="I39" s="3">
        <f>_xlfn.LET(_xlpm.d,$H25:$Y25,RANK(I25,_xlpm.d))</f>
        <v>10</v>
      </c>
      <c r="J39" s="3">
        <f>_xlfn.LET(_xlpm.d,$H25:$Y25,RANK(J25,_xlpm.d))</f>
        <v>4</v>
      </c>
      <c r="K39" s="3">
        <f>_xlfn.LET(_xlpm.d,$H25:$Y25,RANK(K25,_xlpm.d))</f>
        <v>6</v>
      </c>
      <c r="L39" s="3">
        <f>_xlfn.LET(_xlpm.d,$H25:$Y25,RANK(L25,_xlpm.d))</f>
        <v>7</v>
      </c>
      <c r="M39" s="3">
        <f>_xlfn.LET(_xlpm.d,$H25:$Y25,RANK(M25,_xlpm.d))</f>
        <v>4</v>
      </c>
      <c r="N39" s="3">
        <f>_xlfn.LET(_xlpm.d,$H25:$Y25,RANK(N25,_xlpm.d))</f>
        <v>3</v>
      </c>
      <c r="O39" s="3">
        <f>_xlfn.LET(_xlpm.d,$H25:$Y25,RANK(O25,_xlpm.d))</f>
        <v>9</v>
      </c>
      <c r="P39" s="3">
        <f>_xlfn.LET(_xlpm.d,$H25:$Y25,RANK(P25,_xlpm.d))</f>
        <v>13</v>
      </c>
      <c r="Q39" s="3">
        <f>_xlfn.LET(_xlpm.d,$H25:$Y25,RANK(Q25,_xlpm.d))</f>
        <v>10</v>
      </c>
      <c r="R39" s="3">
        <f>_xlfn.LET(_xlpm.d,$H25:$Y25,RANK(R25,_xlpm.d))</f>
        <v>1</v>
      </c>
      <c r="S39" s="3">
        <f>_xlfn.LET(_xlpm.d,$H25:$Y25,RANK(S25,_xlpm.d))</f>
        <v>7</v>
      </c>
    </row>
    <row r="40" spans="2:20" ht="25" customHeight="1">
      <c r="B40">
        <v>2</v>
      </c>
      <c r="C40" t="s">
        <v>21</v>
      </c>
      <c r="D40" t="b">
        <v>1</v>
      </c>
      <c r="E40">
        <v>1</v>
      </c>
      <c r="F40" t="s">
        <v>31</v>
      </c>
      <c r="H40" s="3">
        <f>_xlfn.LET(_xlpm.d,$H26:$Y26,RANK(H26,_xlpm.d))</f>
        <v>5</v>
      </c>
      <c r="I40" s="3">
        <f>_xlfn.LET(_xlpm.d,$H26:$Y26,RANK(I26,_xlpm.d))</f>
        <v>11</v>
      </c>
      <c r="J40" s="3">
        <f>_xlfn.LET(_xlpm.d,$H26:$Y26,RANK(J26,_xlpm.d))</f>
        <v>5</v>
      </c>
      <c r="K40" s="3">
        <f>_xlfn.LET(_xlpm.d,$H26:$Y26,RANK(K26,_xlpm.d))</f>
        <v>5</v>
      </c>
      <c r="L40" s="3">
        <f>_xlfn.LET(_xlpm.d,$H26:$Y26,RANK(L26,_xlpm.d))</f>
        <v>11</v>
      </c>
      <c r="M40" s="3">
        <f>_xlfn.LET(_xlpm.d,$H26:$Y26,RANK(M26,_xlpm.d))</f>
        <v>1</v>
      </c>
      <c r="N40" s="3">
        <f>_xlfn.LET(_xlpm.d,$H26:$Y26,RANK(N26,_xlpm.d))</f>
        <v>4</v>
      </c>
      <c r="O40" s="3">
        <f>_xlfn.LET(_xlpm.d,$H26:$Y26,RANK(O26,_xlpm.d))</f>
        <v>9</v>
      </c>
      <c r="P40" s="3">
        <f>_xlfn.LET(_xlpm.d,$H26:$Y26,RANK(P26,_xlpm.d))</f>
        <v>13</v>
      </c>
      <c r="Q40" s="3">
        <f>_xlfn.LET(_xlpm.d,$H26:$Y26,RANK(Q26,_xlpm.d))</f>
        <v>8</v>
      </c>
      <c r="R40" s="3">
        <f>_xlfn.LET(_xlpm.d,$H26:$Y26,RANK(R26,_xlpm.d))</f>
        <v>3</v>
      </c>
      <c r="S40" s="3">
        <f>_xlfn.LET(_xlpm.d,$H26:$Y26,RANK(S26,_xlpm.d))</f>
        <v>9</v>
      </c>
    </row>
    <row r="41" spans="2:20" ht="25" customHeight="1">
      <c r="B41">
        <v>3</v>
      </c>
      <c r="C41" t="s">
        <v>22</v>
      </c>
      <c r="D41" t="b">
        <v>0</v>
      </c>
      <c r="E41">
        <v>1</v>
      </c>
      <c r="F41" t="s">
        <v>31</v>
      </c>
      <c r="H41" s="3">
        <f>_xlfn.LET(_xlpm.d,$H27:$Y27,RANK(H27,_xlpm.d))</f>
        <v>1</v>
      </c>
      <c r="I41" s="3">
        <f>_xlfn.LET(_xlpm.d,$H27:$Y27,RANK(I27,_xlpm.d))</f>
        <v>11</v>
      </c>
      <c r="J41" s="3">
        <f>_xlfn.LET(_xlpm.d,$H27:$Y27,RANK(J27,_xlpm.d))</f>
        <v>4</v>
      </c>
      <c r="K41" s="3">
        <f>_xlfn.LET(_xlpm.d,$H27:$Y27,RANK(K27,_xlpm.d))</f>
        <v>7</v>
      </c>
      <c r="L41" s="3">
        <f>_xlfn.LET(_xlpm.d,$H27:$Y27,RANK(L27,_xlpm.d))</f>
        <v>1</v>
      </c>
      <c r="M41" s="3">
        <f>_xlfn.LET(_xlpm.d,$H27:$Y27,RANK(M27,_xlpm.d))</f>
        <v>12</v>
      </c>
      <c r="N41" s="3">
        <f>_xlfn.LET(_xlpm.d,$H27:$Y27,RANK(N27,_xlpm.d))</f>
        <v>4</v>
      </c>
      <c r="O41" s="3">
        <f>_xlfn.LET(_xlpm.d,$H27:$Y27,RANK(O27,_xlpm.d))</f>
        <v>10</v>
      </c>
      <c r="P41" s="3">
        <f>_xlfn.LET(_xlpm.d,$H27:$Y27,RANK(P27,_xlpm.d))</f>
        <v>7</v>
      </c>
      <c r="Q41" s="3">
        <f>_xlfn.LET(_xlpm.d,$H27:$Y27,RANK(Q27,_xlpm.d))</f>
        <v>4</v>
      </c>
      <c r="R41" s="3">
        <f>_xlfn.LET(_xlpm.d,$H27:$Y27,RANK(R27,_xlpm.d))</f>
        <v>9</v>
      </c>
      <c r="S41" s="3">
        <f>_xlfn.LET(_xlpm.d,$H27:$Y27,RANK(S27,_xlpm.d))</f>
        <v>12</v>
      </c>
    </row>
    <row r="42" spans="2:20" ht="25" customHeight="1">
      <c r="B42">
        <v>3</v>
      </c>
      <c r="C42" t="s">
        <v>22</v>
      </c>
      <c r="D42" t="b">
        <v>1</v>
      </c>
      <c r="E42">
        <v>1</v>
      </c>
      <c r="F42" t="s">
        <v>31</v>
      </c>
      <c r="H42" s="3">
        <f>_xlfn.LET(_xlpm.d,$H28:$Y28,RANK(H28,_xlpm.d))</f>
        <v>1</v>
      </c>
      <c r="I42" s="3">
        <f>_xlfn.LET(_xlpm.d,$H28:$Y28,RANK(I28,_xlpm.d))</f>
        <v>13</v>
      </c>
      <c r="J42" s="3">
        <f>_xlfn.LET(_xlpm.d,$H28:$Y28,RANK(J28,_xlpm.d))</f>
        <v>6</v>
      </c>
      <c r="K42" s="3">
        <f>_xlfn.LET(_xlpm.d,$H28:$Y28,RANK(K28,_xlpm.d))</f>
        <v>9</v>
      </c>
      <c r="L42" s="3">
        <f>_xlfn.LET(_xlpm.d,$H28:$Y28,RANK(L28,_xlpm.d))</f>
        <v>7</v>
      </c>
      <c r="M42" s="3">
        <f>_xlfn.LET(_xlpm.d,$H28:$Y28,RANK(M28,_xlpm.d))</f>
        <v>12</v>
      </c>
      <c r="N42" s="3">
        <f>_xlfn.LET(_xlpm.d,$H28:$Y28,RANK(N28,_xlpm.d))</f>
        <v>3</v>
      </c>
      <c r="O42" s="3">
        <f>_xlfn.LET(_xlpm.d,$H28:$Y28,RANK(O28,_xlpm.d))</f>
        <v>8</v>
      </c>
      <c r="P42" s="3">
        <f>_xlfn.LET(_xlpm.d,$H28:$Y28,RANK(P28,_xlpm.d))</f>
        <v>4</v>
      </c>
      <c r="Q42" s="3">
        <f>_xlfn.LET(_xlpm.d,$H28:$Y28,RANK(Q28,_xlpm.d))</f>
        <v>4</v>
      </c>
      <c r="R42" s="3">
        <f>_xlfn.LET(_xlpm.d,$H28:$Y28,RANK(R28,_xlpm.d))</f>
        <v>9</v>
      </c>
      <c r="S42" s="3">
        <f>_xlfn.LET(_xlpm.d,$H28:$Y28,RANK(S28,_xlpm.d))</f>
        <v>11</v>
      </c>
    </row>
  </sheetData>
  <conditionalFormatting sqref="H37:S42">
    <cfRule type="colorScale" priority="1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2:T19">
    <cfRule type="colorScale" priority="5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4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30:T32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summarized</vt:lpstr>
      <vt:lpstr>ml3.0-2.0k-xsk-mgv9</vt:lpstr>
      <vt:lpstr>ml3.0-2k-xsk-mgv6</vt:lpstr>
      <vt:lpstr>ml3.0-1.2k-xsk-mgv9</vt:lpstr>
      <vt:lpstr>ml3.0-1.2k-xsk-mgv6</vt:lpstr>
      <vt:lpstr>ml2.0-2.0k-xsk-mgv9</vt:lpstr>
      <vt:lpstr>ml2.0-2k-xsk-mgv6</vt:lpstr>
      <vt:lpstr>ml2.0-1.2k-xsk-mgv9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2025-02-25T02:21:28Z</dcterms:created>
  <dcterms:modified xsi:type="dcterms:W3CDTF">2025-03-05T04:52:01Z</dcterms:modified>
  <cp:category/>
</cp:coreProperties>
</file>