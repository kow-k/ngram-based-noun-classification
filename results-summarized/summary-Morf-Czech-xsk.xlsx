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wk/Dropbox/GitHub/ngram-based-noun-classification/results-Morfessor/"/>
    </mc:Choice>
  </mc:AlternateContent>
  <xr:revisionPtr revIDLastSave="0" documentId="13_ncr:1_{90D50799-2B2D-3D49-89F8-CF75D1BA0B7F}" xr6:coauthVersionLast="47" xr6:coauthVersionMax="47" xr10:uidLastSave="{00000000-0000-0000-0000-000000000000}"/>
  <bookViews>
    <workbookView xWindow="4400" yWindow="500" windowWidth="28660" windowHeight="17900" activeTab="2" xr2:uid="{6163965D-BEB7-DE4E-9942-5490D3BDCDC8}"/>
  </bookViews>
  <sheets>
    <sheet name="summarized" sheetId="7" r:id="rId1"/>
    <sheet name="summarized.old" sheetId="4" r:id="rId2"/>
    <sheet name="2.0k-ml3.0-xsk-mgv9" sheetId="6" r:id="rId3"/>
    <sheet name="2.0k-ml2.0-xsk-mgv9" sheetId="1" r:id="rId4"/>
    <sheet name="1.2k-ml3.0-xsk-mgv9" sheetId="5" r:id="rId5"/>
    <sheet name="1.2k-ml2.0-xsk-mgv9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7" l="1"/>
  <c r="K20" i="7"/>
  <c r="K23" i="7"/>
  <c r="K22" i="7"/>
  <c r="K25" i="7"/>
  <c r="K24" i="7"/>
  <c r="K9" i="7"/>
  <c r="K8" i="7"/>
  <c r="K11" i="7"/>
  <c r="K10" i="7"/>
  <c r="K13" i="7"/>
  <c r="K12" i="7"/>
  <c r="K15" i="7"/>
  <c r="K14" i="7"/>
  <c r="K17" i="7"/>
  <c r="K16" i="7"/>
  <c r="K19" i="7"/>
  <c r="K18" i="7"/>
  <c r="K3" i="7"/>
  <c r="K2" i="7"/>
  <c r="K5" i="7"/>
  <c r="K4" i="7"/>
  <c r="K7" i="7"/>
  <c r="K6" i="7"/>
  <c r="V37" i="4" l="1"/>
  <c r="V38" i="4"/>
  <c r="V39" i="4"/>
  <c r="V40" i="4"/>
  <c r="V30" i="4"/>
  <c r="V31" i="4"/>
  <c r="V32" i="4"/>
  <c r="V33" i="4"/>
  <c r="V23" i="4"/>
  <c r="V24" i="4"/>
  <c r="V25" i="4"/>
  <c r="V26" i="4"/>
  <c r="V16" i="4"/>
  <c r="V17" i="4"/>
  <c r="V18" i="4"/>
  <c r="V19" i="4"/>
  <c r="V9" i="4"/>
  <c r="V10" i="4"/>
  <c r="V11" i="4"/>
  <c r="V12" i="4"/>
  <c r="V2" i="4"/>
  <c r="V3" i="4"/>
  <c r="V4" i="4"/>
  <c r="V5" i="4"/>
  <c r="I3" i="4"/>
  <c r="I38" i="4"/>
  <c r="I40" i="4"/>
  <c r="I37" i="4"/>
  <c r="I39" i="4"/>
  <c r="I31" i="4"/>
  <c r="I33" i="4"/>
  <c r="I30" i="4"/>
  <c r="I32" i="4"/>
  <c r="I23" i="4"/>
  <c r="I25" i="4"/>
  <c r="I24" i="4"/>
  <c r="I26" i="4"/>
  <c r="I16" i="4"/>
  <c r="I18" i="4"/>
  <c r="I17" i="4"/>
  <c r="I19" i="4"/>
  <c r="I11" i="4"/>
  <c r="I12" i="4"/>
  <c r="I9" i="4"/>
  <c r="I10" i="4"/>
  <c r="I5" i="4"/>
  <c r="I2" i="4"/>
  <c r="I4" i="4"/>
  <c r="R28" i="6" a="1"/>
  <c r="R28" i="6" s="1"/>
  <c r="Q28" i="6" a="1"/>
  <c r="Q28" i="6" s="1"/>
  <c r="P28" i="6"/>
  <c r="P28" i="6" a="1"/>
  <c r="O28" i="6" a="1"/>
  <c r="O28" i="6" s="1"/>
  <c r="N28" i="6" a="1"/>
  <c r="N28" i="6" s="1"/>
  <c r="M28" i="6" a="1"/>
  <c r="M28" i="6" s="1"/>
  <c r="L28" i="6" a="1"/>
  <c r="L28" i="6" s="1"/>
  <c r="K28" i="6"/>
  <c r="K28" i="6" a="1"/>
  <c r="J28" i="6" a="1"/>
  <c r="J28" i="6" s="1"/>
  <c r="I28" i="6" a="1"/>
  <c r="I28" i="6" s="1"/>
  <c r="H28" i="6"/>
  <c r="H28" i="6" a="1"/>
  <c r="G28" i="6" a="1"/>
  <c r="G28" i="6" s="1"/>
  <c r="R27" i="6"/>
  <c r="R27" i="6" a="1"/>
  <c r="Q27" i="6" a="1"/>
  <c r="Q27" i="6" s="1"/>
  <c r="P27" i="6" a="1"/>
  <c r="P27" i="6" s="1"/>
  <c r="O27" i="6"/>
  <c r="O27" i="6" a="1"/>
  <c r="N27" i="6" a="1"/>
  <c r="N27" i="6" s="1"/>
  <c r="M27" i="6" a="1"/>
  <c r="M27" i="6" s="1"/>
  <c r="L27" i="6" a="1"/>
  <c r="L27" i="6" s="1"/>
  <c r="K27" i="6" a="1"/>
  <c r="K27" i="6" s="1"/>
  <c r="J27" i="6"/>
  <c r="J27" i="6" a="1"/>
  <c r="I27" i="6" a="1"/>
  <c r="I27" i="6" s="1"/>
  <c r="H27" i="6" a="1"/>
  <c r="H27" i="6" s="1"/>
  <c r="G27" i="6"/>
  <c r="G27" i="6" a="1"/>
  <c r="R26" i="6" a="1"/>
  <c r="R26" i="6" s="1"/>
  <c r="Q26" i="6" a="1"/>
  <c r="Q26" i="6" s="1"/>
  <c r="P26" i="6"/>
  <c r="P26" i="6" a="1"/>
  <c r="O26" i="6" a="1"/>
  <c r="O26" i="6" s="1"/>
  <c r="N26" i="6" a="1"/>
  <c r="N26" i="6" s="1"/>
  <c r="M26" i="6" a="1"/>
  <c r="M26" i="6" s="1"/>
  <c r="L26" i="6" a="1"/>
  <c r="L26" i="6" s="1"/>
  <c r="K26" i="6" a="1"/>
  <c r="K26" i="6" s="1"/>
  <c r="J26" i="6" a="1"/>
  <c r="J26" i="6" s="1"/>
  <c r="I26" i="6" a="1"/>
  <c r="I26" i="6" s="1"/>
  <c r="H26" i="6" a="1"/>
  <c r="H26" i="6" s="1"/>
  <c r="G26" i="6" a="1"/>
  <c r="G26" i="6" s="1"/>
  <c r="R25" i="6" a="1"/>
  <c r="R25" i="6" s="1"/>
  <c r="Q25" i="6" a="1"/>
  <c r="Q25" i="6" s="1"/>
  <c r="P25" i="6" a="1"/>
  <c r="P25" i="6" s="1"/>
  <c r="O25" i="6"/>
  <c r="O25" i="6" a="1"/>
  <c r="N25" i="6" a="1"/>
  <c r="N25" i="6" s="1"/>
  <c r="M25" i="6" a="1"/>
  <c r="M25" i="6" s="1"/>
  <c r="L25" i="6"/>
  <c r="L25" i="6" a="1"/>
  <c r="K25" i="6" a="1"/>
  <c r="K25" i="6" s="1"/>
  <c r="J25" i="6" a="1"/>
  <c r="J25" i="6" s="1"/>
  <c r="I25" i="6" a="1"/>
  <c r="I25" i="6" s="1"/>
  <c r="H25" i="6" a="1"/>
  <c r="H25" i="6" s="1"/>
  <c r="G25" i="6"/>
  <c r="G25" i="6" a="1"/>
  <c r="R24" i="6" a="1"/>
  <c r="R24" i="6" s="1"/>
  <c r="Q24" i="6"/>
  <c r="Q24" i="6" a="1"/>
  <c r="P24" i="6" a="1"/>
  <c r="P24" i="6" s="1"/>
  <c r="O24" i="6" a="1"/>
  <c r="O24" i="6" s="1"/>
  <c r="N24" i="6"/>
  <c r="N24" i="6" a="1"/>
  <c r="M24" i="6" a="1"/>
  <c r="M24" i="6" s="1"/>
  <c r="L24" i="6" a="1"/>
  <c r="L24" i="6" s="1"/>
  <c r="K24" i="6" a="1"/>
  <c r="K24" i="6" s="1"/>
  <c r="J24" i="6" a="1"/>
  <c r="J24" i="6" s="1"/>
  <c r="I24" i="6"/>
  <c r="I24" i="6" a="1"/>
  <c r="H24" i="6" a="1"/>
  <c r="H24" i="6" s="1"/>
  <c r="G24" i="6" a="1"/>
  <c r="G24" i="6" s="1"/>
  <c r="R23" i="6" a="1"/>
  <c r="R23" i="6" s="1"/>
  <c r="Q23" i="6" a="1"/>
  <c r="Q23" i="6" s="1"/>
  <c r="P23" i="6" a="1"/>
  <c r="P23" i="6" s="1"/>
  <c r="O23" i="6" a="1"/>
  <c r="O23" i="6" s="1"/>
  <c r="N23" i="6" a="1"/>
  <c r="N23" i="6" s="1"/>
  <c r="M23" i="6" a="1"/>
  <c r="M23" i="6" s="1"/>
  <c r="L23" i="6" a="1"/>
  <c r="L23" i="6" s="1"/>
  <c r="K23" i="6" a="1"/>
  <c r="K23" i="6" s="1"/>
  <c r="J23" i="6" a="1"/>
  <c r="J23" i="6" s="1"/>
  <c r="I23" i="6"/>
  <c r="I23" i="6" a="1"/>
  <c r="H23" i="6" a="1"/>
  <c r="H23" i="6" s="1"/>
  <c r="G23" i="6" a="1"/>
  <c r="G23" i="6" s="1"/>
  <c r="S18" i="6"/>
  <c r="S17" i="6"/>
  <c r="S19" i="6"/>
  <c r="S16" i="6"/>
  <c r="S14" i="6"/>
  <c r="S15" i="6"/>
  <c r="S8" i="6"/>
  <c r="S9" i="6"/>
  <c r="S10" i="6"/>
  <c r="S12" i="6"/>
  <c r="S13" i="6"/>
  <c r="S11" i="6"/>
  <c r="S3" i="6"/>
  <c r="S6" i="6"/>
  <c r="S4" i="6"/>
  <c r="S7" i="6"/>
  <c r="S5" i="6"/>
  <c r="S2" i="6"/>
  <c r="R28" i="5" a="1"/>
  <c r="R28" i="5" s="1"/>
  <c r="Q28" i="5" a="1"/>
  <c r="Q28" i="5" s="1"/>
  <c r="P28" i="5" a="1"/>
  <c r="P28" i="5" s="1"/>
  <c r="O28" i="5" a="1"/>
  <c r="O28" i="5" s="1"/>
  <c r="N28" i="5" a="1"/>
  <c r="N28" i="5" s="1"/>
  <c r="M28" i="5" a="1"/>
  <c r="M28" i="5" s="1"/>
  <c r="L28" i="5" a="1"/>
  <c r="L28" i="5" s="1"/>
  <c r="K28" i="5"/>
  <c r="K28" i="5" a="1"/>
  <c r="J28" i="5" a="1"/>
  <c r="J28" i="5" s="1"/>
  <c r="I28" i="5" a="1"/>
  <c r="I28" i="5" s="1"/>
  <c r="H28" i="5" a="1"/>
  <c r="H28" i="5" s="1"/>
  <c r="G28" i="5" a="1"/>
  <c r="G28" i="5" s="1"/>
  <c r="R27" i="5" a="1"/>
  <c r="R27" i="5" s="1"/>
  <c r="Q27" i="5" a="1"/>
  <c r="Q27" i="5" s="1"/>
  <c r="P27" i="5" a="1"/>
  <c r="P27" i="5" s="1"/>
  <c r="O27" i="5" a="1"/>
  <c r="O27" i="5" s="1"/>
  <c r="N27" i="5" a="1"/>
  <c r="N27" i="5" s="1"/>
  <c r="M27" i="5" a="1"/>
  <c r="M27" i="5" s="1"/>
  <c r="L27" i="5" a="1"/>
  <c r="L27" i="5" s="1"/>
  <c r="K27" i="5" a="1"/>
  <c r="K27" i="5" s="1"/>
  <c r="J27" i="5"/>
  <c r="J27" i="5" a="1"/>
  <c r="I27" i="5" a="1"/>
  <c r="I27" i="5" s="1"/>
  <c r="H27" i="5" a="1"/>
  <c r="H27" i="5" s="1"/>
  <c r="G27" i="5" a="1"/>
  <c r="G27" i="5" s="1"/>
  <c r="R26" i="5" a="1"/>
  <c r="R26" i="5" s="1"/>
  <c r="Q26" i="5" a="1"/>
  <c r="Q26" i="5" s="1"/>
  <c r="P26" i="5"/>
  <c r="P26" i="5" a="1"/>
  <c r="O26" i="5" a="1"/>
  <c r="O26" i="5" s="1"/>
  <c r="N26" i="5" a="1"/>
  <c r="N26" i="5" s="1"/>
  <c r="M26" i="5" a="1"/>
  <c r="M26" i="5" s="1"/>
  <c r="L26" i="5"/>
  <c r="L26" i="5" a="1"/>
  <c r="K26" i="5" a="1"/>
  <c r="K26" i="5" s="1"/>
  <c r="J26" i="5" a="1"/>
  <c r="J26" i="5" s="1"/>
  <c r="I26" i="5" a="1"/>
  <c r="I26" i="5" s="1"/>
  <c r="H26" i="5" a="1"/>
  <c r="H26" i="5" s="1"/>
  <c r="G26" i="5" a="1"/>
  <c r="G26" i="5" s="1"/>
  <c r="R25" i="5" a="1"/>
  <c r="R25" i="5" s="1"/>
  <c r="Q25" i="5" a="1"/>
  <c r="Q25" i="5" s="1"/>
  <c r="P25" i="5" a="1"/>
  <c r="P25" i="5" s="1"/>
  <c r="O25" i="5" a="1"/>
  <c r="O25" i="5" s="1"/>
  <c r="N25" i="5" a="1"/>
  <c r="N25" i="5" s="1"/>
  <c r="M25" i="5" a="1"/>
  <c r="M25" i="5" s="1"/>
  <c r="L25" i="5" a="1"/>
  <c r="L25" i="5" s="1"/>
  <c r="K25" i="5" a="1"/>
  <c r="K25" i="5" s="1"/>
  <c r="J25" i="5" a="1"/>
  <c r="J25" i="5" s="1"/>
  <c r="I25" i="5" a="1"/>
  <c r="I25" i="5" s="1"/>
  <c r="H25" i="5" a="1"/>
  <c r="H25" i="5" s="1"/>
  <c r="G25" i="5" a="1"/>
  <c r="G25" i="5" s="1"/>
  <c r="R24" i="5" a="1"/>
  <c r="R24" i="5" s="1"/>
  <c r="Q24" i="5" a="1"/>
  <c r="Q24" i="5" s="1"/>
  <c r="P24" i="5" a="1"/>
  <c r="P24" i="5" s="1"/>
  <c r="O24" i="5" a="1"/>
  <c r="O24" i="5" s="1"/>
  <c r="N24" i="5" a="1"/>
  <c r="N24" i="5" s="1"/>
  <c r="M24" i="5" a="1"/>
  <c r="M24" i="5" s="1"/>
  <c r="L24" i="5" a="1"/>
  <c r="L24" i="5" s="1"/>
  <c r="K24" i="5" a="1"/>
  <c r="K24" i="5" s="1"/>
  <c r="J24" i="5" a="1"/>
  <c r="J24" i="5" s="1"/>
  <c r="I24" i="5" a="1"/>
  <c r="I24" i="5" s="1"/>
  <c r="H24" i="5" a="1"/>
  <c r="H24" i="5" s="1"/>
  <c r="G24" i="5" a="1"/>
  <c r="G24" i="5" s="1"/>
  <c r="R23" i="5" a="1"/>
  <c r="R23" i="5" s="1"/>
  <c r="Q23" i="5" a="1"/>
  <c r="Q23" i="5" s="1"/>
  <c r="P23" i="5" a="1"/>
  <c r="P23" i="5" s="1"/>
  <c r="O23" i="5" a="1"/>
  <c r="O23" i="5" s="1"/>
  <c r="N23" i="5" a="1"/>
  <c r="N23" i="5" s="1"/>
  <c r="M23" i="5" a="1"/>
  <c r="M23" i="5" s="1"/>
  <c r="L23" i="5" a="1"/>
  <c r="L23" i="5" s="1"/>
  <c r="K23" i="5" a="1"/>
  <c r="K23" i="5" s="1"/>
  <c r="J23" i="5" a="1"/>
  <c r="J23" i="5" s="1"/>
  <c r="I23" i="5" a="1"/>
  <c r="I23" i="5" s="1"/>
  <c r="H23" i="5"/>
  <c r="H23" i="5" a="1"/>
  <c r="G23" i="5" a="1"/>
  <c r="G23" i="5" s="1"/>
  <c r="S17" i="5"/>
  <c r="S14" i="5"/>
  <c r="S11" i="5"/>
  <c r="S8" i="5"/>
  <c r="S5" i="5"/>
  <c r="S2" i="5"/>
  <c r="S19" i="5"/>
  <c r="S16" i="5"/>
  <c r="S13" i="5"/>
  <c r="S10" i="5"/>
  <c r="S7" i="5"/>
  <c r="S4" i="5"/>
  <c r="S18" i="5"/>
  <c r="S15" i="5"/>
  <c r="S12" i="5"/>
  <c r="S9" i="5"/>
  <c r="S6" i="5"/>
  <c r="S3" i="5"/>
  <c r="G23" i="1" a="1"/>
  <c r="G23" i="1" s="1"/>
  <c r="R28" i="1" a="1"/>
  <c r="R28" i="1" s="1"/>
  <c r="Q28" i="1" a="1"/>
  <c r="Q28" i="1" s="1"/>
  <c r="P28" i="1" a="1"/>
  <c r="P28" i="1" s="1"/>
  <c r="O28" i="1" a="1"/>
  <c r="O28" i="1" s="1"/>
  <c r="N28" i="1" a="1"/>
  <c r="N28" i="1" s="1"/>
  <c r="M28" i="1" a="1"/>
  <c r="M28" i="1" s="1"/>
  <c r="L28" i="1" a="1"/>
  <c r="L28" i="1" s="1"/>
  <c r="K28" i="1" a="1"/>
  <c r="K28" i="1" s="1"/>
  <c r="J28" i="1" a="1"/>
  <c r="J28" i="1" s="1"/>
  <c r="I28" i="1" a="1"/>
  <c r="I28" i="1" s="1"/>
  <c r="H28" i="1" a="1"/>
  <c r="H28" i="1" s="1"/>
  <c r="G28" i="1" a="1"/>
  <c r="G28" i="1" s="1"/>
  <c r="R27" i="1" a="1"/>
  <c r="R27" i="1" s="1"/>
  <c r="Q27" i="1" a="1"/>
  <c r="Q27" i="1" s="1"/>
  <c r="P27" i="1" a="1"/>
  <c r="P27" i="1" s="1"/>
  <c r="O27" i="1" a="1"/>
  <c r="O27" i="1" s="1"/>
  <c r="N27" i="1" a="1"/>
  <c r="N27" i="1" s="1"/>
  <c r="M27" i="1" a="1"/>
  <c r="M27" i="1" s="1"/>
  <c r="L27" i="1" a="1"/>
  <c r="L27" i="1" s="1"/>
  <c r="K27" i="1" a="1"/>
  <c r="K27" i="1" s="1"/>
  <c r="J27" i="1" a="1"/>
  <c r="J27" i="1" s="1"/>
  <c r="I27" i="1" a="1"/>
  <c r="I27" i="1" s="1"/>
  <c r="H27" i="1" a="1"/>
  <c r="H27" i="1" s="1"/>
  <c r="G27" i="1" a="1"/>
  <c r="G27" i="1" s="1"/>
  <c r="R26" i="1" a="1"/>
  <c r="R26" i="1" s="1"/>
  <c r="Q26" i="1" a="1"/>
  <c r="Q26" i="1" s="1"/>
  <c r="P26" i="1" a="1"/>
  <c r="P26" i="1" s="1"/>
  <c r="O26" i="1" a="1"/>
  <c r="O26" i="1" s="1"/>
  <c r="N26" i="1" a="1"/>
  <c r="N26" i="1" s="1"/>
  <c r="M26" i="1" a="1"/>
  <c r="M26" i="1" s="1"/>
  <c r="L26" i="1" a="1"/>
  <c r="L26" i="1" s="1"/>
  <c r="K26" i="1" a="1"/>
  <c r="K26" i="1" s="1"/>
  <c r="J26" i="1" a="1"/>
  <c r="J26" i="1" s="1"/>
  <c r="I26" i="1" a="1"/>
  <c r="I26" i="1" s="1"/>
  <c r="H26" i="1" a="1"/>
  <c r="H26" i="1" s="1"/>
  <c r="G26" i="1" a="1"/>
  <c r="G26" i="1" s="1"/>
  <c r="R25" i="1" a="1"/>
  <c r="R25" i="1" s="1"/>
  <c r="Q25" i="1" a="1"/>
  <c r="Q25" i="1" s="1"/>
  <c r="P25" i="1" a="1"/>
  <c r="P25" i="1" s="1"/>
  <c r="O25" i="1" a="1"/>
  <c r="O25" i="1" s="1"/>
  <c r="N25" i="1" a="1"/>
  <c r="N25" i="1" s="1"/>
  <c r="M25" i="1" a="1"/>
  <c r="M25" i="1" s="1"/>
  <c r="L25" i="1" a="1"/>
  <c r="L25" i="1" s="1"/>
  <c r="K25" i="1" a="1"/>
  <c r="K25" i="1" s="1"/>
  <c r="J25" i="1" a="1"/>
  <c r="J25" i="1" s="1"/>
  <c r="I25" i="1" a="1"/>
  <c r="I25" i="1" s="1"/>
  <c r="H25" i="1" a="1"/>
  <c r="H25" i="1" s="1"/>
  <c r="G25" i="1" a="1"/>
  <c r="G25" i="1" s="1"/>
  <c r="R24" i="1" a="1"/>
  <c r="R24" i="1" s="1"/>
  <c r="Q24" i="1" a="1"/>
  <c r="Q24" i="1" s="1"/>
  <c r="P24" i="1" a="1"/>
  <c r="P24" i="1" s="1"/>
  <c r="O24" i="1" a="1"/>
  <c r="O24" i="1" s="1"/>
  <c r="N24" i="1" a="1"/>
  <c r="N24" i="1" s="1"/>
  <c r="M24" i="1" a="1"/>
  <c r="M24" i="1" s="1"/>
  <c r="L24" i="1" a="1"/>
  <c r="L24" i="1" s="1"/>
  <c r="K24" i="1" a="1"/>
  <c r="K24" i="1" s="1"/>
  <c r="J24" i="1" a="1"/>
  <c r="J24" i="1" s="1"/>
  <c r="I24" i="1" a="1"/>
  <c r="I24" i="1" s="1"/>
  <c r="H24" i="1" a="1"/>
  <c r="H24" i="1" s="1"/>
  <c r="G24" i="1" a="1"/>
  <c r="G24" i="1" s="1"/>
  <c r="R23" i="1" a="1"/>
  <c r="R23" i="1" s="1"/>
  <c r="Q23" i="1" a="1"/>
  <c r="Q23" i="1" s="1"/>
  <c r="P23" i="1" a="1"/>
  <c r="P23" i="1" s="1"/>
  <c r="O23" i="1" a="1"/>
  <c r="O23" i="1" s="1"/>
  <c r="N23" i="1" a="1"/>
  <c r="N23" i="1" s="1"/>
  <c r="M23" i="1" a="1"/>
  <c r="M23" i="1" s="1"/>
  <c r="L23" i="1" a="1"/>
  <c r="L23" i="1" s="1"/>
  <c r="K23" i="1" a="1"/>
  <c r="K23" i="1" s="1"/>
  <c r="J23" i="1" a="1"/>
  <c r="J23" i="1" s="1"/>
  <c r="I23" i="1" a="1"/>
  <c r="I23" i="1" s="1"/>
  <c r="I33" i="1" s="1" a="1"/>
  <c r="I33" i="1" s="1"/>
  <c r="H23" i="1" a="1"/>
  <c r="H23" i="1" s="1"/>
  <c r="G38" i="3"/>
  <c r="G37" i="3"/>
  <c r="G23" i="3" a="1"/>
  <c r="G23" i="3" s="1"/>
  <c r="R23" i="3" a="1"/>
  <c r="R23" i="3" s="1"/>
  <c r="Q23" i="3" a="1"/>
  <c r="Q23" i="3" s="1"/>
  <c r="Q33" i="3" s="1" a="1"/>
  <c r="Q33" i="3" s="1"/>
  <c r="P23" i="3" a="1"/>
  <c r="P23" i="3" s="1"/>
  <c r="O23" i="3" a="1"/>
  <c r="O23" i="3" s="1"/>
  <c r="O31" i="3" s="1" a="1"/>
  <c r="O31" i="3" s="1"/>
  <c r="N23" i="3" a="1"/>
  <c r="N23" i="3" s="1"/>
  <c r="M23" i="3" a="1"/>
  <c r="M23" i="3" s="1"/>
  <c r="L23" i="3" a="1"/>
  <c r="L23" i="3" s="1"/>
  <c r="K23" i="3" a="1"/>
  <c r="K23" i="3" s="1"/>
  <c r="J23" i="3" a="1"/>
  <c r="J23" i="3" s="1"/>
  <c r="J33" i="3" s="1" a="1"/>
  <c r="J33" i="3" s="1"/>
  <c r="I23" i="3" a="1"/>
  <c r="I23" i="3" s="1"/>
  <c r="I33" i="3" s="1" a="1"/>
  <c r="I33" i="3" s="1"/>
  <c r="H23" i="3" a="1"/>
  <c r="H23" i="3" s="1"/>
  <c r="R24" i="3" a="1"/>
  <c r="R24" i="3" s="1"/>
  <c r="Q24" i="3" a="1"/>
  <c r="Q24" i="3" s="1"/>
  <c r="P24" i="3" a="1"/>
  <c r="P24" i="3" s="1"/>
  <c r="O24" i="3" a="1"/>
  <c r="O24" i="3" s="1"/>
  <c r="N24" i="3" a="1"/>
  <c r="N24" i="3" s="1"/>
  <c r="M24" i="3" a="1"/>
  <c r="M24" i="3" s="1"/>
  <c r="L24" i="3" a="1"/>
  <c r="L24" i="3" s="1"/>
  <c r="L33" i="3" s="1" a="1"/>
  <c r="L33" i="3" s="1"/>
  <c r="K24" i="3" a="1"/>
  <c r="K24" i="3" s="1"/>
  <c r="J24" i="3" a="1"/>
  <c r="J24" i="3" s="1"/>
  <c r="I24" i="3" a="1"/>
  <c r="I24" i="3" s="1"/>
  <c r="H24" i="3" a="1"/>
  <c r="H24" i="3" s="1"/>
  <c r="G24" i="3" a="1"/>
  <c r="G24" i="3" s="1"/>
  <c r="R25" i="3" a="1"/>
  <c r="R25" i="3" s="1"/>
  <c r="Q25" i="3" a="1"/>
  <c r="Q25" i="3" s="1"/>
  <c r="P25" i="3" a="1"/>
  <c r="P25" i="3" s="1"/>
  <c r="O25" i="3" a="1"/>
  <c r="O25" i="3" s="1"/>
  <c r="N25" i="3" a="1"/>
  <c r="N25" i="3" s="1"/>
  <c r="M25" i="3" a="1"/>
  <c r="M25" i="3" s="1"/>
  <c r="L25" i="3" a="1"/>
  <c r="L25" i="3" s="1"/>
  <c r="K25" i="3" a="1"/>
  <c r="K25" i="3" s="1"/>
  <c r="J25" i="3" a="1"/>
  <c r="J25" i="3" s="1"/>
  <c r="I25" i="3" a="1"/>
  <c r="I25" i="3" s="1"/>
  <c r="H25" i="3" a="1"/>
  <c r="H25" i="3" s="1"/>
  <c r="G25" i="3" a="1"/>
  <c r="G25" i="3" s="1"/>
  <c r="R26" i="3" a="1"/>
  <c r="R26" i="3" s="1"/>
  <c r="Q26" i="3" a="1"/>
  <c r="Q26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J26" i="3" a="1"/>
  <c r="J26" i="3" s="1"/>
  <c r="I26" i="3" a="1"/>
  <c r="I26" i="3" s="1"/>
  <c r="H26" i="3" a="1"/>
  <c r="H26" i="3" s="1"/>
  <c r="G26" i="3" a="1"/>
  <c r="G26" i="3" s="1"/>
  <c r="R27" i="3" a="1"/>
  <c r="R27" i="3" s="1"/>
  <c r="R38" i="3" s="1"/>
  <c r="Q27" i="3" a="1"/>
  <c r="Q27" i="3" s="1"/>
  <c r="Q38" i="3" s="1"/>
  <c r="P27" i="3" a="1"/>
  <c r="P27" i="3" s="1"/>
  <c r="P38" i="3" s="1"/>
  <c r="O27" i="3" a="1"/>
  <c r="O27" i="3" s="1"/>
  <c r="N27" i="3" a="1"/>
  <c r="N27" i="3" s="1"/>
  <c r="N38" i="3" s="1"/>
  <c r="M27" i="3" a="1"/>
  <c r="M27" i="3" s="1"/>
  <c r="M38" i="3" s="1"/>
  <c r="L27" i="3" a="1"/>
  <c r="L27" i="3" s="1"/>
  <c r="L38" i="3" s="1"/>
  <c r="K27" i="3" a="1"/>
  <c r="K27" i="3" s="1"/>
  <c r="K30" i="3" s="1" a="1"/>
  <c r="K30" i="3" s="1"/>
  <c r="J27" i="3" a="1"/>
  <c r="J27" i="3" s="1"/>
  <c r="J38" i="3" s="1"/>
  <c r="I27" i="3" a="1"/>
  <c r="I27" i="3" s="1"/>
  <c r="I38" i="3" s="1"/>
  <c r="H27" i="3" a="1"/>
  <c r="H27" i="3" s="1"/>
  <c r="S27" i="3" s="1"/>
  <c r="G27" i="3" a="1"/>
  <c r="G27" i="3" s="1"/>
  <c r="R28" i="3" a="1"/>
  <c r="R28" i="3" s="1"/>
  <c r="Q28" i="3" a="1"/>
  <c r="Q28" i="3" s="1"/>
  <c r="P28" i="3" a="1"/>
  <c r="P28" i="3" s="1"/>
  <c r="O28" i="3" a="1"/>
  <c r="O28" i="3" s="1"/>
  <c r="N28" i="3" a="1"/>
  <c r="N28" i="3" s="1"/>
  <c r="M28" i="3" a="1"/>
  <c r="M28" i="3" s="1"/>
  <c r="L28" i="3" a="1"/>
  <c r="L28" i="3" s="1"/>
  <c r="K28" i="3" a="1"/>
  <c r="K28" i="3" s="1"/>
  <c r="J28" i="3" a="1"/>
  <c r="J28" i="3" s="1"/>
  <c r="I28" i="3" a="1"/>
  <c r="I28" i="3" s="1"/>
  <c r="H28" i="3" a="1"/>
  <c r="H28" i="3" s="1"/>
  <c r="G28" i="3" a="1"/>
  <c r="G28" i="3" s="1"/>
  <c r="S26" i="6" l="1"/>
  <c r="S27" i="6"/>
  <c r="S24" i="6"/>
  <c r="S25" i="6"/>
  <c r="S23" i="6"/>
  <c r="S28" i="6"/>
  <c r="S26" i="5"/>
  <c r="S27" i="5"/>
  <c r="S23" i="5"/>
  <c r="S28" i="5"/>
  <c r="S24" i="5"/>
  <c r="S25" i="5"/>
  <c r="P32" i="1" a="1"/>
  <c r="P32" i="1" s="1"/>
  <c r="N32" i="1" a="1"/>
  <c r="N32" i="1" s="1"/>
  <c r="P33" i="1" a="1"/>
  <c r="P33" i="1" s="1"/>
  <c r="J33" i="1" a="1"/>
  <c r="J33" i="1" s="1"/>
  <c r="R33" i="1" a="1"/>
  <c r="R33" i="1" s="1"/>
  <c r="H32" i="1" a="1"/>
  <c r="H32" i="1" s="1"/>
  <c r="K32" i="1" a="1"/>
  <c r="K32" i="1" s="1"/>
  <c r="O33" i="1" a="1"/>
  <c r="O33" i="1" s="1"/>
  <c r="H33" i="1" a="1"/>
  <c r="H33" i="1" s="1"/>
  <c r="R32" i="1" a="1"/>
  <c r="R32" i="1" s="1"/>
  <c r="R30" i="1" a="1"/>
  <c r="R30" i="1" s="1"/>
  <c r="K31" i="1" a="1"/>
  <c r="K31" i="1" s="1"/>
  <c r="K33" i="1" a="1"/>
  <c r="K33" i="1" s="1"/>
  <c r="G32" i="1" a="1"/>
  <c r="G32" i="1" s="1"/>
  <c r="G30" i="1" a="1"/>
  <c r="G30" i="1" s="1"/>
  <c r="Q33" i="1" a="1"/>
  <c r="Q33" i="1" s="1"/>
  <c r="Q31" i="1" a="1"/>
  <c r="Q31" i="1" s="1"/>
  <c r="Q32" i="1" a="1"/>
  <c r="Q32" i="1" s="1"/>
  <c r="Q30" i="1" a="1"/>
  <c r="Q30" i="1" s="1"/>
  <c r="M32" i="1" a="1"/>
  <c r="M32" i="1" s="1"/>
  <c r="M30" i="1" a="1"/>
  <c r="M30" i="1" s="1"/>
  <c r="M33" i="1" a="1"/>
  <c r="M33" i="1" s="1"/>
  <c r="M31" i="1" a="1"/>
  <c r="M31" i="1" s="1"/>
  <c r="G33" i="1" a="1"/>
  <c r="G33" i="1" s="1"/>
  <c r="N31" i="1" a="1"/>
  <c r="N31" i="1" s="1"/>
  <c r="N33" i="1" a="1"/>
  <c r="N33" i="1" s="1"/>
  <c r="L33" i="1" a="1"/>
  <c r="L33" i="1" s="1"/>
  <c r="L31" i="1" a="1"/>
  <c r="L31" i="1" s="1"/>
  <c r="L32" i="1" a="1"/>
  <c r="L32" i="1" s="1"/>
  <c r="H30" i="1" a="1"/>
  <c r="H30" i="1" s="1"/>
  <c r="O30" i="1" a="1"/>
  <c r="O30" i="1" s="1"/>
  <c r="P30" i="1" a="1"/>
  <c r="P30" i="1" s="1"/>
  <c r="I30" i="1" a="1"/>
  <c r="I30" i="1" s="1"/>
  <c r="I32" i="1" a="1"/>
  <c r="I32" i="1" s="1"/>
  <c r="O32" i="1" a="1"/>
  <c r="O32" i="1" s="1"/>
  <c r="J30" i="1" a="1"/>
  <c r="J30" i="1" s="1"/>
  <c r="J32" i="1" a="1"/>
  <c r="J32" i="1" s="1"/>
  <c r="O31" i="1" a="1"/>
  <c r="O31" i="1" s="1"/>
  <c r="L30" i="1" a="1"/>
  <c r="L30" i="1" s="1"/>
  <c r="H31" i="1" a="1"/>
  <c r="H31" i="1" s="1"/>
  <c r="P31" i="1" a="1"/>
  <c r="P31" i="1" s="1"/>
  <c r="G31" i="1" a="1"/>
  <c r="G31" i="1" s="1"/>
  <c r="I31" i="1" a="1"/>
  <c r="I31" i="1" s="1"/>
  <c r="K30" i="1" a="1"/>
  <c r="K30" i="1" s="1"/>
  <c r="N30" i="1" a="1"/>
  <c r="N30" i="1" s="1"/>
  <c r="J31" i="1" a="1"/>
  <c r="J31" i="1" s="1"/>
  <c r="R31" i="1" a="1"/>
  <c r="R31" i="1" s="1"/>
  <c r="S27" i="1"/>
  <c r="S23" i="1"/>
  <c r="S26" i="1"/>
  <c r="S24" i="1"/>
  <c r="S25" i="1"/>
  <c r="S28" i="1"/>
  <c r="Q41" i="3"/>
  <c r="R37" i="3"/>
  <c r="L40" i="3"/>
  <c r="M37" i="3"/>
  <c r="I40" i="3"/>
  <c r="R40" i="3"/>
  <c r="N41" i="3"/>
  <c r="R30" i="3" a="1"/>
  <c r="R30" i="3" s="1"/>
  <c r="H38" i="3"/>
  <c r="K33" i="3" a="1"/>
  <c r="K33" i="3" s="1"/>
  <c r="G32" i="3" a="1"/>
  <c r="G32" i="3" s="1"/>
  <c r="O38" i="3"/>
  <c r="S28" i="3"/>
  <c r="H37" i="3" s="1"/>
  <c r="S24" i="3"/>
  <c r="O41" i="3" s="1"/>
  <c r="L30" i="3" a="1"/>
  <c r="L30" i="3" s="1"/>
  <c r="G31" i="3" a="1"/>
  <c r="G31" i="3" s="1"/>
  <c r="S26" i="3"/>
  <c r="O39" i="3" s="1"/>
  <c r="H33" i="3" a="1"/>
  <c r="H33" i="3" s="1"/>
  <c r="P33" i="3" a="1"/>
  <c r="P33" i="3" s="1"/>
  <c r="M30" i="3" a="1"/>
  <c r="M30" i="3" s="1"/>
  <c r="K31" i="3" a="1"/>
  <c r="K31" i="3" s="1"/>
  <c r="K38" i="3"/>
  <c r="N32" i="3" a="1"/>
  <c r="N32" i="3" s="1"/>
  <c r="N31" i="3" a="1"/>
  <c r="N31" i="3" s="1"/>
  <c r="O32" i="3" a="1"/>
  <c r="O32" i="3" s="1"/>
  <c r="S25" i="3"/>
  <c r="Q40" i="3" s="1"/>
  <c r="H32" i="3" a="1"/>
  <c r="H32" i="3" s="1"/>
  <c r="P32" i="3" a="1"/>
  <c r="P32" i="3" s="1"/>
  <c r="G30" i="3" a="1"/>
  <c r="G30" i="3" s="1"/>
  <c r="R32" i="3" a="1"/>
  <c r="R32" i="3" s="1"/>
  <c r="M33" i="3" a="1"/>
  <c r="M33" i="3" s="1"/>
  <c r="H30" i="3" a="1"/>
  <c r="H30" i="3" s="1"/>
  <c r="N30" i="3" a="1"/>
  <c r="N30" i="3" s="1"/>
  <c r="S23" i="3"/>
  <c r="H42" i="3" s="1"/>
  <c r="I32" i="3" a="1"/>
  <c r="I32" i="3" s="1"/>
  <c r="H31" i="3" a="1"/>
  <c r="H31" i="3" s="1"/>
  <c r="P31" i="3" a="1"/>
  <c r="P31" i="3" s="1"/>
  <c r="K32" i="3" a="1"/>
  <c r="K32" i="3" s="1"/>
  <c r="N33" i="3" a="1"/>
  <c r="N33" i="3" s="1"/>
  <c r="I30" i="3" a="1"/>
  <c r="I30" i="3" s="1"/>
  <c r="O30" i="3" a="1"/>
  <c r="O30" i="3" s="1"/>
  <c r="Q32" i="3" a="1"/>
  <c r="Q32" i="3" s="1"/>
  <c r="J32" i="3" a="1"/>
  <c r="J32" i="3" s="1"/>
  <c r="I31" i="3" a="1"/>
  <c r="I31" i="3" s="1"/>
  <c r="Q31" i="3" a="1"/>
  <c r="Q31" i="3" s="1"/>
  <c r="L32" i="3" a="1"/>
  <c r="L32" i="3" s="1"/>
  <c r="G33" i="3" a="1"/>
  <c r="G33" i="3" s="1"/>
  <c r="O33" i="3" a="1"/>
  <c r="O33" i="3" s="1"/>
  <c r="P30" i="3" a="1"/>
  <c r="P30" i="3" s="1"/>
  <c r="J31" i="3" a="1"/>
  <c r="J31" i="3" s="1"/>
  <c r="R31" i="3" a="1"/>
  <c r="R31" i="3" s="1"/>
  <c r="M32" i="3" a="1"/>
  <c r="M32" i="3" s="1"/>
  <c r="J30" i="3" a="1"/>
  <c r="J30" i="3" s="1"/>
  <c r="Q30" i="3" a="1"/>
  <c r="Q30" i="3" s="1"/>
  <c r="L31" i="3" a="1"/>
  <c r="L31" i="3" s="1"/>
  <c r="R33" i="3" a="1"/>
  <c r="R33" i="3" s="1"/>
  <c r="M31" i="3" a="1"/>
  <c r="M31" i="3" s="1"/>
  <c r="R42" i="1" l="1"/>
  <c r="J42" i="1"/>
  <c r="Q42" i="1"/>
  <c r="I42" i="1"/>
  <c r="P42" i="1"/>
  <c r="H42" i="1"/>
  <c r="G42" i="1"/>
  <c r="O42" i="1"/>
  <c r="N42" i="1"/>
  <c r="M42" i="1"/>
  <c r="L42" i="1"/>
  <c r="K42" i="1"/>
  <c r="N39" i="1"/>
  <c r="J39" i="1"/>
  <c r="M39" i="1"/>
  <c r="R39" i="1"/>
  <c r="L39" i="1"/>
  <c r="Q39" i="1"/>
  <c r="I39" i="1"/>
  <c r="P39" i="1"/>
  <c r="H39" i="1"/>
  <c r="O39" i="1"/>
  <c r="G39" i="1"/>
  <c r="K39" i="1"/>
  <c r="R38" i="1"/>
  <c r="J38" i="1"/>
  <c r="G38" i="1"/>
  <c r="Q38" i="1"/>
  <c r="I38" i="1"/>
  <c r="O38" i="1"/>
  <c r="P38" i="1"/>
  <c r="H38" i="1"/>
  <c r="N38" i="1"/>
  <c r="M38" i="1"/>
  <c r="L38" i="1"/>
  <c r="K38" i="1"/>
  <c r="R40" i="1"/>
  <c r="J40" i="1"/>
  <c r="O40" i="1"/>
  <c r="Q40" i="1"/>
  <c r="I40" i="1"/>
  <c r="P40" i="1"/>
  <c r="H40" i="1"/>
  <c r="M40" i="1"/>
  <c r="L40" i="1"/>
  <c r="K40" i="1"/>
  <c r="G40" i="1"/>
  <c r="N40" i="1"/>
  <c r="N37" i="1"/>
  <c r="S33" i="1" a="1"/>
  <c r="S33" i="1" s="1"/>
  <c r="J37" i="1"/>
  <c r="M37" i="1"/>
  <c r="I37" i="1"/>
  <c r="L37" i="1"/>
  <c r="S31" i="1" a="1"/>
  <c r="S31" i="1" s="1"/>
  <c r="K37" i="1"/>
  <c r="S32" i="1" a="1"/>
  <c r="S32" i="1" s="1"/>
  <c r="R37" i="1"/>
  <c r="Q37" i="1"/>
  <c r="P37" i="1"/>
  <c r="H37" i="1"/>
  <c r="O37" i="1"/>
  <c r="G37" i="1"/>
  <c r="S30" i="1" a="1"/>
  <c r="S30" i="1" s="1"/>
  <c r="N41" i="1"/>
  <c r="M41" i="1"/>
  <c r="K41" i="1"/>
  <c r="L41" i="1"/>
  <c r="R41" i="1"/>
  <c r="J41" i="1"/>
  <c r="Q41" i="1"/>
  <c r="I41" i="1"/>
  <c r="P41" i="1"/>
  <c r="H41" i="1"/>
  <c r="O41" i="1"/>
  <c r="G41" i="1"/>
  <c r="M41" i="3"/>
  <c r="J41" i="3"/>
  <c r="O40" i="3"/>
  <c r="K39" i="3"/>
  <c r="M39" i="3"/>
  <c r="I37" i="3"/>
  <c r="R39" i="3"/>
  <c r="K40" i="3"/>
  <c r="K41" i="3"/>
  <c r="G41" i="3"/>
  <c r="R42" i="3"/>
  <c r="I42" i="3"/>
  <c r="H40" i="3"/>
  <c r="J40" i="3"/>
  <c r="N40" i="3"/>
  <c r="P40" i="3"/>
  <c r="L42" i="3"/>
  <c r="M40" i="3"/>
  <c r="N42" i="3"/>
  <c r="H39" i="3"/>
  <c r="K42" i="3"/>
  <c r="J42" i="3"/>
  <c r="L41" i="3"/>
  <c r="N39" i="3"/>
  <c r="J37" i="3"/>
  <c r="G40" i="3"/>
  <c r="J39" i="3"/>
  <c r="Q39" i="3"/>
  <c r="M42" i="3"/>
  <c r="G42" i="3"/>
  <c r="R41" i="3"/>
  <c r="G39" i="3"/>
  <c r="P41" i="3"/>
  <c r="P42" i="3"/>
  <c r="N37" i="3"/>
  <c r="Q37" i="3"/>
  <c r="L39" i="3"/>
  <c r="P37" i="3"/>
  <c r="I39" i="3"/>
  <c r="O42" i="3"/>
  <c r="P39" i="3"/>
  <c r="Q42" i="3"/>
  <c r="I41" i="3"/>
  <c r="H41" i="3"/>
  <c r="K37" i="3"/>
  <c r="O37" i="3"/>
  <c r="L37" i="3"/>
  <c r="S30" i="3" a="1"/>
  <c r="S30" i="3" s="1"/>
  <c r="S33" i="3" a="1"/>
  <c r="S33" i="3" s="1"/>
  <c r="S31" i="3" a="1"/>
  <c r="S31" i="3" s="1"/>
  <c r="S32" i="3" a="1"/>
  <c r="S32" i="3" s="1"/>
  <c r="S11" i="1" l="1"/>
  <c r="S13" i="1"/>
  <c r="S12" i="1"/>
  <c r="S8" i="1"/>
  <c r="S10" i="1"/>
  <c r="S9" i="1"/>
  <c r="S5" i="1"/>
  <c r="S7" i="1"/>
  <c r="S6" i="1"/>
  <c r="S2" i="1"/>
  <c r="S4" i="1"/>
  <c r="S3" i="1"/>
  <c r="S17" i="1"/>
  <c r="S19" i="1"/>
  <c r="S18" i="1"/>
  <c r="S14" i="1"/>
  <c r="S16" i="1"/>
  <c r="S15" i="1"/>
  <c r="S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<sst xmlns="http://schemas.openxmlformats.org/spreadsheetml/2006/main" count="810" uniqueCount="41">
  <si>
    <t>lang</t>
  </si>
  <si>
    <t>attribute</t>
  </si>
  <si>
    <t>supplement</t>
  </si>
  <si>
    <t>method</t>
  </si>
  <si>
    <t>2g-no-hash</t>
  </si>
  <si>
    <t>3g-no-hash</t>
  </si>
  <si>
    <t>4g-no-hash</t>
  </si>
  <si>
    <t>xsk2g-no-hash</t>
  </si>
  <si>
    <t>xsk3g-no-hash</t>
  </si>
  <si>
    <t>xsk4g-no-hash</t>
  </si>
  <si>
    <t>2g-hash-at-both</t>
  </si>
  <si>
    <t>3g-hash-at-both</t>
  </si>
  <si>
    <t>4g-hash-at-both</t>
  </si>
  <si>
    <t>xsk2g-hash-at-both</t>
  </si>
  <si>
    <t>xsk3g-hash-at-both</t>
  </si>
  <si>
    <t>xsk4g-hash-at-both</t>
  </si>
  <si>
    <t>Czech</t>
  </si>
  <si>
    <t>plurality</t>
  </si>
  <si>
    <t>RF</t>
  </si>
  <si>
    <t>NN</t>
  </si>
  <si>
    <t>DT</t>
  </si>
  <si>
    <t>gender</t>
  </si>
  <si>
    <t>case</t>
  </si>
  <si>
    <t>attribute.index</t>
  </si>
  <si>
    <t>method.index</t>
  </si>
  <si>
    <t>max</t>
  </si>
  <si>
    <t>supplemented</t>
  </si>
  <si>
    <t>metric</t>
  </si>
  <si>
    <t>geomean</t>
  </si>
  <si>
    <t>min</t>
  </si>
  <si>
    <t>stdev</t>
  </si>
  <si>
    <t>max.rank</t>
  </si>
  <si>
    <t>sample</t>
  </si>
  <si>
    <t>ml</t>
  </si>
  <si>
    <t>var</t>
  </si>
  <si>
    <t>sample.n</t>
  </si>
  <si>
    <t>mgv</t>
  </si>
  <si>
    <t>segmentaton</t>
  </si>
  <si>
    <t>Morf</t>
  </si>
  <si>
    <t>xsk</t>
  </si>
  <si>
    <t>skippiness2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</si>
</sst>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8">
    <font>
      <sz val="13"/>
      <color theme="1"/>
      <name val="LucidaSansUnicode"/>
      <family val="2"/>
    </font>
    <font>
      <sz val="13"/>
      <color theme="1"/>
      <name val="LucidaSansUnicode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LucidaSansUnicode"/>
      <family val="2"/>
    </font>
    <font>
      <b/>
      <sz val="13"/>
      <color theme="3"/>
      <name val="LucidaSansUnicode"/>
      <family val="2"/>
    </font>
    <font>
      <b/>
      <sz val="11"/>
      <color theme="3"/>
      <name val="LucidaSansUnicode"/>
      <family val="2"/>
    </font>
    <font>
      <sz val="13"/>
      <color rgb="FF006100"/>
      <name val="LucidaSansUnicode"/>
      <family val="2"/>
    </font>
    <font>
      <sz val="13"/>
      <color rgb="FF9C0006"/>
      <name val="LucidaSansUnicode"/>
      <family val="2"/>
    </font>
    <font>
      <sz val="13"/>
      <color rgb="FF9C5700"/>
      <name val="LucidaSansUnicode"/>
      <family val="2"/>
    </font>
    <font>
      <sz val="13"/>
      <color rgb="FF3F3F76"/>
      <name val="LucidaSansUnicode"/>
      <family val="2"/>
    </font>
    <font>
      <b/>
      <sz val="13"/>
      <color rgb="FF3F3F3F"/>
      <name val="LucidaSansUnicode"/>
      <family val="2"/>
    </font>
    <font>
      <b/>
      <sz val="13"/>
      <color rgb="FFFA7D00"/>
      <name val="LucidaSansUnicode"/>
      <family val="2"/>
    </font>
    <font>
      <sz val="13"/>
      <color rgb="FFFA7D00"/>
      <name val="LucidaSansUnicode"/>
      <family val="2"/>
    </font>
    <font>
      <b/>
      <sz val="13"/>
      <color theme="0"/>
      <name val="LucidaSansUnicode"/>
      <family val="2"/>
    </font>
    <font>
      <sz val="13"/>
      <color rgb="FFFF0000"/>
      <name val="LucidaSansUnicode"/>
      <family val="2"/>
    </font>
    <font>
      <i/>
      <sz val="13"/>
      <color rgb="FF7F7F7F"/>
      <name val="LucidaSansUnicode"/>
      <family val="2"/>
    </font>
    <font>
      <b/>
      <sz val="13"/>
      <color theme="1"/>
      <name val="LucidaSansUnicode"/>
      <family val="2"/>
    </font>
    <font>
      <sz val="13"/>
      <color theme="0"/>
      <name val="LucidaSansUnicode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auto="1"/>
      </patternFill>
    </fill>
    <fill>
      <patternFill patternType="solid">
        <fgColor indexed="65"/>
        <bgColor auto="1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2" fontId="0" fillId="0" borderId="10" xfId="0" applyNumberFormat="1" applyBorder="1"/>
    <xf numFmtId="2" fontId="0" fillId="34" borderId="11" xfId="0" applyNumberFormat="1" applyFill="1" applyBorder="1"/>
    <xf numFmtId="0" fontId="0" fillId="0" borderId="11" xfId="0" applyBorder="1"/>
    <xf numFmtId="2" fontId="0" fillId="0" borderId="11" xfId="0" applyNumberFormat="1" applyBorder="1"/>
    <xf numFmtId="164" fontId="0" fillId="0" borderId="0" xfId="0" applyNumberFormat="1"/>
    <xf numFmtId="0" fontId="0" fillId="0" borderId="0" xfId="0" applyAlignment="1">
      <alignment wrapText="1"/>
    </xf>
    <xf numFmtId="0" fontId="0" fillId="34" borderId="10" xfId="0" applyFill="1" applyBorder="1"/>
    <xf numFmtId="2" fontId="0" fillId="34" borderId="10" xfId="0" applyNumberFormat="1" applyFill="1" applyBorder="1"/>
    <xf numFmtId="0" fontId="0" fillId="0" borderId="10" xfId="0" applyBorder="1"/>
    <xf numFmtId="0" fontId="13" fillId="33" borderId="0" xfId="0" applyFont="1" applyFill="1"/>
    <xf numFmtId="0" fontId="0" fillId="0" borderId="14" xfId="0" applyBorder="1"/>
    <xf numFmtId="2" fontId="0" fillId="0" borderId="0" xfId="0" applyNumberFormat="1"/>
    <xf numFmtId="2" fontId="0" fillId="0" borderId="15" xfId="0" applyNumberFormat="1" applyBorder="1"/>
    <xf numFmtId="0" fontId="0" fillId="0" borderId="12" xfId="0" applyBorder="1"/>
    <xf numFmtId="2" fontId="0" fillId="0" borderId="13" xfId="0" applyNumberFormat="1" applyBorder="1"/>
    <xf numFmtId="2" fontId="13" fillId="33" borderId="0" xfId="0" applyNumberFormat="1" applyFont="1" applyFill="1"/>
    <xf numFmtId="0" fontId="0" fillId="35" borderId="10" xfId="0" applyFill="1" applyBorder="1"/>
    <xf numFmtId="2" fontId="0" fillId="35" borderId="10" xfId="0" applyNumberFormat="1" applyFill="1" applyBorder="1"/>
    <xf numFmtId="0" fontId="0" fillId="36" borderId="10" xfId="0" applyFill="1" applyBorder="1"/>
    <xf numFmtId="2" fontId="0" fillId="36" borderId="10" xfId="0" applyNumberFormat="1" applyFill="1" applyBorder="1"/>
    <xf numFmtId="165" fontId="0" fillId="35" borderId="10" xfId="0" applyNumberFormat="1" applyFill="1" applyBorder="1"/>
    <xf numFmtId="165" fontId="0" fillId="36" borderId="10" xfId="0" applyNumberFormat="1" applyFill="1" applyBorder="1"/>
    <xf numFmtId="165" fontId="0" fillId="34" borderId="10" xfId="0" applyNumberFormat="1" applyFill="1" applyBorder="1"/>
    <xf numFmtId="165" fontId="0" fillId="0" borderId="10" xfId="0" applyNumberFormat="1" applyBorder="1"/>
    <xf numFmtId="2" fontId="0" fillId="35" borderId="0" xfId="0" applyNumberFormat="1" applyFill="1"/>
    <xf numFmtId="2" fontId="0" fillId="36" borderId="0" xfId="0" applyNumberFormat="1" applyFill="1"/>
    <xf numFmtId="2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3"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alignment horizontal="general" vertical="bottom" textRotation="0" wrapText="1" indent="0" justifyLastLine="0" shrinkToFit="0" readingOrder="0"/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</dxf>
    <dxf>
      <numFmt numFmtId="0" formatCode="General"/>
    </dxf>
    <dxf>
      <numFmt numFmtId="165" formatCode="0.0"/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</dxf>
    <dxf>
      <numFmt numFmtId="2" formatCode="0.00"/>
    </dxf>
    <dxf>
      <numFmt numFmtId="0" formatCode="General"/>
    </dxf>
    <dxf>
      <numFmt numFmtId="165" formatCode="0.0"/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LucidaSansUnicode"/>
        <family val="2"/>
        <scheme val="none"/>
      </font>
      <numFmt numFmtId="2" formatCode="0.00"/>
      <fill>
        <patternFill patternType="solid">
          <fgColor theme="4"/>
          <bgColor theme="4"/>
        </patternFill>
      </fill>
    </dxf>
    <dxf>
      <numFmt numFmtId="2" formatCode="0.00"/>
    </dxf>
    <dxf>
      <numFmt numFmtId="0" formatCode="General"/>
    </dxf>
    <dxf>
      <numFmt numFmtId="165" formatCode="0.0"/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</dxf>
    <dxf>
      <numFmt numFmtId="2" formatCode="0.00"/>
    </dxf>
    <dxf>
      <numFmt numFmtId="0" formatCode="General"/>
    </dxf>
    <dxf>
      <numFmt numFmtId="165" formatCode="0.0"/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LucidaSansUnicode"/>
        <family val="2"/>
        <scheme val="none"/>
      </font>
      <numFmt numFmtId="2" formatCode="0.00"/>
      <fill>
        <patternFill patternType="solid">
          <fgColor theme="4"/>
          <bgColor theme="4"/>
        </patternFill>
      </fill>
    </dxf>
    <dxf>
      <numFmt numFmtId="2" formatCode="0.00"/>
    </dxf>
    <dxf>
      <numFmt numFmtId="0" formatCode="General"/>
    </dxf>
    <dxf>
      <numFmt numFmtId="165" formatCode="0.0"/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LucidaSansUnicode"/>
        <family val="2"/>
        <scheme val="none"/>
      </font>
      <numFmt numFmtId="2" formatCode="0.00"/>
    </dxf>
    <dxf>
      <numFmt numFmtId="2" formatCode="0.00"/>
      <fill>
        <patternFill>
          <fgColor auto="1"/>
        </patternFill>
      </fill>
    </dxf>
    <dxf>
      <fill>
        <patternFill>
          <fgColor auto="1"/>
        </patternFill>
      </fill>
    </dxf>
    <dxf>
      <fill>
        <patternFill>
          <fgColor auto="1"/>
        </patternFill>
      </fill>
    </dxf>
    <dxf>
      <fill>
        <patternFill>
          <fgColor auto="1"/>
        </patternFill>
      </fill>
    </dxf>
    <dxf>
      <fill>
        <patternFill>
          <fgColor auto="1"/>
        </patternFill>
      </fill>
    </dxf>
    <dxf>
      <fill>
        <patternFill>
          <fgColor auto="1"/>
        </patternFill>
      </fill>
    </dxf>
    <dxf>
      <fill>
        <patternFill>
          <fgColor auto="1"/>
        </patternFill>
      </fill>
    </dxf>
    <dxf>
      <fill>
        <patternFill>
          <fgColor auto="1"/>
        </patternFill>
      </fill>
    </dxf>
    <dxf>
      <fill>
        <patternFill>
          <fgColor auto="1"/>
        </patternFill>
      </fill>
    </dxf>
    <dxf>
      <fill>
        <patternFill>
          <fgColor auto="1"/>
        </patternFill>
      </fill>
    </dxf>
    <dxf>
      <fill>
        <patternFill>
          <fgColor auto="1"/>
        </patternFill>
      </fill>
    </dxf>
    <dxf>
      <fill>
        <patternFill>
          <fgColor auto="1"/>
        </patternFill>
      </fill>
    </dxf>
    <dxf>
      <fill>
        <patternFill>
          <fgColor auto="1"/>
        </patternFill>
      </fill>
    </dxf>
    <dxf>
      <numFmt numFmtId="0" formatCode="General"/>
    </dxf>
    <dxf>
      <fill>
        <patternFill>
          <fgColor auto="1"/>
        </patternFill>
      </fill>
    </dxf>
    <dxf>
      <numFmt numFmtId="165" formatCode="0.0"/>
      <fill>
        <patternFill>
          <fgColor auto="1"/>
        </patternFill>
      </fill>
    </dxf>
    <dxf>
      <fill>
        <patternFill>
          <fgColor auto="1"/>
        </patternFill>
      </fill>
    </dxf>
    <dxf>
      <fill>
        <patternFill>
          <fgColor auto="1"/>
        </patternFill>
      </fill>
    </dxf>
    <dxf>
      <fill>
        <patternFill>
          <fgColor auto="1"/>
        </patternFill>
      </fill>
    </dxf>
    <dxf>
      <fill>
        <patternFill>
          <fgColor auto="1"/>
        </patternFill>
      </fill>
    </dxf>
    <dxf>
      <fill>
        <patternFill>
          <fgColor auto="1"/>
        </patternFill>
      </fill>
    </dxf>
    <dxf>
      <fill>
        <patternFill>
          <fgColor auto="1"/>
        </patternFill>
      </fill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>
          <f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LucidaSansUnicode"/>
        <family val="2"/>
        <scheme val="none"/>
      </font>
      <fill>
        <patternFill patternType="solid">
          <fgColor theme="4"/>
          <bgColor theme="4"/>
        </patternFill>
      </fill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Czech</a:t>
            </a:r>
            <a:r>
              <a:rPr lang="ja-JP" altLang="en-US"/>
              <a:t> </a:t>
            </a:r>
            <a:r>
              <a:rPr lang="en-US" altLang="ja-JP"/>
              <a:t>Morfessor</a:t>
            </a:r>
            <a:r>
              <a:rPr lang="ja-JP" altLang="en-US" baseline="0"/>
              <a:t> </a:t>
            </a:r>
            <a:r>
              <a:rPr lang="en-US" altLang="ja-JP" baseline="0"/>
              <a:t>xsk-based</a:t>
            </a:r>
            <a:r>
              <a:rPr lang="ja-JP" altLang="en-US" baseline="0"/>
              <a:t> </a:t>
            </a:r>
            <a:r>
              <a:rPr lang="en-US" altLang="ja-JP" baseline="0"/>
              <a:t>max</a:t>
            </a:r>
            <a:r>
              <a:rPr lang="ja-JP" altLang="en-US" baseline="0"/>
              <a:t> </a:t>
            </a:r>
            <a:r>
              <a:rPr lang="en-US" altLang="ja-JP" baseline="0"/>
              <a:t>accuracy</a:t>
            </a:r>
            <a:r>
              <a:rPr lang="ja-JP" altLang="en-US" baseline="0"/>
              <a:t> </a:t>
            </a:r>
            <a:r>
              <a:rPr lang="en-US" altLang="ja-JP" baseline="0"/>
              <a:t>distributions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summarized!$L$1</c:f>
              <c:strCache>
                <c:ptCount val="1"/>
                <c:pt idx="0">
                  <c:v>2g-no-hash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summarized!$K$2:$K$25</c:f>
              <c:strCache>
                <c:ptCount val="24"/>
                <c:pt idx="0">
                  <c:v>plu-ml:2-suppl:F-mgv:9-sn:1.2k</c:v>
                </c:pt>
                <c:pt idx="1">
                  <c:v>plu-ml:2-suppl:T-mgv:9-sn:1.2k</c:v>
                </c:pt>
                <c:pt idx="2">
                  <c:v>gen-ml:2-suppl:F-mgv:9-sn:1.2k</c:v>
                </c:pt>
                <c:pt idx="3">
                  <c:v>gen-ml:2-suppl:T-mgv:9-sn:1.2k</c:v>
                </c:pt>
                <c:pt idx="4">
                  <c:v>cas-ml:2-suppl:F-mgv:9-sn:1.2k</c:v>
                </c:pt>
                <c:pt idx="5">
                  <c:v>cas-ml:2-suppl:T-mgv:9-sn:1.2k</c:v>
                </c:pt>
                <c:pt idx="6">
                  <c:v>plu-ml:2-suppl:F-mgv:9-sn:2k</c:v>
                </c:pt>
                <c:pt idx="7">
                  <c:v>plu-ml:2-suppl:T-mgv:9-sn:2k</c:v>
                </c:pt>
                <c:pt idx="8">
                  <c:v>gen-ml:2-suppl:F-mgv:9-sn:2k</c:v>
                </c:pt>
                <c:pt idx="9">
                  <c:v>gen-ml:2-suppl:T-mgv:9-sn:2k</c:v>
                </c:pt>
                <c:pt idx="10">
                  <c:v>cas-ml:2-suppl:F-mgv:9-sn:2k</c:v>
                </c:pt>
                <c:pt idx="11">
                  <c:v>cas-ml:2-suppl:T-mgv:9-sn:2k</c:v>
                </c:pt>
                <c:pt idx="12">
                  <c:v>plu-ml:3-suppl:F-mgv:9-sn:1.2k</c:v>
                </c:pt>
                <c:pt idx="13">
                  <c:v>plu-ml:3-suppl:T-mgv:9-sn:1.2k</c:v>
                </c:pt>
                <c:pt idx="14">
                  <c:v>gen-ml:3-suppl:F-mgv:9-sn:1.2k</c:v>
                </c:pt>
                <c:pt idx="15">
                  <c:v>gen-ml:3-suppl:T-mgv:9-sn:1.2k</c:v>
                </c:pt>
                <c:pt idx="16">
                  <c:v>cas-ml:3-suppl:F-mgv:9-sn:1.2k</c:v>
                </c:pt>
                <c:pt idx="17">
                  <c:v>cas-ml:3-suppl:T-mgv:9-sn:1.2k</c:v>
                </c:pt>
                <c:pt idx="18">
                  <c:v>plu-ml:3-suppl:F-mgv:9-sn:2k</c:v>
                </c:pt>
                <c:pt idx="19">
                  <c:v>plu-ml:3-suppl:T-mgv:9-sn:2k</c:v>
                </c:pt>
                <c:pt idx="20">
                  <c:v>gen-ml:3-suppl:F-mgv:9-sn:2k</c:v>
                </c:pt>
                <c:pt idx="21">
                  <c:v>gen-ml:3-suppl:T-mgv:9-sn:2k</c:v>
                </c:pt>
                <c:pt idx="22">
                  <c:v>cas-ml:3-suppl:F-mgv:9-sn:2k</c:v>
                </c:pt>
                <c:pt idx="23">
                  <c:v>cas-ml:3-suppl:T-mgv:9-sn:2k</c:v>
                </c:pt>
              </c:strCache>
            </c:strRef>
          </c:cat>
          <c:val>
            <c:numRef>
              <c:f>summarized!$L$2:$L$25</c:f>
              <c:numCache>
                <c:formatCode>0.00</c:formatCode>
                <c:ptCount val="24"/>
                <c:pt idx="0">
                  <c:v>0.82</c:v>
                </c:pt>
                <c:pt idx="1">
                  <c:v>0.87</c:v>
                </c:pt>
                <c:pt idx="2">
                  <c:v>0.56000000000000005</c:v>
                </c:pt>
                <c:pt idx="3">
                  <c:v>0.62</c:v>
                </c:pt>
                <c:pt idx="4">
                  <c:v>0.47</c:v>
                </c:pt>
                <c:pt idx="5">
                  <c:v>0.59</c:v>
                </c:pt>
                <c:pt idx="6">
                  <c:v>0.86</c:v>
                </c:pt>
                <c:pt idx="7">
                  <c:v>0.94</c:v>
                </c:pt>
                <c:pt idx="8">
                  <c:v>0.69</c:v>
                </c:pt>
                <c:pt idx="9">
                  <c:v>0.67</c:v>
                </c:pt>
                <c:pt idx="10">
                  <c:v>0.42</c:v>
                </c:pt>
                <c:pt idx="11">
                  <c:v>0.55000000000000004</c:v>
                </c:pt>
                <c:pt idx="12">
                  <c:v>0.88</c:v>
                </c:pt>
                <c:pt idx="13">
                  <c:v>0.91</c:v>
                </c:pt>
                <c:pt idx="14">
                  <c:v>0.53</c:v>
                </c:pt>
                <c:pt idx="15">
                  <c:v>0.55000000000000004</c:v>
                </c:pt>
                <c:pt idx="16">
                  <c:v>0.36</c:v>
                </c:pt>
                <c:pt idx="17">
                  <c:v>0.45</c:v>
                </c:pt>
                <c:pt idx="18">
                  <c:v>0.86</c:v>
                </c:pt>
                <c:pt idx="19">
                  <c:v>0.94</c:v>
                </c:pt>
                <c:pt idx="20">
                  <c:v>0.69</c:v>
                </c:pt>
                <c:pt idx="21">
                  <c:v>0.67</c:v>
                </c:pt>
                <c:pt idx="22">
                  <c:v>0.42</c:v>
                </c:pt>
                <c:pt idx="23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E5-AE4F-B3D9-CDE2ABAECFD7}"/>
            </c:ext>
          </c:extLst>
        </c:ser>
        <c:ser>
          <c:idx val="1"/>
          <c:order val="1"/>
          <c:tx>
            <c:strRef>
              <c:f>summarized!$M$1</c:f>
              <c:strCache>
                <c:ptCount val="1"/>
                <c:pt idx="0">
                  <c:v>3g-no-hash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summarized!$K$2:$K$25</c:f>
              <c:strCache>
                <c:ptCount val="24"/>
                <c:pt idx="0">
                  <c:v>plu-ml:2-suppl:F-mgv:9-sn:1.2k</c:v>
                </c:pt>
                <c:pt idx="1">
                  <c:v>plu-ml:2-suppl:T-mgv:9-sn:1.2k</c:v>
                </c:pt>
                <c:pt idx="2">
                  <c:v>gen-ml:2-suppl:F-mgv:9-sn:1.2k</c:v>
                </c:pt>
                <c:pt idx="3">
                  <c:v>gen-ml:2-suppl:T-mgv:9-sn:1.2k</c:v>
                </c:pt>
                <c:pt idx="4">
                  <c:v>cas-ml:2-suppl:F-mgv:9-sn:1.2k</c:v>
                </c:pt>
                <c:pt idx="5">
                  <c:v>cas-ml:2-suppl:T-mgv:9-sn:1.2k</c:v>
                </c:pt>
                <c:pt idx="6">
                  <c:v>plu-ml:2-suppl:F-mgv:9-sn:2k</c:v>
                </c:pt>
                <c:pt idx="7">
                  <c:v>plu-ml:2-suppl:T-mgv:9-sn:2k</c:v>
                </c:pt>
                <c:pt idx="8">
                  <c:v>gen-ml:2-suppl:F-mgv:9-sn:2k</c:v>
                </c:pt>
                <c:pt idx="9">
                  <c:v>gen-ml:2-suppl:T-mgv:9-sn:2k</c:v>
                </c:pt>
                <c:pt idx="10">
                  <c:v>cas-ml:2-suppl:F-mgv:9-sn:2k</c:v>
                </c:pt>
                <c:pt idx="11">
                  <c:v>cas-ml:2-suppl:T-mgv:9-sn:2k</c:v>
                </c:pt>
                <c:pt idx="12">
                  <c:v>plu-ml:3-suppl:F-mgv:9-sn:1.2k</c:v>
                </c:pt>
                <c:pt idx="13">
                  <c:v>plu-ml:3-suppl:T-mgv:9-sn:1.2k</c:v>
                </c:pt>
                <c:pt idx="14">
                  <c:v>gen-ml:3-suppl:F-mgv:9-sn:1.2k</c:v>
                </c:pt>
                <c:pt idx="15">
                  <c:v>gen-ml:3-suppl:T-mgv:9-sn:1.2k</c:v>
                </c:pt>
                <c:pt idx="16">
                  <c:v>cas-ml:3-suppl:F-mgv:9-sn:1.2k</c:v>
                </c:pt>
                <c:pt idx="17">
                  <c:v>cas-ml:3-suppl:T-mgv:9-sn:1.2k</c:v>
                </c:pt>
                <c:pt idx="18">
                  <c:v>plu-ml:3-suppl:F-mgv:9-sn:2k</c:v>
                </c:pt>
                <c:pt idx="19">
                  <c:v>plu-ml:3-suppl:T-mgv:9-sn:2k</c:v>
                </c:pt>
                <c:pt idx="20">
                  <c:v>gen-ml:3-suppl:F-mgv:9-sn:2k</c:v>
                </c:pt>
                <c:pt idx="21">
                  <c:v>gen-ml:3-suppl:T-mgv:9-sn:2k</c:v>
                </c:pt>
                <c:pt idx="22">
                  <c:v>cas-ml:3-suppl:F-mgv:9-sn:2k</c:v>
                </c:pt>
                <c:pt idx="23">
                  <c:v>cas-ml:3-suppl:T-mgv:9-sn:2k</c:v>
                </c:pt>
              </c:strCache>
            </c:strRef>
          </c:cat>
          <c:val>
            <c:numRef>
              <c:f>summarized!$M$2:$M$25</c:f>
              <c:numCache>
                <c:formatCode>0.00</c:formatCode>
                <c:ptCount val="24"/>
                <c:pt idx="0">
                  <c:v>0.79</c:v>
                </c:pt>
                <c:pt idx="1">
                  <c:v>0.83</c:v>
                </c:pt>
                <c:pt idx="2">
                  <c:v>0.56999999999999995</c:v>
                </c:pt>
                <c:pt idx="3">
                  <c:v>0.56999999999999995</c:v>
                </c:pt>
                <c:pt idx="4">
                  <c:v>0.37</c:v>
                </c:pt>
                <c:pt idx="5">
                  <c:v>0.38</c:v>
                </c:pt>
                <c:pt idx="6">
                  <c:v>0.8</c:v>
                </c:pt>
                <c:pt idx="7">
                  <c:v>0.86</c:v>
                </c:pt>
                <c:pt idx="8">
                  <c:v>0.69</c:v>
                </c:pt>
                <c:pt idx="9">
                  <c:v>0.69</c:v>
                </c:pt>
                <c:pt idx="10">
                  <c:v>0.5</c:v>
                </c:pt>
                <c:pt idx="11">
                  <c:v>0.6</c:v>
                </c:pt>
                <c:pt idx="12">
                  <c:v>0.78</c:v>
                </c:pt>
                <c:pt idx="13">
                  <c:v>0.88</c:v>
                </c:pt>
                <c:pt idx="14">
                  <c:v>0.56000000000000005</c:v>
                </c:pt>
                <c:pt idx="15">
                  <c:v>0.57999999999999996</c:v>
                </c:pt>
                <c:pt idx="16">
                  <c:v>0.42</c:v>
                </c:pt>
                <c:pt idx="17">
                  <c:v>0.54</c:v>
                </c:pt>
                <c:pt idx="18">
                  <c:v>0.8</c:v>
                </c:pt>
                <c:pt idx="19">
                  <c:v>0.86</c:v>
                </c:pt>
                <c:pt idx="20">
                  <c:v>0.69</c:v>
                </c:pt>
                <c:pt idx="21">
                  <c:v>0.69</c:v>
                </c:pt>
                <c:pt idx="22">
                  <c:v>0.5</c:v>
                </c:pt>
                <c:pt idx="23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E5-AE4F-B3D9-CDE2ABAECFD7}"/>
            </c:ext>
          </c:extLst>
        </c:ser>
        <c:ser>
          <c:idx val="2"/>
          <c:order val="2"/>
          <c:tx>
            <c:strRef>
              <c:f>summarized!$N$1</c:f>
              <c:strCache>
                <c:ptCount val="1"/>
                <c:pt idx="0">
                  <c:v>4g-no-hash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summarized!$K$2:$K$25</c:f>
              <c:strCache>
                <c:ptCount val="24"/>
                <c:pt idx="0">
                  <c:v>plu-ml:2-suppl:F-mgv:9-sn:1.2k</c:v>
                </c:pt>
                <c:pt idx="1">
                  <c:v>plu-ml:2-suppl:T-mgv:9-sn:1.2k</c:v>
                </c:pt>
                <c:pt idx="2">
                  <c:v>gen-ml:2-suppl:F-mgv:9-sn:1.2k</c:v>
                </c:pt>
                <c:pt idx="3">
                  <c:v>gen-ml:2-suppl:T-mgv:9-sn:1.2k</c:v>
                </c:pt>
                <c:pt idx="4">
                  <c:v>cas-ml:2-suppl:F-mgv:9-sn:1.2k</c:v>
                </c:pt>
                <c:pt idx="5">
                  <c:v>cas-ml:2-suppl:T-mgv:9-sn:1.2k</c:v>
                </c:pt>
                <c:pt idx="6">
                  <c:v>plu-ml:2-suppl:F-mgv:9-sn:2k</c:v>
                </c:pt>
                <c:pt idx="7">
                  <c:v>plu-ml:2-suppl:T-mgv:9-sn:2k</c:v>
                </c:pt>
                <c:pt idx="8">
                  <c:v>gen-ml:2-suppl:F-mgv:9-sn:2k</c:v>
                </c:pt>
                <c:pt idx="9">
                  <c:v>gen-ml:2-suppl:T-mgv:9-sn:2k</c:v>
                </c:pt>
                <c:pt idx="10">
                  <c:v>cas-ml:2-suppl:F-mgv:9-sn:2k</c:v>
                </c:pt>
                <c:pt idx="11">
                  <c:v>cas-ml:2-suppl:T-mgv:9-sn:2k</c:v>
                </c:pt>
                <c:pt idx="12">
                  <c:v>plu-ml:3-suppl:F-mgv:9-sn:1.2k</c:v>
                </c:pt>
                <c:pt idx="13">
                  <c:v>plu-ml:3-suppl:T-mgv:9-sn:1.2k</c:v>
                </c:pt>
                <c:pt idx="14">
                  <c:v>gen-ml:3-suppl:F-mgv:9-sn:1.2k</c:v>
                </c:pt>
                <c:pt idx="15">
                  <c:v>gen-ml:3-suppl:T-mgv:9-sn:1.2k</c:v>
                </c:pt>
                <c:pt idx="16">
                  <c:v>cas-ml:3-suppl:F-mgv:9-sn:1.2k</c:v>
                </c:pt>
                <c:pt idx="17">
                  <c:v>cas-ml:3-suppl:T-mgv:9-sn:1.2k</c:v>
                </c:pt>
                <c:pt idx="18">
                  <c:v>plu-ml:3-suppl:F-mgv:9-sn:2k</c:v>
                </c:pt>
                <c:pt idx="19">
                  <c:v>plu-ml:3-suppl:T-mgv:9-sn:2k</c:v>
                </c:pt>
                <c:pt idx="20">
                  <c:v>gen-ml:3-suppl:F-mgv:9-sn:2k</c:v>
                </c:pt>
                <c:pt idx="21">
                  <c:v>gen-ml:3-suppl:T-mgv:9-sn:2k</c:v>
                </c:pt>
                <c:pt idx="22">
                  <c:v>cas-ml:3-suppl:F-mgv:9-sn:2k</c:v>
                </c:pt>
                <c:pt idx="23">
                  <c:v>cas-ml:3-suppl:T-mgv:9-sn:2k</c:v>
                </c:pt>
              </c:strCache>
            </c:strRef>
          </c:cat>
          <c:val>
            <c:numRef>
              <c:f>summarized!$N$2:$N$25</c:f>
              <c:numCache>
                <c:formatCode>0.00</c:formatCode>
                <c:ptCount val="24"/>
                <c:pt idx="0">
                  <c:v>0.83</c:v>
                </c:pt>
                <c:pt idx="1">
                  <c:v>0.86</c:v>
                </c:pt>
                <c:pt idx="2">
                  <c:v>0.65</c:v>
                </c:pt>
                <c:pt idx="3">
                  <c:v>0.62</c:v>
                </c:pt>
                <c:pt idx="4">
                  <c:v>0.45</c:v>
                </c:pt>
                <c:pt idx="5">
                  <c:v>0.51</c:v>
                </c:pt>
                <c:pt idx="6">
                  <c:v>0.82</c:v>
                </c:pt>
                <c:pt idx="7">
                  <c:v>0.91</c:v>
                </c:pt>
                <c:pt idx="8">
                  <c:v>0.6</c:v>
                </c:pt>
                <c:pt idx="9">
                  <c:v>0.65</c:v>
                </c:pt>
                <c:pt idx="10">
                  <c:v>0.45</c:v>
                </c:pt>
                <c:pt idx="11">
                  <c:v>0.55000000000000004</c:v>
                </c:pt>
                <c:pt idx="12">
                  <c:v>0.82</c:v>
                </c:pt>
                <c:pt idx="13">
                  <c:v>0.87</c:v>
                </c:pt>
                <c:pt idx="14">
                  <c:v>0.62</c:v>
                </c:pt>
                <c:pt idx="15">
                  <c:v>0.68</c:v>
                </c:pt>
                <c:pt idx="16">
                  <c:v>0.47</c:v>
                </c:pt>
                <c:pt idx="17">
                  <c:v>0.62</c:v>
                </c:pt>
                <c:pt idx="18">
                  <c:v>0.82</c:v>
                </c:pt>
                <c:pt idx="19">
                  <c:v>0.91</c:v>
                </c:pt>
                <c:pt idx="20">
                  <c:v>0.6</c:v>
                </c:pt>
                <c:pt idx="21">
                  <c:v>0.65</c:v>
                </c:pt>
                <c:pt idx="22">
                  <c:v>0.45</c:v>
                </c:pt>
                <c:pt idx="23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E5-AE4F-B3D9-CDE2ABAECFD7}"/>
            </c:ext>
          </c:extLst>
        </c:ser>
        <c:ser>
          <c:idx val="3"/>
          <c:order val="3"/>
          <c:tx>
            <c:strRef>
              <c:f>summarized!$O$1</c:f>
              <c:strCache>
                <c:ptCount val="1"/>
                <c:pt idx="0">
                  <c:v>xsk2g-no-hash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summarized!$K$2:$K$25</c:f>
              <c:strCache>
                <c:ptCount val="24"/>
                <c:pt idx="0">
                  <c:v>plu-ml:2-suppl:F-mgv:9-sn:1.2k</c:v>
                </c:pt>
                <c:pt idx="1">
                  <c:v>plu-ml:2-suppl:T-mgv:9-sn:1.2k</c:v>
                </c:pt>
                <c:pt idx="2">
                  <c:v>gen-ml:2-suppl:F-mgv:9-sn:1.2k</c:v>
                </c:pt>
                <c:pt idx="3">
                  <c:v>gen-ml:2-suppl:T-mgv:9-sn:1.2k</c:v>
                </c:pt>
                <c:pt idx="4">
                  <c:v>cas-ml:2-suppl:F-mgv:9-sn:1.2k</c:v>
                </c:pt>
                <c:pt idx="5">
                  <c:v>cas-ml:2-suppl:T-mgv:9-sn:1.2k</c:v>
                </c:pt>
                <c:pt idx="6">
                  <c:v>plu-ml:2-suppl:F-mgv:9-sn:2k</c:v>
                </c:pt>
                <c:pt idx="7">
                  <c:v>plu-ml:2-suppl:T-mgv:9-sn:2k</c:v>
                </c:pt>
                <c:pt idx="8">
                  <c:v>gen-ml:2-suppl:F-mgv:9-sn:2k</c:v>
                </c:pt>
                <c:pt idx="9">
                  <c:v>gen-ml:2-suppl:T-mgv:9-sn:2k</c:v>
                </c:pt>
                <c:pt idx="10">
                  <c:v>cas-ml:2-suppl:F-mgv:9-sn:2k</c:v>
                </c:pt>
                <c:pt idx="11">
                  <c:v>cas-ml:2-suppl:T-mgv:9-sn:2k</c:v>
                </c:pt>
                <c:pt idx="12">
                  <c:v>plu-ml:3-suppl:F-mgv:9-sn:1.2k</c:v>
                </c:pt>
                <c:pt idx="13">
                  <c:v>plu-ml:3-suppl:T-mgv:9-sn:1.2k</c:v>
                </c:pt>
                <c:pt idx="14">
                  <c:v>gen-ml:3-suppl:F-mgv:9-sn:1.2k</c:v>
                </c:pt>
                <c:pt idx="15">
                  <c:v>gen-ml:3-suppl:T-mgv:9-sn:1.2k</c:v>
                </c:pt>
                <c:pt idx="16">
                  <c:v>cas-ml:3-suppl:F-mgv:9-sn:1.2k</c:v>
                </c:pt>
                <c:pt idx="17">
                  <c:v>cas-ml:3-suppl:T-mgv:9-sn:1.2k</c:v>
                </c:pt>
                <c:pt idx="18">
                  <c:v>plu-ml:3-suppl:F-mgv:9-sn:2k</c:v>
                </c:pt>
                <c:pt idx="19">
                  <c:v>plu-ml:3-suppl:T-mgv:9-sn:2k</c:v>
                </c:pt>
                <c:pt idx="20">
                  <c:v>gen-ml:3-suppl:F-mgv:9-sn:2k</c:v>
                </c:pt>
                <c:pt idx="21">
                  <c:v>gen-ml:3-suppl:T-mgv:9-sn:2k</c:v>
                </c:pt>
                <c:pt idx="22">
                  <c:v>cas-ml:3-suppl:F-mgv:9-sn:2k</c:v>
                </c:pt>
                <c:pt idx="23">
                  <c:v>cas-ml:3-suppl:T-mgv:9-sn:2k</c:v>
                </c:pt>
              </c:strCache>
            </c:strRef>
          </c:cat>
          <c:val>
            <c:numRef>
              <c:f>summarized!$O$2:$O$25</c:f>
              <c:numCache>
                <c:formatCode>0.00</c:formatCode>
                <c:ptCount val="24"/>
                <c:pt idx="0">
                  <c:v>0.85</c:v>
                </c:pt>
                <c:pt idx="1">
                  <c:v>0.86</c:v>
                </c:pt>
                <c:pt idx="2">
                  <c:v>0.62</c:v>
                </c:pt>
                <c:pt idx="3">
                  <c:v>0.62</c:v>
                </c:pt>
                <c:pt idx="4">
                  <c:v>0.43</c:v>
                </c:pt>
                <c:pt idx="5">
                  <c:v>0.47</c:v>
                </c:pt>
                <c:pt idx="6">
                  <c:v>0.88</c:v>
                </c:pt>
                <c:pt idx="7">
                  <c:v>0.88</c:v>
                </c:pt>
                <c:pt idx="8">
                  <c:v>0.65</c:v>
                </c:pt>
                <c:pt idx="9">
                  <c:v>0.67</c:v>
                </c:pt>
                <c:pt idx="10">
                  <c:v>0.46</c:v>
                </c:pt>
                <c:pt idx="11">
                  <c:v>0.52</c:v>
                </c:pt>
                <c:pt idx="12">
                  <c:v>0.85</c:v>
                </c:pt>
                <c:pt idx="13">
                  <c:v>0.88</c:v>
                </c:pt>
                <c:pt idx="14">
                  <c:v>0.61</c:v>
                </c:pt>
                <c:pt idx="15">
                  <c:v>0.63</c:v>
                </c:pt>
                <c:pt idx="16">
                  <c:v>0.39</c:v>
                </c:pt>
                <c:pt idx="17">
                  <c:v>0.49</c:v>
                </c:pt>
                <c:pt idx="18">
                  <c:v>0.88</c:v>
                </c:pt>
                <c:pt idx="19">
                  <c:v>0.88</c:v>
                </c:pt>
                <c:pt idx="20">
                  <c:v>0.65</c:v>
                </c:pt>
                <c:pt idx="21">
                  <c:v>0.67</c:v>
                </c:pt>
                <c:pt idx="22">
                  <c:v>0.46</c:v>
                </c:pt>
                <c:pt idx="23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4E5-AE4F-B3D9-CDE2ABAECFD7}"/>
            </c:ext>
          </c:extLst>
        </c:ser>
        <c:ser>
          <c:idx val="4"/>
          <c:order val="4"/>
          <c:tx>
            <c:strRef>
              <c:f>summarized!$P$1</c:f>
              <c:strCache>
                <c:ptCount val="1"/>
                <c:pt idx="0">
                  <c:v>xsk3g-no-hash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summarized!$K$2:$K$25</c:f>
              <c:strCache>
                <c:ptCount val="24"/>
                <c:pt idx="0">
                  <c:v>plu-ml:2-suppl:F-mgv:9-sn:1.2k</c:v>
                </c:pt>
                <c:pt idx="1">
                  <c:v>plu-ml:2-suppl:T-mgv:9-sn:1.2k</c:v>
                </c:pt>
                <c:pt idx="2">
                  <c:v>gen-ml:2-suppl:F-mgv:9-sn:1.2k</c:v>
                </c:pt>
                <c:pt idx="3">
                  <c:v>gen-ml:2-suppl:T-mgv:9-sn:1.2k</c:v>
                </c:pt>
                <c:pt idx="4">
                  <c:v>cas-ml:2-suppl:F-mgv:9-sn:1.2k</c:v>
                </c:pt>
                <c:pt idx="5">
                  <c:v>cas-ml:2-suppl:T-mgv:9-sn:1.2k</c:v>
                </c:pt>
                <c:pt idx="6">
                  <c:v>plu-ml:2-suppl:F-mgv:9-sn:2k</c:v>
                </c:pt>
                <c:pt idx="7">
                  <c:v>plu-ml:2-suppl:T-mgv:9-sn:2k</c:v>
                </c:pt>
                <c:pt idx="8">
                  <c:v>gen-ml:2-suppl:F-mgv:9-sn:2k</c:v>
                </c:pt>
                <c:pt idx="9">
                  <c:v>gen-ml:2-suppl:T-mgv:9-sn:2k</c:v>
                </c:pt>
                <c:pt idx="10">
                  <c:v>cas-ml:2-suppl:F-mgv:9-sn:2k</c:v>
                </c:pt>
                <c:pt idx="11">
                  <c:v>cas-ml:2-suppl:T-mgv:9-sn:2k</c:v>
                </c:pt>
                <c:pt idx="12">
                  <c:v>plu-ml:3-suppl:F-mgv:9-sn:1.2k</c:v>
                </c:pt>
                <c:pt idx="13">
                  <c:v>plu-ml:3-suppl:T-mgv:9-sn:1.2k</c:v>
                </c:pt>
                <c:pt idx="14">
                  <c:v>gen-ml:3-suppl:F-mgv:9-sn:1.2k</c:v>
                </c:pt>
                <c:pt idx="15">
                  <c:v>gen-ml:3-suppl:T-mgv:9-sn:1.2k</c:v>
                </c:pt>
                <c:pt idx="16">
                  <c:v>cas-ml:3-suppl:F-mgv:9-sn:1.2k</c:v>
                </c:pt>
                <c:pt idx="17">
                  <c:v>cas-ml:3-suppl:T-mgv:9-sn:1.2k</c:v>
                </c:pt>
                <c:pt idx="18">
                  <c:v>plu-ml:3-suppl:F-mgv:9-sn:2k</c:v>
                </c:pt>
                <c:pt idx="19">
                  <c:v>plu-ml:3-suppl:T-mgv:9-sn:2k</c:v>
                </c:pt>
                <c:pt idx="20">
                  <c:v>gen-ml:3-suppl:F-mgv:9-sn:2k</c:v>
                </c:pt>
                <c:pt idx="21">
                  <c:v>gen-ml:3-suppl:T-mgv:9-sn:2k</c:v>
                </c:pt>
                <c:pt idx="22">
                  <c:v>cas-ml:3-suppl:F-mgv:9-sn:2k</c:v>
                </c:pt>
                <c:pt idx="23">
                  <c:v>cas-ml:3-suppl:T-mgv:9-sn:2k</c:v>
                </c:pt>
              </c:strCache>
            </c:strRef>
          </c:cat>
          <c:val>
            <c:numRef>
              <c:f>summarized!$P$2:$P$25</c:f>
              <c:numCache>
                <c:formatCode>0.00</c:formatCode>
                <c:ptCount val="24"/>
                <c:pt idx="0">
                  <c:v>0.8</c:v>
                </c:pt>
                <c:pt idx="1">
                  <c:v>0.84</c:v>
                </c:pt>
                <c:pt idx="2">
                  <c:v>0.6</c:v>
                </c:pt>
                <c:pt idx="3">
                  <c:v>0.56999999999999995</c:v>
                </c:pt>
                <c:pt idx="4">
                  <c:v>0.47</c:v>
                </c:pt>
                <c:pt idx="5">
                  <c:v>0.5</c:v>
                </c:pt>
                <c:pt idx="6">
                  <c:v>0.82</c:v>
                </c:pt>
                <c:pt idx="7">
                  <c:v>0.83</c:v>
                </c:pt>
                <c:pt idx="8">
                  <c:v>0.59</c:v>
                </c:pt>
                <c:pt idx="9">
                  <c:v>0.6</c:v>
                </c:pt>
                <c:pt idx="10">
                  <c:v>0.53</c:v>
                </c:pt>
                <c:pt idx="11">
                  <c:v>0.54</c:v>
                </c:pt>
                <c:pt idx="12">
                  <c:v>0.86</c:v>
                </c:pt>
                <c:pt idx="13">
                  <c:v>0.9</c:v>
                </c:pt>
                <c:pt idx="14">
                  <c:v>0.57999999999999996</c:v>
                </c:pt>
                <c:pt idx="15">
                  <c:v>0.65</c:v>
                </c:pt>
                <c:pt idx="16">
                  <c:v>0.44</c:v>
                </c:pt>
                <c:pt idx="17">
                  <c:v>0.47</c:v>
                </c:pt>
                <c:pt idx="18">
                  <c:v>0.82</c:v>
                </c:pt>
                <c:pt idx="19">
                  <c:v>0.83</c:v>
                </c:pt>
                <c:pt idx="20">
                  <c:v>0.59</c:v>
                </c:pt>
                <c:pt idx="21">
                  <c:v>0.6</c:v>
                </c:pt>
                <c:pt idx="22">
                  <c:v>0.53</c:v>
                </c:pt>
                <c:pt idx="23">
                  <c:v>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4E5-AE4F-B3D9-CDE2ABAECFD7}"/>
            </c:ext>
          </c:extLst>
        </c:ser>
        <c:ser>
          <c:idx val="5"/>
          <c:order val="5"/>
          <c:tx>
            <c:strRef>
              <c:f>summarized!$Q$1</c:f>
              <c:strCache>
                <c:ptCount val="1"/>
                <c:pt idx="0">
                  <c:v>xsk4g-no-hash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summarized!$K$2:$K$25</c:f>
              <c:strCache>
                <c:ptCount val="24"/>
                <c:pt idx="0">
                  <c:v>plu-ml:2-suppl:F-mgv:9-sn:1.2k</c:v>
                </c:pt>
                <c:pt idx="1">
                  <c:v>plu-ml:2-suppl:T-mgv:9-sn:1.2k</c:v>
                </c:pt>
                <c:pt idx="2">
                  <c:v>gen-ml:2-suppl:F-mgv:9-sn:1.2k</c:v>
                </c:pt>
                <c:pt idx="3">
                  <c:v>gen-ml:2-suppl:T-mgv:9-sn:1.2k</c:v>
                </c:pt>
                <c:pt idx="4">
                  <c:v>cas-ml:2-suppl:F-mgv:9-sn:1.2k</c:v>
                </c:pt>
                <c:pt idx="5">
                  <c:v>cas-ml:2-suppl:T-mgv:9-sn:1.2k</c:v>
                </c:pt>
                <c:pt idx="6">
                  <c:v>plu-ml:2-suppl:F-mgv:9-sn:2k</c:v>
                </c:pt>
                <c:pt idx="7">
                  <c:v>plu-ml:2-suppl:T-mgv:9-sn:2k</c:v>
                </c:pt>
                <c:pt idx="8">
                  <c:v>gen-ml:2-suppl:F-mgv:9-sn:2k</c:v>
                </c:pt>
                <c:pt idx="9">
                  <c:v>gen-ml:2-suppl:T-mgv:9-sn:2k</c:v>
                </c:pt>
                <c:pt idx="10">
                  <c:v>cas-ml:2-suppl:F-mgv:9-sn:2k</c:v>
                </c:pt>
                <c:pt idx="11">
                  <c:v>cas-ml:2-suppl:T-mgv:9-sn:2k</c:v>
                </c:pt>
                <c:pt idx="12">
                  <c:v>plu-ml:3-suppl:F-mgv:9-sn:1.2k</c:v>
                </c:pt>
                <c:pt idx="13">
                  <c:v>plu-ml:3-suppl:T-mgv:9-sn:1.2k</c:v>
                </c:pt>
                <c:pt idx="14">
                  <c:v>gen-ml:3-suppl:F-mgv:9-sn:1.2k</c:v>
                </c:pt>
                <c:pt idx="15">
                  <c:v>gen-ml:3-suppl:T-mgv:9-sn:1.2k</c:v>
                </c:pt>
                <c:pt idx="16">
                  <c:v>cas-ml:3-suppl:F-mgv:9-sn:1.2k</c:v>
                </c:pt>
                <c:pt idx="17">
                  <c:v>cas-ml:3-suppl:T-mgv:9-sn:1.2k</c:v>
                </c:pt>
                <c:pt idx="18">
                  <c:v>plu-ml:3-suppl:F-mgv:9-sn:2k</c:v>
                </c:pt>
                <c:pt idx="19">
                  <c:v>plu-ml:3-suppl:T-mgv:9-sn:2k</c:v>
                </c:pt>
                <c:pt idx="20">
                  <c:v>gen-ml:3-suppl:F-mgv:9-sn:2k</c:v>
                </c:pt>
                <c:pt idx="21">
                  <c:v>gen-ml:3-suppl:T-mgv:9-sn:2k</c:v>
                </c:pt>
                <c:pt idx="22">
                  <c:v>cas-ml:3-suppl:F-mgv:9-sn:2k</c:v>
                </c:pt>
                <c:pt idx="23">
                  <c:v>cas-ml:3-suppl:T-mgv:9-sn:2k</c:v>
                </c:pt>
              </c:strCache>
            </c:strRef>
          </c:cat>
          <c:val>
            <c:numRef>
              <c:f>summarized!$Q$2:$Q$25</c:f>
              <c:numCache>
                <c:formatCode>0.00</c:formatCode>
                <c:ptCount val="24"/>
                <c:pt idx="0">
                  <c:v>0.82</c:v>
                </c:pt>
                <c:pt idx="1">
                  <c:v>0.82</c:v>
                </c:pt>
                <c:pt idx="2">
                  <c:v>0.65</c:v>
                </c:pt>
                <c:pt idx="3">
                  <c:v>0.69</c:v>
                </c:pt>
                <c:pt idx="4">
                  <c:v>0.36</c:v>
                </c:pt>
                <c:pt idx="5">
                  <c:v>0.4</c:v>
                </c:pt>
                <c:pt idx="6">
                  <c:v>0.85</c:v>
                </c:pt>
                <c:pt idx="7">
                  <c:v>0.89</c:v>
                </c:pt>
                <c:pt idx="8">
                  <c:v>0.66</c:v>
                </c:pt>
                <c:pt idx="9">
                  <c:v>0.69</c:v>
                </c:pt>
                <c:pt idx="10">
                  <c:v>0.45</c:v>
                </c:pt>
                <c:pt idx="11">
                  <c:v>0.54</c:v>
                </c:pt>
                <c:pt idx="12">
                  <c:v>0.85</c:v>
                </c:pt>
                <c:pt idx="13">
                  <c:v>0.85</c:v>
                </c:pt>
                <c:pt idx="14">
                  <c:v>0.6</c:v>
                </c:pt>
                <c:pt idx="15">
                  <c:v>0.6</c:v>
                </c:pt>
                <c:pt idx="16">
                  <c:v>0.45</c:v>
                </c:pt>
                <c:pt idx="17">
                  <c:v>0.47</c:v>
                </c:pt>
                <c:pt idx="18">
                  <c:v>0.85</c:v>
                </c:pt>
                <c:pt idx="19">
                  <c:v>0.89</c:v>
                </c:pt>
                <c:pt idx="20">
                  <c:v>0.66</c:v>
                </c:pt>
                <c:pt idx="21">
                  <c:v>0.69</c:v>
                </c:pt>
                <c:pt idx="22">
                  <c:v>0.45</c:v>
                </c:pt>
                <c:pt idx="23">
                  <c:v>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4E5-AE4F-B3D9-CDE2ABAECFD7}"/>
            </c:ext>
          </c:extLst>
        </c:ser>
        <c:ser>
          <c:idx val="6"/>
          <c:order val="6"/>
          <c:tx>
            <c:strRef>
              <c:f>summarized!$R$1</c:f>
              <c:strCache>
                <c:ptCount val="1"/>
                <c:pt idx="0">
                  <c:v>2g-hash-at-both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summarized!$K$2:$K$25</c:f>
              <c:strCache>
                <c:ptCount val="24"/>
                <c:pt idx="0">
                  <c:v>plu-ml:2-suppl:F-mgv:9-sn:1.2k</c:v>
                </c:pt>
                <c:pt idx="1">
                  <c:v>plu-ml:2-suppl:T-mgv:9-sn:1.2k</c:v>
                </c:pt>
                <c:pt idx="2">
                  <c:v>gen-ml:2-suppl:F-mgv:9-sn:1.2k</c:v>
                </c:pt>
                <c:pt idx="3">
                  <c:v>gen-ml:2-suppl:T-mgv:9-sn:1.2k</c:v>
                </c:pt>
                <c:pt idx="4">
                  <c:v>cas-ml:2-suppl:F-mgv:9-sn:1.2k</c:v>
                </c:pt>
                <c:pt idx="5">
                  <c:v>cas-ml:2-suppl:T-mgv:9-sn:1.2k</c:v>
                </c:pt>
                <c:pt idx="6">
                  <c:v>plu-ml:2-suppl:F-mgv:9-sn:2k</c:v>
                </c:pt>
                <c:pt idx="7">
                  <c:v>plu-ml:2-suppl:T-mgv:9-sn:2k</c:v>
                </c:pt>
                <c:pt idx="8">
                  <c:v>gen-ml:2-suppl:F-mgv:9-sn:2k</c:v>
                </c:pt>
                <c:pt idx="9">
                  <c:v>gen-ml:2-suppl:T-mgv:9-sn:2k</c:v>
                </c:pt>
                <c:pt idx="10">
                  <c:v>cas-ml:2-suppl:F-mgv:9-sn:2k</c:v>
                </c:pt>
                <c:pt idx="11">
                  <c:v>cas-ml:2-suppl:T-mgv:9-sn:2k</c:v>
                </c:pt>
                <c:pt idx="12">
                  <c:v>plu-ml:3-suppl:F-mgv:9-sn:1.2k</c:v>
                </c:pt>
                <c:pt idx="13">
                  <c:v>plu-ml:3-suppl:T-mgv:9-sn:1.2k</c:v>
                </c:pt>
                <c:pt idx="14">
                  <c:v>gen-ml:3-suppl:F-mgv:9-sn:1.2k</c:v>
                </c:pt>
                <c:pt idx="15">
                  <c:v>gen-ml:3-suppl:T-mgv:9-sn:1.2k</c:v>
                </c:pt>
                <c:pt idx="16">
                  <c:v>cas-ml:3-suppl:F-mgv:9-sn:1.2k</c:v>
                </c:pt>
                <c:pt idx="17">
                  <c:v>cas-ml:3-suppl:T-mgv:9-sn:1.2k</c:v>
                </c:pt>
                <c:pt idx="18">
                  <c:v>plu-ml:3-suppl:F-mgv:9-sn:2k</c:v>
                </c:pt>
                <c:pt idx="19">
                  <c:v>plu-ml:3-suppl:T-mgv:9-sn:2k</c:v>
                </c:pt>
                <c:pt idx="20">
                  <c:v>gen-ml:3-suppl:F-mgv:9-sn:2k</c:v>
                </c:pt>
                <c:pt idx="21">
                  <c:v>gen-ml:3-suppl:T-mgv:9-sn:2k</c:v>
                </c:pt>
                <c:pt idx="22">
                  <c:v>cas-ml:3-suppl:F-mgv:9-sn:2k</c:v>
                </c:pt>
                <c:pt idx="23">
                  <c:v>cas-ml:3-suppl:T-mgv:9-sn:2k</c:v>
                </c:pt>
              </c:strCache>
            </c:strRef>
          </c:cat>
          <c:val>
            <c:numRef>
              <c:f>summarized!$R$2:$R$25</c:f>
              <c:numCache>
                <c:formatCode>0.00</c:formatCode>
                <c:ptCount val="24"/>
                <c:pt idx="0">
                  <c:v>0.82</c:v>
                </c:pt>
                <c:pt idx="1">
                  <c:v>0.89</c:v>
                </c:pt>
                <c:pt idx="2">
                  <c:v>0.66</c:v>
                </c:pt>
                <c:pt idx="3">
                  <c:v>0.64</c:v>
                </c:pt>
                <c:pt idx="4">
                  <c:v>0.45</c:v>
                </c:pt>
                <c:pt idx="5">
                  <c:v>0.54</c:v>
                </c:pt>
                <c:pt idx="6">
                  <c:v>0.84</c:v>
                </c:pt>
                <c:pt idx="7">
                  <c:v>0.9</c:v>
                </c:pt>
                <c:pt idx="8">
                  <c:v>0.61</c:v>
                </c:pt>
                <c:pt idx="9">
                  <c:v>0.66</c:v>
                </c:pt>
                <c:pt idx="10">
                  <c:v>0.42</c:v>
                </c:pt>
                <c:pt idx="11">
                  <c:v>0.55000000000000004</c:v>
                </c:pt>
                <c:pt idx="12">
                  <c:v>0.84</c:v>
                </c:pt>
                <c:pt idx="13">
                  <c:v>0.88</c:v>
                </c:pt>
                <c:pt idx="14">
                  <c:v>0.62</c:v>
                </c:pt>
                <c:pt idx="15">
                  <c:v>0.7</c:v>
                </c:pt>
                <c:pt idx="16">
                  <c:v>0.38</c:v>
                </c:pt>
                <c:pt idx="17">
                  <c:v>0.5</c:v>
                </c:pt>
                <c:pt idx="18">
                  <c:v>0.84</c:v>
                </c:pt>
                <c:pt idx="19">
                  <c:v>0.9</c:v>
                </c:pt>
                <c:pt idx="20">
                  <c:v>0.61</c:v>
                </c:pt>
                <c:pt idx="21">
                  <c:v>0.66</c:v>
                </c:pt>
                <c:pt idx="22">
                  <c:v>0.42</c:v>
                </c:pt>
                <c:pt idx="23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4E5-AE4F-B3D9-CDE2ABAECFD7}"/>
            </c:ext>
          </c:extLst>
        </c:ser>
        <c:ser>
          <c:idx val="7"/>
          <c:order val="7"/>
          <c:tx>
            <c:strRef>
              <c:f>summarized!$S$1</c:f>
              <c:strCache>
                <c:ptCount val="1"/>
                <c:pt idx="0">
                  <c:v>3g-hash-at-both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summarized!$K$2:$K$25</c:f>
              <c:strCache>
                <c:ptCount val="24"/>
                <c:pt idx="0">
                  <c:v>plu-ml:2-suppl:F-mgv:9-sn:1.2k</c:v>
                </c:pt>
                <c:pt idx="1">
                  <c:v>plu-ml:2-suppl:T-mgv:9-sn:1.2k</c:v>
                </c:pt>
                <c:pt idx="2">
                  <c:v>gen-ml:2-suppl:F-mgv:9-sn:1.2k</c:v>
                </c:pt>
                <c:pt idx="3">
                  <c:v>gen-ml:2-suppl:T-mgv:9-sn:1.2k</c:v>
                </c:pt>
                <c:pt idx="4">
                  <c:v>cas-ml:2-suppl:F-mgv:9-sn:1.2k</c:v>
                </c:pt>
                <c:pt idx="5">
                  <c:v>cas-ml:2-suppl:T-mgv:9-sn:1.2k</c:v>
                </c:pt>
                <c:pt idx="6">
                  <c:v>plu-ml:2-suppl:F-mgv:9-sn:2k</c:v>
                </c:pt>
                <c:pt idx="7">
                  <c:v>plu-ml:2-suppl:T-mgv:9-sn:2k</c:v>
                </c:pt>
                <c:pt idx="8">
                  <c:v>gen-ml:2-suppl:F-mgv:9-sn:2k</c:v>
                </c:pt>
                <c:pt idx="9">
                  <c:v>gen-ml:2-suppl:T-mgv:9-sn:2k</c:v>
                </c:pt>
                <c:pt idx="10">
                  <c:v>cas-ml:2-suppl:F-mgv:9-sn:2k</c:v>
                </c:pt>
                <c:pt idx="11">
                  <c:v>cas-ml:2-suppl:T-mgv:9-sn:2k</c:v>
                </c:pt>
                <c:pt idx="12">
                  <c:v>plu-ml:3-suppl:F-mgv:9-sn:1.2k</c:v>
                </c:pt>
                <c:pt idx="13">
                  <c:v>plu-ml:3-suppl:T-mgv:9-sn:1.2k</c:v>
                </c:pt>
                <c:pt idx="14">
                  <c:v>gen-ml:3-suppl:F-mgv:9-sn:1.2k</c:v>
                </c:pt>
                <c:pt idx="15">
                  <c:v>gen-ml:3-suppl:T-mgv:9-sn:1.2k</c:v>
                </c:pt>
                <c:pt idx="16">
                  <c:v>cas-ml:3-suppl:F-mgv:9-sn:1.2k</c:v>
                </c:pt>
                <c:pt idx="17">
                  <c:v>cas-ml:3-suppl:T-mgv:9-sn:1.2k</c:v>
                </c:pt>
                <c:pt idx="18">
                  <c:v>plu-ml:3-suppl:F-mgv:9-sn:2k</c:v>
                </c:pt>
                <c:pt idx="19">
                  <c:v>plu-ml:3-suppl:T-mgv:9-sn:2k</c:v>
                </c:pt>
                <c:pt idx="20">
                  <c:v>gen-ml:3-suppl:F-mgv:9-sn:2k</c:v>
                </c:pt>
                <c:pt idx="21">
                  <c:v>gen-ml:3-suppl:T-mgv:9-sn:2k</c:v>
                </c:pt>
                <c:pt idx="22">
                  <c:v>cas-ml:3-suppl:F-mgv:9-sn:2k</c:v>
                </c:pt>
                <c:pt idx="23">
                  <c:v>cas-ml:3-suppl:T-mgv:9-sn:2k</c:v>
                </c:pt>
              </c:strCache>
            </c:strRef>
          </c:cat>
          <c:val>
            <c:numRef>
              <c:f>summarized!$S$2:$S$25</c:f>
              <c:numCache>
                <c:formatCode>0.00</c:formatCode>
                <c:ptCount val="24"/>
                <c:pt idx="0">
                  <c:v>0.79</c:v>
                </c:pt>
                <c:pt idx="1">
                  <c:v>0.84</c:v>
                </c:pt>
                <c:pt idx="2">
                  <c:v>0.57999999999999996</c:v>
                </c:pt>
                <c:pt idx="3">
                  <c:v>0.6</c:v>
                </c:pt>
                <c:pt idx="4">
                  <c:v>0.38</c:v>
                </c:pt>
                <c:pt idx="5">
                  <c:v>0.48</c:v>
                </c:pt>
                <c:pt idx="6">
                  <c:v>0.79</c:v>
                </c:pt>
                <c:pt idx="7">
                  <c:v>0.83</c:v>
                </c:pt>
                <c:pt idx="8">
                  <c:v>0.66</c:v>
                </c:pt>
                <c:pt idx="9">
                  <c:v>0.69</c:v>
                </c:pt>
                <c:pt idx="10">
                  <c:v>0.43</c:v>
                </c:pt>
                <c:pt idx="11">
                  <c:v>0.56000000000000005</c:v>
                </c:pt>
                <c:pt idx="12">
                  <c:v>0.83</c:v>
                </c:pt>
                <c:pt idx="13">
                  <c:v>0.87</c:v>
                </c:pt>
                <c:pt idx="14">
                  <c:v>0.63</c:v>
                </c:pt>
                <c:pt idx="15">
                  <c:v>0.68</c:v>
                </c:pt>
                <c:pt idx="16">
                  <c:v>0.35</c:v>
                </c:pt>
                <c:pt idx="17">
                  <c:v>0.46</c:v>
                </c:pt>
                <c:pt idx="18">
                  <c:v>0.79</c:v>
                </c:pt>
                <c:pt idx="19">
                  <c:v>0.83</c:v>
                </c:pt>
                <c:pt idx="20">
                  <c:v>0.66</c:v>
                </c:pt>
                <c:pt idx="21">
                  <c:v>0.69</c:v>
                </c:pt>
                <c:pt idx="22">
                  <c:v>0.43</c:v>
                </c:pt>
                <c:pt idx="23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4E5-AE4F-B3D9-CDE2ABAECFD7}"/>
            </c:ext>
          </c:extLst>
        </c:ser>
        <c:ser>
          <c:idx val="8"/>
          <c:order val="8"/>
          <c:tx>
            <c:strRef>
              <c:f>summarized!$T$1</c:f>
              <c:strCache>
                <c:ptCount val="1"/>
                <c:pt idx="0">
                  <c:v>4g-hash-at-both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summarized!$K$2:$K$25</c:f>
              <c:strCache>
                <c:ptCount val="24"/>
                <c:pt idx="0">
                  <c:v>plu-ml:2-suppl:F-mgv:9-sn:1.2k</c:v>
                </c:pt>
                <c:pt idx="1">
                  <c:v>plu-ml:2-suppl:T-mgv:9-sn:1.2k</c:v>
                </c:pt>
                <c:pt idx="2">
                  <c:v>gen-ml:2-suppl:F-mgv:9-sn:1.2k</c:v>
                </c:pt>
                <c:pt idx="3">
                  <c:v>gen-ml:2-suppl:T-mgv:9-sn:1.2k</c:v>
                </c:pt>
                <c:pt idx="4">
                  <c:v>cas-ml:2-suppl:F-mgv:9-sn:1.2k</c:v>
                </c:pt>
                <c:pt idx="5">
                  <c:v>cas-ml:2-suppl:T-mgv:9-sn:1.2k</c:v>
                </c:pt>
                <c:pt idx="6">
                  <c:v>plu-ml:2-suppl:F-mgv:9-sn:2k</c:v>
                </c:pt>
                <c:pt idx="7">
                  <c:v>plu-ml:2-suppl:T-mgv:9-sn:2k</c:v>
                </c:pt>
                <c:pt idx="8">
                  <c:v>gen-ml:2-suppl:F-mgv:9-sn:2k</c:v>
                </c:pt>
                <c:pt idx="9">
                  <c:v>gen-ml:2-suppl:T-mgv:9-sn:2k</c:v>
                </c:pt>
                <c:pt idx="10">
                  <c:v>cas-ml:2-suppl:F-mgv:9-sn:2k</c:v>
                </c:pt>
                <c:pt idx="11">
                  <c:v>cas-ml:2-suppl:T-mgv:9-sn:2k</c:v>
                </c:pt>
                <c:pt idx="12">
                  <c:v>plu-ml:3-suppl:F-mgv:9-sn:1.2k</c:v>
                </c:pt>
                <c:pt idx="13">
                  <c:v>plu-ml:3-suppl:T-mgv:9-sn:1.2k</c:v>
                </c:pt>
                <c:pt idx="14">
                  <c:v>gen-ml:3-suppl:F-mgv:9-sn:1.2k</c:v>
                </c:pt>
                <c:pt idx="15">
                  <c:v>gen-ml:3-suppl:T-mgv:9-sn:1.2k</c:v>
                </c:pt>
                <c:pt idx="16">
                  <c:v>cas-ml:3-suppl:F-mgv:9-sn:1.2k</c:v>
                </c:pt>
                <c:pt idx="17">
                  <c:v>cas-ml:3-suppl:T-mgv:9-sn:1.2k</c:v>
                </c:pt>
                <c:pt idx="18">
                  <c:v>plu-ml:3-suppl:F-mgv:9-sn:2k</c:v>
                </c:pt>
                <c:pt idx="19">
                  <c:v>plu-ml:3-suppl:T-mgv:9-sn:2k</c:v>
                </c:pt>
                <c:pt idx="20">
                  <c:v>gen-ml:3-suppl:F-mgv:9-sn:2k</c:v>
                </c:pt>
                <c:pt idx="21">
                  <c:v>gen-ml:3-suppl:T-mgv:9-sn:2k</c:v>
                </c:pt>
                <c:pt idx="22">
                  <c:v>cas-ml:3-suppl:F-mgv:9-sn:2k</c:v>
                </c:pt>
                <c:pt idx="23">
                  <c:v>cas-ml:3-suppl:T-mgv:9-sn:2k</c:v>
                </c:pt>
              </c:strCache>
            </c:strRef>
          </c:cat>
          <c:val>
            <c:numRef>
              <c:f>summarized!$T$2:$T$25</c:f>
              <c:numCache>
                <c:formatCode>0.00</c:formatCode>
                <c:ptCount val="24"/>
                <c:pt idx="0">
                  <c:v>0.8</c:v>
                </c:pt>
                <c:pt idx="1">
                  <c:v>0.88</c:v>
                </c:pt>
                <c:pt idx="2">
                  <c:v>0.53</c:v>
                </c:pt>
                <c:pt idx="3">
                  <c:v>0.54</c:v>
                </c:pt>
                <c:pt idx="4">
                  <c:v>0.43</c:v>
                </c:pt>
                <c:pt idx="5">
                  <c:v>0.52</c:v>
                </c:pt>
                <c:pt idx="6">
                  <c:v>0.82</c:v>
                </c:pt>
                <c:pt idx="7">
                  <c:v>0.85</c:v>
                </c:pt>
                <c:pt idx="8">
                  <c:v>0.69</c:v>
                </c:pt>
                <c:pt idx="9">
                  <c:v>0.73</c:v>
                </c:pt>
                <c:pt idx="10">
                  <c:v>0.44</c:v>
                </c:pt>
                <c:pt idx="11">
                  <c:v>0.49</c:v>
                </c:pt>
                <c:pt idx="12">
                  <c:v>0.8</c:v>
                </c:pt>
                <c:pt idx="13">
                  <c:v>0.86</c:v>
                </c:pt>
                <c:pt idx="14">
                  <c:v>0.68</c:v>
                </c:pt>
                <c:pt idx="15">
                  <c:v>0.69</c:v>
                </c:pt>
                <c:pt idx="16">
                  <c:v>0.42</c:v>
                </c:pt>
                <c:pt idx="17">
                  <c:v>0.53</c:v>
                </c:pt>
                <c:pt idx="18">
                  <c:v>0.82</c:v>
                </c:pt>
                <c:pt idx="19">
                  <c:v>0.85</c:v>
                </c:pt>
                <c:pt idx="20">
                  <c:v>0.69</c:v>
                </c:pt>
                <c:pt idx="21">
                  <c:v>0.73</c:v>
                </c:pt>
                <c:pt idx="22">
                  <c:v>0.44</c:v>
                </c:pt>
                <c:pt idx="23">
                  <c:v>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4E5-AE4F-B3D9-CDE2ABAECFD7}"/>
            </c:ext>
          </c:extLst>
        </c:ser>
        <c:ser>
          <c:idx val="9"/>
          <c:order val="9"/>
          <c:tx>
            <c:strRef>
              <c:f>summarized!$U$1</c:f>
              <c:strCache>
                <c:ptCount val="1"/>
                <c:pt idx="0">
                  <c:v>xsk2g-hash-at-both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summarized!$K$2:$K$25</c:f>
              <c:strCache>
                <c:ptCount val="24"/>
                <c:pt idx="0">
                  <c:v>plu-ml:2-suppl:F-mgv:9-sn:1.2k</c:v>
                </c:pt>
                <c:pt idx="1">
                  <c:v>plu-ml:2-suppl:T-mgv:9-sn:1.2k</c:v>
                </c:pt>
                <c:pt idx="2">
                  <c:v>gen-ml:2-suppl:F-mgv:9-sn:1.2k</c:v>
                </c:pt>
                <c:pt idx="3">
                  <c:v>gen-ml:2-suppl:T-mgv:9-sn:1.2k</c:v>
                </c:pt>
                <c:pt idx="4">
                  <c:v>cas-ml:2-suppl:F-mgv:9-sn:1.2k</c:v>
                </c:pt>
                <c:pt idx="5">
                  <c:v>cas-ml:2-suppl:T-mgv:9-sn:1.2k</c:v>
                </c:pt>
                <c:pt idx="6">
                  <c:v>plu-ml:2-suppl:F-mgv:9-sn:2k</c:v>
                </c:pt>
                <c:pt idx="7">
                  <c:v>plu-ml:2-suppl:T-mgv:9-sn:2k</c:v>
                </c:pt>
                <c:pt idx="8">
                  <c:v>gen-ml:2-suppl:F-mgv:9-sn:2k</c:v>
                </c:pt>
                <c:pt idx="9">
                  <c:v>gen-ml:2-suppl:T-mgv:9-sn:2k</c:v>
                </c:pt>
                <c:pt idx="10">
                  <c:v>cas-ml:2-suppl:F-mgv:9-sn:2k</c:v>
                </c:pt>
                <c:pt idx="11">
                  <c:v>cas-ml:2-suppl:T-mgv:9-sn:2k</c:v>
                </c:pt>
                <c:pt idx="12">
                  <c:v>plu-ml:3-suppl:F-mgv:9-sn:1.2k</c:v>
                </c:pt>
                <c:pt idx="13">
                  <c:v>plu-ml:3-suppl:T-mgv:9-sn:1.2k</c:v>
                </c:pt>
                <c:pt idx="14">
                  <c:v>gen-ml:3-suppl:F-mgv:9-sn:1.2k</c:v>
                </c:pt>
                <c:pt idx="15">
                  <c:v>gen-ml:3-suppl:T-mgv:9-sn:1.2k</c:v>
                </c:pt>
                <c:pt idx="16">
                  <c:v>cas-ml:3-suppl:F-mgv:9-sn:1.2k</c:v>
                </c:pt>
                <c:pt idx="17">
                  <c:v>cas-ml:3-suppl:T-mgv:9-sn:1.2k</c:v>
                </c:pt>
                <c:pt idx="18">
                  <c:v>plu-ml:3-suppl:F-mgv:9-sn:2k</c:v>
                </c:pt>
                <c:pt idx="19">
                  <c:v>plu-ml:3-suppl:T-mgv:9-sn:2k</c:v>
                </c:pt>
                <c:pt idx="20">
                  <c:v>gen-ml:3-suppl:F-mgv:9-sn:2k</c:v>
                </c:pt>
                <c:pt idx="21">
                  <c:v>gen-ml:3-suppl:T-mgv:9-sn:2k</c:v>
                </c:pt>
                <c:pt idx="22">
                  <c:v>cas-ml:3-suppl:F-mgv:9-sn:2k</c:v>
                </c:pt>
                <c:pt idx="23">
                  <c:v>cas-ml:3-suppl:T-mgv:9-sn:2k</c:v>
                </c:pt>
              </c:strCache>
            </c:strRef>
          </c:cat>
          <c:val>
            <c:numRef>
              <c:f>summarized!$U$2:$U$25</c:f>
              <c:numCache>
                <c:formatCode>0.00</c:formatCode>
                <c:ptCount val="24"/>
                <c:pt idx="0">
                  <c:v>0.82</c:v>
                </c:pt>
                <c:pt idx="1">
                  <c:v>0.84</c:v>
                </c:pt>
                <c:pt idx="2">
                  <c:v>0.56999999999999995</c:v>
                </c:pt>
                <c:pt idx="3">
                  <c:v>0.61</c:v>
                </c:pt>
                <c:pt idx="4">
                  <c:v>0.45</c:v>
                </c:pt>
                <c:pt idx="5">
                  <c:v>0.52</c:v>
                </c:pt>
                <c:pt idx="6">
                  <c:v>0.84</c:v>
                </c:pt>
                <c:pt idx="7">
                  <c:v>0.85</c:v>
                </c:pt>
                <c:pt idx="8">
                  <c:v>0.65</c:v>
                </c:pt>
                <c:pt idx="9">
                  <c:v>0.64</c:v>
                </c:pt>
                <c:pt idx="10">
                  <c:v>0.4</c:v>
                </c:pt>
                <c:pt idx="11">
                  <c:v>0.47</c:v>
                </c:pt>
                <c:pt idx="12">
                  <c:v>0.85</c:v>
                </c:pt>
                <c:pt idx="13">
                  <c:v>0.86</c:v>
                </c:pt>
                <c:pt idx="14">
                  <c:v>0.64</c:v>
                </c:pt>
                <c:pt idx="15">
                  <c:v>0.71</c:v>
                </c:pt>
                <c:pt idx="16">
                  <c:v>0.41</c:v>
                </c:pt>
                <c:pt idx="17">
                  <c:v>0.43</c:v>
                </c:pt>
                <c:pt idx="18">
                  <c:v>0.84</c:v>
                </c:pt>
                <c:pt idx="19">
                  <c:v>0.85</c:v>
                </c:pt>
                <c:pt idx="20">
                  <c:v>0.65</c:v>
                </c:pt>
                <c:pt idx="21">
                  <c:v>0.64</c:v>
                </c:pt>
                <c:pt idx="22">
                  <c:v>0.4</c:v>
                </c:pt>
                <c:pt idx="23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4E5-AE4F-B3D9-CDE2ABAECFD7}"/>
            </c:ext>
          </c:extLst>
        </c:ser>
        <c:ser>
          <c:idx val="10"/>
          <c:order val="10"/>
          <c:tx>
            <c:strRef>
              <c:f>summarized!$V$1</c:f>
              <c:strCache>
                <c:ptCount val="1"/>
                <c:pt idx="0">
                  <c:v>xsk3g-hash-at-both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summarized!$K$2:$K$25</c:f>
              <c:strCache>
                <c:ptCount val="24"/>
                <c:pt idx="0">
                  <c:v>plu-ml:2-suppl:F-mgv:9-sn:1.2k</c:v>
                </c:pt>
                <c:pt idx="1">
                  <c:v>plu-ml:2-suppl:T-mgv:9-sn:1.2k</c:v>
                </c:pt>
                <c:pt idx="2">
                  <c:v>gen-ml:2-suppl:F-mgv:9-sn:1.2k</c:v>
                </c:pt>
                <c:pt idx="3">
                  <c:v>gen-ml:2-suppl:T-mgv:9-sn:1.2k</c:v>
                </c:pt>
                <c:pt idx="4">
                  <c:v>cas-ml:2-suppl:F-mgv:9-sn:1.2k</c:v>
                </c:pt>
                <c:pt idx="5">
                  <c:v>cas-ml:2-suppl:T-mgv:9-sn:1.2k</c:v>
                </c:pt>
                <c:pt idx="6">
                  <c:v>plu-ml:2-suppl:F-mgv:9-sn:2k</c:v>
                </c:pt>
                <c:pt idx="7">
                  <c:v>plu-ml:2-suppl:T-mgv:9-sn:2k</c:v>
                </c:pt>
                <c:pt idx="8">
                  <c:v>gen-ml:2-suppl:F-mgv:9-sn:2k</c:v>
                </c:pt>
                <c:pt idx="9">
                  <c:v>gen-ml:2-suppl:T-mgv:9-sn:2k</c:v>
                </c:pt>
                <c:pt idx="10">
                  <c:v>cas-ml:2-suppl:F-mgv:9-sn:2k</c:v>
                </c:pt>
                <c:pt idx="11">
                  <c:v>cas-ml:2-suppl:T-mgv:9-sn:2k</c:v>
                </c:pt>
                <c:pt idx="12">
                  <c:v>plu-ml:3-suppl:F-mgv:9-sn:1.2k</c:v>
                </c:pt>
                <c:pt idx="13">
                  <c:v>plu-ml:3-suppl:T-mgv:9-sn:1.2k</c:v>
                </c:pt>
                <c:pt idx="14">
                  <c:v>gen-ml:3-suppl:F-mgv:9-sn:1.2k</c:v>
                </c:pt>
                <c:pt idx="15">
                  <c:v>gen-ml:3-suppl:T-mgv:9-sn:1.2k</c:v>
                </c:pt>
                <c:pt idx="16">
                  <c:v>cas-ml:3-suppl:F-mgv:9-sn:1.2k</c:v>
                </c:pt>
                <c:pt idx="17">
                  <c:v>cas-ml:3-suppl:T-mgv:9-sn:1.2k</c:v>
                </c:pt>
                <c:pt idx="18">
                  <c:v>plu-ml:3-suppl:F-mgv:9-sn:2k</c:v>
                </c:pt>
                <c:pt idx="19">
                  <c:v>plu-ml:3-suppl:T-mgv:9-sn:2k</c:v>
                </c:pt>
                <c:pt idx="20">
                  <c:v>gen-ml:3-suppl:F-mgv:9-sn:2k</c:v>
                </c:pt>
                <c:pt idx="21">
                  <c:v>gen-ml:3-suppl:T-mgv:9-sn:2k</c:v>
                </c:pt>
                <c:pt idx="22">
                  <c:v>cas-ml:3-suppl:F-mgv:9-sn:2k</c:v>
                </c:pt>
                <c:pt idx="23">
                  <c:v>cas-ml:3-suppl:T-mgv:9-sn:2k</c:v>
                </c:pt>
              </c:strCache>
            </c:strRef>
          </c:cat>
          <c:val>
            <c:numRef>
              <c:f>summarized!$V$2:$V$25</c:f>
              <c:numCache>
                <c:formatCode>0.00</c:formatCode>
                <c:ptCount val="24"/>
                <c:pt idx="0">
                  <c:v>0.86</c:v>
                </c:pt>
                <c:pt idx="1">
                  <c:v>0.85</c:v>
                </c:pt>
                <c:pt idx="2">
                  <c:v>0.7</c:v>
                </c:pt>
                <c:pt idx="3">
                  <c:v>0.68</c:v>
                </c:pt>
                <c:pt idx="4">
                  <c:v>0.42</c:v>
                </c:pt>
                <c:pt idx="5">
                  <c:v>0.47</c:v>
                </c:pt>
                <c:pt idx="6">
                  <c:v>0.82</c:v>
                </c:pt>
                <c:pt idx="7">
                  <c:v>0.81</c:v>
                </c:pt>
                <c:pt idx="8">
                  <c:v>0.64</c:v>
                </c:pt>
                <c:pt idx="9">
                  <c:v>0.67</c:v>
                </c:pt>
                <c:pt idx="10">
                  <c:v>0.43</c:v>
                </c:pt>
                <c:pt idx="11">
                  <c:v>0.51</c:v>
                </c:pt>
                <c:pt idx="12">
                  <c:v>0.84</c:v>
                </c:pt>
                <c:pt idx="13">
                  <c:v>0.85</c:v>
                </c:pt>
                <c:pt idx="14">
                  <c:v>0.6</c:v>
                </c:pt>
                <c:pt idx="15">
                  <c:v>0.57999999999999996</c:v>
                </c:pt>
                <c:pt idx="16">
                  <c:v>0.39</c:v>
                </c:pt>
                <c:pt idx="17">
                  <c:v>0.45</c:v>
                </c:pt>
                <c:pt idx="18">
                  <c:v>0.82</c:v>
                </c:pt>
                <c:pt idx="19">
                  <c:v>0.81</c:v>
                </c:pt>
                <c:pt idx="20">
                  <c:v>0.64</c:v>
                </c:pt>
                <c:pt idx="21">
                  <c:v>0.67</c:v>
                </c:pt>
                <c:pt idx="22">
                  <c:v>0.43</c:v>
                </c:pt>
                <c:pt idx="23">
                  <c:v>0.51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4E5-AE4F-B3D9-CDE2ABAECFD7}"/>
            </c:ext>
          </c:extLst>
        </c:ser>
        <c:ser>
          <c:idx val="11"/>
          <c:order val="11"/>
          <c:tx>
            <c:strRef>
              <c:f>summarized!$W$1</c:f>
              <c:strCache>
                <c:ptCount val="1"/>
                <c:pt idx="0">
                  <c:v>xsk4g-hash-at-both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summarized!$K$2:$K$25</c:f>
              <c:strCache>
                <c:ptCount val="24"/>
                <c:pt idx="0">
                  <c:v>plu-ml:2-suppl:F-mgv:9-sn:1.2k</c:v>
                </c:pt>
                <c:pt idx="1">
                  <c:v>plu-ml:2-suppl:T-mgv:9-sn:1.2k</c:v>
                </c:pt>
                <c:pt idx="2">
                  <c:v>gen-ml:2-suppl:F-mgv:9-sn:1.2k</c:v>
                </c:pt>
                <c:pt idx="3">
                  <c:v>gen-ml:2-suppl:T-mgv:9-sn:1.2k</c:v>
                </c:pt>
                <c:pt idx="4">
                  <c:v>cas-ml:2-suppl:F-mgv:9-sn:1.2k</c:v>
                </c:pt>
                <c:pt idx="5">
                  <c:v>cas-ml:2-suppl:T-mgv:9-sn:1.2k</c:v>
                </c:pt>
                <c:pt idx="6">
                  <c:v>plu-ml:2-suppl:F-mgv:9-sn:2k</c:v>
                </c:pt>
                <c:pt idx="7">
                  <c:v>plu-ml:2-suppl:T-mgv:9-sn:2k</c:v>
                </c:pt>
                <c:pt idx="8">
                  <c:v>gen-ml:2-suppl:F-mgv:9-sn:2k</c:v>
                </c:pt>
                <c:pt idx="9">
                  <c:v>gen-ml:2-suppl:T-mgv:9-sn:2k</c:v>
                </c:pt>
                <c:pt idx="10">
                  <c:v>cas-ml:2-suppl:F-mgv:9-sn:2k</c:v>
                </c:pt>
                <c:pt idx="11">
                  <c:v>cas-ml:2-suppl:T-mgv:9-sn:2k</c:v>
                </c:pt>
                <c:pt idx="12">
                  <c:v>plu-ml:3-suppl:F-mgv:9-sn:1.2k</c:v>
                </c:pt>
                <c:pt idx="13">
                  <c:v>plu-ml:3-suppl:T-mgv:9-sn:1.2k</c:v>
                </c:pt>
                <c:pt idx="14">
                  <c:v>gen-ml:3-suppl:F-mgv:9-sn:1.2k</c:v>
                </c:pt>
                <c:pt idx="15">
                  <c:v>gen-ml:3-suppl:T-mgv:9-sn:1.2k</c:v>
                </c:pt>
                <c:pt idx="16">
                  <c:v>cas-ml:3-suppl:F-mgv:9-sn:1.2k</c:v>
                </c:pt>
                <c:pt idx="17">
                  <c:v>cas-ml:3-suppl:T-mgv:9-sn:1.2k</c:v>
                </c:pt>
                <c:pt idx="18">
                  <c:v>plu-ml:3-suppl:F-mgv:9-sn:2k</c:v>
                </c:pt>
                <c:pt idx="19">
                  <c:v>plu-ml:3-suppl:T-mgv:9-sn:2k</c:v>
                </c:pt>
                <c:pt idx="20">
                  <c:v>gen-ml:3-suppl:F-mgv:9-sn:2k</c:v>
                </c:pt>
                <c:pt idx="21">
                  <c:v>gen-ml:3-suppl:T-mgv:9-sn:2k</c:v>
                </c:pt>
                <c:pt idx="22">
                  <c:v>cas-ml:3-suppl:F-mgv:9-sn:2k</c:v>
                </c:pt>
                <c:pt idx="23">
                  <c:v>cas-ml:3-suppl:T-mgv:9-sn:2k</c:v>
                </c:pt>
              </c:strCache>
            </c:strRef>
          </c:cat>
          <c:val>
            <c:numRef>
              <c:f>summarized!$W$2:$W$25</c:f>
              <c:numCache>
                <c:formatCode>0.00</c:formatCode>
                <c:ptCount val="24"/>
                <c:pt idx="0">
                  <c:v>0.81</c:v>
                </c:pt>
                <c:pt idx="1">
                  <c:v>0.8</c:v>
                </c:pt>
                <c:pt idx="2">
                  <c:v>0.6</c:v>
                </c:pt>
                <c:pt idx="3">
                  <c:v>0.6</c:v>
                </c:pt>
                <c:pt idx="4">
                  <c:v>0.36</c:v>
                </c:pt>
                <c:pt idx="5">
                  <c:v>0.44</c:v>
                </c:pt>
                <c:pt idx="6">
                  <c:v>0.88</c:v>
                </c:pt>
                <c:pt idx="7">
                  <c:v>0.84</c:v>
                </c:pt>
                <c:pt idx="8">
                  <c:v>0.66</c:v>
                </c:pt>
                <c:pt idx="9">
                  <c:v>0.62</c:v>
                </c:pt>
                <c:pt idx="10">
                  <c:v>0.47</c:v>
                </c:pt>
                <c:pt idx="11">
                  <c:v>0.54</c:v>
                </c:pt>
                <c:pt idx="12">
                  <c:v>0.87</c:v>
                </c:pt>
                <c:pt idx="13">
                  <c:v>0.82</c:v>
                </c:pt>
                <c:pt idx="14">
                  <c:v>0.53</c:v>
                </c:pt>
                <c:pt idx="15">
                  <c:v>0.51</c:v>
                </c:pt>
                <c:pt idx="16">
                  <c:v>0.48</c:v>
                </c:pt>
                <c:pt idx="17">
                  <c:v>0.51</c:v>
                </c:pt>
                <c:pt idx="18">
                  <c:v>0.88</c:v>
                </c:pt>
                <c:pt idx="19">
                  <c:v>0.84</c:v>
                </c:pt>
                <c:pt idx="20">
                  <c:v>0.66</c:v>
                </c:pt>
                <c:pt idx="21">
                  <c:v>0.62</c:v>
                </c:pt>
                <c:pt idx="22">
                  <c:v>0.47</c:v>
                </c:pt>
                <c:pt idx="23">
                  <c:v>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4E5-AE4F-B3D9-CDE2ABAEC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1827008"/>
        <c:axId val="971027632"/>
      </c:lineChart>
      <c:catAx>
        <c:axId val="97182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971027632"/>
        <c:crosses val="autoZero"/>
        <c:auto val="1"/>
        <c:lblAlgn val="ctr"/>
        <c:lblOffset val="100"/>
        <c:noMultiLvlLbl val="0"/>
      </c:catAx>
      <c:valAx>
        <c:axId val="97102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971827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Czech</a:t>
            </a:r>
            <a:r>
              <a:rPr lang="ja-JP" altLang="en-US"/>
              <a:t> </a:t>
            </a:r>
            <a:r>
              <a:rPr lang="en-US" altLang="ja-JP"/>
              <a:t>plurality</a:t>
            </a:r>
            <a:r>
              <a:rPr lang="ja-JP" altLang="en-US" baseline="0"/>
              <a:t> </a:t>
            </a:r>
            <a:r>
              <a:rPr lang="en-US" altLang="ja-JP" baseline="0"/>
              <a:t>with</a:t>
            </a:r>
            <a:r>
              <a:rPr lang="ja-JP" altLang="en-US" baseline="0"/>
              <a:t> </a:t>
            </a:r>
            <a:r>
              <a:rPr lang="en-US" altLang="ja-JP" baseline="0"/>
              <a:t>Morfessor</a:t>
            </a:r>
            <a:r>
              <a:rPr lang="ja-JP" altLang="en-US" baseline="0"/>
              <a:t> </a:t>
            </a:r>
            <a:r>
              <a:rPr lang="en-US" altLang="ja-JP" baseline="0"/>
              <a:t>segmentations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summarized.old!$I$2</c:f>
              <c:strCache>
                <c:ptCount val="1"/>
                <c:pt idx="0">
                  <c:v>ml2-2k-Czech-plurality-suppl:TRUE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summarized.old!$J$1:$V$1</c:f>
              <c:strCache>
                <c:ptCount val="13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  <c:pt idx="12">
                  <c:v>max</c:v>
                </c:pt>
              </c:strCache>
            </c:strRef>
          </c:cat>
          <c:val>
            <c:numRef>
              <c:f>summarized.old!$J$2:$V$2</c:f>
              <c:numCache>
                <c:formatCode>0.00</c:formatCode>
                <c:ptCount val="13"/>
                <c:pt idx="0">
                  <c:v>0.94</c:v>
                </c:pt>
                <c:pt idx="1">
                  <c:v>0.86</c:v>
                </c:pt>
                <c:pt idx="2">
                  <c:v>0.91</c:v>
                </c:pt>
                <c:pt idx="3">
                  <c:v>0.88</c:v>
                </c:pt>
                <c:pt idx="4">
                  <c:v>0.83</c:v>
                </c:pt>
                <c:pt idx="5">
                  <c:v>0.89</c:v>
                </c:pt>
                <c:pt idx="6">
                  <c:v>0.9</c:v>
                </c:pt>
                <c:pt idx="7">
                  <c:v>0.83</c:v>
                </c:pt>
                <c:pt idx="8">
                  <c:v>0.85</c:v>
                </c:pt>
                <c:pt idx="9">
                  <c:v>0.85</c:v>
                </c:pt>
                <c:pt idx="10">
                  <c:v>0.81</c:v>
                </c:pt>
                <c:pt idx="11">
                  <c:v>0.84</c:v>
                </c:pt>
                <c:pt idx="12">
                  <c:v>0.94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F9-2440-AC5A-CF30E44B99E2}"/>
            </c:ext>
          </c:extLst>
        </c:ser>
        <c:ser>
          <c:idx val="1"/>
          <c:order val="1"/>
          <c:tx>
            <c:strRef>
              <c:f>summarized.old!$I$3</c:f>
              <c:strCache>
                <c:ptCount val="1"/>
                <c:pt idx="0">
                  <c:v>ml2-1.2k-Czech-plurality-suppl:TRUE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summarized.old!$J$1:$V$1</c:f>
              <c:strCache>
                <c:ptCount val="13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  <c:pt idx="12">
                  <c:v>max</c:v>
                </c:pt>
              </c:strCache>
            </c:strRef>
          </c:cat>
          <c:val>
            <c:numRef>
              <c:f>summarized.old!$J$3:$V$3</c:f>
              <c:numCache>
                <c:formatCode>0.00</c:formatCode>
                <c:ptCount val="13"/>
                <c:pt idx="0">
                  <c:v>0.87</c:v>
                </c:pt>
                <c:pt idx="1">
                  <c:v>0.83</c:v>
                </c:pt>
                <c:pt idx="2">
                  <c:v>0.86</c:v>
                </c:pt>
                <c:pt idx="3">
                  <c:v>0.86</c:v>
                </c:pt>
                <c:pt idx="4">
                  <c:v>0.84</c:v>
                </c:pt>
                <c:pt idx="5">
                  <c:v>0.82</c:v>
                </c:pt>
                <c:pt idx="6">
                  <c:v>0.89</c:v>
                </c:pt>
                <c:pt idx="7">
                  <c:v>0.84</c:v>
                </c:pt>
                <c:pt idx="8">
                  <c:v>0.88</c:v>
                </c:pt>
                <c:pt idx="9">
                  <c:v>0.84</c:v>
                </c:pt>
                <c:pt idx="10">
                  <c:v>0.85</c:v>
                </c:pt>
                <c:pt idx="11">
                  <c:v>0.8</c:v>
                </c:pt>
                <c:pt idx="12">
                  <c:v>0.89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F9-2440-AC5A-CF30E44B99E2}"/>
            </c:ext>
          </c:extLst>
        </c:ser>
        <c:ser>
          <c:idx val="2"/>
          <c:order val="2"/>
          <c:tx>
            <c:strRef>
              <c:f>summarized.old!$I$4</c:f>
              <c:strCache>
                <c:ptCount val="1"/>
                <c:pt idx="0">
                  <c:v>ml3-2k-Czech-plurality-suppl:TRUE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summarized.old!$J$1:$V$1</c:f>
              <c:strCache>
                <c:ptCount val="13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  <c:pt idx="12">
                  <c:v>max</c:v>
                </c:pt>
              </c:strCache>
            </c:strRef>
          </c:cat>
          <c:val>
            <c:numRef>
              <c:f>summarized.old!$J$4:$V$4</c:f>
              <c:numCache>
                <c:formatCode>0.00</c:formatCode>
                <c:ptCount val="13"/>
                <c:pt idx="0">
                  <c:v>0.92</c:v>
                </c:pt>
                <c:pt idx="1">
                  <c:v>0.89</c:v>
                </c:pt>
                <c:pt idx="2">
                  <c:v>0.83</c:v>
                </c:pt>
                <c:pt idx="3">
                  <c:v>0.88</c:v>
                </c:pt>
                <c:pt idx="4">
                  <c:v>0.88</c:v>
                </c:pt>
                <c:pt idx="5">
                  <c:v>0.88</c:v>
                </c:pt>
                <c:pt idx="6">
                  <c:v>0.88</c:v>
                </c:pt>
                <c:pt idx="7">
                  <c:v>0.88</c:v>
                </c:pt>
                <c:pt idx="8">
                  <c:v>0.89</c:v>
                </c:pt>
                <c:pt idx="9">
                  <c:v>0.84</c:v>
                </c:pt>
                <c:pt idx="10">
                  <c:v>0.86</c:v>
                </c:pt>
                <c:pt idx="11">
                  <c:v>0.87</c:v>
                </c:pt>
                <c:pt idx="12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F9-2440-AC5A-CF30E44B99E2}"/>
            </c:ext>
          </c:extLst>
        </c:ser>
        <c:ser>
          <c:idx val="3"/>
          <c:order val="3"/>
          <c:tx>
            <c:strRef>
              <c:f>summarized.old!$I$5</c:f>
              <c:strCache>
                <c:ptCount val="1"/>
                <c:pt idx="0">
                  <c:v>ml3-1.2k-Czech-plurality-suppl:TRUE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summarized.old!$J$1:$V$1</c:f>
              <c:strCache>
                <c:ptCount val="13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  <c:pt idx="12">
                  <c:v>max</c:v>
                </c:pt>
              </c:strCache>
            </c:strRef>
          </c:cat>
          <c:val>
            <c:numRef>
              <c:f>summarized.old!$J$5:$V$5</c:f>
              <c:numCache>
                <c:formatCode>0.00</c:formatCode>
                <c:ptCount val="13"/>
                <c:pt idx="0">
                  <c:v>0.91</c:v>
                </c:pt>
                <c:pt idx="1">
                  <c:v>0.88</c:v>
                </c:pt>
                <c:pt idx="2">
                  <c:v>0.87</c:v>
                </c:pt>
                <c:pt idx="3">
                  <c:v>0.88</c:v>
                </c:pt>
                <c:pt idx="4">
                  <c:v>0.9</c:v>
                </c:pt>
                <c:pt idx="5">
                  <c:v>0.85</c:v>
                </c:pt>
                <c:pt idx="6">
                  <c:v>0.88</c:v>
                </c:pt>
                <c:pt idx="7">
                  <c:v>0.87</c:v>
                </c:pt>
                <c:pt idx="8">
                  <c:v>0.86</c:v>
                </c:pt>
                <c:pt idx="9">
                  <c:v>0.86</c:v>
                </c:pt>
                <c:pt idx="10">
                  <c:v>0.85</c:v>
                </c:pt>
                <c:pt idx="11">
                  <c:v>0.82</c:v>
                </c:pt>
                <c:pt idx="12">
                  <c:v>0.91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3F9-2440-AC5A-CF30E44B9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7598335"/>
        <c:axId val="1358815471"/>
      </c:lineChart>
      <c:catAx>
        <c:axId val="168759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358815471"/>
        <c:crosses val="autoZero"/>
        <c:auto val="1"/>
        <c:lblAlgn val="ctr"/>
        <c:lblOffset val="100"/>
        <c:noMultiLvlLbl val="0"/>
      </c:catAx>
      <c:valAx>
        <c:axId val="135881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687598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Czech</a:t>
            </a:r>
            <a:r>
              <a:rPr lang="ja-JP" altLang="en-US" baseline="0"/>
              <a:t> </a:t>
            </a:r>
            <a:r>
              <a:rPr lang="en-US" altLang="ja-JP" baseline="0"/>
              <a:t>gender</a:t>
            </a:r>
            <a:r>
              <a:rPr lang="ja-JP" altLang="en-US" baseline="0"/>
              <a:t> </a:t>
            </a:r>
            <a:r>
              <a:rPr lang="en-US" altLang="ja-JP" baseline="0"/>
              <a:t>with</a:t>
            </a:r>
            <a:r>
              <a:rPr lang="ja-JP" altLang="en-US" baseline="0"/>
              <a:t> </a:t>
            </a:r>
            <a:r>
              <a:rPr lang="en-US" altLang="ja-JP" baseline="0"/>
              <a:t>Morfessor</a:t>
            </a:r>
            <a:r>
              <a:rPr lang="ja-JP" altLang="en-US" baseline="0"/>
              <a:t> </a:t>
            </a:r>
            <a:r>
              <a:rPr lang="en-US" altLang="ja-JP" baseline="0"/>
              <a:t>segmentations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summarized.old!$I$16</c:f>
              <c:strCache>
                <c:ptCount val="1"/>
                <c:pt idx="0">
                  <c:v>ml2-2k-Czech-gender-suppl:TRUE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summarized.old!$J$15:$V$15</c:f>
              <c:strCache>
                <c:ptCount val="13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  <c:pt idx="12">
                  <c:v>max</c:v>
                </c:pt>
              </c:strCache>
            </c:strRef>
          </c:cat>
          <c:val>
            <c:numRef>
              <c:f>summarized.old!$J$16:$V$16</c:f>
              <c:numCache>
                <c:formatCode>0.00</c:formatCode>
                <c:ptCount val="13"/>
                <c:pt idx="0">
                  <c:v>0.62</c:v>
                </c:pt>
                <c:pt idx="1">
                  <c:v>0.56999999999999995</c:v>
                </c:pt>
                <c:pt idx="2">
                  <c:v>0.62</c:v>
                </c:pt>
                <c:pt idx="3">
                  <c:v>0.62</c:v>
                </c:pt>
                <c:pt idx="4">
                  <c:v>0.56999999999999995</c:v>
                </c:pt>
                <c:pt idx="5">
                  <c:v>0.69</c:v>
                </c:pt>
                <c:pt idx="6">
                  <c:v>0.64</c:v>
                </c:pt>
                <c:pt idx="7">
                  <c:v>0.6</c:v>
                </c:pt>
                <c:pt idx="8">
                  <c:v>0.54</c:v>
                </c:pt>
                <c:pt idx="9">
                  <c:v>0.61</c:v>
                </c:pt>
                <c:pt idx="10">
                  <c:v>0.68</c:v>
                </c:pt>
                <c:pt idx="11">
                  <c:v>0.6</c:v>
                </c:pt>
                <c:pt idx="12">
                  <c:v>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C0-8344-A436-59317F8682BB}"/>
            </c:ext>
          </c:extLst>
        </c:ser>
        <c:ser>
          <c:idx val="1"/>
          <c:order val="1"/>
          <c:tx>
            <c:strRef>
              <c:f>summarized.old!$I$17</c:f>
              <c:strCache>
                <c:ptCount val="1"/>
                <c:pt idx="0">
                  <c:v>ml2-1.2k-Czech-gender-suppl:TRUE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summarized.old!$J$15:$V$15</c:f>
              <c:strCache>
                <c:ptCount val="13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  <c:pt idx="12">
                  <c:v>max</c:v>
                </c:pt>
              </c:strCache>
            </c:strRef>
          </c:cat>
          <c:val>
            <c:numRef>
              <c:f>summarized.old!$J$17:$V$17</c:f>
              <c:numCache>
                <c:formatCode>0.00</c:formatCode>
                <c:ptCount val="13"/>
                <c:pt idx="0">
                  <c:v>0.62</c:v>
                </c:pt>
                <c:pt idx="1">
                  <c:v>0.56999999999999995</c:v>
                </c:pt>
                <c:pt idx="2">
                  <c:v>0.62</c:v>
                </c:pt>
                <c:pt idx="3">
                  <c:v>0.62</c:v>
                </c:pt>
                <c:pt idx="4">
                  <c:v>0.56999999999999995</c:v>
                </c:pt>
                <c:pt idx="5">
                  <c:v>0.69</c:v>
                </c:pt>
                <c:pt idx="6">
                  <c:v>0.64</c:v>
                </c:pt>
                <c:pt idx="7">
                  <c:v>0.6</c:v>
                </c:pt>
                <c:pt idx="8">
                  <c:v>0.54</c:v>
                </c:pt>
                <c:pt idx="9">
                  <c:v>0.61</c:v>
                </c:pt>
                <c:pt idx="10">
                  <c:v>0.68</c:v>
                </c:pt>
                <c:pt idx="11">
                  <c:v>0.6</c:v>
                </c:pt>
                <c:pt idx="12">
                  <c:v>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C0-8344-A436-59317F8682BB}"/>
            </c:ext>
          </c:extLst>
        </c:ser>
        <c:ser>
          <c:idx val="2"/>
          <c:order val="2"/>
          <c:tx>
            <c:strRef>
              <c:f>summarized.old!$I$18</c:f>
              <c:strCache>
                <c:ptCount val="1"/>
                <c:pt idx="0">
                  <c:v>ml3-2k-Czech-gender-suppl:TRUE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summarized.old!$J$15:$V$15</c:f>
              <c:strCache>
                <c:ptCount val="13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  <c:pt idx="12">
                  <c:v>max</c:v>
                </c:pt>
              </c:strCache>
            </c:strRef>
          </c:cat>
          <c:val>
            <c:numRef>
              <c:f>summarized.old!$J$18:$V$18</c:f>
              <c:numCache>
                <c:formatCode>0.00</c:formatCode>
                <c:ptCount val="13"/>
                <c:pt idx="0">
                  <c:v>0.7</c:v>
                </c:pt>
                <c:pt idx="1">
                  <c:v>0.66</c:v>
                </c:pt>
                <c:pt idx="2">
                  <c:v>0.7</c:v>
                </c:pt>
                <c:pt idx="3">
                  <c:v>0.65</c:v>
                </c:pt>
                <c:pt idx="4">
                  <c:v>0.68</c:v>
                </c:pt>
                <c:pt idx="5">
                  <c:v>0.62</c:v>
                </c:pt>
                <c:pt idx="6">
                  <c:v>0.71</c:v>
                </c:pt>
                <c:pt idx="7">
                  <c:v>0.71</c:v>
                </c:pt>
                <c:pt idx="8">
                  <c:v>0.66</c:v>
                </c:pt>
                <c:pt idx="9">
                  <c:v>0.68</c:v>
                </c:pt>
                <c:pt idx="10">
                  <c:v>0.64</c:v>
                </c:pt>
                <c:pt idx="11">
                  <c:v>0.69</c:v>
                </c:pt>
                <c:pt idx="12">
                  <c:v>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C0-8344-A436-59317F8682BB}"/>
            </c:ext>
          </c:extLst>
        </c:ser>
        <c:ser>
          <c:idx val="3"/>
          <c:order val="3"/>
          <c:tx>
            <c:strRef>
              <c:f>summarized.old!$I$19</c:f>
              <c:strCache>
                <c:ptCount val="1"/>
                <c:pt idx="0">
                  <c:v>ml3-1.2k-Czech-gender-suppl:TRUE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summarized.old!$J$15:$V$15</c:f>
              <c:strCache>
                <c:ptCount val="13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  <c:pt idx="12">
                  <c:v>max</c:v>
                </c:pt>
              </c:strCache>
            </c:strRef>
          </c:cat>
          <c:val>
            <c:numRef>
              <c:f>summarized.old!$J$19:$V$19</c:f>
              <c:numCache>
                <c:formatCode>0.00</c:formatCode>
                <c:ptCount val="13"/>
                <c:pt idx="0">
                  <c:v>0.55000000000000004</c:v>
                </c:pt>
                <c:pt idx="1">
                  <c:v>0.57999999999999996</c:v>
                </c:pt>
                <c:pt idx="2">
                  <c:v>0.68</c:v>
                </c:pt>
                <c:pt idx="3">
                  <c:v>0.63</c:v>
                </c:pt>
                <c:pt idx="4">
                  <c:v>0.65</c:v>
                </c:pt>
                <c:pt idx="5">
                  <c:v>0.6</c:v>
                </c:pt>
                <c:pt idx="6">
                  <c:v>0.7</c:v>
                </c:pt>
                <c:pt idx="7">
                  <c:v>0.68</c:v>
                </c:pt>
                <c:pt idx="8">
                  <c:v>0.69</c:v>
                </c:pt>
                <c:pt idx="9">
                  <c:v>0.71</c:v>
                </c:pt>
                <c:pt idx="10">
                  <c:v>0.57999999999999996</c:v>
                </c:pt>
                <c:pt idx="11">
                  <c:v>0.51</c:v>
                </c:pt>
                <c:pt idx="12">
                  <c:v>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4C0-8344-A436-59317F868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1960095"/>
        <c:axId val="1672013935"/>
      </c:lineChart>
      <c:catAx>
        <c:axId val="1671960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672013935"/>
        <c:crosses val="autoZero"/>
        <c:auto val="1"/>
        <c:lblAlgn val="ctr"/>
        <c:lblOffset val="100"/>
        <c:noMultiLvlLbl val="0"/>
      </c:catAx>
      <c:valAx>
        <c:axId val="167201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671960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Czech</a:t>
            </a:r>
            <a:r>
              <a:rPr lang="ja-JP" altLang="en-US"/>
              <a:t> </a:t>
            </a:r>
            <a:r>
              <a:rPr lang="en-US" altLang="ja-JP"/>
              <a:t>case</a:t>
            </a:r>
            <a:r>
              <a:rPr lang="ja-JP" altLang="en-US"/>
              <a:t> </a:t>
            </a:r>
            <a:r>
              <a:rPr lang="en-US" altLang="ja-JP"/>
              <a:t>with</a:t>
            </a:r>
            <a:r>
              <a:rPr lang="ja-JP" altLang="en-US"/>
              <a:t> </a:t>
            </a:r>
            <a:r>
              <a:rPr lang="en-US" altLang="ja-JP"/>
              <a:t>Morfessor</a:t>
            </a:r>
            <a:r>
              <a:rPr lang="ja-JP" altLang="en-US"/>
              <a:t> </a:t>
            </a:r>
            <a:r>
              <a:rPr lang="en-US" altLang="ja-JP"/>
              <a:t>segmentations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summarized.old!$I$30</c:f>
              <c:strCache>
                <c:ptCount val="1"/>
                <c:pt idx="0">
                  <c:v>ml2-2k-Czech-case-suppl:TRUE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summarized.old!$J$29:$V$29</c:f>
              <c:strCache>
                <c:ptCount val="13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  <c:pt idx="12">
                  <c:v>max</c:v>
                </c:pt>
              </c:strCache>
            </c:strRef>
          </c:cat>
          <c:val>
            <c:numRef>
              <c:f>summarized.old!$J$30:$V$30</c:f>
              <c:numCache>
                <c:formatCode>0.00</c:formatCode>
                <c:ptCount val="13"/>
                <c:pt idx="0">
                  <c:v>0.59</c:v>
                </c:pt>
                <c:pt idx="1">
                  <c:v>0.38</c:v>
                </c:pt>
                <c:pt idx="2">
                  <c:v>0.51</c:v>
                </c:pt>
                <c:pt idx="3">
                  <c:v>0.47</c:v>
                </c:pt>
                <c:pt idx="4">
                  <c:v>0.5</c:v>
                </c:pt>
                <c:pt idx="5">
                  <c:v>0.4</c:v>
                </c:pt>
                <c:pt idx="6">
                  <c:v>0.54</c:v>
                </c:pt>
                <c:pt idx="7">
                  <c:v>0.48</c:v>
                </c:pt>
                <c:pt idx="8">
                  <c:v>0.52</c:v>
                </c:pt>
                <c:pt idx="9">
                  <c:v>0.52</c:v>
                </c:pt>
                <c:pt idx="10">
                  <c:v>0.47</c:v>
                </c:pt>
                <c:pt idx="11">
                  <c:v>0.44</c:v>
                </c:pt>
                <c:pt idx="12">
                  <c:v>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70-FC4E-B5DC-8CC262D495DB}"/>
            </c:ext>
          </c:extLst>
        </c:ser>
        <c:ser>
          <c:idx val="1"/>
          <c:order val="1"/>
          <c:tx>
            <c:strRef>
              <c:f>summarized.old!$I$31</c:f>
              <c:strCache>
                <c:ptCount val="1"/>
                <c:pt idx="0">
                  <c:v>ml2-1.2k-Czech-case-suppl:TRUE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summarized.old!$J$29:$V$29</c:f>
              <c:strCache>
                <c:ptCount val="13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  <c:pt idx="12">
                  <c:v>max</c:v>
                </c:pt>
              </c:strCache>
            </c:strRef>
          </c:cat>
          <c:val>
            <c:numRef>
              <c:f>summarized.old!$J$31:$V$31</c:f>
              <c:numCache>
                <c:formatCode>0.00</c:formatCode>
                <c:ptCount val="13"/>
                <c:pt idx="0">
                  <c:v>0.59</c:v>
                </c:pt>
                <c:pt idx="1">
                  <c:v>0.38</c:v>
                </c:pt>
                <c:pt idx="2">
                  <c:v>0.51</c:v>
                </c:pt>
                <c:pt idx="3">
                  <c:v>0.47</c:v>
                </c:pt>
                <c:pt idx="4">
                  <c:v>0.5</c:v>
                </c:pt>
                <c:pt idx="5">
                  <c:v>0.4</c:v>
                </c:pt>
                <c:pt idx="6">
                  <c:v>0.54</c:v>
                </c:pt>
                <c:pt idx="7">
                  <c:v>0.48</c:v>
                </c:pt>
                <c:pt idx="8">
                  <c:v>0.52</c:v>
                </c:pt>
                <c:pt idx="9">
                  <c:v>0.52</c:v>
                </c:pt>
                <c:pt idx="10">
                  <c:v>0.47</c:v>
                </c:pt>
                <c:pt idx="11">
                  <c:v>0.44</c:v>
                </c:pt>
                <c:pt idx="12">
                  <c:v>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70-FC4E-B5DC-8CC262D495DB}"/>
            </c:ext>
          </c:extLst>
        </c:ser>
        <c:ser>
          <c:idx val="2"/>
          <c:order val="2"/>
          <c:tx>
            <c:strRef>
              <c:f>summarized.old!$I$32</c:f>
              <c:strCache>
                <c:ptCount val="1"/>
                <c:pt idx="0">
                  <c:v>ml3-2k-Czech-case-suppl:TRUE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summarized.old!$J$29:$V$29</c:f>
              <c:strCache>
                <c:ptCount val="13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  <c:pt idx="12">
                  <c:v>max</c:v>
                </c:pt>
              </c:strCache>
            </c:strRef>
          </c:cat>
          <c:val>
            <c:numRef>
              <c:f>summarized.old!$J$32:$V$32</c:f>
              <c:numCache>
                <c:formatCode>0.00</c:formatCode>
                <c:ptCount val="13"/>
                <c:pt idx="0">
                  <c:v>0.55000000000000004</c:v>
                </c:pt>
                <c:pt idx="1">
                  <c:v>0.53</c:v>
                </c:pt>
                <c:pt idx="2">
                  <c:v>0.56000000000000005</c:v>
                </c:pt>
                <c:pt idx="3">
                  <c:v>0.48</c:v>
                </c:pt>
                <c:pt idx="4">
                  <c:v>0.49</c:v>
                </c:pt>
                <c:pt idx="5">
                  <c:v>0.51</c:v>
                </c:pt>
                <c:pt idx="6">
                  <c:v>0.56999999999999995</c:v>
                </c:pt>
                <c:pt idx="7">
                  <c:v>0.56000000000000005</c:v>
                </c:pt>
                <c:pt idx="8">
                  <c:v>0.59</c:v>
                </c:pt>
                <c:pt idx="9">
                  <c:v>0.54</c:v>
                </c:pt>
                <c:pt idx="10">
                  <c:v>0.5</c:v>
                </c:pt>
                <c:pt idx="11">
                  <c:v>0.5</c:v>
                </c:pt>
                <c:pt idx="12">
                  <c:v>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70-FC4E-B5DC-8CC262D495DB}"/>
            </c:ext>
          </c:extLst>
        </c:ser>
        <c:ser>
          <c:idx val="3"/>
          <c:order val="3"/>
          <c:tx>
            <c:strRef>
              <c:f>summarized.old!$I$33</c:f>
              <c:strCache>
                <c:ptCount val="1"/>
                <c:pt idx="0">
                  <c:v>ml3-1.2k-Czech-case-suppl:TRUE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summarized.old!$J$29:$V$29</c:f>
              <c:strCache>
                <c:ptCount val="13"/>
                <c:pt idx="0">
                  <c:v>2g-no-hash</c:v>
                </c:pt>
                <c:pt idx="1">
                  <c:v>3g-no-hash</c:v>
                </c:pt>
                <c:pt idx="2">
                  <c:v>4g-no-hash</c:v>
                </c:pt>
                <c:pt idx="3">
                  <c:v>xsk2g-no-hash</c:v>
                </c:pt>
                <c:pt idx="4">
                  <c:v>xsk3g-no-hash</c:v>
                </c:pt>
                <c:pt idx="5">
                  <c:v>xsk4g-no-hash</c:v>
                </c:pt>
                <c:pt idx="6">
                  <c:v>2g-hash-at-both</c:v>
                </c:pt>
                <c:pt idx="7">
                  <c:v>3g-hash-at-both</c:v>
                </c:pt>
                <c:pt idx="8">
                  <c:v>4g-hash-at-both</c:v>
                </c:pt>
                <c:pt idx="9">
                  <c:v>xsk2g-hash-at-both</c:v>
                </c:pt>
                <c:pt idx="10">
                  <c:v>xsk3g-hash-at-both</c:v>
                </c:pt>
                <c:pt idx="11">
                  <c:v>xsk4g-hash-at-both</c:v>
                </c:pt>
                <c:pt idx="12">
                  <c:v>max</c:v>
                </c:pt>
              </c:strCache>
            </c:strRef>
          </c:cat>
          <c:val>
            <c:numRef>
              <c:f>summarized.old!$J$33:$V$33</c:f>
              <c:numCache>
                <c:formatCode>0.00</c:formatCode>
                <c:ptCount val="13"/>
                <c:pt idx="0">
                  <c:v>0.45</c:v>
                </c:pt>
                <c:pt idx="1">
                  <c:v>0.54</c:v>
                </c:pt>
                <c:pt idx="2">
                  <c:v>0.62</c:v>
                </c:pt>
                <c:pt idx="3">
                  <c:v>0.49</c:v>
                </c:pt>
                <c:pt idx="4">
                  <c:v>0.47</c:v>
                </c:pt>
                <c:pt idx="5">
                  <c:v>0.47</c:v>
                </c:pt>
                <c:pt idx="6">
                  <c:v>0.5</c:v>
                </c:pt>
                <c:pt idx="7">
                  <c:v>0.46</c:v>
                </c:pt>
                <c:pt idx="8">
                  <c:v>0.53</c:v>
                </c:pt>
                <c:pt idx="9">
                  <c:v>0.43</c:v>
                </c:pt>
                <c:pt idx="10">
                  <c:v>0.45</c:v>
                </c:pt>
                <c:pt idx="11">
                  <c:v>0.51</c:v>
                </c:pt>
                <c:pt idx="12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70-FC4E-B5DC-8CC262D49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145120"/>
        <c:axId val="2136173647"/>
      </c:lineChart>
      <c:catAx>
        <c:axId val="19014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2136173647"/>
        <c:crosses val="autoZero"/>
        <c:auto val="1"/>
        <c:lblAlgn val="ctr"/>
        <c:lblOffset val="100"/>
        <c:noMultiLvlLbl val="0"/>
      </c:catAx>
      <c:valAx>
        <c:axId val="213617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9014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622300</xdr:colOff>
      <xdr:row>1</xdr:row>
      <xdr:rowOff>196850</xdr:rowOff>
    </xdr:from>
    <xdr:to>
      <xdr:col>28</xdr:col>
      <xdr:colOff>984300</xdr:colOff>
      <xdr:row>17</xdr:row>
      <xdr:rowOff>156850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9C9563-78E4-56A3-7AF8-13050DCF27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514350</xdr:colOff>
      <xdr:row>0</xdr:row>
      <xdr:rowOff>190497</xdr:rowOff>
    </xdr:from>
    <xdr:to>
      <xdr:col>28</xdr:col>
      <xdr:colOff>516850</xdr:colOff>
      <xdr:row>11</xdr:row>
      <xdr:rowOff>297997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C956A3-288A-5623-4FA8-9DA1C36C78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23</xdr:col>
      <xdr:colOff>438150</xdr:colOff>
      <xdr:row>14</xdr:row>
      <xdr:rowOff>133347</xdr:rowOff>
    </xdr:from>
    <xdr:to>
      <xdr:col>28</xdr:col>
      <xdr:colOff>440650</xdr:colOff>
      <xdr:row>25</xdr:row>
      <xdr:rowOff>240847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BE6F04-96D9-6FA6-50D0-EB78CA5226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23</xdr:col>
      <xdr:colOff>476250</xdr:colOff>
      <xdr:row>28</xdr:row>
      <xdr:rowOff>31747</xdr:rowOff>
    </xdr:from>
    <xdr:to>
      <xdr:col>28</xdr:col>
      <xdr:colOff>478750</xdr:colOff>
      <xdr:row>39</xdr:row>
      <xdr:rowOff>139247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7DB1BB-2859-AC08-6F1B-7FB03B59BB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F527EAE-4C73-494D-90B4-D491BD5C5C9E}" name="Table6" displayName="Table6" ref="A1:X25" totalsRowShown="0">
  <autoFilter ref="A1:X25" xr:uid="{FF527EAE-4C73-494D-90B4-D491BD5C5C9E}"/>
  <sortState xmlns:xlrd2="http://schemas.microsoft.com/office/spreadsheetml/2017/richdata2" ref="A2:X25">
    <sortCondition ref="B1:B25"/>
  </sortState>
  <tableColumns count="24">
    <tableColumn id="2" xr3:uid="{9B58FAA3-4E75-E14E-9E49-F73DAE80704C}" name="segmentaton"/>
    <tableColumn id="24" xr3:uid="{AE14DE27-CA1A-764F-B5DA-82D55607377D}" name="ml"/>
    <tableColumn id="23" xr3:uid="{8D619E37-B32E-6242-999A-FEE016FD79F1}" name="skippiness2"/>
    <tableColumn id="3" xr3:uid="{A11BA1A9-4347-1741-8CD1-F7257D22D076}" name="sample.n"/>
    <tableColumn id="4" xr3:uid="{D5F1933C-9602-984B-A4B0-E32C92B7B287}" name="mgv"/>
    <tableColumn id="5" xr3:uid="{8D0C024B-3E12-BD46-AC2C-09A28672C9C8}" name="attribute.index"/>
    <tableColumn id="6" xr3:uid="{CB6A9454-5999-9F4E-BBB6-8FE6DF6448B9}" name="attribute"/>
    <tableColumn id="7" xr3:uid="{4648D50A-FB13-E44B-95E1-43FCF2A4F513}" name="supplemented"/>
    <tableColumn id="8" xr3:uid="{4334E061-B655-104D-8EB1-7209EE94EB2F}" name="method.index"/>
    <tableColumn id="9" xr3:uid="{74842E72-E30D-7D41-9CAC-AA500F232E59}" name="metric"/>
    <tableColumn id="1" xr3:uid="{77CACCB7-B169-5B43-A2B8-42EC4D09657F}" name="var" dataDxfId="192">
      <calculatedColumnFormula>_xlfn.LET(_xlpm.ml,_xlfn.SINGLE(Table6[ml]),_xlpm.sn,_xlfn.SINGLE(Table6[sample.n]),_xlpm.spl,_xlfn.SINGLE(Table6[supplemented]),_xlpm.mgv,_xlfn.SINGLE(Table6[mgv]),_xlpm.attr,_xlfn.SINGLE(Table6[attribute]),_xlfn.TEXTJOIN({"-ml:","-suppl:","-mgv:","-sn:",""},TRUE,LEFT(_xlpm.attr,3),_xlpm.ml,LEFT(_xlpm.spl,1),_xlpm.mgv,_xlpm.sn,"k"))</calculatedColumnFormula>
    </tableColumn>
    <tableColumn id="10" xr3:uid="{A8BCAFFD-120A-0246-903F-1CE26DD82701}" name="2g-no-hash" dataDxfId="191"/>
    <tableColumn id="11" xr3:uid="{1C09E473-F70D-D741-B647-9D21B9BFD98A}" name="3g-no-hash" dataDxfId="190"/>
    <tableColumn id="12" xr3:uid="{5B61C2F3-B396-014D-94E9-EBC347C94CAF}" name="4g-no-hash" dataDxfId="189"/>
    <tableColumn id="13" xr3:uid="{D918E075-42A2-F041-A846-8A3D47819EC1}" name="xsk2g-no-hash" dataDxfId="188"/>
    <tableColumn id="14" xr3:uid="{C0F5BFB3-3F3F-C24F-86CF-39651B3341E0}" name="xsk3g-no-hash" dataDxfId="187"/>
    <tableColumn id="15" xr3:uid="{B48A4C39-E946-2742-879C-B7D837B8479E}" name="xsk4g-no-hash" dataDxfId="186"/>
    <tableColumn id="16" xr3:uid="{DF143273-6B20-AA47-B496-5A3939F548A3}" name="2g-hash-at-both" dataDxfId="185"/>
    <tableColumn id="17" xr3:uid="{5C36DC09-68D5-9441-A49B-983B956D0624}" name="3g-hash-at-both" dataDxfId="184"/>
    <tableColumn id="18" xr3:uid="{491C42AB-2DC7-514D-9A20-6F1818E653BA}" name="4g-hash-at-both" dataDxfId="183"/>
    <tableColumn id="19" xr3:uid="{309E3C4A-2DF2-CF44-9EA9-9FF661EAC82D}" name="xsk2g-hash-at-both" dataDxfId="182"/>
    <tableColumn id="20" xr3:uid="{E1C3A6C1-0D1B-9744-AD82-EE340F3B375E}" name="xsk3g-hash-at-both" dataDxfId="181"/>
    <tableColumn id="21" xr3:uid="{B319CE29-4BCE-E74D-AAB3-A44B2F6870C3}" name="xsk4g-hash-at-both" dataDxfId="180"/>
    <tableColumn id="22" xr3:uid="{B3142545-21CF-DF40-B492-D5101B77E63B}" name="max" dataDxfId="17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65B964F-59A4-6548-AEF0-4C279645DA85}" name="Table17" displayName="Table17" ref="A1:V5" totalsRowShown="0" headerRowDxfId="178" dataDxfId="177" tableBorderDxfId="176">
  <autoFilter ref="A1:V5" xr:uid="{765B964F-59A4-6548-AEF0-4C279645DA85}"/>
  <sortState xmlns:xlrd2="http://schemas.microsoft.com/office/spreadsheetml/2017/richdata2" ref="A2:U5">
    <sortCondition ref="G1:G5"/>
  </sortState>
  <tableColumns count="22">
    <tableColumn id="1" xr3:uid="{CAD94501-C73B-B646-A615-AE7A2249D099}" name="lang" dataDxfId="175"/>
    <tableColumn id="2" xr3:uid="{79289752-9986-7F44-B6CD-BE005D676309}" name="attribute.index" dataDxfId="174"/>
    <tableColumn id="3" xr3:uid="{47082B48-EB41-BC40-94EA-809902A6AE4A}" name="attribute" dataDxfId="173"/>
    <tableColumn id="4" xr3:uid="{9D401F41-41BC-E14F-954E-9D0BD3F583D0}" name="supplement" dataDxfId="172"/>
    <tableColumn id="5" xr3:uid="{9B9341C7-60FF-FB4E-BA26-DB10530B0A92}" name="method.index" dataDxfId="171"/>
    <tableColumn id="6" xr3:uid="{FDBCEE2A-B1DD-1347-95C7-FD49E9FF174D}" name="method" dataDxfId="170"/>
    <tableColumn id="7" xr3:uid="{18A24558-BCE8-CE43-BB95-44E091D95F03}" name="ml" dataDxfId="169"/>
    <tableColumn id="8" xr3:uid="{E366786D-7BA6-A441-8EC2-E37D2FA495C8}" name="sample" dataDxfId="168"/>
    <tableColumn id="21" xr3:uid="{FBAA4B4B-19E8-D740-A464-DE7180D0C524}" name="var" dataDxfId="167">
      <calculatedColumnFormula>_xlfn.TEXTJOIN({"","-","k-","-","-suppl:","-"},TRUE,"ml",G2,H2,A2,C2,D2)</calculatedColumnFormula>
    </tableColumn>
    <tableColumn id="9" xr3:uid="{21D8E26F-7FF5-814D-A1AD-141726F764CC}" name="2g-no-hash" dataDxfId="166"/>
    <tableColumn id="10" xr3:uid="{C6B705C8-EF2A-1F4B-A120-71E779DEE394}" name="3g-no-hash" dataDxfId="165"/>
    <tableColumn id="11" xr3:uid="{CB5F23F3-D3EA-1E43-91CB-25FEE3195111}" name="4g-no-hash" dataDxfId="164"/>
    <tableColumn id="12" xr3:uid="{241965AE-2238-8D46-9C47-13C4B48FD4D4}" name="xsk2g-no-hash" dataDxfId="163"/>
    <tableColumn id="13" xr3:uid="{87B0510A-BDC3-6041-8ACB-991A222B5A8C}" name="xsk3g-no-hash" dataDxfId="162"/>
    <tableColumn id="14" xr3:uid="{A31C6E12-6617-B748-88C2-CB35DC889076}" name="xsk4g-no-hash" dataDxfId="161"/>
    <tableColumn id="15" xr3:uid="{8D393564-74FC-7642-9189-E29211AD6498}" name="2g-hash-at-both" dataDxfId="160"/>
    <tableColumn id="16" xr3:uid="{44A9D067-E470-0649-B63E-668802B9E45D}" name="3g-hash-at-both" dataDxfId="159"/>
    <tableColumn id="17" xr3:uid="{22AE43F7-61D8-E141-ACB4-ED227A475BF3}" name="4g-hash-at-both" dataDxfId="158"/>
    <tableColumn id="18" xr3:uid="{EBE63269-CA77-494B-833A-91FD610AC993}" name="xsk2g-hash-at-both" dataDxfId="157"/>
    <tableColumn id="19" xr3:uid="{28ED86B3-04B4-8F40-A953-4CF3B87012DC}" name="xsk3g-hash-at-both" dataDxfId="156"/>
    <tableColumn id="20" xr3:uid="{794B7DFB-C5EB-4245-97F4-3878B9E16059}" name="xsk4g-hash-at-both" dataDxfId="155"/>
    <tableColumn id="22" xr3:uid="{CF9D9C88-64E6-EF40-B4FF-2CE3DA0D6D8D}" name="max" dataDxfId="154">
      <calculatedColumnFormula>_xlfn.LET(_xlpm.d,J2:T2,MAX(_xlpm.d))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310F3C2-8B87-6144-A2FD-73529893744D}" name="Table18" displayName="Table18" ref="A8:V12" totalsRowShown="0" headerRowDxfId="153" tableBorderDxfId="152">
  <autoFilter ref="A8:V12" xr:uid="{A310F3C2-8B87-6144-A2FD-73529893744D}"/>
  <sortState xmlns:xlrd2="http://schemas.microsoft.com/office/spreadsheetml/2017/richdata2" ref="A9:U12">
    <sortCondition descending="1" ref="H8:H12"/>
  </sortState>
  <tableColumns count="22">
    <tableColumn id="1" xr3:uid="{ABD05C4C-C23E-7040-8B54-3062B86679C0}" name="lang"/>
    <tableColumn id="2" xr3:uid="{5D05C351-B9EE-1845-A055-5491F15C6B9B}" name="attribute.index"/>
    <tableColumn id="3" xr3:uid="{9E0FF1F6-5F20-C04E-8D19-381DABD42315}" name="attribute"/>
    <tableColumn id="4" xr3:uid="{08B3D3CA-172C-084C-BD7F-278838B43FAE}" name="supplement"/>
    <tableColumn id="5" xr3:uid="{539CB476-17F2-0246-8E5D-6373601CE134}" name="method.index"/>
    <tableColumn id="6" xr3:uid="{5CA18A5F-A358-7D40-ABCB-5114437CA68F}" name="method"/>
    <tableColumn id="7" xr3:uid="{7E1FBC6A-D77D-F440-AA90-D895FB2940A3}" name="ml" dataDxfId="151"/>
    <tableColumn id="8" xr3:uid="{296F6D0E-3252-F249-9680-1C8B168DA8B5}" name="sample"/>
    <tableColumn id="21" xr3:uid="{02E8055C-86A4-4D42-99CA-BBC6AF8BFF25}" name="var" dataDxfId="150">
      <calculatedColumnFormula>_xlfn.TEXTJOIN({"","-","k-","-","-suppl:","-"},TRUE,"ml",G9,H9,A9,C9,D9)</calculatedColumnFormula>
    </tableColumn>
    <tableColumn id="9" xr3:uid="{6D606557-4281-A24C-9BC2-8A0C49D30663}" name="2g-no-hash"/>
    <tableColumn id="10" xr3:uid="{5DFE250F-AF9E-D74F-ACDC-34EAD601A5CC}" name="3g-no-hash"/>
    <tableColumn id="11" xr3:uid="{3CC70F7D-A10A-9044-9B13-D3A6660DDF5E}" name="4g-no-hash"/>
    <tableColumn id="12" xr3:uid="{B241AC89-271F-8247-9AF6-E388E5779DCA}" name="xsk2g-no-hash"/>
    <tableColumn id="13" xr3:uid="{C7E4DDD0-52F7-034B-BB07-552777B4B339}" name="xsk3g-no-hash"/>
    <tableColumn id="14" xr3:uid="{23DF3CAE-8E4D-2E47-9E93-33F20BEFAF75}" name="xsk4g-no-hash"/>
    <tableColumn id="15" xr3:uid="{05251815-FCF4-9747-BA9B-D8FDB3B86281}" name="2g-hash-at-both"/>
    <tableColumn id="16" xr3:uid="{A6EFDE52-285B-2E4B-BA16-B2E48BFE27D0}" name="3g-hash-at-both"/>
    <tableColumn id="17" xr3:uid="{E4D67032-19CF-3F4F-AA05-8ABEBE2C1B3A}" name="4g-hash-at-both"/>
    <tableColumn id="18" xr3:uid="{9E85EB0B-0695-EB40-9F75-5D6F9097A766}" name="xsk2g-hash-at-both"/>
    <tableColumn id="19" xr3:uid="{3ECEE02C-BA1D-F14E-9CB2-13E5B9BE4B18}" name="xsk3g-hash-at-both"/>
    <tableColumn id="20" xr3:uid="{B7D1E200-D876-AB44-AA71-BE9250C349F0}" name="xsk4g-hash-at-both"/>
    <tableColumn id="22" xr3:uid="{F8E788BC-1B1F-D041-872C-6D04719075AB}" name="max" dataDxfId="149">
      <calculatedColumnFormula>_xlfn.LET(_xlpm.d,J9:T9,MAX(_xlpm.d))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AC66A05-4013-EF46-946C-B6EFA90E00F1}" name="Table19" displayName="Table19" ref="A15:V19" totalsRowShown="0" headerRowDxfId="148" tableBorderDxfId="147">
  <autoFilter ref="A15:V19" xr:uid="{0AC66A05-4013-EF46-946C-B6EFA90E00F1}"/>
  <sortState xmlns:xlrd2="http://schemas.microsoft.com/office/spreadsheetml/2017/richdata2" ref="A16:U19">
    <sortCondition ref="G15:G19"/>
  </sortState>
  <tableColumns count="22">
    <tableColumn id="1" xr3:uid="{6D72FD0D-D7C0-D54C-AD86-FC46EBD59DBA}" name="lang"/>
    <tableColumn id="2" xr3:uid="{4AAF513E-4E5A-A047-8ADC-CBE3B15197B3}" name="attribute.index"/>
    <tableColumn id="3" xr3:uid="{30B7DB44-3366-2A4A-B34B-3D186DE032A5}" name="attribute"/>
    <tableColumn id="4" xr3:uid="{E7C376EC-BB02-BA4D-BCA8-2BEAB32668DA}" name="supplement"/>
    <tableColumn id="5" xr3:uid="{0E09DA68-EEF9-2C41-9632-148FFC5E804B}" name="method.index"/>
    <tableColumn id="6" xr3:uid="{B625C1A3-30B0-614E-91DE-A8CBF0447CFC}" name="method"/>
    <tableColumn id="7" xr3:uid="{F3267743-81B1-394B-8C6A-52830009235F}" name="ml" dataDxfId="146"/>
    <tableColumn id="8" xr3:uid="{8BC06710-2857-9B49-84F3-5BFFC487EC28}" name="sample"/>
    <tableColumn id="21" xr3:uid="{7D975639-13C0-C442-9B13-2F0A67FCB11E}" name="var" dataDxfId="145">
      <calculatedColumnFormula>_xlfn.TEXTJOIN({"","-","k-","-","-suppl:","-"},TRUE,"ml",G16,H16,A16,C16,D16)</calculatedColumnFormula>
    </tableColumn>
    <tableColumn id="9" xr3:uid="{5D760736-AA21-004B-8D39-5BDF65E2CE3E}" name="2g-no-hash"/>
    <tableColumn id="10" xr3:uid="{6C202BCA-686E-6E4D-A7B5-D115203C2B69}" name="3g-no-hash"/>
    <tableColumn id="11" xr3:uid="{E26BA085-6897-A44A-941F-06AD94EC803F}" name="4g-no-hash"/>
    <tableColumn id="12" xr3:uid="{1CEAE802-9908-C343-B9FD-CA27BBF2F69A}" name="xsk2g-no-hash"/>
    <tableColumn id="13" xr3:uid="{576CA549-C779-FF4A-9B54-F4635929B462}" name="xsk3g-no-hash"/>
    <tableColumn id="14" xr3:uid="{3B5A5BD2-8A4F-814F-9B58-54B8169A20C8}" name="xsk4g-no-hash"/>
    <tableColumn id="15" xr3:uid="{B623AEDD-7094-C34A-B24B-4D4E9D4203D7}" name="2g-hash-at-both"/>
    <tableColumn id="16" xr3:uid="{65CD250F-2A4B-BA43-B46F-AA2EC8C4C714}" name="3g-hash-at-both"/>
    <tableColumn id="17" xr3:uid="{9C230E61-28E7-FC40-984E-610F4568A38A}" name="4g-hash-at-both"/>
    <tableColumn id="18" xr3:uid="{19DF6E6A-0DD6-7143-BB7D-FB0BFD7EB9BD}" name="xsk2g-hash-at-both"/>
    <tableColumn id="19" xr3:uid="{734554F5-D95A-394D-BBEE-92E3C49E54AB}" name="xsk3g-hash-at-both"/>
    <tableColumn id="20" xr3:uid="{32E10DD0-6930-5645-9089-B7E607EB05E7}" name="xsk4g-hash-at-both"/>
    <tableColumn id="22" xr3:uid="{E7E73336-72C0-5C47-B8C9-50A3A0142E1F}" name="max" dataDxfId="144">
      <calculatedColumnFormula>_xlfn.LET(_xlpm.d,J16:T16,MAX(_xlpm.d))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1A43BE0-DE44-424F-A996-1F757A670B1A}" name="Table20" displayName="Table20" ref="A22:V26" totalsRowShown="0" headerRowDxfId="143" tableBorderDxfId="142">
  <autoFilter ref="A22:V26" xr:uid="{11A43BE0-DE44-424F-A996-1F757A670B1A}"/>
  <sortState xmlns:xlrd2="http://schemas.microsoft.com/office/spreadsheetml/2017/richdata2" ref="A23:U26">
    <sortCondition ref="G22:G26"/>
  </sortState>
  <tableColumns count="22">
    <tableColumn id="1" xr3:uid="{1253FC50-8183-CE4D-AE42-FD2C9476BE41}" name="lang"/>
    <tableColumn id="2" xr3:uid="{5140B78F-F5C5-9549-A03B-D86BB0F72F26}" name="attribute.index"/>
    <tableColumn id="3" xr3:uid="{97B68EEE-EAAC-2649-AB31-0B0CC7ABA432}" name="attribute"/>
    <tableColumn id="4" xr3:uid="{68ADCC08-BA06-7B4C-88A5-AD15B6461480}" name="supplement"/>
    <tableColumn id="5" xr3:uid="{FC0F4BBC-4840-9043-908F-51077519D310}" name="method.index"/>
    <tableColumn id="6" xr3:uid="{212E16CE-3D07-F44E-86B0-811CE990D31D}" name="method"/>
    <tableColumn id="7" xr3:uid="{BFC4A0A1-5D87-F547-AF0A-AB020EF326B6}" name="ml" dataDxfId="141"/>
    <tableColumn id="8" xr3:uid="{76DACB40-FA88-4A47-80DA-E8C30292D444}" name="sample"/>
    <tableColumn id="21" xr3:uid="{25FE4B79-2DB7-0A46-8545-1B48DAA37EC0}" name="var" dataDxfId="140">
      <calculatedColumnFormula>_xlfn.TEXTJOIN({"","-","k-","-","-suppl:","-"},TRUE,"ml",G23,H23,A23,C23,D23)</calculatedColumnFormula>
    </tableColumn>
    <tableColumn id="9" xr3:uid="{EB79C7CD-F6AB-A240-9217-18BB6E4A84ED}" name="2g-no-hash"/>
    <tableColumn id="10" xr3:uid="{3C3D2F4D-261F-9940-889F-DA7915075E27}" name="3g-no-hash"/>
    <tableColumn id="11" xr3:uid="{677F02DC-3433-9A41-BBC4-9E6014057672}" name="4g-no-hash"/>
    <tableColumn id="12" xr3:uid="{8F7EE5F7-DAB7-8D4B-9B05-5C651937897E}" name="xsk2g-no-hash"/>
    <tableColumn id="13" xr3:uid="{25217851-680A-224D-B48D-6786F399481F}" name="xsk3g-no-hash"/>
    <tableColumn id="14" xr3:uid="{ECC57184-8BD3-9242-98C4-C7027CCCD964}" name="xsk4g-no-hash"/>
    <tableColumn id="15" xr3:uid="{824F0E21-6CFD-634F-9581-B9FEA4BC0D83}" name="2g-hash-at-both"/>
    <tableColumn id="16" xr3:uid="{DF3A895E-96F1-484F-8B4E-CBFD39578634}" name="3g-hash-at-both"/>
    <tableColumn id="17" xr3:uid="{D1030C9C-EB6A-8C40-9555-E0C018DAC5EE}" name="4g-hash-at-both"/>
    <tableColumn id="18" xr3:uid="{09C23254-8601-EC46-B352-0E009C9D6562}" name="xsk2g-hash-at-both"/>
    <tableColumn id="19" xr3:uid="{FE6B2A18-B682-CF40-8C4D-D95DBE21F6F7}" name="xsk3g-hash-at-both"/>
    <tableColumn id="20" xr3:uid="{07FB3FFB-6337-B640-BB91-6583F7E9FE79}" name="xsk4g-hash-at-both"/>
    <tableColumn id="22" xr3:uid="{5DEB2C6D-6D62-B54E-87A5-4E098791A429}" name="max" dataDxfId="139">
      <calculatedColumnFormula>_xlfn.LET(_xlpm.d,J23:T23,MAX(_xlpm.d))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1B92A3A-DAC9-0B47-BB0D-C131D27B59AC}" name="Table21" displayName="Table21" ref="A29:V33" totalsRowShown="0" headerRowDxfId="138" tableBorderDxfId="137">
  <autoFilter ref="A29:V33" xr:uid="{71B92A3A-DAC9-0B47-BB0D-C131D27B59AC}"/>
  <sortState xmlns:xlrd2="http://schemas.microsoft.com/office/spreadsheetml/2017/richdata2" ref="A30:U33">
    <sortCondition ref="G29:G33"/>
  </sortState>
  <tableColumns count="22">
    <tableColumn id="1" xr3:uid="{CFB1DB43-B35C-4747-946D-E2D90E18698A}" name="lang"/>
    <tableColumn id="2" xr3:uid="{75AD2146-BC02-9542-A9E4-C62B02DA710D}" name="attribute.index"/>
    <tableColumn id="3" xr3:uid="{4F587539-6AAA-CA4F-B146-335FF2277696}" name="attribute"/>
    <tableColumn id="4" xr3:uid="{774BCCB1-8685-C846-A1AE-A3E33563C9DB}" name="supplement"/>
    <tableColumn id="5" xr3:uid="{DB462237-3E05-3047-878A-628CE4B6C765}" name="method.index"/>
    <tableColumn id="6" xr3:uid="{BDDDC413-4D60-374B-9A34-323C5C6F6700}" name="method"/>
    <tableColumn id="7" xr3:uid="{70037FEF-6ECE-B443-BCC2-3C7BFB733425}" name="ml" dataDxfId="136"/>
    <tableColumn id="8" xr3:uid="{6B5C538D-EC74-024D-B036-677D8C05EE47}" name="sample"/>
    <tableColumn id="21" xr3:uid="{34832294-86A8-104B-8E94-4A75EFFDD352}" name="var" dataDxfId="135">
      <calculatedColumnFormula>_xlfn.TEXTJOIN({"","-","k-","-","-suppl:","-"},TRUE,"ml",G30,H30,A30,C30,D30)</calculatedColumnFormula>
    </tableColumn>
    <tableColumn id="9" xr3:uid="{287DD20C-74ED-0442-8E1B-175ADCD625EE}" name="2g-no-hash"/>
    <tableColumn id="10" xr3:uid="{048CA4C3-F221-704E-9CC0-895CB92E3727}" name="3g-no-hash"/>
    <tableColumn id="11" xr3:uid="{AFA9C4C3-5B68-274D-850C-AFAF445E744B}" name="4g-no-hash"/>
    <tableColumn id="12" xr3:uid="{00136F3E-9E91-B94C-8637-2C06CDCB399A}" name="xsk2g-no-hash"/>
    <tableColumn id="13" xr3:uid="{F85DC81C-F69D-F84F-8E44-18B45D85F785}" name="xsk3g-no-hash"/>
    <tableColumn id="14" xr3:uid="{368D05A2-2655-DE49-8ACC-BCAC890EDDFD}" name="xsk4g-no-hash"/>
    <tableColumn id="15" xr3:uid="{CFD672EA-BFC2-7544-8F43-E1B93B36A189}" name="2g-hash-at-both"/>
    <tableColumn id="16" xr3:uid="{0409C177-638E-8C42-ABF9-F5363D4DD2F5}" name="3g-hash-at-both"/>
    <tableColumn id="17" xr3:uid="{091A9CFC-7607-D248-A1D2-503D14FF7949}" name="4g-hash-at-both"/>
    <tableColumn id="18" xr3:uid="{B014E544-4CC7-BA4B-8A32-F82BE4BFA27C}" name="xsk2g-hash-at-both"/>
    <tableColumn id="19" xr3:uid="{E5166787-6956-3E47-A171-3BB760A87635}" name="xsk3g-hash-at-both"/>
    <tableColumn id="20" xr3:uid="{B842EF27-B3D8-324D-95BC-F466F3678301}" name="xsk4g-hash-at-both"/>
    <tableColumn id="22" xr3:uid="{673077EE-FE89-C844-BD7D-675C4A266AB7}" name="max" dataDxfId="134">
      <calculatedColumnFormula>_xlfn.LET(_xlpm.d,J30:T30,MAX(_xlpm.d))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897541B0-F457-FF43-9DAB-006B7A7E30D1}" name="Table22" displayName="Table22" ref="A36:V40" totalsRowShown="0" headerRowDxfId="133" tableBorderDxfId="132">
  <autoFilter ref="A36:V40" xr:uid="{897541B0-F457-FF43-9DAB-006B7A7E30D1}"/>
  <sortState xmlns:xlrd2="http://schemas.microsoft.com/office/spreadsheetml/2017/richdata2" ref="A37:U40">
    <sortCondition ref="G36:G40"/>
  </sortState>
  <tableColumns count="22">
    <tableColumn id="1" xr3:uid="{DA54905B-F877-134B-9007-1BE1C2F7DDA5}" name="lang"/>
    <tableColumn id="2" xr3:uid="{2CB3CD3F-A66A-2944-A753-30474A034E12}" name="attribute.index"/>
    <tableColumn id="3" xr3:uid="{43705036-AE85-9B49-8075-FE1FF6DC9B83}" name="attribute"/>
    <tableColumn id="4" xr3:uid="{9735BCDE-11FF-F048-89F8-57D01F368174}" name="supplement"/>
    <tableColumn id="5" xr3:uid="{924F77F5-46B9-7148-AF5F-BA902F69174F}" name="method.index"/>
    <tableColumn id="6" xr3:uid="{897D1E18-0A39-BA40-8D31-F484184348DC}" name="method"/>
    <tableColumn id="7" xr3:uid="{26CA8DB5-EE25-4B40-A44A-4B3DBC68C5F5}" name="ml" dataDxfId="131"/>
    <tableColumn id="8" xr3:uid="{2B6A9916-68AB-8E45-BDC3-F663180FA2FD}" name="sample"/>
    <tableColumn id="21" xr3:uid="{7DB45073-D754-904E-BEA9-FBB95C933A43}" name="var" dataDxfId="130">
      <calculatedColumnFormula>_xlfn.TEXTJOIN({"","-","k-","-","-suppl:","-"},TRUE,"ml",G37,H37,A37,C37,D37)</calculatedColumnFormula>
    </tableColumn>
    <tableColumn id="9" xr3:uid="{2245193E-C133-7E42-BC82-8FD8AF20BE31}" name="2g-no-hash"/>
    <tableColumn id="10" xr3:uid="{D528C58D-142C-7B4B-BC09-1F0B1E777E7D}" name="3g-no-hash"/>
    <tableColumn id="11" xr3:uid="{FF0BB617-DDC2-F84D-8F30-5AB93367956F}" name="4g-no-hash"/>
    <tableColumn id="12" xr3:uid="{A115A404-CF39-6444-A93E-090368E25BD7}" name="xsk2g-no-hash"/>
    <tableColumn id="13" xr3:uid="{00300682-428E-4C4B-95C5-21BA23575C29}" name="xsk3g-no-hash"/>
    <tableColumn id="14" xr3:uid="{BAEEC922-C532-8C44-BB78-8F0514936A75}" name="xsk4g-no-hash"/>
    <tableColumn id="15" xr3:uid="{F79B776B-3634-7C46-8F64-67DB1B0F9ED0}" name="2g-hash-at-both"/>
    <tableColumn id="16" xr3:uid="{867A2FBF-48C6-7A40-AD9E-EFC2F4F6C56D}" name="3g-hash-at-both"/>
    <tableColumn id="17" xr3:uid="{AD40F758-4B9B-4F4A-A993-0D0217939326}" name="4g-hash-at-both"/>
    <tableColumn id="18" xr3:uid="{A5F15E5D-D559-BB41-A7D1-0FD826E00D38}" name="xsk2g-hash-at-both"/>
    <tableColumn id="19" xr3:uid="{A92101F6-260C-4E43-937D-D6C4E762C20E}" name="xsk3g-hash-at-both"/>
    <tableColumn id="20" xr3:uid="{8139A429-C3A5-004A-A823-BA1BE31F4E0D}" name="xsk4g-hash-at-both"/>
    <tableColumn id="23" xr3:uid="{64EE52A0-D8CB-BE4A-A27C-8BA83546D415}" name="max" dataDxfId="129">
      <calculatedColumnFormula>_xlfn.LET(_xlpm.d,J37:T37,MAX(_xlpm.d))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16F4647-0403-454A-9D15-AA0FF8411E8C}" name="Table12" displayName="Table12" ref="A1:S19" totalsRowShown="0">
  <autoFilter ref="A1:S19" xr:uid="{616F4647-0403-454A-9D15-AA0FF8411E8C}"/>
  <sortState xmlns:xlrd2="http://schemas.microsoft.com/office/spreadsheetml/2017/richdata2" ref="A2:S19">
    <sortCondition ref="B1:B19"/>
  </sortState>
  <tableColumns count="19">
    <tableColumn id="1" xr3:uid="{B16B8CC7-5B63-4842-A708-0A8B1C16F2EB}" name="lang"/>
    <tableColumn id="2" xr3:uid="{AB026572-797B-8F48-B24E-33692707E1CA}" name="attribute.index"/>
    <tableColumn id="3" xr3:uid="{584CB81D-3BC3-F642-A3B1-2BC725ACEA66}" name="attribute"/>
    <tableColumn id="4" xr3:uid="{AAA2EDB8-0D10-1848-AF8D-7761EA989028}" name="supplement"/>
    <tableColumn id="5" xr3:uid="{01A8B0A4-35AF-8246-B0F8-8767A1C736D8}" name="method.index"/>
    <tableColumn id="6" xr3:uid="{45901F38-9AE8-8447-8645-6F95FB0ED5F8}" name="method"/>
    <tableColumn id="7" xr3:uid="{89556549-119B-C843-B2DF-16F3EE04DBEB}" name="2g-no-hash" dataDxfId="128"/>
    <tableColumn id="8" xr3:uid="{382789C9-9E79-5342-BA9E-91205321B3AE}" name="3g-no-hash" dataDxfId="127"/>
    <tableColumn id="9" xr3:uid="{537946EB-1DA6-524B-9774-BBCC73ECDD04}" name="4g-no-hash" dataDxfId="126"/>
    <tableColumn id="10" xr3:uid="{02459E8F-BB53-2E43-9596-B163149A09CA}" name="xsk2g-no-hash" dataDxfId="125"/>
    <tableColumn id="11" xr3:uid="{4C273D80-41E8-F04C-9297-39AC3F7E7111}" name="xsk3g-no-hash" dataDxfId="124"/>
    <tableColumn id="12" xr3:uid="{7C22EF3F-775E-834B-8D51-226F1309B52E}" name="xsk4g-no-hash" dataDxfId="123"/>
    <tableColumn id="13" xr3:uid="{2EC90B78-82EF-3045-992D-6F63ACB2D232}" name="2g-hash-at-both" dataDxfId="122"/>
    <tableColumn id="14" xr3:uid="{301CA17B-E6A0-B646-89C7-5D583C26F1A0}" name="3g-hash-at-both" dataDxfId="121"/>
    <tableColumn id="15" xr3:uid="{353C96B9-8E94-DB40-83D6-B62CF24F8123}" name="4g-hash-at-both" dataDxfId="120"/>
    <tableColumn id="16" xr3:uid="{0EDFDCB3-C050-4740-80EF-E864BFAD6A79}" name="xsk2g-hash-at-both" dataDxfId="119"/>
    <tableColumn id="17" xr3:uid="{F1136C7E-563B-EA49-BF55-457F412B75F7}" name="xsk3g-hash-at-both" dataDxfId="118"/>
    <tableColumn id="18" xr3:uid="{E5F0C86E-8424-E04D-8874-60DFB1CC085A}" name="xsk4g-hash-at-both" dataDxfId="117"/>
    <tableColumn id="19" xr3:uid="{7992A351-422B-F14B-A982-BE08DEBCAFF5}" name="max" dataDxfId="116">
      <calculatedColumnFormula>_xlfn.LET(_xlpm.d,$G2:$R2,MAX(_xlpm.d))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7D28673-FEE1-7644-AF9B-5CF63EA2E264}" name="Table13" displayName="Table13" ref="B22:S28" totalsRowShown="0">
  <autoFilter ref="B22:S28" xr:uid="{37D28673-FEE1-7644-AF9B-5CF63EA2E264}"/>
  <tableColumns count="18">
    <tableColumn id="1" xr3:uid="{6F159333-05B4-0047-8248-061F4E08FC39}" name="attribute.index"/>
    <tableColumn id="2" xr3:uid="{BA48BFA7-B0C7-1445-A829-1854E118D3C2}" name="attribute"/>
    <tableColumn id="3" xr3:uid="{27072A21-A57F-E347-BCC3-E9A7943FEAA2}" name="supplemented"/>
    <tableColumn id="4" xr3:uid="{AB194650-C313-1149-9BEE-A8472D9A9601}" name="method.index"/>
    <tableColumn id="5" xr3:uid="{AAE4D5CC-562F-B14B-B457-30D83FABA665}" name="metric"/>
    <tableColumn id="6" xr3:uid="{9AE37450-BB36-944D-BFD8-CCC3DB4885E0}" name="2g-no-hash" dataDxfId="115">
      <calculatedColumnFormula array="1">_xlfn.LET(_xlpm.d,G$2:G$19,_xlpm.a,$C$2:$C$19=$C23,_xlpm.b,$D$2:$D$19=$D23,MAX(_xlfn._xlws.FILTER(_xlpm.d,_xlpm.a*_xlpm.b)))</calculatedColumnFormula>
    </tableColumn>
    <tableColumn id="7" xr3:uid="{391B587E-4CFE-6541-9C86-35B591EBF209}" name="3g-no-hash" dataDxfId="114">
      <calculatedColumnFormula array="1">_xlfn.LET(_xlpm.d,H$2:H$19,_xlpm.a,$C$2:$C$19=$C23,_xlpm.b,$D$2:$D$19=$D23,MAX(_xlfn._xlws.FILTER(_xlpm.d,_xlpm.a*_xlpm.b)))</calculatedColumnFormula>
    </tableColumn>
    <tableColumn id="8" xr3:uid="{235A3347-F1A6-0C44-B361-DE6BE184744F}" name="4g-no-hash" dataDxfId="113">
      <calculatedColumnFormula array="1">_xlfn.LET(_xlpm.d,I$2:I$19,_xlpm.a,$C$2:$C$19=$C23,_xlpm.b,$D$2:$D$19=$D23,MAX(_xlfn._xlws.FILTER(_xlpm.d,_xlpm.a*_xlpm.b)))</calculatedColumnFormula>
    </tableColumn>
    <tableColumn id="9" xr3:uid="{DAD3E907-BE0C-2843-8C26-24FBB5158350}" name="xsk2g-no-hash" dataDxfId="112">
      <calculatedColumnFormula array="1">_xlfn.LET(_xlpm.d,J$2:J$19,_xlpm.a,$C$2:$C$19=$C23,_xlpm.b,$D$2:$D$19=$D23,MAX(_xlfn._xlws.FILTER(_xlpm.d,_xlpm.a*_xlpm.b)))</calculatedColumnFormula>
    </tableColumn>
    <tableColumn id="10" xr3:uid="{DB7BB2D8-2A25-8145-A4EF-CA0D7412FC47}" name="xsk3g-no-hash" dataDxfId="111">
      <calculatedColumnFormula array="1">_xlfn.LET(_xlpm.d,K$2:K$19,_xlpm.a,$C$2:$C$19=$C23,_xlpm.b,$D$2:$D$19=$D23,MAX(_xlfn._xlws.FILTER(_xlpm.d,_xlpm.a*_xlpm.b)))</calculatedColumnFormula>
    </tableColumn>
    <tableColumn id="11" xr3:uid="{67474F6D-2EFA-4347-B416-59FD0F4648B0}" name="xsk4g-no-hash" dataDxfId="110">
      <calculatedColumnFormula array="1">_xlfn.LET(_xlpm.d,L$2:L$19,_xlpm.a,$C$2:$C$19=$C23,_xlpm.b,$D$2:$D$19=$D23,MAX(_xlfn._xlws.FILTER(_xlpm.d,_xlpm.a*_xlpm.b)))</calculatedColumnFormula>
    </tableColumn>
    <tableColumn id="12" xr3:uid="{7FD4FB00-947E-7246-8B6E-225ECF3AD985}" name="2g-hash-at-both" dataDxfId="109">
      <calculatedColumnFormula array="1">_xlfn.LET(_xlpm.d,M$2:M$19,_xlpm.a,$C$2:$C$19=$C23,_xlpm.b,$D$2:$D$19=$D23,MAX(_xlfn._xlws.FILTER(_xlpm.d,_xlpm.a*_xlpm.b)))</calculatedColumnFormula>
    </tableColumn>
    <tableColumn id="13" xr3:uid="{02E80CD5-DE6B-434C-B544-38CA69147FA2}" name="3g-hash-at-both" dataDxfId="108">
      <calculatedColumnFormula array="1">_xlfn.LET(_xlpm.d,N$2:N$19,_xlpm.a,$C$2:$C$19=$C23,_xlpm.b,$D$2:$D$19=$D23,MAX(_xlfn._xlws.FILTER(_xlpm.d,_xlpm.a*_xlpm.b)))</calculatedColumnFormula>
    </tableColumn>
    <tableColumn id="14" xr3:uid="{5EB50D23-343B-004E-A377-40EC3C62E407}" name="4g-hash-at-both" dataDxfId="107">
      <calculatedColumnFormula array="1">_xlfn.LET(_xlpm.d,O$2:O$19,_xlpm.a,$C$2:$C$19=$C23,_xlpm.b,$D$2:$D$19=$D23,MAX(_xlfn._xlws.FILTER(_xlpm.d,_xlpm.a*_xlpm.b)))</calculatedColumnFormula>
    </tableColumn>
    <tableColumn id="15" xr3:uid="{718E8777-D121-8B47-93C8-85474CA623C2}" name="xsk2g-hash-at-both" dataDxfId="106">
      <calculatedColumnFormula array="1">_xlfn.LET(_xlpm.d,P$2:P$19,_xlpm.a,$C$2:$C$19=$C23,_xlpm.b,$D$2:$D$19=$D23,MAX(_xlfn._xlws.FILTER(_xlpm.d,_xlpm.a*_xlpm.b)))</calculatedColumnFormula>
    </tableColumn>
    <tableColumn id="16" xr3:uid="{853DC626-B9CA-354A-9985-BA80C69FB821}" name="xsk3g-hash-at-both" dataDxfId="105">
      <calculatedColumnFormula array="1">_xlfn.LET(_xlpm.d,Q$2:Q$19,_xlpm.a,$C$2:$C$19=$C23,_xlpm.b,$D$2:$D$19=$D23,MAX(_xlfn._xlws.FILTER(_xlpm.d,_xlpm.a*_xlpm.b)))</calculatedColumnFormula>
    </tableColumn>
    <tableColumn id="17" xr3:uid="{BCDD3A40-A8A8-0044-9281-BE823BF823B9}" name="xsk4g-hash-at-both" dataDxfId="104">
      <calculatedColumnFormula array="1">_xlfn.LET(_xlpm.d,R$2:R$19,_xlpm.a,$C$2:$C$19=$C23,_xlpm.b,$D$2:$D$19=$D23,MAX(_xlfn._xlws.FILTER(_xlpm.d,_xlpm.a*_xlpm.b)))</calculatedColumnFormula>
    </tableColumn>
    <tableColumn id="18" xr3:uid="{C4BBBE98-6ACE-DC4E-B169-0F7742CE5BD5}" name="max" dataDxfId="103">
      <calculatedColumnFormula>_xlfn.LET(_xlpm.d,$G23:$R23,MAX(_xlpm.d))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CC5072-F047-8B44-8BB6-96052FE91454}" name="Table1" displayName="Table1" ref="A1:S19" totalsRowShown="0">
  <autoFilter ref="A1:S19" xr:uid="{AECC5072-F047-8B44-8BB6-96052FE91454}"/>
  <sortState xmlns:xlrd2="http://schemas.microsoft.com/office/spreadsheetml/2017/richdata2" ref="A2:S19">
    <sortCondition ref="B1:B19"/>
  </sortState>
  <tableColumns count="19">
    <tableColumn id="1" xr3:uid="{1327DC5E-DC70-8A4D-9B1F-3995AE90E6FD}" name="lang"/>
    <tableColumn id="2" xr3:uid="{5EF94ABC-9242-3F46-B0A6-BF578616549F}" name="attribute.index"/>
    <tableColumn id="3" xr3:uid="{7ABA1446-5876-F742-BFE2-C40E3818548C}" name="attribute"/>
    <tableColumn id="4" xr3:uid="{57C4556B-D00C-D24E-BADF-6D97D0CA4318}" name="supplement"/>
    <tableColumn id="5" xr3:uid="{988388D8-7223-204B-885D-63BE8FD231BA}" name="method.index"/>
    <tableColumn id="6" xr3:uid="{B6E039AA-5879-304A-BF97-3FD1C15339DC}" name="method"/>
    <tableColumn id="7" xr3:uid="{B547C5B4-5DE8-A540-9F99-C08EB5487E2F}" name="2g-no-hash" dataDxfId="102"/>
    <tableColumn id="8" xr3:uid="{61EE02A8-7C51-254F-8C4A-F987370F31B4}" name="3g-no-hash" dataDxfId="101"/>
    <tableColumn id="9" xr3:uid="{F7CEC792-9442-5845-B7FA-B7EB0C6BAFDB}" name="4g-no-hash" dataDxfId="100"/>
    <tableColumn id="10" xr3:uid="{48A3ABF5-42C0-B247-966C-F76FC9295319}" name="xsk2g-no-hash" dataDxfId="99"/>
    <tableColumn id="11" xr3:uid="{75523B27-FF4E-9041-B642-195593D373FD}" name="xsk3g-no-hash" dataDxfId="98"/>
    <tableColumn id="12" xr3:uid="{CE927920-C222-0044-863A-CD6CCEAB0264}" name="xsk4g-no-hash" dataDxfId="97"/>
    <tableColumn id="13" xr3:uid="{5355CE3B-D063-B74D-B6EE-829545E87A85}" name="2g-hash-at-both" dataDxfId="96"/>
    <tableColumn id="14" xr3:uid="{5A4024C9-DD8A-344F-A354-E76F042BB0C4}" name="3g-hash-at-both" dataDxfId="95"/>
    <tableColumn id="15" xr3:uid="{D0F84E10-490E-FC49-B941-5607004585D3}" name="4g-hash-at-both" dataDxfId="94"/>
    <tableColumn id="16" xr3:uid="{0BC3C2D0-5994-B046-991C-31524C3441D2}" name="xsk2g-hash-at-both" dataDxfId="93"/>
    <tableColumn id="17" xr3:uid="{3A798061-F077-CA49-859C-963FFBF75831}" name="xsk3g-hash-at-both" dataDxfId="92"/>
    <tableColumn id="18" xr3:uid="{36B31AED-5A21-3849-9CEF-A3C4A9D16F62}" name="xsk4g-hash-at-both" dataDxfId="91"/>
    <tableColumn id="19" xr3:uid="{D46E6BD6-2DB9-F94B-BE12-5609179FA557}" name="max" dataDxfId="90">
      <calculatedColumnFormula>_xlfn.LET(_xlpm.d,$G2:$R2,MAX(_xlpm.d))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692717F-4AD9-5A43-997B-DECCE73C02C3}" name="Table5" displayName="Table5" ref="B22:S28" totalsRowShown="0">
  <autoFilter ref="B22:S28" xr:uid="{0692717F-4AD9-5A43-997B-DECCE73C02C3}"/>
  <tableColumns count="18">
    <tableColumn id="1" xr3:uid="{0A4D604F-F8C1-0B4B-90C6-EAE050C704E4}" name="attribute.index"/>
    <tableColumn id="2" xr3:uid="{9D57305A-6224-C542-96F4-FBD9797D0BF6}" name="attribute"/>
    <tableColumn id="3" xr3:uid="{ABC18CB5-FED7-464B-993D-7CA8FB4F071A}" name="supplemented"/>
    <tableColumn id="4" xr3:uid="{847EC6B0-B5D5-F247-A98B-9ED19BC48F2A}" name="method.index"/>
    <tableColumn id="5" xr3:uid="{0ECBE385-F3F8-C340-8178-A4CB9B4B23B7}" name="metric"/>
    <tableColumn id="6" xr3:uid="{15590882-F724-4343-85D1-377170A0E8EE}" name="2g-no-hash" dataDxfId="89">
      <calculatedColumnFormula array="1">_xlfn.LET(_xlpm.d,G$2:G$19,_xlpm.a,$C$2:$C$19=$C23,_xlpm.b,$D$2:$D$19=$D23,MAX(_xlfn._xlws.FILTER(_xlpm.d,_xlpm.a*_xlpm.b)))</calculatedColumnFormula>
    </tableColumn>
    <tableColumn id="7" xr3:uid="{A52E75AE-F946-5447-8299-5982E85CF780}" name="3g-no-hash" dataDxfId="88">
      <calculatedColumnFormula array="1">_xlfn.LET(_xlpm.d,H$2:H$19,_xlpm.a,$C$2:$C$19=$C23,_xlpm.b,$D$2:$D$19=$D23,MAX(_xlfn._xlws.FILTER(_xlpm.d,_xlpm.a*_xlpm.b)))</calculatedColumnFormula>
    </tableColumn>
    <tableColumn id="8" xr3:uid="{CDC64800-2690-CF48-BD74-EC01BE5C66DC}" name="4g-no-hash" dataDxfId="87">
      <calculatedColumnFormula array="1">_xlfn.LET(_xlpm.d,I$2:I$19,_xlpm.a,$C$2:$C$19=$C23,_xlpm.b,$D$2:$D$19=$D23,MAX(_xlfn._xlws.FILTER(_xlpm.d,_xlpm.a*_xlpm.b)))</calculatedColumnFormula>
    </tableColumn>
    <tableColumn id="9" xr3:uid="{82E7043E-D5FC-8F41-AA0B-8E3099E7D351}" name="xsk2g-no-hash" dataDxfId="86">
      <calculatedColumnFormula array="1">_xlfn.LET(_xlpm.d,J$2:J$19,_xlpm.a,$C$2:$C$19=$C23,_xlpm.b,$D$2:$D$19=$D23,MAX(_xlfn._xlws.FILTER(_xlpm.d,_xlpm.a*_xlpm.b)))</calculatedColumnFormula>
    </tableColumn>
    <tableColumn id="10" xr3:uid="{DCA1203B-8423-0744-8464-5312746CD7F2}" name="xsk3g-no-hash" dataDxfId="85">
      <calculatedColumnFormula array="1">_xlfn.LET(_xlpm.d,K$2:K$19,_xlpm.a,$C$2:$C$19=$C23,_xlpm.b,$D$2:$D$19=$D23,MAX(_xlfn._xlws.FILTER(_xlpm.d,_xlpm.a*_xlpm.b)))</calculatedColumnFormula>
    </tableColumn>
    <tableColumn id="11" xr3:uid="{CA3B62F6-6129-A24A-9549-B8B366058E32}" name="xsk4g-no-hash" dataDxfId="84">
      <calculatedColumnFormula array="1">_xlfn.LET(_xlpm.d,L$2:L$19,_xlpm.a,$C$2:$C$19=$C23,_xlpm.b,$D$2:$D$19=$D23,MAX(_xlfn._xlws.FILTER(_xlpm.d,_xlpm.a*_xlpm.b)))</calculatedColumnFormula>
    </tableColumn>
    <tableColumn id="12" xr3:uid="{1A869223-8620-BD4F-9428-8E966A3DB61F}" name="2g-hash-at-both" dataDxfId="83">
      <calculatedColumnFormula array="1">_xlfn.LET(_xlpm.d,M$2:M$19,_xlpm.a,$C$2:$C$19=$C23,_xlpm.b,$D$2:$D$19=$D23,MAX(_xlfn._xlws.FILTER(_xlpm.d,_xlpm.a*_xlpm.b)))</calculatedColumnFormula>
    </tableColumn>
    <tableColumn id="13" xr3:uid="{24A6594B-092E-3C4F-8A5F-47E5BB46BB2E}" name="3g-hash-at-both" dataDxfId="82">
      <calculatedColumnFormula array="1">_xlfn.LET(_xlpm.d,N$2:N$19,_xlpm.a,$C$2:$C$19=$C23,_xlpm.b,$D$2:$D$19=$D23,MAX(_xlfn._xlws.FILTER(_xlpm.d,_xlpm.a*_xlpm.b)))</calculatedColumnFormula>
    </tableColumn>
    <tableColumn id="14" xr3:uid="{16D8FD4F-762F-2F43-867F-15E30B5AD39D}" name="4g-hash-at-both" dataDxfId="81">
      <calculatedColumnFormula array="1">_xlfn.LET(_xlpm.d,O$2:O$19,_xlpm.a,$C$2:$C$19=$C23,_xlpm.b,$D$2:$D$19=$D23,MAX(_xlfn._xlws.FILTER(_xlpm.d,_xlpm.a*_xlpm.b)))</calculatedColumnFormula>
    </tableColumn>
    <tableColumn id="15" xr3:uid="{76D12C91-CCEF-C848-BB96-F03B2CD62923}" name="xsk2g-hash-at-both" dataDxfId="80">
      <calculatedColumnFormula array="1">_xlfn.LET(_xlpm.d,P$2:P$19,_xlpm.a,$C$2:$C$19=$C23,_xlpm.b,$D$2:$D$19=$D23,MAX(_xlfn._xlws.FILTER(_xlpm.d,_xlpm.a*_xlpm.b)))</calculatedColumnFormula>
    </tableColumn>
    <tableColumn id="16" xr3:uid="{81B15818-6876-A44C-A260-2A604BAEBA82}" name="xsk3g-hash-at-both" dataDxfId="79">
      <calculatedColumnFormula array="1">_xlfn.LET(_xlpm.d,Q$2:Q$19,_xlpm.a,$C$2:$C$19=$C23,_xlpm.b,$D$2:$D$19=$D23,MAX(_xlfn._xlws.FILTER(_xlpm.d,_xlpm.a*_xlpm.b)))</calculatedColumnFormula>
    </tableColumn>
    <tableColumn id="17" xr3:uid="{68EEFDA4-F174-D544-B865-C8873AAC456B}" name="xsk4g-hash-at-both" dataDxfId="78">
      <calculatedColumnFormula array="1">_xlfn.LET(_xlpm.d,R$2:R$19,_xlpm.a,$C$2:$C$19=$C23,_xlpm.b,$D$2:$D$19=$D23,MAX(_xlfn._xlws.FILTER(_xlpm.d,_xlpm.a*_xlpm.b)))</calculatedColumnFormula>
    </tableColumn>
    <tableColumn id="18" xr3:uid="{305EE662-6124-4B43-A625-37C51A44D2EB}" name="max" dataDxfId="77">
      <calculatedColumnFormula>_xlfn.LET(_xlpm.d,$G23:$R23,MAX(_xlpm.d))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401E4AC-E1BD-4B46-BA1F-009F8AD77F50}" name="Table7" displayName="Table7" ref="B36:R42" totalsRowShown="0">
  <autoFilter ref="B36:R42" xr:uid="{C401E4AC-E1BD-4B46-BA1F-009F8AD77F50}"/>
  <tableColumns count="17">
    <tableColumn id="1" xr3:uid="{56B3EF89-7FD5-B942-BB80-1168A5FD3080}" name="attribute.index"/>
    <tableColumn id="2" xr3:uid="{B3B6F63C-9DCD-1145-9396-EEA93ED3F654}" name="attribute"/>
    <tableColumn id="3" xr3:uid="{26C64D56-F266-964B-84C2-81CC0155F159}" name="supplemented"/>
    <tableColumn id="4" xr3:uid="{3DD6726E-6154-7246-AD5A-A532BFD45820}" name="method.index"/>
    <tableColumn id="5" xr3:uid="{9EE0ACFE-5BFA-C545-B5E1-8AC65D7DA907}" name="metric"/>
    <tableColumn id="6" xr3:uid="{B25ED553-0048-354F-8E6A-9CA218DDA650}" name="2g-no-hash" dataDxfId="76">
      <calculatedColumnFormula>_xlfn.LET(_xlpm.d,$G23:$X23,RANK(G23,_xlpm.d))</calculatedColumnFormula>
    </tableColumn>
    <tableColumn id="7" xr3:uid="{43AF6FE3-AB63-2947-92C1-DFBC7EB0B01C}" name="3g-no-hash" dataDxfId="75">
      <calculatedColumnFormula>_xlfn.LET(_xlpm.d,$G23:$X23,RANK(H23,_xlpm.d))</calculatedColumnFormula>
    </tableColumn>
    <tableColumn id="8" xr3:uid="{68B4DDFF-FE87-1A4A-8AE5-2D25C1A0F149}" name="4g-no-hash" dataDxfId="74">
      <calculatedColumnFormula>_xlfn.LET(_xlpm.d,$G23:$X23,RANK(I23,_xlpm.d))</calculatedColumnFormula>
    </tableColumn>
    <tableColumn id="9" xr3:uid="{2660BFF4-80A4-BE42-ABDA-FD0CEC726255}" name="xsk2g-no-hash" dataDxfId="73">
      <calculatedColumnFormula>_xlfn.LET(_xlpm.d,$G23:$X23,RANK(J23,_xlpm.d))</calculatedColumnFormula>
    </tableColumn>
    <tableColumn id="10" xr3:uid="{EADBDB0B-2F23-484D-B529-BAB92E32C6CF}" name="xsk3g-no-hash" dataDxfId="72">
      <calculatedColumnFormula>_xlfn.LET(_xlpm.d,$G23:$X23,RANK(K23,_xlpm.d))</calculatedColumnFormula>
    </tableColumn>
    <tableColumn id="11" xr3:uid="{B5C4D9BB-9BB8-9C44-AEAB-770E9AA3A25C}" name="xsk4g-no-hash" dataDxfId="71">
      <calculatedColumnFormula>_xlfn.LET(_xlpm.d,$G23:$X23,RANK(L23,_xlpm.d))</calculatedColumnFormula>
    </tableColumn>
    <tableColumn id="12" xr3:uid="{DB7B33B1-2A72-E84E-BAD1-F7CAC688F8FE}" name="2g-hash-at-both" dataDxfId="70">
      <calculatedColumnFormula>_xlfn.LET(_xlpm.d,$G23:$X23,RANK(M23,_xlpm.d))</calculatedColumnFormula>
    </tableColumn>
    <tableColumn id="13" xr3:uid="{6A1E6416-EF0B-7743-B8BA-75D1227DD32C}" name="3g-hash-at-both" dataDxfId="69">
      <calculatedColumnFormula>_xlfn.LET(_xlpm.d,$G23:$X23,RANK(N23,_xlpm.d))</calculatedColumnFormula>
    </tableColumn>
    <tableColumn id="14" xr3:uid="{5E6B89E7-58A3-904C-9E47-0E3C51164BB7}" name="4g-hash-at-both" dataDxfId="68">
      <calculatedColumnFormula>_xlfn.LET(_xlpm.d,$G23:$X23,RANK(O23,_xlpm.d))</calculatedColumnFormula>
    </tableColumn>
    <tableColumn id="15" xr3:uid="{21219D4A-B484-A546-8EDD-17BC82C048DA}" name="xsk2g-hash-at-both" dataDxfId="67">
      <calculatedColumnFormula>_xlfn.LET(_xlpm.d,$G23:$X23,RANK(P23,_xlpm.d))</calculatedColumnFormula>
    </tableColumn>
    <tableColumn id="16" xr3:uid="{3F4A3F78-7141-834C-94FF-F2D1E1F5E38D}" name="xsk3g-hash-at-both" dataDxfId="66">
      <calculatedColumnFormula>_xlfn.LET(_xlpm.d,$G23:$X23,RANK(Q23,_xlpm.d))</calculatedColumnFormula>
    </tableColumn>
    <tableColumn id="17" xr3:uid="{7A5E4F7B-263F-8A4C-B443-A6716A44D562}" name="xsk4g-hash-at-both" dataDxfId="65">
      <calculatedColumnFormula>_xlfn.LET(_xlpm.d,$G23:$X23,RANK(R23,_xlpm.d))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8AA9E6E-9BDF-1C41-9893-B2A889CB478D}" name="Table110" displayName="Table110" ref="A1:S19" totalsRowShown="0">
  <autoFilter ref="A1:S19" xr:uid="{62C33DBD-BDE4-1C46-98BA-06D036BEAD6C}"/>
  <sortState xmlns:xlrd2="http://schemas.microsoft.com/office/spreadsheetml/2017/richdata2" ref="A2:S19">
    <sortCondition ref="B1:B19"/>
  </sortState>
  <tableColumns count="19">
    <tableColumn id="1" xr3:uid="{612E2458-8E74-E246-967D-A1170869A747}" name="lang"/>
    <tableColumn id="18" xr3:uid="{89A23AED-ED8C-9A49-8C70-5D1DEB97FE73}" name="attribute.index"/>
    <tableColumn id="2" xr3:uid="{37C7A035-F8C8-5C4E-B4DF-D5CA0A5AA5C0}" name="attribute"/>
    <tableColumn id="3" xr3:uid="{D031297D-F6F0-F945-A74D-A8BAE29FEE55}" name="supplement"/>
    <tableColumn id="19" xr3:uid="{2A2BCDDA-0C60-DC40-AF52-00C0532F7B82}" name="method.index"/>
    <tableColumn id="4" xr3:uid="{19FC2FCD-ECC9-D442-A745-B77EC4D15D13}" name="method"/>
    <tableColumn id="5" xr3:uid="{61F795D1-9E55-AB44-89F2-30248F7E7921}" name="2g-no-hash" dataDxfId="64"/>
    <tableColumn id="6" xr3:uid="{BA3712E0-7A40-E642-9775-AE6726A869D6}" name="3g-no-hash" dataDxfId="63"/>
    <tableColumn id="7" xr3:uid="{3E362E7F-22CE-E54F-9E30-F0DD80594D23}" name="4g-no-hash" dataDxfId="62"/>
    <tableColumn id="8" xr3:uid="{50A69ACA-7DD9-E64F-9494-40EBEAAAD1C4}" name="xsk2g-no-hash" dataDxfId="61"/>
    <tableColumn id="9" xr3:uid="{1DE1AB3A-CCB6-3F44-B627-CABF64E6B6F6}" name="xsk3g-no-hash" dataDxfId="60"/>
    <tableColumn id="10" xr3:uid="{6263A08D-944F-544F-8AEE-E306F3E4ACF4}" name="xsk4g-no-hash" dataDxfId="59"/>
    <tableColumn id="11" xr3:uid="{3DA6AB8A-AD01-4845-B5BE-43566F03A32A}" name="2g-hash-at-both" dataDxfId="58"/>
    <tableColumn id="12" xr3:uid="{04215951-6057-AD49-AB22-8B071068C09D}" name="3g-hash-at-both" dataDxfId="57"/>
    <tableColumn id="13" xr3:uid="{7D4FDBA7-8A34-9D44-B243-20E6BC181153}" name="4g-hash-at-both" dataDxfId="56"/>
    <tableColumn id="14" xr3:uid="{FE537402-E705-644F-A11E-E90E23B298C0}" name="xsk2g-hash-at-both" dataDxfId="55"/>
    <tableColumn id="15" xr3:uid="{9C1F0C1D-19D8-8A46-92D0-540EE49FE079}" name="xsk3g-hash-at-both" dataDxfId="54"/>
    <tableColumn id="16" xr3:uid="{5F8AA456-A2ED-E54A-9ACC-D43290DC1953}" name="xsk4g-hash-at-both" dataDxfId="53"/>
    <tableColumn id="17" xr3:uid="{018C34F6-72C5-2547-9484-230A2CCDD554}" name="max" dataDxfId="52">
      <calculatedColumnFormula>_xlfn.LET(_xlpm.d,$G2:$R2,MAX(_xlpm.d))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6E828DD-BAE1-0D41-B9FF-3A80A0F38066}" name="Table11" displayName="Table11" ref="B22:S28" totalsRowShown="0" headerRowDxfId="51">
  <autoFilter ref="B22:S28" xr:uid="{E6E828DD-BAE1-0D41-B9FF-3A80A0F38066}"/>
  <tableColumns count="18">
    <tableColumn id="1" xr3:uid="{06BBAFA8-30C7-C943-B7B1-4D009BACCC00}" name="attribute.index"/>
    <tableColumn id="2" xr3:uid="{04BDCF93-74B8-CC4A-A151-23AC2D697B6F}" name="attribute"/>
    <tableColumn id="3" xr3:uid="{3F09466F-54C9-334F-8E20-CCCABE1373DF}" name="supplemented"/>
    <tableColumn id="4" xr3:uid="{E8A38307-6316-0041-B295-75A92A0187E6}" name="method.index"/>
    <tableColumn id="5" xr3:uid="{28286CCA-7DD9-D94A-A25C-AB2EC960B357}" name="metric"/>
    <tableColumn id="6" xr3:uid="{C942D0AF-F8A3-1043-984F-2D0BE85CFC51}" name="2g-no-hash" dataDxfId="50">
      <calculatedColumnFormula array="1">_xlfn.LET(_xlpm.d,G$2:G$19,_xlpm.a,$C$2:$C$19=$C23,_xlpm.b,$D$2:$D$19=$D23,MAX(_xlfn._xlws.FILTER(_xlpm.d,_xlpm.a*_xlpm.b)))</calculatedColumnFormula>
    </tableColumn>
    <tableColumn id="7" xr3:uid="{46AAE389-CF33-4B4D-B11D-699824564800}" name="3g-no-hash" dataDxfId="49">
      <calculatedColumnFormula array="1">_xlfn.LET(_xlpm.d,H$2:H$19,_xlpm.a,$C$2:$C$19=$C23,_xlpm.b,$D$2:$D$19=$D23,MAX(_xlfn._xlws.FILTER(_xlpm.d,_xlpm.a*_xlpm.b)))</calculatedColumnFormula>
    </tableColumn>
    <tableColumn id="8" xr3:uid="{C2427AF7-1AE5-5947-BB1C-45E6E7B9E7ED}" name="4g-no-hash" dataDxfId="48">
      <calculatedColumnFormula array="1">_xlfn.LET(_xlpm.d,I$2:I$19,_xlpm.a,$C$2:$C$19=$C23,_xlpm.b,$D$2:$D$19=$D23,MAX(_xlfn._xlws.FILTER(_xlpm.d,_xlpm.a*_xlpm.b)))</calculatedColumnFormula>
    </tableColumn>
    <tableColumn id="9" xr3:uid="{ED956FEA-5A7D-4A45-915C-BCF1582E2B9D}" name="xsk2g-no-hash" dataDxfId="47">
      <calculatedColumnFormula array="1">_xlfn.LET(_xlpm.d,J$2:J$19,_xlpm.a,$C$2:$C$19=$C23,_xlpm.b,$D$2:$D$19=$D23,MAX(_xlfn._xlws.FILTER(_xlpm.d,_xlpm.a*_xlpm.b)))</calculatedColumnFormula>
    </tableColumn>
    <tableColumn id="10" xr3:uid="{A7300332-F14F-DA4D-BD71-A77BDE7F01B2}" name="xsk3g-no-hash" dataDxfId="46">
      <calculatedColumnFormula array="1">_xlfn.LET(_xlpm.d,K$2:K$19,_xlpm.a,$C$2:$C$19=$C23,_xlpm.b,$D$2:$D$19=$D23,MAX(_xlfn._xlws.FILTER(_xlpm.d,_xlpm.a*_xlpm.b)))</calculatedColumnFormula>
    </tableColumn>
    <tableColumn id="11" xr3:uid="{F73D60C9-BB5E-3D4E-94A3-85A2A6240EE4}" name="xsk4g-no-hash" dataDxfId="45">
      <calculatedColumnFormula array="1">_xlfn.LET(_xlpm.d,L$2:L$19,_xlpm.a,$C$2:$C$19=$C23,_xlpm.b,$D$2:$D$19=$D23,MAX(_xlfn._xlws.FILTER(_xlpm.d,_xlpm.a*_xlpm.b)))</calculatedColumnFormula>
    </tableColumn>
    <tableColumn id="12" xr3:uid="{9D8FFDA0-8AC1-C44C-878E-9D27D35F7960}" name="2g-hash-at-both" dataDxfId="44">
      <calculatedColumnFormula array="1">_xlfn.LET(_xlpm.d,M$2:M$19,_xlpm.a,$C$2:$C$19=$C23,_xlpm.b,$D$2:$D$19=$D23,MAX(_xlfn._xlws.FILTER(_xlpm.d,_xlpm.a*_xlpm.b)))</calculatedColumnFormula>
    </tableColumn>
    <tableColumn id="13" xr3:uid="{74B5B9B3-D509-8844-9208-5E11B511B031}" name="3g-hash-at-both" dataDxfId="43">
      <calculatedColumnFormula array="1">_xlfn.LET(_xlpm.d,N$2:N$19,_xlpm.a,$C$2:$C$19=$C23,_xlpm.b,$D$2:$D$19=$D23,MAX(_xlfn._xlws.FILTER(_xlpm.d,_xlpm.a*_xlpm.b)))</calculatedColumnFormula>
    </tableColumn>
    <tableColumn id="14" xr3:uid="{9B9CBD0C-6763-7042-A123-E3282BC788CB}" name="4g-hash-at-both" dataDxfId="42">
      <calculatedColumnFormula array="1">_xlfn.LET(_xlpm.d,O$2:O$19,_xlpm.a,$C$2:$C$19=$C23,_xlpm.b,$D$2:$D$19=$D23,MAX(_xlfn._xlws.FILTER(_xlpm.d,_xlpm.a*_xlpm.b)))</calculatedColumnFormula>
    </tableColumn>
    <tableColumn id="15" xr3:uid="{BCA72DE9-CE40-BA4D-80A7-D3D2D6BC2FA4}" name="xsk2g-hash-at-both" dataDxfId="41">
      <calculatedColumnFormula array="1">_xlfn.LET(_xlpm.d,P$2:P$19,_xlpm.a,$C$2:$C$19=$C23,_xlpm.b,$D$2:$D$19=$D23,MAX(_xlfn._xlws.FILTER(_xlpm.d,_xlpm.a*_xlpm.b)))</calculatedColumnFormula>
    </tableColumn>
    <tableColumn id="16" xr3:uid="{48136231-ABB5-C84B-A976-63BF06D63B16}" name="xsk3g-hash-at-both" dataDxfId="40">
      <calculatedColumnFormula array="1">_xlfn.LET(_xlpm.d,Q$2:Q$19,_xlpm.a,$C$2:$C$19=$C23,_xlpm.b,$D$2:$D$19=$D23,MAX(_xlfn._xlws.FILTER(_xlpm.d,_xlpm.a*_xlpm.b)))</calculatedColumnFormula>
    </tableColumn>
    <tableColumn id="17" xr3:uid="{4564DDDC-A2E5-E648-ADD7-2806FEF7A95B}" name="xsk4g-hash-at-both" dataDxfId="39">
      <calculatedColumnFormula array="1">_xlfn.LET(_xlpm.d,R$2:R$19,_xlpm.a,$C$2:$C$19=$C23,_xlpm.b,$D$2:$D$19=$D23,MAX(_xlfn._xlws.FILTER(_xlpm.d,_xlpm.a*_xlpm.b)))</calculatedColumnFormula>
    </tableColumn>
    <tableColumn id="18" xr3:uid="{EF6262A8-36CD-B94D-84E3-31FF184250FF}" name="max" dataDxfId="38">
      <calculatedColumnFormula>_xlfn.LET(_xlpm.d,$G23:$R23,MAX(_xlpm.d))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CFC09F-4CA7-5A4B-8710-2254971E0D64}" name="Table3" displayName="Table3" ref="A1:S19" totalsRowShown="0">
  <autoFilter ref="A1:S19" xr:uid="{20CFC09F-4CA7-5A4B-8710-2254971E0D64}"/>
  <sortState xmlns:xlrd2="http://schemas.microsoft.com/office/spreadsheetml/2017/richdata2" ref="A2:S19">
    <sortCondition ref="B1:B19"/>
  </sortState>
  <tableColumns count="19">
    <tableColumn id="1" xr3:uid="{BF35C7E1-BA33-8348-81F9-C57324460597}" name="lang"/>
    <tableColumn id="2" xr3:uid="{D5E39B1A-2425-1D4E-BC5B-18BE3E7E6660}" name="attribute.index"/>
    <tableColumn id="3" xr3:uid="{6BAA365A-F6C8-5D4C-8F01-4A53503BDC88}" name="attribute"/>
    <tableColumn id="4" xr3:uid="{584BAD1A-9B8E-0547-96D9-A92A5A8DE50C}" name="supplement"/>
    <tableColumn id="5" xr3:uid="{9A00C24F-08E3-E844-B5A6-E2D6D4403A02}" name="method.index"/>
    <tableColumn id="6" xr3:uid="{FAC137F9-992F-F84A-8FEB-6E306FB9B6B7}" name="method"/>
    <tableColumn id="7" xr3:uid="{B0EA0C28-58A7-7847-A0A3-D5CED943EFC0}" name="2g-no-hash" dataDxfId="37"/>
    <tableColumn id="8" xr3:uid="{EA3E43C7-1764-C347-A3E2-7D20096614E3}" name="3g-no-hash" dataDxfId="36"/>
    <tableColumn id="9" xr3:uid="{908B93EF-68ED-B840-9D06-53E9DA28FADB}" name="4g-no-hash" dataDxfId="35"/>
    <tableColumn id="10" xr3:uid="{A5CA07AC-2A66-C543-B13E-DD6CE094F3E3}" name="xsk2g-no-hash" dataDxfId="34"/>
    <tableColumn id="11" xr3:uid="{26A5F9ED-F6B2-134F-B1DC-AC26E155B105}" name="xsk3g-no-hash" dataDxfId="33"/>
    <tableColumn id="12" xr3:uid="{F47EE545-5E10-4848-BD75-A72E0AFE04AB}" name="xsk4g-no-hash" dataDxfId="32"/>
    <tableColumn id="13" xr3:uid="{AE7DBC1B-0B86-6844-A15A-A2602343D372}" name="2g-hash-at-both" dataDxfId="31"/>
    <tableColumn id="14" xr3:uid="{465F812F-73F8-8548-9144-04C25B3C278A}" name="3g-hash-at-both" dataDxfId="30"/>
    <tableColumn id="15" xr3:uid="{71E8F9E2-32E5-CC4E-A9B4-9BEB76A59277}" name="4g-hash-at-both" dataDxfId="29"/>
    <tableColumn id="16" xr3:uid="{8AD668A4-7E49-9443-ABE3-AA6A4B0AE83D}" name="xsk2g-hash-at-both" dataDxfId="28"/>
    <tableColumn id="17" xr3:uid="{861BBDFD-B295-FF44-9C9A-F8A1E16A6DDC}" name="xsk3g-hash-at-both" dataDxfId="27"/>
    <tableColumn id="18" xr3:uid="{1A3A42F7-BD1E-504A-B956-CBC1CB0D9385}" name="xsk4g-hash-at-both" dataDxfId="26"/>
    <tableColumn id="19" xr3:uid="{48EA1203-65AC-F84A-9C85-DD4C4DAE1843}" name="max" dataDxfId="25">
      <calculatedColumnFormula>_xlfn.LET(_xlpm.d,$G2:$R2,MAX(_xlpm.d))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F24483-B63C-3942-A489-0606D6A9489E}" name="Table2" displayName="Table2" ref="B22:S28" totalsRowShown="0">
  <autoFilter ref="B22:S28" xr:uid="{87F24483-B63C-3942-A489-0606D6A9489E}"/>
  <sortState xmlns:xlrd2="http://schemas.microsoft.com/office/spreadsheetml/2017/richdata2" ref="B23:S28">
    <sortCondition ref="B22:B28"/>
  </sortState>
  <tableColumns count="18">
    <tableColumn id="1" xr3:uid="{30E0AE77-C6FC-E347-B6D5-8EAAF1DF0E94}" name="attribute.index"/>
    <tableColumn id="2" xr3:uid="{C8C80A21-AD3B-DB46-87A6-CF62F2402F24}" name="attribute"/>
    <tableColumn id="3" xr3:uid="{3EF4C6F0-90A5-AB44-BE18-CF8C979EEE3D}" name="supplemented"/>
    <tableColumn id="4" xr3:uid="{D59D64D7-8BD8-F447-99AA-39C288527CC9}" name="method.index"/>
    <tableColumn id="5" xr3:uid="{CD69AB9A-CF97-2545-9577-614FA623566A}" name="metric"/>
    <tableColumn id="6" xr3:uid="{173BF06A-EB12-FE4B-B275-8757A59A2DD9}" name="2g-no-hash" dataDxfId="24">
      <calculatedColumnFormula array="1">_xlfn.LET(_xlpm.d,G$2:G$19,_xlpm.a,$C$2:$C$19=$C23,_xlpm.b,$D$2:$D$19=$D23,MAX(_xlfn._xlws.FILTER(_xlpm.d,_xlpm.a*_xlpm.b)))</calculatedColumnFormula>
    </tableColumn>
    <tableColumn id="7" xr3:uid="{500FC6A2-7D25-D44C-95C5-A83BC4EF1EF9}" name="3g-no-hash" dataDxfId="23">
      <calculatedColumnFormula array="1">_xlfn.LET(_xlpm.d,H$2:H$19,_xlpm.a,$C$2:$C$19=$C23,_xlpm.b,$D$2:$D$19=$D23,MAX(_xlfn._xlws.FILTER(_xlpm.d,_xlpm.a*_xlpm.b)))</calculatedColumnFormula>
    </tableColumn>
    <tableColumn id="8" xr3:uid="{F90254CD-E506-3748-A105-6E437DE172CF}" name="4g-no-hash" dataDxfId="22">
      <calculatedColumnFormula array="1">_xlfn.LET(_xlpm.d,I$2:I$19,_xlpm.a,$C$2:$C$19=$C23,_xlpm.b,$D$2:$D$19=$D23,MAX(_xlfn._xlws.FILTER(_xlpm.d,_xlpm.a*_xlpm.b)))</calculatedColumnFormula>
    </tableColumn>
    <tableColumn id="9" xr3:uid="{A21E58B8-9C99-684B-9B98-5E767F595E49}" name="xsk2g-no-hash" dataDxfId="21">
      <calculatedColumnFormula array="1">_xlfn.LET(_xlpm.d,J$2:J$19,_xlpm.a,$C$2:$C$19=$C23,_xlpm.b,$D$2:$D$19=$D23,MAX(_xlfn._xlws.FILTER(_xlpm.d,_xlpm.a*_xlpm.b)))</calculatedColumnFormula>
    </tableColumn>
    <tableColumn id="10" xr3:uid="{79DD0EFB-BCFF-3A44-BEE0-9708900FEEB7}" name="xsk3g-no-hash" dataDxfId="20">
      <calculatedColumnFormula array="1">_xlfn.LET(_xlpm.d,K$2:K$19,_xlpm.a,$C$2:$C$19=$C23,_xlpm.b,$D$2:$D$19=$D23,MAX(_xlfn._xlws.FILTER(_xlpm.d,_xlpm.a*_xlpm.b)))</calculatedColumnFormula>
    </tableColumn>
    <tableColumn id="11" xr3:uid="{918A39EA-63FB-E64B-B611-B0E0895AC4CC}" name="xsk4g-no-hash" dataDxfId="19">
      <calculatedColumnFormula array="1">_xlfn.LET(_xlpm.d,L$2:L$19,_xlpm.a,$C$2:$C$19=$C23,_xlpm.b,$D$2:$D$19=$D23,MAX(_xlfn._xlws.FILTER(_xlpm.d,_xlpm.a*_xlpm.b)))</calculatedColumnFormula>
    </tableColumn>
    <tableColumn id="12" xr3:uid="{643226FD-FE77-FC4C-B6AC-9EF55827BE1C}" name="2g-hash-at-both" dataDxfId="18">
      <calculatedColumnFormula array="1">_xlfn.LET(_xlpm.d,M$2:M$19,_xlpm.a,$C$2:$C$19=$C23,_xlpm.b,$D$2:$D$19=$D23,MAX(_xlfn._xlws.FILTER(_xlpm.d,_xlpm.a*_xlpm.b)))</calculatedColumnFormula>
    </tableColumn>
    <tableColumn id="13" xr3:uid="{2A89E8D4-95D1-9F46-ADCE-BA946555C8F2}" name="3g-hash-at-both" dataDxfId="17">
      <calculatedColumnFormula array="1">_xlfn.LET(_xlpm.d,N$2:N$19,_xlpm.a,$C$2:$C$19=$C23,_xlpm.b,$D$2:$D$19=$D23,MAX(_xlfn._xlws.FILTER(_xlpm.d,_xlpm.a*_xlpm.b)))</calculatedColumnFormula>
    </tableColumn>
    <tableColumn id="14" xr3:uid="{AB8A53EE-2B68-2841-8A75-23291B8F60AD}" name="4g-hash-at-both" dataDxfId="16">
      <calculatedColumnFormula array="1">_xlfn.LET(_xlpm.d,O$2:O$19,_xlpm.a,$C$2:$C$19=$C23,_xlpm.b,$D$2:$D$19=$D23,MAX(_xlfn._xlws.FILTER(_xlpm.d,_xlpm.a*_xlpm.b)))</calculatedColumnFormula>
    </tableColumn>
    <tableColumn id="15" xr3:uid="{C70701AA-8F74-B343-A646-B2B8D9B87822}" name="xsk2g-hash-at-both" dataDxfId="15">
      <calculatedColumnFormula array="1">_xlfn.LET(_xlpm.d,P$2:P$19,_xlpm.a,$C$2:$C$19=$C23,_xlpm.b,$D$2:$D$19=$D23,MAX(_xlfn._xlws.FILTER(_xlpm.d,_xlpm.a*_xlpm.b)))</calculatedColumnFormula>
    </tableColumn>
    <tableColumn id="16" xr3:uid="{6BBDF50F-486C-B048-A0EF-554CFC2A37EC}" name="xsk3g-hash-at-both" dataDxfId="14">
      <calculatedColumnFormula array="1">_xlfn.LET(_xlpm.d,Q$2:Q$19,_xlpm.a,$C$2:$C$19=$C23,_xlpm.b,$D$2:$D$19=$D23,MAX(_xlfn._xlws.FILTER(_xlpm.d,_xlpm.a*_xlpm.b)))</calculatedColumnFormula>
    </tableColumn>
    <tableColumn id="17" xr3:uid="{261F03BD-D62A-5747-AF6F-9F060FE5962A}" name="xsk4g-hash-at-both" dataDxfId="13">
      <calculatedColumnFormula array="1">_xlfn.LET(_xlpm.d,R$2:R$19,_xlpm.a,$C$2:$C$19=$C23,_xlpm.b,$D$2:$D$19=$D23,MAX(_xlfn._xlws.FILTER(_xlpm.d,_xlpm.a*_xlpm.b)))</calculatedColumnFormula>
    </tableColumn>
    <tableColumn id="18" xr3:uid="{6E7B9E79-3818-3648-984A-96BF80A0A86C}" name="max" dataDxfId="12">
      <calculatedColumnFormula>_xlfn.LET(_xlpm.d,$G23:$R23,MAX(_xlpm.d))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D5B3FCA-ED32-0648-A329-5C488231AFA9}" name="Table4" displayName="Table4" ref="B36:R42" totalsRowShown="0">
  <autoFilter ref="B36:R42" xr:uid="{8D5B3FCA-ED32-0648-A329-5C488231AFA9}"/>
  <sortState xmlns:xlrd2="http://schemas.microsoft.com/office/spreadsheetml/2017/richdata2" ref="B37:R42">
    <sortCondition ref="B36:B42"/>
  </sortState>
  <tableColumns count="17">
    <tableColumn id="1" xr3:uid="{CD2F59C9-1D96-7344-B8FF-FF706ECF3765}" name="attribute.index"/>
    <tableColumn id="2" xr3:uid="{12066580-1BB8-CA49-8BB6-D316DD41F483}" name="attribute"/>
    <tableColumn id="3" xr3:uid="{A0850B8D-F5B5-D74E-A671-F484012D33D6}" name="supplemented"/>
    <tableColumn id="4" xr3:uid="{5F213885-F0F2-FA40-8D06-8042C2B8B917}" name="method.index"/>
    <tableColumn id="5" xr3:uid="{31F01251-0B8A-D44E-B198-2FE16019FEB1}" name="metric"/>
    <tableColumn id="6" xr3:uid="{EEAC4039-F730-1549-801D-2EDDBA38DDDF}" name="2g-no-hash" dataDxfId="11">
      <calculatedColumnFormula>_xlfn.LET(_xlpm.d,$G23:$X23,RANK(G23,_xlpm.d))</calculatedColumnFormula>
    </tableColumn>
    <tableColumn id="7" xr3:uid="{DBAB9736-99BD-CF4B-8361-8E0C51091906}" name="3g-no-hash" dataDxfId="10">
      <calculatedColumnFormula>_xlfn.LET(_xlpm.d,$G23:$X23,RANK(H23,_xlpm.d))</calculatedColumnFormula>
    </tableColumn>
    <tableColumn id="8" xr3:uid="{927456A5-8AE3-4A45-846E-BFB936B70FF1}" name="4g-no-hash" dataDxfId="9">
      <calculatedColumnFormula>_xlfn.LET(_xlpm.d,$G23:$X23,RANK(I23,_xlpm.d))</calculatedColumnFormula>
    </tableColumn>
    <tableColumn id="9" xr3:uid="{972C69D0-9DE2-6E49-BC3D-F5C31523CE66}" name="xsk2g-no-hash" dataDxfId="8">
      <calculatedColumnFormula>_xlfn.LET(_xlpm.d,$G23:$X23,RANK(J23,_xlpm.d))</calculatedColumnFormula>
    </tableColumn>
    <tableColumn id="10" xr3:uid="{D861C871-6365-A543-9803-7D49C7032DD0}" name="xsk3g-no-hash" dataDxfId="7">
      <calculatedColumnFormula>_xlfn.LET(_xlpm.d,$G23:$X23,RANK(K23,_xlpm.d))</calculatedColumnFormula>
    </tableColumn>
    <tableColumn id="11" xr3:uid="{417818D4-4BDB-444B-9498-70E594A7E163}" name="xsk4g-no-hash" dataDxfId="6">
      <calculatedColumnFormula>_xlfn.LET(_xlpm.d,$G23:$X23,RANK(L23,_xlpm.d))</calculatedColumnFormula>
    </tableColumn>
    <tableColumn id="12" xr3:uid="{588D8201-C0E6-574E-92B8-F8C85F07BB1B}" name="2g-hash-at-both" dataDxfId="5">
      <calculatedColumnFormula>_xlfn.LET(_xlpm.d,$G23:$X23,RANK(M23,_xlpm.d))</calculatedColumnFormula>
    </tableColumn>
    <tableColumn id="13" xr3:uid="{5B698121-E862-AA45-AD1C-50F295CD5C23}" name="3g-hash-at-both" dataDxfId="4">
      <calculatedColumnFormula>_xlfn.LET(_xlpm.d,$G23:$X23,RANK(N23,_xlpm.d))</calculatedColumnFormula>
    </tableColumn>
    <tableColumn id="14" xr3:uid="{5219CE5F-7CE4-AA4D-9296-02118541158B}" name="4g-hash-at-both" dataDxfId="3">
      <calculatedColumnFormula>_xlfn.LET(_xlpm.d,$G23:$X23,RANK(O23,_xlpm.d))</calculatedColumnFormula>
    </tableColumn>
    <tableColumn id="15" xr3:uid="{E668E961-BD4B-3346-828E-4C03DDAFC353}" name="xsk2g-hash-at-both" dataDxfId="2">
      <calculatedColumnFormula>_xlfn.LET(_xlpm.d,$G23:$X23,RANK(P23,_xlpm.d))</calculatedColumnFormula>
    </tableColumn>
    <tableColumn id="16" xr3:uid="{BA65E9DB-D9BF-6A45-9C28-6BF4DBEED5A4}" name="xsk3g-hash-at-both" dataDxfId="1">
      <calculatedColumnFormula>_xlfn.LET(_xlpm.d,$G23:$X23,RANK(Q23,_xlpm.d))</calculatedColumnFormula>
    </tableColumn>
    <tableColumn id="17" xr3:uid="{E938720F-87F8-5246-A76F-9B80CB8AA9ED}" name="xsk4g-hash-at-both" dataDxfId="0">
      <calculatedColumnFormula>_xlfn.LET(_xlpm.d,$G23:$X23,RANK(R23,_xlpm.d))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D140D-504E-534B-B2B1-D21265CD68D5}">
  <dimension ref="A1:X25"/>
  <sheetViews>
    <sheetView topLeftCell="A22" workbookViewId="0">
      <selection activeCell="M9" sqref="M9"/>
    </sheetView>
  </sheetViews>
  <sheetFormatPr baseColWidth="10" defaultRowHeight="25" customHeight="1"/>
  <cols>
    <col min="1" max="1" width="8.375" customWidth="1"/>
    <col min="2" max="2" width="6" customWidth="1"/>
    <col min="3" max="3" width="6.625" customWidth="1"/>
    <col min="4" max="4" width="7.25" customWidth="1"/>
    <col min="5" max="5" width="6.75" customWidth="1"/>
    <col min="6" max="6" width="6.75" hidden="1" customWidth="1"/>
    <col min="7" max="7" width="8.875" customWidth="1"/>
    <col min="8" max="8" width="6.625" customWidth="1"/>
    <col min="9" max="9" width="6.5" hidden="1" customWidth="1"/>
    <col min="10" max="10" width="6.5" customWidth="1"/>
    <col min="11" max="11" width="24.5" customWidth="1"/>
    <col min="12" max="24" width="8" customWidth="1"/>
  </cols>
  <sheetData>
    <row r="1" spans="1:24" ht="25" customHeight="1">
      <c r="A1" t="s">
        <v>37</v>
      </c>
      <c r="B1" t="s">
        <v>33</v>
      </c>
      <c r="C1" t="s">
        <v>40</v>
      </c>
      <c r="D1" t="s">
        <v>35</v>
      </c>
      <c r="E1" t="s">
        <v>36</v>
      </c>
      <c r="F1" t="s">
        <v>23</v>
      </c>
      <c r="G1" t="s">
        <v>1</v>
      </c>
      <c r="H1" t="s">
        <v>26</v>
      </c>
      <c r="I1" t="s">
        <v>24</v>
      </c>
      <c r="J1" t="s">
        <v>27</v>
      </c>
      <c r="K1" t="s">
        <v>34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25</v>
      </c>
    </row>
    <row r="2" spans="1:24" ht="25" customHeight="1">
      <c r="A2" t="s">
        <v>38</v>
      </c>
      <c r="B2">
        <v>2</v>
      </c>
      <c r="C2" t="s">
        <v>39</v>
      </c>
      <c r="D2">
        <v>1.2</v>
      </c>
      <c r="E2">
        <v>9</v>
      </c>
      <c r="F2">
        <v>1</v>
      </c>
      <c r="G2" t="s">
        <v>17</v>
      </c>
      <c r="H2" t="b">
        <v>0</v>
      </c>
      <c r="I2">
        <v>1</v>
      </c>
      <c r="J2" t="s">
        <v>25</v>
      </c>
      <c r="K2" t="str">
        <f>_xlfn.LET(_xlpm.ml,_xlfn.SINGLE(Table6[ml]),_xlpm.sn,_xlfn.SINGLE(Table6[sample.n]),_xlpm.spl,_xlfn.SINGLE(Table6[supplemented]),_xlpm.mgv,_xlfn.SINGLE(Table6[mgv]),_xlpm.attr,_xlfn.SINGLE(Table6[attribute]),_xlfn.TEXTJOIN({"-ml:","-suppl:","-mgv:","-sn:",""},TRUE,LEFT(_xlpm.attr,3),_xlpm.ml,LEFT(_xlpm.spl,1),_xlpm.mgv,_xlpm.sn,"k"))</f>
        <v>plu-ml:2-suppl:F-mgv:9-sn:1.2k</v>
      </c>
      <c r="L2" s="1">
        <v>0.82</v>
      </c>
      <c r="M2" s="1">
        <v>0.79</v>
      </c>
      <c r="N2" s="1">
        <v>0.83</v>
      </c>
      <c r="O2" s="1">
        <v>0.85</v>
      </c>
      <c r="P2" s="1">
        <v>0.8</v>
      </c>
      <c r="Q2" s="1">
        <v>0.82</v>
      </c>
      <c r="R2" s="1">
        <v>0.82</v>
      </c>
      <c r="S2" s="1">
        <v>0.79</v>
      </c>
      <c r="T2" s="1">
        <v>0.8</v>
      </c>
      <c r="U2" s="1">
        <v>0.82</v>
      </c>
      <c r="V2" s="1">
        <v>0.86</v>
      </c>
      <c r="W2" s="1">
        <v>0.81</v>
      </c>
      <c r="X2" s="1">
        <v>0.86</v>
      </c>
    </row>
    <row r="3" spans="1:24" ht="25" customHeight="1">
      <c r="A3" t="s">
        <v>38</v>
      </c>
      <c r="B3">
        <v>2</v>
      </c>
      <c r="C3" t="s">
        <v>39</v>
      </c>
      <c r="D3">
        <v>1.2</v>
      </c>
      <c r="E3">
        <v>9</v>
      </c>
      <c r="F3">
        <v>1</v>
      </c>
      <c r="G3" t="s">
        <v>17</v>
      </c>
      <c r="H3" t="b">
        <v>1</v>
      </c>
      <c r="I3">
        <v>1</v>
      </c>
      <c r="J3" t="s">
        <v>25</v>
      </c>
      <c r="K3" t="str">
        <f>_xlfn.LET(_xlpm.ml,_xlfn.SINGLE(Table6[ml]),_xlpm.sn,_xlfn.SINGLE(Table6[sample.n]),_xlpm.spl,_xlfn.SINGLE(Table6[supplemented]),_xlpm.mgv,_xlfn.SINGLE(Table6[mgv]),_xlpm.attr,_xlfn.SINGLE(Table6[attribute]),_xlfn.TEXTJOIN({"-ml:","-suppl:","-mgv:","-sn:",""},TRUE,LEFT(_xlpm.attr,3),_xlpm.ml,LEFT(_xlpm.spl,1),_xlpm.mgv,_xlpm.sn,"k"))</f>
        <v>plu-ml:2-suppl:T-mgv:9-sn:1.2k</v>
      </c>
      <c r="L3" s="1">
        <v>0.87</v>
      </c>
      <c r="M3" s="1">
        <v>0.83</v>
      </c>
      <c r="N3" s="1">
        <v>0.86</v>
      </c>
      <c r="O3" s="1">
        <v>0.86</v>
      </c>
      <c r="P3" s="1">
        <v>0.84</v>
      </c>
      <c r="Q3" s="1">
        <v>0.82</v>
      </c>
      <c r="R3" s="1">
        <v>0.89</v>
      </c>
      <c r="S3" s="1">
        <v>0.84</v>
      </c>
      <c r="T3" s="1">
        <v>0.88</v>
      </c>
      <c r="U3" s="1">
        <v>0.84</v>
      </c>
      <c r="V3" s="1">
        <v>0.85</v>
      </c>
      <c r="W3" s="1">
        <v>0.8</v>
      </c>
      <c r="X3" s="1">
        <v>0.89</v>
      </c>
    </row>
    <row r="4" spans="1:24" ht="25" customHeight="1">
      <c r="A4" t="s">
        <v>38</v>
      </c>
      <c r="B4">
        <v>2</v>
      </c>
      <c r="C4" t="s">
        <v>39</v>
      </c>
      <c r="D4">
        <v>1.2</v>
      </c>
      <c r="E4">
        <v>9</v>
      </c>
      <c r="F4">
        <v>2</v>
      </c>
      <c r="G4" t="s">
        <v>21</v>
      </c>
      <c r="H4" t="b">
        <v>0</v>
      </c>
      <c r="I4">
        <v>1</v>
      </c>
      <c r="J4" t="s">
        <v>25</v>
      </c>
      <c r="K4" t="str">
        <f>_xlfn.LET(_xlpm.ml,_xlfn.SINGLE(Table6[ml]),_xlpm.sn,_xlfn.SINGLE(Table6[sample.n]),_xlpm.spl,_xlfn.SINGLE(Table6[supplemented]),_xlpm.mgv,_xlfn.SINGLE(Table6[mgv]),_xlpm.attr,_xlfn.SINGLE(Table6[attribute]),_xlfn.TEXTJOIN({"-ml:","-suppl:","-mgv:","-sn:",""},TRUE,LEFT(_xlpm.attr,3),_xlpm.ml,LEFT(_xlpm.spl,1),_xlpm.mgv,_xlpm.sn,"k"))</f>
        <v>gen-ml:2-suppl:F-mgv:9-sn:1.2k</v>
      </c>
      <c r="L4" s="1">
        <v>0.56000000000000005</v>
      </c>
      <c r="M4" s="1">
        <v>0.56999999999999995</v>
      </c>
      <c r="N4" s="1">
        <v>0.65</v>
      </c>
      <c r="O4" s="1">
        <v>0.62</v>
      </c>
      <c r="P4" s="1">
        <v>0.6</v>
      </c>
      <c r="Q4" s="1">
        <v>0.65</v>
      </c>
      <c r="R4" s="1">
        <v>0.66</v>
      </c>
      <c r="S4" s="1">
        <v>0.57999999999999996</v>
      </c>
      <c r="T4" s="1">
        <v>0.53</v>
      </c>
      <c r="U4" s="1">
        <v>0.56999999999999995</v>
      </c>
      <c r="V4" s="1">
        <v>0.7</v>
      </c>
      <c r="W4" s="1">
        <v>0.6</v>
      </c>
      <c r="X4" s="1">
        <v>0.7</v>
      </c>
    </row>
    <row r="5" spans="1:24" ht="25" customHeight="1">
      <c r="A5" t="s">
        <v>38</v>
      </c>
      <c r="B5">
        <v>2</v>
      </c>
      <c r="C5" t="s">
        <v>39</v>
      </c>
      <c r="D5">
        <v>1.2</v>
      </c>
      <c r="E5">
        <v>9</v>
      </c>
      <c r="F5">
        <v>2</v>
      </c>
      <c r="G5" t="s">
        <v>21</v>
      </c>
      <c r="H5" t="b">
        <v>1</v>
      </c>
      <c r="I5">
        <v>1</v>
      </c>
      <c r="J5" t="s">
        <v>25</v>
      </c>
      <c r="K5" t="str">
        <f>_xlfn.LET(_xlpm.ml,_xlfn.SINGLE(Table6[ml]),_xlpm.sn,_xlfn.SINGLE(Table6[sample.n]),_xlpm.spl,_xlfn.SINGLE(Table6[supplemented]),_xlpm.mgv,_xlfn.SINGLE(Table6[mgv]),_xlpm.attr,_xlfn.SINGLE(Table6[attribute]),_xlfn.TEXTJOIN({"-ml:","-suppl:","-mgv:","-sn:",""},TRUE,LEFT(_xlpm.attr,3),_xlpm.ml,LEFT(_xlpm.spl,1),_xlpm.mgv,_xlpm.sn,"k"))</f>
        <v>gen-ml:2-suppl:T-mgv:9-sn:1.2k</v>
      </c>
      <c r="L5" s="1">
        <v>0.62</v>
      </c>
      <c r="M5" s="1">
        <v>0.56999999999999995</v>
      </c>
      <c r="N5" s="1">
        <v>0.62</v>
      </c>
      <c r="O5" s="1">
        <v>0.62</v>
      </c>
      <c r="P5" s="1">
        <v>0.56999999999999995</v>
      </c>
      <c r="Q5" s="1">
        <v>0.69</v>
      </c>
      <c r="R5" s="1">
        <v>0.64</v>
      </c>
      <c r="S5" s="1">
        <v>0.6</v>
      </c>
      <c r="T5" s="1">
        <v>0.54</v>
      </c>
      <c r="U5" s="1">
        <v>0.61</v>
      </c>
      <c r="V5" s="1">
        <v>0.68</v>
      </c>
      <c r="W5" s="1">
        <v>0.6</v>
      </c>
      <c r="X5" s="1">
        <v>0.69</v>
      </c>
    </row>
    <row r="6" spans="1:24" ht="25" customHeight="1">
      <c r="A6" t="s">
        <v>38</v>
      </c>
      <c r="B6">
        <v>2</v>
      </c>
      <c r="C6" t="s">
        <v>39</v>
      </c>
      <c r="D6">
        <v>1.2</v>
      </c>
      <c r="E6">
        <v>9</v>
      </c>
      <c r="F6">
        <v>3</v>
      </c>
      <c r="G6" t="s">
        <v>22</v>
      </c>
      <c r="H6" t="b">
        <v>0</v>
      </c>
      <c r="I6">
        <v>1</v>
      </c>
      <c r="J6" t="s">
        <v>25</v>
      </c>
      <c r="K6" t="str">
        <f>_xlfn.LET(_xlpm.ml,_xlfn.SINGLE(Table6[ml]),_xlpm.sn,_xlfn.SINGLE(Table6[sample.n]),_xlpm.spl,_xlfn.SINGLE(Table6[supplemented]),_xlpm.mgv,_xlfn.SINGLE(Table6[mgv]),_xlpm.attr,_xlfn.SINGLE(Table6[attribute]),_xlfn.TEXTJOIN({"-ml:","-suppl:","-mgv:","-sn:",""},TRUE,LEFT(_xlpm.attr,3),_xlpm.ml,LEFT(_xlpm.spl,1),_xlpm.mgv,_xlpm.sn,"k"))</f>
        <v>cas-ml:2-suppl:F-mgv:9-sn:1.2k</v>
      </c>
      <c r="L6" s="1">
        <v>0.47</v>
      </c>
      <c r="M6" s="1">
        <v>0.37</v>
      </c>
      <c r="N6" s="1">
        <v>0.45</v>
      </c>
      <c r="O6" s="1">
        <v>0.43</v>
      </c>
      <c r="P6" s="1">
        <v>0.47</v>
      </c>
      <c r="Q6" s="1">
        <v>0.36</v>
      </c>
      <c r="R6" s="1">
        <v>0.45</v>
      </c>
      <c r="S6" s="1">
        <v>0.38</v>
      </c>
      <c r="T6" s="1">
        <v>0.43</v>
      </c>
      <c r="U6" s="1">
        <v>0.45</v>
      </c>
      <c r="V6" s="1">
        <v>0.42</v>
      </c>
      <c r="W6" s="1">
        <v>0.36</v>
      </c>
      <c r="X6" s="1">
        <v>0.47</v>
      </c>
    </row>
    <row r="7" spans="1:24" ht="25" customHeight="1">
      <c r="A7" t="s">
        <v>38</v>
      </c>
      <c r="B7">
        <v>2</v>
      </c>
      <c r="C7" t="s">
        <v>39</v>
      </c>
      <c r="D7">
        <v>1.2</v>
      </c>
      <c r="E7">
        <v>9</v>
      </c>
      <c r="F7">
        <v>3</v>
      </c>
      <c r="G7" t="s">
        <v>22</v>
      </c>
      <c r="H7" t="b">
        <v>1</v>
      </c>
      <c r="I7">
        <v>1</v>
      </c>
      <c r="J7" t="s">
        <v>25</v>
      </c>
      <c r="K7" t="str">
        <f>_xlfn.LET(_xlpm.ml,_xlfn.SINGLE(Table6[ml]),_xlpm.sn,_xlfn.SINGLE(Table6[sample.n]),_xlpm.spl,_xlfn.SINGLE(Table6[supplemented]),_xlpm.mgv,_xlfn.SINGLE(Table6[mgv]),_xlpm.attr,_xlfn.SINGLE(Table6[attribute]),_xlfn.TEXTJOIN({"-ml:","-suppl:","-mgv:","-sn:",""},TRUE,LEFT(_xlpm.attr,3),_xlpm.ml,LEFT(_xlpm.spl,1),_xlpm.mgv,_xlpm.sn,"k"))</f>
        <v>cas-ml:2-suppl:T-mgv:9-sn:1.2k</v>
      </c>
      <c r="L7" s="1">
        <v>0.59</v>
      </c>
      <c r="M7" s="1">
        <v>0.38</v>
      </c>
      <c r="N7" s="1">
        <v>0.51</v>
      </c>
      <c r="O7" s="1">
        <v>0.47</v>
      </c>
      <c r="P7" s="1">
        <v>0.5</v>
      </c>
      <c r="Q7" s="1">
        <v>0.4</v>
      </c>
      <c r="R7" s="1">
        <v>0.54</v>
      </c>
      <c r="S7" s="1">
        <v>0.48</v>
      </c>
      <c r="T7" s="1">
        <v>0.52</v>
      </c>
      <c r="U7" s="1">
        <v>0.52</v>
      </c>
      <c r="V7" s="1">
        <v>0.47</v>
      </c>
      <c r="W7" s="1">
        <v>0.44</v>
      </c>
      <c r="X7" s="1">
        <v>0.59</v>
      </c>
    </row>
    <row r="8" spans="1:24" ht="25" customHeight="1">
      <c r="A8" t="s">
        <v>38</v>
      </c>
      <c r="B8">
        <v>2</v>
      </c>
      <c r="C8" t="s">
        <v>39</v>
      </c>
      <c r="D8">
        <v>2</v>
      </c>
      <c r="E8">
        <v>9</v>
      </c>
      <c r="F8">
        <v>1</v>
      </c>
      <c r="G8" t="s">
        <v>17</v>
      </c>
      <c r="H8" t="b">
        <v>0</v>
      </c>
      <c r="I8">
        <v>1</v>
      </c>
      <c r="J8" t="s">
        <v>25</v>
      </c>
      <c r="K8" t="str">
        <f>_xlfn.LET(_xlpm.ml,_xlfn.SINGLE(Table6[ml]),_xlpm.sn,_xlfn.SINGLE(Table6[sample.n]),_xlpm.spl,_xlfn.SINGLE(Table6[supplemented]),_xlpm.mgv,_xlfn.SINGLE(Table6[mgv]),_xlpm.attr,_xlfn.SINGLE(Table6[attribute]),_xlfn.TEXTJOIN({"-ml:","-suppl:","-mgv:","-sn:",""},TRUE,LEFT(_xlpm.attr,3),_xlpm.ml,LEFT(_xlpm.spl,1),_xlpm.mgv,_xlpm.sn,"k"))</f>
        <v>plu-ml:2-suppl:F-mgv:9-sn:2k</v>
      </c>
      <c r="L8" s="1">
        <v>0.86</v>
      </c>
      <c r="M8" s="1">
        <v>0.8</v>
      </c>
      <c r="N8" s="1">
        <v>0.82</v>
      </c>
      <c r="O8" s="1">
        <v>0.88</v>
      </c>
      <c r="P8" s="1">
        <v>0.82</v>
      </c>
      <c r="Q8" s="1">
        <v>0.85</v>
      </c>
      <c r="R8" s="1">
        <v>0.84</v>
      </c>
      <c r="S8" s="1">
        <v>0.79</v>
      </c>
      <c r="T8" s="1">
        <v>0.82</v>
      </c>
      <c r="U8" s="1">
        <v>0.84</v>
      </c>
      <c r="V8" s="1">
        <v>0.82</v>
      </c>
      <c r="W8" s="1">
        <v>0.88</v>
      </c>
      <c r="X8" s="1">
        <v>0.88</v>
      </c>
    </row>
    <row r="9" spans="1:24" ht="25" customHeight="1">
      <c r="A9" t="s">
        <v>38</v>
      </c>
      <c r="B9">
        <v>2</v>
      </c>
      <c r="C9" t="s">
        <v>39</v>
      </c>
      <c r="D9">
        <v>2</v>
      </c>
      <c r="E9">
        <v>9</v>
      </c>
      <c r="F9">
        <v>1</v>
      </c>
      <c r="G9" t="s">
        <v>17</v>
      </c>
      <c r="H9" t="b">
        <v>1</v>
      </c>
      <c r="I9">
        <v>1</v>
      </c>
      <c r="J9" t="s">
        <v>25</v>
      </c>
      <c r="K9" t="str">
        <f>_xlfn.LET(_xlpm.ml,_xlfn.SINGLE(Table6[ml]),_xlpm.sn,_xlfn.SINGLE(Table6[sample.n]),_xlpm.spl,_xlfn.SINGLE(Table6[supplemented]),_xlpm.mgv,_xlfn.SINGLE(Table6[mgv]),_xlpm.attr,_xlfn.SINGLE(Table6[attribute]),_xlfn.TEXTJOIN({"-ml:","-suppl:","-mgv:","-sn:",""},TRUE,LEFT(_xlpm.attr,3),_xlpm.ml,LEFT(_xlpm.spl,1),_xlpm.mgv,_xlpm.sn,"k"))</f>
        <v>plu-ml:2-suppl:T-mgv:9-sn:2k</v>
      </c>
      <c r="L9" s="1">
        <v>0.94</v>
      </c>
      <c r="M9" s="1">
        <v>0.86</v>
      </c>
      <c r="N9" s="1">
        <v>0.91</v>
      </c>
      <c r="O9" s="1">
        <v>0.88</v>
      </c>
      <c r="P9" s="1">
        <v>0.83</v>
      </c>
      <c r="Q9" s="1">
        <v>0.89</v>
      </c>
      <c r="R9" s="1">
        <v>0.9</v>
      </c>
      <c r="S9" s="1">
        <v>0.83</v>
      </c>
      <c r="T9" s="1">
        <v>0.85</v>
      </c>
      <c r="U9" s="1">
        <v>0.85</v>
      </c>
      <c r="V9" s="1">
        <v>0.81</v>
      </c>
      <c r="W9" s="1">
        <v>0.84</v>
      </c>
      <c r="X9" s="1">
        <v>0.94</v>
      </c>
    </row>
    <row r="10" spans="1:24" ht="25" customHeight="1">
      <c r="A10" t="s">
        <v>38</v>
      </c>
      <c r="B10">
        <v>2</v>
      </c>
      <c r="C10" t="s">
        <v>39</v>
      </c>
      <c r="D10">
        <v>2</v>
      </c>
      <c r="E10">
        <v>9</v>
      </c>
      <c r="F10">
        <v>2</v>
      </c>
      <c r="G10" t="s">
        <v>21</v>
      </c>
      <c r="H10" t="b">
        <v>0</v>
      </c>
      <c r="I10">
        <v>1</v>
      </c>
      <c r="J10" t="s">
        <v>25</v>
      </c>
      <c r="K10" t="str">
        <f>_xlfn.LET(_xlpm.ml,_xlfn.SINGLE(Table6[ml]),_xlpm.sn,_xlfn.SINGLE(Table6[sample.n]),_xlpm.spl,_xlfn.SINGLE(Table6[supplemented]),_xlpm.mgv,_xlfn.SINGLE(Table6[mgv]),_xlpm.attr,_xlfn.SINGLE(Table6[attribute]),_xlfn.TEXTJOIN({"-ml:","-suppl:","-mgv:","-sn:",""},TRUE,LEFT(_xlpm.attr,3),_xlpm.ml,LEFT(_xlpm.spl,1),_xlpm.mgv,_xlpm.sn,"k"))</f>
        <v>gen-ml:2-suppl:F-mgv:9-sn:2k</v>
      </c>
      <c r="L10" s="12">
        <v>0.69</v>
      </c>
      <c r="M10" s="12">
        <v>0.69</v>
      </c>
      <c r="N10" s="12">
        <v>0.6</v>
      </c>
      <c r="O10" s="12">
        <v>0.65</v>
      </c>
      <c r="P10" s="12">
        <v>0.59</v>
      </c>
      <c r="Q10" s="12">
        <v>0.66</v>
      </c>
      <c r="R10" s="12">
        <v>0.61</v>
      </c>
      <c r="S10" s="12">
        <v>0.66</v>
      </c>
      <c r="T10" s="12">
        <v>0.69</v>
      </c>
      <c r="U10" s="12">
        <v>0.65</v>
      </c>
      <c r="V10" s="12">
        <v>0.64</v>
      </c>
      <c r="W10" s="12">
        <v>0.66</v>
      </c>
      <c r="X10" s="12">
        <v>0.69</v>
      </c>
    </row>
    <row r="11" spans="1:24" ht="25" customHeight="1">
      <c r="A11" t="s">
        <v>38</v>
      </c>
      <c r="B11">
        <v>2</v>
      </c>
      <c r="C11" t="s">
        <v>39</v>
      </c>
      <c r="D11">
        <v>2</v>
      </c>
      <c r="E11">
        <v>9</v>
      </c>
      <c r="F11">
        <v>2</v>
      </c>
      <c r="G11" t="s">
        <v>21</v>
      </c>
      <c r="H11" t="b">
        <v>1</v>
      </c>
      <c r="I11">
        <v>1</v>
      </c>
      <c r="J11" t="s">
        <v>25</v>
      </c>
      <c r="K11" t="str">
        <f>_xlfn.LET(_xlpm.ml,_xlfn.SINGLE(Table6[ml]),_xlpm.sn,_xlfn.SINGLE(Table6[sample.n]),_xlpm.spl,_xlfn.SINGLE(Table6[supplemented]),_xlpm.mgv,_xlfn.SINGLE(Table6[mgv]),_xlpm.attr,_xlfn.SINGLE(Table6[attribute]),_xlfn.TEXTJOIN({"-ml:","-suppl:","-mgv:","-sn:",""},TRUE,LEFT(_xlpm.attr,3),_xlpm.ml,LEFT(_xlpm.spl,1),_xlpm.mgv,_xlpm.sn,"k"))</f>
        <v>gen-ml:2-suppl:T-mgv:9-sn:2k</v>
      </c>
      <c r="L11" s="12">
        <v>0.67</v>
      </c>
      <c r="M11" s="12">
        <v>0.69</v>
      </c>
      <c r="N11" s="12">
        <v>0.65</v>
      </c>
      <c r="O11" s="12">
        <v>0.67</v>
      </c>
      <c r="P11" s="12">
        <v>0.6</v>
      </c>
      <c r="Q11" s="12">
        <v>0.69</v>
      </c>
      <c r="R11" s="12">
        <v>0.66</v>
      </c>
      <c r="S11" s="12">
        <v>0.69</v>
      </c>
      <c r="T11" s="12">
        <v>0.73</v>
      </c>
      <c r="U11" s="12">
        <v>0.64</v>
      </c>
      <c r="V11" s="12">
        <v>0.67</v>
      </c>
      <c r="W11" s="12">
        <v>0.62</v>
      </c>
      <c r="X11" s="12">
        <v>0.73</v>
      </c>
    </row>
    <row r="12" spans="1:24" ht="25" customHeight="1">
      <c r="A12" t="s">
        <v>38</v>
      </c>
      <c r="B12">
        <v>2</v>
      </c>
      <c r="C12" t="s">
        <v>39</v>
      </c>
      <c r="D12">
        <v>2</v>
      </c>
      <c r="E12">
        <v>9</v>
      </c>
      <c r="F12">
        <v>3</v>
      </c>
      <c r="G12" t="s">
        <v>22</v>
      </c>
      <c r="H12" t="b">
        <v>0</v>
      </c>
      <c r="I12">
        <v>1</v>
      </c>
      <c r="J12" t="s">
        <v>25</v>
      </c>
      <c r="K12" t="str">
        <f>_xlfn.LET(_xlpm.ml,_xlfn.SINGLE(Table6[ml]),_xlpm.sn,_xlfn.SINGLE(Table6[sample.n]),_xlpm.spl,_xlfn.SINGLE(Table6[supplemented]),_xlpm.mgv,_xlfn.SINGLE(Table6[mgv]),_xlpm.attr,_xlfn.SINGLE(Table6[attribute]),_xlfn.TEXTJOIN({"-ml:","-suppl:","-mgv:","-sn:",""},TRUE,LEFT(_xlpm.attr,3),_xlpm.ml,LEFT(_xlpm.spl,1),_xlpm.mgv,_xlpm.sn,"k"))</f>
        <v>cas-ml:2-suppl:F-mgv:9-sn:2k</v>
      </c>
      <c r="L12" s="12">
        <v>0.42</v>
      </c>
      <c r="M12" s="12">
        <v>0.5</v>
      </c>
      <c r="N12" s="12">
        <v>0.45</v>
      </c>
      <c r="O12" s="12">
        <v>0.46</v>
      </c>
      <c r="P12" s="12">
        <v>0.53</v>
      </c>
      <c r="Q12" s="12">
        <v>0.45</v>
      </c>
      <c r="R12" s="12">
        <v>0.42</v>
      </c>
      <c r="S12" s="12">
        <v>0.43</v>
      </c>
      <c r="T12" s="12">
        <v>0.44</v>
      </c>
      <c r="U12" s="12">
        <v>0.4</v>
      </c>
      <c r="V12" s="12">
        <v>0.43</v>
      </c>
      <c r="W12" s="12">
        <v>0.47</v>
      </c>
      <c r="X12" s="12">
        <v>0.53</v>
      </c>
    </row>
    <row r="13" spans="1:24" ht="25" customHeight="1">
      <c r="A13" t="s">
        <v>38</v>
      </c>
      <c r="B13">
        <v>2</v>
      </c>
      <c r="C13" t="s">
        <v>39</v>
      </c>
      <c r="D13">
        <v>2</v>
      </c>
      <c r="E13">
        <v>9</v>
      </c>
      <c r="F13">
        <v>3</v>
      </c>
      <c r="G13" t="s">
        <v>22</v>
      </c>
      <c r="H13" t="b">
        <v>1</v>
      </c>
      <c r="I13">
        <v>1</v>
      </c>
      <c r="J13" t="s">
        <v>25</v>
      </c>
      <c r="K13" t="str">
        <f>_xlfn.LET(_xlpm.ml,_xlfn.SINGLE(Table6[ml]),_xlpm.sn,_xlfn.SINGLE(Table6[sample.n]),_xlpm.spl,_xlfn.SINGLE(Table6[supplemented]),_xlpm.mgv,_xlfn.SINGLE(Table6[mgv]),_xlpm.attr,_xlfn.SINGLE(Table6[attribute]),_xlfn.TEXTJOIN({"-ml:","-suppl:","-mgv:","-sn:",""},TRUE,LEFT(_xlpm.attr,3),_xlpm.ml,LEFT(_xlpm.spl,1),_xlpm.mgv,_xlpm.sn,"k"))</f>
        <v>cas-ml:2-suppl:T-mgv:9-sn:2k</v>
      </c>
      <c r="L13" s="12">
        <v>0.55000000000000004</v>
      </c>
      <c r="M13" s="12">
        <v>0.6</v>
      </c>
      <c r="N13" s="12">
        <v>0.55000000000000004</v>
      </c>
      <c r="O13" s="12">
        <v>0.52</v>
      </c>
      <c r="P13" s="12">
        <v>0.54</v>
      </c>
      <c r="Q13" s="12">
        <v>0.54</v>
      </c>
      <c r="R13" s="12">
        <v>0.55000000000000004</v>
      </c>
      <c r="S13" s="12">
        <v>0.56000000000000005</v>
      </c>
      <c r="T13" s="12">
        <v>0.49</v>
      </c>
      <c r="U13" s="12">
        <v>0.47</v>
      </c>
      <c r="V13" s="12">
        <v>0.51</v>
      </c>
      <c r="W13" s="12">
        <v>0.54</v>
      </c>
      <c r="X13" s="12">
        <v>0.6</v>
      </c>
    </row>
    <row r="14" spans="1:24" ht="25" customHeight="1">
      <c r="A14" t="s">
        <v>38</v>
      </c>
      <c r="B14">
        <v>3</v>
      </c>
      <c r="C14" t="s">
        <v>39</v>
      </c>
      <c r="D14">
        <v>1.2</v>
      </c>
      <c r="E14">
        <v>9</v>
      </c>
      <c r="F14">
        <v>1</v>
      </c>
      <c r="G14" t="s">
        <v>17</v>
      </c>
      <c r="H14" t="b">
        <v>0</v>
      </c>
      <c r="I14">
        <v>1</v>
      </c>
      <c r="J14" t="s">
        <v>25</v>
      </c>
      <c r="K14" t="str">
        <f>_xlfn.LET(_xlpm.ml,_xlfn.SINGLE(Table6[ml]),_xlpm.sn,_xlfn.SINGLE(Table6[sample.n]),_xlpm.spl,_xlfn.SINGLE(Table6[supplemented]),_xlpm.mgv,_xlfn.SINGLE(Table6[mgv]),_xlpm.attr,_xlfn.SINGLE(Table6[attribute]),_xlfn.TEXTJOIN({"-ml:","-suppl:","-mgv:","-sn:",""},TRUE,LEFT(_xlpm.attr,3),_xlpm.ml,LEFT(_xlpm.spl,1),_xlpm.mgv,_xlpm.sn,"k"))</f>
        <v>plu-ml:3-suppl:F-mgv:9-sn:1.2k</v>
      </c>
      <c r="L14" s="1">
        <v>0.88</v>
      </c>
      <c r="M14" s="1">
        <v>0.78</v>
      </c>
      <c r="N14" s="1">
        <v>0.82</v>
      </c>
      <c r="O14" s="1">
        <v>0.85</v>
      </c>
      <c r="P14" s="1">
        <v>0.86</v>
      </c>
      <c r="Q14" s="1">
        <v>0.85</v>
      </c>
      <c r="R14" s="1">
        <v>0.84</v>
      </c>
      <c r="S14" s="1">
        <v>0.83</v>
      </c>
      <c r="T14" s="1">
        <v>0.8</v>
      </c>
      <c r="U14" s="1">
        <v>0.85</v>
      </c>
      <c r="V14" s="1">
        <v>0.84</v>
      </c>
      <c r="W14" s="1">
        <v>0.87</v>
      </c>
      <c r="X14" s="1">
        <v>0.88</v>
      </c>
    </row>
    <row r="15" spans="1:24" ht="25" customHeight="1">
      <c r="A15" t="s">
        <v>38</v>
      </c>
      <c r="B15">
        <v>3</v>
      </c>
      <c r="C15" t="s">
        <v>39</v>
      </c>
      <c r="D15">
        <v>1.2</v>
      </c>
      <c r="E15">
        <v>9</v>
      </c>
      <c r="F15">
        <v>1</v>
      </c>
      <c r="G15" t="s">
        <v>17</v>
      </c>
      <c r="H15" t="b">
        <v>1</v>
      </c>
      <c r="I15">
        <v>1</v>
      </c>
      <c r="J15" t="s">
        <v>25</v>
      </c>
      <c r="K15" t="str">
        <f>_xlfn.LET(_xlpm.ml,_xlfn.SINGLE(Table6[ml]),_xlpm.sn,_xlfn.SINGLE(Table6[sample.n]),_xlpm.spl,_xlfn.SINGLE(Table6[supplemented]),_xlpm.mgv,_xlfn.SINGLE(Table6[mgv]),_xlpm.attr,_xlfn.SINGLE(Table6[attribute]),_xlfn.TEXTJOIN({"-ml:","-suppl:","-mgv:","-sn:",""},TRUE,LEFT(_xlpm.attr,3),_xlpm.ml,LEFT(_xlpm.spl,1),_xlpm.mgv,_xlpm.sn,"k"))</f>
        <v>plu-ml:3-suppl:T-mgv:9-sn:1.2k</v>
      </c>
      <c r="L15" s="1">
        <v>0.91</v>
      </c>
      <c r="M15" s="1">
        <v>0.88</v>
      </c>
      <c r="N15" s="1">
        <v>0.87</v>
      </c>
      <c r="O15" s="1">
        <v>0.88</v>
      </c>
      <c r="P15" s="1">
        <v>0.9</v>
      </c>
      <c r="Q15" s="1">
        <v>0.85</v>
      </c>
      <c r="R15" s="1">
        <v>0.88</v>
      </c>
      <c r="S15" s="1">
        <v>0.87</v>
      </c>
      <c r="T15" s="1">
        <v>0.86</v>
      </c>
      <c r="U15" s="1">
        <v>0.86</v>
      </c>
      <c r="V15" s="1">
        <v>0.85</v>
      </c>
      <c r="W15" s="1">
        <v>0.82</v>
      </c>
      <c r="X15" s="1">
        <v>0.91</v>
      </c>
    </row>
    <row r="16" spans="1:24" ht="25" customHeight="1">
      <c r="A16" t="s">
        <v>38</v>
      </c>
      <c r="B16">
        <v>3</v>
      </c>
      <c r="C16" t="s">
        <v>39</v>
      </c>
      <c r="D16">
        <v>1.2</v>
      </c>
      <c r="E16">
        <v>9</v>
      </c>
      <c r="F16">
        <v>2</v>
      </c>
      <c r="G16" t="s">
        <v>21</v>
      </c>
      <c r="H16" t="b">
        <v>0</v>
      </c>
      <c r="I16">
        <v>1</v>
      </c>
      <c r="J16" t="s">
        <v>25</v>
      </c>
      <c r="K16" t="str">
        <f>_xlfn.LET(_xlpm.ml,_xlfn.SINGLE(Table6[ml]),_xlpm.sn,_xlfn.SINGLE(Table6[sample.n]),_xlpm.spl,_xlfn.SINGLE(Table6[supplemented]),_xlpm.mgv,_xlfn.SINGLE(Table6[mgv]),_xlpm.attr,_xlfn.SINGLE(Table6[attribute]),_xlfn.TEXTJOIN({"-ml:","-suppl:","-mgv:","-sn:",""},TRUE,LEFT(_xlpm.attr,3),_xlpm.ml,LEFT(_xlpm.spl,1),_xlpm.mgv,_xlpm.sn,"k"))</f>
        <v>gen-ml:3-suppl:F-mgv:9-sn:1.2k</v>
      </c>
      <c r="L16" s="12">
        <v>0.53</v>
      </c>
      <c r="M16" s="12">
        <v>0.56000000000000005</v>
      </c>
      <c r="N16" s="12">
        <v>0.62</v>
      </c>
      <c r="O16" s="12">
        <v>0.61</v>
      </c>
      <c r="P16" s="12">
        <v>0.57999999999999996</v>
      </c>
      <c r="Q16" s="12">
        <v>0.6</v>
      </c>
      <c r="R16" s="12">
        <v>0.62</v>
      </c>
      <c r="S16" s="12">
        <v>0.63</v>
      </c>
      <c r="T16" s="12">
        <v>0.68</v>
      </c>
      <c r="U16" s="12">
        <v>0.64</v>
      </c>
      <c r="V16" s="12">
        <v>0.6</v>
      </c>
      <c r="W16" s="12">
        <v>0.53</v>
      </c>
      <c r="X16" s="12">
        <v>0.68</v>
      </c>
    </row>
    <row r="17" spans="1:24" ht="25" customHeight="1">
      <c r="A17" t="s">
        <v>38</v>
      </c>
      <c r="B17">
        <v>3</v>
      </c>
      <c r="C17" t="s">
        <v>39</v>
      </c>
      <c r="D17">
        <v>1.2</v>
      </c>
      <c r="E17">
        <v>9</v>
      </c>
      <c r="F17">
        <v>2</v>
      </c>
      <c r="G17" t="s">
        <v>21</v>
      </c>
      <c r="H17" t="b">
        <v>1</v>
      </c>
      <c r="I17">
        <v>1</v>
      </c>
      <c r="J17" t="s">
        <v>25</v>
      </c>
      <c r="K17" t="str">
        <f>_xlfn.LET(_xlpm.ml,_xlfn.SINGLE(Table6[ml]),_xlpm.sn,_xlfn.SINGLE(Table6[sample.n]),_xlpm.spl,_xlfn.SINGLE(Table6[supplemented]),_xlpm.mgv,_xlfn.SINGLE(Table6[mgv]),_xlpm.attr,_xlfn.SINGLE(Table6[attribute]),_xlfn.TEXTJOIN({"-ml:","-suppl:","-mgv:","-sn:",""},TRUE,LEFT(_xlpm.attr,3),_xlpm.ml,LEFT(_xlpm.spl,1),_xlpm.mgv,_xlpm.sn,"k"))</f>
        <v>gen-ml:3-suppl:T-mgv:9-sn:1.2k</v>
      </c>
      <c r="L17" s="12">
        <v>0.55000000000000004</v>
      </c>
      <c r="M17" s="12">
        <v>0.57999999999999996</v>
      </c>
      <c r="N17" s="12">
        <v>0.68</v>
      </c>
      <c r="O17" s="12">
        <v>0.63</v>
      </c>
      <c r="P17" s="12">
        <v>0.65</v>
      </c>
      <c r="Q17" s="12">
        <v>0.6</v>
      </c>
      <c r="R17" s="12">
        <v>0.7</v>
      </c>
      <c r="S17" s="12">
        <v>0.68</v>
      </c>
      <c r="T17" s="12">
        <v>0.69</v>
      </c>
      <c r="U17" s="12">
        <v>0.71</v>
      </c>
      <c r="V17" s="12">
        <v>0.57999999999999996</v>
      </c>
      <c r="W17" s="12">
        <v>0.51</v>
      </c>
      <c r="X17" s="12">
        <v>0.71</v>
      </c>
    </row>
    <row r="18" spans="1:24" ht="25" customHeight="1">
      <c r="A18" t="s">
        <v>38</v>
      </c>
      <c r="B18">
        <v>3</v>
      </c>
      <c r="C18" t="s">
        <v>39</v>
      </c>
      <c r="D18">
        <v>1.2</v>
      </c>
      <c r="E18">
        <v>9</v>
      </c>
      <c r="F18">
        <v>3</v>
      </c>
      <c r="G18" t="s">
        <v>22</v>
      </c>
      <c r="H18" t="b">
        <v>0</v>
      </c>
      <c r="I18">
        <v>1</v>
      </c>
      <c r="J18" t="s">
        <v>25</v>
      </c>
      <c r="K18" t="str">
        <f>_xlfn.LET(_xlpm.ml,_xlfn.SINGLE(Table6[ml]),_xlpm.sn,_xlfn.SINGLE(Table6[sample.n]),_xlpm.spl,_xlfn.SINGLE(Table6[supplemented]),_xlpm.mgv,_xlfn.SINGLE(Table6[mgv]),_xlpm.attr,_xlfn.SINGLE(Table6[attribute]),_xlfn.TEXTJOIN({"-ml:","-suppl:","-mgv:","-sn:",""},TRUE,LEFT(_xlpm.attr,3),_xlpm.ml,LEFT(_xlpm.spl,1),_xlpm.mgv,_xlpm.sn,"k"))</f>
        <v>cas-ml:3-suppl:F-mgv:9-sn:1.2k</v>
      </c>
      <c r="L18" s="12">
        <v>0.36</v>
      </c>
      <c r="M18" s="12">
        <v>0.42</v>
      </c>
      <c r="N18" s="12">
        <v>0.47</v>
      </c>
      <c r="O18" s="12">
        <v>0.39</v>
      </c>
      <c r="P18" s="12">
        <v>0.44</v>
      </c>
      <c r="Q18" s="12">
        <v>0.45</v>
      </c>
      <c r="R18" s="12">
        <v>0.38</v>
      </c>
      <c r="S18" s="12">
        <v>0.35</v>
      </c>
      <c r="T18" s="12">
        <v>0.42</v>
      </c>
      <c r="U18" s="12">
        <v>0.41</v>
      </c>
      <c r="V18" s="12">
        <v>0.39</v>
      </c>
      <c r="W18" s="12">
        <v>0.48</v>
      </c>
      <c r="X18" s="12">
        <v>0.48</v>
      </c>
    </row>
    <row r="19" spans="1:24" ht="25" customHeight="1">
      <c r="A19" t="s">
        <v>38</v>
      </c>
      <c r="B19">
        <v>3</v>
      </c>
      <c r="C19" t="s">
        <v>39</v>
      </c>
      <c r="D19">
        <v>1.2</v>
      </c>
      <c r="E19">
        <v>9</v>
      </c>
      <c r="F19">
        <v>3</v>
      </c>
      <c r="G19" t="s">
        <v>22</v>
      </c>
      <c r="H19" t="b">
        <v>1</v>
      </c>
      <c r="I19">
        <v>1</v>
      </c>
      <c r="J19" t="s">
        <v>25</v>
      </c>
      <c r="K19" t="str">
        <f>_xlfn.LET(_xlpm.ml,_xlfn.SINGLE(Table6[ml]),_xlpm.sn,_xlfn.SINGLE(Table6[sample.n]),_xlpm.spl,_xlfn.SINGLE(Table6[supplemented]),_xlpm.mgv,_xlfn.SINGLE(Table6[mgv]),_xlpm.attr,_xlfn.SINGLE(Table6[attribute]),_xlfn.TEXTJOIN({"-ml:","-suppl:","-mgv:","-sn:",""},TRUE,LEFT(_xlpm.attr,3),_xlpm.ml,LEFT(_xlpm.spl,1),_xlpm.mgv,_xlpm.sn,"k"))</f>
        <v>cas-ml:3-suppl:T-mgv:9-sn:1.2k</v>
      </c>
      <c r="L19" s="12">
        <v>0.45</v>
      </c>
      <c r="M19" s="12">
        <v>0.54</v>
      </c>
      <c r="N19" s="12">
        <v>0.62</v>
      </c>
      <c r="O19" s="12">
        <v>0.49</v>
      </c>
      <c r="P19" s="12">
        <v>0.47</v>
      </c>
      <c r="Q19" s="12">
        <v>0.47</v>
      </c>
      <c r="R19" s="12">
        <v>0.5</v>
      </c>
      <c r="S19" s="12">
        <v>0.46</v>
      </c>
      <c r="T19" s="12">
        <v>0.53</v>
      </c>
      <c r="U19" s="12">
        <v>0.43</v>
      </c>
      <c r="V19" s="12">
        <v>0.45</v>
      </c>
      <c r="W19" s="12">
        <v>0.51</v>
      </c>
      <c r="X19" s="12">
        <v>0.62</v>
      </c>
    </row>
    <row r="20" spans="1:24" ht="25" customHeight="1">
      <c r="A20" t="s">
        <v>38</v>
      </c>
      <c r="B20">
        <v>3</v>
      </c>
      <c r="C20" t="s">
        <v>39</v>
      </c>
      <c r="D20">
        <v>2</v>
      </c>
      <c r="E20">
        <v>9</v>
      </c>
      <c r="F20">
        <v>1</v>
      </c>
      <c r="G20" t="s">
        <v>17</v>
      </c>
      <c r="H20" t="b">
        <v>0</v>
      </c>
      <c r="I20">
        <v>1</v>
      </c>
      <c r="J20" t="s">
        <v>25</v>
      </c>
      <c r="K20" t="str">
        <f>_xlfn.LET(_xlpm.ml,_xlfn.SINGLE(Table6[ml]),_xlpm.sn,_xlfn.SINGLE(Table6[sample.n]),_xlpm.spl,_xlfn.SINGLE(Table6[supplemented]),_xlpm.mgv,_xlfn.SINGLE(Table6[mgv]),_xlpm.attr,_xlfn.SINGLE(Table6[attribute]),_xlfn.TEXTJOIN({"-ml:","-suppl:","-mgv:","-sn:",""},TRUE,LEFT(_xlpm.attr,3),_xlpm.ml,LEFT(_xlpm.spl,1),_xlpm.mgv,_xlpm.sn,"k"))</f>
        <v>plu-ml:3-suppl:F-mgv:9-sn:2k</v>
      </c>
      <c r="L20" s="1">
        <v>0.86</v>
      </c>
      <c r="M20" s="1">
        <v>0.8</v>
      </c>
      <c r="N20" s="1">
        <v>0.82</v>
      </c>
      <c r="O20" s="1">
        <v>0.88</v>
      </c>
      <c r="P20" s="1">
        <v>0.82</v>
      </c>
      <c r="Q20" s="1">
        <v>0.85</v>
      </c>
      <c r="R20" s="1">
        <v>0.84</v>
      </c>
      <c r="S20" s="1">
        <v>0.79</v>
      </c>
      <c r="T20" s="1">
        <v>0.82</v>
      </c>
      <c r="U20" s="1">
        <v>0.84</v>
      </c>
      <c r="V20" s="1">
        <v>0.82</v>
      </c>
      <c r="W20" s="1">
        <v>0.88</v>
      </c>
      <c r="X20" s="1">
        <v>0.88</v>
      </c>
    </row>
    <row r="21" spans="1:24" ht="25" customHeight="1">
      <c r="A21" t="s">
        <v>38</v>
      </c>
      <c r="B21">
        <v>3</v>
      </c>
      <c r="C21" t="s">
        <v>39</v>
      </c>
      <c r="D21">
        <v>2</v>
      </c>
      <c r="E21">
        <v>9</v>
      </c>
      <c r="F21">
        <v>1</v>
      </c>
      <c r="G21" t="s">
        <v>17</v>
      </c>
      <c r="H21" t="b">
        <v>1</v>
      </c>
      <c r="I21">
        <v>1</v>
      </c>
      <c r="J21" t="s">
        <v>25</v>
      </c>
      <c r="K21" t="str">
        <f>_xlfn.LET(_xlpm.ml,_xlfn.SINGLE(Table6[ml]),_xlpm.sn,_xlfn.SINGLE(Table6[sample.n]),_xlpm.spl,_xlfn.SINGLE(Table6[supplemented]),_xlpm.mgv,_xlfn.SINGLE(Table6[mgv]),_xlpm.attr,_xlfn.SINGLE(Table6[attribute]),_xlfn.TEXTJOIN({"-ml:","-suppl:","-mgv:","-sn:",""},TRUE,LEFT(_xlpm.attr,3),_xlpm.ml,LEFT(_xlpm.spl,1),_xlpm.mgv,_xlpm.sn,"k"))</f>
        <v>plu-ml:3-suppl:T-mgv:9-sn:2k</v>
      </c>
      <c r="L21" s="1">
        <v>0.94</v>
      </c>
      <c r="M21" s="1">
        <v>0.86</v>
      </c>
      <c r="N21" s="1">
        <v>0.91</v>
      </c>
      <c r="O21" s="1">
        <v>0.88</v>
      </c>
      <c r="P21" s="1">
        <v>0.83</v>
      </c>
      <c r="Q21" s="1">
        <v>0.89</v>
      </c>
      <c r="R21" s="1">
        <v>0.9</v>
      </c>
      <c r="S21" s="1">
        <v>0.83</v>
      </c>
      <c r="T21" s="1">
        <v>0.85</v>
      </c>
      <c r="U21" s="1">
        <v>0.85</v>
      </c>
      <c r="V21" s="1">
        <v>0.81</v>
      </c>
      <c r="W21" s="1">
        <v>0.84</v>
      </c>
      <c r="X21" s="1">
        <v>0.94</v>
      </c>
    </row>
    <row r="22" spans="1:24" ht="25" customHeight="1">
      <c r="A22" t="s">
        <v>38</v>
      </c>
      <c r="B22">
        <v>3</v>
      </c>
      <c r="C22" t="s">
        <v>39</v>
      </c>
      <c r="D22">
        <v>2</v>
      </c>
      <c r="E22">
        <v>9</v>
      </c>
      <c r="F22">
        <v>2</v>
      </c>
      <c r="G22" t="s">
        <v>21</v>
      </c>
      <c r="H22" t="b">
        <v>0</v>
      </c>
      <c r="I22">
        <v>1</v>
      </c>
      <c r="J22" t="s">
        <v>25</v>
      </c>
      <c r="K22" t="str">
        <f>_xlfn.LET(_xlpm.ml,_xlfn.SINGLE(Table6[ml]),_xlpm.sn,_xlfn.SINGLE(Table6[sample.n]),_xlpm.spl,_xlfn.SINGLE(Table6[supplemented]),_xlpm.mgv,_xlfn.SINGLE(Table6[mgv]),_xlpm.attr,_xlfn.SINGLE(Table6[attribute]),_xlfn.TEXTJOIN({"-ml:","-suppl:","-mgv:","-sn:",""},TRUE,LEFT(_xlpm.attr,3),_xlpm.ml,LEFT(_xlpm.spl,1),_xlpm.mgv,_xlpm.sn,"k"))</f>
        <v>gen-ml:3-suppl:F-mgv:9-sn:2k</v>
      </c>
      <c r="L22" s="12">
        <v>0.69</v>
      </c>
      <c r="M22" s="12">
        <v>0.69</v>
      </c>
      <c r="N22" s="12">
        <v>0.6</v>
      </c>
      <c r="O22" s="12">
        <v>0.65</v>
      </c>
      <c r="P22" s="12">
        <v>0.59</v>
      </c>
      <c r="Q22" s="12">
        <v>0.66</v>
      </c>
      <c r="R22" s="12">
        <v>0.61</v>
      </c>
      <c r="S22" s="12">
        <v>0.66</v>
      </c>
      <c r="T22" s="12">
        <v>0.69</v>
      </c>
      <c r="U22" s="12">
        <v>0.65</v>
      </c>
      <c r="V22" s="12">
        <v>0.64</v>
      </c>
      <c r="W22" s="12">
        <v>0.66</v>
      </c>
      <c r="X22" s="12">
        <v>0.69</v>
      </c>
    </row>
    <row r="23" spans="1:24" ht="25" customHeight="1">
      <c r="A23" t="s">
        <v>38</v>
      </c>
      <c r="B23">
        <v>3</v>
      </c>
      <c r="C23" t="s">
        <v>39</v>
      </c>
      <c r="D23">
        <v>2</v>
      </c>
      <c r="E23">
        <v>9</v>
      </c>
      <c r="F23">
        <v>2</v>
      </c>
      <c r="G23" t="s">
        <v>21</v>
      </c>
      <c r="H23" t="b">
        <v>1</v>
      </c>
      <c r="I23">
        <v>1</v>
      </c>
      <c r="J23" t="s">
        <v>25</v>
      </c>
      <c r="K23" t="str">
        <f>_xlfn.LET(_xlpm.ml,_xlfn.SINGLE(Table6[ml]),_xlpm.sn,_xlfn.SINGLE(Table6[sample.n]),_xlpm.spl,_xlfn.SINGLE(Table6[supplemented]),_xlpm.mgv,_xlfn.SINGLE(Table6[mgv]),_xlpm.attr,_xlfn.SINGLE(Table6[attribute]),_xlfn.TEXTJOIN({"-ml:","-suppl:","-mgv:","-sn:",""},TRUE,LEFT(_xlpm.attr,3),_xlpm.ml,LEFT(_xlpm.spl,1),_xlpm.mgv,_xlpm.sn,"k"))</f>
        <v>gen-ml:3-suppl:T-mgv:9-sn:2k</v>
      </c>
      <c r="L23" s="12">
        <v>0.67</v>
      </c>
      <c r="M23" s="12">
        <v>0.69</v>
      </c>
      <c r="N23" s="12">
        <v>0.65</v>
      </c>
      <c r="O23" s="12">
        <v>0.67</v>
      </c>
      <c r="P23" s="12">
        <v>0.6</v>
      </c>
      <c r="Q23" s="12">
        <v>0.69</v>
      </c>
      <c r="R23" s="12">
        <v>0.66</v>
      </c>
      <c r="S23" s="12">
        <v>0.69</v>
      </c>
      <c r="T23" s="12">
        <v>0.73</v>
      </c>
      <c r="U23" s="12">
        <v>0.64</v>
      </c>
      <c r="V23" s="12">
        <v>0.67</v>
      </c>
      <c r="W23" s="12">
        <v>0.62</v>
      </c>
      <c r="X23" s="12">
        <v>0.73</v>
      </c>
    </row>
    <row r="24" spans="1:24" ht="25" customHeight="1">
      <c r="A24" t="s">
        <v>38</v>
      </c>
      <c r="B24">
        <v>3</v>
      </c>
      <c r="C24" t="s">
        <v>39</v>
      </c>
      <c r="D24">
        <v>2</v>
      </c>
      <c r="E24">
        <v>9</v>
      </c>
      <c r="F24">
        <v>3</v>
      </c>
      <c r="G24" t="s">
        <v>22</v>
      </c>
      <c r="H24" t="b">
        <v>0</v>
      </c>
      <c r="I24">
        <v>1</v>
      </c>
      <c r="J24" t="s">
        <v>25</v>
      </c>
      <c r="K24" t="str">
        <f>_xlfn.LET(_xlpm.ml,_xlfn.SINGLE(Table6[ml]),_xlpm.sn,_xlfn.SINGLE(Table6[sample.n]),_xlpm.spl,_xlfn.SINGLE(Table6[supplemented]),_xlpm.mgv,_xlfn.SINGLE(Table6[mgv]),_xlpm.attr,_xlfn.SINGLE(Table6[attribute]),_xlfn.TEXTJOIN({"-ml:","-suppl:","-mgv:","-sn:",""},TRUE,LEFT(_xlpm.attr,3),_xlpm.ml,LEFT(_xlpm.spl,1),_xlpm.mgv,_xlpm.sn,"k"))</f>
        <v>cas-ml:3-suppl:F-mgv:9-sn:2k</v>
      </c>
      <c r="L24" s="12">
        <v>0.42</v>
      </c>
      <c r="M24" s="12">
        <v>0.5</v>
      </c>
      <c r="N24" s="12">
        <v>0.45</v>
      </c>
      <c r="O24" s="12">
        <v>0.46</v>
      </c>
      <c r="P24" s="12">
        <v>0.53</v>
      </c>
      <c r="Q24" s="12">
        <v>0.45</v>
      </c>
      <c r="R24" s="12">
        <v>0.42</v>
      </c>
      <c r="S24" s="12">
        <v>0.43</v>
      </c>
      <c r="T24" s="12">
        <v>0.44</v>
      </c>
      <c r="U24" s="12">
        <v>0.4</v>
      </c>
      <c r="V24" s="12">
        <v>0.43</v>
      </c>
      <c r="W24" s="12">
        <v>0.47</v>
      </c>
      <c r="X24" s="12">
        <v>0.53</v>
      </c>
    </row>
    <row r="25" spans="1:24" ht="25" customHeight="1">
      <c r="A25" t="s">
        <v>38</v>
      </c>
      <c r="B25">
        <v>3</v>
      </c>
      <c r="C25" t="s">
        <v>39</v>
      </c>
      <c r="D25">
        <v>2</v>
      </c>
      <c r="E25">
        <v>9</v>
      </c>
      <c r="F25">
        <v>3</v>
      </c>
      <c r="G25" t="s">
        <v>22</v>
      </c>
      <c r="H25" t="b">
        <v>1</v>
      </c>
      <c r="I25">
        <v>1</v>
      </c>
      <c r="J25" t="s">
        <v>25</v>
      </c>
      <c r="K25" t="str">
        <f>_xlfn.LET(_xlpm.ml,_xlfn.SINGLE(Table6[ml]),_xlpm.sn,_xlfn.SINGLE(Table6[sample.n]),_xlpm.spl,_xlfn.SINGLE(Table6[supplemented]),_xlpm.mgv,_xlfn.SINGLE(Table6[mgv]),_xlpm.attr,_xlfn.SINGLE(Table6[attribute]),_xlfn.TEXTJOIN({"-ml:","-suppl:","-mgv:","-sn:",""},TRUE,LEFT(_xlpm.attr,3),_xlpm.ml,LEFT(_xlpm.spl,1),_xlpm.mgv,_xlpm.sn,"k"))</f>
        <v>cas-ml:3-suppl:T-mgv:9-sn:2k</v>
      </c>
      <c r="L25" s="12">
        <v>0.55000000000000004</v>
      </c>
      <c r="M25" s="12">
        <v>0.6</v>
      </c>
      <c r="N25" s="12">
        <v>0.55000000000000004</v>
      </c>
      <c r="O25" s="12">
        <v>0.52</v>
      </c>
      <c r="P25" s="12">
        <v>0.54</v>
      </c>
      <c r="Q25" s="12">
        <v>0.54</v>
      </c>
      <c r="R25" s="12">
        <v>0.55000000000000004</v>
      </c>
      <c r="S25" s="12">
        <v>0.56000000000000005</v>
      </c>
      <c r="T25" s="12">
        <v>0.49</v>
      </c>
      <c r="U25" s="12">
        <v>0.47</v>
      </c>
      <c r="V25" s="12">
        <v>0.51</v>
      </c>
      <c r="W25" s="12">
        <v>0.54</v>
      </c>
      <c r="X25" s="12">
        <v>0.6</v>
      </c>
    </row>
  </sheetData>
  <conditionalFormatting sqref="L2:X25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39E5D-0C7E-EE46-9A6E-D6FE329CE0BC}">
  <dimension ref="A1:V40"/>
  <sheetViews>
    <sheetView workbookViewId="0">
      <pane xSplit="7400" ySplit="2940" topLeftCell="O1"/>
      <selection activeCell="C11" sqref="C11"/>
      <selection pane="topRight" activeCell="O37" sqref="O37"/>
      <selection pane="bottomLeft" activeCell="A5" sqref="A5"/>
      <selection pane="bottomRight" activeCell="W10" sqref="W10"/>
    </sheetView>
  </sheetViews>
  <sheetFormatPr baseColWidth="10" defaultRowHeight="25" customHeight="1"/>
  <cols>
    <col min="1" max="1" width="8.25" customWidth="1"/>
    <col min="2" max="2" width="7.625" customWidth="1"/>
    <col min="4" max="4" width="9.375" customWidth="1"/>
    <col min="5" max="5" width="7.375" customWidth="1"/>
    <col min="7" max="7" width="8" customWidth="1"/>
    <col min="8" max="8" width="8.875" customWidth="1"/>
    <col min="9" max="9" width="33.125" customWidth="1"/>
    <col min="10" max="21" width="9.5" customWidth="1"/>
  </cols>
  <sheetData>
    <row r="1" spans="1:22" ht="25" customHeight="1">
      <c r="A1" s="10" t="s">
        <v>0</v>
      </c>
      <c r="B1" s="10" t="s">
        <v>23</v>
      </c>
      <c r="C1" s="10" t="s">
        <v>1</v>
      </c>
      <c r="D1" s="10" t="s">
        <v>2</v>
      </c>
      <c r="E1" s="10" t="s">
        <v>24</v>
      </c>
      <c r="F1" s="10" t="s">
        <v>3</v>
      </c>
      <c r="G1" s="10" t="s">
        <v>33</v>
      </c>
      <c r="H1" s="10" t="s">
        <v>32</v>
      </c>
      <c r="I1" s="10" t="s">
        <v>34</v>
      </c>
      <c r="J1" s="10" t="s">
        <v>4</v>
      </c>
      <c r="K1" s="10" t="s">
        <v>5</v>
      </c>
      <c r="L1" s="10" t="s">
        <v>6</v>
      </c>
      <c r="M1" s="10" t="s">
        <v>7</v>
      </c>
      <c r="N1" s="10" t="s">
        <v>8</v>
      </c>
      <c r="O1" s="10" t="s">
        <v>9</v>
      </c>
      <c r="P1" s="10" t="s">
        <v>10</v>
      </c>
      <c r="Q1" s="10" t="s">
        <v>11</v>
      </c>
      <c r="R1" s="10" t="s">
        <v>12</v>
      </c>
      <c r="S1" s="10" t="s">
        <v>13</v>
      </c>
      <c r="T1" s="10" t="s">
        <v>14</v>
      </c>
      <c r="U1" s="10" t="s">
        <v>15</v>
      </c>
      <c r="V1" s="10" t="s">
        <v>25</v>
      </c>
    </row>
    <row r="2" spans="1:22" ht="25" customHeight="1">
      <c r="A2" s="17" t="s">
        <v>16</v>
      </c>
      <c r="B2" s="17">
        <v>1</v>
      </c>
      <c r="C2" s="17" t="s">
        <v>17</v>
      </c>
      <c r="D2" s="17" t="b">
        <v>1</v>
      </c>
      <c r="E2" s="17">
        <v>1</v>
      </c>
      <c r="F2" s="17" t="s">
        <v>25</v>
      </c>
      <c r="G2" s="21">
        <v>2</v>
      </c>
      <c r="H2" s="17">
        <v>2</v>
      </c>
      <c r="I2" s="17" t="str">
        <f>_xlfn.TEXTJOIN({"","-","k-","-","-suppl:","-"},TRUE,"ml",G2,H2,A2,C2,D2)</f>
        <v>ml2-2k-Czech-plurality-suppl:TRUE</v>
      </c>
      <c r="J2" s="18">
        <v>0.94</v>
      </c>
      <c r="K2" s="18">
        <v>0.86</v>
      </c>
      <c r="L2" s="18">
        <v>0.91</v>
      </c>
      <c r="M2" s="18">
        <v>0.88</v>
      </c>
      <c r="N2" s="18">
        <v>0.83</v>
      </c>
      <c r="O2" s="18">
        <v>0.89</v>
      </c>
      <c r="P2" s="18">
        <v>0.9</v>
      </c>
      <c r="Q2" s="18">
        <v>0.83</v>
      </c>
      <c r="R2" s="18">
        <v>0.85</v>
      </c>
      <c r="S2" s="18">
        <v>0.85</v>
      </c>
      <c r="T2" s="18">
        <v>0.81</v>
      </c>
      <c r="U2" s="18">
        <v>0.84</v>
      </c>
      <c r="V2" s="25">
        <f t="shared" ref="V2:V5" si="0">_xlfn.LET(_xlpm.d,J2:T2,MAX(_xlpm.d))</f>
        <v>0.94</v>
      </c>
    </row>
    <row r="3" spans="1:22" ht="25" customHeight="1">
      <c r="A3" s="17" t="s">
        <v>16</v>
      </c>
      <c r="B3" s="17">
        <v>1</v>
      </c>
      <c r="C3" s="17" t="s">
        <v>17</v>
      </c>
      <c r="D3" s="17" t="b">
        <v>1</v>
      </c>
      <c r="E3" s="17">
        <v>1</v>
      </c>
      <c r="F3" s="17" t="s">
        <v>25</v>
      </c>
      <c r="G3" s="21">
        <v>2</v>
      </c>
      <c r="H3" s="17">
        <v>1.2</v>
      </c>
      <c r="I3" s="17" t="str">
        <f>_xlfn.TEXTJOIN({"","-","k-","-","-suppl:","-"},TRUE,"ml",G3,H3,A3,C3,D3)</f>
        <v>ml2-1.2k-Czech-plurality-suppl:TRUE</v>
      </c>
      <c r="J3" s="18">
        <v>0.87</v>
      </c>
      <c r="K3" s="18">
        <v>0.83</v>
      </c>
      <c r="L3" s="18">
        <v>0.86</v>
      </c>
      <c r="M3" s="18">
        <v>0.86</v>
      </c>
      <c r="N3" s="18">
        <v>0.84</v>
      </c>
      <c r="O3" s="18">
        <v>0.82</v>
      </c>
      <c r="P3" s="18">
        <v>0.89</v>
      </c>
      <c r="Q3" s="18">
        <v>0.84</v>
      </c>
      <c r="R3" s="18">
        <v>0.88</v>
      </c>
      <c r="S3" s="18">
        <v>0.84</v>
      </c>
      <c r="T3" s="18">
        <v>0.85</v>
      </c>
      <c r="U3" s="18">
        <v>0.8</v>
      </c>
      <c r="V3" s="25">
        <f t="shared" si="0"/>
        <v>0.89</v>
      </c>
    </row>
    <row r="4" spans="1:22" ht="25" customHeight="1">
      <c r="A4" s="19" t="s">
        <v>16</v>
      </c>
      <c r="B4" s="19">
        <v>1</v>
      </c>
      <c r="C4" s="19" t="s">
        <v>17</v>
      </c>
      <c r="D4" s="19" t="b">
        <v>1</v>
      </c>
      <c r="E4" s="19">
        <v>1</v>
      </c>
      <c r="F4" s="19" t="s">
        <v>25</v>
      </c>
      <c r="G4" s="22">
        <v>3</v>
      </c>
      <c r="H4" s="19">
        <v>2</v>
      </c>
      <c r="I4" s="19" t="str">
        <f>_xlfn.TEXTJOIN({"","-","k-","-","-suppl:","-"},TRUE,"ml",G4,H4,A4,C4,D4)</f>
        <v>ml3-2k-Czech-plurality-suppl:TRUE</v>
      </c>
      <c r="J4" s="20">
        <v>0.92</v>
      </c>
      <c r="K4" s="20">
        <v>0.89</v>
      </c>
      <c r="L4" s="20">
        <v>0.83</v>
      </c>
      <c r="M4" s="20">
        <v>0.88</v>
      </c>
      <c r="N4" s="20">
        <v>0.88</v>
      </c>
      <c r="O4" s="20">
        <v>0.88</v>
      </c>
      <c r="P4" s="20">
        <v>0.88</v>
      </c>
      <c r="Q4" s="20">
        <v>0.88</v>
      </c>
      <c r="R4" s="20">
        <v>0.89</v>
      </c>
      <c r="S4" s="20">
        <v>0.84</v>
      </c>
      <c r="T4" s="20">
        <v>0.86</v>
      </c>
      <c r="U4" s="20">
        <v>0.87</v>
      </c>
      <c r="V4" s="26">
        <f t="shared" si="0"/>
        <v>0.92</v>
      </c>
    </row>
    <row r="5" spans="1:22" ht="25" customHeight="1">
      <c r="A5" s="19" t="s">
        <v>16</v>
      </c>
      <c r="B5" s="19">
        <v>1</v>
      </c>
      <c r="C5" s="19" t="s">
        <v>17</v>
      </c>
      <c r="D5" s="19" t="b">
        <v>1</v>
      </c>
      <c r="E5" s="19">
        <v>1</v>
      </c>
      <c r="F5" s="19" t="s">
        <v>25</v>
      </c>
      <c r="G5" s="22">
        <v>3</v>
      </c>
      <c r="H5" s="19">
        <v>1.2</v>
      </c>
      <c r="I5" s="19" t="str">
        <f>_xlfn.TEXTJOIN({"","-","k-","-","-suppl:","-"},TRUE,"ml",G5,H5,A5,C5,D5)</f>
        <v>ml3-1.2k-Czech-plurality-suppl:TRUE</v>
      </c>
      <c r="J5" s="20">
        <v>0.91</v>
      </c>
      <c r="K5" s="20">
        <v>0.88</v>
      </c>
      <c r="L5" s="20">
        <v>0.87</v>
      </c>
      <c r="M5" s="20">
        <v>0.88</v>
      </c>
      <c r="N5" s="20">
        <v>0.9</v>
      </c>
      <c r="O5" s="20">
        <v>0.85</v>
      </c>
      <c r="P5" s="20">
        <v>0.88</v>
      </c>
      <c r="Q5" s="20">
        <v>0.87</v>
      </c>
      <c r="R5" s="20">
        <v>0.86</v>
      </c>
      <c r="S5" s="20">
        <v>0.86</v>
      </c>
      <c r="T5" s="20">
        <v>0.85</v>
      </c>
      <c r="U5" s="20">
        <v>0.82</v>
      </c>
      <c r="V5" s="26">
        <f t="shared" si="0"/>
        <v>0.91</v>
      </c>
    </row>
    <row r="6" spans="1:22" ht="25" customHeight="1">
      <c r="A6" s="11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3"/>
    </row>
    <row r="7" spans="1:22" ht="25" customHeight="1">
      <c r="A7" s="11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3"/>
    </row>
    <row r="8" spans="1:22" ht="25" customHeight="1">
      <c r="A8" t="s">
        <v>0</v>
      </c>
      <c r="B8" t="s">
        <v>23</v>
      </c>
      <c r="C8" t="s">
        <v>1</v>
      </c>
      <c r="D8" t="s">
        <v>2</v>
      </c>
      <c r="E8" t="s">
        <v>24</v>
      </c>
      <c r="F8" t="s">
        <v>3</v>
      </c>
      <c r="G8" t="s">
        <v>33</v>
      </c>
      <c r="H8" t="s">
        <v>32</v>
      </c>
      <c r="I8" t="s">
        <v>34</v>
      </c>
      <c r="J8" s="12" t="s">
        <v>4</v>
      </c>
      <c r="K8" s="12" t="s">
        <v>5</v>
      </c>
      <c r="L8" s="12" t="s">
        <v>6</v>
      </c>
      <c r="M8" s="12" t="s">
        <v>7</v>
      </c>
      <c r="N8" s="12" t="s">
        <v>8</v>
      </c>
      <c r="O8" s="12" t="s">
        <v>9</v>
      </c>
      <c r="P8" s="12" t="s">
        <v>10</v>
      </c>
      <c r="Q8" s="12" t="s">
        <v>11</v>
      </c>
      <c r="R8" s="12" t="s">
        <v>12</v>
      </c>
      <c r="S8" s="12" t="s">
        <v>13</v>
      </c>
      <c r="T8" s="12" t="s">
        <v>14</v>
      </c>
      <c r="U8" s="12" t="s">
        <v>15</v>
      </c>
      <c r="V8" s="12" t="s">
        <v>25</v>
      </c>
    </row>
    <row r="9" spans="1:22" ht="25" customHeight="1">
      <c r="A9" s="7" t="s">
        <v>16</v>
      </c>
      <c r="B9" s="7">
        <v>1</v>
      </c>
      <c r="C9" s="7" t="s">
        <v>17</v>
      </c>
      <c r="D9" s="7" t="b">
        <v>0</v>
      </c>
      <c r="E9" s="7">
        <v>1</v>
      </c>
      <c r="F9" s="7" t="s">
        <v>25</v>
      </c>
      <c r="G9" s="23">
        <v>2</v>
      </c>
      <c r="H9" s="7">
        <v>2</v>
      </c>
      <c r="I9" s="17" t="str">
        <f>_xlfn.TEXTJOIN({"","-","k-","-","-suppl:","-"},TRUE,"ml",G9,H9,A9,C9,D9)</f>
        <v>ml2-2k-Czech-plurality-suppl:FALSE</v>
      </c>
      <c r="J9" s="8">
        <v>0.86</v>
      </c>
      <c r="K9" s="8">
        <v>0.8</v>
      </c>
      <c r="L9" s="8">
        <v>0.82</v>
      </c>
      <c r="M9" s="8">
        <v>0.88</v>
      </c>
      <c r="N9" s="8">
        <v>0.82</v>
      </c>
      <c r="O9" s="8">
        <v>0.85</v>
      </c>
      <c r="P9" s="8">
        <v>0.84</v>
      </c>
      <c r="Q9" s="8">
        <v>0.79</v>
      </c>
      <c r="R9" s="8">
        <v>0.82</v>
      </c>
      <c r="S9" s="8">
        <v>0.84</v>
      </c>
      <c r="T9" s="8">
        <v>0.82</v>
      </c>
      <c r="U9" s="8">
        <v>0.88</v>
      </c>
      <c r="V9" s="25">
        <f t="shared" ref="V9:V12" si="1">_xlfn.LET(_xlpm.d,J9:T9,MAX(_xlpm.d))</f>
        <v>0.88</v>
      </c>
    </row>
    <row r="10" spans="1:22" ht="25" customHeight="1">
      <c r="A10" s="9" t="s">
        <v>16</v>
      </c>
      <c r="B10" s="9">
        <v>1</v>
      </c>
      <c r="C10" s="9" t="s">
        <v>17</v>
      </c>
      <c r="D10" s="9" t="b">
        <v>0</v>
      </c>
      <c r="E10" s="9">
        <v>1</v>
      </c>
      <c r="F10" s="9" t="s">
        <v>25</v>
      </c>
      <c r="G10" s="24">
        <v>3</v>
      </c>
      <c r="H10" s="9">
        <v>2</v>
      </c>
      <c r="I10" s="9" t="str">
        <f>_xlfn.TEXTJOIN({"","-","k-","-","-suppl:","-"},TRUE,"ml",G10,H10,A10,C10,D10)</f>
        <v>ml3-2k-Czech-plurality-suppl:FALSE</v>
      </c>
      <c r="J10" s="1">
        <v>0.84</v>
      </c>
      <c r="K10" s="1">
        <v>0.83</v>
      </c>
      <c r="L10" s="1">
        <v>0.77</v>
      </c>
      <c r="M10" s="1">
        <v>0.86</v>
      </c>
      <c r="N10" s="1">
        <v>0.87</v>
      </c>
      <c r="O10" s="1">
        <v>0.85</v>
      </c>
      <c r="P10" s="1">
        <v>0.83</v>
      </c>
      <c r="Q10" s="1">
        <v>0.82</v>
      </c>
      <c r="R10" s="1">
        <v>0.79</v>
      </c>
      <c r="S10" s="1">
        <v>0.79</v>
      </c>
      <c r="T10" s="1">
        <v>0.84</v>
      </c>
      <c r="U10" s="1">
        <v>0.85</v>
      </c>
      <c r="V10" s="12">
        <f t="shared" si="1"/>
        <v>0.87</v>
      </c>
    </row>
    <row r="11" spans="1:22" ht="25" customHeight="1">
      <c r="A11" s="7" t="s">
        <v>16</v>
      </c>
      <c r="B11" s="7">
        <v>1</v>
      </c>
      <c r="C11" s="7" t="s">
        <v>17</v>
      </c>
      <c r="D11" s="7" t="b">
        <v>0</v>
      </c>
      <c r="E11" s="7">
        <v>1</v>
      </c>
      <c r="F11" s="7" t="s">
        <v>25</v>
      </c>
      <c r="G11" s="23">
        <v>2</v>
      </c>
      <c r="H11" s="7">
        <v>1.2</v>
      </c>
      <c r="I11" s="17" t="str">
        <f>_xlfn.TEXTJOIN({"","-","k-","-","-suppl:","-"},TRUE,"ml",G11,H11,A11,C11,D11)</f>
        <v>ml2-1.2k-Czech-plurality-suppl:FALSE</v>
      </c>
      <c r="J11" s="8">
        <v>0.82</v>
      </c>
      <c r="K11" s="8">
        <v>0.79</v>
      </c>
      <c r="L11" s="8">
        <v>0.83</v>
      </c>
      <c r="M11" s="8">
        <v>0.85</v>
      </c>
      <c r="N11" s="8">
        <v>0.8</v>
      </c>
      <c r="O11" s="8">
        <v>0.82</v>
      </c>
      <c r="P11" s="8">
        <v>0.82</v>
      </c>
      <c r="Q11" s="8">
        <v>0.79</v>
      </c>
      <c r="R11" s="8">
        <v>0.8</v>
      </c>
      <c r="S11" s="8">
        <v>0.82</v>
      </c>
      <c r="T11" s="8">
        <v>0.86</v>
      </c>
      <c r="U11" s="8">
        <v>0.81</v>
      </c>
      <c r="V11" s="27">
        <f t="shared" si="1"/>
        <v>0.86</v>
      </c>
    </row>
    <row r="12" spans="1:22" ht="25" customHeight="1">
      <c r="A12" s="9" t="s">
        <v>16</v>
      </c>
      <c r="B12" s="9">
        <v>1</v>
      </c>
      <c r="C12" s="9" t="s">
        <v>17</v>
      </c>
      <c r="D12" s="9" t="b">
        <v>0</v>
      </c>
      <c r="E12" s="9">
        <v>1</v>
      </c>
      <c r="F12" s="9" t="s">
        <v>25</v>
      </c>
      <c r="G12" s="24">
        <v>3</v>
      </c>
      <c r="H12" s="9">
        <v>1.2</v>
      </c>
      <c r="I12" s="9" t="str">
        <f>_xlfn.TEXTJOIN({"","-","k-","-","-suppl:","-"},TRUE,"ml",G12,H12,A12,C12,D12)</f>
        <v>ml3-1.2k-Czech-plurality-suppl:FALSE</v>
      </c>
      <c r="J12" s="1">
        <v>0.88</v>
      </c>
      <c r="K12" s="1">
        <v>0.78</v>
      </c>
      <c r="L12" s="1">
        <v>0.82</v>
      </c>
      <c r="M12" s="1">
        <v>0.85</v>
      </c>
      <c r="N12" s="1">
        <v>0.86</v>
      </c>
      <c r="O12" s="1">
        <v>0.85</v>
      </c>
      <c r="P12" s="1">
        <v>0.84</v>
      </c>
      <c r="Q12" s="1">
        <v>0.83</v>
      </c>
      <c r="R12" s="1">
        <v>0.8</v>
      </c>
      <c r="S12" s="1">
        <v>0.85</v>
      </c>
      <c r="T12" s="1">
        <v>0.84</v>
      </c>
      <c r="U12" s="1">
        <v>0.87</v>
      </c>
      <c r="V12" s="12">
        <f t="shared" si="1"/>
        <v>0.88</v>
      </c>
    </row>
    <row r="13" spans="1:22" ht="25" customHeight="1">
      <c r="A13" s="11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3"/>
    </row>
    <row r="14" spans="1:22" ht="25" customHeight="1">
      <c r="A14" s="14"/>
      <c r="B14" s="9"/>
      <c r="C14" s="9"/>
      <c r="D14" s="9"/>
      <c r="E14" s="9"/>
      <c r="F14" s="9"/>
      <c r="G14" s="9"/>
      <c r="H14" s="9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5"/>
    </row>
    <row r="15" spans="1:22" ht="25" customHeight="1">
      <c r="A15" s="10" t="s">
        <v>0</v>
      </c>
      <c r="B15" s="10" t="s">
        <v>23</v>
      </c>
      <c r="C15" s="10" t="s">
        <v>1</v>
      </c>
      <c r="D15" s="10" t="s">
        <v>2</v>
      </c>
      <c r="E15" s="10" t="s">
        <v>24</v>
      </c>
      <c r="F15" s="10" t="s">
        <v>3</v>
      </c>
      <c r="G15" s="10" t="s">
        <v>33</v>
      </c>
      <c r="H15" s="10" t="s">
        <v>32</v>
      </c>
      <c r="I15" s="10" t="s">
        <v>34</v>
      </c>
      <c r="J15" s="16" t="s">
        <v>4</v>
      </c>
      <c r="K15" s="16" t="s">
        <v>5</v>
      </c>
      <c r="L15" s="16" t="s">
        <v>6</v>
      </c>
      <c r="M15" s="16" t="s">
        <v>7</v>
      </c>
      <c r="N15" s="16" t="s">
        <v>8</v>
      </c>
      <c r="O15" s="16" t="s">
        <v>9</v>
      </c>
      <c r="P15" s="16" t="s">
        <v>10</v>
      </c>
      <c r="Q15" s="16" t="s">
        <v>11</v>
      </c>
      <c r="R15" s="16" t="s">
        <v>12</v>
      </c>
      <c r="S15" s="16" t="s">
        <v>13</v>
      </c>
      <c r="T15" s="16" t="s">
        <v>14</v>
      </c>
      <c r="U15" s="16" t="s">
        <v>15</v>
      </c>
      <c r="V15" s="16" t="s">
        <v>25</v>
      </c>
    </row>
    <row r="16" spans="1:22" ht="25" customHeight="1">
      <c r="A16" s="7" t="s">
        <v>16</v>
      </c>
      <c r="B16" s="7">
        <v>2</v>
      </c>
      <c r="C16" s="7" t="s">
        <v>21</v>
      </c>
      <c r="D16" s="7" t="b">
        <v>1</v>
      </c>
      <c r="E16" s="7">
        <v>1</v>
      </c>
      <c r="F16" s="7" t="s">
        <v>25</v>
      </c>
      <c r="G16" s="23">
        <v>2</v>
      </c>
      <c r="H16" s="7">
        <v>2</v>
      </c>
      <c r="I16" s="17" t="str">
        <f>_xlfn.TEXTJOIN({"","-","k-","-","-suppl:","-"},TRUE,"ml",G16,H16,A16,C16,D16)</f>
        <v>ml2-2k-Czech-gender-suppl:TRUE</v>
      </c>
      <c r="J16" s="8">
        <v>0.62</v>
      </c>
      <c r="K16" s="8">
        <v>0.56999999999999995</v>
      </c>
      <c r="L16" s="8">
        <v>0.62</v>
      </c>
      <c r="M16" s="8">
        <v>0.62</v>
      </c>
      <c r="N16" s="8">
        <v>0.56999999999999995</v>
      </c>
      <c r="O16" s="8">
        <v>0.69</v>
      </c>
      <c r="P16" s="8">
        <v>0.64</v>
      </c>
      <c r="Q16" s="8">
        <v>0.6</v>
      </c>
      <c r="R16" s="8">
        <v>0.54</v>
      </c>
      <c r="S16" s="8">
        <v>0.61</v>
      </c>
      <c r="T16" s="8">
        <v>0.68</v>
      </c>
      <c r="U16" s="8">
        <v>0.6</v>
      </c>
      <c r="V16" s="25">
        <f t="shared" ref="V16:V19" si="2">_xlfn.LET(_xlpm.d,J16:T16,MAX(_xlpm.d))</f>
        <v>0.69</v>
      </c>
    </row>
    <row r="17" spans="1:22" ht="25" customHeight="1">
      <c r="A17" s="7" t="s">
        <v>16</v>
      </c>
      <c r="B17" s="7">
        <v>2</v>
      </c>
      <c r="C17" s="7" t="s">
        <v>21</v>
      </c>
      <c r="D17" s="7" t="b">
        <v>1</v>
      </c>
      <c r="E17" s="7">
        <v>1</v>
      </c>
      <c r="F17" s="7" t="s">
        <v>25</v>
      </c>
      <c r="G17" s="23">
        <v>2</v>
      </c>
      <c r="H17" s="7">
        <v>1.2</v>
      </c>
      <c r="I17" s="7" t="str">
        <f>_xlfn.TEXTJOIN({"","-","k-","-","-suppl:","-"},TRUE,"ml",G17,H17,A17,C17,D17)</f>
        <v>ml2-1.2k-Czech-gender-suppl:TRUE</v>
      </c>
      <c r="J17" s="8">
        <v>0.62</v>
      </c>
      <c r="K17" s="8">
        <v>0.56999999999999995</v>
      </c>
      <c r="L17" s="8">
        <v>0.62</v>
      </c>
      <c r="M17" s="8">
        <v>0.62</v>
      </c>
      <c r="N17" s="8">
        <v>0.56999999999999995</v>
      </c>
      <c r="O17" s="8">
        <v>0.69</v>
      </c>
      <c r="P17" s="8">
        <v>0.64</v>
      </c>
      <c r="Q17" s="8">
        <v>0.6</v>
      </c>
      <c r="R17" s="8">
        <v>0.54</v>
      </c>
      <c r="S17" s="8">
        <v>0.61</v>
      </c>
      <c r="T17" s="8">
        <v>0.68</v>
      </c>
      <c r="U17" s="8">
        <v>0.6</v>
      </c>
      <c r="V17" s="27">
        <f t="shared" si="2"/>
        <v>0.69</v>
      </c>
    </row>
    <row r="18" spans="1:22" ht="25" customHeight="1">
      <c r="A18" s="9" t="s">
        <v>16</v>
      </c>
      <c r="B18" s="9">
        <v>2</v>
      </c>
      <c r="C18" s="9" t="s">
        <v>21</v>
      </c>
      <c r="D18" s="9" t="b">
        <v>1</v>
      </c>
      <c r="E18" s="9">
        <v>1</v>
      </c>
      <c r="F18" s="9" t="s">
        <v>25</v>
      </c>
      <c r="G18" s="24">
        <v>3</v>
      </c>
      <c r="H18" s="9">
        <v>2</v>
      </c>
      <c r="I18" s="9" t="str">
        <f>_xlfn.TEXTJOIN({"","-","k-","-","-suppl:","-"},TRUE,"ml",G18,H18,A18,C18,D18)</f>
        <v>ml3-2k-Czech-gender-suppl:TRUE</v>
      </c>
      <c r="J18" s="1">
        <v>0.7</v>
      </c>
      <c r="K18" s="1">
        <v>0.66</v>
      </c>
      <c r="L18" s="1">
        <v>0.7</v>
      </c>
      <c r="M18" s="1">
        <v>0.65</v>
      </c>
      <c r="N18" s="1">
        <v>0.68</v>
      </c>
      <c r="O18" s="1">
        <v>0.62</v>
      </c>
      <c r="P18" s="1">
        <v>0.71</v>
      </c>
      <c r="Q18" s="1">
        <v>0.71</v>
      </c>
      <c r="R18" s="1">
        <v>0.66</v>
      </c>
      <c r="S18" s="1">
        <v>0.68</v>
      </c>
      <c r="T18" s="1">
        <v>0.64</v>
      </c>
      <c r="U18" s="1">
        <v>0.69</v>
      </c>
      <c r="V18" s="12">
        <f t="shared" si="2"/>
        <v>0.71</v>
      </c>
    </row>
    <row r="19" spans="1:22" ht="25" customHeight="1">
      <c r="A19" s="9" t="s">
        <v>16</v>
      </c>
      <c r="B19" s="9">
        <v>2</v>
      </c>
      <c r="C19" s="9" t="s">
        <v>21</v>
      </c>
      <c r="D19" s="9" t="b">
        <v>1</v>
      </c>
      <c r="E19" s="9">
        <v>1</v>
      </c>
      <c r="F19" s="9" t="s">
        <v>25</v>
      </c>
      <c r="G19" s="24">
        <v>3</v>
      </c>
      <c r="H19" s="9">
        <v>1.2</v>
      </c>
      <c r="I19" s="9" t="str">
        <f>_xlfn.TEXTJOIN({"","-","k-","-","-suppl:","-"},TRUE,"ml",G19,H19,A19,C19,D19)</f>
        <v>ml3-1.2k-Czech-gender-suppl:TRUE</v>
      </c>
      <c r="J19" s="1">
        <v>0.55000000000000004</v>
      </c>
      <c r="K19" s="1">
        <v>0.57999999999999996</v>
      </c>
      <c r="L19" s="1">
        <v>0.68</v>
      </c>
      <c r="M19" s="1">
        <v>0.63</v>
      </c>
      <c r="N19" s="1">
        <v>0.65</v>
      </c>
      <c r="O19" s="1">
        <v>0.6</v>
      </c>
      <c r="P19" s="1">
        <v>0.7</v>
      </c>
      <c r="Q19" s="1">
        <v>0.68</v>
      </c>
      <c r="R19" s="1">
        <v>0.69</v>
      </c>
      <c r="S19" s="1">
        <v>0.71</v>
      </c>
      <c r="T19" s="1">
        <v>0.57999999999999996</v>
      </c>
      <c r="U19" s="1">
        <v>0.51</v>
      </c>
      <c r="V19" s="12">
        <f t="shared" si="2"/>
        <v>0.71</v>
      </c>
    </row>
    <row r="20" spans="1:22" ht="25" customHeight="1">
      <c r="A20" s="11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3"/>
    </row>
    <row r="21" spans="1:22" ht="25" customHeight="1">
      <c r="A21" s="11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3"/>
    </row>
    <row r="22" spans="1:22" ht="25" customHeight="1">
      <c r="A22" t="s">
        <v>0</v>
      </c>
      <c r="B22" t="s">
        <v>23</v>
      </c>
      <c r="C22" t="s">
        <v>1</v>
      </c>
      <c r="D22" t="s">
        <v>2</v>
      </c>
      <c r="E22" t="s">
        <v>24</v>
      </c>
      <c r="F22" t="s">
        <v>3</v>
      </c>
      <c r="G22" t="s">
        <v>33</v>
      </c>
      <c r="H22" t="s">
        <v>32</v>
      </c>
      <c r="I22" t="s">
        <v>34</v>
      </c>
      <c r="J22" s="12" t="s">
        <v>4</v>
      </c>
      <c r="K22" s="12" t="s">
        <v>5</v>
      </c>
      <c r="L22" s="12" t="s">
        <v>6</v>
      </c>
      <c r="M22" s="12" t="s">
        <v>7</v>
      </c>
      <c r="N22" s="12" t="s">
        <v>8</v>
      </c>
      <c r="O22" s="12" t="s">
        <v>9</v>
      </c>
      <c r="P22" s="12" t="s">
        <v>10</v>
      </c>
      <c r="Q22" s="12" t="s">
        <v>11</v>
      </c>
      <c r="R22" s="12" t="s">
        <v>12</v>
      </c>
      <c r="S22" s="12" t="s">
        <v>13</v>
      </c>
      <c r="T22" s="12" t="s">
        <v>14</v>
      </c>
      <c r="U22" s="12" t="s">
        <v>15</v>
      </c>
      <c r="V22" s="12" t="s">
        <v>25</v>
      </c>
    </row>
    <row r="23" spans="1:22" ht="25" customHeight="1">
      <c r="A23" s="7" t="s">
        <v>16</v>
      </c>
      <c r="B23" s="7">
        <v>2</v>
      </c>
      <c r="C23" s="7" t="s">
        <v>21</v>
      </c>
      <c r="D23" s="7" t="b">
        <v>0</v>
      </c>
      <c r="E23" s="7">
        <v>1</v>
      </c>
      <c r="F23" s="7" t="s">
        <v>25</v>
      </c>
      <c r="G23" s="23">
        <v>2</v>
      </c>
      <c r="H23" s="7">
        <v>2</v>
      </c>
      <c r="I23" s="17" t="str">
        <f>_xlfn.TEXTJOIN({"","-","k-","-","-suppl:","-"},TRUE,"ml",G23,H23,A23,C23,D23)</f>
        <v>ml2-2k-Czech-gender-suppl:FALSE</v>
      </c>
      <c r="J23" s="8">
        <v>0.56000000000000005</v>
      </c>
      <c r="K23" s="8">
        <v>0.56999999999999995</v>
      </c>
      <c r="L23" s="8">
        <v>0.65</v>
      </c>
      <c r="M23" s="8">
        <v>0.62</v>
      </c>
      <c r="N23" s="8">
        <v>0.6</v>
      </c>
      <c r="O23" s="8">
        <v>0.65</v>
      </c>
      <c r="P23" s="8">
        <v>0.66</v>
      </c>
      <c r="Q23" s="8">
        <v>0.57999999999999996</v>
      </c>
      <c r="R23" s="8">
        <v>0.53</v>
      </c>
      <c r="S23" s="8">
        <v>0.56999999999999995</v>
      </c>
      <c r="T23" s="8">
        <v>0.7</v>
      </c>
      <c r="U23" s="8">
        <v>0.6</v>
      </c>
      <c r="V23" s="25">
        <f t="shared" ref="V23:V26" si="3">_xlfn.LET(_xlpm.d,J23:T23,MAX(_xlpm.d))</f>
        <v>0.7</v>
      </c>
    </row>
    <row r="24" spans="1:22" ht="25" customHeight="1">
      <c r="A24" s="7" t="s">
        <v>16</v>
      </c>
      <c r="B24" s="7">
        <v>2</v>
      </c>
      <c r="C24" s="7" t="s">
        <v>21</v>
      </c>
      <c r="D24" s="7" t="b">
        <v>0</v>
      </c>
      <c r="E24" s="7">
        <v>1</v>
      </c>
      <c r="F24" s="7" t="s">
        <v>25</v>
      </c>
      <c r="G24" s="23">
        <v>2</v>
      </c>
      <c r="H24" s="7">
        <v>1.2</v>
      </c>
      <c r="I24" s="7" t="str">
        <f>_xlfn.TEXTJOIN({"","-","k-","-","-suppl:","-"},TRUE,"ml",G24,H24,A24,C24,D24)</f>
        <v>ml2-1.2k-Czech-gender-suppl:FALSE</v>
      </c>
      <c r="J24" s="8">
        <v>0.56000000000000005</v>
      </c>
      <c r="K24" s="8">
        <v>0.56999999999999995</v>
      </c>
      <c r="L24" s="8">
        <v>0.65</v>
      </c>
      <c r="M24" s="8">
        <v>0.62</v>
      </c>
      <c r="N24" s="8">
        <v>0.6</v>
      </c>
      <c r="O24" s="8">
        <v>0.65</v>
      </c>
      <c r="P24" s="8">
        <v>0.66</v>
      </c>
      <c r="Q24" s="8">
        <v>0.57999999999999996</v>
      </c>
      <c r="R24" s="8">
        <v>0.53</v>
      </c>
      <c r="S24" s="8">
        <v>0.56999999999999995</v>
      </c>
      <c r="T24" s="8">
        <v>0.7</v>
      </c>
      <c r="U24" s="8">
        <v>0.6</v>
      </c>
      <c r="V24" s="27">
        <f t="shared" si="3"/>
        <v>0.7</v>
      </c>
    </row>
    <row r="25" spans="1:22" ht="25" customHeight="1">
      <c r="A25" s="9" t="s">
        <v>16</v>
      </c>
      <c r="B25" s="9">
        <v>2</v>
      </c>
      <c r="C25" s="9" t="s">
        <v>21</v>
      </c>
      <c r="D25" s="9" t="b">
        <v>0</v>
      </c>
      <c r="E25" s="9">
        <v>1</v>
      </c>
      <c r="F25" s="9" t="s">
        <v>25</v>
      </c>
      <c r="G25" s="24">
        <v>3</v>
      </c>
      <c r="H25" s="9">
        <v>2</v>
      </c>
      <c r="I25" s="9" t="str">
        <f>_xlfn.TEXTJOIN({"","-","k-","-","-suppl:","-"},TRUE,"ml",G25,H25,A25,C25,D25)</f>
        <v>ml3-2k-Czech-gender-suppl:FALSE</v>
      </c>
      <c r="J25" s="1">
        <v>0.68</v>
      </c>
      <c r="K25" s="1">
        <v>0.65</v>
      </c>
      <c r="L25" s="1">
        <v>0.69</v>
      </c>
      <c r="M25" s="1">
        <v>0.63</v>
      </c>
      <c r="N25" s="1">
        <v>0.67</v>
      </c>
      <c r="O25" s="1">
        <v>0.62</v>
      </c>
      <c r="P25" s="1">
        <v>0.68</v>
      </c>
      <c r="Q25" s="1">
        <v>0.73</v>
      </c>
      <c r="R25" s="1">
        <v>0.6</v>
      </c>
      <c r="S25" s="1">
        <v>0.7</v>
      </c>
      <c r="T25" s="1">
        <v>0.65</v>
      </c>
      <c r="U25" s="1">
        <v>0.69</v>
      </c>
      <c r="V25" s="12">
        <f t="shared" si="3"/>
        <v>0.73</v>
      </c>
    </row>
    <row r="26" spans="1:22" ht="25" customHeight="1">
      <c r="A26" s="9" t="s">
        <v>16</v>
      </c>
      <c r="B26" s="9">
        <v>2</v>
      </c>
      <c r="C26" s="9" t="s">
        <v>21</v>
      </c>
      <c r="D26" s="9" t="b">
        <v>0</v>
      </c>
      <c r="E26" s="9">
        <v>1</v>
      </c>
      <c r="F26" s="9" t="s">
        <v>25</v>
      </c>
      <c r="G26" s="24">
        <v>3</v>
      </c>
      <c r="H26" s="9">
        <v>1.2</v>
      </c>
      <c r="I26" s="9" t="str">
        <f>_xlfn.TEXTJOIN({"","-","k-","-","-suppl:","-"},TRUE,"ml",G26,H26,A26,C26,D26)</f>
        <v>ml3-1.2k-Czech-gender-suppl:FALSE</v>
      </c>
      <c r="J26" s="1">
        <v>0.53</v>
      </c>
      <c r="K26" s="1">
        <v>0.56000000000000005</v>
      </c>
      <c r="L26" s="1">
        <v>0.62</v>
      </c>
      <c r="M26" s="1">
        <v>0.61</v>
      </c>
      <c r="N26" s="1">
        <v>0.57999999999999996</v>
      </c>
      <c r="O26" s="1">
        <v>0.6</v>
      </c>
      <c r="P26" s="1">
        <v>0.62</v>
      </c>
      <c r="Q26" s="1">
        <v>0.63</v>
      </c>
      <c r="R26" s="1">
        <v>0.68</v>
      </c>
      <c r="S26" s="1">
        <v>0.64</v>
      </c>
      <c r="T26" s="1">
        <v>0.6</v>
      </c>
      <c r="U26" s="1">
        <v>0.53</v>
      </c>
      <c r="V26" s="12">
        <f t="shared" si="3"/>
        <v>0.68</v>
      </c>
    </row>
    <row r="27" spans="1:22" ht="25" customHeight="1">
      <c r="A27" s="11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3"/>
    </row>
    <row r="28" spans="1:22" ht="25" customHeight="1">
      <c r="A28" s="14"/>
      <c r="B28" s="9"/>
      <c r="C28" s="9"/>
      <c r="D28" s="9"/>
      <c r="E28" s="9"/>
      <c r="F28" s="9"/>
      <c r="G28" s="9"/>
      <c r="H28" s="9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5"/>
    </row>
    <row r="29" spans="1:22" ht="25" customHeight="1">
      <c r="A29" s="10" t="s">
        <v>0</v>
      </c>
      <c r="B29" s="10" t="s">
        <v>23</v>
      </c>
      <c r="C29" s="10" t="s">
        <v>1</v>
      </c>
      <c r="D29" s="10" t="s">
        <v>2</v>
      </c>
      <c r="E29" s="10" t="s">
        <v>24</v>
      </c>
      <c r="F29" s="10" t="s">
        <v>3</v>
      </c>
      <c r="G29" s="10" t="s">
        <v>33</v>
      </c>
      <c r="H29" s="10" t="s">
        <v>32</v>
      </c>
      <c r="I29" s="10" t="s">
        <v>34</v>
      </c>
      <c r="J29" s="16" t="s">
        <v>4</v>
      </c>
      <c r="K29" s="16" t="s">
        <v>5</v>
      </c>
      <c r="L29" s="16" t="s">
        <v>6</v>
      </c>
      <c r="M29" s="16" t="s">
        <v>7</v>
      </c>
      <c r="N29" s="16" t="s">
        <v>8</v>
      </c>
      <c r="O29" s="16" t="s">
        <v>9</v>
      </c>
      <c r="P29" s="16" t="s">
        <v>10</v>
      </c>
      <c r="Q29" s="16" t="s">
        <v>11</v>
      </c>
      <c r="R29" s="16" t="s">
        <v>12</v>
      </c>
      <c r="S29" s="16" t="s">
        <v>13</v>
      </c>
      <c r="T29" s="16" t="s">
        <v>14</v>
      </c>
      <c r="U29" s="16" t="s">
        <v>15</v>
      </c>
      <c r="V29" s="16" t="s">
        <v>25</v>
      </c>
    </row>
    <row r="30" spans="1:22" ht="25" customHeight="1">
      <c r="A30" s="7" t="s">
        <v>16</v>
      </c>
      <c r="B30" s="7">
        <v>3</v>
      </c>
      <c r="C30" s="7" t="s">
        <v>22</v>
      </c>
      <c r="D30" s="7" t="b">
        <v>1</v>
      </c>
      <c r="E30" s="7">
        <v>1</v>
      </c>
      <c r="F30" s="7" t="s">
        <v>25</v>
      </c>
      <c r="G30" s="23">
        <v>2</v>
      </c>
      <c r="H30" s="7">
        <v>2</v>
      </c>
      <c r="I30" s="17" t="str">
        <f>_xlfn.TEXTJOIN({"","-","k-","-","-suppl:","-"},TRUE,"ml",G30,H30,A30,C30,D30)</f>
        <v>ml2-2k-Czech-case-suppl:TRUE</v>
      </c>
      <c r="J30" s="8">
        <v>0.59</v>
      </c>
      <c r="K30" s="8">
        <v>0.38</v>
      </c>
      <c r="L30" s="8">
        <v>0.51</v>
      </c>
      <c r="M30" s="8">
        <v>0.47</v>
      </c>
      <c r="N30" s="8">
        <v>0.5</v>
      </c>
      <c r="O30" s="8">
        <v>0.4</v>
      </c>
      <c r="P30" s="8">
        <v>0.54</v>
      </c>
      <c r="Q30" s="8">
        <v>0.48</v>
      </c>
      <c r="R30" s="8">
        <v>0.52</v>
      </c>
      <c r="S30" s="8">
        <v>0.52</v>
      </c>
      <c r="T30" s="8">
        <v>0.47</v>
      </c>
      <c r="U30" s="8">
        <v>0.44</v>
      </c>
      <c r="V30" s="25">
        <f t="shared" ref="V30:V33" si="4">_xlfn.LET(_xlpm.d,J30:T30,MAX(_xlpm.d))</f>
        <v>0.59</v>
      </c>
    </row>
    <row r="31" spans="1:22" ht="25" customHeight="1">
      <c r="A31" s="7" t="s">
        <v>16</v>
      </c>
      <c r="B31" s="7">
        <v>3</v>
      </c>
      <c r="C31" s="7" t="s">
        <v>22</v>
      </c>
      <c r="D31" s="7" t="b">
        <v>1</v>
      </c>
      <c r="E31" s="7">
        <v>1</v>
      </c>
      <c r="F31" s="7" t="s">
        <v>25</v>
      </c>
      <c r="G31" s="23">
        <v>2</v>
      </c>
      <c r="H31" s="7">
        <v>1.2</v>
      </c>
      <c r="I31" s="17" t="str">
        <f>_xlfn.TEXTJOIN({"","-","k-","-","-suppl:","-"},TRUE,"ml",G31,H31,A31,C31,D31)</f>
        <v>ml2-1.2k-Czech-case-suppl:TRUE</v>
      </c>
      <c r="J31" s="8">
        <v>0.59</v>
      </c>
      <c r="K31" s="8">
        <v>0.38</v>
      </c>
      <c r="L31" s="8">
        <v>0.51</v>
      </c>
      <c r="M31" s="8">
        <v>0.47</v>
      </c>
      <c r="N31" s="8">
        <v>0.5</v>
      </c>
      <c r="O31" s="8">
        <v>0.4</v>
      </c>
      <c r="P31" s="8">
        <v>0.54</v>
      </c>
      <c r="Q31" s="8">
        <v>0.48</v>
      </c>
      <c r="R31" s="8">
        <v>0.52</v>
      </c>
      <c r="S31" s="8">
        <v>0.52</v>
      </c>
      <c r="T31" s="8">
        <v>0.47</v>
      </c>
      <c r="U31" s="8">
        <v>0.44</v>
      </c>
      <c r="V31" s="27">
        <f t="shared" si="4"/>
        <v>0.59</v>
      </c>
    </row>
    <row r="32" spans="1:22" ht="25" customHeight="1">
      <c r="A32" s="9" t="s">
        <v>16</v>
      </c>
      <c r="B32" s="9">
        <v>3</v>
      </c>
      <c r="C32" s="9" t="s">
        <v>22</v>
      </c>
      <c r="D32" s="9" t="b">
        <v>1</v>
      </c>
      <c r="E32" s="9">
        <v>1</v>
      </c>
      <c r="F32" s="9" t="s">
        <v>25</v>
      </c>
      <c r="G32" s="24">
        <v>3</v>
      </c>
      <c r="H32" s="9">
        <v>2</v>
      </c>
      <c r="I32" s="9" t="str">
        <f>_xlfn.TEXTJOIN({"","-","k-","-","-suppl:","-"},TRUE,"ml",G32,H32,A32,C32,D32)</f>
        <v>ml3-2k-Czech-case-suppl:TRUE</v>
      </c>
      <c r="J32" s="1">
        <v>0.55000000000000004</v>
      </c>
      <c r="K32" s="1">
        <v>0.53</v>
      </c>
      <c r="L32" s="1">
        <v>0.56000000000000005</v>
      </c>
      <c r="M32" s="1">
        <v>0.48</v>
      </c>
      <c r="N32" s="1">
        <v>0.49</v>
      </c>
      <c r="O32" s="1">
        <v>0.51</v>
      </c>
      <c r="P32" s="1">
        <v>0.56999999999999995</v>
      </c>
      <c r="Q32" s="1">
        <v>0.56000000000000005</v>
      </c>
      <c r="R32" s="1">
        <v>0.59</v>
      </c>
      <c r="S32" s="1">
        <v>0.54</v>
      </c>
      <c r="T32" s="1">
        <v>0.5</v>
      </c>
      <c r="U32" s="1">
        <v>0.5</v>
      </c>
      <c r="V32" s="12">
        <f t="shared" si="4"/>
        <v>0.59</v>
      </c>
    </row>
    <row r="33" spans="1:22" ht="25" customHeight="1">
      <c r="A33" s="9" t="s">
        <v>16</v>
      </c>
      <c r="B33" s="9">
        <v>3</v>
      </c>
      <c r="C33" s="9" t="s">
        <v>22</v>
      </c>
      <c r="D33" s="9" t="b">
        <v>1</v>
      </c>
      <c r="E33" s="9">
        <v>1</v>
      </c>
      <c r="F33" s="9" t="s">
        <v>25</v>
      </c>
      <c r="G33" s="24">
        <v>3</v>
      </c>
      <c r="H33" s="9">
        <v>1.2</v>
      </c>
      <c r="I33" s="9" t="str">
        <f>_xlfn.TEXTJOIN({"","-","k-","-","-suppl:","-"},TRUE,"ml",G33,H33,A33,C33,D33)</f>
        <v>ml3-1.2k-Czech-case-suppl:TRUE</v>
      </c>
      <c r="J33" s="1">
        <v>0.45</v>
      </c>
      <c r="K33" s="1">
        <v>0.54</v>
      </c>
      <c r="L33" s="1">
        <v>0.62</v>
      </c>
      <c r="M33" s="1">
        <v>0.49</v>
      </c>
      <c r="N33" s="1">
        <v>0.47</v>
      </c>
      <c r="O33" s="1">
        <v>0.47</v>
      </c>
      <c r="P33" s="1">
        <v>0.5</v>
      </c>
      <c r="Q33" s="1">
        <v>0.46</v>
      </c>
      <c r="R33" s="1">
        <v>0.53</v>
      </c>
      <c r="S33" s="1">
        <v>0.43</v>
      </c>
      <c r="T33" s="1">
        <v>0.45</v>
      </c>
      <c r="U33" s="1">
        <v>0.51</v>
      </c>
      <c r="V33" s="12">
        <f t="shared" si="4"/>
        <v>0.62</v>
      </c>
    </row>
    <row r="34" spans="1:22" ht="25" customHeight="1">
      <c r="A34" s="11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3"/>
    </row>
    <row r="35" spans="1:22" ht="25" customHeight="1">
      <c r="A35" s="11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3"/>
    </row>
    <row r="36" spans="1:22" ht="25" customHeight="1">
      <c r="A36" t="s">
        <v>0</v>
      </c>
      <c r="B36" t="s">
        <v>23</v>
      </c>
      <c r="C36" t="s">
        <v>1</v>
      </c>
      <c r="D36" t="s">
        <v>2</v>
      </c>
      <c r="E36" t="s">
        <v>24</v>
      </c>
      <c r="F36" t="s">
        <v>3</v>
      </c>
      <c r="G36" t="s">
        <v>33</v>
      </c>
      <c r="H36" t="s">
        <v>32</v>
      </c>
      <c r="I36" t="s">
        <v>34</v>
      </c>
      <c r="J36" s="12" t="s">
        <v>4</v>
      </c>
      <c r="K36" s="12" t="s">
        <v>5</v>
      </c>
      <c r="L36" s="12" t="s">
        <v>6</v>
      </c>
      <c r="M36" s="12" t="s">
        <v>7</v>
      </c>
      <c r="N36" s="12" t="s">
        <v>8</v>
      </c>
      <c r="O36" s="12" t="s">
        <v>9</v>
      </c>
      <c r="P36" s="12" t="s">
        <v>10</v>
      </c>
      <c r="Q36" s="12" t="s">
        <v>11</v>
      </c>
      <c r="R36" s="12" t="s">
        <v>12</v>
      </c>
      <c r="S36" s="12" t="s">
        <v>13</v>
      </c>
      <c r="T36" s="12" t="s">
        <v>14</v>
      </c>
      <c r="U36" s="12" t="s">
        <v>15</v>
      </c>
      <c r="V36" s="12" t="s">
        <v>25</v>
      </c>
    </row>
    <row r="37" spans="1:22" ht="25" customHeight="1">
      <c r="A37" s="7" t="s">
        <v>16</v>
      </c>
      <c r="B37" s="7">
        <v>3</v>
      </c>
      <c r="C37" s="7" t="s">
        <v>22</v>
      </c>
      <c r="D37" s="7" t="b">
        <v>0</v>
      </c>
      <c r="E37" s="7">
        <v>1</v>
      </c>
      <c r="F37" s="7" t="s">
        <v>25</v>
      </c>
      <c r="G37" s="23">
        <v>2</v>
      </c>
      <c r="H37" s="7">
        <v>2</v>
      </c>
      <c r="I37" s="17" t="str">
        <f>_xlfn.TEXTJOIN({"","-","k-","-","-suppl:","-"},TRUE,"ml",G37,H37,A37,C37,D37)</f>
        <v>ml2-2k-Czech-case-suppl:FALSE</v>
      </c>
      <c r="J37" s="8">
        <v>0.47</v>
      </c>
      <c r="K37" s="8">
        <v>0.37</v>
      </c>
      <c r="L37" s="8">
        <v>0.45</v>
      </c>
      <c r="M37" s="8">
        <v>0.43</v>
      </c>
      <c r="N37" s="8">
        <v>0.47</v>
      </c>
      <c r="O37" s="8">
        <v>0.36</v>
      </c>
      <c r="P37" s="8">
        <v>0.45</v>
      </c>
      <c r="Q37" s="8">
        <v>0.38</v>
      </c>
      <c r="R37" s="8">
        <v>0.43</v>
      </c>
      <c r="S37" s="8">
        <v>0.45</v>
      </c>
      <c r="T37" s="8">
        <v>0.42</v>
      </c>
      <c r="U37" s="8">
        <v>0.36</v>
      </c>
      <c r="V37" s="25">
        <f t="shared" ref="V37:V40" si="5">_xlfn.LET(_xlpm.d,J37:T37,MAX(_xlpm.d))</f>
        <v>0.47</v>
      </c>
    </row>
    <row r="38" spans="1:22" ht="25" customHeight="1">
      <c r="A38" s="7" t="s">
        <v>16</v>
      </c>
      <c r="B38" s="7">
        <v>3</v>
      </c>
      <c r="C38" s="7" t="s">
        <v>22</v>
      </c>
      <c r="D38" s="7" t="b">
        <v>0</v>
      </c>
      <c r="E38" s="7">
        <v>1</v>
      </c>
      <c r="F38" s="7" t="s">
        <v>25</v>
      </c>
      <c r="G38" s="23">
        <v>2</v>
      </c>
      <c r="H38" s="7">
        <v>1.2</v>
      </c>
      <c r="I38" s="17" t="str">
        <f>_xlfn.TEXTJOIN({"","-","k-","-","-suppl:","-"},TRUE,"ml",G38,H38,A38,C38,D38)</f>
        <v>ml2-1.2k-Czech-case-suppl:FALSE</v>
      </c>
      <c r="J38" s="8">
        <v>0.47</v>
      </c>
      <c r="K38" s="8">
        <v>0.37</v>
      </c>
      <c r="L38" s="8">
        <v>0.45</v>
      </c>
      <c r="M38" s="8">
        <v>0.43</v>
      </c>
      <c r="N38" s="8">
        <v>0.47</v>
      </c>
      <c r="O38" s="8">
        <v>0.36</v>
      </c>
      <c r="P38" s="8">
        <v>0.45</v>
      </c>
      <c r="Q38" s="8">
        <v>0.38</v>
      </c>
      <c r="R38" s="8">
        <v>0.43</v>
      </c>
      <c r="S38" s="8">
        <v>0.45</v>
      </c>
      <c r="T38" s="8">
        <v>0.42</v>
      </c>
      <c r="U38" s="8">
        <v>0.36</v>
      </c>
      <c r="V38" s="27">
        <f t="shared" si="5"/>
        <v>0.47</v>
      </c>
    </row>
    <row r="39" spans="1:22" ht="25" customHeight="1">
      <c r="A39" s="9" t="s">
        <v>16</v>
      </c>
      <c r="B39" s="9">
        <v>3</v>
      </c>
      <c r="C39" s="9" t="s">
        <v>22</v>
      </c>
      <c r="D39" s="9" t="b">
        <v>0</v>
      </c>
      <c r="E39" s="9">
        <v>1</v>
      </c>
      <c r="F39" s="9" t="s">
        <v>25</v>
      </c>
      <c r="G39" s="24">
        <v>3</v>
      </c>
      <c r="H39" s="9">
        <v>2</v>
      </c>
      <c r="I39" s="9" t="str">
        <f>_xlfn.TEXTJOIN({"","-","k-","-","-suppl:","-"},TRUE,"ml",G39,H39,A39,C39,D39)</f>
        <v>ml3-2k-Czech-case-suppl:FALSE</v>
      </c>
      <c r="J39" s="1">
        <v>0.43</v>
      </c>
      <c r="K39" s="1">
        <v>0.4</v>
      </c>
      <c r="L39" s="1">
        <v>0.49</v>
      </c>
      <c r="M39" s="1">
        <v>0.44</v>
      </c>
      <c r="N39" s="1">
        <v>0.46</v>
      </c>
      <c r="O39" s="1">
        <v>0.45</v>
      </c>
      <c r="P39" s="1">
        <v>0.49</v>
      </c>
      <c r="Q39" s="1">
        <v>0.44</v>
      </c>
      <c r="R39" s="1">
        <v>0.5</v>
      </c>
      <c r="S39" s="1">
        <v>0.49</v>
      </c>
      <c r="T39" s="1">
        <v>0.46</v>
      </c>
      <c r="U39" s="1">
        <v>0.49</v>
      </c>
      <c r="V39" s="12">
        <f t="shared" si="5"/>
        <v>0.5</v>
      </c>
    </row>
    <row r="40" spans="1:22" ht="25" customHeight="1">
      <c r="A40" s="9" t="s">
        <v>16</v>
      </c>
      <c r="B40" s="9">
        <v>3</v>
      </c>
      <c r="C40" s="9" t="s">
        <v>22</v>
      </c>
      <c r="D40" s="9" t="b">
        <v>0</v>
      </c>
      <c r="E40" s="9">
        <v>1</v>
      </c>
      <c r="F40" s="9" t="s">
        <v>25</v>
      </c>
      <c r="G40" s="24">
        <v>3</v>
      </c>
      <c r="H40" s="9">
        <v>1.2</v>
      </c>
      <c r="I40" s="9" t="str">
        <f>_xlfn.TEXTJOIN({"","-","k-","-","-suppl:","-"},TRUE,"ml",G40,H40,A40,C40,D40)</f>
        <v>ml3-1.2k-Czech-case-suppl:FALSE</v>
      </c>
      <c r="J40" s="1">
        <v>0.36</v>
      </c>
      <c r="K40" s="1">
        <v>0.42</v>
      </c>
      <c r="L40" s="1">
        <v>0.47</v>
      </c>
      <c r="M40" s="1">
        <v>0.39</v>
      </c>
      <c r="N40" s="1">
        <v>0.44</v>
      </c>
      <c r="O40" s="1">
        <v>0.45</v>
      </c>
      <c r="P40" s="1">
        <v>0.38</v>
      </c>
      <c r="Q40" s="1">
        <v>0.35</v>
      </c>
      <c r="R40" s="1">
        <v>0.42</v>
      </c>
      <c r="S40" s="1">
        <v>0.41</v>
      </c>
      <c r="T40" s="1">
        <v>0.39</v>
      </c>
      <c r="U40" s="1">
        <v>0.48</v>
      </c>
      <c r="V40" s="12">
        <f t="shared" si="5"/>
        <v>0.47</v>
      </c>
    </row>
  </sheetData>
  <conditionalFormatting sqref="I6:T7 I13:T14 I20:T21 I27:T28 I34:T35 J2:V5 J8:V12 J15:V19 J22:V26 J29:V33 J36:V40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72E40-885E-3A4F-84F6-67339B580D57}">
  <dimension ref="A1:S28"/>
  <sheetViews>
    <sheetView tabSelected="1" workbookViewId="0">
      <pane xSplit="7480" ySplit="4940" topLeftCell="H19" activePane="bottomRight"/>
      <selection activeCell="E1" sqref="E1:S1048576"/>
      <selection pane="topRight" activeCell="R7" sqref="R7"/>
      <selection pane="bottomLeft" activeCell="A10" sqref="A10"/>
      <selection pane="bottomRight" activeCell="L26" sqref="L26"/>
    </sheetView>
  </sheetViews>
  <sheetFormatPr baseColWidth="10" defaultRowHeight="25" customHeight="1"/>
  <cols>
    <col min="1" max="4" width="10" customWidth="1"/>
    <col min="5" max="19" width="8" customWidth="1"/>
  </cols>
  <sheetData>
    <row r="1" spans="1:19" ht="25" customHeight="1">
      <c r="A1" t="s">
        <v>0</v>
      </c>
      <c r="B1" t="s">
        <v>23</v>
      </c>
      <c r="C1" t="s">
        <v>1</v>
      </c>
      <c r="D1" t="s">
        <v>2</v>
      </c>
      <c r="E1" t="s">
        <v>24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25</v>
      </c>
    </row>
    <row r="2" spans="1:19" ht="25" customHeight="1">
      <c r="A2" t="s">
        <v>16</v>
      </c>
      <c r="B2">
        <v>1</v>
      </c>
      <c r="C2" t="s">
        <v>17</v>
      </c>
      <c r="D2" t="b">
        <v>1</v>
      </c>
      <c r="E2">
        <v>1</v>
      </c>
      <c r="F2" t="s">
        <v>20</v>
      </c>
      <c r="G2" s="1">
        <v>0.9</v>
      </c>
      <c r="H2" s="1">
        <v>0.83</v>
      </c>
      <c r="I2" s="1">
        <v>0.8</v>
      </c>
      <c r="J2" s="1">
        <v>0.81</v>
      </c>
      <c r="K2" s="1">
        <v>0.82</v>
      </c>
      <c r="L2" s="1">
        <v>0.83</v>
      </c>
      <c r="M2" s="1">
        <v>0.85</v>
      </c>
      <c r="N2" s="1">
        <v>0.85</v>
      </c>
      <c r="O2" s="1">
        <v>0.89</v>
      </c>
      <c r="P2" s="1">
        <v>0.79</v>
      </c>
      <c r="Q2" s="1">
        <v>0.81</v>
      </c>
      <c r="R2" s="1">
        <v>0.78</v>
      </c>
      <c r="S2" s="1">
        <f t="shared" ref="S2:S19" si="0">_xlfn.LET(_xlpm.d,$G2:$R2,MAX(_xlpm.d))</f>
        <v>0.9</v>
      </c>
    </row>
    <row r="3" spans="1:19" ht="25" customHeight="1">
      <c r="A3" t="s">
        <v>16</v>
      </c>
      <c r="B3">
        <v>1</v>
      </c>
      <c r="C3" t="s">
        <v>17</v>
      </c>
      <c r="D3" t="b">
        <v>1</v>
      </c>
      <c r="E3">
        <v>3</v>
      </c>
      <c r="F3" t="s">
        <v>19</v>
      </c>
      <c r="G3" s="1">
        <v>0.88</v>
      </c>
      <c r="H3" s="1">
        <v>0.81</v>
      </c>
      <c r="I3" s="1">
        <v>0.82</v>
      </c>
      <c r="J3" s="1">
        <v>0.83</v>
      </c>
      <c r="K3" s="1">
        <v>0.85</v>
      </c>
      <c r="L3" s="1">
        <v>0.88</v>
      </c>
      <c r="M3" s="1">
        <v>0.83</v>
      </c>
      <c r="N3" s="1">
        <v>0.86</v>
      </c>
      <c r="O3" s="1">
        <v>0.82</v>
      </c>
      <c r="P3" s="1">
        <v>0.81</v>
      </c>
      <c r="Q3" s="1">
        <v>0.85</v>
      </c>
      <c r="R3" s="1">
        <v>0.87</v>
      </c>
      <c r="S3" s="1">
        <f t="shared" si="0"/>
        <v>0.88</v>
      </c>
    </row>
    <row r="4" spans="1:19" ht="25" customHeight="1">
      <c r="A4" t="s">
        <v>16</v>
      </c>
      <c r="B4">
        <v>1</v>
      </c>
      <c r="C4" t="s">
        <v>17</v>
      </c>
      <c r="D4" t="b">
        <v>1</v>
      </c>
      <c r="E4">
        <v>2</v>
      </c>
      <c r="F4" t="s">
        <v>18</v>
      </c>
      <c r="G4" s="1">
        <v>0.92</v>
      </c>
      <c r="H4" s="1">
        <v>0.89</v>
      </c>
      <c r="I4" s="1">
        <v>0.83</v>
      </c>
      <c r="J4" s="1">
        <v>0.88</v>
      </c>
      <c r="K4" s="1">
        <v>0.88</v>
      </c>
      <c r="L4" s="1">
        <v>0.84</v>
      </c>
      <c r="M4" s="1">
        <v>0.88</v>
      </c>
      <c r="N4" s="1">
        <v>0.88</v>
      </c>
      <c r="O4" s="1">
        <v>0.85</v>
      </c>
      <c r="P4" s="1">
        <v>0.84</v>
      </c>
      <c r="Q4" s="1">
        <v>0.86</v>
      </c>
      <c r="R4" s="1">
        <v>0.85</v>
      </c>
      <c r="S4" s="1">
        <f t="shared" si="0"/>
        <v>0.92</v>
      </c>
    </row>
    <row r="5" spans="1:19" ht="25" customHeight="1">
      <c r="A5" t="s">
        <v>16</v>
      </c>
      <c r="B5">
        <v>1</v>
      </c>
      <c r="C5" t="s">
        <v>17</v>
      </c>
      <c r="D5" t="b">
        <v>0</v>
      </c>
      <c r="E5">
        <v>1</v>
      </c>
      <c r="F5" t="s">
        <v>20</v>
      </c>
      <c r="G5" s="1">
        <v>0.81</v>
      </c>
      <c r="H5" s="1">
        <v>0.8</v>
      </c>
      <c r="I5" s="1">
        <v>0.77</v>
      </c>
      <c r="J5" s="1">
        <v>0.83</v>
      </c>
      <c r="K5" s="1">
        <v>0.83</v>
      </c>
      <c r="L5" s="1">
        <v>0.79</v>
      </c>
      <c r="M5" s="1">
        <v>0.78</v>
      </c>
      <c r="N5" s="1">
        <v>0.81</v>
      </c>
      <c r="O5" s="1">
        <v>0.79</v>
      </c>
      <c r="P5" s="1">
        <v>0.76</v>
      </c>
      <c r="Q5" s="1">
        <v>0.83</v>
      </c>
      <c r="R5" s="1">
        <v>0.84</v>
      </c>
      <c r="S5" s="1">
        <f t="shared" si="0"/>
        <v>0.84</v>
      </c>
    </row>
    <row r="6" spans="1:19" ht="25" customHeight="1">
      <c r="A6" t="s">
        <v>16</v>
      </c>
      <c r="B6">
        <v>1</v>
      </c>
      <c r="C6" t="s">
        <v>17</v>
      </c>
      <c r="D6" t="b">
        <v>0</v>
      </c>
      <c r="E6">
        <v>3</v>
      </c>
      <c r="F6" t="s">
        <v>19</v>
      </c>
      <c r="G6" s="1">
        <v>0.78</v>
      </c>
      <c r="H6" s="1">
        <v>0.81</v>
      </c>
      <c r="I6" s="1">
        <v>0.73</v>
      </c>
      <c r="J6" s="1">
        <v>0.86</v>
      </c>
      <c r="K6" s="1">
        <v>0.84</v>
      </c>
      <c r="L6" s="1">
        <v>0.82</v>
      </c>
      <c r="M6" s="1">
        <v>0.76</v>
      </c>
      <c r="N6" s="1">
        <v>0.79</v>
      </c>
      <c r="O6" s="1">
        <v>0.78</v>
      </c>
      <c r="P6" s="1">
        <v>0.78</v>
      </c>
      <c r="Q6" s="1">
        <v>0.84</v>
      </c>
      <c r="R6" s="1">
        <v>0.85</v>
      </c>
      <c r="S6" s="1">
        <f t="shared" si="0"/>
        <v>0.86</v>
      </c>
    </row>
    <row r="7" spans="1:19" ht="25" customHeight="1">
      <c r="A7" t="s">
        <v>16</v>
      </c>
      <c r="B7">
        <v>1</v>
      </c>
      <c r="C7" t="s">
        <v>17</v>
      </c>
      <c r="D7" t="b">
        <v>0</v>
      </c>
      <c r="E7">
        <v>2</v>
      </c>
      <c r="F7" t="s">
        <v>18</v>
      </c>
      <c r="G7" s="1">
        <v>0.84</v>
      </c>
      <c r="H7" s="1">
        <v>0.83</v>
      </c>
      <c r="I7" s="1">
        <v>0.76</v>
      </c>
      <c r="J7" s="1">
        <v>0.85</v>
      </c>
      <c r="K7" s="1">
        <v>0.87</v>
      </c>
      <c r="L7" s="1">
        <v>0.85</v>
      </c>
      <c r="M7" s="1">
        <v>0.83</v>
      </c>
      <c r="N7" s="1">
        <v>0.82</v>
      </c>
      <c r="O7" s="1">
        <v>0.79</v>
      </c>
      <c r="P7" s="1">
        <v>0.79</v>
      </c>
      <c r="Q7" s="1">
        <v>0.83</v>
      </c>
      <c r="R7" s="1">
        <v>0.84</v>
      </c>
      <c r="S7" s="1">
        <f t="shared" si="0"/>
        <v>0.87</v>
      </c>
    </row>
    <row r="8" spans="1:19" ht="25" customHeight="1">
      <c r="A8" t="s">
        <v>16</v>
      </c>
      <c r="B8">
        <v>2</v>
      </c>
      <c r="C8" t="s">
        <v>21</v>
      </c>
      <c r="D8" t="b">
        <v>1</v>
      </c>
      <c r="E8">
        <v>1</v>
      </c>
      <c r="F8" t="s">
        <v>20</v>
      </c>
      <c r="G8" s="1">
        <v>0.57999999999999996</v>
      </c>
      <c r="H8" s="1">
        <v>0.52</v>
      </c>
      <c r="I8" s="1">
        <v>0.54</v>
      </c>
      <c r="J8" s="1">
        <v>0.55000000000000004</v>
      </c>
      <c r="K8" s="1">
        <v>0.49</v>
      </c>
      <c r="L8" s="1">
        <v>0.45</v>
      </c>
      <c r="M8" s="1">
        <v>0.55000000000000004</v>
      </c>
      <c r="N8" s="1">
        <v>0.55000000000000004</v>
      </c>
      <c r="O8" s="1">
        <v>0.55000000000000004</v>
      </c>
      <c r="P8" s="1">
        <v>0.55000000000000004</v>
      </c>
      <c r="Q8" s="1">
        <v>0.46</v>
      </c>
      <c r="R8" s="1">
        <v>0.55000000000000004</v>
      </c>
      <c r="S8" s="1">
        <f t="shared" si="0"/>
        <v>0.57999999999999996</v>
      </c>
    </row>
    <row r="9" spans="1:19" ht="25" customHeight="1">
      <c r="A9" t="s">
        <v>16</v>
      </c>
      <c r="B9">
        <v>2</v>
      </c>
      <c r="C9" t="s">
        <v>21</v>
      </c>
      <c r="D9" t="b">
        <v>1</v>
      </c>
      <c r="E9">
        <v>3</v>
      </c>
      <c r="F9" t="s">
        <v>19</v>
      </c>
      <c r="G9" s="1">
        <v>0.61</v>
      </c>
      <c r="H9" s="1">
        <v>0.66</v>
      </c>
      <c r="I9" s="1">
        <v>0.7</v>
      </c>
      <c r="J9" s="1">
        <v>0.64</v>
      </c>
      <c r="K9" s="1">
        <v>0.68</v>
      </c>
      <c r="L9" s="1">
        <v>0.62</v>
      </c>
      <c r="M9" s="1">
        <v>0.62</v>
      </c>
      <c r="N9" s="1">
        <v>0.71</v>
      </c>
      <c r="O9" s="1">
        <v>0.61</v>
      </c>
      <c r="P9" s="1">
        <v>0.68</v>
      </c>
      <c r="Q9" s="1">
        <v>0.64</v>
      </c>
      <c r="R9" s="1">
        <v>0.69</v>
      </c>
      <c r="S9" s="1">
        <f t="shared" si="0"/>
        <v>0.71</v>
      </c>
    </row>
    <row r="10" spans="1:19" ht="25" customHeight="1">
      <c r="A10" t="s">
        <v>16</v>
      </c>
      <c r="B10">
        <v>2</v>
      </c>
      <c r="C10" t="s">
        <v>21</v>
      </c>
      <c r="D10" t="b">
        <v>1</v>
      </c>
      <c r="E10">
        <v>2</v>
      </c>
      <c r="F10" t="s">
        <v>18</v>
      </c>
      <c r="G10" s="1">
        <v>0.7</v>
      </c>
      <c r="H10" s="1">
        <v>0.66</v>
      </c>
      <c r="I10" s="1">
        <v>0.7</v>
      </c>
      <c r="J10" s="1">
        <v>0.65</v>
      </c>
      <c r="K10" s="1">
        <v>0.59</v>
      </c>
      <c r="L10" s="1">
        <v>0.6</v>
      </c>
      <c r="M10" s="1">
        <v>0.71</v>
      </c>
      <c r="N10" s="1">
        <v>0.69</v>
      </c>
      <c r="O10" s="1">
        <v>0.66</v>
      </c>
      <c r="P10" s="1">
        <v>0.55000000000000004</v>
      </c>
      <c r="Q10" s="1">
        <v>0.63</v>
      </c>
      <c r="R10" s="1">
        <v>0.65</v>
      </c>
      <c r="S10" s="1">
        <f t="shared" si="0"/>
        <v>0.71</v>
      </c>
    </row>
    <row r="11" spans="1:19" ht="25" customHeight="1">
      <c r="A11" t="s">
        <v>16</v>
      </c>
      <c r="B11">
        <v>2</v>
      </c>
      <c r="C11" t="s">
        <v>21</v>
      </c>
      <c r="D11" t="b">
        <v>0</v>
      </c>
      <c r="E11">
        <v>1</v>
      </c>
      <c r="F11" t="s">
        <v>20</v>
      </c>
      <c r="G11" s="1">
        <v>0.53</v>
      </c>
      <c r="H11" s="1">
        <v>0.48</v>
      </c>
      <c r="I11" s="1">
        <v>0.52</v>
      </c>
      <c r="J11" s="1">
        <v>0.57999999999999996</v>
      </c>
      <c r="K11" s="1">
        <v>0.45</v>
      </c>
      <c r="L11" s="1">
        <v>0.43</v>
      </c>
      <c r="M11" s="1">
        <v>0.5</v>
      </c>
      <c r="N11" s="1">
        <v>0.56000000000000005</v>
      </c>
      <c r="O11" s="1">
        <v>0.57999999999999996</v>
      </c>
      <c r="P11" s="1">
        <v>0.49</v>
      </c>
      <c r="Q11" s="1">
        <v>0.5</v>
      </c>
      <c r="R11" s="1">
        <v>0.49</v>
      </c>
      <c r="S11" s="1">
        <f t="shared" si="0"/>
        <v>0.57999999999999996</v>
      </c>
    </row>
    <row r="12" spans="1:19" ht="25" customHeight="1">
      <c r="A12" t="s">
        <v>16</v>
      </c>
      <c r="B12">
        <v>2</v>
      </c>
      <c r="C12" t="s">
        <v>21</v>
      </c>
      <c r="D12" t="b">
        <v>0</v>
      </c>
      <c r="E12">
        <v>3</v>
      </c>
      <c r="F12" t="s">
        <v>19</v>
      </c>
      <c r="G12" s="1">
        <v>0.61</v>
      </c>
      <c r="H12" s="1">
        <v>0.65</v>
      </c>
      <c r="I12" s="1">
        <v>0.69</v>
      </c>
      <c r="J12" s="1">
        <v>0.63</v>
      </c>
      <c r="K12" s="1">
        <v>0.67</v>
      </c>
      <c r="L12" s="1">
        <v>0.62</v>
      </c>
      <c r="M12" s="1">
        <v>0.57999999999999996</v>
      </c>
      <c r="N12" s="1">
        <v>0.73</v>
      </c>
      <c r="O12" s="1">
        <v>0.56000000000000005</v>
      </c>
      <c r="P12" s="1">
        <v>0.7</v>
      </c>
      <c r="Q12" s="1">
        <v>0.65</v>
      </c>
      <c r="R12" s="1">
        <v>0.69</v>
      </c>
      <c r="S12" s="1">
        <f t="shared" si="0"/>
        <v>0.73</v>
      </c>
    </row>
    <row r="13" spans="1:19" ht="25" customHeight="1">
      <c r="A13" t="s">
        <v>16</v>
      </c>
      <c r="B13">
        <v>2</v>
      </c>
      <c r="C13" t="s">
        <v>21</v>
      </c>
      <c r="D13" t="b">
        <v>0</v>
      </c>
      <c r="E13">
        <v>2</v>
      </c>
      <c r="F13" t="s">
        <v>18</v>
      </c>
      <c r="G13" s="1">
        <v>0.68</v>
      </c>
      <c r="H13" s="1">
        <v>0.61</v>
      </c>
      <c r="I13" s="1">
        <v>0.62</v>
      </c>
      <c r="J13" s="1">
        <v>0.62</v>
      </c>
      <c r="K13" s="1">
        <v>0.57999999999999996</v>
      </c>
      <c r="L13" s="1">
        <v>0.57999999999999996</v>
      </c>
      <c r="M13" s="1">
        <v>0.68</v>
      </c>
      <c r="N13" s="1">
        <v>0.69</v>
      </c>
      <c r="O13" s="1">
        <v>0.6</v>
      </c>
      <c r="P13" s="1">
        <v>0.63</v>
      </c>
      <c r="Q13" s="1">
        <v>0.6</v>
      </c>
      <c r="R13" s="1">
        <v>0.61</v>
      </c>
      <c r="S13" s="1">
        <f t="shared" si="0"/>
        <v>0.69</v>
      </c>
    </row>
    <row r="14" spans="1:19" ht="25" customHeight="1">
      <c r="A14" t="s">
        <v>16</v>
      </c>
      <c r="B14">
        <v>3</v>
      </c>
      <c r="C14" t="s">
        <v>22</v>
      </c>
      <c r="D14" t="b">
        <v>1</v>
      </c>
      <c r="E14">
        <v>1</v>
      </c>
      <c r="F14" t="s">
        <v>20</v>
      </c>
      <c r="G14" s="1">
        <v>0.5</v>
      </c>
      <c r="H14" s="1">
        <v>0.5</v>
      </c>
      <c r="I14" s="1">
        <v>0.47</v>
      </c>
      <c r="J14" s="1">
        <v>0.41</v>
      </c>
      <c r="K14" s="1">
        <v>0.41</v>
      </c>
      <c r="L14" s="1">
        <v>0.43</v>
      </c>
      <c r="M14" s="1">
        <v>0.54</v>
      </c>
      <c r="N14" s="1">
        <v>0.55000000000000004</v>
      </c>
      <c r="O14" s="1">
        <v>0.55000000000000004</v>
      </c>
      <c r="P14" s="1">
        <v>0.46</v>
      </c>
      <c r="Q14" s="1">
        <v>0.4</v>
      </c>
      <c r="R14" s="1">
        <v>0.41</v>
      </c>
      <c r="S14" s="1">
        <f t="shared" si="0"/>
        <v>0.55000000000000004</v>
      </c>
    </row>
    <row r="15" spans="1:19" ht="25" customHeight="1">
      <c r="A15" t="s">
        <v>16</v>
      </c>
      <c r="B15">
        <v>3</v>
      </c>
      <c r="C15" t="s">
        <v>22</v>
      </c>
      <c r="D15" t="b">
        <v>1</v>
      </c>
      <c r="E15">
        <v>3</v>
      </c>
      <c r="F15" t="s">
        <v>19</v>
      </c>
      <c r="G15" s="1">
        <v>0.51</v>
      </c>
      <c r="H15" s="1">
        <v>0.41</v>
      </c>
      <c r="I15" s="1">
        <v>0.38</v>
      </c>
      <c r="J15" s="1">
        <v>0.4</v>
      </c>
      <c r="K15" s="1">
        <v>0.45</v>
      </c>
      <c r="L15" s="1">
        <v>0.38</v>
      </c>
      <c r="M15" s="1">
        <v>0.48</v>
      </c>
      <c r="N15" s="1">
        <v>0.48</v>
      </c>
      <c r="O15" s="1">
        <v>0.42</v>
      </c>
      <c r="P15" s="1">
        <v>0.48</v>
      </c>
      <c r="Q15" s="1">
        <v>0.41</v>
      </c>
      <c r="R15" s="1">
        <v>0.35</v>
      </c>
      <c r="S15" s="1">
        <f t="shared" si="0"/>
        <v>0.51</v>
      </c>
    </row>
    <row r="16" spans="1:19" ht="25" customHeight="1">
      <c r="A16" t="s">
        <v>16</v>
      </c>
      <c r="B16">
        <v>3</v>
      </c>
      <c r="C16" t="s">
        <v>22</v>
      </c>
      <c r="D16" t="b">
        <v>1</v>
      </c>
      <c r="E16">
        <v>2</v>
      </c>
      <c r="F16" t="s">
        <v>18</v>
      </c>
      <c r="G16" s="1">
        <v>0.55000000000000004</v>
      </c>
      <c r="H16" s="1">
        <v>0.53</v>
      </c>
      <c r="I16" s="1">
        <v>0.56000000000000005</v>
      </c>
      <c r="J16" s="1">
        <v>0.48</v>
      </c>
      <c r="K16" s="1">
        <v>0.49</v>
      </c>
      <c r="L16" s="1">
        <v>0.51</v>
      </c>
      <c r="M16" s="1">
        <v>0.56999999999999995</v>
      </c>
      <c r="N16" s="1">
        <v>0.56000000000000005</v>
      </c>
      <c r="O16" s="1">
        <v>0.59</v>
      </c>
      <c r="P16" s="1">
        <v>0.54</v>
      </c>
      <c r="Q16" s="1">
        <v>0.5</v>
      </c>
      <c r="R16" s="1">
        <v>0.5</v>
      </c>
      <c r="S16" s="1">
        <f t="shared" si="0"/>
        <v>0.59</v>
      </c>
    </row>
    <row r="17" spans="1:19" ht="25" customHeight="1">
      <c r="A17" t="s">
        <v>16</v>
      </c>
      <c r="B17">
        <v>3</v>
      </c>
      <c r="C17" t="s">
        <v>22</v>
      </c>
      <c r="D17" t="b">
        <v>0</v>
      </c>
      <c r="E17">
        <v>1</v>
      </c>
      <c r="F17" t="s">
        <v>20</v>
      </c>
      <c r="G17" s="1">
        <v>0.41</v>
      </c>
      <c r="H17" s="1">
        <v>0.36</v>
      </c>
      <c r="I17" s="1">
        <v>0.42</v>
      </c>
      <c r="J17" s="1">
        <v>0.34</v>
      </c>
      <c r="K17" s="1">
        <v>0.37</v>
      </c>
      <c r="L17" s="1">
        <v>0.38</v>
      </c>
      <c r="M17" s="1">
        <v>0.47</v>
      </c>
      <c r="N17" s="1">
        <v>0.41</v>
      </c>
      <c r="O17" s="1">
        <v>0.49</v>
      </c>
      <c r="P17" s="1">
        <v>0.38</v>
      </c>
      <c r="Q17" s="1">
        <v>0.41</v>
      </c>
      <c r="R17" s="1">
        <v>0.33</v>
      </c>
      <c r="S17" s="1">
        <f t="shared" si="0"/>
        <v>0.49</v>
      </c>
    </row>
    <row r="18" spans="1:19" ht="25" customHeight="1">
      <c r="A18" t="s">
        <v>16</v>
      </c>
      <c r="B18">
        <v>3</v>
      </c>
      <c r="C18" t="s">
        <v>22</v>
      </c>
      <c r="D18" t="b">
        <v>0</v>
      </c>
      <c r="E18">
        <v>3</v>
      </c>
      <c r="F18" t="s">
        <v>19</v>
      </c>
      <c r="G18" s="1">
        <v>0.35</v>
      </c>
      <c r="H18" s="1">
        <v>0.36</v>
      </c>
      <c r="I18" s="1">
        <v>0.37</v>
      </c>
      <c r="J18" s="1">
        <v>0.43</v>
      </c>
      <c r="K18" s="1">
        <v>0.4</v>
      </c>
      <c r="L18" s="1">
        <v>0.4</v>
      </c>
      <c r="M18" s="1">
        <v>0.36</v>
      </c>
      <c r="N18" s="1">
        <v>0.39</v>
      </c>
      <c r="O18" s="1">
        <v>0.35</v>
      </c>
      <c r="P18" s="1">
        <v>0.46</v>
      </c>
      <c r="Q18" s="1">
        <v>0.4</v>
      </c>
      <c r="R18" s="1">
        <v>0.36</v>
      </c>
      <c r="S18" s="1">
        <f t="shared" si="0"/>
        <v>0.46</v>
      </c>
    </row>
    <row r="19" spans="1:19" ht="25" customHeight="1">
      <c r="A19" t="s">
        <v>16</v>
      </c>
      <c r="B19">
        <v>3</v>
      </c>
      <c r="C19" t="s">
        <v>22</v>
      </c>
      <c r="D19" t="b">
        <v>0</v>
      </c>
      <c r="E19">
        <v>2</v>
      </c>
      <c r="F19" t="s">
        <v>18</v>
      </c>
      <c r="G19" s="1">
        <v>0.43</v>
      </c>
      <c r="H19" s="1">
        <v>0.4</v>
      </c>
      <c r="I19" s="1">
        <v>0.49</v>
      </c>
      <c r="J19" s="1">
        <v>0.44</v>
      </c>
      <c r="K19" s="1">
        <v>0.46</v>
      </c>
      <c r="L19" s="1">
        <v>0.45</v>
      </c>
      <c r="M19" s="1">
        <v>0.49</v>
      </c>
      <c r="N19" s="1">
        <v>0.44</v>
      </c>
      <c r="O19" s="1">
        <v>0.5</v>
      </c>
      <c r="P19" s="1">
        <v>0.49</v>
      </c>
      <c r="Q19" s="1">
        <v>0.46</v>
      </c>
      <c r="R19" s="1">
        <v>0.49</v>
      </c>
      <c r="S19" s="1">
        <f t="shared" si="0"/>
        <v>0.5</v>
      </c>
    </row>
    <row r="22" spans="1:19" ht="25" customHeight="1">
      <c r="B22" t="s">
        <v>23</v>
      </c>
      <c r="C22" t="s">
        <v>1</v>
      </c>
      <c r="D22" t="s">
        <v>26</v>
      </c>
      <c r="E22" t="s">
        <v>24</v>
      </c>
      <c r="F22" t="s">
        <v>27</v>
      </c>
      <c r="G22" t="s">
        <v>4</v>
      </c>
      <c r="H22" t="s">
        <v>5</v>
      </c>
      <c r="I22" t="s">
        <v>6</v>
      </c>
      <c r="J22" t="s">
        <v>7</v>
      </c>
      <c r="K22" t="s">
        <v>8</v>
      </c>
      <c r="L22" t="s">
        <v>9</v>
      </c>
      <c r="M22" t="s">
        <v>10</v>
      </c>
      <c r="N22" t="s">
        <v>11</v>
      </c>
      <c r="O22" t="s">
        <v>12</v>
      </c>
      <c r="P22" t="s">
        <v>13</v>
      </c>
      <c r="Q22" t="s">
        <v>14</v>
      </c>
      <c r="R22" t="s">
        <v>15</v>
      </c>
      <c r="S22" t="s">
        <v>25</v>
      </c>
    </row>
    <row r="23" spans="1:19" ht="25" customHeight="1">
      <c r="B23">
        <v>1</v>
      </c>
      <c r="C23" t="s">
        <v>17</v>
      </c>
      <c r="D23" t="b">
        <v>1</v>
      </c>
      <c r="E23">
        <v>1</v>
      </c>
      <c r="F23" t="s">
        <v>25</v>
      </c>
      <c r="G23" s="1" cm="1">
        <f t="array" ref="G23">_xlfn.LET(_xlpm.d,G$2:G$19,_xlpm.a,$C$2:$C$19=$C23,_xlpm.b,$D$2:$D$19=$D23,MAX(_xlfn._xlws.FILTER(_xlpm.d,_xlpm.a*_xlpm.b)))</f>
        <v>0.92</v>
      </c>
      <c r="H23" s="1" cm="1">
        <f t="array" ref="H23">_xlfn.LET(_xlpm.d,H$2:H$19,_xlpm.a,$C$2:$C$19=$C23,_xlpm.b,$D$2:$D$19=$D23,MAX(_xlfn._xlws.FILTER(_xlpm.d,_xlpm.a*_xlpm.b)))</f>
        <v>0.89</v>
      </c>
      <c r="I23" s="1" cm="1">
        <f t="array" ref="I23">_xlfn.LET(_xlpm.d,I$2:I$19,_xlpm.a,$C$2:$C$19=$C23,_xlpm.b,$D$2:$D$19=$D23,MAX(_xlfn._xlws.FILTER(_xlpm.d,_xlpm.a*_xlpm.b)))</f>
        <v>0.83</v>
      </c>
      <c r="J23" s="1" cm="1">
        <f t="array" ref="J23">_xlfn.LET(_xlpm.d,J$2:J$19,_xlpm.a,$C$2:$C$19=$C23,_xlpm.b,$D$2:$D$19=$D23,MAX(_xlfn._xlws.FILTER(_xlpm.d,_xlpm.a*_xlpm.b)))</f>
        <v>0.88</v>
      </c>
      <c r="K23" s="1" cm="1">
        <f t="array" ref="K23">_xlfn.LET(_xlpm.d,K$2:K$19,_xlpm.a,$C$2:$C$19=$C23,_xlpm.b,$D$2:$D$19=$D23,MAX(_xlfn._xlws.FILTER(_xlpm.d,_xlpm.a*_xlpm.b)))</f>
        <v>0.88</v>
      </c>
      <c r="L23" s="1" cm="1">
        <f t="array" ref="L23">_xlfn.LET(_xlpm.d,L$2:L$19,_xlpm.a,$C$2:$C$19=$C23,_xlpm.b,$D$2:$D$19=$D23,MAX(_xlfn._xlws.FILTER(_xlpm.d,_xlpm.a*_xlpm.b)))</f>
        <v>0.88</v>
      </c>
      <c r="M23" s="1" cm="1">
        <f t="array" ref="M23">_xlfn.LET(_xlpm.d,M$2:M$19,_xlpm.a,$C$2:$C$19=$C23,_xlpm.b,$D$2:$D$19=$D23,MAX(_xlfn._xlws.FILTER(_xlpm.d,_xlpm.a*_xlpm.b)))</f>
        <v>0.88</v>
      </c>
      <c r="N23" s="1" cm="1">
        <f t="array" ref="N23">_xlfn.LET(_xlpm.d,N$2:N$19,_xlpm.a,$C$2:$C$19=$C23,_xlpm.b,$D$2:$D$19=$D23,MAX(_xlfn._xlws.FILTER(_xlpm.d,_xlpm.a*_xlpm.b)))</f>
        <v>0.88</v>
      </c>
      <c r="O23" s="1" cm="1">
        <f t="array" ref="O23">_xlfn.LET(_xlpm.d,O$2:O$19,_xlpm.a,$C$2:$C$19=$C23,_xlpm.b,$D$2:$D$19=$D23,MAX(_xlfn._xlws.FILTER(_xlpm.d,_xlpm.a*_xlpm.b)))</f>
        <v>0.89</v>
      </c>
      <c r="P23" s="1" cm="1">
        <f t="array" ref="P23">_xlfn.LET(_xlpm.d,P$2:P$19,_xlpm.a,$C$2:$C$19=$C23,_xlpm.b,$D$2:$D$19=$D23,MAX(_xlfn._xlws.FILTER(_xlpm.d,_xlpm.a*_xlpm.b)))</f>
        <v>0.84</v>
      </c>
      <c r="Q23" s="1" cm="1">
        <f t="array" ref="Q23">_xlfn.LET(_xlpm.d,Q$2:Q$19,_xlpm.a,$C$2:$C$19=$C23,_xlpm.b,$D$2:$D$19=$D23,MAX(_xlfn._xlws.FILTER(_xlpm.d,_xlpm.a*_xlpm.b)))</f>
        <v>0.86</v>
      </c>
      <c r="R23" s="1" cm="1">
        <f t="array" ref="R23">_xlfn.LET(_xlpm.d,R$2:R$19,_xlpm.a,$C$2:$C$19=$C23,_xlpm.b,$D$2:$D$19=$D23,MAX(_xlfn._xlws.FILTER(_xlpm.d,_xlpm.a*_xlpm.b)))</f>
        <v>0.87</v>
      </c>
      <c r="S23" s="1">
        <f t="shared" ref="S23:S28" si="1">_xlfn.LET(_xlpm.d,$G23:$R23,MAX(_xlpm.d))</f>
        <v>0.92</v>
      </c>
    </row>
    <row r="24" spans="1:19" ht="25" customHeight="1">
      <c r="B24">
        <v>1</v>
      </c>
      <c r="C24" t="s">
        <v>17</v>
      </c>
      <c r="D24" t="b">
        <v>0</v>
      </c>
      <c r="E24">
        <v>1</v>
      </c>
      <c r="F24" t="s">
        <v>25</v>
      </c>
      <c r="G24" s="1" cm="1">
        <f t="array" ref="G24">_xlfn.LET(_xlpm.d,G$2:G$19,_xlpm.a,$C$2:$C$19=$C24,_xlpm.b,$D$2:$D$19=$D24,MAX(_xlfn._xlws.FILTER(_xlpm.d,_xlpm.a*_xlpm.b)))</f>
        <v>0.84</v>
      </c>
      <c r="H24" s="1" cm="1">
        <f t="array" ref="H24">_xlfn.LET(_xlpm.d,H$2:H$19,_xlpm.a,$C$2:$C$19=$C24,_xlpm.b,$D$2:$D$19=$D24,MAX(_xlfn._xlws.FILTER(_xlpm.d,_xlpm.a*_xlpm.b)))</f>
        <v>0.83</v>
      </c>
      <c r="I24" s="1" cm="1">
        <f t="array" ref="I24">_xlfn.LET(_xlpm.d,I$2:I$19,_xlpm.a,$C$2:$C$19=$C24,_xlpm.b,$D$2:$D$19=$D24,MAX(_xlfn._xlws.FILTER(_xlpm.d,_xlpm.a*_xlpm.b)))</f>
        <v>0.77</v>
      </c>
      <c r="J24" s="1" cm="1">
        <f t="array" ref="J24">_xlfn.LET(_xlpm.d,J$2:J$19,_xlpm.a,$C$2:$C$19=$C24,_xlpm.b,$D$2:$D$19=$D24,MAX(_xlfn._xlws.FILTER(_xlpm.d,_xlpm.a*_xlpm.b)))</f>
        <v>0.86</v>
      </c>
      <c r="K24" s="1" cm="1">
        <f t="array" ref="K24">_xlfn.LET(_xlpm.d,K$2:K$19,_xlpm.a,$C$2:$C$19=$C24,_xlpm.b,$D$2:$D$19=$D24,MAX(_xlfn._xlws.FILTER(_xlpm.d,_xlpm.a*_xlpm.b)))</f>
        <v>0.87</v>
      </c>
      <c r="L24" s="1" cm="1">
        <f t="array" ref="L24">_xlfn.LET(_xlpm.d,L$2:L$19,_xlpm.a,$C$2:$C$19=$C24,_xlpm.b,$D$2:$D$19=$D24,MAX(_xlfn._xlws.FILTER(_xlpm.d,_xlpm.a*_xlpm.b)))</f>
        <v>0.85</v>
      </c>
      <c r="M24" s="1" cm="1">
        <f t="array" ref="M24">_xlfn.LET(_xlpm.d,M$2:M$19,_xlpm.a,$C$2:$C$19=$C24,_xlpm.b,$D$2:$D$19=$D24,MAX(_xlfn._xlws.FILTER(_xlpm.d,_xlpm.a*_xlpm.b)))</f>
        <v>0.83</v>
      </c>
      <c r="N24" s="1" cm="1">
        <f t="array" ref="N24">_xlfn.LET(_xlpm.d,N$2:N$19,_xlpm.a,$C$2:$C$19=$C24,_xlpm.b,$D$2:$D$19=$D24,MAX(_xlfn._xlws.FILTER(_xlpm.d,_xlpm.a*_xlpm.b)))</f>
        <v>0.82</v>
      </c>
      <c r="O24" s="1" cm="1">
        <f t="array" ref="O24">_xlfn.LET(_xlpm.d,O$2:O$19,_xlpm.a,$C$2:$C$19=$C24,_xlpm.b,$D$2:$D$19=$D24,MAX(_xlfn._xlws.FILTER(_xlpm.d,_xlpm.a*_xlpm.b)))</f>
        <v>0.79</v>
      </c>
      <c r="P24" s="1" cm="1">
        <f t="array" ref="P24">_xlfn.LET(_xlpm.d,P$2:P$19,_xlpm.a,$C$2:$C$19=$C24,_xlpm.b,$D$2:$D$19=$D24,MAX(_xlfn._xlws.FILTER(_xlpm.d,_xlpm.a*_xlpm.b)))</f>
        <v>0.79</v>
      </c>
      <c r="Q24" s="1" cm="1">
        <f t="array" ref="Q24">_xlfn.LET(_xlpm.d,Q$2:Q$19,_xlpm.a,$C$2:$C$19=$C24,_xlpm.b,$D$2:$D$19=$D24,MAX(_xlfn._xlws.FILTER(_xlpm.d,_xlpm.a*_xlpm.b)))</f>
        <v>0.84</v>
      </c>
      <c r="R24" s="1" cm="1">
        <f t="array" ref="R24">_xlfn.LET(_xlpm.d,R$2:R$19,_xlpm.a,$C$2:$C$19=$C24,_xlpm.b,$D$2:$D$19=$D24,MAX(_xlfn._xlws.FILTER(_xlpm.d,_xlpm.a*_xlpm.b)))</f>
        <v>0.85</v>
      </c>
      <c r="S24" s="1">
        <f t="shared" si="1"/>
        <v>0.87</v>
      </c>
    </row>
    <row r="25" spans="1:19" ht="25" customHeight="1">
      <c r="B25">
        <v>2</v>
      </c>
      <c r="C25" t="s">
        <v>21</v>
      </c>
      <c r="D25" t="b">
        <v>1</v>
      </c>
      <c r="E25">
        <v>1</v>
      </c>
      <c r="F25" t="s">
        <v>25</v>
      </c>
      <c r="G25" s="1" cm="1">
        <f t="array" ref="G25">_xlfn.LET(_xlpm.d,G$2:G$19,_xlpm.a,$C$2:$C$19=$C25,_xlpm.b,$D$2:$D$19=$D25,MAX(_xlfn._xlws.FILTER(_xlpm.d,_xlpm.a*_xlpm.b)))</f>
        <v>0.7</v>
      </c>
      <c r="H25" s="1" cm="1">
        <f t="array" ref="H25">_xlfn.LET(_xlpm.d,H$2:H$19,_xlpm.a,$C$2:$C$19=$C25,_xlpm.b,$D$2:$D$19=$D25,MAX(_xlfn._xlws.FILTER(_xlpm.d,_xlpm.a*_xlpm.b)))</f>
        <v>0.66</v>
      </c>
      <c r="I25" s="1" cm="1">
        <f t="array" ref="I25">_xlfn.LET(_xlpm.d,I$2:I$19,_xlpm.a,$C$2:$C$19=$C25,_xlpm.b,$D$2:$D$19=$D25,MAX(_xlfn._xlws.FILTER(_xlpm.d,_xlpm.a*_xlpm.b)))</f>
        <v>0.7</v>
      </c>
      <c r="J25" s="1" cm="1">
        <f t="array" ref="J25">_xlfn.LET(_xlpm.d,J$2:J$19,_xlpm.a,$C$2:$C$19=$C25,_xlpm.b,$D$2:$D$19=$D25,MAX(_xlfn._xlws.FILTER(_xlpm.d,_xlpm.a*_xlpm.b)))</f>
        <v>0.65</v>
      </c>
      <c r="K25" s="1" cm="1">
        <f t="array" ref="K25">_xlfn.LET(_xlpm.d,K$2:K$19,_xlpm.a,$C$2:$C$19=$C25,_xlpm.b,$D$2:$D$19=$D25,MAX(_xlfn._xlws.FILTER(_xlpm.d,_xlpm.a*_xlpm.b)))</f>
        <v>0.68</v>
      </c>
      <c r="L25" s="1" cm="1">
        <f t="array" ref="L25">_xlfn.LET(_xlpm.d,L$2:L$19,_xlpm.a,$C$2:$C$19=$C25,_xlpm.b,$D$2:$D$19=$D25,MAX(_xlfn._xlws.FILTER(_xlpm.d,_xlpm.a*_xlpm.b)))</f>
        <v>0.62</v>
      </c>
      <c r="M25" s="1" cm="1">
        <f t="array" ref="M25">_xlfn.LET(_xlpm.d,M$2:M$19,_xlpm.a,$C$2:$C$19=$C25,_xlpm.b,$D$2:$D$19=$D25,MAX(_xlfn._xlws.FILTER(_xlpm.d,_xlpm.a*_xlpm.b)))</f>
        <v>0.71</v>
      </c>
      <c r="N25" s="1" cm="1">
        <f t="array" ref="N25">_xlfn.LET(_xlpm.d,N$2:N$19,_xlpm.a,$C$2:$C$19=$C25,_xlpm.b,$D$2:$D$19=$D25,MAX(_xlfn._xlws.FILTER(_xlpm.d,_xlpm.a*_xlpm.b)))</f>
        <v>0.71</v>
      </c>
      <c r="O25" s="1" cm="1">
        <f t="array" ref="O25">_xlfn.LET(_xlpm.d,O$2:O$19,_xlpm.a,$C$2:$C$19=$C25,_xlpm.b,$D$2:$D$19=$D25,MAX(_xlfn._xlws.FILTER(_xlpm.d,_xlpm.a*_xlpm.b)))</f>
        <v>0.66</v>
      </c>
      <c r="P25" s="1" cm="1">
        <f t="array" ref="P25">_xlfn.LET(_xlpm.d,P$2:P$19,_xlpm.a,$C$2:$C$19=$C25,_xlpm.b,$D$2:$D$19=$D25,MAX(_xlfn._xlws.FILTER(_xlpm.d,_xlpm.a*_xlpm.b)))</f>
        <v>0.68</v>
      </c>
      <c r="Q25" s="1" cm="1">
        <f t="array" ref="Q25">_xlfn.LET(_xlpm.d,Q$2:Q$19,_xlpm.a,$C$2:$C$19=$C25,_xlpm.b,$D$2:$D$19=$D25,MAX(_xlfn._xlws.FILTER(_xlpm.d,_xlpm.a*_xlpm.b)))</f>
        <v>0.64</v>
      </c>
      <c r="R25" s="1" cm="1">
        <f t="array" ref="R25">_xlfn.LET(_xlpm.d,R$2:R$19,_xlpm.a,$C$2:$C$19=$C25,_xlpm.b,$D$2:$D$19=$D25,MAX(_xlfn._xlws.FILTER(_xlpm.d,_xlpm.a*_xlpm.b)))</f>
        <v>0.69</v>
      </c>
      <c r="S25" s="1">
        <f t="shared" si="1"/>
        <v>0.71</v>
      </c>
    </row>
    <row r="26" spans="1:19" ht="25" customHeight="1">
      <c r="B26">
        <v>2</v>
      </c>
      <c r="C26" t="s">
        <v>21</v>
      </c>
      <c r="D26" t="b">
        <v>0</v>
      </c>
      <c r="E26">
        <v>1</v>
      </c>
      <c r="F26" t="s">
        <v>25</v>
      </c>
      <c r="G26" s="1" cm="1">
        <f t="array" ref="G26">_xlfn.LET(_xlpm.d,G$2:G$19,_xlpm.a,$C$2:$C$19=$C26,_xlpm.b,$D$2:$D$19=$D26,MAX(_xlfn._xlws.FILTER(_xlpm.d,_xlpm.a*_xlpm.b)))</f>
        <v>0.68</v>
      </c>
      <c r="H26" s="1" cm="1">
        <f t="array" ref="H26">_xlfn.LET(_xlpm.d,H$2:H$19,_xlpm.a,$C$2:$C$19=$C26,_xlpm.b,$D$2:$D$19=$D26,MAX(_xlfn._xlws.FILTER(_xlpm.d,_xlpm.a*_xlpm.b)))</f>
        <v>0.65</v>
      </c>
      <c r="I26" s="1" cm="1">
        <f t="array" ref="I26">_xlfn.LET(_xlpm.d,I$2:I$19,_xlpm.a,$C$2:$C$19=$C26,_xlpm.b,$D$2:$D$19=$D26,MAX(_xlfn._xlws.FILTER(_xlpm.d,_xlpm.a*_xlpm.b)))</f>
        <v>0.69</v>
      </c>
      <c r="J26" s="1" cm="1">
        <f t="array" ref="J26">_xlfn.LET(_xlpm.d,J$2:J$19,_xlpm.a,$C$2:$C$19=$C26,_xlpm.b,$D$2:$D$19=$D26,MAX(_xlfn._xlws.FILTER(_xlpm.d,_xlpm.a*_xlpm.b)))</f>
        <v>0.63</v>
      </c>
      <c r="K26" s="1" cm="1">
        <f t="array" ref="K26">_xlfn.LET(_xlpm.d,K$2:K$19,_xlpm.a,$C$2:$C$19=$C26,_xlpm.b,$D$2:$D$19=$D26,MAX(_xlfn._xlws.FILTER(_xlpm.d,_xlpm.a*_xlpm.b)))</f>
        <v>0.67</v>
      </c>
      <c r="L26" s="1" cm="1">
        <f t="array" ref="L26">_xlfn.LET(_xlpm.d,L$2:L$19,_xlpm.a,$C$2:$C$19=$C26,_xlpm.b,$D$2:$D$19=$D26,MAX(_xlfn._xlws.FILTER(_xlpm.d,_xlpm.a*_xlpm.b)))</f>
        <v>0.62</v>
      </c>
      <c r="M26" s="1" cm="1">
        <f t="array" ref="M26">_xlfn.LET(_xlpm.d,M$2:M$19,_xlpm.a,$C$2:$C$19=$C26,_xlpm.b,$D$2:$D$19=$D26,MAX(_xlfn._xlws.FILTER(_xlpm.d,_xlpm.a*_xlpm.b)))</f>
        <v>0.68</v>
      </c>
      <c r="N26" s="1" cm="1">
        <f t="array" ref="N26">_xlfn.LET(_xlpm.d,N$2:N$19,_xlpm.a,$C$2:$C$19=$C26,_xlpm.b,$D$2:$D$19=$D26,MAX(_xlfn._xlws.FILTER(_xlpm.d,_xlpm.a*_xlpm.b)))</f>
        <v>0.73</v>
      </c>
      <c r="O26" s="1" cm="1">
        <f t="array" ref="O26">_xlfn.LET(_xlpm.d,O$2:O$19,_xlpm.a,$C$2:$C$19=$C26,_xlpm.b,$D$2:$D$19=$D26,MAX(_xlfn._xlws.FILTER(_xlpm.d,_xlpm.a*_xlpm.b)))</f>
        <v>0.6</v>
      </c>
      <c r="P26" s="1" cm="1">
        <f t="array" ref="P26">_xlfn.LET(_xlpm.d,P$2:P$19,_xlpm.a,$C$2:$C$19=$C26,_xlpm.b,$D$2:$D$19=$D26,MAX(_xlfn._xlws.FILTER(_xlpm.d,_xlpm.a*_xlpm.b)))</f>
        <v>0.7</v>
      </c>
      <c r="Q26" s="1" cm="1">
        <f t="array" ref="Q26">_xlfn.LET(_xlpm.d,Q$2:Q$19,_xlpm.a,$C$2:$C$19=$C26,_xlpm.b,$D$2:$D$19=$D26,MAX(_xlfn._xlws.FILTER(_xlpm.d,_xlpm.a*_xlpm.b)))</f>
        <v>0.65</v>
      </c>
      <c r="R26" s="1" cm="1">
        <f t="array" ref="R26">_xlfn.LET(_xlpm.d,R$2:R$19,_xlpm.a,$C$2:$C$19=$C26,_xlpm.b,$D$2:$D$19=$D26,MAX(_xlfn._xlws.FILTER(_xlpm.d,_xlpm.a*_xlpm.b)))</f>
        <v>0.69</v>
      </c>
      <c r="S26" s="1">
        <f t="shared" si="1"/>
        <v>0.73</v>
      </c>
    </row>
    <row r="27" spans="1:19" ht="25" customHeight="1">
      <c r="B27">
        <v>3</v>
      </c>
      <c r="C27" t="s">
        <v>22</v>
      </c>
      <c r="D27" t="b">
        <v>1</v>
      </c>
      <c r="E27">
        <v>1</v>
      </c>
      <c r="F27" t="s">
        <v>25</v>
      </c>
      <c r="G27" s="1" cm="1">
        <f t="array" ref="G27">_xlfn.LET(_xlpm.d,G$2:G$19,_xlpm.a,$C$2:$C$19=$C27,_xlpm.b,$D$2:$D$19=$D27,MAX(_xlfn._xlws.FILTER(_xlpm.d,_xlpm.a*_xlpm.b)))</f>
        <v>0.55000000000000004</v>
      </c>
      <c r="H27" s="1" cm="1">
        <f t="array" ref="H27">_xlfn.LET(_xlpm.d,H$2:H$19,_xlpm.a,$C$2:$C$19=$C27,_xlpm.b,$D$2:$D$19=$D27,MAX(_xlfn._xlws.FILTER(_xlpm.d,_xlpm.a*_xlpm.b)))</f>
        <v>0.53</v>
      </c>
      <c r="I27" s="1" cm="1">
        <f t="array" ref="I27">_xlfn.LET(_xlpm.d,I$2:I$19,_xlpm.a,$C$2:$C$19=$C27,_xlpm.b,$D$2:$D$19=$D27,MAX(_xlfn._xlws.FILTER(_xlpm.d,_xlpm.a*_xlpm.b)))</f>
        <v>0.56000000000000005</v>
      </c>
      <c r="J27" s="1" cm="1">
        <f t="array" ref="J27">_xlfn.LET(_xlpm.d,J$2:J$19,_xlpm.a,$C$2:$C$19=$C27,_xlpm.b,$D$2:$D$19=$D27,MAX(_xlfn._xlws.FILTER(_xlpm.d,_xlpm.a*_xlpm.b)))</f>
        <v>0.48</v>
      </c>
      <c r="K27" s="1" cm="1">
        <f t="array" ref="K27">_xlfn.LET(_xlpm.d,K$2:K$19,_xlpm.a,$C$2:$C$19=$C27,_xlpm.b,$D$2:$D$19=$D27,MAX(_xlfn._xlws.FILTER(_xlpm.d,_xlpm.a*_xlpm.b)))</f>
        <v>0.49</v>
      </c>
      <c r="L27" s="1" cm="1">
        <f t="array" ref="L27">_xlfn.LET(_xlpm.d,L$2:L$19,_xlpm.a,$C$2:$C$19=$C27,_xlpm.b,$D$2:$D$19=$D27,MAX(_xlfn._xlws.FILTER(_xlpm.d,_xlpm.a*_xlpm.b)))</f>
        <v>0.51</v>
      </c>
      <c r="M27" s="1" cm="1">
        <f t="array" ref="M27">_xlfn.LET(_xlpm.d,M$2:M$19,_xlpm.a,$C$2:$C$19=$C27,_xlpm.b,$D$2:$D$19=$D27,MAX(_xlfn._xlws.FILTER(_xlpm.d,_xlpm.a*_xlpm.b)))</f>
        <v>0.56999999999999995</v>
      </c>
      <c r="N27" s="1" cm="1">
        <f t="array" ref="N27">_xlfn.LET(_xlpm.d,N$2:N$19,_xlpm.a,$C$2:$C$19=$C27,_xlpm.b,$D$2:$D$19=$D27,MAX(_xlfn._xlws.FILTER(_xlpm.d,_xlpm.a*_xlpm.b)))</f>
        <v>0.56000000000000005</v>
      </c>
      <c r="O27" s="1" cm="1">
        <f t="array" ref="O27">_xlfn.LET(_xlpm.d,O$2:O$19,_xlpm.a,$C$2:$C$19=$C27,_xlpm.b,$D$2:$D$19=$D27,MAX(_xlfn._xlws.FILTER(_xlpm.d,_xlpm.a*_xlpm.b)))</f>
        <v>0.59</v>
      </c>
      <c r="P27" s="1" cm="1">
        <f t="array" ref="P27">_xlfn.LET(_xlpm.d,P$2:P$19,_xlpm.a,$C$2:$C$19=$C27,_xlpm.b,$D$2:$D$19=$D27,MAX(_xlfn._xlws.FILTER(_xlpm.d,_xlpm.a*_xlpm.b)))</f>
        <v>0.54</v>
      </c>
      <c r="Q27" s="1" cm="1">
        <f t="array" ref="Q27">_xlfn.LET(_xlpm.d,Q$2:Q$19,_xlpm.a,$C$2:$C$19=$C27,_xlpm.b,$D$2:$D$19=$D27,MAX(_xlfn._xlws.FILTER(_xlpm.d,_xlpm.a*_xlpm.b)))</f>
        <v>0.5</v>
      </c>
      <c r="R27" s="1" cm="1">
        <f t="array" ref="R27">_xlfn.LET(_xlpm.d,R$2:R$19,_xlpm.a,$C$2:$C$19=$C27,_xlpm.b,$D$2:$D$19=$D27,MAX(_xlfn._xlws.FILTER(_xlpm.d,_xlpm.a*_xlpm.b)))</f>
        <v>0.5</v>
      </c>
      <c r="S27" s="1">
        <f t="shared" si="1"/>
        <v>0.59</v>
      </c>
    </row>
    <row r="28" spans="1:19" ht="25" customHeight="1">
      <c r="B28">
        <v>3</v>
      </c>
      <c r="C28" t="s">
        <v>22</v>
      </c>
      <c r="D28" t="b">
        <v>0</v>
      </c>
      <c r="E28">
        <v>1</v>
      </c>
      <c r="F28" t="s">
        <v>25</v>
      </c>
      <c r="G28" s="1" cm="1">
        <f t="array" ref="G28">_xlfn.LET(_xlpm.d,G$2:G$19,_xlpm.a,$C$2:$C$19=$C28,_xlpm.b,$D$2:$D$19=$D28,MAX(_xlfn._xlws.FILTER(_xlpm.d,_xlpm.a*_xlpm.b)))</f>
        <v>0.43</v>
      </c>
      <c r="H28" s="1" cm="1">
        <f t="array" ref="H28">_xlfn.LET(_xlpm.d,H$2:H$19,_xlpm.a,$C$2:$C$19=$C28,_xlpm.b,$D$2:$D$19=$D28,MAX(_xlfn._xlws.FILTER(_xlpm.d,_xlpm.a*_xlpm.b)))</f>
        <v>0.4</v>
      </c>
      <c r="I28" s="1" cm="1">
        <f t="array" ref="I28">_xlfn.LET(_xlpm.d,I$2:I$19,_xlpm.a,$C$2:$C$19=$C28,_xlpm.b,$D$2:$D$19=$D28,MAX(_xlfn._xlws.FILTER(_xlpm.d,_xlpm.a*_xlpm.b)))</f>
        <v>0.49</v>
      </c>
      <c r="J28" s="1" cm="1">
        <f t="array" ref="J28">_xlfn.LET(_xlpm.d,J$2:J$19,_xlpm.a,$C$2:$C$19=$C28,_xlpm.b,$D$2:$D$19=$D28,MAX(_xlfn._xlws.FILTER(_xlpm.d,_xlpm.a*_xlpm.b)))</f>
        <v>0.44</v>
      </c>
      <c r="K28" s="1" cm="1">
        <f t="array" ref="K28">_xlfn.LET(_xlpm.d,K$2:K$19,_xlpm.a,$C$2:$C$19=$C28,_xlpm.b,$D$2:$D$19=$D28,MAX(_xlfn._xlws.FILTER(_xlpm.d,_xlpm.a*_xlpm.b)))</f>
        <v>0.46</v>
      </c>
      <c r="L28" s="1" cm="1">
        <f t="array" ref="L28">_xlfn.LET(_xlpm.d,L$2:L$19,_xlpm.a,$C$2:$C$19=$C28,_xlpm.b,$D$2:$D$19=$D28,MAX(_xlfn._xlws.FILTER(_xlpm.d,_xlpm.a*_xlpm.b)))</f>
        <v>0.45</v>
      </c>
      <c r="M28" s="1" cm="1">
        <f t="array" ref="M28">_xlfn.LET(_xlpm.d,M$2:M$19,_xlpm.a,$C$2:$C$19=$C28,_xlpm.b,$D$2:$D$19=$D28,MAX(_xlfn._xlws.FILTER(_xlpm.d,_xlpm.a*_xlpm.b)))</f>
        <v>0.49</v>
      </c>
      <c r="N28" s="1" cm="1">
        <f t="array" ref="N28">_xlfn.LET(_xlpm.d,N$2:N$19,_xlpm.a,$C$2:$C$19=$C28,_xlpm.b,$D$2:$D$19=$D28,MAX(_xlfn._xlws.FILTER(_xlpm.d,_xlpm.a*_xlpm.b)))</f>
        <v>0.44</v>
      </c>
      <c r="O28" s="1" cm="1">
        <f t="array" ref="O28">_xlfn.LET(_xlpm.d,O$2:O$19,_xlpm.a,$C$2:$C$19=$C28,_xlpm.b,$D$2:$D$19=$D28,MAX(_xlfn._xlws.FILTER(_xlpm.d,_xlpm.a*_xlpm.b)))</f>
        <v>0.5</v>
      </c>
      <c r="P28" s="1" cm="1">
        <f t="array" ref="P28">_xlfn.LET(_xlpm.d,P$2:P$19,_xlpm.a,$C$2:$C$19=$C28,_xlpm.b,$D$2:$D$19=$D28,MAX(_xlfn._xlws.FILTER(_xlpm.d,_xlpm.a*_xlpm.b)))</f>
        <v>0.49</v>
      </c>
      <c r="Q28" s="1" cm="1">
        <f t="array" ref="Q28">_xlfn.LET(_xlpm.d,Q$2:Q$19,_xlpm.a,$C$2:$C$19=$C28,_xlpm.b,$D$2:$D$19=$D28,MAX(_xlfn._xlws.FILTER(_xlpm.d,_xlpm.a*_xlpm.b)))</f>
        <v>0.46</v>
      </c>
      <c r="R28" s="1" cm="1">
        <f t="array" ref="R28">_xlfn.LET(_xlpm.d,R$2:R$19,_xlpm.a,$C$2:$C$19=$C28,_xlpm.b,$D$2:$D$19=$D28,MAX(_xlfn._xlws.FILTER(_xlpm.d,_xlpm.a*_xlpm.b)))</f>
        <v>0.49</v>
      </c>
      <c r="S28" s="1">
        <f t="shared" si="1"/>
        <v>0.5</v>
      </c>
    </row>
  </sheetData>
  <conditionalFormatting sqref="G2:S19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23:S28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055A3-ED0D-8042-AE2F-2AB0F1AC6A90}">
  <dimension ref="A1:S42"/>
  <sheetViews>
    <sheetView workbookViewId="0">
      <pane xSplit="10600" ySplit="6440" topLeftCell="H19" activePane="bottomLeft"/>
      <selection activeCell="E1" sqref="E1:E1048576"/>
      <selection pane="topRight" activeCell="S6" sqref="S6"/>
      <selection pane="bottomLeft" activeCell="B23" sqref="B23:S28"/>
      <selection pane="bottomRight" activeCell="K25" sqref="K25"/>
    </sheetView>
  </sheetViews>
  <sheetFormatPr baseColWidth="10" defaultRowHeight="25" customHeight="1"/>
  <cols>
    <col min="2" max="6" width="9.25" customWidth="1"/>
    <col min="7" max="19" width="8.625" customWidth="1"/>
  </cols>
  <sheetData>
    <row r="1" spans="1:19" ht="25" customHeight="1">
      <c r="A1" t="s">
        <v>0</v>
      </c>
      <c r="B1" t="s">
        <v>23</v>
      </c>
      <c r="C1" t="s">
        <v>1</v>
      </c>
      <c r="D1" t="s">
        <v>2</v>
      </c>
      <c r="E1" t="s">
        <v>24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25</v>
      </c>
    </row>
    <row r="2" spans="1:19" ht="25" customHeight="1">
      <c r="A2" t="s">
        <v>16</v>
      </c>
      <c r="B2">
        <v>1</v>
      </c>
      <c r="C2" t="s">
        <v>17</v>
      </c>
      <c r="D2" t="b">
        <v>1</v>
      </c>
      <c r="E2">
        <v>1</v>
      </c>
      <c r="F2" t="s">
        <v>20</v>
      </c>
      <c r="G2" s="1">
        <v>0.86</v>
      </c>
      <c r="H2" s="1">
        <v>0.83</v>
      </c>
      <c r="I2" s="1">
        <v>0.89</v>
      </c>
      <c r="J2" s="1">
        <v>0.83</v>
      </c>
      <c r="K2" s="1">
        <v>0.81</v>
      </c>
      <c r="L2" s="1">
        <v>0.83</v>
      </c>
      <c r="M2" s="1">
        <v>0.88</v>
      </c>
      <c r="N2" s="1">
        <v>0.81</v>
      </c>
      <c r="O2" s="1">
        <v>0.85</v>
      </c>
      <c r="P2" s="1">
        <v>0.81</v>
      </c>
      <c r="Q2" s="1">
        <v>0.79</v>
      </c>
      <c r="R2" s="1">
        <v>0.82</v>
      </c>
      <c r="S2" s="1">
        <f t="shared" ref="S2:S19" si="0">_xlfn.LET(_xlpm.d,$G2:$R2,MAX(_xlpm.d))</f>
        <v>0.89</v>
      </c>
    </row>
    <row r="3" spans="1:19" ht="25" customHeight="1">
      <c r="A3" t="s">
        <v>16</v>
      </c>
      <c r="B3">
        <v>1</v>
      </c>
      <c r="C3" t="s">
        <v>17</v>
      </c>
      <c r="D3" t="b">
        <v>1</v>
      </c>
      <c r="E3">
        <v>2</v>
      </c>
      <c r="F3" t="s">
        <v>18</v>
      </c>
      <c r="G3" s="1">
        <v>0.93</v>
      </c>
      <c r="H3" s="1">
        <v>0.86</v>
      </c>
      <c r="I3" s="1">
        <v>0.91</v>
      </c>
      <c r="J3" s="1">
        <v>0.88</v>
      </c>
      <c r="K3" s="1">
        <v>0.83</v>
      </c>
      <c r="L3" s="1">
        <v>0.89</v>
      </c>
      <c r="M3" s="1">
        <v>0.9</v>
      </c>
      <c r="N3" s="1">
        <v>0.83</v>
      </c>
      <c r="O3" s="1">
        <v>0.85</v>
      </c>
      <c r="P3" s="1">
        <v>0.85</v>
      </c>
      <c r="Q3" s="1">
        <v>0.81</v>
      </c>
      <c r="R3" s="1">
        <v>0.84</v>
      </c>
      <c r="S3" s="1">
        <f t="shared" si="0"/>
        <v>0.93</v>
      </c>
    </row>
    <row r="4" spans="1:19" ht="25" customHeight="1">
      <c r="A4" t="s">
        <v>16</v>
      </c>
      <c r="B4">
        <v>1</v>
      </c>
      <c r="C4" t="s">
        <v>17</v>
      </c>
      <c r="D4" t="b">
        <v>1</v>
      </c>
      <c r="E4">
        <v>3</v>
      </c>
      <c r="F4" t="s">
        <v>19</v>
      </c>
      <c r="G4" s="1">
        <v>0.94</v>
      </c>
      <c r="H4" s="1">
        <v>0.82</v>
      </c>
      <c r="I4" s="1">
        <v>0.9</v>
      </c>
      <c r="J4" s="1">
        <v>0.86</v>
      </c>
      <c r="K4" s="1">
        <v>0.83</v>
      </c>
      <c r="L4" s="1">
        <v>0.81</v>
      </c>
      <c r="M4" s="1">
        <v>0.86</v>
      </c>
      <c r="N4" s="1">
        <v>0.82</v>
      </c>
      <c r="O4" s="1">
        <v>0.85</v>
      </c>
      <c r="P4" s="1">
        <v>0.82</v>
      </c>
      <c r="Q4" s="1">
        <v>0.81</v>
      </c>
      <c r="R4" s="1">
        <v>0.8</v>
      </c>
      <c r="S4" s="1">
        <f t="shared" si="0"/>
        <v>0.94</v>
      </c>
    </row>
    <row r="5" spans="1:19" ht="25" customHeight="1">
      <c r="A5" t="s">
        <v>16</v>
      </c>
      <c r="B5">
        <v>1</v>
      </c>
      <c r="C5" t="s">
        <v>17</v>
      </c>
      <c r="D5" t="b">
        <v>0</v>
      </c>
      <c r="E5">
        <v>1</v>
      </c>
      <c r="F5" t="s">
        <v>20</v>
      </c>
      <c r="G5" s="1">
        <v>0.86</v>
      </c>
      <c r="H5" s="1">
        <v>0.8</v>
      </c>
      <c r="I5" s="1">
        <v>0.81</v>
      </c>
      <c r="J5" s="1">
        <v>0.79</v>
      </c>
      <c r="K5" s="1">
        <v>0.81</v>
      </c>
      <c r="L5" s="1">
        <v>0.84</v>
      </c>
      <c r="M5" s="1">
        <v>0.84</v>
      </c>
      <c r="N5" s="1">
        <v>0.78</v>
      </c>
      <c r="O5" s="1">
        <v>0.76</v>
      </c>
      <c r="P5" s="1">
        <v>0.82</v>
      </c>
      <c r="Q5" s="1">
        <v>0.77</v>
      </c>
      <c r="R5" s="1">
        <v>0.82</v>
      </c>
      <c r="S5" s="1">
        <f t="shared" si="0"/>
        <v>0.86</v>
      </c>
    </row>
    <row r="6" spans="1:19" ht="25" customHeight="1">
      <c r="A6" t="s">
        <v>16</v>
      </c>
      <c r="B6">
        <v>1</v>
      </c>
      <c r="C6" t="s">
        <v>17</v>
      </c>
      <c r="D6" t="b">
        <v>0</v>
      </c>
      <c r="E6">
        <v>2</v>
      </c>
      <c r="F6" t="s">
        <v>18</v>
      </c>
      <c r="G6" s="1">
        <v>0.85</v>
      </c>
      <c r="H6" s="1">
        <v>0.78</v>
      </c>
      <c r="I6" s="1">
        <v>0.82</v>
      </c>
      <c r="J6" s="1">
        <v>0.88</v>
      </c>
      <c r="K6" s="1">
        <v>0.81</v>
      </c>
      <c r="L6" s="1">
        <v>0.85</v>
      </c>
      <c r="M6" s="1">
        <v>0.84</v>
      </c>
      <c r="N6" s="1">
        <v>0.79</v>
      </c>
      <c r="O6" s="1">
        <v>0.82</v>
      </c>
      <c r="P6" s="1">
        <v>0.83</v>
      </c>
      <c r="Q6" s="1">
        <v>0.8</v>
      </c>
      <c r="R6" s="1">
        <v>0.88</v>
      </c>
      <c r="S6" s="1">
        <f t="shared" si="0"/>
        <v>0.88</v>
      </c>
    </row>
    <row r="7" spans="1:19" ht="25" customHeight="1">
      <c r="A7" t="s">
        <v>16</v>
      </c>
      <c r="B7">
        <v>1</v>
      </c>
      <c r="C7" t="s">
        <v>17</v>
      </c>
      <c r="D7" t="b">
        <v>0</v>
      </c>
      <c r="E7">
        <v>3</v>
      </c>
      <c r="F7" t="s">
        <v>19</v>
      </c>
      <c r="G7" s="1">
        <v>0.79</v>
      </c>
      <c r="H7" s="1">
        <v>0.79</v>
      </c>
      <c r="I7" s="1">
        <v>0.8</v>
      </c>
      <c r="J7" s="1">
        <v>0.83</v>
      </c>
      <c r="K7" s="1">
        <v>0.82</v>
      </c>
      <c r="L7" s="1">
        <v>0.84</v>
      </c>
      <c r="M7" s="1">
        <v>0.79</v>
      </c>
      <c r="N7" s="1">
        <v>0.76</v>
      </c>
      <c r="O7" s="1">
        <v>0.81</v>
      </c>
      <c r="P7" s="1">
        <v>0.84</v>
      </c>
      <c r="Q7" s="1">
        <v>0.82</v>
      </c>
      <c r="R7" s="1">
        <v>0.82</v>
      </c>
      <c r="S7" s="1">
        <f t="shared" si="0"/>
        <v>0.84</v>
      </c>
    </row>
    <row r="8" spans="1:19" ht="25" customHeight="1">
      <c r="A8" t="s">
        <v>16</v>
      </c>
      <c r="B8">
        <v>2</v>
      </c>
      <c r="C8" t="s">
        <v>21</v>
      </c>
      <c r="D8" t="b">
        <v>1</v>
      </c>
      <c r="E8">
        <v>1</v>
      </c>
      <c r="F8" t="s">
        <v>20</v>
      </c>
      <c r="G8" s="1">
        <v>0.51</v>
      </c>
      <c r="H8" s="1">
        <v>0.6</v>
      </c>
      <c r="I8" s="1">
        <v>0.51</v>
      </c>
      <c r="J8" s="1">
        <v>0.48</v>
      </c>
      <c r="K8" s="1">
        <v>0.45</v>
      </c>
      <c r="L8" s="1">
        <v>0.51</v>
      </c>
      <c r="M8" s="1">
        <v>0.59</v>
      </c>
      <c r="N8" s="1">
        <v>0.53</v>
      </c>
      <c r="O8" s="1">
        <v>0.56000000000000005</v>
      </c>
      <c r="P8" s="1">
        <v>0.53</v>
      </c>
      <c r="Q8" s="1">
        <v>0.47</v>
      </c>
      <c r="R8" s="1">
        <v>0.4</v>
      </c>
      <c r="S8" s="1">
        <f t="shared" si="0"/>
        <v>0.6</v>
      </c>
    </row>
    <row r="9" spans="1:19" ht="25" customHeight="1">
      <c r="A9" t="s">
        <v>16</v>
      </c>
      <c r="B9">
        <v>2</v>
      </c>
      <c r="C9" t="s">
        <v>21</v>
      </c>
      <c r="D9" t="b">
        <v>1</v>
      </c>
      <c r="E9">
        <v>2</v>
      </c>
      <c r="F9" t="s">
        <v>18</v>
      </c>
      <c r="G9" s="1">
        <v>0.67</v>
      </c>
      <c r="H9" s="1">
        <v>0.69</v>
      </c>
      <c r="I9" s="1">
        <v>0.65</v>
      </c>
      <c r="J9" s="1">
        <v>0.65</v>
      </c>
      <c r="K9" s="1">
        <v>0.56000000000000005</v>
      </c>
      <c r="L9" s="1">
        <v>0.62</v>
      </c>
      <c r="M9" s="1">
        <v>0.66</v>
      </c>
      <c r="N9" s="1">
        <v>0.69</v>
      </c>
      <c r="O9" s="1">
        <v>0.71</v>
      </c>
      <c r="P9" s="1">
        <v>0.64</v>
      </c>
      <c r="Q9" s="1">
        <v>0.65</v>
      </c>
      <c r="R9" s="1">
        <v>0.6</v>
      </c>
      <c r="S9" s="1">
        <f t="shared" si="0"/>
        <v>0.71</v>
      </c>
    </row>
    <row r="10" spans="1:19" ht="25" customHeight="1">
      <c r="A10" t="s">
        <v>16</v>
      </c>
      <c r="B10">
        <v>2</v>
      </c>
      <c r="C10" t="s">
        <v>21</v>
      </c>
      <c r="D10" t="b">
        <v>1</v>
      </c>
      <c r="E10">
        <v>3</v>
      </c>
      <c r="F10" t="s">
        <v>19</v>
      </c>
      <c r="G10" s="1">
        <v>0.65</v>
      </c>
      <c r="H10" s="1">
        <v>0.69</v>
      </c>
      <c r="I10" s="1">
        <v>0.63</v>
      </c>
      <c r="J10" s="1">
        <v>0.67</v>
      </c>
      <c r="K10" s="1">
        <v>0.6</v>
      </c>
      <c r="L10" s="1">
        <v>0.69</v>
      </c>
      <c r="M10" s="1">
        <v>0.57999999999999996</v>
      </c>
      <c r="N10" s="1">
        <v>0.63</v>
      </c>
      <c r="O10" s="1">
        <v>0.73</v>
      </c>
      <c r="P10" s="1">
        <v>0.64</v>
      </c>
      <c r="Q10" s="1">
        <v>0.67</v>
      </c>
      <c r="R10" s="1">
        <v>0.62</v>
      </c>
      <c r="S10" s="1">
        <f t="shared" si="0"/>
        <v>0.73</v>
      </c>
    </row>
    <row r="11" spans="1:19" ht="25" customHeight="1">
      <c r="A11" t="s">
        <v>16</v>
      </c>
      <c r="B11">
        <v>2</v>
      </c>
      <c r="C11" t="s">
        <v>21</v>
      </c>
      <c r="D11" t="b">
        <v>0</v>
      </c>
      <c r="E11">
        <v>1</v>
      </c>
      <c r="F11" t="s">
        <v>20</v>
      </c>
      <c r="G11" s="1">
        <v>0.56999999999999995</v>
      </c>
      <c r="H11" s="1">
        <v>0.61</v>
      </c>
      <c r="I11" s="1">
        <v>0.48</v>
      </c>
      <c r="J11" s="1">
        <v>0.45</v>
      </c>
      <c r="K11" s="1">
        <v>0.48</v>
      </c>
      <c r="L11" s="1">
        <v>0.48</v>
      </c>
      <c r="M11" s="1">
        <v>0.49</v>
      </c>
      <c r="N11" s="1">
        <v>0.47</v>
      </c>
      <c r="O11" s="1">
        <v>0.56000000000000005</v>
      </c>
      <c r="P11" s="1">
        <v>0.48</v>
      </c>
      <c r="Q11" s="1">
        <v>0.45</v>
      </c>
      <c r="R11" s="1">
        <v>0.4</v>
      </c>
      <c r="S11" s="1">
        <f t="shared" si="0"/>
        <v>0.61</v>
      </c>
    </row>
    <row r="12" spans="1:19" ht="25" customHeight="1">
      <c r="A12" t="s">
        <v>16</v>
      </c>
      <c r="B12">
        <v>2</v>
      </c>
      <c r="C12" t="s">
        <v>21</v>
      </c>
      <c r="D12" t="b">
        <v>0</v>
      </c>
      <c r="E12">
        <v>2</v>
      </c>
      <c r="F12" t="s">
        <v>18</v>
      </c>
      <c r="G12" s="1">
        <v>0.68</v>
      </c>
      <c r="H12" s="1">
        <v>0.65</v>
      </c>
      <c r="I12" s="1">
        <v>0.6</v>
      </c>
      <c r="J12" s="1">
        <v>0.56000000000000005</v>
      </c>
      <c r="K12" s="1">
        <v>0.55000000000000004</v>
      </c>
      <c r="L12" s="1">
        <v>0.61</v>
      </c>
      <c r="M12" s="1">
        <v>0.61</v>
      </c>
      <c r="N12" s="1">
        <v>0.66</v>
      </c>
      <c r="O12" s="1">
        <v>0.66</v>
      </c>
      <c r="P12" s="1">
        <v>0.65</v>
      </c>
      <c r="Q12" s="1">
        <v>0.64</v>
      </c>
      <c r="R12" s="1">
        <v>0.54</v>
      </c>
      <c r="S12" s="1">
        <f t="shared" si="0"/>
        <v>0.68</v>
      </c>
    </row>
    <row r="13" spans="1:19" ht="25" customHeight="1">
      <c r="A13" t="s">
        <v>16</v>
      </c>
      <c r="B13">
        <v>2</v>
      </c>
      <c r="C13" t="s">
        <v>21</v>
      </c>
      <c r="D13" t="b">
        <v>0</v>
      </c>
      <c r="E13">
        <v>3</v>
      </c>
      <c r="F13" t="s">
        <v>19</v>
      </c>
      <c r="G13" s="1">
        <v>0.69</v>
      </c>
      <c r="H13" s="1">
        <v>0.69</v>
      </c>
      <c r="I13" s="1">
        <v>0.56999999999999995</v>
      </c>
      <c r="J13" s="1">
        <v>0.65</v>
      </c>
      <c r="K13" s="1">
        <v>0.59</v>
      </c>
      <c r="L13" s="1">
        <v>0.66</v>
      </c>
      <c r="M13" s="1">
        <v>0.57999999999999996</v>
      </c>
      <c r="N13" s="1">
        <v>0.65</v>
      </c>
      <c r="O13" s="1">
        <v>0.69</v>
      </c>
      <c r="P13" s="1">
        <v>0.6</v>
      </c>
      <c r="Q13" s="1">
        <v>0.63</v>
      </c>
      <c r="R13" s="1">
        <v>0.66</v>
      </c>
      <c r="S13" s="1">
        <f t="shared" si="0"/>
        <v>0.69</v>
      </c>
    </row>
    <row r="14" spans="1:19" ht="25" customHeight="1">
      <c r="A14" t="s">
        <v>16</v>
      </c>
      <c r="B14">
        <v>3</v>
      </c>
      <c r="C14" t="s">
        <v>22</v>
      </c>
      <c r="D14" t="b">
        <v>1</v>
      </c>
      <c r="E14">
        <v>1</v>
      </c>
      <c r="F14" t="s">
        <v>20</v>
      </c>
      <c r="G14" s="1">
        <v>0.55000000000000004</v>
      </c>
      <c r="H14" s="1">
        <v>0.51</v>
      </c>
      <c r="I14" s="1">
        <v>0.54</v>
      </c>
      <c r="J14" s="1">
        <v>0.52</v>
      </c>
      <c r="K14" s="1">
        <v>0.47</v>
      </c>
      <c r="L14" s="1">
        <v>0.46</v>
      </c>
      <c r="M14" s="1">
        <v>0.45</v>
      </c>
      <c r="N14" s="1">
        <v>0.51</v>
      </c>
      <c r="O14" s="1">
        <v>0.49</v>
      </c>
      <c r="P14" s="1">
        <v>0.35</v>
      </c>
      <c r="Q14" s="1">
        <v>0.41</v>
      </c>
      <c r="R14" s="1">
        <v>0.36</v>
      </c>
      <c r="S14" s="1">
        <f t="shared" si="0"/>
        <v>0.55000000000000004</v>
      </c>
    </row>
    <row r="15" spans="1:19" ht="25" customHeight="1">
      <c r="A15" t="s">
        <v>16</v>
      </c>
      <c r="B15">
        <v>3</v>
      </c>
      <c r="C15" t="s">
        <v>22</v>
      </c>
      <c r="D15" t="b">
        <v>1</v>
      </c>
      <c r="E15">
        <v>2</v>
      </c>
      <c r="F15" t="s">
        <v>18</v>
      </c>
      <c r="G15" s="1">
        <v>0.55000000000000004</v>
      </c>
      <c r="H15" s="1">
        <v>0.6</v>
      </c>
      <c r="I15" s="1">
        <v>0.55000000000000004</v>
      </c>
      <c r="J15" s="1">
        <v>0.48</v>
      </c>
      <c r="K15" s="1">
        <v>0.54</v>
      </c>
      <c r="L15" s="1">
        <v>0.54</v>
      </c>
      <c r="M15" s="1">
        <v>0.55000000000000004</v>
      </c>
      <c r="N15" s="1">
        <v>0.56000000000000005</v>
      </c>
      <c r="O15" s="1">
        <v>0.48</v>
      </c>
      <c r="P15" s="1">
        <v>0.47</v>
      </c>
      <c r="Q15" s="1">
        <v>0.51</v>
      </c>
      <c r="R15" s="1">
        <v>0.54</v>
      </c>
      <c r="S15" s="1">
        <f t="shared" si="0"/>
        <v>0.6</v>
      </c>
    </row>
    <row r="16" spans="1:19" ht="25" customHeight="1">
      <c r="A16" t="s">
        <v>16</v>
      </c>
      <c r="B16">
        <v>3</v>
      </c>
      <c r="C16" t="s">
        <v>22</v>
      </c>
      <c r="D16" t="b">
        <v>1</v>
      </c>
      <c r="E16">
        <v>3</v>
      </c>
      <c r="F16" t="s">
        <v>19</v>
      </c>
      <c r="G16" s="1">
        <v>0.52</v>
      </c>
      <c r="H16" s="1">
        <v>0.44</v>
      </c>
      <c r="I16" s="1">
        <v>0.47</v>
      </c>
      <c r="J16" s="1">
        <v>0.4</v>
      </c>
      <c r="K16" s="1">
        <v>0.45</v>
      </c>
      <c r="L16" s="1">
        <v>0.41</v>
      </c>
      <c r="M16" s="1">
        <v>0.45</v>
      </c>
      <c r="N16" s="1">
        <v>0.42</v>
      </c>
      <c r="O16" s="1">
        <v>0.43</v>
      </c>
      <c r="P16" s="1">
        <v>0.42</v>
      </c>
      <c r="Q16" s="1">
        <v>0.37</v>
      </c>
      <c r="R16" s="1">
        <v>0.39</v>
      </c>
      <c r="S16" s="1">
        <f t="shared" si="0"/>
        <v>0.52</v>
      </c>
    </row>
    <row r="17" spans="1:19" ht="25" customHeight="1">
      <c r="A17" t="s">
        <v>16</v>
      </c>
      <c r="B17">
        <v>3</v>
      </c>
      <c r="C17" t="s">
        <v>22</v>
      </c>
      <c r="D17" t="b">
        <v>0</v>
      </c>
      <c r="E17">
        <v>1</v>
      </c>
      <c r="F17" t="s">
        <v>20</v>
      </c>
      <c r="G17" s="1">
        <v>0.41</v>
      </c>
      <c r="H17" s="1">
        <v>0.47</v>
      </c>
      <c r="I17" s="1">
        <v>0.4</v>
      </c>
      <c r="J17" s="1">
        <v>0.39</v>
      </c>
      <c r="K17" s="1">
        <v>0.5</v>
      </c>
      <c r="L17" s="1">
        <v>0.4</v>
      </c>
      <c r="M17" s="1">
        <v>0.37</v>
      </c>
      <c r="N17" s="1">
        <v>0.43</v>
      </c>
      <c r="O17" s="1">
        <v>0.32</v>
      </c>
      <c r="P17" s="1">
        <v>0.31</v>
      </c>
      <c r="Q17" s="1">
        <v>0.33</v>
      </c>
      <c r="R17" s="1">
        <v>0.37</v>
      </c>
      <c r="S17" s="1">
        <f t="shared" si="0"/>
        <v>0.5</v>
      </c>
    </row>
    <row r="18" spans="1:19" ht="25" customHeight="1">
      <c r="A18" t="s">
        <v>16</v>
      </c>
      <c r="B18">
        <v>3</v>
      </c>
      <c r="C18" t="s">
        <v>22</v>
      </c>
      <c r="D18" t="b">
        <v>0</v>
      </c>
      <c r="E18">
        <v>2</v>
      </c>
      <c r="F18" t="s">
        <v>18</v>
      </c>
      <c r="G18" s="1">
        <v>0.42</v>
      </c>
      <c r="H18" s="1">
        <v>0.5</v>
      </c>
      <c r="I18" s="1">
        <v>0.45</v>
      </c>
      <c r="J18" s="1">
        <v>0.46</v>
      </c>
      <c r="K18" s="1">
        <v>0.53</v>
      </c>
      <c r="L18" s="1">
        <v>0.45</v>
      </c>
      <c r="M18" s="1">
        <v>0.41</v>
      </c>
      <c r="N18" s="1">
        <v>0.43</v>
      </c>
      <c r="O18" s="1">
        <v>0.44</v>
      </c>
      <c r="P18" s="1">
        <v>0.4</v>
      </c>
      <c r="Q18" s="1">
        <v>0.43</v>
      </c>
      <c r="R18" s="1">
        <v>0.47</v>
      </c>
      <c r="S18" s="1">
        <f t="shared" si="0"/>
        <v>0.53</v>
      </c>
    </row>
    <row r="19" spans="1:19" ht="25" customHeight="1">
      <c r="A19" t="s">
        <v>16</v>
      </c>
      <c r="B19">
        <v>3</v>
      </c>
      <c r="C19" t="s">
        <v>22</v>
      </c>
      <c r="D19" t="b">
        <v>0</v>
      </c>
      <c r="E19">
        <v>3</v>
      </c>
      <c r="F19" t="s">
        <v>19</v>
      </c>
      <c r="G19" s="1">
        <v>0.41</v>
      </c>
      <c r="H19" s="1">
        <v>0.42</v>
      </c>
      <c r="I19" s="1">
        <v>0.4</v>
      </c>
      <c r="J19" s="1">
        <v>0.37</v>
      </c>
      <c r="K19" s="1">
        <v>0.42</v>
      </c>
      <c r="L19" s="1">
        <v>0.38</v>
      </c>
      <c r="M19" s="1">
        <v>0.42</v>
      </c>
      <c r="N19" s="1">
        <v>0.43</v>
      </c>
      <c r="O19" s="1">
        <v>0.37</v>
      </c>
      <c r="P19" s="1">
        <v>0.33</v>
      </c>
      <c r="Q19" s="1">
        <v>0.36</v>
      </c>
      <c r="R19" s="1">
        <v>0.32</v>
      </c>
      <c r="S19" s="1">
        <f t="shared" si="0"/>
        <v>0.43</v>
      </c>
    </row>
    <row r="22" spans="1:19" ht="25" customHeight="1">
      <c r="B22" t="s">
        <v>23</v>
      </c>
      <c r="C22" t="s">
        <v>1</v>
      </c>
      <c r="D22" t="s">
        <v>26</v>
      </c>
      <c r="E22" t="s">
        <v>24</v>
      </c>
      <c r="F22" t="s">
        <v>27</v>
      </c>
      <c r="G22" t="s">
        <v>4</v>
      </c>
      <c r="H22" t="s">
        <v>5</v>
      </c>
      <c r="I22" t="s">
        <v>6</v>
      </c>
      <c r="J22" t="s">
        <v>7</v>
      </c>
      <c r="K22" t="s">
        <v>8</v>
      </c>
      <c r="L22" t="s">
        <v>9</v>
      </c>
      <c r="M22" t="s">
        <v>10</v>
      </c>
      <c r="N22" t="s">
        <v>11</v>
      </c>
      <c r="O22" t="s">
        <v>12</v>
      </c>
      <c r="P22" t="s">
        <v>13</v>
      </c>
      <c r="Q22" t="s">
        <v>14</v>
      </c>
      <c r="R22" t="s">
        <v>15</v>
      </c>
      <c r="S22" t="s">
        <v>25</v>
      </c>
    </row>
    <row r="23" spans="1:19" ht="25" customHeight="1">
      <c r="B23">
        <v>1</v>
      </c>
      <c r="C23" t="s">
        <v>17</v>
      </c>
      <c r="D23" t="b">
        <v>1</v>
      </c>
      <c r="E23">
        <v>1</v>
      </c>
      <c r="F23" t="s">
        <v>25</v>
      </c>
      <c r="G23" s="1" cm="1">
        <f t="array" ref="G23">_xlfn.LET(_xlpm.d,G$2:G$19,_xlpm.a,$C$2:$C$19=$C23,_xlpm.b,$D$2:$D$19=$D23,MAX(_xlfn._xlws.FILTER(_xlpm.d,_xlpm.a*_xlpm.b)))</f>
        <v>0.94</v>
      </c>
      <c r="H23" s="1" cm="1">
        <f t="array" ref="H23">_xlfn.LET(_xlpm.d,H$2:H$19,_xlpm.a,$C$2:$C$19=$C23,_xlpm.b,$D$2:$D$19=$D23,MAX(_xlfn._xlws.FILTER(_xlpm.d,_xlpm.a*_xlpm.b)))</f>
        <v>0.86</v>
      </c>
      <c r="I23" s="1" cm="1">
        <f t="array" ref="I23">_xlfn.LET(_xlpm.d,I$2:I$19,_xlpm.a,$C$2:$C$19=$C23,_xlpm.b,$D$2:$D$19=$D23,MAX(_xlfn._xlws.FILTER(_xlpm.d,_xlpm.a*_xlpm.b)))</f>
        <v>0.91</v>
      </c>
      <c r="J23" s="1" cm="1">
        <f t="array" ref="J23">_xlfn.LET(_xlpm.d,J$2:J$19,_xlpm.a,$C$2:$C$19=$C23,_xlpm.b,$D$2:$D$19=$D23,MAX(_xlfn._xlws.FILTER(_xlpm.d,_xlpm.a*_xlpm.b)))</f>
        <v>0.88</v>
      </c>
      <c r="K23" s="1" cm="1">
        <f t="array" ref="K23">_xlfn.LET(_xlpm.d,K$2:K$19,_xlpm.a,$C$2:$C$19=$C23,_xlpm.b,$D$2:$D$19=$D23,MAX(_xlfn._xlws.FILTER(_xlpm.d,_xlpm.a*_xlpm.b)))</f>
        <v>0.83</v>
      </c>
      <c r="L23" s="1" cm="1">
        <f t="array" ref="L23">_xlfn.LET(_xlpm.d,L$2:L$19,_xlpm.a,$C$2:$C$19=$C23,_xlpm.b,$D$2:$D$19=$D23,MAX(_xlfn._xlws.FILTER(_xlpm.d,_xlpm.a*_xlpm.b)))</f>
        <v>0.89</v>
      </c>
      <c r="M23" s="1" cm="1">
        <f t="array" ref="M23">_xlfn.LET(_xlpm.d,M$2:M$19,_xlpm.a,$C$2:$C$19=$C23,_xlpm.b,$D$2:$D$19=$D23,MAX(_xlfn._xlws.FILTER(_xlpm.d,_xlpm.a*_xlpm.b)))</f>
        <v>0.9</v>
      </c>
      <c r="N23" s="1" cm="1">
        <f t="array" ref="N23">_xlfn.LET(_xlpm.d,N$2:N$19,_xlpm.a,$C$2:$C$19=$C23,_xlpm.b,$D$2:$D$19=$D23,MAX(_xlfn._xlws.FILTER(_xlpm.d,_xlpm.a*_xlpm.b)))</f>
        <v>0.83</v>
      </c>
      <c r="O23" s="1" cm="1">
        <f t="array" ref="O23">_xlfn.LET(_xlpm.d,O$2:O$19,_xlpm.a,$C$2:$C$19=$C23,_xlpm.b,$D$2:$D$19=$D23,MAX(_xlfn._xlws.FILTER(_xlpm.d,_xlpm.a*_xlpm.b)))</f>
        <v>0.85</v>
      </c>
      <c r="P23" s="1" cm="1">
        <f t="array" ref="P23">_xlfn.LET(_xlpm.d,P$2:P$19,_xlpm.a,$C$2:$C$19=$C23,_xlpm.b,$D$2:$D$19=$D23,MAX(_xlfn._xlws.FILTER(_xlpm.d,_xlpm.a*_xlpm.b)))</f>
        <v>0.85</v>
      </c>
      <c r="Q23" s="1" cm="1">
        <f t="array" ref="Q23">_xlfn.LET(_xlpm.d,Q$2:Q$19,_xlpm.a,$C$2:$C$19=$C23,_xlpm.b,$D$2:$D$19=$D23,MAX(_xlfn._xlws.FILTER(_xlpm.d,_xlpm.a*_xlpm.b)))</f>
        <v>0.81</v>
      </c>
      <c r="R23" s="1" cm="1">
        <f t="array" ref="R23">_xlfn.LET(_xlpm.d,R$2:R$19,_xlpm.a,$C$2:$C$19=$C23,_xlpm.b,$D$2:$D$19=$D23,MAX(_xlfn._xlws.FILTER(_xlpm.d,_xlpm.a*_xlpm.b)))</f>
        <v>0.84</v>
      </c>
      <c r="S23" s="1">
        <f t="shared" ref="S23:S28" si="1">_xlfn.LET(_xlpm.d,$G23:$R23,MAX(_xlpm.d))</f>
        <v>0.94</v>
      </c>
    </row>
    <row r="24" spans="1:19" ht="25" customHeight="1">
      <c r="B24">
        <v>1</v>
      </c>
      <c r="C24" t="s">
        <v>17</v>
      </c>
      <c r="D24" t="b">
        <v>0</v>
      </c>
      <c r="E24">
        <v>1</v>
      </c>
      <c r="F24" t="s">
        <v>25</v>
      </c>
      <c r="G24" s="1" cm="1">
        <f t="array" ref="G24">_xlfn.LET(_xlpm.d,G$2:G$19,_xlpm.a,$C$2:$C$19=$C24,_xlpm.b,$D$2:$D$19=$D24,MAX(_xlfn._xlws.FILTER(_xlpm.d,_xlpm.a*_xlpm.b)))</f>
        <v>0.86</v>
      </c>
      <c r="H24" s="1" cm="1">
        <f t="array" ref="H24">_xlfn.LET(_xlpm.d,H$2:H$19,_xlpm.a,$C$2:$C$19=$C24,_xlpm.b,$D$2:$D$19=$D24,MAX(_xlfn._xlws.FILTER(_xlpm.d,_xlpm.a*_xlpm.b)))</f>
        <v>0.8</v>
      </c>
      <c r="I24" s="1" cm="1">
        <f t="array" ref="I24">_xlfn.LET(_xlpm.d,I$2:I$19,_xlpm.a,$C$2:$C$19=$C24,_xlpm.b,$D$2:$D$19=$D24,MAX(_xlfn._xlws.FILTER(_xlpm.d,_xlpm.a*_xlpm.b)))</f>
        <v>0.82</v>
      </c>
      <c r="J24" s="1" cm="1">
        <f t="array" ref="J24">_xlfn.LET(_xlpm.d,J$2:J$19,_xlpm.a,$C$2:$C$19=$C24,_xlpm.b,$D$2:$D$19=$D24,MAX(_xlfn._xlws.FILTER(_xlpm.d,_xlpm.a*_xlpm.b)))</f>
        <v>0.88</v>
      </c>
      <c r="K24" s="1" cm="1">
        <f t="array" ref="K24">_xlfn.LET(_xlpm.d,K$2:K$19,_xlpm.a,$C$2:$C$19=$C24,_xlpm.b,$D$2:$D$19=$D24,MAX(_xlfn._xlws.FILTER(_xlpm.d,_xlpm.a*_xlpm.b)))</f>
        <v>0.82</v>
      </c>
      <c r="L24" s="1" cm="1">
        <f t="array" ref="L24">_xlfn.LET(_xlpm.d,L$2:L$19,_xlpm.a,$C$2:$C$19=$C24,_xlpm.b,$D$2:$D$19=$D24,MAX(_xlfn._xlws.FILTER(_xlpm.d,_xlpm.a*_xlpm.b)))</f>
        <v>0.85</v>
      </c>
      <c r="M24" s="1" cm="1">
        <f t="array" ref="M24">_xlfn.LET(_xlpm.d,M$2:M$19,_xlpm.a,$C$2:$C$19=$C24,_xlpm.b,$D$2:$D$19=$D24,MAX(_xlfn._xlws.FILTER(_xlpm.d,_xlpm.a*_xlpm.b)))</f>
        <v>0.84</v>
      </c>
      <c r="N24" s="1" cm="1">
        <f t="array" ref="N24">_xlfn.LET(_xlpm.d,N$2:N$19,_xlpm.a,$C$2:$C$19=$C24,_xlpm.b,$D$2:$D$19=$D24,MAX(_xlfn._xlws.FILTER(_xlpm.d,_xlpm.a*_xlpm.b)))</f>
        <v>0.79</v>
      </c>
      <c r="O24" s="1" cm="1">
        <f t="array" ref="O24">_xlfn.LET(_xlpm.d,O$2:O$19,_xlpm.a,$C$2:$C$19=$C24,_xlpm.b,$D$2:$D$19=$D24,MAX(_xlfn._xlws.FILTER(_xlpm.d,_xlpm.a*_xlpm.b)))</f>
        <v>0.82</v>
      </c>
      <c r="P24" s="1" cm="1">
        <f t="array" ref="P24">_xlfn.LET(_xlpm.d,P$2:P$19,_xlpm.a,$C$2:$C$19=$C24,_xlpm.b,$D$2:$D$19=$D24,MAX(_xlfn._xlws.FILTER(_xlpm.d,_xlpm.a*_xlpm.b)))</f>
        <v>0.84</v>
      </c>
      <c r="Q24" s="1" cm="1">
        <f t="array" ref="Q24">_xlfn.LET(_xlpm.d,Q$2:Q$19,_xlpm.a,$C$2:$C$19=$C24,_xlpm.b,$D$2:$D$19=$D24,MAX(_xlfn._xlws.FILTER(_xlpm.d,_xlpm.a*_xlpm.b)))</f>
        <v>0.82</v>
      </c>
      <c r="R24" s="1" cm="1">
        <f t="array" ref="R24">_xlfn.LET(_xlpm.d,R$2:R$19,_xlpm.a,$C$2:$C$19=$C24,_xlpm.b,$D$2:$D$19=$D24,MAX(_xlfn._xlws.FILTER(_xlpm.d,_xlpm.a*_xlpm.b)))</f>
        <v>0.88</v>
      </c>
      <c r="S24" s="1">
        <f t="shared" si="1"/>
        <v>0.88</v>
      </c>
    </row>
    <row r="25" spans="1:19" ht="25" customHeight="1">
      <c r="B25">
        <v>2</v>
      </c>
      <c r="C25" t="s">
        <v>21</v>
      </c>
      <c r="D25" t="b">
        <v>1</v>
      </c>
      <c r="E25">
        <v>1</v>
      </c>
      <c r="F25" t="s">
        <v>25</v>
      </c>
      <c r="G25" s="1" cm="1">
        <f t="array" ref="G25">_xlfn.LET(_xlpm.d,G$2:G$19,_xlpm.a,$C$2:$C$19=$C25,_xlpm.b,$D$2:$D$19=$D25,MAX(_xlfn._xlws.FILTER(_xlpm.d,_xlpm.a*_xlpm.b)))</f>
        <v>0.67</v>
      </c>
      <c r="H25" s="1" cm="1">
        <f t="array" ref="H25">_xlfn.LET(_xlpm.d,H$2:H$19,_xlpm.a,$C$2:$C$19=$C25,_xlpm.b,$D$2:$D$19=$D25,MAX(_xlfn._xlws.FILTER(_xlpm.d,_xlpm.a*_xlpm.b)))</f>
        <v>0.69</v>
      </c>
      <c r="I25" s="1" cm="1">
        <f t="array" ref="I25">_xlfn.LET(_xlpm.d,I$2:I$19,_xlpm.a,$C$2:$C$19=$C25,_xlpm.b,$D$2:$D$19=$D25,MAX(_xlfn._xlws.FILTER(_xlpm.d,_xlpm.a*_xlpm.b)))</f>
        <v>0.65</v>
      </c>
      <c r="J25" s="1" cm="1">
        <f t="array" ref="J25">_xlfn.LET(_xlpm.d,J$2:J$19,_xlpm.a,$C$2:$C$19=$C25,_xlpm.b,$D$2:$D$19=$D25,MAX(_xlfn._xlws.FILTER(_xlpm.d,_xlpm.a*_xlpm.b)))</f>
        <v>0.67</v>
      </c>
      <c r="K25" s="1" cm="1">
        <f t="array" ref="K25">_xlfn.LET(_xlpm.d,K$2:K$19,_xlpm.a,$C$2:$C$19=$C25,_xlpm.b,$D$2:$D$19=$D25,MAX(_xlfn._xlws.FILTER(_xlpm.d,_xlpm.a*_xlpm.b)))</f>
        <v>0.6</v>
      </c>
      <c r="L25" s="1" cm="1">
        <f t="array" ref="L25">_xlfn.LET(_xlpm.d,L$2:L$19,_xlpm.a,$C$2:$C$19=$C25,_xlpm.b,$D$2:$D$19=$D25,MAX(_xlfn._xlws.FILTER(_xlpm.d,_xlpm.a*_xlpm.b)))</f>
        <v>0.69</v>
      </c>
      <c r="M25" s="1" cm="1">
        <f t="array" ref="M25">_xlfn.LET(_xlpm.d,M$2:M$19,_xlpm.a,$C$2:$C$19=$C25,_xlpm.b,$D$2:$D$19=$D25,MAX(_xlfn._xlws.FILTER(_xlpm.d,_xlpm.a*_xlpm.b)))</f>
        <v>0.66</v>
      </c>
      <c r="N25" s="1" cm="1">
        <f t="array" ref="N25">_xlfn.LET(_xlpm.d,N$2:N$19,_xlpm.a,$C$2:$C$19=$C25,_xlpm.b,$D$2:$D$19=$D25,MAX(_xlfn._xlws.FILTER(_xlpm.d,_xlpm.a*_xlpm.b)))</f>
        <v>0.69</v>
      </c>
      <c r="O25" s="1" cm="1">
        <f t="array" ref="O25">_xlfn.LET(_xlpm.d,O$2:O$19,_xlpm.a,$C$2:$C$19=$C25,_xlpm.b,$D$2:$D$19=$D25,MAX(_xlfn._xlws.FILTER(_xlpm.d,_xlpm.a*_xlpm.b)))</f>
        <v>0.73</v>
      </c>
      <c r="P25" s="1" cm="1">
        <f t="array" ref="P25">_xlfn.LET(_xlpm.d,P$2:P$19,_xlpm.a,$C$2:$C$19=$C25,_xlpm.b,$D$2:$D$19=$D25,MAX(_xlfn._xlws.FILTER(_xlpm.d,_xlpm.a*_xlpm.b)))</f>
        <v>0.64</v>
      </c>
      <c r="Q25" s="1" cm="1">
        <f t="array" ref="Q25">_xlfn.LET(_xlpm.d,Q$2:Q$19,_xlpm.a,$C$2:$C$19=$C25,_xlpm.b,$D$2:$D$19=$D25,MAX(_xlfn._xlws.FILTER(_xlpm.d,_xlpm.a*_xlpm.b)))</f>
        <v>0.67</v>
      </c>
      <c r="R25" s="1" cm="1">
        <f t="array" ref="R25">_xlfn.LET(_xlpm.d,R$2:R$19,_xlpm.a,$C$2:$C$19=$C25,_xlpm.b,$D$2:$D$19=$D25,MAX(_xlfn._xlws.FILTER(_xlpm.d,_xlpm.a*_xlpm.b)))</f>
        <v>0.62</v>
      </c>
      <c r="S25" s="1">
        <f t="shared" si="1"/>
        <v>0.73</v>
      </c>
    </row>
    <row r="26" spans="1:19" ht="25" customHeight="1">
      <c r="B26">
        <v>2</v>
      </c>
      <c r="C26" t="s">
        <v>21</v>
      </c>
      <c r="D26" t="b">
        <v>0</v>
      </c>
      <c r="E26">
        <v>1</v>
      </c>
      <c r="F26" t="s">
        <v>25</v>
      </c>
      <c r="G26" s="1" cm="1">
        <f t="array" ref="G26">_xlfn.LET(_xlpm.d,G$2:G$19,_xlpm.a,$C$2:$C$19=$C26,_xlpm.b,$D$2:$D$19=$D26,MAX(_xlfn._xlws.FILTER(_xlpm.d,_xlpm.a*_xlpm.b)))</f>
        <v>0.69</v>
      </c>
      <c r="H26" s="1" cm="1">
        <f t="array" ref="H26">_xlfn.LET(_xlpm.d,H$2:H$19,_xlpm.a,$C$2:$C$19=$C26,_xlpm.b,$D$2:$D$19=$D26,MAX(_xlfn._xlws.FILTER(_xlpm.d,_xlpm.a*_xlpm.b)))</f>
        <v>0.69</v>
      </c>
      <c r="I26" s="1" cm="1">
        <f t="array" ref="I26">_xlfn.LET(_xlpm.d,I$2:I$19,_xlpm.a,$C$2:$C$19=$C26,_xlpm.b,$D$2:$D$19=$D26,MAX(_xlfn._xlws.FILTER(_xlpm.d,_xlpm.a*_xlpm.b)))</f>
        <v>0.6</v>
      </c>
      <c r="J26" s="1" cm="1">
        <f t="array" ref="J26">_xlfn.LET(_xlpm.d,J$2:J$19,_xlpm.a,$C$2:$C$19=$C26,_xlpm.b,$D$2:$D$19=$D26,MAX(_xlfn._xlws.FILTER(_xlpm.d,_xlpm.a*_xlpm.b)))</f>
        <v>0.65</v>
      </c>
      <c r="K26" s="1" cm="1">
        <f t="array" ref="K26">_xlfn.LET(_xlpm.d,K$2:K$19,_xlpm.a,$C$2:$C$19=$C26,_xlpm.b,$D$2:$D$19=$D26,MAX(_xlfn._xlws.FILTER(_xlpm.d,_xlpm.a*_xlpm.b)))</f>
        <v>0.59</v>
      </c>
      <c r="L26" s="1" cm="1">
        <f t="array" ref="L26">_xlfn.LET(_xlpm.d,L$2:L$19,_xlpm.a,$C$2:$C$19=$C26,_xlpm.b,$D$2:$D$19=$D26,MAX(_xlfn._xlws.FILTER(_xlpm.d,_xlpm.a*_xlpm.b)))</f>
        <v>0.66</v>
      </c>
      <c r="M26" s="1" cm="1">
        <f t="array" ref="M26">_xlfn.LET(_xlpm.d,M$2:M$19,_xlpm.a,$C$2:$C$19=$C26,_xlpm.b,$D$2:$D$19=$D26,MAX(_xlfn._xlws.FILTER(_xlpm.d,_xlpm.a*_xlpm.b)))</f>
        <v>0.61</v>
      </c>
      <c r="N26" s="1" cm="1">
        <f t="array" ref="N26">_xlfn.LET(_xlpm.d,N$2:N$19,_xlpm.a,$C$2:$C$19=$C26,_xlpm.b,$D$2:$D$19=$D26,MAX(_xlfn._xlws.FILTER(_xlpm.d,_xlpm.a*_xlpm.b)))</f>
        <v>0.66</v>
      </c>
      <c r="O26" s="1" cm="1">
        <f t="array" ref="O26">_xlfn.LET(_xlpm.d,O$2:O$19,_xlpm.a,$C$2:$C$19=$C26,_xlpm.b,$D$2:$D$19=$D26,MAX(_xlfn._xlws.FILTER(_xlpm.d,_xlpm.a*_xlpm.b)))</f>
        <v>0.69</v>
      </c>
      <c r="P26" s="1" cm="1">
        <f t="array" ref="P26">_xlfn.LET(_xlpm.d,P$2:P$19,_xlpm.a,$C$2:$C$19=$C26,_xlpm.b,$D$2:$D$19=$D26,MAX(_xlfn._xlws.FILTER(_xlpm.d,_xlpm.a*_xlpm.b)))</f>
        <v>0.65</v>
      </c>
      <c r="Q26" s="1" cm="1">
        <f t="array" ref="Q26">_xlfn.LET(_xlpm.d,Q$2:Q$19,_xlpm.a,$C$2:$C$19=$C26,_xlpm.b,$D$2:$D$19=$D26,MAX(_xlfn._xlws.FILTER(_xlpm.d,_xlpm.a*_xlpm.b)))</f>
        <v>0.64</v>
      </c>
      <c r="R26" s="1" cm="1">
        <f t="array" ref="R26">_xlfn.LET(_xlpm.d,R$2:R$19,_xlpm.a,$C$2:$C$19=$C26,_xlpm.b,$D$2:$D$19=$D26,MAX(_xlfn._xlws.FILTER(_xlpm.d,_xlpm.a*_xlpm.b)))</f>
        <v>0.66</v>
      </c>
      <c r="S26" s="1">
        <f t="shared" si="1"/>
        <v>0.69</v>
      </c>
    </row>
    <row r="27" spans="1:19" ht="25" customHeight="1">
      <c r="B27">
        <v>3</v>
      </c>
      <c r="C27" t="s">
        <v>22</v>
      </c>
      <c r="D27" t="b">
        <v>1</v>
      </c>
      <c r="E27">
        <v>1</v>
      </c>
      <c r="F27" t="s">
        <v>25</v>
      </c>
      <c r="G27" s="1" cm="1">
        <f t="array" ref="G27">_xlfn.LET(_xlpm.d,G$2:G$19,_xlpm.a,$C$2:$C$19=$C27,_xlpm.b,$D$2:$D$19=$D27,MAX(_xlfn._xlws.FILTER(_xlpm.d,_xlpm.a*_xlpm.b)))</f>
        <v>0.55000000000000004</v>
      </c>
      <c r="H27" s="1" cm="1">
        <f t="array" ref="H27">_xlfn.LET(_xlpm.d,H$2:H$19,_xlpm.a,$C$2:$C$19=$C27,_xlpm.b,$D$2:$D$19=$D27,MAX(_xlfn._xlws.FILTER(_xlpm.d,_xlpm.a*_xlpm.b)))</f>
        <v>0.6</v>
      </c>
      <c r="I27" s="1" cm="1">
        <f t="array" ref="I27">_xlfn.LET(_xlpm.d,I$2:I$19,_xlpm.a,$C$2:$C$19=$C27,_xlpm.b,$D$2:$D$19=$D27,MAX(_xlfn._xlws.FILTER(_xlpm.d,_xlpm.a*_xlpm.b)))</f>
        <v>0.55000000000000004</v>
      </c>
      <c r="J27" s="1" cm="1">
        <f t="array" ref="J27">_xlfn.LET(_xlpm.d,J$2:J$19,_xlpm.a,$C$2:$C$19=$C27,_xlpm.b,$D$2:$D$19=$D27,MAX(_xlfn._xlws.FILTER(_xlpm.d,_xlpm.a*_xlpm.b)))</f>
        <v>0.52</v>
      </c>
      <c r="K27" s="1" cm="1">
        <f t="array" ref="K27">_xlfn.LET(_xlpm.d,K$2:K$19,_xlpm.a,$C$2:$C$19=$C27,_xlpm.b,$D$2:$D$19=$D27,MAX(_xlfn._xlws.FILTER(_xlpm.d,_xlpm.a*_xlpm.b)))</f>
        <v>0.54</v>
      </c>
      <c r="L27" s="1" cm="1">
        <f t="array" ref="L27">_xlfn.LET(_xlpm.d,L$2:L$19,_xlpm.a,$C$2:$C$19=$C27,_xlpm.b,$D$2:$D$19=$D27,MAX(_xlfn._xlws.FILTER(_xlpm.d,_xlpm.a*_xlpm.b)))</f>
        <v>0.54</v>
      </c>
      <c r="M27" s="1" cm="1">
        <f t="array" ref="M27">_xlfn.LET(_xlpm.d,M$2:M$19,_xlpm.a,$C$2:$C$19=$C27,_xlpm.b,$D$2:$D$19=$D27,MAX(_xlfn._xlws.FILTER(_xlpm.d,_xlpm.a*_xlpm.b)))</f>
        <v>0.55000000000000004</v>
      </c>
      <c r="N27" s="1" cm="1">
        <f t="array" ref="N27">_xlfn.LET(_xlpm.d,N$2:N$19,_xlpm.a,$C$2:$C$19=$C27,_xlpm.b,$D$2:$D$19=$D27,MAX(_xlfn._xlws.FILTER(_xlpm.d,_xlpm.a*_xlpm.b)))</f>
        <v>0.56000000000000005</v>
      </c>
      <c r="O27" s="1" cm="1">
        <f t="array" ref="O27">_xlfn.LET(_xlpm.d,O$2:O$19,_xlpm.a,$C$2:$C$19=$C27,_xlpm.b,$D$2:$D$19=$D27,MAX(_xlfn._xlws.FILTER(_xlpm.d,_xlpm.a*_xlpm.b)))</f>
        <v>0.49</v>
      </c>
      <c r="P27" s="1" cm="1">
        <f t="array" ref="P27">_xlfn.LET(_xlpm.d,P$2:P$19,_xlpm.a,$C$2:$C$19=$C27,_xlpm.b,$D$2:$D$19=$D27,MAX(_xlfn._xlws.FILTER(_xlpm.d,_xlpm.a*_xlpm.b)))</f>
        <v>0.47</v>
      </c>
      <c r="Q27" s="1" cm="1">
        <f t="array" ref="Q27">_xlfn.LET(_xlpm.d,Q$2:Q$19,_xlpm.a,$C$2:$C$19=$C27,_xlpm.b,$D$2:$D$19=$D27,MAX(_xlfn._xlws.FILTER(_xlpm.d,_xlpm.a*_xlpm.b)))</f>
        <v>0.51</v>
      </c>
      <c r="R27" s="1" cm="1">
        <f t="array" ref="R27">_xlfn.LET(_xlpm.d,R$2:R$19,_xlpm.a,$C$2:$C$19=$C27,_xlpm.b,$D$2:$D$19=$D27,MAX(_xlfn._xlws.FILTER(_xlpm.d,_xlpm.a*_xlpm.b)))</f>
        <v>0.54</v>
      </c>
      <c r="S27" s="1">
        <f t="shared" si="1"/>
        <v>0.6</v>
      </c>
    </row>
    <row r="28" spans="1:19" ht="25" customHeight="1">
      <c r="B28">
        <v>3</v>
      </c>
      <c r="C28" t="s">
        <v>22</v>
      </c>
      <c r="D28" t="b">
        <v>0</v>
      </c>
      <c r="E28">
        <v>1</v>
      </c>
      <c r="F28" t="s">
        <v>25</v>
      </c>
      <c r="G28" s="1" cm="1">
        <f t="array" ref="G28">_xlfn.LET(_xlpm.d,G$2:G$19,_xlpm.a,$C$2:$C$19=$C28,_xlpm.b,$D$2:$D$19=$D28,MAX(_xlfn._xlws.FILTER(_xlpm.d,_xlpm.a*_xlpm.b)))</f>
        <v>0.42</v>
      </c>
      <c r="H28" s="1" cm="1">
        <f t="array" ref="H28">_xlfn.LET(_xlpm.d,H$2:H$19,_xlpm.a,$C$2:$C$19=$C28,_xlpm.b,$D$2:$D$19=$D28,MAX(_xlfn._xlws.FILTER(_xlpm.d,_xlpm.a*_xlpm.b)))</f>
        <v>0.5</v>
      </c>
      <c r="I28" s="1" cm="1">
        <f t="array" ref="I28">_xlfn.LET(_xlpm.d,I$2:I$19,_xlpm.a,$C$2:$C$19=$C28,_xlpm.b,$D$2:$D$19=$D28,MAX(_xlfn._xlws.FILTER(_xlpm.d,_xlpm.a*_xlpm.b)))</f>
        <v>0.45</v>
      </c>
      <c r="J28" s="1" cm="1">
        <f t="array" ref="J28">_xlfn.LET(_xlpm.d,J$2:J$19,_xlpm.a,$C$2:$C$19=$C28,_xlpm.b,$D$2:$D$19=$D28,MAX(_xlfn._xlws.FILTER(_xlpm.d,_xlpm.a*_xlpm.b)))</f>
        <v>0.46</v>
      </c>
      <c r="K28" s="1" cm="1">
        <f t="array" ref="K28">_xlfn.LET(_xlpm.d,K$2:K$19,_xlpm.a,$C$2:$C$19=$C28,_xlpm.b,$D$2:$D$19=$D28,MAX(_xlfn._xlws.FILTER(_xlpm.d,_xlpm.a*_xlpm.b)))</f>
        <v>0.53</v>
      </c>
      <c r="L28" s="1" cm="1">
        <f t="array" ref="L28">_xlfn.LET(_xlpm.d,L$2:L$19,_xlpm.a,$C$2:$C$19=$C28,_xlpm.b,$D$2:$D$19=$D28,MAX(_xlfn._xlws.FILTER(_xlpm.d,_xlpm.a*_xlpm.b)))</f>
        <v>0.45</v>
      </c>
      <c r="M28" s="1" cm="1">
        <f t="array" ref="M28">_xlfn.LET(_xlpm.d,M$2:M$19,_xlpm.a,$C$2:$C$19=$C28,_xlpm.b,$D$2:$D$19=$D28,MAX(_xlfn._xlws.FILTER(_xlpm.d,_xlpm.a*_xlpm.b)))</f>
        <v>0.42</v>
      </c>
      <c r="N28" s="1" cm="1">
        <f t="array" ref="N28">_xlfn.LET(_xlpm.d,N$2:N$19,_xlpm.a,$C$2:$C$19=$C28,_xlpm.b,$D$2:$D$19=$D28,MAX(_xlfn._xlws.FILTER(_xlpm.d,_xlpm.a*_xlpm.b)))</f>
        <v>0.43</v>
      </c>
      <c r="O28" s="1" cm="1">
        <f t="array" ref="O28">_xlfn.LET(_xlpm.d,O$2:O$19,_xlpm.a,$C$2:$C$19=$C28,_xlpm.b,$D$2:$D$19=$D28,MAX(_xlfn._xlws.FILTER(_xlpm.d,_xlpm.a*_xlpm.b)))</f>
        <v>0.44</v>
      </c>
      <c r="P28" s="1" cm="1">
        <f t="array" ref="P28">_xlfn.LET(_xlpm.d,P$2:P$19,_xlpm.a,$C$2:$C$19=$C28,_xlpm.b,$D$2:$D$19=$D28,MAX(_xlfn._xlws.FILTER(_xlpm.d,_xlpm.a*_xlpm.b)))</f>
        <v>0.4</v>
      </c>
      <c r="Q28" s="1" cm="1">
        <f t="array" ref="Q28">_xlfn.LET(_xlpm.d,Q$2:Q$19,_xlpm.a,$C$2:$C$19=$C28,_xlpm.b,$D$2:$D$19=$D28,MAX(_xlfn._xlws.FILTER(_xlpm.d,_xlpm.a*_xlpm.b)))</f>
        <v>0.43</v>
      </c>
      <c r="R28" s="1" cm="1">
        <f t="array" ref="R28">_xlfn.LET(_xlpm.d,R$2:R$19,_xlpm.a,$C$2:$C$19=$C28,_xlpm.b,$D$2:$D$19=$D28,MAX(_xlfn._xlws.FILTER(_xlpm.d,_xlpm.a*_xlpm.b)))</f>
        <v>0.47</v>
      </c>
      <c r="S28" s="1">
        <f t="shared" si="1"/>
        <v>0.53</v>
      </c>
    </row>
    <row r="30" spans="1:19" ht="25" customHeight="1">
      <c r="E30" t="s">
        <v>25</v>
      </c>
      <c r="F30" t="s">
        <v>28</v>
      </c>
      <c r="G30" s="4" cm="1">
        <f t="array" ref="G30">_xlfn.LET(_xlpm.d,G$23:G$28,_xlpm.c,$E$23:$E$28=1,GEOMEAN(_xlfn._xlws.FILTER(_xlpm.d,_xlpm.c)))</f>
        <v>0.66480411099679249</v>
      </c>
      <c r="H30" s="4" cm="1">
        <f t="array" ref="H30">_xlfn.LET(_xlpm.d,H$23:H$28,_xlpm.c,$E$23:$E$28=1,GEOMEAN(_xlfn._xlws.FILTER(_xlpm.d,_xlpm.c)))</f>
        <v>0.67930995505060743</v>
      </c>
      <c r="I30" s="4" cm="1">
        <f t="array" ref="I30">_xlfn.LET(_xlpm.d,I$23:I$28,_xlpm.c,$E$23:$E$28=1,GEOMEAN(_xlfn._xlws.FILTER(_xlpm.d,_xlpm.c)))</f>
        <v>0.64503385458325557</v>
      </c>
      <c r="J30" s="4" cm="1">
        <f t="array" ref="J30">_xlfn.LET(_xlpm.d,J$23:J$28,_xlpm.c,$E$23:$E$28=1,GEOMEAN(_xlfn._xlws.FILTER(_xlpm.d,_xlpm.c)))</f>
        <v>0.65733352092654151</v>
      </c>
      <c r="K30" s="4" cm="1">
        <f t="array" ref="K30">_xlfn.LET(_xlpm.d,K$23:K$28,_xlpm.c,$E$23:$E$28=1,GEOMEAN(_xlfn._xlws.FILTER(_xlpm.d,_xlpm.c)))</f>
        <v>0.64036483153549206</v>
      </c>
      <c r="L30" s="4" cm="1">
        <f t="array" ref="L30">_xlfn.LET(_xlpm.d,L$23:L$28,_xlpm.c,$E$23:$E$28=1,GEOMEAN(_xlfn._xlws.FILTER(_xlpm.d,_xlpm.c)))</f>
        <v>0.66140586045533811</v>
      </c>
      <c r="M30" s="4" cm="1">
        <f t="array" ref="M30">_xlfn.LET(_xlpm.d,M$23:M$28,_xlpm.c,$E$23:$E$28=1,GEOMEAN(_xlfn._xlws.FILTER(_xlpm.d,_xlpm.c)))</f>
        <v>0.64244298453532445</v>
      </c>
      <c r="N30" s="4" cm="1">
        <f t="array" ref="N30">_xlfn.LET(_xlpm.d,N$23:N$28,_xlpm.c,$E$23:$E$28=1,GEOMEAN(_xlfn._xlws.FILTER(_xlpm.d,_xlpm.c)))</f>
        <v>0.64485061063217164</v>
      </c>
      <c r="O30" s="4" cm="1">
        <f t="array" ref="O30">_xlfn.LET(_xlpm.d,O$23:O$28,_xlpm.c,$E$23:$E$28=1,GEOMEAN(_xlfn._xlws.FILTER(_xlpm.d,_xlpm.c)))</f>
        <v>0.65039258440822367</v>
      </c>
      <c r="P30" s="4" cm="1">
        <f t="array" ref="P30">_xlfn.LET(_xlpm.d,P$23:P$28,_xlpm.c,$E$23:$E$28=1,GEOMEAN(_xlfn._xlws.FILTER(_xlpm.d,_xlpm.c)))</f>
        <v>0.61824161081329299</v>
      </c>
      <c r="Q30" s="4" cm="1">
        <f t="array" ref="Q30">_xlfn.LET(_xlpm.d,Q$23:Q$28,_xlpm.c,$E$23:$E$28=1,GEOMEAN(_xlfn._xlws.FILTER(_xlpm.d,_xlpm.c)))</f>
        <v>0.6298909663856529</v>
      </c>
      <c r="R30" s="4" cm="1">
        <f t="array" ref="R30">_xlfn.LET(_xlpm.d,R$23:R$28,_xlpm.c,$E$23:$E$28=1,GEOMEAN(_xlfn._xlws.FILTER(_xlpm.d,_xlpm.c)))</f>
        <v>0.65192584737484083</v>
      </c>
      <c r="S30" s="4" cm="1">
        <f t="array" ref="S30">_xlfn.LET(_xlpm.d,S$23:S$28,_xlpm.c,$E$23:$E$28=1,GEOMEAN(_xlfn._xlws.FILTER(_xlpm.d,_xlpm.c)))</f>
        <v>0.71400556948290927</v>
      </c>
    </row>
    <row r="31" spans="1:19" ht="25" customHeight="1">
      <c r="E31" t="s">
        <v>25</v>
      </c>
      <c r="F31" t="s">
        <v>25</v>
      </c>
      <c r="G31" s="4" cm="1">
        <f t="array" ref="G31">_xlfn.LET(_xlpm.d,G$23:G$33,_xlpm.c,$E$23:$E$33=1,MAX(_xlfn._xlws.FILTER(_xlpm.d,_xlpm.c)))</f>
        <v>0.94</v>
      </c>
      <c r="H31" s="4" cm="1">
        <f t="array" ref="H31">_xlfn.LET(_xlpm.d,H$23:H$33,_xlpm.c,$E$23:$E$33=1,MAX(_xlfn._xlws.FILTER(_xlpm.d,_xlpm.c)))</f>
        <v>0.86</v>
      </c>
      <c r="I31" s="4" cm="1">
        <f t="array" ref="I31">_xlfn.LET(_xlpm.d,I$23:I$33,_xlpm.c,$E$23:$E$33=1,MAX(_xlfn._xlws.FILTER(_xlpm.d,_xlpm.c)))</f>
        <v>0.91</v>
      </c>
      <c r="J31" s="4" cm="1">
        <f t="array" ref="J31">_xlfn.LET(_xlpm.d,J$23:J$33,_xlpm.c,$E$23:$E$33=1,MAX(_xlfn._xlws.FILTER(_xlpm.d,_xlpm.c)))</f>
        <v>0.88</v>
      </c>
      <c r="K31" s="4" cm="1">
        <f t="array" ref="K31">_xlfn.LET(_xlpm.d,K$23:K$33,_xlpm.c,$E$23:$E$33=1,MAX(_xlfn._xlws.FILTER(_xlpm.d,_xlpm.c)))</f>
        <v>0.83</v>
      </c>
      <c r="L31" s="4" cm="1">
        <f t="array" ref="L31">_xlfn.LET(_xlpm.d,L$23:L$33,_xlpm.c,$E$23:$E$33=1,MAX(_xlfn._xlws.FILTER(_xlpm.d,_xlpm.c)))</f>
        <v>0.89</v>
      </c>
      <c r="M31" s="4" cm="1">
        <f t="array" ref="M31">_xlfn.LET(_xlpm.d,M$23:M$33,_xlpm.c,$E$23:$E$33=1,MAX(_xlfn._xlws.FILTER(_xlpm.d,_xlpm.c)))</f>
        <v>0.9</v>
      </c>
      <c r="N31" s="4" cm="1">
        <f t="array" ref="N31">_xlfn.LET(_xlpm.d,N$23:N$33,_xlpm.c,$E$23:$E$33=1,MAX(_xlfn._xlws.FILTER(_xlpm.d,_xlpm.c)))</f>
        <v>0.83</v>
      </c>
      <c r="O31" s="4" cm="1">
        <f t="array" ref="O31">_xlfn.LET(_xlpm.d,O$23:O$33,_xlpm.c,$E$23:$E$33=1,MAX(_xlfn._xlws.FILTER(_xlpm.d,_xlpm.c)))</f>
        <v>0.85</v>
      </c>
      <c r="P31" s="4" cm="1">
        <f t="array" ref="P31">_xlfn.LET(_xlpm.d,P$23:P$33,_xlpm.c,$E$23:$E$33=1,MAX(_xlfn._xlws.FILTER(_xlpm.d,_xlpm.c)))</f>
        <v>0.85</v>
      </c>
      <c r="Q31" s="4" cm="1">
        <f t="array" ref="Q31">_xlfn.LET(_xlpm.d,Q$23:Q$33,_xlpm.c,$E$23:$E$33=1,MAX(_xlfn._xlws.FILTER(_xlpm.d,_xlpm.c)))</f>
        <v>0.82</v>
      </c>
      <c r="R31" s="4" cm="1">
        <f t="array" ref="R31">_xlfn.LET(_xlpm.d,R$23:R$33,_xlpm.c,$E$23:$E$33=1,MAX(_xlfn._xlws.FILTER(_xlpm.d,_xlpm.c)))</f>
        <v>0.88</v>
      </c>
      <c r="S31" s="4" cm="1">
        <f t="array" ref="S31">_xlfn.LET(_xlpm.d,S$23:S$33,_xlpm.c,$E$23:$E$33=1,MAX(_xlfn._xlws.FILTER(_xlpm.d,_xlpm.c)))</f>
        <v>0.94</v>
      </c>
    </row>
    <row r="32" spans="1:19" ht="25" customHeight="1">
      <c r="E32" t="s">
        <v>25</v>
      </c>
      <c r="F32" t="s">
        <v>29</v>
      </c>
      <c r="G32" s="4" cm="1">
        <f t="array" ref="G32">_xlfn.LET(_xlpm.d,G$23:G$33,_xlpm.c,$E$23:$E$33=1,MIN(_xlfn._xlws.FILTER(_xlpm.d,_xlpm.c)))</f>
        <v>0.42</v>
      </c>
      <c r="H32" s="4" cm="1">
        <f t="array" ref="H32">_xlfn.LET(_xlpm.d,H$23:H$33,_xlpm.c,$E$23:$E$33=1,MIN(_xlfn._xlws.FILTER(_xlpm.d,_xlpm.c)))</f>
        <v>0.5</v>
      </c>
      <c r="I32" s="4" cm="1">
        <f t="array" ref="I32">_xlfn.LET(_xlpm.d,I$23:I$33,_xlpm.c,$E$23:$E$33=1,MIN(_xlfn._xlws.FILTER(_xlpm.d,_xlpm.c)))</f>
        <v>0.45</v>
      </c>
      <c r="J32" s="4" cm="1">
        <f t="array" ref="J32">_xlfn.LET(_xlpm.d,J$23:J$33,_xlpm.c,$E$23:$E$33=1,MIN(_xlfn._xlws.FILTER(_xlpm.d,_xlpm.c)))</f>
        <v>0.46</v>
      </c>
      <c r="K32" s="4" cm="1">
        <f t="array" ref="K32">_xlfn.LET(_xlpm.d,K$23:K$33,_xlpm.c,$E$23:$E$33=1,MIN(_xlfn._xlws.FILTER(_xlpm.d,_xlpm.c)))</f>
        <v>0.53</v>
      </c>
      <c r="L32" s="4" cm="1">
        <f t="array" ref="L32">_xlfn.LET(_xlpm.d,L$23:L$33,_xlpm.c,$E$23:$E$33=1,MIN(_xlfn._xlws.FILTER(_xlpm.d,_xlpm.c)))</f>
        <v>0.45</v>
      </c>
      <c r="M32" s="4" cm="1">
        <f t="array" ref="M32">_xlfn.LET(_xlpm.d,M$23:M$33,_xlpm.c,$E$23:$E$33=1,MIN(_xlfn._xlws.FILTER(_xlpm.d,_xlpm.c)))</f>
        <v>0.42</v>
      </c>
      <c r="N32" s="4" cm="1">
        <f t="array" ref="N32">_xlfn.LET(_xlpm.d,N$23:N$33,_xlpm.c,$E$23:$E$33=1,MIN(_xlfn._xlws.FILTER(_xlpm.d,_xlpm.c)))</f>
        <v>0.43</v>
      </c>
      <c r="O32" s="4" cm="1">
        <f t="array" ref="O32">_xlfn.LET(_xlpm.d,O$23:O$33,_xlpm.c,$E$23:$E$33=1,MIN(_xlfn._xlws.FILTER(_xlpm.d,_xlpm.c)))</f>
        <v>0.44</v>
      </c>
      <c r="P32" s="4" cm="1">
        <f t="array" ref="P32">_xlfn.LET(_xlpm.d,P$23:P$33,_xlpm.c,$E$23:$E$33=1,MIN(_xlfn._xlws.FILTER(_xlpm.d,_xlpm.c)))</f>
        <v>0.4</v>
      </c>
      <c r="Q32" s="4" cm="1">
        <f t="array" ref="Q32">_xlfn.LET(_xlpm.d,Q$23:Q$33,_xlpm.c,$E$23:$E$33=1,MIN(_xlfn._xlws.FILTER(_xlpm.d,_xlpm.c)))</f>
        <v>0.43</v>
      </c>
      <c r="R32" s="4" cm="1">
        <f t="array" ref="R32">_xlfn.LET(_xlpm.d,R$23:R$33,_xlpm.c,$E$23:$E$33=1,MIN(_xlfn._xlws.FILTER(_xlpm.d,_xlpm.c)))</f>
        <v>0.47</v>
      </c>
      <c r="S32" s="4" cm="1">
        <f t="array" ref="S32">_xlfn.LET(_xlpm.d,S$23:S$33,_xlpm.c,$E$23:$E$33=1,MIN(_xlfn._xlws.FILTER(_xlpm.d,_xlpm.c)))</f>
        <v>0.53</v>
      </c>
    </row>
    <row r="33" spans="2:19" ht="25" customHeight="1">
      <c r="E33" t="s">
        <v>25</v>
      </c>
      <c r="F33" t="s">
        <v>30</v>
      </c>
      <c r="G33" cm="1">
        <f t="array" ref="G33">_xlfn.LET(_xlpm.d,G$23:G$33,_xlpm.c,$E$23:$E$33=1,STDEV(_xlfn._xlws.FILTER(_xlpm.d,_xlpm.c)))</f>
        <v>0.1919809018279337</v>
      </c>
      <c r="H33" cm="1">
        <f t="array" ref="H33">_xlfn.LET(_xlpm.d,H$23:H$33,_xlpm.c,$E$23:$E$33=1,STDEV(_xlfn._xlws.FILTER(_xlpm.d,_xlpm.c)))</f>
        <v>0.13053735097664504</v>
      </c>
      <c r="I33" cm="1">
        <f t="array" ref="I33">_xlfn.LET(_xlpm.d,I$23:I$33,_xlpm.c,$E$23:$E$33=1,STDEV(_xlfn._xlws.FILTER(_xlpm.d,_xlpm.c)))</f>
        <v>0.17200775176330457</v>
      </c>
      <c r="J33" cm="1">
        <f t="array" ref="J33">_xlfn.LET(_xlpm.d,J$23:J$33,_xlpm.c,$E$23:$E$33=1,STDEV(_xlfn._xlws.FILTER(_xlpm.d,_xlpm.c)))</f>
        <v>0.17603030042201978</v>
      </c>
      <c r="K33" cm="1">
        <f t="array" ref="K33">_xlfn.LET(_xlpm.d,K$23:K$33,_xlpm.c,$E$23:$E$33=1,STDEV(_xlfn._xlws.FILTER(_xlpm.d,_xlpm.c)))</f>
        <v>0.13702797767852584</v>
      </c>
      <c r="L33" cm="1">
        <f t="array" ref="L33">_xlfn.LET(_xlpm.d,L$23:L$33,_xlpm.c,$E$23:$E$33=1,STDEV(_xlfn._xlws.FILTER(_xlpm.d,_xlpm.c)))</f>
        <v>0.17088007490635057</v>
      </c>
      <c r="M33" cm="1">
        <f t="array" ref="M33">_xlfn.LET(_xlpm.d,M$23:M$33,_xlpm.c,$E$23:$E$33=1,STDEV(_xlfn._xlws.FILTER(_xlpm.d,_xlpm.c)))</f>
        <v>0.18007405883876451</v>
      </c>
      <c r="N33" cm="1">
        <f t="array" ref="N33">_xlfn.LET(_xlpm.d,N$23:N$33,_xlpm.c,$E$23:$E$33=1,STDEV(_xlfn._xlws.FILTER(_xlpm.d,_xlpm.c)))</f>
        <v>0.14805404418657392</v>
      </c>
      <c r="O33" cm="1">
        <f t="array" ref="O33">_xlfn.LET(_xlpm.d,O$23:O$33,_xlpm.c,$E$23:$E$33=1,STDEV(_xlfn._xlws.FILTER(_xlpm.d,_xlpm.c)))</f>
        <v>0.16982343772282979</v>
      </c>
      <c r="P33" cm="1">
        <f t="array" ref="P33">_xlfn.LET(_xlpm.d,P$23:P$33,_xlpm.c,$E$23:$E$33=1,STDEV(_xlfn._xlws.FILTER(_xlpm.d,_xlpm.c)))</f>
        <v>0.18476110701840517</v>
      </c>
      <c r="Q33" cm="1">
        <f t="array" ref="Q33">_xlfn.LET(_xlpm.d,Q$23:Q$33,_xlpm.c,$E$23:$E$33=1,STDEV(_xlfn._xlws.FILTER(_xlpm.d,_xlpm.c)))</f>
        <v>0.15680136053831492</v>
      </c>
      <c r="R33" cm="1">
        <f t="array" ref="R33">_xlfn.LET(_xlpm.d,R$23:R$33,_xlpm.c,$E$23:$E$33=1,STDEV(_xlfn._xlws.FILTER(_xlpm.d,_xlpm.c)))</f>
        <v>0.16277796738707209</v>
      </c>
      <c r="S33" cm="1">
        <f t="array" ref="S33">_xlfn.LET(_xlpm.d,S$23:S$33,_xlpm.c,$E$23:$E$33=1,STDEV(_xlfn._xlws.FILTER(_xlpm.d,_xlpm.c)))</f>
        <v>0.15816657885491014</v>
      </c>
    </row>
    <row r="36" spans="2:19" ht="25" customHeight="1">
      <c r="B36" t="s">
        <v>23</v>
      </c>
      <c r="C36" t="s">
        <v>1</v>
      </c>
      <c r="D36" t="s">
        <v>26</v>
      </c>
      <c r="E36" t="s">
        <v>24</v>
      </c>
      <c r="F36" t="s">
        <v>27</v>
      </c>
      <c r="G36" t="s">
        <v>4</v>
      </c>
      <c r="H36" t="s">
        <v>5</v>
      </c>
      <c r="I36" t="s">
        <v>6</v>
      </c>
      <c r="J36" t="s">
        <v>7</v>
      </c>
      <c r="K36" t="s">
        <v>8</v>
      </c>
      <c r="L36" t="s">
        <v>9</v>
      </c>
      <c r="M36" t="s">
        <v>10</v>
      </c>
      <c r="N36" t="s">
        <v>11</v>
      </c>
      <c r="O36" t="s">
        <v>12</v>
      </c>
      <c r="P36" t="s">
        <v>13</v>
      </c>
      <c r="Q36" t="s">
        <v>14</v>
      </c>
      <c r="R36" t="s">
        <v>15</v>
      </c>
    </row>
    <row r="37" spans="2:19" ht="25" customHeight="1">
      <c r="B37">
        <v>1</v>
      </c>
      <c r="C37" t="s">
        <v>17</v>
      </c>
      <c r="D37" t="b">
        <v>1</v>
      </c>
      <c r="E37">
        <v>1</v>
      </c>
      <c r="F37" t="s">
        <v>31</v>
      </c>
      <c r="G37" s="3">
        <f t="shared" ref="G37:R37" si="2">_xlfn.LET(_xlpm.d,$G23:$X23,RANK(G23,_xlpm.d))</f>
        <v>1</v>
      </c>
      <c r="H37" s="3">
        <f t="shared" si="2"/>
        <v>7</v>
      </c>
      <c r="I37" s="3">
        <f t="shared" si="2"/>
        <v>3</v>
      </c>
      <c r="J37" s="3">
        <f t="shared" si="2"/>
        <v>6</v>
      </c>
      <c r="K37" s="3">
        <f t="shared" si="2"/>
        <v>11</v>
      </c>
      <c r="L37" s="3">
        <f t="shared" si="2"/>
        <v>5</v>
      </c>
      <c r="M37" s="3">
        <f t="shared" si="2"/>
        <v>4</v>
      </c>
      <c r="N37" s="3">
        <f t="shared" si="2"/>
        <v>11</v>
      </c>
      <c r="O37" s="3">
        <f t="shared" si="2"/>
        <v>8</v>
      </c>
      <c r="P37" s="3">
        <f t="shared" si="2"/>
        <v>8</v>
      </c>
      <c r="Q37" s="3">
        <f t="shared" si="2"/>
        <v>13</v>
      </c>
      <c r="R37" s="3">
        <f t="shared" si="2"/>
        <v>10</v>
      </c>
    </row>
    <row r="38" spans="2:19" ht="25" customHeight="1">
      <c r="B38">
        <v>1</v>
      </c>
      <c r="C38" t="s">
        <v>17</v>
      </c>
      <c r="D38" t="b">
        <v>0</v>
      </c>
      <c r="E38">
        <v>1</v>
      </c>
      <c r="F38" t="s">
        <v>31</v>
      </c>
      <c r="G38" s="3">
        <f t="shared" ref="G38:R38" si="3">_xlfn.LET(_xlpm.d,$G24:$X24,RANK(G24,_xlpm.d))</f>
        <v>4</v>
      </c>
      <c r="H38" s="3">
        <f t="shared" si="3"/>
        <v>12</v>
      </c>
      <c r="I38" s="3">
        <f t="shared" si="3"/>
        <v>8</v>
      </c>
      <c r="J38" s="3">
        <f t="shared" si="3"/>
        <v>1</v>
      </c>
      <c r="K38" s="3">
        <f t="shared" si="3"/>
        <v>8</v>
      </c>
      <c r="L38" s="3">
        <f t="shared" si="3"/>
        <v>5</v>
      </c>
      <c r="M38" s="3">
        <f t="shared" si="3"/>
        <v>6</v>
      </c>
      <c r="N38" s="3">
        <f t="shared" si="3"/>
        <v>13</v>
      </c>
      <c r="O38" s="3">
        <f t="shared" si="3"/>
        <v>8</v>
      </c>
      <c r="P38" s="3">
        <f t="shared" si="3"/>
        <v>6</v>
      </c>
      <c r="Q38" s="3">
        <f t="shared" si="3"/>
        <v>8</v>
      </c>
      <c r="R38" s="3">
        <f t="shared" si="3"/>
        <v>1</v>
      </c>
    </row>
    <row r="39" spans="2:19" ht="25" customHeight="1">
      <c r="B39">
        <v>2</v>
      </c>
      <c r="C39" t="s">
        <v>21</v>
      </c>
      <c r="D39" t="b">
        <v>1</v>
      </c>
      <c r="E39">
        <v>1</v>
      </c>
      <c r="F39" t="s">
        <v>31</v>
      </c>
      <c r="G39" s="3">
        <f t="shared" ref="G39:R39" si="4">_xlfn.LET(_xlpm.d,$G25:$X25,RANK(G25,_xlpm.d))</f>
        <v>6</v>
      </c>
      <c r="H39" s="3">
        <f t="shared" si="4"/>
        <v>3</v>
      </c>
      <c r="I39" s="3">
        <f t="shared" si="4"/>
        <v>10</v>
      </c>
      <c r="J39" s="3">
        <f t="shared" si="4"/>
        <v>6</v>
      </c>
      <c r="K39" s="3">
        <f t="shared" si="4"/>
        <v>13</v>
      </c>
      <c r="L39" s="3">
        <f t="shared" si="4"/>
        <v>3</v>
      </c>
      <c r="M39" s="3">
        <f t="shared" si="4"/>
        <v>9</v>
      </c>
      <c r="N39" s="3">
        <f t="shared" si="4"/>
        <v>3</v>
      </c>
      <c r="O39" s="3">
        <f t="shared" si="4"/>
        <v>1</v>
      </c>
      <c r="P39" s="3">
        <f t="shared" si="4"/>
        <v>11</v>
      </c>
      <c r="Q39" s="3">
        <f t="shared" si="4"/>
        <v>6</v>
      </c>
      <c r="R39" s="3">
        <f t="shared" si="4"/>
        <v>12</v>
      </c>
    </row>
    <row r="40" spans="2:19" ht="25" customHeight="1">
      <c r="B40">
        <v>2</v>
      </c>
      <c r="C40" t="s">
        <v>21</v>
      </c>
      <c r="D40" t="b">
        <v>0</v>
      </c>
      <c r="E40">
        <v>1</v>
      </c>
      <c r="F40" t="s">
        <v>31</v>
      </c>
      <c r="G40" s="3">
        <f t="shared" ref="G40:R40" si="5">_xlfn.LET(_xlpm.d,$G26:$X26,RANK(G26,_xlpm.d))</f>
        <v>1</v>
      </c>
      <c r="H40" s="3">
        <f t="shared" si="5"/>
        <v>1</v>
      </c>
      <c r="I40" s="3">
        <f t="shared" si="5"/>
        <v>12</v>
      </c>
      <c r="J40" s="3">
        <f t="shared" si="5"/>
        <v>8</v>
      </c>
      <c r="K40" s="3">
        <f t="shared" si="5"/>
        <v>13</v>
      </c>
      <c r="L40" s="3">
        <f t="shared" si="5"/>
        <v>5</v>
      </c>
      <c r="M40" s="3">
        <f t="shared" si="5"/>
        <v>11</v>
      </c>
      <c r="N40" s="3">
        <f t="shared" si="5"/>
        <v>5</v>
      </c>
      <c r="O40" s="3">
        <f t="shared" si="5"/>
        <v>1</v>
      </c>
      <c r="P40" s="3">
        <f t="shared" si="5"/>
        <v>8</v>
      </c>
      <c r="Q40" s="3">
        <f t="shared" si="5"/>
        <v>10</v>
      </c>
      <c r="R40" s="3">
        <f t="shared" si="5"/>
        <v>5</v>
      </c>
    </row>
    <row r="41" spans="2:19" ht="25" customHeight="1">
      <c r="B41">
        <v>3</v>
      </c>
      <c r="C41" t="s">
        <v>22</v>
      </c>
      <c r="D41" t="b">
        <v>1</v>
      </c>
      <c r="E41">
        <v>1</v>
      </c>
      <c r="F41" t="s">
        <v>31</v>
      </c>
      <c r="G41" s="3">
        <f t="shared" ref="G41:R41" si="6">_xlfn.LET(_xlpm.d,$G27:$X27,RANK(G27,_xlpm.d))</f>
        <v>4</v>
      </c>
      <c r="H41" s="3">
        <f t="shared" si="6"/>
        <v>1</v>
      </c>
      <c r="I41" s="3">
        <f t="shared" si="6"/>
        <v>4</v>
      </c>
      <c r="J41" s="3">
        <f t="shared" si="6"/>
        <v>10</v>
      </c>
      <c r="K41" s="3">
        <f t="shared" si="6"/>
        <v>7</v>
      </c>
      <c r="L41" s="3">
        <f t="shared" si="6"/>
        <v>7</v>
      </c>
      <c r="M41" s="3">
        <f t="shared" si="6"/>
        <v>4</v>
      </c>
      <c r="N41" s="3">
        <f t="shared" si="6"/>
        <v>3</v>
      </c>
      <c r="O41" s="3">
        <f t="shared" si="6"/>
        <v>12</v>
      </c>
      <c r="P41" s="3">
        <f t="shared" si="6"/>
        <v>13</v>
      </c>
      <c r="Q41" s="3">
        <f t="shared" si="6"/>
        <v>11</v>
      </c>
      <c r="R41" s="3">
        <f t="shared" si="6"/>
        <v>7</v>
      </c>
    </row>
    <row r="42" spans="2:19" ht="25" customHeight="1">
      <c r="B42">
        <v>3</v>
      </c>
      <c r="C42" t="s">
        <v>22</v>
      </c>
      <c r="D42" t="b">
        <v>0</v>
      </c>
      <c r="E42">
        <v>1</v>
      </c>
      <c r="F42" t="s">
        <v>31</v>
      </c>
      <c r="G42" s="3">
        <f t="shared" ref="G42:R42" si="7">_xlfn.LET(_xlpm.d,$G28:$X28,RANK(G28,_xlpm.d))</f>
        <v>11</v>
      </c>
      <c r="H42" s="3">
        <f t="shared" si="7"/>
        <v>3</v>
      </c>
      <c r="I42" s="3">
        <f t="shared" si="7"/>
        <v>6</v>
      </c>
      <c r="J42" s="3">
        <f t="shared" si="7"/>
        <v>5</v>
      </c>
      <c r="K42" s="3">
        <f t="shared" si="7"/>
        <v>1</v>
      </c>
      <c r="L42" s="3">
        <f t="shared" si="7"/>
        <v>6</v>
      </c>
      <c r="M42" s="3">
        <f t="shared" si="7"/>
        <v>11</v>
      </c>
      <c r="N42" s="3">
        <f t="shared" si="7"/>
        <v>9</v>
      </c>
      <c r="O42" s="3">
        <f t="shared" si="7"/>
        <v>8</v>
      </c>
      <c r="P42" s="3">
        <f t="shared" si="7"/>
        <v>13</v>
      </c>
      <c r="Q42" s="3">
        <f t="shared" si="7"/>
        <v>9</v>
      </c>
      <c r="R42" s="3">
        <f t="shared" si="7"/>
        <v>4</v>
      </c>
    </row>
  </sheetData>
  <conditionalFormatting sqref="G37:R42">
    <cfRule type="colorScale" priority="3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conditionalFormatting sqref="G2:S19">
    <cfRule type="colorScale" priority="4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23:S28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30:S32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08589-3A5F-894D-9477-8620D1A5FD56}">
  <dimension ref="A1:S39"/>
  <sheetViews>
    <sheetView workbookViewId="0">
      <pane xSplit="11160" ySplit="4220" topLeftCell="O20" activePane="bottomLeft"/>
      <selection activeCell="A6" sqref="A6"/>
      <selection pane="topRight" activeCell="T4" sqref="T4"/>
      <selection pane="bottomLeft" activeCell="B23" sqref="B23:S28"/>
      <selection pane="bottomRight" activeCell="E8" sqref="E8"/>
    </sheetView>
  </sheetViews>
  <sheetFormatPr baseColWidth="10" defaultRowHeight="27" customHeight="1"/>
  <cols>
    <col min="2" max="2" width="7.5" customWidth="1"/>
    <col min="4" max="4" width="8.375" customWidth="1"/>
    <col min="5" max="5" width="7.5" customWidth="1"/>
    <col min="6" max="6" width="7.625" customWidth="1"/>
    <col min="7" max="19" width="9" customWidth="1"/>
  </cols>
  <sheetData>
    <row r="1" spans="1:19" ht="27" customHeight="1">
      <c r="A1" t="s">
        <v>0</v>
      </c>
      <c r="B1" t="s">
        <v>23</v>
      </c>
      <c r="C1" t="s">
        <v>1</v>
      </c>
      <c r="D1" t="s">
        <v>2</v>
      </c>
      <c r="E1" t="s">
        <v>24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25</v>
      </c>
    </row>
    <row r="2" spans="1:19" ht="27" customHeight="1">
      <c r="A2" t="s">
        <v>16</v>
      </c>
      <c r="B2">
        <v>1</v>
      </c>
      <c r="C2" t="s">
        <v>17</v>
      </c>
      <c r="D2" t="b">
        <v>1</v>
      </c>
      <c r="E2">
        <v>1</v>
      </c>
      <c r="F2" t="s">
        <v>20</v>
      </c>
      <c r="G2" s="1">
        <v>0.88</v>
      </c>
      <c r="H2" s="1">
        <v>0.81</v>
      </c>
      <c r="I2" s="1">
        <v>0.81</v>
      </c>
      <c r="J2" s="1">
        <v>0.8</v>
      </c>
      <c r="K2" s="1">
        <v>0.81</v>
      </c>
      <c r="L2" s="1">
        <v>0.8</v>
      </c>
      <c r="M2" s="1">
        <v>0.85</v>
      </c>
      <c r="N2" s="1">
        <v>0.81</v>
      </c>
      <c r="O2" s="1">
        <v>0.78</v>
      </c>
      <c r="P2" s="1">
        <v>0.82</v>
      </c>
      <c r="Q2" s="1">
        <v>0.85</v>
      </c>
      <c r="R2" s="1">
        <v>0.78</v>
      </c>
      <c r="S2" s="1">
        <f t="shared" ref="S2:S19" si="0">_xlfn.LET(_xlpm.d,$G2:$R2,MAX(_xlpm.d))</f>
        <v>0.88</v>
      </c>
    </row>
    <row r="3" spans="1:19" ht="27" customHeight="1">
      <c r="A3" t="s">
        <v>16</v>
      </c>
      <c r="B3">
        <v>1</v>
      </c>
      <c r="C3" t="s">
        <v>17</v>
      </c>
      <c r="D3" t="b">
        <v>1</v>
      </c>
      <c r="E3">
        <v>2</v>
      </c>
      <c r="F3" t="s">
        <v>18</v>
      </c>
      <c r="G3" s="1">
        <v>0.91</v>
      </c>
      <c r="H3" s="1">
        <v>0.88</v>
      </c>
      <c r="I3" s="1">
        <v>0.87</v>
      </c>
      <c r="J3" s="1">
        <v>0.88</v>
      </c>
      <c r="K3" s="1">
        <v>0.9</v>
      </c>
      <c r="L3" s="1">
        <v>0.85</v>
      </c>
      <c r="M3" s="1">
        <v>0.88</v>
      </c>
      <c r="N3" s="1">
        <v>0.87</v>
      </c>
      <c r="O3" s="1">
        <v>0.86</v>
      </c>
      <c r="P3" s="1">
        <v>0.86</v>
      </c>
      <c r="Q3" s="1">
        <v>0.85</v>
      </c>
      <c r="R3" s="1">
        <v>0.82</v>
      </c>
      <c r="S3" s="1">
        <f t="shared" si="0"/>
        <v>0.91</v>
      </c>
    </row>
    <row r="4" spans="1:19" ht="27" customHeight="1">
      <c r="A4" t="s">
        <v>16</v>
      </c>
      <c r="B4">
        <v>1</v>
      </c>
      <c r="C4" t="s">
        <v>17</v>
      </c>
      <c r="D4" t="b">
        <v>1</v>
      </c>
      <c r="E4">
        <v>3</v>
      </c>
      <c r="F4" t="s">
        <v>19</v>
      </c>
      <c r="G4" s="1">
        <v>0.88</v>
      </c>
      <c r="H4" s="1">
        <v>0.74</v>
      </c>
      <c r="I4" s="1">
        <v>0.83</v>
      </c>
      <c r="J4" s="1">
        <v>0.82</v>
      </c>
      <c r="K4" s="1">
        <v>0.82</v>
      </c>
      <c r="L4" s="1">
        <v>0.81</v>
      </c>
      <c r="M4" s="1">
        <v>0.83</v>
      </c>
      <c r="N4" s="1">
        <v>0.72</v>
      </c>
      <c r="O4" s="1">
        <v>0.81</v>
      </c>
      <c r="P4" s="1">
        <v>0.82</v>
      </c>
      <c r="Q4" s="1">
        <v>0.84</v>
      </c>
      <c r="R4" s="1">
        <v>0.82</v>
      </c>
      <c r="S4" s="1">
        <f t="shared" si="0"/>
        <v>0.88</v>
      </c>
    </row>
    <row r="5" spans="1:19" ht="27" customHeight="1">
      <c r="A5" t="s">
        <v>16</v>
      </c>
      <c r="B5">
        <v>1</v>
      </c>
      <c r="C5" t="s">
        <v>17</v>
      </c>
      <c r="D5" t="b">
        <v>0</v>
      </c>
      <c r="E5">
        <v>1</v>
      </c>
      <c r="F5" t="s">
        <v>20</v>
      </c>
      <c r="G5" s="1">
        <v>0.88</v>
      </c>
      <c r="H5" s="1">
        <v>0.78</v>
      </c>
      <c r="I5" s="1">
        <v>0.79</v>
      </c>
      <c r="J5" s="1">
        <v>0.82</v>
      </c>
      <c r="K5" s="1">
        <v>0.8</v>
      </c>
      <c r="L5" s="1">
        <v>0.82</v>
      </c>
      <c r="M5" s="1">
        <v>0.84</v>
      </c>
      <c r="N5" s="1">
        <v>0.82</v>
      </c>
      <c r="O5" s="1">
        <v>0.8</v>
      </c>
      <c r="P5" s="1">
        <v>0.8</v>
      </c>
      <c r="Q5" s="1">
        <v>0.78</v>
      </c>
      <c r="R5" s="1">
        <v>0.79</v>
      </c>
      <c r="S5" s="1">
        <f t="shared" si="0"/>
        <v>0.88</v>
      </c>
    </row>
    <row r="6" spans="1:19" ht="27" customHeight="1">
      <c r="A6" t="s">
        <v>16</v>
      </c>
      <c r="B6">
        <v>1</v>
      </c>
      <c r="C6" t="s">
        <v>17</v>
      </c>
      <c r="D6" t="b">
        <v>0</v>
      </c>
      <c r="E6">
        <v>2</v>
      </c>
      <c r="F6" t="s">
        <v>18</v>
      </c>
      <c r="G6" s="1">
        <v>0.88</v>
      </c>
      <c r="H6" s="1">
        <v>0.78</v>
      </c>
      <c r="I6" s="1">
        <v>0.82</v>
      </c>
      <c r="J6" s="1">
        <v>0.85</v>
      </c>
      <c r="K6" s="1">
        <v>0.84</v>
      </c>
      <c r="L6" s="1">
        <v>0.85</v>
      </c>
      <c r="M6" s="1">
        <v>0.82</v>
      </c>
      <c r="N6" s="1">
        <v>0.83</v>
      </c>
      <c r="O6" s="1">
        <v>0.8</v>
      </c>
      <c r="P6" s="1">
        <v>0.85</v>
      </c>
      <c r="Q6" s="1">
        <v>0.84</v>
      </c>
      <c r="R6" s="1">
        <v>0.79</v>
      </c>
      <c r="S6" s="1">
        <f t="shared" si="0"/>
        <v>0.88</v>
      </c>
    </row>
    <row r="7" spans="1:19" ht="27" customHeight="1">
      <c r="A7" t="s">
        <v>16</v>
      </c>
      <c r="B7">
        <v>1</v>
      </c>
      <c r="C7" t="s">
        <v>17</v>
      </c>
      <c r="D7" t="b">
        <v>0</v>
      </c>
      <c r="E7">
        <v>3</v>
      </c>
      <c r="F7" t="s">
        <v>19</v>
      </c>
      <c r="G7" s="1">
        <v>0.84</v>
      </c>
      <c r="H7" s="1">
        <v>0.69</v>
      </c>
      <c r="I7" s="1">
        <v>0.77</v>
      </c>
      <c r="J7" s="1">
        <v>0.81</v>
      </c>
      <c r="K7" s="1">
        <v>0.86</v>
      </c>
      <c r="L7" s="1">
        <v>0.79</v>
      </c>
      <c r="M7" s="1">
        <v>0.83</v>
      </c>
      <c r="N7" s="1">
        <v>0.73</v>
      </c>
      <c r="O7" s="1">
        <v>0.77</v>
      </c>
      <c r="P7" s="1">
        <v>0.78</v>
      </c>
      <c r="Q7" s="1">
        <v>0.83</v>
      </c>
      <c r="R7" s="1">
        <v>0.87</v>
      </c>
      <c r="S7" s="1">
        <f t="shared" si="0"/>
        <v>0.87</v>
      </c>
    </row>
    <row r="8" spans="1:19" ht="27" customHeight="1">
      <c r="A8" t="s">
        <v>16</v>
      </c>
      <c r="B8">
        <v>2</v>
      </c>
      <c r="C8" t="s">
        <v>21</v>
      </c>
      <c r="D8" t="b">
        <v>1</v>
      </c>
      <c r="E8">
        <v>1</v>
      </c>
      <c r="F8" t="s">
        <v>20</v>
      </c>
      <c r="G8" s="1">
        <v>0.51</v>
      </c>
      <c r="H8" s="1">
        <v>0.48</v>
      </c>
      <c r="I8" s="1">
        <v>0.56999999999999995</v>
      </c>
      <c r="J8" s="1">
        <v>0.51</v>
      </c>
      <c r="K8" s="1">
        <v>0.5</v>
      </c>
      <c r="L8" s="1">
        <v>0.48</v>
      </c>
      <c r="M8" s="1">
        <v>0.51</v>
      </c>
      <c r="N8" s="1">
        <v>0.48</v>
      </c>
      <c r="O8" s="1">
        <v>0.6</v>
      </c>
      <c r="P8" s="1">
        <v>0.56999999999999995</v>
      </c>
      <c r="Q8" s="1">
        <v>0.46</v>
      </c>
      <c r="R8" s="1">
        <v>0.42</v>
      </c>
      <c r="S8" s="1">
        <f t="shared" si="0"/>
        <v>0.6</v>
      </c>
    </row>
    <row r="9" spans="1:19" ht="27" customHeight="1">
      <c r="A9" t="s">
        <v>16</v>
      </c>
      <c r="B9">
        <v>2</v>
      </c>
      <c r="C9" t="s">
        <v>21</v>
      </c>
      <c r="D9" t="b">
        <v>1</v>
      </c>
      <c r="E9">
        <v>2</v>
      </c>
      <c r="F9" t="s">
        <v>18</v>
      </c>
      <c r="G9" s="1">
        <v>0.54</v>
      </c>
      <c r="H9" s="1">
        <v>0.57999999999999996</v>
      </c>
      <c r="I9" s="1">
        <v>0.62</v>
      </c>
      <c r="J9" s="1">
        <v>0.63</v>
      </c>
      <c r="K9" s="1">
        <v>0.55000000000000004</v>
      </c>
      <c r="L9" s="1">
        <v>0.6</v>
      </c>
      <c r="M9" s="1">
        <v>0.7</v>
      </c>
      <c r="N9" s="1">
        <v>0.63</v>
      </c>
      <c r="O9" s="1">
        <v>0.63</v>
      </c>
      <c r="P9" s="1">
        <v>0.71</v>
      </c>
      <c r="Q9" s="1">
        <v>0.57999999999999996</v>
      </c>
      <c r="R9" s="1">
        <v>0.51</v>
      </c>
      <c r="S9" s="1">
        <f t="shared" si="0"/>
        <v>0.71</v>
      </c>
    </row>
    <row r="10" spans="1:19" ht="27" customHeight="1">
      <c r="A10" t="s">
        <v>16</v>
      </c>
      <c r="B10">
        <v>2</v>
      </c>
      <c r="C10" t="s">
        <v>21</v>
      </c>
      <c r="D10" t="b">
        <v>1</v>
      </c>
      <c r="E10">
        <v>3</v>
      </c>
      <c r="F10" t="s">
        <v>19</v>
      </c>
      <c r="G10" s="1">
        <v>0.55000000000000004</v>
      </c>
      <c r="H10" s="1">
        <v>0.56999999999999995</v>
      </c>
      <c r="I10" s="1">
        <v>0.68</v>
      </c>
      <c r="J10" s="1">
        <v>0.63</v>
      </c>
      <c r="K10" s="1">
        <v>0.65</v>
      </c>
      <c r="L10" s="1">
        <v>0.59</v>
      </c>
      <c r="M10" s="1">
        <v>0.62</v>
      </c>
      <c r="N10" s="1">
        <v>0.68</v>
      </c>
      <c r="O10" s="1">
        <v>0.69</v>
      </c>
      <c r="P10" s="1">
        <v>0.64</v>
      </c>
      <c r="Q10" s="1">
        <v>0.56999999999999995</v>
      </c>
      <c r="R10" s="1">
        <v>0.49</v>
      </c>
      <c r="S10" s="1">
        <f t="shared" si="0"/>
        <v>0.69</v>
      </c>
    </row>
    <row r="11" spans="1:19" ht="27" customHeight="1">
      <c r="A11" t="s">
        <v>16</v>
      </c>
      <c r="B11">
        <v>2</v>
      </c>
      <c r="C11" t="s">
        <v>21</v>
      </c>
      <c r="D11" t="b">
        <v>0</v>
      </c>
      <c r="E11">
        <v>1</v>
      </c>
      <c r="F11" t="s">
        <v>20</v>
      </c>
      <c r="G11" s="1">
        <v>0.43</v>
      </c>
      <c r="H11" s="1">
        <v>0.37</v>
      </c>
      <c r="I11" s="1">
        <v>0.51</v>
      </c>
      <c r="J11" s="1">
        <v>0.51</v>
      </c>
      <c r="K11" s="1">
        <v>0.39</v>
      </c>
      <c r="L11" s="1">
        <v>0.43</v>
      </c>
      <c r="M11" s="1">
        <v>0.47</v>
      </c>
      <c r="N11" s="1">
        <v>0.49</v>
      </c>
      <c r="O11" s="1">
        <v>0.46</v>
      </c>
      <c r="P11" s="1">
        <v>0.56999999999999995</v>
      </c>
      <c r="Q11" s="1">
        <v>0.43</v>
      </c>
      <c r="R11" s="1">
        <v>0.45</v>
      </c>
      <c r="S11" s="1">
        <f t="shared" si="0"/>
        <v>0.56999999999999995</v>
      </c>
    </row>
    <row r="12" spans="1:19" ht="27" customHeight="1">
      <c r="A12" t="s">
        <v>16</v>
      </c>
      <c r="B12">
        <v>2</v>
      </c>
      <c r="C12" t="s">
        <v>21</v>
      </c>
      <c r="D12" t="b">
        <v>0</v>
      </c>
      <c r="E12">
        <v>2</v>
      </c>
      <c r="F12" t="s">
        <v>18</v>
      </c>
      <c r="G12" s="1">
        <v>0.52</v>
      </c>
      <c r="H12" s="1">
        <v>0.56000000000000005</v>
      </c>
      <c r="I12" s="1">
        <v>0.55000000000000004</v>
      </c>
      <c r="J12" s="1">
        <v>0.61</v>
      </c>
      <c r="K12" s="1">
        <v>0.57999999999999996</v>
      </c>
      <c r="L12" s="1">
        <v>0.6</v>
      </c>
      <c r="M12" s="1">
        <v>0.62</v>
      </c>
      <c r="N12" s="1">
        <v>0.62</v>
      </c>
      <c r="O12" s="1">
        <v>0.68</v>
      </c>
      <c r="P12" s="1">
        <v>0.62</v>
      </c>
      <c r="Q12" s="1">
        <v>0.56999999999999995</v>
      </c>
      <c r="R12" s="1">
        <v>0.53</v>
      </c>
      <c r="S12" s="1">
        <f t="shared" si="0"/>
        <v>0.68</v>
      </c>
    </row>
    <row r="13" spans="1:19" ht="27" customHeight="1">
      <c r="A13" t="s">
        <v>16</v>
      </c>
      <c r="B13">
        <v>2</v>
      </c>
      <c r="C13" t="s">
        <v>21</v>
      </c>
      <c r="D13" t="b">
        <v>0</v>
      </c>
      <c r="E13">
        <v>3</v>
      </c>
      <c r="F13" t="s">
        <v>19</v>
      </c>
      <c r="G13" s="1">
        <v>0.53</v>
      </c>
      <c r="H13" s="1">
        <v>0.53</v>
      </c>
      <c r="I13" s="1">
        <v>0.62</v>
      </c>
      <c r="J13" s="1">
        <v>0.57999999999999996</v>
      </c>
      <c r="K13" s="1">
        <v>0.56999999999999995</v>
      </c>
      <c r="L13" s="1">
        <v>0.56999999999999995</v>
      </c>
      <c r="M13" s="1">
        <v>0.61</v>
      </c>
      <c r="N13" s="1">
        <v>0.63</v>
      </c>
      <c r="O13" s="1">
        <v>0.64</v>
      </c>
      <c r="P13" s="1">
        <v>0.64</v>
      </c>
      <c r="Q13" s="1">
        <v>0.6</v>
      </c>
      <c r="R13" s="1">
        <v>0.53</v>
      </c>
      <c r="S13" s="1">
        <f t="shared" si="0"/>
        <v>0.64</v>
      </c>
    </row>
    <row r="14" spans="1:19" ht="27" customHeight="1">
      <c r="A14" t="s">
        <v>16</v>
      </c>
      <c r="B14">
        <v>3</v>
      </c>
      <c r="C14" t="s">
        <v>22</v>
      </c>
      <c r="D14" t="b">
        <v>1</v>
      </c>
      <c r="E14">
        <v>1</v>
      </c>
      <c r="F14" t="s">
        <v>20</v>
      </c>
      <c r="G14" s="1">
        <v>0.45</v>
      </c>
      <c r="H14" s="1">
        <v>0.54</v>
      </c>
      <c r="I14" s="1">
        <v>0.46</v>
      </c>
      <c r="J14" s="1">
        <v>0.45</v>
      </c>
      <c r="K14" s="1">
        <v>0.43</v>
      </c>
      <c r="L14" s="1">
        <v>0.37</v>
      </c>
      <c r="M14" s="1">
        <v>0.49</v>
      </c>
      <c r="N14" s="1">
        <v>0.46</v>
      </c>
      <c r="O14" s="1">
        <v>0.36</v>
      </c>
      <c r="P14" s="1">
        <v>0.37</v>
      </c>
      <c r="Q14" s="1">
        <v>0.33</v>
      </c>
      <c r="R14" s="1">
        <v>0.42</v>
      </c>
      <c r="S14" s="1">
        <f t="shared" si="0"/>
        <v>0.54</v>
      </c>
    </row>
    <row r="15" spans="1:19" ht="27" customHeight="1">
      <c r="A15" t="s">
        <v>16</v>
      </c>
      <c r="B15">
        <v>3</v>
      </c>
      <c r="C15" t="s">
        <v>22</v>
      </c>
      <c r="D15" t="b">
        <v>1</v>
      </c>
      <c r="E15">
        <v>2</v>
      </c>
      <c r="F15" t="s">
        <v>18</v>
      </c>
      <c r="G15" s="1">
        <v>0.45</v>
      </c>
      <c r="H15" s="1">
        <v>0.53</v>
      </c>
      <c r="I15" s="1">
        <v>0.62</v>
      </c>
      <c r="J15" s="1">
        <v>0.49</v>
      </c>
      <c r="K15" s="1">
        <v>0.46</v>
      </c>
      <c r="L15" s="1">
        <v>0.47</v>
      </c>
      <c r="M15" s="1">
        <v>0.5</v>
      </c>
      <c r="N15" s="1">
        <v>0.42</v>
      </c>
      <c r="O15" s="1">
        <v>0.53</v>
      </c>
      <c r="P15" s="1">
        <v>0.43</v>
      </c>
      <c r="Q15" s="1">
        <v>0.45</v>
      </c>
      <c r="R15" s="1">
        <v>0.51</v>
      </c>
      <c r="S15" s="1">
        <f t="shared" si="0"/>
        <v>0.62</v>
      </c>
    </row>
    <row r="16" spans="1:19" ht="27" customHeight="1">
      <c r="A16" t="s">
        <v>16</v>
      </c>
      <c r="B16">
        <v>3</v>
      </c>
      <c r="C16" t="s">
        <v>22</v>
      </c>
      <c r="D16" t="b">
        <v>1</v>
      </c>
      <c r="E16">
        <v>3</v>
      </c>
      <c r="F16" t="s">
        <v>19</v>
      </c>
      <c r="G16" s="1">
        <v>0.31</v>
      </c>
      <c r="H16" s="1">
        <v>0.41</v>
      </c>
      <c r="I16" s="1">
        <v>0.39</v>
      </c>
      <c r="J16" s="1">
        <v>0.4</v>
      </c>
      <c r="K16" s="1">
        <v>0.47</v>
      </c>
      <c r="L16" s="1">
        <v>0.39</v>
      </c>
      <c r="M16" s="1">
        <v>0.37</v>
      </c>
      <c r="N16" s="1">
        <v>0.31</v>
      </c>
      <c r="O16" s="1">
        <v>0.37</v>
      </c>
      <c r="P16" s="1">
        <v>0.38</v>
      </c>
      <c r="Q16" s="1">
        <v>0.37</v>
      </c>
      <c r="R16" s="1">
        <v>0.44</v>
      </c>
      <c r="S16" s="1">
        <f t="shared" si="0"/>
        <v>0.47</v>
      </c>
    </row>
    <row r="17" spans="1:19" ht="27" customHeight="1">
      <c r="A17" t="s">
        <v>16</v>
      </c>
      <c r="B17">
        <v>3</v>
      </c>
      <c r="C17" t="s">
        <v>22</v>
      </c>
      <c r="D17" t="b">
        <v>0</v>
      </c>
      <c r="E17">
        <v>1</v>
      </c>
      <c r="F17" t="s">
        <v>20</v>
      </c>
      <c r="G17" s="1">
        <v>0.36</v>
      </c>
      <c r="H17" s="1">
        <v>0.42</v>
      </c>
      <c r="I17" s="1">
        <v>0.44</v>
      </c>
      <c r="J17" s="1">
        <v>0.36</v>
      </c>
      <c r="K17" s="1">
        <v>0.39</v>
      </c>
      <c r="L17" s="1">
        <v>0.3</v>
      </c>
      <c r="M17" s="1">
        <v>0.38</v>
      </c>
      <c r="N17" s="1">
        <v>0.35</v>
      </c>
      <c r="O17" s="1">
        <v>0.42</v>
      </c>
      <c r="P17" s="1">
        <v>0.38</v>
      </c>
      <c r="Q17" s="1">
        <v>0.39</v>
      </c>
      <c r="R17" s="1">
        <v>0.43</v>
      </c>
      <c r="S17" s="1">
        <f t="shared" si="0"/>
        <v>0.44</v>
      </c>
    </row>
    <row r="18" spans="1:19" ht="27" customHeight="1">
      <c r="A18" t="s">
        <v>16</v>
      </c>
      <c r="B18">
        <v>3</v>
      </c>
      <c r="C18" t="s">
        <v>22</v>
      </c>
      <c r="D18" t="b">
        <v>0</v>
      </c>
      <c r="E18">
        <v>2</v>
      </c>
      <c r="F18" t="s">
        <v>18</v>
      </c>
      <c r="G18" s="1">
        <v>0.35</v>
      </c>
      <c r="H18" s="1">
        <v>0.37</v>
      </c>
      <c r="I18" s="1">
        <v>0.47</v>
      </c>
      <c r="J18" s="1">
        <v>0.34</v>
      </c>
      <c r="K18" s="1">
        <v>0.44</v>
      </c>
      <c r="L18" s="1">
        <v>0.43</v>
      </c>
      <c r="M18" s="1">
        <v>0.35</v>
      </c>
      <c r="N18" s="1">
        <v>0.35</v>
      </c>
      <c r="O18" s="1">
        <v>0.35</v>
      </c>
      <c r="P18" s="1">
        <v>0.41</v>
      </c>
      <c r="Q18" s="1">
        <v>0.38</v>
      </c>
      <c r="R18" s="1">
        <v>0.48</v>
      </c>
      <c r="S18" s="1">
        <f t="shared" si="0"/>
        <v>0.48</v>
      </c>
    </row>
    <row r="19" spans="1:19" ht="27" customHeight="1">
      <c r="A19" t="s">
        <v>16</v>
      </c>
      <c r="B19">
        <v>3</v>
      </c>
      <c r="C19" t="s">
        <v>22</v>
      </c>
      <c r="D19" t="b">
        <v>0</v>
      </c>
      <c r="E19">
        <v>3</v>
      </c>
      <c r="F19" t="s">
        <v>19</v>
      </c>
      <c r="G19" s="1">
        <v>0.35</v>
      </c>
      <c r="H19" s="1">
        <v>0.38</v>
      </c>
      <c r="I19" s="1">
        <v>0.37</v>
      </c>
      <c r="J19" s="1">
        <v>0.39</v>
      </c>
      <c r="K19" s="1">
        <v>0.36</v>
      </c>
      <c r="L19" s="1">
        <v>0.45</v>
      </c>
      <c r="M19" s="1">
        <v>0.3</v>
      </c>
      <c r="N19" s="1">
        <v>0.3</v>
      </c>
      <c r="O19" s="1">
        <v>0.39</v>
      </c>
      <c r="P19" s="1">
        <v>0.34</v>
      </c>
      <c r="Q19" s="1">
        <v>0.36</v>
      </c>
      <c r="R19" s="1">
        <v>0.38</v>
      </c>
      <c r="S19" s="1">
        <f t="shared" si="0"/>
        <v>0.45</v>
      </c>
    </row>
    <row r="22" spans="1:19" ht="68" customHeight="1">
      <c r="B22" t="s">
        <v>23</v>
      </c>
      <c r="C22" t="s">
        <v>1</v>
      </c>
      <c r="D22" t="s">
        <v>26</v>
      </c>
      <c r="E22" t="s">
        <v>24</v>
      </c>
      <c r="F22" t="s">
        <v>27</v>
      </c>
      <c r="G22" s="6" t="s">
        <v>4</v>
      </c>
      <c r="H22" s="6" t="s">
        <v>5</v>
      </c>
      <c r="I22" s="6" t="s">
        <v>6</v>
      </c>
      <c r="J22" s="6" t="s">
        <v>7</v>
      </c>
      <c r="K22" s="6" t="s">
        <v>8</v>
      </c>
      <c r="L22" s="6" t="s">
        <v>9</v>
      </c>
      <c r="M22" s="6" t="s">
        <v>10</v>
      </c>
      <c r="N22" s="6" t="s">
        <v>11</v>
      </c>
      <c r="O22" s="6" t="s">
        <v>12</v>
      </c>
      <c r="P22" s="6" t="s">
        <v>13</v>
      </c>
      <c r="Q22" s="6" t="s">
        <v>14</v>
      </c>
      <c r="R22" s="6" t="s">
        <v>15</v>
      </c>
      <c r="S22" s="6" t="s">
        <v>25</v>
      </c>
    </row>
    <row r="23" spans="1:19" ht="27" customHeight="1">
      <c r="B23">
        <v>1</v>
      </c>
      <c r="C23" t="s">
        <v>17</v>
      </c>
      <c r="D23" t="b">
        <v>1</v>
      </c>
      <c r="E23">
        <v>1</v>
      </c>
      <c r="F23" t="s">
        <v>25</v>
      </c>
      <c r="G23" s="1" cm="1">
        <f t="array" ref="G23">_xlfn.LET(_xlpm.d,G$2:G$19,_xlpm.a,$C$2:$C$19=$C23,_xlpm.b,$D$2:$D$19=$D23,MAX(_xlfn._xlws.FILTER(_xlpm.d,_xlpm.a*_xlpm.b)))</f>
        <v>0.91</v>
      </c>
      <c r="H23" s="1" cm="1">
        <f t="array" ref="H23">_xlfn.LET(_xlpm.d,H$2:H$19,_xlpm.a,$C$2:$C$19=$C23,_xlpm.b,$D$2:$D$19=$D23,MAX(_xlfn._xlws.FILTER(_xlpm.d,_xlpm.a*_xlpm.b)))</f>
        <v>0.88</v>
      </c>
      <c r="I23" s="1" cm="1">
        <f t="array" ref="I23">_xlfn.LET(_xlpm.d,I$2:I$19,_xlpm.a,$C$2:$C$19=$C23,_xlpm.b,$D$2:$D$19=$D23,MAX(_xlfn._xlws.FILTER(_xlpm.d,_xlpm.a*_xlpm.b)))</f>
        <v>0.87</v>
      </c>
      <c r="J23" s="1" cm="1">
        <f t="array" ref="J23">_xlfn.LET(_xlpm.d,J$2:J$19,_xlpm.a,$C$2:$C$19=$C23,_xlpm.b,$D$2:$D$19=$D23,MAX(_xlfn._xlws.FILTER(_xlpm.d,_xlpm.a*_xlpm.b)))</f>
        <v>0.88</v>
      </c>
      <c r="K23" s="1" cm="1">
        <f t="array" ref="K23">_xlfn.LET(_xlpm.d,K$2:K$19,_xlpm.a,$C$2:$C$19=$C23,_xlpm.b,$D$2:$D$19=$D23,MAX(_xlfn._xlws.FILTER(_xlpm.d,_xlpm.a*_xlpm.b)))</f>
        <v>0.9</v>
      </c>
      <c r="L23" s="1" cm="1">
        <f t="array" ref="L23">_xlfn.LET(_xlpm.d,L$2:L$19,_xlpm.a,$C$2:$C$19=$C23,_xlpm.b,$D$2:$D$19=$D23,MAX(_xlfn._xlws.FILTER(_xlpm.d,_xlpm.a*_xlpm.b)))</f>
        <v>0.85</v>
      </c>
      <c r="M23" s="1" cm="1">
        <f t="array" ref="M23">_xlfn.LET(_xlpm.d,M$2:M$19,_xlpm.a,$C$2:$C$19=$C23,_xlpm.b,$D$2:$D$19=$D23,MAX(_xlfn._xlws.FILTER(_xlpm.d,_xlpm.a*_xlpm.b)))</f>
        <v>0.88</v>
      </c>
      <c r="N23" s="1" cm="1">
        <f t="array" ref="N23">_xlfn.LET(_xlpm.d,N$2:N$19,_xlpm.a,$C$2:$C$19=$C23,_xlpm.b,$D$2:$D$19=$D23,MAX(_xlfn._xlws.FILTER(_xlpm.d,_xlpm.a*_xlpm.b)))</f>
        <v>0.87</v>
      </c>
      <c r="O23" s="1" cm="1">
        <f t="array" ref="O23">_xlfn.LET(_xlpm.d,O$2:O$19,_xlpm.a,$C$2:$C$19=$C23,_xlpm.b,$D$2:$D$19=$D23,MAX(_xlfn._xlws.FILTER(_xlpm.d,_xlpm.a*_xlpm.b)))</f>
        <v>0.86</v>
      </c>
      <c r="P23" s="1" cm="1">
        <f t="array" ref="P23">_xlfn.LET(_xlpm.d,P$2:P$19,_xlpm.a,$C$2:$C$19=$C23,_xlpm.b,$D$2:$D$19=$D23,MAX(_xlfn._xlws.FILTER(_xlpm.d,_xlpm.a*_xlpm.b)))</f>
        <v>0.86</v>
      </c>
      <c r="Q23" s="1" cm="1">
        <f t="array" ref="Q23">_xlfn.LET(_xlpm.d,Q$2:Q$19,_xlpm.a,$C$2:$C$19=$C23,_xlpm.b,$D$2:$D$19=$D23,MAX(_xlfn._xlws.FILTER(_xlpm.d,_xlpm.a*_xlpm.b)))</f>
        <v>0.85</v>
      </c>
      <c r="R23" s="1" cm="1">
        <f t="array" ref="R23">_xlfn.LET(_xlpm.d,R$2:R$19,_xlpm.a,$C$2:$C$19=$C23,_xlpm.b,$D$2:$D$19=$D23,MAX(_xlfn._xlws.FILTER(_xlpm.d,_xlpm.a*_xlpm.b)))</f>
        <v>0.82</v>
      </c>
      <c r="S23" s="1">
        <f t="shared" ref="S23:S28" si="1">_xlfn.LET(_xlpm.d,$G23:$R23,MAX(_xlpm.d))</f>
        <v>0.91</v>
      </c>
    </row>
    <row r="24" spans="1:19" ht="27" customHeight="1">
      <c r="B24">
        <v>1</v>
      </c>
      <c r="C24" t="s">
        <v>17</v>
      </c>
      <c r="D24" t="b">
        <v>0</v>
      </c>
      <c r="E24">
        <v>1</v>
      </c>
      <c r="F24" t="s">
        <v>25</v>
      </c>
      <c r="G24" s="1" cm="1">
        <f t="array" ref="G24">_xlfn.LET(_xlpm.d,G$2:G$19,_xlpm.a,$C$2:$C$19=$C24,_xlpm.b,$D$2:$D$19=$D24,MAX(_xlfn._xlws.FILTER(_xlpm.d,_xlpm.a*_xlpm.b)))</f>
        <v>0.88</v>
      </c>
      <c r="H24" s="1" cm="1">
        <f t="array" ref="H24">_xlfn.LET(_xlpm.d,H$2:H$19,_xlpm.a,$C$2:$C$19=$C24,_xlpm.b,$D$2:$D$19=$D24,MAX(_xlfn._xlws.FILTER(_xlpm.d,_xlpm.a*_xlpm.b)))</f>
        <v>0.78</v>
      </c>
      <c r="I24" s="1" cm="1">
        <f t="array" ref="I24">_xlfn.LET(_xlpm.d,I$2:I$19,_xlpm.a,$C$2:$C$19=$C24,_xlpm.b,$D$2:$D$19=$D24,MAX(_xlfn._xlws.FILTER(_xlpm.d,_xlpm.a*_xlpm.b)))</f>
        <v>0.82</v>
      </c>
      <c r="J24" s="1" cm="1">
        <f t="array" ref="J24">_xlfn.LET(_xlpm.d,J$2:J$19,_xlpm.a,$C$2:$C$19=$C24,_xlpm.b,$D$2:$D$19=$D24,MAX(_xlfn._xlws.FILTER(_xlpm.d,_xlpm.a*_xlpm.b)))</f>
        <v>0.85</v>
      </c>
      <c r="K24" s="1" cm="1">
        <f t="array" ref="K24">_xlfn.LET(_xlpm.d,K$2:K$19,_xlpm.a,$C$2:$C$19=$C24,_xlpm.b,$D$2:$D$19=$D24,MAX(_xlfn._xlws.FILTER(_xlpm.d,_xlpm.a*_xlpm.b)))</f>
        <v>0.86</v>
      </c>
      <c r="L24" s="1" cm="1">
        <f t="array" ref="L24">_xlfn.LET(_xlpm.d,L$2:L$19,_xlpm.a,$C$2:$C$19=$C24,_xlpm.b,$D$2:$D$19=$D24,MAX(_xlfn._xlws.FILTER(_xlpm.d,_xlpm.a*_xlpm.b)))</f>
        <v>0.85</v>
      </c>
      <c r="M24" s="1" cm="1">
        <f t="array" ref="M24">_xlfn.LET(_xlpm.d,M$2:M$19,_xlpm.a,$C$2:$C$19=$C24,_xlpm.b,$D$2:$D$19=$D24,MAX(_xlfn._xlws.FILTER(_xlpm.d,_xlpm.a*_xlpm.b)))</f>
        <v>0.84</v>
      </c>
      <c r="N24" s="1" cm="1">
        <f t="array" ref="N24">_xlfn.LET(_xlpm.d,N$2:N$19,_xlpm.a,$C$2:$C$19=$C24,_xlpm.b,$D$2:$D$19=$D24,MAX(_xlfn._xlws.FILTER(_xlpm.d,_xlpm.a*_xlpm.b)))</f>
        <v>0.83</v>
      </c>
      <c r="O24" s="1" cm="1">
        <f t="array" ref="O24">_xlfn.LET(_xlpm.d,O$2:O$19,_xlpm.a,$C$2:$C$19=$C24,_xlpm.b,$D$2:$D$19=$D24,MAX(_xlfn._xlws.FILTER(_xlpm.d,_xlpm.a*_xlpm.b)))</f>
        <v>0.8</v>
      </c>
      <c r="P24" s="1" cm="1">
        <f t="array" ref="P24">_xlfn.LET(_xlpm.d,P$2:P$19,_xlpm.a,$C$2:$C$19=$C24,_xlpm.b,$D$2:$D$19=$D24,MAX(_xlfn._xlws.FILTER(_xlpm.d,_xlpm.a*_xlpm.b)))</f>
        <v>0.85</v>
      </c>
      <c r="Q24" s="1" cm="1">
        <f t="array" ref="Q24">_xlfn.LET(_xlpm.d,Q$2:Q$19,_xlpm.a,$C$2:$C$19=$C24,_xlpm.b,$D$2:$D$19=$D24,MAX(_xlfn._xlws.FILTER(_xlpm.d,_xlpm.a*_xlpm.b)))</f>
        <v>0.84</v>
      </c>
      <c r="R24" s="1" cm="1">
        <f t="array" ref="R24">_xlfn.LET(_xlpm.d,R$2:R$19,_xlpm.a,$C$2:$C$19=$C24,_xlpm.b,$D$2:$D$19=$D24,MAX(_xlfn._xlws.FILTER(_xlpm.d,_xlpm.a*_xlpm.b)))</f>
        <v>0.87</v>
      </c>
      <c r="S24" s="1">
        <f t="shared" si="1"/>
        <v>0.88</v>
      </c>
    </row>
    <row r="25" spans="1:19" ht="27" customHeight="1">
      <c r="B25">
        <v>2</v>
      </c>
      <c r="C25" t="s">
        <v>21</v>
      </c>
      <c r="D25" t="b">
        <v>1</v>
      </c>
      <c r="E25">
        <v>1</v>
      </c>
      <c r="F25" t="s">
        <v>25</v>
      </c>
      <c r="G25" s="1" cm="1">
        <f t="array" ref="G25">_xlfn.LET(_xlpm.d,G$2:G$19,_xlpm.a,$C$2:$C$19=$C25,_xlpm.b,$D$2:$D$19=$D25,MAX(_xlfn._xlws.FILTER(_xlpm.d,_xlpm.a*_xlpm.b)))</f>
        <v>0.55000000000000004</v>
      </c>
      <c r="H25" s="1" cm="1">
        <f t="array" ref="H25">_xlfn.LET(_xlpm.d,H$2:H$19,_xlpm.a,$C$2:$C$19=$C25,_xlpm.b,$D$2:$D$19=$D25,MAX(_xlfn._xlws.FILTER(_xlpm.d,_xlpm.a*_xlpm.b)))</f>
        <v>0.57999999999999996</v>
      </c>
      <c r="I25" s="1" cm="1">
        <f t="array" ref="I25">_xlfn.LET(_xlpm.d,I$2:I$19,_xlpm.a,$C$2:$C$19=$C25,_xlpm.b,$D$2:$D$19=$D25,MAX(_xlfn._xlws.FILTER(_xlpm.d,_xlpm.a*_xlpm.b)))</f>
        <v>0.68</v>
      </c>
      <c r="J25" s="1" cm="1">
        <f t="array" ref="J25">_xlfn.LET(_xlpm.d,J$2:J$19,_xlpm.a,$C$2:$C$19=$C25,_xlpm.b,$D$2:$D$19=$D25,MAX(_xlfn._xlws.FILTER(_xlpm.d,_xlpm.a*_xlpm.b)))</f>
        <v>0.63</v>
      </c>
      <c r="K25" s="1" cm="1">
        <f t="array" ref="K25">_xlfn.LET(_xlpm.d,K$2:K$19,_xlpm.a,$C$2:$C$19=$C25,_xlpm.b,$D$2:$D$19=$D25,MAX(_xlfn._xlws.FILTER(_xlpm.d,_xlpm.a*_xlpm.b)))</f>
        <v>0.65</v>
      </c>
      <c r="L25" s="1" cm="1">
        <f t="array" ref="L25">_xlfn.LET(_xlpm.d,L$2:L$19,_xlpm.a,$C$2:$C$19=$C25,_xlpm.b,$D$2:$D$19=$D25,MAX(_xlfn._xlws.FILTER(_xlpm.d,_xlpm.a*_xlpm.b)))</f>
        <v>0.6</v>
      </c>
      <c r="M25" s="1" cm="1">
        <f t="array" ref="M25">_xlfn.LET(_xlpm.d,M$2:M$19,_xlpm.a,$C$2:$C$19=$C25,_xlpm.b,$D$2:$D$19=$D25,MAX(_xlfn._xlws.FILTER(_xlpm.d,_xlpm.a*_xlpm.b)))</f>
        <v>0.7</v>
      </c>
      <c r="N25" s="1" cm="1">
        <f t="array" ref="N25">_xlfn.LET(_xlpm.d,N$2:N$19,_xlpm.a,$C$2:$C$19=$C25,_xlpm.b,$D$2:$D$19=$D25,MAX(_xlfn._xlws.FILTER(_xlpm.d,_xlpm.a*_xlpm.b)))</f>
        <v>0.68</v>
      </c>
      <c r="O25" s="1" cm="1">
        <f t="array" ref="O25">_xlfn.LET(_xlpm.d,O$2:O$19,_xlpm.a,$C$2:$C$19=$C25,_xlpm.b,$D$2:$D$19=$D25,MAX(_xlfn._xlws.FILTER(_xlpm.d,_xlpm.a*_xlpm.b)))</f>
        <v>0.69</v>
      </c>
      <c r="P25" s="1" cm="1">
        <f t="array" ref="P25">_xlfn.LET(_xlpm.d,P$2:P$19,_xlpm.a,$C$2:$C$19=$C25,_xlpm.b,$D$2:$D$19=$D25,MAX(_xlfn._xlws.FILTER(_xlpm.d,_xlpm.a*_xlpm.b)))</f>
        <v>0.71</v>
      </c>
      <c r="Q25" s="1" cm="1">
        <f t="array" ref="Q25">_xlfn.LET(_xlpm.d,Q$2:Q$19,_xlpm.a,$C$2:$C$19=$C25,_xlpm.b,$D$2:$D$19=$D25,MAX(_xlfn._xlws.FILTER(_xlpm.d,_xlpm.a*_xlpm.b)))</f>
        <v>0.57999999999999996</v>
      </c>
      <c r="R25" s="1" cm="1">
        <f t="array" ref="R25">_xlfn.LET(_xlpm.d,R$2:R$19,_xlpm.a,$C$2:$C$19=$C25,_xlpm.b,$D$2:$D$19=$D25,MAX(_xlfn._xlws.FILTER(_xlpm.d,_xlpm.a*_xlpm.b)))</f>
        <v>0.51</v>
      </c>
      <c r="S25" s="1">
        <f t="shared" si="1"/>
        <v>0.71</v>
      </c>
    </row>
    <row r="26" spans="1:19" ht="27" customHeight="1">
      <c r="B26">
        <v>2</v>
      </c>
      <c r="C26" t="s">
        <v>21</v>
      </c>
      <c r="D26" t="b">
        <v>0</v>
      </c>
      <c r="E26">
        <v>1</v>
      </c>
      <c r="F26" t="s">
        <v>25</v>
      </c>
      <c r="G26" s="1" cm="1">
        <f t="array" ref="G26">_xlfn.LET(_xlpm.d,G$2:G$19,_xlpm.a,$C$2:$C$19=$C26,_xlpm.b,$D$2:$D$19=$D26,MAX(_xlfn._xlws.FILTER(_xlpm.d,_xlpm.a*_xlpm.b)))</f>
        <v>0.53</v>
      </c>
      <c r="H26" s="1" cm="1">
        <f t="array" ref="H26">_xlfn.LET(_xlpm.d,H$2:H$19,_xlpm.a,$C$2:$C$19=$C26,_xlpm.b,$D$2:$D$19=$D26,MAX(_xlfn._xlws.FILTER(_xlpm.d,_xlpm.a*_xlpm.b)))</f>
        <v>0.56000000000000005</v>
      </c>
      <c r="I26" s="1" cm="1">
        <f t="array" ref="I26">_xlfn.LET(_xlpm.d,I$2:I$19,_xlpm.a,$C$2:$C$19=$C26,_xlpm.b,$D$2:$D$19=$D26,MAX(_xlfn._xlws.FILTER(_xlpm.d,_xlpm.a*_xlpm.b)))</f>
        <v>0.62</v>
      </c>
      <c r="J26" s="1" cm="1">
        <f t="array" ref="J26">_xlfn.LET(_xlpm.d,J$2:J$19,_xlpm.a,$C$2:$C$19=$C26,_xlpm.b,$D$2:$D$19=$D26,MAX(_xlfn._xlws.FILTER(_xlpm.d,_xlpm.a*_xlpm.b)))</f>
        <v>0.61</v>
      </c>
      <c r="K26" s="1" cm="1">
        <f t="array" ref="K26">_xlfn.LET(_xlpm.d,K$2:K$19,_xlpm.a,$C$2:$C$19=$C26,_xlpm.b,$D$2:$D$19=$D26,MAX(_xlfn._xlws.FILTER(_xlpm.d,_xlpm.a*_xlpm.b)))</f>
        <v>0.57999999999999996</v>
      </c>
      <c r="L26" s="1" cm="1">
        <f t="array" ref="L26">_xlfn.LET(_xlpm.d,L$2:L$19,_xlpm.a,$C$2:$C$19=$C26,_xlpm.b,$D$2:$D$19=$D26,MAX(_xlfn._xlws.FILTER(_xlpm.d,_xlpm.a*_xlpm.b)))</f>
        <v>0.6</v>
      </c>
      <c r="M26" s="1" cm="1">
        <f t="array" ref="M26">_xlfn.LET(_xlpm.d,M$2:M$19,_xlpm.a,$C$2:$C$19=$C26,_xlpm.b,$D$2:$D$19=$D26,MAX(_xlfn._xlws.FILTER(_xlpm.d,_xlpm.a*_xlpm.b)))</f>
        <v>0.62</v>
      </c>
      <c r="N26" s="1" cm="1">
        <f t="array" ref="N26">_xlfn.LET(_xlpm.d,N$2:N$19,_xlpm.a,$C$2:$C$19=$C26,_xlpm.b,$D$2:$D$19=$D26,MAX(_xlfn._xlws.FILTER(_xlpm.d,_xlpm.a*_xlpm.b)))</f>
        <v>0.63</v>
      </c>
      <c r="O26" s="1" cm="1">
        <f t="array" ref="O26">_xlfn.LET(_xlpm.d,O$2:O$19,_xlpm.a,$C$2:$C$19=$C26,_xlpm.b,$D$2:$D$19=$D26,MAX(_xlfn._xlws.FILTER(_xlpm.d,_xlpm.a*_xlpm.b)))</f>
        <v>0.68</v>
      </c>
      <c r="P26" s="1" cm="1">
        <f t="array" ref="P26">_xlfn.LET(_xlpm.d,P$2:P$19,_xlpm.a,$C$2:$C$19=$C26,_xlpm.b,$D$2:$D$19=$D26,MAX(_xlfn._xlws.FILTER(_xlpm.d,_xlpm.a*_xlpm.b)))</f>
        <v>0.64</v>
      </c>
      <c r="Q26" s="1" cm="1">
        <f t="array" ref="Q26">_xlfn.LET(_xlpm.d,Q$2:Q$19,_xlpm.a,$C$2:$C$19=$C26,_xlpm.b,$D$2:$D$19=$D26,MAX(_xlfn._xlws.FILTER(_xlpm.d,_xlpm.a*_xlpm.b)))</f>
        <v>0.6</v>
      </c>
      <c r="R26" s="1" cm="1">
        <f t="array" ref="R26">_xlfn.LET(_xlpm.d,R$2:R$19,_xlpm.a,$C$2:$C$19=$C26,_xlpm.b,$D$2:$D$19=$D26,MAX(_xlfn._xlws.FILTER(_xlpm.d,_xlpm.a*_xlpm.b)))</f>
        <v>0.53</v>
      </c>
      <c r="S26" s="1">
        <f t="shared" si="1"/>
        <v>0.68</v>
      </c>
    </row>
    <row r="27" spans="1:19" ht="27" customHeight="1">
      <c r="B27">
        <v>3</v>
      </c>
      <c r="C27" t="s">
        <v>22</v>
      </c>
      <c r="D27" t="b">
        <v>1</v>
      </c>
      <c r="E27">
        <v>1</v>
      </c>
      <c r="F27" t="s">
        <v>25</v>
      </c>
      <c r="G27" s="1" cm="1">
        <f t="array" ref="G27">_xlfn.LET(_xlpm.d,G$2:G$19,_xlpm.a,$C$2:$C$19=$C27,_xlpm.b,$D$2:$D$19=$D27,MAX(_xlfn._xlws.FILTER(_xlpm.d,_xlpm.a*_xlpm.b)))</f>
        <v>0.45</v>
      </c>
      <c r="H27" s="1" cm="1">
        <f t="array" ref="H27">_xlfn.LET(_xlpm.d,H$2:H$19,_xlpm.a,$C$2:$C$19=$C27,_xlpm.b,$D$2:$D$19=$D27,MAX(_xlfn._xlws.FILTER(_xlpm.d,_xlpm.a*_xlpm.b)))</f>
        <v>0.54</v>
      </c>
      <c r="I27" s="1" cm="1">
        <f t="array" ref="I27">_xlfn.LET(_xlpm.d,I$2:I$19,_xlpm.a,$C$2:$C$19=$C27,_xlpm.b,$D$2:$D$19=$D27,MAX(_xlfn._xlws.FILTER(_xlpm.d,_xlpm.a*_xlpm.b)))</f>
        <v>0.62</v>
      </c>
      <c r="J27" s="1" cm="1">
        <f t="array" ref="J27">_xlfn.LET(_xlpm.d,J$2:J$19,_xlpm.a,$C$2:$C$19=$C27,_xlpm.b,$D$2:$D$19=$D27,MAX(_xlfn._xlws.FILTER(_xlpm.d,_xlpm.a*_xlpm.b)))</f>
        <v>0.49</v>
      </c>
      <c r="K27" s="1" cm="1">
        <f t="array" ref="K27">_xlfn.LET(_xlpm.d,K$2:K$19,_xlpm.a,$C$2:$C$19=$C27,_xlpm.b,$D$2:$D$19=$D27,MAX(_xlfn._xlws.FILTER(_xlpm.d,_xlpm.a*_xlpm.b)))</f>
        <v>0.47</v>
      </c>
      <c r="L27" s="1" cm="1">
        <f t="array" ref="L27">_xlfn.LET(_xlpm.d,L$2:L$19,_xlpm.a,$C$2:$C$19=$C27,_xlpm.b,$D$2:$D$19=$D27,MAX(_xlfn._xlws.FILTER(_xlpm.d,_xlpm.a*_xlpm.b)))</f>
        <v>0.47</v>
      </c>
      <c r="M27" s="1" cm="1">
        <f t="array" ref="M27">_xlfn.LET(_xlpm.d,M$2:M$19,_xlpm.a,$C$2:$C$19=$C27,_xlpm.b,$D$2:$D$19=$D27,MAX(_xlfn._xlws.FILTER(_xlpm.d,_xlpm.a*_xlpm.b)))</f>
        <v>0.5</v>
      </c>
      <c r="N27" s="1" cm="1">
        <f t="array" ref="N27">_xlfn.LET(_xlpm.d,N$2:N$19,_xlpm.a,$C$2:$C$19=$C27,_xlpm.b,$D$2:$D$19=$D27,MAX(_xlfn._xlws.FILTER(_xlpm.d,_xlpm.a*_xlpm.b)))</f>
        <v>0.46</v>
      </c>
      <c r="O27" s="1" cm="1">
        <f t="array" ref="O27">_xlfn.LET(_xlpm.d,O$2:O$19,_xlpm.a,$C$2:$C$19=$C27,_xlpm.b,$D$2:$D$19=$D27,MAX(_xlfn._xlws.FILTER(_xlpm.d,_xlpm.a*_xlpm.b)))</f>
        <v>0.53</v>
      </c>
      <c r="P27" s="1" cm="1">
        <f t="array" ref="P27">_xlfn.LET(_xlpm.d,P$2:P$19,_xlpm.a,$C$2:$C$19=$C27,_xlpm.b,$D$2:$D$19=$D27,MAX(_xlfn._xlws.FILTER(_xlpm.d,_xlpm.a*_xlpm.b)))</f>
        <v>0.43</v>
      </c>
      <c r="Q27" s="1" cm="1">
        <f t="array" ref="Q27">_xlfn.LET(_xlpm.d,Q$2:Q$19,_xlpm.a,$C$2:$C$19=$C27,_xlpm.b,$D$2:$D$19=$D27,MAX(_xlfn._xlws.FILTER(_xlpm.d,_xlpm.a*_xlpm.b)))</f>
        <v>0.45</v>
      </c>
      <c r="R27" s="1" cm="1">
        <f t="array" ref="R27">_xlfn.LET(_xlpm.d,R$2:R$19,_xlpm.a,$C$2:$C$19=$C27,_xlpm.b,$D$2:$D$19=$D27,MAX(_xlfn._xlws.FILTER(_xlpm.d,_xlpm.a*_xlpm.b)))</f>
        <v>0.51</v>
      </c>
      <c r="S27" s="1">
        <f t="shared" si="1"/>
        <v>0.62</v>
      </c>
    </row>
    <row r="28" spans="1:19" ht="27" customHeight="1">
      <c r="B28">
        <v>3</v>
      </c>
      <c r="C28" t="s">
        <v>22</v>
      </c>
      <c r="D28" t="b">
        <v>0</v>
      </c>
      <c r="E28">
        <v>1</v>
      </c>
      <c r="F28" t="s">
        <v>25</v>
      </c>
      <c r="G28" s="1" cm="1">
        <f t="array" ref="G28">_xlfn.LET(_xlpm.d,G$2:G$19,_xlpm.a,$C$2:$C$19=$C28,_xlpm.b,$D$2:$D$19=$D28,MAX(_xlfn._xlws.FILTER(_xlpm.d,_xlpm.a*_xlpm.b)))</f>
        <v>0.36</v>
      </c>
      <c r="H28" s="1" cm="1">
        <f t="array" ref="H28">_xlfn.LET(_xlpm.d,H$2:H$19,_xlpm.a,$C$2:$C$19=$C28,_xlpm.b,$D$2:$D$19=$D28,MAX(_xlfn._xlws.FILTER(_xlpm.d,_xlpm.a*_xlpm.b)))</f>
        <v>0.42</v>
      </c>
      <c r="I28" s="1" cm="1">
        <f t="array" ref="I28">_xlfn.LET(_xlpm.d,I$2:I$19,_xlpm.a,$C$2:$C$19=$C28,_xlpm.b,$D$2:$D$19=$D28,MAX(_xlfn._xlws.FILTER(_xlpm.d,_xlpm.a*_xlpm.b)))</f>
        <v>0.47</v>
      </c>
      <c r="J28" s="1" cm="1">
        <f t="array" ref="J28">_xlfn.LET(_xlpm.d,J$2:J$19,_xlpm.a,$C$2:$C$19=$C28,_xlpm.b,$D$2:$D$19=$D28,MAX(_xlfn._xlws.FILTER(_xlpm.d,_xlpm.a*_xlpm.b)))</f>
        <v>0.39</v>
      </c>
      <c r="K28" s="1" cm="1">
        <f t="array" ref="K28">_xlfn.LET(_xlpm.d,K$2:K$19,_xlpm.a,$C$2:$C$19=$C28,_xlpm.b,$D$2:$D$19=$D28,MAX(_xlfn._xlws.FILTER(_xlpm.d,_xlpm.a*_xlpm.b)))</f>
        <v>0.44</v>
      </c>
      <c r="L28" s="1" cm="1">
        <f t="array" ref="L28">_xlfn.LET(_xlpm.d,L$2:L$19,_xlpm.a,$C$2:$C$19=$C28,_xlpm.b,$D$2:$D$19=$D28,MAX(_xlfn._xlws.FILTER(_xlpm.d,_xlpm.a*_xlpm.b)))</f>
        <v>0.45</v>
      </c>
      <c r="M28" s="1" cm="1">
        <f t="array" ref="M28">_xlfn.LET(_xlpm.d,M$2:M$19,_xlpm.a,$C$2:$C$19=$C28,_xlpm.b,$D$2:$D$19=$D28,MAX(_xlfn._xlws.FILTER(_xlpm.d,_xlpm.a*_xlpm.b)))</f>
        <v>0.38</v>
      </c>
      <c r="N28" s="1" cm="1">
        <f t="array" ref="N28">_xlfn.LET(_xlpm.d,N$2:N$19,_xlpm.a,$C$2:$C$19=$C28,_xlpm.b,$D$2:$D$19=$D28,MAX(_xlfn._xlws.FILTER(_xlpm.d,_xlpm.a*_xlpm.b)))</f>
        <v>0.35</v>
      </c>
      <c r="O28" s="1" cm="1">
        <f t="array" ref="O28">_xlfn.LET(_xlpm.d,O$2:O$19,_xlpm.a,$C$2:$C$19=$C28,_xlpm.b,$D$2:$D$19=$D28,MAX(_xlfn._xlws.FILTER(_xlpm.d,_xlpm.a*_xlpm.b)))</f>
        <v>0.42</v>
      </c>
      <c r="P28" s="1" cm="1">
        <f t="array" ref="P28">_xlfn.LET(_xlpm.d,P$2:P$19,_xlpm.a,$C$2:$C$19=$C28,_xlpm.b,$D$2:$D$19=$D28,MAX(_xlfn._xlws.FILTER(_xlpm.d,_xlpm.a*_xlpm.b)))</f>
        <v>0.41</v>
      </c>
      <c r="Q28" s="1" cm="1">
        <f t="array" ref="Q28">_xlfn.LET(_xlpm.d,Q$2:Q$19,_xlpm.a,$C$2:$C$19=$C28,_xlpm.b,$D$2:$D$19=$D28,MAX(_xlfn._xlws.FILTER(_xlpm.d,_xlpm.a*_xlpm.b)))</f>
        <v>0.39</v>
      </c>
      <c r="R28" s="1" cm="1">
        <f t="array" ref="R28">_xlfn.LET(_xlpm.d,R$2:R$19,_xlpm.a,$C$2:$C$19=$C28,_xlpm.b,$D$2:$D$19=$D28,MAX(_xlfn._xlws.FILTER(_xlpm.d,_xlpm.a*_xlpm.b)))</f>
        <v>0.48</v>
      </c>
      <c r="S28" s="1">
        <f t="shared" si="1"/>
        <v>0.48</v>
      </c>
    </row>
    <row r="29" spans="1:19" ht="27" customHeight="1"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9" ht="27" customHeight="1"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9" ht="27" customHeight="1"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9" ht="27" customHeight="1"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6:17" ht="27" customHeight="1"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6:17" ht="27" customHeight="1"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6:17" ht="27" customHeight="1"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6:17" ht="27" customHeight="1"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6:17" ht="27" customHeight="1"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6:17" ht="27" customHeight="1"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6:17" ht="27" customHeight="1"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</sheetData>
  <conditionalFormatting sqref="G2:S19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23:S28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03AA5-E025-F347-8D4B-F2B6715A9644}">
  <dimension ref="A1:S42"/>
  <sheetViews>
    <sheetView workbookViewId="0">
      <pane xSplit="7660" ySplit="2440" topLeftCell="H25" activePane="bottomLeft"/>
      <selection activeCell="G1" sqref="G1:S1048576"/>
      <selection pane="topRight" activeCell="T3" sqref="T3"/>
      <selection pane="bottomLeft" activeCell="C32" sqref="C32"/>
      <selection pane="bottomRight" activeCell="T32" sqref="T32"/>
    </sheetView>
  </sheetViews>
  <sheetFormatPr baseColWidth="10" defaultRowHeight="25" customHeight="1"/>
  <cols>
    <col min="1" max="1" width="8.375" customWidth="1"/>
    <col min="2" max="2" width="6.875" customWidth="1"/>
    <col min="4" max="4" width="8.625" customWidth="1"/>
    <col min="5" max="5" width="7.5" customWidth="1"/>
    <col min="6" max="6" width="6.875" customWidth="1"/>
    <col min="7" max="19" width="8.25" customWidth="1"/>
  </cols>
  <sheetData>
    <row r="1" spans="1:19" ht="25" customHeight="1">
      <c r="A1" t="s">
        <v>0</v>
      </c>
      <c r="B1" t="s">
        <v>23</v>
      </c>
      <c r="C1" t="s">
        <v>1</v>
      </c>
      <c r="D1" t="s">
        <v>2</v>
      </c>
      <c r="E1" t="s">
        <v>24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25</v>
      </c>
    </row>
    <row r="2" spans="1:19" ht="25" customHeight="1">
      <c r="A2" t="s">
        <v>16</v>
      </c>
      <c r="B2">
        <v>1</v>
      </c>
      <c r="C2" t="s">
        <v>17</v>
      </c>
      <c r="D2" t="b">
        <v>1</v>
      </c>
      <c r="E2">
        <v>1</v>
      </c>
      <c r="F2" t="s">
        <v>20</v>
      </c>
      <c r="G2" s="1">
        <v>0.87</v>
      </c>
      <c r="H2" s="1">
        <v>0.8</v>
      </c>
      <c r="I2" s="1">
        <v>0.86</v>
      </c>
      <c r="J2" s="1">
        <v>0.82</v>
      </c>
      <c r="K2" s="1">
        <v>0.72</v>
      </c>
      <c r="L2" s="1">
        <v>0.72</v>
      </c>
      <c r="M2" s="1">
        <v>0.85</v>
      </c>
      <c r="N2" s="1">
        <v>0.82</v>
      </c>
      <c r="O2" s="1">
        <v>0.85</v>
      </c>
      <c r="P2" s="1">
        <v>0.81</v>
      </c>
      <c r="Q2" s="1">
        <v>0.81</v>
      </c>
      <c r="R2" s="1">
        <v>0.77</v>
      </c>
      <c r="S2" s="1">
        <f t="shared" ref="S2:S19" si="0">_xlfn.LET(_xlpm.d,$G2:$R2,MAX(_xlpm.d))</f>
        <v>0.87</v>
      </c>
    </row>
    <row r="3" spans="1:19" ht="25" customHeight="1">
      <c r="A3" t="s">
        <v>16</v>
      </c>
      <c r="B3">
        <v>1</v>
      </c>
      <c r="C3" t="s">
        <v>17</v>
      </c>
      <c r="D3" t="b">
        <v>1</v>
      </c>
      <c r="E3">
        <v>2</v>
      </c>
      <c r="F3" t="s">
        <v>18</v>
      </c>
      <c r="G3" s="1">
        <v>0.85</v>
      </c>
      <c r="H3" s="1">
        <v>0.83</v>
      </c>
      <c r="I3" s="1">
        <v>0.85</v>
      </c>
      <c r="J3" s="1">
        <v>0.86</v>
      </c>
      <c r="K3" s="1">
        <v>0.79</v>
      </c>
      <c r="L3" s="1">
        <v>0.82</v>
      </c>
      <c r="M3" s="1">
        <v>0.89</v>
      </c>
      <c r="N3" s="1">
        <v>0.84</v>
      </c>
      <c r="O3" s="1">
        <v>0.88</v>
      </c>
      <c r="P3" s="1">
        <v>0.84</v>
      </c>
      <c r="Q3" s="1">
        <v>0.85</v>
      </c>
      <c r="R3" s="1">
        <v>0.78</v>
      </c>
      <c r="S3" s="1">
        <f t="shared" si="0"/>
        <v>0.89</v>
      </c>
    </row>
    <row r="4" spans="1:19" ht="25" customHeight="1">
      <c r="A4" t="s">
        <v>16</v>
      </c>
      <c r="B4">
        <v>1</v>
      </c>
      <c r="C4" t="s">
        <v>17</v>
      </c>
      <c r="D4" t="b">
        <v>1</v>
      </c>
      <c r="E4">
        <v>3</v>
      </c>
      <c r="F4" t="s">
        <v>19</v>
      </c>
      <c r="G4" s="1">
        <v>0.82</v>
      </c>
      <c r="H4" s="1">
        <v>0.78</v>
      </c>
      <c r="I4" s="1">
        <v>0.82</v>
      </c>
      <c r="J4" s="1">
        <v>0.82</v>
      </c>
      <c r="K4" s="1">
        <v>0.84</v>
      </c>
      <c r="L4" s="1">
        <v>0.76</v>
      </c>
      <c r="M4" s="1">
        <v>0.84</v>
      </c>
      <c r="N4" s="1">
        <v>0.74</v>
      </c>
      <c r="O4" s="1">
        <v>0.76</v>
      </c>
      <c r="P4" s="1">
        <v>0.79</v>
      </c>
      <c r="Q4" s="1">
        <v>0.84</v>
      </c>
      <c r="R4" s="1">
        <v>0.8</v>
      </c>
      <c r="S4" s="1">
        <f t="shared" si="0"/>
        <v>0.84</v>
      </c>
    </row>
    <row r="5" spans="1:19" ht="25" customHeight="1">
      <c r="A5" t="s">
        <v>16</v>
      </c>
      <c r="B5">
        <v>1</v>
      </c>
      <c r="C5" t="s">
        <v>17</v>
      </c>
      <c r="D5" t="b">
        <v>0</v>
      </c>
      <c r="E5">
        <v>1</v>
      </c>
      <c r="F5" t="s">
        <v>20</v>
      </c>
      <c r="G5" s="1">
        <v>0.82</v>
      </c>
      <c r="H5" s="1">
        <v>0.79</v>
      </c>
      <c r="I5" s="1">
        <v>0.78</v>
      </c>
      <c r="J5" s="1">
        <v>0.75</v>
      </c>
      <c r="K5" s="1">
        <v>0.71</v>
      </c>
      <c r="L5" s="1">
        <v>0.77</v>
      </c>
      <c r="M5" s="1">
        <v>0.77</v>
      </c>
      <c r="N5" s="1">
        <v>0.76</v>
      </c>
      <c r="O5" s="1">
        <v>0.78</v>
      </c>
      <c r="P5" s="1">
        <v>0.73</v>
      </c>
      <c r="Q5" s="1">
        <v>0.83</v>
      </c>
      <c r="R5" s="1">
        <v>0.79</v>
      </c>
      <c r="S5" s="1">
        <f t="shared" si="0"/>
        <v>0.83</v>
      </c>
    </row>
    <row r="6" spans="1:19" ht="25" customHeight="1">
      <c r="A6" t="s">
        <v>16</v>
      </c>
      <c r="B6">
        <v>1</v>
      </c>
      <c r="C6" t="s">
        <v>17</v>
      </c>
      <c r="D6" t="b">
        <v>0</v>
      </c>
      <c r="E6">
        <v>2</v>
      </c>
      <c r="F6" t="s">
        <v>18</v>
      </c>
      <c r="G6" s="1">
        <v>0.82</v>
      </c>
      <c r="H6" s="1">
        <v>0.79</v>
      </c>
      <c r="I6" s="1">
        <v>0.83</v>
      </c>
      <c r="J6" s="1">
        <v>0.85</v>
      </c>
      <c r="K6" s="1">
        <v>0.8</v>
      </c>
      <c r="L6" s="1">
        <v>0.82</v>
      </c>
      <c r="M6" s="1">
        <v>0.82</v>
      </c>
      <c r="N6" s="1">
        <v>0.79</v>
      </c>
      <c r="O6" s="1">
        <v>0.8</v>
      </c>
      <c r="P6" s="1">
        <v>0.82</v>
      </c>
      <c r="Q6" s="1">
        <v>0.86</v>
      </c>
      <c r="R6" s="1">
        <v>0.81</v>
      </c>
      <c r="S6" s="1">
        <f t="shared" si="0"/>
        <v>0.86</v>
      </c>
    </row>
    <row r="7" spans="1:19" ht="25" customHeight="1">
      <c r="A7" t="s">
        <v>16</v>
      </c>
      <c r="B7">
        <v>1</v>
      </c>
      <c r="C7" t="s">
        <v>17</v>
      </c>
      <c r="D7" t="b">
        <v>0</v>
      </c>
      <c r="E7">
        <v>3</v>
      </c>
      <c r="F7" t="s">
        <v>19</v>
      </c>
      <c r="G7" s="1">
        <v>0.82</v>
      </c>
      <c r="H7" s="1">
        <v>0.75</v>
      </c>
      <c r="I7" s="1">
        <v>0.78</v>
      </c>
      <c r="J7" s="1">
        <v>0.8</v>
      </c>
      <c r="K7" s="1">
        <v>0.8</v>
      </c>
      <c r="L7" s="1">
        <v>0.78</v>
      </c>
      <c r="M7" s="1">
        <v>0.78</v>
      </c>
      <c r="N7" s="1">
        <v>0.7</v>
      </c>
      <c r="O7" s="1">
        <v>0.75</v>
      </c>
      <c r="P7" s="1">
        <v>0.79</v>
      </c>
      <c r="Q7" s="1">
        <v>0.84</v>
      </c>
      <c r="R7" s="1">
        <v>0.8</v>
      </c>
      <c r="S7" s="1">
        <f t="shared" si="0"/>
        <v>0.84</v>
      </c>
    </row>
    <row r="8" spans="1:19" ht="25" customHeight="1">
      <c r="A8" t="s">
        <v>16</v>
      </c>
      <c r="B8">
        <v>2</v>
      </c>
      <c r="C8" t="s">
        <v>21</v>
      </c>
      <c r="D8" t="b">
        <v>1</v>
      </c>
      <c r="E8">
        <v>1</v>
      </c>
      <c r="F8" t="s">
        <v>20</v>
      </c>
      <c r="G8" s="1">
        <v>0.52</v>
      </c>
      <c r="H8" s="1">
        <v>0.54</v>
      </c>
      <c r="I8" s="1">
        <v>0.47</v>
      </c>
      <c r="J8" s="1">
        <v>0.45</v>
      </c>
      <c r="K8" s="1">
        <v>0.45</v>
      </c>
      <c r="L8" s="1">
        <v>0.56000000000000005</v>
      </c>
      <c r="M8" s="1">
        <v>0.51</v>
      </c>
      <c r="N8" s="1">
        <v>0.53</v>
      </c>
      <c r="O8" s="1">
        <v>0.48</v>
      </c>
      <c r="P8" s="1">
        <v>0.36</v>
      </c>
      <c r="Q8" s="1">
        <v>0.44</v>
      </c>
      <c r="R8" s="1">
        <v>0.39</v>
      </c>
      <c r="S8" s="1">
        <f t="shared" si="0"/>
        <v>0.56000000000000005</v>
      </c>
    </row>
    <row r="9" spans="1:19" ht="25" customHeight="1">
      <c r="A9" t="s">
        <v>16</v>
      </c>
      <c r="B9">
        <v>2</v>
      </c>
      <c r="C9" t="s">
        <v>21</v>
      </c>
      <c r="D9" t="b">
        <v>1</v>
      </c>
      <c r="E9">
        <v>2</v>
      </c>
      <c r="F9" t="s">
        <v>18</v>
      </c>
      <c r="G9" s="1">
        <v>0.62</v>
      </c>
      <c r="H9" s="1">
        <v>0.56999999999999995</v>
      </c>
      <c r="I9" s="1">
        <v>0.62</v>
      </c>
      <c r="J9" s="1">
        <v>0.62</v>
      </c>
      <c r="K9" s="1">
        <v>0.56999999999999995</v>
      </c>
      <c r="L9" s="1">
        <v>0.69</v>
      </c>
      <c r="M9" s="1">
        <v>0.64</v>
      </c>
      <c r="N9" s="1">
        <v>0.56999999999999995</v>
      </c>
      <c r="O9" s="1">
        <v>0.54</v>
      </c>
      <c r="P9" s="1">
        <v>0.61</v>
      </c>
      <c r="Q9" s="1">
        <v>0.56999999999999995</v>
      </c>
      <c r="R9" s="1">
        <v>0.54</v>
      </c>
      <c r="S9" s="1">
        <f t="shared" si="0"/>
        <v>0.69</v>
      </c>
    </row>
    <row r="10" spans="1:19" ht="25" customHeight="1">
      <c r="A10" t="s">
        <v>16</v>
      </c>
      <c r="B10">
        <v>2</v>
      </c>
      <c r="C10" t="s">
        <v>21</v>
      </c>
      <c r="D10" t="b">
        <v>1</v>
      </c>
      <c r="E10">
        <v>3</v>
      </c>
      <c r="F10" t="s">
        <v>19</v>
      </c>
      <c r="G10" s="1">
        <v>0.56999999999999995</v>
      </c>
      <c r="H10" s="1">
        <v>0.52</v>
      </c>
      <c r="I10" s="1">
        <v>0.54</v>
      </c>
      <c r="J10" s="1">
        <v>0.56999999999999995</v>
      </c>
      <c r="K10" s="1">
        <v>0.56000000000000005</v>
      </c>
      <c r="L10" s="1">
        <v>0.62</v>
      </c>
      <c r="M10" s="1">
        <v>0.61</v>
      </c>
      <c r="N10" s="1">
        <v>0.6</v>
      </c>
      <c r="O10" s="1">
        <v>0.48</v>
      </c>
      <c r="P10" s="1">
        <v>0.51</v>
      </c>
      <c r="Q10" s="1">
        <v>0.68</v>
      </c>
      <c r="R10" s="1">
        <v>0.6</v>
      </c>
      <c r="S10" s="1">
        <f t="shared" si="0"/>
        <v>0.68</v>
      </c>
    </row>
    <row r="11" spans="1:19" ht="25" customHeight="1">
      <c r="A11" t="s">
        <v>16</v>
      </c>
      <c r="B11">
        <v>2</v>
      </c>
      <c r="C11" t="s">
        <v>21</v>
      </c>
      <c r="D11" t="b">
        <v>0</v>
      </c>
      <c r="E11">
        <v>1</v>
      </c>
      <c r="F11" t="s">
        <v>20</v>
      </c>
      <c r="G11" s="1">
        <v>0.45</v>
      </c>
      <c r="H11" s="1">
        <v>0.38</v>
      </c>
      <c r="I11" s="1">
        <v>0.41</v>
      </c>
      <c r="J11" s="1">
        <v>0.47</v>
      </c>
      <c r="K11" s="1">
        <v>0.51</v>
      </c>
      <c r="L11" s="1">
        <v>0.48</v>
      </c>
      <c r="M11" s="1">
        <v>0.49</v>
      </c>
      <c r="N11" s="1">
        <v>0.4</v>
      </c>
      <c r="O11" s="1">
        <v>0.46</v>
      </c>
      <c r="P11" s="1">
        <v>0.5</v>
      </c>
      <c r="Q11" s="1">
        <v>0.47</v>
      </c>
      <c r="R11" s="1">
        <v>0.47</v>
      </c>
      <c r="S11" s="1">
        <f t="shared" si="0"/>
        <v>0.51</v>
      </c>
    </row>
    <row r="12" spans="1:19" ht="25" customHeight="1">
      <c r="A12" t="s">
        <v>16</v>
      </c>
      <c r="B12">
        <v>2</v>
      </c>
      <c r="C12" t="s">
        <v>21</v>
      </c>
      <c r="D12" t="b">
        <v>0</v>
      </c>
      <c r="E12">
        <v>2</v>
      </c>
      <c r="F12" t="s">
        <v>18</v>
      </c>
      <c r="G12" s="1">
        <v>0.52</v>
      </c>
      <c r="H12" s="1">
        <v>0.56999999999999995</v>
      </c>
      <c r="I12" s="1">
        <v>0.65</v>
      </c>
      <c r="J12" s="1">
        <v>0.59</v>
      </c>
      <c r="K12" s="1">
        <v>0.6</v>
      </c>
      <c r="L12" s="1">
        <v>0.62</v>
      </c>
      <c r="M12" s="1">
        <v>0.66</v>
      </c>
      <c r="N12" s="1">
        <v>0.57999999999999996</v>
      </c>
      <c r="O12" s="1">
        <v>0.5</v>
      </c>
      <c r="P12" s="1">
        <v>0.56999999999999995</v>
      </c>
      <c r="Q12" s="1">
        <v>0.62</v>
      </c>
      <c r="R12" s="1">
        <v>0.53</v>
      </c>
      <c r="S12" s="1">
        <f t="shared" si="0"/>
        <v>0.66</v>
      </c>
    </row>
    <row r="13" spans="1:19" ht="25" customHeight="1">
      <c r="A13" t="s">
        <v>16</v>
      </c>
      <c r="B13">
        <v>2</v>
      </c>
      <c r="C13" t="s">
        <v>21</v>
      </c>
      <c r="D13" t="b">
        <v>0</v>
      </c>
      <c r="E13">
        <v>3</v>
      </c>
      <c r="F13" t="s">
        <v>19</v>
      </c>
      <c r="G13" s="1">
        <v>0.56000000000000005</v>
      </c>
      <c r="H13" s="1">
        <v>0.56000000000000005</v>
      </c>
      <c r="I13" s="1">
        <v>0.6</v>
      </c>
      <c r="J13" s="1">
        <v>0.62</v>
      </c>
      <c r="K13" s="1">
        <v>0.57999999999999996</v>
      </c>
      <c r="L13" s="1">
        <v>0.65</v>
      </c>
      <c r="M13" s="1">
        <v>0.53</v>
      </c>
      <c r="N13" s="1">
        <v>0.56999999999999995</v>
      </c>
      <c r="O13" s="1">
        <v>0.53</v>
      </c>
      <c r="P13" s="1">
        <v>0.53</v>
      </c>
      <c r="Q13" s="1">
        <v>0.7</v>
      </c>
      <c r="R13" s="1">
        <v>0.6</v>
      </c>
      <c r="S13" s="1">
        <f t="shared" si="0"/>
        <v>0.7</v>
      </c>
    </row>
    <row r="14" spans="1:19" ht="25" customHeight="1">
      <c r="A14" t="s">
        <v>16</v>
      </c>
      <c r="B14">
        <v>3</v>
      </c>
      <c r="C14" t="s">
        <v>22</v>
      </c>
      <c r="D14" t="b">
        <v>1</v>
      </c>
      <c r="E14">
        <v>1</v>
      </c>
      <c r="F14" t="s">
        <v>20</v>
      </c>
      <c r="G14" s="1">
        <v>0.49</v>
      </c>
      <c r="H14" s="1">
        <v>0.34</v>
      </c>
      <c r="I14" s="1">
        <v>0.45</v>
      </c>
      <c r="J14" s="1">
        <v>0.4</v>
      </c>
      <c r="K14" s="1">
        <v>0.44</v>
      </c>
      <c r="L14" s="1">
        <v>0.35</v>
      </c>
      <c r="M14" s="1">
        <v>0.54</v>
      </c>
      <c r="N14" s="1">
        <v>0.41</v>
      </c>
      <c r="O14" s="1">
        <v>0.47</v>
      </c>
      <c r="P14" s="1">
        <v>0.44</v>
      </c>
      <c r="Q14" s="1">
        <v>0.44</v>
      </c>
      <c r="R14" s="1">
        <v>0.3</v>
      </c>
      <c r="S14" s="1">
        <f t="shared" si="0"/>
        <v>0.54</v>
      </c>
    </row>
    <row r="15" spans="1:19" ht="25" customHeight="1">
      <c r="A15" t="s">
        <v>16</v>
      </c>
      <c r="B15">
        <v>3</v>
      </c>
      <c r="C15" t="s">
        <v>22</v>
      </c>
      <c r="D15" t="b">
        <v>1</v>
      </c>
      <c r="E15">
        <v>2</v>
      </c>
      <c r="F15" t="s">
        <v>18</v>
      </c>
      <c r="G15" s="1">
        <v>0.59</v>
      </c>
      <c r="H15" s="1">
        <v>0.38</v>
      </c>
      <c r="I15" s="1">
        <v>0.51</v>
      </c>
      <c r="J15" s="1">
        <v>0.47</v>
      </c>
      <c r="K15" s="1">
        <v>0.5</v>
      </c>
      <c r="L15" s="1">
        <v>0.36</v>
      </c>
      <c r="M15" s="1">
        <v>0.53</v>
      </c>
      <c r="N15" s="1">
        <v>0.48</v>
      </c>
      <c r="O15" s="1">
        <v>0.52</v>
      </c>
      <c r="P15" s="1">
        <v>0.52</v>
      </c>
      <c r="Q15" s="1">
        <v>0.47</v>
      </c>
      <c r="R15" s="1">
        <v>0.44</v>
      </c>
      <c r="S15" s="1">
        <f t="shared" si="0"/>
        <v>0.59</v>
      </c>
    </row>
    <row r="16" spans="1:19" ht="25" customHeight="1">
      <c r="A16" t="s">
        <v>16</v>
      </c>
      <c r="B16">
        <v>3</v>
      </c>
      <c r="C16" t="s">
        <v>22</v>
      </c>
      <c r="D16" t="b">
        <v>1</v>
      </c>
      <c r="E16">
        <v>3</v>
      </c>
      <c r="F16" t="s">
        <v>19</v>
      </c>
      <c r="G16" s="1">
        <v>0.51</v>
      </c>
      <c r="H16" s="1">
        <v>0.34</v>
      </c>
      <c r="I16" s="1">
        <v>0.42</v>
      </c>
      <c r="J16" s="1">
        <v>0.35</v>
      </c>
      <c r="K16" s="1">
        <v>0.41</v>
      </c>
      <c r="L16" s="1">
        <v>0.4</v>
      </c>
      <c r="M16" s="1">
        <v>0.42</v>
      </c>
      <c r="N16" s="1">
        <v>0.4</v>
      </c>
      <c r="O16" s="1">
        <v>0.38</v>
      </c>
      <c r="P16" s="1">
        <v>0.45</v>
      </c>
      <c r="Q16" s="1">
        <v>0.36</v>
      </c>
      <c r="R16" s="1">
        <v>0.35</v>
      </c>
      <c r="S16" s="1">
        <f t="shared" si="0"/>
        <v>0.51</v>
      </c>
    </row>
    <row r="17" spans="1:19" ht="25" customHeight="1">
      <c r="A17" t="s">
        <v>16</v>
      </c>
      <c r="B17">
        <v>3</v>
      </c>
      <c r="C17" t="s">
        <v>22</v>
      </c>
      <c r="D17" t="b">
        <v>0</v>
      </c>
      <c r="E17">
        <v>1</v>
      </c>
      <c r="F17" t="s">
        <v>20</v>
      </c>
      <c r="G17" s="1">
        <v>0.45</v>
      </c>
      <c r="H17" s="1">
        <v>0.37</v>
      </c>
      <c r="I17" s="1">
        <v>0.43</v>
      </c>
      <c r="J17" s="1">
        <v>0.37</v>
      </c>
      <c r="K17" s="1">
        <v>0.44</v>
      </c>
      <c r="L17" s="1">
        <v>0.31</v>
      </c>
      <c r="M17" s="1">
        <v>0.45</v>
      </c>
      <c r="N17" s="1">
        <v>0.34</v>
      </c>
      <c r="O17" s="1">
        <v>0.39</v>
      </c>
      <c r="P17" s="1">
        <v>0.36</v>
      </c>
      <c r="Q17" s="1">
        <v>0.37</v>
      </c>
      <c r="R17" s="1">
        <v>0.26</v>
      </c>
      <c r="S17" s="1">
        <f t="shared" si="0"/>
        <v>0.45</v>
      </c>
    </row>
    <row r="18" spans="1:19" ht="25" customHeight="1">
      <c r="A18" t="s">
        <v>16</v>
      </c>
      <c r="B18">
        <v>3</v>
      </c>
      <c r="C18" t="s">
        <v>22</v>
      </c>
      <c r="D18" t="b">
        <v>0</v>
      </c>
      <c r="E18">
        <v>2</v>
      </c>
      <c r="F18" t="s">
        <v>18</v>
      </c>
      <c r="G18" s="1">
        <v>0.47</v>
      </c>
      <c r="H18" s="1">
        <v>0.32</v>
      </c>
      <c r="I18" s="1">
        <v>0.45</v>
      </c>
      <c r="J18" s="1">
        <v>0.43</v>
      </c>
      <c r="K18" s="1">
        <v>0.47</v>
      </c>
      <c r="L18" s="1">
        <v>0.36</v>
      </c>
      <c r="M18" s="1">
        <v>0.43</v>
      </c>
      <c r="N18" s="1">
        <v>0.38</v>
      </c>
      <c r="O18" s="1">
        <v>0.43</v>
      </c>
      <c r="P18" s="1">
        <v>0.45</v>
      </c>
      <c r="Q18" s="1">
        <v>0.42</v>
      </c>
      <c r="R18" s="1">
        <v>0.36</v>
      </c>
      <c r="S18" s="1">
        <f t="shared" si="0"/>
        <v>0.47</v>
      </c>
    </row>
    <row r="19" spans="1:19" ht="25" customHeight="1">
      <c r="A19" t="s">
        <v>16</v>
      </c>
      <c r="B19">
        <v>3</v>
      </c>
      <c r="C19" t="s">
        <v>22</v>
      </c>
      <c r="D19" t="b">
        <v>0</v>
      </c>
      <c r="E19">
        <v>3</v>
      </c>
      <c r="F19" t="s">
        <v>19</v>
      </c>
      <c r="G19" s="1">
        <v>0.42</v>
      </c>
      <c r="H19" s="1">
        <v>0.33</v>
      </c>
      <c r="I19" s="1">
        <v>0.36</v>
      </c>
      <c r="J19" s="1">
        <v>0.34</v>
      </c>
      <c r="K19" s="1">
        <v>0.42</v>
      </c>
      <c r="L19" s="1">
        <v>0.34</v>
      </c>
      <c r="M19" s="1">
        <v>0.37</v>
      </c>
      <c r="N19" s="1">
        <v>0.33</v>
      </c>
      <c r="O19" s="1">
        <v>0.26</v>
      </c>
      <c r="P19" s="1">
        <v>0.42</v>
      </c>
      <c r="Q19" s="1">
        <v>0.36</v>
      </c>
      <c r="R19" s="1">
        <v>0.34</v>
      </c>
      <c r="S19" s="1">
        <f t="shared" si="0"/>
        <v>0.42</v>
      </c>
    </row>
    <row r="22" spans="1:19" ht="25" customHeight="1">
      <c r="B22" t="s">
        <v>23</v>
      </c>
      <c r="C22" t="s">
        <v>1</v>
      </c>
      <c r="D22" t="s">
        <v>26</v>
      </c>
      <c r="E22" t="s">
        <v>24</v>
      </c>
      <c r="F22" t="s">
        <v>27</v>
      </c>
      <c r="G22" t="s">
        <v>4</v>
      </c>
      <c r="H22" t="s">
        <v>5</v>
      </c>
      <c r="I22" t="s">
        <v>6</v>
      </c>
      <c r="J22" t="s">
        <v>7</v>
      </c>
      <c r="K22" t="s">
        <v>8</v>
      </c>
      <c r="L22" t="s">
        <v>9</v>
      </c>
      <c r="M22" t="s">
        <v>10</v>
      </c>
      <c r="N22" t="s">
        <v>11</v>
      </c>
      <c r="O22" t="s">
        <v>12</v>
      </c>
      <c r="P22" t="s">
        <v>13</v>
      </c>
      <c r="Q22" t="s">
        <v>14</v>
      </c>
      <c r="R22" t="s">
        <v>15</v>
      </c>
      <c r="S22" t="s">
        <v>25</v>
      </c>
    </row>
    <row r="23" spans="1:19" ht="25" customHeight="1">
      <c r="B23">
        <v>1</v>
      </c>
      <c r="C23" t="s">
        <v>17</v>
      </c>
      <c r="D23" t="b">
        <v>1</v>
      </c>
      <c r="E23">
        <v>1</v>
      </c>
      <c r="F23" t="s">
        <v>25</v>
      </c>
      <c r="G23" s="1" cm="1">
        <f t="array" ref="G23">_xlfn.LET(_xlpm.d,G$2:G$19,_xlpm.a,$C$2:$C$19=$C23,_xlpm.b,$D$2:$D$19=$D23,MAX(_xlfn._xlws.FILTER(_xlpm.d,_xlpm.a*_xlpm.b)))</f>
        <v>0.87</v>
      </c>
      <c r="H23" s="1" cm="1">
        <f t="array" ref="H23">_xlfn.LET(_xlpm.d,H$2:H$19,_xlpm.a,$C$2:$C$19=$C23,_xlpm.b,$D$2:$D$19=$D23,MAX(_xlfn._xlws.FILTER(_xlpm.d,_xlpm.a*_xlpm.b)))</f>
        <v>0.83</v>
      </c>
      <c r="I23" s="1" cm="1">
        <f t="array" ref="I23">_xlfn.LET(_xlpm.d,I$2:I$19,_xlpm.a,$C$2:$C$19=$C23,_xlpm.b,$D$2:$D$19=$D23,MAX(_xlfn._xlws.FILTER(_xlpm.d,_xlpm.a*_xlpm.b)))</f>
        <v>0.86</v>
      </c>
      <c r="J23" s="1" cm="1">
        <f t="array" ref="J23">_xlfn.LET(_xlpm.d,J$2:J$19,_xlpm.a,$C$2:$C$19=$C23,_xlpm.b,$D$2:$D$19=$D23,MAX(_xlfn._xlws.FILTER(_xlpm.d,_xlpm.a*_xlpm.b)))</f>
        <v>0.86</v>
      </c>
      <c r="K23" s="1" cm="1">
        <f t="array" ref="K23">_xlfn.LET(_xlpm.d,K$2:K$19,_xlpm.a,$C$2:$C$19=$C23,_xlpm.b,$D$2:$D$19=$D23,MAX(_xlfn._xlws.FILTER(_xlpm.d,_xlpm.a*_xlpm.b)))</f>
        <v>0.84</v>
      </c>
      <c r="L23" s="1" cm="1">
        <f t="array" ref="L23">_xlfn.LET(_xlpm.d,L$2:L$19,_xlpm.a,$C$2:$C$19=$C23,_xlpm.b,$D$2:$D$19=$D23,MAX(_xlfn._xlws.FILTER(_xlpm.d,_xlpm.a*_xlpm.b)))</f>
        <v>0.82</v>
      </c>
      <c r="M23" s="1" cm="1">
        <f t="array" ref="M23">_xlfn.LET(_xlpm.d,M$2:M$19,_xlpm.a,$C$2:$C$19=$C23,_xlpm.b,$D$2:$D$19=$D23,MAX(_xlfn._xlws.FILTER(_xlpm.d,_xlpm.a*_xlpm.b)))</f>
        <v>0.89</v>
      </c>
      <c r="N23" s="1" cm="1">
        <f t="array" ref="N23">_xlfn.LET(_xlpm.d,N$2:N$19,_xlpm.a,$C$2:$C$19=$C23,_xlpm.b,$D$2:$D$19=$D23,MAX(_xlfn._xlws.FILTER(_xlpm.d,_xlpm.a*_xlpm.b)))</f>
        <v>0.84</v>
      </c>
      <c r="O23" s="1" cm="1">
        <f t="array" ref="O23">_xlfn.LET(_xlpm.d,O$2:O$19,_xlpm.a,$C$2:$C$19=$C23,_xlpm.b,$D$2:$D$19=$D23,MAX(_xlfn._xlws.FILTER(_xlpm.d,_xlpm.a*_xlpm.b)))</f>
        <v>0.88</v>
      </c>
      <c r="P23" s="1" cm="1">
        <f t="array" ref="P23">_xlfn.LET(_xlpm.d,P$2:P$19,_xlpm.a,$C$2:$C$19=$C23,_xlpm.b,$D$2:$D$19=$D23,MAX(_xlfn._xlws.FILTER(_xlpm.d,_xlpm.a*_xlpm.b)))</f>
        <v>0.84</v>
      </c>
      <c r="Q23" s="1" cm="1">
        <f t="array" ref="Q23">_xlfn.LET(_xlpm.d,Q$2:Q$19,_xlpm.a,$C$2:$C$19=$C23,_xlpm.b,$D$2:$D$19=$D23,MAX(_xlfn._xlws.FILTER(_xlpm.d,_xlpm.a*_xlpm.b)))</f>
        <v>0.85</v>
      </c>
      <c r="R23" s="1" cm="1">
        <f t="array" ref="R23">_xlfn.LET(_xlpm.d,R$2:R$19,_xlpm.a,$C$2:$C$19=$C23,_xlpm.b,$D$2:$D$19=$D23,MAX(_xlfn._xlws.FILTER(_xlpm.d,_xlpm.a*_xlpm.b)))</f>
        <v>0.8</v>
      </c>
      <c r="S23" s="1">
        <f t="shared" ref="S23:S28" si="1">_xlfn.LET(_xlpm.d,$G23:$R23,MAX(_xlpm.d))</f>
        <v>0.89</v>
      </c>
    </row>
    <row r="24" spans="1:19" ht="25" customHeight="1">
      <c r="B24">
        <v>1</v>
      </c>
      <c r="C24" t="s">
        <v>17</v>
      </c>
      <c r="D24" t="b">
        <v>0</v>
      </c>
      <c r="E24">
        <v>1</v>
      </c>
      <c r="F24" t="s">
        <v>25</v>
      </c>
      <c r="G24" s="1" cm="1">
        <f t="array" ref="G24">_xlfn.LET(_xlpm.d,G$2:G$19,_xlpm.a,$C$2:$C$19=$C24,_xlpm.b,$D$2:$D$19=$D24,MAX(_xlfn._xlws.FILTER(_xlpm.d,_xlpm.a*_xlpm.b)))</f>
        <v>0.82</v>
      </c>
      <c r="H24" s="1" cm="1">
        <f t="array" ref="H24">_xlfn.LET(_xlpm.d,H$2:H$19,_xlpm.a,$C$2:$C$19=$C24,_xlpm.b,$D$2:$D$19=$D24,MAX(_xlfn._xlws.FILTER(_xlpm.d,_xlpm.a*_xlpm.b)))</f>
        <v>0.79</v>
      </c>
      <c r="I24" s="1" cm="1">
        <f t="array" ref="I24">_xlfn.LET(_xlpm.d,I$2:I$19,_xlpm.a,$C$2:$C$19=$C24,_xlpm.b,$D$2:$D$19=$D24,MAX(_xlfn._xlws.FILTER(_xlpm.d,_xlpm.a*_xlpm.b)))</f>
        <v>0.83</v>
      </c>
      <c r="J24" s="1" cm="1">
        <f t="array" ref="J24">_xlfn.LET(_xlpm.d,J$2:J$19,_xlpm.a,$C$2:$C$19=$C24,_xlpm.b,$D$2:$D$19=$D24,MAX(_xlfn._xlws.FILTER(_xlpm.d,_xlpm.a*_xlpm.b)))</f>
        <v>0.85</v>
      </c>
      <c r="K24" s="1" cm="1">
        <f t="array" ref="K24">_xlfn.LET(_xlpm.d,K$2:K$19,_xlpm.a,$C$2:$C$19=$C24,_xlpm.b,$D$2:$D$19=$D24,MAX(_xlfn._xlws.FILTER(_xlpm.d,_xlpm.a*_xlpm.b)))</f>
        <v>0.8</v>
      </c>
      <c r="L24" s="1" cm="1">
        <f t="array" ref="L24">_xlfn.LET(_xlpm.d,L$2:L$19,_xlpm.a,$C$2:$C$19=$C24,_xlpm.b,$D$2:$D$19=$D24,MAX(_xlfn._xlws.FILTER(_xlpm.d,_xlpm.a*_xlpm.b)))</f>
        <v>0.82</v>
      </c>
      <c r="M24" s="1" cm="1">
        <f t="array" ref="M24">_xlfn.LET(_xlpm.d,M$2:M$19,_xlpm.a,$C$2:$C$19=$C24,_xlpm.b,$D$2:$D$19=$D24,MAX(_xlfn._xlws.FILTER(_xlpm.d,_xlpm.a*_xlpm.b)))</f>
        <v>0.82</v>
      </c>
      <c r="N24" s="1" cm="1">
        <f t="array" ref="N24">_xlfn.LET(_xlpm.d,N$2:N$19,_xlpm.a,$C$2:$C$19=$C24,_xlpm.b,$D$2:$D$19=$D24,MAX(_xlfn._xlws.FILTER(_xlpm.d,_xlpm.a*_xlpm.b)))</f>
        <v>0.79</v>
      </c>
      <c r="O24" s="1" cm="1">
        <f t="array" ref="O24">_xlfn.LET(_xlpm.d,O$2:O$19,_xlpm.a,$C$2:$C$19=$C24,_xlpm.b,$D$2:$D$19=$D24,MAX(_xlfn._xlws.FILTER(_xlpm.d,_xlpm.a*_xlpm.b)))</f>
        <v>0.8</v>
      </c>
      <c r="P24" s="1" cm="1">
        <f t="array" ref="P24">_xlfn.LET(_xlpm.d,P$2:P$19,_xlpm.a,$C$2:$C$19=$C24,_xlpm.b,$D$2:$D$19=$D24,MAX(_xlfn._xlws.FILTER(_xlpm.d,_xlpm.a*_xlpm.b)))</f>
        <v>0.82</v>
      </c>
      <c r="Q24" s="1" cm="1">
        <f t="array" ref="Q24">_xlfn.LET(_xlpm.d,Q$2:Q$19,_xlpm.a,$C$2:$C$19=$C24,_xlpm.b,$D$2:$D$19=$D24,MAX(_xlfn._xlws.FILTER(_xlpm.d,_xlpm.a*_xlpm.b)))</f>
        <v>0.86</v>
      </c>
      <c r="R24" s="1" cm="1">
        <f t="array" ref="R24">_xlfn.LET(_xlpm.d,R$2:R$19,_xlpm.a,$C$2:$C$19=$C24,_xlpm.b,$D$2:$D$19=$D24,MAX(_xlfn._xlws.FILTER(_xlpm.d,_xlpm.a*_xlpm.b)))</f>
        <v>0.81</v>
      </c>
      <c r="S24" s="1">
        <f t="shared" si="1"/>
        <v>0.86</v>
      </c>
    </row>
    <row r="25" spans="1:19" ht="25" customHeight="1">
      <c r="B25">
        <v>2</v>
      </c>
      <c r="C25" t="s">
        <v>21</v>
      </c>
      <c r="D25" t="b">
        <v>1</v>
      </c>
      <c r="E25">
        <v>1</v>
      </c>
      <c r="F25" t="s">
        <v>25</v>
      </c>
      <c r="G25" s="1" cm="1">
        <f t="array" ref="G25">_xlfn.LET(_xlpm.d,G$2:G$19,_xlpm.a,$C$2:$C$19=$C25,_xlpm.b,$D$2:$D$19=$D25,MAX(_xlfn._xlws.FILTER(_xlpm.d,_xlpm.a*_xlpm.b)))</f>
        <v>0.62</v>
      </c>
      <c r="H25" s="1" cm="1">
        <f t="array" ref="H25">_xlfn.LET(_xlpm.d,H$2:H$19,_xlpm.a,$C$2:$C$19=$C25,_xlpm.b,$D$2:$D$19=$D25,MAX(_xlfn._xlws.FILTER(_xlpm.d,_xlpm.a*_xlpm.b)))</f>
        <v>0.56999999999999995</v>
      </c>
      <c r="I25" s="1" cm="1">
        <f t="array" ref="I25">_xlfn.LET(_xlpm.d,I$2:I$19,_xlpm.a,$C$2:$C$19=$C25,_xlpm.b,$D$2:$D$19=$D25,MAX(_xlfn._xlws.FILTER(_xlpm.d,_xlpm.a*_xlpm.b)))</f>
        <v>0.62</v>
      </c>
      <c r="J25" s="1" cm="1">
        <f t="array" ref="J25">_xlfn.LET(_xlpm.d,J$2:J$19,_xlpm.a,$C$2:$C$19=$C25,_xlpm.b,$D$2:$D$19=$D25,MAX(_xlfn._xlws.FILTER(_xlpm.d,_xlpm.a*_xlpm.b)))</f>
        <v>0.62</v>
      </c>
      <c r="K25" s="1" cm="1">
        <f t="array" ref="K25">_xlfn.LET(_xlpm.d,K$2:K$19,_xlpm.a,$C$2:$C$19=$C25,_xlpm.b,$D$2:$D$19=$D25,MAX(_xlfn._xlws.FILTER(_xlpm.d,_xlpm.a*_xlpm.b)))</f>
        <v>0.56999999999999995</v>
      </c>
      <c r="L25" s="1" cm="1">
        <f t="array" ref="L25">_xlfn.LET(_xlpm.d,L$2:L$19,_xlpm.a,$C$2:$C$19=$C25,_xlpm.b,$D$2:$D$19=$D25,MAX(_xlfn._xlws.FILTER(_xlpm.d,_xlpm.a*_xlpm.b)))</f>
        <v>0.69</v>
      </c>
      <c r="M25" s="1" cm="1">
        <f t="array" ref="M25">_xlfn.LET(_xlpm.d,M$2:M$19,_xlpm.a,$C$2:$C$19=$C25,_xlpm.b,$D$2:$D$19=$D25,MAX(_xlfn._xlws.FILTER(_xlpm.d,_xlpm.a*_xlpm.b)))</f>
        <v>0.64</v>
      </c>
      <c r="N25" s="1" cm="1">
        <f t="array" ref="N25">_xlfn.LET(_xlpm.d,N$2:N$19,_xlpm.a,$C$2:$C$19=$C25,_xlpm.b,$D$2:$D$19=$D25,MAX(_xlfn._xlws.FILTER(_xlpm.d,_xlpm.a*_xlpm.b)))</f>
        <v>0.6</v>
      </c>
      <c r="O25" s="1" cm="1">
        <f t="array" ref="O25">_xlfn.LET(_xlpm.d,O$2:O$19,_xlpm.a,$C$2:$C$19=$C25,_xlpm.b,$D$2:$D$19=$D25,MAX(_xlfn._xlws.FILTER(_xlpm.d,_xlpm.a*_xlpm.b)))</f>
        <v>0.54</v>
      </c>
      <c r="P25" s="1" cm="1">
        <f t="array" ref="P25">_xlfn.LET(_xlpm.d,P$2:P$19,_xlpm.a,$C$2:$C$19=$C25,_xlpm.b,$D$2:$D$19=$D25,MAX(_xlfn._xlws.FILTER(_xlpm.d,_xlpm.a*_xlpm.b)))</f>
        <v>0.61</v>
      </c>
      <c r="Q25" s="1" cm="1">
        <f t="array" ref="Q25">_xlfn.LET(_xlpm.d,Q$2:Q$19,_xlpm.a,$C$2:$C$19=$C25,_xlpm.b,$D$2:$D$19=$D25,MAX(_xlfn._xlws.FILTER(_xlpm.d,_xlpm.a*_xlpm.b)))</f>
        <v>0.68</v>
      </c>
      <c r="R25" s="1" cm="1">
        <f t="array" ref="R25">_xlfn.LET(_xlpm.d,R$2:R$19,_xlpm.a,$C$2:$C$19=$C25,_xlpm.b,$D$2:$D$19=$D25,MAX(_xlfn._xlws.FILTER(_xlpm.d,_xlpm.a*_xlpm.b)))</f>
        <v>0.6</v>
      </c>
      <c r="S25" s="1">
        <f t="shared" si="1"/>
        <v>0.69</v>
      </c>
    </row>
    <row r="26" spans="1:19" ht="25" customHeight="1">
      <c r="B26">
        <v>2</v>
      </c>
      <c r="C26" t="s">
        <v>21</v>
      </c>
      <c r="D26" t="b">
        <v>0</v>
      </c>
      <c r="E26">
        <v>1</v>
      </c>
      <c r="F26" t="s">
        <v>25</v>
      </c>
      <c r="G26" s="1" cm="1">
        <f t="array" ref="G26">_xlfn.LET(_xlpm.d,G$2:G$19,_xlpm.a,$C$2:$C$19=$C26,_xlpm.b,$D$2:$D$19=$D26,MAX(_xlfn._xlws.FILTER(_xlpm.d,_xlpm.a*_xlpm.b)))</f>
        <v>0.56000000000000005</v>
      </c>
      <c r="H26" s="1" cm="1">
        <f t="array" ref="H26">_xlfn.LET(_xlpm.d,H$2:H$19,_xlpm.a,$C$2:$C$19=$C26,_xlpm.b,$D$2:$D$19=$D26,MAX(_xlfn._xlws.FILTER(_xlpm.d,_xlpm.a*_xlpm.b)))</f>
        <v>0.56999999999999995</v>
      </c>
      <c r="I26" s="1" cm="1">
        <f t="array" ref="I26">_xlfn.LET(_xlpm.d,I$2:I$19,_xlpm.a,$C$2:$C$19=$C26,_xlpm.b,$D$2:$D$19=$D26,MAX(_xlfn._xlws.FILTER(_xlpm.d,_xlpm.a*_xlpm.b)))</f>
        <v>0.65</v>
      </c>
      <c r="J26" s="1" cm="1">
        <f t="array" ref="J26">_xlfn.LET(_xlpm.d,J$2:J$19,_xlpm.a,$C$2:$C$19=$C26,_xlpm.b,$D$2:$D$19=$D26,MAX(_xlfn._xlws.FILTER(_xlpm.d,_xlpm.a*_xlpm.b)))</f>
        <v>0.62</v>
      </c>
      <c r="K26" s="1" cm="1">
        <f t="array" ref="K26">_xlfn.LET(_xlpm.d,K$2:K$19,_xlpm.a,$C$2:$C$19=$C26,_xlpm.b,$D$2:$D$19=$D26,MAX(_xlfn._xlws.FILTER(_xlpm.d,_xlpm.a*_xlpm.b)))</f>
        <v>0.6</v>
      </c>
      <c r="L26" s="1" cm="1">
        <f t="array" ref="L26">_xlfn.LET(_xlpm.d,L$2:L$19,_xlpm.a,$C$2:$C$19=$C26,_xlpm.b,$D$2:$D$19=$D26,MAX(_xlfn._xlws.FILTER(_xlpm.d,_xlpm.a*_xlpm.b)))</f>
        <v>0.65</v>
      </c>
      <c r="M26" s="1" cm="1">
        <f t="array" ref="M26">_xlfn.LET(_xlpm.d,M$2:M$19,_xlpm.a,$C$2:$C$19=$C26,_xlpm.b,$D$2:$D$19=$D26,MAX(_xlfn._xlws.FILTER(_xlpm.d,_xlpm.a*_xlpm.b)))</f>
        <v>0.66</v>
      </c>
      <c r="N26" s="1" cm="1">
        <f t="array" ref="N26">_xlfn.LET(_xlpm.d,N$2:N$19,_xlpm.a,$C$2:$C$19=$C26,_xlpm.b,$D$2:$D$19=$D26,MAX(_xlfn._xlws.FILTER(_xlpm.d,_xlpm.a*_xlpm.b)))</f>
        <v>0.57999999999999996</v>
      </c>
      <c r="O26" s="1" cm="1">
        <f t="array" ref="O26">_xlfn.LET(_xlpm.d,O$2:O$19,_xlpm.a,$C$2:$C$19=$C26,_xlpm.b,$D$2:$D$19=$D26,MAX(_xlfn._xlws.FILTER(_xlpm.d,_xlpm.a*_xlpm.b)))</f>
        <v>0.53</v>
      </c>
      <c r="P26" s="1" cm="1">
        <f t="array" ref="P26">_xlfn.LET(_xlpm.d,P$2:P$19,_xlpm.a,$C$2:$C$19=$C26,_xlpm.b,$D$2:$D$19=$D26,MAX(_xlfn._xlws.FILTER(_xlpm.d,_xlpm.a*_xlpm.b)))</f>
        <v>0.56999999999999995</v>
      </c>
      <c r="Q26" s="1" cm="1">
        <f t="array" ref="Q26">_xlfn.LET(_xlpm.d,Q$2:Q$19,_xlpm.a,$C$2:$C$19=$C26,_xlpm.b,$D$2:$D$19=$D26,MAX(_xlfn._xlws.FILTER(_xlpm.d,_xlpm.a*_xlpm.b)))</f>
        <v>0.7</v>
      </c>
      <c r="R26" s="1" cm="1">
        <f t="array" ref="R26">_xlfn.LET(_xlpm.d,R$2:R$19,_xlpm.a,$C$2:$C$19=$C26,_xlpm.b,$D$2:$D$19=$D26,MAX(_xlfn._xlws.FILTER(_xlpm.d,_xlpm.a*_xlpm.b)))</f>
        <v>0.6</v>
      </c>
      <c r="S26" s="1">
        <f t="shared" si="1"/>
        <v>0.7</v>
      </c>
    </row>
    <row r="27" spans="1:19" ht="25" customHeight="1">
      <c r="B27">
        <v>3</v>
      </c>
      <c r="C27" t="s">
        <v>22</v>
      </c>
      <c r="D27" t="b">
        <v>1</v>
      </c>
      <c r="E27">
        <v>1</v>
      </c>
      <c r="F27" t="s">
        <v>25</v>
      </c>
      <c r="G27" s="1" cm="1">
        <f t="array" ref="G27">_xlfn.LET(_xlpm.d,G$2:G$19,_xlpm.a,$C$2:$C$19=$C27,_xlpm.b,$D$2:$D$19=$D27,MAX(_xlfn._xlws.FILTER(_xlpm.d,_xlpm.a*_xlpm.b)))</f>
        <v>0.59</v>
      </c>
      <c r="H27" s="1" cm="1">
        <f t="array" ref="H27">_xlfn.LET(_xlpm.d,H$2:H$19,_xlpm.a,$C$2:$C$19=$C27,_xlpm.b,$D$2:$D$19=$D27,MAX(_xlfn._xlws.FILTER(_xlpm.d,_xlpm.a*_xlpm.b)))</f>
        <v>0.38</v>
      </c>
      <c r="I27" s="1" cm="1">
        <f t="array" ref="I27">_xlfn.LET(_xlpm.d,I$2:I$19,_xlpm.a,$C$2:$C$19=$C27,_xlpm.b,$D$2:$D$19=$D27,MAX(_xlfn._xlws.FILTER(_xlpm.d,_xlpm.a*_xlpm.b)))</f>
        <v>0.51</v>
      </c>
      <c r="J27" s="1" cm="1">
        <f t="array" ref="J27">_xlfn.LET(_xlpm.d,J$2:J$19,_xlpm.a,$C$2:$C$19=$C27,_xlpm.b,$D$2:$D$19=$D27,MAX(_xlfn._xlws.FILTER(_xlpm.d,_xlpm.a*_xlpm.b)))</f>
        <v>0.47</v>
      </c>
      <c r="K27" s="1" cm="1">
        <f t="array" ref="K27">_xlfn.LET(_xlpm.d,K$2:K$19,_xlpm.a,$C$2:$C$19=$C27,_xlpm.b,$D$2:$D$19=$D27,MAX(_xlfn._xlws.FILTER(_xlpm.d,_xlpm.a*_xlpm.b)))</f>
        <v>0.5</v>
      </c>
      <c r="L27" s="1" cm="1">
        <f t="array" ref="L27">_xlfn.LET(_xlpm.d,L$2:L$19,_xlpm.a,$C$2:$C$19=$C27,_xlpm.b,$D$2:$D$19=$D27,MAX(_xlfn._xlws.FILTER(_xlpm.d,_xlpm.a*_xlpm.b)))</f>
        <v>0.4</v>
      </c>
      <c r="M27" s="1" cm="1">
        <f t="array" ref="M27">_xlfn.LET(_xlpm.d,M$2:M$19,_xlpm.a,$C$2:$C$19=$C27,_xlpm.b,$D$2:$D$19=$D27,MAX(_xlfn._xlws.FILTER(_xlpm.d,_xlpm.a*_xlpm.b)))</f>
        <v>0.54</v>
      </c>
      <c r="N27" s="1" cm="1">
        <f t="array" ref="N27">_xlfn.LET(_xlpm.d,N$2:N$19,_xlpm.a,$C$2:$C$19=$C27,_xlpm.b,$D$2:$D$19=$D27,MAX(_xlfn._xlws.FILTER(_xlpm.d,_xlpm.a*_xlpm.b)))</f>
        <v>0.48</v>
      </c>
      <c r="O27" s="1" cm="1">
        <f t="array" ref="O27">_xlfn.LET(_xlpm.d,O$2:O$19,_xlpm.a,$C$2:$C$19=$C27,_xlpm.b,$D$2:$D$19=$D27,MAX(_xlfn._xlws.FILTER(_xlpm.d,_xlpm.a*_xlpm.b)))</f>
        <v>0.52</v>
      </c>
      <c r="P27" s="1" cm="1">
        <f t="array" ref="P27">_xlfn.LET(_xlpm.d,P$2:P$19,_xlpm.a,$C$2:$C$19=$C27,_xlpm.b,$D$2:$D$19=$D27,MAX(_xlfn._xlws.FILTER(_xlpm.d,_xlpm.a*_xlpm.b)))</f>
        <v>0.52</v>
      </c>
      <c r="Q27" s="1" cm="1">
        <f t="array" ref="Q27">_xlfn.LET(_xlpm.d,Q$2:Q$19,_xlpm.a,$C$2:$C$19=$C27,_xlpm.b,$D$2:$D$19=$D27,MAX(_xlfn._xlws.FILTER(_xlpm.d,_xlpm.a*_xlpm.b)))</f>
        <v>0.47</v>
      </c>
      <c r="R27" s="1" cm="1">
        <f t="array" ref="R27">_xlfn.LET(_xlpm.d,R$2:R$19,_xlpm.a,$C$2:$C$19=$C27,_xlpm.b,$D$2:$D$19=$D27,MAX(_xlfn._xlws.FILTER(_xlpm.d,_xlpm.a*_xlpm.b)))</f>
        <v>0.44</v>
      </c>
      <c r="S27" s="1">
        <f t="shared" si="1"/>
        <v>0.59</v>
      </c>
    </row>
    <row r="28" spans="1:19" ht="25" customHeight="1">
      <c r="B28">
        <v>3</v>
      </c>
      <c r="C28" t="s">
        <v>22</v>
      </c>
      <c r="D28" t="b">
        <v>0</v>
      </c>
      <c r="E28">
        <v>1</v>
      </c>
      <c r="F28" t="s">
        <v>25</v>
      </c>
      <c r="G28" s="1" cm="1">
        <f t="array" ref="G28">_xlfn.LET(_xlpm.d,G$2:G$19,_xlpm.a,$C$2:$C$19=$C28,_xlpm.b,$D$2:$D$19=$D28,MAX(_xlfn._xlws.FILTER(_xlpm.d,_xlpm.a*_xlpm.b)))</f>
        <v>0.47</v>
      </c>
      <c r="H28" s="1" cm="1">
        <f t="array" ref="H28">_xlfn.LET(_xlpm.d,H$2:H$19,_xlpm.a,$C$2:$C$19=$C28,_xlpm.b,$D$2:$D$19=$D28,MAX(_xlfn._xlws.FILTER(_xlpm.d,_xlpm.a*_xlpm.b)))</f>
        <v>0.37</v>
      </c>
      <c r="I28" s="1" cm="1">
        <f t="array" ref="I28">_xlfn.LET(_xlpm.d,I$2:I$19,_xlpm.a,$C$2:$C$19=$C28,_xlpm.b,$D$2:$D$19=$D28,MAX(_xlfn._xlws.FILTER(_xlpm.d,_xlpm.a*_xlpm.b)))</f>
        <v>0.45</v>
      </c>
      <c r="J28" s="1" cm="1">
        <f t="array" ref="J28">_xlfn.LET(_xlpm.d,J$2:J$19,_xlpm.a,$C$2:$C$19=$C28,_xlpm.b,$D$2:$D$19=$D28,MAX(_xlfn._xlws.FILTER(_xlpm.d,_xlpm.a*_xlpm.b)))</f>
        <v>0.43</v>
      </c>
      <c r="K28" s="1" cm="1">
        <f t="array" ref="K28">_xlfn.LET(_xlpm.d,K$2:K$19,_xlpm.a,$C$2:$C$19=$C28,_xlpm.b,$D$2:$D$19=$D28,MAX(_xlfn._xlws.FILTER(_xlpm.d,_xlpm.a*_xlpm.b)))</f>
        <v>0.47</v>
      </c>
      <c r="L28" s="1" cm="1">
        <f t="array" ref="L28">_xlfn.LET(_xlpm.d,L$2:L$19,_xlpm.a,$C$2:$C$19=$C28,_xlpm.b,$D$2:$D$19=$D28,MAX(_xlfn._xlws.FILTER(_xlpm.d,_xlpm.a*_xlpm.b)))</f>
        <v>0.36</v>
      </c>
      <c r="M28" s="1" cm="1">
        <f t="array" ref="M28">_xlfn.LET(_xlpm.d,M$2:M$19,_xlpm.a,$C$2:$C$19=$C28,_xlpm.b,$D$2:$D$19=$D28,MAX(_xlfn._xlws.FILTER(_xlpm.d,_xlpm.a*_xlpm.b)))</f>
        <v>0.45</v>
      </c>
      <c r="N28" s="1" cm="1">
        <f t="array" ref="N28">_xlfn.LET(_xlpm.d,N$2:N$19,_xlpm.a,$C$2:$C$19=$C28,_xlpm.b,$D$2:$D$19=$D28,MAX(_xlfn._xlws.FILTER(_xlpm.d,_xlpm.a*_xlpm.b)))</f>
        <v>0.38</v>
      </c>
      <c r="O28" s="1" cm="1">
        <f t="array" ref="O28">_xlfn.LET(_xlpm.d,O$2:O$19,_xlpm.a,$C$2:$C$19=$C28,_xlpm.b,$D$2:$D$19=$D28,MAX(_xlfn._xlws.FILTER(_xlpm.d,_xlpm.a*_xlpm.b)))</f>
        <v>0.43</v>
      </c>
      <c r="P28" s="1" cm="1">
        <f t="array" ref="P28">_xlfn.LET(_xlpm.d,P$2:P$19,_xlpm.a,$C$2:$C$19=$C28,_xlpm.b,$D$2:$D$19=$D28,MAX(_xlfn._xlws.FILTER(_xlpm.d,_xlpm.a*_xlpm.b)))</f>
        <v>0.45</v>
      </c>
      <c r="Q28" s="1" cm="1">
        <f t="array" ref="Q28">_xlfn.LET(_xlpm.d,Q$2:Q$19,_xlpm.a,$C$2:$C$19=$C28,_xlpm.b,$D$2:$D$19=$D28,MAX(_xlfn._xlws.FILTER(_xlpm.d,_xlpm.a*_xlpm.b)))</f>
        <v>0.42</v>
      </c>
      <c r="R28" s="1" cm="1">
        <f t="array" ref="R28">_xlfn.LET(_xlpm.d,R$2:R$19,_xlpm.a,$C$2:$C$19=$C28,_xlpm.b,$D$2:$D$19=$D28,MAX(_xlfn._xlws.FILTER(_xlpm.d,_xlpm.a*_xlpm.b)))</f>
        <v>0.36</v>
      </c>
      <c r="S28" s="1">
        <f t="shared" si="1"/>
        <v>0.47</v>
      </c>
    </row>
    <row r="30" spans="1:19" ht="25" customHeight="1">
      <c r="E30" t="s">
        <v>25</v>
      </c>
      <c r="F30" t="s">
        <v>28</v>
      </c>
      <c r="G30" s="2" cm="1">
        <f t="array" ref="G30">_xlfn.LET(_xlpm.d,G$23:G$28,_xlpm.c,$E$23:$E$28=1,GEOMEAN(_xlfn._xlws.FILTER(_xlpm.d,_xlpm.c)))</f>
        <v>0.63994666751900253</v>
      </c>
      <c r="H30" s="2" cm="1">
        <f t="array" ref="H30">_xlfn.LET(_xlpm.d,H$23:H$28,_xlpm.c,$E$23:$E$28=1,GEOMEAN(_xlfn._xlws.FILTER(_xlpm.d,_xlpm.c)))</f>
        <v>0.55727988729583955</v>
      </c>
      <c r="I30" s="2" cm="1">
        <f t="array" ref="I30">_xlfn.LET(_xlpm.d,I$23:I$28,_xlpm.c,$E$23:$E$28=1,GEOMEAN(_xlfn._xlws.FILTER(_xlpm.d,_xlpm.c)))</f>
        <v>0.63573684155606347</v>
      </c>
      <c r="J30" s="2" cm="1">
        <f t="array" ref="J30">_xlfn.LET(_xlpm.d,J$23:J$28,_xlpm.c,$E$23:$E$28=1,GEOMEAN(_xlfn._xlws.FILTER(_xlpm.d,_xlpm.c)))</f>
        <v>0.61998023574495897</v>
      </c>
      <c r="K30" s="2" cm="1">
        <f t="array" ref="K30">_xlfn.LET(_xlpm.d,K$23:K$28,_xlpm.c,$E$23:$E$28=1,GEOMEAN(_xlfn._xlws.FILTER(_xlpm.d,_xlpm.c)))</f>
        <v>0.61481417731719812</v>
      </c>
      <c r="L30" s="2" cm="1">
        <f t="array" ref="L30">_xlfn.LET(_xlpm.d,L$23:L$28,_xlpm.c,$E$23:$E$28=1,GEOMEAN(_xlfn._xlws.FILTER(_xlpm.d,_xlpm.c)))</f>
        <v>0.59286904305603794</v>
      </c>
      <c r="M30" s="2" cm="1">
        <f t="array" ref="M30">_xlfn.LET(_xlpm.d,M$23:M$28,_xlpm.c,$E$23:$E$28=1,GEOMEAN(_xlfn._xlws.FILTER(_xlpm.d,_xlpm.c)))</f>
        <v>0.64926552087729528</v>
      </c>
      <c r="N30" s="2" cm="1">
        <f t="array" ref="N30">_xlfn.LET(_xlpm.d,N$23:N$28,_xlpm.c,$E$23:$E$28=1,GEOMEAN(_xlfn._xlws.FILTER(_xlpm.d,_xlpm.c)))</f>
        <v>0.58986379763276175</v>
      </c>
      <c r="O30" s="2" cm="1">
        <f t="array" ref="O30">_xlfn.LET(_xlpm.d,O$23:O$28,_xlpm.c,$E$23:$E$28=1,GEOMEAN(_xlfn._xlws.FILTER(_xlpm.d,_xlpm.c)))</f>
        <v>0.59651176630520941</v>
      </c>
      <c r="P30" s="2" cm="1">
        <f t="array" ref="P30">_xlfn.LET(_xlpm.d,P$23:P$28,_xlpm.c,$E$23:$E$28=1,GEOMEAN(_xlfn._xlws.FILTER(_xlpm.d,_xlpm.c)))</f>
        <v>0.61861286525341275</v>
      </c>
      <c r="Q30" s="2" cm="1">
        <f t="array" ref="Q30">_xlfn.LET(_xlpm.d,Q$23:Q$28,_xlpm.c,$E$23:$E$28=1,GEOMEAN(_xlfn._xlws.FILTER(_xlpm.d,_xlpm.c)))</f>
        <v>0.63994882549190335</v>
      </c>
      <c r="R30" s="2" cm="1">
        <f t="array" ref="R30">_xlfn.LET(_xlpm.d,R$23:R$28,_xlpm.c,$E$23:$E$28=1,GEOMEAN(_xlfn._xlws.FILTER(_xlpm.d,_xlpm.c)))</f>
        <v>0.57712795865488742</v>
      </c>
      <c r="S30" s="2" cm="1">
        <f t="array" ref="S30">_xlfn.LET(_xlpm.d,S$23:S$28,_xlpm.c,$E$23:$E$28=1,GEOMEAN(_xlfn._xlws.FILTER(_xlpm.d,_xlpm.c)))</f>
        <v>0.68411783034232954</v>
      </c>
    </row>
    <row r="31" spans="1:19" ht="25" customHeight="1">
      <c r="E31" t="s">
        <v>25</v>
      </c>
      <c r="F31" t="s">
        <v>25</v>
      </c>
      <c r="G31" s="2" cm="1">
        <f t="array" ref="G31">_xlfn.LET(_xlpm.d,G$23:G$33,_xlpm.c,$E$23:$E$33=1,MAX(_xlfn._xlws.FILTER(_xlpm.d,_xlpm.c)))</f>
        <v>0.87</v>
      </c>
      <c r="H31" s="2" cm="1">
        <f t="array" ref="H31">_xlfn.LET(_xlpm.d,H$23:H$33,_xlpm.c,$E$23:$E$33=1,MAX(_xlfn._xlws.FILTER(_xlpm.d,_xlpm.c)))</f>
        <v>0.83</v>
      </c>
      <c r="I31" s="2" cm="1">
        <f t="array" ref="I31">_xlfn.LET(_xlpm.d,I$23:I$33,_xlpm.c,$E$23:$E$33=1,MAX(_xlfn._xlws.FILTER(_xlpm.d,_xlpm.c)))</f>
        <v>0.86</v>
      </c>
      <c r="J31" s="2" cm="1">
        <f t="array" ref="J31">_xlfn.LET(_xlpm.d,J$23:J$33,_xlpm.c,$E$23:$E$33=1,MAX(_xlfn._xlws.FILTER(_xlpm.d,_xlpm.c)))</f>
        <v>0.86</v>
      </c>
      <c r="K31" s="2" cm="1">
        <f t="array" ref="K31">_xlfn.LET(_xlpm.d,K$23:K$33,_xlpm.c,$E$23:$E$33=1,MAX(_xlfn._xlws.FILTER(_xlpm.d,_xlpm.c)))</f>
        <v>0.84</v>
      </c>
      <c r="L31" s="2" cm="1">
        <f t="array" ref="L31">_xlfn.LET(_xlpm.d,L$23:L$33,_xlpm.c,$E$23:$E$33=1,MAX(_xlfn._xlws.FILTER(_xlpm.d,_xlpm.c)))</f>
        <v>0.82</v>
      </c>
      <c r="M31" s="2" cm="1">
        <f t="array" ref="M31">_xlfn.LET(_xlpm.d,M$23:M$33,_xlpm.c,$E$23:$E$33=1,MAX(_xlfn._xlws.FILTER(_xlpm.d,_xlpm.c)))</f>
        <v>0.89</v>
      </c>
      <c r="N31" s="2" cm="1">
        <f t="array" ref="N31">_xlfn.LET(_xlpm.d,N$23:N$33,_xlpm.c,$E$23:$E$33=1,MAX(_xlfn._xlws.FILTER(_xlpm.d,_xlpm.c)))</f>
        <v>0.84</v>
      </c>
      <c r="O31" s="2" cm="1">
        <f t="array" ref="O31">_xlfn.LET(_xlpm.d,O$23:O$33,_xlpm.c,$E$23:$E$33=1,MAX(_xlfn._xlws.FILTER(_xlpm.d,_xlpm.c)))</f>
        <v>0.88</v>
      </c>
      <c r="P31" s="2" cm="1">
        <f t="array" ref="P31">_xlfn.LET(_xlpm.d,P$23:P$33,_xlpm.c,$E$23:$E$33=1,MAX(_xlfn._xlws.FILTER(_xlpm.d,_xlpm.c)))</f>
        <v>0.84</v>
      </c>
      <c r="Q31" s="2" cm="1">
        <f t="array" ref="Q31">_xlfn.LET(_xlpm.d,Q$23:Q$33,_xlpm.c,$E$23:$E$33=1,MAX(_xlfn._xlws.FILTER(_xlpm.d,_xlpm.c)))</f>
        <v>0.86</v>
      </c>
      <c r="R31" s="2" cm="1">
        <f t="array" ref="R31">_xlfn.LET(_xlpm.d,R$23:R$33,_xlpm.c,$E$23:$E$33=1,MAX(_xlfn._xlws.FILTER(_xlpm.d,_xlpm.c)))</f>
        <v>0.81</v>
      </c>
      <c r="S31" s="2" cm="1">
        <f t="array" ref="S31">_xlfn.LET(_xlpm.d,S$23:S$33,_xlpm.c,$E$23:$E$33=1,MAX(_xlfn._xlws.FILTER(_xlpm.d,_xlpm.c)))</f>
        <v>0.89</v>
      </c>
    </row>
    <row r="32" spans="1:19" ht="25" customHeight="1">
      <c r="E32" t="s">
        <v>25</v>
      </c>
      <c r="F32" t="s">
        <v>29</v>
      </c>
      <c r="G32" s="2" cm="1">
        <f t="array" ref="G32">_xlfn.LET(_xlpm.d,G$23:G$33,_xlpm.c,$E$23:$E$33=1,MIN(_xlfn._xlws.FILTER(_xlpm.d,_xlpm.c)))</f>
        <v>0.47</v>
      </c>
      <c r="H32" s="2" cm="1">
        <f t="array" ref="H32">_xlfn.LET(_xlpm.d,H$23:H$33,_xlpm.c,$E$23:$E$33=1,MIN(_xlfn._xlws.FILTER(_xlpm.d,_xlpm.c)))</f>
        <v>0.37</v>
      </c>
      <c r="I32" s="2" cm="1">
        <f t="array" ref="I32">_xlfn.LET(_xlpm.d,I$23:I$33,_xlpm.c,$E$23:$E$33=1,MIN(_xlfn._xlws.FILTER(_xlpm.d,_xlpm.c)))</f>
        <v>0.45</v>
      </c>
      <c r="J32" s="2" cm="1">
        <f t="array" ref="J32">_xlfn.LET(_xlpm.d,J$23:J$33,_xlpm.c,$E$23:$E$33=1,MIN(_xlfn._xlws.FILTER(_xlpm.d,_xlpm.c)))</f>
        <v>0.43</v>
      </c>
      <c r="K32" s="2" cm="1">
        <f t="array" ref="K32">_xlfn.LET(_xlpm.d,K$23:K$33,_xlpm.c,$E$23:$E$33=1,MIN(_xlfn._xlws.FILTER(_xlpm.d,_xlpm.c)))</f>
        <v>0.47</v>
      </c>
      <c r="L32" s="2" cm="1">
        <f t="array" ref="L32">_xlfn.LET(_xlpm.d,L$23:L$33,_xlpm.c,$E$23:$E$33=1,MIN(_xlfn._xlws.FILTER(_xlpm.d,_xlpm.c)))</f>
        <v>0.36</v>
      </c>
      <c r="M32" s="2" cm="1">
        <f t="array" ref="M32">_xlfn.LET(_xlpm.d,M$23:M$33,_xlpm.c,$E$23:$E$33=1,MIN(_xlfn._xlws.FILTER(_xlpm.d,_xlpm.c)))</f>
        <v>0.45</v>
      </c>
      <c r="N32" s="2" cm="1">
        <f t="array" ref="N32">_xlfn.LET(_xlpm.d,N$23:N$33,_xlpm.c,$E$23:$E$33=1,MIN(_xlfn._xlws.FILTER(_xlpm.d,_xlpm.c)))</f>
        <v>0.38</v>
      </c>
      <c r="O32" s="2" cm="1">
        <f t="array" ref="O32">_xlfn.LET(_xlpm.d,O$23:O$33,_xlpm.c,$E$23:$E$33=1,MIN(_xlfn._xlws.FILTER(_xlpm.d,_xlpm.c)))</f>
        <v>0.43</v>
      </c>
      <c r="P32" s="2" cm="1">
        <f t="array" ref="P32">_xlfn.LET(_xlpm.d,P$23:P$33,_xlpm.c,$E$23:$E$33=1,MIN(_xlfn._xlws.FILTER(_xlpm.d,_xlpm.c)))</f>
        <v>0.45</v>
      </c>
      <c r="Q32" s="2" cm="1">
        <f t="array" ref="Q32">_xlfn.LET(_xlpm.d,Q$23:Q$33,_xlpm.c,$E$23:$E$33=1,MIN(_xlfn._xlws.FILTER(_xlpm.d,_xlpm.c)))</f>
        <v>0.42</v>
      </c>
      <c r="R32" s="2" cm="1">
        <f t="array" ref="R32">_xlfn.LET(_xlpm.d,R$23:R$33,_xlpm.c,$E$23:$E$33=1,MIN(_xlfn._xlws.FILTER(_xlpm.d,_xlpm.c)))</f>
        <v>0.36</v>
      </c>
      <c r="S32" s="2" cm="1">
        <f t="array" ref="S32">_xlfn.LET(_xlpm.d,S$23:S$33,_xlpm.c,$E$23:$E$33=1,MIN(_xlfn._xlws.FILTER(_xlpm.d,_xlpm.c)))</f>
        <v>0.47</v>
      </c>
    </row>
    <row r="33" spans="2:19" ht="25" customHeight="1">
      <c r="E33" t="s">
        <v>25</v>
      </c>
      <c r="F33" t="s">
        <v>30</v>
      </c>
      <c r="G33" cm="1">
        <f t="array" ref="G33">_xlfn.LET(_xlpm.d,G$23:G$33,_xlpm.c,$E$23:$E$33=1,STDEV(_xlfn._xlws.FILTER(_xlpm.d,_xlpm.c)))</f>
        <v>0.15630099167951586</v>
      </c>
      <c r="H33" cm="1">
        <f t="array" ref="H33">_xlfn.LET(_xlpm.d,H$23:H$33,_xlpm.c,$E$23:$E$33=1,STDEV(_xlfn._xlws.FILTER(_xlpm.d,_xlpm.c)))</f>
        <v>0.19532024984624632</v>
      </c>
      <c r="I33" cm="1">
        <f t="array" ref="I33">_xlfn.LET(_xlpm.d,I$23:I$33,_xlpm.c,$E$23:$E$33=1,STDEV(_xlfn._xlws.FILTER(_xlpm.d,_xlpm.c)))</f>
        <v>0.16548917386544254</v>
      </c>
      <c r="J33" cm="1">
        <f t="array" ref="J33">_xlfn.LET(_xlpm.d,J$23:J$33,_xlpm.c,$E$23:$E$33=1,STDEV(_xlfn._xlws.FILTER(_xlpm.d,_xlpm.c)))</f>
        <v>0.18236410465512828</v>
      </c>
      <c r="K33" cm="1">
        <f t="array" ref="K33">_xlfn.LET(_xlpm.d,K$23:K$33,_xlpm.c,$E$23:$E$33=1,STDEV(_xlfn._xlws.FILTER(_xlpm.d,_xlpm.c)))</f>
        <v>0.15491933384829645</v>
      </c>
      <c r="L33" cm="1">
        <f t="array" ref="L33">_xlfn.LET(_xlpm.d,L$23:L$33,_xlpm.c,$E$23:$E$33=1,STDEV(_xlfn._xlws.FILTER(_xlpm.d,_xlpm.c)))</f>
        <v>0.20086479698211596</v>
      </c>
      <c r="M33" cm="1">
        <f t="array" ref="M33">_xlfn.LET(_xlpm.d,M$23:M$33,_xlpm.c,$E$23:$E$33=1,STDEV(_xlfn._xlws.FILTER(_xlpm.d,_xlpm.c)))</f>
        <v>0.16560998359599782</v>
      </c>
      <c r="N33" cm="1">
        <f t="array" ref="N33">_xlfn.LET(_xlpm.d,N$23:N$33,_xlpm.c,$E$23:$E$33=1,STDEV(_xlfn._xlws.FILTER(_xlpm.d,_xlpm.c)))</f>
        <v>0.17668238923748633</v>
      </c>
      <c r="O33" cm="1">
        <f t="array" ref="O33">_xlfn.LET(_xlpm.d,O$23:O$33,_xlpm.c,$E$23:$E$33=1,STDEV(_xlfn._xlws.FILTER(_xlpm.d,_xlpm.c)))</f>
        <v>0.1791833325582117</v>
      </c>
      <c r="P33" cm="1">
        <f t="array" ref="P33">_xlfn.LET(_xlpm.d,P$23:P$33,_xlpm.c,$E$23:$E$33=1,STDEV(_xlfn._xlws.FILTER(_xlpm.d,_xlpm.c)))</f>
        <v>0.16034338152851818</v>
      </c>
      <c r="Q33" cm="1">
        <f t="array" ref="Q33">_xlfn.LET(_xlpm.d,Q$23:Q$33,_xlpm.c,$E$23:$E$33=1,STDEV(_xlfn._xlws.FILTER(_xlpm.d,_xlpm.c)))</f>
        <v>0.18532853710820335</v>
      </c>
      <c r="R33" cm="1">
        <f t="array" ref="R33">_xlfn.LET(_xlpm.d,R$23:R$33,_xlpm.c,$E$23:$E$33=1,STDEV(_xlfn._xlws.FILTER(_xlpm.d,_xlpm.c)))</f>
        <v>0.18291163622543738</v>
      </c>
      <c r="S33" cm="1">
        <f t="array" ref="S33">_xlfn.LET(_xlpm.d,S$23:S$33,_xlpm.c,$E$23:$E$33=1,STDEV(_xlfn._xlws.FILTER(_xlpm.d,_xlpm.c)))</f>
        <v>0.15924823389915521</v>
      </c>
    </row>
    <row r="36" spans="2:19" ht="25" customHeight="1">
      <c r="B36" t="s">
        <v>23</v>
      </c>
      <c r="C36" t="s">
        <v>1</v>
      </c>
      <c r="D36" t="s">
        <v>26</v>
      </c>
      <c r="E36" t="s">
        <v>24</v>
      </c>
      <c r="F36" t="s">
        <v>27</v>
      </c>
      <c r="G36" t="s">
        <v>4</v>
      </c>
      <c r="H36" t="s">
        <v>5</v>
      </c>
      <c r="I36" t="s">
        <v>6</v>
      </c>
      <c r="J36" t="s">
        <v>7</v>
      </c>
      <c r="K36" t="s">
        <v>8</v>
      </c>
      <c r="L36" t="s">
        <v>9</v>
      </c>
      <c r="M36" t="s">
        <v>10</v>
      </c>
      <c r="N36" t="s">
        <v>11</v>
      </c>
      <c r="O36" t="s">
        <v>12</v>
      </c>
      <c r="P36" t="s">
        <v>13</v>
      </c>
      <c r="Q36" t="s">
        <v>14</v>
      </c>
      <c r="R36" t="s">
        <v>15</v>
      </c>
    </row>
    <row r="37" spans="2:19" ht="25" customHeight="1">
      <c r="B37">
        <v>1</v>
      </c>
      <c r="C37" t="s">
        <v>17</v>
      </c>
      <c r="D37" t="b">
        <v>1</v>
      </c>
      <c r="E37">
        <v>1</v>
      </c>
      <c r="F37" t="s">
        <v>31</v>
      </c>
      <c r="G37" s="3">
        <f t="shared" ref="G37:R37" si="2">_xlfn.LET(_xlpm.d,$G23:$X23,RANK(G23,_xlpm.d))</f>
        <v>4</v>
      </c>
      <c r="H37" s="3">
        <f t="shared" si="2"/>
        <v>11</v>
      </c>
      <c r="I37" s="3">
        <f t="shared" si="2"/>
        <v>5</v>
      </c>
      <c r="J37" s="3">
        <f t="shared" si="2"/>
        <v>5</v>
      </c>
      <c r="K37" s="3">
        <f t="shared" si="2"/>
        <v>8</v>
      </c>
      <c r="L37" s="3">
        <f t="shared" si="2"/>
        <v>12</v>
      </c>
      <c r="M37" s="3">
        <f t="shared" si="2"/>
        <v>1</v>
      </c>
      <c r="N37" s="3">
        <f t="shared" si="2"/>
        <v>8</v>
      </c>
      <c r="O37" s="3">
        <f t="shared" si="2"/>
        <v>3</v>
      </c>
      <c r="P37" s="3">
        <f t="shared" si="2"/>
        <v>8</v>
      </c>
      <c r="Q37" s="3">
        <f t="shared" si="2"/>
        <v>7</v>
      </c>
      <c r="R37" s="3">
        <f t="shared" si="2"/>
        <v>13</v>
      </c>
    </row>
    <row r="38" spans="2:19" ht="25" customHeight="1">
      <c r="B38">
        <v>1</v>
      </c>
      <c r="C38" t="s">
        <v>17</v>
      </c>
      <c r="D38" t="b">
        <v>0</v>
      </c>
      <c r="E38">
        <v>1</v>
      </c>
      <c r="F38" t="s">
        <v>31</v>
      </c>
      <c r="G38" s="3">
        <f t="shared" ref="G38:R38" si="3">_xlfn.LET(_xlpm.d,$G24:$X24,RANK(G24,_xlpm.d))</f>
        <v>5</v>
      </c>
      <c r="H38" s="3">
        <f t="shared" si="3"/>
        <v>12</v>
      </c>
      <c r="I38" s="3">
        <f t="shared" si="3"/>
        <v>4</v>
      </c>
      <c r="J38" s="3">
        <f t="shared" si="3"/>
        <v>3</v>
      </c>
      <c r="K38" s="3">
        <f t="shared" si="3"/>
        <v>10</v>
      </c>
      <c r="L38" s="3">
        <f t="shared" si="3"/>
        <v>5</v>
      </c>
      <c r="M38" s="3">
        <f t="shared" si="3"/>
        <v>5</v>
      </c>
      <c r="N38" s="3">
        <f t="shared" si="3"/>
        <v>12</v>
      </c>
      <c r="O38" s="3">
        <f t="shared" si="3"/>
        <v>10</v>
      </c>
      <c r="P38" s="3">
        <f t="shared" si="3"/>
        <v>5</v>
      </c>
      <c r="Q38" s="3">
        <f t="shared" si="3"/>
        <v>1</v>
      </c>
      <c r="R38" s="3">
        <f t="shared" si="3"/>
        <v>9</v>
      </c>
    </row>
    <row r="39" spans="2:19" ht="25" customHeight="1">
      <c r="B39">
        <v>2</v>
      </c>
      <c r="C39" t="s">
        <v>21</v>
      </c>
      <c r="D39" t="b">
        <v>1</v>
      </c>
      <c r="E39">
        <v>1</v>
      </c>
      <c r="F39" t="s">
        <v>31</v>
      </c>
      <c r="G39" s="3">
        <f t="shared" ref="G39:R39" si="4">_xlfn.LET(_xlpm.d,$G25:$X25,RANK(G25,_xlpm.d))</f>
        <v>5</v>
      </c>
      <c r="H39" s="3">
        <f t="shared" si="4"/>
        <v>11</v>
      </c>
      <c r="I39" s="3">
        <f t="shared" si="4"/>
        <v>5</v>
      </c>
      <c r="J39" s="3">
        <f t="shared" si="4"/>
        <v>5</v>
      </c>
      <c r="K39" s="3">
        <f t="shared" si="4"/>
        <v>11</v>
      </c>
      <c r="L39" s="3">
        <f t="shared" si="4"/>
        <v>1</v>
      </c>
      <c r="M39" s="3">
        <f t="shared" si="4"/>
        <v>4</v>
      </c>
      <c r="N39" s="3">
        <f t="shared" si="4"/>
        <v>9</v>
      </c>
      <c r="O39" s="3">
        <f t="shared" si="4"/>
        <v>13</v>
      </c>
      <c r="P39" s="3">
        <f t="shared" si="4"/>
        <v>8</v>
      </c>
      <c r="Q39" s="3">
        <f t="shared" si="4"/>
        <v>3</v>
      </c>
      <c r="R39" s="3">
        <f t="shared" si="4"/>
        <v>9</v>
      </c>
    </row>
    <row r="40" spans="2:19" ht="25" customHeight="1">
      <c r="B40">
        <v>2</v>
      </c>
      <c r="C40" t="s">
        <v>21</v>
      </c>
      <c r="D40" t="b">
        <v>0</v>
      </c>
      <c r="E40">
        <v>1</v>
      </c>
      <c r="F40" t="s">
        <v>31</v>
      </c>
      <c r="G40" s="3">
        <f t="shared" ref="G40:R40" si="5">_xlfn.LET(_xlpm.d,$G26:$X26,RANK(G26,_xlpm.d))</f>
        <v>12</v>
      </c>
      <c r="H40" s="3">
        <f t="shared" si="5"/>
        <v>10</v>
      </c>
      <c r="I40" s="3">
        <f t="shared" si="5"/>
        <v>4</v>
      </c>
      <c r="J40" s="3">
        <f t="shared" si="5"/>
        <v>6</v>
      </c>
      <c r="K40" s="3">
        <f t="shared" si="5"/>
        <v>7</v>
      </c>
      <c r="L40" s="3">
        <f t="shared" si="5"/>
        <v>4</v>
      </c>
      <c r="M40" s="3">
        <f t="shared" si="5"/>
        <v>3</v>
      </c>
      <c r="N40" s="3">
        <f t="shared" si="5"/>
        <v>9</v>
      </c>
      <c r="O40" s="3">
        <f t="shared" si="5"/>
        <v>13</v>
      </c>
      <c r="P40" s="3">
        <f t="shared" si="5"/>
        <v>10</v>
      </c>
      <c r="Q40" s="3">
        <f t="shared" si="5"/>
        <v>1</v>
      </c>
      <c r="R40" s="3">
        <f t="shared" si="5"/>
        <v>7</v>
      </c>
    </row>
    <row r="41" spans="2:19" ht="25" customHeight="1">
      <c r="B41">
        <v>3</v>
      </c>
      <c r="C41" t="s">
        <v>22</v>
      </c>
      <c r="D41" t="b">
        <v>1</v>
      </c>
      <c r="E41">
        <v>1</v>
      </c>
      <c r="F41" t="s">
        <v>31</v>
      </c>
      <c r="G41" s="3">
        <f t="shared" ref="G41:R41" si="6">_xlfn.LET(_xlpm.d,$G27:$X27,RANK(G27,_xlpm.d))</f>
        <v>1</v>
      </c>
      <c r="H41" s="3">
        <f t="shared" si="6"/>
        <v>13</v>
      </c>
      <c r="I41" s="3">
        <f t="shared" si="6"/>
        <v>6</v>
      </c>
      <c r="J41" s="3">
        <f t="shared" si="6"/>
        <v>9</v>
      </c>
      <c r="K41" s="3">
        <f t="shared" si="6"/>
        <v>7</v>
      </c>
      <c r="L41" s="3">
        <f t="shared" si="6"/>
        <v>12</v>
      </c>
      <c r="M41" s="3">
        <f t="shared" si="6"/>
        <v>3</v>
      </c>
      <c r="N41" s="3">
        <f t="shared" si="6"/>
        <v>8</v>
      </c>
      <c r="O41" s="3">
        <f t="shared" si="6"/>
        <v>4</v>
      </c>
      <c r="P41" s="3">
        <f t="shared" si="6"/>
        <v>4</v>
      </c>
      <c r="Q41" s="3">
        <f t="shared" si="6"/>
        <v>9</v>
      </c>
      <c r="R41" s="3">
        <f t="shared" si="6"/>
        <v>11</v>
      </c>
    </row>
    <row r="42" spans="2:19" ht="25" customHeight="1">
      <c r="B42">
        <v>3</v>
      </c>
      <c r="C42" t="s">
        <v>22</v>
      </c>
      <c r="D42" t="b">
        <v>0</v>
      </c>
      <c r="E42">
        <v>1</v>
      </c>
      <c r="F42" t="s">
        <v>31</v>
      </c>
      <c r="G42" s="3">
        <f t="shared" ref="G42:R42" si="7">_xlfn.LET(_xlpm.d,$G28:$X28,RANK(G28,_xlpm.d))</f>
        <v>1</v>
      </c>
      <c r="H42" s="3">
        <f t="shared" si="7"/>
        <v>11</v>
      </c>
      <c r="I42" s="3">
        <f t="shared" si="7"/>
        <v>4</v>
      </c>
      <c r="J42" s="3">
        <f t="shared" si="7"/>
        <v>7</v>
      </c>
      <c r="K42" s="3">
        <f t="shared" si="7"/>
        <v>1</v>
      </c>
      <c r="L42" s="3">
        <f t="shared" si="7"/>
        <v>12</v>
      </c>
      <c r="M42" s="3">
        <f t="shared" si="7"/>
        <v>4</v>
      </c>
      <c r="N42" s="3">
        <f t="shared" si="7"/>
        <v>10</v>
      </c>
      <c r="O42" s="3">
        <f t="shared" si="7"/>
        <v>7</v>
      </c>
      <c r="P42" s="3">
        <f t="shared" si="7"/>
        <v>4</v>
      </c>
      <c r="Q42" s="3">
        <f t="shared" si="7"/>
        <v>9</v>
      </c>
      <c r="R42" s="3">
        <f t="shared" si="7"/>
        <v>12</v>
      </c>
    </row>
  </sheetData>
  <conditionalFormatting sqref="G37:R42">
    <cfRule type="colorScale" priority="1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conditionalFormatting sqref="G2:S19">
    <cfRule type="colorScale" priority="5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23:S28">
    <cfRule type="colorScale" priority="4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30:S32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summarized</vt:lpstr>
      <vt:lpstr>summarized.old</vt:lpstr>
      <vt:lpstr>2.0k-ml3.0-xsk-mgv9</vt:lpstr>
      <vt:lpstr>2.0k-ml2.0-xsk-mgv9</vt:lpstr>
      <vt:lpstr>1.2k-ml3.0-xsk-mgv9</vt:lpstr>
      <vt:lpstr>1.2k-ml2.0-xsk-mgv9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Kuroda, Kow</dc:creator>
  <cp:keywords/>
  <dc:description/>
  <cp:lastModifiedBy>Kuroda, Kow</cp:lastModifiedBy>
  <dcterms:created xsi:type="dcterms:W3CDTF">2025-02-25T02:21:28Z</dcterms:created>
  <dcterms:modified xsi:type="dcterms:W3CDTF">2025-03-03T05:32:12Z</dcterms:modified>
  <cp:category/>
</cp:coreProperties>
</file>