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wk/Dropbox/GitHub/ngram-based-noun-classification/results/"/>
    </mc:Choice>
  </mc:AlternateContent>
  <xr:revisionPtr revIDLastSave="0" documentId="13_ncr:1_{190C242C-052B-5C41-9BAE-51D97D735475}" xr6:coauthVersionLast="47" xr6:coauthVersionMax="47" xr10:uidLastSave="{00000000-0000-0000-0000-000000000000}"/>
  <bookViews>
    <workbookView xWindow="2100" yWindow="500" windowWidth="27360" windowHeight="16440" xr2:uid="{D1FBB383-0E53-9341-9073-E4B7E4C6435D}"/>
  </bookViews>
  <sheets>
    <sheet name="2k-xsk-mgv3" sheetId="2" r:id="rId1"/>
    <sheet name="sk-xsk-3k-mgv9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2" l="1"/>
  <c r="Y24" i="2"/>
  <c r="Y23" i="2"/>
  <c r="Y22" i="2"/>
  <c r="Y21" i="2"/>
  <c r="Y20" i="2"/>
  <c r="Y19" i="2"/>
  <c r="Y18" i="2"/>
  <c r="Y17" i="2"/>
  <c r="Y16" i="2"/>
  <c r="Y15" i="2"/>
  <c r="Y14" i="2"/>
  <c r="Y13" i="2"/>
  <c r="Y12" i="2"/>
  <c r="Y11" i="2"/>
  <c r="Y10" i="2"/>
  <c r="Y9" i="2"/>
  <c r="Y8" i="2"/>
  <c r="Y7" i="2"/>
  <c r="Y6" i="2"/>
  <c r="Y5" i="2"/>
  <c r="Y4" i="2"/>
  <c r="Y3" i="2"/>
  <c r="Y2" i="2"/>
  <c r="X28" i="1" a="1"/>
  <c r="X28" i="1" s="1"/>
  <c r="W28" i="1" a="1"/>
  <c r="W28" i="1" s="1"/>
  <c r="V28" i="1" a="1"/>
  <c r="V28" i="1" s="1"/>
  <c r="U28" i="1" a="1"/>
  <c r="U28" i="1" s="1"/>
  <c r="T28" i="1" a="1"/>
  <c r="T28" i="1" s="1"/>
  <c r="S28" i="1" a="1"/>
  <c r="S28" i="1" s="1"/>
  <c r="R28" i="1" a="1"/>
  <c r="R28" i="1" s="1"/>
  <c r="Q28" i="1" a="1"/>
  <c r="Q28" i="1" s="1"/>
  <c r="Q42" i="1" s="1"/>
  <c r="P28" i="1" a="1"/>
  <c r="P28" i="1" s="1"/>
  <c r="O28" i="1" a="1"/>
  <c r="O28" i="1" s="1"/>
  <c r="N28" i="1" a="1"/>
  <c r="N28" i="1" s="1"/>
  <c r="M28" i="1" a="1"/>
  <c r="M28" i="1" s="1"/>
  <c r="L28" i="1" a="1"/>
  <c r="L28" i="1" s="1"/>
  <c r="K28" i="1" a="1"/>
  <c r="K28" i="1" s="1"/>
  <c r="J28" i="1" a="1"/>
  <c r="J28" i="1" s="1"/>
  <c r="I28" i="1" a="1"/>
  <c r="I28" i="1" s="1"/>
  <c r="I42" i="1" s="1"/>
  <c r="H28" i="1" a="1"/>
  <c r="H28" i="1" s="1"/>
  <c r="G28" i="1" a="1"/>
  <c r="G28" i="1" s="1"/>
  <c r="X27" i="1" a="1"/>
  <c r="X27" i="1" s="1"/>
  <c r="W27" i="1" a="1"/>
  <c r="W27" i="1" s="1"/>
  <c r="V27" i="1" a="1"/>
  <c r="V27" i="1" s="1"/>
  <c r="U27" i="1" a="1"/>
  <c r="U27" i="1" s="1"/>
  <c r="T27" i="1" a="1"/>
  <c r="T27" i="1" s="1"/>
  <c r="S27" i="1" a="1"/>
  <c r="S27" i="1" s="1"/>
  <c r="R27" i="1" a="1"/>
  <c r="R27" i="1" s="1"/>
  <c r="Q27" i="1" a="1"/>
  <c r="Q27" i="1" s="1"/>
  <c r="P27" i="1" a="1"/>
  <c r="P27" i="1" s="1"/>
  <c r="O27" i="1" a="1"/>
  <c r="O27" i="1" s="1"/>
  <c r="N27" i="1" a="1"/>
  <c r="N27" i="1" s="1"/>
  <c r="M27" i="1" a="1"/>
  <c r="M27" i="1" s="1"/>
  <c r="L27" i="1" a="1"/>
  <c r="L27" i="1" s="1"/>
  <c r="K27" i="1" a="1"/>
  <c r="K27" i="1" s="1"/>
  <c r="K41" i="1" s="1"/>
  <c r="J27" i="1" a="1"/>
  <c r="J27" i="1" s="1"/>
  <c r="I27" i="1" a="1"/>
  <c r="I27" i="1" s="1"/>
  <c r="H27" i="1" a="1"/>
  <c r="H27" i="1" s="1"/>
  <c r="G27" i="1" a="1"/>
  <c r="G27" i="1" s="1"/>
  <c r="X26" i="1" a="1"/>
  <c r="X26" i="1" s="1"/>
  <c r="W26" i="1" a="1"/>
  <c r="W26" i="1" s="1"/>
  <c r="V26" i="1" a="1"/>
  <c r="V26" i="1" s="1"/>
  <c r="U26" i="1" a="1"/>
  <c r="U26" i="1" s="1"/>
  <c r="U40" i="1" s="1"/>
  <c r="T26" i="1" a="1"/>
  <c r="T26" i="1" s="1"/>
  <c r="S26" i="1" a="1"/>
  <c r="S26" i="1" s="1"/>
  <c r="R26" i="1" a="1"/>
  <c r="R26" i="1" s="1"/>
  <c r="Q26" i="1" a="1"/>
  <c r="Q26" i="1" s="1"/>
  <c r="P26" i="1" a="1"/>
  <c r="P26" i="1" s="1"/>
  <c r="O26" i="1" a="1"/>
  <c r="O26" i="1" s="1"/>
  <c r="N26" i="1" a="1"/>
  <c r="N26" i="1" s="1"/>
  <c r="M26" i="1" a="1"/>
  <c r="M26" i="1" s="1"/>
  <c r="L26" i="1" a="1"/>
  <c r="L26" i="1" s="1"/>
  <c r="K26" i="1" a="1"/>
  <c r="K26" i="1" s="1"/>
  <c r="J26" i="1" a="1"/>
  <c r="J26" i="1" s="1"/>
  <c r="I26" i="1" a="1"/>
  <c r="I26" i="1" s="1"/>
  <c r="H26" i="1" a="1"/>
  <c r="H26" i="1" s="1"/>
  <c r="G26" i="1" a="1"/>
  <c r="G26" i="1" s="1"/>
  <c r="X25" i="1" a="1"/>
  <c r="X25" i="1" s="1"/>
  <c r="W25" i="1" a="1"/>
  <c r="W25" i="1" s="1"/>
  <c r="V25" i="1" a="1"/>
  <c r="V25" i="1" s="1"/>
  <c r="U25" i="1" a="1"/>
  <c r="U25" i="1" s="1"/>
  <c r="T25" i="1" a="1"/>
  <c r="T25" i="1" s="1"/>
  <c r="S25" i="1" a="1"/>
  <c r="S25" i="1" s="1"/>
  <c r="R25" i="1" a="1"/>
  <c r="R25" i="1" s="1"/>
  <c r="Q25" i="1" a="1"/>
  <c r="Q25" i="1" s="1"/>
  <c r="P25" i="1" a="1"/>
  <c r="P25" i="1" s="1"/>
  <c r="O25" i="1" a="1"/>
  <c r="O25" i="1" s="1"/>
  <c r="N25" i="1" a="1"/>
  <c r="N25" i="1" s="1"/>
  <c r="M25" i="1" a="1"/>
  <c r="M25" i="1" s="1"/>
  <c r="L25" i="1" a="1"/>
  <c r="L25" i="1" s="1"/>
  <c r="K25" i="1" a="1"/>
  <c r="K25" i="1" s="1"/>
  <c r="J25" i="1" a="1"/>
  <c r="J25" i="1" s="1"/>
  <c r="I25" i="1" a="1"/>
  <c r="I25" i="1" s="1"/>
  <c r="H25" i="1" a="1"/>
  <c r="H25" i="1" s="1"/>
  <c r="G25" i="1" a="1"/>
  <c r="G25" i="1" s="1"/>
  <c r="X24" i="1" a="1"/>
  <c r="X24" i="1" s="1"/>
  <c r="W24" i="1" a="1"/>
  <c r="W24" i="1" s="1"/>
  <c r="V24" i="1" a="1"/>
  <c r="V24" i="1" s="1"/>
  <c r="U24" i="1" a="1"/>
  <c r="U24" i="1" s="1"/>
  <c r="T24" i="1" a="1"/>
  <c r="T24" i="1" s="1"/>
  <c r="S24" i="1" a="1"/>
  <c r="S24" i="1" s="1"/>
  <c r="R24" i="1" a="1"/>
  <c r="R24" i="1" s="1"/>
  <c r="Q24" i="1" a="1"/>
  <c r="Q24" i="1" s="1"/>
  <c r="P24" i="1" a="1"/>
  <c r="P24" i="1" s="1"/>
  <c r="O24" i="1" a="1"/>
  <c r="O24" i="1" s="1"/>
  <c r="N24" i="1" a="1"/>
  <c r="N24" i="1" s="1"/>
  <c r="M24" i="1" a="1"/>
  <c r="M24" i="1" s="1"/>
  <c r="L24" i="1" a="1"/>
  <c r="L24" i="1" s="1"/>
  <c r="K24" i="1" a="1"/>
  <c r="K24" i="1" s="1"/>
  <c r="J24" i="1" a="1"/>
  <c r="J24" i="1" s="1"/>
  <c r="J38" i="1" s="1"/>
  <c r="I24" i="1" a="1"/>
  <c r="I24" i="1" s="1"/>
  <c r="H24" i="1" a="1"/>
  <c r="H24" i="1" s="1"/>
  <c r="G24" i="1" a="1"/>
  <c r="G24" i="1" s="1"/>
  <c r="X23" i="1" a="1"/>
  <c r="X23" i="1" s="1"/>
  <c r="W23" i="1" a="1"/>
  <c r="W23" i="1" s="1"/>
  <c r="V23" i="1" a="1"/>
  <c r="V23" i="1" s="1"/>
  <c r="U23" i="1" a="1"/>
  <c r="U23" i="1" s="1"/>
  <c r="T23" i="1" a="1"/>
  <c r="T23" i="1" s="1"/>
  <c r="T33" i="1" s="1" a="1"/>
  <c r="T33" i="1" s="1"/>
  <c r="S23" i="1" a="1"/>
  <c r="S23" i="1" s="1"/>
  <c r="R23" i="1" a="1"/>
  <c r="R23" i="1" s="1"/>
  <c r="Q23" i="1" a="1"/>
  <c r="Q23" i="1" s="1"/>
  <c r="P23" i="1" a="1"/>
  <c r="P23" i="1" s="1"/>
  <c r="O23" i="1" a="1"/>
  <c r="O23" i="1" s="1"/>
  <c r="N23" i="1" a="1"/>
  <c r="N23" i="1" s="1"/>
  <c r="M23" i="1" a="1"/>
  <c r="M23" i="1" s="1"/>
  <c r="L23" i="1" a="1"/>
  <c r="L23" i="1" s="1"/>
  <c r="L33" i="1" s="1" a="1"/>
  <c r="L33" i="1" s="1"/>
  <c r="K23" i="1" a="1"/>
  <c r="K23" i="1" s="1"/>
  <c r="J23" i="1" a="1"/>
  <c r="J23" i="1" s="1"/>
  <c r="I23" i="1" a="1"/>
  <c r="I23" i="1" s="1"/>
  <c r="H23" i="1" a="1"/>
  <c r="H23" i="1" s="1"/>
  <c r="G23" i="1" a="1"/>
  <c r="G23" i="1" s="1"/>
  <c r="Y19" i="1"/>
  <c r="Y18" i="1"/>
  <c r="Y17" i="1"/>
  <c r="Y28" i="1" s="1" a="1"/>
  <c r="Y28" i="1" s="1"/>
  <c r="Y16" i="1"/>
  <c r="Y15" i="1"/>
  <c r="Y14" i="1"/>
  <c r="Y27" i="1" s="1" a="1"/>
  <c r="Y27" i="1" s="1"/>
  <c r="Y13" i="1"/>
  <c r="Y12" i="1"/>
  <c r="Y11" i="1"/>
  <c r="Y10" i="1"/>
  <c r="Y9" i="1"/>
  <c r="Y25" i="1" s="1" a="1"/>
  <c r="Y25" i="1" s="1"/>
  <c r="Y8" i="1"/>
  <c r="Y7" i="1"/>
  <c r="Y6" i="1"/>
  <c r="Y5" i="1"/>
  <c r="Y4" i="1"/>
  <c r="Y23" i="1" s="1" a="1"/>
  <c r="Y23" i="1" s="1"/>
  <c r="Y3" i="1"/>
  <c r="Y2" i="1"/>
  <c r="M40" i="1" l="1"/>
  <c r="O32" i="1" a="1"/>
  <c r="O32" i="1" s="1"/>
  <c r="V31" i="1" a="1"/>
  <c r="V31" i="1" s="1"/>
  <c r="Y26" i="1" a="1"/>
  <c r="Y26" i="1" s="1"/>
  <c r="Y30" i="1" s="1" a="1"/>
  <c r="Y30" i="1" s="1"/>
  <c r="H33" i="1" a="1"/>
  <c r="H33" i="1" s="1"/>
  <c r="N31" i="1" a="1"/>
  <c r="N31" i="1" s="1"/>
  <c r="G32" i="1" a="1"/>
  <c r="G32" i="1" s="1"/>
  <c r="Y24" i="1" a="1"/>
  <c r="Y24" i="1" s="1"/>
  <c r="Y32" i="1" s="1" a="1"/>
  <c r="Y32" i="1" s="1"/>
  <c r="R31" i="1" a="1"/>
  <c r="R31" i="1" s="1"/>
  <c r="G42" i="1"/>
  <c r="O42" i="1"/>
  <c r="W42" i="1"/>
  <c r="I30" i="1" a="1"/>
  <c r="I30" i="1" s="1"/>
  <c r="K32" i="1" a="1"/>
  <c r="K32" i="1" s="1"/>
  <c r="Q38" i="1"/>
  <c r="G39" i="1"/>
  <c r="O39" i="1"/>
  <c r="W32" i="1" a="1"/>
  <c r="W32" i="1" s="1"/>
  <c r="T40" i="1"/>
  <c r="S41" i="1"/>
  <c r="Y31" i="1" a="1"/>
  <c r="Y31" i="1" s="1"/>
  <c r="H42" i="1"/>
  <c r="P42" i="1"/>
  <c r="X42" i="1"/>
  <c r="Q39" i="1"/>
  <c r="N40" i="1"/>
  <c r="V40" i="1"/>
  <c r="L41" i="1"/>
  <c r="T41" i="1"/>
  <c r="G30" i="1" a="1"/>
  <c r="G30" i="1" s="1"/>
  <c r="M31" i="1" a="1"/>
  <c r="M31" i="1" s="1"/>
  <c r="M32" i="1" a="1"/>
  <c r="M32" i="1" s="1"/>
  <c r="M37" i="1"/>
  <c r="M33" i="1" a="1"/>
  <c r="M33" i="1" s="1"/>
  <c r="L40" i="1"/>
  <c r="J31" i="1" a="1"/>
  <c r="J31" i="1" s="1"/>
  <c r="P39" i="1"/>
  <c r="T38" i="1"/>
  <c r="H30" i="1" a="1"/>
  <c r="H30" i="1" s="1"/>
  <c r="H37" i="1"/>
  <c r="H31" i="1" a="1"/>
  <c r="H31" i="1" s="1"/>
  <c r="H32" i="1" a="1"/>
  <c r="H32" i="1" s="1"/>
  <c r="P30" i="1" a="1"/>
  <c r="P30" i="1" s="1"/>
  <c r="P37" i="1"/>
  <c r="P31" i="1" a="1"/>
  <c r="P31" i="1" s="1"/>
  <c r="P32" i="1" a="1"/>
  <c r="P32" i="1" s="1"/>
  <c r="X30" i="1" a="1"/>
  <c r="X30" i="1" s="1"/>
  <c r="X37" i="1"/>
  <c r="X31" i="1" a="1"/>
  <c r="X31" i="1" s="1"/>
  <c r="X32" i="1" a="1"/>
  <c r="X32" i="1" s="1"/>
  <c r="M38" i="1"/>
  <c r="U38" i="1"/>
  <c r="J39" i="1"/>
  <c r="R39" i="1"/>
  <c r="G40" i="1"/>
  <c r="O40" i="1"/>
  <c r="W40" i="1"/>
  <c r="M41" i="1"/>
  <c r="U41" i="1"/>
  <c r="J42" i="1"/>
  <c r="R42" i="1"/>
  <c r="P33" i="1" a="1"/>
  <c r="P33" i="1" s="1"/>
  <c r="W30" i="1" a="1"/>
  <c r="W30" i="1" s="1"/>
  <c r="W33" i="1" a="1"/>
  <c r="W33" i="1" s="1"/>
  <c r="W37" i="1"/>
  <c r="W31" i="1" a="1"/>
  <c r="W31" i="1" s="1"/>
  <c r="V38" i="1"/>
  <c r="H40" i="1"/>
  <c r="P40" i="1"/>
  <c r="X40" i="1"/>
  <c r="N41" i="1"/>
  <c r="V41" i="1"/>
  <c r="K42" i="1"/>
  <c r="S42" i="1"/>
  <c r="M30" i="1" a="1"/>
  <c r="M30" i="1" s="1"/>
  <c r="W39" i="1"/>
  <c r="X39" i="1"/>
  <c r="Q37" i="1"/>
  <c r="Q31" i="1" a="1"/>
  <c r="Q31" i="1" s="1"/>
  <c r="Q32" i="1" a="1"/>
  <c r="Q32" i="1" s="1"/>
  <c r="Q33" i="1" a="1"/>
  <c r="Q33" i="1" s="1"/>
  <c r="W41" i="1"/>
  <c r="T42" i="1"/>
  <c r="Q30" i="1" a="1"/>
  <c r="Q30" i="1" s="1"/>
  <c r="X33" i="1" a="1"/>
  <c r="X33" i="1" s="1"/>
  <c r="U31" i="1" a="1"/>
  <c r="U31" i="1" s="1"/>
  <c r="U32" i="1" a="1"/>
  <c r="U32" i="1" s="1"/>
  <c r="U37" i="1"/>
  <c r="U33" i="1" a="1"/>
  <c r="U33" i="1" s="1"/>
  <c r="R41" i="1"/>
  <c r="K38" i="1"/>
  <c r="K44" i="1" s="1" a="1"/>
  <c r="K44" i="1" s="1"/>
  <c r="G33" i="1" a="1"/>
  <c r="G33" i="1" s="1"/>
  <c r="G37" i="1"/>
  <c r="G31" i="1" a="1"/>
  <c r="G31" i="1" s="1"/>
  <c r="L38" i="1"/>
  <c r="L44" i="1" s="1" a="1"/>
  <c r="L44" i="1" s="1"/>
  <c r="I37" i="1"/>
  <c r="I31" i="1" a="1"/>
  <c r="I31" i="1" s="1"/>
  <c r="I32" i="1" a="1"/>
  <c r="I32" i="1" s="1"/>
  <c r="I33" i="1" a="1"/>
  <c r="I33" i="1" s="1"/>
  <c r="K39" i="1"/>
  <c r="R37" i="1"/>
  <c r="R32" i="1" a="1"/>
  <c r="R32" i="1" s="1"/>
  <c r="R33" i="1" a="1"/>
  <c r="R33" i="1" s="1"/>
  <c r="R30" i="1" a="1"/>
  <c r="R30" i="1" s="1"/>
  <c r="O38" i="1"/>
  <c r="O44" i="1" s="1" a="1"/>
  <c r="O44" i="1" s="1"/>
  <c r="L39" i="1"/>
  <c r="T39" i="1"/>
  <c r="Q40" i="1"/>
  <c r="Q44" i="1" s="1" a="1"/>
  <c r="Q44" i="1" s="1"/>
  <c r="G41" i="1"/>
  <c r="L42" i="1"/>
  <c r="K33" i="1" a="1"/>
  <c r="K33" i="1" s="1"/>
  <c r="K30" i="1" a="1"/>
  <c r="K30" i="1" s="1"/>
  <c r="K31" i="1" a="1"/>
  <c r="K31" i="1" s="1"/>
  <c r="S33" i="1" a="1"/>
  <c r="S33" i="1" s="1"/>
  <c r="S30" i="1" a="1"/>
  <c r="S30" i="1" s="1"/>
  <c r="S31" i="1" a="1"/>
  <c r="S31" i="1" s="1"/>
  <c r="H38" i="1"/>
  <c r="H44" i="1" s="1" a="1"/>
  <c r="H44" i="1" s="1"/>
  <c r="P38" i="1"/>
  <c r="X38" i="1"/>
  <c r="X44" i="1" s="1" a="1"/>
  <c r="X44" i="1" s="1"/>
  <c r="M39" i="1"/>
  <c r="U39" i="1"/>
  <c r="J40" i="1"/>
  <c r="J44" i="1" s="1" a="1"/>
  <c r="J44" i="1" s="1"/>
  <c r="R40" i="1"/>
  <c r="H41" i="1"/>
  <c r="P41" i="1"/>
  <c r="X41" i="1"/>
  <c r="M42" i="1"/>
  <c r="U42" i="1"/>
  <c r="U30" i="1" a="1"/>
  <c r="U30" i="1" s="1"/>
  <c r="K37" i="1"/>
  <c r="K45" i="1" s="1" a="1"/>
  <c r="K45" i="1" s="1"/>
  <c r="R38" i="1"/>
  <c r="R44" i="1" s="1" a="1"/>
  <c r="R44" i="1" s="1"/>
  <c r="J41" i="1"/>
  <c r="I38" i="1"/>
  <c r="N32" i="1" a="1"/>
  <c r="N32" i="1" s="1"/>
  <c r="N33" i="1" a="1"/>
  <c r="N33" i="1" s="1"/>
  <c r="N37" i="1"/>
  <c r="N30" i="1" a="1"/>
  <c r="N30" i="1" s="1"/>
  <c r="V32" i="1" a="1"/>
  <c r="V32" i="1" s="1"/>
  <c r="V33" i="1" a="1"/>
  <c r="V33" i="1" s="1"/>
  <c r="V37" i="1"/>
  <c r="V30" i="1" a="1"/>
  <c r="V30" i="1" s="1"/>
  <c r="S38" i="1"/>
  <c r="H39" i="1"/>
  <c r="O33" i="1" a="1"/>
  <c r="O33" i="1" s="1"/>
  <c r="O30" i="1" a="1"/>
  <c r="O30" i="1" s="1"/>
  <c r="O37" i="1"/>
  <c r="O31" i="1" a="1"/>
  <c r="O31" i="1" s="1"/>
  <c r="I39" i="1"/>
  <c r="N38" i="1"/>
  <c r="S39" i="1"/>
  <c r="J37" i="1"/>
  <c r="J32" i="1" a="1"/>
  <c r="J32" i="1" s="1"/>
  <c r="J33" i="1" a="1"/>
  <c r="J33" i="1" s="1"/>
  <c r="J30" i="1" a="1"/>
  <c r="J30" i="1" s="1"/>
  <c r="G38" i="1"/>
  <c r="W38" i="1"/>
  <c r="W44" i="1" s="1" a="1"/>
  <c r="W44" i="1" s="1"/>
  <c r="I40" i="1"/>
  <c r="O41" i="1"/>
  <c r="L30" i="1" a="1"/>
  <c r="L30" i="1" s="1"/>
  <c r="L31" i="1" a="1"/>
  <c r="L31" i="1" s="1"/>
  <c r="L32" i="1" a="1"/>
  <c r="L32" i="1" s="1"/>
  <c r="L37" i="1"/>
  <c r="L45" i="1" s="1" a="1"/>
  <c r="L45" i="1" s="1"/>
  <c r="T31" i="1" a="1"/>
  <c r="T31" i="1" s="1"/>
  <c r="T30" i="1" a="1"/>
  <c r="T30" i="1" s="1"/>
  <c r="T32" i="1" a="1"/>
  <c r="T32" i="1" s="1"/>
  <c r="T37" i="1"/>
  <c r="N39" i="1"/>
  <c r="V39" i="1"/>
  <c r="K40" i="1"/>
  <c r="S40" i="1"/>
  <c r="I41" i="1"/>
  <c r="Q41" i="1"/>
  <c r="N42" i="1"/>
  <c r="V42" i="1"/>
  <c r="S32" i="1" a="1"/>
  <c r="S32" i="1" s="1"/>
  <c r="S37" i="1"/>
  <c r="R45" i="1" l="1" a="1"/>
  <c r="R45" i="1" s="1"/>
  <c r="Y33" i="1" a="1"/>
  <c r="Y33" i="1" s="1"/>
  <c r="J45" i="1" a="1"/>
  <c r="J45" i="1" s="1"/>
  <c r="T45" i="1" a="1"/>
  <c r="T45" i="1" s="1"/>
  <c r="S44" i="1" a="1"/>
  <c r="S44" i="1" s="1"/>
  <c r="Q45" i="1" a="1"/>
  <c r="Q45" i="1" s="1"/>
  <c r="T44" i="1" a="1"/>
  <c r="T44" i="1" s="1"/>
  <c r="G45" i="1" a="1"/>
  <c r="G45" i="1" s="1"/>
  <c r="N44" i="1" a="1"/>
  <c r="N44" i="1" s="1"/>
  <c r="I44" i="1" a="1"/>
  <c r="I44" i="1" s="1"/>
  <c r="V45" i="1" a="1"/>
  <c r="V45" i="1" s="1"/>
  <c r="U44" i="1" a="1"/>
  <c r="U44" i="1" s="1"/>
  <c r="P45" i="1" a="1"/>
  <c r="P45" i="1" s="1"/>
  <c r="V44" i="1" a="1"/>
  <c r="V44" i="1" s="1"/>
  <c r="M44" i="1" a="1"/>
  <c r="M44" i="1" s="1"/>
  <c r="G44" i="1" a="1"/>
  <c r="G44" i="1" s="1"/>
  <c r="O45" i="1" a="1"/>
  <c r="O45" i="1" s="1"/>
  <c r="W45" i="1" a="1"/>
  <c r="W45" i="1" s="1"/>
  <c r="M45" i="1" a="1"/>
  <c r="M45" i="1" s="1"/>
  <c r="P44" i="1" a="1"/>
  <c r="P44" i="1" s="1"/>
  <c r="S45" i="1" a="1"/>
  <c r="S45" i="1" s="1"/>
  <c r="N45" i="1" a="1"/>
  <c r="N45" i="1" s="1"/>
  <c r="I45" i="1" a="1"/>
  <c r="I45" i="1" s="1"/>
  <c r="U45" i="1" a="1"/>
  <c r="U45" i="1" s="1"/>
  <c r="X45" i="1" a="1"/>
  <c r="X45" i="1" s="1"/>
  <c r="H45" i="1" a="1"/>
  <c r="H4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<sst xmlns="http://schemas.openxmlformats.org/spreadsheetml/2006/main" count="259" uniqueCount="40">
  <si>
    <t>lang</t>
  </si>
  <si>
    <t>attribute.index</t>
  </si>
  <si>
    <t>attribute</t>
  </si>
  <si>
    <t>supplement</t>
  </si>
  <si>
    <t>method.index</t>
  </si>
  <si>
    <t>method</t>
  </si>
  <si>
    <t>2g-no-hash</t>
  </si>
  <si>
    <t>3g-no-hash</t>
  </si>
  <si>
    <t>4g-no-hash</t>
  </si>
  <si>
    <t>sk2g-no-hash</t>
  </si>
  <si>
    <t>sk3g-no-hash</t>
  </si>
  <si>
    <t>sk4g-no-hash</t>
  </si>
  <si>
    <t>xsk2g-no-hash</t>
  </si>
  <si>
    <t>xsk3g-no-hash</t>
  </si>
  <si>
    <t>xsk4g-no-hash</t>
  </si>
  <si>
    <t>2g-hash-at-both</t>
  </si>
  <si>
    <t>3g-hash-at-both</t>
  </si>
  <si>
    <t>4g-hash-at-both</t>
  </si>
  <si>
    <t>sk2g-hash-at-both</t>
  </si>
  <si>
    <t>sk3g-hash-at-both</t>
  </si>
  <si>
    <t>sk4g-hash-at-both</t>
  </si>
  <si>
    <t>xsk2g-hash-at-both</t>
  </si>
  <si>
    <t>xsk3g-hash-at-both</t>
  </si>
  <si>
    <t>xsk4g-hash-at-both</t>
  </si>
  <si>
    <t>max</t>
  </si>
  <si>
    <t>Czech</t>
  </si>
  <si>
    <t>plurality</t>
  </si>
  <si>
    <t>DT</t>
  </si>
  <si>
    <t>NN</t>
  </si>
  <si>
    <t>RF</t>
  </si>
  <si>
    <t>gender2</t>
  </si>
  <si>
    <t>case</t>
  </si>
  <si>
    <t>supplemented</t>
  </si>
  <si>
    <t>metric</t>
  </si>
  <si>
    <t>geomean</t>
  </si>
  <si>
    <t>min</t>
  </si>
  <si>
    <t>stdev</t>
  </si>
  <si>
    <t>max.rank</t>
  </si>
  <si>
    <t>gender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</si>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</sst>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3"/>
      <color theme="1"/>
      <name val="LucidaSansUnicod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1" xfId="0" applyNumberFormat="1" applyBorder="1"/>
    <xf numFmtId="1" fontId="0" fillId="0" borderId="0" xfId="0" applyNumberFormat="1"/>
    <xf numFmtId="2" fontId="0" fillId="0" borderId="2" xfId="0" applyNumberFormat="1" applyBorder="1"/>
    <xf numFmtId="0" fontId="0" fillId="0" borderId="3" xfId="0" applyBorder="1"/>
    <xf numFmtId="0" fontId="0" fillId="0" borderId="2" xfId="0" applyBorder="1"/>
    <xf numFmtId="0" fontId="0" fillId="0" borderId="1" xfId="0" applyBorder="1"/>
  </cellXfs>
  <cellStyles count="1">
    <cellStyle name="Normal" xfId="0" builtinId="0"/>
  </cellStyles>
  <dxfs count="77"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1" formatCode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4" tint="0.39997558519241921"/>
        </top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0885FB1-3D4C-E74F-A3C6-EEFA3E3A7B49}" name="Table19" displayName="Table19" ref="A1:Y25" totalsRowShown="0">
  <autoFilter ref="A1:Y25" xr:uid="{3E34F922-6B31-2649-BFE8-3F0D41FEBF82}"/>
  <sortState xmlns:xlrd2="http://schemas.microsoft.com/office/spreadsheetml/2017/richdata2" ref="A2:Y25">
    <sortCondition ref="C1:C25"/>
  </sortState>
  <tableColumns count="25">
    <tableColumn id="1" xr3:uid="{C2A99526-690F-FE42-891A-A4B2508AF5DF}" name="lang"/>
    <tableColumn id="2" xr3:uid="{D1E8A7A7-15FE-AB4F-8599-75677FFFDB47}" name="attribute.index"/>
    <tableColumn id="3" xr3:uid="{B1F81A24-EEEB-CB4E-9812-BC665B54A723}" name="attribute"/>
    <tableColumn id="4" xr3:uid="{B7BC43D1-FC02-1D4B-AAF1-65C917B50863}" name="supplement"/>
    <tableColumn id="5" xr3:uid="{7D5C67CA-E466-7942-844B-D1394A8467AC}" name="method.index"/>
    <tableColumn id="6" xr3:uid="{B7309F22-FD53-5F41-BBD9-0AF1BAC29C81}" name="method"/>
    <tableColumn id="7" xr3:uid="{58396C37-7851-1542-9F96-224B2638AFB2}" name="2g-no-hash" dataDxfId="18"/>
    <tableColumn id="8" xr3:uid="{63656529-4C6E-2D47-AA4E-BBCE08917AFC}" name="3g-no-hash" dataDxfId="17"/>
    <tableColumn id="9" xr3:uid="{6627E4DB-553E-7247-B4F1-2201AB91DE93}" name="4g-no-hash" dataDxfId="16"/>
    <tableColumn id="10" xr3:uid="{3503F0DB-51DE-174F-B451-176DD2E01EF4}" name="sk2g-no-hash" dataDxfId="15"/>
    <tableColumn id="11" xr3:uid="{A2995F56-4DC6-2342-ABC7-5B74D1E6088B}" name="sk3g-no-hash" dataDxfId="14"/>
    <tableColumn id="12" xr3:uid="{67706997-2F21-FC40-8445-52DCF9FDD64D}" name="sk4g-no-hash" dataDxfId="13"/>
    <tableColumn id="13" xr3:uid="{0D59EF8C-A241-7842-BADE-0B8D0A606A98}" name="xsk2g-no-hash" dataDxfId="12"/>
    <tableColumn id="14" xr3:uid="{22DABB2E-3EC7-3242-8ECF-0D0EC6CF31A4}" name="xsk3g-no-hash" dataDxfId="11"/>
    <tableColumn id="15" xr3:uid="{0DC9CBD1-C9D3-8845-854C-87D18C5AA537}" name="xsk4g-no-hash" dataDxfId="10"/>
    <tableColumn id="16" xr3:uid="{D34BD487-0675-F446-A4BB-1E4323F1E4DD}" name="2g-hash-at-both" dataDxfId="9"/>
    <tableColumn id="17" xr3:uid="{CF079CD7-271E-C34A-ABCC-E7F7DC41473A}" name="3g-hash-at-both" dataDxfId="8"/>
    <tableColumn id="18" xr3:uid="{7D04C7F5-B75A-B84B-ABA2-B79C06F7832A}" name="4g-hash-at-both" dataDxfId="7"/>
    <tableColumn id="19" xr3:uid="{8B6487F5-8844-2E4E-BE67-29D1312F1588}" name="sk2g-hash-at-both" dataDxfId="6"/>
    <tableColumn id="20" xr3:uid="{1EF922C5-2C76-D14C-B8D9-6C6ABAE913CE}" name="sk3g-hash-at-both" dataDxfId="5"/>
    <tableColumn id="21" xr3:uid="{9E3979B4-6AE4-604E-8744-513D7368EB8E}" name="sk4g-hash-at-both" dataDxfId="4"/>
    <tableColumn id="22" xr3:uid="{E6871C6B-376F-5B49-9610-69B20DC34466}" name="xsk2g-hash-at-both" dataDxfId="3"/>
    <tableColumn id="23" xr3:uid="{9C4C3A33-8E7D-7549-BD3A-C94BFAAC8389}" name="xsk3g-hash-at-both" dataDxfId="2"/>
    <tableColumn id="24" xr3:uid="{2346463F-C482-5849-BF2B-138292D615D4}" name="xsk4g-hash-at-both" dataDxfId="1"/>
    <tableColumn id="25" xr3:uid="{656E25D9-C206-B641-AFFA-2227CEB880EB}" name="max" dataDxfId="0">
      <calculatedColumnFormula>MAX($G2:$R2)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EB3747-4F4B-4949-9CCB-6E0EABA294D0}" name="Table1" displayName="Table1" ref="A1:Y19" totalsRowShown="0">
  <autoFilter ref="A1:Y19" xr:uid="{FE911571-261D-8E40-A87B-3E3E0AA69395}"/>
  <sortState xmlns:xlrd2="http://schemas.microsoft.com/office/spreadsheetml/2017/richdata2" ref="A2:Y19">
    <sortCondition ref="B1:B19"/>
  </sortState>
  <tableColumns count="25">
    <tableColumn id="1" xr3:uid="{1118E81F-0D32-8740-B235-625449189921}" name="lang"/>
    <tableColumn id="24" xr3:uid="{91557771-5CD5-334F-A4EB-B695FE59278E}" name="attribute.index"/>
    <tableColumn id="2" xr3:uid="{9F12BDD8-BEBC-A145-9C6A-FC3DAB0685AC}" name="attribute"/>
    <tableColumn id="3" xr3:uid="{342791B6-C0C1-9D4F-8F37-EB5D4940263D}" name="supplement"/>
    <tableColumn id="25" xr3:uid="{790A8466-1316-DC41-B095-5AEE144FD3DA}" name="method.index"/>
    <tableColumn id="4" xr3:uid="{06B41FF0-28EF-C643-9B0C-C20F51E4C6EB}" name="method"/>
    <tableColumn id="5" xr3:uid="{FFED601D-D97A-BD42-B1EF-E8626C78C1BB}" name="2g-no-hash" dataDxfId="76"/>
    <tableColumn id="6" xr3:uid="{831B4B0D-B87E-EF44-BE73-53E27AFA4E26}" name="3g-no-hash" dataDxfId="75"/>
    <tableColumn id="7" xr3:uid="{6E97E619-B61B-2042-AA5C-4861D6E2BDCC}" name="4g-no-hash" dataDxfId="74"/>
    <tableColumn id="8" xr3:uid="{25B070DE-6B4E-3B4E-A9E2-1DA2CCBB6A63}" name="sk2g-no-hash" dataDxfId="73"/>
    <tableColumn id="9" xr3:uid="{BE99B4FC-7657-6A43-A877-D362E6E7BFD2}" name="sk3g-no-hash" dataDxfId="72"/>
    <tableColumn id="10" xr3:uid="{71BD404F-652E-2641-8309-C0E5C26E71DA}" name="sk4g-no-hash" dataDxfId="71"/>
    <tableColumn id="11" xr3:uid="{D5E6361E-878D-3F48-B465-B600800767B8}" name="xsk2g-no-hash" dataDxfId="70"/>
    <tableColumn id="12" xr3:uid="{8B3FB189-ADF2-944C-ACAC-3BAAE46CECF0}" name="xsk3g-no-hash" dataDxfId="69"/>
    <tableColumn id="13" xr3:uid="{F65D0373-CCC7-6144-ADBD-A3235C350C67}" name="xsk4g-no-hash" dataDxfId="68"/>
    <tableColumn id="14" xr3:uid="{3612CE90-32B8-7D4A-8884-2A9D39AF82DD}" name="2g-hash-at-both" dataDxfId="67"/>
    <tableColumn id="15" xr3:uid="{DDA6E7E3-F554-084D-9A73-68747D5B3E30}" name="3g-hash-at-both" dataDxfId="66"/>
    <tableColumn id="16" xr3:uid="{90B32355-2F05-5247-8570-AA08F2BF1C9A}" name="4g-hash-at-both" dataDxfId="65"/>
    <tableColumn id="17" xr3:uid="{2256CE7A-2C5D-4B40-9AB8-64C566B763EE}" name="sk2g-hash-at-both" dataDxfId="64"/>
    <tableColumn id="18" xr3:uid="{313FDFF0-786D-314C-96F0-462A4F1E3B22}" name="sk3g-hash-at-both" dataDxfId="63"/>
    <tableColumn id="19" xr3:uid="{F1503C20-C231-BA4C-B9EF-0E594502AA9C}" name="sk4g-hash-at-both" dataDxfId="62"/>
    <tableColumn id="20" xr3:uid="{0F7431CA-09F4-2F4E-93C3-DBFC1BEAE5E0}" name="xsk2g-hash-at-both" dataDxfId="61"/>
    <tableColumn id="21" xr3:uid="{7CE40331-01DD-B54A-923E-F03D9D7D6586}" name="xsk3g-hash-at-both" dataDxfId="60"/>
    <tableColumn id="22" xr3:uid="{EFF22756-C23B-A44B-B936-D6EE0CABE7B5}" name="xsk4g-hash-at-both" dataDxfId="59"/>
    <tableColumn id="23" xr3:uid="{DCD4B01F-1455-0D40-AB56-ABE5FEEA2DA6}" name="max" dataDxfId="58">
      <calculatedColumnFormula>_xlfn.LET(_xlpm.d,$G2:$X2,MAX(_xlpm.d))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E6A0EF-8BBF-034C-8DCA-4E25C1FC9C91}" name="Table2" displayName="Table2" ref="B22:Y28" totalsRowShown="0">
  <autoFilter ref="B22:Y28" xr:uid="{53721822-6578-B946-A4E7-BF3891C3A5AB}"/>
  <sortState xmlns:xlrd2="http://schemas.microsoft.com/office/spreadsheetml/2017/richdata2" ref="B23:X28">
    <sortCondition descending="1" ref="B22:B28"/>
  </sortState>
  <tableColumns count="24">
    <tableColumn id="24" xr3:uid="{54BED7DB-9FFD-4F4A-A6C1-2329C4695E83}" name="attribute.index" dataDxfId="57"/>
    <tableColumn id="1" xr3:uid="{439428C5-0F79-774F-997D-D24ECB73F967}" name="attribute"/>
    <tableColumn id="2" xr3:uid="{E0F53989-414E-0C46-9D37-01BB288AB05A}" name="supplemented"/>
    <tableColumn id="3" xr3:uid="{B3D485A9-EC2F-FF4F-945A-52EC60DA687C}" name="method.index"/>
    <tableColumn id="4" xr3:uid="{1BC9D1BE-8FCB-EE46-8A65-EFADD446A20B}" name="metric"/>
    <tableColumn id="5" xr3:uid="{8771E7F0-16F1-794B-B192-7D0F04FA724C}" name="2g-no-hash" dataDxfId="56">
      <calculatedColumnFormula array="1">_xlfn.LET(_xlpm.d,G$2:G$19,_xlpm.a,$C$2:$C$19=$C23,_xlpm.b,$D$2:$D$19=$D23,MAX(_xlfn._xlws.FILTER(_xlpm.d,_xlpm.a*_xlpm.b)))</calculatedColumnFormula>
    </tableColumn>
    <tableColumn id="6" xr3:uid="{42BBE5F1-050A-CB43-9739-B8BD60E9BB32}" name="3g-no-hash" dataDxfId="55">
      <calculatedColumnFormula array="1">_xlfn.LET(_xlpm.d,H$2:H$19,_xlpm.a,$C$2:$C$19=$C23,_xlpm.b,$D$2:$D$19=$D23,MAX(_xlfn._xlws.FILTER(_xlpm.d,_xlpm.a*_xlpm.b)))</calculatedColumnFormula>
    </tableColumn>
    <tableColumn id="7" xr3:uid="{26B4FBA8-4100-1141-B92D-C34EE1E1E0CA}" name="4g-no-hash" dataDxfId="54">
      <calculatedColumnFormula array="1">_xlfn.LET(_xlpm.d,I$2:I$19,_xlpm.a,$C$2:$C$19=$C23,_xlpm.b,$D$2:$D$19=$D23,MAX(_xlfn._xlws.FILTER(_xlpm.d,_xlpm.a*_xlpm.b)))</calculatedColumnFormula>
    </tableColumn>
    <tableColumn id="8" xr3:uid="{63AD8BD4-74A3-9B40-99FA-E34064FBBE5F}" name="sk2g-no-hash" dataDxfId="53">
      <calculatedColumnFormula array="1">_xlfn.LET(_xlpm.d,J$2:J$19,_xlpm.a,$C$2:$C$19=$C23,_xlpm.b,$D$2:$D$19=$D23,MAX(_xlfn._xlws.FILTER(_xlpm.d,_xlpm.a*_xlpm.b)))</calculatedColumnFormula>
    </tableColumn>
    <tableColumn id="9" xr3:uid="{05D78A3E-FD68-634E-9AB4-878B5370415F}" name="sk3g-no-hash" dataDxfId="52">
      <calculatedColumnFormula array="1">_xlfn.LET(_xlpm.d,K$2:K$19,_xlpm.a,$C$2:$C$19=$C23,_xlpm.b,$D$2:$D$19=$D23,MAX(_xlfn._xlws.FILTER(_xlpm.d,_xlpm.a*_xlpm.b)))</calculatedColumnFormula>
    </tableColumn>
    <tableColumn id="10" xr3:uid="{4CA04CDC-A4BD-7B45-A14B-0A9892239AD4}" name="sk4g-no-hash" dataDxfId="51">
      <calculatedColumnFormula array="1">_xlfn.LET(_xlpm.d,L$2:L$19,_xlpm.a,$C$2:$C$19=$C23,_xlpm.b,$D$2:$D$19=$D23,MAX(_xlfn._xlws.FILTER(_xlpm.d,_xlpm.a*_xlpm.b)))</calculatedColumnFormula>
    </tableColumn>
    <tableColumn id="11" xr3:uid="{A57187FB-84C2-4F4D-AD87-B2CA03B5307D}" name="xsk2g-no-hash" dataDxfId="50">
      <calculatedColumnFormula array="1">_xlfn.LET(_xlpm.d,M$2:M$19,_xlpm.a,$C$2:$C$19=$C23,_xlpm.b,$D$2:$D$19=$D23,MAX(_xlfn._xlws.FILTER(_xlpm.d,_xlpm.a*_xlpm.b)))</calculatedColumnFormula>
    </tableColumn>
    <tableColumn id="12" xr3:uid="{AA515364-0725-5C45-A28A-DE8BA2F346CD}" name="xsk3g-no-hash" dataDxfId="49">
      <calculatedColumnFormula array="1">_xlfn.LET(_xlpm.d,N$2:N$19,_xlpm.a,$C$2:$C$19=$C23,_xlpm.b,$D$2:$D$19=$D23,MAX(_xlfn._xlws.FILTER(_xlpm.d,_xlpm.a*_xlpm.b)))</calculatedColumnFormula>
    </tableColumn>
    <tableColumn id="13" xr3:uid="{A5B77D18-77EB-9243-8B6E-539E08780F0A}" name="xsk4g-no-hash" dataDxfId="48">
      <calculatedColumnFormula array="1">_xlfn.LET(_xlpm.d,O$2:O$19,_xlpm.a,$C$2:$C$19=$C23,_xlpm.b,$D$2:$D$19=$D23,MAX(_xlfn._xlws.FILTER(_xlpm.d,_xlpm.a*_xlpm.b)))</calculatedColumnFormula>
    </tableColumn>
    <tableColumn id="14" xr3:uid="{99F9B6D9-0FE7-664B-BE10-60BEFC773588}" name="2g-hash-at-both" dataDxfId="47">
      <calculatedColumnFormula array="1">_xlfn.LET(_xlpm.d,P$2:P$19,_xlpm.a,$C$2:$C$19=$C23,_xlpm.b,$D$2:$D$19=$D23,MAX(_xlfn._xlws.FILTER(_xlpm.d,_xlpm.a*_xlpm.b)))</calculatedColumnFormula>
    </tableColumn>
    <tableColumn id="15" xr3:uid="{035BE9FA-D24E-364A-B42D-65557F633A87}" name="3g-hash-at-both" dataDxfId="46">
      <calculatedColumnFormula array="1">_xlfn.LET(_xlpm.d,Q$2:Q$19,_xlpm.a,$C$2:$C$19=$C23,_xlpm.b,$D$2:$D$19=$D23,MAX(_xlfn._xlws.FILTER(_xlpm.d,_xlpm.a*_xlpm.b)))</calculatedColumnFormula>
    </tableColumn>
    <tableColumn id="16" xr3:uid="{9EF1B361-4934-0643-BA68-7916AD42FB2C}" name="4g-hash-at-both" dataDxfId="45">
      <calculatedColumnFormula array="1">_xlfn.LET(_xlpm.d,R$2:R$19,_xlpm.a,$C$2:$C$19=$C23,_xlpm.b,$D$2:$D$19=$D23,MAX(_xlfn._xlws.FILTER(_xlpm.d,_xlpm.a*_xlpm.b)))</calculatedColumnFormula>
    </tableColumn>
    <tableColumn id="17" xr3:uid="{A4772547-4E9B-044E-A38E-0310C465FFC4}" name="sk2g-hash-at-both" dataDxfId="44">
      <calculatedColumnFormula array="1">_xlfn.LET(_xlpm.d,S$2:S$19,_xlpm.a,$C$2:$C$19=$C23,_xlpm.b,$D$2:$D$19=$D23,MAX(_xlfn._xlws.FILTER(_xlpm.d,_xlpm.a*_xlpm.b)))</calculatedColumnFormula>
    </tableColumn>
    <tableColumn id="18" xr3:uid="{6EC3671E-6952-C74F-8C35-A5EA827618E6}" name="sk3g-hash-at-both" dataDxfId="43">
      <calculatedColumnFormula array="1">_xlfn.LET(_xlpm.d,T$2:T$19,_xlpm.a,$C$2:$C$19=$C23,_xlpm.b,$D$2:$D$19=$D23,MAX(_xlfn._xlws.FILTER(_xlpm.d,_xlpm.a*_xlpm.b)))</calculatedColumnFormula>
    </tableColumn>
    <tableColumn id="19" xr3:uid="{C029552D-09BF-FA46-9CD0-D1EB36C8C834}" name="sk4g-hash-at-both" dataDxfId="42">
      <calculatedColumnFormula array="1">_xlfn.LET(_xlpm.d,U$2:U$19,_xlpm.a,$C$2:$C$19=$C23,_xlpm.b,$D$2:$D$19=$D23,MAX(_xlfn._xlws.FILTER(_xlpm.d,_xlpm.a*_xlpm.b)))</calculatedColumnFormula>
    </tableColumn>
    <tableColumn id="20" xr3:uid="{FB627CA7-86B3-8340-8219-8D2701C9C642}" name="xsk2g-hash-at-both" dataDxfId="41">
      <calculatedColumnFormula array="1">_xlfn.LET(_xlpm.d,V$2:V$19,_xlpm.a,$C$2:$C$19=$C23,_xlpm.b,$D$2:$D$19=$D23,MAX(_xlfn._xlws.FILTER(_xlpm.d,_xlpm.a*_xlpm.b)))</calculatedColumnFormula>
    </tableColumn>
    <tableColumn id="21" xr3:uid="{5F827978-7E66-B846-AA4C-31B51467FBE2}" name="xsk3g-hash-at-both" dataDxfId="40">
      <calculatedColumnFormula array="1">_xlfn.LET(_xlpm.d,W$2:W$19,_xlpm.a,$C$2:$C$19=$C23,_xlpm.b,$D$2:$D$19=$D23,MAX(_xlfn._xlws.FILTER(_xlpm.d,_xlpm.a*_xlpm.b)))</calculatedColumnFormula>
    </tableColumn>
    <tableColumn id="22" xr3:uid="{1055FD5B-9C47-554C-BC4F-C156A5A55F6C}" name="xsk4g-hash-at-both" dataDxfId="39">
      <calculatedColumnFormula array="1">_xlfn.LET(_xlpm.d,X$2:X$19,_xlpm.a,$C$2:$C$19=$C23,_xlpm.b,$D$2:$D$19=$D23,MAX(_xlfn._xlws.FILTER(_xlpm.d,_xlpm.a*_xlpm.b)))</calculatedColumnFormula>
    </tableColumn>
    <tableColumn id="23" xr3:uid="{A9F7E544-C7D4-A749-9632-280B5A37866C}" name="max" dataDxfId="38">
      <calculatedColumnFormula array="1">_xlfn.LET(_xlpm.d,Y$2:Y$19,_xlpm.a,$C$2:$C$19=$C23,_xlpm.b,$D$2:$D$19=$D23,MAX(_xlfn._xlws.FILTER(_xlpm.d,_xlpm.a*_xlpm.b)))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75DBBE8-E2F1-454B-8ECA-5CE6A5236B1E}" name="Table4" displayName="Table4" ref="B36:X42" totalsRowShown="0">
  <autoFilter ref="B36:X42" xr:uid="{8464040F-DA69-3F43-A29A-3CE0A952C65E}"/>
  <sortState xmlns:xlrd2="http://schemas.microsoft.com/office/spreadsheetml/2017/richdata2" ref="B37:X42">
    <sortCondition ref="B36:B42"/>
  </sortState>
  <tableColumns count="23">
    <tableColumn id="23" xr3:uid="{CC69ECCC-7989-ED46-8576-EBF952834561}" name="attribute.index" dataDxfId="37"/>
    <tableColumn id="1" xr3:uid="{95F6DE9B-518E-924A-9565-9792DAC5A5BF}" name="attribute"/>
    <tableColumn id="2" xr3:uid="{DC8847EB-1C96-0C47-99AD-8876BBB45BDE}" name="supplemented"/>
    <tableColumn id="3" xr3:uid="{6099CD19-EBBC-9248-B47B-6D48CC06F4F7}" name="method.index"/>
    <tableColumn id="4" xr3:uid="{62023C14-D7E4-1F49-80A4-737FBE9633FD}" name="metric"/>
    <tableColumn id="5" xr3:uid="{F9B1D71B-1E5E-844A-A35E-EAF3A85AF74D}" name="2g-no-hash" dataDxfId="36">
      <calculatedColumnFormula>_xlfn.LET(_xlpm.d,$G23:$X23,RANK(G23,_xlpm.d))</calculatedColumnFormula>
    </tableColumn>
    <tableColumn id="6" xr3:uid="{0D632318-FFD2-1345-B4F9-C45A3851A6B4}" name="3g-no-hash" dataDxfId="35">
      <calculatedColumnFormula>_xlfn.LET(_xlpm.d,$G23:$X23,RANK(H23,_xlpm.d))</calculatedColumnFormula>
    </tableColumn>
    <tableColumn id="7" xr3:uid="{9DC0DA99-AD81-B042-8C81-C88E15B25746}" name="4g-no-hash" dataDxfId="34">
      <calculatedColumnFormula>_xlfn.LET(_xlpm.d,$G23:$X23,RANK(I23,_xlpm.d))</calculatedColumnFormula>
    </tableColumn>
    <tableColumn id="8" xr3:uid="{DC03D703-A0C7-074B-A97A-48199D1AB3C9}" name="sk2g-no-hash" dataDxfId="33">
      <calculatedColumnFormula>_xlfn.LET(_xlpm.d,$G23:$X23,RANK(J23,_xlpm.d))</calculatedColumnFormula>
    </tableColumn>
    <tableColumn id="9" xr3:uid="{B0E124A1-FAEC-C548-BAC8-9413F80C6A51}" name="sk3g-no-hash" dataDxfId="32">
      <calculatedColumnFormula>_xlfn.LET(_xlpm.d,$G23:$X23,RANK(K23,_xlpm.d))</calculatedColumnFormula>
    </tableColumn>
    <tableColumn id="10" xr3:uid="{67BA8A30-AB93-5A47-BC05-A74830E81E8D}" name="sk4g-no-hash" dataDxfId="31">
      <calculatedColumnFormula>_xlfn.LET(_xlpm.d,$G23:$X23,RANK(L23,_xlpm.d))</calculatedColumnFormula>
    </tableColumn>
    <tableColumn id="11" xr3:uid="{DC735AC0-268C-9C49-904A-9C1B8AB12068}" name="xsk2g-no-hash" dataDxfId="30">
      <calculatedColumnFormula>_xlfn.LET(_xlpm.d,$G23:$X23,RANK(M23,_xlpm.d))</calculatedColumnFormula>
    </tableColumn>
    <tableColumn id="12" xr3:uid="{D9FFDB16-0BF5-A548-A6C0-B00638CD3573}" name="xsk3g-no-hash" dataDxfId="29">
      <calculatedColumnFormula>_xlfn.LET(_xlpm.d,$G23:$X23,RANK(N23,_xlpm.d))</calculatedColumnFormula>
    </tableColumn>
    <tableColumn id="13" xr3:uid="{EEA0B9FE-E326-954E-824A-ABD6BA220FFE}" name="xsk4g-no-hash" dataDxfId="28">
      <calculatedColumnFormula>_xlfn.LET(_xlpm.d,$G23:$X23,RANK(O23,_xlpm.d))</calculatedColumnFormula>
    </tableColumn>
    <tableColumn id="14" xr3:uid="{E2FDBD71-3B65-D842-A439-6D1C5EFC0C65}" name="2g-hash-at-both" dataDxfId="27">
      <calculatedColumnFormula>_xlfn.LET(_xlpm.d,$G23:$X23,RANK(P23,_xlpm.d))</calculatedColumnFormula>
    </tableColumn>
    <tableColumn id="15" xr3:uid="{C9818989-F84D-0648-884F-7A17BCD61D9C}" name="3g-hash-at-both" dataDxfId="26">
      <calculatedColumnFormula>_xlfn.LET(_xlpm.d,$G23:$X23,RANK(Q23,_xlpm.d))</calculatedColumnFormula>
    </tableColumn>
    <tableColumn id="16" xr3:uid="{2CE7A1BC-67E8-074B-AEA4-F609A055C090}" name="4g-hash-at-both" dataDxfId="25">
      <calculatedColumnFormula>_xlfn.LET(_xlpm.d,$G23:$X23,RANK(R23,_xlpm.d))</calculatedColumnFormula>
    </tableColumn>
    <tableColumn id="17" xr3:uid="{82AFA6A6-783A-F946-AAB8-0B2D137CEC5B}" name="sk2g-hash-at-both" dataDxfId="24">
      <calculatedColumnFormula>_xlfn.LET(_xlpm.d,$G23:$X23,RANK(S23,_xlpm.d))</calculatedColumnFormula>
    </tableColumn>
    <tableColumn id="18" xr3:uid="{C574B982-D27F-E240-A3F6-28CAEA219E3F}" name="sk3g-hash-at-both" dataDxfId="23">
      <calculatedColumnFormula>_xlfn.LET(_xlpm.d,$G23:$X23,RANK(T23,_xlpm.d))</calculatedColumnFormula>
    </tableColumn>
    <tableColumn id="19" xr3:uid="{D6AC4D82-D5EF-704B-A75B-76A0CFEA2DBA}" name="sk4g-hash-at-both" dataDxfId="22">
      <calculatedColumnFormula>_xlfn.LET(_xlpm.d,$G23:$X23,RANK(U23,_xlpm.d))</calculatedColumnFormula>
    </tableColumn>
    <tableColumn id="20" xr3:uid="{4DEC5CFC-E5EC-E544-A66C-D6253CF74F14}" name="xsk2g-hash-at-both" dataDxfId="21">
      <calculatedColumnFormula>_xlfn.LET(_xlpm.d,$G23:$X23,RANK(V23,_xlpm.d))</calculatedColumnFormula>
    </tableColumn>
    <tableColumn id="21" xr3:uid="{D9352B4C-47DD-924B-A7B0-77B3D67AC157}" name="xsk3g-hash-at-both" dataDxfId="20">
      <calculatedColumnFormula>_xlfn.LET(_xlpm.d,$G23:$X23,RANK(W23,_xlpm.d))</calculatedColumnFormula>
    </tableColumn>
    <tableColumn id="22" xr3:uid="{BC6C15A7-5C70-584D-892D-FFA09067C574}" name="xsk4g-hash-at-both" dataDxfId="19">
      <calculatedColumnFormula>_xlfn.LET(_xlpm.d,$G23:$X23,RANK(X23,_xlpm.d))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E9A9-F370-8E42-BA25-D89E3C3CC6B5}">
  <dimension ref="A1:Y25"/>
  <sheetViews>
    <sheetView tabSelected="1" workbookViewId="0">
      <pane xSplit="14180" ySplit="3080" topLeftCell="N1" activePane="bottomLeft"/>
      <selection sqref="A1:XFD1048576"/>
      <selection pane="topRight" activeCell="P1" sqref="P1"/>
      <selection pane="bottomLeft" activeCell="G9" sqref="G9"/>
      <selection pane="bottomRight" activeCell="S18" sqref="S18"/>
    </sheetView>
  </sheetViews>
  <sheetFormatPr baseColWidth="10" defaultRowHeight="22"/>
  <cols>
    <col min="2" max="2" width="7" customWidth="1"/>
    <col min="4" max="4" width="11.875" customWidth="1"/>
    <col min="5" max="5" width="8.125" customWidth="1"/>
    <col min="7" max="25" width="8.25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>
        <v>3</v>
      </c>
      <c r="C2" t="s">
        <v>31</v>
      </c>
      <c r="D2" t="b">
        <v>0</v>
      </c>
      <c r="E2">
        <v>1</v>
      </c>
      <c r="F2" t="s">
        <v>27</v>
      </c>
      <c r="G2" s="1">
        <v>0.37</v>
      </c>
      <c r="H2" s="1">
        <v>0.37</v>
      </c>
      <c r="I2" s="1">
        <v>0.4</v>
      </c>
      <c r="J2" s="1">
        <v>0.48</v>
      </c>
      <c r="K2" s="1">
        <v>0.28999999999999998</v>
      </c>
      <c r="L2" s="1">
        <v>0.34</v>
      </c>
      <c r="M2" s="1">
        <v>0.38</v>
      </c>
      <c r="N2" s="1">
        <v>0.37</v>
      </c>
      <c r="O2" s="1">
        <v>0.38</v>
      </c>
      <c r="P2" s="1">
        <v>0.41</v>
      </c>
      <c r="Q2" s="1">
        <v>0.35</v>
      </c>
      <c r="R2" s="1">
        <v>0.34</v>
      </c>
      <c r="S2" s="1">
        <v>0.42</v>
      </c>
      <c r="T2" s="1">
        <v>0.42</v>
      </c>
      <c r="U2" s="1">
        <v>0.38</v>
      </c>
      <c r="V2" s="1">
        <v>0.34</v>
      </c>
      <c r="W2" s="1">
        <v>0.39</v>
      </c>
      <c r="X2" s="1">
        <v>0.34</v>
      </c>
      <c r="Y2" s="1">
        <f>MAX($G2:$R2)</f>
        <v>0.48</v>
      </c>
    </row>
    <row r="3" spans="1:25">
      <c r="A3" t="s">
        <v>25</v>
      </c>
      <c r="B3">
        <v>3</v>
      </c>
      <c r="C3" t="s">
        <v>31</v>
      </c>
      <c r="D3" t="b">
        <v>0</v>
      </c>
      <c r="E3">
        <v>2</v>
      </c>
      <c r="F3" t="s">
        <v>29</v>
      </c>
      <c r="G3" s="1">
        <v>0.42</v>
      </c>
      <c r="H3" s="1">
        <v>0.42</v>
      </c>
      <c r="I3" s="1">
        <v>0.46</v>
      </c>
      <c r="J3" s="1">
        <v>0.49</v>
      </c>
      <c r="K3" s="1">
        <v>0.41</v>
      </c>
      <c r="L3" s="1">
        <v>0.42</v>
      </c>
      <c r="M3" s="1">
        <v>0.46</v>
      </c>
      <c r="N3" s="1">
        <v>0.4</v>
      </c>
      <c r="O3" s="1">
        <v>0.46</v>
      </c>
      <c r="P3" s="1">
        <v>0.37</v>
      </c>
      <c r="Q3" s="1">
        <v>0.44</v>
      </c>
      <c r="R3" s="1">
        <v>0.41</v>
      </c>
      <c r="S3" s="1">
        <v>0.52</v>
      </c>
      <c r="T3" s="1">
        <v>0.45</v>
      </c>
      <c r="U3" s="1">
        <v>0.45</v>
      </c>
      <c r="V3" s="1">
        <v>0.37</v>
      </c>
      <c r="W3" s="1">
        <v>0.52</v>
      </c>
      <c r="X3" s="1">
        <v>0.48</v>
      </c>
      <c r="Y3" s="1">
        <f>MAX($G3:$R3)</f>
        <v>0.49</v>
      </c>
    </row>
    <row r="4" spans="1:25">
      <c r="A4" t="s">
        <v>25</v>
      </c>
      <c r="B4">
        <v>3</v>
      </c>
      <c r="C4" t="s">
        <v>31</v>
      </c>
      <c r="D4" t="b">
        <v>0</v>
      </c>
      <c r="E4">
        <v>3</v>
      </c>
      <c r="F4" t="s">
        <v>28</v>
      </c>
      <c r="G4" s="1">
        <v>0.41</v>
      </c>
      <c r="H4" s="1">
        <v>0.32</v>
      </c>
      <c r="I4" s="1">
        <v>0.44</v>
      </c>
      <c r="J4" s="1">
        <v>0.39</v>
      </c>
      <c r="K4" s="1">
        <v>0.44</v>
      </c>
      <c r="L4" s="1">
        <v>0.4</v>
      </c>
      <c r="M4" s="1">
        <v>0.31</v>
      </c>
      <c r="N4" s="1">
        <v>0.35</v>
      </c>
      <c r="O4" s="1">
        <v>0.34</v>
      </c>
      <c r="P4" s="1">
        <v>0.31</v>
      </c>
      <c r="Q4" s="1">
        <v>0.35</v>
      </c>
      <c r="R4" s="1">
        <v>0.34</v>
      </c>
      <c r="S4" s="1">
        <v>0.46</v>
      </c>
      <c r="T4" s="1">
        <v>0.37</v>
      </c>
      <c r="U4" s="1">
        <v>0.34</v>
      </c>
      <c r="V4" s="1">
        <v>0.3</v>
      </c>
      <c r="W4" s="1">
        <v>0.44</v>
      </c>
      <c r="X4" s="1">
        <v>0.42</v>
      </c>
      <c r="Y4" s="1">
        <f>MAX($G4:$R4)</f>
        <v>0.44</v>
      </c>
    </row>
    <row r="5" spans="1:25">
      <c r="A5" t="s">
        <v>25</v>
      </c>
      <c r="B5">
        <v>3</v>
      </c>
      <c r="C5" t="s">
        <v>31</v>
      </c>
      <c r="D5" t="b">
        <v>1</v>
      </c>
      <c r="E5">
        <v>1</v>
      </c>
      <c r="F5" t="s">
        <v>27</v>
      </c>
      <c r="G5" s="1">
        <v>0.5</v>
      </c>
      <c r="H5" s="1">
        <v>0.49</v>
      </c>
      <c r="I5" s="1">
        <v>0.48</v>
      </c>
      <c r="J5" s="1">
        <v>0.5</v>
      </c>
      <c r="K5" s="1">
        <v>0.46</v>
      </c>
      <c r="L5" s="1">
        <v>0.44</v>
      </c>
      <c r="M5" s="1">
        <v>0.44</v>
      </c>
      <c r="N5" s="1">
        <v>0.46</v>
      </c>
      <c r="O5" s="1">
        <v>0.36</v>
      </c>
      <c r="P5" s="1">
        <v>0.46</v>
      </c>
      <c r="Q5" s="1">
        <v>0.49</v>
      </c>
      <c r="R5" s="1">
        <v>0.47</v>
      </c>
      <c r="S5" s="1">
        <v>0.52</v>
      </c>
      <c r="T5" s="1">
        <v>0.5</v>
      </c>
      <c r="U5" s="1">
        <v>0.41</v>
      </c>
      <c r="V5" s="1">
        <v>0.33</v>
      </c>
      <c r="W5" s="1">
        <v>0.51</v>
      </c>
      <c r="X5" s="1">
        <v>0.45</v>
      </c>
      <c r="Y5" s="1">
        <f>MAX($G5:$R5)</f>
        <v>0.5</v>
      </c>
    </row>
    <row r="6" spans="1:25">
      <c r="A6" t="s">
        <v>25</v>
      </c>
      <c r="B6">
        <v>3</v>
      </c>
      <c r="C6" t="s">
        <v>31</v>
      </c>
      <c r="D6" t="b">
        <v>1</v>
      </c>
      <c r="E6">
        <v>2</v>
      </c>
      <c r="F6" t="s">
        <v>29</v>
      </c>
      <c r="G6" s="1">
        <v>0.51</v>
      </c>
      <c r="H6" s="1">
        <v>0.5</v>
      </c>
      <c r="I6" s="1">
        <v>0.57999999999999996</v>
      </c>
      <c r="J6" s="1">
        <v>0.56000000000000005</v>
      </c>
      <c r="K6" s="1">
        <v>0.46</v>
      </c>
      <c r="L6" s="1">
        <v>0.44</v>
      </c>
      <c r="M6" s="1">
        <v>0.56000000000000005</v>
      </c>
      <c r="N6" s="1">
        <v>0.53</v>
      </c>
      <c r="O6" s="1">
        <v>0.5</v>
      </c>
      <c r="P6" s="1">
        <v>0.53</v>
      </c>
      <c r="Q6" s="1">
        <v>0.56000000000000005</v>
      </c>
      <c r="R6" s="1">
        <v>0.51</v>
      </c>
      <c r="S6" s="1">
        <v>0.64</v>
      </c>
      <c r="T6" s="1">
        <v>0.54</v>
      </c>
      <c r="U6" s="1">
        <v>0.51</v>
      </c>
      <c r="V6" s="1">
        <v>0.52</v>
      </c>
      <c r="W6" s="1">
        <v>0.56999999999999995</v>
      </c>
      <c r="X6" s="1">
        <v>0.52</v>
      </c>
      <c r="Y6" s="1">
        <f>MAX($G6:$R6)</f>
        <v>0.57999999999999996</v>
      </c>
    </row>
    <row r="7" spans="1:25">
      <c r="A7" t="s">
        <v>25</v>
      </c>
      <c r="B7">
        <v>3</v>
      </c>
      <c r="C7" t="s">
        <v>31</v>
      </c>
      <c r="D7" t="b">
        <v>1</v>
      </c>
      <c r="E7">
        <v>3</v>
      </c>
      <c r="F7" t="s">
        <v>28</v>
      </c>
      <c r="G7" s="1">
        <v>0.47</v>
      </c>
      <c r="H7" s="1">
        <v>0.44</v>
      </c>
      <c r="I7" s="1">
        <v>0.47</v>
      </c>
      <c r="J7" s="1">
        <v>0.47</v>
      </c>
      <c r="K7" s="1">
        <v>0.39</v>
      </c>
      <c r="L7" s="1">
        <v>0.43</v>
      </c>
      <c r="M7" s="1">
        <v>0.43</v>
      </c>
      <c r="N7" s="1">
        <v>0.39</v>
      </c>
      <c r="O7" s="1">
        <v>0.36</v>
      </c>
      <c r="P7" s="1">
        <v>0.42</v>
      </c>
      <c r="Q7" s="1">
        <v>0.41</v>
      </c>
      <c r="R7" s="1">
        <v>0.34</v>
      </c>
      <c r="S7" s="1">
        <v>0.53</v>
      </c>
      <c r="T7" s="1">
        <v>0.44</v>
      </c>
      <c r="U7" s="1">
        <v>0.37</v>
      </c>
      <c r="V7" s="1">
        <v>0.33</v>
      </c>
      <c r="W7" s="1">
        <v>0.42</v>
      </c>
      <c r="X7" s="1">
        <v>0.42</v>
      </c>
      <c r="Y7" s="1">
        <f>MAX($G7:$R7)</f>
        <v>0.47</v>
      </c>
    </row>
    <row r="8" spans="1:25">
      <c r="A8" t="s">
        <v>25</v>
      </c>
      <c r="B8">
        <v>2</v>
      </c>
      <c r="C8" t="s">
        <v>38</v>
      </c>
      <c r="D8" t="b">
        <v>0</v>
      </c>
      <c r="E8">
        <v>1</v>
      </c>
      <c r="F8" t="s">
        <v>27</v>
      </c>
      <c r="G8" s="1">
        <v>0.47</v>
      </c>
      <c r="H8" s="1">
        <v>0.48</v>
      </c>
      <c r="I8" s="1">
        <v>0.55000000000000004</v>
      </c>
      <c r="J8" s="1">
        <v>0.53</v>
      </c>
      <c r="K8" s="1">
        <v>0.49</v>
      </c>
      <c r="L8" s="1">
        <v>0.49</v>
      </c>
      <c r="M8" s="1">
        <v>0.49</v>
      </c>
      <c r="N8" s="1">
        <v>0.51</v>
      </c>
      <c r="O8" s="1">
        <v>0.55000000000000004</v>
      </c>
      <c r="P8" s="1">
        <v>0.49</v>
      </c>
      <c r="Q8" s="1">
        <v>0.56000000000000005</v>
      </c>
      <c r="R8" s="1">
        <v>0.48</v>
      </c>
      <c r="S8" s="1">
        <v>0.56000000000000005</v>
      </c>
      <c r="T8" s="1">
        <v>0.54</v>
      </c>
      <c r="U8" s="1">
        <v>0.48</v>
      </c>
      <c r="V8" s="1">
        <v>0.56999999999999995</v>
      </c>
      <c r="W8" s="1">
        <v>0.49</v>
      </c>
      <c r="X8" s="1">
        <v>0.48</v>
      </c>
      <c r="Y8" s="1">
        <f>MAX($G8:$R8)</f>
        <v>0.56000000000000005</v>
      </c>
    </row>
    <row r="9" spans="1:25">
      <c r="A9" t="s">
        <v>25</v>
      </c>
      <c r="B9">
        <v>2</v>
      </c>
      <c r="C9" t="s">
        <v>38</v>
      </c>
      <c r="D9" t="b">
        <v>0</v>
      </c>
      <c r="E9">
        <v>2</v>
      </c>
      <c r="F9" t="s">
        <v>29</v>
      </c>
      <c r="G9" s="1">
        <v>0.59</v>
      </c>
      <c r="H9" s="1">
        <v>0.63</v>
      </c>
      <c r="I9" s="1">
        <v>0.64</v>
      </c>
      <c r="J9" s="1">
        <v>0.56000000000000005</v>
      </c>
      <c r="K9" s="1">
        <v>0.56999999999999995</v>
      </c>
      <c r="L9" s="1">
        <v>0.6</v>
      </c>
      <c r="M9" s="1">
        <v>0.64</v>
      </c>
      <c r="N9" s="1">
        <v>0.56000000000000005</v>
      </c>
      <c r="O9" s="1">
        <v>0.59</v>
      </c>
      <c r="P9" s="1">
        <v>0.61</v>
      </c>
      <c r="Q9" s="1">
        <v>0.67</v>
      </c>
      <c r="R9" s="1">
        <v>0.61</v>
      </c>
      <c r="S9" s="1">
        <v>0.62</v>
      </c>
      <c r="T9" s="1">
        <v>0.57999999999999996</v>
      </c>
      <c r="U9" s="1">
        <v>0.6</v>
      </c>
      <c r="V9" s="1">
        <v>0.65</v>
      </c>
      <c r="W9" s="1">
        <v>0.56000000000000005</v>
      </c>
      <c r="X9" s="1">
        <v>0.63</v>
      </c>
      <c r="Y9" s="1">
        <f>MAX($G9:$R9)</f>
        <v>0.67</v>
      </c>
    </row>
    <row r="10" spans="1:25">
      <c r="A10" t="s">
        <v>25</v>
      </c>
      <c r="B10">
        <v>2</v>
      </c>
      <c r="C10" t="s">
        <v>38</v>
      </c>
      <c r="D10" t="b">
        <v>0</v>
      </c>
      <c r="E10">
        <v>3</v>
      </c>
      <c r="F10" t="s">
        <v>28</v>
      </c>
      <c r="G10" s="1">
        <v>0.56000000000000005</v>
      </c>
      <c r="H10" s="1">
        <v>0.64</v>
      </c>
      <c r="I10" s="1">
        <v>0.64</v>
      </c>
      <c r="J10" s="1">
        <v>0.6</v>
      </c>
      <c r="K10" s="1">
        <v>0.68</v>
      </c>
      <c r="L10" s="1">
        <v>0.68</v>
      </c>
      <c r="M10" s="1">
        <v>0.71</v>
      </c>
      <c r="N10" s="1">
        <v>0.65</v>
      </c>
      <c r="O10" s="1">
        <v>0.6</v>
      </c>
      <c r="P10" s="1">
        <v>0.63</v>
      </c>
      <c r="Q10" s="1">
        <v>0.69</v>
      </c>
      <c r="R10" s="1">
        <v>0.59</v>
      </c>
      <c r="S10" s="1">
        <v>0.66</v>
      </c>
      <c r="T10" s="1">
        <v>0.67</v>
      </c>
      <c r="U10" s="1">
        <v>0.65</v>
      </c>
      <c r="V10" s="1">
        <v>0.63</v>
      </c>
      <c r="W10" s="1">
        <v>0.6</v>
      </c>
      <c r="X10" s="1">
        <v>0.65</v>
      </c>
      <c r="Y10" s="1">
        <f>MAX($G10:$R10)</f>
        <v>0.71</v>
      </c>
    </row>
    <row r="11" spans="1:25">
      <c r="A11" t="s">
        <v>25</v>
      </c>
      <c r="B11">
        <v>2</v>
      </c>
      <c r="C11" t="s">
        <v>38</v>
      </c>
      <c r="D11" t="b">
        <v>1</v>
      </c>
      <c r="E11">
        <v>1</v>
      </c>
      <c r="F11" t="s">
        <v>27</v>
      </c>
      <c r="G11" s="1">
        <v>0.52</v>
      </c>
      <c r="H11" s="1">
        <v>0.55000000000000004</v>
      </c>
      <c r="I11" s="1">
        <v>0.52</v>
      </c>
      <c r="J11" s="1">
        <v>0.59</v>
      </c>
      <c r="K11" s="1">
        <v>0.48</v>
      </c>
      <c r="L11" s="1">
        <v>0.52</v>
      </c>
      <c r="M11" s="1">
        <v>0.59</v>
      </c>
      <c r="N11" s="1">
        <v>0.48</v>
      </c>
      <c r="O11" s="1">
        <v>0.51</v>
      </c>
      <c r="P11" s="1">
        <v>0.57999999999999996</v>
      </c>
      <c r="Q11" s="1">
        <v>0.56000000000000005</v>
      </c>
      <c r="R11" s="1">
        <v>0.56999999999999995</v>
      </c>
      <c r="S11" s="1">
        <v>0.47</v>
      </c>
      <c r="T11" s="1">
        <v>0.45</v>
      </c>
      <c r="U11" s="1">
        <v>0.42</v>
      </c>
      <c r="V11" s="1">
        <v>0.55000000000000004</v>
      </c>
      <c r="W11" s="1">
        <v>0.48</v>
      </c>
      <c r="X11" s="1">
        <v>0.46</v>
      </c>
      <c r="Y11" s="1">
        <f>MAX($G11:$R11)</f>
        <v>0.59</v>
      </c>
    </row>
    <row r="12" spans="1:25">
      <c r="A12" t="s">
        <v>25</v>
      </c>
      <c r="B12">
        <v>2</v>
      </c>
      <c r="C12" t="s">
        <v>38</v>
      </c>
      <c r="D12" t="b">
        <v>1</v>
      </c>
      <c r="E12">
        <v>2</v>
      </c>
      <c r="F12" t="s">
        <v>29</v>
      </c>
      <c r="G12" s="1">
        <v>0.64</v>
      </c>
      <c r="H12" s="1">
        <v>0.71</v>
      </c>
      <c r="I12" s="1">
        <v>0.67</v>
      </c>
      <c r="J12" s="1">
        <v>0.65</v>
      </c>
      <c r="K12" s="1">
        <v>0.65</v>
      </c>
      <c r="L12" s="1">
        <v>0.69</v>
      </c>
      <c r="M12" s="1">
        <v>0.65</v>
      </c>
      <c r="N12" s="1">
        <v>0.65</v>
      </c>
      <c r="O12" s="1">
        <v>0.7</v>
      </c>
      <c r="P12" s="1">
        <v>0.69</v>
      </c>
      <c r="Q12" s="1">
        <v>0.71</v>
      </c>
      <c r="R12" s="1">
        <v>0.63</v>
      </c>
      <c r="S12" s="1">
        <v>0.67</v>
      </c>
      <c r="T12" s="1">
        <v>0.65</v>
      </c>
      <c r="U12" s="1">
        <v>0.62</v>
      </c>
      <c r="V12" s="1">
        <v>0.68</v>
      </c>
      <c r="W12" s="1">
        <v>0.59</v>
      </c>
      <c r="X12" s="1">
        <v>0.59</v>
      </c>
      <c r="Y12" s="1">
        <f>MAX($G12:$R12)</f>
        <v>0.71</v>
      </c>
    </row>
    <row r="13" spans="1:25">
      <c r="A13" t="s">
        <v>25</v>
      </c>
      <c r="B13">
        <v>2</v>
      </c>
      <c r="C13" t="s">
        <v>38</v>
      </c>
      <c r="D13" t="b">
        <v>1</v>
      </c>
      <c r="E13">
        <v>3</v>
      </c>
      <c r="F13" t="s">
        <v>28</v>
      </c>
      <c r="G13" s="1">
        <v>0.6</v>
      </c>
      <c r="H13" s="1">
        <v>0.66</v>
      </c>
      <c r="I13" s="1">
        <v>0.64</v>
      </c>
      <c r="J13" s="1">
        <v>0.6</v>
      </c>
      <c r="K13" s="1">
        <v>0.64</v>
      </c>
      <c r="L13" s="1">
        <v>0.64</v>
      </c>
      <c r="M13" s="1">
        <v>0.68</v>
      </c>
      <c r="N13" s="1">
        <v>0.67</v>
      </c>
      <c r="O13" s="1">
        <v>0.64</v>
      </c>
      <c r="P13" s="1">
        <v>0.62</v>
      </c>
      <c r="Q13" s="1">
        <v>0.7</v>
      </c>
      <c r="R13" s="1">
        <v>0.57999999999999996</v>
      </c>
      <c r="S13" s="1">
        <v>0.69</v>
      </c>
      <c r="T13" s="1">
        <v>0.63</v>
      </c>
      <c r="U13" s="1">
        <v>0.68</v>
      </c>
      <c r="V13" s="1">
        <v>0.62</v>
      </c>
      <c r="W13" s="1">
        <v>0.64</v>
      </c>
      <c r="X13" s="1">
        <v>0.65</v>
      </c>
      <c r="Y13" s="1">
        <f>MAX($G13:$R13)</f>
        <v>0.7</v>
      </c>
    </row>
    <row r="14" spans="1:25">
      <c r="A14" t="s">
        <v>25</v>
      </c>
      <c r="B14">
        <v>2</v>
      </c>
      <c r="C14" t="s">
        <v>30</v>
      </c>
      <c r="D14" t="b">
        <v>0</v>
      </c>
      <c r="E14">
        <v>1</v>
      </c>
      <c r="F14" t="s">
        <v>27</v>
      </c>
      <c r="G14" s="1">
        <v>0.61</v>
      </c>
      <c r="H14" s="1">
        <v>0.62</v>
      </c>
      <c r="I14" s="1">
        <v>0.56000000000000005</v>
      </c>
      <c r="J14" s="1">
        <v>0.64</v>
      </c>
      <c r="K14" s="1">
        <v>0.64</v>
      </c>
      <c r="L14" s="1">
        <v>0.67</v>
      </c>
      <c r="M14" s="1">
        <v>0.56999999999999995</v>
      </c>
      <c r="N14" s="1">
        <v>0.6</v>
      </c>
      <c r="O14" s="1">
        <v>0.6</v>
      </c>
      <c r="P14" s="1">
        <v>0.64</v>
      </c>
      <c r="Q14" s="1">
        <v>0.7</v>
      </c>
      <c r="R14" s="1">
        <v>0.52</v>
      </c>
      <c r="S14" s="1">
        <v>0.67</v>
      </c>
      <c r="T14" s="1">
        <v>0.65</v>
      </c>
      <c r="U14" s="1">
        <v>0.56000000000000005</v>
      </c>
      <c r="V14" s="1">
        <v>0.54</v>
      </c>
      <c r="W14" s="1">
        <v>0.56999999999999995</v>
      </c>
      <c r="X14" s="1">
        <v>0.57999999999999996</v>
      </c>
      <c r="Y14" s="1">
        <f>MAX($G14:$R14)</f>
        <v>0.7</v>
      </c>
    </row>
    <row r="15" spans="1:25">
      <c r="A15" t="s">
        <v>25</v>
      </c>
      <c r="B15">
        <v>2</v>
      </c>
      <c r="C15" t="s">
        <v>30</v>
      </c>
      <c r="D15" t="b">
        <v>0</v>
      </c>
      <c r="E15">
        <v>2</v>
      </c>
      <c r="F15" t="s">
        <v>29</v>
      </c>
      <c r="G15" s="1">
        <v>0.67</v>
      </c>
      <c r="H15" s="1">
        <v>0.69</v>
      </c>
      <c r="I15" s="1">
        <v>0.67</v>
      </c>
      <c r="J15" s="1">
        <v>0.72</v>
      </c>
      <c r="K15" s="1">
        <v>0.71</v>
      </c>
      <c r="L15" s="1">
        <v>0.73</v>
      </c>
      <c r="M15" s="1">
        <v>0.67</v>
      </c>
      <c r="N15" s="1">
        <v>0.67</v>
      </c>
      <c r="O15" s="1">
        <v>0.67</v>
      </c>
      <c r="P15" s="1">
        <v>0.72</v>
      </c>
      <c r="Q15" s="1">
        <v>0.76</v>
      </c>
      <c r="R15" s="1">
        <v>0.62</v>
      </c>
      <c r="S15" s="1">
        <v>0.73</v>
      </c>
      <c r="T15" s="1">
        <v>0.69</v>
      </c>
      <c r="U15" s="1">
        <v>0.65</v>
      </c>
      <c r="V15" s="1">
        <v>0.62</v>
      </c>
      <c r="W15" s="1">
        <v>0.69</v>
      </c>
      <c r="X15" s="1">
        <v>0.67</v>
      </c>
      <c r="Y15" s="1">
        <f>MAX($G15:$R15)</f>
        <v>0.76</v>
      </c>
    </row>
    <row r="16" spans="1:25">
      <c r="A16" t="s">
        <v>25</v>
      </c>
      <c r="B16">
        <v>2</v>
      </c>
      <c r="C16" t="s">
        <v>30</v>
      </c>
      <c r="D16" t="b">
        <v>0</v>
      </c>
      <c r="E16">
        <v>3</v>
      </c>
      <c r="F16" t="s">
        <v>28</v>
      </c>
      <c r="G16" s="1">
        <v>0.65</v>
      </c>
      <c r="H16" s="1">
        <v>0.69</v>
      </c>
      <c r="I16" s="1">
        <v>0.71</v>
      </c>
      <c r="J16" s="1">
        <v>0.69</v>
      </c>
      <c r="K16" s="1">
        <v>0.68</v>
      </c>
      <c r="L16" s="1">
        <v>0.69</v>
      </c>
      <c r="M16" s="1">
        <v>0.69</v>
      </c>
      <c r="N16" s="1">
        <v>0.74</v>
      </c>
      <c r="O16" s="1">
        <v>0.68</v>
      </c>
      <c r="P16" s="1">
        <v>0.7</v>
      </c>
      <c r="Q16" s="1">
        <v>0.74</v>
      </c>
      <c r="R16" s="1">
        <v>0.63</v>
      </c>
      <c r="S16" s="1">
        <v>0.77</v>
      </c>
      <c r="T16" s="1">
        <v>0.69</v>
      </c>
      <c r="U16" s="1">
        <v>0.73</v>
      </c>
      <c r="V16" s="1">
        <v>0.71</v>
      </c>
      <c r="W16" s="1">
        <v>0.68</v>
      </c>
      <c r="X16" s="1">
        <v>0.69</v>
      </c>
      <c r="Y16" s="1">
        <f>MAX($G16:$R16)</f>
        <v>0.74</v>
      </c>
    </row>
    <row r="17" spans="1:25">
      <c r="A17" t="s">
        <v>25</v>
      </c>
      <c r="B17">
        <v>2</v>
      </c>
      <c r="C17" t="s">
        <v>30</v>
      </c>
      <c r="D17" t="b">
        <v>1</v>
      </c>
      <c r="E17">
        <v>1</v>
      </c>
      <c r="F17" t="s">
        <v>27</v>
      </c>
      <c r="G17" s="1">
        <v>0.92</v>
      </c>
      <c r="H17" s="1">
        <v>0.83</v>
      </c>
      <c r="I17" s="1">
        <v>0.84</v>
      </c>
      <c r="J17" s="1">
        <v>0.75</v>
      </c>
      <c r="K17" s="1">
        <v>0.82</v>
      </c>
      <c r="L17" s="1">
        <v>0.83</v>
      </c>
      <c r="M17" s="1">
        <v>0.67</v>
      </c>
      <c r="N17" s="1">
        <v>0.65</v>
      </c>
      <c r="O17" s="1">
        <v>0.56000000000000005</v>
      </c>
      <c r="P17" s="1">
        <v>0.9</v>
      </c>
      <c r="Q17" s="1">
        <v>0.89</v>
      </c>
      <c r="R17" s="1">
        <v>0.81</v>
      </c>
      <c r="S17" s="1">
        <v>0.72</v>
      </c>
      <c r="T17" s="1">
        <v>0.8</v>
      </c>
      <c r="U17" s="1">
        <v>0.74</v>
      </c>
      <c r="V17" s="1">
        <v>0.67</v>
      </c>
      <c r="W17" s="1">
        <v>0.74</v>
      </c>
      <c r="X17" s="1">
        <v>0.71</v>
      </c>
      <c r="Y17" s="1">
        <f>MAX($G17:$R17)</f>
        <v>0.92</v>
      </c>
    </row>
    <row r="18" spans="1:25">
      <c r="A18" t="s">
        <v>25</v>
      </c>
      <c r="B18">
        <v>2</v>
      </c>
      <c r="C18" t="s">
        <v>30</v>
      </c>
      <c r="D18" t="b">
        <v>1</v>
      </c>
      <c r="E18">
        <v>2</v>
      </c>
      <c r="F18" t="s">
        <v>29</v>
      </c>
      <c r="G18" s="1">
        <v>0.94</v>
      </c>
      <c r="H18" s="1">
        <v>0.93</v>
      </c>
      <c r="I18" s="1">
        <v>0.93</v>
      </c>
      <c r="J18" s="1">
        <v>0.92</v>
      </c>
      <c r="K18" s="1">
        <v>0.91</v>
      </c>
      <c r="L18" s="1">
        <v>0.94</v>
      </c>
      <c r="M18" s="1">
        <v>0.92</v>
      </c>
      <c r="N18" s="1">
        <v>0.88</v>
      </c>
      <c r="O18" s="1">
        <v>0.89</v>
      </c>
      <c r="P18" s="1">
        <v>0.94</v>
      </c>
      <c r="Q18" s="1">
        <v>0.94</v>
      </c>
      <c r="R18" s="1">
        <v>0.94</v>
      </c>
      <c r="S18" s="1">
        <v>0.91</v>
      </c>
      <c r="T18" s="1">
        <v>0.94</v>
      </c>
      <c r="U18" s="1">
        <v>0.87</v>
      </c>
      <c r="V18" s="1">
        <v>0.91</v>
      </c>
      <c r="W18" s="1">
        <v>0.88</v>
      </c>
      <c r="X18" s="1">
        <v>0.74</v>
      </c>
      <c r="Y18" s="1">
        <f>MAX($G18:$R18)</f>
        <v>0.94</v>
      </c>
    </row>
    <row r="19" spans="1:25">
      <c r="A19" t="s">
        <v>25</v>
      </c>
      <c r="B19">
        <v>2</v>
      </c>
      <c r="C19" t="s">
        <v>30</v>
      </c>
      <c r="D19" t="b">
        <v>1</v>
      </c>
      <c r="E19">
        <v>3</v>
      </c>
      <c r="F19" t="s">
        <v>28</v>
      </c>
      <c r="G19" s="1">
        <v>0.92</v>
      </c>
      <c r="H19" s="1">
        <v>0.93</v>
      </c>
      <c r="I19" s="1">
        <v>0.91</v>
      </c>
      <c r="J19" s="1">
        <v>0.92</v>
      </c>
      <c r="K19" s="1">
        <v>0.94</v>
      </c>
      <c r="L19" s="1">
        <v>0.92</v>
      </c>
      <c r="M19" s="1">
        <v>0.93</v>
      </c>
      <c r="N19" s="1">
        <v>0.89</v>
      </c>
      <c r="O19" s="1">
        <v>0.82</v>
      </c>
      <c r="P19" s="1">
        <v>0.96</v>
      </c>
      <c r="Q19" s="1">
        <v>0.94</v>
      </c>
      <c r="R19" s="1">
        <v>0.93</v>
      </c>
      <c r="S19" s="1">
        <v>0.95</v>
      </c>
      <c r="T19" s="1">
        <v>0.93</v>
      </c>
      <c r="U19" s="1">
        <v>0.9</v>
      </c>
      <c r="V19" s="1">
        <v>0.92</v>
      </c>
      <c r="W19" s="1">
        <v>0.85</v>
      </c>
      <c r="X19" s="1">
        <v>0.87</v>
      </c>
      <c r="Y19" s="1">
        <f>MAX($G19:$R19)</f>
        <v>0.96</v>
      </c>
    </row>
    <row r="20" spans="1:25">
      <c r="A20" t="s">
        <v>25</v>
      </c>
      <c r="B20">
        <v>1</v>
      </c>
      <c r="C20" t="s">
        <v>26</v>
      </c>
      <c r="D20" t="b">
        <v>0</v>
      </c>
      <c r="E20">
        <v>1</v>
      </c>
      <c r="F20" t="s">
        <v>27</v>
      </c>
      <c r="G20" s="1">
        <v>0.75</v>
      </c>
      <c r="H20" s="1">
        <v>0.81</v>
      </c>
      <c r="I20" s="1">
        <v>0.81</v>
      </c>
      <c r="J20" s="1">
        <v>0.81</v>
      </c>
      <c r="K20" s="1">
        <v>0.8</v>
      </c>
      <c r="L20" s="1">
        <v>0.78</v>
      </c>
      <c r="M20" s="1">
        <v>0.8</v>
      </c>
      <c r="N20" s="1">
        <v>0.8</v>
      </c>
      <c r="O20" s="1">
        <v>0.82</v>
      </c>
      <c r="P20" s="1">
        <v>0.83</v>
      </c>
      <c r="Q20" s="1">
        <v>0.82</v>
      </c>
      <c r="R20" s="1">
        <v>0.81</v>
      </c>
      <c r="S20" s="1">
        <v>0.77</v>
      </c>
      <c r="T20" s="1">
        <v>0.82</v>
      </c>
      <c r="U20" s="1">
        <v>0.78</v>
      </c>
      <c r="V20" s="1">
        <v>0.81</v>
      </c>
      <c r="W20" s="1">
        <v>0.76</v>
      </c>
      <c r="X20" s="1">
        <v>0.78</v>
      </c>
      <c r="Y20" s="1">
        <f>MAX($G20:$R20)</f>
        <v>0.83</v>
      </c>
    </row>
    <row r="21" spans="1:25">
      <c r="A21" t="s">
        <v>25</v>
      </c>
      <c r="B21">
        <v>1</v>
      </c>
      <c r="C21" t="s">
        <v>26</v>
      </c>
      <c r="D21" t="b">
        <v>0</v>
      </c>
      <c r="E21">
        <v>2</v>
      </c>
      <c r="F21" t="s">
        <v>29</v>
      </c>
      <c r="G21" s="1">
        <v>0.75</v>
      </c>
      <c r="H21" s="1">
        <v>0.82</v>
      </c>
      <c r="I21" s="1">
        <v>0.81</v>
      </c>
      <c r="J21" s="1">
        <v>0.83</v>
      </c>
      <c r="K21" s="1">
        <v>0.82</v>
      </c>
      <c r="L21" s="1">
        <v>0.84</v>
      </c>
      <c r="M21" s="1">
        <v>0.84</v>
      </c>
      <c r="N21" s="1">
        <v>0.83</v>
      </c>
      <c r="O21" s="1">
        <v>0.85</v>
      </c>
      <c r="P21" s="1">
        <v>0.86</v>
      </c>
      <c r="Q21" s="1">
        <v>0.85</v>
      </c>
      <c r="R21" s="1">
        <v>0.84</v>
      </c>
      <c r="S21" s="1">
        <v>0.85</v>
      </c>
      <c r="T21" s="1">
        <v>0.81</v>
      </c>
      <c r="U21" s="1">
        <v>0.82</v>
      </c>
      <c r="V21" s="1">
        <v>0.81</v>
      </c>
      <c r="W21" s="1">
        <v>0.81</v>
      </c>
      <c r="X21" s="1">
        <v>0.8</v>
      </c>
      <c r="Y21" s="1">
        <f>MAX($G21:$R21)</f>
        <v>0.86</v>
      </c>
    </row>
    <row r="22" spans="1:25">
      <c r="A22" t="s">
        <v>25</v>
      </c>
      <c r="B22">
        <v>1</v>
      </c>
      <c r="C22" t="s">
        <v>26</v>
      </c>
      <c r="D22" t="b">
        <v>0</v>
      </c>
      <c r="E22">
        <v>3</v>
      </c>
      <c r="F22" t="s">
        <v>28</v>
      </c>
      <c r="G22" s="1">
        <v>0.77</v>
      </c>
      <c r="H22" s="1">
        <v>0.84</v>
      </c>
      <c r="I22" s="1">
        <v>0.74</v>
      </c>
      <c r="J22" s="1">
        <v>0.78</v>
      </c>
      <c r="K22" s="1">
        <v>0.81</v>
      </c>
      <c r="L22" s="1">
        <v>0.82</v>
      </c>
      <c r="M22" s="1">
        <v>0.8</v>
      </c>
      <c r="N22" s="1">
        <v>0.83</v>
      </c>
      <c r="O22" s="1">
        <v>0.85</v>
      </c>
      <c r="P22" s="1">
        <v>0.82</v>
      </c>
      <c r="Q22" s="1">
        <v>0.85</v>
      </c>
      <c r="R22" s="1">
        <v>0.76</v>
      </c>
      <c r="S22" s="1">
        <v>0.8</v>
      </c>
      <c r="T22" s="1">
        <v>0.77</v>
      </c>
      <c r="U22" s="1">
        <v>0.79</v>
      </c>
      <c r="V22" s="1">
        <v>0.81</v>
      </c>
      <c r="W22" s="1">
        <v>0.81</v>
      </c>
      <c r="X22" s="1">
        <v>0.81</v>
      </c>
      <c r="Y22" s="1">
        <f>MAX($G22:$R22)</f>
        <v>0.85</v>
      </c>
    </row>
    <row r="23" spans="1:25">
      <c r="A23" t="s">
        <v>25</v>
      </c>
      <c r="B23">
        <v>1</v>
      </c>
      <c r="C23" t="s">
        <v>26</v>
      </c>
      <c r="D23" t="b">
        <v>1</v>
      </c>
      <c r="E23">
        <v>1</v>
      </c>
      <c r="F23" t="s">
        <v>27</v>
      </c>
      <c r="G23" s="1">
        <v>0.84</v>
      </c>
      <c r="H23" s="1">
        <v>0.86</v>
      </c>
      <c r="I23" s="1">
        <v>0.86</v>
      </c>
      <c r="J23" s="1">
        <v>0.81</v>
      </c>
      <c r="K23" s="1">
        <v>0.82</v>
      </c>
      <c r="L23" s="1">
        <v>0.83</v>
      </c>
      <c r="M23" s="1">
        <v>0.86</v>
      </c>
      <c r="N23" s="1">
        <v>0.81</v>
      </c>
      <c r="O23" s="1">
        <v>0.81</v>
      </c>
      <c r="P23" s="1">
        <v>0.9</v>
      </c>
      <c r="Q23" s="1">
        <v>0.89</v>
      </c>
      <c r="R23" s="1">
        <v>0.84</v>
      </c>
      <c r="S23" s="1">
        <v>0.88</v>
      </c>
      <c r="T23" s="1">
        <v>0.81</v>
      </c>
      <c r="U23" s="1">
        <v>0.82</v>
      </c>
      <c r="V23" s="1">
        <v>0.82</v>
      </c>
      <c r="W23" s="1">
        <v>0.81</v>
      </c>
      <c r="X23" s="1">
        <v>0.77</v>
      </c>
      <c r="Y23" s="1">
        <f>MAX($G23:$R23)</f>
        <v>0.9</v>
      </c>
    </row>
    <row r="24" spans="1:25">
      <c r="A24" t="s">
        <v>25</v>
      </c>
      <c r="B24">
        <v>1</v>
      </c>
      <c r="C24" t="s">
        <v>26</v>
      </c>
      <c r="D24" t="b">
        <v>1</v>
      </c>
      <c r="E24">
        <v>2</v>
      </c>
      <c r="F24" t="s">
        <v>29</v>
      </c>
      <c r="G24" s="1">
        <v>0.88</v>
      </c>
      <c r="H24" s="1">
        <v>0.88</v>
      </c>
      <c r="I24" s="1">
        <v>0.85</v>
      </c>
      <c r="J24" s="1">
        <v>0.84</v>
      </c>
      <c r="K24" s="1">
        <v>0.87</v>
      </c>
      <c r="L24" s="1">
        <v>0.86</v>
      </c>
      <c r="M24" s="1">
        <v>0.88</v>
      </c>
      <c r="N24" s="1">
        <v>0.85</v>
      </c>
      <c r="O24" s="1">
        <v>0.88</v>
      </c>
      <c r="P24" s="1">
        <v>0.91</v>
      </c>
      <c r="Q24" s="1">
        <v>0.93</v>
      </c>
      <c r="R24" s="1">
        <v>0.88</v>
      </c>
      <c r="S24" s="1">
        <v>0.89</v>
      </c>
      <c r="T24" s="1">
        <v>0.83</v>
      </c>
      <c r="U24" s="1">
        <v>0.85</v>
      </c>
      <c r="V24" s="1">
        <v>0.84</v>
      </c>
      <c r="W24" s="1">
        <v>0.84</v>
      </c>
      <c r="X24" s="1">
        <v>0.81</v>
      </c>
      <c r="Y24" s="1">
        <f>MAX($G24:$R24)</f>
        <v>0.93</v>
      </c>
    </row>
    <row r="25" spans="1:25">
      <c r="A25" t="s">
        <v>25</v>
      </c>
      <c r="B25">
        <v>1</v>
      </c>
      <c r="C25" t="s">
        <v>26</v>
      </c>
      <c r="D25" t="b">
        <v>1</v>
      </c>
      <c r="E25">
        <v>3</v>
      </c>
      <c r="F25" t="s">
        <v>28</v>
      </c>
      <c r="G25" s="1">
        <v>0.88</v>
      </c>
      <c r="H25" s="1">
        <v>0.88</v>
      </c>
      <c r="I25" s="1">
        <v>0.81</v>
      </c>
      <c r="J25" s="1">
        <v>0.79</v>
      </c>
      <c r="K25" s="1">
        <v>0.82</v>
      </c>
      <c r="L25" s="1">
        <v>0.86</v>
      </c>
      <c r="M25" s="1">
        <v>0.85</v>
      </c>
      <c r="N25" s="1">
        <v>0.82</v>
      </c>
      <c r="O25" s="1">
        <v>0.84</v>
      </c>
      <c r="P25" s="1">
        <v>0.87</v>
      </c>
      <c r="Q25" s="1">
        <v>0.9</v>
      </c>
      <c r="R25" s="1">
        <v>0.84</v>
      </c>
      <c r="S25" s="1">
        <v>0.86</v>
      </c>
      <c r="T25" s="1">
        <v>0.8</v>
      </c>
      <c r="U25" s="1">
        <v>0.82</v>
      </c>
      <c r="V25" s="1">
        <v>0.77</v>
      </c>
      <c r="W25" s="1">
        <v>0.83</v>
      </c>
      <c r="X25" s="1">
        <v>0.8</v>
      </c>
      <c r="Y25" s="1">
        <f>MAX($G25:$R25)</f>
        <v>0.9</v>
      </c>
    </row>
  </sheetData>
  <conditionalFormatting sqref="G2:Y25">
    <cfRule type="colorScale" priority="1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4AD0-B666-7340-A9F9-B304EA35ED23}">
  <dimension ref="A1:Y45"/>
  <sheetViews>
    <sheetView workbookViewId="0">
      <pane xSplit="6560" ySplit="3680" topLeftCell="O29" activePane="topRight"/>
      <selection activeCell="A12" sqref="A12"/>
      <selection pane="topRight" activeCell="R4" sqref="R4"/>
      <selection pane="bottomLeft" activeCell="B23" sqref="B23:Y28"/>
      <selection pane="bottomRight" activeCell="AA22" sqref="AA22"/>
    </sheetView>
  </sheetViews>
  <sheetFormatPr baseColWidth="10" defaultRowHeight="27" customHeight="1"/>
  <cols>
    <col min="2" max="2" width="7.25" customWidth="1"/>
    <col min="4" max="4" width="8.875" customWidth="1"/>
    <col min="5" max="5" width="7.125" customWidth="1"/>
    <col min="6" max="6" width="9.625" customWidth="1"/>
    <col min="7" max="25" width="7.5" customWidth="1"/>
  </cols>
  <sheetData>
    <row r="1" spans="1:25" ht="27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27" customHeight="1">
      <c r="A2" t="s">
        <v>25</v>
      </c>
      <c r="B2">
        <v>1</v>
      </c>
      <c r="C2" t="s">
        <v>26</v>
      </c>
      <c r="D2" t="b">
        <v>1</v>
      </c>
      <c r="E2">
        <v>1</v>
      </c>
      <c r="F2" t="s">
        <v>27</v>
      </c>
      <c r="G2" s="1">
        <v>0.9</v>
      </c>
      <c r="H2" s="1">
        <v>0.87</v>
      </c>
      <c r="I2" s="1">
        <v>0.81</v>
      </c>
      <c r="J2" s="1">
        <v>0.88</v>
      </c>
      <c r="K2" s="1">
        <v>0.84</v>
      </c>
      <c r="L2" s="1">
        <v>0.78</v>
      </c>
      <c r="M2" s="1">
        <v>0.87</v>
      </c>
      <c r="N2" s="1">
        <v>0.8</v>
      </c>
      <c r="O2" s="1">
        <v>0.88</v>
      </c>
      <c r="P2" s="1">
        <v>0.88</v>
      </c>
      <c r="Q2" s="1">
        <v>0.87</v>
      </c>
      <c r="R2" s="1">
        <v>0.78</v>
      </c>
      <c r="S2" s="1">
        <v>0.85</v>
      </c>
      <c r="T2" s="1">
        <v>0.85</v>
      </c>
      <c r="U2" s="1">
        <v>0.87</v>
      </c>
      <c r="V2" s="1">
        <v>0.83</v>
      </c>
      <c r="W2" s="1">
        <v>0.85</v>
      </c>
      <c r="X2" s="1">
        <v>0.83</v>
      </c>
      <c r="Y2" s="1">
        <f t="shared" ref="Y2:Y19" si="0">_xlfn.LET(_xlpm.d,$G2:$X2,MAX(_xlpm.d))</f>
        <v>0.9</v>
      </c>
    </row>
    <row r="3" spans="1:25" ht="27" customHeight="1">
      <c r="A3" t="s">
        <v>25</v>
      </c>
      <c r="B3">
        <v>1</v>
      </c>
      <c r="C3" t="s">
        <v>26</v>
      </c>
      <c r="D3" t="b">
        <v>1</v>
      </c>
      <c r="E3">
        <v>3</v>
      </c>
      <c r="F3" t="s">
        <v>28</v>
      </c>
      <c r="G3" s="1">
        <v>0.89</v>
      </c>
      <c r="H3" s="1">
        <v>0.89</v>
      </c>
      <c r="I3" s="1">
        <v>0.87</v>
      </c>
      <c r="J3" s="1">
        <v>0.91</v>
      </c>
      <c r="K3" s="1">
        <v>0.85</v>
      </c>
      <c r="L3" s="1">
        <v>0.82</v>
      </c>
      <c r="M3" s="1">
        <v>0.84</v>
      </c>
      <c r="N3" s="1">
        <v>0.87</v>
      </c>
      <c r="O3" s="1">
        <v>0.87</v>
      </c>
      <c r="P3" s="1">
        <v>0.91</v>
      </c>
      <c r="Q3" s="1">
        <v>0.86</v>
      </c>
      <c r="R3" s="1">
        <v>0.82</v>
      </c>
      <c r="S3" s="1">
        <v>0.89</v>
      </c>
      <c r="T3" s="1">
        <v>0.9</v>
      </c>
      <c r="U3" s="1">
        <v>0.86</v>
      </c>
      <c r="V3" s="1">
        <v>0.87</v>
      </c>
      <c r="W3" s="1">
        <v>0.86</v>
      </c>
      <c r="X3" s="1">
        <v>0.85</v>
      </c>
      <c r="Y3" s="1">
        <f t="shared" si="0"/>
        <v>0.91</v>
      </c>
    </row>
    <row r="4" spans="1:25" ht="27" customHeight="1">
      <c r="A4" t="s">
        <v>25</v>
      </c>
      <c r="B4">
        <v>1</v>
      </c>
      <c r="C4" t="s">
        <v>26</v>
      </c>
      <c r="D4" t="b">
        <v>1</v>
      </c>
      <c r="E4">
        <v>2</v>
      </c>
      <c r="F4" t="s">
        <v>29</v>
      </c>
      <c r="G4" s="1">
        <v>0.93</v>
      </c>
      <c r="H4" s="1">
        <v>0.89</v>
      </c>
      <c r="I4" s="1">
        <v>0.88</v>
      </c>
      <c r="J4" s="1">
        <v>0.88</v>
      </c>
      <c r="K4" s="1">
        <v>0.88</v>
      </c>
      <c r="L4" s="1">
        <v>0.88</v>
      </c>
      <c r="M4" s="1">
        <v>0.89</v>
      </c>
      <c r="N4" s="1">
        <v>0.85</v>
      </c>
      <c r="O4" s="1">
        <v>0.89</v>
      </c>
      <c r="P4" s="1">
        <v>0.9</v>
      </c>
      <c r="Q4" s="1">
        <v>0.88</v>
      </c>
      <c r="R4" s="1">
        <v>0.84</v>
      </c>
      <c r="S4" s="1">
        <v>0.89</v>
      </c>
      <c r="T4" s="1">
        <v>0.9</v>
      </c>
      <c r="U4" s="1">
        <v>0.9</v>
      </c>
      <c r="V4" s="1">
        <v>0.89</v>
      </c>
      <c r="W4" s="1">
        <v>0.9</v>
      </c>
      <c r="X4" s="1">
        <v>0.87</v>
      </c>
      <c r="Y4" s="1">
        <f t="shared" si="0"/>
        <v>0.93</v>
      </c>
    </row>
    <row r="5" spans="1:25" ht="27" customHeight="1">
      <c r="A5" t="s">
        <v>25</v>
      </c>
      <c r="B5">
        <v>1</v>
      </c>
      <c r="C5" t="s">
        <v>26</v>
      </c>
      <c r="D5" t="b">
        <v>0</v>
      </c>
      <c r="E5">
        <v>1</v>
      </c>
      <c r="F5" t="s">
        <v>27</v>
      </c>
      <c r="G5" s="1">
        <v>0.78</v>
      </c>
      <c r="H5" s="1">
        <v>0.85</v>
      </c>
      <c r="I5" s="1">
        <v>0.79</v>
      </c>
      <c r="J5" s="1">
        <v>0.79</v>
      </c>
      <c r="K5" s="1">
        <v>0.8</v>
      </c>
      <c r="L5" s="1">
        <v>0.84</v>
      </c>
      <c r="M5" s="1">
        <v>0.81</v>
      </c>
      <c r="N5" s="1">
        <v>0.83</v>
      </c>
      <c r="O5" s="1">
        <v>0.86</v>
      </c>
      <c r="P5" s="1">
        <v>0.82</v>
      </c>
      <c r="Q5" s="1">
        <v>0.81</v>
      </c>
      <c r="R5" s="1">
        <v>0.76</v>
      </c>
      <c r="S5" s="1">
        <v>0.8</v>
      </c>
      <c r="T5" s="1">
        <v>0.83</v>
      </c>
      <c r="U5" s="1">
        <v>0.83</v>
      </c>
      <c r="V5" s="1">
        <v>0.82</v>
      </c>
      <c r="W5" s="1">
        <v>0.82</v>
      </c>
      <c r="X5" s="1">
        <v>0.82</v>
      </c>
      <c r="Y5" s="1">
        <f t="shared" si="0"/>
        <v>0.86</v>
      </c>
    </row>
    <row r="6" spans="1:25" ht="27" customHeight="1">
      <c r="A6" t="s">
        <v>25</v>
      </c>
      <c r="B6">
        <v>1</v>
      </c>
      <c r="C6" t="s">
        <v>26</v>
      </c>
      <c r="D6" t="b">
        <v>0</v>
      </c>
      <c r="E6">
        <v>3</v>
      </c>
      <c r="F6" t="s">
        <v>28</v>
      </c>
      <c r="G6" s="1">
        <v>0.82</v>
      </c>
      <c r="H6" s="1">
        <v>0.83</v>
      </c>
      <c r="I6" s="1">
        <v>0.8</v>
      </c>
      <c r="J6" s="1">
        <v>0.81</v>
      </c>
      <c r="K6" s="1">
        <v>0.81</v>
      </c>
      <c r="L6" s="1">
        <v>0.83</v>
      </c>
      <c r="M6" s="1">
        <v>0.83</v>
      </c>
      <c r="N6" s="1">
        <v>0.87</v>
      </c>
      <c r="O6" s="1">
        <v>0.85</v>
      </c>
      <c r="P6" s="1">
        <v>0.79</v>
      </c>
      <c r="Q6" s="1">
        <v>0.8</v>
      </c>
      <c r="R6" s="1">
        <v>0.78</v>
      </c>
      <c r="S6" s="1">
        <v>0.81</v>
      </c>
      <c r="T6" s="1">
        <v>0.87</v>
      </c>
      <c r="U6" s="1">
        <v>0.84</v>
      </c>
      <c r="V6" s="1">
        <v>0.85</v>
      </c>
      <c r="W6" s="1">
        <v>0.88</v>
      </c>
      <c r="X6" s="1">
        <v>0.83</v>
      </c>
      <c r="Y6" s="1">
        <f t="shared" si="0"/>
        <v>0.88</v>
      </c>
    </row>
    <row r="7" spans="1:25" ht="27" customHeight="1">
      <c r="A7" t="s">
        <v>25</v>
      </c>
      <c r="B7">
        <v>1</v>
      </c>
      <c r="C7" t="s">
        <v>26</v>
      </c>
      <c r="D7" t="b">
        <v>0</v>
      </c>
      <c r="E7">
        <v>2</v>
      </c>
      <c r="F7" t="s">
        <v>29</v>
      </c>
      <c r="G7" s="1">
        <v>0.83</v>
      </c>
      <c r="H7" s="1">
        <v>0.87</v>
      </c>
      <c r="I7" s="1">
        <v>0.82</v>
      </c>
      <c r="J7" s="1">
        <v>0.84</v>
      </c>
      <c r="K7" s="1">
        <v>0.85</v>
      </c>
      <c r="L7" s="1">
        <v>0.85</v>
      </c>
      <c r="M7" s="1">
        <v>0.83</v>
      </c>
      <c r="N7" s="1">
        <v>0.85</v>
      </c>
      <c r="O7" s="1">
        <v>0.86</v>
      </c>
      <c r="P7" s="1">
        <v>0.86</v>
      </c>
      <c r="Q7" s="1">
        <v>0.84</v>
      </c>
      <c r="R7" s="1">
        <v>0.79</v>
      </c>
      <c r="S7" s="1">
        <v>0.83</v>
      </c>
      <c r="T7" s="1">
        <v>0.88</v>
      </c>
      <c r="U7" s="1">
        <v>0.86</v>
      </c>
      <c r="V7" s="1">
        <v>0.85</v>
      </c>
      <c r="W7" s="1">
        <v>0.87</v>
      </c>
      <c r="X7" s="1">
        <v>0.83</v>
      </c>
      <c r="Y7" s="1">
        <f t="shared" si="0"/>
        <v>0.88</v>
      </c>
    </row>
    <row r="8" spans="1:25" ht="27" customHeight="1">
      <c r="A8" t="s">
        <v>25</v>
      </c>
      <c r="B8">
        <v>2</v>
      </c>
      <c r="C8" t="s">
        <v>30</v>
      </c>
      <c r="D8" t="b">
        <v>1</v>
      </c>
      <c r="E8">
        <v>1</v>
      </c>
      <c r="F8" t="s">
        <v>27</v>
      </c>
      <c r="G8" s="1">
        <v>0.89</v>
      </c>
      <c r="H8" s="1">
        <v>0.9</v>
      </c>
      <c r="I8" s="1">
        <v>0.76</v>
      </c>
      <c r="J8" s="1">
        <v>0.75</v>
      </c>
      <c r="K8" s="1">
        <v>0.72</v>
      </c>
      <c r="L8" s="1">
        <v>0.64</v>
      </c>
      <c r="M8" s="1">
        <v>0.81</v>
      </c>
      <c r="N8" s="1">
        <v>0.83</v>
      </c>
      <c r="O8" s="1">
        <v>0.61</v>
      </c>
      <c r="P8" s="1">
        <v>0.92</v>
      </c>
      <c r="Q8" s="1">
        <v>0.94</v>
      </c>
      <c r="R8" s="1">
        <v>0.94</v>
      </c>
      <c r="S8" s="1">
        <v>0.82</v>
      </c>
      <c r="T8" s="1">
        <v>0.6</v>
      </c>
      <c r="U8" s="1">
        <v>0.8</v>
      </c>
      <c r="V8" s="1">
        <v>0.71</v>
      </c>
      <c r="W8" s="1">
        <v>0.73</v>
      </c>
      <c r="X8" s="1">
        <v>0.54</v>
      </c>
      <c r="Y8" s="1">
        <f t="shared" si="0"/>
        <v>0.94</v>
      </c>
    </row>
    <row r="9" spans="1:25" ht="27" customHeight="1">
      <c r="A9" t="s">
        <v>25</v>
      </c>
      <c r="B9">
        <v>2</v>
      </c>
      <c r="C9" t="s">
        <v>30</v>
      </c>
      <c r="D9" t="b">
        <v>1</v>
      </c>
      <c r="E9">
        <v>3</v>
      </c>
      <c r="F9" t="s">
        <v>28</v>
      </c>
      <c r="G9" s="1">
        <v>0.93</v>
      </c>
      <c r="H9" s="1">
        <v>0.94</v>
      </c>
      <c r="I9" s="1">
        <v>0.94</v>
      </c>
      <c r="J9" s="1">
        <v>0.91</v>
      </c>
      <c r="K9" s="1">
        <v>0.93</v>
      </c>
      <c r="L9" s="1">
        <v>0.94</v>
      </c>
      <c r="M9" s="1">
        <v>0.91</v>
      </c>
      <c r="N9" s="1">
        <v>0.89</v>
      </c>
      <c r="O9" s="1">
        <v>0.9</v>
      </c>
      <c r="P9" s="1">
        <v>0.94</v>
      </c>
      <c r="Q9" s="1">
        <v>0.96</v>
      </c>
      <c r="R9" s="1">
        <v>0.96</v>
      </c>
      <c r="S9" s="1">
        <v>0.93</v>
      </c>
      <c r="T9" s="1">
        <v>0.91</v>
      </c>
      <c r="U9" s="1">
        <v>0.92</v>
      </c>
      <c r="V9" s="1">
        <v>0.91</v>
      </c>
      <c r="W9" s="1">
        <v>0.88</v>
      </c>
      <c r="X9" s="1">
        <v>0.84</v>
      </c>
      <c r="Y9" s="1">
        <f t="shared" si="0"/>
        <v>0.96</v>
      </c>
    </row>
    <row r="10" spans="1:25" ht="27" customHeight="1">
      <c r="A10" t="s">
        <v>25</v>
      </c>
      <c r="B10">
        <v>2</v>
      </c>
      <c r="C10" t="s">
        <v>30</v>
      </c>
      <c r="D10" t="b">
        <v>1</v>
      </c>
      <c r="E10">
        <v>2</v>
      </c>
      <c r="F10" t="s">
        <v>29</v>
      </c>
      <c r="G10" s="1">
        <v>0.93</v>
      </c>
      <c r="H10" s="1">
        <v>0.92</v>
      </c>
      <c r="I10" s="1">
        <v>0.92</v>
      </c>
      <c r="J10" s="1">
        <v>0.9</v>
      </c>
      <c r="K10" s="1">
        <v>0.92</v>
      </c>
      <c r="L10" s="1">
        <v>0.91</v>
      </c>
      <c r="M10" s="1">
        <v>0.88</v>
      </c>
      <c r="N10" s="1">
        <v>0.86</v>
      </c>
      <c r="O10" s="1">
        <v>0.89</v>
      </c>
      <c r="P10" s="1">
        <v>0.92</v>
      </c>
      <c r="Q10" s="1">
        <v>0.93</v>
      </c>
      <c r="R10" s="1">
        <v>0.91</v>
      </c>
      <c r="S10" s="1">
        <v>0.93</v>
      </c>
      <c r="T10" s="1">
        <v>0.89</v>
      </c>
      <c r="U10" s="1">
        <v>0.88</v>
      </c>
      <c r="V10" s="1">
        <v>0.89</v>
      </c>
      <c r="W10" s="1">
        <v>0.88</v>
      </c>
      <c r="X10" s="1">
        <v>0.84</v>
      </c>
      <c r="Y10" s="1">
        <f t="shared" si="0"/>
        <v>0.93</v>
      </c>
    </row>
    <row r="11" spans="1:25" ht="27" customHeight="1">
      <c r="A11" t="s">
        <v>25</v>
      </c>
      <c r="B11">
        <v>2</v>
      </c>
      <c r="C11" t="s">
        <v>30</v>
      </c>
      <c r="D11" t="b">
        <v>0</v>
      </c>
      <c r="E11">
        <v>1</v>
      </c>
      <c r="F11" t="s">
        <v>27</v>
      </c>
      <c r="G11" s="1">
        <v>0.65</v>
      </c>
      <c r="H11" s="1">
        <v>0.61</v>
      </c>
      <c r="I11" s="1">
        <v>0.66</v>
      </c>
      <c r="J11" s="1">
        <v>0.59</v>
      </c>
      <c r="K11" s="1">
        <v>0.61</v>
      </c>
      <c r="L11" s="1">
        <v>0.56000000000000005</v>
      </c>
      <c r="M11" s="1">
        <v>0.59</v>
      </c>
      <c r="N11" s="1">
        <v>0.57999999999999996</v>
      </c>
      <c r="O11" s="1">
        <v>0.56999999999999995</v>
      </c>
      <c r="P11" s="1">
        <v>0.63</v>
      </c>
      <c r="Q11" s="1">
        <v>0.67</v>
      </c>
      <c r="R11" s="1">
        <v>0.59</v>
      </c>
      <c r="S11" s="1">
        <v>0.65</v>
      </c>
      <c r="T11" s="1">
        <v>0.61</v>
      </c>
      <c r="U11" s="1">
        <v>0.63</v>
      </c>
      <c r="V11" s="1">
        <v>0.64</v>
      </c>
      <c r="W11" s="1">
        <v>0.63</v>
      </c>
      <c r="X11" s="1">
        <v>0.63</v>
      </c>
      <c r="Y11" s="1">
        <f t="shared" si="0"/>
        <v>0.67</v>
      </c>
    </row>
    <row r="12" spans="1:25" ht="27" customHeight="1">
      <c r="A12" t="s">
        <v>25</v>
      </c>
      <c r="B12">
        <v>2</v>
      </c>
      <c r="C12" t="s">
        <v>30</v>
      </c>
      <c r="D12" t="b">
        <v>0</v>
      </c>
      <c r="E12">
        <v>3</v>
      </c>
      <c r="F12" t="s">
        <v>28</v>
      </c>
      <c r="G12" s="1">
        <v>0.77</v>
      </c>
      <c r="H12" s="1">
        <v>0.74</v>
      </c>
      <c r="I12" s="1">
        <v>0.71</v>
      </c>
      <c r="J12" s="1">
        <v>0.67</v>
      </c>
      <c r="K12" s="1">
        <v>0.75</v>
      </c>
      <c r="L12" s="1">
        <v>0.78</v>
      </c>
      <c r="M12" s="1">
        <v>0.71</v>
      </c>
      <c r="N12" s="1">
        <v>0.77</v>
      </c>
      <c r="O12" s="1">
        <v>0.77</v>
      </c>
      <c r="P12" s="1">
        <v>0.73</v>
      </c>
      <c r="Q12" s="1">
        <v>0.78</v>
      </c>
      <c r="R12" s="1">
        <v>0.75</v>
      </c>
      <c r="S12" s="1">
        <v>0.77</v>
      </c>
      <c r="T12" s="1">
        <v>0.71</v>
      </c>
      <c r="U12" s="1">
        <v>0.74</v>
      </c>
      <c r="V12" s="1">
        <v>0.75</v>
      </c>
      <c r="W12" s="1">
        <v>0.78</v>
      </c>
      <c r="X12" s="1">
        <v>0.75</v>
      </c>
      <c r="Y12" s="1">
        <f t="shared" si="0"/>
        <v>0.78</v>
      </c>
    </row>
    <row r="13" spans="1:25" ht="27" customHeight="1">
      <c r="A13" t="s">
        <v>25</v>
      </c>
      <c r="B13">
        <v>2</v>
      </c>
      <c r="C13" t="s">
        <v>30</v>
      </c>
      <c r="D13" t="b">
        <v>0</v>
      </c>
      <c r="E13">
        <v>2</v>
      </c>
      <c r="F13" t="s">
        <v>29</v>
      </c>
      <c r="G13" s="1">
        <v>0.75</v>
      </c>
      <c r="H13" s="1">
        <v>0.75</v>
      </c>
      <c r="I13" s="1">
        <v>0.72</v>
      </c>
      <c r="J13" s="1">
        <v>0.66</v>
      </c>
      <c r="K13" s="1">
        <v>0.69</v>
      </c>
      <c r="L13" s="1">
        <v>0.68</v>
      </c>
      <c r="M13" s="1">
        <v>0.69</v>
      </c>
      <c r="N13" s="1">
        <v>0.67</v>
      </c>
      <c r="O13" s="1">
        <v>0.67</v>
      </c>
      <c r="P13" s="1">
        <v>0.73</v>
      </c>
      <c r="Q13" s="1">
        <v>0.73</v>
      </c>
      <c r="R13" s="1">
        <v>0.75</v>
      </c>
      <c r="S13" s="1">
        <v>0.73</v>
      </c>
      <c r="T13" s="1">
        <v>0.65</v>
      </c>
      <c r="U13" s="1">
        <v>0.7</v>
      </c>
      <c r="V13" s="1">
        <v>0.7</v>
      </c>
      <c r="W13" s="1">
        <v>0.69</v>
      </c>
      <c r="X13" s="1">
        <v>0.71</v>
      </c>
      <c r="Y13" s="1">
        <f t="shared" si="0"/>
        <v>0.75</v>
      </c>
    </row>
    <row r="14" spans="1:25" ht="27" customHeight="1">
      <c r="A14" t="s">
        <v>25</v>
      </c>
      <c r="B14">
        <v>3</v>
      </c>
      <c r="C14" t="s">
        <v>31</v>
      </c>
      <c r="D14" t="b">
        <v>1</v>
      </c>
      <c r="E14">
        <v>1</v>
      </c>
      <c r="F14" t="s">
        <v>27</v>
      </c>
      <c r="G14" s="1">
        <v>0.47</v>
      </c>
      <c r="H14" s="1">
        <v>0.52</v>
      </c>
      <c r="I14" s="1">
        <v>0.44</v>
      </c>
      <c r="J14" s="1">
        <v>0.52</v>
      </c>
      <c r="K14" s="1">
        <v>0.49</v>
      </c>
      <c r="L14" s="1">
        <v>0.4</v>
      </c>
      <c r="M14" s="1">
        <v>0.42</v>
      </c>
      <c r="N14" s="1">
        <v>0.42</v>
      </c>
      <c r="O14" s="1">
        <v>0.41</v>
      </c>
      <c r="P14" s="1">
        <v>0.59</v>
      </c>
      <c r="Q14" s="1">
        <v>0.51</v>
      </c>
      <c r="R14" s="1">
        <v>0.49</v>
      </c>
      <c r="S14" s="1">
        <v>0.47</v>
      </c>
      <c r="T14" s="1">
        <v>0.49</v>
      </c>
      <c r="U14" s="1">
        <v>0.53</v>
      </c>
      <c r="V14" s="1">
        <v>0.43</v>
      </c>
      <c r="W14" s="1">
        <v>0.42</v>
      </c>
      <c r="X14" s="1">
        <v>0.4</v>
      </c>
      <c r="Y14" s="1">
        <f t="shared" si="0"/>
        <v>0.59</v>
      </c>
    </row>
    <row r="15" spans="1:25" ht="27" customHeight="1">
      <c r="A15" t="s">
        <v>25</v>
      </c>
      <c r="B15">
        <v>3</v>
      </c>
      <c r="C15" t="s">
        <v>31</v>
      </c>
      <c r="D15" t="b">
        <v>1</v>
      </c>
      <c r="E15">
        <v>3</v>
      </c>
      <c r="F15" t="s">
        <v>28</v>
      </c>
      <c r="G15" s="1">
        <v>0.52</v>
      </c>
      <c r="H15" s="1">
        <v>0.54</v>
      </c>
      <c r="I15" s="1">
        <v>0.47</v>
      </c>
      <c r="J15" s="1">
        <v>0.54</v>
      </c>
      <c r="K15" s="1">
        <v>0.41</v>
      </c>
      <c r="L15" s="1">
        <v>0.4</v>
      </c>
      <c r="M15" s="1">
        <v>0.42</v>
      </c>
      <c r="N15" s="1">
        <v>0.37</v>
      </c>
      <c r="O15" s="1">
        <v>0.4</v>
      </c>
      <c r="P15" s="1">
        <v>0.54</v>
      </c>
      <c r="Q15" s="1">
        <v>0.46</v>
      </c>
      <c r="R15" s="1">
        <v>0.47</v>
      </c>
      <c r="S15" s="1">
        <v>0.51</v>
      </c>
      <c r="T15" s="1">
        <v>0.39</v>
      </c>
      <c r="U15" s="1">
        <v>0.46</v>
      </c>
      <c r="V15" s="1">
        <v>0.48</v>
      </c>
      <c r="W15" s="1">
        <v>0.43</v>
      </c>
      <c r="X15" s="1">
        <v>0.42</v>
      </c>
      <c r="Y15" s="1">
        <f t="shared" si="0"/>
        <v>0.54</v>
      </c>
    </row>
    <row r="16" spans="1:25" ht="27" customHeight="1">
      <c r="A16" t="s">
        <v>25</v>
      </c>
      <c r="B16">
        <v>3</v>
      </c>
      <c r="C16" t="s">
        <v>31</v>
      </c>
      <c r="D16" t="b">
        <v>1</v>
      </c>
      <c r="E16">
        <v>2</v>
      </c>
      <c r="F16" t="s">
        <v>29</v>
      </c>
      <c r="G16" s="1">
        <v>0.5</v>
      </c>
      <c r="H16" s="1">
        <v>0.56000000000000005</v>
      </c>
      <c r="I16" s="1">
        <v>0.54</v>
      </c>
      <c r="J16" s="1">
        <v>0.53</v>
      </c>
      <c r="K16" s="1">
        <v>0.59</v>
      </c>
      <c r="L16" s="1">
        <v>0.5</v>
      </c>
      <c r="M16" s="1">
        <v>0.56000000000000005</v>
      </c>
      <c r="N16" s="1">
        <v>0.52</v>
      </c>
      <c r="O16" s="1">
        <v>0.49</v>
      </c>
      <c r="P16" s="1">
        <v>0.61</v>
      </c>
      <c r="Q16" s="1">
        <v>0.51</v>
      </c>
      <c r="R16" s="1">
        <v>0.56999999999999995</v>
      </c>
      <c r="S16" s="1">
        <v>0.56000000000000005</v>
      </c>
      <c r="T16" s="1">
        <v>0.49</v>
      </c>
      <c r="U16" s="1">
        <v>0.49</v>
      </c>
      <c r="V16" s="1">
        <v>0.56000000000000005</v>
      </c>
      <c r="W16" s="1">
        <v>0.56000000000000005</v>
      </c>
      <c r="X16" s="1">
        <v>0.47</v>
      </c>
      <c r="Y16" s="1">
        <f t="shared" si="0"/>
        <v>0.61</v>
      </c>
    </row>
    <row r="17" spans="1:25" ht="27" customHeight="1">
      <c r="A17" t="s">
        <v>25</v>
      </c>
      <c r="B17">
        <v>3</v>
      </c>
      <c r="C17" t="s">
        <v>31</v>
      </c>
      <c r="D17" t="b">
        <v>0</v>
      </c>
      <c r="E17">
        <v>1</v>
      </c>
      <c r="F17" t="s">
        <v>27</v>
      </c>
      <c r="G17" s="1">
        <v>0.39</v>
      </c>
      <c r="H17" s="1">
        <v>0.43</v>
      </c>
      <c r="I17" s="1">
        <v>0.41</v>
      </c>
      <c r="J17" s="1">
        <v>0.37</v>
      </c>
      <c r="K17" s="1">
        <v>0.44</v>
      </c>
      <c r="L17" s="1">
        <v>0.4</v>
      </c>
      <c r="M17" s="1">
        <v>0.46</v>
      </c>
      <c r="N17" s="1">
        <v>0.37</v>
      </c>
      <c r="O17" s="1">
        <v>0.38</v>
      </c>
      <c r="P17" s="1">
        <v>0.44</v>
      </c>
      <c r="Q17" s="1">
        <v>0.4</v>
      </c>
      <c r="R17" s="1">
        <v>0.43</v>
      </c>
      <c r="S17" s="1">
        <v>0.45</v>
      </c>
      <c r="T17" s="1">
        <v>0.37</v>
      </c>
      <c r="U17" s="1">
        <v>0.35</v>
      </c>
      <c r="V17" s="1">
        <v>0.33</v>
      </c>
      <c r="W17" s="1">
        <v>0.44</v>
      </c>
      <c r="X17" s="1">
        <v>0.38</v>
      </c>
      <c r="Y17" s="1">
        <f t="shared" si="0"/>
        <v>0.46</v>
      </c>
    </row>
    <row r="18" spans="1:25" ht="27" customHeight="1">
      <c r="A18" t="s">
        <v>25</v>
      </c>
      <c r="B18">
        <v>3</v>
      </c>
      <c r="C18" t="s">
        <v>31</v>
      </c>
      <c r="D18" t="b">
        <v>0</v>
      </c>
      <c r="E18">
        <v>3</v>
      </c>
      <c r="F18" t="s">
        <v>28</v>
      </c>
      <c r="G18" s="1">
        <v>0.4</v>
      </c>
      <c r="H18" s="1">
        <v>0.46</v>
      </c>
      <c r="I18" s="1">
        <v>0.36</v>
      </c>
      <c r="J18" s="1">
        <v>0.43</v>
      </c>
      <c r="K18" s="1">
        <v>0.44</v>
      </c>
      <c r="L18" s="1">
        <v>0.42</v>
      </c>
      <c r="M18" s="1">
        <v>0.4</v>
      </c>
      <c r="N18" s="1">
        <v>0.37</v>
      </c>
      <c r="O18" s="1">
        <v>0.37</v>
      </c>
      <c r="P18" s="1">
        <v>0.4</v>
      </c>
      <c r="Q18" s="1">
        <v>0.4</v>
      </c>
      <c r="R18" s="1">
        <v>0.42</v>
      </c>
      <c r="S18" s="1">
        <v>0.41</v>
      </c>
      <c r="T18" s="1">
        <v>0.4</v>
      </c>
      <c r="U18" s="1">
        <v>0.37</v>
      </c>
      <c r="V18" s="1">
        <v>0.46</v>
      </c>
      <c r="W18" s="1">
        <v>0.45</v>
      </c>
      <c r="X18" s="1">
        <v>0.44</v>
      </c>
      <c r="Y18" s="1">
        <f t="shared" si="0"/>
        <v>0.46</v>
      </c>
    </row>
    <row r="19" spans="1:25" ht="27" customHeight="1">
      <c r="A19" t="s">
        <v>25</v>
      </c>
      <c r="B19">
        <v>3</v>
      </c>
      <c r="C19" t="s">
        <v>31</v>
      </c>
      <c r="D19" t="b">
        <v>0</v>
      </c>
      <c r="E19">
        <v>2</v>
      </c>
      <c r="F19" t="s">
        <v>29</v>
      </c>
      <c r="G19" s="1">
        <v>0.42</v>
      </c>
      <c r="H19" s="1">
        <v>0.47</v>
      </c>
      <c r="I19" s="1">
        <v>0.42</v>
      </c>
      <c r="J19" s="1">
        <v>0.47</v>
      </c>
      <c r="K19" s="1">
        <v>0.52</v>
      </c>
      <c r="L19" s="1">
        <v>0.47</v>
      </c>
      <c r="M19" s="1">
        <v>0.43</v>
      </c>
      <c r="N19" s="1">
        <v>0.43</v>
      </c>
      <c r="O19" s="1">
        <v>0.48</v>
      </c>
      <c r="P19" s="1">
        <v>0.48</v>
      </c>
      <c r="Q19" s="1">
        <v>0.43</v>
      </c>
      <c r="R19" s="1">
        <v>0.46</v>
      </c>
      <c r="S19" s="1">
        <v>0.48</v>
      </c>
      <c r="T19" s="1">
        <v>0.43</v>
      </c>
      <c r="U19" s="1">
        <v>0.44</v>
      </c>
      <c r="V19" s="1">
        <v>0.45</v>
      </c>
      <c r="W19" s="1">
        <v>0.51</v>
      </c>
      <c r="X19" s="1">
        <v>0.45</v>
      </c>
      <c r="Y19" s="1">
        <f t="shared" si="0"/>
        <v>0.52</v>
      </c>
    </row>
    <row r="22" spans="1:25" ht="27" customHeight="1">
      <c r="B22" t="s">
        <v>1</v>
      </c>
      <c r="C22" t="s">
        <v>2</v>
      </c>
      <c r="D22" t="s">
        <v>32</v>
      </c>
      <c r="E22" t="s">
        <v>4</v>
      </c>
      <c r="F22" t="s">
        <v>33</v>
      </c>
      <c r="G22" t="s">
        <v>6</v>
      </c>
      <c r="H22" t="s">
        <v>7</v>
      </c>
      <c r="I22" t="s">
        <v>8</v>
      </c>
      <c r="J22" t="s">
        <v>9</v>
      </c>
      <c r="K22" t="s">
        <v>10</v>
      </c>
      <c r="L22" t="s">
        <v>11</v>
      </c>
      <c r="M22" t="s">
        <v>12</v>
      </c>
      <c r="N22" t="s">
        <v>13</v>
      </c>
      <c r="O22" t="s">
        <v>14</v>
      </c>
      <c r="P22" t="s">
        <v>15</v>
      </c>
      <c r="Q22" t="s">
        <v>16</v>
      </c>
      <c r="R22" t="s">
        <v>17</v>
      </c>
      <c r="S22" t="s">
        <v>18</v>
      </c>
      <c r="T22" t="s">
        <v>19</v>
      </c>
      <c r="U22" t="s">
        <v>20</v>
      </c>
      <c r="V22" t="s">
        <v>21</v>
      </c>
      <c r="W22" t="s">
        <v>22</v>
      </c>
      <c r="X22" t="s">
        <v>23</v>
      </c>
      <c r="Y22" t="s">
        <v>24</v>
      </c>
    </row>
    <row r="23" spans="1:25" ht="27" customHeight="1">
      <c r="B23" s="2">
        <v>1</v>
      </c>
      <c r="C23" t="s">
        <v>26</v>
      </c>
      <c r="D23" t="b">
        <v>1</v>
      </c>
      <c r="E23">
        <v>0</v>
      </c>
      <c r="F23" t="s">
        <v>24</v>
      </c>
      <c r="G23" s="1" cm="1">
        <f t="array" ref="G23">_xlfn.LET(_xlpm.d,G$2:G$19,_xlpm.a,$C$2:$C$19=$C23,_xlpm.b,$D$2:$D$19=$D23,MAX(_xlfn._xlws.FILTER(_xlpm.d,_xlpm.a*_xlpm.b)))</f>
        <v>0.93</v>
      </c>
      <c r="H23" s="1" cm="1">
        <f t="array" ref="H23">_xlfn.LET(_xlpm.d,H$2:H$19,_xlpm.a,$C$2:$C$19=$C23,_xlpm.b,$D$2:$D$19=$D23,MAX(_xlfn._xlws.FILTER(_xlpm.d,_xlpm.a*_xlpm.b)))</f>
        <v>0.89</v>
      </c>
      <c r="I23" s="1" cm="1">
        <f t="array" ref="I23">_xlfn.LET(_xlpm.d,I$2:I$19,_xlpm.a,$C$2:$C$19=$C23,_xlpm.b,$D$2:$D$19=$D23,MAX(_xlfn._xlws.FILTER(_xlpm.d,_xlpm.a*_xlpm.b)))</f>
        <v>0.88</v>
      </c>
      <c r="J23" s="1" cm="1">
        <f t="array" ref="J23">_xlfn.LET(_xlpm.d,J$2:J$19,_xlpm.a,$C$2:$C$19=$C23,_xlpm.b,$D$2:$D$19=$D23,MAX(_xlfn._xlws.FILTER(_xlpm.d,_xlpm.a*_xlpm.b)))</f>
        <v>0.91</v>
      </c>
      <c r="K23" s="1" cm="1">
        <f t="array" ref="K23">_xlfn.LET(_xlpm.d,K$2:K$19,_xlpm.a,$C$2:$C$19=$C23,_xlpm.b,$D$2:$D$19=$D23,MAX(_xlfn._xlws.FILTER(_xlpm.d,_xlpm.a*_xlpm.b)))</f>
        <v>0.88</v>
      </c>
      <c r="L23" s="1" cm="1">
        <f t="array" ref="L23">_xlfn.LET(_xlpm.d,L$2:L$19,_xlpm.a,$C$2:$C$19=$C23,_xlpm.b,$D$2:$D$19=$D23,MAX(_xlfn._xlws.FILTER(_xlpm.d,_xlpm.a*_xlpm.b)))</f>
        <v>0.88</v>
      </c>
      <c r="M23" s="1" cm="1">
        <f t="array" ref="M23">_xlfn.LET(_xlpm.d,M$2:M$19,_xlpm.a,$C$2:$C$19=$C23,_xlpm.b,$D$2:$D$19=$D23,MAX(_xlfn._xlws.FILTER(_xlpm.d,_xlpm.a*_xlpm.b)))</f>
        <v>0.89</v>
      </c>
      <c r="N23" s="1" cm="1">
        <f t="array" ref="N23">_xlfn.LET(_xlpm.d,N$2:N$19,_xlpm.a,$C$2:$C$19=$C23,_xlpm.b,$D$2:$D$19=$D23,MAX(_xlfn._xlws.FILTER(_xlpm.d,_xlpm.a*_xlpm.b)))</f>
        <v>0.87</v>
      </c>
      <c r="O23" s="1" cm="1">
        <f t="array" ref="O23">_xlfn.LET(_xlpm.d,O$2:O$19,_xlpm.a,$C$2:$C$19=$C23,_xlpm.b,$D$2:$D$19=$D23,MAX(_xlfn._xlws.FILTER(_xlpm.d,_xlpm.a*_xlpm.b)))</f>
        <v>0.89</v>
      </c>
      <c r="P23" s="1" cm="1">
        <f t="array" ref="P23">_xlfn.LET(_xlpm.d,P$2:P$19,_xlpm.a,$C$2:$C$19=$C23,_xlpm.b,$D$2:$D$19=$D23,MAX(_xlfn._xlws.FILTER(_xlpm.d,_xlpm.a*_xlpm.b)))</f>
        <v>0.91</v>
      </c>
      <c r="Q23" s="1" cm="1">
        <f t="array" ref="Q23">_xlfn.LET(_xlpm.d,Q$2:Q$19,_xlpm.a,$C$2:$C$19=$C23,_xlpm.b,$D$2:$D$19=$D23,MAX(_xlfn._xlws.FILTER(_xlpm.d,_xlpm.a*_xlpm.b)))</f>
        <v>0.88</v>
      </c>
      <c r="R23" s="1" cm="1">
        <f t="array" ref="R23">_xlfn.LET(_xlpm.d,R$2:R$19,_xlpm.a,$C$2:$C$19=$C23,_xlpm.b,$D$2:$D$19=$D23,MAX(_xlfn._xlws.FILTER(_xlpm.d,_xlpm.a*_xlpm.b)))</f>
        <v>0.84</v>
      </c>
      <c r="S23" s="1" cm="1">
        <f t="array" ref="S23">_xlfn.LET(_xlpm.d,S$2:S$19,_xlpm.a,$C$2:$C$19=$C23,_xlpm.b,$D$2:$D$19=$D23,MAX(_xlfn._xlws.FILTER(_xlpm.d,_xlpm.a*_xlpm.b)))</f>
        <v>0.89</v>
      </c>
      <c r="T23" s="1" cm="1">
        <f t="array" ref="T23">_xlfn.LET(_xlpm.d,T$2:T$19,_xlpm.a,$C$2:$C$19=$C23,_xlpm.b,$D$2:$D$19=$D23,MAX(_xlfn._xlws.FILTER(_xlpm.d,_xlpm.a*_xlpm.b)))</f>
        <v>0.9</v>
      </c>
      <c r="U23" s="1" cm="1">
        <f t="array" ref="U23">_xlfn.LET(_xlpm.d,U$2:U$19,_xlpm.a,$C$2:$C$19=$C23,_xlpm.b,$D$2:$D$19=$D23,MAX(_xlfn._xlws.FILTER(_xlpm.d,_xlpm.a*_xlpm.b)))</f>
        <v>0.9</v>
      </c>
      <c r="V23" s="1" cm="1">
        <f t="array" ref="V23">_xlfn.LET(_xlpm.d,V$2:V$19,_xlpm.a,$C$2:$C$19=$C23,_xlpm.b,$D$2:$D$19=$D23,MAX(_xlfn._xlws.FILTER(_xlpm.d,_xlpm.a*_xlpm.b)))</f>
        <v>0.89</v>
      </c>
      <c r="W23" s="1" cm="1">
        <f t="array" ref="W23">_xlfn.LET(_xlpm.d,W$2:W$19,_xlpm.a,$C$2:$C$19=$C23,_xlpm.b,$D$2:$D$19=$D23,MAX(_xlfn._xlws.FILTER(_xlpm.d,_xlpm.a*_xlpm.b)))</f>
        <v>0.9</v>
      </c>
      <c r="X23" s="1" cm="1">
        <f t="array" ref="X23">_xlfn.LET(_xlpm.d,X$2:X$19,_xlpm.a,$C$2:$C$19=$C23,_xlpm.b,$D$2:$D$19=$D23,MAX(_xlfn._xlws.FILTER(_xlpm.d,_xlpm.a*_xlpm.b)))</f>
        <v>0.87</v>
      </c>
      <c r="Y23" s="1" cm="1">
        <f t="array" ref="Y23">_xlfn.LET(_xlpm.d,Y$2:Y$19,_xlpm.a,$C$2:$C$19=$C23,_xlpm.b,$D$2:$D$19=$D23,MAX(_xlfn._xlws.FILTER(_xlpm.d,_xlpm.a*_xlpm.b)))</f>
        <v>0.93</v>
      </c>
    </row>
    <row r="24" spans="1:25" ht="27" customHeight="1">
      <c r="B24" s="2">
        <v>1</v>
      </c>
      <c r="C24" t="s">
        <v>26</v>
      </c>
      <c r="D24" t="b">
        <v>0</v>
      </c>
      <c r="E24">
        <v>0</v>
      </c>
      <c r="F24" t="s">
        <v>24</v>
      </c>
      <c r="G24" s="1" cm="1">
        <f t="array" ref="G24">_xlfn.LET(_xlpm.d,G$2:G$19,_xlpm.a,$C$2:$C$19=$C24,_xlpm.b,$D$2:$D$19=$D24,MAX(_xlfn._xlws.FILTER(_xlpm.d,_xlpm.a*_xlpm.b)))</f>
        <v>0.83</v>
      </c>
      <c r="H24" s="1" cm="1">
        <f t="array" ref="H24">_xlfn.LET(_xlpm.d,H$2:H$19,_xlpm.a,$C$2:$C$19=$C24,_xlpm.b,$D$2:$D$19=$D24,MAX(_xlfn._xlws.FILTER(_xlpm.d,_xlpm.a*_xlpm.b)))</f>
        <v>0.87</v>
      </c>
      <c r="I24" s="1" cm="1">
        <f t="array" ref="I24">_xlfn.LET(_xlpm.d,I$2:I$19,_xlpm.a,$C$2:$C$19=$C24,_xlpm.b,$D$2:$D$19=$D24,MAX(_xlfn._xlws.FILTER(_xlpm.d,_xlpm.a*_xlpm.b)))</f>
        <v>0.82</v>
      </c>
      <c r="J24" s="1" cm="1">
        <f t="array" ref="J24">_xlfn.LET(_xlpm.d,J$2:J$19,_xlpm.a,$C$2:$C$19=$C24,_xlpm.b,$D$2:$D$19=$D24,MAX(_xlfn._xlws.FILTER(_xlpm.d,_xlpm.a*_xlpm.b)))</f>
        <v>0.84</v>
      </c>
      <c r="K24" s="1" cm="1">
        <f t="array" ref="K24">_xlfn.LET(_xlpm.d,K$2:K$19,_xlpm.a,$C$2:$C$19=$C24,_xlpm.b,$D$2:$D$19=$D24,MAX(_xlfn._xlws.FILTER(_xlpm.d,_xlpm.a*_xlpm.b)))</f>
        <v>0.85</v>
      </c>
      <c r="L24" s="1" cm="1">
        <f t="array" ref="L24">_xlfn.LET(_xlpm.d,L$2:L$19,_xlpm.a,$C$2:$C$19=$C24,_xlpm.b,$D$2:$D$19=$D24,MAX(_xlfn._xlws.FILTER(_xlpm.d,_xlpm.a*_xlpm.b)))</f>
        <v>0.85</v>
      </c>
      <c r="M24" s="1" cm="1">
        <f t="array" ref="M24">_xlfn.LET(_xlpm.d,M$2:M$19,_xlpm.a,$C$2:$C$19=$C24,_xlpm.b,$D$2:$D$19=$D24,MAX(_xlfn._xlws.FILTER(_xlpm.d,_xlpm.a*_xlpm.b)))</f>
        <v>0.83</v>
      </c>
      <c r="N24" s="1" cm="1">
        <f t="array" ref="N24">_xlfn.LET(_xlpm.d,N$2:N$19,_xlpm.a,$C$2:$C$19=$C24,_xlpm.b,$D$2:$D$19=$D24,MAX(_xlfn._xlws.FILTER(_xlpm.d,_xlpm.a*_xlpm.b)))</f>
        <v>0.87</v>
      </c>
      <c r="O24" s="1" cm="1">
        <f t="array" ref="O24">_xlfn.LET(_xlpm.d,O$2:O$19,_xlpm.a,$C$2:$C$19=$C24,_xlpm.b,$D$2:$D$19=$D24,MAX(_xlfn._xlws.FILTER(_xlpm.d,_xlpm.a*_xlpm.b)))</f>
        <v>0.86</v>
      </c>
      <c r="P24" s="1" cm="1">
        <f t="array" ref="P24">_xlfn.LET(_xlpm.d,P$2:P$19,_xlpm.a,$C$2:$C$19=$C24,_xlpm.b,$D$2:$D$19=$D24,MAX(_xlfn._xlws.FILTER(_xlpm.d,_xlpm.a*_xlpm.b)))</f>
        <v>0.86</v>
      </c>
      <c r="Q24" s="1" cm="1">
        <f t="array" ref="Q24">_xlfn.LET(_xlpm.d,Q$2:Q$19,_xlpm.a,$C$2:$C$19=$C24,_xlpm.b,$D$2:$D$19=$D24,MAX(_xlfn._xlws.FILTER(_xlpm.d,_xlpm.a*_xlpm.b)))</f>
        <v>0.84</v>
      </c>
      <c r="R24" s="1" cm="1">
        <f t="array" ref="R24">_xlfn.LET(_xlpm.d,R$2:R$19,_xlpm.a,$C$2:$C$19=$C24,_xlpm.b,$D$2:$D$19=$D24,MAX(_xlfn._xlws.FILTER(_xlpm.d,_xlpm.a*_xlpm.b)))</f>
        <v>0.79</v>
      </c>
      <c r="S24" s="1" cm="1">
        <f t="array" ref="S24">_xlfn.LET(_xlpm.d,S$2:S$19,_xlpm.a,$C$2:$C$19=$C24,_xlpm.b,$D$2:$D$19=$D24,MAX(_xlfn._xlws.FILTER(_xlpm.d,_xlpm.a*_xlpm.b)))</f>
        <v>0.83</v>
      </c>
      <c r="T24" s="1" cm="1">
        <f t="array" ref="T24">_xlfn.LET(_xlpm.d,T$2:T$19,_xlpm.a,$C$2:$C$19=$C24,_xlpm.b,$D$2:$D$19=$D24,MAX(_xlfn._xlws.FILTER(_xlpm.d,_xlpm.a*_xlpm.b)))</f>
        <v>0.88</v>
      </c>
      <c r="U24" s="1" cm="1">
        <f t="array" ref="U24">_xlfn.LET(_xlpm.d,U$2:U$19,_xlpm.a,$C$2:$C$19=$C24,_xlpm.b,$D$2:$D$19=$D24,MAX(_xlfn._xlws.FILTER(_xlpm.d,_xlpm.a*_xlpm.b)))</f>
        <v>0.86</v>
      </c>
      <c r="V24" s="1" cm="1">
        <f t="array" ref="V24">_xlfn.LET(_xlpm.d,V$2:V$19,_xlpm.a,$C$2:$C$19=$C24,_xlpm.b,$D$2:$D$19=$D24,MAX(_xlfn._xlws.FILTER(_xlpm.d,_xlpm.a*_xlpm.b)))</f>
        <v>0.85</v>
      </c>
      <c r="W24" s="1" cm="1">
        <f t="array" ref="W24">_xlfn.LET(_xlpm.d,W$2:W$19,_xlpm.a,$C$2:$C$19=$C24,_xlpm.b,$D$2:$D$19=$D24,MAX(_xlfn._xlws.FILTER(_xlpm.d,_xlpm.a*_xlpm.b)))</f>
        <v>0.88</v>
      </c>
      <c r="X24" s="1" cm="1">
        <f t="array" ref="X24">_xlfn.LET(_xlpm.d,X$2:X$19,_xlpm.a,$C$2:$C$19=$C24,_xlpm.b,$D$2:$D$19=$D24,MAX(_xlfn._xlws.FILTER(_xlpm.d,_xlpm.a*_xlpm.b)))</f>
        <v>0.83</v>
      </c>
      <c r="Y24" s="1" cm="1">
        <f t="array" ref="Y24">_xlfn.LET(_xlpm.d,Y$2:Y$19,_xlpm.a,$C$2:$C$19=$C24,_xlpm.b,$D$2:$D$19=$D24,MAX(_xlfn._xlws.FILTER(_xlpm.d,_xlpm.a*_xlpm.b)))</f>
        <v>0.88</v>
      </c>
    </row>
    <row r="25" spans="1:25" ht="27" customHeight="1">
      <c r="B25" s="2">
        <v>2</v>
      </c>
      <c r="C25" t="s">
        <v>30</v>
      </c>
      <c r="D25" t="b">
        <v>1</v>
      </c>
      <c r="E25">
        <v>0</v>
      </c>
      <c r="F25" t="s">
        <v>24</v>
      </c>
      <c r="G25" s="1" cm="1">
        <f t="array" ref="G25">_xlfn.LET(_xlpm.d,G$2:G$19,_xlpm.a,$C$2:$C$19=$C25,_xlpm.b,$D$2:$D$19=$D25,MAX(_xlfn._xlws.FILTER(_xlpm.d,_xlpm.a*_xlpm.b)))</f>
        <v>0.93</v>
      </c>
      <c r="H25" s="1" cm="1">
        <f t="array" ref="H25">_xlfn.LET(_xlpm.d,H$2:H$19,_xlpm.a,$C$2:$C$19=$C25,_xlpm.b,$D$2:$D$19=$D25,MAX(_xlfn._xlws.FILTER(_xlpm.d,_xlpm.a*_xlpm.b)))</f>
        <v>0.94</v>
      </c>
      <c r="I25" s="1" cm="1">
        <f t="array" ref="I25">_xlfn.LET(_xlpm.d,I$2:I$19,_xlpm.a,$C$2:$C$19=$C25,_xlpm.b,$D$2:$D$19=$D25,MAX(_xlfn._xlws.FILTER(_xlpm.d,_xlpm.a*_xlpm.b)))</f>
        <v>0.94</v>
      </c>
      <c r="J25" s="1" cm="1">
        <f t="array" ref="J25">_xlfn.LET(_xlpm.d,J$2:J$19,_xlpm.a,$C$2:$C$19=$C25,_xlpm.b,$D$2:$D$19=$D25,MAX(_xlfn._xlws.FILTER(_xlpm.d,_xlpm.a*_xlpm.b)))</f>
        <v>0.91</v>
      </c>
      <c r="K25" s="1" cm="1">
        <f t="array" ref="K25">_xlfn.LET(_xlpm.d,K$2:K$19,_xlpm.a,$C$2:$C$19=$C25,_xlpm.b,$D$2:$D$19=$D25,MAX(_xlfn._xlws.FILTER(_xlpm.d,_xlpm.a*_xlpm.b)))</f>
        <v>0.93</v>
      </c>
      <c r="L25" s="1" cm="1">
        <f t="array" ref="L25">_xlfn.LET(_xlpm.d,L$2:L$19,_xlpm.a,$C$2:$C$19=$C25,_xlpm.b,$D$2:$D$19=$D25,MAX(_xlfn._xlws.FILTER(_xlpm.d,_xlpm.a*_xlpm.b)))</f>
        <v>0.94</v>
      </c>
      <c r="M25" s="1" cm="1">
        <f t="array" ref="M25">_xlfn.LET(_xlpm.d,M$2:M$19,_xlpm.a,$C$2:$C$19=$C25,_xlpm.b,$D$2:$D$19=$D25,MAX(_xlfn._xlws.FILTER(_xlpm.d,_xlpm.a*_xlpm.b)))</f>
        <v>0.91</v>
      </c>
      <c r="N25" s="1" cm="1">
        <f t="array" ref="N25">_xlfn.LET(_xlpm.d,N$2:N$19,_xlpm.a,$C$2:$C$19=$C25,_xlpm.b,$D$2:$D$19=$D25,MAX(_xlfn._xlws.FILTER(_xlpm.d,_xlpm.a*_xlpm.b)))</f>
        <v>0.89</v>
      </c>
      <c r="O25" s="1" cm="1">
        <f t="array" ref="O25">_xlfn.LET(_xlpm.d,O$2:O$19,_xlpm.a,$C$2:$C$19=$C25,_xlpm.b,$D$2:$D$19=$D25,MAX(_xlfn._xlws.FILTER(_xlpm.d,_xlpm.a*_xlpm.b)))</f>
        <v>0.9</v>
      </c>
      <c r="P25" s="1" cm="1">
        <f t="array" ref="P25">_xlfn.LET(_xlpm.d,P$2:P$19,_xlpm.a,$C$2:$C$19=$C25,_xlpm.b,$D$2:$D$19=$D25,MAX(_xlfn._xlws.FILTER(_xlpm.d,_xlpm.a*_xlpm.b)))</f>
        <v>0.94</v>
      </c>
      <c r="Q25" s="1" cm="1">
        <f t="array" ref="Q25">_xlfn.LET(_xlpm.d,Q$2:Q$19,_xlpm.a,$C$2:$C$19=$C25,_xlpm.b,$D$2:$D$19=$D25,MAX(_xlfn._xlws.FILTER(_xlpm.d,_xlpm.a*_xlpm.b)))</f>
        <v>0.96</v>
      </c>
      <c r="R25" s="1" cm="1">
        <f t="array" ref="R25">_xlfn.LET(_xlpm.d,R$2:R$19,_xlpm.a,$C$2:$C$19=$C25,_xlpm.b,$D$2:$D$19=$D25,MAX(_xlfn._xlws.FILTER(_xlpm.d,_xlpm.a*_xlpm.b)))</f>
        <v>0.96</v>
      </c>
      <c r="S25" s="1" cm="1">
        <f t="array" ref="S25">_xlfn.LET(_xlpm.d,S$2:S$19,_xlpm.a,$C$2:$C$19=$C25,_xlpm.b,$D$2:$D$19=$D25,MAX(_xlfn._xlws.FILTER(_xlpm.d,_xlpm.a*_xlpm.b)))</f>
        <v>0.93</v>
      </c>
      <c r="T25" s="1" cm="1">
        <f t="array" ref="T25">_xlfn.LET(_xlpm.d,T$2:T$19,_xlpm.a,$C$2:$C$19=$C25,_xlpm.b,$D$2:$D$19=$D25,MAX(_xlfn._xlws.FILTER(_xlpm.d,_xlpm.a*_xlpm.b)))</f>
        <v>0.91</v>
      </c>
      <c r="U25" s="1" cm="1">
        <f t="array" ref="U25">_xlfn.LET(_xlpm.d,U$2:U$19,_xlpm.a,$C$2:$C$19=$C25,_xlpm.b,$D$2:$D$19=$D25,MAX(_xlfn._xlws.FILTER(_xlpm.d,_xlpm.a*_xlpm.b)))</f>
        <v>0.92</v>
      </c>
      <c r="V25" s="1" cm="1">
        <f t="array" ref="V25">_xlfn.LET(_xlpm.d,V$2:V$19,_xlpm.a,$C$2:$C$19=$C25,_xlpm.b,$D$2:$D$19=$D25,MAX(_xlfn._xlws.FILTER(_xlpm.d,_xlpm.a*_xlpm.b)))</f>
        <v>0.91</v>
      </c>
      <c r="W25" s="1" cm="1">
        <f t="array" ref="W25">_xlfn.LET(_xlpm.d,W$2:W$19,_xlpm.a,$C$2:$C$19=$C25,_xlpm.b,$D$2:$D$19=$D25,MAX(_xlfn._xlws.FILTER(_xlpm.d,_xlpm.a*_xlpm.b)))</f>
        <v>0.88</v>
      </c>
      <c r="X25" s="1" cm="1">
        <f t="array" ref="X25">_xlfn.LET(_xlpm.d,X$2:X$19,_xlpm.a,$C$2:$C$19=$C25,_xlpm.b,$D$2:$D$19=$D25,MAX(_xlfn._xlws.FILTER(_xlpm.d,_xlpm.a*_xlpm.b)))</f>
        <v>0.84</v>
      </c>
      <c r="Y25" s="1" cm="1">
        <f t="array" ref="Y25">_xlfn.LET(_xlpm.d,Y$2:Y$19,_xlpm.a,$C$2:$C$19=$C25,_xlpm.b,$D$2:$D$19=$D25,MAX(_xlfn._xlws.FILTER(_xlpm.d,_xlpm.a*_xlpm.b)))</f>
        <v>0.96</v>
      </c>
    </row>
    <row r="26" spans="1:25" ht="27" customHeight="1">
      <c r="B26" s="2">
        <v>2</v>
      </c>
      <c r="C26" t="s">
        <v>30</v>
      </c>
      <c r="D26" t="b">
        <v>0</v>
      </c>
      <c r="E26">
        <v>0</v>
      </c>
      <c r="F26" t="s">
        <v>24</v>
      </c>
      <c r="G26" s="1" cm="1">
        <f t="array" ref="G26">_xlfn.LET(_xlpm.d,G$2:G$19,_xlpm.a,$C$2:$C$19=$C26,_xlpm.b,$D$2:$D$19=$D26,MAX(_xlfn._xlws.FILTER(_xlpm.d,_xlpm.a*_xlpm.b)))</f>
        <v>0.77</v>
      </c>
      <c r="H26" s="1" cm="1">
        <f t="array" ref="H26">_xlfn.LET(_xlpm.d,H$2:H$19,_xlpm.a,$C$2:$C$19=$C26,_xlpm.b,$D$2:$D$19=$D26,MAX(_xlfn._xlws.FILTER(_xlpm.d,_xlpm.a*_xlpm.b)))</f>
        <v>0.75</v>
      </c>
      <c r="I26" s="1" cm="1">
        <f t="array" ref="I26">_xlfn.LET(_xlpm.d,I$2:I$19,_xlpm.a,$C$2:$C$19=$C26,_xlpm.b,$D$2:$D$19=$D26,MAX(_xlfn._xlws.FILTER(_xlpm.d,_xlpm.a*_xlpm.b)))</f>
        <v>0.72</v>
      </c>
      <c r="J26" s="1" cm="1">
        <f t="array" ref="J26">_xlfn.LET(_xlpm.d,J$2:J$19,_xlpm.a,$C$2:$C$19=$C26,_xlpm.b,$D$2:$D$19=$D26,MAX(_xlfn._xlws.FILTER(_xlpm.d,_xlpm.a*_xlpm.b)))</f>
        <v>0.67</v>
      </c>
      <c r="K26" s="1" cm="1">
        <f t="array" ref="K26">_xlfn.LET(_xlpm.d,K$2:K$19,_xlpm.a,$C$2:$C$19=$C26,_xlpm.b,$D$2:$D$19=$D26,MAX(_xlfn._xlws.FILTER(_xlpm.d,_xlpm.a*_xlpm.b)))</f>
        <v>0.75</v>
      </c>
      <c r="L26" s="1" cm="1">
        <f t="array" ref="L26">_xlfn.LET(_xlpm.d,L$2:L$19,_xlpm.a,$C$2:$C$19=$C26,_xlpm.b,$D$2:$D$19=$D26,MAX(_xlfn._xlws.FILTER(_xlpm.d,_xlpm.a*_xlpm.b)))</f>
        <v>0.78</v>
      </c>
      <c r="M26" s="1" cm="1">
        <f t="array" ref="M26">_xlfn.LET(_xlpm.d,M$2:M$19,_xlpm.a,$C$2:$C$19=$C26,_xlpm.b,$D$2:$D$19=$D26,MAX(_xlfn._xlws.FILTER(_xlpm.d,_xlpm.a*_xlpm.b)))</f>
        <v>0.71</v>
      </c>
      <c r="N26" s="1" cm="1">
        <f t="array" ref="N26">_xlfn.LET(_xlpm.d,N$2:N$19,_xlpm.a,$C$2:$C$19=$C26,_xlpm.b,$D$2:$D$19=$D26,MAX(_xlfn._xlws.FILTER(_xlpm.d,_xlpm.a*_xlpm.b)))</f>
        <v>0.77</v>
      </c>
      <c r="O26" s="1" cm="1">
        <f t="array" ref="O26">_xlfn.LET(_xlpm.d,O$2:O$19,_xlpm.a,$C$2:$C$19=$C26,_xlpm.b,$D$2:$D$19=$D26,MAX(_xlfn._xlws.FILTER(_xlpm.d,_xlpm.a*_xlpm.b)))</f>
        <v>0.77</v>
      </c>
      <c r="P26" s="1" cm="1">
        <f t="array" ref="P26">_xlfn.LET(_xlpm.d,P$2:P$19,_xlpm.a,$C$2:$C$19=$C26,_xlpm.b,$D$2:$D$19=$D26,MAX(_xlfn._xlws.FILTER(_xlpm.d,_xlpm.a*_xlpm.b)))</f>
        <v>0.73</v>
      </c>
      <c r="Q26" s="1" cm="1">
        <f t="array" ref="Q26">_xlfn.LET(_xlpm.d,Q$2:Q$19,_xlpm.a,$C$2:$C$19=$C26,_xlpm.b,$D$2:$D$19=$D26,MAX(_xlfn._xlws.FILTER(_xlpm.d,_xlpm.a*_xlpm.b)))</f>
        <v>0.78</v>
      </c>
      <c r="R26" s="1" cm="1">
        <f t="array" ref="R26">_xlfn.LET(_xlpm.d,R$2:R$19,_xlpm.a,$C$2:$C$19=$C26,_xlpm.b,$D$2:$D$19=$D26,MAX(_xlfn._xlws.FILTER(_xlpm.d,_xlpm.a*_xlpm.b)))</f>
        <v>0.75</v>
      </c>
      <c r="S26" s="1" cm="1">
        <f t="array" ref="S26">_xlfn.LET(_xlpm.d,S$2:S$19,_xlpm.a,$C$2:$C$19=$C26,_xlpm.b,$D$2:$D$19=$D26,MAX(_xlfn._xlws.FILTER(_xlpm.d,_xlpm.a*_xlpm.b)))</f>
        <v>0.77</v>
      </c>
      <c r="T26" s="1" cm="1">
        <f t="array" ref="T26">_xlfn.LET(_xlpm.d,T$2:T$19,_xlpm.a,$C$2:$C$19=$C26,_xlpm.b,$D$2:$D$19=$D26,MAX(_xlfn._xlws.FILTER(_xlpm.d,_xlpm.a*_xlpm.b)))</f>
        <v>0.71</v>
      </c>
      <c r="U26" s="1" cm="1">
        <f t="array" ref="U26">_xlfn.LET(_xlpm.d,U$2:U$19,_xlpm.a,$C$2:$C$19=$C26,_xlpm.b,$D$2:$D$19=$D26,MAX(_xlfn._xlws.FILTER(_xlpm.d,_xlpm.a*_xlpm.b)))</f>
        <v>0.74</v>
      </c>
      <c r="V26" s="1" cm="1">
        <f t="array" ref="V26">_xlfn.LET(_xlpm.d,V$2:V$19,_xlpm.a,$C$2:$C$19=$C26,_xlpm.b,$D$2:$D$19=$D26,MAX(_xlfn._xlws.FILTER(_xlpm.d,_xlpm.a*_xlpm.b)))</f>
        <v>0.75</v>
      </c>
      <c r="W26" s="1" cm="1">
        <f t="array" ref="W26">_xlfn.LET(_xlpm.d,W$2:W$19,_xlpm.a,$C$2:$C$19=$C26,_xlpm.b,$D$2:$D$19=$D26,MAX(_xlfn._xlws.FILTER(_xlpm.d,_xlpm.a*_xlpm.b)))</f>
        <v>0.78</v>
      </c>
      <c r="X26" s="1" cm="1">
        <f t="array" ref="X26">_xlfn.LET(_xlpm.d,X$2:X$19,_xlpm.a,$C$2:$C$19=$C26,_xlpm.b,$D$2:$D$19=$D26,MAX(_xlfn._xlws.FILTER(_xlpm.d,_xlpm.a*_xlpm.b)))</f>
        <v>0.75</v>
      </c>
      <c r="Y26" s="1" cm="1">
        <f t="array" ref="Y26">_xlfn.LET(_xlpm.d,Y$2:Y$19,_xlpm.a,$C$2:$C$19=$C26,_xlpm.b,$D$2:$D$19=$D26,MAX(_xlfn._xlws.FILTER(_xlpm.d,_xlpm.a*_xlpm.b)))</f>
        <v>0.78</v>
      </c>
    </row>
    <row r="27" spans="1:25" ht="27" customHeight="1">
      <c r="B27" s="2">
        <v>3</v>
      </c>
      <c r="C27" t="s">
        <v>31</v>
      </c>
      <c r="D27" t="b">
        <v>1</v>
      </c>
      <c r="E27">
        <v>0</v>
      </c>
      <c r="F27" t="s">
        <v>24</v>
      </c>
      <c r="G27" s="1" cm="1">
        <f t="array" ref="G27">_xlfn.LET(_xlpm.d,G$2:G$19,_xlpm.a,$C$2:$C$19=$C27,_xlpm.b,$D$2:$D$19=$D27,MAX(_xlfn._xlws.FILTER(_xlpm.d,_xlpm.a*_xlpm.b)))</f>
        <v>0.52</v>
      </c>
      <c r="H27" s="1" cm="1">
        <f t="array" ref="H27">_xlfn.LET(_xlpm.d,H$2:H$19,_xlpm.a,$C$2:$C$19=$C27,_xlpm.b,$D$2:$D$19=$D27,MAX(_xlfn._xlws.FILTER(_xlpm.d,_xlpm.a*_xlpm.b)))</f>
        <v>0.56000000000000005</v>
      </c>
      <c r="I27" s="1" cm="1">
        <f t="array" ref="I27">_xlfn.LET(_xlpm.d,I$2:I$19,_xlpm.a,$C$2:$C$19=$C27,_xlpm.b,$D$2:$D$19=$D27,MAX(_xlfn._xlws.FILTER(_xlpm.d,_xlpm.a*_xlpm.b)))</f>
        <v>0.54</v>
      </c>
      <c r="J27" s="1" cm="1">
        <f t="array" ref="J27">_xlfn.LET(_xlpm.d,J$2:J$19,_xlpm.a,$C$2:$C$19=$C27,_xlpm.b,$D$2:$D$19=$D27,MAX(_xlfn._xlws.FILTER(_xlpm.d,_xlpm.a*_xlpm.b)))</f>
        <v>0.54</v>
      </c>
      <c r="K27" s="1" cm="1">
        <f t="array" ref="K27">_xlfn.LET(_xlpm.d,K$2:K$19,_xlpm.a,$C$2:$C$19=$C27,_xlpm.b,$D$2:$D$19=$D27,MAX(_xlfn._xlws.FILTER(_xlpm.d,_xlpm.a*_xlpm.b)))</f>
        <v>0.59</v>
      </c>
      <c r="L27" s="1" cm="1">
        <f t="array" ref="L27">_xlfn.LET(_xlpm.d,L$2:L$19,_xlpm.a,$C$2:$C$19=$C27,_xlpm.b,$D$2:$D$19=$D27,MAX(_xlfn._xlws.FILTER(_xlpm.d,_xlpm.a*_xlpm.b)))</f>
        <v>0.5</v>
      </c>
      <c r="M27" s="1" cm="1">
        <f t="array" ref="M27">_xlfn.LET(_xlpm.d,M$2:M$19,_xlpm.a,$C$2:$C$19=$C27,_xlpm.b,$D$2:$D$19=$D27,MAX(_xlfn._xlws.FILTER(_xlpm.d,_xlpm.a*_xlpm.b)))</f>
        <v>0.56000000000000005</v>
      </c>
      <c r="N27" s="1" cm="1">
        <f t="array" ref="N27">_xlfn.LET(_xlpm.d,N$2:N$19,_xlpm.a,$C$2:$C$19=$C27,_xlpm.b,$D$2:$D$19=$D27,MAX(_xlfn._xlws.FILTER(_xlpm.d,_xlpm.a*_xlpm.b)))</f>
        <v>0.52</v>
      </c>
      <c r="O27" s="1" cm="1">
        <f t="array" ref="O27">_xlfn.LET(_xlpm.d,O$2:O$19,_xlpm.a,$C$2:$C$19=$C27,_xlpm.b,$D$2:$D$19=$D27,MAX(_xlfn._xlws.FILTER(_xlpm.d,_xlpm.a*_xlpm.b)))</f>
        <v>0.49</v>
      </c>
      <c r="P27" s="1" cm="1">
        <f t="array" ref="P27">_xlfn.LET(_xlpm.d,P$2:P$19,_xlpm.a,$C$2:$C$19=$C27,_xlpm.b,$D$2:$D$19=$D27,MAX(_xlfn._xlws.FILTER(_xlpm.d,_xlpm.a*_xlpm.b)))</f>
        <v>0.61</v>
      </c>
      <c r="Q27" s="1" cm="1">
        <f t="array" ref="Q27">_xlfn.LET(_xlpm.d,Q$2:Q$19,_xlpm.a,$C$2:$C$19=$C27,_xlpm.b,$D$2:$D$19=$D27,MAX(_xlfn._xlws.FILTER(_xlpm.d,_xlpm.a*_xlpm.b)))</f>
        <v>0.51</v>
      </c>
      <c r="R27" s="1" cm="1">
        <f t="array" ref="R27">_xlfn.LET(_xlpm.d,R$2:R$19,_xlpm.a,$C$2:$C$19=$C27,_xlpm.b,$D$2:$D$19=$D27,MAX(_xlfn._xlws.FILTER(_xlpm.d,_xlpm.a*_xlpm.b)))</f>
        <v>0.56999999999999995</v>
      </c>
      <c r="S27" s="1" cm="1">
        <f t="array" ref="S27">_xlfn.LET(_xlpm.d,S$2:S$19,_xlpm.a,$C$2:$C$19=$C27,_xlpm.b,$D$2:$D$19=$D27,MAX(_xlfn._xlws.FILTER(_xlpm.d,_xlpm.a*_xlpm.b)))</f>
        <v>0.56000000000000005</v>
      </c>
      <c r="T27" s="1" cm="1">
        <f t="array" ref="T27">_xlfn.LET(_xlpm.d,T$2:T$19,_xlpm.a,$C$2:$C$19=$C27,_xlpm.b,$D$2:$D$19=$D27,MAX(_xlfn._xlws.FILTER(_xlpm.d,_xlpm.a*_xlpm.b)))</f>
        <v>0.49</v>
      </c>
      <c r="U27" s="1" cm="1">
        <f t="array" ref="U27">_xlfn.LET(_xlpm.d,U$2:U$19,_xlpm.a,$C$2:$C$19=$C27,_xlpm.b,$D$2:$D$19=$D27,MAX(_xlfn._xlws.FILTER(_xlpm.d,_xlpm.a*_xlpm.b)))</f>
        <v>0.53</v>
      </c>
      <c r="V27" s="1" cm="1">
        <f t="array" ref="V27">_xlfn.LET(_xlpm.d,V$2:V$19,_xlpm.a,$C$2:$C$19=$C27,_xlpm.b,$D$2:$D$19=$D27,MAX(_xlfn._xlws.FILTER(_xlpm.d,_xlpm.a*_xlpm.b)))</f>
        <v>0.56000000000000005</v>
      </c>
      <c r="W27" s="1" cm="1">
        <f t="array" ref="W27">_xlfn.LET(_xlpm.d,W$2:W$19,_xlpm.a,$C$2:$C$19=$C27,_xlpm.b,$D$2:$D$19=$D27,MAX(_xlfn._xlws.FILTER(_xlpm.d,_xlpm.a*_xlpm.b)))</f>
        <v>0.56000000000000005</v>
      </c>
      <c r="X27" s="1" cm="1">
        <f t="array" ref="X27">_xlfn.LET(_xlpm.d,X$2:X$19,_xlpm.a,$C$2:$C$19=$C27,_xlpm.b,$D$2:$D$19=$D27,MAX(_xlfn._xlws.FILTER(_xlpm.d,_xlpm.a*_xlpm.b)))</f>
        <v>0.47</v>
      </c>
      <c r="Y27" s="1" cm="1">
        <f t="array" ref="Y27">_xlfn.LET(_xlpm.d,Y$2:Y$19,_xlpm.a,$C$2:$C$19=$C27,_xlpm.b,$D$2:$D$19=$D27,MAX(_xlfn._xlws.FILTER(_xlpm.d,_xlpm.a*_xlpm.b)))</f>
        <v>0.61</v>
      </c>
    </row>
    <row r="28" spans="1:25" ht="27" customHeight="1">
      <c r="B28" s="2">
        <v>3</v>
      </c>
      <c r="C28" t="s">
        <v>31</v>
      </c>
      <c r="D28" t="b">
        <v>0</v>
      </c>
      <c r="E28">
        <v>0</v>
      </c>
      <c r="F28" t="s">
        <v>24</v>
      </c>
      <c r="G28" s="1" cm="1">
        <f t="array" ref="G28">_xlfn.LET(_xlpm.d,G$2:G$19,_xlpm.a,$C$2:$C$19=$C28,_xlpm.b,$D$2:$D$19=$D28,MAX(_xlfn._xlws.FILTER(_xlpm.d,_xlpm.a*_xlpm.b)))</f>
        <v>0.42</v>
      </c>
      <c r="H28" s="1" cm="1">
        <f t="array" ref="H28">_xlfn.LET(_xlpm.d,H$2:H$19,_xlpm.a,$C$2:$C$19=$C28,_xlpm.b,$D$2:$D$19=$D28,MAX(_xlfn._xlws.FILTER(_xlpm.d,_xlpm.a*_xlpm.b)))</f>
        <v>0.47</v>
      </c>
      <c r="I28" s="1" cm="1">
        <f t="array" ref="I28">_xlfn.LET(_xlpm.d,I$2:I$19,_xlpm.a,$C$2:$C$19=$C28,_xlpm.b,$D$2:$D$19=$D28,MAX(_xlfn._xlws.FILTER(_xlpm.d,_xlpm.a*_xlpm.b)))</f>
        <v>0.42</v>
      </c>
      <c r="J28" s="1" cm="1">
        <f t="array" ref="J28">_xlfn.LET(_xlpm.d,J$2:J$19,_xlpm.a,$C$2:$C$19=$C28,_xlpm.b,$D$2:$D$19=$D28,MAX(_xlfn._xlws.FILTER(_xlpm.d,_xlpm.a*_xlpm.b)))</f>
        <v>0.47</v>
      </c>
      <c r="K28" s="1" cm="1">
        <f t="array" ref="K28">_xlfn.LET(_xlpm.d,K$2:K$19,_xlpm.a,$C$2:$C$19=$C28,_xlpm.b,$D$2:$D$19=$D28,MAX(_xlfn._xlws.FILTER(_xlpm.d,_xlpm.a*_xlpm.b)))</f>
        <v>0.52</v>
      </c>
      <c r="L28" s="1" cm="1">
        <f t="array" ref="L28">_xlfn.LET(_xlpm.d,L$2:L$19,_xlpm.a,$C$2:$C$19=$C28,_xlpm.b,$D$2:$D$19=$D28,MAX(_xlfn._xlws.FILTER(_xlpm.d,_xlpm.a*_xlpm.b)))</f>
        <v>0.47</v>
      </c>
      <c r="M28" s="1" cm="1">
        <f t="array" ref="M28">_xlfn.LET(_xlpm.d,M$2:M$19,_xlpm.a,$C$2:$C$19=$C28,_xlpm.b,$D$2:$D$19=$D28,MAX(_xlfn._xlws.FILTER(_xlpm.d,_xlpm.a*_xlpm.b)))</f>
        <v>0.46</v>
      </c>
      <c r="N28" s="1" cm="1">
        <f t="array" ref="N28">_xlfn.LET(_xlpm.d,N$2:N$19,_xlpm.a,$C$2:$C$19=$C28,_xlpm.b,$D$2:$D$19=$D28,MAX(_xlfn._xlws.FILTER(_xlpm.d,_xlpm.a*_xlpm.b)))</f>
        <v>0.43</v>
      </c>
      <c r="O28" s="1" cm="1">
        <f t="array" ref="O28">_xlfn.LET(_xlpm.d,O$2:O$19,_xlpm.a,$C$2:$C$19=$C28,_xlpm.b,$D$2:$D$19=$D28,MAX(_xlfn._xlws.FILTER(_xlpm.d,_xlpm.a*_xlpm.b)))</f>
        <v>0.48</v>
      </c>
      <c r="P28" s="1" cm="1">
        <f t="array" ref="P28">_xlfn.LET(_xlpm.d,P$2:P$19,_xlpm.a,$C$2:$C$19=$C28,_xlpm.b,$D$2:$D$19=$D28,MAX(_xlfn._xlws.FILTER(_xlpm.d,_xlpm.a*_xlpm.b)))</f>
        <v>0.48</v>
      </c>
      <c r="Q28" s="1" cm="1">
        <f t="array" ref="Q28">_xlfn.LET(_xlpm.d,Q$2:Q$19,_xlpm.a,$C$2:$C$19=$C28,_xlpm.b,$D$2:$D$19=$D28,MAX(_xlfn._xlws.FILTER(_xlpm.d,_xlpm.a*_xlpm.b)))</f>
        <v>0.43</v>
      </c>
      <c r="R28" s="1" cm="1">
        <f t="array" ref="R28">_xlfn.LET(_xlpm.d,R$2:R$19,_xlpm.a,$C$2:$C$19=$C28,_xlpm.b,$D$2:$D$19=$D28,MAX(_xlfn._xlws.FILTER(_xlpm.d,_xlpm.a*_xlpm.b)))</f>
        <v>0.46</v>
      </c>
      <c r="S28" s="1" cm="1">
        <f t="array" ref="S28">_xlfn.LET(_xlpm.d,S$2:S$19,_xlpm.a,$C$2:$C$19=$C28,_xlpm.b,$D$2:$D$19=$D28,MAX(_xlfn._xlws.FILTER(_xlpm.d,_xlpm.a*_xlpm.b)))</f>
        <v>0.48</v>
      </c>
      <c r="T28" s="1" cm="1">
        <f t="array" ref="T28">_xlfn.LET(_xlpm.d,T$2:T$19,_xlpm.a,$C$2:$C$19=$C28,_xlpm.b,$D$2:$D$19=$D28,MAX(_xlfn._xlws.FILTER(_xlpm.d,_xlpm.a*_xlpm.b)))</f>
        <v>0.43</v>
      </c>
      <c r="U28" s="1" cm="1">
        <f t="array" ref="U28">_xlfn.LET(_xlpm.d,U$2:U$19,_xlpm.a,$C$2:$C$19=$C28,_xlpm.b,$D$2:$D$19=$D28,MAX(_xlfn._xlws.FILTER(_xlpm.d,_xlpm.a*_xlpm.b)))</f>
        <v>0.44</v>
      </c>
      <c r="V28" s="1" cm="1">
        <f t="array" ref="V28">_xlfn.LET(_xlpm.d,V$2:V$19,_xlpm.a,$C$2:$C$19=$C28,_xlpm.b,$D$2:$D$19=$D28,MAX(_xlfn._xlws.FILTER(_xlpm.d,_xlpm.a*_xlpm.b)))</f>
        <v>0.46</v>
      </c>
      <c r="W28" s="1" cm="1">
        <f t="array" ref="W28">_xlfn.LET(_xlpm.d,W$2:W$19,_xlpm.a,$C$2:$C$19=$C28,_xlpm.b,$D$2:$D$19=$D28,MAX(_xlfn._xlws.FILTER(_xlpm.d,_xlpm.a*_xlpm.b)))</f>
        <v>0.51</v>
      </c>
      <c r="X28" s="1" cm="1">
        <f t="array" ref="X28">_xlfn.LET(_xlpm.d,X$2:X$19,_xlpm.a,$C$2:$C$19=$C28,_xlpm.b,$D$2:$D$19=$D28,MAX(_xlfn._xlws.FILTER(_xlpm.d,_xlpm.a*_xlpm.b)))</f>
        <v>0.45</v>
      </c>
      <c r="Y28" s="1" cm="1">
        <f t="array" ref="Y28">_xlfn.LET(_xlpm.d,Y$2:Y$19,_xlpm.a,$C$2:$C$19=$C28,_xlpm.b,$D$2:$D$19=$D28,MAX(_xlfn._xlws.FILTER(_xlpm.d,_xlpm.a*_xlpm.b)))</f>
        <v>0.52</v>
      </c>
    </row>
    <row r="30" spans="1:25" ht="27" customHeight="1">
      <c r="E30" t="s">
        <v>24</v>
      </c>
      <c r="F30" t="s">
        <v>34</v>
      </c>
      <c r="G30" s="3" cm="1">
        <f t="array" ref="G30">_xlfn.LET(_xlpm.d,G$23:G$28,_xlpm.c,$E$23:$E$28=0,GEOMEAN(_xlfn._xlws.FILTER(_xlpm.d,_xlpm.c)))</f>
        <v>0.7030149459297208</v>
      </c>
      <c r="H30" s="3" cm="1">
        <f t="array" ref="H30">_xlfn.LET(_xlpm.d,H$23:H$28,_xlpm.c,$E$23:$E$28=0,GEOMEAN(_xlfn._xlws.FILTER(_xlpm.d,_xlpm.c)))</f>
        <v>0.72370911667157045</v>
      </c>
      <c r="I30" s="3" cm="1">
        <f t="array" ref="I30">_xlfn.LET(_xlpm.d,I$23:I$28,_xlpm.c,$E$23:$E$28=0,GEOMEAN(_xlfn._xlws.FILTER(_xlpm.d,_xlpm.c)))</f>
        <v>0.693000137525981</v>
      </c>
      <c r="J30" s="3" cm="1">
        <f t="array" ref="J30">_xlfn.LET(_xlpm.d,J$23:J$28,_xlpm.c,$E$23:$E$28=0,GEOMEAN(_xlfn._xlws.FILTER(_xlpm.d,_xlpm.c)))</f>
        <v>0.70062895557036964</v>
      </c>
      <c r="K30" s="3" cm="1">
        <f t="array" ref="K30">_xlfn.LET(_xlpm.d,K$23:K$28,_xlpm.c,$E$23:$E$28=0,GEOMEAN(_xlfn._xlws.FILTER(_xlpm.d,_xlpm.c)))</f>
        <v>0.73685753262933273</v>
      </c>
      <c r="L30" s="3" cm="1">
        <f t="array" ref="L30">_xlfn.LET(_xlpm.d,L$23:L$28,_xlpm.c,$E$23:$E$28=0,GEOMEAN(_xlfn._xlws.FILTER(_xlpm.d,_xlpm.c)))</f>
        <v>0.71072018961943684</v>
      </c>
      <c r="M30" s="3" cm="1">
        <f t="array" ref="M30">_xlfn.LET(_xlpm.d,M$23:M$28,_xlpm.c,$E$23:$E$28=0,GEOMEAN(_xlfn._xlws.FILTER(_xlpm.d,_xlpm.c)))</f>
        <v>0.7051566671596512</v>
      </c>
      <c r="N30" s="3" cm="1">
        <f t="array" ref="N30">_xlfn.LET(_xlpm.d,N$23:N$28,_xlpm.c,$E$23:$E$28=0,GEOMEAN(_xlfn._xlws.FILTER(_xlpm.d,_xlpm.c)))</f>
        <v>0.69833719268380268</v>
      </c>
      <c r="O30" s="3" cm="1">
        <f t="array" ref="O30">_xlfn.LET(_xlpm.d,O$23:O$28,_xlpm.c,$E$23:$E$28=0,GEOMEAN(_xlfn._xlws.FILTER(_xlpm.d,_xlpm.c)))</f>
        <v>0.7068758887698211</v>
      </c>
      <c r="P30" s="3" cm="1">
        <f t="array" ref="P30">_xlfn.LET(_xlpm.d,P$23:P$28,_xlpm.c,$E$23:$E$28=0,GEOMEAN(_xlfn._xlws.FILTER(_xlpm.d,_xlpm.c)))</f>
        <v>0.73467219745480461</v>
      </c>
      <c r="Q30" s="3" cm="1">
        <f t="array" ref="Q30">_xlfn.LET(_xlpm.d,Q$23:Q$28,_xlpm.c,$E$23:$E$28=0,GEOMEAN(_xlfn._xlws.FILTER(_xlpm.d,_xlpm.c)))</f>
        <v>0.70365709484556072</v>
      </c>
      <c r="R30" s="3" cm="1">
        <f t="array" ref="R30">_xlfn.LET(_xlpm.d,R$23:R$28,_xlpm.c,$E$23:$E$28=0,GEOMEAN(_xlfn._xlws.FILTER(_xlpm.d,_xlpm.c)))</f>
        <v>0.70736775720397305</v>
      </c>
      <c r="S30" s="3" cm="1">
        <f t="array" ref="S30">_xlfn.LET(_xlpm.d,S$23:S$28,_xlpm.c,$E$23:$E$28=0,GEOMEAN(_xlfn._xlws.FILTER(_xlpm.d,_xlpm.c)))</f>
        <v>0.72245672742615297</v>
      </c>
      <c r="T30" s="3" cm="1">
        <f t="array" ref="T30">_xlfn.LET(_xlpm.d,T$23:T$28,_xlpm.c,$E$23:$E$28=0,GEOMEAN(_xlfn._xlws.FILTER(_xlpm.d,_xlpm.c)))</f>
        <v>0.68989274261473821</v>
      </c>
      <c r="U30" s="3" cm="1">
        <f t="array" ref="U30">_xlfn.LET(_xlpm.d,U$23:U$28,_xlpm.c,$E$23:$E$28=0,GEOMEAN(_xlfn._xlws.FILTER(_xlpm.d,_xlpm.c)))</f>
        <v>0.7050958777532117</v>
      </c>
      <c r="V30" s="3" cm="1">
        <f t="array" ref="V30">_xlfn.LET(_xlpm.d,V$23:V$28,_xlpm.c,$E$23:$E$28=0,GEOMEAN(_xlfn._xlws.FILTER(_xlpm.d,_xlpm.c)))</f>
        <v>0.71445723931731187</v>
      </c>
      <c r="W30" s="3" cm="1">
        <f t="array" ref="W30">_xlfn.LET(_xlpm.d,W$23:W$28,_xlpm.c,$E$23:$E$28=0,GEOMEAN(_xlfn._xlws.FILTER(_xlpm.d,_xlpm.c)))</f>
        <v>0.73312288505394119</v>
      </c>
      <c r="X30" s="3" cm="1">
        <f t="array" ref="X30">_xlfn.LET(_xlpm.d,X$23:X$28,_xlpm.c,$E$23:$E$28=0,GEOMEAN(_xlfn._xlws.FILTER(_xlpm.d,_xlpm.c)))</f>
        <v>0.67692628444571012</v>
      </c>
      <c r="Y30" s="3" cm="1">
        <f t="array" ref="Y30">_xlfn.LET(_xlpm.d,Y$23:Y$28,_xlpm.c,$E$23:$E$28=0,GEOMEAN(_xlfn._xlws.FILTER(_xlpm.d,_xlpm.c)))</f>
        <v>0.76110417779945028</v>
      </c>
    </row>
    <row r="31" spans="1:25" ht="27" customHeight="1">
      <c r="E31" t="s">
        <v>24</v>
      </c>
      <c r="F31" t="s">
        <v>24</v>
      </c>
      <c r="G31" s="3" cm="1">
        <f t="array" ref="G31">_xlfn.LET(_xlpm.d,G$23:G$33,_xlpm.c,$E$23:$E$33=0,MAX(_xlfn._xlws.FILTER(_xlpm.d,_xlpm.c)))</f>
        <v>0.93</v>
      </c>
      <c r="H31" s="3" cm="1">
        <f t="array" ref="H31">_xlfn.LET(_xlpm.d,H$23:H$33,_xlpm.c,$E$23:$E$33=0,MAX(_xlfn._xlws.FILTER(_xlpm.d,_xlpm.c)))</f>
        <v>0.94</v>
      </c>
      <c r="I31" s="3" cm="1">
        <f t="array" ref="I31">_xlfn.LET(_xlpm.d,I$23:I$33,_xlpm.c,$E$23:$E$33=0,MAX(_xlfn._xlws.FILTER(_xlpm.d,_xlpm.c)))</f>
        <v>0.94</v>
      </c>
      <c r="J31" s="3" cm="1">
        <f t="array" ref="J31">_xlfn.LET(_xlpm.d,J$23:J$33,_xlpm.c,$E$23:$E$33=0,MAX(_xlfn._xlws.FILTER(_xlpm.d,_xlpm.c)))</f>
        <v>0.91</v>
      </c>
      <c r="K31" s="3" cm="1">
        <f t="array" ref="K31">_xlfn.LET(_xlpm.d,K$23:K$33,_xlpm.c,$E$23:$E$33=0,MAX(_xlfn._xlws.FILTER(_xlpm.d,_xlpm.c)))</f>
        <v>0.93</v>
      </c>
      <c r="L31" s="3" cm="1">
        <f t="array" ref="L31">_xlfn.LET(_xlpm.d,L$23:L$33,_xlpm.c,$E$23:$E$33=0,MAX(_xlfn._xlws.FILTER(_xlpm.d,_xlpm.c)))</f>
        <v>0.94</v>
      </c>
      <c r="M31" s="3" cm="1">
        <f t="array" ref="M31">_xlfn.LET(_xlpm.d,M$23:M$33,_xlpm.c,$E$23:$E$33=0,MAX(_xlfn._xlws.FILTER(_xlpm.d,_xlpm.c)))</f>
        <v>0.91</v>
      </c>
      <c r="N31" s="3" cm="1">
        <f t="array" ref="N31">_xlfn.LET(_xlpm.d,N$23:N$33,_xlpm.c,$E$23:$E$33=0,MAX(_xlfn._xlws.FILTER(_xlpm.d,_xlpm.c)))</f>
        <v>0.89</v>
      </c>
      <c r="O31" s="3" cm="1">
        <f t="array" ref="O31">_xlfn.LET(_xlpm.d,O$23:O$33,_xlpm.c,$E$23:$E$33=0,MAX(_xlfn._xlws.FILTER(_xlpm.d,_xlpm.c)))</f>
        <v>0.9</v>
      </c>
      <c r="P31" s="3" cm="1">
        <f t="array" ref="P31">_xlfn.LET(_xlpm.d,P$23:P$33,_xlpm.c,$E$23:$E$33=0,MAX(_xlfn._xlws.FILTER(_xlpm.d,_xlpm.c)))</f>
        <v>0.94</v>
      </c>
      <c r="Q31" s="3" cm="1">
        <f t="array" ref="Q31">_xlfn.LET(_xlpm.d,Q$23:Q$33,_xlpm.c,$E$23:$E$33=0,MAX(_xlfn._xlws.FILTER(_xlpm.d,_xlpm.c)))</f>
        <v>0.96</v>
      </c>
      <c r="R31" s="3" cm="1">
        <f t="array" ref="R31">_xlfn.LET(_xlpm.d,R$23:R$33,_xlpm.c,$E$23:$E$33=0,MAX(_xlfn._xlws.FILTER(_xlpm.d,_xlpm.c)))</f>
        <v>0.96</v>
      </c>
      <c r="S31" s="3" cm="1">
        <f t="array" ref="S31">_xlfn.LET(_xlpm.d,S$23:S$33,_xlpm.c,$E$23:$E$33=0,MAX(_xlfn._xlws.FILTER(_xlpm.d,_xlpm.c)))</f>
        <v>0.93</v>
      </c>
      <c r="T31" s="3" cm="1">
        <f t="array" ref="T31">_xlfn.LET(_xlpm.d,T$23:T$33,_xlpm.c,$E$23:$E$33=0,MAX(_xlfn._xlws.FILTER(_xlpm.d,_xlpm.c)))</f>
        <v>0.91</v>
      </c>
      <c r="U31" s="3" cm="1">
        <f t="array" ref="U31">_xlfn.LET(_xlpm.d,U$23:U$33,_xlpm.c,$E$23:$E$33=0,MAX(_xlfn._xlws.FILTER(_xlpm.d,_xlpm.c)))</f>
        <v>0.92</v>
      </c>
      <c r="V31" s="3" cm="1">
        <f t="array" ref="V31">_xlfn.LET(_xlpm.d,V$23:V$33,_xlpm.c,$E$23:$E$33=0,MAX(_xlfn._xlws.FILTER(_xlpm.d,_xlpm.c)))</f>
        <v>0.91</v>
      </c>
      <c r="W31" s="3" cm="1">
        <f t="array" ref="W31">_xlfn.LET(_xlpm.d,W$23:W$33,_xlpm.c,$E$23:$E$33=0,MAX(_xlfn._xlws.FILTER(_xlpm.d,_xlpm.c)))</f>
        <v>0.9</v>
      </c>
      <c r="X31" s="3" cm="1">
        <f t="array" ref="X31">_xlfn.LET(_xlpm.d,X$23:X$33,_xlpm.c,$E$23:$E$33=0,MAX(_xlfn._xlws.FILTER(_xlpm.d,_xlpm.c)))</f>
        <v>0.87</v>
      </c>
      <c r="Y31" s="3" cm="1">
        <f t="array" ref="Y31">_xlfn.LET(_xlpm.d,Y$23:Y$33,_xlpm.c,$E$23:$E$33=0,MAX(_xlfn._xlws.FILTER(_xlpm.d,_xlpm.c)))</f>
        <v>0.96</v>
      </c>
    </row>
    <row r="32" spans="1:25" ht="27" customHeight="1">
      <c r="E32" t="s">
        <v>24</v>
      </c>
      <c r="F32" t="s">
        <v>35</v>
      </c>
      <c r="G32" s="3" cm="1">
        <f t="array" ref="G32">_xlfn.LET(_xlpm.d,G$23:G$33,_xlpm.c,$E$23:$E$33=0,MIN(_xlfn._xlws.FILTER(_xlpm.d,_xlpm.c)))</f>
        <v>0.42</v>
      </c>
      <c r="H32" s="3" cm="1">
        <f t="array" ref="H32">_xlfn.LET(_xlpm.d,H$23:H$33,_xlpm.c,$E$23:$E$33=0,MIN(_xlfn._xlws.FILTER(_xlpm.d,_xlpm.c)))</f>
        <v>0.47</v>
      </c>
      <c r="I32" s="3" cm="1">
        <f t="array" ref="I32">_xlfn.LET(_xlpm.d,I$23:I$33,_xlpm.c,$E$23:$E$33=0,MIN(_xlfn._xlws.FILTER(_xlpm.d,_xlpm.c)))</f>
        <v>0.42</v>
      </c>
      <c r="J32" s="3" cm="1">
        <f t="array" ref="J32">_xlfn.LET(_xlpm.d,J$23:J$33,_xlpm.c,$E$23:$E$33=0,MIN(_xlfn._xlws.FILTER(_xlpm.d,_xlpm.c)))</f>
        <v>0.47</v>
      </c>
      <c r="K32" s="3" cm="1">
        <f t="array" ref="K32">_xlfn.LET(_xlpm.d,K$23:K$33,_xlpm.c,$E$23:$E$33=0,MIN(_xlfn._xlws.FILTER(_xlpm.d,_xlpm.c)))</f>
        <v>0.52</v>
      </c>
      <c r="L32" s="3" cm="1">
        <f t="array" ref="L32">_xlfn.LET(_xlpm.d,L$23:L$33,_xlpm.c,$E$23:$E$33=0,MIN(_xlfn._xlws.FILTER(_xlpm.d,_xlpm.c)))</f>
        <v>0.47</v>
      </c>
      <c r="M32" s="3" cm="1">
        <f t="array" ref="M32">_xlfn.LET(_xlpm.d,M$23:M$33,_xlpm.c,$E$23:$E$33=0,MIN(_xlfn._xlws.FILTER(_xlpm.d,_xlpm.c)))</f>
        <v>0.46</v>
      </c>
      <c r="N32" s="3" cm="1">
        <f t="array" ref="N32">_xlfn.LET(_xlpm.d,N$23:N$33,_xlpm.c,$E$23:$E$33=0,MIN(_xlfn._xlws.FILTER(_xlpm.d,_xlpm.c)))</f>
        <v>0.43</v>
      </c>
      <c r="O32" s="3" cm="1">
        <f t="array" ref="O32">_xlfn.LET(_xlpm.d,O$23:O$33,_xlpm.c,$E$23:$E$33=0,MIN(_xlfn._xlws.FILTER(_xlpm.d,_xlpm.c)))</f>
        <v>0.48</v>
      </c>
      <c r="P32" s="3" cm="1">
        <f t="array" ref="P32">_xlfn.LET(_xlpm.d,P$23:P$33,_xlpm.c,$E$23:$E$33=0,MIN(_xlfn._xlws.FILTER(_xlpm.d,_xlpm.c)))</f>
        <v>0.48</v>
      </c>
      <c r="Q32" s="3" cm="1">
        <f t="array" ref="Q32">_xlfn.LET(_xlpm.d,Q$23:Q$33,_xlpm.c,$E$23:$E$33=0,MIN(_xlfn._xlws.FILTER(_xlpm.d,_xlpm.c)))</f>
        <v>0.43</v>
      </c>
      <c r="R32" s="3" cm="1">
        <f t="array" ref="R32">_xlfn.LET(_xlpm.d,R$23:R$33,_xlpm.c,$E$23:$E$33=0,MIN(_xlfn._xlws.FILTER(_xlpm.d,_xlpm.c)))</f>
        <v>0.46</v>
      </c>
      <c r="S32" s="3" cm="1">
        <f t="array" ref="S32">_xlfn.LET(_xlpm.d,S$23:S$33,_xlpm.c,$E$23:$E$33=0,MIN(_xlfn._xlws.FILTER(_xlpm.d,_xlpm.c)))</f>
        <v>0.48</v>
      </c>
      <c r="T32" s="3" cm="1">
        <f t="array" ref="T32">_xlfn.LET(_xlpm.d,T$23:T$33,_xlpm.c,$E$23:$E$33=0,MIN(_xlfn._xlws.FILTER(_xlpm.d,_xlpm.c)))</f>
        <v>0.43</v>
      </c>
      <c r="U32" s="3" cm="1">
        <f t="array" ref="U32">_xlfn.LET(_xlpm.d,U$23:U$33,_xlpm.c,$E$23:$E$33=0,MIN(_xlfn._xlws.FILTER(_xlpm.d,_xlpm.c)))</f>
        <v>0.44</v>
      </c>
      <c r="V32" s="3" cm="1">
        <f t="array" ref="V32">_xlfn.LET(_xlpm.d,V$23:V$33,_xlpm.c,$E$23:$E$33=0,MIN(_xlfn._xlws.FILTER(_xlpm.d,_xlpm.c)))</f>
        <v>0.46</v>
      </c>
      <c r="W32" s="3" cm="1">
        <f t="array" ref="W32">_xlfn.LET(_xlpm.d,W$23:W$33,_xlpm.c,$E$23:$E$33=0,MIN(_xlfn._xlws.FILTER(_xlpm.d,_xlpm.c)))</f>
        <v>0.51</v>
      </c>
      <c r="X32" s="3" cm="1">
        <f t="array" ref="X32">_xlfn.LET(_xlpm.d,X$23:X$33,_xlpm.c,$E$23:$E$33=0,MIN(_xlfn._xlws.FILTER(_xlpm.d,_xlpm.c)))</f>
        <v>0.45</v>
      </c>
      <c r="Y32" s="3" cm="1">
        <f t="array" ref="Y32">_xlfn.LET(_xlpm.d,Y$23:Y$33,_xlpm.c,$E$23:$E$33=0,MIN(_xlfn._xlws.FILTER(_xlpm.d,_xlpm.c)))</f>
        <v>0.52</v>
      </c>
    </row>
    <row r="33" spans="2:25" ht="27" customHeight="1">
      <c r="E33" t="s">
        <v>24</v>
      </c>
      <c r="F33" t="s">
        <v>36</v>
      </c>
      <c r="G33" cm="1">
        <f t="array" ref="G33">_xlfn.LET(_xlpm.d,G$23:G$33,_xlpm.c,$E$23:$E$33=0,STDEV(_xlfn._xlws.FILTER(_xlpm.d,_xlpm.c)))</f>
        <v>0.21528275979898326</v>
      </c>
      <c r="H33" cm="1">
        <f t="array" ref="H33">_xlfn.LET(_xlpm.d,H$23:H$33,_xlpm.c,$E$23:$E$33=0,STDEV(_xlfn._xlws.FILTER(_xlpm.d,_xlpm.c)))</f>
        <v>0.19211107897949764</v>
      </c>
      <c r="I33" cm="1">
        <f t="array" ref="I33">_xlfn.LET(_xlpm.d,I$23:I$33,_xlpm.c,$E$23:$E$33=0,STDEV(_xlfn._xlws.FILTER(_xlpm.d,_xlpm.c)))</f>
        <v>0.20317480158720511</v>
      </c>
      <c r="J33" cm="1">
        <f t="array" ref="J33">_xlfn.LET(_xlpm.d,J$23:J$33,_xlpm.c,$E$23:$E$33=0,STDEV(_xlfn._xlws.FILTER(_xlpm.d,_xlpm.c)))</f>
        <v>0.1917985053817331</v>
      </c>
      <c r="K33" cm="1">
        <f t="array" ref="K33">_xlfn.LET(_xlpm.d,K$23:K$33,_xlpm.c,$E$23:$E$33=0,STDEV(_xlfn._xlws.FILTER(_xlpm.d,_xlpm.c)))</f>
        <v>0.16597188516934677</v>
      </c>
      <c r="L33" cm="1">
        <f t="array" ref="L33">_xlfn.LET(_xlpm.d,L$23:L$33,_xlpm.c,$E$23:$E$33=0,STDEV(_xlfn._xlws.FILTER(_xlpm.d,_xlpm.c)))</f>
        <v>0.20185803592293899</v>
      </c>
      <c r="M33" cm="1">
        <f t="array" ref="M33">_xlfn.LET(_xlpm.d,M$23:M$33,_xlpm.c,$E$23:$E$33=0,STDEV(_xlfn._xlws.FILTER(_xlpm.d,_xlpm.c)))</f>
        <v>0.18446318512555984</v>
      </c>
      <c r="N33" cm="1">
        <f t="array" ref="N33">_xlfn.LET(_xlpm.d,N$23:N$33,_xlpm.c,$E$23:$E$33=0,STDEV(_xlfn._xlws.FILTER(_xlpm.d,_xlpm.c)))</f>
        <v>0.20017492350441957</v>
      </c>
      <c r="O33" cm="1">
        <f t="array" ref="O33">_xlfn.LET(_xlpm.d,O$23:O$33,_xlpm.c,$E$23:$E$33=0,STDEV(_xlfn._xlws.FILTER(_xlpm.d,_xlpm.c)))</f>
        <v>0.19651123801621737</v>
      </c>
      <c r="P33" cm="1">
        <f t="array" ref="P33">_xlfn.LET(_xlpm.d,P$23:P$33,_xlpm.c,$E$23:$E$33=0,STDEV(_xlfn._xlws.FILTER(_xlpm.d,_xlpm.c)))</f>
        <v>0.18251027368342879</v>
      </c>
      <c r="Q33" cm="1">
        <f t="array" ref="Q33">_xlfn.LET(_xlpm.d,Q$23:Q$33,_xlpm.c,$E$23:$E$33=0,STDEV(_xlfn._xlws.FILTER(_xlpm.d,_xlpm.c)))</f>
        <v>0.21369760566432836</v>
      </c>
      <c r="R33" cm="1">
        <f t="array" ref="R33">_xlfn.LET(_xlpm.d,R$23:R$33,_xlpm.c,$E$23:$E$33=0,STDEV(_xlfn._xlws.FILTER(_xlpm.d,_xlpm.c)))</f>
        <v>0.18302094597795782</v>
      </c>
      <c r="S33" cm="1">
        <f t="array" ref="S33">_xlfn.LET(_xlpm.d,S$23:S$33,_xlpm.c,$E$23:$E$33=0,STDEV(_xlfn._xlws.FILTER(_xlpm.d,_xlpm.c)))</f>
        <v>0.18304826321674461</v>
      </c>
      <c r="T33" cm="1">
        <f t="array" ref="T33">_xlfn.LET(_xlpm.d,T$23:T$33,_xlpm.c,$E$23:$E$33=0,STDEV(_xlfn._xlws.FILTER(_xlpm.d,_xlpm.c)))</f>
        <v>0.21503488089145015</v>
      </c>
      <c r="U33" cm="1">
        <f t="array" ref="U33">_xlfn.LET(_xlpm.d,U$23:U$33,_xlpm.c,$E$23:$E$33=0,STDEV(_xlfn._xlws.FILTER(_xlpm.d,_xlpm.c)))</f>
        <v>0.20301888253723224</v>
      </c>
      <c r="V33" cm="1">
        <f t="array" ref="V33">_xlfn.LET(_xlpm.d,V$23:V$33,_xlpm.c,$E$23:$E$33=0,STDEV(_xlfn._xlws.FILTER(_xlpm.d,_xlpm.c)))</f>
        <v>0.18672618098881197</v>
      </c>
      <c r="W33" cm="1">
        <f t="array" ref="W33">_xlfn.LET(_xlpm.d,W$23:W$33,_xlpm.c,$E$23:$E$33=0,STDEV(_xlfn._xlws.FILTER(_xlpm.d,_xlpm.c)))</f>
        <v>0.17371432487468252</v>
      </c>
      <c r="X33" cm="1">
        <f t="array" ref="X33">_xlfn.LET(_xlpm.d,X$23:X$33,_xlpm.c,$E$23:$E$33=0,STDEV(_xlfn._xlws.FILTER(_xlpm.d,_xlpm.c)))</f>
        <v>0.19145930812229175</v>
      </c>
      <c r="Y33" cm="1">
        <f t="array" ref="Y33">_xlfn.LET(_xlpm.d,Y$23:Y$33,_xlpm.c,$E$23:$E$33=0,STDEV(_xlfn._xlws.FILTER(_xlpm.d,_xlpm.c)))</f>
        <v>0.17966635745180615</v>
      </c>
    </row>
    <row r="36" spans="2:25" ht="27" customHeight="1">
      <c r="B36" t="s">
        <v>1</v>
      </c>
      <c r="C36" t="s">
        <v>2</v>
      </c>
      <c r="D36" t="s">
        <v>32</v>
      </c>
      <c r="E36" t="s">
        <v>4</v>
      </c>
      <c r="F36" t="s">
        <v>33</v>
      </c>
      <c r="G36" t="s">
        <v>6</v>
      </c>
      <c r="H36" t="s">
        <v>7</v>
      </c>
      <c r="I36" t="s">
        <v>8</v>
      </c>
      <c r="J36" t="s">
        <v>9</v>
      </c>
      <c r="K36" t="s">
        <v>10</v>
      </c>
      <c r="L36" t="s">
        <v>11</v>
      </c>
      <c r="M36" t="s">
        <v>12</v>
      </c>
      <c r="N36" t="s">
        <v>13</v>
      </c>
      <c r="O36" t="s">
        <v>14</v>
      </c>
      <c r="P36" t="s">
        <v>15</v>
      </c>
      <c r="Q36" t="s">
        <v>16</v>
      </c>
      <c r="R36" t="s">
        <v>17</v>
      </c>
      <c r="S36" t="s">
        <v>18</v>
      </c>
      <c r="T36" t="s">
        <v>19</v>
      </c>
      <c r="U36" t="s">
        <v>20</v>
      </c>
      <c r="V36" t="s">
        <v>21</v>
      </c>
      <c r="W36" t="s">
        <v>22</v>
      </c>
      <c r="X36" t="s">
        <v>23</v>
      </c>
    </row>
    <row r="37" spans="2:25" ht="27" customHeight="1">
      <c r="B37" s="4">
        <v>1</v>
      </c>
      <c r="C37" t="s">
        <v>26</v>
      </c>
      <c r="D37" t="b">
        <v>1</v>
      </c>
      <c r="E37">
        <v>1</v>
      </c>
      <c r="F37" t="s">
        <v>37</v>
      </c>
      <c r="G37" s="5">
        <f t="shared" ref="G37:X42" si="1">_xlfn.LET(_xlpm.d,$G23:$X23,RANK(G23,_xlpm.d))</f>
        <v>1</v>
      </c>
      <c r="H37" s="5">
        <f t="shared" si="1"/>
        <v>7</v>
      </c>
      <c r="I37" s="5">
        <f t="shared" si="1"/>
        <v>12</v>
      </c>
      <c r="J37" s="5">
        <f t="shared" si="1"/>
        <v>2</v>
      </c>
      <c r="K37" s="5">
        <f t="shared" si="1"/>
        <v>12</v>
      </c>
      <c r="L37" s="5">
        <f t="shared" si="1"/>
        <v>12</v>
      </c>
      <c r="M37" s="5">
        <f t="shared" si="1"/>
        <v>7</v>
      </c>
      <c r="N37" s="5">
        <f t="shared" si="1"/>
        <v>16</v>
      </c>
      <c r="O37" s="5">
        <f t="shared" si="1"/>
        <v>7</v>
      </c>
      <c r="P37" s="5">
        <f t="shared" si="1"/>
        <v>2</v>
      </c>
      <c r="Q37" s="5">
        <f t="shared" si="1"/>
        <v>12</v>
      </c>
      <c r="R37" s="5">
        <f t="shared" si="1"/>
        <v>18</v>
      </c>
      <c r="S37" s="5">
        <f t="shared" si="1"/>
        <v>7</v>
      </c>
      <c r="T37" s="5">
        <f t="shared" si="1"/>
        <v>4</v>
      </c>
      <c r="U37" s="5">
        <f t="shared" si="1"/>
        <v>4</v>
      </c>
      <c r="V37" s="5">
        <f t="shared" si="1"/>
        <v>7</v>
      </c>
      <c r="W37" s="5">
        <f t="shared" si="1"/>
        <v>4</v>
      </c>
      <c r="X37" s="5">
        <f t="shared" si="1"/>
        <v>16</v>
      </c>
    </row>
    <row r="38" spans="2:25" ht="27" customHeight="1">
      <c r="B38" s="5">
        <v>1</v>
      </c>
      <c r="C38" t="s">
        <v>26</v>
      </c>
      <c r="D38" t="b">
        <v>0</v>
      </c>
      <c r="E38">
        <v>1</v>
      </c>
      <c r="F38" t="s">
        <v>37</v>
      </c>
      <c r="G38" s="5">
        <f t="shared" si="1"/>
        <v>13</v>
      </c>
      <c r="H38" s="5">
        <f t="shared" si="1"/>
        <v>3</v>
      </c>
      <c r="I38" s="5">
        <f t="shared" si="1"/>
        <v>17</v>
      </c>
      <c r="J38" s="5">
        <f t="shared" si="1"/>
        <v>11</v>
      </c>
      <c r="K38" s="5">
        <f t="shared" si="1"/>
        <v>8</v>
      </c>
      <c r="L38" s="5">
        <f t="shared" si="1"/>
        <v>8</v>
      </c>
      <c r="M38" s="5">
        <f t="shared" si="1"/>
        <v>13</v>
      </c>
      <c r="N38" s="5">
        <f t="shared" si="1"/>
        <v>3</v>
      </c>
      <c r="O38" s="5">
        <f t="shared" si="1"/>
        <v>5</v>
      </c>
      <c r="P38" s="5">
        <f t="shared" si="1"/>
        <v>5</v>
      </c>
      <c r="Q38" s="5">
        <f t="shared" si="1"/>
        <v>11</v>
      </c>
      <c r="R38" s="5">
        <f t="shared" si="1"/>
        <v>18</v>
      </c>
      <c r="S38" s="5">
        <f t="shared" si="1"/>
        <v>13</v>
      </c>
      <c r="T38" s="5">
        <f t="shared" si="1"/>
        <v>1</v>
      </c>
      <c r="U38" s="5">
        <f t="shared" si="1"/>
        <v>5</v>
      </c>
      <c r="V38" s="5">
        <f t="shared" si="1"/>
        <v>8</v>
      </c>
      <c r="W38" s="5">
        <f t="shared" si="1"/>
        <v>1</v>
      </c>
      <c r="X38" s="5">
        <f t="shared" si="1"/>
        <v>13</v>
      </c>
    </row>
    <row r="39" spans="2:25" ht="27" customHeight="1">
      <c r="B39" s="5">
        <v>2</v>
      </c>
      <c r="C39" t="s">
        <v>38</v>
      </c>
      <c r="D39" t="b">
        <v>1</v>
      </c>
      <c r="E39">
        <v>1</v>
      </c>
      <c r="F39" t="s">
        <v>37</v>
      </c>
      <c r="G39" s="5">
        <f t="shared" si="1"/>
        <v>7</v>
      </c>
      <c r="H39" s="5">
        <f t="shared" si="1"/>
        <v>3</v>
      </c>
      <c r="I39" s="5">
        <f t="shared" si="1"/>
        <v>3</v>
      </c>
      <c r="J39" s="5">
        <f t="shared" si="1"/>
        <v>11</v>
      </c>
      <c r="K39" s="5">
        <f t="shared" si="1"/>
        <v>7</v>
      </c>
      <c r="L39" s="5">
        <f t="shared" si="1"/>
        <v>3</v>
      </c>
      <c r="M39" s="5">
        <f t="shared" si="1"/>
        <v>11</v>
      </c>
      <c r="N39" s="5">
        <f t="shared" si="1"/>
        <v>16</v>
      </c>
      <c r="O39" s="5">
        <f t="shared" si="1"/>
        <v>15</v>
      </c>
      <c r="P39" s="5">
        <f t="shared" si="1"/>
        <v>3</v>
      </c>
      <c r="Q39" s="5">
        <f t="shared" si="1"/>
        <v>1</v>
      </c>
      <c r="R39" s="5">
        <f t="shared" si="1"/>
        <v>1</v>
      </c>
      <c r="S39" s="5">
        <f t="shared" si="1"/>
        <v>7</v>
      </c>
      <c r="T39" s="5">
        <f t="shared" si="1"/>
        <v>11</v>
      </c>
      <c r="U39" s="5">
        <f t="shared" si="1"/>
        <v>10</v>
      </c>
      <c r="V39" s="5">
        <f t="shared" si="1"/>
        <v>11</v>
      </c>
      <c r="W39" s="5">
        <f t="shared" si="1"/>
        <v>17</v>
      </c>
      <c r="X39" s="5">
        <f t="shared" si="1"/>
        <v>18</v>
      </c>
    </row>
    <row r="40" spans="2:25" ht="27" customHeight="1">
      <c r="B40" s="5">
        <v>2</v>
      </c>
      <c r="C40" t="s">
        <v>38</v>
      </c>
      <c r="D40" t="b">
        <v>0</v>
      </c>
      <c r="E40">
        <v>1</v>
      </c>
      <c r="F40" t="s">
        <v>37</v>
      </c>
      <c r="G40" s="5">
        <f t="shared" si="1"/>
        <v>4</v>
      </c>
      <c r="H40" s="5">
        <f t="shared" si="1"/>
        <v>8</v>
      </c>
      <c r="I40" s="5">
        <f t="shared" si="1"/>
        <v>15</v>
      </c>
      <c r="J40" s="5">
        <f t="shared" si="1"/>
        <v>18</v>
      </c>
      <c r="K40" s="5">
        <f t="shared" si="1"/>
        <v>8</v>
      </c>
      <c r="L40" s="5">
        <f t="shared" si="1"/>
        <v>1</v>
      </c>
      <c r="M40" s="5">
        <f t="shared" si="1"/>
        <v>16</v>
      </c>
      <c r="N40" s="5">
        <f t="shared" si="1"/>
        <v>4</v>
      </c>
      <c r="O40" s="5">
        <f t="shared" si="1"/>
        <v>4</v>
      </c>
      <c r="P40" s="5">
        <f t="shared" si="1"/>
        <v>14</v>
      </c>
      <c r="Q40" s="5">
        <f t="shared" si="1"/>
        <v>1</v>
      </c>
      <c r="R40" s="5">
        <f t="shared" si="1"/>
        <v>8</v>
      </c>
      <c r="S40" s="5">
        <f t="shared" si="1"/>
        <v>4</v>
      </c>
      <c r="T40" s="5">
        <f t="shared" si="1"/>
        <v>16</v>
      </c>
      <c r="U40" s="5">
        <f t="shared" si="1"/>
        <v>13</v>
      </c>
      <c r="V40" s="5">
        <f t="shared" si="1"/>
        <v>8</v>
      </c>
      <c r="W40" s="5">
        <f t="shared" si="1"/>
        <v>1</v>
      </c>
      <c r="X40" s="5">
        <f t="shared" si="1"/>
        <v>8</v>
      </c>
    </row>
    <row r="41" spans="2:25" ht="27" customHeight="1">
      <c r="B41" s="5">
        <v>3</v>
      </c>
      <c r="C41" t="s">
        <v>31</v>
      </c>
      <c r="D41" t="b">
        <v>1</v>
      </c>
      <c r="E41">
        <v>1</v>
      </c>
      <c r="F41" t="s">
        <v>37</v>
      </c>
      <c r="G41" s="5">
        <f t="shared" si="1"/>
        <v>12</v>
      </c>
      <c r="H41" s="5">
        <f t="shared" si="1"/>
        <v>4</v>
      </c>
      <c r="I41" s="5">
        <f t="shared" si="1"/>
        <v>9</v>
      </c>
      <c r="J41" s="5">
        <f t="shared" si="1"/>
        <v>9</v>
      </c>
      <c r="K41" s="5">
        <f t="shared" si="1"/>
        <v>2</v>
      </c>
      <c r="L41" s="5">
        <f t="shared" si="1"/>
        <v>15</v>
      </c>
      <c r="M41" s="5">
        <f t="shared" si="1"/>
        <v>4</v>
      </c>
      <c r="N41" s="5">
        <f t="shared" si="1"/>
        <v>12</v>
      </c>
      <c r="O41" s="5">
        <f t="shared" si="1"/>
        <v>16</v>
      </c>
      <c r="P41" s="5">
        <f t="shared" si="1"/>
        <v>1</v>
      </c>
      <c r="Q41" s="5">
        <f t="shared" si="1"/>
        <v>14</v>
      </c>
      <c r="R41" s="5">
        <f t="shared" si="1"/>
        <v>3</v>
      </c>
      <c r="S41" s="5">
        <f t="shared" si="1"/>
        <v>4</v>
      </c>
      <c r="T41" s="5">
        <f t="shared" si="1"/>
        <v>16</v>
      </c>
      <c r="U41" s="5">
        <f t="shared" si="1"/>
        <v>11</v>
      </c>
      <c r="V41" s="5">
        <f t="shared" si="1"/>
        <v>4</v>
      </c>
      <c r="W41" s="5">
        <f t="shared" si="1"/>
        <v>4</v>
      </c>
      <c r="X41" s="5">
        <f t="shared" si="1"/>
        <v>18</v>
      </c>
    </row>
    <row r="42" spans="2:25" ht="27" customHeight="1">
      <c r="B42" s="6">
        <v>3</v>
      </c>
      <c r="C42" t="s">
        <v>31</v>
      </c>
      <c r="D42" t="b">
        <v>0</v>
      </c>
      <c r="E42">
        <v>1</v>
      </c>
      <c r="F42" t="s">
        <v>37</v>
      </c>
      <c r="G42" s="5">
        <f t="shared" si="1"/>
        <v>17</v>
      </c>
      <c r="H42" s="5">
        <f t="shared" si="1"/>
        <v>6</v>
      </c>
      <c r="I42" s="5">
        <f t="shared" si="1"/>
        <v>17</v>
      </c>
      <c r="J42" s="5">
        <f t="shared" si="1"/>
        <v>6</v>
      </c>
      <c r="K42" s="5">
        <f t="shared" si="1"/>
        <v>1</v>
      </c>
      <c r="L42" s="5">
        <f t="shared" si="1"/>
        <v>6</v>
      </c>
      <c r="M42" s="5">
        <f t="shared" si="1"/>
        <v>9</v>
      </c>
      <c r="N42" s="5">
        <f t="shared" si="1"/>
        <v>14</v>
      </c>
      <c r="O42" s="5">
        <f t="shared" si="1"/>
        <v>3</v>
      </c>
      <c r="P42" s="5">
        <f t="shared" si="1"/>
        <v>3</v>
      </c>
      <c r="Q42" s="5">
        <f t="shared" si="1"/>
        <v>14</v>
      </c>
      <c r="R42" s="5">
        <f t="shared" si="1"/>
        <v>9</v>
      </c>
      <c r="S42" s="5">
        <f t="shared" si="1"/>
        <v>3</v>
      </c>
      <c r="T42" s="5">
        <f t="shared" si="1"/>
        <v>14</v>
      </c>
      <c r="U42" s="5">
        <f t="shared" si="1"/>
        <v>13</v>
      </c>
      <c r="V42" s="5">
        <f t="shared" si="1"/>
        <v>9</v>
      </c>
      <c r="W42" s="5">
        <f t="shared" si="1"/>
        <v>2</v>
      </c>
      <c r="X42" s="5">
        <f t="shared" si="1"/>
        <v>12</v>
      </c>
    </row>
    <row r="44" spans="2:25" ht="27" customHeight="1">
      <c r="D44" t="b">
        <v>0</v>
      </c>
      <c r="E44" t="s">
        <v>37</v>
      </c>
      <c r="F44" t="s">
        <v>39</v>
      </c>
      <c r="G44" s="3" cm="1">
        <f t="array" ref="G44">_xlfn.LET(_xlpm.d,G$37:G$42,_xlpm.c,$D$37:$D$42=$D44,GEOMEAN(_xlfn._xlws.FILTER(_xlpm.d,_xlpm.c)))</f>
        <v>9.5973372244506638</v>
      </c>
      <c r="H44" s="3" cm="1">
        <f t="array" ref="H44">_xlfn.LET(_xlpm.d,H$37:H$42,_xlpm.c,$D$37:$D$42=$D44,GEOMEAN(_xlfn._xlws.FILTER(_xlpm.d,_xlpm.c)))</f>
        <v>5.2414827884177928</v>
      </c>
      <c r="I44" s="3" cm="1">
        <f t="array" ref="I44">_xlfn.LET(_xlpm.d,I$37:I$42,_xlpm.c,$D$37:$D$42=$D44,GEOMEAN(_xlfn._xlws.FILTER(_xlpm.d,_xlpm.c)))</f>
        <v>16.305334046624292</v>
      </c>
      <c r="J44" s="3" cm="1">
        <f t="array" ref="J44">_xlfn.LET(_xlpm.d,J$37:J$42,_xlpm.c,$D$37:$D$42=$D44,GEOMEAN(_xlfn._xlws.FILTER(_xlpm.d,_xlpm.c)))</f>
        <v>10.591045005978188</v>
      </c>
      <c r="K44" s="3" cm="1">
        <f t="array" ref="K44">_xlfn.LET(_xlpm.d,K$37:K$42,_xlpm.c,$D$37:$D$42=$D44,GEOMEAN(_xlfn._xlws.FILTER(_xlpm.d,_xlpm.c)))</f>
        <v>4</v>
      </c>
      <c r="L44" s="3" cm="1">
        <f t="array" ref="L44">_xlfn.LET(_xlpm.d,L$37:L$42,_xlpm.c,$D$37:$D$42=$D44,GEOMEAN(_xlfn._xlws.FILTER(_xlpm.d,_xlpm.c)))</f>
        <v>3.6342411856642793</v>
      </c>
      <c r="M44" s="3" cm="1">
        <f t="array" ref="M44">_xlfn.LET(_xlpm.d,M$37:M$42,_xlpm.c,$D$37:$D$42=$D44,GEOMEAN(_xlfn._xlws.FILTER(_xlpm.d,_xlpm.c)))</f>
        <v>12.324480295498077</v>
      </c>
      <c r="N44" s="3" cm="1">
        <f t="array" ref="N44">_xlfn.LET(_xlpm.d,N$37:N$42,_xlpm.c,$D$37:$D$42=$D44,GEOMEAN(_xlfn._xlws.FILTER(_xlpm.d,_xlpm.c)))</f>
        <v>5.5178483527622415</v>
      </c>
      <c r="O44" s="3" cm="1">
        <f t="array" ref="O44">_xlfn.LET(_xlpm.d,O$37:O$42,_xlpm.c,$D$37:$D$42=$D44,GEOMEAN(_xlfn._xlws.FILTER(_xlpm.d,_xlpm.c)))</f>
        <v>3.9148676411688634</v>
      </c>
      <c r="P44" s="3" cm="1">
        <f t="array" ref="P44">_xlfn.LET(_xlpm.d,P$37:P$42,_xlpm.c,$D$37:$D$42=$D44,GEOMEAN(_xlfn._xlws.FILTER(_xlpm.d,_xlpm.c)))</f>
        <v>5.9439219527631293</v>
      </c>
      <c r="Q44" s="3" cm="1">
        <f t="array" ref="Q44">_xlfn.LET(_xlpm.d,Q$37:Q$42,_xlpm.c,$D$37:$D$42=$D44,GEOMEAN(_xlfn._xlws.FILTER(_xlpm.d,_xlpm.c)))</f>
        <v>5.3601084109653634</v>
      </c>
      <c r="R44" s="3" cm="1">
        <f t="array" ref="R44">_xlfn.LET(_xlpm.d,R$37:R$42,_xlpm.c,$D$37:$D$42=$D44,GEOMEAN(_xlfn._xlws.FILTER(_xlpm.d,_xlpm.c)))</f>
        <v>10.902723556992838</v>
      </c>
      <c r="S44" s="3" cm="1">
        <f t="array" ref="S44">_xlfn.LET(_xlpm.d,S$37:S$42,_xlpm.c,$D$37:$D$42=$D44,GEOMEAN(_xlfn._xlws.FILTER(_xlpm.d,_xlpm.c)))</f>
        <v>5.3832126120872843</v>
      </c>
      <c r="T44" s="3" cm="1">
        <f t="array" ref="T44">_xlfn.LET(_xlpm.d,T$37:T$42,_xlpm.c,$D$37:$D$42=$D44,GEOMEAN(_xlfn._xlws.FILTER(_xlpm.d,_xlpm.c)))</f>
        <v>6.0731779437513254</v>
      </c>
      <c r="U44" s="3" cm="1">
        <f t="array" ref="U44">_xlfn.LET(_xlpm.d,U$37:U$42,_xlpm.c,$D$37:$D$42=$D44,GEOMEAN(_xlfn._xlws.FILTER(_xlpm.d,_xlpm.c)))</f>
        <v>9.4540719459828075</v>
      </c>
      <c r="V44" s="3" cm="1">
        <f t="array" ref="V44">_xlfn.LET(_xlpm.d,V$37:V$42,_xlpm.c,$D$37:$D$42=$D44,GEOMEAN(_xlfn._xlws.FILTER(_xlpm.d,_xlpm.c)))</f>
        <v>8.3203352922076164</v>
      </c>
      <c r="W44" s="3" cm="1">
        <f t="array" ref="W44">_xlfn.LET(_xlpm.d,W$37:W$42,_xlpm.c,$D$37:$D$42=$D44,GEOMEAN(_xlfn._xlws.FILTER(_xlpm.d,_xlpm.c)))</f>
        <v>1.2599210498948732</v>
      </c>
      <c r="X44" s="3" cm="1">
        <f t="array" ref="X44">_xlfn.LET(_xlpm.d,X$37:X$42,_xlpm.c,$D$37:$D$42=$D44,GEOMEAN(_xlfn._xlws.FILTER(_xlpm.d,_xlpm.c)))</f>
        <v>10.766425224174569</v>
      </c>
    </row>
    <row r="45" spans="2:25" ht="27" customHeight="1">
      <c r="D45" t="b">
        <v>1</v>
      </c>
      <c r="E45" t="s">
        <v>37</v>
      </c>
      <c r="F45" t="s">
        <v>39</v>
      </c>
      <c r="G45" s="3" cm="1">
        <f t="array" ref="G45">_xlfn.LET(_xlpm.d,G$37:G$42,_xlpm.c,$D$37:$D$42=$D45,GEOMEAN(_xlfn._xlws.FILTER(_xlpm.d,_xlpm.c)))</f>
        <v>4.379519139887889</v>
      </c>
      <c r="H45" s="3" cm="1">
        <f t="array" ref="H45">_xlfn.LET(_xlpm.d,H$37:H$42,_xlpm.c,$D$37:$D$42=$D45,GEOMEAN(_xlfn._xlws.FILTER(_xlpm.d,_xlpm.c)))</f>
        <v>4.379519139887889</v>
      </c>
      <c r="I45" s="3" cm="1">
        <f t="array" ref="I45">_xlfn.LET(_xlpm.d,I$37:I$42,_xlpm.c,$D$37:$D$42=$D45,GEOMEAN(_xlfn._xlws.FILTER(_xlpm.d,_xlpm.c)))</f>
        <v>6.8682854553199908</v>
      </c>
      <c r="J45" s="3" cm="1">
        <f t="array" ref="J45">_xlfn.LET(_xlpm.d,J$37:J$42,_xlpm.c,$D$37:$D$42=$D45,GEOMEAN(_xlfn._xlws.FILTER(_xlpm.d,_xlpm.c)))</f>
        <v>5.8284766832514556</v>
      </c>
      <c r="K45" s="3" cm="1">
        <f t="array" ref="K45">_xlfn.LET(_xlpm.d,K$37:K$42,_xlpm.c,$D$37:$D$42=$D45,GEOMEAN(_xlfn._xlws.FILTER(_xlpm.d,_xlpm.c)))</f>
        <v>5.5178483527622415</v>
      </c>
      <c r="L45" s="3" cm="1">
        <f t="array" ref="L45">_xlfn.LET(_xlpm.d,L$37:L$42,_xlpm.c,$D$37:$D$42=$D45,GEOMEAN(_xlfn._xlws.FILTER(_xlpm.d,_xlpm.c)))</f>
        <v>8.1432528497847194</v>
      </c>
      <c r="M45" s="3" cm="1">
        <f t="array" ref="M45">_xlfn.LET(_xlpm.d,M$37:M$42,_xlpm.c,$D$37:$D$42=$D45,GEOMEAN(_xlfn._xlws.FILTER(_xlpm.d,_xlpm.c)))</f>
        <v>6.7533134166938202</v>
      </c>
      <c r="N45" s="3" cm="1">
        <f t="array" ref="N45">_xlfn.LET(_xlpm.d,N$37:N$42,_xlpm.c,$D$37:$D$42=$D45,GEOMEAN(_xlfn._xlws.FILTER(_xlpm.d,_xlpm.c)))</f>
        <v>14.536964742657117</v>
      </c>
      <c r="O45" s="3" cm="1">
        <f t="array" ref="O45">_xlfn.LET(_xlpm.d,O$37:O$42,_xlpm.c,$D$37:$D$42=$D45,GEOMEAN(_xlfn._xlws.FILTER(_xlpm.d,_xlpm.c)))</f>
        <v>11.887843905526259</v>
      </c>
      <c r="P45" s="3" cm="1">
        <f t="array" ref="P45">_xlfn.LET(_xlpm.d,P$37:P$42,_xlpm.c,$D$37:$D$42=$D45,GEOMEAN(_xlfn._xlws.FILTER(_xlpm.d,_xlpm.c)))</f>
        <v>1.8171205928321397</v>
      </c>
      <c r="Q45" s="3" cm="1">
        <f t="array" ref="Q45">_xlfn.LET(_xlpm.d,Q$37:Q$42,_xlpm.c,$D$37:$D$42=$D45,GEOMEAN(_xlfn._xlws.FILTER(_xlpm.d,_xlpm.c)))</f>
        <v>5.5178483527622415</v>
      </c>
      <c r="R45" s="3" cm="1">
        <f t="array" ref="R45">_xlfn.LET(_xlpm.d,R$37:R$42,_xlpm.c,$D$37:$D$42=$D45,GEOMEAN(_xlfn._xlws.FILTER(_xlpm.d,_xlpm.c)))</f>
        <v>3.7797631496846193</v>
      </c>
      <c r="S45" s="3" cm="1">
        <f t="array" ref="S45">_xlfn.LET(_xlpm.d,S$37:S$42,_xlpm.c,$D$37:$D$42=$D45,GEOMEAN(_xlfn._xlws.FILTER(_xlpm.d,_xlpm.c)))</f>
        <v>5.8087857335637043</v>
      </c>
      <c r="T45" s="3" cm="1">
        <f t="array" ref="T45">_xlfn.LET(_xlpm.d,T$37:T$42,_xlpm.c,$D$37:$D$42=$D45,GEOMEAN(_xlfn._xlws.FILTER(_xlpm.d,_xlpm.c)))</f>
        <v>8.8959203622772627</v>
      </c>
      <c r="U45" s="3" cm="1">
        <f t="array" ref="U45">_xlfn.LET(_xlpm.d,U$37:U$42,_xlpm.c,$D$37:$D$42=$D45,GEOMEAN(_xlfn._xlws.FILTER(_xlpm.d,_xlpm.c)))</f>
        <v>7.6059049215227823</v>
      </c>
      <c r="V45" s="3" cm="1">
        <f t="array" ref="V45">_xlfn.LET(_xlpm.d,V$37:V$42,_xlpm.c,$D$37:$D$42=$D45,GEOMEAN(_xlfn._xlws.FILTER(_xlpm.d,_xlpm.c)))</f>
        <v>6.7533134166938202</v>
      </c>
      <c r="W45" s="3" cm="1">
        <f t="array" ref="W45">_xlfn.LET(_xlpm.d,W$37:W$42,_xlpm.c,$D$37:$D$42=$D45,GEOMEAN(_xlfn._xlws.FILTER(_xlpm.d,_xlpm.c)))</f>
        <v>6.479223602554967</v>
      </c>
      <c r="X45" s="3" cm="1">
        <f t="array" ref="X45">_xlfn.LET(_xlpm.d,X$37:X$42,_xlpm.c,$D$37:$D$42=$D45,GEOMEAN(_xlfn._xlws.FILTER(_xlpm.d,_xlpm.c)))</f>
        <v>17.306994843688901</v>
      </c>
    </row>
  </sheetData>
  <conditionalFormatting sqref="G37:X42">
    <cfRule type="colorScale" priority="2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44:X45">
    <cfRule type="colorScale" priority="1">
      <colorScale>
        <cfvo type="min"/>
        <cfvo type="percentile" val="50"/>
        <cfvo type="max"/>
        <color theme="9" tint="0.59999389629810485"/>
        <color theme="0"/>
        <color rgb="FFFFC000"/>
      </colorScale>
    </cfRule>
  </conditionalFormatting>
  <conditionalFormatting sqref="G2:Y19">
    <cfRule type="colorScale" priority="5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23:Y28">
    <cfRule type="colorScale" priority="4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conditionalFormatting sqref="G30:Y32">
    <cfRule type="colorScale" priority="3">
      <colorScale>
        <cfvo type="num" val="0"/>
        <cfvo type="percentile" val="50"/>
        <cfvo type="num" val="1"/>
        <color theme="4" tint="0.59999389629810485"/>
        <color theme="0"/>
        <color rgb="FFFFC000"/>
      </colorScale>
    </cfRule>
  </conditionalFormatting>
  <pageMargins left="0.75" right="0.75" top="1" bottom="1" header="0.5" footer="0.5"/>
  <pageSetup paperSize="34" orientation="portrait" horizontalDpi="0" verticalDpi="0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2k-xsk-mgv3</vt:lpstr>
      <vt:lpstr>sk-xsk-3k-mgv9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Kuroda, Kow</dc:creator>
  <cp:keywords/>
  <dc:description/>
  <cp:lastModifiedBy>Kuroda, Kow</cp:lastModifiedBy>
  <dcterms:created xsi:type="dcterms:W3CDTF">2025-02-27T05:27:15Z</dcterms:created>
  <dcterms:modified xsi:type="dcterms:W3CDTF">2025-02-27T09:33:14Z</dcterms:modified>
  <cp:category/>
</cp:coreProperties>
</file>