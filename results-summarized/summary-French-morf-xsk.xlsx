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52AE4E41-111A-6C48-BDBA-0EA701C7D1BC}" xr6:coauthVersionLast="47" xr6:coauthVersionMax="47" xr10:uidLastSave="{00000000-0000-0000-0000-000000000000}"/>
  <bookViews>
    <workbookView xWindow="2840" yWindow="3420" windowWidth="27860" windowHeight="16940" activeTab="3" xr2:uid="{D1FBAC4E-977D-1240-8F12-B97CAC2D7EA6}"/>
  </bookViews>
  <sheets>
    <sheet name="summarized" sheetId="9" r:id="rId1"/>
    <sheet name="ml3.0-3k-xsk-mgv9" sheetId="8" r:id="rId2"/>
    <sheet name="ml3.0-2k-xsk-mgv9" sheetId="7" r:id="rId3"/>
    <sheet name="ml3.0-2k-xsk-mgv6" sheetId="12" r:id="rId4"/>
    <sheet name="ml3.0-1.2k-xsk-mgv9" sheetId="6" r:id="rId5"/>
    <sheet name="ml2.0-2k-xsk-mgv9" sheetId="5" r:id="rId6"/>
    <sheet name="ml2.0-1.2k-xsk-mgv9" sheetId="4" r:id="rId7"/>
    <sheet name="ml2.0-3k-xsk-mgv6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J2" i="9"/>
  <c r="J3" i="9"/>
  <c r="J4" i="9"/>
  <c r="J6" i="9"/>
  <c r="J7" i="9"/>
  <c r="J8" i="9"/>
  <c r="J13" i="9"/>
  <c r="J10" i="9"/>
  <c r="J11" i="9"/>
  <c r="J12" i="9"/>
  <c r="J9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X7" i="9"/>
  <c r="X24" i="9"/>
  <c r="X25" i="9"/>
  <c r="X6" i="9"/>
  <c r="T20" i="12" a="1"/>
  <c r="T20" i="12" s="1"/>
  <c r="S20" i="12"/>
  <c r="S20" i="12" a="1"/>
  <c r="R20" i="12"/>
  <c r="R20" i="12" a="1"/>
  <c r="Q20" i="12" a="1"/>
  <c r="Q20" i="12" s="1"/>
  <c r="P20" i="12" a="1"/>
  <c r="P20" i="12" s="1"/>
  <c r="O20" i="12" a="1"/>
  <c r="O20" i="12" s="1"/>
  <c r="N20" i="12"/>
  <c r="N20" i="12" a="1"/>
  <c r="M20" i="12" a="1"/>
  <c r="M20" i="12" s="1"/>
  <c r="L20" i="12" a="1"/>
  <c r="L20" i="12" s="1"/>
  <c r="K20" i="12" a="1"/>
  <c r="K20" i="12" s="1"/>
  <c r="J20" i="12"/>
  <c r="J20" i="12" a="1"/>
  <c r="I20" i="12" a="1"/>
  <c r="I20" i="12" s="1"/>
  <c r="H20" i="12" a="1"/>
  <c r="H20" i="12" s="1"/>
  <c r="G20" i="12"/>
  <c r="T19" i="12" a="1"/>
  <c r="T19" i="12" s="1"/>
  <c r="S19" i="12" a="1"/>
  <c r="S19" i="12" s="1"/>
  <c r="R19" i="12"/>
  <c r="R19" i="12" a="1"/>
  <c r="Q19" i="12" a="1"/>
  <c r="Q19" i="12" s="1"/>
  <c r="P19" i="12" a="1"/>
  <c r="P19" i="12" s="1"/>
  <c r="O19" i="12" a="1"/>
  <c r="O19" i="12" s="1"/>
  <c r="N19" i="12"/>
  <c r="N19" i="12" a="1"/>
  <c r="M19" i="12" a="1"/>
  <c r="M19" i="12" s="1"/>
  <c r="L19" i="12" a="1"/>
  <c r="L19" i="12" s="1"/>
  <c r="K19" i="12" a="1"/>
  <c r="K19" i="12" s="1"/>
  <c r="J19" i="12"/>
  <c r="J19" i="12" a="1"/>
  <c r="I19" i="12" a="1"/>
  <c r="I19" i="12" s="1"/>
  <c r="H19" i="12" a="1"/>
  <c r="H19" i="12" s="1"/>
  <c r="G19" i="12"/>
  <c r="T18" i="12" a="1"/>
  <c r="T18" i="12" s="1"/>
  <c r="S18" i="12" a="1"/>
  <c r="S18" i="12" s="1"/>
  <c r="R18" i="12" a="1"/>
  <c r="R18" i="12" s="1"/>
  <c r="Q18" i="12"/>
  <c r="Q18" i="12" a="1"/>
  <c r="P18" i="12" a="1"/>
  <c r="P18" i="12" s="1"/>
  <c r="O18" i="12" a="1"/>
  <c r="O18" i="12" s="1"/>
  <c r="N18" i="12" a="1"/>
  <c r="N18" i="12" s="1"/>
  <c r="M18" i="12"/>
  <c r="M18" i="12" a="1"/>
  <c r="L18" i="12" a="1"/>
  <c r="L18" i="12" s="1"/>
  <c r="K18" i="12" a="1"/>
  <c r="K18" i="12" s="1"/>
  <c r="J18" i="12" a="1"/>
  <c r="J18" i="12" s="1"/>
  <c r="I18" i="12"/>
  <c r="I18" i="12" a="1"/>
  <c r="H18" i="12" a="1"/>
  <c r="H18" i="12" s="1"/>
  <c r="G18" i="12"/>
  <c r="T17" i="12" a="1"/>
  <c r="T17" i="12" s="1"/>
  <c r="S17" i="12" a="1"/>
  <c r="S17" i="12" s="1"/>
  <c r="R17" i="12" a="1"/>
  <c r="R17" i="12" s="1"/>
  <c r="Q17" i="12" a="1"/>
  <c r="Q17" i="12" s="1"/>
  <c r="P17" i="12" a="1"/>
  <c r="P17" i="12" s="1"/>
  <c r="O17" i="12" a="1"/>
  <c r="O17" i="12" s="1"/>
  <c r="N17" i="12" a="1"/>
  <c r="N17" i="12" s="1"/>
  <c r="M17" i="12" a="1"/>
  <c r="M17" i="12" s="1"/>
  <c r="L17" i="12" a="1"/>
  <c r="L17" i="12" s="1"/>
  <c r="K17" i="12" a="1"/>
  <c r="K17" i="12" s="1"/>
  <c r="J17" i="12" a="1"/>
  <c r="J17" i="12" s="1"/>
  <c r="I17" i="12" a="1"/>
  <c r="I17" i="12" s="1"/>
  <c r="H17" i="12" a="1"/>
  <c r="H17" i="12" s="1"/>
  <c r="G17" i="12"/>
  <c r="T3" i="12"/>
  <c r="T5" i="12"/>
  <c r="T2" i="12"/>
  <c r="T7" i="12"/>
  <c r="T6" i="12"/>
  <c r="T4" i="12"/>
  <c r="T11" i="12"/>
  <c r="T9" i="12"/>
  <c r="T8" i="12"/>
  <c r="T13" i="12"/>
  <c r="T10" i="12"/>
  <c r="T12" i="12"/>
  <c r="X3" i="9"/>
  <c r="X8" i="9"/>
  <c r="X13" i="9"/>
  <c r="X2" i="9"/>
  <c r="G17" i="11"/>
  <c r="T20" i="11" a="1"/>
  <c r="T20" i="11" s="1"/>
  <c r="S20" i="11" a="1"/>
  <c r="S20" i="11" s="1"/>
  <c r="R20" i="11" a="1"/>
  <c r="R20" i="11" s="1"/>
  <c r="Q20" i="11" a="1"/>
  <c r="Q20" i="11" s="1"/>
  <c r="P20" i="11" a="1"/>
  <c r="P20" i="11" s="1"/>
  <c r="O20" i="11" a="1"/>
  <c r="O20" i="11" s="1"/>
  <c r="N20" i="11" a="1"/>
  <c r="N20" i="11" s="1"/>
  <c r="M20" i="11"/>
  <c r="M20" i="11" a="1"/>
  <c r="L20" i="11" a="1"/>
  <c r="L20" i="11" s="1"/>
  <c r="K20" i="11" a="1"/>
  <c r="K20" i="11" s="1"/>
  <c r="J20" i="11" a="1"/>
  <c r="J20" i="11" s="1"/>
  <c r="I20" i="11"/>
  <c r="I20" i="11" a="1"/>
  <c r="H20" i="11" a="1"/>
  <c r="H20" i="11" s="1"/>
  <c r="G20" i="11"/>
  <c r="T19" i="11"/>
  <c r="T19" i="11" a="1"/>
  <c r="S19" i="11" a="1"/>
  <c r="S19" i="11" s="1"/>
  <c r="R19" i="11"/>
  <c r="R19" i="11" a="1"/>
  <c r="Q19" i="11" a="1"/>
  <c r="Q19" i="11" s="1"/>
  <c r="P19" i="11"/>
  <c r="P19" i="11" a="1"/>
  <c r="O19" i="11" a="1"/>
  <c r="O19" i="11" s="1"/>
  <c r="N19" i="11" a="1"/>
  <c r="N19" i="11" s="1"/>
  <c r="M19" i="11"/>
  <c r="M19" i="11" a="1"/>
  <c r="L19" i="11"/>
  <c r="L19" i="11" a="1"/>
  <c r="K19" i="11" a="1"/>
  <c r="K19" i="11" s="1"/>
  <c r="J19" i="11" a="1"/>
  <c r="J19" i="11" s="1"/>
  <c r="I19" i="11"/>
  <c r="I19" i="11" a="1"/>
  <c r="H19" i="11"/>
  <c r="H19" i="11" a="1"/>
  <c r="G19" i="11"/>
  <c r="T18" i="11"/>
  <c r="T18" i="11" a="1"/>
  <c r="S18" i="11"/>
  <c r="S18" i="11" a="1"/>
  <c r="R18" i="11" a="1"/>
  <c r="R18" i="11" s="1"/>
  <c r="Q18" i="11" a="1"/>
  <c r="Q18" i="11" s="1"/>
  <c r="P18" i="11"/>
  <c r="P18" i="11" a="1"/>
  <c r="O18" i="11"/>
  <c r="O18" i="11" a="1"/>
  <c r="N18" i="11" a="1"/>
  <c r="N18" i="11" s="1"/>
  <c r="M18" i="11" a="1"/>
  <c r="M18" i="11" s="1"/>
  <c r="L18" i="11"/>
  <c r="L18" i="11" a="1"/>
  <c r="K18" i="11"/>
  <c r="K18" i="11" a="1"/>
  <c r="J18" i="11" a="1"/>
  <c r="J18" i="11" s="1"/>
  <c r="I18" i="11" a="1"/>
  <c r="I18" i="11" s="1"/>
  <c r="H18" i="11"/>
  <c r="H18" i="11" a="1"/>
  <c r="G18" i="11"/>
  <c r="T17" i="11"/>
  <c r="T17" i="11" a="1"/>
  <c r="S17" i="11"/>
  <c r="S17" i="11" a="1"/>
  <c r="R17" i="11" a="1"/>
  <c r="R17" i="11" s="1"/>
  <c r="Q17" i="11" a="1"/>
  <c r="Q17" i="11" s="1"/>
  <c r="P17" i="11"/>
  <c r="P17" i="11" a="1"/>
  <c r="O17" i="11"/>
  <c r="O17" i="11" a="1"/>
  <c r="N17" i="11" a="1"/>
  <c r="N17" i="11" s="1"/>
  <c r="M17" i="11" a="1"/>
  <c r="M17" i="11" s="1"/>
  <c r="L17" i="11"/>
  <c r="L17" i="11" a="1"/>
  <c r="K17" i="11"/>
  <c r="K17" i="11" a="1"/>
  <c r="J17" i="11" a="1"/>
  <c r="J17" i="11" s="1"/>
  <c r="I17" i="11" a="1"/>
  <c r="I17" i="11" s="1"/>
  <c r="H17" i="11"/>
  <c r="H17" i="11" a="1"/>
  <c r="T5" i="11"/>
  <c r="T6" i="11"/>
  <c r="T2" i="11"/>
  <c r="T7" i="11"/>
  <c r="T3" i="11"/>
  <c r="T4" i="11"/>
  <c r="T11" i="11"/>
  <c r="T12" i="11"/>
  <c r="T8" i="11"/>
  <c r="T13" i="11"/>
  <c r="T9" i="11"/>
  <c r="T10" i="11"/>
  <c r="X33" i="9"/>
  <c r="X32" i="9"/>
  <c r="X31" i="9"/>
  <c r="X30" i="9"/>
  <c r="X29" i="9"/>
  <c r="X28" i="9"/>
  <c r="X27" i="9"/>
  <c r="X26" i="9"/>
  <c r="X17" i="9"/>
  <c r="X16" i="9"/>
  <c r="X23" i="9"/>
  <c r="X22" i="9"/>
  <c r="X21" i="9"/>
  <c r="X20" i="9"/>
  <c r="X19" i="9"/>
  <c r="X18" i="9"/>
  <c r="X5" i="9"/>
  <c r="X4" i="9"/>
  <c r="X15" i="9"/>
  <c r="X14" i="9"/>
  <c r="X9" i="9"/>
  <c r="X12" i="9"/>
  <c r="X11" i="9"/>
  <c r="X10" i="9"/>
  <c r="T19" i="4" a="1"/>
  <c r="T19" i="4" s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G19" i="4"/>
  <c r="T20" i="4" a="1"/>
  <c r="T20" i="4" s="1"/>
  <c r="S20" i="4" a="1"/>
  <c r="S20" i="4" s="1"/>
  <c r="R20" i="4" a="1"/>
  <c r="R20" i="4" s="1"/>
  <c r="Q20" i="4" a="1"/>
  <c r="Q20" i="4" s="1"/>
  <c r="P20" i="4" a="1"/>
  <c r="P20" i="4" s="1"/>
  <c r="O20" i="4" a="1"/>
  <c r="O20" i="4" s="1"/>
  <c r="N20" i="4" a="1"/>
  <c r="N20" i="4" s="1"/>
  <c r="M20" i="4" a="1"/>
  <c r="M20" i="4" s="1"/>
  <c r="L20" i="4" a="1"/>
  <c r="L20" i="4" s="1"/>
  <c r="K20" i="4" a="1"/>
  <c r="K20" i="4" s="1"/>
  <c r="J20" i="4" a="1"/>
  <c r="J20" i="4" s="1"/>
  <c r="I20" i="4" a="1"/>
  <c r="I20" i="4" s="1"/>
  <c r="H20" i="4" a="1"/>
  <c r="H20" i="4" s="1"/>
  <c r="G20" i="4"/>
  <c r="T17" i="4" a="1"/>
  <c r="T17" i="4" s="1"/>
  <c r="S17" i="4" a="1"/>
  <c r="S17" i="4" s="1"/>
  <c r="R17" i="4" a="1"/>
  <c r="R17" i="4" s="1"/>
  <c r="Q17" i="4"/>
  <c r="Q17" i="4" a="1"/>
  <c r="P17" i="4" a="1"/>
  <c r="P17" i="4" s="1"/>
  <c r="O17" i="4" a="1"/>
  <c r="O17" i="4" s="1"/>
  <c r="N17" i="4" a="1"/>
  <c r="N17" i="4" s="1"/>
  <c r="M17" i="4" a="1"/>
  <c r="M17" i="4" s="1"/>
  <c r="L17" i="4" a="1"/>
  <c r="L17" i="4" s="1"/>
  <c r="K17" i="4" a="1"/>
  <c r="K17" i="4" s="1"/>
  <c r="J17" i="4" a="1"/>
  <c r="J17" i="4" s="1"/>
  <c r="I17" i="4" a="1"/>
  <c r="I17" i="4" s="1"/>
  <c r="H17" i="4" a="1"/>
  <c r="H17" i="4" s="1"/>
  <c r="G17" i="4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 a="1"/>
  <c r="J18" i="4" s="1"/>
  <c r="I18" i="4" a="1"/>
  <c r="I18" i="4" s="1"/>
  <c r="H18" i="4" a="1"/>
  <c r="H18" i="4" s="1"/>
  <c r="G18" i="4"/>
  <c r="T19" i="5" a="1"/>
  <c r="T19" i="5" s="1"/>
  <c r="S19" i="5" a="1"/>
  <c r="S19" i="5" s="1"/>
  <c r="R19" i="5" a="1"/>
  <c r="R19" i="5" s="1"/>
  <c r="Q19" i="5" a="1"/>
  <c r="Q19" i="5" s="1"/>
  <c r="P19" i="5" a="1"/>
  <c r="P19" i="5" s="1"/>
  <c r="O19" i="5" a="1"/>
  <c r="O19" i="5" s="1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 a="1"/>
  <c r="H19" i="5" s="1"/>
  <c r="G19" i="5"/>
  <c r="T20" i="5"/>
  <c r="T20" i="5" a="1"/>
  <c r="S20" i="5" a="1"/>
  <c r="S20" i="5" s="1"/>
  <c r="R20" i="5" a="1"/>
  <c r="R20" i="5" s="1"/>
  <c r="Q20" i="5" a="1"/>
  <c r="Q20" i="5" s="1"/>
  <c r="P20" i="5" a="1"/>
  <c r="P20" i="5" s="1"/>
  <c r="O20" i="5" a="1"/>
  <c r="O20" i="5" s="1"/>
  <c r="N20" i="5" a="1"/>
  <c r="N20" i="5" s="1"/>
  <c r="M20" i="5"/>
  <c r="M20" i="5" a="1"/>
  <c r="L20" i="5" a="1"/>
  <c r="L20" i="5" s="1"/>
  <c r="K20" i="5" a="1"/>
  <c r="K20" i="5" s="1"/>
  <c r="J20" i="5" a="1"/>
  <c r="J20" i="5" s="1"/>
  <c r="I20" i="5" a="1"/>
  <c r="I20" i="5" s="1"/>
  <c r="H20" i="5" a="1"/>
  <c r="H20" i="5" s="1"/>
  <c r="G20" i="5"/>
  <c r="T17" i="5" a="1"/>
  <c r="T17" i="5" s="1"/>
  <c r="S17" i="5" a="1"/>
  <c r="S17" i="5" s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/>
  <c r="T18" i="5" a="1"/>
  <c r="T18" i="5" s="1"/>
  <c r="S18" i="5" a="1"/>
  <c r="S18" i="5" s="1"/>
  <c r="R18" i="5" a="1"/>
  <c r="R18" i="5" s="1"/>
  <c r="Q18" i="5" a="1"/>
  <c r="Q18" i="5" s="1"/>
  <c r="P18" i="5" a="1"/>
  <c r="P18" i="5" s="1"/>
  <c r="O18" i="5" a="1"/>
  <c r="O18" i="5" s="1"/>
  <c r="N18" i="5" a="1"/>
  <c r="N18" i="5" s="1"/>
  <c r="M18" i="5" a="1"/>
  <c r="M18" i="5" s="1"/>
  <c r="L18" i="5" a="1"/>
  <c r="L18" i="5" s="1"/>
  <c r="K18" i="5" a="1"/>
  <c r="K18" i="5" s="1"/>
  <c r="J18" i="5" a="1"/>
  <c r="J18" i="5" s="1"/>
  <c r="I18" i="5" a="1"/>
  <c r="I18" i="5" s="1"/>
  <c r="H18" i="5" a="1"/>
  <c r="H18" i="5" s="1"/>
  <c r="G18" i="5"/>
  <c r="T19" i="6" a="1"/>
  <c r="T19" i="6" s="1"/>
  <c r="S19" i="6" a="1"/>
  <c r="S19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/>
  <c r="T20" i="6" a="1"/>
  <c r="T20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/>
  <c r="M20" i="6" a="1"/>
  <c r="L20" i="6"/>
  <c r="L20" i="6" a="1"/>
  <c r="K20" i="6" a="1"/>
  <c r="K20" i="6" s="1"/>
  <c r="J20" i="6" a="1"/>
  <c r="J20" i="6" s="1"/>
  <c r="I20" i="6" a="1"/>
  <c r="I20" i="6" s="1"/>
  <c r="H20" i="6"/>
  <c r="H20" i="6" a="1"/>
  <c r="G20" i="6"/>
  <c r="T17" i="6" a="1"/>
  <c r="T17" i="6" s="1"/>
  <c r="S17" i="6" a="1"/>
  <c r="S17" i="6" s="1"/>
  <c r="R17" i="6" a="1"/>
  <c r="R17" i="6" s="1"/>
  <c r="Q17" i="6" a="1"/>
  <c r="Q17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/>
  <c r="T18" i="6" a="1"/>
  <c r="T18" i="6" s="1"/>
  <c r="S18" i="6" a="1"/>
  <c r="S18" i="6" s="1"/>
  <c r="R18" i="6" a="1"/>
  <c r="R18" i="6" s="1"/>
  <c r="Q18" i="6" a="1"/>
  <c r="Q18" i="6" s="1"/>
  <c r="P18" i="6"/>
  <c r="P18" i="6" a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/>
  <c r="T19" i="7" a="1"/>
  <c r="T19" i="7" s="1"/>
  <c r="S19" i="7" a="1"/>
  <c r="S19" i="7" s="1"/>
  <c r="R19" i="7" a="1"/>
  <c r="R19" i="7" s="1"/>
  <c r="Q19" i="7" a="1"/>
  <c r="Q19" i="7" s="1"/>
  <c r="P19" i="7" a="1"/>
  <c r="P19" i="7" s="1"/>
  <c r="O19" i="7" a="1"/>
  <c r="O19" i="7" s="1"/>
  <c r="N19" i="7" a="1"/>
  <c r="N19" i="7" s="1"/>
  <c r="M19" i="7" a="1"/>
  <c r="M19" i="7" s="1"/>
  <c r="L19" i="7" a="1"/>
  <c r="L19" i="7" s="1"/>
  <c r="K19" i="7" a="1"/>
  <c r="K19" i="7" s="1"/>
  <c r="J19" i="7" a="1"/>
  <c r="J19" i="7" s="1"/>
  <c r="I19" i="7" a="1"/>
  <c r="I19" i="7" s="1"/>
  <c r="H19" i="7" a="1"/>
  <c r="H19" i="7" s="1"/>
  <c r="G19" i="7"/>
  <c r="T20" i="7" a="1"/>
  <c r="T20" i="7" s="1"/>
  <c r="S20" i="7" a="1"/>
  <c r="S20" i="7" s="1"/>
  <c r="R20" i="7" a="1"/>
  <c r="R20" i="7" s="1"/>
  <c r="Q20" i="7" a="1"/>
  <c r="Q20" i="7" s="1"/>
  <c r="P20" i="7" a="1"/>
  <c r="P20" i="7" s="1"/>
  <c r="O20" i="7" a="1"/>
  <c r="O20" i="7" s="1"/>
  <c r="N20" i="7" a="1"/>
  <c r="N20" i="7" s="1"/>
  <c r="M20" i="7" a="1"/>
  <c r="M20" i="7" s="1"/>
  <c r="L20" i="7" a="1"/>
  <c r="L20" i="7" s="1"/>
  <c r="K20" i="7" a="1"/>
  <c r="K20" i="7" s="1"/>
  <c r="J20" i="7" a="1"/>
  <c r="J20" i="7" s="1"/>
  <c r="I20" i="7" a="1"/>
  <c r="I20" i="7" s="1"/>
  <c r="H20" i="7" a="1"/>
  <c r="H20" i="7" s="1"/>
  <c r="G20" i="7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/>
  <c r="T18" i="7" a="1"/>
  <c r="T18" i="7" s="1"/>
  <c r="S18" i="7" a="1"/>
  <c r="S18" i="7" s="1"/>
  <c r="R18" i="7" a="1"/>
  <c r="R18" i="7" s="1"/>
  <c r="Q18" i="7"/>
  <c r="Q18" i="7" a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/>
  <c r="T20" i="8"/>
  <c r="T20" i="8" a="1"/>
  <c r="S20" i="8" a="1"/>
  <c r="S20" i="8" s="1"/>
  <c r="R20" i="8" a="1"/>
  <c r="R20" i="8" s="1"/>
  <c r="Q20" i="8" a="1"/>
  <c r="Q20" i="8" s="1"/>
  <c r="P20" i="8"/>
  <c r="P20" i="8" a="1"/>
  <c r="O20" i="8" a="1"/>
  <c r="O20" i="8" s="1"/>
  <c r="N20" i="8" a="1"/>
  <c r="N20" i="8" s="1"/>
  <c r="M20" i="8" a="1"/>
  <c r="M20" i="8" s="1"/>
  <c r="L20" i="8"/>
  <c r="L20" i="8" a="1"/>
  <c r="K20" i="8" a="1"/>
  <c r="K20" i="8" s="1"/>
  <c r="J20" i="8" a="1"/>
  <c r="J20" i="8" s="1"/>
  <c r="I20" i="8" a="1"/>
  <c r="I20" i="8" s="1"/>
  <c r="H20" i="8"/>
  <c r="H20" i="8" a="1"/>
  <c r="G20" i="8"/>
  <c r="T19" i="8" a="1"/>
  <c r="T19" i="8" s="1"/>
  <c r="S19" i="8" a="1"/>
  <c r="S19" i="8" s="1"/>
  <c r="R19" i="8" a="1"/>
  <c r="R19" i="8" s="1"/>
  <c r="Q19" i="8"/>
  <c r="Q19" i="8" a="1"/>
  <c r="P19" i="8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I19" i="8" a="1"/>
  <c r="I19" i="8" s="1"/>
  <c r="H19" i="8" a="1"/>
  <c r="H19" i="8" s="1"/>
  <c r="G19" i="8"/>
  <c r="T18" i="8" a="1"/>
  <c r="T18" i="8" s="1"/>
  <c r="S18" i="8"/>
  <c r="S18" i="8" a="1"/>
  <c r="R18" i="8"/>
  <c r="R18" i="8" a="1"/>
  <c r="Q18" i="8" a="1"/>
  <c r="Q18" i="8" s="1"/>
  <c r="P18" i="8" a="1"/>
  <c r="P18" i="8" s="1"/>
  <c r="O18" i="8"/>
  <c r="O18" i="8" a="1"/>
  <c r="N18" i="8"/>
  <c r="N18" i="8" a="1"/>
  <c r="M18" i="8" a="1"/>
  <c r="M18" i="8" s="1"/>
  <c r="L18" i="8" a="1"/>
  <c r="L18" i="8" s="1"/>
  <c r="K18" i="8"/>
  <c r="K18" i="8" a="1"/>
  <c r="J18" i="8" a="1"/>
  <c r="J18" i="8" s="1"/>
  <c r="I18" i="8" a="1"/>
  <c r="I18" i="8" s="1"/>
  <c r="H18" i="8" a="1"/>
  <c r="H18" i="8" s="1"/>
  <c r="G18" i="8"/>
  <c r="T17" i="8"/>
  <c r="T17" i="8" a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/>
  <c r="T5" i="7" l="1"/>
  <c r="T6" i="7"/>
  <c r="T7" i="7"/>
  <c r="T2" i="7"/>
  <c r="T3" i="7"/>
  <c r="T4" i="7"/>
  <c r="T11" i="7"/>
  <c r="T12" i="7"/>
  <c r="T13" i="7"/>
  <c r="T8" i="7"/>
  <c r="T9" i="7"/>
  <c r="T10" i="7"/>
  <c r="T6" i="5"/>
  <c r="T7" i="5"/>
  <c r="T5" i="5"/>
  <c r="T3" i="5"/>
  <c r="T4" i="5"/>
  <c r="T2" i="5"/>
  <c r="T12" i="5"/>
  <c r="T13" i="5"/>
  <c r="T11" i="5"/>
  <c r="T9" i="5"/>
  <c r="T10" i="5"/>
  <c r="T8" i="5"/>
  <c r="T8" i="6"/>
  <c r="T9" i="6"/>
  <c r="T10" i="6"/>
  <c r="T2" i="6"/>
  <c r="T3" i="6"/>
  <c r="T4" i="6"/>
  <c r="T11" i="6"/>
  <c r="T12" i="6"/>
  <c r="T13" i="6"/>
  <c r="T5" i="6"/>
  <c r="T6" i="6"/>
  <c r="T7" i="6"/>
  <c r="T2" i="8" l="1"/>
  <c r="T3" i="8"/>
  <c r="T4" i="8"/>
  <c r="T5" i="8"/>
  <c r="T6" i="8"/>
  <c r="T7" i="8"/>
  <c r="T8" i="8"/>
  <c r="T9" i="8"/>
  <c r="T10" i="8"/>
  <c r="T11" i="8"/>
  <c r="T12" i="8"/>
  <c r="T13" i="8"/>
  <c r="T5" i="4"/>
  <c r="T6" i="4"/>
  <c r="T7" i="4"/>
  <c r="T2" i="4"/>
  <c r="T3" i="4"/>
  <c r="T4" i="4"/>
  <c r="T11" i="4"/>
  <c r="T12" i="4"/>
  <c r="T13" i="4"/>
  <c r="T8" i="4"/>
  <c r="T9" i="4"/>
  <c r="T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<sst xmlns="http://schemas.openxmlformats.org/spreadsheetml/2006/main" count="701" uniqueCount="34">
  <si>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</si>
  <si>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</si>
  <si>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</si>
  <si>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</si>
  <si>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</si>
  <si>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</si>
  <si>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</si>
  <si>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</si>
  <si>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</si>
  <si>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</si>
  <si>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</si>
  <si>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</si>
  <si>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</si>
  <si>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</si>
  <si>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</si>
  <si>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</si>
  <si>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</si>
  <si>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</si>
  <si>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</si>
  <si>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DT</t>
  </si>
  <si>
    <t>RF</t>
  </si>
  <si>
    <t>NN</t>
  </si>
  <si>
    <t>gender</t>
  </si>
  <si>
    <t>plurality</t>
  </si>
  <si>
    <t>French</t>
  </si>
  <si>
    <t>Column1</t>
  </si>
  <si>
    <t>supplemented</t>
  </si>
  <si>
    <t>var</t>
  </si>
  <si>
    <t>ml</t>
  </si>
  <si>
    <t>skippiness</t>
  </si>
  <si>
    <t>sample.n</t>
  </si>
  <si>
    <t>mgv</t>
  </si>
  <si>
    <t>geomean</t>
  </si>
  <si>
    <t>xsk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</si>
</sst>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14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0" fillId="0" borderId="1" xfId="0" applyBorder="1"/>
    <xf numFmtId="0" fontId="1" fillId="0" borderId="0" xfId="1"/>
    <xf numFmtId="0" fontId="0" fillId="0" borderId="0" xfId="0" applyNumberFormat="1"/>
    <xf numFmtId="2" fontId="0" fillId="0" borderId="0" xfId="0" applyNumberFormat="1" applyBorder="1"/>
  </cellXfs>
  <cellStyles count="2">
    <cellStyle name="Normal" xfId="0" builtinId="0"/>
    <cellStyle name="Normal 2" xfId="1" xr:uid="{CC8DA277-AC7E-6D40-86A4-188FF89858AA}"/>
  </cellStyles>
  <dxfs count="204"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 baseline="0"/>
              <a:t> </a:t>
            </a:r>
            <a:r>
              <a:rPr lang="en-US" altLang="ja-JP" baseline="0"/>
              <a:t>Morfessor,</a:t>
            </a:r>
            <a:r>
              <a:rPr lang="ja-JP" altLang="en-US" baseline="0"/>
              <a:t> </a:t>
            </a:r>
            <a:r>
              <a:rPr lang="en-US" altLang="ja-JP" baseline="0"/>
              <a:t>Non-Morfessor</a:t>
            </a:r>
            <a:r>
              <a:rPr lang="ja-JP" altLang="en-US" baseline="0"/>
              <a:t> </a:t>
            </a:r>
            <a:r>
              <a:rPr lang="en-US" altLang="ja-JP" baseline="0"/>
              <a:t>xsk mixed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ml:2-s3k-plu-spl:F-mgv6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773F-E446-955C-2271D9DD6FBC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ml:2-s3k-plu-spl:T-mgv6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summarized!$K$3:$V$3</c:f>
            </c:numRef>
          </c:val>
          <c:smooth val="0"/>
          <c:extLst>
            <c:ext xmlns:c16="http://schemas.microsoft.com/office/drawing/2014/chart" uri="{C3380CC4-5D6E-409C-BE32-E72D297353CC}">
              <c16:uniqueId val="{00000001-773F-E446-955C-2271D9DD6FBC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ml:0-s2k-gen-spl:F-mgv9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summarized!$K$4:$V$4</c:f>
            </c:numRef>
          </c:val>
          <c:smooth val="0"/>
          <c:extLst>
            <c:ext xmlns:c16="http://schemas.microsoft.com/office/drawing/2014/chart" uri="{C3380CC4-5D6E-409C-BE32-E72D297353CC}">
              <c16:uniqueId val="{00000002-773F-E446-955C-2271D9DD6FBC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ml:0-s2k-gen-spl:T-mgv9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summarized!$K$5:$V$5</c:f>
              <c:numCache>
                <c:formatCode>0.00</c:formatCode>
                <c:ptCount val="12"/>
                <c:pt idx="0">
                  <c:v>0.8</c:v>
                </c:pt>
                <c:pt idx="1">
                  <c:v>0.83</c:v>
                </c:pt>
                <c:pt idx="2">
                  <c:v>0.78</c:v>
                </c:pt>
                <c:pt idx="3">
                  <c:v>0.81</c:v>
                </c:pt>
                <c:pt idx="4">
                  <c:v>0.77</c:v>
                </c:pt>
                <c:pt idx="5">
                  <c:v>0.78</c:v>
                </c:pt>
                <c:pt idx="6">
                  <c:v>0.81</c:v>
                </c:pt>
                <c:pt idx="7">
                  <c:v>0.77</c:v>
                </c:pt>
                <c:pt idx="8">
                  <c:v>0.81</c:v>
                </c:pt>
                <c:pt idx="9">
                  <c:v>0.82</c:v>
                </c:pt>
                <c:pt idx="10">
                  <c:v>0.8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3F-E446-955C-2271D9DD6FBC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ml:3-s2k-plu-spl:F-mgv6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773F-E446-955C-2271D9DD6FBC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ml:3-s2k-plu-spl:T-mgv6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summarized!$K$7:$V$7</c:f>
            </c:numRef>
          </c:val>
          <c:smooth val="0"/>
          <c:extLst>
            <c:ext xmlns:c16="http://schemas.microsoft.com/office/drawing/2014/chart" uri="{C3380CC4-5D6E-409C-BE32-E72D297353CC}">
              <c16:uniqueId val="{00000005-773F-E446-955C-2271D9DD6FBC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ml:2-s3k-gen-spl:F-mgv6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summarized!$K$8:$V$8</c:f>
            </c:numRef>
          </c:val>
          <c:smooth val="0"/>
          <c:extLst>
            <c:ext xmlns:c16="http://schemas.microsoft.com/office/drawing/2014/chart" uri="{C3380CC4-5D6E-409C-BE32-E72D297353CC}">
              <c16:uniqueId val="{00000006-773F-E446-955C-2271D9DD6FBC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ml:0-s1.2k-gen-spl:T-mgv9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summarized!$K$9:$V$9</c:f>
            </c:numRef>
          </c:val>
          <c:smooth val="0"/>
          <c:extLst>
            <c:ext xmlns:c16="http://schemas.microsoft.com/office/drawing/2014/chart" uri="{C3380CC4-5D6E-409C-BE32-E72D297353CC}">
              <c16:uniqueId val="{00000007-773F-E446-955C-2271D9DD6FBC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ml:0-s1.2k-plu-spl:F-mgv9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773F-E446-955C-2271D9DD6FBC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ml:0-s1.2k-plu-spl:T-mgv9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summarized!$K$11:$V$11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773F-E446-955C-2271D9DD6FBC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ml:0-s1.2k-gen-spl:F-mgv9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773F-E446-955C-2271D9DD6FBC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ml:2-s3k-gen-spl:T-mgv6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summarized!$K$13:$V$13</c:f>
              <c:numCache>
                <c:formatCode>0.00</c:formatCode>
                <c:ptCount val="12"/>
                <c:pt idx="0">
                  <c:v>0.81</c:v>
                </c:pt>
                <c:pt idx="1">
                  <c:v>0.81</c:v>
                </c:pt>
                <c:pt idx="2">
                  <c:v>0.82</c:v>
                </c:pt>
                <c:pt idx="3">
                  <c:v>0.79</c:v>
                </c:pt>
                <c:pt idx="4">
                  <c:v>0.82</c:v>
                </c:pt>
                <c:pt idx="5">
                  <c:v>0.82</c:v>
                </c:pt>
                <c:pt idx="6">
                  <c:v>0.8</c:v>
                </c:pt>
                <c:pt idx="7">
                  <c:v>0.79</c:v>
                </c:pt>
                <c:pt idx="8">
                  <c:v>0.79</c:v>
                </c:pt>
                <c:pt idx="9">
                  <c:v>0.81</c:v>
                </c:pt>
                <c:pt idx="10">
                  <c:v>0.83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3F-E446-955C-2271D9DD6FBC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ml:0-s2k-plu-spl:F-mgv9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773F-E446-955C-2271D9DD6FBC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ml:0-s2k-plu-spl:T-mgv9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summarized!$K$15:$V$15</c:f>
            </c:numRef>
          </c:val>
          <c:smooth val="0"/>
          <c:extLst>
            <c:ext xmlns:c16="http://schemas.microsoft.com/office/drawing/2014/chart" uri="{C3380CC4-5D6E-409C-BE32-E72D297353CC}">
              <c16:uniqueId val="{0000000D-773F-E446-955C-2271D9DD6FBC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ml:2-s2k-gen-spl:F-mgv9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summarized!$K$16:$V$16</c:f>
            </c:numRef>
          </c:val>
          <c:smooth val="0"/>
          <c:extLst>
            <c:ext xmlns:c16="http://schemas.microsoft.com/office/drawing/2014/chart" uri="{C3380CC4-5D6E-409C-BE32-E72D297353CC}">
              <c16:uniqueId val="{0000000E-773F-E446-955C-2271D9DD6FBC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ml:2-s2k-gen-spl:T-mgv9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summarized!$K$17:$V$17</c:f>
              <c:numCache>
                <c:formatCode>0.00</c:formatCode>
                <c:ptCount val="12"/>
                <c:pt idx="0">
                  <c:v>0.77</c:v>
                </c:pt>
                <c:pt idx="1">
                  <c:v>0.81</c:v>
                </c:pt>
                <c:pt idx="2">
                  <c:v>0.85</c:v>
                </c:pt>
                <c:pt idx="3">
                  <c:v>0.77</c:v>
                </c:pt>
                <c:pt idx="4">
                  <c:v>0.8</c:v>
                </c:pt>
                <c:pt idx="5">
                  <c:v>0.83</c:v>
                </c:pt>
                <c:pt idx="6">
                  <c:v>0.8</c:v>
                </c:pt>
                <c:pt idx="7">
                  <c:v>0.81</c:v>
                </c:pt>
                <c:pt idx="8">
                  <c:v>0.82</c:v>
                </c:pt>
                <c:pt idx="9">
                  <c:v>0.77</c:v>
                </c:pt>
                <c:pt idx="10">
                  <c:v>0.8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3F-E446-955C-2271D9DD6FBC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ml:2-s1.2k-plu-spl:F-mgv9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summarized!$K$18:$V$18</c:f>
            </c:numRef>
          </c:val>
          <c:smooth val="0"/>
          <c:extLst>
            <c:ext xmlns:c16="http://schemas.microsoft.com/office/drawing/2014/chart" uri="{C3380CC4-5D6E-409C-BE32-E72D297353CC}">
              <c16:uniqueId val="{00000010-773F-E446-955C-2271D9DD6FBC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ml:2-s1.2k-plu-spl:T-mgv9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summarized!$K$19:$V$19</c:f>
            </c:numRef>
          </c:val>
          <c:smooth val="0"/>
          <c:extLst>
            <c:ext xmlns:c16="http://schemas.microsoft.com/office/drawing/2014/chart" uri="{C3380CC4-5D6E-409C-BE32-E72D297353CC}">
              <c16:uniqueId val="{00000011-773F-E446-955C-2271D9DD6FBC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ml:2-s1.2k-gen-spl:F-mgv9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summarized!$K$20:$V$20</c:f>
            </c:numRef>
          </c:val>
          <c:smooth val="0"/>
          <c:extLst>
            <c:ext xmlns:c16="http://schemas.microsoft.com/office/drawing/2014/chart" uri="{C3380CC4-5D6E-409C-BE32-E72D297353CC}">
              <c16:uniqueId val="{00000012-773F-E446-955C-2271D9DD6FBC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ml:2-s1.2k-gen-spl:T-mgv9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summarized!$K$21:$V$21</c:f>
            </c:numRef>
          </c:val>
          <c:smooth val="0"/>
          <c:extLst>
            <c:ext xmlns:c16="http://schemas.microsoft.com/office/drawing/2014/chart" uri="{C3380CC4-5D6E-409C-BE32-E72D297353CC}">
              <c16:uniqueId val="{00000013-773F-E446-955C-2271D9DD6FBC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ml:2-s2k-plu-spl:F-mgv9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summarized!$K$22:$V$22</c:f>
            </c:numRef>
          </c:val>
          <c:smooth val="0"/>
          <c:extLst>
            <c:ext xmlns:c16="http://schemas.microsoft.com/office/drawing/2014/chart" uri="{C3380CC4-5D6E-409C-BE32-E72D297353CC}">
              <c16:uniqueId val="{00000014-773F-E446-955C-2271D9DD6FBC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ml:2-s2k-plu-spl:T-mgv9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15-773F-E446-955C-2271D9DD6FBC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ml:3-s2k-gen-spl:F-mgv6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16-773F-E446-955C-2271D9DD6FBC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ml:3-s2k-gen-spl:T-mgv6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summarized!$K$25:$V$25</c:f>
              <c:numCache>
                <c:formatCode>0.00</c:formatCode>
                <c:ptCount val="12"/>
                <c:pt idx="0">
                  <c:v>0.81</c:v>
                </c:pt>
                <c:pt idx="1">
                  <c:v>0.8</c:v>
                </c:pt>
                <c:pt idx="2">
                  <c:v>0.79</c:v>
                </c:pt>
                <c:pt idx="3">
                  <c:v>0.8</c:v>
                </c:pt>
                <c:pt idx="4">
                  <c:v>0.81</c:v>
                </c:pt>
                <c:pt idx="5">
                  <c:v>0.81</c:v>
                </c:pt>
                <c:pt idx="6">
                  <c:v>0.79</c:v>
                </c:pt>
                <c:pt idx="7">
                  <c:v>0.75</c:v>
                </c:pt>
                <c:pt idx="8">
                  <c:v>0.77</c:v>
                </c:pt>
                <c:pt idx="9">
                  <c:v>0.81</c:v>
                </c:pt>
                <c:pt idx="10">
                  <c:v>0.79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3F-E446-955C-2271D9DD6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304992"/>
        <c:axId val="308358496"/>
      </c:lineChart>
      <c:catAx>
        <c:axId val="3083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8358496"/>
        <c:crosses val="autoZero"/>
        <c:auto val="1"/>
        <c:lblAlgn val="ctr"/>
        <c:lblOffset val="100"/>
        <c:noMultiLvlLbl val="0"/>
      </c:catAx>
      <c:valAx>
        <c:axId val="3083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8304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482600</xdr:colOff>
      <xdr:row>7</xdr:row>
      <xdr:rowOff>0</xdr:rowOff>
    </xdr:from>
    <xdr:to>
      <xdr:col>29</xdr:col>
      <xdr:colOff>485100</xdr:colOff>
      <xdr:row>41</xdr:row>
      <xdr:rowOff>150000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373405-60C1-9D9A-0027-653A1E215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A8A3DC-8922-FA40-A4F6-0916B9E358E1}" name="Table10" displayName="Table10" ref="A1:X33" totalsRowShown="0">
  <autoFilter ref="A1:X33" xr:uid="{DAEB9A73-F5D2-AD4E-A8F3-89B95C404D52}">
    <filterColumn colId="2">
      <filters>
        <filter val="2"/>
        <filter val="3"/>
      </filters>
    </filterColumn>
    <filterColumn colId="4">
      <filters>
        <filter val="2"/>
      </filters>
    </filterColumn>
    <filterColumn colId="6">
      <filters>
        <filter val="TRUE"/>
      </filters>
    </filterColumn>
  </autoFilter>
  <sortState xmlns:xlrd2="http://schemas.microsoft.com/office/spreadsheetml/2017/richdata2" ref="A5:X33">
    <sortCondition ref="A1:A33"/>
  </sortState>
  <tableColumns count="24">
    <tableColumn id="1" xr3:uid="{E7C6C7C8-D57D-FA4D-B60E-221E55DB57D3}" name="ml"/>
    <tableColumn id="23" xr3:uid="{AA2CAED1-0A00-E24D-9979-7A5F12ADE114}" name="skippiness"/>
    <tableColumn id="22" xr3:uid="{F889CC80-D900-244A-9228-B3F5F064DFD7}" name="sample.n"/>
    <tableColumn id="2" xr3:uid="{AD089843-BB2C-0149-9B90-06164030AFC3}" name="mgv"/>
    <tableColumn id="3" xr3:uid="{AF025711-1FBB-A045-BBEF-9079CE948B4B}" name="attribute.index"/>
    <tableColumn id="4" xr3:uid="{FD9834E3-A8B0-4344-B172-840D9606668A}" name="attribute"/>
    <tableColumn id="5" xr3:uid="{B4844495-D36D-914C-9C74-D27C013D60EC}" name="supplemented"/>
    <tableColumn id="6" xr3:uid="{F8214394-29BE-6E4B-AA75-6FBABB5D41B5}" name="method.index"/>
    <tableColumn id="7" xr3:uid="{4E029F63-BE47-E243-AEE0-024382EDFFC9}" name="method"/>
    <tableColumn id="8" xr3:uid="{9F07D936-E77C-B94F-8285-E1BF0F36FD53}" name="var" dataDxfId="0">
      <calculatedColumnFormula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calculatedColumnFormula>
    </tableColumn>
    <tableColumn id="9" xr3:uid="{819C47A5-C7BE-1E43-AD74-73325EECEE19}" name="2g-no-hash" dataDxfId="203"/>
    <tableColumn id="10" xr3:uid="{956F1F3D-0385-9B43-A91A-A463E498A887}" name="3g-no-hash" dataDxfId="202"/>
    <tableColumn id="11" xr3:uid="{F0106653-6421-7849-8ACA-3FF473AE70A7}" name="4g-no-hash" dataDxfId="201"/>
    <tableColumn id="12" xr3:uid="{F45ECA98-F4E1-DE4F-89AE-5C6664F44C8E}" name="xsk2g-no-hash" dataDxfId="200"/>
    <tableColumn id="13" xr3:uid="{8932A4B1-0C79-8944-91F9-141891656EAA}" name="xsk3g-no-hash" dataDxfId="199"/>
    <tableColumn id="14" xr3:uid="{81F416A5-D196-2945-998F-C700CDFCF1E3}" name="xsk4g-no-hash" dataDxfId="198"/>
    <tableColumn id="15" xr3:uid="{17BB6562-5B4F-5B4F-8B42-EE249115129F}" name="2g-hash-at-both" dataDxfId="197"/>
    <tableColumn id="16" xr3:uid="{D2AEA24A-10BC-514C-8DE4-657BA0B0EA16}" name="3g-hash-at-both" dataDxfId="196"/>
    <tableColumn id="17" xr3:uid="{62D48BA5-A7B2-E746-8E25-D4CF759CDED3}" name="4g-hash-at-both" dataDxfId="195"/>
    <tableColumn id="18" xr3:uid="{D5BB60EE-6C0A-AF4C-8174-8982A7840F69}" name="xsk2g-hash-at-both" dataDxfId="194"/>
    <tableColumn id="19" xr3:uid="{78759A20-E577-AD40-832A-E8ABAEAF1C15}" name="xsk3g-hash-at-both" dataDxfId="193"/>
    <tableColumn id="20" xr3:uid="{43B5678F-638A-D643-AAAD-FC842890AB91}" name="xsk4g-hash-at-both" dataDxfId="192"/>
    <tableColumn id="21" xr3:uid="{0B232814-B2E2-4043-908A-8B17F35E7D69}" name="max" dataDxfId="191"/>
    <tableColumn id="24" xr3:uid="{5E2E56F9-4DC5-FB40-9FD1-EC9B18856B5D}" name="geomean" dataDxfId="190">
      <calculatedColumnFormula>_xlfn.LET(_xlpm.d,$K2:$V2,GEOMEAN(_xlpm.d))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B745A-3010-E647-8FB5-2B41AA95A059}" name="Table2" displayName="Table2" ref="A1:T13" totalsRowShown="0">
  <autoFilter ref="A1:T13" xr:uid="{630B745A-3010-E647-8FB5-2B41AA95A059}"/>
  <tableColumns count="20">
    <tableColumn id="1" xr3:uid="{F830802D-574D-C94F-A6FC-B56EA3F36D12}" name="lang"/>
    <tableColumn id="2" xr3:uid="{419C06AC-7F4B-3447-A8E9-93CC984C4DED}" name="attribute.index"/>
    <tableColumn id="3" xr3:uid="{C98FF889-2B2F-924E-9C65-A82B1389AEF2}" name="attribute"/>
    <tableColumn id="4" xr3:uid="{8839C3B7-7A10-6446-959A-F08F2E144C50}" name="supplement"/>
    <tableColumn id="5" xr3:uid="{68799F15-C049-FE42-9F4C-C31DF248C4EA}" name="method.index"/>
    <tableColumn id="6" xr3:uid="{BE093780-EB64-7646-90B9-66FC2650E699}" name="method"/>
    <tableColumn id="20" xr3:uid="{C16DE17F-7F0E-2142-857F-5EA9DDC40F62}" name="Column1"/>
    <tableColumn id="7" xr3:uid="{86D69E0F-1401-804F-8AF2-C4A6C6239AF6}" name="2g-no-hash" dataDxfId="189"/>
    <tableColumn id="8" xr3:uid="{ED14B48F-9AEB-F745-9B82-DAFB55CFE484}" name="3g-no-hash" dataDxfId="188"/>
    <tableColumn id="9" xr3:uid="{817C9D7F-EFCB-8445-B805-AE2EC4A8762C}" name="4g-no-hash" dataDxfId="187"/>
    <tableColumn id="10" xr3:uid="{1F2553CF-E338-7442-81A4-86375E93DFE1}" name="xsk2g-no-hash" dataDxfId="186"/>
    <tableColumn id="11" xr3:uid="{2316D808-845B-DA40-977E-5E9600C3839D}" name="xsk3g-no-hash" dataDxfId="185"/>
    <tableColumn id="12" xr3:uid="{078C7AD5-3485-3A46-A51E-F19EA25C0B16}" name="xsk4g-no-hash" dataDxfId="184"/>
    <tableColumn id="13" xr3:uid="{2FB2912B-FE44-6549-A971-CD7711BED932}" name="2g-hash-at-both" dataDxfId="183"/>
    <tableColumn id="14" xr3:uid="{4233566F-EBC6-6D46-9E45-BE3331A2994A}" name="3g-hash-at-both" dataDxfId="182"/>
    <tableColumn id="15" xr3:uid="{CAF2911A-2903-CE4B-B4C8-98595D55C0CD}" name="4g-hash-at-both" dataDxfId="181"/>
    <tableColumn id="16" xr3:uid="{151103EE-1715-224A-BA9E-3963CDEB050F}" name="xsk2g-hash-at-both" dataDxfId="180"/>
    <tableColumn id="17" xr3:uid="{E8772A6E-0E50-9840-9C7A-56AB455C4FB6}" name="xsk3g-hash-at-both" dataDxfId="179"/>
    <tableColumn id="18" xr3:uid="{02634E41-A972-2C4E-98FF-873A38239051}" name="xsk4g-hash-at-both" dataDxfId="178"/>
    <tableColumn id="19" xr3:uid="{15B48BC6-93C8-7B40-8531-8EF447825F80}" name="max" dataDxfId="177">
      <calculatedColumnFormula>MAX($H2,$S2)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179B45-8C09-B341-8F54-A42B6CD37658}" name="Table291113171912" displayName="Table291113171912" ref="B16:T20" totalsRowShown="0">
  <autoFilter ref="B16:T20" xr:uid="{59179B45-8C09-B341-8F54-A42B6CD37658}"/>
  <tableColumns count="19">
    <tableColumn id="1" xr3:uid="{1560166D-A349-D447-BEDD-62C883331987}" name="attribute.index"/>
    <tableColumn id="2" xr3:uid="{7778F365-D57D-DE4E-A8C8-CAAF6A597FBB}" name="attribute"/>
    <tableColumn id="3" xr3:uid="{9371300C-107B-8D45-B715-9B10D9FA6A1E}" name="supplemented"/>
    <tableColumn id="4" xr3:uid="{B9E74A69-E91D-6940-8704-3E5C52F9B645}" name="method.index"/>
    <tableColumn id="5" xr3:uid="{EEBEE833-F9B4-B746-BE25-2A4E4F3F73A2}" name="method"/>
    <tableColumn id="19" xr3:uid="{BCE7BFBE-0DF3-3C4F-94CA-3CC45E1BEEB2}" name="var" dataDxfId="176">
      <calculatedColumnFormula>_xlfn.TEXTJOIN("-",TRUE,Table291113171912[[#This Row],[attribute]],Table291113171912[[#This Row],[supplemented]],Table291113171912[[#This Row],[method]])</calculatedColumnFormula>
    </tableColumn>
    <tableColumn id="6" xr3:uid="{90336D28-F9D6-2647-8B41-185B173EE1E2}" name="2g-no-hash" dataDxfId="175">
      <calculatedColumnFormula array="1">_xlfn.LET(_xlpm.d,H$2:H$13,_xlpm.a,$C$2:$C$13=$C17,_xlpm.b,$D$2:$D$13=$D17,MAX(_xlfn._xlws.FILTER(_xlpm.d,_xlpm.a*_xlpm.b)))</calculatedColumnFormula>
    </tableColumn>
    <tableColumn id="7" xr3:uid="{505FEB74-14EE-104A-BFAD-0166C2592913}" name="3g-no-hash" dataDxfId="174">
      <calculatedColumnFormula array="1">_xlfn.LET(_xlpm.d,I$2:I$13,_xlpm.a,$C$2:$C$13=$C17,_xlpm.b,$D$2:$D$13=$D17,MAX(_xlfn._xlws.FILTER(_xlpm.d,_xlpm.a*_xlpm.b)))</calculatedColumnFormula>
    </tableColumn>
    <tableColumn id="8" xr3:uid="{AC11638C-6191-AC4C-80D5-92EDE7AD9922}" name="4g-no-hash" dataDxfId="173">
      <calculatedColumnFormula array="1">_xlfn.LET(_xlpm.d,J$2:J$13,_xlpm.a,$C$2:$C$13=$C17,_xlpm.b,$D$2:$D$13=$D17,MAX(_xlfn._xlws.FILTER(_xlpm.d,_xlpm.a*_xlpm.b)))</calculatedColumnFormula>
    </tableColumn>
    <tableColumn id="9" xr3:uid="{A05E616A-F61A-2647-B056-404AB22B016A}" name="xsk2g-no-hash" dataDxfId="172">
      <calculatedColumnFormula array="1">_xlfn.LET(_xlpm.d,K$2:K$13,_xlpm.a,$C$2:$C$13=$C17,_xlpm.b,$D$2:$D$13=$D17,MAX(_xlfn._xlws.FILTER(_xlpm.d,_xlpm.a*_xlpm.b)))</calculatedColumnFormula>
    </tableColumn>
    <tableColumn id="10" xr3:uid="{733DFAA0-71FF-E34D-9A9A-716B329BC4F8}" name="xsk3g-no-hash" dataDxfId="171">
      <calculatedColumnFormula array="1">_xlfn.LET(_xlpm.d,L$2:L$13,_xlpm.a,$C$2:$C$13=$C17,_xlpm.b,$D$2:$D$13=$D17,MAX(_xlfn._xlws.FILTER(_xlpm.d,_xlpm.a*_xlpm.b)))</calculatedColumnFormula>
    </tableColumn>
    <tableColumn id="11" xr3:uid="{90CE7B8B-18A9-604C-8F99-FF2EE820147E}" name="xsk4g-no-hash" dataDxfId="170">
      <calculatedColumnFormula array="1">_xlfn.LET(_xlpm.d,M$2:M$13,_xlpm.a,$C$2:$C$13=$C17,_xlpm.b,$D$2:$D$13=$D17,MAX(_xlfn._xlws.FILTER(_xlpm.d,_xlpm.a*_xlpm.b)))</calculatedColumnFormula>
    </tableColumn>
    <tableColumn id="12" xr3:uid="{C876652D-D14B-F74F-B648-3E5E54E8DEBA}" name="2g-hash-at-both" dataDxfId="169">
      <calculatedColumnFormula array="1">_xlfn.LET(_xlpm.d,N$2:N$13,_xlpm.a,$C$2:$C$13=$C17,_xlpm.b,$D$2:$D$13=$D17,MAX(_xlfn._xlws.FILTER(_xlpm.d,_xlpm.a*_xlpm.b)))</calculatedColumnFormula>
    </tableColumn>
    <tableColumn id="13" xr3:uid="{BD7EA9DA-DA0E-8240-AEE1-DBAF1EEAA712}" name="3g-hash-at-both" dataDxfId="168">
      <calculatedColumnFormula array="1">_xlfn.LET(_xlpm.d,O$2:O$13,_xlpm.a,$C$2:$C$13=$C17,_xlpm.b,$D$2:$D$13=$D17,MAX(_xlfn._xlws.FILTER(_xlpm.d,_xlpm.a*_xlpm.b)))</calculatedColumnFormula>
    </tableColumn>
    <tableColumn id="14" xr3:uid="{50841378-BA5E-AE42-8E2F-7B2C97AE9A1C}" name="4g-hash-at-both" dataDxfId="167">
      <calculatedColumnFormula array="1">_xlfn.LET(_xlpm.d,P$2:P$13,_xlpm.a,$C$2:$C$13=$C17,_xlpm.b,$D$2:$D$13=$D17,MAX(_xlfn._xlws.FILTER(_xlpm.d,_xlpm.a*_xlpm.b)))</calculatedColumnFormula>
    </tableColumn>
    <tableColumn id="15" xr3:uid="{CAB190DF-1F86-4E4F-9F44-51311C9A11EF}" name="xsk2g-hash-at-both" dataDxfId="166">
      <calculatedColumnFormula array="1">_xlfn.LET(_xlpm.d,Q$2:Q$13,_xlpm.a,$C$2:$C$13=$C17,_xlpm.b,$D$2:$D$13=$D17,MAX(_xlfn._xlws.FILTER(_xlpm.d,_xlpm.a*_xlpm.b)))</calculatedColumnFormula>
    </tableColumn>
    <tableColumn id="16" xr3:uid="{42D1F2B3-2509-1C45-8C3A-C60E66B7B230}" name="xsk3g-hash-at-both" dataDxfId="165">
      <calculatedColumnFormula array="1">_xlfn.LET(_xlpm.d,R$2:R$13,_xlpm.a,$C$2:$C$13=$C17,_xlpm.b,$D$2:$D$13=$D17,MAX(_xlfn._xlws.FILTER(_xlpm.d,_xlpm.a*_xlpm.b)))</calculatedColumnFormula>
    </tableColumn>
    <tableColumn id="17" xr3:uid="{7117D53B-7963-684F-874B-E0173EB89DB5}" name="xsk4g-hash-at-both" dataDxfId="164">
      <calculatedColumnFormula array="1">_xlfn.LET(_xlpm.d,S$2:S$13,_xlpm.a,$C$2:$C$13=$C17,_xlpm.b,$D$2:$D$13=$D17,MAX(_xlfn._xlws.FILTER(_xlpm.d,_xlpm.a*_xlpm.b)))</calculatedColumnFormula>
    </tableColumn>
    <tableColumn id="18" xr3:uid="{2A14BCDF-8985-114D-8D4A-89FBD7BB2BD3}" name="max" dataDxfId="163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073E41-CEBF-8549-A26A-900B9633B23B}" name="Table5" displayName="Table5" ref="A1:T13" totalsRowShown="0">
  <autoFilter ref="A1:T13" xr:uid="{44073E41-CEBF-8549-A26A-900B9633B23B}"/>
  <sortState xmlns:xlrd2="http://schemas.microsoft.com/office/spreadsheetml/2017/richdata2" ref="A2:T13">
    <sortCondition ref="B1:B13"/>
  </sortState>
  <tableColumns count="20">
    <tableColumn id="1" xr3:uid="{88B9925F-7D30-8247-98FE-1D91E72B1DF3}" name="lang"/>
    <tableColumn id="2" xr3:uid="{FCB1C19D-74FF-D749-A44C-D78A90FD56AE}" name="attribute.index"/>
    <tableColumn id="3" xr3:uid="{9EE1ABC5-C8DD-6642-9F6E-5286663ADE8C}" name="attribute"/>
    <tableColumn id="4" xr3:uid="{B075298C-B346-8342-9365-71EF45796BFA}" name="supplement"/>
    <tableColumn id="5" xr3:uid="{09352257-015F-C84B-B59E-A020B14346A5}" name="method.index"/>
    <tableColumn id="6" xr3:uid="{98ACA248-70B5-314F-9F53-89EFE9CCF5C4}" name="method"/>
    <tableColumn id="20" xr3:uid="{EDA07656-60A0-6F4D-91F2-642834AE5D23}" name="Column1"/>
    <tableColumn id="7" xr3:uid="{9C00004C-81C5-384D-948B-C7ACC2F5EF1D}" name="2g-no-hash" dataDxfId="162"/>
    <tableColumn id="8" xr3:uid="{225BB1A8-B651-4540-9677-96DD64A82860}" name="3g-no-hash" dataDxfId="161"/>
    <tableColumn id="9" xr3:uid="{1534E42C-A5BB-2C40-A3A1-6A64756A66D2}" name="4g-no-hash" dataDxfId="160"/>
    <tableColumn id="10" xr3:uid="{DA4EF929-5FC9-DE46-8FFF-9B1007281C4B}" name="xsk2g-no-hash" dataDxfId="159"/>
    <tableColumn id="11" xr3:uid="{6627B8FB-D104-3446-ACB7-DC3EF40D0A4A}" name="xsk3g-no-hash" dataDxfId="158"/>
    <tableColumn id="12" xr3:uid="{CA8C5EF1-8502-3B4A-918B-4ED4436A7E0A}" name="xsk4g-no-hash" dataDxfId="157"/>
    <tableColumn id="13" xr3:uid="{0959DD9D-A5BB-544F-95EA-41B74EDEA047}" name="2g-hash-at-both" dataDxfId="156"/>
    <tableColumn id="14" xr3:uid="{530F4B8A-1071-1A4C-8CC1-5C86B0E1E41F}" name="3g-hash-at-both" dataDxfId="155"/>
    <tableColumn id="15" xr3:uid="{B7E6585E-64C6-9A4E-B49E-BC81C08DC14E}" name="4g-hash-at-both" dataDxfId="154"/>
    <tableColumn id="16" xr3:uid="{FD36FF60-9EAE-6D4F-A8DD-D1B724FCE2E0}" name="xsk2g-hash-at-both" dataDxfId="153"/>
    <tableColumn id="17" xr3:uid="{9417BBCD-56ED-6141-A0FD-08A682C456D7}" name="xsk3g-hash-at-both" dataDxfId="152"/>
    <tableColumn id="18" xr3:uid="{C9274BD6-F5A0-AE41-A0CB-DB2EA20924AD}" name="xsk4g-hash-at-both" dataDxfId="151"/>
    <tableColumn id="19" xr3:uid="{8D94D7EA-B2C7-AC45-A62A-1A4291A57427}" name="max" dataDxfId="150">
      <calculatedColumnFormula>MAX($H2:$S2)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2B3C10-1588-FF4A-B71E-B84DDAFD9C6D}" name="Table2911131719" displayName="Table2911131719" ref="B16:T20" totalsRowShown="0">
  <autoFilter ref="B16:T20" xr:uid="{242B3C10-1588-FF4A-B71E-B84DDAFD9C6D}"/>
  <sortState xmlns:xlrd2="http://schemas.microsoft.com/office/spreadsheetml/2017/richdata2" ref="B17:T20">
    <sortCondition ref="B16:B20"/>
  </sortState>
  <tableColumns count="19">
    <tableColumn id="1" xr3:uid="{675C174D-D375-2543-884F-CED834CD7169}" name="attribute.index"/>
    <tableColumn id="2" xr3:uid="{A59F6F9D-F077-474A-9B3B-1C040A2E1FF3}" name="attribute"/>
    <tableColumn id="3" xr3:uid="{405DC4F4-6979-AD4A-A8D1-3477F0C060A2}" name="supplemented"/>
    <tableColumn id="4" xr3:uid="{C60D4466-9D6C-3A46-8428-FED16C91F5FE}" name="method.index"/>
    <tableColumn id="5" xr3:uid="{676AFA0F-1A6B-4244-B590-35A5BB1B7689}" name="method"/>
    <tableColumn id="19" xr3:uid="{E0C28D5F-7606-A24F-866F-942EF43B348E}" name="var" dataDxfId="149">
      <calculatedColumnFormula>_xlfn.TEXTJOIN("-",TRUE,Table2911131719[[#This Row],[attribute]],Table2911131719[[#This Row],[supplemented]],Table2911131719[[#This Row],[method]])</calculatedColumnFormula>
    </tableColumn>
    <tableColumn id="6" xr3:uid="{9FB95466-BB53-EA47-B3EE-A06B9257CD47}" name="2g-no-hash" dataDxfId="148">
      <calculatedColumnFormula array="1">_xlfn.LET(_xlpm.d,H$2:H$13,_xlpm.a,$C$2:$C$13=$C17,_xlpm.b,$D$2:$D$13=$D17,MAX(_xlfn._xlws.FILTER(_xlpm.d,_xlpm.a*_xlpm.b)))</calculatedColumnFormula>
    </tableColumn>
    <tableColumn id="7" xr3:uid="{CAE12C75-0804-E245-A609-8EC2EF47E7E4}" name="3g-no-hash" dataDxfId="147">
      <calculatedColumnFormula array="1">_xlfn.LET(_xlpm.d,I$2:I$13,_xlpm.a,$C$2:$C$13=$C17,_xlpm.b,$D$2:$D$13=$D17,MAX(_xlfn._xlws.FILTER(_xlpm.d,_xlpm.a*_xlpm.b)))</calculatedColumnFormula>
    </tableColumn>
    <tableColumn id="8" xr3:uid="{15AA61CF-0BC7-7B42-8521-24C11E9CED08}" name="4g-no-hash" dataDxfId="146">
      <calculatedColumnFormula array="1">_xlfn.LET(_xlpm.d,J$2:J$13,_xlpm.a,$C$2:$C$13=$C17,_xlpm.b,$D$2:$D$13=$D17,MAX(_xlfn._xlws.FILTER(_xlpm.d,_xlpm.a*_xlpm.b)))</calculatedColumnFormula>
    </tableColumn>
    <tableColumn id="9" xr3:uid="{CFBD9718-415B-064D-86B4-4DE216652B11}" name="xsk2g-no-hash" dataDxfId="145">
      <calculatedColumnFormula array="1">_xlfn.LET(_xlpm.d,K$2:K$13,_xlpm.a,$C$2:$C$13=$C17,_xlpm.b,$D$2:$D$13=$D17,MAX(_xlfn._xlws.FILTER(_xlpm.d,_xlpm.a*_xlpm.b)))</calculatedColumnFormula>
    </tableColumn>
    <tableColumn id="10" xr3:uid="{C362D101-6F6D-FD4D-A9AC-71DD14759F57}" name="xsk3g-no-hash" dataDxfId="144">
      <calculatedColumnFormula array="1">_xlfn.LET(_xlpm.d,L$2:L$13,_xlpm.a,$C$2:$C$13=$C17,_xlpm.b,$D$2:$D$13=$D17,MAX(_xlfn._xlws.FILTER(_xlpm.d,_xlpm.a*_xlpm.b)))</calculatedColumnFormula>
    </tableColumn>
    <tableColumn id="11" xr3:uid="{DE0CDB67-B1EE-E24D-A111-A920E82FB153}" name="xsk4g-no-hash" dataDxfId="143">
      <calculatedColumnFormula array="1">_xlfn.LET(_xlpm.d,M$2:M$13,_xlpm.a,$C$2:$C$13=$C17,_xlpm.b,$D$2:$D$13=$D17,MAX(_xlfn._xlws.FILTER(_xlpm.d,_xlpm.a*_xlpm.b)))</calculatedColumnFormula>
    </tableColumn>
    <tableColumn id="12" xr3:uid="{01F23EB1-801F-AB4E-B3CE-A34093FCA021}" name="2g-hash-at-both" dataDxfId="142">
      <calculatedColumnFormula array="1">_xlfn.LET(_xlpm.d,N$2:N$13,_xlpm.a,$C$2:$C$13=$C17,_xlpm.b,$D$2:$D$13=$D17,MAX(_xlfn._xlws.FILTER(_xlpm.d,_xlpm.a*_xlpm.b)))</calculatedColumnFormula>
    </tableColumn>
    <tableColumn id="13" xr3:uid="{07A7DA06-3E96-CD47-A741-B5AEA7C95B8A}" name="3g-hash-at-both" dataDxfId="141">
      <calculatedColumnFormula array="1">_xlfn.LET(_xlpm.d,O$2:O$13,_xlpm.a,$C$2:$C$13=$C17,_xlpm.b,$D$2:$D$13=$D17,MAX(_xlfn._xlws.FILTER(_xlpm.d,_xlpm.a*_xlpm.b)))</calculatedColumnFormula>
    </tableColumn>
    <tableColumn id="14" xr3:uid="{F7949DA0-EC69-934E-A852-51A071387178}" name="4g-hash-at-both" dataDxfId="140">
      <calculatedColumnFormula array="1">_xlfn.LET(_xlpm.d,P$2:P$13,_xlpm.a,$C$2:$C$13=$C17,_xlpm.b,$D$2:$D$13=$D17,MAX(_xlfn._xlws.FILTER(_xlpm.d,_xlpm.a*_xlpm.b)))</calculatedColumnFormula>
    </tableColumn>
    <tableColumn id="15" xr3:uid="{22AB11FD-66F1-9240-B560-77686FFC9A02}" name="xsk2g-hash-at-both" dataDxfId="139">
      <calculatedColumnFormula array="1">_xlfn.LET(_xlpm.d,Q$2:Q$13,_xlpm.a,$C$2:$C$13=$C17,_xlpm.b,$D$2:$D$13=$D17,MAX(_xlfn._xlws.FILTER(_xlpm.d,_xlpm.a*_xlpm.b)))</calculatedColumnFormula>
    </tableColumn>
    <tableColumn id="16" xr3:uid="{18C6D4AD-6E73-BE49-AEB1-1DB08941AA00}" name="xsk3g-hash-at-both" dataDxfId="138">
      <calculatedColumnFormula array="1">_xlfn.LET(_xlpm.d,R$2:R$13,_xlpm.a,$C$2:$C$13=$C17,_xlpm.b,$D$2:$D$13=$D17,MAX(_xlfn._xlws.FILTER(_xlpm.d,_xlpm.a*_xlpm.b)))</calculatedColumnFormula>
    </tableColumn>
    <tableColumn id="17" xr3:uid="{5AB8F1C4-3FF8-7846-BD46-78ACE361552C}" name="xsk4g-hash-at-both" dataDxfId="137">
      <calculatedColumnFormula array="1">_xlfn.LET(_xlpm.d,S$2:S$13,_xlpm.a,$C$2:$C$13=$C17,_xlpm.b,$D$2:$D$13=$D17,MAX(_xlfn._xlws.FILTER(_xlpm.d,_xlpm.a*_xlpm.b)))</calculatedColumnFormula>
    </tableColumn>
    <tableColumn id="18" xr3:uid="{A9BD49BB-990C-E647-84FA-21E006B9C805}" name="max" dataDxfId="136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68147A-1500-FC43-AF4A-C2A652DB9E4A}" name="Table8" displayName="Table8" ref="A1:T13" totalsRowShown="0" headerRowCellStyle="Normal 2" dataCellStyle="Normal 2">
  <autoFilter ref="A1:T13" xr:uid="{7368147A-1500-FC43-AF4A-C2A652DB9E4A}"/>
  <sortState xmlns:xlrd2="http://schemas.microsoft.com/office/spreadsheetml/2017/richdata2" ref="A2:T13">
    <sortCondition ref="B1:B13"/>
  </sortState>
  <tableColumns count="20">
    <tableColumn id="1" xr3:uid="{59CDC009-AF12-C946-99A3-AA7956BC55EB}" name="lang" dataCellStyle="Normal 2"/>
    <tableColumn id="2" xr3:uid="{C5E024C4-9C03-FD4C-8CF2-5FDFFD5A2ADB}" name="attribute.index" dataCellStyle="Normal 2"/>
    <tableColumn id="3" xr3:uid="{A23C6D34-36FB-CD43-88D3-249E621FC513}" name="attribute" dataCellStyle="Normal 2"/>
    <tableColumn id="4" xr3:uid="{53BAC3A4-E66D-0E47-ABC1-0A182BFD377A}" name="supplement" dataCellStyle="Normal 2"/>
    <tableColumn id="5" xr3:uid="{EC6CC599-5FE1-F747-9A45-1E7757713DDB}" name="method.index" dataCellStyle="Normal 2"/>
    <tableColumn id="6" xr3:uid="{1A0A9DC3-5738-9F45-9145-1A107EF9D59A}" name="method" dataCellStyle="Normal 2"/>
    <tableColumn id="20" xr3:uid="{4541DD16-505D-9240-B114-65407DF23D90}" name="var" dataCellStyle="Normal 2"/>
    <tableColumn id="7" xr3:uid="{8729BD51-EB4F-A14E-8F25-B70DDF885612}" name="2g-no-hash" dataDxfId="27" dataCellStyle="Normal 2"/>
    <tableColumn id="8" xr3:uid="{ED56FDFD-7F91-D342-B17D-0A8955D72654}" name="3g-no-hash" dataDxfId="26" dataCellStyle="Normal 2"/>
    <tableColumn id="9" xr3:uid="{E37C0AE4-4997-1146-9D77-F77F851A6055}" name="4g-no-hash" dataDxfId="25" dataCellStyle="Normal 2"/>
    <tableColumn id="10" xr3:uid="{D7CABF44-238E-3C4E-AD2F-1E4314CF8D94}" name="xsk2g-no-hash" dataDxfId="24" dataCellStyle="Normal 2"/>
    <tableColumn id="11" xr3:uid="{281C836C-5250-9B43-8C1F-C73194FA5554}" name="xsk3g-no-hash" dataDxfId="23" dataCellStyle="Normal 2"/>
    <tableColumn id="12" xr3:uid="{00C63028-C2CC-634A-A5E8-FA3FF85C9384}" name="xsk4g-no-hash" dataDxfId="22" dataCellStyle="Normal 2"/>
    <tableColumn id="13" xr3:uid="{F932BCEC-60FE-3E47-BEA9-8B9DDCA3B9DC}" name="2g-hash-at-both" dataDxfId="21" dataCellStyle="Normal 2"/>
    <tableColumn id="14" xr3:uid="{C4E7AD62-699D-4744-AD6C-A68A6B2716AD}" name="3g-hash-at-both" dataDxfId="20" dataCellStyle="Normal 2"/>
    <tableColumn id="15" xr3:uid="{5E23F9C8-7A64-534F-B427-72FA81E8548E}" name="4g-hash-at-both" dataDxfId="19" dataCellStyle="Normal 2"/>
    <tableColumn id="16" xr3:uid="{0AFEEABC-7AEF-5C42-AC68-F87D6CDCF46E}" name="xsk2g-hash-at-both" dataDxfId="18" dataCellStyle="Normal 2"/>
    <tableColumn id="17" xr3:uid="{101BA6EE-8127-2548-8032-6F7B0EFD7DB2}" name="xsk3g-hash-at-both" dataDxfId="17" dataCellStyle="Normal 2"/>
    <tableColumn id="18" xr3:uid="{315277A6-6CAB-164E-B693-E20D05168C9C}" name="xsk4g-hash-at-both" dataDxfId="16" dataCellStyle="Normal 2"/>
    <tableColumn id="19" xr3:uid="{CD0991BE-E7B4-7D4A-97D0-949C34CF77DC}" name="max" dataDxfId="15" dataCellStyle="Normal 2">
      <calculatedColumnFormula>MAX($H2,$S2)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D0E77C-021D-C54A-BB20-04E6154D9B35}" name="Table291113171915810" displayName="Table291113171915810" ref="B16:T20" totalsRowShown="0">
  <autoFilter ref="B16:T20" xr:uid="{52D0E77C-021D-C54A-BB20-04E6154D9B35}"/>
  <sortState xmlns:xlrd2="http://schemas.microsoft.com/office/spreadsheetml/2017/richdata2" ref="B17:T20">
    <sortCondition ref="B16:B20"/>
  </sortState>
  <tableColumns count="19">
    <tableColumn id="1" xr3:uid="{9AD5A269-2E9E-594D-9BC9-E7D6569AE357}" name="attribute.index"/>
    <tableColumn id="2" xr3:uid="{CC5FF3A8-1A7F-9C47-876D-EBFA7753BF59}" name="attribute"/>
    <tableColumn id="3" xr3:uid="{2968B27E-9B31-ED49-94B7-79F05310491E}" name="supplemented"/>
    <tableColumn id="4" xr3:uid="{4777DD34-15EC-A04B-A99B-0C07E314B724}" name="method.index"/>
    <tableColumn id="5" xr3:uid="{9F54700E-D029-0344-BEC8-DE5DCB268C59}" name="method"/>
    <tableColumn id="19" xr3:uid="{30525877-68C2-FA48-B711-2CF523E40CFD}" name="var" dataDxfId="14">
      <calculatedColumnFormula>_xlfn.TEXTJOIN("-",TRUE,Table291113171915810[[#This Row],[attribute]],Table291113171915810[[#This Row],[supplemented]],Table291113171915810[[#This Row],[method]])</calculatedColumnFormula>
    </tableColumn>
    <tableColumn id="6" xr3:uid="{55EE4708-4982-A94A-88FA-1D7B929045E1}" name="2g-no-hash" dataDxfId="13">
      <calculatedColumnFormula array="1">_xlfn.LET(_xlpm.d,H$2:H$13,_xlpm.a,$C$2:$C$13=$C17,_xlpm.b,$D$2:$D$13=$D17,MAX(_xlfn._xlws.FILTER(_xlpm.d,_xlpm.a*_xlpm.b)))</calculatedColumnFormula>
    </tableColumn>
    <tableColumn id="7" xr3:uid="{F472BBEB-EA6A-EE45-9DA4-A8BEFDD1CF40}" name="3g-no-hash" dataDxfId="12">
      <calculatedColumnFormula array="1">_xlfn.LET(_xlpm.d,I$2:I$13,_xlpm.a,$C$2:$C$13=$C17,_xlpm.b,$D$2:$D$13=$D17,MAX(_xlfn._xlws.FILTER(_xlpm.d,_xlpm.a*_xlpm.b)))</calculatedColumnFormula>
    </tableColumn>
    <tableColumn id="8" xr3:uid="{6705D4CB-E9BB-9A4B-8619-821A07E1EF91}" name="4g-no-hash" dataDxfId="11">
      <calculatedColumnFormula array="1">_xlfn.LET(_xlpm.d,J$2:J$13,_xlpm.a,$C$2:$C$13=$C17,_xlpm.b,$D$2:$D$13=$D17,MAX(_xlfn._xlws.FILTER(_xlpm.d,_xlpm.a*_xlpm.b)))</calculatedColumnFormula>
    </tableColumn>
    <tableColumn id="9" xr3:uid="{EF90EFC3-E0AA-4943-98D6-FE8A07763DA6}" name="xsk2g-no-hash" dataDxfId="10">
      <calculatedColumnFormula array="1">_xlfn.LET(_xlpm.d,K$2:K$13,_xlpm.a,$C$2:$C$13=$C17,_xlpm.b,$D$2:$D$13=$D17,MAX(_xlfn._xlws.FILTER(_xlpm.d,_xlpm.a*_xlpm.b)))</calculatedColumnFormula>
    </tableColumn>
    <tableColumn id="10" xr3:uid="{59430ACB-6F88-9B44-8A60-3126CE53E9A1}" name="xsk3g-no-hash" dataDxfId="9">
      <calculatedColumnFormula array="1">_xlfn.LET(_xlpm.d,L$2:L$13,_xlpm.a,$C$2:$C$13=$C17,_xlpm.b,$D$2:$D$13=$D17,MAX(_xlfn._xlws.FILTER(_xlpm.d,_xlpm.a*_xlpm.b)))</calculatedColumnFormula>
    </tableColumn>
    <tableColumn id="11" xr3:uid="{38AF7B85-010B-0649-B4C0-652240700FAC}" name="xsk4g-no-hash" dataDxfId="8">
      <calculatedColumnFormula array="1">_xlfn.LET(_xlpm.d,M$2:M$13,_xlpm.a,$C$2:$C$13=$C17,_xlpm.b,$D$2:$D$13=$D17,MAX(_xlfn._xlws.FILTER(_xlpm.d,_xlpm.a*_xlpm.b)))</calculatedColumnFormula>
    </tableColumn>
    <tableColumn id="12" xr3:uid="{EFD40F65-9255-CF40-B812-2548A084502A}" name="2g-hash-at-both" dataDxfId="7">
      <calculatedColumnFormula array="1">_xlfn.LET(_xlpm.d,N$2:N$13,_xlpm.a,$C$2:$C$13=$C17,_xlpm.b,$D$2:$D$13=$D17,MAX(_xlfn._xlws.FILTER(_xlpm.d,_xlpm.a*_xlpm.b)))</calculatedColumnFormula>
    </tableColumn>
    <tableColumn id="13" xr3:uid="{6CB360A6-904F-5D4F-BFA2-D28AA96B63C2}" name="3g-hash-at-both" dataDxfId="6">
      <calculatedColumnFormula array="1">_xlfn.LET(_xlpm.d,O$2:O$13,_xlpm.a,$C$2:$C$13=$C17,_xlpm.b,$D$2:$D$13=$D17,MAX(_xlfn._xlws.FILTER(_xlpm.d,_xlpm.a*_xlpm.b)))</calculatedColumnFormula>
    </tableColumn>
    <tableColumn id="14" xr3:uid="{FF91B1ED-42CB-4942-ACB4-8A7743EE7408}" name="4g-hash-at-both" dataDxfId="5">
      <calculatedColumnFormula array="1">_xlfn.LET(_xlpm.d,P$2:P$13,_xlpm.a,$C$2:$C$13=$C17,_xlpm.b,$D$2:$D$13=$D17,MAX(_xlfn._xlws.FILTER(_xlpm.d,_xlpm.a*_xlpm.b)))</calculatedColumnFormula>
    </tableColumn>
    <tableColumn id="15" xr3:uid="{719ECC6F-1891-9449-8E7A-EB6D911590B7}" name="xsk2g-hash-at-both" dataDxfId="4">
      <calculatedColumnFormula array="1">_xlfn.LET(_xlpm.d,Q$2:Q$13,_xlpm.a,$C$2:$C$13=$C17,_xlpm.b,$D$2:$D$13=$D17,MAX(_xlfn._xlws.FILTER(_xlpm.d,_xlpm.a*_xlpm.b)))</calculatedColumnFormula>
    </tableColumn>
    <tableColumn id="16" xr3:uid="{6901D7AC-3BB7-6B4C-B438-488B4B775BB0}" name="xsk3g-hash-at-both" dataDxfId="3">
      <calculatedColumnFormula array="1">_xlfn.LET(_xlpm.d,R$2:R$13,_xlpm.a,$C$2:$C$13=$C17,_xlpm.b,$D$2:$D$13=$D17,MAX(_xlfn._xlws.FILTER(_xlpm.d,_xlpm.a*_xlpm.b)))</calculatedColumnFormula>
    </tableColumn>
    <tableColumn id="17" xr3:uid="{C98E0CB2-4321-0A44-B568-C12ADDA7DDEB}" name="xsk4g-hash-at-both" dataDxfId="2">
      <calculatedColumnFormula array="1">_xlfn.LET(_xlpm.d,S$2:S$13,_xlpm.a,$C$2:$C$13=$C17,_xlpm.b,$D$2:$D$13=$D17,MAX(_xlfn._xlws.FILTER(_xlpm.d,_xlpm.a*_xlpm.b)))</calculatedColumnFormula>
    </tableColumn>
    <tableColumn id="18" xr3:uid="{8AB88183-75AB-8A4F-B118-303C0315E935}" name="max" dataDxfId="1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A5F89-6AA0-BF48-AA71-A7C11D8AD813}" name="Table3" displayName="Table3" ref="A1:T13" totalsRowShown="0">
  <autoFilter ref="A1:T13" xr:uid="{0B5A5F89-6AA0-BF48-AA71-A7C11D8AD813}"/>
  <sortState xmlns:xlrd2="http://schemas.microsoft.com/office/spreadsheetml/2017/richdata2" ref="A2:T13">
    <sortCondition ref="D1:D13"/>
  </sortState>
  <tableColumns count="20">
    <tableColumn id="1" xr3:uid="{B49D09D5-4A2A-3E48-A613-62AA771F0795}" name="lang"/>
    <tableColumn id="2" xr3:uid="{504C019A-DA3E-054E-A20E-9472A3DE5341}" name="attribute.index"/>
    <tableColumn id="3" xr3:uid="{57E66CAE-557B-E643-97E1-218914D870ED}" name="attribute"/>
    <tableColumn id="4" xr3:uid="{5C98A916-BD56-CD44-8E5C-9ACD15F11467}" name="supplement"/>
    <tableColumn id="5" xr3:uid="{45A975B1-E879-D64E-92BE-D19D96810557}" name="method.index"/>
    <tableColumn id="6" xr3:uid="{34B282D5-EE50-D944-AB3B-720D1A4DAE0B}" name="method"/>
    <tableColumn id="20" xr3:uid="{ED18C7DE-E1D1-DB4F-9DEB-B26654218019}" name="Column1"/>
    <tableColumn id="7" xr3:uid="{8FC85EBB-B738-2541-9CEB-219BC73C9AFB}" name="2g-no-hash" dataDxfId="135"/>
    <tableColumn id="8" xr3:uid="{02C71412-8B31-D94B-B365-DC2635BB0039}" name="3g-no-hash" dataDxfId="134"/>
    <tableColumn id="9" xr3:uid="{E1C0EDB1-33A9-4844-90BF-A74640742525}" name="4g-no-hash" dataDxfId="133"/>
    <tableColumn id="10" xr3:uid="{744A87FA-7C26-D94A-945B-5F660C76983C}" name="xsk2g-no-hash" dataDxfId="132"/>
    <tableColumn id="11" xr3:uid="{4745C87B-7C01-B94F-AAB2-1A85E19DC94A}" name="xsk3g-no-hash" dataDxfId="131"/>
    <tableColumn id="12" xr3:uid="{3CF70559-E069-EC45-93D9-20680496DD09}" name="xsk4g-no-hash" dataDxfId="130"/>
    <tableColumn id="13" xr3:uid="{A7980327-7BDA-354A-A199-D756D3BDC2ED}" name="2g-hash-at-both" dataDxfId="129"/>
    <tableColumn id="14" xr3:uid="{350AFD9B-526C-B34B-8853-026644979168}" name="3g-hash-at-both" dataDxfId="128"/>
    <tableColumn id="15" xr3:uid="{6D35BBE6-63F6-C54B-9934-7E5E7CD3DB22}" name="4g-hash-at-both" dataDxfId="127"/>
    <tableColumn id="16" xr3:uid="{41292FF1-FC4F-AB4D-873D-A942AAB46949}" name="xsk2g-hash-at-both" dataDxfId="126"/>
    <tableColumn id="17" xr3:uid="{3867E4C0-CDC6-E24D-B72B-21CCE86FCAB4}" name="xsk3g-hash-at-both" dataDxfId="125"/>
    <tableColumn id="18" xr3:uid="{3D3C16FF-2840-BF4D-B570-3E1D07519121}" name="xsk4g-hash-at-both" dataDxfId="124"/>
    <tableColumn id="19" xr3:uid="{07D0E471-9064-464F-9FAF-38FD465F765B}" name="max" dataDxfId="123">
      <calculatedColumnFormula>MAX($H2,$S2)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05B0AC-8ABE-7A40-BE8E-F950A4ADBE9A}" name="Table291113171914" displayName="Table291113171914" ref="B16:T20" totalsRowShown="0">
  <autoFilter ref="B16:T20" xr:uid="{6C05B0AC-8ABE-7A40-BE8E-F950A4ADBE9A}"/>
  <sortState xmlns:xlrd2="http://schemas.microsoft.com/office/spreadsheetml/2017/richdata2" ref="B17:T20">
    <sortCondition ref="B16:B20"/>
  </sortState>
  <tableColumns count="19">
    <tableColumn id="1" xr3:uid="{6106EDBF-4C71-5447-BE39-C15DCA9B5D9E}" name="attribute.index"/>
    <tableColumn id="2" xr3:uid="{9B817D90-F475-DE4E-9918-2EBD19833010}" name="attribute"/>
    <tableColumn id="3" xr3:uid="{4F1B43E8-BD39-1F41-93BE-5B96ED7849D1}" name="supplemented"/>
    <tableColumn id="4" xr3:uid="{E92CE39B-3B96-EB44-854B-9F3BD081AFC3}" name="method.index"/>
    <tableColumn id="5" xr3:uid="{7B374A26-7A06-D84D-87AF-B93002EEB7B6}" name="method"/>
    <tableColumn id="19" xr3:uid="{10789C56-29AD-F140-88B0-B1AC241B31E8}" name="var" dataDxfId="122">
      <calculatedColumnFormula>_xlfn.TEXTJOIN("-",TRUE,Table291113171914[[#This Row],[attribute]],Table291113171914[[#This Row],[supplemented]],Table291113171914[[#This Row],[method]])</calculatedColumnFormula>
    </tableColumn>
    <tableColumn id="6" xr3:uid="{F045DAA2-F1A5-9F45-8A2F-8164A3B8BE8C}" name="2g-no-hash" dataDxfId="121">
      <calculatedColumnFormula array="1">_xlfn.LET(_xlpm.d,H$2:H$13,_xlpm.a,$C$2:$C$13=$C17,_xlpm.b,$D$2:$D$13=$D17,MAX(_xlfn._xlws.FILTER(_xlpm.d,_xlpm.a*_xlpm.b)))</calculatedColumnFormula>
    </tableColumn>
    <tableColumn id="7" xr3:uid="{E1B5C4BB-B7BD-E547-8B52-3A544603C0E6}" name="3g-no-hash" dataDxfId="120">
      <calculatedColumnFormula array="1">_xlfn.LET(_xlpm.d,I$2:I$13,_xlpm.a,$C$2:$C$13=$C17,_xlpm.b,$D$2:$D$13=$D17,MAX(_xlfn._xlws.FILTER(_xlpm.d,_xlpm.a*_xlpm.b)))</calculatedColumnFormula>
    </tableColumn>
    <tableColumn id="8" xr3:uid="{AA8D1F36-8D26-DB42-88F1-0C724B30A914}" name="4g-no-hash" dataDxfId="119">
      <calculatedColumnFormula array="1">_xlfn.LET(_xlpm.d,J$2:J$13,_xlpm.a,$C$2:$C$13=$C17,_xlpm.b,$D$2:$D$13=$D17,MAX(_xlfn._xlws.FILTER(_xlpm.d,_xlpm.a*_xlpm.b)))</calculatedColumnFormula>
    </tableColumn>
    <tableColumn id="9" xr3:uid="{EB815017-3F33-F44C-BBC4-927F5B43B278}" name="xsk2g-no-hash" dataDxfId="118">
      <calculatedColumnFormula array="1">_xlfn.LET(_xlpm.d,K$2:K$13,_xlpm.a,$C$2:$C$13=$C17,_xlpm.b,$D$2:$D$13=$D17,MAX(_xlfn._xlws.FILTER(_xlpm.d,_xlpm.a*_xlpm.b)))</calculatedColumnFormula>
    </tableColumn>
    <tableColumn id="10" xr3:uid="{5F8121C3-824E-D943-9813-74DC00F3CA50}" name="xsk3g-no-hash" dataDxfId="117">
      <calculatedColumnFormula array="1">_xlfn.LET(_xlpm.d,L$2:L$13,_xlpm.a,$C$2:$C$13=$C17,_xlpm.b,$D$2:$D$13=$D17,MAX(_xlfn._xlws.FILTER(_xlpm.d,_xlpm.a*_xlpm.b)))</calculatedColumnFormula>
    </tableColumn>
    <tableColumn id="11" xr3:uid="{02B3BCF2-FDE9-1E40-B674-60535516A984}" name="xsk4g-no-hash" dataDxfId="116">
      <calculatedColumnFormula array="1">_xlfn.LET(_xlpm.d,M$2:M$13,_xlpm.a,$C$2:$C$13=$C17,_xlpm.b,$D$2:$D$13=$D17,MAX(_xlfn._xlws.FILTER(_xlpm.d,_xlpm.a*_xlpm.b)))</calculatedColumnFormula>
    </tableColumn>
    <tableColumn id="12" xr3:uid="{48A67D98-8C3D-2047-9A26-6DF227F49C89}" name="2g-hash-at-both" dataDxfId="115">
      <calculatedColumnFormula array="1">_xlfn.LET(_xlpm.d,N$2:N$13,_xlpm.a,$C$2:$C$13=$C17,_xlpm.b,$D$2:$D$13=$D17,MAX(_xlfn._xlws.FILTER(_xlpm.d,_xlpm.a*_xlpm.b)))</calculatedColumnFormula>
    </tableColumn>
    <tableColumn id="13" xr3:uid="{4949314D-FB10-544F-85C6-CA5A0E76030E}" name="3g-hash-at-both" dataDxfId="114">
      <calculatedColumnFormula array="1">_xlfn.LET(_xlpm.d,O$2:O$13,_xlpm.a,$C$2:$C$13=$C17,_xlpm.b,$D$2:$D$13=$D17,MAX(_xlfn._xlws.FILTER(_xlpm.d,_xlpm.a*_xlpm.b)))</calculatedColumnFormula>
    </tableColumn>
    <tableColumn id="14" xr3:uid="{99C71603-D7AA-1B4F-8E14-251FD812F15F}" name="4g-hash-at-both" dataDxfId="113">
      <calculatedColumnFormula array="1">_xlfn.LET(_xlpm.d,P$2:P$13,_xlpm.a,$C$2:$C$13=$C17,_xlpm.b,$D$2:$D$13=$D17,MAX(_xlfn._xlws.FILTER(_xlpm.d,_xlpm.a*_xlpm.b)))</calculatedColumnFormula>
    </tableColumn>
    <tableColumn id="15" xr3:uid="{4A2CC06C-707D-7A4A-93A2-97279924D588}" name="xsk2g-hash-at-both" dataDxfId="112">
      <calculatedColumnFormula array="1">_xlfn.LET(_xlpm.d,Q$2:Q$13,_xlpm.a,$C$2:$C$13=$C17,_xlpm.b,$D$2:$D$13=$D17,MAX(_xlfn._xlws.FILTER(_xlpm.d,_xlpm.a*_xlpm.b)))</calculatedColumnFormula>
    </tableColumn>
    <tableColumn id="16" xr3:uid="{C2819E2F-E23A-9E44-8A4C-02B22150985F}" name="xsk3g-hash-at-both" dataDxfId="111">
      <calculatedColumnFormula array="1">_xlfn.LET(_xlpm.d,R$2:R$13,_xlpm.a,$C$2:$C$13=$C17,_xlpm.b,$D$2:$D$13=$D17,MAX(_xlfn._xlws.FILTER(_xlpm.d,_xlpm.a*_xlpm.b)))</calculatedColumnFormula>
    </tableColumn>
    <tableColumn id="17" xr3:uid="{EECEA326-0D64-4A43-A137-5AD4E6AC642C}" name="xsk4g-hash-at-both" dataDxfId="110">
      <calculatedColumnFormula array="1">_xlfn.LET(_xlpm.d,S$2:S$13,_xlpm.a,$C$2:$C$13=$C17,_xlpm.b,$D$2:$D$13=$D17,MAX(_xlfn._xlws.FILTER(_xlpm.d,_xlpm.a*_xlpm.b)))</calculatedColumnFormula>
    </tableColumn>
    <tableColumn id="18" xr3:uid="{C8AAB7D4-CD35-1544-AB01-247F4E2A4659}" name="max" dataDxfId="109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C4C552-F2BC-804D-9EB5-02BC0EA7B0CD}" name="Table4" displayName="Table4" ref="A1:T13" totalsRowShown="0">
  <autoFilter ref="A1:T13" xr:uid="{ECC4C552-F2BC-804D-9EB5-02BC0EA7B0CD}"/>
  <sortState xmlns:xlrd2="http://schemas.microsoft.com/office/spreadsheetml/2017/richdata2" ref="A2:T13">
    <sortCondition ref="B1:B13"/>
  </sortState>
  <tableColumns count="20">
    <tableColumn id="1" xr3:uid="{6337C237-1796-4549-A31E-EA2DD24CD7D7}" name="lang"/>
    <tableColumn id="2" xr3:uid="{C1546D7E-8E1D-CB44-9612-D768531702FF}" name="attribute.index"/>
    <tableColumn id="3" xr3:uid="{D4C4F94F-8B1D-4D41-9F47-384DD0B40500}" name="attribute"/>
    <tableColumn id="4" xr3:uid="{BA8467F4-5244-C346-9B78-5E9D33C9342B}" name="supplement"/>
    <tableColumn id="5" xr3:uid="{FE9210DD-9732-CD48-81E1-27246481DE3A}" name="method.index"/>
    <tableColumn id="6" xr3:uid="{BD0BFA88-7237-114D-BC9E-010B6FEE1DAA}" name="method"/>
    <tableColumn id="21" xr3:uid="{6F5EC18D-DC97-654F-8789-8720245C4314}" name="Column1"/>
    <tableColumn id="7" xr3:uid="{135BC180-FC5A-1448-8680-B18EF982FA68}" name="2g-no-hash" dataDxfId="108"/>
    <tableColumn id="8" xr3:uid="{7E171C88-B38E-0341-984F-E54048F42273}" name="3g-no-hash" dataDxfId="107"/>
    <tableColumn id="9" xr3:uid="{8DC12057-227A-EC4E-A588-CD3227E8D069}" name="4g-no-hash" dataDxfId="106"/>
    <tableColumn id="10" xr3:uid="{C54B61BA-1238-A64A-8F54-3FA2F01887D7}" name="xsk2g-no-hash" dataDxfId="105"/>
    <tableColumn id="11" xr3:uid="{066BE790-8014-E744-BB78-29A097AD6AE8}" name="xsk3g-no-hash" dataDxfId="104"/>
    <tableColumn id="12" xr3:uid="{96A8B892-C81C-F34A-8010-566B92BA8D90}" name="xsk4g-no-hash" dataDxfId="103"/>
    <tableColumn id="14" xr3:uid="{A38E2F83-EA2E-034E-9F2C-CBDAE1A8394C}" name="2g-hash-at-both" dataDxfId="102"/>
    <tableColumn id="15" xr3:uid="{122A5C2A-5464-254E-AA60-009654254BF4}" name="3g-hash-at-both" dataDxfId="101"/>
    <tableColumn id="16" xr3:uid="{17C91836-38FB-1546-8AA1-D3403095D3F2}" name="4g-hash-at-both" dataDxfId="100"/>
    <tableColumn id="17" xr3:uid="{2586412A-35BE-104F-BE43-2AB51C353015}" name="xsk2g-hash-at-both" dataDxfId="99"/>
    <tableColumn id="18" xr3:uid="{24B6DC3A-B6A8-DB4D-99C2-E9D96662CA5A}" name="xsk3g-hash-at-both" dataDxfId="98"/>
    <tableColumn id="19" xr3:uid="{2E8214D7-23FA-4E48-B011-2216688F5DF7}" name="xsk4g-hash-at-both" dataDxfId="97"/>
    <tableColumn id="20" xr3:uid="{20482D18-A9AE-CF44-BB7C-CC284EC7AB4C}" name="max" dataDxfId="96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C7E255-3C98-6943-A016-670F1A986A31}" name="Table291113171915" displayName="Table291113171915" ref="B16:T20" totalsRowShown="0">
  <autoFilter ref="B16:T20" xr:uid="{A3C7E255-3C98-6943-A016-670F1A986A31}"/>
  <sortState xmlns:xlrd2="http://schemas.microsoft.com/office/spreadsheetml/2017/richdata2" ref="B17:T20">
    <sortCondition ref="B16:B20"/>
  </sortState>
  <tableColumns count="19">
    <tableColumn id="1" xr3:uid="{77958820-0CC0-5848-9C1C-38A79DC5E30F}" name="attribute.index"/>
    <tableColumn id="2" xr3:uid="{F6033B8A-6B80-1149-8967-F24F00EB46D4}" name="attribute"/>
    <tableColumn id="3" xr3:uid="{0331B73E-0707-8D40-94E0-2853AAFB3227}" name="supplemented"/>
    <tableColumn id="4" xr3:uid="{40421AB5-EB59-174A-8CFD-DFAF1FA38B78}" name="method.index"/>
    <tableColumn id="5" xr3:uid="{DAAC321C-61BC-F943-936D-0BFD4659A50C}" name="method"/>
    <tableColumn id="19" xr3:uid="{C46D00C4-28F5-EB46-A0E7-ED7557AAEA1A}" name="var" dataDxfId="95">
      <calculatedColumnFormula>_xlfn.TEXTJOIN("-",TRUE,Table291113171915[[#This Row],[attribute]],Table291113171915[[#This Row],[supplemented]],Table291113171915[[#This Row],[method]])</calculatedColumnFormula>
    </tableColumn>
    <tableColumn id="6" xr3:uid="{6A4173E2-E69B-754D-BD17-EACF7DCFE0D2}" name="2g-no-hash" dataDxfId="94">
      <calculatedColumnFormula array="1">_xlfn.LET(_xlpm.d,H$2:H$13,_xlpm.a,$C$2:$C$13=$C17,_xlpm.b,$D$2:$D$13=$D17,MAX(_xlfn._xlws.FILTER(_xlpm.d,_xlpm.a*_xlpm.b)))</calculatedColumnFormula>
    </tableColumn>
    <tableColumn id="7" xr3:uid="{E4C0B7B0-5972-A541-812B-FE097FEC006A}" name="3g-no-hash" dataDxfId="93">
      <calculatedColumnFormula array="1">_xlfn.LET(_xlpm.d,I$2:I$13,_xlpm.a,$C$2:$C$13=$C17,_xlpm.b,$D$2:$D$13=$D17,MAX(_xlfn._xlws.FILTER(_xlpm.d,_xlpm.a*_xlpm.b)))</calculatedColumnFormula>
    </tableColumn>
    <tableColumn id="8" xr3:uid="{DAB29C11-DD64-904E-8F89-ADE121A4C2C2}" name="4g-no-hash" dataDxfId="92">
      <calculatedColumnFormula array="1">_xlfn.LET(_xlpm.d,J$2:J$13,_xlpm.a,$C$2:$C$13=$C17,_xlpm.b,$D$2:$D$13=$D17,MAX(_xlfn._xlws.FILTER(_xlpm.d,_xlpm.a*_xlpm.b)))</calculatedColumnFormula>
    </tableColumn>
    <tableColumn id="9" xr3:uid="{19A118BB-ACF5-5741-AB53-9BB8BD605C45}" name="xsk2g-no-hash" dataDxfId="91">
      <calculatedColumnFormula array="1">_xlfn.LET(_xlpm.d,K$2:K$13,_xlpm.a,$C$2:$C$13=$C17,_xlpm.b,$D$2:$D$13=$D17,MAX(_xlfn._xlws.FILTER(_xlpm.d,_xlpm.a*_xlpm.b)))</calculatedColumnFormula>
    </tableColumn>
    <tableColumn id="10" xr3:uid="{1603DDEB-48F5-8C44-AD37-B0C16B8AE7D4}" name="xsk3g-no-hash" dataDxfId="90">
      <calculatedColumnFormula array="1">_xlfn.LET(_xlpm.d,L$2:L$13,_xlpm.a,$C$2:$C$13=$C17,_xlpm.b,$D$2:$D$13=$D17,MAX(_xlfn._xlws.FILTER(_xlpm.d,_xlpm.a*_xlpm.b)))</calculatedColumnFormula>
    </tableColumn>
    <tableColumn id="11" xr3:uid="{D8F781D8-E496-F94A-8D77-7BA78E5D1E3F}" name="xsk4g-no-hash" dataDxfId="89">
      <calculatedColumnFormula array="1">_xlfn.LET(_xlpm.d,M$2:M$13,_xlpm.a,$C$2:$C$13=$C17,_xlpm.b,$D$2:$D$13=$D17,MAX(_xlfn._xlws.FILTER(_xlpm.d,_xlpm.a*_xlpm.b)))</calculatedColumnFormula>
    </tableColumn>
    <tableColumn id="12" xr3:uid="{DB0F6E4E-D093-0C4A-92B3-04074C83178D}" name="2g-hash-at-both" dataDxfId="88">
      <calculatedColumnFormula array="1">_xlfn.LET(_xlpm.d,N$2:N$13,_xlpm.a,$C$2:$C$13=$C17,_xlpm.b,$D$2:$D$13=$D17,MAX(_xlfn._xlws.FILTER(_xlpm.d,_xlpm.a*_xlpm.b)))</calculatedColumnFormula>
    </tableColumn>
    <tableColumn id="13" xr3:uid="{14744C78-7FD1-CC4F-8ACD-B68637E8F58D}" name="3g-hash-at-both" dataDxfId="87">
      <calculatedColumnFormula array="1">_xlfn.LET(_xlpm.d,O$2:O$13,_xlpm.a,$C$2:$C$13=$C17,_xlpm.b,$D$2:$D$13=$D17,MAX(_xlfn._xlws.FILTER(_xlpm.d,_xlpm.a*_xlpm.b)))</calculatedColumnFormula>
    </tableColumn>
    <tableColumn id="14" xr3:uid="{319163CA-1863-0A49-A81F-1B582AC56827}" name="4g-hash-at-both" dataDxfId="86">
      <calculatedColumnFormula array="1">_xlfn.LET(_xlpm.d,P$2:P$13,_xlpm.a,$C$2:$C$13=$C17,_xlpm.b,$D$2:$D$13=$D17,MAX(_xlfn._xlws.FILTER(_xlpm.d,_xlpm.a*_xlpm.b)))</calculatedColumnFormula>
    </tableColumn>
    <tableColumn id="15" xr3:uid="{05881B13-E5C9-DD40-87BE-15B645376F26}" name="xsk2g-hash-at-both" dataDxfId="85">
      <calculatedColumnFormula array="1">_xlfn.LET(_xlpm.d,Q$2:Q$13,_xlpm.a,$C$2:$C$13=$C17,_xlpm.b,$D$2:$D$13=$D17,MAX(_xlfn._xlws.FILTER(_xlpm.d,_xlpm.a*_xlpm.b)))</calculatedColumnFormula>
    </tableColumn>
    <tableColumn id="16" xr3:uid="{B788D657-4D0C-D848-AEE0-85F7AE3AB4E5}" name="xsk3g-hash-at-both" dataDxfId="84">
      <calculatedColumnFormula array="1">_xlfn.LET(_xlpm.d,R$2:R$13,_xlpm.a,$C$2:$C$13=$C17,_xlpm.b,$D$2:$D$13=$D17,MAX(_xlfn._xlws.FILTER(_xlpm.d,_xlpm.a*_xlpm.b)))</calculatedColumnFormula>
    </tableColumn>
    <tableColumn id="17" xr3:uid="{6CE1AC4F-3D78-3649-A446-AFBF298C20C7}" name="xsk4g-hash-at-both" dataDxfId="83">
      <calculatedColumnFormula array="1">_xlfn.LET(_xlpm.d,S$2:S$13,_xlpm.a,$C$2:$C$13=$C17,_xlpm.b,$D$2:$D$13=$D17,MAX(_xlfn._xlws.FILTER(_xlpm.d,_xlpm.a*_xlpm.b)))</calculatedColumnFormula>
    </tableColumn>
    <tableColumn id="18" xr3:uid="{DB4A01A9-7667-C24B-B681-04ABAF577B50}" name="max" dataDxfId="82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52FAC-25C9-244E-B553-9900FEF35248}" name="Table1" displayName="Table1" ref="A1:T13" totalsRowShown="0">
  <autoFilter ref="A1:T13" xr:uid="{C3552FAC-25C9-244E-B553-9900FEF35248}"/>
  <sortState xmlns:xlrd2="http://schemas.microsoft.com/office/spreadsheetml/2017/richdata2" ref="A2:T13">
    <sortCondition ref="B1:B13"/>
  </sortState>
  <tableColumns count="20">
    <tableColumn id="1" xr3:uid="{6E206A4F-53A3-994B-B791-59C8958B3348}" name="lang"/>
    <tableColumn id="2" xr3:uid="{CC480F8F-0DF4-DE4F-80E7-1267203F3471}" name="attribute.index"/>
    <tableColumn id="3" xr3:uid="{69EFAB0F-734A-2B49-934E-0E83FAAD1AD5}" name="attribute"/>
    <tableColumn id="4" xr3:uid="{1CE22F4F-070B-8E46-85AF-AE55BDD724DD}" name="supplement"/>
    <tableColumn id="5" xr3:uid="{F7A36D16-6A69-4C41-89B3-C02C053BF887}" name="method.index"/>
    <tableColumn id="6" xr3:uid="{89091EB9-9A0A-6448-BD26-EDB2F34693D5}" name="method"/>
    <tableColumn id="20" xr3:uid="{433C9F49-953F-9549-B9B4-7D729120FE0F}" name="Column1"/>
    <tableColumn id="7" xr3:uid="{01B85D7D-E22A-2241-A830-036A9A195291}" name="2g-no-hash" dataDxfId="81"/>
    <tableColumn id="8" xr3:uid="{7D584F0F-FE12-C44B-B200-111E7DE93A16}" name="3g-no-hash" dataDxfId="80"/>
    <tableColumn id="9" xr3:uid="{DC8B4AF5-8ED5-9149-97D1-412D63108E3C}" name="4g-no-hash" dataDxfId="79"/>
    <tableColumn id="10" xr3:uid="{7D0DF10E-1C70-D343-A5AD-7414645708B7}" name="xsk2g-no-hash" dataDxfId="78"/>
    <tableColumn id="11" xr3:uid="{7F34B605-8AA8-6D41-A4F9-7087D9CF3519}" name="xsk3g-no-hash" dataDxfId="77"/>
    <tableColumn id="12" xr3:uid="{6C0712A9-0DAC-744A-A04C-E5A9A0B80FA5}" name="xsk4g-no-hash" dataDxfId="76"/>
    <tableColumn id="13" xr3:uid="{B987905C-8115-CB4C-B936-B4C10EA1EA2A}" name="2g-hash-at-both" dataDxfId="75"/>
    <tableColumn id="14" xr3:uid="{A3C0D08B-3CCA-7447-9CE3-2534C8EF5542}" name="3g-hash-at-both" dataDxfId="74"/>
    <tableColumn id="15" xr3:uid="{E87B5EAB-CFC7-D142-B813-B4EF19FCAF65}" name="4g-hash-at-both" dataDxfId="73"/>
    <tableColumn id="16" xr3:uid="{1DC98C2F-99DE-A442-941F-EAC2A2C4C046}" name="xsk2g-hash-at-both" dataDxfId="72"/>
    <tableColumn id="17" xr3:uid="{7957921F-7C96-AC4F-B08C-10F96C0D0B47}" name="xsk3g-hash-at-both" dataDxfId="71"/>
    <tableColumn id="18" xr3:uid="{1FE04573-A9E7-7D44-8A7C-BF54375DADC1}" name="xsk4g-hash-at-both" dataDxfId="70"/>
    <tableColumn id="19" xr3:uid="{143659ED-70B5-BB46-B6AF-4CC37DC37965}" name="max" dataDxfId="69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8EA2263-E22F-1343-8025-5B11609547EB}" name="Table291113171916" displayName="Table291113171916" ref="B16:T20" totalsRowShown="0">
  <autoFilter ref="B16:T20" xr:uid="{18EA2263-E22F-1343-8025-5B11609547EB}"/>
  <sortState xmlns:xlrd2="http://schemas.microsoft.com/office/spreadsheetml/2017/richdata2" ref="B17:T20">
    <sortCondition ref="B16:B20"/>
  </sortState>
  <tableColumns count="19">
    <tableColumn id="1" xr3:uid="{E120C86B-2E89-5440-BA4F-74294979E191}" name="attribute.index"/>
    <tableColumn id="2" xr3:uid="{1BB31B57-1C54-1C4F-8137-ECD396DC7B5A}" name="attribute"/>
    <tableColumn id="3" xr3:uid="{B8C6BE2E-AD6F-FD46-9F53-0A01B7AAF9A7}" name="supplemented"/>
    <tableColumn id="4" xr3:uid="{F0F0004C-D687-B34D-AFA0-7FF48A7DA02F}" name="method.index"/>
    <tableColumn id="5" xr3:uid="{728190B7-D9E6-E24F-9FC9-869BA60B291F}" name="method"/>
    <tableColumn id="19" xr3:uid="{ACEF9509-D4FE-9747-94B2-6A0188B11364}" name="var" dataDxfId="68">
      <calculatedColumnFormula>_xlfn.TEXTJOIN("-",TRUE,Table291113171916[[#This Row],[attribute]],Table291113171916[[#This Row],[supplemented]],Table291113171916[[#This Row],[method]])</calculatedColumnFormula>
    </tableColumn>
    <tableColumn id="6" xr3:uid="{7E866797-3C2B-4643-AF2B-4FD37D999328}" name="2g-no-hash" dataDxfId="67">
      <calculatedColumnFormula array="1">_xlfn.LET(_xlpm.d,H$2:H$13,_xlpm.a,$C$2:$C$13=$C17,_xlpm.b,$D$2:$D$13=$D17,MAX(_xlfn._xlws.FILTER(_xlpm.d,_xlpm.a*_xlpm.b)))</calculatedColumnFormula>
    </tableColumn>
    <tableColumn id="7" xr3:uid="{DF4CFDD7-DE61-164A-B028-4AE81B266602}" name="3g-no-hash" dataDxfId="66">
      <calculatedColumnFormula array="1">_xlfn.LET(_xlpm.d,I$2:I$13,_xlpm.a,$C$2:$C$13=$C17,_xlpm.b,$D$2:$D$13=$D17,MAX(_xlfn._xlws.FILTER(_xlpm.d,_xlpm.a*_xlpm.b)))</calculatedColumnFormula>
    </tableColumn>
    <tableColumn id="8" xr3:uid="{5A2A4471-5AC7-FF49-B9CF-9E931D0A298B}" name="4g-no-hash" dataDxfId="65">
      <calculatedColumnFormula array="1">_xlfn.LET(_xlpm.d,J$2:J$13,_xlpm.a,$C$2:$C$13=$C17,_xlpm.b,$D$2:$D$13=$D17,MAX(_xlfn._xlws.FILTER(_xlpm.d,_xlpm.a*_xlpm.b)))</calculatedColumnFormula>
    </tableColumn>
    <tableColumn id="9" xr3:uid="{905ED114-10FA-F84A-AD02-9982032D1982}" name="xsk2g-no-hash" dataDxfId="64">
      <calculatedColumnFormula array="1">_xlfn.LET(_xlpm.d,K$2:K$13,_xlpm.a,$C$2:$C$13=$C17,_xlpm.b,$D$2:$D$13=$D17,MAX(_xlfn._xlws.FILTER(_xlpm.d,_xlpm.a*_xlpm.b)))</calculatedColumnFormula>
    </tableColumn>
    <tableColumn id="10" xr3:uid="{98935E91-7AA1-EC43-8032-A37F34B7F857}" name="xsk3g-no-hash" dataDxfId="63">
      <calculatedColumnFormula array="1">_xlfn.LET(_xlpm.d,L$2:L$13,_xlpm.a,$C$2:$C$13=$C17,_xlpm.b,$D$2:$D$13=$D17,MAX(_xlfn._xlws.FILTER(_xlpm.d,_xlpm.a*_xlpm.b)))</calculatedColumnFormula>
    </tableColumn>
    <tableColumn id="11" xr3:uid="{A2DF6F44-0AF6-184C-9AA3-678885CDD54E}" name="xsk4g-no-hash" dataDxfId="62">
      <calculatedColumnFormula array="1">_xlfn.LET(_xlpm.d,M$2:M$13,_xlpm.a,$C$2:$C$13=$C17,_xlpm.b,$D$2:$D$13=$D17,MAX(_xlfn._xlws.FILTER(_xlpm.d,_xlpm.a*_xlpm.b)))</calculatedColumnFormula>
    </tableColumn>
    <tableColumn id="12" xr3:uid="{B9C31EA2-3414-9D45-B5BC-B2EC2EC42E41}" name="2g-hash-at-both" dataDxfId="61">
      <calculatedColumnFormula array="1">_xlfn.LET(_xlpm.d,N$2:N$13,_xlpm.a,$C$2:$C$13=$C17,_xlpm.b,$D$2:$D$13=$D17,MAX(_xlfn._xlws.FILTER(_xlpm.d,_xlpm.a*_xlpm.b)))</calculatedColumnFormula>
    </tableColumn>
    <tableColumn id="13" xr3:uid="{619B4C9B-E574-1540-98DA-2D8398F41CFA}" name="3g-hash-at-both" dataDxfId="60">
      <calculatedColumnFormula array="1">_xlfn.LET(_xlpm.d,O$2:O$13,_xlpm.a,$C$2:$C$13=$C17,_xlpm.b,$D$2:$D$13=$D17,MAX(_xlfn._xlws.FILTER(_xlpm.d,_xlpm.a*_xlpm.b)))</calculatedColumnFormula>
    </tableColumn>
    <tableColumn id="14" xr3:uid="{B3A9FEBF-9A71-064E-8291-491AAAB6ED7A}" name="4g-hash-at-both" dataDxfId="59">
      <calculatedColumnFormula array="1">_xlfn.LET(_xlpm.d,P$2:P$13,_xlpm.a,$C$2:$C$13=$C17,_xlpm.b,$D$2:$D$13=$D17,MAX(_xlfn._xlws.FILTER(_xlpm.d,_xlpm.a*_xlpm.b)))</calculatedColumnFormula>
    </tableColumn>
    <tableColumn id="15" xr3:uid="{6749E117-B347-C248-840A-E670BB963BE0}" name="xsk2g-hash-at-both" dataDxfId="58">
      <calculatedColumnFormula array="1">_xlfn.LET(_xlpm.d,Q$2:Q$13,_xlpm.a,$C$2:$C$13=$C17,_xlpm.b,$D$2:$D$13=$D17,MAX(_xlfn._xlws.FILTER(_xlpm.d,_xlpm.a*_xlpm.b)))</calculatedColumnFormula>
    </tableColumn>
    <tableColumn id="16" xr3:uid="{AE2BC05A-0C51-C242-867F-810EC38E454F}" name="xsk3g-hash-at-both" dataDxfId="57">
      <calculatedColumnFormula array="1">_xlfn.LET(_xlpm.d,R$2:R$13,_xlpm.a,$C$2:$C$13=$C17,_xlpm.b,$D$2:$D$13=$D17,MAX(_xlfn._xlws.FILTER(_xlpm.d,_xlpm.a*_xlpm.b)))</calculatedColumnFormula>
    </tableColumn>
    <tableColumn id="17" xr3:uid="{097A0DE5-6D5C-3F49-9F57-471E17FC3F27}" name="xsk4g-hash-at-both" dataDxfId="56">
      <calculatedColumnFormula array="1">_xlfn.LET(_xlpm.d,S$2:S$13,_xlpm.a,$C$2:$C$13=$C17,_xlpm.b,$D$2:$D$13=$D17,MAX(_xlfn._xlws.FILTER(_xlpm.d,_xlpm.a*_xlpm.b)))</calculatedColumnFormula>
    </tableColumn>
    <tableColumn id="18" xr3:uid="{D726387D-10FD-8A49-8359-676FD1959F1E}" name="max" dataDxfId="55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04893E-0C7F-B34D-B05E-3568ECC62386}" name="Table6" displayName="Table6" ref="A1:T13" totalsRowShown="0" headerRowCellStyle="Normal 2" dataCellStyle="Normal 2">
  <autoFilter ref="A1:T13" xr:uid="{F404893E-0C7F-B34D-B05E-3568ECC62386}"/>
  <sortState xmlns:xlrd2="http://schemas.microsoft.com/office/spreadsheetml/2017/richdata2" ref="A2:T13">
    <sortCondition ref="B1:B13"/>
  </sortState>
  <tableColumns count="20">
    <tableColumn id="1" xr3:uid="{F1466910-9C96-714F-9E44-81B86E1DB879}" name="lang" dataCellStyle="Normal 2"/>
    <tableColumn id="2" xr3:uid="{24619FDC-5146-324C-BCF4-6AEAC57FE00C}" name="attribute.index" dataCellStyle="Normal 2"/>
    <tableColumn id="3" xr3:uid="{CCCEA55C-5544-C645-860C-792AD5993823}" name="attribute" dataCellStyle="Normal 2"/>
    <tableColumn id="4" xr3:uid="{065D15E8-7DE7-D343-9EF8-98E2F4D67E21}" name="supplement" dataCellStyle="Normal 2"/>
    <tableColumn id="5" xr3:uid="{58637964-96ED-3B46-AEA2-4E0D34CFEA04}" name="method.index" dataCellStyle="Normal 2"/>
    <tableColumn id="6" xr3:uid="{A3319A49-386C-1F4D-8DCE-529EDD3D254B}" name="method" dataCellStyle="Normal 2"/>
    <tableColumn id="20" xr3:uid="{7AE8D150-2BDE-F245-A410-A4630FCD7BE0}" name="var" dataCellStyle="Normal 2"/>
    <tableColumn id="7" xr3:uid="{6BC5841D-7F94-D34A-892A-6FED6FFB7FA5}" name="2g-no-hash" dataDxfId="54" dataCellStyle="Normal 2"/>
    <tableColumn id="8" xr3:uid="{C396EF49-498E-C64D-B976-306C17A41949}" name="3g-no-hash" dataDxfId="53" dataCellStyle="Normal 2"/>
    <tableColumn id="9" xr3:uid="{1BEC802D-BF3D-C746-8046-2B298BA3EC1B}" name="4g-no-hash" dataDxfId="52" dataCellStyle="Normal 2"/>
    <tableColumn id="10" xr3:uid="{00A707DA-805C-4D4A-B259-F74C8267FC57}" name="xsk2g-no-hash" dataDxfId="51" dataCellStyle="Normal 2"/>
    <tableColumn id="11" xr3:uid="{DDAFAAFD-5109-8845-9978-3E24EE0E2BAD}" name="xsk3g-no-hash" dataDxfId="50" dataCellStyle="Normal 2"/>
    <tableColumn id="12" xr3:uid="{941D7FD2-97C9-8346-AE37-8273A4461B2E}" name="xsk4g-no-hash" dataDxfId="49" dataCellStyle="Normal 2"/>
    <tableColumn id="13" xr3:uid="{7D6A5539-D066-B14B-913F-F1A1ADC0C70F}" name="2g-hash-at-both" dataDxfId="48" dataCellStyle="Normal 2"/>
    <tableColumn id="14" xr3:uid="{6BE1DBD7-C98A-4B46-A7A1-C14660E4E4C5}" name="3g-hash-at-both" dataDxfId="47" dataCellStyle="Normal 2"/>
    <tableColumn id="15" xr3:uid="{61323158-96B1-9647-81E8-1D25C00E0677}" name="4g-hash-at-both" dataDxfId="46" dataCellStyle="Normal 2"/>
    <tableColumn id="16" xr3:uid="{6DEC46A7-1315-E246-8048-38DB515E1F39}" name="xsk2g-hash-at-both" dataDxfId="45" dataCellStyle="Normal 2"/>
    <tableColumn id="17" xr3:uid="{2107CA18-FC74-3842-90A1-D7686BF6B7CC}" name="xsk3g-hash-at-both" dataDxfId="44" dataCellStyle="Normal 2"/>
    <tableColumn id="18" xr3:uid="{30207E0D-88DE-EF46-BAE5-1CDFBF1CC621}" name="xsk4g-hash-at-both" dataDxfId="43" dataCellStyle="Normal 2"/>
    <tableColumn id="19" xr3:uid="{22F38F53-640C-2F48-B54C-2EFCA2FF4315}" name="max" dataDxfId="42" dataCellStyle="Normal 2">
      <calculatedColumnFormula>MAX($H2,$S2)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2E9553-78CF-6445-A601-80A1C0893586}" name="Table2911131719158" displayName="Table2911131719158" ref="B16:T20" totalsRowShown="0">
  <autoFilter ref="B16:T20" xr:uid="{DA2E9553-78CF-6445-A601-80A1C0893586}"/>
  <sortState xmlns:xlrd2="http://schemas.microsoft.com/office/spreadsheetml/2017/richdata2" ref="B17:T20">
    <sortCondition ref="B16:B20"/>
  </sortState>
  <tableColumns count="19">
    <tableColumn id="1" xr3:uid="{6CEEF936-5600-3446-B878-5B4CDFA1F4FC}" name="attribute.index"/>
    <tableColumn id="2" xr3:uid="{CF4B5DEE-3CE4-1B47-B959-C65D4613D5B3}" name="attribute"/>
    <tableColumn id="3" xr3:uid="{F5EEA552-27FD-694A-B422-19F5338B7EF4}" name="supplemented"/>
    <tableColumn id="4" xr3:uid="{CD3CDFD3-A019-D548-9EFD-5479FE404B56}" name="method.index"/>
    <tableColumn id="5" xr3:uid="{BDC0DDAD-800D-924A-8421-0579EE71B73A}" name="method"/>
    <tableColumn id="19" xr3:uid="{D5D87FE2-136B-F747-8950-569CE835EE60}" name="var" dataDxfId="41">
      <calculatedColumnFormula>_xlfn.TEXTJOIN("-",TRUE,Table2911131719158[[#This Row],[attribute]],Table2911131719158[[#This Row],[supplemented]],Table2911131719158[[#This Row],[method]])</calculatedColumnFormula>
    </tableColumn>
    <tableColumn id="6" xr3:uid="{6535F76E-5F14-9246-82E8-070C1ED85B63}" name="2g-no-hash" dataDxfId="40">
      <calculatedColumnFormula array="1">_xlfn.LET(_xlpm.d,H$2:H$13,_xlpm.a,$C$2:$C$13=$C17,_xlpm.b,$D$2:$D$13=$D17,MAX(_xlfn._xlws.FILTER(_xlpm.d,_xlpm.a*_xlpm.b)))</calculatedColumnFormula>
    </tableColumn>
    <tableColumn id="7" xr3:uid="{7A1F6D87-3073-B749-8FAC-7FADA0C65CD4}" name="3g-no-hash" dataDxfId="39">
      <calculatedColumnFormula array="1">_xlfn.LET(_xlpm.d,I$2:I$13,_xlpm.a,$C$2:$C$13=$C17,_xlpm.b,$D$2:$D$13=$D17,MAX(_xlfn._xlws.FILTER(_xlpm.d,_xlpm.a*_xlpm.b)))</calculatedColumnFormula>
    </tableColumn>
    <tableColumn id="8" xr3:uid="{F4BDD639-7C56-B142-8CFE-01F41E9992F3}" name="4g-no-hash" dataDxfId="38">
      <calculatedColumnFormula array="1">_xlfn.LET(_xlpm.d,J$2:J$13,_xlpm.a,$C$2:$C$13=$C17,_xlpm.b,$D$2:$D$13=$D17,MAX(_xlfn._xlws.FILTER(_xlpm.d,_xlpm.a*_xlpm.b)))</calculatedColumnFormula>
    </tableColumn>
    <tableColumn id="9" xr3:uid="{56C9FE27-987E-6543-B8B4-7BC9AE10A5DC}" name="xsk2g-no-hash" dataDxfId="37">
      <calculatedColumnFormula array="1">_xlfn.LET(_xlpm.d,K$2:K$13,_xlpm.a,$C$2:$C$13=$C17,_xlpm.b,$D$2:$D$13=$D17,MAX(_xlfn._xlws.FILTER(_xlpm.d,_xlpm.a*_xlpm.b)))</calculatedColumnFormula>
    </tableColumn>
    <tableColumn id="10" xr3:uid="{AECD639F-7426-D942-B710-BC4A26E93BC1}" name="xsk3g-no-hash" dataDxfId="36">
      <calculatedColumnFormula array="1">_xlfn.LET(_xlpm.d,L$2:L$13,_xlpm.a,$C$2:$C$13=$C17,_xlpm.b,$D$2:$D$13=$D17,MAX(_xlfn._xlws.FILTER(_xlpm.d,_xlpm.a*_xlpm.b)))</calculatedColumnFormula>
    </tableColumn>
    <tableColumn id="11" xr3:uid="{C2E05CDA-9598-A747-B75E-4BB9466636C4}" name="xsk4g-no-hash" dataDxfId="35">
      <calculatedColumnFormula array="1">_xlfn.LET(_xlpm.d,M$2:M$13,_xlpm.a,$C$2:$C$13=$C17,_xlpm.b,$D$2:$D$13=$D17,MAX(_xlfn._xlws.FILTER(_xlpm.d,_xlpm.a*_xlpm.b)))</calculatedColumnFormula>
    </tableColumn>
    <tableColumn id="12" xr3:uid="{40B6DC46-25F3-A243-856E-8C17DA2DB8DA}" name="2g-hash-at-both" dataDxfId="34">
      <calculatedColumnFormula array="1">_xlfn.LET(_xlpm.d,N$2:N$13,_xlpm.a,$C$2:$C$13=$C17,_xlpm.b,$D$2:$D$13=$D17,MAX(_xlfn._xlws.FILTER(_xlpm.d,_xlpm.a*_xlpm.b)))</calculatedColumnFormula>
    </tableColumn>
    <tableColumn id="13" xr3:uid="{4BFBCB3A-2507-FC4A-8159-3D14F54D19A1}" name="3g-hash-at-both" dataDxfId="33">
      <calculatedColumnFormula array="1">_xlfn.LET(_xlpm.d,O$2:O$13,_xlpm.a,$C$2:$C$13=$C17,_xlpm.b,$D$2:$D$13=$D17,MAX(_xlfn._xlws.FILTER(_xlpm.d,_xlpm.a*_xlpm.b)))</calculatedColumnFormula>
    </tableColumn>
    <tableColumn id="14" xr3:uid="{48134F7B-1725-DE40-9059-046925034EBC}" name="4g-hash-at-both" dataDxfId="32">
      <calculatedColumnFormula array="1">_xlfn.LET(_xlpm.d,P$2:P$13,_xlpm.a,$C$2:$C$13=$C17,_xlpm.b,$D$2:$D$13=$D17,MAX(_xlfn._xlws.FILTER(_xlpm.d,_xlpm.a*_xlpm.b)))</calculatedColumnFormula>
    </tableColumn>
    <tableColumn id="15" xr3:uid="{C56DF8EE-60F9-744B-A354-6452538F9C07}" name="xsk2g-hash-at-both" dataDxfId="31">
      <calculatedColumnFormula array="1">_xlfn.LET(_xlpm.d,Q$2:Q$13,_xlpm.a,$C$2:$C$13=$C17,_xlpm.b,$D$2:$D$13=$D17,MAX(_xlfn._xlws.FILTER(_xlpm.d,_xlpm.a*_xlpm.b)))</calculatedColumnFormula>
    </tableColumn>
    <tableColumn id="16" xr3:uid="{71EB6B5D-868D-634E-91B3-3C0CF1AE2B35}" name="xsk3g-hash-at-both" dataDxfId="30">
      <calculatedColumnFormula array="1">_xlfn.LET(_xlpm.d,R$2:R$13,_xlpm.a,$C$2:$C$13=$C17,_xlpm.b,$D$2:$D$13=$D17,MAX(_xlfn._xlws.FILTER(_xlpm.d,_xlpm.a*_xlpm.b)))</calculatedColumnFormula>
    </tableColumn>
    <tableColumn id="17" xr3:uid="{08493AB3-8584-8142-A642-F51DC844559D}" name="xsk4g-hash-at-both" dataDxfId="29">
      <calculatedColumnFormula array="1">_xlfn.LET(_xlpm.d,S$2:S$13,_xlpm.a,$C$2:$C$13=$C17,_xlpm.b,$D$2:$D$13=$D17,MAX(_xlfn._xlws.FILTER(_xlpm.d,_xlpm.a*_xlpm.b)))</calculatedColumnFormula>
    </tableColumn>
    <tableColumn id="18" xr3:uid="{42B563AA-CE90-FC49-9968-FA9EB5117375}" name="max" dataDxfId="28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32BB-871C-A240-B53E-FE280F4A0177}">
  <dimension ref="A1:X33"/>
  <sheetViews>
    <sheetView workbookViewId="0">
      <pane xSplit="9580" ySplit="5440" topLeftCell="A15" activePane="bottomRight"/>
      <selection pane="topRight" activeCell="H1" sqref="H1"/>
      <selection pane="bottomLeft" activeCell="A26" sqref="A26:D29"/>
      <selection pane="bottomRight" activeCell="J22" sqref="J22"/>
    </sheetView>
  </sheetViews>
  <sheetFormatPr baseColWidth="10" defaultRowHeight="25" customHeight="1"/>
  <cols>
    <col min="1" max="4" width="7.5" customWidth="1"/>
    <col min="5" max="5" width="8.375" customWidth="1"/>
    <col min="6" max="6" width="10.375" customWidth="1"/>
    <col min="7" max="7" width="7.5" customWidth="1"/>
    <col min="8" max="8" width="8.125" customWidth="1"/>
    <col min="9" max="9" width="8.375" customWidth="1"/>
    <col min="10" max="10" width="24.375" customWidth="1"/>
    <col min="11" max="22" width="8.875" customWidth="1"/>
  </cols>
  <sheetData>
    <row r="1" spans="1:24" ht="25" customHeight="1">
      <c r="A1" t="s">
        <v>28</v>
      </c>
      <c r="B1" t="s">
        <v>29</v>
      </c>
      <c r="C1" t="s">
        <v>30</v>
      </c>
      <c r="D1" t="s">
        <v>31</v>
      </c>
      <c r="E1" t="s">
        <v>1</v>
      </c>
      <c r="F1" t="s">
        <v>2</v>
      </c>
      <c r="G1" t="s">
        <v>26</v>
      </c>
      <c r="H1" t="s">
        <v>4</v>
      </c>
      <c r="I1" t="s">
        <v>5</v>
      </c>
      <c r="J1" t="s">
        <v>27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32</v>
      </c>
    </row>
    <row r="2" spans="1:24" ht="25" hidden="1" customHeight="1">
      <c r="A2">
        <v>2</v>
      </c>
      <c r="B2" t="s">
        <v>33</v>
      </c>
      <c r="C2">
        <v>3</v>
      </c>
      <c r="D2">
        <v>6</v>
      </c>
      <c r="E2">
        <v>1</v>
      </c>
      <c r="F2" t="s">
        <v>23</v>
      </c>
      <c r="G2" t="b">
        <v>0</v>
      </c>
      <c r="H2">
        <v>0</v>
      </c>
      <c r="I2" t="s">
        <v>18</v>
      </c>
      <c r="J2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ml:2-s3k-plu-spl:F-mgv6</v>
      </c>
      <c r="K2" s="1">
        <v>0.93</v>
      </c>
      <c r="L2" s="1">
        <v>0.94</v>
      </c>
      <c r="M2" s="1">
        <v>0.94</v>
      </c>
      <c r="N2" s="1">
        <v>0.97</v>
      </c>
      <c r="O2" s="1">
        <v>0.94</v>
      </c>
      <c r="P2" s="1">
        <v>0.94</v>
      </c>
      <c r="Q2" s="1">
        <v>0.94</v>
      </c>
      <c r="R2" s="1">
        <v>0.94</v>
      </c>
      <c r="S2" s="1">
        <v>0.95</v>
      </c>
      <c r="T2" s="1">
        <v>0.97</v>
      </c>
      <c r="U2" s="1">
        <v>0.95</v>
      </c>
      <c r="V2" s="1">
        <v>0.98</v>
      </c>
      <c r="W2" s="1">
        <v>0.98</v>
      </c>
      <c r="X2" s="2">
        <f>_xlfn.LET(_xlpm.d,$K2:$V2,GEOMEAN(_xlpm.d))</f>
        <v>0.94904958166266506</v>
      </c>
    </row>
    <row r="3" spans="1:24" ht="25" hidden="1" customHeight="1">
      <c r="A3">
        <v>2</v>
      </c>
      <c r="B3" t="s">
        <v>33</v>
      </c>
      <c r="C3">
        <v>3</v>
      </c>
      <c r="D3">
        <v>6</v>
      </c>
      <c r="E3">
        <v>1</v>
      </c>
      <c r="F3" t="s">
        <v>23</v>
      </c>
      <c r="G3" t="b">
        <v>1</v>
      </c>
      <c r="H3">
        <v>0</v>
      </c>
      <c r="I3" t="s">
        <v>18</v>
      </c>
      <c r="J3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ml:2-s3k-plu-spl:T-mgv6</v>
      </c>
      <c r="K3" s="1">
        <v>0.93</v>
      </c>
      <c r="L3" s="1">
        <v>0.95</v>
      </c>
      <c r="M3" s="1">
        <v>0.94</v>
      </c>
      <c r="N3" s="1">
        <v>0.97</v>
      </c>
      <c r="O3" s="1">
        <v>0.96</v>
      </c>
      <c r="P3" s="1">
        <v>0.94</v>
      </c>
      <c r="Q3" s="1">
        <v>0.95</v>
      </c>
      <c r="R3" s="1">
        <v>0.93</v>
      </c>
      <c r="S3" s="1">
        <v>0.94</v>
      </c>
      <c r="T3" s="1">
        <v>0.96</v>
      </c>
      <c r="U3" s="1">
        <v>0.96</v>
      </c>
      <c r="V3" s="1">
        <v>0.96</v>
      </c>
      <c r="W3" s="1">
        <v>0.96</v>
      </c>
      <c r="X3" s="2">
        <f>_xlfn.LET(_xlpm.d,$K3:$V3,GEOMEAN(_xlpm.d))</f>
        <v>0.94908354678098661</v>
      </c>
    </row>
    <row r="4" spans="1:24" ht="25" hidden="1" customHeight="1">
      <c r="A4">
        <v>0</v>
      </c>
      <c r="B4" t="s">
        <v>33</v>
      </c>
      <c r="C4">
        <v>2</v>
      </c>
      <c r="D4">
        <v>9</v>
      </c>
      <c r="E4">
        <v>2</v>
      </c>
      <c r="F4" t="s">
        <v>22</v>
      </c>
      <c r="G4" t="b">
        <v>0</v>
      </c>
      <c r="H4">
        <v>0</v>
      </c>
      <c r="I4" t="s">
        <v>18</v>
      </c>
      <c r="J4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ml:0-s2k-gen-spl:F-mgv9</v>
      </c>
      <c r="K4" s="1">
        <v>0.8</v>
      </c>
      <c r="L4" s="1">
        <v>0.81</v>
      </c>
      <c r="M4" s="1">
        <v>0.78</v>
      </c>
      <c r="N4" s="1">
        <v>0.78</v>
      </c>
      <c r="O4" s="1">
        <v>0.76</v>
      </c>
      <c r="P4" s="1">
        <v>0.76</v>
      </c>
      <c r="Q4" s="1">
        <v>0.8</v>
      </c>
      <c r="R4" s="1">
        <v>0.79</v>
      </c>
      <c r="S4" s="1">
        <v>0.8</v>
      </c>
      <c r="T4" s="1">
        <v>0.78</v>
      </c>
      <c r="U4" s="1">
        <v>0.8</v>
      </c>
      <c r="V4" s="1">
        <v>0.8</v>
      </c>
      <c r="W4" s="1">
        <v>0.81</v>
      </c>
      <c r="X4" s="2">
        <f>_xlfn.LET(_xlpm.d,$K4:$V4,GEOMEAN(_xlpm.d))</f>
        <v>0.78817517734212839</v>
      </c>
    </row>
    <row r="5" spans="1:24" ht="25" customHeight="1">
      <c r="A5">
        <v>0</v>
      </c>
      <c r="B5" t="s">
        <v>33</v>
      </c>
      <c r="C5">
        <v>2</v>
      </c>
      <c r="D5">
        <v>9</v>
      </c>
      <c r="E5">
        <v>2</v>
      </c>
      <c r="F5" t="s">
        <v>22</v>
      </c>
      <c r="G5" t="b">
        <v>1</v>
      </c>
      <c r="H5">
        <v>0</v>
      </c>
      <c r="I5" t="s">
        <v>18</v>
      </c>
      <c r="J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ml:0-s2k-gen-spl:T-mgv9</v>
      </c>
      <c r="K5" s="1">
        <v>0.8</v>
      </c>
      <c r="L5" s="1">
        <v>0.83</v>
      </c>
      <c r="M5" s="1">
        <v>0.78</v>
      </c>
      <c r="N5" s="1">
        <v>0.81</v>
      </c>
      <c r="O5" s="1">
        <v>0.77</v>
      </c>
      <c r="P5" s="1">
        <v>0.78</v>
      </c>
      <c r="Q5" s="1">
        <v>0.81</v>
      </c>
      <c r="R5" s="1">
        <v>0.77</v>
      </c>
      <c r="S5" s="1">
        <v>0.81</v>
      </c>
      <c r="T5" s="1">
        <v>0.82</v>
      </c>
      <c r="U5" s="1">
        <v>0.8</v>
      </c>
      <c r="V5" s="1">
        <v>0.81</v>
      </c>
      <c r="W5" s="1">
        <v>0.83</v>
      </c>
      <c r="X5" s="2">
        <f>_xlfn.LET(_xlpm.d,$K5:$V5,GEOMEAN(_xlpm.d))</f>
        <v>0.79894194190342138</v>
      </c>
    </row>
    <row r="6" spans="1:24" ht="25" hidden="1" customHeight="1">
      <c r="A6">
        <v>3</v>
      </c>
      <c r="B6" t="s">
        <v>33</v>
      </c>
      <c r="C6">
        <v>2</v>
      </c>
      <c r="D6">
        <v>6</v>
      </c>
      <c r="E6">
        <v>1</v>
      </c>
      <c r="F6" t="s">
        <v>23</v>
      </c>
      <c r="G6" t="b">
        <v>0</v>
      </c>
      <c r="H6">
        <v>0</v>
      </c>
      <c r="I6" t="s">
        <v>18</v>
      </c>
      <c r="J6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ml:3-s2k-plu-spl:F-mgv6</v>
      </c>
      <c r="K6" s="1">
        <v>0.94</v>
      </c>
      <c r="L6" s="1">
        <v>0.93</v>
      </c>
      <c r="M6" s="1">
        <v>0.92</v>
      </c>
      <c r="N6" s="1">
        <v>0.94</v>
      </c>
      <c r="O6" s="1">
        <v>0.94</v>
      </c>
      <c r="P6" s="1">
        <v>0.94</v>
      </c>
      <c r="Q6" s="1">
        <v>0.92</v>
      </c>
      <c r="R6" s="1">
        <v>0.94</v>
      </c>
      <c r="S6" s="1">
        <v>0.94</v>
      </c>
      <c r="T6" s="1">
        <v>0.97</v>
      </c>
      <c r="U6" s="1">
        <v>0.95</v>
      </c>
      <c r="V6" s="1">
        <v>0.93</v>
      </c>
      <c r="W6" s="1">
        <v>0.94</v>
      </c>
      <c r="X6" s="2">
        <f>_xlfn.LET(_xlpm.d,$K6:$V6,GEOMEAN(_xlpm.d))</f>
        <v>0.93824660384416414</v>
      </c>
    </row>
    <row r="7" spans="1:24" ht="25" hidden="1" customHeight="1">
      <c r="A7">
        <v>3</v>
      </c>
      <c r="B7" t="s">
        <v>33</v>
      </c>
      <c r="C7">
        <v>2</v>
      </c>
      <c r="D7">
        <v>6</v>
      </c>
      <c r="E7">
        <v>1</v>
      </c>
      <c r="F7" t="s">
        <v>23</v>
      </c>
      <c r="G7" t="b">
        <v>1</v>
      </c>
      <c r="H7">
        <v>0</v>
      </c>
      <c r="I7" t="s">
        <v>18</v>
      </c>
      <c r="J7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ml:3-s2k-plu-spl:T-mgv6</v>
      </c>
      <c r="K7" s="1">
        <v>0.95</v>
      </c>
      <c r="L7" s="1">
        <v>0.94</v>
      </c>
      <c r="M7" s="1">
        <v>0.91</v>
      </c>
      <c r="N7" s="1">
        <v>0.94</v>
      </c>
      <c r="O7" s="1">
        <v>0.92</v>
      </c>
      <c r="P7" s="1">
        <v>0.94</v>
      </c>
      <c r="Q7" s="1">
        <v>0.92</v>
      </c>
      <c r="R7" s="1">
        <v>0.94</v>
      </c>
      <c r="S7" s="1">
        <v>0.94</v>
      </c>
      <c r="T7" s="1">
        <v>0.96</v>
      </c>
      <c r="U7" s="1">
        <v>0.95</v>
      </c>
      <c r="V7" s="1">
        <v>0.94</v>
      </c>
      <c r="W7" s="1">
        <v>0.95</v>
      </c>
      <c r="X7" s="2">
        <f>_xlfn.LET(_xlpm.d,$K7:$V7,GEOMEAN(_xlpm.d))</f>
        <v>0.9374005795453193</v>
      </c>
    </row>
    <row r="8" spans="1:24" ht="25" hidden="1" customHeight="1">
      <c r="A8">
        <v>2</v>
      </c>
      <c r="B8" t="s">
        <v>33</v>
      </c>
      <c r="C8">
        <v>3</v>
      </c>
      <c r="D8">
        <v>6</v>
      </c>
      <c r="E8">
        <v>2</v>
      </c>
      <c r="F8" t="s">
        <v>22</v>
      </c>
      <c r="G8" t="b">
        <v>0</v>
      </c>
      <c r="H8">
        <v>0</v>
      </c>
      <c r="I8" t="s">
        <v>18</v>
      </c>
      <c r="J8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ml:2-s3k-gen-spl:F-mgv6</v>
      </c>
      <c r="K8" s="1">
        <v>0.78</v>
      </c>
      <c r="L8" s="1">
        <v>0.8</v>
      </c>
      <c r="M8" s="1">
        <v>0.83</v>
      </c>
      <c r="N8" s="1">
        <v>0.8</v>
      </c>
      <c r="O8" s="1">
        <v>0.82</v>
      </c>
      <c r="P8" s="1">
        <v>0.81</v>
      </c>
      <c r="Q8" s="1">
        <v>0.8</v>
      </c>
      <c r="R8" s="1">
        <v>0.79</v>
      </c>
      <c r="S8" s="1">
        <v>0.79</v>
      </c>
      <c r="T8" s="1">
        <v>0.8</v>
      </c>
      <c r="U8" s="1">
        <v>0.82</v>
      </c>
      <c r="V8" s="1">
        <v>0.83</v>
      </c>
      <c r="W8" s="1">
        <v>0.83</v>
      </c>
      <c r="X8" s="2">
        <f>_xlfn.LET(_xlpm.d,$K8:$V8,GEOMEAN(_xlpm.d))</f>
        <v>0.80568411938275897</v>
      </c>
    </row>
    <row r="9" spans="1:24" ht="25" hidden="1" customHeight="1">
      <c r="A9">
        <v>0</v>
      </c>
      <c r="B9" t="s">
        <v>33</v>
      </c>
      <c r="C9">
        <v>1.2</v>
      </c>
      <c r="D9">
        <v>9</v>
      </c>
      <c r="E9">
        <v>2</v>
      </c>
      <c r="F9" t="s">
        <v>22</v>
      </c>
      <c r="G9" t="b">
        <v>1</v>
      </c>
      <c r="H9">
        <v>0</v>
      </c>
      <c r="I9" t="s">
        <v>18</v>
      </c>
      <c r="J9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ml:0-s1.2k-gen-spl:T-mgv9</v>
      </c>
      <c r="K9" s="1">
        <v>0.77</v>
      </c>
      <c r="L9" s="1">
        <v>0.8</v>
      </c>
      <c r="M9" s="1">
        <v>0.69</v>
      </c>
      <c r="N9" s="1">
        <v>0.75</v>
      </c>
      <c r="O9" s="1">
        <v>0.76</v>
      </c>
      <c r="P9" s="1">
        <v>0.75</v>
      </c>
      <c r="Q9" s="1">
        <v>0.73</v>
      </c>
      <c r="R9" s="1">
        <v>0.72</v>
      </c>
      <c r="S9" s="1">
        <v>0.71</v>
      </c>
      <c r="T9" s="1">
        <v>0.79</v>
      </c>
      <c r="U9" s="1">
        <v>0.76</v>
      </c>
      <c r="V9" s="1">
        <v>0.75</v>
      </c>
      <c r="W9" s="1">
        <v>0.8</v>
      </c>
      <c r="X9" s="2">
        <f>_xlfn.LET(_xlpm.d,$K9:$V9,GEOMEAN(_xlpm.d))</f>
        <v>0.74770760488523769</v>
      </c>
    </row>
    <row r="10" spans="1:24" ht="25" hidden="1" customHeight="1">
      <c r="A10">
        <v>0</v>
      </c>
      <c r="B10" t="s">
        <v>33</v>
      </c>
      <c r="C10">
        <v>1.2</v>
      </c>
      <c r="D10">
        <v>9</v>
      </c>
      <c r="E10">
        <v>1</v>
      </c>
      <c r="F10" t="s">
        <v>23</v>
      </c>
      <c r="G10" t="b">
        <v>0</v>
      </c>
      <c r="H10">
        <v>0</v>
      </c>
      <c r="I10" t="s">
        <v>18</v>
      </c>
      <c r="J10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ml:0-s1.2k-plu-spl:F-mgv9</v>
      </c>
      <c r="K10" s="1">
        <v>0.93</v>
      </c>
      <c r="L10" s="1">
        <v>0.9</v>
      </c>
      <c r="M10" s="1">
        <v>0.92</v>
      </c>
      <c r="N10" s="1">
        <v>0.97</v>
      </c>
      <c r="O10" s="1">
        <v>0.96</v>
      </c>
      <c r="P10" s="1">
        <v>0.97</v>
      </c>
      <c r="Q10" s="1">
        <v>0.92</v>
      </c>
      <c r="R10" s="1">
        <v>0.88</v>
      </c>
      <c r="S10" s="1">
        <v>0.98</v>
      </c>
      <c r="T10" s="1">
        <v>0.94</v>
      </c>
      <c r="U10" s="1">
        <v>0.96</v>
      </c>
      <c r="V10" s="1">
        <v>0.95</v>
      </c>
      <c r="W10" s="1">
        <v>0.98</v>
      </c>
      <c r="X10" s="2">
        <f>_xlfn.LET(_xlpm.d,$K10:$V10,GEOMEAN(_xlpm.d))</f>
        <v>0.93953350271557312</v>
      </c>
    </row>
    <row r="11" spans="1:24" ht="25" hidden="1" customHeight="1">
      <c r="A11">
        <v>0</v>
      </c>
      <c r="B11" t="s">
        <v>33</v>
      </c>
      <c r="C11">
        <v>1.2</v>
      </c>
      <c r="D11">
        <v>9</v>
      </c>
      <c r="E11">
        <v>1</v>
      </c>
      <c r="F11" t="s">
        <v>23</v>
      </c>
      <c r="G11" t="b">
        <v>1</v>
      </c>
      <c r="H11">
        <v>0</v>
      </c>
      <c r="I11" t="s">
        <v>18</v>
      </c>
      <c r="J11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ml:0-s1.2k-plu-spl:T-mgv9</v>
      </c>
      <c r="K11" s="1">
        <v>0.94</v>
      </c>
      <c r="L11" s="1">
        <v>0.92</v>
      </c>
      <c r="M11" s="1">
        <v>0.92</v>
      </c>
      <c r="N11" s="1">
        <v>0.97</v>
      </c>
      <c r="O11" s="1">
        <v>0.95</v>
      </c>
      <c r="P11" s="1">
        <v>0.96</v>
      </c>
      <c r="Q11" s="1">
        <v>0.89</v>
      </c>
      <c r="R11" s="1">
        <v>0.88</v>
      </c>
      <c r="S11" s="1">
        <v>0.96</v>
      </c>
      <c r="T11" s="1">
        <v>0.93</v>
      </c>
      <c r="U11" s="1">
        <v>0.97</v>
      </c>
      <c r="V11" s="1">
        <v>0.97</v>
      </c>
      <c r="W11" s="1">
        <v>0.97</v>
      </c>
      <c r="X11" s="2">
        <f>_xlfn.LET(_xlpm.d,$K11:$V11,GEOMEAN(_xlpm.d))</f>
        <v>0.93785716532879404</v>
      </c>
    </row>
    <row r="12" spans="1:24" ht="25" hidden="1" customHeight="1">
      <c r="A12">
        <v>0</v>
      </c>
      <c r="B12" t="s">
        <v>33</v>
      </c>
      <c r="C12">
        <v>1.2</v>
      </c>
      <c r="D12">
        <v>9</v>
      </c>
      <c r="E12">
        <v>2</v>
      </c>
      <c r="F12" t="s">
        <v>22</v>
      </c>
      <c r="G12" t="b">
        <v>0</v>
      </c>
      <c r="H12">
        <v>0</v>
      </c>
      <c r="I12" t="s">
        <v>18</v>
      </c>
      <c r="J12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ml:0-s1.2k-gen-spl:F-mgv9</v>
      </c>
      <c r="K12" s="6">
        <v>0.8</v>
      </c>
      <c r="L12" s="6">
        <v>0.79</v>
      </c>
      <c r="M12" s="6">
        <v>0.7</v>
      </c>
      <c r="N12" s="6">
        <v>0.73</v>
      </c>
      <c r="O12" s="6">
        <v>0.79</v>
      </c>
      <c r="P12" s="6">
        <v>0.73</v>
      </c>
      <c r="Q12" s="6">
        <v>0.78</v>
      </c>
      <c r="R12" s="6">
        <v>0.74</v>
      </c>
      <c r="S12" s="6">
        <v>0.74</v>
      </c>
      <c r="T12" s="6">
        <v>0.82</v>
      </c>
      <c r="U12" s="6">
        <v>0.75</v>
      </c>
      <c r="V12" s="6">
        <v>0.72</v>
      </c>
      <c r="W12" s="6">
        <v>0.82</v>
      </c>
      <c r="X12" s="2">
        <f>_xlfn.LET(_xlpm.d,$K12:$V12,GEOMEAN(_xlpm.d))</f>
        <v>0.75666642775608373</v>
      </c>
    </row>
    <row r="13" spans="1:24" ht="25" customHeight="1">
      <c r="A13">
        <v>2</v>
      </c>
      <c r="B13" t="s">
        <v>33</v>
      </c>
      <c r="C13">
        <v>3</v>
      </c>
      <c r="D13">
        <v>6</v>
      </c>
      <c r="E13">
        <v>2</v>
      </c>
      <c r="F13" t="s">
        <v>22</v>
      </c>
      <c r="G13" t="b">
        <v>1</v>
      </c>
      <c r="H13">
        <v>0</v>
      </c>
      <c r="I13" t="s">
        <v>18</v>
      </c>
      <c r="J13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ml:2-s3k-gen-spl:T-mgv6</v>
      </c>
      <c r="K13" s="6">
        <v>0.81</v>
      </c>
      <c r="L13" s="6">
        <v>0.81</v>
      </c>
      <c r="M13" s="6">
        <v>0.82</v>
      </c>
      <c r="N13" s="6">
        <v>0.79</v>
      </c>
      <c r="O13" s="6">
        <v>0.82</v>
      </c>
      <c r="P13" s="6">
        <v>0.82</v>
      </c>
      <c r="Q13" s="6">
        <v>0.8</v>
      </c>
      <c r="R13" s="6">
        <v>0.79</v>
      </c>
      <c r="S13" s="6">
        <v>0.79</v>
      </c>
      <c r="T13" s="6">
        <v>0.81</v>
      </c>
      <c r="U13" s="6">
        <v>0.83</v>
      </c>
      <c r="V13" s="6">
        <v>0.82</v>
      </c>
      <c r="W13" s="6">
        <v>0.82</v>
      </c>
      <c r="X13" s="2">
        <f>_xlfn.LET(_xlpm.d,$K13:$V13,GEOMEAN(_xlpm.d))</f>
        <v>0.80905861175772853</v>
      </c>
    </row>
    <row r="14" spans="1:24" ht="25" hidden="1" customHeight="1">
      <c r="A14">
        <v>0</v>
      </c>
      <c r="B14" t="s">
        <v>33</v>
      </c>
      <c r="C14">
        <v>2</v>
      </c>
      <c r="D14">
        <v>9</v>
      </c>
      <c r="E14">
        <v>1</v>
      </c>
      <c r="F14" t="s">
        <v>23</v>
      </c>
      <c r="G14" t="b">
        <v>0</v>
      </c>
      <c r="H14">
        <v>0</v>
      </c>
      <c r="I14" t="s">
        <v>18</v>
      </c>
      <c r="J14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ml:0-s2k-plu-spl:F-mgv9</v>
      </c>
      <c r="K14" s="1">
        <v>0.91</v>
      </c>
      <c r="L14" s="1">
        <v>0.92</v>
      </c>
      <c r="M14" s="1">
        <v>0.94</v>
      </c>
      <c r="N14" s="1">
        <v>0.98</v>
      </c>
      <c r="O14" s="1">
        <v>0.96</v>
      </c>
      <c r="P14" s="1">
        <v>0.95</v>
      </c>
      <c r="Q14" s="1">
        <v>0.89</v>
      </c>
      <c r="R14" s="1">
        <v>0.94</v>
      </c>
      <c r="S14" s="1">
        <v>0.93</v>
      </c>
      <c r="T14" s="1">
        <v>0.95</v>
      </c>
      <c r="U14" s="1">
        <v>0.97</v>
      </c>
      <c r="V14" s="1">
        <v>0.94</v>
      </c>
      <c r="W14" s="1">
        <v>0.98</v>
      </c>
      <c r="X14" s="2">
        <f>_xlfn.LET(_xlpm.d,$K14:$V14,GEOMEAN(_xlpm.d))</f>
        <v>0.93968760672020113</v>
      </c>
    </row>
    <row r="15" spans="1:24" ht="25" hidden="1" customHeight="1">
      <c r="A15">
        <v>0</v>
      </c>
      <c r="B15" t="s">
        <v>33</v>
      </c>
      <c r="C15">
        <v>2</v>
      </c>
      <c r="D15">
        <v>9</v>
      </c>
      <c r="E15">
        <v>1</v>
      </c>
      <c r="F15" t="s">
        <v>23</v>
      </c>
      <c r="G15" t="b">
        <v>1</v>
      </c>
      <c r="H15">
        <v>0</v>
      </c>
      <c r="I15" t="s">
        <v>18</v>
      </c>
      <c r="J1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ml:0-s2k-plu-spl:T-mgv9</v>
      </c>
      <c r="K15" s="1">
        <v>0.92</v>
      </c>
      <c r="L15" s="1">
        <v>0.91</v>
      </c>
      <c r="M15" s="1">
        <v>0.93</v>
      </c>
      <c r="N15" s="1">
        <v>0.98</v>
      </c>
      <c r="O15" s="1">
        <v>0.97</v>
      </c>
      <c r="P15" s="1">
        <v>0.94</v>
      </c>
      <c r="Q15" s="1">
        <v>0.92</v>
      </c>
      <c r="R15" s="1">
        <v>0.94</v>
      </c>
      <c r="S15" s="1">
        <v>0.93</v>
      </c>
      <c r="T15" s="1">
        <v>0.95</v>
      </c>
      <c r="U15" s="1">
        <v>0.98</v>
      </c>
      <c r="V15" s="1">
        <v>0.94</v>
      </c>
      <c r="W15" s="1">
        <v>0.98</v>
      </c>
      <c r="X15" s="2">
        <f>_xlfn.LET(_xlpm.d,$K15:$V15,GEOMEAN(_xlpm.d))</f>
        <v>0.94223557986437312</v>
      </c>
    </row>
    <row r="16" spans="1:24" ht="25" hidden="1" customHeight="1">
      <c r="A16">
        <v>2</v>
      </c>
      <c r="B16" t="s">
        <v>33</v>
      </c>
      <c r="C16">
        <v>2</v>
      </c>
      <c r="D16">
        <v>9</v>
      </c>
      <c r="E16">
        <v>2</v>
      </c>
      <c r="F16" t="s">
        <v>22</v>
      </c>
      <c r="G16" t="b">
        <v>0</v>
      </c>
      <c r="H16">
        <v>0</v>
      </c>
      <c r="I16" t="s">
        <v>18</v>
      </c>
      <c r="J16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ml:2-s2k-gen-spl:F-mgv9</v>
      </c>
      <c r="K16" s="6">
        <v>0.76</v>
      </c>
      <c r="L16" s="6">
        <v>0.81</v>
      </c>
      <c r="M16" s="6">
        <v>0.79</v>
      </c>
      <c r="N16" s="6">
        <v>0.75</v>
      </c>
      <c r="O16" s="6">
        <v>0.8</v>
      </c>
      <c r="P16" s="6">
        <v>0.84</v>
      </c>
      <c r="Q16" s="6">
        <v>0.79</v>
      </c>
      <c r="R16" s="6">
        <v>0.81</v>
      </c>
      <c r="S16" s="6">
        <v>0.79</v>
      </c>
      <c r="T16" s="6">
        <v>0.77</v>
      </c>
      <c r="U16" s="6">
        <v>0.79</v>
      </c>
      <c r="V16" s="6">
        <v>0.8</v>
      </c>
      <c r="W16" s="6">
        <v>0.84</v>
      </c>
      <c r="X16" s="2">
        <f>_xlfn.LET(_xlpm.d,$K16:$V16,GEOMEAN(_xlpm.d))</f>
        <v>0.79133177315465819</v>
      </c>
    </row>
    <row r="17" spans="1:24" ht="25" customHeight="1">
      <c r="A17">
        <v>2</v>
      </c>
      <c r="B17" t="s">
        <v>33</v>
      </c>
      <c r="C17">
        <v>2</v>
      </c>
      <c r="D17">
        <v>9</v>
      </c>
      <c r="E17">
        <v>2</v>
      </c>
      <c r="F17" t="s">
        <v>22</v>
      </c>
      <c r="G17" t="b">
        <v>1</v>
      </c>
      <c r="H17">
        <v>0</v>
      </c>
      <c r="I17" t="s">
        <v>18</v>
      </c>
      <c r="J17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ml:2-s2k-gen-spl:T-mgv9</v>
      </c>
      <c r="K17" s="6">
        <v>0.77</v>
      </c>
      <c r="L17" s="6">
        <v>0.81</v>
      </c>
      <c r="M17" s="6">
        <v>0.85</v>
      </c>
      <c r="N17" s="6">
        <v>0.77</v>
      </c>
      <c r="O17" s="6">
        <v>0.8</v>
      </c>
      <c r="P17" s="6">
        <v>0.83</v>
      </c>
      <c r="Q17" s="6">
        <v>0.8</v>
      </c>
      <c r="R17" s="6">
        <v>0.81</v>
      </c>
      <c r="S17" s="6">
        <v>0.82</v>
      </c>
      <c r="T17" s="6">
        <v>0.77</v>
      </c>
      <c r="U17" s="6">
        <v>0.8</v>
      </c>
      <c r="V17" s="6">
        <v>0.81</v>
      </c>
      <c r="W17" s="6">
        <v>0.85</v>
      </c>
      <c r="X17" s="2">
        <f>_xlfn.LET(_xlpm.d,$K17:$V17,GEOMEAN(_xlpm.d))</f>
        <v>0.80298790782904961</v>
      </c>
    </row>
    <row r="18" spans="1:24" ht="25" hidden="1" customHeight="1">
      <c r="A18">
        <v>2</v>
      </c>
      <c r="B18" t="s">
        <v>33</v>
      </c>
      <c r="C18">
        <v>1.2</v>
      </c>
      <c r="D18">
        <v>9</v>
      </c>
      <c r="E18">
        <v>1</v>
      </c>
      <c r="F18" t="s">
        <v>23</v>
      </c>
      <c r="G18" t="b">
        <v>0</v>
      </c>
      <c r="H18">
        <v>0</v>
      </c>
      <c r="I18" t="s">
        <v>18</v>
      </c>
      <c r="J18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ml:2-s1.2k-plu-spl:F-mgv9</v>
      </c>
      <c r="K18" s="1">
        <v>0.93</v>
      </c>
      <c r="L18" s="1">
        <v>0.9</v>
      </c>
      <c r="M18" s="1">
        <v>0.91</v>
      </c>
      <c r="N18" s="1">
        <v>0.97</v>
      </c>
      <c r="O18" s="1">
        <v>0.98</v>
      </c>
      <c r="P18" s="1">
        <v>0.92</v>
      </c>
      <c r="Q18" s="1">
        <v>0.83</v>
      </c>
      <c r="R18" s="1">
        <v>0.94</v>
      </c>
      <c r="S18" s="1">
        <v>0.89</v>
      </c>
      <c r="T18" s="1">
        <v>0.94</v>
      </c>
      <c r="U18" s="1">
        <v>0.99</v>
      </c>
      <c r="V18" s="1">
        <v>0.95</v>
      </c>
      <c r="W18" s="1">
        <v>0.99</v>
      </c>
      <c r="X18" s="2">
        <f>_xlfn.LET(_xlpm.d,$K18:$V18,GEOMEAN(_xlpm.d))</f>
        <v>0.92818865918793503</v>
      </c>
    </row>
    <row r="19" spans="1:24" ht="25" hidden="1" customHeight="1">
      <c r="A19">
        <v>2</v>
      </c>
      <c r="B19" t="s">
        <v>33</v>
      </c>
      <c r="C19">
        <v>1.2</v>
      </c>
      <c r="D19">
        <v>9</v>
      </c>
      <c r="E19">
        <v>1</v>
      </c>
      <c r="F19" t="s">
        <v>23</v>
      </c>
      <c r="G19" t="b">
        <v>1</v>
      </c>
      <c r="H19">
        <v>0</v>
      </c>
      <c r="I19" t="s">
        <v>18</v>
      </c>
      <c r="J19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ml:2-s1.2k-plu-spl:T-mgv9</v>
      </c>
      <c r="K19" s="1">
        <v>0.93</v>
      </c>
      <c r="L19" s="1">
        <v>0.92</v>
      </c>
      <c r="M19" s="1">
        <v>0.92</v>
      </c>
      <c r="N19" s="1">
        <v>0.95</v>
      </c>
      <c r="O19" s="1">
        <v>0.97</v>
      </c>
      <c r="P19" s="1">
        <v>0.91</v>
      </c>
      <c r="Q19" s="1">
        <v>0.86</v>
      </c>
      <c r="R19" s="1">
        <v>0.94</v>
      </c>
      <c r="S19" s="1">
        <v>0.87</v>
      </c>
      <c r="T19" s="1">
        <v>0.95</v>
      </c>
      <c r="U19" s="1">
        <v>0.98</v>
      </c>
      <c r="V19" s="1">
        <v>0.95</v>
      </c>
      <c r="W19" s="1">
        <v>0.98</v>
      </c>
      <c r="X19" s="2">
        <f>_xlfn.LET(_xlpm.d,$K19:$V19,GEOMEAN(_xlpm.d))</f>
        <v>0.9285055732866988</v>
      </c>
    </row>
    <row r="20" spans="1:24" ht="25" hidden="1" customHeight="1">
      <c r="A20">
        <v>2</v>
      </c>
      <c r="B20" t="s">
        <v>33</v>
      </c>
      <c r="C20">
        <v>1.2</v>
      </c>
      <c r="D20">
        <v>9</v>
      </c>
      <c r="E20">
        <v>2</v>
      </c>
      <c r="F20" t="s">
        <v>22</v>
      </c>
      <c r="G20" t="b">
        <v>0</v>
      </c>
      <c r="H20">
        <v>0</v>
      </c>
      <c r="I20" t="s">
        <v>18</v>
      </c>
      <c r="J20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ml:2-s1.2k-gen-spl:F-mgv9</v>
      </c>
      <c r="K20" s="6">
        <v>0.78</v>
      </c>
      <c r="L20" s="6">
        <v>0.78</v>
      </c>
      <c r="M20" s="6">
        <v>0.75</v>
      </c>
      <c r="N20" s="6">
        <v>0.74</v>
      </c>
      <c r="O20" s="6">
        <v>0.78</v>
      </c>
      <c r="P20" s="6">
        <v>0.78</v>
      </c>
      <c r="Q20" s="6">
        <v>0.76</v>
      </c>
      <c r="R20" s="6">
        <v>0.78</v>
      </c>
      <c r="S20" s="6">
        <v>0.78</v>
      </c>
      <c r="T20" s="6">
        <v>0.7</v>
      </c>
      <c r="U20" s="6">
        <v>0.76</v>
      </c>
      <c r="V20" s="6">
        <v>0.82</v>
      </c>
      <c r="W20" s="6">
        <v>0.82</v>
      </c>
      <c r="X20" s="2">
        <f>_xlfn.LET(_xlpm.d,$K20:$V20,GEOMEAN(_xlpm.d))</f>
        <v>0.76697870558153936</v>
      </c>
    </row>
    <row r="21" spans="1:24" ht="25" hidden="1" customHeight="1">
      <c r="A21">
        <v>2</v>
      </c>
      <c r="B21" t="s">
        <v>33</v>
      </c>
      <c r="C21">
        <v>1.2</v>
      </c>
      <c r="D21">
        <v>9</v>
      </c>
      <c r="E21">
        <v>2</v>
      </c>
      <c r="F21" t="s">
        <v>22</v>
      </c>
      <c r="G21" t="b">
        <v>1</v>
      </c>
      <c r="H21">
        <v>0</v>
      </c>
      <c r="I21" t="s">
        <v>18</v>
      </c>
      <c r="J21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ml:2-s1.2k-gen-spl:T-mgv9</v>
      </c>
      <c r="K21" s="2">
        <v>0.82</v>
      </c>
      <c r="L21" s="2">
        <v>0.8</v>
      </c>
      <c r="M21" s="2">
        <v>0.8</v>
      </c>
      <c r="N21" s="2">
        <v>0.77</v>
      </c>
      <c r="O21" s="2">
        <v>0.72</v>
      </c>
      <c r="P21" s="2">
        <v>0.79</v>
      </c>
      <c r="Q21" s="2">
        <v>0.73</v>
      </c>
      <c r="R21" s="2">
        <v>0.82</v>
      </c>
      <c r="S21" s="2">
        <v>0.79</v>
      </c>
      <c r="T21" s="2">
        <v>0.7</v>
      </c>
      <c r="U21" s="2">
        <v>0.79</v>
      </c>
      <c r="V21" s="2">
        <v>0.78</v>
      </c>
      <c r="W21" s="2">
        <v>0.82</v>
      </c>
      <c r="X21" s="2">
        <f>_xlfn.LET(_xlpm.d,$K21:$V21,GEOMEAN(_xlpm.d))</f>
        <v>0.77491185752813041</v>
      </c>
    </row>
    <row r="22" spans="1:24" ht="25" hidden="1" customHeight="1">
      <c r="A22">
        <v>2</v>
      </c>
      <c r="B22" t="s">
        <v>33</v>
      </c>
      <c r="C22">
        <v>2</v>
      </c>
      <c r="D22">
        <v>9</v>
      </c>
      <c r="E22">
        <v>1</v>
      </c>
      <c r="F22" t="s">
        <v>23</v>
      </c>
      <c r="G22" t="b">
        <v>0</v>
      </c>
      <c r="H22">
        <v>0</v>
      </c>
      <c r="I22" t="s">
        <v>18</v>
      </c>
      <c r="J22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ml:2-s2k-plu-spl:F-mgv9</v>
      </c>
      <c r="K22" s="1">
        <v>0.9</v>
      </c>
      <c r="L22" s="1">
        <v>0.95</v>
      </c>
      <c r="M22" s="1">
        <v>0.95</v>
      </c>
      <c r="N22" s="1">
        <v>0.96</v>
      </c>
      <c r="O22" s="1">
        <v>0.95</v>
      </c>
      <c r="P22" s="1">
        <v>0.94</v>
      </c>
      <c r="Q22" s="1">
        <v>0.95</v>
      </c>
      <c r="R22" s="1">
        <v>0.94</v>
      </c>
      <c r="S22" s="1">
        <v>0.94</v>
      </c>
      <c r="T22" s="1">
        <v>0.95</v>
      </c>
      <c r="U22" s="1">
        <v>0.94</v>
      </c>
      <c r="V22" s="1">
        <v>0.96</v>
      </c>
      <c r="W22" s="1">
        <v>0.96</v>
      </c>
      <c r="X22" s="2">
        <f>_xlfn.LET(_xlpm.d,$K22:$V22,GEOMEAN(_xlpm.d))</f>
        <v>0.9440453730761742</v>
      </c>
    </row>
    <row r="23" spans="1:24" ht="25" hidden="1" customHeight="1">
      <c r="A23">
        <v>2</v>
      </c>
      <c r="B23" t="s">
        <v>33</v>
      </c>
      <c r="C23">
        <v>2</v>
      </c>
      <c r="D23">
        <v>9</v>
      </c>
      <c r="E23">
        <v>1</v>
      </c>
      <c r="F23" t="s">
        <v>23</v>
      </c>
      <c r="G23" t="b">
        <v>1</v>
      </c>
      <c r="H23">
        <v>0</v>
      </c>
      <c r="I23" t="s">
        <v>18</v>
      </c>
      <c r="J23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ml:2-s2k-plu-spl:T-mgv9</v>
      </c>
      <c r="K23" s="1">
        <v>0.91</v>
      </c>
      <c r="L23" s="1">
        <v>0.94</v>
      </c>
      <c r="M23" s="1">
        <v>0.94</v>
      </c>
      <c r="N23" s="1">
        <v>0.96</v>
      </c>
      <c r="O23" s="1">
        <v>0.94</v>
      </c>
      <c r="P23" s="1">
        <v>0.96</v>
      </c>
      <c r="Q23" s="1">
        <v>0.94</v>
      </c>
      <c r="R23" s="1">
        <v>0.95</v>
      </c>
      <c r="S23" s="1">
        <v>0.94</v>
      </c>
      <c r="T23" s="1">
        <v>0.95</v>
      </c>
      <c r="U23" s="1">
        <v>0.94</v>
      </c>
      <c r="V23" s="1">
        <v>0.93</v>
      </c>
      <c r="W23" s="1">
        <v>0.96</v>
      </c>
      <c r="X23" s="2">
        <f>_xlfn.LET(_xlpm.d,$K23:$V23,GEOMEAN(_xlpm.d))</f>
        <v>0.94157899502169662</v>
      </c>
    </row>
    <row r="24" spans="1:24" ht="25" hidden="1" customHeight="1">
      <c r="A24">
        <v>3</v>
      </c>
      <c r="B24" t="s">
        <v>33</v>
      </c>
      <c r="C24">
        <v>2</v>
      </c>
      <c r="D24">
        <v>6</v>
      </c>
      <c r="E24">
        <v>2</v>
      </c>
      <c r="F24" t="s">
        <v>22</v>
      </c>
      <c r="G24" t="b">
        <v>0</v>
      </c>
      <c r="H24">
        <v>0</v>
      </c>
      <c r="I24" t="s">
        <v>18</v>
      </c>
      <c r="J24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ml:3-s2k-gen-spl:F-mgv6</v>
      </c>
      <c r="K24" s="6">
        <v>0.79</v>
      </c>
      <c r="L24" s="6">
        <v>0.77</v>
      </c>
      <c r="M24" s="6">
        <v>0.78</v>
      </c>
      <c r="N24" s="6">
        <v>0.81</v>
      </c>
      <c r="O24" s="6">
        <v>0.78</v>
      </c>
      <c r="P24" s="6">
        <v>0.81</v>
      </c>
      <c r="Q24" s="6">
        <v>0.81</v>
      </c>
      <c r="R24" s="6">
        <v>0.77</v>
      </c>
      <c r="S24" s="6">
        <v>0.81</v>
      </c>
      <c r="T24" s="6">
        <v>0.81</v>
      </c>
      <c r="U24" s="6">
        <v>0.8</v>
      </c>
      <c r="V24" s="6">
        <v>0.79</v>
      </c>
      <c r="W24" s="6">
        <v>0.79</v>
      </c>
      <c r="X24" s="2">
        <f>_xlfn.LET(_xlpm.d,$K24:$V24,GEOMEAN(_xlpm.d))</f>
        <v>0.79401430476798596</v>
      </c>
    </row>
    <row r="25" spans="1:24" ht="25" customHeight="1">
      <c r="A25">
        <v>3</v>
      </c>
      <c r="B25" t="s">
        <v>33</v>
      </c>
      <c r="C25">
        <v>2</v>
      </c>
      <c r="D25">
        <v>6</v>
      </c>
      <c r="E25">
        <v>2</v>
      </c>
      <c r="F25" t="s">
        <v>22</v>
      </c>
      <c r="G25" t="b">
        <v>1</v>
      </c>
      <c r="H25">
        <v>0</v>
      </c>
      <c r="I25" t="s">
        <v>18</v>
      </c>
      <c r="J25" s="5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ml:3-s2k-gen-spl:T-mgv6</v>
      </c>
      <c r="K25" s="6">
        <v>0.81</v>
      </c>
      <c r="L25" s="6">
        <v>0.8</v>
      </c>
      <c r="M25" s="6">
        <v>0.79</v>
      </c>
      <c r="N25" s="6">
        <v>0.8</v>
      </c>
      <c r="O25" s="6">
        <v>0.81</v>
      </c>
      <c r="P25" s="6">
        <v>0.81</v>
      </c>
      <c r="Q25" s="6">
        <v>0.79</v>
      </c>
      <c r="R25" s="6">
        <v>0.75</v>
      </c>
      <c r="S25" s="6">
        <v>0.77</v>
      </c>
      <c r="T25" s="6">
        <v>0.81</v>
      </c>
      <c r="U25" s="6">
        <v>0.79</v>
      </c>
      <c r="V25" s="6">
        <v>0.81</v>
      </c>
      <c r="W25" s="6">
        <v>0.81</v>
      </c>
      <c r="X25" s="2">
        <f>_xlfn.LET(_xlpm.d,$K25:$V25,GEOMEAN(_xlpm.d))</f>
        <v>0.79479146411224921</v>
      </c>
    </row>
    <row r="26" spans="1:24" ht="25" hidden="1" customHeight="1">
      <c r="A26">
        <v>3</v>
      </c>
      <c r="B26" t="s">
        <v>33</v>
      </c>
      <c r="C26">
        <v>1.2</v>
      </c>
      <c r="D26">
        <v>9</v>
      </c>
      <c r="E26">
        <v>1</v>
      </c>
      <c r="F26" t="s">
        <v>23</v>
      </c>
      <c r="G26" t="b">
        <v>0</v>
      </c>
      <c r="H26">
        <v>0</v>
      </c>
      <c r="I26" t="s">
        <v>18</v>
      </c>
      <c r="J26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ml:3-s1.2k-plu-spl:F-mgv9</v>
      </c>
      <c r="K26" s="1">
        <v>0.92</v>
      </c>
      <c r="L26" s="1">
        <v>0.96</v>
      </c>
      <c r="M26" s="1">
        <v>0.95</v>
      </c>
      <c r="N26" s="1">
        <v>0.96</v>
      </c>
      <c r="O26" s="1">
        <v>0.98</v>
      </c>
      <c r="P26" s="1">
        <v>0.97</v>
      </c>
      <c r="Q26" s="1">
        <v>0.97</v>
      </c>
      <c r="R26" s="1">
        <v>0.93</v>
      </c>
      <c r="S26" s="1">
        <v>0.93</v>
      </c>
      <c r="T26" s="1">
        <v>0.98</v>
      </c>
      <c r="U26" s="1">
        <v>0.96</v>
      </c>
      <c r="V26" s="1">
        <v>0.95</v>
      </c>
      <c r="W26" s="1">
        <v>0.95</v>
      </c>
      <c r="X26" s="2">
        <f>_xlfn.LET(_xlpm.d,$K26:$V26,GEOMEAN(_xlpm.d))</f>
        <v>0.95481123628463538</v>
      </c>
    </row>
    <row r="27" spans="1:24" ht="25" hidden="1" customHeight="1">
      <c r="A27">
        <v>3</v>
      </c>
      <c r="B27" t="s">
        <v>33</v>
      </c>
      <c r="C27">
        <v>1.2</v>
      </c>
      <c r="D27">
        <v>9</v>
      </c>
      <c r="E27">
        <v>1</v>
      </c>
      <c r="F27" t="s">
        <v>23</v>
      </c>
      <c r="G27" t="b">
        <v>1</v>
      </c>
      <c r="H27">
        <v>0</v>
      </c>
      <c r="I27" t="s">
        <v>18</v>
      </c>
      <c r="J27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ml:3-s1.2k-plu-spl:T-mgv9</v>
      </c>
      <c r="K27" s="1">
        <v>0.96</v>
      </c>
      <c r="L27" s="1">
        <v>0.94</v>
      </c>
      <c r="M27" s="1">
        <v>0.93</v>
      </c>
      <c r="N27" s="1">
        <v>0.97</v>
      </c>
      <c r="O27" s="1">
        <v>0.95</v>
      </c>
      <c r="P27" s="1">
        <v>0.98</v>
      </c>
      <c r="Q27" s="1">
        <v>0.95</v>
      </c>
      <c r="R27" s="1">
        <v>0.95</v>
      </c>
      <c r="S27" s="1">
        <v>0.93</v>
      </c>
      <c r="T27" s="1">
        <v>0.98</v>
      </c>
      <c r="U27" s="1">
        <v>0.95</v>
      </c>
      <c r="V27" s="1">
        <v>0.96</v>
      </c>
      <c r="W27" s="1">
        <v>0.96</v>
      </c>
      <c r="X27" s="2">
        <f>_xlfn.LET(_xlpm.d,$K27:$V27,GEOMEAN(_xlpm.d))</f>
        <v>0.95403185716038019</v>
      </c>
    </row>
    <row r="28" spans="1:24" ht="25" hidden="1" customHeight="1">
      <c r="A28">
        <v>3</v>
      </c>
      <c r="B28" t="s">
        <v>33</v>
      </c>
      <c r="C28">
        <v>1.2</v>
      </c>
      <c r="D28">
        <v>9</v>
      </c>
      <c r="E28">
        <v>2</v>
      </c>
      <c r="F28" t="s">
        <v>22</v>
      </c>
      <c r="G28" t="b">
        <v>0</v>
      </c>
      <c r="H28">
        <v>0</v>
      </c>
      <c r="I28" t="s">
        <v>18</v>
      </c>
      <c r="J28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ml:3-s1.2k-gen-spl:F-mgv9</v>
      </c>
      <c r="K28" s="6">
        <v>0.76</v>
      </c>
      <c r="L28" s="6">
        <v>0.79</v>
      </c>
      <c r="M28" s="6">
        <v>0.74</v>
      </c>
      <c r="N28" s="6">
        <v>0.79</v>
      </c>
      <c r="O28" s="6">
        <v>0.82</v>
      </c>
      <c r="P28" s="6">
        <v>0.82</v>
      </c>
      <c r="Q28" s="6">
        <v>0.79</v>
      </c>
      <c r="R28" s="6">
        <v>0.78</v>
      </c>
      <c r="S28" s="6">
        <v>0.81</v>
      </c>
      <c r="T28" s="6">
        <v>0.78</v>
      </c>
      <c r="U28" s="6">
        <v>0.72</v>
      </c>
      <c r="V28" s="6">
        <v>0.79</v>
      </c>
      <c r="W28" s="6">
        <v>0.79</v>
      </c>
      <c r="X28" s="2">
        <f>_xlfn.LET(_xlpm.d,$K28:$V28,GEOMEAN(_xlpm.d))</f>
        <v>0.78195604594977697</v>
      </c>
    </row>
    <row r="29" spans="1:24" ht="25" hidden="1" customHeight="1">
      <c r="A29">
        <v>3</v>
      </c>
      <c r="B29" t="s">
        <v>33</v>
      </c>
      <c r="C29">
        <v>1.2</v>
      </c>
      <c r="D29">
        <v>9</v>
      </c>
      <c r="E29">
        <v>2</v>
      </c>
      <c r="F29" t="s">
        <v>22</v>
      </c>
      <c r="G29" t="b">
        <v>1</v>
      </c>
      <c r="H29">
        <v>0</v>
      </c>
      <c r="I29" t="s">
        <v>18</v>
      </c>
      <c r="J29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ml:3-s1.2k-gen-spl:T-mgv9</v>
      </c>
      <c r="K29" s="6">
        <v>0.77</v>
      </c>
      <c r="L29" s="6">
        <v>0.8</v>
      </c>
      <c r="M29" s="6">
        <v>0.77</v>
      </c>
      <c r="N29" s="6">
        <v>0.82</v>
      </c>
      <c r="O29" s="6">
        <v>0.84</v>
      </c>
      <c r="P29" s="6">
        <v>0.79</v>
      </c>
      <c r="Q29" s="6">
        <v>0.82</v>
      </c>
      <c r="R29" s="6">
        <v>0.78</v>
      </c>
      <c r="S29" s="6">
        <v>0.81</v>
      </c>
      <c r="T29" s="6">
        <v>0.79</v>
      </c>
      <c r="U29" s="6">
        <v>0.72</v>
      </c>
      <c r="V29" s="6">
        <v>0.78</v>
      </c>
      <c r="W29" s="6">
        <v>0.78</v>
      </c>
      <c r="X29" s="2">
        <f>_xlfn.LET(_xlpm.d,$K29:$V29,GEOMEAN(_xlpm.d))</f>
        <v>0.79025989837357258</v>
      </c>
    </row>
    <row r="30" spans="1:24" ht="25" hidden="1" customHeight="1">
      <c r="A30">
        <v>3</v>
      </c>
      <c r="B30" t="s">
        <v>33</v>
      </c>
      <c r="C30">
        <v>2</v>
      </c>
      <c r="D30">
        <v>9</v>
      </c>
      <c r="E30">
        <v>1</v>
      </c>
      <c r="F30" t="s">
        <v>23</v>
      </c>
      <c r="G30" t="b">
        <v>0</v>
      </c>
      <c r="H30">
        <v>0</v>
      </c>
      <c r="I30" t="s">
        <v>18</v>
      </c>
      <c r="J30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ml:3-s2k-plu-spl:F-mgv9</v>
      </c>
      <c r="K30" s="1">
        <v>0.94</v>
      </c>
      <c r="L30" s="1">
        <v>0.94</v>
      </c>
      <c r="M30" s="1">
        <v>0.94</v>
      </c>
      <c r="N30" s="1">
        <v>0.99</v>
      </c>
      <c r="O30" s="1">
        <v>0.97</v>
      </c>
      <c r="P30" s="1">
        <v>0.96</v>
      </c>
      <c r="Q30" s="1">
        <v>0.93</v>
      </c>
      <c r="R30" s="1">
        <v>0.93</v>
      </c>
      <c r="S30" s="1">
        <v>0.91</v>
      </c>
      <c r="T30" s="1">
        <v>0.96</v>
      </c>
      <c r="U30" s="1">
        <v>0.95</v>
      </c>
      <c r="V30" s="1">
        <v>0.93</v>
      </c>
      <c r="W30" s="1">
        <v>0.99</v>
      </c>
      <c r="X30" s="2">
        <f>_xlfn.LET(_xlpm.d,$K30:$V30,GEOMEAN(_xlpm.d))</f>
        <v>0.94561038527193675</v>
      </c>
    </row>
    <row r="31" spans="1:24" ht="25" hidden="1" customHeight="1">
      <c r="A31">
        <v>3</v>
      </c>
      <c r="B31" t="s">
        <v>33</v>
      </c>
      <c r="C31">
        <v>2</v>
      </c>
      <c r="D31">
        <v>9</v>
      </c>
      <c r="E31">
        <v>1</v>
      </c>
      <c r="F31" t="s">
        <v>23</v>
      </c>
      <c r="G31" t="b">
        <v>1</v>
      </c>
      <c r="H31">
        <v>0</v>
      </c>
      <c r="I31" t="s">
        <v>18</v>
      </c>
      <c r="J31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ml:3-s2k-plu-spl:T-mgv9</v>
      </c>
      <c r="K31" s="1">
        <v>0.92</v>
      </c>
      <c r="L31" s="1">
        <v>0.94</v>
      </c>
      <c r="M31" s="1">
        <v>0.95</v>
      </c>
      <c r="N31" s="1">
        <v>0.96</v>
      </c>
      <c r="O31" s="1">
        <v>0.98</v>
      </c>
      <c r="P31" s="1">
        <v>0.95</v>
      </c>
      <c r="Q31" s="1">
        <v>0.9</v>
      </c>
      <c r="R31" s="1">
        <v>0.93</v>
      </c>
      <c r="S31" s="1">
        <v>0.92</v>
      </c>
      <c r="T31" s="1">
        <v>0.97</v>
      </c>
      <c r="U31" s="1">
        <v>0.94</v>
      </c>
      <c r="V31" s="1">
        <v>0.94</v>
      </c>
      <c r="W31" s="1">
        <v>0.98</v>
      </c>
      <c r="X31" s="2">
        <f>_xlfn.LET(_xlpm.d,$K31:$V31,GEOMEAN(_xlpm.d))</f>
        <v>0.94141997864660987</v>
      </c>
    </row>
    <row r="32" spans="1:24" ht="25" hidden="1" customHeight="1">
      <c r="A32">
        <v>3</v>
      </c>
      <c r="B32" t="s">
        <v>33</v>
      </c>
      <c r="C32">
        <v>2</v>
      </c>
      <c r="D32">
        <v>9</v>
      </c>
      <c r="E32">
        <v>2</v>
      </c>
      <c r="F32" t="s">
        <v>22</v>
      </c>
      <c r="G32" t="b">
        <v>0</v>
      </c>
      <c r="H32">
        <v>0</v>
      </c>
      <c r="I32" t="s">
        <v>18</v>
      </c>
      <c r="J32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ml:3-s2k-gen-spl:F-mgv9</v>
      </c>
      <c r="K32" s="6">
        <v>0.74</v>
      </c>
      <c r="L32" s="6">
        <v>0.8</v>
      </c>
      <c r="M32" s="6">
        <v>0.77</v>
      </c>
      <c r="N32" s="6">
        <v>0.82</v>
      </c>
      <c r="O32" s="6">
        <v>0.81</v>
      </c>
      <c r="P32" s="6">
        <v>0.8</v>
      </c>
      <c r="Q32" s="6">
        <v>0.78</v>
      </c>
      <c r="R32" s="6">
        <v>0.8</v>
      </c>
      <c r="S32" s="6">
        <v>0.79</v>
      </c>
      <c r="T32" s="6">
        <v>0.81</v>
      </c>
      <c r="U32" s="6">
        <v>0.85</v>
      </c>
      <c r="V32" s="6">
        <v>0.79</v>
      </c>
      <c r="W32" s="6">
        <v>0.85</v>
      </c>
      <c r="X32" s="2">
        <f>_xlfn.LET(_xlpm.d,$K32:$V32,GEOMEAN(_xlpm.d))</f>
        <v>0.7962424620095655</v>
      </c>
    </row>
    <row r="33" spans="1:24" ht="25" customHeight="1">
      <c r="A33">
        <v>3</v>
      </c>
      <c r="B33" t="s">
        <v>33</v>
      </c>
      <c r="C33">
        <v>2</v>
      </c>
      <c r="D33">
        <v>9</v>
      </c>
      <c r="E33">
        <v>2</v>
      </c>
      <c r="F33" t="s">
        <v>22</v>
      </c>
      <c r="G33" t="b">
        <v>1</v>
      </c>
      <c r="H33">
        <v>0</v>
      </c>
      <c r="I33" t="s">
        <v>18</v>
      </c>
      <c r="J33" t="str">
        <f>_xlfn.LET(_xlpm.ml,Table10[[#This Row],[ml]],_xlpm.sn,_xlfn.SINGLE(Table10[sample.n]),_xlpm.mgv,_xlfn.SINGLE(Table10[mgv]),_xlpm.attr,LEFT(Table10[[#This Row],[attribute]],3),_xlpm.spl,LEFT(Table10[[#This Row],[supplemented]],1),_xlfn.TEXTJOIN({"","-s","k-","-spl:","-mgv","x"},TRUE,"ml:",_xlpm.ml,_xlpm.sn,_xlpm.attr,_xlpm.spl,_xlpm.mgv))</f>
        <v>ml:3-s2k-gen-spl:T-mgv9</v>
      </c>
      <c r="K33" s="6">
        <v>0.75</v>
      </c>
      <c r="L33" s="6">
        <v>0.82</v>
      </c>
      <c r="M33" s="6">
        <v>0.8</v>
      </c>
      <c r="N33" s="6">
        <v>0.85</v>
      </c>
      <c r="O33" s="6">
        <v>0.82</v>
      </c>
      <c r="P33" s="6">
        <v>0.8</v>
      </c>
      <c r="Q33" s="6">
        <v>0.76</v>
      </c>
      <c r="R33" s="6">
        <v>0.79</v>
      </c>
      <c r="S33" s="6">
        <v>0.8</v>
      </c>
      <c r="T33" s="6">
        <v>0.81</v>
      </c>
      <c r="U33" s="6">
        <v>0.84</v>
      </c>
      <c r="V33" s="6">
        <v>0.8</v>
      </c>
      <c r="W33" s="6">
        <v>0.85</v>
      </c>
      <c r="X33" s="2">
        <f>_xlfn.LET(_xlpm.d,$K33:$V33,GEOMEAN(_xlpm.d))</f>
        <v>0.8028592262379517</v>
      </c>
    </row>
  </sheetData>
  <conditionalFormatting sqref="K2:X3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8E86-DBA8-FA4D-A5AA-651545128BE0}">
  <dimension ref="A1:T20"/>
  <sheetViews>
    <sheetView workbookViewId="0"/>
  </sheetViews>
  <sheetFormatPr baseColWidth="10" defaultRowHeight="25" customHeight="1"/>
  <cols>
    <col min="2" max="2" width="6.375" customWidth="1"/>
    <col min="3" max="3" width="10" customWidth="1"/>
    <col min="4" max="5" width="6.375" customWidth="1"/>
    <col min="6" max="6" width="9.125" customWidth="1"/>
    <col min="7" max="19" width="8.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1</v>
      </c>
      <c r="E2">
        <v>1</v>
      </c>
      <c r="F2" t="s">
        <v>19</v>
      </c>
      <c r="H2" s="2">
        <v>0.87</v>
      </c>
      <c r="I2" s="2">
        <v>0.92</v>
      </c>
      <c r="J2" s="2">
        <v>0.89</v>
      </c>
      <c r="K2" s="2">
        <v>0.85</v>
      </c>
      <c r="L2" s="2">
        <v>0.83</v>
      </c>
      <c r="M2" s="2">
        <v>0.87</v>
      </c>
      <c r="N2" s="2">
        <v>0.89</v>
      </c>
      <c r="O2" s="2">
        <v>0.9</v>
      </c>
      <c r="P2" s="2">
        <v>0.86</v>
      </c>
      <c r="Q2" s="2">
        <v>0.89</v>
      </c>
      <c r="R2" s="2">
        <v>0.87</v>
      </c>
      <c r="S2" s="2">
        <v>0.88</v>
      </c>
      <c r="T2" s="2">
        <f t="shared" ref="T2:T13" si="0">MAX($H2,$S2)</f>
        <v>0.88</v>
      </c>
    </row>
    <row r="3" spans="1:20" ht="25" customHeight="1">
      <c r="A3" t="s">
        <v>24</v>
      </c>
      <c r="B3">
        <v>1</v>
      </c>
      <c r="C3" t="s">
        <v>23</v>
      </c>
      <c r="D3" t="b">
        <v>1</v>
      </c>
      <c r="E3">
        <v>2</v>
      </c>
      <c r="F3" t="s">
        <v>20</v>
      </c>
      <c r="H3" s="2">
        <v>0.93</v>
      </c>
      <c r="I3" s="2">
        <v>0.93</v>
      </c>
      <c r="J3" s="2">
        <v>0.94</v>
      </c>
      <c r="K3" s="2">
        <v>0.95</v>
      </c>
      <c r="L3" s="2">
        <v>0.95</v>
      </c>
      <c r="M3" s="2">
        <v>0.95</v>
      </c>
      <c r="N3" s="2">
        <v>0.94</v>
      </c>
      <c r="O3" s="2">
        <v>0.93</v>
      </c>
      <c r="P3" s="2">
        <v>0.94</v>
      </c>
      <c r="Q3" s="2">
        <v>0.95</v>
      </c>
      <c r="R3" s="2">
        <v>0.94</v>
      </c>
      <c r="S3" s="2">
        <v>0.93</v>
      </c>
      <c r="T3" s="2">
        <f t="shared" si="0"/>
        <v>0.93</v>
      </c>
    </row>
    <row r="4" spans="1:20" ht="25" customHeight="1">
      <c r="A4" t="s">
        <v>24</v>
      </c>
      <c r="B4">
        <v>1</v>
      </c>
      <c r="C4" t="s">
        <v>23</v>
      </c>
      <c r="D4" t="b">
        <v>1</v>
      </c>
      <c r="E4">
        <v>3</v>
      </c>
      <c r="F4" t="s">
        <v>21</v>
      </c>
      <c r="H4" s="2">
        <v>0.94</v>
      </c>
      <c r="I4" s="2">
        <v>0.95</v>
      </c>
      <c r="J4" s="2">
        <v>0.95</v>
      </c>
      <c r="K4" s="2">
        <v>0.96</v>
      </c>
      <c r="L4" s="2">
        <v>0.95</v>
      </c>
      <c r="M4" s="2">
        <v>0.96</v>
      </c>
      <c r="N4" s="2">
        <v>0.94</v>
      </c>
      <c r="O4" s="2">
        <v>0.95</v>
      </c>
      <c r="P4" s="2">
        <v>0.95</v>
      </c>
      <c r="Q4" s="2">
        <v>0.97</v>
      </c>
      <c r="R4" s="2">
        <v>0.95</v>
      </c>
      <c r="S4" s="2">
        <v>0.96</v>
      </c>
      <c r="T4" s="2">
        <f t="shared" si="0"/>
        <v>0.96</v>
      </c>
    </row>
    <row r="5" spans="1:20" ht="25" customHeight="1">
      <c r="A5" t="s">
        <v>24</v>
      </c>
      <c r="B5">
        <v>1</v>
      </c>
      <c r="C5" t="s">
        <v>23</v>
      </c>
      <c r="D5" t="b">
        <v>0</v>
      </c>
      <c r="E5">
        <v>1</v>
      </c>
      <c r="F5" t="s">
        <v>19</v>
      </c>
      <c r="H5" s="2">
        <v>0.9</v>
      </c>
      <c r="I5" s="2">
        <v>0.92</v>
      </c>
      <c r="J5" s="2">
        <v>0.91</v>
      </c>
      <c r="K5" s="2">
        <v>0.92</v>
      </c>
      <c r="L5" s="2">
        <v>0.88</v>
      </c>
      <c r="M5" s="2">
        <v>0.89</v>
      </c>
      <c r="N5" s="2">
        <v>0.88</v>
      </c>
      <c r="O5" s="2">
        <v>0.9</v>
      </c>
      <c r="P5" s="2">
        <v>0.87</v>
      </c>
      <c r="Q5" s="2">
        <v>0.94</v>
      </c>
      <c r="R5" s="2">
        <v>0.89</v>
      </c>
      <c r="S5" s="2">
        <v>0.88</v>
      </c>
      <c r="T5" s="2">
        <f t="shared" si="0"/>
        <v>0.9</v>
      </c>
    </row>
    <row r="6" spans="1:20" ht="25" customHeight="1">
      <c r="A6" t="s">
        <v>24</v>
      </c>
      <c r="B6">
        <v>1</v>
      </c>
      <c r="C6" t="s">
        <v>23</v>
      </c>
      <c r="D6" t="b">
        <v>0</v>
      </c>
      <c r="E6">
        <v>2</v>
      </c>
      <c r="F6" t="s">
        <v>20</v>
      </c>
      <c r="H6" s="2">
        <v>0.93</v>
      </c>
      <c r="I6" s="2">
        <v>0.93</v>
      </c>
      <c r="J6" s="2">
        <v>0.91</v>
      </c>
      <c r="K6" s="2">
        <v>0.95</v>
      </c>
      <c r="L6" s="2">
        <v>0.93</v>
      </c>
      <c r="M6" s="2">
        <v>0.96</v>
      </c>
      <c r="N6" s="2">
        <v>0.94</v>
      </c>
      <c r="O6" s="2">
        <v>0.93</v>
      </c>
      <c r="P6" s="2">
        <v>0.93</v>
      </c>
      <c r="Q6" s="2">
        <v>0.96</v>
      </c>
      <c r="R6" s="2">
        <v>0.94</v>
      </c>
      <c r="S6" s="2">
        <v>0.94</v>
      </c>
      <c r="T6" s="2">
        <f t="shared" si="0"/>
        <v>0.94</v>
      </c>
    </row>
    <row r="7" spans="1:20" ht="25" customHeight="1">
      <c r="A7" t="s">
        <v>24</v>
      </c>
      <c r="B7">
        <v>1</v>
      </c>
      <c r="C7" t="s">
        <v>23</v>
      </c>
      <c r="D7" t="b">
        <v>0</v>
      </c>
      <c r="E7">
        <v>3</v>
      </c>
      <c r="F7" t="s">
        <v>21</v>
      </c>
      <c r="H7" s="2">
        <v>0.92</v>
      </c>
      <c r="I7" s="2">
        <v>0.94</v>
      </c>
      <c r="J7" s="2">
        <v>0.97</v>
      </c>
      <c r="K7" s="2">
        <v>0.95</v>
      </c>
      <c r="L7" s="2">
        <v>0.94</v>
      </c>
      <c r="M7" s="2">
        <v>0.96</v>
      </c>
      <c r="N7" s="2">
        <v>0.93</v>
      </c>
      <c r="O7" s="2">
        <v>0.94</v>
      </c>
      <c r="P7" s="2">
        <v>0.93</v>
      </c>
      <c r="Q7" s="2">
        <v>0.97</v>
      </c>
      <c r="R7" s="2">
        <v>0.94</v>
      </c>
      <c r="S7" s="2">
        <v>0.95</v>
      </c>
      <c r="T7" s="2">
        <f t="shared" si="0"/>
        <v>0.95</v>
      </c>
    </row>
    <row r="8" spans="1:20" ht="25" customHeight="1">
      <c r="A8" t="s">
        <v>24</v>
      </c>
      <c r="B8">
        <v>2</v>
      </c>
      <c r="C8" t="s">
        <v>22</v>
      </c>
      <c r="D8" t="b">
        <v>1</v>
      </c>
      <c r="E8">
        <v>1</v>
      </c>
      <c r="F8" t="s">
        <v>19</v>
      </c>
      <c r="H8" s="2">
        <v>0.73</v>
      </c>
      <c r="I8" s="2">
        <v>0.76</v>
      </c>
      <c r="J8" s="2">
        <v>0.7</v>
      </c>
      <c r="K8" s="2">
        <v>0.74</v>
      </c>
      <c r="L8" s="2">
        <v>0.71</v>
      </c>
      <c r="M8" s="2">
        <v>0.72</v>
      </c>
      <c r="N8" s="2">
        <v>0.74</v>
      </c>
      <c r="O8" s="2">
        <v>0.73</v>
      </c>
      <c r="P8" s="2">
        <v>0.64</v>
      </c>
      <c r="Q8" s="2">
        <v>0.73</v>
      </c>
      <c r="R8" s="2">
        <v>0.75</v>
      </c>
      <c r="S8" s="2">
        <v>0.69</v>
      </c>
      <c r="T8" s="2">
        <f t="shared" si="0"/>
        <v>0.73</v>
      </c>
    </row>
    <row r="9" spans="1:20" ht="25" customHeight="1">
      <c r="A9" t="s">
        <v>24</v>
      </c>
      <c r="B9">
        <v>2</v>
      </c>
      <c r="C9" t="s">
        <v>22</v>
      </c>
      <c r="D9" t="b">
        <v>1</v>
      </c>
      <c r="E9">
        <v>2</v>
      </c>
      <c r="F9" t="s">
        <v>20</v>
      </c>
      <c r="H9" s="2">
        <v>0.82</v>
      </c>
      <c r="I9" s="2">
        <v>0.81</v>
      </c>
      <c r="J9" s="2">
        <v>0.79</v>
      </c>
      <c r="K9" s="2">
        <v>0.82</v>
      </c>
      <c r="L9" s="2">
        <v>0.79</v>
      </c>
      <c r="M9" s="2">
        <v>0.81</v>
      </c>
      <c r="N9" s="2">
        <v>0.82</v>
      </c>
      <c r="O9" s="2">
        <v>0.79</v>
      </c>
      <c r="P9" s="2">
        <v>0.75</v>
      </c>
      <c r="Q9" s="2">
        <v>0.79</v>
      </c>
      <c r="R9" s="2">
        <v>0.8</v>
      </c>
      <c r="S9" s="2">
        <v>0.83</v>
      </c>
      <c r="T9" s="2">
        <f t="shared" si="0"/>
        <v>0.83</v>
      </c>
    </row>
    <row r="10" spans="1:20" ht="25" customHeight="1">
      <c r="A10" t="s">
        <v>24</v>
      </c>
      <c r="B10">
        <v>2</v>
      </c>
      <c r="C10" t="s">
        <v>22</v>
      </c>
      <c r="D10" t="b">
        <v>1</v>
      </c>
      <c r="E10">
        <v>3</v>
      </c>
      <c r="F10" t="s">
        <v>21</v>
      </c>
      <c r="H10" s="2">
        <v>0.82</v>
      </c>
      <c r="I10" s="2">
        <v>0.75</v>
      </c>
      <c r="J10" s="2">
        <v>0.8</v>
      </c>
      <c r="K10" s="2">
        <v>0.83</v>
      </c>
      <c r="L10" s="2">
        <v>0.78</v>
      </c>
      <c r="M10" s="2">
        <v>0.79</v>
      </c>
      <c r="N10" s="2">
        <v>0.82</v>
      </c>
      <c r="O10" s="2">
        <v>0.78</v>
      </c>
      <c r="P10" s="2">
        <v>0.78</v>
      </c>
      <c r="Q10" s="2">
        <v>0.78</v>
      </c>
      <c r="R10" s="2">
        <v>0.79</v>
      </c>
      <c r="S10" s="2">
        <v>0.84</v>
      </c>
      <c r="T10" s="2">
        <f t="shared" si="0"/>
        <v>0.84</v>
      </c>
    </row>
    <row r="11" spans="1:20" ht="25" customHeight="1">
      <c r="A11" t="s">
        <v>24</v>
      </c>
      <c r="B11">
        <v>2</v>
      </c>
      <c r="C11" t="s">
        <v>22</v>
      </c>
      <c r="D11" t="b">
        <v>0</v>
      </c>
      <c r="E11">
        <v>1</v>
      </c>
      <c r="F11" t="s">
        <v>19</v>
      </c>
      <c r="H11" s="2">
        <v>0.74</v>
      </c>
      <c r="I11" s="2">
        <v>0.7</v>
      </c>
      <c r="J11" s="2">
        <v>0.72</v>
      </c>
      <c r="K11" s="2">
        <v>0.72</v>
      </c>
      <c r="L11" s="2">
        <v>0.7</v>
      </c>
      <c r="M11" s="2">
        <v>0.73</v>
      </c>
      <c r="N11" s="2">
        <v>0.76</v>
      </c>
      <c r="O11" s="2">
        <v>0.71</v>
      </c>
      <c r="P11" s="2">
        <v>0.73</v>
      </c>
      <c r="Q11" s="2">
        <v>0.74</v>
      </c>
      <c r="R11" s="2">
        <v>0.7</v>
      </c>
      <c r="S11" s="2">
        <v>0.69</v>
      </c>
      <c r="T11" s="2">
        <f t="shared" si="0"/>
        <v>0.74</v>
      </c>
    </row>
    <row r="12" spans="1:20" ht="25" customHeight="1">
      <c r="A12" t="s">
        <v>24</v>
      </c>
      <c r="B12">
        <v>2</v>
      </c>
      <c r="C12" t="s">
        <v>22</v>
      </c>
      <c r="D12" t="b">
        <v>0</v>
      </c>
      <c r="E12">
        <v>2</v>
      </c>
      <c r="F12" t="s">
        <v>20</v>
      </c>
      <c r="H12" s="2">
        <v>0.82</v>
      </c>
      <c r="I12" s="2">
        <v>0.8</v>
      </c>
      <c r="J12" s="2">
        <v>0.8</v>
      </c>
      <c r="K12" s="2">
        <v>0.81</v>
      </c>
      <c r="L12" s="2">
        <v>0.78</v>
      </c>
      <c r="M12" s="2">
        <v>0.78</v>
      </c>
      <c r="N12" s="2">
        <v>0.81</v>
      </c>
      <c r="O12" s="2">
        <v>0.81</v>
      </c>
      <c r="P12" s="2">
        <v>0.72</v>
      </c>
      <c r="Q12" s="2">
        <v>0.78</v>
      </c>
      <c r="R12" s="2">
        <v>0.8</v>
      </c>
      <c r="S12" s="2">
        <v>0.83</v>
      </c>
      <c r="T12" s="2">
        <f t="shared" si="0"/>
        <v>0.83</v>
      </c>
    </row>
    <row r="13" spans="1:20" ht="25" customHeight="1">
      <c r="A13" t="s">
        <v>24</v>
      </c>
      <c r="B13">
        <v>2</v>
      </c>
      <c r="C13" t="s">
        <v>22</v>
      </c>
      <c r="D13" t="b">
        <v>0</v>
      </c>
      <c r="E13">
        <v>3</v>
      </c>
      <c r="F13" t="s">
        <v>21</v>
      </c>
      <c r="H13" s="2">
        <v>0.77</v>
      </c>
      <c r="I13" s="2">
        <v>0.77</v>
      </c>
      <c r="J13" s="2">
        <v>0.81</v>
      </c>
      <c r="K13" s="2">
        <v>0.8</v>
      </c>
      <c r="L13" s="2">
        <v>0.78</v>
      </c>
      <c r="M13" s="2">
        <v>0.78</v>
      </c>
      <c r="N13" s="2">
        <v>0.81</v>
      </c>
      <c r="O13" s="2">
        <v>0.8</v>
      </c>
      <c r="P13" s="2">
        <v>0.79</v>
      </c>
      <c r="Q13" s="2">
        <v>0.74</v>
      </c>
      <c r="R13" s="2">
        <v>0.78</v>
      </c>
      <c r="S13" s="2">
        <v>0.82</v>
      </c>
      <c r="T13" s="2">
        <f t="shared" si="0"/>
        <v>0.82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1</v>
      </c>
      <c r="E17">
        <v>0</v>
      </c>
      <c r="F17" t="s">
        <v>18</v>
      </c>
      <c r="G17" s="3" t="str">
        <f>_xlfn.TEXTJOIN("-",TRUE,Table291113171912[[#This Row],[attribute]],Table291113171912[[#This Row],[supplemented]],Table291113171912[[#This Row],[method]])</f>
        <v>plurality-TRUE-max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0.95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0.96</v>
      </c>
      <c r="T17" s="1" cm="1">
        <f t="array" ref="T17">_xlfn.LET(_xlpm.d,T$2:T$13,_xlpm.a,$C$2:$C$13=$C17,_xlpm.b,$D$2:$D$13=$D17,MAX(_xlfn._xlws.FILTER(_xlpm.d,_xlpm.a*_xlpm.b)))</f>
        <v>0.96</v>
      </c>
    </row>
    <row r="18" spans="2:20" ht="25" customHeight="1">
      <c r="B18">
        <v>1</v>
      </c>
      <c r="C18" t="s">
        <v>23</v>
      </c>
      <c r="D18" t="b">
        <v>0</v>
      </c>
      <c r="E18">
        <v>0</v>
      </c>
      <c r="F18" t="s">
        <v>18</v>
      </c>
      <c r="G18" t="str">
        <f>_xlfn.TEXTJOIN("-",TRUE,Table291113171912[[#This Row],[attribute]],Table291113171912[[#This Row],[supplemented]],Table291113171912[[#This Row],[method]])</f>
        <v>plurality-FALSE-max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0.97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0.95</v>
      </c>
      <c r="T18" s="1" cm="1">
        <f t="array" ref="T18">_xlfn.LET(_xlpm.d,T$2:T$13,_xlpm.a,$C$2:$C$13=$C18,_xlpm.b,$D$2:$D$13=$D18,MAX(_xlfn._xlws.FILTER(_xlpm.d,_xlpm.a*_xlpm.b)))</f>
        <v>0.95</v>
      </c>
    </row>
    <row r="19" spans="2:20" ht="25" customHeight="1">
      <c r="B19">
        <v>2</v>
      </c>
      <c r="C19" t="s">
        <v>22</v>
      </c>
      <c r="D19" t="b">
        <v>1</v>
      </c>
      <c r="E19">
        <v>0</v>
      </c>
      <c r="F19" t="s">
        <v>18</v>
      </c>
      <c r="G19" t="str">
        <f>_xlfn.TEXTJOIN("-",TRUE,Table291113171912[[#This Row],[attribute]],Table291113171912[[#This Row],[supplemented]],Table291113171912[[#This Row],[method]])</f>
        <v>gender-TRUE-max</v>
      </c>
      <c r="H19" s="1" cm="1">
        <f t="array" ref="H19">_xlfn.LET(_xlpm.d,H$2:H$13,_xlpm.a,$C$2:$C$13=$C19,_xlpm.b,$D$2:$D$13=$D19,MAX(_xlfn._xlws.FILTER(_xlpm.d,_xlpm.a*_xlpm.b)))</f>
        <v>0.82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0.83</v>
      </c>
      <c r="L19" s="1" cm="1">
        <f t="array" ref="L19">_xlfn.LET(_xlpm.d,L$2:L$13,_xlpm.a,$C$2:$C$13=$C19,_xlpm.b,$D$2:$D$13=$D19,MAX(_xlfn._xlws.FILTER(_xlpm.d,_xlpm.a*_xlpm.b)))</f>
        <v>0.79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0.82</v>
      </c>
      <c r="O19" s="1" cm="1">
        <f t="array" ref="O19">_xlfn.LET(_xlpm.d,O$2:O$13,_xlpm.a,$C$2:$C$13=$C19,_xlpm.b,$D$2:$D$13=$D19,MAX(_xlfn._xlws.FILTER(_xlpm.d,_xlpm.a*_xlpm.b)))</f>
        <v>0.79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0.79</v>
      </c>
      <c r="R19" s="1" cm="1">
        <f t="array" ref="R19">_xlfn.LET(_xlpm.d,R$2:R$13,_xlpm.a,$C$2:$C$13=$C19,_xlpm.b,$D$2:$D$13=$D19,MAX(_xlfn._xlws.FILTER(_xlpm.d,_xlpm.a*_xlpm.b)))</f>
        <v>0.8</v>
      </c>
      <c r="S19" s="1" cm="1">
        <f t="array" ref="S19">_xlfn.LET(_xlpm.d,S$2:S$13,_xlpm.a,$C$2:$C$13=$C19,_xlpm.b,$D$2:$D$13=$D19,MAX(_xlfn._xlws.FILTER(_xlpm.d,_xlpm.a*_xlpm.b)))</f>
        <v>0.84</v>
      </c>
      <c r="T19" s="1" cm="1">
        <f t="array" ref="T19">_xlfn.LET(_xlpm.d,T$2:T$13,_xlpm.a,$C$2:$C$13=$C19,_xlpm.b,$D$2:$D$13=$D19,MAX(_xlfn._xlws.FILTER(_xlpm.d,_xlpm.a*_xlpm.b)))</f>
        <v>0.84</v>
      </c>
    </row>
    <row r="20" spans="2:20" ht="25" customHeight="1">
      <c r="B20">
        <v>2</v>
      </c>
      <c r="C20" t="s">
        <v>22</v>
      </c>
      <c r="D20" t="b">
        <v>0</v>
      </c>
      <c r="E20">
        <v>0</v>
      </c>
      <c r="F20" t="s">
        <v>18</v>
      </c>
      <c r="G20" t="str">
        <f>_xlfn.TEXTJOIN("-",TRUE,Table291113171912[[#This Row],[attribute]],Table291113171912[[#This Row],[supplemented]],Table291113171912[[#This Row],[method]])</f>
        <v>gender-FALSE-max</v>
      </c>
      <c r="H20" s="1" cm="1">
        <f t="array" ref="H20">_xlfn.LET(_xlpm.d,H$2:H$13,_xlpm.a,$C$2:$C$13=$C20,_xlpm.b,$D$2:$D$13=$D20,MAX(_xlfn._xlws.FILTER(_xlpm.d,_xlpm.a*_xlpm.b)))</f>
        <v>0.82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0.81</v>
      </c>
      <c r="K20" s="1" cm="1">
        <f t="array" ref="K20">_xlfn.LET(_xlpm.d,K$2:K$13,_xlpm.a,$C$2:$C$13=$C20,_xlpm.b,$D$2:$D$13=$D20,MAX(_xlfn._xlws.FILTER(_xlpm.d,_xlpm.a*_xlpm.b)))</f>
        <v>0.81</v>
      </c>
      <c r="L20" s="1" cm="1">
        <f t="array" ref="L20">_xlfn.LET(_xlpm.d,L$2:L$13,_xlpm.a,$C$2:$C$13=$C20,_xlpm.b,$D$2:$D$13=$D20,MAX(_xlfn._xlws.FILTER(_xlpm.d,_xlpm.a*_xlpm.b)))</f>
        <v>0.78</v>
      </c>
      <c r="M20" s="1" cm="1">
        <f t="array" ref="M20">_xlfn.LET(_xlpm.d,M$2:M$13,_xlpm.a,$C$2:$C$13=$C20,_xlpm.b,$D$2:$D$13=$D20,MAX(_xlfn._xlws.FILTER(_xlpm.d,_xlpm.a*_xlpm.b)))</f>
        <v>0.78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0.81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0.78</v>
      </c>
      <c r="R20" s="1" cm="1">
        <f t="array" ref="R20">_xlfn.LET(_xlpm.d,R$2:R$13,_xlpm.a,$C$2:$C$13=$C20,_xlpm.b,$D$2:$D$13=$D20,MAX(_xlfn._xlws.FILTER(_xlpm.d,_xlpm.a*_xlpm.b)))</f>
        <v>0.8</v>
      </c>
      <c r="S20" s="1" cm="1">
        <f t="array" ref="S20">_xlfn.LET(_xlpm.d,S$2:S$13,_xlpm.a,$C$2:$C$13=$C20,_xlpm.b,$D$2:$D$13=$D20,MAX(_xlfn._xlws.FILTER(_xlpm.d,_xlpm.a*_xlpm.b)))</f>
        <v>0.83</v>
      </c>
      <c r="T20" s="1" cm="1">
        <f t="array" ref="T20">_xlfn.LET(_xlpm.d,T$2:T$13,_xlpm.a,$C$2:$C$13=$C20,_xlpm.b,$D$2:$D$13=$D20,MAX(_xlfn._xlws.FILTER(_xlpm.d,_xlpm.a*_xlpm.b)))</f>
        <v>0.83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4210-CFEF-274D-9AB7-DFA6A7CD2770}">
  <dimension ref="A1:T20"/>
  <sheetViews>
    <sheetView workbookViewId="0"/>
  </sheetViews>
  <sheetFormatPr baseColWidth="10" defaultRowHeight="25" customHeight="1"/>
  <cols>
    <col min="2" max="5" width="8.875" customWidth="1"/>
    <col min="7" max="19" width="9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0.9</v>
      </c>
      <c r="I2" s="2">
        <v>0.87</v>
      </c>
      <c r="J2" s="2">
        <v>0.88</v>
      </c>
      <c r="K2" s="2">
        <v>0.93</v>
      </c>
      <c r="L2" s="2">
        <v>0.93</v>
      </c>
      <c r="M2" s="2">
        <v>0.89</v>
      </c>
      <c r="N2" s="2">
        <v>0.88</v>
      </c>
      <c r="O2" s="2">
        <v>0.9</v>
      </c>
      <c r="P2" s="2">
        <v>0.91</v>
      </c>
      <c r="Q2" s="2">
        <v>0.91</v>
      </c>
      <c r="R2" s="2">
        <v>0.9</v>
      </c>
      <c r="S2" s="2">
        <v>0.8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0.92</v>
      </c>
      <c r="I3" s="2">
        <v>0.93</v>
      </c>
      <c r="J3" s="2">
        <v>0.92</v>
      </c>
      <c r="K3" s="2">
        <v>0.95</v>
      </c>
      <c r="L3" s="2">
        <v>0.95</v>
      </c>
      <c r="M3" s="2">
        <v>0.94</v>
      </c>
      <c r="N3" s="2">
        <v>0.9</v>
      </c>
      <c r="O3" s="2">
        <v>0.93</v>
      </c>
      <c r="P3" s="2">
        <v>0.9</v>
      </c>
      <c r="Q3" s="2">
        <v>0.95</v>
      </c>
      <c r="R3" s="2">
        <v>0.95</v>
      </c>
      <c r="S3" s="2">
        <v>0.93</v>
      </c>
      <c r="T3" s="2">
        <f t="shared" si="0"/>
        <v>0.95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0.94</v>
      </c>
      <c r="I4" s="2">
        <v>0.94</v>
      </c>
      <c r="J4" s="2">
        <v>0.94</v>
      </c>
      <c r="K4" s="2">
        <v>0.99</v>
      </c>
      <c r="L4" s="2">
        <v>0.97</v>
      </c>
      <c r="M4" s="2">
        <v>0.96</v>
      </c>
      <c r="N4" s="2">
        <v>0.93</v>
      </c>
      <c r="O4" s="2">
        <v>0.91</v>
      </c>
      <c r="P4" s="2">
        <v>0.89</v>
      </c>
      <c r="Q4" s="2">
        <v>0.96</v>
      </c>
      <c r="R4" s="2">
        <v>0.95</v>
      </c>
      <c r="S4" s="2">
        <v>0.92</v>
      </c>
      <c r="T4" s="2">
        <f t="shared" si="0"/>
        <v>0.99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0.89</v>
      </c>
      <c r="I5" s="2">
        <v>0.89</v>
      </c>
      <c r="J5" s="2">
        <v>0.89</v>
      </c>
      <c r="K5" s="2">
        <v>0.92</v>
      </c>
      <c r="L5" s="2">
        <v>0.88</v>
      </c>
      <c r="M5" s="2">
        <v>0.86</v>
      </c>
      <c r="N5" s="2">
        <v>0.9</v>
      </c>
      <c r="O5" s="2">
        <v>0.89</v>
      </c>
      <c r="P5" s="2">
        <v>0.88</v>
      </c>
      <c r="Q5" s="2">
        <v>0.9</v>
      </c>
      <c r="R5" s="2">
        <v>0.83</v>
      </c>
      <c r="S5" s="2">
        <v>0.84</v>
      </c>
      <c r="T5" s="2">
        <f t="shared" si="0"/>
        <v>0.92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0.91</v>
      </c>
      <c r="I6" s="2">
        <v>0.91</v>
      </c>
      <c r="J6" s="2">
        <v>0.93</v>
      </c>
      <c r="K6" s="2">
        <v>0.94</v>
      </c>
      <c r="L6" s="2">
        <v>0.96</v>
      </c>
      <c r="M6" s="2">
        <v>0.94</v>
      </c>
      <c r="N6" s="2">
        <v>0.9</v>
      </c>
      <c r="O6" s="2">
        <v>0.93</v>
      </c>
      <c r="P6" s="2">
        <v>0.92</v>
      </c>
      <c r="Q6" s="2">
        <v>0.97</v>
      </c>
      <c r="R6" s="2">
        <v>0.94</v>
      </c>
      <c r="S6" s="2">
        <v>0.92</v>
      </c>
      <c r="T6" s="2">
        <f t="shared" si="0"/>
        <v>0.97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0.92</v>
      </c>
      <c r="I7" s="2">
        <v>0.94</v>
      </c>
      <c r="J7" s="2">
        <v>0.95</v>
      </c>
      <c r="K7" s="2">
        <v>0.96</v>
      </c>
      <c r="L7" s="2">
        <v>0.98</v>
      </c>
      <c r="M7" s="2">
        <v>0.95</v>
      </c>
      <c r="N7" s="2">
        <v>0.9</v>
      </c>
      <c r="O7" s="2">
        <v>0.93</v>
      </c>
      <c r="P7" s="2">
        <v>0.9</v>
      </c>
      <c r="Q7" s="2">
        <v>0.96</v>
      </c>
      <c r="R7" s="2">
        <v>0.94</v>
      </c>
      <c r="S7" s="2">
        <v>0.94</v>
      </c>
      <c r="T7" s="2">
        <f t="shared" si="0"/>
        <v>0.98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0.67</v>
      </c>
      <c r="I8" s="2">
        <v>0.66</v>
      </c>
      <c r="J8" s="2">
        <v>0.76</v>
      </c>
      <c r="K8" s="2">
        <v>0.76</v>
      </c>
      <c r="L8" s="2">
        <v>0.67</v>
      </c>
      <c r="M8" s="2">
        <v>0.61</v>
      </c>
      <c r="N8" s="2">
        <v>0.69</v>
      </c>
      <c r="O8" s="2">
        <v>0.68</v>
      </c>
      <c r="P8" s="2">
        <v>0.69</v>
      </c>
      <c r="Q8" s="2">
        <v>0.69</v>
      </c>
      <c r="R8" s="2">
        <v>0.67</v>
      </c>
      <c r="S8" s="2">
        <v>0.69</v>
      </c>
      <c r="T8" s="2">
        <f t="shared" si="0"/>
        <v>0.76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0.74</v>
      </c>
      <c r="I9" s="2">
        <v>0.8</v>
      </c>
      <c r="J9" s="2">
        <v>0.77</v>
      </c>
      <c r="K9" s="2">
        <v>0.82</v>
      </c>
      <c r="L9" s="2">
        <v>0.81</v>
      </c>
      <c r="M9" s="2">
        <v>0.8</v>
      </c>
      <c r="N9" s="2">
        <v>0.78</v>
      </c>
      <c r="O9" s="2">
        <v>0.8</v>
      </c>
      <c r="P9" s="2">
        <v>0.79</v>
      </c>
      <c r="Q9" s="2">
        <v>0.81</v>
      </c>
      <c r="R9" s="2">
        <v>0.85</v>
      </c>
      <c r="S9" s="2">
        <v>0.77</v>
      </c>
      <c r="T9" s="2">
        <f t="shared" si="0"/>
        <v>0.85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0.72</v>
      </c>
      <c r="I10" s="2">
        <v>0.77</v>
      </c>
      <c r="J10" s="2">
        <v>0.77</v>
      </c>
      <c r="K10" s="2">
        <v>0.82</v>
      </c>
      <c r="L10" s="2">
        <v>0.74</v>
      </c>
      <c r="M10" s="2">
        <v>0.76</v>
      </c>
      <c r="N10" s="2">
        <v>0.73</v>
      </c>
      <c r="O10" s="2">
        <v>0.71</v>
      </c>
      <c r="P10" s="2">
        <v>0.79</v>
      </c>
      <c r="Q10" s="2">
        <v>0.78</v>
      </c>
      <c r="R10" s="2">
        <v>0.79</v>
      </c>
      <c r="S10" s="2">
        <v>0.79</v>
      </c>
      <c r="T10" s="2">
        <f t="shared" si="0"/>
        <v>0.82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0.69</v>
      </c>
      <c r="I11" s="2">
        <v>0.72</v>
      </c>
      <c r="J11" s="2">
        <v>0.75</v>
      </c>
      <c r="K11" s="2">
        <v>0.75</v>
      </c>
      <c r="L11" s="2">
        <v>0.69</v>
      </c>
      <c r="M11" s="2">
        <v>0.66</v>
      </c>
      <c r="N11" s="2">
        <v>0.68</v>
      </c>
      <c r="O11" s="2">
        <v>0.73</v>
      </c>
      <c r="P11" s="2">
        <v>0.7</v>
      </c>
      <c r="Q11" s="2">
        <v>0.69</v>
      </c>
      <c r="R11" s="2">
        <v>0.65</v>
      </c>
      <c r="S11" s="2">
        <v>0.71</v>
      </c>
      <c r="T11" s="2">
        <f t="shared" si="0"/>
        <v>0.75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0.75</v>
      </c>
      <c r="I12" s="2">
        <v>0.82</v>
      </c>
      <c r="J12" s="2">
        <v>0.8</v>
      </c>
      <c r="K12" s="2">
        <v>0.85</v>
      </c>
      <c r="L12" s="2">
        <v>0.82</v>
      </c>
      <c r="M12" s="2">
        <v>0.8</v>
      </c>
      <c r="N12" s="2">
        <v>0.74</v>
      </c>
      <c r="O12" s="2">
        <v>0.79</v>
      </c>
      <c r="P12" s="2">
        <v>0.8</v>
      </c>
      <c r="Q12" s="2">
        <v>0.81</v>
      </c>
      <c r="R12" s="2">
        <v>0.84</v>
      </c>
      <c r="S12" s="2">
        <v>0.8</v>
      </c>
      <c r="T12" s="2">
        <f t="shared" si="0"/>
        <v>0.85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0.73</v>
      </c>
      <c r="I13" s="2">
        <v>0.78</v>
      </c>
      <c r="J13" s="2">
        <v>0.77</v>
      </c>
      <c r="K13" s="2">
        <v>0.83</v>
      </c>
      <c r="L13" s="2">
        <v>0.79</v>
      </c>
      <c r="M13" s="2">
        <v>0.77</v>
      </c>
      <c r="N13" s="2">
        <v>0.76</v>
      </c>
      <c r="O13" s="2">
        <v>0.76</v>
      </c>
      <c r="P13" s="2">
        <v>0.76</v>
      </c>
      <c r="Q13" s="2">
        <v>0.8</v>
      </c>
      <c r="R13" s="2">
        <v>0.82</v>
      </c>
      <c r="S13" s="2">
        <v>0.79</v>
      </c>
      <c r="T13" s="2">
        <f t="shared" si="0"/>
        <v>0.83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_xlfn.TEXTJOIN("-",TRUE,Table2911131719[[#This Row],[attribute]],Table2911131719[[#This Row],[supplemented]],Table2911131719[[#This Row],[method]])</f>
        <v>plurality-FALSE-max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0.99</v>
      </c>
      <c r="L17" s="1" cm="1">
        <f t="array" ref="L17">_xlfn.LET(_xlpm.d,L$2:L$13,_xlpm.a,$C$2:$C$13=$C17,_xlpm.b,$D$2:$D$13=$D17,MAX(_xlfn._xlws.FILTER(_xlpm.d,_xlpm.a*_xlpm.b)))</f>
        <v>0.97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0.91</v>
      </c>
      <c r="Q17" s="1" cm="1">
        <f t="array" ref="Q17">_xlfn.LET(_xlpm.d,Q$2:Q$13,_xlpm.a,$C$2:$C$13=$C17,_xlpm.b,$D$2:$D$13=$D17,MAX(_xlfn._xlws.FILTER(_xlpm.d,_xlpm.a*_xlpm.b)))</f>
        <v>0.96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0.93</v>
      </c>
      <c r="T17" s="1" cm="1">
        <f t="array" ref="T17">_xlfn.LET(_xlpm.d,T$2:T$13,_xlpm.a,$C$2:$C$13=$C17,_xlpm.b,$D$2:$D$13=$D17,MAX(_xlfn._xlws.FILTER(_xlpm.d,_xlpm.a*_xlpm.b)))</f>
        <v>0.99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_xlfn.TEXTJOIN("-",TRUE,Table2911131719[[#This Row],[attribute]],Table2911131719[[#This Row],[supplemented]],Table2911131719[[#This Row],[method]])</f>
        <v>plurality-TRUE-max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0.98</v>
      </c>
      <c r="M18" s="1" cm="1">
        <f t="array" ref="M18">_xlfn.LET(_xlpm.d,M$2:M$13,_xlpm.a,$C$2:$C$13=$C18,_xlpm.b,$D$2:$D$13=$D18,MAX(_xlfn._xlws.FILTER(_xlpm.d,_xlpm.a*_xlpm.b)))</f>
        <v>0.95</v>
      </c>
      <c r="N18" s="1" cm="1">
        <f t="array" ref="N18">_xlfn.LET(_xlpm.d,N$2:N$13,_xlpm.a,$C$2:$C$13=$C18,_xlpm.b,$D$2:$D$13=$D18,MAX(_xlfn._xlws.FILTER(_xlpm.d,_xlpm.a*_xlpm.b)))</f>
        <v>0.9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0.92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0.94</v>
      </c>
      <c r="T18" s="1" cm="1">
        <f t="array" ref="T18">_xlfn.LET(_xlpm.d,T$2:T$13,_xlpm.a,$C$2:$C$13=$C18,_xlpm.b,$D$2:$D$13=$D18,MAX(_xlfn._xlws.FILTER(_xlpm.d,_xlpm.a*_xlpm.b)))</f>
        <v>0.98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_xlfn.TEXTJOIN("-",TRUE,Table2911131719[[#This Row],[attribute]],Table2911131719[[#This Row],[supplemented]],Table2911131719[[#This Row],[method]])</f>
        <v>gender-FALSE-max</v>
      </c>
      <c r="H19" s="1" cm="1">
        <f t="array" ref="H19">_xlfn.LET(_xlpm.d,H$2:H$13,_xlpm.a,$C$2:$C$13=$C19,_xlpm.b,$D$2:$D$13=$D19,MAX(_xlfn._xlws.FILTER(_xlpm.d,_xlpm.a*_xlpm.b)))</f>
        <v>0.74</v>
      </c>
      <c r="I19" s="1" cm="1">
        <f t="array" ref="I19">_xlfn.LET(_xlpm.d,I$2:I$13,_xlpm.a,$C$2:$C$13=$C19,_xlpm.b,$D$2:$D$13=$D19,MAX(_xlfn._xlws.FILTER(_xlpm.d,_xlpm.a*_xlpm.b)))</f>
        <v>0.8</v>
      </c>
      <c r="J19" s="1" cm="1">
        <f t="array" ref="J19">_xlfn.LET(_xlpm.d,J$2:J$13,_xlpm.a,$C$2:$C$13=$C19,_xlpm.b,$D$2:$D$13=$D19,MAX(_xlfn._xlws.FILTER(_xlpm.d,_xlpm.a*_xlpm.b)))</f>
        <v>0.77</v>
      </c>
      <c r="K19" s="1" cm="1">
        <f t="array" ref="K19">_xlfn.LET(_xlpm.d,K$2:K$13,_xlpm.a,$C$2:$C$13=$C19,_xlpm.b,$D$2:$D$13=$D19,MAX(_xlfn._xlws.FILTER(_xlpm.d,_xlpm.a*_xlpm.b)))</f>
        <v>0.82</v>
      </c>
      <c r="L19" s="1" cm="1">
        <f t="array" ref="L19">_xlfn.LET(_xlpm.d,L$2:L$13,_xlpm.a,$C$2:$C$13=$C19,_xlpm.b,$D$2:$D$13=$D19,MAX(_xlfn._xlws.FILTER(_xlpm.d,_xlpm.a*_xlpm.b)))</f>
        <v>0.81</v>
      </c>
      <c r="M19" s="1" cm="1">
        <f t="array" ref="M19">_xlfn.LET(_xlpm.d,M$2:M$13,_xlpm.a,$C$2:$C$13=$C19,_xlpm.b,$D$2:$D$13=$D19,MAX(_xlfn._xlws.FILTER(_xlpm.d,_xlpm.a*_xlpm.b)))</f>
        <v>0.8</v>
      </c>
      <c r="N19" s="1" cm="1">
        <f t="array" ref="N19">_xlfn.LET(_xlpm.d,N$2:N$13,_xlpm.a,$C$2:$C$13=$C19,_xlpm.b,$D$2:$D$13=$D19,MAX(_xlfn._xlws.FILTER(_xlpm.d,_xlpm.a*_xlpm.b)))</f>
        <v>0.78</v>
      </c>
      <c r="O19" s="1" cm="1">
        <f t="array" ref="O19">_xlfn.LET(_xlpm.d,O$2:O$13,_xlpm.a,$C$2:$C$13=$C19,_xlpm.b,$D$2:$D$13=$D19,MAX(_xlfn._xlws.FILTER(_xlpm.d,_xlpm.a*_xlpm.b)))</f>
        <v>0.8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0.81</v>
      </c>
      <c r="R19" s="1" cm="1">
        <f t="array" ref="R19">_xlfn.LET(_xlpm.d,R$2:R$13,_xlpm.a,$C$2:$C$13=$C19,_xlpm.b,$D$2:$D$13=$D19,MAX(_xlfn._xlws.FILTER(_xlpm.d,_xlpm.a*_xlpm.b)))</f>
        <v>0.85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0.85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_xlfn.TEXTJOIN("-",TRUE,Table2911131719[[#This Row],[attribute]],Table2911131719[[#This Row],[supplemented]],Table2911131719[[#This Row],[method]])</f>
        <v>gender-TRUE-max</v>
      </c>
      <c r="H20" s="1" cm="1">
        <f t="array" ref="H20">_xlfn.LET(_xlpm.d,H$2:H$13,_xlpm.a,$C$2:$C$13=$C20,_xlpm.b,$D$2:$D$13=$D20,MAX(_xlfn._xlws.FILTER(_xlpm.d,_xlpm.a*_xlpm.b)))</f>
        <v>0.75</v>
      </c>
      <c r="I20" s="1" cm="1">
        <f t="array" ref="I20">_xlfn.LET(_xlpm.d,I$2:I$13,_xlpm.a,$C$2:$C$13=$C20,_xlpm.b,$D$2:$D$13=$D20,MAX(_xlfn._xlws.FILTER(_xlpm.d,_xlpm.a*_xlpm.b)))</f>
        <v>0.82</v>
      </c>
      <c r="J20" s="1" cm="1">
        <f t="array" ref="J20">_xlfn.LET(_xlpm.d,J$2:J$13,_xlpm.a,$C$2:$C$13=$C20,_xlpm.b,$D$2:$D$13=$D20,MAX(_xlfn._xlws.FILTER(_xlpm.d,_xlpm.a*_xlpm.b)))</f>
        <v>0.8</v>
      </c>
      <c r="K20" s="1" cm="1">
        <f t="array" ref="K20">_xlfn.LET(_xlpm.d,K$2:K$13,_xlpm.a,$C$2:$C$13=$C20,_xlpm.b,$D$2:$D$13=$D20,MAX(_xlfn._xlws.FILTER(_xlpm.d,_xlpm.a*_xlpm.b)))</f>
        <v>0.85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</v>
      </c>
      <c r="N20" s="1" cm="1">
        <f t="array" ref="N20">_xlfn.LET(_xlpm.d,N$2:N$13,_xlpm.a,$C$2:$C$13=$C20,_xlpm.b,$D$2:$D$13=$D20,MAX(_xlfn._xlws.FILTER(_xlpm.d,_xlpm.a*_xlpm.b)))</f>
        <v>0.76</v>
      </c>
      <c r="O20" s="1" cm="1">
        <f t="array" ref="O20">_xlfn.LET(_xlpm.d,O$2:O$13,_xlpm.a,$C$2:$C$13=$C20,_xlpm.b,$D$2:$D$13=$D20,MAX(_xlfn._xlws.FILTER(_xlpm.d,_xlpm.a*_xlpm.b)))</f>
        <v>0.79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0.84</v>
      </c>
      <c r="S20" s="1" cm="1">
        <f t="array" ref="S20">_xlfn.LET(_xlpm.d,S$2:S$13,_xlpm.a,$C$2:$C$13=$C20,_xlpm.b,$D$2:$D$13=$D20,MAX(_xlfn._xlws.FILTER(_xlpm.d,_xlpm.a*_xlpm.b)))</f>
        <v>0.8</v>
      </c>
      <c r="T20" s="1" cm="1">
        <f t="array" ref="T20">_xlfn.LET(_xlpm.d,T$2:T$13,_xlpm.a,$C$2:$C$13=$C20,_xlpm.b,$D$2:$D$13=$D20,MAX(_xlfn._xlws.FILTER(_xlpm.d,_xlpm.a*_xlpm.b)))</f>
        <v>0.85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C0D1-C031-6A48-9AAE-A83E9BD21175}">
  <dimension ref="A1:T20"/>
  <sheetViews>
    <sheetView tabSelected="1" workbookViewId="0">
      <pane xSplit="12480" ySplit="1820" topLeftCell="O4" activePane="bottomLeft"/>
      <selection sqref="A1:XFD1048576"/>
      <selection pane="topRight" activeCell="S3" sqref="S3"/>
      <selection pane="bottomLeft" activeCell="H17" sqref="H17:T20"/>
      <selection pane="bottomRight" activeCell="Q15" sqref="Q15"/>
    </sheetView>
  </sheetViews>
  <sheetFormatPr baseColWidth="10" defaultRowHeight="25" customHeight="1"/>
  <cols>
    <col min="1" max="1" width="10.625" style="4"/>
    <col min="2" max="2" width="8.875" style="4" customWidth="1"/>
    <col min="3" max="3" width="10.625" style="4"/>
    <col min="4" max="4" width="12.75" style="4" customWidth="1"/>
    <col min="5" max="5" width="6.25" style="4" customWidth="1"/>
    <col min="6" max="6" width="10.625" style="4"/>
    <col min="7" max="19" width="9.625" style="4" customWidth="1"/>
    <col min="20" max="16384" width="10.625" style="4"/>
  </cols>
  <sheetData>
    <row r="1" spans="1:20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25" customHeight="1">
      <c r="A2" s="4" t="s">
        <v>24</v>
      </c>
      <c r="B2" s="4">
        <v>1</v>
      </c>
      <c r="C2" s="4" t="s">
        <v>23</v>
      </c>
      <c r="D2" s="4" t="b">
        <v>0</v>
      </c>
      <c r="E2" s="4">
        <v>1</v>
      </c>
      <c r="F2" s="4" t="s">
        <v>19</v>
      </c>
      <c r="H2" s="2">
        <v>0.9</v>
      </c>
      <c r="I2" s="2">
        <v>0.88</v>
      </c>
      <c r="J2" s="2">
        <v>0.92</v>
      </c>
      <c r="K2" s="2">
        <v>0.83</v>
      </c>
      <c r="L2" s="2">
        <v>0.83</v>
      </c>
      <c r="M2" s="2">
        <v>0.9</v>
      </c>
      <c r="N2" s="2">
        <v>0.84</v>
      </c>
      <c r="O2" s="2">
        <v>0.89</v>
      </c>
      <c r="P2" s="2">
        <v>0.91</v>
      </c>
      <c r="Q2" s="2">
        <v>0.9</v>
      </c>
      <c r="R2" s="2">
        <v>0.85</v>
      </c>
      <c r="S2" s="2">
        <v>0.85</v>
      </c>
      <c r="T2" s="2">
        <f>MAX($H2,$S2)</f>
        <v>0.9</v>
      </c>
    </row>
    <row r="3" spans="1:20" ht="25" customHeight="1">
      <c r="A3" s="4" t="s">
        <v>24</v>
      </c>
      <c r="B3" s="4">
        <v>1</v>
      </c>
      <c r="C3" s="4" t="s">
        <v>23</v>
      </c>
      <c r="D3" s="4" t="b">
        <v>1</v>
      </c>
      <c r="E3" s="4">
        <v>1</v>
      </c>
      <c r="F3" s="4" t="s">
        <v>19</v>
      </c>
      <c r="H3" s="2">
        <v>0.89</v>
      </c>
      <c r="I3" s="2">
        <v>0.92</v>
      </c>
      <c r="J3" s="2">
        <v>0.89</v>
      </c>
      <c r="K3" s="2">
        <v>0.89</v>
      </c>
      <c r="L3" s="2">
        <v>0.9</v>
      </c>
      <c r="M3" s="2">
        <v>0.84</v>
      </c>
      <c r="N3" s="2">
        <v>0.88</v>
      </c>
      <c r="O3" s="2">
        <v>0.86</v>
      </c>
      <c r="P3" s="2">
        <v>0.89</v>
      </c>
      <c r="Q3" s="2">
        <v>0.91</v>
      </c>
      <c r="R3" s="2">
        <v>0.91</v>
      </c>
      <c r="S3" s="2">
        <v>0.81</v>
      </c>
      <c r="T3" s="2">
        <f>MAX($H3,$S3)</f>
        <v>0.89</v>
      </c>
    </row>
    <row r="4" spans="1:20" ht="25" customHeight="1">
      <c r="A4" s="4" t="s">
        <v>24</v>
      </c>
      <c r="B4" s="4">
        <v>1</v>
      </c>
      <c r="C4" s="4" t="s">
        <v>23</v>
      </c>
      <c r="D4" s="4" t="b">
        <v>0</v>
      </c>
      <c r="E4" s="4">
        <v>2</v>
      </c>
      <c r="F4" s="4" t="s">
        <v>20</v>
      </c>
      <c r="H4" s="2">
        <v>0.94</v>
      </c>
      <c r="I4" s="2">
        <v>0.91</v>
      </c>
      <c r="J4" s="2">
        <v>0.9</v>
      </c>
      <c r="K4" s="2">
        <v>0.94</v>
      </c>
      <c r="L4" s="2">
        <v>0.94</v>
      </c>
      <c r="M4" s="2">
        <v>0.92</v>
      </c>
      <c r="N4" s="2">
        <v>0.92</v>
      </c>
      <c r="O4" s="2">
        <v>0.92</v>
      </c>
      <c r="P4" s="2">
        <v>0.93</v>
      </c>
      <c r="Q4" s="2">
        <v>0.95</v>
      </c>
      <c r="R4" s="2">
        <v>0.93</v>
      </c>
      <c r="S4" s="2">
        <v>0.93</v>
      </c>
      <c r="T4" s="2">
        <f>MAX($H4,$S4)</f>
        <v>0.94</v>
      </c>
    </row>
    <row r="5" spans="1:20" ht="25" customHeight="1">
      <c r="A5" s="4" t="s">
        <v>24</v>
      </c>
      <c r="B5" s="4">
        <v>1</v>
      </c>
      <c r="C5" s="4" t="s">
        <v>23</v>
      </c>
      <c r="D5" s="4" t="b">
        <v>1</v>
      </c>
      <c r="E5" s="4">
        <v>2</v>
      </c>
      <c r="F5" s="4" t="s">
        <v>20</v>
      </c>
      <c r="H5" s="2">
        <v>0.94</v>
      </c>
      <c r="I5" s="2">
        <v>0.92</v>
      </c>
      <c r="J5" s="2">
        <v>0.89</v>
      </c>
      <c r="K5" s="2">
        <v>0.94</v>
      </c>
      <c r="L5" s="2">
        <v>0.92</v>
      </c>
      <c r="M5" s="2">
        <v>0.92</v>
      </c>
      <c r="N5" s="2">
        <v>0.91</v>
      </c>
      <c r="O5" s="2">
        <v>0.92</v>
      </c>
      <c r="P5" s="2">
        <v>0.91</v>
      </c>
      <c r="Q5" s="2">
        <v>0.95</v>
      </c>
      <c r="R5" s="2">
        <v>0.94</v>
      </c>
      <c r="S5" s="2">
        <v>0.94</v>
      </c>
      <c r="T5" s="2">
        <f>MAX($H5,$S5)</f>
        <v>0.94</v>
      </c>
    </row>
    <row r="6" spans="1:20" ht="25" customHeight="1">
      <c r="A6" s="4" t="s">
        <v>24</v>
      </c>
      <c r="B6" s="4">
        <v>1</v>
      </c>
      <c r="C6" s="4" t="s">
        <v>23</v>
      </c>
      <c r="D6" s="4" t="b">
        <v>0</v>
      </c>
      <c r="E6" s="4">
        <v>3</v>
      </c>
      <c r="F6" s="4" t="s">
        <v>21</v>
      </c>
      <c r="H6" s="2">
        <v>0.94</v>
      </c>
      <c r="I6" s="2">
        <v>0.93</v>
      </c>
      <c r="J6" s="2">
        <v>0.92</v>
      </c>
      <c r="K6" s="2">
        <v>0.94</v>
      </c>
      <c r="L6" s="2">
        <v>0.94</v>
      </c>
      <c r="M6" s="2">
        <v>0.94</v>
      </c>
      <c r="N6" s="2">
        <v>0.92</v>
      </c>
      <c r="O6" s="2">
        <v>0.94</v>
      </c>
      <c r="P6" s="2">
        <v>0.94</v>
      </c>
      <c r="Q6" s="2">
        <v>0.97</v>
      </c>
      <c r="R6" s="2">
        <v>0.95</v>
      </c>
      <c r="S6" s="2">
        <v>0.92</v>
      </c>
      <c r="T6" s="2">
        <f>MAX($H6,$S6)</f>
        <v>0.94</v>
      </c>
    </row>
    <row r="7" spans="1:20" ht="25" customHeight="1">
      <c r="A7" s="4" t="s">
        <v>24</v>
      </c>
      <c r="B7" s="4">
        <v>1</v>
      </c>
      <c r="C7" s="4" t="s">
        <v>23</v>
      </c>
      <c r="D7" s="4" t="b">
        <v>1</v>
      </c>
      <c r="E7" s="4">
        <v>3</v>
      </c>
      <c r="F7" s="4" t="s">
        <v>21</v>
      </c>
      <c r="H7" s="2">
        <v>0.95</v>
      </c>
      <c r="I7" s="2">
        <v>0.94</v>
      </c>
      <c r="J7" s="2">
        <v>0.91</v>
      </c>
      <c r="K7" s="2">
        <v>0.94</v>
      </c>
      <c r="L7" s="2">
        <v>0.92</v>
      </c>
      <c r="M7" s="2">
        <v>0.94</v>
      </c>
      <c r="N7" s="2">
        <v>0.92</v>
      </c>
      <c r="O7" s="2">
        <v>0.94</v>
      </c>
      <c r="P7" s="2">
        <v>0.94</v>
      </c>
      <c r="Q7" s="2">
        <v>0.96</v>
      </c>
      <c r="R7" s="2">
        <v>0.95</v>
      </c>
      <c r="S7" s="2">
        <v>0.92</v>
      </c>
      <c r="T7" s="2">
        <f>MAX($H7,$S7)</f>
        <v>0.95</v>
      </c>
    </row>
    <row r="8" spans="1:20" ht="25" customHeight="1">
      <c r="A8" s="4" t="s">
        <v>24</v>
      </c>
      <c r="B8" s="4">
        <v>2</v>
      </c>
      <c r="C8" s="4" t="s">
        <v>22</v>
      </c>
      <c r="D8" s="4" t="b">
        <v>0</v>
      </c>
      <c r="E8" s="4">
        <v>1</v>
      </c>
      <c r="F8" s="4" t="s">
        <v>19</v>
      </c>
      <c r="H8" s="2">
        <v>0.79</v>
      </c>
      <c r="I8" s="2">
        <v>0.76</v>
      </c>
      <c r="J8" s="2">
        <v>0.69</v>
      </c>
      <c r="K8" s="2">
        <v>0.71</v>
      </c>
      <c r="L8" s="2">
        <v>0.71</v>
      </c>
      <c r="M8" s="2">
        <v>0.67</v>
      </c>
      <c r="N8" s="2">
        <v>0.64</v>
      </c>
      <c r="O8" s="2">
        <v>0.74</v>
      </c>
      <c r="P8" s="2">
        <v>0.68</v>
      </c>
      <c r="Q8" s="2">
        <v>0.66</v>
      </c>
      <c r="R8" s="2">
        <v>0.73</v>
      </c>
      <c r="S8" s="2">
        <v>0.64</v>
      </c>
      <c r="T8" s="2">
        <f>MAX($H8,$S8)</f>
        <v>0.79</v>
      </c>
    </row>
    <row r="9" spans="1:20" ht="25" customHeight="1">
      <c r="A9" s="4" t="s">
        <v>24</v>
      </c>
      <c r="B9" s="4">
        <v>2</v>
      </c>
      <c r="C9" s="4" t="s">
        <v>22</v>
      </c>
      <c r="D9" s="4" t="b">
        <v>1</v>
      </c>
      <c r="E9" s="4">
        <v>1</v>
      </c>
      <c r="F9" s="4" t="s">
        <v>19</v>
      </c>
      <c r="H9" s="2">
        <v>0.76</v>
      </c>
      <c r="I9" s="2">
        <v>0.74</v>
      </c>
      <c r="J9" s="2">
        <v>0.75</v>
      </c>
      <c r="K9" s="2">
        <v>0.72</v>
      </c>
      <c r="L9" s="2">
        <v>0.69</v>
      </c>
      <c r="M9" s="2">
        <v>0.66</v>
      </c>
      <c r="N9" s="2">
        <v>0.73</v>
      </c>
      <c r="O9" s="2">
        <v>0.75</v>
      </c>
      <c r="P9" s="2">
        <v>0.7</v>
      </c>
      <c r="Q9" s="2">
        <v>0.73</v>
      </c>
      <c r="R9" s="2">
        <v>0.68</v>
      </c>
      <c r="S9" s="2">
        <v>0.64</v>
      </c>
      <c r="T9" s="2">
        <f>MAX($H9,$S9)</f>
        <v>0.76</v>
      </c>
    </row>
    <row r="10" spans="1:20" ht="25" customHeight="1">
      <c r="A10" s="4" t="s">
        <v>24</v>
      </c>
      <c r="B10" s="4">
        <v>2</v>
      </c>
      <c r="C10" s="4" t="s">
        <v>22</v>
      </c>
      <c r="D10" s="4" t="b">
        <v>0</v>
      </c>
      <c r="E10" s="4">
        <v>2</v>
      </c>
      <c r="F10" s="4" t="s">
        <v>20</v>
      </c>
      <c r="H10" s="2">
        <v>0.79</v>
      </c>
      <c r="I10" s="2">
        <v>0.76</v>
      </c>
      <c r="J10" s="2">
        <v>0.78</v>
      </c>
      <c r="K10" s="2">
        <v>0.81</v>
      </c>
      <c r="L10" s="2">
        <v>0.77</v>
      </c>
      <c r="M10" s="2">
        <v>0.81</v>
      </c>
      <c r="N10" s="2">
        <v>0.74</v>
      </c>
      <c r="O10" s="2">
        <v>0.77</v>
      </c>
      <c r="P10" s="2">
        <v>0.81</v>
      </c>
      <c r="Q10" s="2">
        <v>0.81</v>
      </c>
      <c r="R10" s="2">
        <v>0.8</v>
      </c>
      <c r="S10" s="2">
        <v>0.79</v>
      </c>
      <c r="T10" s="2">
        <f>MAX($H10,$S10)</f>
        <v>0.79</v>
      </c>
    </row>
    <row r="11" spans="1:20" ht="25" customHeight="1">
      <c r="A11" s="4" t="s">
        <v>24</v>
      </c>
      <c r="B11" s="4">
        <v>2</v>
      </c>
      <c r="C11" s="4" t="s">
        <v>22</v>
      </c>
      <c r="D11" s="4" t="b">
        <v>1</v>
      </c>
      <c r="E11" s="4">
        <v>2</v>
      </c>
      <c r="F11" s="4" t="s">
        <v>20</v>
      </c>
      <c r="H11" s="2">
        <v>0.81</v>
      </c>
      <c r="I11" s="2">
        <v>0.8</v>
      </c>
      <c r="J11" s="2">
        <v>0.79</v>
      </c>
      <c r="K11" s="2">
        <v>0.79</v>
      </c>
      <c r="L11" s="2">
        <v>0.77</v>
      </c>
      <c r="M11" s="2">
        <v>0.81</v>
      </c>
      <c r="N11" s="2">
        <v>0.77</v>
      </c>
      <c r="O11" s="2">
        <v>0.73</v>
      </c>
      <c r="P11" s="2">
        <v>0.77</v>
      </c>
      <c r="Q11" s="2">
        <v>0.81</v>
      </c>
      <c r="R11" s="2">
        <v>0.79</v>
      </c>
      <c r="S11" s="2">
        <v>0.77</v>
      </c>
      <c r="T11" s="2">
        <f>MAX($H11,$S11)</f>
        <v>0.81</v>
      </c>
    </row>
    <row r="12" spans="1:20" ht="25" customHeight="1">
      <c r="A12" s="4" t="s">
        <v>24</v>
      </c>
      <c r="B12" s="4">
        <v>2</v>
      </c>
      <c r="C12" s="4" t="s">
        <v>22</v>
      </c>
      <c r="D12" s="4" t="b">
        <v>0</v>
      </c>
      <c r="E12" s="4">
        <v>3</v>
      </c>
      <c r="F12" s="4" t="s">
        <v>21</v>
      </c>
      <c r="H12" s="2">
        <v>0.78</v>
      </c>
      <c r="I12" s="2">
        <v>0.77</v>
      </c>
      <c r="J12" s="2">
        <v>0.75</v>
      </c>
      <c r="K12" s="2">
        <v>0.79</v>
      </c>
      <c r="L12" s="2">
        <v>0.78</v>
      </c>
      <c r="M12" s="2">
        <v>0.75</v>
      </c>
      <c r="N12" s="2">
        <v>0.81</v>
      </c>
      <c r="O12" s="2">
        <v>0.72</v>
      </c>
      <c r="P12" s="2">
        <v>0.72</v>
      </c>
      <c r="Q12" s="2">
        <v>0.81</v>
      </c>
      <c r="R12" s="2">
        <v>0.77</v>
      </c>
      <c r="S12" s="2">
        <v>0.78</v>
      </c>
      <c r="T12" s="2">
        <f>MAX($H12,$S12)</f>
        <v>0.78</v>
      </c>
    </row>
    <row r="13" spans="1:20" ht="25" customHeight="1">
      <c r="A13" s="4" t="s">
        <v>24</v>
      </c>
      <c r="B13" s="4">
        <v>2</v>
      </c>
      <c r="C13" s="4" t="s">
        <v>22</v>
      </c>
      <c r="D13" s="4" t="b">
        <v>1</v>
      </c>
      <c r="E13" s="4">
        <v>3</v>
      </c>
      <c r="F13" s="4" t="s">
        <v>21</v>
      </c>
      <c r="H13" s="2">
        <v>0.81</v>
      </c>
      <c r="I13" s="2">
        <v>0.8</v>
      </c>
      <c r="J13" s="2">
        <v>0.77</v>
      </c>
      <c r="K13" s="2">
        <v>0.8</v>
      </c>
      <c r="L13" s="2">
        <v>0.81</v>
      </c>
      <c r="M13" s="2">
        <v>0.77</v>
      </c>
      <c r="N13" s="2">
        <v>0.79</v>
      </c>
      <c r="O13" s="2">
        <v>0.74</v>
      </c>
      <c r="P13" s="2">
        <v>0.71</v>
      </c>
      <c r="Q13" s="2">
        <v>0.8</v>
      </c>
      <c r="R13" s="2">
        <v>0.73</v>
      </c>
      <c r="S13" s="2">
        <v>0.81</v>
      </c>
      <c r="T13" s="2">
        <f>MAX($H13,$S13)</f>
        <v>0.81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_xlfn.TEXTJOIN("-",TRUE,Table291113171915810[[#This Row],[attribute]],Table291113171915810[[#This Row],[supplemented]],Table291113171915810[[#This Row],[method]])</f>
        <v>plurality-FALSE-max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0.92</v>
      </c>
      <c r="K17" s="1" cm="1">
        <f t="array" ref="K17">_xlfn.LET(_xlpm.d,K$2:K$13,_xlpm.a,$C$2:$C$13=$C17,_xlpm.b,$D$2:$D$13=$D17,MAX(_xlfn._xlws.FILTER(_xlpm.d,_xlpm.a*_xlpm.b)))</f>
        <v>0.94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0.92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0.93</v>
      </c>
      <c r="T17" s="1" cm="1">
        <f t="array" ref="T17">_xlfn.LET(_xlpm.d,T$2:T$13,_xlpm.a,$C$2:$C$13=$C17,_xlpm.b,$D$2:$D$13=$D17,MAX(_xlfn._xlws.FILTER(_xlpm.d,_xlpm.a*_xlpm.b)))</f>
        <v>0.94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_xlfn.TEXTJOIN("-",TRUE,Table291113171915810[[#This Row],[attribute]],Table291113171915810[[#This Row],[supplemented]],Table291113171915810[[#This Row],[method]])</f>
        <v>plurality-TRUE-max</v>
      </c>
      <c r="H18" s="1" cm="1">
        <f t="array" ref="H18">_xlfn.LET(_xlpm.d,H$2:H$13,_xlpm.a,$C$2:$C$13=$C18,_xlpm.b,$D$2:$D$13=$D18,MAX(_xlfn._xlws.FILTER(_xlpm.d,_xlpm.a*_xlpm.b)))</f>
        <v>0.95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0.91</v>
      </c>
      <c r="K18" s="1" cm="1">
        <f t="array" ref="K18">_xlfn.LET(_xlpm.d,K$2:K$13,_xlpm.a,$C$2:$C$13=$C18,_xlpm.b,$D$2:$D$13=$D18,MAX(_xlfn._xlws.FILTER(_xlpm.d,_xlpm.a*_xlpm.b)))</f>
        <v>0.94</v>
      </c>
      <c r="L18" s="1" cm="1">
        <f t="array" ref="L18">_xlfn.LET(_xlpm.d,L$2:L$13,_xlpm.a,$C$2:$C$13=$C18,_xlpm.b,$D$2:$D$13=$D18,MAX(_xlfn._xlws.FILTER(_xlpm.d,_xlpm.a*_xlpm.b)))</f>
        <v>0.92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0.92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0.94</v>
      </c>
      <c r="T18" s="1" cm="1">
        <f t="array" ref="T18">_xlfn.LET(_xlpm.d,T$2:T$13,_xlpm.a,$C$2:$C$13=$C18,_xlpm.b,$D$2:$D$13=$D18,MAX(_xlfn._xlws.FILTER(_xlpm.d,_xlpm.a*_xlpm.b)))</f>
        <v>0.95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_xlfn.TEXTJOIN("-",TRUE,Table291113171915810[[#This Row],[attribute]],Table291113171915810[[#This Row],[supplemented]],Table291113171915810[[#This Row],[method]])</f>
        <v>gender-FALSE-max</v>
      </c>
      <c r="H19" s="1" cm="1">
        <f t="array" ref="H19">_xlfn.LET(_xlpm.d,H$2:H$13,_xlpm.a,$C$2:$C$13=$C19,_xlpm.b,$D$2:$D$13=$D19,MAX(_xlfn._xlws.FILTER(_xlpm.d,_xlpm.a*_xlpm.b)))</f>
        <v>0.79</v>
      </c>
      <c r="I19" s="1" cm="1">
        <f t="array" ref="I19">_xlfn.LET(_xlpm.d,I$2:I$13,_xlpm.a,$C$2:$C$13=$C19,_xlpm.b,$D$2:$D$13=$D19,MAX(_xlfn._xlws.FILTER(_xlpm.d,_xlpm.a*_xlpm.b)))</f>
        <v>0.77</v>
      </c>
      <c r="J19" s="1" cm="1">
        <f t="array" ref="J19">_xlfn.LET(_xlpm.d,J$2:J$13,_xlpm.a,$C$2:$C$13=$C19,_xlpm.b,$D$2:$D$13=$D19,MAX(_xlfn._xlws.FILTER(_xlpm.d,_xlpm.a*_xlpm.b)))</f>
        <v>0.78</v>
      </c>
      <c r="K19" s="1" cm="1">
        <f t="array" ref="K19">_xlfn.LET(_xlpm.d,K$2:K$13,_xlpm.a,$C$2:$C$13=$C19,_xlpm.b,$D$2:$D$13=$D19,MAX(_xlfn._xlws.FILTER(_xlpm.d,_xlpm.a*_xlpm.b)))</f>
        <v>0.81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0.77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0.81</v>
      </c>
      <c r="R19" s="1" cm="1">
        <f t="array" ref="R19">_xlfn.LET(_xlpm.d,R$2:R$13,_xlpm.a,$C$2:$C$13=$C19,_xlpm.b,$D$2:$D$13=$D19,MAX(_xlfn._xlws.FILTER(_xlpm.d,_xlpm.a*_xlpm.b)))</f>
        <v>0.8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0.79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_xlfn.TEXTJOIN("-",TRUE,Table291113171915810[[#This Row],[attribute]],Table291113171915810[[#This Row],[supplemented]],Table291113171915810[[#This Row],[method]])</f>
        <v>gender-TRUE-max</v>
      </c>
      <c r="H20" s="1" cm="1">
        <f t="array" ref="H20">_xlfn.LET(_xlpm.d,H$2:H$13,_xlpm.a,$C$2:$C$13=$C20,_xlpm.b,$D$2:$D$13=$D20,MAX(_xlfn._xlws.FILTER(_xlpm.d,_xlpm.a*_xlpm.b)))</f>
        <v>0.81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0.79</v>
      </c>
      <c r="K20" s="1" cm="1">
        <f t="array" ref="K20">_xlfn.LET(_xlpm.d,K$2:K$13,_xlpm.a,$C$2:$C$13=$C20,_xlpm.b,$D$2:$D$13=$D20,MAX(_xlfn._xlws.FILTER(_xlpm.d,_xlpm.a*_xlpm.b)))</f>
        <v>0.8</v>
      </c>
      <c r="L20" s="1" cm="1">
        <f t="array" ref="L20">_xlfn.LET(_xlpm.d,L$2:L$13,_xlpm.a,$C$2:$C$13=$C20,_xlpm.b,$D$2:$D$13=$D20,MAX(_xlfn._xlws.FILTER(_xlpm.d,_xlpm.a*_xlpm.b)))</f>
        <v>0.81</v>
      </c>
      <c r="M20" s="1" cm="1">
        <f t="array" ref="M20">_xlfn.LET(_xlpm.d,M$2:M$13,_xlpm.a,$C$2:$C$13=$C20,_xlpm.b,$D$2:$D$13=$D20,MAX(_xlfn._xlws.FILTER(_xlpm.d,_xlpm.a*_xlpm.b)))</f>
        <v>0.81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0.75</v>
      </c>
      <c r="P20" s="1" cm="1">
        <f t="array" ref="P20">_xlfn.LET(_xlpm.d,P$2:P$13,_xlpm.a,$C$2:$C$13=$C20,_xlpm.b,$D$2:$D$13=$D20,MAX(_xlfn._xlws.FILTER(_xlpm.d,_xlpm.a*_xlpm.b)))</f>
        <v>0.77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0.81</v>
      </c>
      <c r="T20" s="1" cm="1">
        <f t="array" ref="T20">_xlfn.LET(_xlpm.d,T$2:T$13,_xlpm.a,$C$2:$C$13=$C20,_xlpm.b,$D$2:$D$13=$D20,MAX(_xlfn._xlws.FILTER(_xlpm.d,_xlpm.a*_xlpm.b)))</f>
        <v>0.81</v>
      </c>
    </row>
  </sheetData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300E-1E2F-AB4F-9EB6-F258F76852C9}">
  <dimension ref="A1:T20"/>
  <sheetViews>
    <sheetView workbookViewId="0"/>
  </sheetViews>
  <sheetFormatPr baseColWidth="10" defaultRowHeight="25" customHeight="1"/>
  <cols>
    <col min="2" max="2" width="8.25" customWidth="1"/>
    <col min="3" max="3" width="9.625" customWidth="1"/>
    <col min="4" max="19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0.91</v>
      </c>
      <c r="I2" s="2">
        <v>0.92</v>
      </c>
      <c r="J2" s="2">
        <v>0.86</v>
      </c>
      <c r="K2" s="2">
        <v>0.84</v>
      </c>
      <c r="L2" s="2">
        <v>0.85</v>
      </c>
      <c r="M2" s="2">
        <v>0.86</v>
      </c>
      <c r="N2" s="2">
        <v>0.91</v>
      </c>
      <c r="O2" s="2">
        <v>0.91</v>
      </c>
      <c r="P2" s="2">
        <v>0.83</v>
      </c>
      <c r="Q2" s="2">
        <v>0.92</v>
      </c>
      <c r="R2" s="2">
        <v>0.93</v>
      </c>
      <c r="S2" s="2">
        <v>0.88</v>
      </c>
      <c r="T2" s="2">
        <f t="shared" ref="T2:T13" si="0">MAX($H2,$S2)</f>
        <v>0.91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0.9</v>
      </c>
      <c r="I3" s="2">
        <v>0.94</v>
      </c>
      <c r="J3" s="2">
        <v>0.93</v>
      </c>
      <c r="K3" s="2">
        <v>0.96</v>
      </c>
      <c r="L3" s="2">
        <v>0.96</v>
      </c>
      <c r="M3" s="2">
        <v>0.97</v>
      </c>
      <c r="N3" s="2">
        <v>0.93</v>
      </c>
      <c r="O3" s="2">
        <v>0.93</v>
      </c>
      <c r="P3" s="2">
        <v>0.93</v>
      </c>
      <c r="Q3" s="2">
        <v>0.97</v>
      </c>
      <c r="R3" s="2">
        <v>0.94</v>
      </c>
      <c r="S3" s="2">
        <v>0.93</v>
      </c>
      <c r="T3" s="2">
        <f t="shared" si="0"/>
        <v>0.93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0.92</v>
      </c>
      <c r="I4" s="2">
        <v>0.96</v>
      </c>
      <c r="J4" s="2">
        <v>0.95</v>
      </c>
      <c r="K4" s="2">
        <v>0.95</v>
      </c>
      <c r="L4" s="2">
        <v>0.98</v>
      </c>
      <c r="M4" s="2">
        <v>0.96</v>
      </c>
      <c r="N4" s="2">
        <v>0.97</v>
      </c>
      <c r="O4" s="2">
        <v>0.88</v>
      </c>
      <c r="P4" s="2">
        <v>0.89</v>
      </c>
      <c r="Q4" s="2">
        <v>0.98</v>
      </c>
      <c r="R4" s="2">
        <v>0.96</v>
      </c>
      <c r="S4" s="2">
        <v>0.95</v>
      </c>
      <c r="T4" s="2">
        <f t="shared" si="0"/>
        <v>0.95</v>
      </c>
    </row>
    <row r="5" spans="1:20" ht="25" customHeight="1">
      <c r="A5" t="s">
        <v>24</v>
      </c>
      <c r="B5">
        <v>2</v>
      </c>
      <c r="C5" t="s">
        <v>22</v>
      </c>
      <c r="D5" t="b">
        <v>0</v>
      </c>
      <c r="E5">
        <v>1</v>
      </c>
      <c r="F5" t="s">
        <v>19</v>
      </c>
      <c r="H5" s="2">
        <v>0.7</v>
      </c>
      <c r="I5" s="2">
        <v>0.79</v>
      </c>
      <c r="J5" s="2">
        <v>0.68</v>
      </c>
      <c r="K5" s="2">
        <v>0.69</v>
      </c>
      <c r="L5" s="2">
        <v>0.67</v>
      </c>
      <c r="M5" s="2">
        <v>0.62</v>
      </c>
      <c r="N5" s="2">
        <v>0.69</v>
      </c>
      <c r="O5" s="2">
        <v>0.68</v>
      </c>
      <c r="P5" s="2">
        <v>0.69</v>
      </c>
      <c r="Q5" s="2">
        <v>0.65</v>
      </c>
      <c r="R5" s="2">
        <v>0.62</v>
      </c>
      <c r="S5" s="2">
        <v>0.66</v>
      </c>
      <c r="T5" s="2">
        <f t="shared" si="0"/>
        <v>0.7</v>
      </c>
    </row>
    <row r="6" spans="1:20" ht="25" customHeight="1">
      <c r="A6" t="s">
        <v>24</v>
      </c>
      <c r="B6">
        <v>2</v>
      </c>
      <c r="C6" t="s">
        <v>22</v>
      </c>
      <c r="D6" t="b">
        <v>0</v>
      </c>
      <c r="E6">
        <v>2</v>
      </c>
      <c r="F6" t="s">
        <v>20</v>
      </c>
      <c r="H6" s="2">
        <v>0.74</v>
      </c>
      <c r="I6" s="2">
        <v>0.79</v>
      </c>
      <c r="J6" s="2">
        <v>0.74</v>
      </c>
      <c r="K6" s="2">
        <v>0.79</v>
      </c>
      <c r="L6" s="2">
        <v>0.82</v>
      </c>
      <c r="M6" s="2">
        <v>0.73</v>
      </c>
      <c r="N6" s="2">
        <v>0.79</v>
      </c>
      <c r="O6" s="2">
        <v>0.78</v>
      </c>
      <c r="P6" s="2">
        <v>0.81</v>
      </c>
      <c r="Q6" s="2">
        <v>0.78</v>
      </c>
      <c r="R6" s="2">
        <v>0.72</v>
      </c>
      <c r="S6" s="2">
        <v>0.79</v>
      </c>
      <c r="T6" s="2">
        <f t="shared" si="0"/>
        <v>0.79</v>
      </c>
    </row>
    <row r="7" spans="1:20" ht="25" customHeight="1">
      <c r="A7" t="s">
        <v>24</v>
      </c>
      <c r="B7">
        <v>2</v>
      </c>
      <c r="C7" t="s">
        <v>22</v>
      </c>
      <c r="D7" t="b">
        <v>0</v>
      </c>
      <c r="E7">
        <v>3</v>
      </c>
      <c r="F7" t="s">
        <v>21</v>
      </c>
      <c r="H7" s="2">
        <v>0.76</v>
      </c>
      <c r="I7" s="2">
        <v>0.74</v>
      </c>
      <c r="J7" s="2">
        <v>0.73</v>
      </c>
      <c r="K7" s="2">
        <v>0.78</v>
      </c>
      <c r="L7" s="2">
        <v>0.8</v>
      </c>
      <c r="M7" s="2">
        <v>0.82</v>
      </c>
      <c r="N7" s="2">
        <v>0.7</v>
      </c>
      <c r="O7" s="2">
        <v>0.7</v>
      </c>
      <c r="P7" s="2">
        <v>0.76</v>
      </c>
      <c r="Q7" s="2">
        <v>0.68</v>
      </c>
      <c r="R7" s="2">
        <v>0.64</v>
      </c>
      <c r="S7" s="2">
        <v>0.77</v>
      </c>
      <c r="T7" s="2">
        <f t="shared" si="0"/>
        <v>0.77</v>
      </c>
    </row>
    <row r="8" spans="1:20" ht="25" customHeight="1">
      <c r="A8" t="s">
        <v>24</v>
      </c>
      <c r="B8">
        <v>1</v>
      </c>
      <c r="C8" t="s">
        <v>23</v>
      </c>
      <c r="D8" t="b">
        <v>1</v>
      </c>
      <c r="E8">
        <v>1</v>
      </c>
      <c r="F8" t="s">
        <v>19</v>
      </c>
      <c r="H8" s="2">
        <v>0.93</v>
      </c>
      <c r="I8" s="2">
        <v>0.9</v>
      </c>
      <c r="J8" s="2">
        <v>0.89</v>
      </c>
      <c r="K8" s="2">
        <v>0.84</v>
      </c>
      <c r="L8" s="2">
        <v>0.86</v>
      </c>
      <c r="M8" s="2">
        <v>0.91</v>
      </c>
      <c r="N8" s="2">
        <v>0.9</v>
      </c>
      <c r="O8" s="2">
        <v>0.95</v>
      </c>
      <c r="P8" s="2">
        <v>0.89</v>
      </c>
      <c r="Q8" s="2">
        <v>0.9</v>
      </c>
      <c r="R8" s="2">
        <v>0.91</v>
      </c>
      <c r="S8" s="2">
        <v>0.88</v>
      </c>
      <c r="T8" s="2">
        <f t="shared" si="0"/>
        <v>0.93</v>
      </c>
    </row>
    <row r="9" spans="1:20" ht="25" customHeight="1">
      <c r="A9" t="s">
        <v>24</v>
      </c>
      <c r="B9">
        <v>1</v>
      </c>
      <c r="C9" t="s">
        <v>23</v>
      </c>
      <c r="D9" t="b">
        <v>1</v>
      </c>
      <c r="E9">
        <v>2</v>
      </c>
      <c r="F9" t="s">
        <v>20</v>
      </c>
      <c r="H9" s="2">
        <v>0.94</v>
      </c>
      <c r="I9" s="2">
        <v>0.94</v>
      </c>
      <c r="J9" s="2">
        <v>0.93</v>
      </c>
      <c r="K9" s="2">
        <v>0.97</v>
      </c>
      <c r="L9" s="2">
        <v>0.95</v>
      </c>
      <c r="M9" s="2">
        <v>0.97</v>
      </c>
      <c r="N9" s="2">
        <v>0.95</v>
      </c>
      <c r="O9" s="2">
        <v>0.93</v>
      </c>
      <c r="P9" s="2">
        <v>0.93</v>
      </c>
      <c r="Q9" s="2">
        <v>0.96</v>
      </c>
      <c r="R9" s="2">
        <v>0.95</v>
      </c>
      <c r="S9" s="2">
        <v>0.93</v>
      </c>
      <c r="T9" s="2">
        <f t="shared" si="0"/>
        <v>0.94</v>
      </c>
    </row>
    <row r="10" spans="1:20" ht="25" customHeight="1">
      <c r="A10" t="s">
        <v>24</v>
      </c>
      <c r="B10">
        <v>1</v>
      </c>
      <c r="C10" t="s">
        <v>23</v>
      </c>
      <c r="D10" t="b">
        <v>1</v>
      </c>
      <c r="E10">
        <v>3</v>
      </c>
      <c r="F10" t="s">
        <v>21</v>
      </c>
      <c r="H10" s="2">
        <v>0.96</v>
      </c>
      <c r="I10" s="2">
        <v>0.93</v>
      </c>
      <c r="J10" s="2">
        <v>0.92</v>
      </c>
      <c r="K10" s="2">
        <v>0.96</v>
      </c>
      <c r="L10" s="2">
        <v>0.93</v>
      </c>
      <c r="M10" s="2">
        <v>0.98</v>
      </c>
      <c r="N10" s="2">
        <v>0.93</v>
      </c>
      <c r="O10" s="2">
        <v>0.9</v>
      </c>
      <c r="P10" s="2">
        <v>0.88</v>
      </c>
      <c r="Q10" s="2">
        <v>0.98</v>
      </c>
      <c r="R10" s="2">
        <v>0.95</v>
      </c>
      <c r="S10" s="2">
        <v>0.96</v>
      </c>
      <c r="T10" s="2">
        <f t="shared" si="0"/>
        <v>0.96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0.72</v>
      </c>
      <c r="I11" s="2">
        <v>0.75</v>
      </c>
      <c r="J11" s="2">
        <v>0.7</v>
      </c>
      <c r="K11" s="2">
        <v>0.65</v>
      </c>
      <c r="L11" s="2">
        <v>0.69</v>
      </c>
      <c r="M11" s="2">
        <v>0.68</v>
      </c>
      <c r="N11" s="2">
        <v>0.78</v>
      </c>
      <c r="O11" s="2">
        <v>0.72</v>
      </c>
      <c r="P11" s="2">
        <v>0.72</v>
      </c>
      <c r="Q11" s="2">
        <v>0.56999999999999995</v>
      </c>
      <c r="R11" s="2">
        <v>0.62</v>
      </c>
      <c r="S11" s="2">
        <v>0.73</v>
      </c>
      <c r="T11" s="2">
        <f t="shared" si="0"/>
        <v>0.73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0.77</v>
      </c>
      <c r="I12" s="2">
        <v>0.8</v>
      </c>
      <c r="J12" s="2">
        <v>0.77</v>
      </c>
      <c r="K12" s="2">
        <v>0.82</v>
      </c>
      <c r="L12" s="2">
        <v>0.84</v>
      </c>
      <c r="M12" s="2">
        <v>0.75</v>
      </c>
      <c r="N12" s="2">
        <v>0.82</v>
      </c>
      <c r="O12" s="2">
        <v>0.78</v>
      </c>
      <c r="P12" s="2">
        <v>0.81</v>
      </c>
      <c r="Q12" s="2">
        <v>0.79</v>
      </c>
      <c r="R12" s="2">
        <v>0.72</v>
      </c>
      <c r="S12" s="2">
        <v>0.78</v>
      </c>
      <c r="T12" s="2">
        <f t="shared" si="0"/>
        <v>0.78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0.75</v>
      </c>
      <c r="I13" s="2">
        <v>0.79</v>
      </c>
      <c r="J13" s="2">
        <v>0.72</v>
      </c>
      <c r="K13" s="2">
        <v>0.78</v>
      </c>
      <c r="L13" s="2">
        <v>0.74</v>
      </c>
      <c r="M13" s="2">
        <v>0.79</v>
      </c>
      <c r="N13" s="2">
        <v>0.79</v>
      </c>
      <c r="O13" s="2">
        <v>0.68</v>
      </c>
      <c r="P13" s="2">
        <v>0.77</v>
      </c>
      <c r="Q13" s="2">
        <v>0.72</v>
      </c>
      <c r="R13" s="2">
        <v>0.72</v>
      </c>
      <c r="S13" s="2">
        <v>0.78</v>
      </c>
      <c r="T13" s="2">
        <f t="shared" si="0"/>
        <v>0.78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_xlfn.TEXTJOIN("-",TRUE,Table291113171914[[#This Row],[attribute]],Table291113171914[[#This Row],[supplemented]],Table291113171914[[#This Row],[method]])</f>
        <v>plurality-FALSE-max</v>
      </c>
      <c r="H17" s="1" cm="1">
        <f t="array" ref="H17">_xlfn.LET(_xlpm.d,H$2:H$13,_xlpm.a,$C$2:$C$13=$C17,_xlpm.b,$D$2:$D$13=$D17,MAX(_xlfn._xlws.FILTER(_xlpm.d,_xlpm.a*_xlpm.b)))</f>
        <v>0.92</v>
      </c>
      <c r="I17" s="1" cm="1">
        <f t="array" ref="I17">_xlfn.LET(_xlpm.d,I$2:I$13,_xlpm.a,$C$2:$C$13=$C17,_xlpm.b,$D$2:$D$13=$D17,MAX(_xlfn._xlws.FILTER(_xlpm.d,_xlpm.a*_xlpm.b)))</f>
        <v>0.96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0.98</v>
      </c>
      <c r="M17" s="1" cm="1">
        <f t="array" ref="M17">_xlfn.LET(_xlpm.d,M$2:M$13,_xlpm.a,$C$2:$C$13=$C17,_xlpm.b,$D$2:$D$13=$D17,MAX(_xlfn._xlws.FILTER(_xlpm.d,_xlpm.a*_xlpm.b)))</f>
        <v>0.97</v>
      </c>
      <c r="N17" s="1" cm="1">
        <f t="array" ref="N17">_xlfn.LET(_xlpm.d,N$2:N$13,_xlpm.a,$C$2:$C$13=$C17,_xlpm.b,$D$2:$D$13=$D17,MAX(_xlfn._xlws.FILTER(_xlpm.d,_xlpm.a*_xlpm.b)))</f>
        <v>0.97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0.93</v>
      </c>
      <c r="Q17" s="1" cm="1">
        <f t="array" ref="Q17">_xlfn.LET(_xlpm.d,Q$2:Q$13,_xlpm.a,$C$2:$C$13=$C17,_xlpm.b,$D$2:$D$13=$D17,MAX(_xlfn._xlws.FILTER(_xlpm.d,_xlpm.a*_xlpm.b)))</f>
        <v>0.98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0.95</v>
      </c>
      <c r="T17" s="1" cm="1">
        <f t="array" ref="T17">_xlfn.LET(_xlpm.d,T$2:T$13,_xlpm.a,$C$2:$C$13=$C17,_xlpm.b,$D$2:$D$13=$D17,MAX(_xlfn._xlws.FILTER(_xlpm.d,_xlpm.a*_xlpm.b)))</f>
        <v>0.95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_xlfn.TEXTJOIN("-",TRUE,Table291113171914[[#This Row],[attribute]],Table291113171914[[#This Row],[supplemented]],Table291113171914[[#This Row],[method]])</f>
        <v>plurality-TRUE-max</v>
      </c>
      <c r="H18" s="1" cm="1">
        <f t="array" ref="H18">_xlfn.LET(_xlpm.d,H$2:H$13,_xlpm.a,$C$2:$C$13=$C18,_xlpm.b,$D$2:$D$13=$D18,MAX(_xlfn._xlws.FILTER(_xlpm.d,_xlpm.a*_xlpm.b)))</f>
        <v>0.96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0.93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0.98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0.95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0.98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0.96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_xlfn.TEXTJOIN("-",TRUE,Table291113171914[[#This Row],[attribute]],Table291113171914[[#This Row],[supplemented]],Table291113171914[[#This Row],[method]])</f>
        <v>gender-FALSE-max</v>
      </c>
      <c r="H19" s="1" cm="1">
        <f t="array" ref="H19">_xlfn.LET(_xlpm.d,H$2:H$13,_xlpm.a,$C$2:$C$13=$C19,_xlpm.b,$D$2:$D$13=$D19,MAX(_xlfn._xlws.FILTER(_xlpm.d,_xlpm.a*_xlpm.b)))</f>
        <v>0.76</v>
      </c>
      <c r="I19" s="1" cm="1">
        <f t="array" ref="I19">_xlfn.LET(_xlpm.d,I$2:I$13,_xlpm.a,$C$2:$C$13=$C19,_xlpm.b,$D$2:$D$13=$D19,MAX(_xlfn._xlws.FILTER(_xlpm.d,_xlpm.a*_xlpm.b)))</f>
        <v>0.79</v>
      </c>
      <c r="J19" s="1" cm="1">
        <f t="array" ref="J19">_xlfn.LET(_xlpm.d,J$2:J$13,_xlpm.a,$C$2:$C$13=$C19,_xlpm.b,$D$2:$D$13=$D19,MAX(_xlfn._xlws.FILTER(_xlpm.d,_xlpm.a*_xlpm.b)))</f>
        <v>0.74</v>
      </c>
      <c r="K19" s="1" cm="1">
        <f t="array" ref="K19">_xlfn.LET(_xlpm.d,K$2:K$13,_xlpm.a,$C$2:$C$13=$C19,_xlpm.b,$D$2:$D$13=$D19,MAX(_xlfn._xlws.FILTER(_xlpm.d,_xlpm.a*_xlpm.b)))</f>
        <v>0.79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0.82</v>
      </c>
      <c r="N19" s="1" cm="1">
        <f t="array" ref="N19">_xlfn.LET(_xlpm.d,N$2:N$13,_xlpm.a,$C$2:$C$13=$C19,_xlpm.b,$D$2:$D$13=$D19,MAX(_xlfn._xlws.FILTER(_xlpm.d,_xlpm.a*_xlpm.b)))</f>
        <v>0.79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0.78</v>
      </c>
      <c r="R19" s="1" cm="1">
        <f t="array" ref="R19">_xlfn.LET(_xlpm.d,R$2:R$13,_xlpm.a,$C$2:$C$13=$C19,_xlpm.b,$D$2:$D$13=$D19,MAX(_xlfn._xlws.FILTER(_xlpm.d,_xlpm.a*_xlpm.b)))</f>
        <v>0.72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0.79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_xlfn.TEXTJOIN("-",TRUE,Table291113171914[[#This Row],[attribute]],Table291113171914[[#This Row],[supplemented]],Table291113171914[[#This Row],[method]])</f>
        <v>gender-TRUE-max</v>
      </c>
      <c r="H20" s="1" cm="1">
        <f t="array" ref="H20">_xlfn.LET(_xlpm.d,H$2:H$13,_xlpm.a,$C$2:$C$13=$C20,_xlpm.b,$D$2:$D$13=$D20,MAX(_xlfn._xlws.FILTER(_xlpm.d,_xlpm.a*_xlpm.b)))</f>
        <v>0.77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0.77</v>
      </c>
      <c r="K20" s="1" cm="1">
        <f t="array" ref="K20">_xlfn.LET(_xlpm.d,K$2:K$13,_xlpm.a,$C$2:$C$13=$C20,_xlpm.b,$D$2:$D$13=$D20,MAX(_xlfn._xlws.FILTER(_xlpm.d,_xlpm.a*_xlpm.b)))</f>
        <v>0.82</v>
      </c>
      <c r="L20" s="1" cm="1">
        <f t="array" ref="L20">_xlfn.LET(_xlpm.d,L$2:L$13,_xlpm.a,$C$2:$C$13=$C20,_xlpm.b,$D$2:$D$13=$D20,MAX(_xlfn._xlws.FILTER(_xlpm.d,_xlpm.a*_xlpm.b)))</f>
        <v>0.84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0.82</v>
      </c>
      <c r="O20" s="1" cm="1">
        <f t="array" ref="O20">_xlfn.LET(_xlpm.d,O$2:O$13,_xlpm.a,$C$2:$C$13=$C20,_xlpm.b,$D$2:$D$13=$D20,MAX(_xlfn._xlws.FILTER(_xlpm.d,_xlpm.a*_xlpm.b)))</f>
        <v>0.78</v>
      </c>
      <c r="P20" s="1" cm="1">
        <f t="array" ref="P20">_xlfn.LET(_xlpm.d,P$2:P$13,_xlpm.a,$C$2:$C$13=$C20,_xlpm.b,$D$2:$D$13=$D20,MAX(_xlfn._xlws.FILTER(_xlpm.d,_xlpm.a*_xlpm.b)))</f>
        <v>0.81</v>
      </c>
      <c r="Q20" s="1" cm="1">
        <f t="array" ref="Q20">_xlfn.LET(_xlpm.d,Q$2:Q$13,_xlpm.a,$C$2:$C$13=$C20,_xlpm.b,$D$2:$D$13=$D20,MAX(_xlfn._xlws.FILTER(_xlpm.d,_xlpm.a*_xlpm.b)))</f>
        <v>0.79</v>
      </c>
      <c r="R20" s="1" cm="1">
        <f t="array" ref="R20">_xlfn.LET(_xlpm.d,R$2:R$13,_xlpm.a,$C$2:$C$13=$C20,_xlpm.b,$D$2:$D$13=$D20,MAX(_xlfn._xlws.FILTER(_xlpm.d,_xlpm.a*_xlpm.b)))</f>
        <v>0.72</v>
      </c>
      <c r="S20" s="1" cm="1">
        <f t="array" ref="S20">_xlfn.LET(_xlpm.d,S$2:S$13,_xlpm.a,$C$2:$C$13=$C20,_xlpm.b,$D$2:$D$13=$D20,MAX(_xlfn._xlws.FILTER(_xlpm.d,_xlpm.a*_xlpm.b)))</f>
        <v>0.78</v>
      </c>
      <c r="T20" s="1" cm="1">
        <f t="array" ref="T20">_xlfn.LET(_xlpm.d,T$2:T$13,_xlpm.a,$C$2:$C$13=$C20,_xlpm.b,$D$2:$D$13=$D20,MAX(_xlfn._xlws.FILTER(_xlpm.d,_xlpm.a*_xlpm.b)))</f>
        <v>0.78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478F-BC88-3640-942B-79B6CF152A60}">
  <dimension ref="A1:T20"/>
  <sheetViews>
    <sheetView workbookViewId="0">
      <selection activeCell="B16" sqref="B16:T20"/>
    </sheetView>
  </sheetViews>
  <sheetFormatPr baseColWidth="10" defaultRowHeight="25" customHeight="1"/>
  <cols>
    <col min="2" max="2" width="7.125" customWidth="1"/>
    <col min="3" max="3" width="9.875" customWidth="1"/>
    <col min="4" max="6" width="7.125" customWidth="1"/>
    <col min="7" max="19" width="7.8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0.88</v>
      </c>
      <c r="I2" s="2">
        <v>0.83</v>
      </c>
      <c r="J2" s="2">
        <v>0.9</v>
      </c>
      <c r="K2" s="2">
        <v>0.93</v>
      </c>
      <c r="L2" s="2">
        <v>0.86</v>
      </c>
      <c r="M2" s="2">
        <v>0.83</v>
      </c>
      <c r="N2" s="2">
        <v>0.93</v>
      </c>
      <c r="O2" s="2">
        <v>0.88</v>
      </c>
      <c r="P2" s="2">
        <v>0.86</v>
      </c>
      <c r="Q2" s="2">
        <v>0.91</v>
      </c>
      <c r="R2" s="2">
        <v>0.82</v>
      </c>
      <c r="S2" s="2">
        <v>0.88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0.89</v>
      </c>
      <c r="I3" s="2">
        <v>0.88</v>
      </c>
      <c r="J3" s="2">
        <v>0.95</v>
      </c>
      <c r="K3" s="2">
        <v>0.95</v>
      </c>
      <c r="L3" s="2">
        <v>0.95</v>
      </c>
      <c r="M3" s="2">
        <v>0.94</v>
      </c>
      <c r="N3" s="2">
        <v>0.94</v>
      </c>
      <c r="O3" s="2">
        <v>0.92</v>
      </c>
      <c r="P3" s="2">
        <v>0.94</v>
      </c>
      <c r="Q3" s="2">
        <v>0.94</v>
      </c>
      <c r="R3" s="2">
        <v>0.91</v>
      </c>
      <c r="S3" s="2">
        <v>0.96</v>
      </c>
      <c r="T3" s="2">
        <f t="shared" si="0"/>
        <v>0.96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</v>
      </c>
      <c r="I4" s="2">
        <v>0.95</v>
      </c>
      <c r="J4" s="2">
        <v>0.95</v>
      </c>
      <c r="K4" s="2">
        <v>0.96</v>
      </c>
      <c r="L4" s="2">
        <v>0.94</v>
      </c>
      <c r="M4" s="2">
        <v>0.94</v>
      </c>
      <c r="N4" s="2">
        <v>0.95</v>
      </c>
      <c r="O4" s="2">
        <v>0.94</v>
      </c>
      <c r="P4" s="2">
        <v>0.94</v>
      </c>
      <c r="Q4" s="2">
        <v>0.95</v>
      </c>
      <c r="R4" s="2">
        <v>0.94</v>
      </c>
      <c r="S4" s="2">
        <v>0.95</v>
      </c>
      <c r="T4" s="2">
        <f t="shared" si="0"/>
        <v>0.96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0.89</v>
      </c>
      <c r="I5" s="2">
        <v>0.89</v>
      </c>
      <c r="J5" s="2">
        <v>0.91</v>
      </c>
      <c r="K5" s="2">
        <v>0.89</v>
      </c>
      <c r="L5" s="2">
        <v>0.89</v>
      </c>
      <c r="M5" s="2">
        <v>0.88</v>
      </c>
      <c r="N5" s="2">
        <v>0.94</v>
      </c>
      <c r="O5" s="2">
        <v>0.89</v>
      </c>
      <c r="P5" s="2">
        <v>0.92</v>
      </c>
      <c r="Q5" s="2">
        <v>0.85</v>
      </c>
      <c r="R5" s="2">
        <v>0.86</v>
      </c>
      <c r="S5" s="2">
        <v>0.87</v>
      </c>
      <c r="T5" s="2">
        <f t="shared" si="0"/>
        <v>0.94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0.9</v>
      </c>
      <c r="I6" s="2">
        <v>0.89</v>
      </c>
      <c r="J6" s="2">
        <v>0.94</v>
      </c>
      <c r="K6" s="2">
        <v>0.95</v>
      </c>
      <c r="L6" s="2">
        <v>0.94</v>
      </c>
      <c r="M6" s="2">
        <v>0.94</v>
      </c>
      <c r="N6" s="2">
        <v>0.94</v>
      </c>
      <c r="O6" s="2">
        <v>0.92</v>
      </c>
      <c r="P6" s="2">
        <v>0.94</v>
      </c>
      <c r="Q6" s="2">
        <v>0.94</v>
      </c>
      <c r="R6" s="2">
        <v>0.92</v>
      </c>
      <c r="S6" s="2">
        <v>0.93</v>
      </c>
      <c r="T6" s="2">
        <f t="shared" si="0"/>
        <v>0.95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0.91</v>
      </c>
      <c r="I7" s="2">
        <v>0.94</v>
      </c>
      <c r="J7" s="2">
        <v>0.92</v>
      </c>
      <c r="K7" s="2">
        <v>0.96</v>
      </c>
      <c r="L7" s="2">
        <v>0.94</v>
      </c>
      <c r="M7" s="2">
        <v>0.96</v>
      </c>
      <c r="N7" s="2">
        <v>0.93</v>
      </c>
      <c r="O7" s="2">
        <v>0.95</v>
      </c>
      <c r="P7" s="2">
        <v>0.94</v>
      </c>
      <c r="Q7" s="2">
        <v>0.95</v>
      </c>
      <c r="R7" s="2">
        <v>0.94</v>
      </c>
      <c r="S7" s="2">
        <v>0.93</v>
      </c>
      <c r="T7" s="2">
        <f t="shared" si="0"/>
        <v>0.96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0.7</v>
      </c>
      <c r="I8" s="2">
        <v>0.73</v>
      </c>
      <c r="J8" s="2">
        <v>0.7</v>
      </c>
      <c r="K8" s="2">
        <v>0.68</v>
      </c>
      <c r="L8" s="2">
        <v>0.68</v>
      </c>
      <c r="M8" s="2">
        <v>0.72</v>
      </c>
      <c r="N8" s="2">
        <v>0.71</v>
      </c>
      <c r="O8" s="2">
        <v>0.7</v>
      </c>
      <c r="P8" s="2">
        <v>0.74</v>
      </c>
      <c r="Q8" s="2">
        <v>0.61</v>
      </c>
      <c r="R8" s="2">
        <v>0.72</v>
      </c>
      <c r="S8" s="2">
        <v>0.7</v>
      </c>
      <c r="T8" s="2">
        <f t="shared" si="0"/>
        <v>0.74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0.76</v>
      </c>
      <c r="I9" s="2">
        <v>0.81</v>
      </c>
      <c r="J9" s="2">
        <v>0.79</v>
      </c>
      <c r="K9" s="2">
        <v>0.75</v>
      </c>
      <c r="L9" s="2">
        <v>0.79</v>
      </c>
      <c r="M9" s="2">
        <v>0.84</v>
      </c>
      <c r="N9" s="2">
        <v>0.78</v>
      </c>
      <c r="O9" s="2">
        <v>0.81</v>
      </c>
      <c r="P9" s="2">
        <v>0.79</v>
      </c>
      <c r="Q9" s="2">
        <v>0.77</v>
      </c>
      <c r="R9" s="2">
        <v>0.79</v>
      </c>
      <c r="S9" s="2">
        <v>0.8</v>
      </c>
      <c r="T9" s="2">
        <f t="shared" si="0"/>
        <v>0.84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0.73</v>
      </c>
      <c r="I10" s="2">
        <v>0.73</v>
      </c>
      <c r="J10" s="2">
        <v>0.78</v>
      </c>
      <c r="K10" s="2">
        <v>0.72</v>
      </c>
      <c r="L10" s="2">
        <v>0.8</v>
      </c>
      <c r="M10" s="2">
        <v>0.8</v>
      </c>
      <c r="N10" s="2">
        <v>0.79</v>
      </c>
      <c r="O10" s="2">
        <v>0.78</v>
      </c>
      <c r="P10" s="2">
        <v>0.76</v>
      </c>
      <c r="Q10" s="2">
        <v>0.74</v>
      </c>
      <c r="R10" s="2">
        <v>0.75</v>
      </c>
      <c r="S10" s="2">
        <v>0.78</v>
      </c>
      <c r="T10" s="2">
        <f t="shared" si="0"/>
        <v>0.8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0.68</v>
      </c>
      <c r="I11" s="2">
        <v>0.76</v>
      </c>
      <c r="J11" s="2">
        <v>0.71</v>
      </c>
      <c r="K11" s="2">
        <v>0.68</v>
      </c>
      <c r="L11" s="2">
        <v>0.75</v>
      </c>
      <c r="M11" s="2">
        <v>0.73</v>
      </c>
      <c r="N11" s="2">
        <v>0.77</v>
      </c>
      <c r="O11" s="2">
        <v>0.67</v>
      </c>
      <c r="P11" s="2">
        <v>0.69</v>
      </c>
      <c r="Q11" s="2">
        <v>0.65</v>
      </c>
      <c r="R11" s="2">
        <v>0.72</v>
      </c>
      <c r="S11" s="2">
        <v>0.68</v>
      </c>
      <c r="T11" s="2">
        <f t="shared" si="0"/>
        <v>0.77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0.77</v>
      </c>
      <c r="I12" s="2">
        <v>0.81</v>
      </c>
      <c r="J12" s="2">
        <v>0.8</v>
      </c>
      <c r="K12" s="2">
        <v>0.77</v>
      </c>
      <c r="L12" s="2">
        <v>0.8</v>
      </c>
      <c r="M12" s="2">
        <v>0.82</v>
      </c>
      <c r="N12" s="2">
        <v>0.8</v>
      </c>
      <c r="O12" s="2">
        <v>0.81</v>
      </c>
      <c r="P12" s="2">
        <v>0.82</v>
      </c>
      <c r="Q12" s="2">
        <v>0.77</v>
      </c>
      <c r="R12" s="2">
        <v>0.78</v>
      </c>
      <c r="S12" s="2">
        <v>0.81</v>
      </c>
      <c r="T12" s="2">
        <f t="shared" si="0"/>
        <v>0.82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0.74</v>
      </c>
      <c r="I13" s="2">
        <v>0.79</v>
      </c>
      <c r="J13" s="2">
        <v>0.85</v>
      </c>
      <c r="K13" s="2">
        <v>0.7</v>
      </c>
      <c r="L13" s="2">
        <v>0.79</v>
      </c>
      <c r="M13" s="2">
        <v>0.83</v>
      </c>
      <c r="N13" s="2">
        <v>0.73</v>
      </c>
      <c r="O13" s="2">
        <v>0.78</v>
      </c>
      <c r="P13" s="2">
        <v>0.74</v>
      </c>
      <c r="Q13" s="2">
        <v>0.76</v>
      </c>
      <c r="R13" s="2">
        <v>0.8</v>
      </c>
      <c r="S13" s="2">
        <v>0.77</v>
      </c>
      <c r="T13" s="2">
        <f t="shared" si="0"/>
        <v>0.85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_xlfn.TEXTJOIN("-",TRUE,Table291113171915[[#This Row],[attribute]],Table291113171915[[#This Row],[supplemented]],Table291113171915[[#This Row],[method]])</f>
        <v>plurality-FALSE-max</v>
      </c>
      <c r="H17" s="1" cm="1">
        <f t="array" ref="H17">_xlfn.LET(_xlpm.d,H$2:H$13,_xlpm.a,$C$2:$C$13=$C17,_xlpm.b,$D$2:$D$13=$D17,MAX(_xlfn._xlws.FILTER(_xlpm.d,_xlpm.a*_xlpm.b)))</f>
        <v>0.9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0.95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0.94</v>
      </c>
      <c r="S17" s="1" cm="1">
        <f t="array" ref="S17">_xlfn.LET(_xlpm.d,S$2:S$13,_xlpm.a,$C$2:$C$13=$C17,_xlpm.b,$D$2:$D$13=$D17,MAX(_xlfn._xlws.FILTER(_xlpm.d,_xlpm.a*_xlpm.b)))</f>
        <v>0.96</v>
      </c>
      <c r="T17" s="1" cm="1">
        <f t="array" ref="T17">_xlfn.LET(_xlpm.d,T$2:T$13,_xlpm.a,$C$2:$C$13=$C17,_xlpm.b,$D$2:$D$13=$D17,MAX(_xlfn._xlws.FILTER(_xlpm.d,_xlpm.a*_xlpm.b)))</f>
        <v>0.96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_xlfn.TEXTJOIN("-",TRUE,Table291113171915[[#This Row],[attribute]],Table291113171915[[#This Row],[supplemented]],Table291113171915[[#This Row],[method]])</f>
        <v>plurality-TRUE-max</v>
      </c>
      <c r="H18" s="1" cm="1">
        <f t="array" ref="H18">_xlfn.LET(_xlpm.d,H$2:H$13,_xlpm.a,$C$2:$C$13=$C18,_xlpm.b,$D$2:$D$13=$D18,MAX(_xlfn._xlws.FILTER(_xlpm.d,_xlpm.a*_xlpm.b)))</f>
        <v>0.91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0.95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0.93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_xlfn.TEXTJOIN("-",TRUE,Table291113171915[[#This Row],[attribute]],Table291113171915[[#This Row],[supplemented]],Table291113171915[[#This Row],[method]])</f>
        <v>gender-FALSE-max</v>
      </c>
      <c r="H19" s="1" cm="1">
        <f t="array" ref="H19">_xlfn.LET(_xlpm.d,H$2:H$13,_xlpm.a,$C$2:$C$13=$C19,_xlpm.b,$D$2:$D$13=$D19,MAX(_xlfn._xlws.FILTER(_xlpm.d,_xlpm.a*_xlpm.b)))</f>
        <v>0.76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0.79</v>
      </c>
      <c r="K19" s="1" cm="1">
        <f t="array" ref="K19">_xlfn.LET(_xlpm.d,K$2:K$13,_xlpm.a,$C$2:$C$13=$C19,_xlpm.b,$D$2:$D$13=$D19,MAX(_xlfn._xlws.FILTER(_xlpm.d,_xlpm.a*_xlpm.b)))</f>
        <v>0.75</v>
      </c>
      <c r="L19" s="1" cm="1">
        <f t="array" ref="L19">_xlfn.LET(_xlpm.d,L$2:L$13,_xlpm.a,$C$2:$C$13=$C19,_xlpm.b,$D$2:$D$13=$D19,MAX(_xlfn._xlws.FILTER(_xlpm.d,_xlpm.a*_xlpm.b)))</f>
        <v>0.8</v>
      </c>
      <c r="M19" s="1" cm="1">
        <f t="array" ref="M19">_xlfn.LET(_xlpm.d,M$2:M$13,_xlpm.a,$C$2:$C$13=$C19,_xlpm.b,$D$2:$D$13=$D19,MAX(_xlfn._xlws.FILTER(_xlpm.d,_xlpm.a*_xlpm.b)))</f>
        <v>0.84</v>
      </c>
      <c r="N19" s="1" cm="1">
        <f t="array" ref="N19">_xlfn.LET(_xlpm.d,N$2:N$13,_xlpm.a,$C$2:$C$13=$C19,_xlpm.b,$D$2:$D$13=$D19,MAX(_xlfn._xlws.FILTER(_xlpm.d,_xlpm.a*_xlpm.b)))</f>
        <v>0.79</v>
      </c>
      <c r="O19" s="1" cm="1">
        <f t="array" ref="O19">_xlfn.LET(_xlpm.d,O$2:O$13,_xlpm.a,$C$2:$C$13=$C19,_xlpm.b,$D$2:$D$13=$D19,MAX(_xlfn._xlws.FILTER(_xlpm.d,_xlpm.a*_xlpm.b)))</f>
        <v>0.81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0.77</v>
      </c>
      <c r="R19" s="1" cm="1">
        <f t="array" ref="R19">_xlfn.LET(_xlpm.d,R$2:R$13,_xlpm.a,$C$2:$C$13=$C19,_xlpm.b,$D$2:$D$13=$D19,MAX(_xlfn._xlws.FILTER(_xlpm.d,_xlpm.a*_xlpm.b)))</f>
        <v>0.79</v>
      </c>
      <c r="S19" s="1" cm="1">
        <f t="array" ref="S19">_xlfn.LET(_xlpm.d,S$2:S$13,_xlpm.a,$C$2:$C$13=$C19,_xlpm.b,$D$2:$D$13=$D19,MAX(_xlfn._xlws.FILTER(_xlpm.d,_xlpm.a*_xlpm.b)))</f>
        <v>0.8</v>
      </c>
      <c r="T19" s="1" cm="1">
        <f t="array" ref="T19">_xlfn.LET(_xlpm.d,T$2:T$13,_xlpm.a,$C$2:$C$13=$C19,_xlpm.b,$D$2:$D$13=$D19,MAX(_xlfn._xlws.FILTER(_xlpm.d,_xlpm.a*_xlpm.b)))</f>
        <v>0.84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_xlfn.TEXTJOIN("-",TRUE,Table291113171915[[#This Row],[attribute]],Table291113171915[[#This Row],[supplemented]],Table291113171915[[#This Row],[method]])</f>
        <v>gender-TRUE-max</v>
      </c>
      <c r="H20" s="1" cm="1">
        <f t="array" ref="H20">_xlfn.LET(_xlpm.d,H$2:H$13,_xlpm.a,$C$2:$C$13=$C20,_xlpm.b,$D$2:$D$13=$D20,MAX(_xlfn._xlws.FILTER(_xlpm.d,_xlpm.a*_xlpm.b)))</f>
        <v>0.77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0.85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0.8</v>
      </c>
      <c r="M20" s="1" cm="1">
        <f t="array" ref="M20">_xlfn.LET(_xlpm.d,M$2:M$13,_xlpm.a,$C$2:$C$13=$C20,_xlpm.b,$D$2:$D$13=$D20,MAX(_xlfn._xlws.FILTER(_xlpm.d,_xlpm.a*_xlpm.b)))</f>
        <v>0.83</v>
      </c>
      <c r="N20" s="1" cm="1">
        <f t="array" ref="N20">_xlfn.LET(_xlpm.d,N$2:N$13,_xlpm.a,$C$2:$C$13=$C20,_xlpm.b,$D$2:$D$13=$D20,MAX(_xlfn._xlws.FILTER(_xlpm.d,_xlpm.a*_xlpm.b)))</f>
        <v>0.8</v>
      </c>
      <c r="O20" s="1" cm="1">
        <f t="array" ref="O20">_xlfn.LET(_xlpm.d,O$2:O$13,_xlpm.a,$C$2:$C$13=$C20,_xlpm.b,$D$2:$D$13=$D20,MAX(_xlfn._xlws.FILTER(_xlpm.d,_xlpm.a*_xlpm.b)))</f>
        <v>0.81</v>
      </c>
      <c r="P20" s="1" cm="1">
        <f t="array" ref="P20">_xlfn.LET(_xlpm.d,P$2:P$13,_xlpm.a,$C$2:$C$13=$C20,_xlpm.b,$D$2:$D$13=$D20,MAX(_xlfn._xlws.FILTER(_xlpm.d,_xlpm.a*_xlpm.b)))</f>
        <v>0.82</v>
      </c>
      <c r="Q20" s="1" cm="1">
        <f t="array" ref="Q20">_xlfn.LET(_xlpm.d,Q$2:Q$13,_xlpm.a,$C$2:$C$13=$C20,_xlpm.b,$D$2:$D$13=$D20,MAX(_xlfn._xlws.FILTER(_xlpm.d,_xlpm.a*_xlpm.b)))</f>
        <v>0.77</v>
      </c>
      <c r="R20" s="1" cm="1">
        <f t="array" ref="R20">_xlfn.LET(_xlpm.d,R$2:R$13,_xlpm.a,$C$2:$C$13=$C20,_xlpm.b,$D$2:$D$13=$D20,MAX(_xlfn._xlws.FILTER(_xlpm.d,_xlpm.a*_xlpm.b)))</f>
        <v>0.8</v>
      </c>
      <c r="S20" s="1" cm="1">
        <f t="array" ref="S20">_xlfn.LET(_xlpm.d,S$2:S$13,_xlpm.a,$C$2:$C$13=$C20,_xlpm.b,$D$2:$D$13=$D20,MAX(_xlfn._xlws.FILTER(_xlpm.d,_xlpm.a*_xlpm.b)))</f>
        <v>0.81</v>
      </c>
      <c r="T20" s="1" cm="1">
        <f t="array" ref="T20">_xlfn.LET(_xlpm.d,T$2:T$13,_xlpm.a,$C$2:$C$13=$C20,_xlpm.b,$D$2:$D$13=$D20,MAX(_xlfn._xlws.FILTER(_xlpm.d,_xlpm.a*_xlpm.b)))</f>
        <v>0.85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39C1-2AE7-114B-875A-8873C9818BB6}">
  <dimension ref="A1:T20"/>
  <sheetViews>
    <sheetView workbookViewId="0"/>
  </sheetViews>
  <sheetFormatPr baseColWidth="10" defaultRowHeight="25" customHeight="1"/>
  <cols>
    <col min="2" max="2" width="7.125" customWidth="1"/>
    <col min="3" max="3" width="9" customWidth="1"/>
    <col min="4" max="5" width="7.125" customWidth="1"/>
    <col min="7" max="19" width="8.75" customWidth="1"/>
    <col min="20" max="20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0.87</v>
      </c>
      <c r="I2" s="2">
        <v>0.88</v>
      </c>
      <c r="J2" s="2">
        <v>0.86</v>
      </c>
      <c r="K2" s="2">
        <v>0.91</v>
      </c>
      <c r="L2" s="2">
        <v>0.84</v>
      </c>
      <c r="M2" s="2">
        <v>0.81</v>
      </c>
      <c r="N2" s="2">
        <v>0.77</v>
      </c>
      <c r="O2" s="2">
        <v>0.91</v>
      </c>
      <c r="P2" s="2">
        <v>0.89</v>
      </c>
      <c r="Q2" s="2">
        <v>0.91</v>
      </c>
      <c r="R2" s="2">
        <v>0.93</v>
      </c>
      <c r="S2" s="2">
        <v>0.93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0.89</v>
      </c>
      <c r="I3" s="2">
        <v>0.88</v>
      </c>
      <c r="J3" s="2">
        <v>0.9</v>
      </c>
      <c r="K3" s="2">
        <v>0.95</v>
      </c>
      <c r="L3" s="2">
        <v>0.97</v>
      </c>
      <c r="M3" s="2">
        <v>0.9</v>
      </c>
      <c r="N3" s="2">
        <v>0.82</v>
      </c>
      <c r="O3" s="2">
        <v>0.94</v>
      </c>
      <c r="P3" s="2">
        <v>0.85</v>
      </c>
      <c r="Q3" s="2">
        <v>0.92</v>
      </c>
      <c r="R3" s="2">
        <v>0.99</v>
      </c>
      <c r="S3" s="2">
        <v>0.95</v>
      </c>
      <c r="T3" s="2">
        <f t="shared" si="0"/>
        <v>0.99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0.93</v>
      </c>
      <c r="I4" s="2">
        <v>0.9</v>
      </c>
      <c r="J4" s="2">
        <v>0.91</v>
      </c>
      <c r="K4" s="2">
        <v>0.97</v>
      </c>
      <c r="L4" s="2">
        <v>0.98</v>
      </c>
      <c r="M4" s="2">
        <v>0.92</v>
      </c>
      <c r="N4" s="2">
        <v>0.83</v>
      </c>
      <c r="O4" s="2">
        <v>0.92</v>
      </c>
      <c r="P4" s="2">
        <v>0.87</v>
      </c>
      <c r="Q4" s="2">
        <v>0.94</v>
      </c>
      <c r="R4" s="2">
        <v>0.97</v>
      </c>
      <c r="S4" s="2">
        <v>0.95</v>
      </c>
      <c r="T4" s="2">
        <f t="shared" si="0"/>
        <v>0.98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0.9</v>
      </c>
      <c r="I5" s="2">
        <v>0.84</v>
      </c>
      <c r="J5" s="2">
        <v>0.88</v>
      </c>
      <c r="K5" s="2">
        <v>0.88</v>
      </c>
      <c r="L5" s="2">
        <v>0.89</v>
      </c>
      <c r="M5" s="2">
        <v>0.82</v>
      </c>
      <c r="N5" s="2">
        <v>0.86</v>
      </c>
      <c r="O5" s="2">
        <v>0.88</v>
      </c>
      <c r="P5" s="2">
        <v>0.87</v>
      </c>
      <c r="Q5" s="2">
        <v>0.89</v>
      </c>
      <c r="R5" s="2">
        <v>0.93</v>
      </c>
      <c r="S5" s="2">
        <v>0.91</v>
      </c>
      <c r="T5" s="2">
        <f t="shared" si="0"/>
        <v>0.93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0.88</v>
      </c>
      <c r="I6" s="2">
        <v>0.88</v>
      </c>
      <c r="J6" s="2">
        <v>0.92</v>
      </c>
      <c r="K6" s="2">
        <v>0.95</v>
      </c>
      <c r="L6" s="2">
        <v>0.95</v>
      </c>
      <c r="M6" s="2">
        <v>0.91</v>
      </c>
      <c r="N6" s="2">
        <v>0.82</v>
      </c>
      <c r="O6" s="2">
        <v>0.94</v>
      </c>
      <c r="P6" s="2">
        <v>0.84</v>
      </c>
      <c r="Q6" s="2">
        <v>0.93</v>
      </c>
      <c r="R6" s="2">
        <v>0.98</v>
      </c>
      <c r="S6" s="2">
        <v>0.95</v>
      </c>
      <c r="T6" s="2">
        <f t="shared" si="0"/>
        <v>0.98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0.93</v>
      </c>
      <c r="I7" s="2">
        <v>0.92</v>
      </c>
      <c r="J7" s="2">
        <v>0.92</v>
      </c>
      <c r="K7" s="2">
        <v>0.95</v>
      </c>
      <c r="L7" s="2">
        <v>0.97</v>
      </c>
      <c r="M7" s="2">
        <v>0.9</v>
      </c>
      <c r="N7" s="2">
        <v>0.85</v>
      </c>
      <c r="O7" s="2">
        <v>0.93</v>
      </c>
      <c r="P7" s="2">
        <v>0.83</v>
      </c>
      <c r="Q7" s="2">
        <v>0.95</v>
      </c>
      <c r="R7" s="2">
        <v>0.96</v>
      </c>
      <c r="S7" s="2">
        <v>0.95</v>
      </c>
      <c r="T7" s="2">
        <f t="shared" si="0"/>
        <v>0.97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0.68</v>
      </c>
      <c r="I8" s="2">
        <v>0.64</v>
      </c>
      <c r="J8" s="2">
        <v>0.73</v>
      </c>
      <c r="K8" s="2">
        <v>0.72</v>
      </c>
      <c r="L8" s="2">
        <v>0.57999999999999996</v>
      </c>
      <c r="M8" s="2">
        <v>0.71</v>
      </c>
      <c r="N8" s="2">
        <v>0.72</v>
      </c>
      <c r="O8" s="2">
        <v>0.71</v>
      </c>
      <c r="P8" s="2">
        <v>0.62</v>
      </c>
      <c r="Q8" s="2">
        <v>0.61</v>
      </c>
      <c r="R8" s="2">
        <v>0.68</v>
      </c>
      <c r="S8" s="2">
        <v>0.73</v>
      </c>
      <c r="T8" s="2">
        <f t="shared" si="0"/>
        <v>0.73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0.74</v>
      </c>
      <c r="I9" s="2">
        <v>0.78</v>
      </c>
      <c r="J9" s="2">
        <v>0.75</v>
      </c>
      <c r="K9" s="2">
        <v>0.74</v>
      </c>
      <c r="L9" s="2">
        <v>0.78</v>
      </c>
      <c r="M9" s="2">
        <v>0.73</v>
      </c>
      <c r="N9" s="2">
        <v>0.76</v>
      </c>
      <c r="O9" s="2">
        <v>0.78</v>
      </c>
      <c r="P9" s="2">
        <v>0.78</v>
      </c>
      <c r="Q9" s="2">
        <v>0.7</v>
      </c>
      <c r="R9" s="2">
        <v>0.76</v>
      </c>
      <c r="S9" s="2">
        <v>0.78</v>
      </c>
      <c r="T9" s="2">
        <f t="shared" si="0"/>
        <v>0.78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0.78</v>
      </c>
      <c r="I10" s="2">
        <v>0.77</v>
      </c>
      <c r="J10" s="2">
        <v>0.74</v>
      </c>
      <c r="K10" s="2">
        <v>0.68</v>
      </c>
      <c r="L10" s="2">
        <v>0.71</v>
      </c>
      <c r="M10" s="2">
        <v>0.78</v>
      </c>
      <c r="N10" s="2">
        <v>0.74</v>
      </c>
      <c r="O10" s="2">
        <v>0.71</v>
      </c>
      <c r="P10" s="2">
        <v>0.73</v>
      </c>
      <c r="Q10" s="2">
        <v>0.7</v>
      </c>
      <c r="R10" s="2">
        <v>0.72</v>
      </c>
      <c r="S10" s="2">
        <v>0.82</v>
      </c>
      <c r="T10" s="2">
        <f t="shared" si="0"/>
        <v>0.82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0.68</v>
      </c>
      <c r="I11" s="2">
        <v>0.72</v>
      </c>
      <c r="J11" s="2">
        <v>0.77</v>
      </c>
      <c r="K11" s="2">
        <v>0.68</v>
      </c>
      <c r="L11" s="2">
        <v>0.56999999999999995</v>
      </c>
      <c r="M11" s="2">
        <v>0.63</v>
      </c>
      <c r="N11" s="2">
        <v>0.65</v>
      </c>
      <c r="O11" s="2">
        <v>0.71</v>
      </c>
      <c r="P11" s="2">
        <v>0.76</v>
      </c>
      <c r="Q11" s="2">
        <v>0.62</v>
      </c>
      <c r="R11" s="2">
        <v>0.62</v>
      </c>
      <c r="S11" s="2">
        <v>0.62</v>
      </c>
      <c r="T11" s="2">
        <f t="shared" si="0"/>
        <v>0.77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0.82</v>
      </c>
      <c r="I12" s="2">
        <v>0.8</v>
      </c>
      <c r="J12" s="2">
        <v>0.8</v>
      </c>
      <c r="K12" s="2">
        <v>0.77</v>
      </c>
      <c r="L12" s="2">
        <v>0.72</v>
      </c>
      <c r="M12" s="2">
        <v>0.76</v>
      </c>
      <c r="N12" s="2">
        <v>0.73</v>
      </c>
      <c r="O12" s="2">
        <v>0.82</v>
      </c>
      <c r="P12" s="2">
        <v>0.79</v>
      </c>
      <c r="Q12" s="2">
        <v>0.7</v>
      </c>
      <c r="R12" s="2">
        <v>0.79</v>
      </c>
      <c r="S12" s="2">
        <v>0.78</v>
      </c>
      <c r="T12" s="2">
        <f t="shared" si="0"/>
        <v>0.82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0.77</v>
      </c>
      <c r="I13" s="2">
        <v>0.79</v>
      </c>
      <c r="J13" s="2">
        <v>0.77</v>
      </c>
      <c r="K13" s="2">
        <v>0.67</v>
      </c>
      <c r="L13" s="2">
        <v>0.7</v>
      </c>
      <c r="M13" s="2">
        <v>0.79</v>
      </c>
      <c r="N13" s="2">
        <v>0.72</v>
      </c>
      <c r="O13" s="2">
        <v>0.7</v>
      </c>
      <c r="P13" s="2">
        <v>0.77</v>
      </c>
      <c r="Q13" s="2">
        <v>0.69</v>
      </c>
      <c r="R13" s="2">
        <v>0.77</v>
      </c>
      <c r="S13" s="2">
        <v>0.78</v>
      </c>
      <c r="T13" s="2">
        <f t="shared" si="0"/>
        <v>0.79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_xlfn.TEXTJOIN("-",TRUE,Table291113171916[[#This Row],[attribute]],Table291113171916[[#This Row],[supplemented]],Table291113171916[[#This Row],[method]])</f>
        <v>plurality-FALSE-max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</v>
      </c>
      <c r="J17" s="1" cm="1">
        <f t="array" ref="J17">_xlfn.LET(_xlpm.d,J$2:J$13,_xlpm.a,$C$2:$C$13=$C17,_xlpm.b,$D$2:$D$13=$D17,MAX(_xlfn._xlws.FILTER(_xlpm.d,_xlpm.a*_xlpm.b)))</f>
        <v>0.91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0.98</v>
      </c>
      <c r="M17" s="1" cm="1">
        <f t="array" ref="M17">_xlfn.LET(_xlpm.d,M$2:M$13,_xlpm.a,$C$2:$C$13=$C17,_xlpm.b,$D$2:$D$13=$D17,MAX(_xlfn._xlws.FILTER(_xlpm.d,_xlpm.a*_xlpm.b)))</f>
        <v>0.92</v>
      </c>
      <c r="N17" s="1" cm="1">
        <f t="array" ref="N17">_xlfn.LET(_xlpm.d,N$2:N$13,_xlpm.a,$C$2:$C$13=$C17,_xlpm.b,$D$2:$D$13=$D17,MAX(_xlfn._xlws.FILTER(_xlpm.d,_xlpm.a*_xlpm.b)))</f>
        <v>0.83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0.89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0.99</v>
      </c>
      <c r="S17" s="1" cm="1">
        <f t="array" ref="S17">_xlfn.LET(_xlpm.d,S$2:S$13,_xlpm.a,$C$2:$C$13=$C17,_xlpm.b,$D$2:$D$13=$D17,MAX(_xlfn._xlws.FILTER(_xlpm.d,_xlpm.a*_xlpm.b)))</f>
        <v>0.95</v>
      </c>
      <c r="T17" s="1" cm="1">
        <f t="array" ref="T17">_xlfn.LET(_xlpm.d,T$2:T$13,_xlpm.a,$C$2:$C$13=$C17,_xlpm.b,$D$2:$D$13=$D17,MAX(_xlfn._xlws.FILTER(_xlpm.d,_xlpm.a*_xlpm.b)))</f>
        <v>0.99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_xlfn.TEXTJOIN("-",TRUE,Table291113171916[[#This Row],[attribute]],Table291113171916[[#This Row],[supplemented]],Table291113171916[[#This Row],[method]])</f>
        <v>plurality-TRUE-max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0.92</v>
      </c>
      <c r="J18" s="1" cm="1">
        <f t="array" ref="J18">_xlfn.LET(_xlpm.d,J$2:J$13,_xlpm.a,$C$2:$C$13=$C18,_xlpm.b,$D$2:$D$13=$D18,MAX(_xlfn._xlws.FILTER(_xlpm.d,_xlpm.a*_xlpm.b)))</f>
        <v>0.92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0.97</v>
      </c>
      <c r="M18" s="1" cm="1">
        <f t="array" ref="M18">_xlfn.LET(_xlpm.d,M$2:M$13,_xlpm.a,$C$2:$C$13=$C18,_xlpm.b,$D$2:$D$13=$D18,MAX(_xlfn._xlws.FILTER(_xlpm.d,_xlpm.a*_xlpm.b)))</f>
        <v>0.91</v>
      </c>
      <c r="N18" s="1" cm="1">
        <f t="array" ref="N18">_xlfn.LET(_xlpm.d,N$2:N$13,_xlpm.a,$C$2:$C$13=$C18,_xlpm.b,$D$2:$D$13=$D18,MAX(_xlfn._xlws.FILTER(_xlpm.d,_xlpm.a*_xlpm.b)))</f>
        <v>0.86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0.87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0.98</v>
      </c>
      <c r="S18" s="1" cm="1">
        <f t="array" ref="S18">_xlfn.LET(_xlpm.d,S$2:S$13,_xlpm.a,$C$2:$C$13=$C18,_xlpm.b,$D$2:$D$13=$D18,MAX(_xlfn._xlws.FILTER(_xlpm.d,_xlpm.a*_xlpm.b)))</f>
        <v>0.95</v>
      </c>
      <c r="T18" s="1" cm="1">
        <f t="array" ref="T18">_xlfn.LET(_xlpm.d,T$2:T$13,_xlpm.a,$C$2:$C$13=$C18,_xlpm.b,$D$2:$D$13=$D18,MAX(_xlfn._xlws.FILTER(_xlpm.d,_xlpm.a*_xlpm.b)))</f>
        <v>0.98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_xlfn.TEXTJOIN("-",TRUE,Table291113171916[[#This Row],[attribute]],Table291113171916[[#This Row],[supplemented]],Table291113171916[[#This Row],[method]])</f>
        <v>gender-FALSE-max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0.75</v>
      </c>
      <c r="K19" s="1" cm="1">
        <f t="array" ref="K19">_xlfn.LET(_xlpm.d,K$2:K$13,_xlpm.a,$C$2:$C$13=$C19,_xlpm.b,$D$2:$D$13=$D19,MAX(_xlfn._xlws.FILTER(_xlpm.d,_xlpm.a*_xlpm.b)))</f>
        <v>0.74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0.78</v>
      </c>
      <c r="N19" s="1" cm="1">
        <f t="array" ref="N19">_xlfn.LET(_xlpm.d,N$2:N$13,_xlpm.a,$C$2:$C$13=$C19,_xlpm.b,$D$2:$D$13=$D19,MAX(_xlfn._xlws.FILTER(_xlpm.d,_xlpm.a*_xlpm.b)))</f>
        <v>0.76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</v>
      </c>
      <c r="R19" s="1" cm="1">
        <f t="array" ref="R19">_xlfn.LET(_xlpm.d,R$2:R$13,_xlpm.a,$C$2:$C$13=$C19,_xlpm.b,$D$2:$D$13=$D19,MAX(_xlfn._xlws.FILTER(_xlpm.d,_xlpm.a*_xlpm.b)))</f>
        <v>0.76</v>
      </c>
      <c r="S19" s="1" cm="1">
        <f t="array" ref="S19">_xlfn.LET(_xlpm.d,S$2:S$13,_xlpm.a,$C$2:$C$13=$C19,_xlpm.b,$D$2:$D$13=$D19,MAX(_xlfn._xlws.FILTER(_xlpm.d,_xlpm.a*_xlpm.b)))</f>
        <v>0.82</v>
      </c>
      <c r="T19" s="1" cm="1">
        <f t="array" ref="T19">_xlfn.LET(_xlpm.d,T$2:T$13,_xlpm.a,$C$2:$C$13=$C19,_xlpm.b,$D$2:$D$13=$D19,MAX(_xlfn._xlws.FILTER(_xlpm.d,_xlpm.a*_xlpm.b)))</f>
        <v>0.82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_xlfn.TEXTJOIN("-",TRUE,Table291113171916[[#This Row],[attribute]],Table291113171916[[#This Row],[supplemented]],Table291113171916[[#This Row],[method]])</f>
        <v>gender-TRUE-max</v>
      </c>
      <c r="H20" s="1" cm="1">
        <f t="array" ref="H20">_xlfn.LET(_xlpm.d,H$2:H$13,_xlpm.a,$C$2:$C$13=$C20,_xlpm.b,$D$2:$D$13=$D20,MAX(_xlfn._xlws.FILTER(_xlpm.d,_xlpm.a*_xlpm.b)))</f>
        <v>0.82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0.8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0.72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0.73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0.7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0.78</v>
      </c>
      <c r="T20" s="1" cm="1">
        <f t="array" ref="T20">_xlfn.LET(_xlpm.d,T$2:T$13,_xlpm.a,$C$2:$C$13=$C20,_xlpm.b,$D$2:$D$13=$D20,MAX(_xlfn._xlws.FILTER(_xlpm.d,_xlpm.a*_xlpm.b)))</f>
        <v>0.82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E7CC-837A-2F45-866F-B659E62FF7F1}">
  <dimension ref="A1:T20"/>
  <sheetViews>
    <sheetView workbookViewId="0">
      <selection activeCell="L23" sqref="L23"/>
    </sheetView>
  </sheetViews>
  <sheetFormatPr baseColWidth="10" defaultRowHeight="25" customHeight="1"/>
  <cols>
    <col min="1" max="1" width="10.625" style="4"/>
    <col min="2" max="2" width="9.375" style="4" customWidth="1"/>
    <col min="3" max="3" width="11.5" style="4" customWidth="1"/>
    <col min="4" max="19" width="8.75" style="4" customWidth="1"/>
    <col min="20" max="16384" width="10.625" style="4"/>
  </cols>
  <sheetData>
    <row r="1" spans="1:20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25" customHeight="1">
      <c r="A2" s="4" t="s">
        <v>24</v>
      </c>
      <c r="B2" s="4">
        <v>1</v>
      </c>
      <c r="C2" s="4" t="s">
        <v>23</v>
      </c>
      <c r="D2" s="4" t="b">
        <v>0</v>
      </c>
      <c r="E2" s="4">
        <v>1</v>
      </c>
      <c r="F2" s="4" t="s">
        <v>19</v>
      </c>
      <c r="H2" s="2">
        <v>0.92</v>
      </c>
      <c r="I2" s="2">
        <v>0.9</v>
      </c>
      <c r="J2" s="2">
        <v>0.87</v>
      </c>
      <c r="K2" s="2">
        <v>0.92</v>
      </c>
      <c r="L2" s="2">
        <v>0.82</v>
      </c>
      <c r="M2" s="2">
        <v>0.83</v>
      </c>
      <c r="N2" s="2">
        <v>0.92</v>
      </c>
      <c r="O2" s="2">
        <v>0.9</v>
      </c>
      <c r="P2" s="2">
        <v>0.92</v>
      </c>
      <c r="Q2" s="2">
        <v>0.92</v>
      </c>
      <c r="R2" s="2">
        <v>0.88</v>
      </c>
      <c r="S2" s="2">
        <v>0.94</v>
      </c>
      <c r="T2" s="2">
        <f>MAX($H2,$S2)</f>
        <v>0.94</v>
      </c>
    </row>
    <row r="3" spans="1:20" ht="25" customHeight="1">
      <c r="A3" s="4" t="s">
        <v>24</v>
      </c>
      <c r="B3" s="4">
        <v>1</v>
      </c>
      <c r="C3" s="4" t="s">
        <v>23</v>
      </c>
      <c r="D3" s="4" t="b">
        <v>0</v>
      </c>
      <c r="E3" s="4">
        <v>3</v>
      </c>
      <c r="F3" s="4" t="s">
        <v>21</v>
      </c>
      <c r="H3" s="2">
        <v>0.91</v>
      </c>
      <c r="I3" s="2">
        <v>0.94</v>
      </c>
      <c r="J3" s="2">
        <v>0.94</v>
      </c>
      <c r="K3" s="2">
        <v>0.97</v>
      </c>
      <c r="L3" s="2">
        <v>0.94</v>
      </c>
      <c r="M3" s="2">
        <v>0.94</v>
      </c>
      <c r="N3" s="2">
        <v>0.94</v>
      </c>
      <c r="O3" s="2">
        <v>0.94</v>
      </c>
      <c r="P3" s="2">
        <v>0.95</v>
      </c>
      <c r="Q3" s="2">
        <v>0.97</v>
      </c>
      <c r="R3" s="2">
        <v>0.95</v>
      </c>
      <c r="S3" s="2">
        <v>0.98</v>
      </c>
      <c r="T3" s="2">
        <f>MAX($H3,$S3)</f>
        <v>0.98</v>
      </c>
    </row>
    <row r="4" spans="1:20" ht="25" customHeight="1">
      <c r="A4" s="4" t="s">
        <v>24</v>
      </c>
      <c r="B4" s="4">
        <v>1</v>
      </c>
      <c r="C4" s="4" t="s">
        <v>23</v>
      </c>
      <c r="D4" s="4" t="b">
        <v>0</v>
      </c>
      <c r="E4" s="4">
        <v>2</v>
      </c>
      <c r="F4" s="4" t="s">
        <v>20</v>
      </c>
      <c r="H4" s="2">
        <v>0.93</v>
      </c>
      <c r="I4" s="2">
        <v>0.91</v>
      </c>
      <c r="J4" s="2">
        <v>0.89</v>
      </c>
      <c r="K4" s="2">
        <v>0.96</v>
      </c>
      <c r="L4" s="2">
        <v>0.93</v>
      </c>
      <c r="M4" s="2">
        <v>0.93</v>
      </c>
      <c r="N4" s="2">
        <v>0.92</v>
      </c>
      <c r="O4" s="2">
        <v>0.93</v>
      </c>
      <c r="P4" s="2">
        <v>0.94</v>
      </c>
      <c r="Q4" s="2">
        <v>0.96</v>
      </c>
      <c r="R4" s="2">
        <v>0.91</v>
      </c>
      <c r="S4" s="2">
        <v>0.95</v>
      </c>
      <c r="T4" s="2">
        <f>MAX($H4,$S4)</f>
        <v>0.95</v>
      </c>
    </row>
    <row r="5" spans="1:20" ht="25" customHeight="1">
      <c r="A5" s="4" t="s">
        <v>24</v>
      </c>
      <c r="B5" s="4">
        <v>1</v>
      </c>
      <c r="C5" s="4" t="s">
        <v>23</v>
      </c>
      <c r="D5" s="4" t="b">
        <v>1</v>
      </c>
      <c r="E5" s="4">
        <v>1</v>
      </c>
      <c r="F5" s="4" t="s">
        <v>19</v>
      </c>
      <c r="H5" s="2">
        <v>0.91</v>
      </c>
      <c r="I5" s="2">
        <v>0.88</v>
      </c>
      <c r="J5" s="2">
        <v>0.9</v>
      </c>
      <c r="K5" s="2">
        <v>0.93</v>
      </c>
      <c r="L5" s="2">
        <v>0.85</v>
      </c>
      <c r="M5" s="2">
        <v>0.88</v>
      </c>
      <c r="N5" s="2">
        <v>0.92</v>
      </c>
      <c r="O5" s="2">
        <v>0.9</v>
      </c>
      <c r="P5" s="2">
        <v>0.85</v>
      </c>
      <c r="Q5" s="2">
        <v>0.92</v>
      </c>
      <c r="R5" s="2">
        <v>0.84</v>
      </c>
      <c r="S5" s="2">
        <v>0.9</v>
      </c>
      <c r="T5" s="2">
        <f>MAX($H5,$S5)</f>
        <v>0.91</v>
      </c>
    </row>
    <row r="6" spans="1:20" ht="25" customHeight="1">
      <c r="A6" s="4" t="s">
        <v>24</v>
      </c>
      <c r="B6" s="4">
        <v>1</v>
      </c>
      <c r="C6" s="4" t="s">
        <v>23</v>
      </c>
      <c r="D6" s="4" t="b">
        <v>1</v>
      </c>
      <c r="E6" s="4">
        <v>2</v>
      </c>
      <c r="F6" s="4" t="s">
        <v>20</v>
      </c>
      <c r="H6" s="2">
        <v>0.93</v>
      </c>
      <c r="I6" s="2">
        <v>0.92</v>
      </c>
      <c r="J6" s="2">
        <v>0.91</v>
      </c>
      <c r="K6" s="2">
        <v>0.97</v>
      </c>
      <c r="L6" s="2">
        <v>0.93</v>
      </c>
      <c r="M6" s="2">
        <v>0.92</v>
      </c>
      <c r="N6" s="2">
        <v>0.93</v>
      </c>
      <c r="O6" s="2">
        <v>0.93</v>
      </c>
      <c r="P6" s="2">
        <v>0.93</v>
      </c>
      <c r="Q6" s="2">
        <v>0.95</v>
      </c>
      <c r="R6" s="2">
        <v>0.91</v>
      </c>
      <c r="S6" s="2">
        <v>0.96</v>
      </c>
      <c r="T6" s="2">
        <f>MAX($H6,$S6)</f>
        <v>0.96</v>
      </c>
    </row>
    <row r="7" spans="1:20" ht="25" customHeight="1">
      <c r="A7" s="4" t="s">
        <v>24</v>
      </c>
      <c r="B7" s="4">
        <v>1</v>
      </c>
      <c r="C7" s="4" t="s">
        <v>23</v>
      </c>
      <c r="D7" s="4" t="b">
        <v>1</v>
      </c>
      <c r="E7" s="4">
        <v>3</v>
      </c>
      <c r="F7" s="4" t="s">
        <v>21</v>
      </c>
      <c r="H7" s="2">
        <v>0.92</v>
      </c>
      <c r="I7" s="2">
        <v>0.95</v>
      </c>
      <c r="J7" s="2">
        <v>0.94</v>
      </c>
      <c r="K7" s="2">
        <v>0.97</v>
      </c>
      <c r="L7" s="2">
        <v>0.96</v>
      </c>
      <c r="M7" s="2">
        <v>0.94</v>
      </c>
      <c r="N7" s="2">
        <v>0.95</v>
      </c>
      <c r="O7" s="2">
        <v>0.92</v>
      </c>
      <c r="P7" s="2">
        <v>0.94</v>
      </c>
      <c r="Q7" s="2">
        <v>0.96</v>
      </c>
      <c r="R7" s="2">
        <v>0.96</v>
      </c>
      <c r="S7" s="2">
        <v>0.96</v>
      </c>
      <c r="T7" s="2">
        <f>MAX($H7,$S7)</f>
        <v>0.96</v>
      </c>
    </row>
    <row r="8" spans="1:20" ht="25" customHeight="1">
      <c r="A8" s="4" t="s">
        <v>24</v>
      </c>
      <c r="B8" s="4">
        <v>2</v>
      </c>
      <c r="C8" s="4" t="s">
        <v>22</v>
      </c>
      <c r="D8" s="4" t="b">
        <v>0</v>
      </c>
      <c r="E8" s="4">
        <v>1</v>
      </c>
      <c r="F8" s="4" t="s">
        <v>19</v>
      </c>
      <c r="H8" s="2">
        <v>0.69</v>
      </c>
      <c r="I8" s="2">
        <v>0.75</v>
      </c>
      <c r="J8" s="2">
        <v>0.74</v>
      </c>
      <c r="K8" s="2">
        <v>0.67</v>
      </c>
      <c r="L8" s="2">
        <v>0.7</v>
      </c>
      <c r="M8" s="2">
        <v>0.68</v>
      </c>
      <c r="N8" s="2">
        <v>0.74</v>
      </c>
      <c r="O8" s="2">
        <v>0.76</v>
      </c>
      <c r="P8" s="2">
        <v>0.71</v>
      </c>
      <c r="Q8" s="2">
        <v>0.72</v>
      </c>
      <c r="R8" s="2">
        <v>0.66</v>
      </c>
      <c r="S8" s="2">
        <v>0.67</v>
      </c>
      <c r="T8" s="2">
        <f>MAX($H8,$S8)</f>
        <v>0.69</v>
      </c>
    </row>
    <row r="9" spans="1:20" ht="25" customHeight="1">
      <c r="A9" s="4" t="s">
        <v>24</v>
      </c>
      <c r="B9" s="4">
        <v>2</v>
      </c>
      <c r="C9" s="4" t="s">
        <v>22</v>
      </c>
      <c r="D9" s="4" t="b">
        <v>0</v>
      </c>
      <c r="E9" s="4">
        <v>2</v>
      </c>
      <c r="F9" s="4" t="s">
        <v>20</v>
      </c>
      <c r="H9" s="2">
        <v>0.78</v>
      </c>
      <c r="I9" s="2">
        <v>0.79</v>
      </c>
      <c r="J9" s="2">
        <v>0.83</v>
      </c>
      <c r="K9" s="2">
        <v>0.8</v>
      </c>
      <c r="L9" s="2">
        <v>0.8</v>
      </c>
      <c r="M9" s="2">
        <v>0.81</v>
      </c>
      <c r="N9" s="2">
        <v>0.79</v>
      </c>
      <c r="O9" s="2">
        <v>0.78</v>
      </c>
      <c r="P9" s="2">
        <v>0.75</v>
      </c>
      <c r="Q9" s="2">
        <v>0.8</v>
      </c>
      <c r="R9" s="2">
        <v>0.82</v>
      </c>
      <c r="S9" s="2">
        <v>0.81</v>
      </c>
      <c r="T9" s="2">
        <f>MAX($H9,$S9)</f>
        <v>0.81</v>
      </c>
    </row>
    <row r="10" spans="1:20" ht="25" customHeight="1">
      <c r="A10" s="4" t="s">
        <v>24</v>
      </c>
      <c r="B10" s="4">
        <v>2</v>
      </c>
      <c r="C10" s="4" t="s">
        <v>22</v>
      </c>
      <c r="D10" s="4" t="b">
        <v>0</v>
      </c>
      <c r="E10" s="4">
        <v>3</v>
      </c>
      <c r="F10" s="4" t="s">
        <v>21</v>
      </c>
      <c r="H10" s="2">
        <v>0.78</v>
      </c>
      <c r="I10" s="2">
        <v>0.8</v>
      </c>
      <c r="J10" s="2">
        <v>0.81</v>
      </c>
      <c r="K10" s="2">
        <v>0.8</v>
      </c>
      <c r="L10" s="2">
        <v>0.82</v>
      </c>
      <c r="M10" s="2">
        <v>0.78</v>
      </c>
      <c r="N10" s="2">
        <v>0.8</v>
      </c>
      <c r="O10" s="2">
        <v>0.79</v>
      </c>
      <c r="P10" s="2">
        <v>0.79</v>
      </c>
      <c r="Q10" s="2">
        <v>0.78</v>
      </c>
      <c r="R10" s="2">
        <v>0.81</v>
      </c>
      <c r="S10" s="2">
        <v>0.83</v>
      </c>
      <c r="T10" s="2">
        <f>MAX($H10,$S10)</f>
        <v>0.83</v>
      </c>
    </row>
    <row r="11" spans="1:20" ht="25" customHeight="1">
      <c r="A11" s="4" t="s">
        <v>24</v>
      </c>
      <c r="B11" s="4">
        <v>2</v>
      </c>
      <c r="C11" s="4" t="s">
        <v>22</v>
      </c>
      <c r="D11" s="4" t="b">
        <v>1</v>
      </c>
      <c r="E11" s="4">
        <v>2</v>
      </c>
      <c r="F11" s="4" t="s">
        <v>20</v>
      </c>
      <c r="H11" s="2">
        <v>0.79</v>
      </c>
      <c r="I11" s="2">
        <v>0.81</v>
      </c>
      <c r="J11" s="2">
        <v>0.82</v>
      </c>
      <c r="K11" s="2">
        <v>0.78</v>
      </c>
      <c r="L11" s="2">
        <v>0.81</v>
      </c>
      <c r="M11" s="2">
        <v>0.82</v>
      </c>
      <c r="N11" s="2">
        <v>0.8</v>
      </c>
      <c r="O11" s="2">
        <v>0.79</v>
      </c>
      <c r="P11" s="2">
        <v>0.76</v>
      </c>
      <c r="Q11" s="2">
        <v>0.78</v>
      </c>
      <c r="R11" s="2">
        <v>0.8</v>
      </c>
      <c r="S11" s="2">
        <v>0.81</v>
      </c>
      <c r="T11" s="2">
        <f>MAX($H11,$S11)</f>
        <v>0.81</v>
      </c>
    </row>
    <row r="12" spans="1:20" ht="25" customHeight="1">
      <c r="A12" s="4" t="s">
        <v>24</v>
      </c>
      <c r="B12" s="4">
        <v>2</v>
      </c>
      <c r="C12" s="4" t="s">
        <v>22</v>
      </c>
      <c r="D12" s="4" t="b">
        <v>1</v>
      </c>
      <c r="E12" s="4">
        <v>1</v>
      </c>
      <c r="F12" s="4" t="s">
        <v>19</v>
      </c>
      <c r="H12" s="2">
        <v>0.73</v>
      </c>
      <c r="I12" s="2">
        <v>0.81</v>
      </c>
      <c r="J12" s="2">
        <v>0.7</v>
      </c>
      <c r="K12" s="2">
        <v>0.74</v>
      </c>
      <c r="L12" s="2">
        <v>0.7</v>
      </c>
      <c r="M12" s="2">
        <v>0.59</v>
      </c>
      <c r="N12" s="2">
        <v>0.69</v>
      </c>
      <c r="O12" s="2">
        <v>0.71</v>
      </c>
      <c r="P12" s="2">
        <v>0.73</v>
      </c>
      <c r="Q12" s="2">
        <v>0.75</v>
      </c>
      <c r="R12" s="2">
        <v>0.71</v>
      </c>
      <c r="S12" s="2">
        <v>0.65</v>
      </c>
      <c r="T12" s="2">
        <f>MAX($H12,$S12)</f>
        <v>0.73</v>
      </c>
    </row>
    <row r="13" spans="1:20" ht="25" customHeight="1">
      <c r="A13" s="4" t="s">
        <v>24</v>
      </c>
      <c r="B13" s="4">
        <v>2</v>
      </c>
      <c r="C13" s="4" t="s">
        <v>22</v>
      </c>
      <c r="D13" s="4" t="b">
        <v>1</v>
      </c>
      <c r="E13" s="4">
        <v>3</v>
      </c>
      <c r="F13" s="4" t="s">
        <v>21</v>
      </c>
      <c r="H13" s="2">
        <v>0.81</v>
      </c>
      <c r="I13" s="2">
        <v>0.79</v>
      </c>
      <c r="J13" s="2">
        <v>0.81</v>
      </c>
      <c r="K13" s="2">
        <v>0.79</v>
      </c>
      <c r="L13" s="2">
        <v>0.82</v>
      </c>
      <c r="M13" s="2">
        <v>0.8</v>
      </c>
      <c r="N13" s="2">
        <v>0.8</v>
      </c>
      <c r="O13" s="2">
        <v>0.79</v>
      </c>
      <c r="P13" s="2">
        <v>0.79</v>
      </c>
      <c r="Q13" s="2">
        <v>0.81</v>
      </c>
      <c r="R13" s="2">
        <v>0.83</v>
      </c>
      <c r="S13" s="2">
        <v>0.82</v>
      </c>
      <c r="T13" s="2">
        <f>MAX($H13,$S13)</f>
        <v>0.82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_xlfn.TEXTJOIN("-",TRUE,Table2911131719158[[#This Row],[attribute]],Table2911131719158[[#This Row],[supplemented]],Table2911131719158[[#This Row],[method]])</f>
        <v>plurality-FALSE-max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0.98</v>
      </c>
      <c r="T17" s="1" cm="1">
        <f t="array" ref="T17">_xlfn.LET(_xlpm.d,T$2:T$13,_xlpm.a,$C$2:$C$13=$C17,_xlpm.b,$D$2:$D$13=$D17,MAX(_xlfn._xlws.FILTER(_xlpm.d,_xlpm.a*_xlpm.b)))</f>
        <v>0.98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_xlfn.TEXTJOIN("-",TRUE,Table2911131719158[[#This Row],[attribute]],Table2911131719158[[#This Row],[supplemented]],Table2911131719158[[#This Row],[method]])</f>
        <v>plurality-TRUE-max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0.95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0.96</v>
      </c>
      <c r="S18" s="1" cm="1">
        <f t="array" ref="S18">_xlfn.LET(_xlpm.d,S$2:S$13,_xlpm.a,$C$2:$C$13=$C18,_xlpm.b,$D$2:$D$13=$D18,MAX(_xlfn._xlws.FILTER(_xlpm.d,_xlpm.a*_xlpm.b)))</f>
        <v>0.96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_xlfn.TEXTJOIN("-",TRUE,Table2911131719158[[#This Row],[attribute]],Table2911131719158[[#This Row],[supplemented]],Table2911131719158[[#This Row],[method]])</f>
        <v>gender-FALSE-max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0.8</v>
      </c>
      <c r="J19" s="1" cm="1">
        <f t="array" ref="J19">_xlfn.LET(_xlpm.d,J$2:J$13,_xlpm.a,$C$2:$C$13=$C19,_xlpm.b,$D$2:$D$13=$D19,MAX(_xlfn._xlws.FILTER(_xlpm.d,_xlpm.a*_xlpm.b)))</f>
        <v>0.83</v>
      </c>
      <c r="K19" s="1" cm="1">
        <f t="array" ref="K19">_xlfn.LET(_xlpm.d,K$2:K$13,_xlpm.a,$C$2:$C$13=$C19,_xlpm.b,$D$2:$D$13=$D19,MAX(_xlfn._xlws.FILTER(_xlpm.d,_xlpm.a*_xlpm.b)))</f>
        <v>0.8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</v>
      </c>
      <c r="O19" s="1" cm="1">
        <f t="array" ref="O19">_xlfn.LET(_xlpm.d,O$2:O$13,_xlpm.a,$C$2:$C$13=$C19,_xlpm.b,$D$2:$D$13=$D19,MAX(_xlfn._xlws.FILTER(_xlpm.d,_xlpm.a*_xlpm.b)))</f>
        <v>0.79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0.82</v>
      </c>
      <c r="S19" s="1" cm="1">
        <f t="array" ref="S19">_xlfn.LET(_xlpm.d,S$2:S$13,_xlpm.a,$C$2:$C$13=$C19,_xlpm.b,$D$2:$D$13=$D19,MAX(_xlfn._xlws.FILTER(_xlpm.d,_xlpm.a*_xlpm.b)))</f>
        <v>0.83</v>
      </c>
      <c r="T19" s="1" cm="1">
        <f t="array" ref="T19">_xlfn.LET(_xlpm.d,T$2:T$13,_xlpm.a,$C$2:$C$13=$C19,_xlpm.b,$D$2:$D$13=$D19,MAX(_xlfn._xlws.FILTER(_xlpm.d,_xlpm.a*_xlpm.b)))</f>
        <v>0.83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_xlfn.TEXTJOIN("-",TRUE,Table2911131719158[[#This Row],[attribute]],Table2911131719158[[#This Row],[supplemented]],Table2911131719158[[#This Row],[method]])</f>
        <v>gender-TRUE-max</v>
      </c>
      <c r="H20" s="1" cm="1">
        <f t="array" ref="H20">_xlfn.LET(_xlpm.d,H$2:H$13,_xlpm.a,$C$2:$C$13=$C20,_xlpm.b,$D$2:$D$13=$D20,MAX(_xlfn._xlws.FILTER(_xlpm.d,_xlpm.a*_xlpm.b)))</f>
        <v>0.81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0.79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0.82</v>
      </c>
      <c r="N20" s="1" cm="1">
        <f t="array" ref="N20">_xlfn.LET(_xlpm.d,N$2:N$13,_xlpm.a,$C$2:$C$13=$C20,_xlpm.b,$D$2:$D$13=$D20,MAX(_xlfn._xlws.FILTER(_xlpm.d,_xlpm.a*_xlpm.b)))</f>
        <v>0.8</v>
      </c>
      <c r="O20" s="1" cm="1">
        <f t="array" ref="O20">_xlfn.LET(_xlpm.d,O$2:O$13,_xlpm.a,$C$2:$C$13=$C20,_xlpm.b,$D$2:$D$13=$D20,MAX(_xlfn._xlws.FILTER(_xlpm.d,_xlpm.a*_xlpm.b)))</f>
        <v>0.79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0.83</v>
      </c>
      <c r="S20" s="1" cm="1">
        <f t="array" ref="S20">_xlfn.LET(_xlpm.d,S$2:S$13,_xlpm.a,$C$2:$C$13=$C20,_xlpm.b,$D$2:$D$13=$D20,MAX(_xlfn._xlws.FILTER(_xlpm.d,_xlpm.a*_xlpm.b)))</f>
        <v>0.82</v>
      </c>
      <c r="T20" s="1" cm="1">
        <f t="array" ref="T20">_xlfn.LET(_xlpm.d,T$2:T$13,_xlpm.a,$C$2:$C$13=$C20,_xlpm.b,$D$2:$D$13=$D20,MAX(_xlfn._xlws.FILTER(_xlpm.d,_xlpm.a*_xlpm.b)))</f>
        <v>0.82</v>
      </c>
    </row>
  </sheetData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summarized</vt:lpstr>
      <vt:lpstr>ml3.0-3k-xsk-mgv9</vt:lpstr>
      <vt:lpstr>ml3.0-2k-xsk-mgv9</vt:lpstr>
      <vt:lpstr>ml3.0-2k-xsk-mgv6</vt:lpstr>
      <vt:lpstr>ml3.0-1.2k-xsk-mgv9</vt:lpstr>
      <vt:lpstr>ml2.0-2k-xsk-mgv9</vt:lpstr>
      <vt:lpstr>ml2.0-1.2k-xsk-mgv9</vt:lpstr>
      <vt:lpstr>ml2.0-3k-xsk-mgv6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2025-02-25T03:28:35Z</dcterms:created>
  <dcterms:modified xsi:type="dcterms:W3CDTF">2025-03-05T00:13:44Z</dcterms:modified>
  <cp:category/>
</cp:coreProperties>
</file>