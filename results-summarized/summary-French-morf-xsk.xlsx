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wk/Dropbox/GitHub/ngram-based-noun-classification/results/"/>
    </mc:Choice>
  </mc:AlternateContent>
  <xr:revisionPtr revIDLastSave="0" documentId="13_ncr:1_{EDFCBFA3-385E-5547-BC56-82EF7B341307}" xr6:coauthVersionLast="47" xr6:coauthVersionMax="47" xr10:uidLastSave="{00000000-0000-0000-0000-000000000000}"/>
  <bookViews>
    <workbookView xWindow="7720" yWindow="680" windowWidth="27360" windowHeight="16440" activeTab="5" xr2:uid="{7305A5EC-7A01-E84D-BD97-97AE6C126C2F}"/>
  </bookViews>
  <sheets>
    <sheet name="summarized" sheetId="9" r:id="rId1"/>
    <sheet name="ml3.0-3k-xsk-mgv9" sheetId="8" r:id="rId2"/>
    <sheet name="ml3.0-2k-xsk-mgv9" sheetId="7" r:id="rId3"/>
    <sheet name="ml3.0-1.2k-xsk-mgv9" sheetId="6" r:id="rId4"/>
    <sheet name="ml2.0-2k-xsk-mgv9" sheetId="5" r:id="rId5"/>
    <sheet name="ml2.0-1.2k-xsk-mgv9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5" i="9" l="1"/>
  <c r="J25" i="9"/>
  <c r="X24" i="9"/>
  <c r="J24" i="9"/>
  <c r="X23" i="9"/>
  <c r="J23" i="9"/>
  <c r="X22" i="9"/>
  <c r="J22" i="9"/>
  <c r="X21" i="9"/>
  <c r="J21" i="9"/>
  <c r="X20" i="9"/>
  <c r="J20" i="9"/>
  <c r="X19" i="9"/>
  <c r="J19" i="9"/>
  <c r="X18" i="9"/>
  <c r="J18" i="9"/>
  <c r="X17" i="9"/>
  <c r="J17" i="9"/>
  <c r="X16" i="9"/>
  <c r="J16" i="9"/>
  <c r="X15" i="9"/>
  <c r="J15" i="9"/>
  <c r="X14" i="9"/>
  <c r="J14" i="9"/>
  <c r="X13" i="9"/>
  <c r="J13" i="9"/>
  <c r="X12" i="9"/>
  <c r="J12" i="9"/>
  <c r="X11" i="9"/>
  <c r="J11" i="9"/>
  <c r="X10" i="9"/>
  <c r="J10" i="9"/>
  <c r="X9" i="9"/>
  <c r="J9" i="9"/>
  <c r="X8" i="9"/>
  <c r="J8" i="9"/>
  <c r="X7" i="9"/>
  <c r="J7" i="9"/>
  <c r="X6" i="9"/>
  <c r="J6" i="9"/>
  <c r="X5" i="9"/>
  <c r="J5" i="9"/>
  <c r="X4" i="9"/>
  <c r="J4" i="9"/>
  <c r="X3" i="9"/>
  <c r="J3" i="9"/>
  <c r="X2" i="9"/>
  <c r="J2" i="9"/>
  <c r="T19" i="4" a="1"/>
  <c r="T19" i="4" s="1"/>
  <c r="S19" i="4" a="1"/>
  <c r="S19" i="4" s="1"/>
  <c r="R19" i="4" a="1"/>
  <c r="R19" i="4" s="1"/>
  <c r="Q19" i="4" a="1"/>
  <c r="Q19" i="4" s="1"/>
  <c r="P19" i="4" a="1"/>
  <c r="P19" i="4" s="1"/>
  <c r="O19" i="4" a="1"/>
  <c r="O19" i="4" s="1"/>
  <c r="N19" i="4" a="1"/>
  <c r="N19" i="4" s="1"/>
  <c r="M19" i="4" a="1"/>
  <c r="M19" i="4" s="1"/>
  <c r="L19" i="4" a="1"/>
  <c r="L19" i="4" s="1"/>
  <c r="K19" i="4" a="1"/>
  <c r="K19" i="4" s="1"/>
  <c r="J19" i="4" a="1"/>
  <c r="J19" i="4" s="1"/>
  <c r="I19" i="4" a="1"/>
  <c r="I19" i="4" s="1"/>
  <c r="H19" i="4" a="1"/>
  <c r="H19" i="4" s="1"/>
  <c r="G19" i="4"/>
  <c r="T20" i="4" a="1"/>
  <c r="T20" i="4" s="1"/>
  <c r="S20" i="4" a="1"/>
  <c r="S20" i="4" s="1"/>
  <c r="R20" i="4" a="1"/>
  <c r="R20" i="4" s="1"/>
  <c r="Q20" i="4" a="1"/>
  <c r="Q20" i="4" s="1"/>
  <c r="P20" i="4" a="1"/>
  <c r="P20" i="4" s="1"/>
  <c r="O20" i="4" a="1"/>
  <c r="O20" i="4" s="1"/>
  <c r="N20" i="4" a="1"/>
  <c r="N20" i="4" s="1"/>
  <c r="M20" i="4" a="1"/>
  <c r="M20" i="4" s="1"/>
  <c r="L20" i="4" a="1"/>
  <c r="L20" i="4" s="1"/>
  <c r="K20" i="4" a="1"/>
  <c r="K20" i="4" s="1"/>
  <c r="J20" i="4" a="1"/>
  <c r="J20" i="4" s="1"/>
  <c r="I20" i="4" a="1"/>
  <c r="I20" i="4" s="1"/>
  <c r="H20" i="4" a="1"/>
  <c r="H20" i="4" s="1"/>
  <c r="G20" i="4"/>
  <c r="T17" i="4" a="1"/>
  <c r="T17" i="4" s="1"/>
  <c r="S17" i="4" a="1"/>
  <c r="S17" i="4" s="1"/>
  <c r="R17" i="4" a="1"/>
  <c r="R17" i="4" s="1"/>
  <c r="Q17" i="4"/>
  <c r="Q17" i="4" a="1"/>
  <c r="P17" i="4" a="1"/>
  <c r="P17" i="4" s="1"/>
  <c r="O17" i="4" a="1"/>
  <c r="O17" i="4" s="1"/>
  <c r="N17" i="4" a="1"/>
  <c r="N17" i="4" s="1"/>
  <c r="M17" i="4" a="1"/>
  <c r="M17" i="4" s="1"/>
  <c r="L17" i="4" a="1"/>
  <c r="L17" i="4" s="1"/>
  <c r="K17" i="4" a="1"/>
  <c r="K17" i="4" s="1"/>
  <c r="J17" i="4" a="1"/>
  <c r="J17" i="4" s="1"/>
  <c r="I17" i="4" a="1"/>
  <c r="I17" i="4" s="1"/>
  <c r="H17" i="4" a="1"/>
  <c r="H17" i="4" s="1"/>
  <c r="G17" i="4"/>
  <c r="T18" i="4" a="1"/>
  <c r="T18" i="4" s="1"/>
  <c r="S18" i="4" a="1"/>
  <c r="S18" i="4" s="1"/>
  <c r="R18" i="4" a="1"/>
  <c r="R18" i="4" s="1"/>
  <c r="Q18" i="4" a="1"/>
  <c r="Q18" i="4" s="1"/>
  <c r="P18" i="4" a="1"/>
  <c r="P18" i="4" s="1"/>
  <c r="O18" i="4" a="1"/>
  <c r="O18" i="4" s="1"/>
  <c r="N18" i="4" a="1"/>
  <c r="N18" i="4" s="1"/>
  <c r="M18" i="4" a="1"/>
  <c r="M18" i="4" s="1"/>
  <c r="L18" i="4" a="1"/>
  <c r="L18" i="4" s="1"/>
  <c r="K18" i="4" a="1"/>
  <c r="K18" i="4" s="1"/>
  <c r="J18" i="4" a="1"/>
  <c r="J18" i="4" s="1"/>
  <c r="I18" i="4" a="1"/>
  <c r="I18" i="4" s="1"/>
  <c r="H18" i="4" a="1"/>
  <c r="H18" i="4" s="1"/>
  <c r="G18" i="4"/>
  <c r="T19" i="5" a="1"/>
  <c r="T19" i="5" s="1"/>
  <c r="S19" i="5" a="1"/>
  <c r="S19" i="5" s="1"/>
  <c r="R19" i="5" a="1"/>
  <c r="R19" i="5" s="1"/>
  <c r="Q19" i="5" a="1"/>
  <c r="Q19" i="5" s="1"/>
  <c r="P19" i="5" a="1"/>
  <c r="P19" i="5" s="1"/>
  <c r="O19" i="5" a="1"/>
  <c r="O19" i="5" s="1"/>
  <c r="N19" i="5" a="1"/>
  <c r="N19" i="5" s="1"/>
  <c r="M19" i="5" a="1"/>
  <c r="M19" i="5" s="1"/>
  <c r="L19" i="5" a="1"/>
  <c r="L19" i="5" s="1"/>
  <c r="K19" i="5" a="1"/>
  <c r="K19" i="5" s="1"/>
  <c r="J19" i="5" a="1"/>
  <c r="J19" i="5" s="1"/>
  <c r="I19" i="5" a="1"/>
  <c r="I19" i="5" s="1"/>
  <c r="H19" i="5" a="1"/>
  <c r="H19" i="5" s="1"/>
  <c r="G19" i="5"/>
  <c r="T20" i="5"/>
  <c r="T20" i="5" a="1"/>
  <c r="S20" i="5" a="1"/>
  <c r="S20" i="5" s="1"/>
  <c r="R20" i="5" a="1"/>
  <c r="R20" i="5" s="1"/>
  <c r="Q20" i="5" a="1"/>
  <c r="Q20" i="5" s="1"/>
  <c r="P20" i="5" a="1"/>
  <c r="P20" i="5" s="1"/>
  <c r="O20" i="5" a="1"/>
  <c r="O20" i="5" s="1"/>
  <c r="N20" i="5" a="1"/>
  <c r="N20" i="5" s="1"/>
  <c r="M20" i="5"/>
  <c r="M20" i="5" a="1"/>
  <c r="L20" i="5" a="1"/>
  <c r="L20" i="5" s="1"/>
  <c r="K20" i="5" a="1"/>
  <c r="K20" i="5" s="1"/>
  <c r="J20" i="5" a="1"/>
  <c r="J20" i="5" s="1"/>
  <c r="I20" i="5" a="1"/>
  <c r="I20" i="5" s="1"/>
  <c r="H20" i="5" a="1"/>
  <c r="H20" i="5" s="1"/>
  <c r="G20" i="5"/>
  <c r="T17" i="5" a="1"/>
  <c r="T17" i="5" s="1"/>
  <c r="S17" i="5" a="1"/>
  <c r="S17" i="5" s="1"/>
  <c r="R17" i="5" a="1"/>
  <c r="R17" i="5" s="1"/>
  <c r="Q17" i="5" a="1"/>
  <c r="Q17" i="5" s="1"/>
  <c r="P17" i="5" a="1"/>
  <c r="P17" i="5" s="1"/>
  <c r="O17" i="5" a="1"/>
  <c r="O17" i="5" s="1"/>
  <c r="N17" i="5" a="1"/>
  <c r="N17" i="5" s="1"/>
  <c r="M17" i="5" a="1"/>
  <c r="M17" i="5" s="1"/>
  <c r="L17" i="5" a="1"/>
  <c r="L17" i="5" s="1"/>
  <c r="K17" i="5" a="1"/>
  <c r="K17" i="5" s="1"/>
  <c r="J17" i="5" a="1"/>
  <c r="J17" i="5" s="1"/>
  <c r="I17" i="5" a="1"/>
  <c r="I17" i="5" s="1"/>
  <c r="H17" i="5" a="1"/>
  <c r="H17" i="5" s="1"/>
  <c r="G17" i="5"/>
  <c r="T18" i="5" a="1"/>
  <c r="T18" i="5" s="1"/>
  <c r="S18" i="5" a="1"/>
  <c r="S18" i="5" s="1"/>
  <c r="R18" i="5" a="1"/>
  <c r="R18" i="5" s="1"/>
  <c r="Q18" i="5" a="1"/>
  <c r="Q18" i="5" s="1"/>
  <c r="P18" i="5" a="1"/>
  <c r="P18" i="5" s="1"/>
  <c r="O18" i="5" a="1"/>
  <c r="O18" i="5" s="1"/>
  <c r="N18" i="5" a="1"/>
  <c r="N18" i="5" s="1"/>
  <c r="M18" i="5" a="1"/>
  <c r="M18" i="5" s="1"/>
  <c r="L18" i="5" a="1"/>
  <c r="L18" i="5" s="1"/>
  <c r="K18" i="5" a="1"/>
  <c r="K18" i="5" s="1"/>
  <c r="J18" i="5" a="1"/>
  <c r="J18" i="5" s="1"/>
  <c r="I18" i="5" a="1"/>
  <c r="I18" i="5" s="1"/>
  <c r="H18" i="5" a="1"/>
  <c r="H18" i="5" s="1"/>
  <c r="G18" i="5"/>
  <c r="T19" i="6" a="1"/>
  <c r="T19" i="6" s="1"/>
  <c r="S19" i="6" a="1"/>
  <c r="S19" i="6" s="1"/>
  <c r="R19" i="6" a="1"/>
  <c r="R19" i="6" s="1"/>
  <c r="Q19" i="6" a="1"/>
  <c r="Q19" i="6" s="1"/>
  <c r="P19" i="6" a="1"/>
  <c r="P19" i="6" s="1"/>
  <c r="O19" i="6" a="1"/>
  <c r="O19" i="6" s="1"/>
  <c r="N19" i="6" a="1"/>
  <c r="N19" i="6" s="1"/>
  <c r="M19" i="6" a="1"/>
  <c r="M19" i="6" s="1"/>
  <c r="L19" i="6" a="1"/>
  <c r="L19" i="6" s="1"/>
  <c r="K19" i="6" a="1"/>
  <c r="K19" i="6" s="1"/>
  <c r="J19" i="6" a="1"/>
  <c r="J19" i="6" s="1"/>
  <c r="I19" i="6" a="1"/>
  <c r="I19" i="6" s="1"/>
  <c r="H19" i="6" a="1"/>
  <c r="H19" i="6" s="1"/>
  <c r="G19" i="6"/>
  <c r="T20" i="6" a="1"/>
  <c r="T20" i="6" s="1"/>
  <c r="S20" i="6" a="1"/>
  <c r="S20" i="6" s="1"/>
  <c r="R20" i="6" a="1"/>
  <c r="R20" i="6" s="1"/>
  <c r="Q20" i="6" a="1"/>
  <c r="Q20" i="6" s="1"/>
  <c r="P20" i="6" a="1"/>
  <c r="P20" i="6" s="1"/>
  <c r="O20" i="6" a="1"/>
  <c r="O20" i="6" s="1"/>
  <c r="N20" i="6" a="1"/>
  <c r="N20" i="6" s="1"/>
  <c r="M20" i="6"/>
  <c r="M20" i="6" a="1"/>
  <c r="L20" i="6"/>
  <c r="L20" i="6" a="1"/>
  <c r="K20" i="6" a="1"/>
  <c r="K20" i="6" s="1"/>
  <c r="J20" i="6" a="1"/>
  <c r="J20" i="6" s="1"/>
  <c r="I20" i="6" a="1"/>
  <c r="I20" i="6" s="1"/>
  <c r="H20" i="6"/>
  <c r="H20" i="6" a="1"/>
  <c r="G20" i="6"/>
  <c r="T17" i="6" a="1"/>
  <c r="T17" i="6" s="1"/>
  <c r="S17" i="6" a="1"/>
  <c r="S17" i="6" s="1"/>
  <c r="R17" i="6" a="1"/>
  <c r="R17" i="6" s="1"/>
  <c r="Q17" i="6" a="1"/>
  <c r="Q17" i="6" s="1"/>
  <c r="P17" i="6" a="1"/>
  <c r="P17" i="6" s="1"/>
  <c r="O17" i="6" a="1"/>
  <c r="O17" i="6" s="1"/>
  <c r="N17" i="6" a="1"/>
  <c r="N17" i="6" s="1"/>
  <c r="M17" i="6" a="1"/>
  <c r="M17" i="6" s="1"/>
  <c r="L17" i="6" a="1"/>
  <c r="L17" i="6" s="1"/>
  <c r="K17" i="6" a="1"/>
  <c r="K17" i="6" s="1"/>
  <c r="J17" i="6" a="1"/>
  <c r="J17" i="6" s="1"/>
  <c r="I17" i="6" a="1"/>
  <c r="I17" i="6" s="1"/>
  <c r="H17" i="6" a="1"/>
  <c r="H17" i="6" s="1"/>
  <c r="G17" i="6"/>
  <c r="T18" i="6" a="1"/>
  <c r="T18" i="6" s="1"/>
  <c r="S18" i="6" a="1"/>
  <c r="S18" i="6" s="1"/>
  <c r="R18" i="6" a="1"/>
  <c r="R18" i="6" s="1"/>
  <c r="Q18" i="6" a="1"/>
  <c r="Q18" i="6" s="1"/>
  <c r="P18" i="6"/>
  <c r="P18" i="6" a="1"/>
  <c r="O18" i="6" a="1"/>
  <c r="O18" i="6" s="1"/>
  <c r="N18" i="6" a="1"/>
  <c r="N18" i="6" s="1"/>
  <c r="M18" i="6" a="1"/>
  <c r="M18" i="6" s="1"/>
  <c r="L18" i="6" a="1"/>
  <c r="L18" i="6" s="1"/>
  <c r="K18" i="6" a="1"/>
  <c r="K18" i="6" s="1"/>
  <c r="J18" i="6" a="1"/>
  <c r="J18" i="6" s="1"/>
  <c r="I18" i="6" a="1"/>
  <c r="I18" i="6" s="1"/>
  <c r="H18" i="6" a="1"/>
  <c r="H18" i="6" s="1"/>
  <c r="G18" i="6"/>
  <c r="T19" i="7" a="1"/>
  <c r="T19" i="7" s="1"/>
  <c r="S19" i="7" a="1"/>
  <c r="S19" i="7" s="1"/>
  <c r="R19" i="7" a="1"/>
  <c r="R19" i="7" s="1"/>
  <c r="Q19" i="7" a="1"/>
  <c r="Q19" i="7" s="1"/>
  <c r="P19" i="7" a="1"/>
  <c r="P19" i="7" s="1"/>
  <c r="O19" i="7" a="1"/>
  <c r="O19" i="7" s="1"/>
  <c r="N19" i="7" a="1"/>
  <c r="N19" i="7" s="1"/>
  <c r="M19" i="7" a="1"/>
  <c r="M19" i="7" s="1"/>
  <c r="L19" i="7" a="1"/>
  <c r="L19" i="7" s="1"/>
  <c r="K19" i="7" a="1"/>
  <c r="K19" i="7" s="1"/>
  <c r="J19" i="7" a="1"/>
  <c r="J19" i="7" s="1"/>
  <c r="I19" i="7" a="1"/>
  <c r="I19" i="7" s="1"/>
  <c r="H19" i="7" a="1"/>
  <c r="H19" i="7" s="1"/>
  <c r="G19" i="7"/>
  <c r="T20" i="7" a="1"/>
  <c r="T20" i="7" s="1"/>
  <c r="S20" i="7" a="1"/>
  <c r="S20" i="7" s="1"/>
  <c r="R20" i="7" a="1"/>
  <c r="R20" i="7" s="1"/>
  <c r="Q20" i="7" a="1"/>
  <c r="Q20" i="7" s="1"/>
  <c r="P20" i="7" a="1"/>
  <c r="P20" i="7" s="1"/>
  <c r="O20" i="7" a="1"/>
  <c r="O20" i="7" s="1"/>
  <c r="N20" i="7" a="1"/>
  <c r="N20" i="7" s="1"/>
  <c r="M20" i="7" a="1"/>
  <c r="M20" i="7" s="1"/>
  <c r="L20" i="7" a="1"/>
  <c r="L20" i="7" s="1"/>
  <c r="K20" i="7" a="1"/>
  <c r="K20" i="7" s="1"/>
  <c r="J20" i="7" a="1"/>
  <c r="J20" i="7" s="1"/>
  <c r="I20" i="7" a="1"/>
  <c r="I20" i="7" s="1"/>
  <c r="H20" i="7" a="1"/>
  <c r="H20" i="7" s="1"/>
  <c r="G20" i="7"/>
  <c r="T17" i="7" a="1"/>
  <c r="T17" i="7" s="1"/>
  <c r="S17" i="7" a="1"/>
  <c r="S17" i="7" s="1"/>
  <c r="R17" i="7" a="1"/>
  <c r="R17" i="7" s="1"/>
  <c r="Q17" i="7" a="1"/>
  <c r="Q17" i="7" s="1"/>
  <c r="P17" i="7" a="1"/>
  <c r="P17" i="7" s="1"/>
  <c r="O17" i="7" a="1"/>
  <c r="O17" i="7" s="1"/>
  <c r="N17" i="7" a="1"/>
  <c r="N17" i="7" s="1"/>
  <c r="M17" i="7" a="1"/>
  <c r="M17" i="7" s="1"/>
  <c r="L17" i="7" a="1"/>
  <c r="L17" i="7" s="1"/>
  <c r="K17" i="7" a="1"/>
  <c r="K17" i="7" s="1"/>
  <c r="J17" i="7" a="1"/>
  <c r="J17" i="7" s="1"/>
  <c r="I17" i="7" a="1"/>
  <c r="I17" i="7" s="1"/>
  <c r="H17" i="7" a="1"/>
  <c r="H17" i="7" s="1"/>
  <c r="G17" i="7"/>
  <c r="T18" i="7" a="1"/>
  <c r="T18" i="7" s="1"/>
  <c r="S18" i="7" a="1"/>
  <c r="S18" i="7" s="1"/>
  <c r="R18" i="7" a="1"/>
  <c r="R18" i="7" s="1"/>
  <c r="Q18" i="7"/>
  <c r="Q18" i="7" a="1"/>
  <c r="P18" i="7" a="1"/>
  <c r="P18" i="7" s="1"/>
  <c r="O18" i="7" a="1"/>
  <c r="O18" i="7" s="1"/>
  <c r="N18" i="7" a="1"/>
  <c r="N18" i="7" s="1"/>
  <c r="M18" i="7" a="1"/>
  <c r="M18" i="7" s="1"/>
  <c r="L18" i="7" a="1"/>
  <c r="L18" i="7" s="1"/>
  <c r="K18" i="7" a="1"/>
  <c r="K18" i="7" s="1"/>
  <c r="J18" i="7" a="1"/>
  <c r="J18" i="7" s="1"/>
  <c r="I18" i="7" a="1"/>
  <c r="I18" i="7" s="1"/>
  <c r="H18" i="7" a="1"/>
  <c r="H18" i="7" s="1"/>
  <c r="G18" i="7"/>
  <c r="T20" i="8"/>
  <c r="T20" i="8" a="1"/>
  <c r="S20" i="8" a="1"/>
  <c r="S20" i="8" s="1"/>
  <c r="R20" i="8" a="1"/>
  <c r="R20" i="8" s="1"/>
  <c r="Q20" i="8" a="1"/>
  <c r="Q20" i="8" s="1"/>
  <c r="P20" i="8"/>
  <c r="P20" i="8" a="1"/>
  <c r="O20" i="8" a="1"/>
  <c r="O20" i="8" s="1"/>
  <c r="N20" i="8" a="1"/>
  <c r="N20" i="8" s="1"/>
  <c r="M20" i="8" a="1"/>
  <c r="M20" i="8" s="1"/>
  <c r="L20" i="8"/>
  <c r="L20" i="8" a="1"/>
  <c r="K20" i="8" a="1"/>
  <c r="K20" i="8" s="1"/>
  <c r="J20" i="8" a="1"/>
  <c r="J20" i="8" s="1"/>
  <c r="I20" i="8" a="1"/>
  <c r="I20" i="8" s="1"/>
  <c r="H20" i="8"/>
  <c r="H20" i="8" a="1"/>
  <c r="G20" i="8"/>
  <c r="T19" i="8" a="1"/>
  <c r="T19" i="8" s="1"/>
  <c r="S19" i="8" a="1"/>
  <c r="S19" i="8" s="1"/>
  <c r="R19" i="8" a="1"/>
  <c r="R19" i="8" s="1"/>
  <c r="Q19" i="8"/>
  <c r="Q19" i="8" a="1"/>
  <c r="P19" i="8" a="1"/>
  <c r="P19" i="8" s="1"/>
  <c r="O19" i="8" a="1"/>
  <c r="O19" i="8" s="1"/>
  <c r="N19" i="8" a="1"/>
  <c r="N19" i="8" s="1"/>
  <c r="M19" i="8" a="1"/>
  <c r="M19" i="8" s="1"/>
  <c r="L19" i="8" a="1"/>
  <c r="L19" i="8" s="1"/>
  <c r="K19" i="8" a="1"/>
  <c r="K19" i="8" s="1"/>
  <c r="J19" i="8" a="1"/>
  <c r="J19" i="8" s="1"/>
  <c r="I19" i="8" a="1"/>
  <c r="I19" i="8" s="1"/>
  <c r="H19" i="8" a="1"/>
  <c r="H19" i="8" s="1"/>
  <c r="G19" i="8"/>
  <c r="T18" i="8" a="1"/>
  <c r="T18" i="8" s="1"/>
  <c r="S18" i="8"/>
  <c r="S18" i="8" a="1"/>
  <c r="R18" i="8"/>
  <c r="R18" i="8" a="1"/>
  <c r="Q18" i="8" a="1"/>
  <c r="Q18" i="8" s="1"/>
  <c r="P18" i="8" a="1"/>
  <c r="P18" i="8" s="1"/>
  <c r="O18" i="8"/>
  <c r="O18" i="8" a="1"/>
  <c r="N18" i="8"/>
  <c r="N18" i="8" a="1"/>
  <c r="M18" i="8" a="1"/>
  <c r="M18" i="8" s="1"/>
  <c r="L18" i="8" a="1"/>
  <c r="L18" i="8" s="1"/>
  <c r="K18" i="8"/>
  <c r="K18" i="8" a="1"/>
  <c r="J18" i="8" a="1"/>
  <c r="J18" i="8" s="1"/>
  <c r="I18" i="8" a="1"/>
  <c r="I18" i="8" s="1"/>
  <c r="H18" i="8" a="1"/>
  <c r="H18" i="8" s="1"/>
  <c r="G18" i="8"/>
  <c r="T17" i="8"/>
  <c r="T17" i="8" a="1"/>
  <c r="S17" i="8" a="1"/>
  <c r="S17" i="8" s="1"/>
  <c r="R17" i="8" a="1"/>
  <c r="R17" i="8" s="1"/>
  <c r="Q17" i="8" a="1"/>
  <c r="Q17" i="8" s="1"/>
  <c r="P17" i="8" a="1"/>
  <c r="P17" i="8" s="1"/>
  <c r="O17" i="8" a="1"/>
  <c r="O17" i="8" s="1"/>
  <c r="N17" i="8" a="1"/>
  <c r="N17" i="8" s="1"/>
  <c r="M17" i="8" a="1"/>
  <c r="M17" i="8" s="1"/>
  <c r="L17" i="8" a="1"/>
  <c r="L17" i="8" s="1"/>
  <c r="K17" i="8" a="1"/>
  <c r="K17" i="8" s="1"/>
  <c r="J17" i="8" a="1"/>
  <c r="J17" i="8" s="1"/>
  <c r="I17" i="8" a="1"/>
  <c r="I17" i="8" s="1"/>
  <c r="H17" i="8" a="1"/>
  <c r="H17" i="8" s="1"/>
  <c r="G17" i="8"/>
  <c r="T5" i="7" l="1"/>
  <c r="T6" i="7"/>
  <c r="T7" i="7"/>
  <c r="T2" i="7"/>
  <c r="T3" i="7"/>
  <c r="T4" i="7"/>
  <c r="T11" i="7"/>
  <c r="T12" i="7"/>
  <c r="T13" i="7"/>
  <c r="T8" i="7"/>
  <c r="T9" i="7"/>
  <c r="T10" i="7"/>
  <c r="T6" i="5"/>
  <c r="T7" i="5"/>
  <c r="T5" i="5"/>
  <c r="T3" i="5"/>
  <c r="T4" i="5"/>
  <c r="T2" i="5"/>
  <c r="T12" i="5"/>
  <c r="T13" i="5"/>
  <c r="T11" i="5"/>
  <c r="T9" i="5"/>
  <c r="T10" i="5"/>
  <c r="T8" i="5"/>
  <c r="T8" i="6"/>
  <c r="T9" i="6"/>
  <c r="T10" i="6"/>
  <c r="T2" i="6"/>
  <c r="T3" i="6"/>
  <c r="T4" i="6"/>
  <c r="T11" i="6"/>
  <c r="T12" i="6"/>
  <c r="T13" i="6"/>
  <c r="T5" i="6"/>
  <c r="T6" i="6"/>
  <c r="T7" i="6"/>
  <c r="T2" i="8" l="1"/>
  <c r="T3" i="8"/>
  <c r="T4" i="8"/>
  <c r="T5" i="8"/>
  <c r="T6" i="8"/>
  <c r="T7" i="8"/>
  <c r="T8" i="8"/>
  <c r="T9" i="8"/>
  <c r="T10" i="8"/>
  <c r="T11" i="8"/>
  <c r="T12" i="8"/>
  <c r="T13" i="8"/>
  <c r="T5" i="4"/>
  <c r="T6" i="4"/>
  <c r="T7" i="4"/>
  <c r="T2" i="4"/>
  <c r="T3" i="4"/>
  <c r="T4" i="4"/>
  <c r="T11" i="4"/>
  <c r="T12" i="4"/>
  <c r="T13" i="4"/>
  <c r="T8" i="4"/>
  <c r="T9" i="4"/>
  <c r="T10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<sst xmlns="http://schemas.openxmlformats.org/spreadsheetml/2006/main" count="519" uniqueCount="35">
  <si>
    <t>lang</t>
  </si>
  <si>
    <t>attribute.index</t>
  </si>
  <si>
    <t>attribute</t>
  </si>
  <si>
    <t>supplement</t>
  </si>
  <si>
    <t>method.index</t>
  </si>
  <si>
    <t>method</t>
  </si>
  <si>
    <t>2g-no-hash</t>
  </si>
  <si>
    <t>3g-no-hash</t>
  </si>
  <si>
    <t>4g-no-hash</t>
  </si>
  <si>
    <t>xsk2g-no-hash</t>
  </si>
  <si>
    <t>xsk3g-no-hash</t>
  </si>
  <si>
    <t>xsk4g-no-hash</t>
  </si>
  <si>
    <t>2g-hash-at-both</t>
  </si>
  <si>
    <t>3g-hash-at-both</t>
  </si>
  <si>
    <t>4g-hash-at-both</t>
  </si>
  <si>
    <t>xsk2g-hash-at-both</t>
  </si>
  <si>
    <t>xsk3g-hash-at-both</t>
  </si>
  <si>
    <t>xsk4g-hash-at-both</t>
  </si>
  <si>
    <t>max</t>
  </si>
  <si>
    <t>DT</t>
  </si>
  <si>
    <t>RF</t>
  </si>
  <si>
    <t>NN</t>
  </si>
  <si>
    <t>gender</t>
  </si>
  <si>
    <t>plurality</t>
  </si>
  <si>
    <t>French</t>
  </si>
  <si>
    <t>Column1</t>
  </si>
  <si>
    <t>supplemented</t>
  </si>
  <si>
    <t>var</t>
  </si>
  <si>
    <t>ml</t>
  </si>
  <si>
    <t>skippiness</t>
  </si>
  <si>
    <t>sample.n</t>
  </si>
  <si>
    <t>mgv</t>
  </si>
  <si>
    <t>geomean</t>
  </si>
  <si>
    <t>NA</t>
  </si>
  <si>
    <t>xsk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</si>
</sst>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3"/>
      <color theme="1"/>
      <name val="LucidaSansUnicode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1" xfId="0" applyNumberFormat="1" applyBorder="1"/>
    <xf numFmtId="2" fontId="0" fillId="0" borderId="0" xfId="0" applyNumberFormat="1"/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150">
    <dxf>
      <numFmt numFmtId="2" formatCode="0.00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French</a:t>
            </a:r>
            <a:r>
              <a:rPr lang="ja-JP" altLang="en-US" baseline="0"/>
              <a:t> </a:t>
            </a:r>
            <a:r>
              <a:rPr lang="en-US" altLang="ja-JP" baseline="0"/>
              <a:t>Morfessor</a:t>
            </a:r>
            <a:r>
              <a:rPr lang="ja-JP" altLang="en-US" baseline="0"/>
              <a:t> </a:t>
            </a:r>
            <a:r>
              <a:rPr lang="en-US" altLang="ja-JP" baseline="0"/>
              <a:t>vs</a:t>
            </a:r>
            <a:r>
              <a:rPr lang="ja-JP" altLang="en-US" baseline="0"/>
              <a:t> </a:t>
            </a:r>
            <a:r>
              <a:rPr lang="en-US" altLang="ja-JP" baseline="0"/>
              <a:t>Non-Morfessor</a:t>
            </a:r>
            <a:r>
              <a:rPr lang="ja-JP" altLang="en-US" baseline="0"/>
              <a:t> </a:t>
            </a:r>
            <a:r>
              <a:rPr lang="en-US" altLang="ja-JP" baseline="0"/>
              <a:t>xsk,</a:t>
            </a:r>
            <a:r>
              <a:rPr lang="ja-JP" altLang="en-US" baseline="0"/>
              <a:t> </a:t>
            </a:r>
            <a:r>
              <a:rPr lang="en-US" altLang="ja-JP" baseline="0"/>
              <a:t>mgv</a:t>
            </a:r>
            <a:r>
              <a:rPr lang="ja-JP" altLang="en-US" baseline="0"/>
              <a:t> </a:t>
            </a:r>
            <a:r>
              <a:rPr lang="en-US" altLang="ja-JP" baseline="0"/>
              <a:t>=</a:t>
            </a:r>
            <a:r>
              <a:rPr lang="ja-JP" altLang="en-US" baseline="0"/>
              <a:t> </a:t>
            </a:r>
            <a:r>
              <a:rPr lang="en-US" altLang="ja-JP" baseline="0"/>
              <a:t>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summarized!$J$2</c:f>
              <c:strCache>
                <c:ptCount val="1"/>
                <c:pt idx="0">
                  <c:v>ml:NA-sn1.2k-plu-spl:F-mgv9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summarized!$K$2:$V$2</c:f>
            </c:numRef>
          </c:val>
          <c:smooth val="0"/>
          <c:extLst>
            <c:ext xmlns:c16="http://schemas.microsoft.com/office/drawing/2014/chart" uri="{C3380CC4-5D6E-409C-BE32-E72D297353CC}">
              <c16:uniqueId val="{00000000-773F-E446-955C-2271D9DD6FBC}"/>
            </c:ext>
          </c:extLst>
        </c:ser>
        <c:ser>
          <c:idx val="1"/>
          <c:order val="1"/>
          <c:tx>
            <c:strRef>
              <c:f>summarized!$J$3</c:f>
              <c:strCache>
                <c:ptCount val="1"/>
                <c:pt idx="0">
                  <c:v>ml:NA-sn1.2k-plu-spl:T-mgv9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summarized!$K$3:$V$3</c:f>
            </c:numRef>
          </c:val>
          <c:smooth val="0"/>
          <c:extLst>
            <c:ext xmlns:c16="http://schemas.microsoft.com/office/drawing/2014/chart" uri="{C3380CC4-5D6E-409C-BE32-E72D297353CC}">
              <c16:uniqueId val="{00000001-773F-E446-955C-2271D9DD6FBC}"/>
            </c:ext>
          </c:extLst>
        </c:ser>
        <c:ser>
          <c:idx val="2"/>
          <c:order val="2"/>
          <c:tx>
            <c:strRef>
              <c:f>summarized!$J$4</c:f>
              <c:strCache>
                <c:ptCount val="1"/>
                <c:pt idx="0">
                  <c:v>ml:NA-sn1.2k-gen-spl:F-mgv9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summarized!$K$4:$V$4</c:f>
            </c:numRef>
          </c:val>
          <c:smooth val="0"/>
          <c:extLst>
            <c:ext xmlns:c16="http://schemas.microsoft.com/office/drawing/2014/chart" uri="{C3380CC4-5D6E-409C-BE32-E72D297353CC}">
              <c16:uniqueId val="{00000002-773F-E446-955C-2271D9DD6FBC}"/>
            </c:ext>
          </c:extLst>
        </c:ser>
        <c:ser>
          <c:idx val="3"/>
          <c:order val="3"/>
          <c:tx>
            <c:strRef>
              <c:f>summarized!$J$5</c:f>
              <c:strCache>
                <c:ptCount val="1"/>
                <c:pt idx="0">
                  <c:v>ml:NA-sn1.2k-gen-spl:T-mgv9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summarized!$K$5:$V$5</c:f>
            </c:numRef>
          </c:val>
          <c:smooth val="0"/>
          <c:extLst>
            <c:ext xmlns:c16="http://schemas.microsoft.com/office/drawing/2014/chart" uri="{C3380CC4-5D6E-409C-BE32-E72D297353CC}">
              <c16:uniqueId val="{00000003-773F-E446-955C-2271D9DD6FBC}"/>
            </c:ext>
          </c:extLst>
        </c:ser>
        <c:ser>
          <c:idx val="4"/>
          <c:order val="4"/>
          <c:tx>
            <c:strRef>
              <c:f>summarized!$J$6</c:f>
              <c:strCache>
                <c:ptCount val="1"/>
                <c:pt idx="0">
                  <c:v>ml:NA-sn2k-plu-spl:F-mgv9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summarized!$K$6:$V$6</c:f>
            </c:numRef>
          </c:val>
          <c:smooth val="0"/>
          <c:extLst>
            <c:ext xmlns:c16="http://schemas.microsoft.com/office/drawing/2014/chart" uri="{C3380CC4-5D6E-409C-BE32-E72D297353CC}">
              <c16:uniqueId val="{00000004-773F-E446-955C-2271D9DD6FBC}"/>
            </c:ext>
          </c:extLst>
        </c:ser>
        <c:ser>
          <c:idx val="5"/>
          <c:order val="5"/>
          <c:tx>
            <c:strRef>
              <c:f>summarized!$J$7</c:f>
              <c:strCache>
                <c:ptCount val="1"/>
                <c:pt idx="0">
                  <c:v>ml:NA-sn2k-plu-spl:T-mgv9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summarized!$K$7:$V$7</c:f>
            </c:numRef>
          </c:val>
          <c:smooth val="0"/>
          <c:extLst>
            <c:ext xmlns:c16="http://schemas.microsoft.com/office/drawing/2014/chart" uri="{C3380CC4-5D6E-409C-BE32-E72D297353CC}">
              <c16:uniqueId val="{00000005-773F-E446-955C-2271D9DD6FBC}"/>
            </c:ext>
          </c:extLst>
        </c:ser>
        <c:ser>
          <c:idx val="6"/>
          <c:order val="6"/>
          <c:tx>
            <c:strRef>
              <c:f>summarized!$J$8</c:f>
              <c:strCache>
                <c:ptCount val="1"/>
                <c:pt idx="0">
                  <c:v>ml:NA-sn2k-gen-spl:F-mgv9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summarized!$K$8:$V$8</c:f>
            </c:numRef>
          </c:val>
          <c:smooth val="0"/>
          <c:extLst>
            <c:ext xmlns:c16="http://schemas.microsoft.com/office/drawing/2014/chart" uri="{C3380CC4-5D6E-409C-BE32-E72D297353CC}">
              <c16:uniqueId val="{00000006-773F-E446-955C-2271D9DD6FBC}"/>
            </c:ext>
          </c:extLst>
        </c:ser>
        <c:ser>
          <c:idx val="7"/>
          <c:order val="7"/>
          <c:tx>
            <c:strRef>
              <c:f>summarized!$J$9</c:f>
              <c:strCache>
                <c:ptCount val="1"/>
                <c:pt idx="0">
                  <c:v>ml:NA-sn2k-gen-spl:T-mgv9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summarized!$K$9:$V$9</c:f>
              <c:numCache>
                <c:formatCode>0.00</c:formatCode>
                <c:ptCount val="12"/>
                <c:pt idx="0">
                  <c:v>0.8</c:v>
                </c:pt>
                <c:pt idx="1">
                  <c:v>0.83</c:v>
                </c:pt>
                <c:pt idx="2">
                  <c:v>0.78</c:v>
                </c:pt>
                <c:pt idx="3">
                  <c:v>0.81</c:v>
                </c:pt>
                <c:pt idx="4">
                  <c:v>0.77</c:v>
                </c:pt>
                <c:pt idx="5">
                  <c:v>0.78</c:v>
                </c:pt>
                <c:pt idx="6">
                  <c:v>0.81</c:v>
                </c:pt>
                <c:pt idx="7">
                  <c:v>0.77</c:v>
                </c:pt>
                <c:pt idx="8">
                  <c:v>0.81</c:v>
                </c:pt>
                <c:pt idx="9">
                  <c:v>0.82</c:v>
                </c:pt>
                <c:pt idx="10">
                  <c:v>0.8</c:v>
                </c:pt>
                <c:pt idx="11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73F-E446-955C-2271D9DD6FBC}"/>
            </c:ext>
          </c:extLst>
        </c:ser>
        <c:ser>
          <c:idx val="8"/>
          <c:order val="8"/>
          <c:tx>
            <c:strRef>
              <c:f>summarized!$J$10</c:f>
              <c:strCache>
                <c:ptCount val="1"/>
                <c:pt idx="0">
                  <c:v>ml:2-sn1.2k-plu-spl:F-mgv9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summarized!$K$10:$V$10</c:f>
            </c:numRef>
          </c:val>
          <c:smooth val="0"/>
          <c:extLst>
            <c:ext xmlns:c16="http://schemas.microsoft.com/office/drawing/2014/chart" uri="{C3380CC4-5D6E-409C-BE32-E72D297353CC}">
              <c16:uniqueId val="{00000008-773F-E446-955C-2271D9DD6FBC}"/>
            </c:ext>
          </c:extLst>
        </c:ser>
        <c:ser>
          <c:idx val="9"/>
          <c:order val="9"/>
          <c:tx>
            <c:strRef>
              <c:f>summarized!$J$11</c:f>
              <c:strCache>
                <c:ptCount val="1"/>
                <c:pt idx="0">
                  <c:v>ml:2-sn1.2k-plu-spl:T-mgv9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summarized!$K$11:$V$11</c:f>
            </c:numRef>
          </c:val>
          <c:smooth val="0"/>
          <c:extLst>
            <c:ext xmlns:c16="http://schemas.microsoft.com/office/drawing/2014/chart" uri="{C3380CC4-5D6E-409C-BE32-E72D297353CC}">
              <c16:uniqueId val="{00000009-773F-E446-955C-2271D9DD6FBC}"/>
            </c:ext>
          </c:extLst>
        </c:ser>
        <c:ser>
          <c:idx val="10"/>
          <c:order val="10"/>
          <c:tx>
            <c:strRef>
              <c:f>summarized!$J$12</c:f>
              <c:strCache>
                <c:ptCount val="1"/>
                <c:pt idx="0">
                  <c:v>ml:2-sn1.2k-gen-spl:F-mgv9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summarized!$K$12:$V$12</c:f>
            </c:numRef>
          </c:val>
          <c:smooth val="0"/>
          <c:extLst>
            <c:ext xmlns:c16="http://schemas.microsoft.com/office/drawing/2014/chart" uri="{C3380CC4-5D6E-409C-BE32-E72D297353CC}">
              <c16:uniqueId val="{0000000A-773F-E446-955C-2271D9DD6FBC}"/>
            </c:ext>
          </c:extLst>
        </c:ser>
        <c:ser>
          <c:idx val="11"/>
          <c:order val="11"/>
          <c:tx>
            <c:strRef>
              <c:f>summarized!$J$13</c:f>
              <c:strCache>
                <c:ptCount val="1"/>
                <c:pt idx="0">
                  <c:v>ml:2-sn1.2k-gen-spl:T-mgv9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summarized!$K$13:$V$13</c:f>
            </c:numRef>
          </c:val>
          <c:smooth val="0"/>
          <c:extLst>
            <c:ext xmlns:c16="http://schemas.microsoft.com/office/drawing/2014/chart" uri="{C3380CC4-5D6E-409C-BE32-E72D297353CC}">
              <c16:uniqueId val="{0000000B-773F-E446-955C-2271D9DD6FBC}"/>
            </c:ext>
          </c:extLst>
        </c:ser>
        <c:ser>
          <c:idx val="12"/>
          <c:order val="12"/>
          <c:tx>
            <c:strRef>
              <c:f>summarized!$J$14</c:f>
              <c:strCache>
                <c:ptCount val="1"/>
                <c:pt idx="0">
                  <c:v>ml:2-sn2k-plu-spl:F-mgv9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summarized!$K$14:$V$14</c:f>
            </c:numRef>
          </c:val>
          <c:smooth val="0"/>
          <c:extLst>
            <c:ext xmlns:c16="http://schemas.microsoft.com/office/drawing/2014/chart" uri="{C3380CC4-5D6E-409C-BE32-E72D297353CC}">
              <c16:uniqueId val="{0000000C-773F-E446-955C-2271D9DD6FBC}"/>
            </c:ext>
          </c:extLst>
        </c:ser>
        <c:ser>
          <c:idx val="13"/>
          <c:order val="13"/>
          <c:tx>
            <c:strRef>
              <c:f>summarized!$J$15</c:f>
              <c:strCache>
                <c:ptCount val="1"/>
                <c:pt idx="0">
                  <c:v>ml:2-sn2k-plu-spl:T-mgv9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summarized!$K$15:$V$15</c:f>
            </c:numRef>
          </c:val>
          <c:smooth val="0"/>
          <c:extLst>
            <c:ext xmlns:c16="http://schemas.microsoft.com/office/drawing/2014/chart" uri="{C3380CC4-5D6E-409C-BE32-E72D297353CC}">
              <c16:uniqueId val="{0000000D-773F-E446-955C-2271D9DD6FBC}"/>
            </c:ext>
          </c:extLst>
        </c:ser>
        <c:ser>
          <c:idx val="14"/>
          <c:order val="14"/>
          <c:tx>
            <c:strRef>
              <c:f>summarized!$J$16</c:f>
              <c:strCache>
                <c:ptCount val="1"/>
                <c:pt idx="0">
                  <c:v>ml:2-sn2k-gen-spl:F-mgv9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summarized!$K$16:$V$16</c:f>
            </c:numRef>
          </c:val>
          <c:smooth val="0"/>
          <c:extLst>
            <c:ext xmlns:c16="http://schemas.microsoft.com/office/drawing/2014/chart" uri="{C3380CC4-5D6E-409C-BE32-E72D297353CC}">
              <c16:uniqueId val="{0000000E-773F-E446-955C-2271D9DD6FBC}"/>
            </c:ext>
          </c:extLst>
        </c:ser>
        <c:ser>
          <c:idx val="15"/>
          <c:order val="15"/>
          <c:tx>
            <c:strRef>
              <c:f>summarized!$J$17</c:f>
              <c:strCache>
                <c:ptCount val="1"/>
                <c:pt idx="0">
                  <c:v>ml:2-sn2k-gen-spl:T-mgv9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summarized!$K$17:$V$17</c:f>
              <c:numCache>
                <c:formatCode>0.00</c:formatCode>
                <c:ptCount val="12"/>
                <c:pt idx="0">
                  <c:v>0.77</c:v>
                </c:pt>
                <c:pt idx="1">
                  <c:v>0.81</c:v>
                </c:pt>
                <c:pt idx="2">
                  <c:v>0.85</c:v>
                </c:pt>
                <c:pt idx="3">
                  <c:v>0.77</c:v>
                </c:pt>
                <c:pt idx="4">
                  <c:v>0.8</c:v>
                </c:pt>
                <c:pt idx="5">
                  <c:v>0.83</c:v>
                </c:pt>
                <c:pt idx="6">
                  <c:v>0.8</c:v>
                </c:pt>
                <c:pt idx="7">
                  <c:v>0.81</c:v>
                </c:pt>
                <c:pt idx="8">
                  <c:v>0.82</c:v>
                </c:pt>
                <c:pt idx="9">
                  <c:v>0.77</c:v>
                </c:pt>
                <c:pt idx="10">
                  <c:v>0.8</c:v>
                </c:pt>
                <c:pt idx="11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73F-E446-955C-2271D9DD6FBC}"/>
            </c:ext>
          </c:extLst>
        </c:ser>
        <c:ser>
          <c:idx val="16"/>
          <c:order val="16"/>
          <c:tx>
            <c:strRef>
              <c:f>summarized!$J$18</c:f>
              <c:strCache>
                <c:ptCount val="1"/>
                <c:pt idx="0">
                  <c:v>ml:3-sn1.2k-plu-spl:F-mgv9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summarized!$K$18:$V$18</c:f>
            </c:numRef>
          </c:val>
          <c:smooth val="0"/>
          <c:extLst>
            <c:ext xmlns:c16="http://schemas.microsoft.com/office/drawing/2014/chart" uri="{C3380CC4-5D6E-409C-BE32-E72D297353CC}">
              <c16:uniqueId val="{00000010-773F-E446-955C-2271D9DD6FBC}"/>
            </c:ext>
          </c:extLst>
        </c:ser>
        <c:ser>
          <c:idx val="17"/>
          <c:order val="17"/>
          <c:tx>
            <c:strRef>
              <c:f>summarized!$J$19</c:f>
              <c:strCache>
                <c:ptCount val="1"/>
                <c:pt idx="0">
                  <c:v>ml:3-sn1.2k-plu-spl:T-mgv9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summarized!$K$19:$V$19</c:f>
            </c:numRef>
          </c:val>
          <c:smooth val="0"/>
          <c:extLst>
            <c:ext xmlns:c16="http://schemas.microsoft.com/office/drawing/2014/chart" uri="{C3380CC4-5D6E-409C-BE32-E72D297353CC}">
              <c16:uniqueId val="{00000011-773F-E446-955C-2271D9DD6FBC}"/>
            </c:ext>
          </c:extLst>
        </c:ser>
        <c:ser>
          <c:idx val="18"/>
          <c:order val="18"/>
          <c:tx>
            <c:strRef>
              <c:f>summarized!$J$20</c:f>
              <c:strCache>
                <c:ptCount val="1"/>
                <c:pt idx="0">
                  <c:v>ml:3-sn1.2k-gen-spl:F-mgv9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summarized!$K$20:$V$20</c:f>
            </c:numRef>
          </c:val>
          <c:smooth val="0"/>
          <c:extLst>
            <c:ext xmlns:c16="http://schemas.microsoft.com/office/drawing/2014/chart" uri="{C3380CC4-5D6E-409C-BE32-E72D297353CC}">
              <c16:uniqueId val="{00000012-773F-E446-955C-2271D9DD6FBC}"/>
            </c:ext>
          </c:extLst>
        </c:ser>
        <c:ser>
          <c:idx val="19"/>
          <c:order val="19"/>
          <c:tx>
            <c:strRef>
              <c:f>summarized!$J$21</c:f>
              <c:strCache>
                <c:ptCount val="1"/>
                <c:pt idx="0">
                  <c:v>ml:3-sn1.2k-gen-spl:T-mgv9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summarized!$K$21:$V$21</c:f>
            </c:numRef>
          </c:val>
          <c:smooth val="0"/>
          <c:extLst>
            <c:ext xmlns:c16="http://schemas.microsoft.com/office/drawing/2014/chart" uri="{C3380CC4-5D6E-409C-BE32-E72D297353CC}">
              <c16:uniqueId val="{00000013-773F-E446-955C-2271D9DD6FBC}"/>
            </c:ext>
          </c:extLst>
        </c:ser>
        <c:ser>
          <c:idx val="20"/>
          <c:order val="20"/>
          <c:tx>
            <c:strRef>
              <c:f>summarized!$J$22</c:f>
              <c:strCache>
                <c:ptCount val="1"/>
                <c:pt idx="0">
                  <c:v>ml:3-sn2k-plu-spl:F-mgv9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summarized!$K$22:$V$22</c:f>
            </c:numRef>
          </c:val>
          <c:smooth val="0"/>
          <c:extLst>
            <c:ext xmlns:c16="http://schemas.microsoft.com/office/drawing/2014/chart" uri="{C3380CC4-5D6E-409C-BE32-E72D297353CC}">
              <c16:uniqueId val="{00000014-773F-E446-955C-2271D9DD6FBC}"/>
            </c:ext>
          </c:extLst>
        </c:ser>
        <c:ser>
          <c:idx val="21"/>
          <c:order val="21"/>
          <c:tx>
            <c:strRef>
              <c:f>summarized!$J$23</c:f>
              <c:strCache>
                <c:ptCount val="1"/>
                <c:pt idx="0">
                  <c:v>ml:3-sn2k-plu-spl:T-mgv9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summarized!$K$23:$V$23</c:f>
            </c:numRef>
          </c:val>
          <c:smooth val="0"/>
          <c:extLst>
            <c:ext xmlns:c16="http://schemas.microsoft.com/office/drawing/2014/chart" uri="{C3380CC4-5D6E-409C-BE32-E72D297353CC}">
              <c16:uniqueId val="{00000015-773F-E446-955C-2271D9DD6FBC}"/>
            </c:ext>
          </c:extLst>
        </c:ser>
        <c:ser>
          <c:idx val="22"/>
          <c:order val="22"/>
          <c:tx>
            <c:strRef>
              <c:f>summarized!$J$24</c:f>
              <c:strCache>
                <c:ptCount val="1"/>
                <c:pt idx="0">
                  <c:v>ml:3-sn2k-gen-spl:F-mgv9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summarized!$K$24:$V$24</c:f>
            </c:numRef>
          </c:val>
          <c:smooth val="0"/>
          <c:extLst>
            <c:ext xmlns:c16="http://schemas.microsoft.com/office/drawing/2014/chart" uri="{C3380CC4-5D6E-409C-BE32-E72D297353CC}">
              <c16:uniqueId val="{00000016-773F-E446-955C-2271D9DD6FBC}"/>
            </c:ext>
          </c:extLst>
        </c:ser>
        <c:ser>
          <c:idx val="23"/>
          <c:order val="23"/>
          <c:tx>
            <c:strRef>
              <c:f>summarized!$J$25</c:f>
              <c:strCache>
                <c:ptCount val="1"/>
                <c:pt idx="0">
                  <c:v>ml:3-sn2k-gen-spl:T-mgv9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summarized!$K$25:$V$25</c:f>
              <c:numCache>
                <c:formatCode>0.00</c:formatCode>
                <c:ptCount val="12"/>
                <c:pt idx="0">
                  <c:v>0.75</c:v>
                </c:pt>
                <c:pt idx="1">
                  <c:v>0.82</c:v>
                </c:pt>
                <c:pt idx="2">
                  <c:v>0.8</c:v>
                </c:pt>
                <c:pt idx="3">
                  <c:v>0.85</c:v>
                </c:pt>
                <c:pt idx="4">
                  <c:v>0.82</c:v>
                </c:pt>
                <c:pt idx="5">
                  <c:v>0.8</c:v>
                </c:pt>
                <c:pt idx="6">
                  <c:v>0.76</c:v>
                </c:pt>
                <c:pt idx="7">
                  <c:v>0.79</c:v>
                </c:pt>
                <c:pt idx="8">
                  <c:v>0.8</c:v>
                </c:pt>
                <c:pt idx="9">
                  <c:v>0.81</c:v>
                </c:pt>
                <c:pt idx="10">
                  <c:v>0.84</c:v>
                </c:pt>
                <c:pt idx="11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773F-E446-955C-2271D9DD6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8304992"/>
        <c:axId val="308358496"/>
      </c:lineChart>
      <c:catAx>
        <c:axId val="308304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08358496"/>
        <c:crosses val="autoZero"/>
        <c:auto val="1"/>
        <c:lblAlgn val="ctr"/>
        <c:lblOffset val="100"/>
        <c:noMultiLvlLbl val="0"/>
      </c:catAx>
      <c:valAx>
        <c:axId val="30835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083049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482600</xdr:colOff>
      <xdr:row>7</xdr:row>
      <xdr:rowOff>0</xdr:rowOff>
    </xdr:from>
    <xdr:to>
      <xdr:col>29</xdr:col>
      <xdr:colOff>485100</xdr:colOff>
      <xdr:row>34</xdr:row>
      <xdr:rowOff>150000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373405-60C1-9D9A-0027-653A1E215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owk/Dropbox/GitHub/ngram-based-noun-classification/results/summary-German-morf-xsk.xlsx" TargetMode="External"/><Relationship Id="rId1" Type="http://schemas.openxmlformats.org/officeDocument/2006/relationships/externalLinkPath" Target="summary-German-morf-xs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ized"/>
      <sheetName val="ml2.0-2k-xsk-mgv9"/>
      <sheetName val="ml2.0-1.2k-xsk-mgv9"/>
      <sheetName val="ml3.0-2k-xsk-mgv9"/>
      <sheetName val="ml3.0-1.2k-xsk-mgv9"/>
    </sheetNames>
    <sheetDataSet>
      <sheetData sheetId="0">
        <row r="1">
          <cell r="K1" t="str">
            <v>2g-no-hash</v>
          </cell>
          <cell r="L1" t="str">
            <v>3g-no-hash</v>
          </cell>
          <cell r="M1" t="str">
            <v>4g-no-hash</v>
          </cell>
          <cell r="N1" t="str">
            <v>xsk2g-no-hash</v>
          </cell>
          <cell r="O1" t="str">
            <v>xsk3g-no-hash</v>
          </cell>
          <cell r="P1" t="str">
            <v>xsk4g-no-hash</v>
          </cell>
          <cell r="Q1" t="str">
            <v>2g-hash-at-both</v>
          </cell>
          <cell r="R1" t="str">
            <v>3g-hash-at-both</v>
          </cell>
          <cell r="S1" t="str">
            <v>4g-hash-at-both</v>
          </cell>
          <cell r="T1" t="str">
            <v>xsk2g-hash-at-both</v>
          </cell>
          <cell r="U1" t="str">
            <v>xsk3g-hash-at-both</v>
          </cell>
          <cell r="V1" t="str">
            <v>xsk4g-hash-at-both</v>
          </cell>
        </row>
        <row r="2">
          <cell r="J2" t="str">
            <v>ml:NA-sn1.2k-plu-spl:F-mgv9</v>
          </cell>
          <cell r="K2">
            <v>0.82</v>
          </cell>
          <cell r="L2">
            <v>0.82</v>
          </cell>
          <cell r="M2">
            <v>0.8</v>
          </cell>
          <cell r="N2">
            <v>0.75</v>
          </cell>
          <cell r="O2">
            <v>0.79</v>
          </cell>
          <cell r="P2">
            <v>0.84</v>
          </cell>
          <cell r="Q2">
            <v>0.74</v>
          </cell>
          <cell r="R2">
            <v>0.82</v>
          </cell>
          <cell r="S2">
            <v>0.88</v>
          </cell>
          <cell r="T2">
            <v>0.82</v>
          </cell>
          <cell r="U2">
            <v>0.83</v>
          </cell>
          <cell r="V2">
            <v>0.82</v>
          </cell>
        </row>
        <row r="3">
          <cell r="J3" t="str">
            <v>ml:NA-sn1.2k-plu-spl:T-mgv9</v>
          </cell>
          <cell r="K3">
            <v>0.84</v>
          </cell>
          <cell r="L3">
            <v>0.87</v>
          </cell>
          <cell r="M3">
            <v>0.83</v>
          </cell>
          <cell r="N3">
            <v>0.78</v>
          </cell>
          <cell r="O3">
            <v>0.82</v>
          </cell>
          <cell r="P3">
            <v>0.85</v>
          </cell>
          <cell r="Q3">
            <v>0.82</v>
          </cell>
          <cell r="R3">
            <v>0.85</v>
          </cell>
          <cell r="S3">
            <v>0.88</v>
          </cell>
          <cell r="T3">
            <v>0.82</v>
          </cell>
          <cell r="U3">
            <v>0.81</v>
          </cell>
          <cell r="V3">
            <v>0.84</v>
          </cell>
        </row>
        <row r="4">
          <cell r="J4" t="str">
            <v>ml:NA-sn1.2k-gen-spl:F-mgv9</v>
          </cell>
          <cell r="K4">
            <v>0.57999999999999996</v>
          </cell>
          <cell r="L4">
            <v>0.53</v>
          </cell>
          <cell r="M4">
            <v>0.61</v>
          </cell>
          <cell r="N4">
            <v>0.57999999999999996</v>
          </cell>
          <cell r="O4">
            <v>0.55000000000000004</v>
          </cell>
          <cell r="P4">
            <v>0.55000000000000004</v>
          </cell>
          <cell r="Q4">
            <v>0.56000000000000005</v>
          </cell>
          <cell r="R4">
            <v>0.54</v>
          </cell>
          <cell r="S4">
            <v>0.55000000000000004</v>
          </cell>
          <cell r="T4">
            <v>0.56999999999999995</v>
          </cell>
          <cell r="U4">
            <v>0.6</v>
          </cell>
          <cell r="V4">
            <v>0.55000000000000004</v>
          </cell>
        </row>
        <row r="5">
          <cell r="J5" t="str">
            <v>ml:NA-sn1.2k-gen-spl:T-mgv9</v>
          </cell>
          <cell r="K5">
            <v>0.56999999999999995</v>
          </cell>
          <cell r="L5">
            <v>0.54</v>
          </cell>
          <cell r="M5">
            <v>0.56999999999999995</v>
          </cell>
          <cell r="N5">
            <v>0.61</v>
          </cell>
          <cell r="O5">
            <v>0.55000000000000004</v>
          </cell>
          <cell r="P5">
            <v>0.55000000000000004</v>
          </cell>
          <cell r="Q5">
            <v>0.56000000000000005</v>
          </cell>
          <cell r="R5">
            <v>0.54</v>
          </cell>
          <cell r="S5">
            <v>0.61</v>
          </cell>
          <cell r="T5">
            <v>0.56000000000000005</v>
          </cell>
          <cell r="U5">
            <v>0.61</v>
          </cell>
          <cell r="V5">
            <v>0.57999999999999996</v>
          </cell>
        </row>
        <row r="6">
          <cell r="J6" t="str">
            <v>ml:NA-sn1.2k-cas-spl:F-mgv9</v>
          </cell>
          <cell r="K6">
            <v>0.36</v>
          </cell>
          <cell r="L6">
            <v>0.42</v>
          </cell>
          <cell r="M6">
            <v>0.37</v>
          </cell>
          <cell r="N6">
            <v>0.43</v>
          </cell>
          <cell r="O6">
            <v>0.37</v>
          </cell>
          <cell r="P6">
            <v>0.37</v>
          </cell>
          <cell r="Q6">
            <v>0.38</v>
          </cell>
          <cell r="R6">
            <v>0.45</v>
          </cell>
          <cell r="S6">
            <v>0.32</v>
          </cell>
          <cell r="T6">
            <v>0.43</v>
          </cell>
          <cell r="U6">
            <v>0.44</v>
          </cell>
          <cell r="V6">
            <v>0.37</v>
          </cell>
        </row>
        <row r="7">
          <cell r="J7" t="str">
            <v>ml:NA-sn1.2k-cas-spl:T-mgv9</v>
          </cell>
          <cell r="K7">
            <v>0.37</v>
          </cell>
          <cell r="L7">
            <v>0.35</v>
          </cell>
          <cell r="M7">
            <v>0.38</v>
          </cell>
          <cell r="N7">
            <v>0.47</v>
          </cell>
          <cell r="O7">
            <v>0.35</v>
          </cell>
          <cell r="P7">
            <v>0.33</v>
          </cell>
          <cell r="Q7">
            <v>0.35</v>
          </cell>
          <cell r="R7">
            <v>0.43</v>
          </cell>
          <cell r="S7">
            <v>0.32</v>
          </cell>
          <cell r="T7">
            <v>0.47</v>
          </cell>
          <cell r="U7">
            <v>0.46</v>
          </cell>
          <cell r="V7">
            <v>0.38</v>
          </cell>
        </row>
        <row r="8">
          <cell r="J8" t="str">
            <v>ml:NA-sn2k-plu-spl:F-mgv9</v>
          </cell>
          <cell r="K8">
            <v>0.85</v>
          </cell>
          <cell r="L8">
            <v>0.81</v>
          </cell>
          <cell r="M8">
            <v>0.83</v>
          </cell>
          <cell r="N8">
            <v>0.78</v>
          </cell>
          <cell r="O8">
            <v>0.82</v>
          </cell>
          <cell r="P8">
            <v>0.82</v>
          </cell>
          <cell r="Q8">
            <v>0.8</v>
          </cell>
          <cell r="R8">
            <v>0.83</v>
          </cell>
          <cell r="S8">
            <v>0.83</v>
          </cell>
          <cell r="T8">
            <v>0.82</v>
          </cell>
          <cell r="U8">
            <v>0.83</v>
          </cell>
          <cell r="V8">
            <v>0.8</v>
          </cell>
        </row>
        <row r="9">
          <cell r="J9" t="str">
            <v>ml:NA-sn2k-plu-spl:T-mgv9</v>
          </cell>
          <cell r="K9">
            <v>0.9</v>
          </cell>
          <cell r="L9">
            <v>0.88</v>
          </cell>
          <cell r="M9">
            <v>0.86</v>
          </cell>
          <cell r="N9">
            <v>0.84</v>
          </cell>
          <cell r="O9">
            <v>0.83</v>
          </cell>
          <cell r="P9">
            <v>0.83</v>
          </cell>
          <cell r="Q9">
            <v>0.86</v>
          </cell>
          <cell r="R9">
            <v>0.88</v>
          </cell>
          <cell r="S9">
            <v>0.87</v>
          </cell>
          <cell r="T9">
            <v>0.84</v>
          </cell>
          <cell r="U9">
            <v>0.84</v>
          </cell>
          <cell r="V9">
            <v>0.78</v>
          </cell>
        </row>
        <row r="10">
          <cell r="J10" t="str">
            <v>ml:NA-sn2k-gen-spl:F-mgv9</v>
          </cell>
          <cell r="K10">
            <v>0.57999999999999996</v>
          </cell>
          <cell r="L10">
            <v>0.56999999999999995</v>
          </cell>
          <cell r="M10">
            <v>0.6</v>
          </cell>
          <cell r="N10">
            <v>0.53</v>
          </cell>
          <cell r="O10">
            <v>0.61</v>
          </cell>
          <cell r="P10">
            <v>0.62</v>
          </cell>
          <cell r="Q10">
            <v>0.54</v>
          </cell>
          <cell r="R10">
            <v>0.6</v>
          </cell>
          <cell r="S10">
            <v>0.59</v>
          </cell>
          <cell r="T10">
            <v>0.56999999999999995</v>
          </cell>
          <cell r="U10">
            <v>0.62</v>
          </cell>
          <cell r="V10">
            <v>0.53</v>
          </cell>
        </row>
        <row r="11">
          <cell r="J11" t="str">
            <v>ml:NA-sn2k-gen-spl:T-mgv9</v>
          </cell>
          <cell r="K11">
            <v>0.59</v>
          </cell>
          <cell r="L11">
            <v>0.57999999999999996</v>
          </cell>
          <cell r="M11">
            <v>0.62</v>
          </cell>
          <cell r="N11">
            <v>0.6</v>
          </cell>
          <cell r="O11">
            <v>0.6</v>
          </cell>
          <cell r="P11">
            <v>0.6</v>
          </cell>
          <cell r="Q11">
            <v>0.63</v>
          </cell>
          <cell r="R11">
            <v>0.61</v>
          </cell>
          <cell r="S11">
            <v>0.6</v>
          </cell>
          <cell r="T11">
            <v>0.61</v>
          </cell>
          <cell r="U11">
            <v>0.63</v>
          </cell>
          <cell r="V11">
            <v>0.52</v>
          </cell>
        </row>
        <row r="12">
          <cell r="J12" t="str">
            <v>ml:NA-sn2k-cas-spl:F-mgv9</v>
          </cell>
          <cell r="K12">
            <v>0.39</v>
          </cell>
          <cell r="L12">
            <v>0.38</v>
          </cell>
          <cell r="M12">
            <v>0.4</v>
          </cell>
          <cell r="N12">
            <v>0.41</v>
          </cell>
          <cell r="O12">
            <v>0.41</v>
          </cell>
          <cell r="P12">
            <v>0.47</v>
          </cell>
          <cell r="Q12">
            <v>0.42</v>
          </cell>
          <cell r="R12">
            <v>0.42</v>
          </cell>
          <cell r="S12">
            <v>0.41</v>
          </cell>
          <cell r="T12">
            <v>0.39</v>
          </cell>
          <cell r="U12">
            <v>0.39</v>
          </cell>
          <cell r="V12">
            <v>0.42</v>
          </cell>
        </row>
        <row r="13">
          <cell r="J13" t="str">
            <v>ml:NA-sn2k-cas-spl:T-mgv9</v>
          </cell>
          <cell r="K13">
            <v>0.42</v>
          </cell>
          <cell r="L13">
            <v>0.41</v>
          </cell>
          <cell r="M13">
            <v>0.4</v>
          </cell>
          <cell r="N13">
            <v>0.41</v>
          </cell>
          <cell r="O13">
            <v>0.42</v>
          </cell>
          <cell r="P13">
            <v>0.45</v>
          </cell>
          <cell r="Q13">
            <v>0.4</v>
          </cell>
          <cell r="R13">
            <v>0.47</v>
          </cell>
          <cell r="S13">
            <v>0.45</v>
          </cell>
          <cell r="T13">
            <v>0.4</v>
          </cell>
          <cell r="U13">
            <v>0.4</v>
          </cell>
          <cell r="V13">
            <v>0.43</v>
          </cell>
        </row>
        <row r="14">
          <cell r="J14" t="str">
            <v>ml:2-sn1.2k-plu-spl:F-mgv9</v>
          </cell>
          <cell r="K14">
            <v>0.78</v>
          </cell>
          <cell r="L14">
            <v>0.84</v>
          </cell>
          <cell r="M14">
            <v>0.76</v>
          </cell>
          <cell r="N14">
            <v>0.81</v>
          </cell>
          <cell r="O14">
            <v>0.81</v>
          </cell>
          <cell r="P14">
            <v>0.81</v>
          </cell>
          <cell r="Q14">
            <v>0.8</v>
          </cell>
          <cell r="R14">
            <v>0.81</v>
          </cell>
          <cell r="S14">
            <v>0.81</v>
          </cell>
          <cell r="T14">
            <v>0.76</v>
          </cell>
          <cell r="U14">
            <v>0.82</v>
          </cell>
          <cell r="V14">
            <v>0.82</v>
          </cell>
        </row>
        <row r="15">
          <cell r="J15" t="str">
            <v>ml:2-sn1.2k-plu-spl:T-mgv9</v>
          </cell>
          <cell r="K15">
            <v>0.83</v>
          </cell>
          <cell r="L15">
            <v>0.87</v>
          </cell>
          <cell r="M15">
            <v>0.81</v>
          </cell>
          <cell r="N15">
            <v>0.81</v>
          </cell>
          <cell r="O15">
            <v>0.81</v>
          </cell>
          <cell r="P15">
            <v>0.8</v>
          </cell>
          <cell r="Q15">
            <v>0.83</v>
          </cell>
          <cell r="R15">
            <v>0.83</v>
          </cell>
          <cell r="S15">
            <v>0.86</v>
          </cell>
          <cell r="T15">
            <v>0.81</v>
          </cell>
          <cell r="U15">
            <v>0.86</v>
          </cell>
          <cell r="V15">
            <v>0.84</v>
          </cell>
        </row>
        <row r="16">
          <cell r="J16" t="str">
            <v>ml:2-sn1.2k-gen-spl:F-mgv9</v>
          </cell>
          <cell r="K16">
            <v>0.59</v>
          </cell>
          <cell r="L16">
            <v>0.63</v>
          </cell>
          <cell r="M16">
            <v>0.61</v>
          </cell>
          <cell r="N16">
            <v>0.54</v>
          </cell>
          <cell r="O16">
            <v>0.61</v>
          </cell>
          <cell r="P16">
            <v>0.57999999999999996</v>
          </cell>
          <cell r="Q16">
            <v>0.57999999999999996</v>
          </cell>
          <cell r="R16">
            <v>0.56000000000000005</v>
          </cell>
          <cell r="S16">
            <v>0.64</v>
          </cell>
          <cell r="T16">
            <v>0.55000000000000004</v>
          </cell>
          <cell r="U16">
            <v>0.56000000000000005</v>
          </cell>
          <cell r="V16">
            <v>0.6</v>
          </cell>
        </row>
        <row r="17">
          <cell r="J17" t="str">
            <v>ml:2-sn1.2k-gen-spl:T-mgv9</v>
          </cell>
          <cell r="K17">
            <v>0.61</v>
          </cell>
          <cell r="L17">
            <v>0.6</v>
          </cell>
          <cell r="M17">
            <v>0.63</v>
          </cell>
          <cell r="N17">
            <v>0.59</v>
          </cell>
          <cell r="O17">
            <v>0.62</v>
          </cell>
          <cell r="P17">
            <v>0.61</v>
          </cell>
          <cell r="Q17">
            <v>0.56999999999999995</v>
          </cell>
          <cell r="R17">
            <v>0.6</v>
          </cell>
          <cell r="S17">
            <v>0.6</v>
          </cell>
          <cell r="T17">
            <v>0.56000000000000005</v>
          </cell>
          <cell r="U17">
            <v>0.6</v>
          </cell>
          <cell r="V17">
            <v>0.56999999999999995</v>
          </cell>
        </row>
        <row r="18">
          <cell r="J18" t="str">
            <v>ml:2-sn1.2k-cas-spl:F-mgv9</v>
          </cell>
          <cell r="K18">
            <v>0.42</v>
          </cell>
          <cell r="L18">
            <v>0.43</v>
          </cell>
          <cell r="M18">
            <v>0.38</v>
          </cell>
          <cell r="N18">
            <v>0.45</v>
          </cell>
          <cell r="O18">
            <v>0.44</v>
          </cell>
          <cell r="P18">
            <v>0.34</v>
          </cell>
          <cell r="Q18">
            <v>0.38</v>
          </cell>
          <cell r="R18">
            <v>0.42</v>
          </cell>
          <cell r="S18">
            <v>0.4</v>
          </cell>
          <cell r="T18">
            <v>0.45</v>
          </cell>
          <cell r="U18">
            <v>0.36</v>
          </cell>
          <cell r="V18">
            <v>0.4</v>
          </cell>
        </row>
        <row r="19">
          <cell r="J19" t="str">
            <v>ml:2-sn1.2k-cas-spl:T-mgv9</v>
          </cell>
          <cell r="K19">
            <v>0.42</v>
          </cell>
          <cell r="L19">
            <v>0.44</v>
          </cell>
          <cell r="M19">
            <v>0.41</v>
          </cell>
          <cell r="N19">
            <v>0.46</v>
          </cell>
          <cell r="O19">
            <v>0.43</v>
          </cell>
          <cell r="P19">
            <v>0.36</v>
          </cell>
          <cell r="Q19">
            <v>0.39</v>
          </cell>
          <cell r="R19">
            <v>0.43</v>
          </cell>
          <cell r="S19">
            <v>0.49</v>
          </cell>
          <cell r="T19">
            <v>0.41</v>
          </cell>
          <cell r="U19">
            <v>0.37</v>
          </cell>
          <cell r="V19">
            <v>0.41</v>
          </cell>
        </row>
        <row r="20">
          <cell r="J20" t="str">
            <v>ml:2-sn2k-plu-spl:F-mgv9</v>
          </cell>
          <cell r="K20">
            <v>0.78</v>
          </cell>
          <cell r="L20">
            <v>0.84</v>
          </cell>
          <cell r="M20">
            <v>0.76</v>
          </cell>
          <cell r="N20">
            <v>0.81</v>
          </cell>
          <cell r="O20">
            <v>0.81</v>
          </cell>
          <cell r="P20">
            <v>0.81</v>
          </cell>
          <cell r="Q20">
            <v>0.8</v>
          </cell>
          <cell r="R20">
            <v>0.81</v>
          </cell>
          <cell r="S20">
            <v>0.81</v>
          </cell>
          <cell r="T20">
            <v>0.76</v>
          </cell>
          <cell r="U20">
            <v>0.82</v>
          </cell>
          <cell r="V20">
            <v>0.82</v>
          </cell>
        </row>
        <row r="21">
          <cell r="J21" t="str">
            <v>ml:2-sn2k-plu-spl:T-mgv9</v>
          </cell>
          <cell r="K21">
            <v>0.83</v>
          </cell>
          <cell r="L21">
            <v>0.87</v>
          </cell>
          <cell r="M21">
            <v>0.81</v>
          </cell>
          <cell r="N21">
            <v>0.81</v>
          </cell>
          <cell r="O21">
            <v>0.81</v>
          </cell>
          <cell r="P21">
            <v>0.8</v>
          </cell>
          <cell r="Q21">
            <v>0.83</v>
          </cell>
          <cell r="R21">
            <v>0.83</v>
          </cell>
          <cell r="S21">
            <v>0.86</v>
          </cell>
          <cell r="T21">
            <v>0.81</v>
          </cell>
          <cell r="U21">
            <v>0.86</v>
          </cell>
          <cell r="V21">
            <v>0.84</v>
          </cell>
        </row>
        <row r="22">
          <cell r="J22" t="str">
            <v>ml:2-sn2k-gen-spl:F-mgv9</v>
          </cell>
          <cell r="K22">
            <v>0.59</v>
          </cell>
          <cell r="L22">
            <v>0.63</v>
          </cell>
          <cell r="M22">
            <v>0.61</v>
          </cell>
          <cell r="N22">
            <v>0.54</v>
          </cell>
          <cell r="O22">
            <v>0.61</v>
          </cell>
          <cell r="P22">
            <v>0.57999999999999996</v>
          </cell>
          <cell r="Q22">
            <v>0.57999999999999996</v>
          </cell>
          <cell r="R22">
            <v>0.56000000000000005</v>
          </cell>
          <cell r="S22">
            <v>0.64</v>
          </cell>
          <cell r="T22">
            <v>0.55000000000000004</v>
          </cell>
          <cell r="U22">
            <v>0.56000000000000005</v>
          </cell>
          <cell r="V22">
            <v>0.6</v>
          </cell>
        </row>
        <row r="23">
          <cell r="J23" t="str">
            <v>ml:2-sn2k-gen-spl:T-mgv9</v>
          </cell>
          <cell r="K23">
            <v>0.61</v>
          </cell>
          <cell r="L23">
            <v>0.6</v>
          </cell>
          <cell r="M23">
            <v>0.63</v>
          </cell>
          <cell r="N23">
            <v>0.59</v>
          </cell>
          <cell r="O23">
            <v>0.62</v>
          </cell>
          <cell r="P23">
            <v>0.61</v>
          </cell>
          <cell r="Q23">
            <v>0.56999999999999995</v>
          </cell>
          <cell r="R23">
            <v>0.6</v>
          </cell>
          <cell r="S23">
            <v>0.6</v>
          </cell>
          <cell r="T23">
            <v>0.56000000000000005</v>
          </cell>
          <cell r="U23">
            <v>0.6</v>
          </cell>
          <cell r="V23">
            <v>0.56999999999999995</v>
          </cell>
        </row>
        <row r="24">
          <cell r="J24" t="str">
            <v>ml:2-sn2k-cas-spl:F-mgv9</v>
          </cell>
          <cell r="K24">
            <v>0.42</v>
          </cell>
          <cell r="L24">
            <v>0.43</v>
          </cell>
          <cell r="M24">
            <v>0.38</v>
          </cell>
          <cell r="N24">
            <v>0.45</v>
          </cell>
          <cell r="O24">
            <v>0.44</v>
          </cell>
          <cell r="P24">
            <v>0.34</v>
          </cell>
          <cell r="Q24">
            <v>0.38</v>
          </cell>
          <cell r="R24">
            <v>0.42</v>
          </cell>
          <cell r="S24">
            <v>0.4</v>
          </cell>
          <cell r="T24">
            <v>0.45</v>
          </cell>
          <cell r="U24">
            <v>0.36</v>
          </cell>
          <cell r="V24">
            <v>0.4</v>
          </cell>
        </row>
        <row r="25">
          <cell r="J25" t="str">
            <v>ml:2-sn2k-cas-spl:T-mgv9</v>
          </cell>
          <cell r="K25">
            <v>0.42</v>
          </cell>
          <cell r="L25">
            <v>0.44</v>
          </cell>
          <cell r="M25">
            <v>0.41</v>
          </cell>
          <cell r="N25">
            <v>0.46</v>
          </cell>
          <cell r="O25">
            <v>0.43</v>
          </cell>
          <cell r="P25">
            <v>0.36</v>
          </cell>
          <cell r="Q25">
            <v>0.39</v>
          </cell>
          <cell r="R25">
            <v>0.43</v>
          </cell>
          <cell r="S25">
            <v>0.49</v>
          </cell>
          <cell r="T25">
            <v>0.41</v>
          </cell>
          <cell r="U25">
            <v>0.37</v>
          </cell>
          <cell r="V25">
            <v>0.41</v>
          </cell>
        </row>
        <row r="26">
          <cell r="J26" t="str">
            <v>ml:3-sn1.2k-plu-spl:F-mgv9</v>
          </cell>
          <cell r="K26">
            <v>0.72</v>
          </cell>
          <cell r="L26">
            <v>0.77</v>
          </cell>
          <cell r="M26">
            <v>0.78</v>
          </cell>
          <cell r="N26">
            <v>0.78</v>
          </cell>
          <cell r="O26">
            <v>0.82</v>
          </cell>
          <cell r="P26">
            <v>0.79</v>
          </cell>
          <cell r="Q26">
            <v>0.88</v>
          </cell>
          <cell r="R26">
            <v>0.82</v>
          </cell>
          <cell r="S26">
            <v>0.82</v>
          </cell>
          <cell r="T26">
            <v>0.7</v>
          </cell>
          <cell r="U26">
            <v>0.84</v>
          </cell>
          <cell r="V26">
            <v>0.85</v>
          </cell>
        </row>
        <row r="27">
          <cell r="J27" t="str">
            <v>ml:3-sn1.2k-plu-spl:T-mgv9</v>
          </cell>
          <cell r="K27">
            <v>0.79</v>
          </cell>
          <cell r="L27">
            <v>0.83</v>
          </cell>
          <cell r="M27">
            <v>0.82</v>
          </cell>
          <cell r="N27">
            <v>0.8</v>
          </cell>
          <cell r="O27">
            <v>0.8</v>
          </cell>
          <cell r="P27">
            <v>0.8</v>
          </cell>
          <cell r="Q27">
            <v>0.92</v>
          </cell>
          <cell r="R27">
            <v>0.87</v>
          </cell>
          <cell r="S27">
            <v>0.83</v>
          </cell>
          <cell r="T27">
            <v>0.78</v>
          </cell>
          <cell r="U27">
            <v>0.83</v>
          </cell>
          <cell r="V27">
            <v>0.83</v>
          </cell>
        </row>
        <row r="28">
          <cell r="J28" t="str">
            <v>ml:3-sn1.2k-gen-spl:F-mgv9</v>
          </cell>
          <cell r="K28">
            <v>0.57999999999999996</v>
          </cell>
          <cell r="L28">
            <v>0.56000000000000005</v>
          </cell>
          <cell r="M28">
            <v>0.52</v>
          </cell>
          <cell r="N28">
            <v>0.6</v>
          </cell>
          <cell r="O28">
            <v>0.55000000000000004</v>
          </cell>
          <cell r="P28">
            <v>0.56999999999999995</v>
          </cell>
          <cell r="Q28">
            <v>0.5</v>
          </cell>
          <cell r="R28">
            <v>0.52</v>
          </cell>
          <cell r="S28">
            <v>0.48</v>
          </cell>
          <cell r="T28">
            <v>0.61</v>
          </cell>
          <cell r="U28">
            <v>0.56000000000000005</v>
          </cell>
          <cell r="V28">
            <v>0.52</v>
          </cell>
        </row>
        <row r="29">
          <cell r="J29" t="str">
            <v>ml:3-sn1.2k-gen-spl:T-mgv9</v>
          </cell>
          <cell r="K29">
            <v>0.64</v>
          </cell>
          <cell r="L29">
            <v>0.55000000000000004</v>
          </cell>
          <cell r="M29">
            <v>0.54</v>
          </cell>
          <cell r="N29">
            <v>0.56999999999999995</v>
          </cell>
          <cell r="O29">
            <v>0.57999999999999996</v>
          </cell>
          <cell r="P29">
            <v>0.55000000000000004</v>
          </cell>
          <cell r="Q29">
            <v>0.52</v>
          </cell>
          <cell r="R29">
            <v>0.55000000000000004</v>
          </cell>
          <cell r="S29">
            <v>0.55000000000000004</v>
          </cell>
          <cell r="T29">
            <v>0.55000000000000004</v>
          </cell>
          <cell r="U29">
            <v>0.6</v>
          </cell>
          <cell r="V29">
            <v>0.5</v>
          </cell>
        </row>
        <row r="30">
          <cell r="J30" t="str">
            <v>ml:3-sn1.2k-cas-spl:F-mgv9</v>
          </cell>
          <cell r="K30">
            <v>0.38</v>
          </cell>
          <cell r="L30">
            <v>0.39</v>
          </cell>
          <cell r="M30">
            <v>0.36</v>
          </cell>
          <cell r="N30">
            <v>0.42</v>
          </cell>
          <cell r="O30">
            <v>0.4</v>
          </cell>
          <cell r="P30">
            <v>0.4</v>
          </cell>
          <cell r="Q30">
            <v>0.42</v>
          </cell>
          <cell r="R30">
            <v>0.39</v>
          </cell>
          <cell r="S30">
            <v>0.46</v>
          </cell>
          <cell r="T30">
            <v>0.44</v>
          </cell>
          <cell r="U30">
            <v>0.4</v>
          </cell>
          <cell r="V30">
            <v>0.41</v>
          </cell>
        </row>
        <row r="31">
          <cell r="J31" t="str">
            <v>ml:3-sn1.2k-cas-spl:T-mgv9</v>
          </cell>
          <cell r="K31">
            <v>0.38</v>
          </cell>
          <cell r="L31">
            <v>0.4</v>
          </cell>
          <cell r="M31">
            <v>0.42</v>
          </cell>
          <cell r="N31">
            <v>0.41</v>
          </cell>
          <cell r="O31">
            <v>0.42</v>
          </cell>
          <cell r="P31">
            <v>0.43</v>
          </cell>
          <cell r="Q31">
            <v>0.4</v>
          </cell>
          <cell r="R31">
            <v>0.39</v>
          </cell>
          <cell r="S31">
            <v>0.45</v>
          </cell>
          <cell r="T31">
            <v>0.33</v>
          </cell>
          <cell r="U31">
            <v>0.42</v>
          </cell>
          <cell r="V31">
            <v>0.38</v>
          </cell>
        </row>
        <row r="32">
          <cell r="J32" t="str">
            <v>ml:3-sn2k-plu-spl:F-mgv9</v>
          </cell>
          <cell r="K32">
            <v>0.78</v>
          </cell>
          <cell r="L32">
            <v>0.81</v>
          </cell>
          <cell r="M32">
            <v>0.8</v>
          </cell>
          <cell r="N32">
            <v>0.86</v>
          </cell>
          <cell r="O32">
            <v>0.79</v>
          </cell>
          <cell r="P32">
            <v>0.84</v>
          </cell>
          <cell r="Q32">
            <v>0.83</v>
          </cell>
          <cell r="R32">
            <v>0.8</v>
          </cell>
          <cell r="S32">
            <v>0.8</v>
          </cell>
          <cell r="T32">
            <v>0.84</v>
          </cell>
          <cell r="U32">
            <v>0.81</v>
          </cell>
          <cell r="V32">
            <v>0.8</v>
          </cell>
        </row>
        <row r="33">
          <cell r="J33" t="str">
            <v>ml:3-sn2k-plu-spl:T-mgv9</v>
          </cell>
          <cell r="K33">
            <v>0.83</v>
          </cell>
          <cell r="L33">
            <v>0.88</v>
          </cell>
          <cell r="M33">
            <v>0.85</v>
          </cell>
          <cell r="N33">
            <v>0.9</v>
          </cell>
          <cell r="O33">
            <v>0.8</v>
          </cell>
          <cell r="P33">
            <v>0.83</v>
          </cell>
          <cell r="Q33">
            <v>0.81</v>
          </cell>
          <cell r="R33">
            <v>0.84</v>
          </cell>
          <cell r="S33">
            <v>0.83</v>
          </cell>
          <cell r="T33">
            <v>0.84</v>
          </cell>
          <cell r="U33">
            <v>0.8</v>
          </cell>
          <cell r="V33">
            <v>0.81</v>
          </cell>
        </row>
        <row r="34">
          <cell r="J34" t="str">
            <v>ml:3-sn2k-gen-spl:F-mgv9</v>
          </cell>
          <cell r="K34">
            <v>0.54</v>
          </cell>
          <cell r="L34">
            <v>0.55000000000000004</v>
          </cell>
          <cell r="M34">
            <v>0.66</v>
          </cell>
          <cell r="N34">
            <v>0.55000000000000004</v>
          </cell>
          <cell r="O34">
            <v>0.56999999999999995</v>
          </cell>
          <cell r="P34">
            <v>0.61</v>
          </cell>
          <cell r="Q34">
            <v>0.59</v>
          </cell>
          <cell r="R34">
            <v>0.54</v>
          </cell>
          <cell r="S34">
            <v>0.59</v>
          </cell>
          <cell r="T34">
            <v>0.54</v>
          </cell>
          <cell r="U34">
            <v>0.59</v>
          </cell>
          <cell r="V34">
            <v>0.54</v>
          </cell>
        </row>
        <row r="35">
          <cell r="J35" t="str">
            <v>ml:3-sn2k-gen-spl:T-mgv9</v>
          </cell>
          <cell r="K35">
            <v>0.57999999999999996</v>
          </cell>
          <cell r="L35">
            <v>0.61</v>
          </cell>
          <cell r="M35">
            <v>0.67</v>
          </cell>
          <cell r="N35">
            <v>0.56000000000000005</v>
          </cell>
          <cell r="O35">
            <v>0.56999999999999995</v>
          </cell>
          <cell r="P35">
            <v>0.6</v>
          </cell>
          <cell r="Q35">
            <v>0.57999999999999996</v>
          </cell>
          <cell r="R35">
            <v>0.57999999999999996</v>
          </cell>
          <cell r="S35">
            <v>0.6</v>
          </cell>
          <cell r="T35">
            <v>0.55000000000000004</v>
          </cell>
          <cell r="U35">
            <v>0.6</v>
          </cell>
          <cell r="V35">
            <v>0.54</v>
          </cell>
        </row>
        <row r="36">
          <cell r="J36" t="str">
            <v>ml:3-sn2k-cas-spl:F-mgv9</v>
          </cell>
          <cell r="K36">
            <v>0.44</v>
          </cell>
          <cell r="L36">
            <v>0.34</v>
          </cell>
          <cell r="M36">
            <v>0.42</v>
          </cell>
          <cell r="N36">
            <v>0.43</v>
          </cell>
          <cell r="O36">
            <v>0.41</v>
          </cell>
          <cell r="P36">
            <v>0.46</v>
          </cell>
          <cell r="Q36">
            <v>0.39</v>
          </cell>
          <cell r="R36">
            <v>0.42</v>
          </cell>
          <cell r="S36">
            <v>0.41</v>
          </cell>
          <cell r="T36">
            <v>0.41</v>
          </cell>
          <cell r="U36">
            <v>0.38</v>
          </cell>
          <cell r="V36">
            <v>0.41</v>
          </cell>
        </row>
        <row r="37">
          <cell r="J37" t="str">
            <v>ml:3-sn2k-cas-spl:T-mgv9</v>
          </cell>
          <cell r="K37">
            <v>0.42</v>
          </cell>
          <cell r="L37">
            <v>0.33</v>
          </cell>
          <cell r="M37">
            <v>0.43</v>
          </cell>
          <cell r="N37">
            <v>0.42</v>
          </cell>
          <cell r="O37">
            <v>0.41</v>
          </cell>
          <cell r="P37">
            <v>0.49</v>
          </cell>
          <cell r="Q37">
            <v>0.39</v>
          </cell>
          <cell r="R37">
            <v>0.46</v>
          </cell>
          <cell r="S37">
            <v>0.38</v>
          </cell>
          <cell r="T37">
            <v>0.43</v>
          </cell>
          <cell r="U37">
            <v>0.33</v>
          </cell>
          <cell r="V37">
            <v>0.42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A8A3DC-8922-FA40-A4F6-0916B9E358E1}" name="Table10" displayName="Table10" ref="A1:X25" totalsRowShown="0">
  <autoFilter ref="A1:X25" xr:uid="{DAEB9A73-F5D2-AD4E-A8F3-89B95C404D52}">
    <filterColumn colId="2">
      <filters>
        <filter val="2"/>
      </filters>
    </filterColumn>
    <filterColumn colId="5">
      <filters>
        <filter val="gender"/>
      </filters>
    </filterColumn>
    <filterColumn colId="6">
      <filters>
        <filter val="TRUE"/>
      </filters>
    </filterColumn>
  </autoFilter>
  <sortState xmlns:xlrd2="http://schemas.microsoft.com/office/spreadsheetml/2017/richdata2" ref="A2:X25">
    <sortCondition ref="A1:A25"/>
  </sortState>
  <tableColumns count="24">
    <tableColumn id="1" xr3:uid="{E7C6C7C8-D57D-FA4D-B60E-221E55DB57D3}" name="ml"/>
    <tableColumn id="23" xr3:uid="{AA2CAED1-0A00-E24D-9979-7A5F12ADE114}" name="skippiness"/>
    <tableColumn id="22" xr3:uid="{F889CC80-D900-244A-9228-B3F5F064DFD7}" name="sample.n"/>
    <tableColumn id="2" xr3:uid="{AD089843-BB2C-0149-9B90-06164030AFC3}" name="mgv"/>
    <tableColumn id="3" xr3:uid="{AF025711-1FBB-A045-BBEF-9079CE948B4B}" name="attribute.index"/>
    <tableColumn id="4" xr3:uid="{FD9834E3-A8B0-4344-B172-840D9606668A}" name="attribute"/>
    <tableColumn id="5" xr3:uid="{B4844495-D36D-914C-9C74-D27C013D60EC}" name="supplemented"/>
    <tableColumn id="6" xr3:uid="{F8214394-29BE-6E4B-AA75-6FBABB5D41B5}" name="method.index"/>
    <tableColumn id="7" xr3:uid="{4E029F63-BE47-E243-AEE0-024382EDFFC9}" name="method"/>
    <tableColumn id="8" xr3:uid="{9F07D936-E77C-B94F-8285-E1BF0F36FD53}" name="var" dataDxfId="14">
      <calculatedColumnFormula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calculatedColumnFormula>
    </tableColumn>
    <tableColumn id="9" xr3:uid="{819C47A5-C7BE-1E43-AD74-73325EECEE19}" name="2g-no-hash" dataDxfId="13"/>
    <tableColumn id="10" xr3:uid="{956F1F3D-0385-9B43-A91A-A463E498A887}" name="3g-no-hash" dataDxfId="12"/>
    <tableColumn id="11" xr3:uid="{F0106653-6421-7849-8ACA-3FF473AE70A7}" name="4g-no-hash" dataDxfId="11"/>
    <tableColumn id="12" xr3:uid="{F45ECA98-F4E1-DE4F-89AE-5C6664F44C8E}" name="xsk2g-no-hash" dataDxfId="10"/>
    <tableColumn id="13" xr3:uid="{8932A4B1-0C79-8944-91F9-141891656EAA}" name="xsk3g-no-hash" dataDxfId="9"/>
    <tableColumn id="14" xr3:uid="{81F416A5-D196-2945-998F-C700CDFCF1E3}" name="xsk4g-no-hash" dataDxfId="8"/>
    <tableColumn id="15" xr3:uid="{17BB6562-5B4F-5B4F-8B42-EE249115129F}" name="2g-hash-at-both" dataDxfId="7"/>
    <tableColumn id="16" xr3:uid="{D2AEA24A-10BC-514C-8DE4-657BA0B0EA16}" name="3g-hash-at-both" dataDxfId="6"/>
    <tableColumn id="17" xr3:uid="{62D48BA5-A7B2-E746-8E25-D4CF759CDED3}" name="4g-hash-at-both" dataDxfId="5"/>
    <tableColumn id="18" xr3:uid="{D5BB60EE-6C0A-AF4C-8174-8982A7840F69}" name="xsk2g-hash-at-both" dataDxfId="4"/>
    <tableColumn id="19" xr3:uid="{78759A20-E577-AD40-832A-E8ABAEAF1C15}" name="xsk3g-hash-at-both" dataDxfId="3"/>
    <tableColumn id="20" xr3:uid="{43B5678F-638A-D643-AAAD-FC842890AB91}" name="xsk4g-hash-at-both" dataDxfId="2"/>
    <tableColumn id="21" xr3:uid="{0B232814-B2E2-4043-908A-8B17F35E7D69}" name="max" dataDxfId="1"/>
    <tableColumn id="24" xr3:uid="{5E2E56F9-4DC5-FB40-9FD1-EC9B18856B5D}" name="geomean" dataDxfId="0">
      <calculatedColumnFormula>_xlfn.LET(_xlpm.d,$K2:$V2,GEOMEAN(_xlpm.d))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0B745A-3010-E647-8FB5-2B41AA95A059}" name="Table2" displayName="Table2" ref="A1:T13" totalsRowShown="0">
  <autoFilter ref="A1:T13" xr:uid="{630B745A-3010-E647-8FB5-2B41AA95A059}"/>
  <tableColumns count="20">
    <tableColumn id="1" xr3:uid="{F830802D-574D-C94F-A6FC-B56EA3F36D12}" name="lang"/>
    <tableColumn id="2" xr3:uid="{419C06AC-7F4B-3447-A8E9-93CC984C4DED}" name="attribute.index"/>
    <tableColumn id="3" xr3:uid="{C98FF889-2B2F-924E-9C65-A82B1389AEF2}" name="attribute"/>
    <tableColumn id="4" xr3:uid="{8839C3B7-7A10-6446-959A-F08F2E144C50}" name="supplement"/>
    <tableColumn id="5" xr3:uid="{68799F15-C049-FE42-9F4C-C31DF248C4EA}" name="method.index"/>
    <tableColumn id="6" xr3:uid="{BE093780-EB64-7646-90B9-66FC2650E699}" name="method"/>
    <tableColumn id="20" xr3:uid="{C16DE17F-7F0E-2142-857F-5EA9DDC40F62}" name="Column1"/>
    <tableColumn id="7" xr3:uid="{86D69E0F-1401-804F-8AF2-C4A6C6239AF6}" name="2g-no-hash" dataDxfId="97"/>
    <tableColumn id="8" xr3:uid="{ED14B48F-9AEB-F745-9B82-DAFB55CFE484}" name="3g-no-hash" dataDxfId="96"/>
    <tableColumn id="9" xr3:uid="{817C9D7F-EFCB-8445-B805-AE2EC4A8762C}" name="4g-no-hash" dataDxfId="95"/>
    <tableColumn id="10" xr3:uid="{1F2553CF-E338-7442-81A4-86375E93DFE1}" name="xsk2g-no-hash" dataDxfId="94"/>
    <tableColumn id="11" xr3:uid="{2316D808-845B-DA40-977E-5E9600C3839D}" name="xsk3g-no-hash" dataDxfId="93"/>
    <tableColumn id="12" xr3:uid="{078C7AD5-3485-3A46-A51E-F19EA25C0B16}" name="xsk4g-no-hash" dataDxfId="92"/>
    <tableColumn id="13" xr3:uid="{2FB2912B-FE44-6549-A971-CD7711BED932}" name="2g-hash-at-both" dataDxfId="91"/>
    <tableColumn id="14" xr3:uid="{4233566F-EBC6-6D46-9E45-BE3331A2994A}" name="3g-hash-at-both" dataDxfId="90"/>
    <tableColumn id="15" xr3:uid="{CAF2911A-2903-CE4B-B4C8-98595D55C0CD}" name="4g-hash-at-both" dataDxfId="89"/>
    <tableColumn id="16" xr3:uid="{151103EE-1715-224A-BA9E-3963CDEB050F}" name="xsk2g-hash-at-both" dataDxfId="88"/>
    <tableColumn id="17" xr3:uid="{E8772A6E-0E50-9840-9C7A-56AB455C4FB6}" name="xsk3g-hash-at-both" dataDxfId="87"/>
    <tableColumn id="18" xr3:uid="{02634E41-A972-2C4E-98FF-873A38239051}" name="xsk4g-hash-at-both" dataDxfId="86"/>
    <tableColumn id="19" xr3:uid="{15B48BC6-93C8-7B40-8531-8EF447825F80}" name="max" dataDxfId="85">
      <calculatedColumnFormula>MAX($H2,$S2)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9179B45-8C09-B341-8F54-A42B6CD37658}" name="Table291113171912" displayName="Table291113171912" ref="B16:T20" totalsRowShown="0">
  <autoFilter ref="B16:T20" xr:uid="{59179B45-8C09-B341-8F54-A42B6CD37658}"/>
  <tableColumns count="19">
    <tableColumn id="1" xr3:uid="{1560166D-A349-D447-BEDD-62C883331987}" name="attribute.index"/>
    <tableColumn id="2" xr3:uid="{7778F365-D57D-DE4E-A8C8-CAAF6A597FBB}" name="attribute"/>
    <tableColumn id="3" xr3:uid="{9371300C-107B-8D45-B715-9B10D9FA6A1E}" name="supplemented"/>
    <tableColumn id="4" xr3:uid="{B9E74A69-E91D-6940-8704-3E5C52F9B645}" name="method.index"/>
    <tableColumn id="5" xr3:uid="{EEBEE833-F9B4-B746-BE25-2A4E4F3F73A2}" name="method"/>
    <tableColumn id="19" xr3:uid="{BCE7BFBE-0DF3-3C4F-94CA-3CC45E1BEEB2}" name="var" dataDxfId="84">
      <calculatedColumnFormula>_xlfn.TEXTJOIN("-",TRUE,Table291113171912[[#This Row],[attribute]],Table291113171912[[#This Row],[supplemented]],Table291113171912[[#This Row],[method]])</calculatedColumnFormula>
    </tableColumn>
    <tableColumn id="6" xr3:uid="{90336D28-F9D6-2647-8B41-185B173EE1E2}" name="2g-no-hash" dataDxfId="83">
      <calculatedColumnFormula array="1">_xlfn.LET(_xlpm.d,H$2:H$13,_xlpm.a,$C$2:$C$13=$C17,_xlpm.b,$D$2:$D$13=$D17,MAX(_xlfn._xlws.FILTER(_xlpm.d,_xlpm.a*_xlpm.b)))</calculatedColumnFormula>
    </tableColumn>
    <tableColumn id="7" xr3:uid="{505FEB74-14EE-104A-BFAD-0166C2592913}" name="3g-no-hash" dataDxfId="82">
      <calculatedColumnFormula array="1">_xlfn.LET(_xlpm.d,I$2:I$13,_xlpm.a,$C$2:$C$13=$C17,_xlpm.b,$D$2:$D$13=$D17,MAX(_xlfn._xlws.FILTER(_xlpm.d,_xlpm.a*_xlpm.b)))</calculatedColumnFormula>
    </tableColumn>
    <tableColumn id="8" xr3:uid="{AC11638C-6191-AC4C-80D5-92EDE7AD9922}" name="4g-no-hash" dataDxfId="81">
      <calculatedColumnFormula array="1">_xlfn.LET(_xlpm.d,J$2:J$13,_xlpm.a,$C$2:$C$13=$C17,_xlpm.b,$D$2:$D$13=$D17,MAX(_xlfn._xlws.FILTER(_xlpm.d,_xlpm.a*_xlpm.b)))</calculatedColumnFormula>
    </tableColumn>
    <tableColumn id="9" xr3:uid="{A05E616A-F61A-2647-B056-404AB22B016A}" name="xsk2g-no-hash" dataDxfId="80">
      <calculatedColumnFormula array="1">_xlfn.LET(_xlpm.d,K$2:K$13,_xlpm.a,$C$2:$C$13=$C17,_xlpm.b,$D$2:$D$13=$D17,MAX(_xlfn._xlws.FILTER(_xlpm.d,_xlpm.a*_xlpm.b)))</calculatedColumnFormula>
    </tableColumn>
    <tableColumn id="10" xr3:uid="{733DFAA0-71FF-E34D-9A9A-716B329BC4F8}" name="xsk3g-no-hash" dataDxfId="79">
      <calculatedColumnFormula array="1">_xlfn.LET(_xlpm.d,L$2:L$13,_xlpm.a,$C$2:$C$13=$C17,_xlpm.b,$D$2:$D$13=$D17,MAX(_xlfn._xlws.FILTER(_xlpm.d,_xlpm.a*_xlpm.b)))</calculatedColumnFormula>
    </tableColumn>
    <tableColumn id="11" xr3:uid="{90CE7B8B-18A9-604C-8F99-FF2EE820147E}" name="xsk4g-no-hash" dataDxfId="78">
      <calculatedColumnFormula array="1">_xlfn.LET(_xlpm.d,M$2:M$13,_xlpm.a,$C$2:$C$13=$C17,_xlpm.b,$D$2:$D$13=$D17,MAX(_xlfn._xlws.FILTER(_xlpm.d,_xlpm.a*_xlpm.b)))</calculatedColumnFormula>
    </tableColumn>
    <tableColumn id="12" xr3:uid="{C876652D-D14B-F74F-B648-3E5E54E8DEBA}" name="2g-hash-at-both" dataDxfId="77">
      <calculatedColumnFormula array="1">_xlfn.LET(_xlpm.d,N$2:N$13,_xlpm.a,$C$2:$C$13=$C17,_xlpm.b,$D$2:$D$13=$D17,MAX(_xlfn._xlws.FILTER(_xlpm.d,_xlpm.a*_xlpm.b)))</calculatedColumnFormula>
    </tableColumn>
    <tableColumn id="13" xr3:uid="{BD7EA9DA-DA0E-8240-AEE1-DBAF1EEAA712}" name="3g-hash-at-both" dataDxfId="76">
      <calculatedColumnFormula array="1">_xlfn.LET(_xlpm.d,O$2:O$13,_xlpm.a,$C$2:$C$13=$C17,_xlpm.b,$D$2:$D$13=$D17,MAX(_xlfn._xlws.FILTER(_xlpm.d,_xlpm.a*_xlpm.b)))</calculatedColumnFormula>
    </tableColumn>
    <tableColumn id="14" xr3:uid="{50841378-BA5E-AE42-8E2F-7B2C97AE9A1C}" name="4g-hash-at-both" dataDxfId="75">
      <calculatedColumnFormula array="1">_xlfn.LET(_xlpm.d,P$2:P$13,_xlpm.a,$C$2:$C$13=$C17,_xlpm.b,$D$2:$D$13=$D17,MAX(_xlfn._xlws.FILTER(_xlpm.d,_xlpm.a*_xlpm.b)))</calculatedColumnFormula>
    </tableColumn>
    <tableColumn id="15" xr3:uid="{CAB190DF-1F86-4E4F-9F44-51311C9A11EF}" name="xsk2g-hash-at-both" dataDxfId="74">
      <calculatedColumnFormula array="1">_xlfn.LET(_xlpm.d,Q$2:Q$13,_xlpm.a,$C$2:$C$13=$C17,_xlpm.b,$D$2:$D$13=$D17,MAX(_xlfn._xlws.FILTER(_xlpm.d,_xlpm.a*_xlpm.b)))</calculatedColumnFormula>
    </tableColumn>
    <tableColumn id="16" xr3:uid="{42D1F2B3-2509-1C45-8C3A-C60E66B7B230}" name="xsk3g-hash-at-both" dataDxfId="73">
      <calculatedColumnFormula array="1">_xlfn.LET(_xlpm.d,R$2:R$13,_xlpm.a,$C$2:$C$13=$C17,_xlpm.b,$D$2:$D$13=$D17,MAX(_xlfn._xlws.FILTER(_xlpm.d,_xlpm.a*_xlpm.b)))</calculatedColumnFormula>
    </tableColumn>
    <tableColumn id="17" xr3:uid="{7117D53B-7963-684F-874B-E0173EB89DB5}" name="xsk4g-hash-at-both" dataDxfId="72">
      <calculatedColumnFormula array="1">_xlfn.LET(_xlpm.d,S$2:S$13,_xlpm.a,$C$2:$C$13=$C17,_xlpm.b,$D$2:$D$13=$D17,MAX(_xlfn._xlws.FILTER(_xlpm.d,_xlpm.a*_xlpm.b)))</calculatedColumnFormula>
    </tableColumn>
    <tableColumn id="18" xr3:uid="{2A14BCDF-8985-114D-8D4A-89FBD7BB2BD3}" name="max" dataDxfId="71">
      <calculatedColumnFormula array="1">_xlfn.LET(_xlpm.d,T$2:T$13,_xlpm.a,$C$2:$C$13=$C17,_xlpm.b,$D$2:$D$13=$D17,MAX(_xlfn._xlws.FILTER(_xlpm.d,_xlpm.a*_xlpm.b)))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073E41-CEBF-8549-A26A-900B9633B23B}" name="Table5" displayName="Table5" ref="A1:T13" totalsRowShown="0">
  <autoFilter ref="A1:T13" xr:uid="{44073E41-CEBF-8549-A26A-900B9633B23B}"/>
  <sortState xmlns:xlrd2="http://schemas.microsoft.com/office/spreadsheetml/2017/richdata2" ref="A2:T13">
    <sortCondition ref="B1:B13"/>
  </sortState>
  <tableColumns count="20">
    <tableColumn id="1" xr3:uid="{88B9925F-7D30-8247-98FE-1D91E72B1DF3}" name="lang"/>
    <tableColumn id="2" xr3:uid="{FCB1C19D-74FF-D749-A44C-D78A90FD56AE}" name="attribute.index"/>
    <tableColumn id="3" xr3:uid="{9EE1ABC5-C8DD-6642-9F6E-5286663ADE8C}" name="attribute"/>
    <tableColumn id="4" xr3:uid="{B075298C-B346-8342-9365-71EF45796BFA}" name="supplement"/>
    <tableColumn id="5" xr3:uid="{09352257-015F-C84B-B59E-A020B14346A5}" name="method.index"/>
    <tableColumn id="6" xr3:uid="{98ACA248-70B5-314F-9F53-89EFE9CCF5C4}" name="method"/>
    <tableColumn id="20" xr3:uid="{EDA07656-60A0-6F4D-91F2-642834AE5D23}" name="Column1"/>
    <tableColumn id="7" xr3:uid="{9C00004C-81C5-384D-948B-C7ACC2F5EF1D}" name="2g-no-hash" dataDxfId="110"/>
    <tableColumn id="8" xr3:uid="{225BB1A8-B651-4540-9677-96DD64A82860}" name="3g-no-hash" dataDxfId="109"/>
    <tableColumn id="9" xr3:uid="{1534E42C-A5BB-2C40-A3A1-6A64756A66D2}" name="4g-no-hash" dataDxfId="108"/>
    <tableColumn id="10" xr3:uid="{DA4EF929-5FC9-DE46-8FFF-9B1007281C4B}" name="xsk2g-no-hash" dataDxfId="107"/>
    <tableColumn id="11" xr3:uid="{6627B8FB-D104-3446-ACB7-DC3EF40D0A4A}" name="xsk3g-no-hash" dataDxfId="106"/>
    <tableColumn id="12" xr3:uid="{CA8C5EF1-8502-3B4A-918B-4ED4436A7E0A}" name="xsk4g-no-hash" dataDxfId="105"/>
    <tableColumn id="13" xr3:uid="{0959DD9D-A5BB-544F-95EA-41B74EDEA047}" name="2g-hash-at-both" dataDxfId="104"/>
    <tableColumn id="14" xr3:uid="{530F4B8A-1071-1A4C-8CC1-5C86B0E1E41F}" name="3g-hash-at-both" dataDxfId="103"/>
    <tableColumn id="15" xr3:uid="{B7E6585E-64C6-9A4E-B49E-BC81C08DC14E}" name="4g-hash-at-both" dataDxfId="102"/>
    <tableColumn id="16" xr3:uid="{FD36FF60-9EAE-6D4F-A8DD-D1B724FCE2E0}" name="xsk2g-hash-at-both" dataDxfId="101"/>
    <tableColumn id="17" xr3:uid="{9417BBCD-56ED-6141-A0FD-08A682C456D7}" name="xsk3g-hash-at-both" dataDxfId="100"/>
    <tableColumn id="18" xr3:uid="{C9274BD6-F5A0-AE41-A0CB-DB2EA20924AD}" name="xsk4g-hash-at-both" dataDxfId="99"/>
    <tableColumn id="19" xr3:uid="{8D94D7EA-B2C7-AC45-A62A-1A4291A57427}" name="max" dataDxfId="98">
      <calculatedColumnFormula>MAX($H2:$S2)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42B3C10-1588-FF4A-B71E-B84DDAFD9C6D}" name="Table2911131719" displayName="Table2911131719" ref="B16:T20" totalsRowShown="0">
  <autoFilter ref="B16:T20" xr:uid="{242B3C10-1588-FF4A-B71E-B84DDAFD9C6D}"/>
  <sortState xmlns:xlrd2="http://schemas.microsoft.com/office/spreadsheetml/2017/richdata2" ref="B17:T20">
    <sortCondition ref="B16:B20"/>
  </sortState>
  <tableColumns count="19">
    <tableColumn id="1" xr3:uid="{675C174D-D375-2543-884F-CED834CD7169}" name="attribute.index"/>
    <tableColumn id="2" xr3:uid="{A59F6F9D-F077-474A-9B3B-1C040A2E1FF3}" name="attribute"/>
    <tableColumn id="3" xr3:uid="{405DC4F4-6979-AD4A-A8D1-3477F0C060A2}" name="supplemented"/>
    <tableColumn id="4" xr3:uid="{C60D4466-9D6C-3A46-8428-FED16C91F5FE}" name="method.index"/>
    <tableColumn id="5" xr3:uid="{676AFA0F-1A6B-4244-B590-35A5BB1B7689}" name="method"/>
    <tableColumn id="19" xr3:uid="{E0C28D5F-7606-A24F-866F-942EF43B348E}" name="var" dataDxfId="70">
      <calculatedColumnFormula>_xlfn.TEXTJOIN("-",TRUE,Table2911131719[[#This Row],[attribute]],Table2911131719[[#This Row],[supplemented]],Table2911131719[[#This Row],[method]])</calculatedColumnFormula>
    </tableColumn>
    <tableColumn id="6" xr3:uid="{9FB95466-BB53-EA47-B3EE-A06B9257CD47}" name="2g-no-hash" dataDxfId="69">
      <calculatedColumnFormula array="1">_xlfn.LET(_xlpm.d,H$2:H$13,_xlpm.a,$C$2:$C$13=$C17,_xlpm.b,$D$2:$D$13=$D17,MAX(_xlfn._xlws.FILTER(_xlpm.d,_xlpm.a*_xlpm.b)))</calculatedColumnFormula>
    </tableColumn>
    <tableColumn id="7" xr3:uid="{CAE12C75-0804-E245-A609-8EC2EF47E7E4}" name="3g-no-hash" dataDxfId="68">
      <calculatedColumnFormula array="1">_xlfn.LET(_xlpm.d,I$2:I$13,_xlpm.a,$C$2:$C$13=$C17,_xlpm.b,$D$2:$D$13=$D17,MAX(_xlfn._xlws.FILTER(_xlpm.d,_xlpm.a*_xlpm.b)))</calculatedColumnFormula>
    </tableColumn>
    <tableColumn id="8" xr3:uid="{15AA61CF-0BC7-7B42-8521-24C11E9CED08}" name="4g-no-hash" dataDxfId="67">
      <calculatedColumnFormula array="1">_xlfn.LET(_xlpm.d,J$2:J$13,_xlpm.a,$C$2:$C$13=$C17,_xlpm.b,$D$2:$D$13=$D17,MAX(_xlfn._xlws.FILTER(_xlpm.d,_xlpm.a*_xlpm.b)))</calculatedColumnFormula>
    </tableColumn>
    <tableColumn id="9" xr3:uid="{CFBD9718-415B-064D-86B4-4DE216652B11}" name="xsk2g-no-hash" dataDxfId="66">
      <calculatedColumnFormula array="1">_xlfn.LET(_xlpm.d,K$2:K$13,_xlpm.a,$C$2:$C$13=$C17,_xlpm.b,$D$2:$D$13=$D17,MAX(_xlfn._xlws.FILTER(_xlpm.d,_xlpm.a*_xlpm.b)))</calculatedColumnFormula>
    </tableColumn>
    <tableColumn id="10" xr3:uid="{C362D101-6F6D-FD4D-A9AC-71DD14759F57}" name="xsk3g-no-hash" dataDxfId="65">
      <calculatedColumnFormula array="1">_xlfn.LET(_xlpm.d,L$2:L$13,_xlpm.a,$C$2:$C$13=$C17,_xlpm.b,$D$2:$D$13=$D17,MAX(_xlfn._xlws.FILTER(_xlpm.d,_xlpm.a*_xlpm.b)))</calculatedColumnFormula>
    </tableColumn>
    <tableColumn id="11" xr3:uid="{DE0CDB67-B1EE-E24D-A111-A920E82FB153}" name="xsk4g-no-hash" dataDxfId="64">
      <calculatedColumnFormula array="1">_xlfn.LET(_xlpm.d,M$2:M$13,_xlpm.a,$C$2:$C$13=$C17,_xlpm.b,$D$2:$D$13=$D17,MAX(_xlfn._xlws.FILTER(_xlpm.d,_xlpm.a*_xlpm.b)))</calculatedColumnFormula>
    </tableColumn>
    <tableColumn id="12" xr3:uid="{01F23EB1-801F-AB4E-B3CE-A34093FCA021}" name="2g-hash-at-both" dataDxfId="63">
      <calculatedColumnFormula array="1">_xlfn.LET(_xlpm.d,N$2:N$13,_xlpm.a,$C$2:$C$13=$C17,_xlpm.b,$D$2:$D$13=$D17,MAX(_xlfn._xlws.FILTER(_xlpm.d,_xlpm.a*_xlpm.b)))</calculatedColumnFormula>
    </tableColumn>
    <tableColumn id="13" xr3:uid="{07A7DA06-3E96-CD47-A741-B5AEA7C95B8A}" name="3g-hash-at-both" dataDxfId="62">
      <calculatedColumnFormula array="1">_xlfn.LET(_xlpm.d,O$2:O$13,_xlpm.a,$C$2:$C$13=$C17,_xlpm.b,$D$2:$D$13=$D17,MAX(_xlfn._xlws.FILTER(_xlpm.d,_xlpm.a*_xlpm.b)))</calculatedColumnFormula>
    </tableColumn>
    <tableColumn id="14" xr3:uid="{F7949DA0-EC69-934E-A852-51A071387178}" name="4g-hash-at-both" dataDxfId="61">
      <calculatedColumnFormula array="1">_xlfn.LET(_xlpm.d,P$2:P$13,_xlpm.a,$C$2:$C$13=$C17,_xlpm.b,$D$2:$D$13=$D17,MAX(_xlfn._xlws.FILTER(_xlpm.d,_xlpm.a*_xlpm.b)))</calculatedColumnFormula>
    </tableColumn>
    <tableColumn id="15" xr3:uid="{22AB11FD-66F1-9240-B560-77686FFC9A02}" name="xsk2g-hash-at-both" dataDxfId="60">
      <calculatedColumnFormula array="1">_xlfn.LET(_xlpm.d,Q$2:Q$13,_xlpm.a,$C$2:$C$13=$C17,_xlpm.b,$D$2:$D$13=$D17,MAX(_xlfn._xlws.FILTER(_xlpm.d,_xlpm.a*_xlpm.b)))</calculatedColumnFormula>
    </tableColumn>
    <tableColumn id="16" xr3:uid="{18C6D4AD-6E73-BE49-AEB1-1DB08941AA00}" name="xsk3g-hash-at-both" dataDxfId="59">
      <calculatedColumnFormula array="1">_xlfn.LET(_xlpm.d,R$2:R$13,_xlpm.a,$C$2:$C$13=$C17,_xlpm.b,$D$2:$D$13=$D17,MAX(_xlfn._xlws.FILTER(_xlpm.d,_xlpm.a*_xlpm.b)))</calculatedColumnFormula>
    </tableColumn>
    <tableColumn id="17" xr3:uid="{5AB8F1C4-3FF8-7846-BD46-78ACE361552C}" name="xsk4g-hash-at-both" dataDxfId="58">
      <calculatedColumnFormula array="1">_xlfn.LET(_xlpm.d,S$2:S$13,_xlpm.a,$C$2:$C$13=$C17,_xlpm.b,$D$2:$D$13=$D17,MAX(_xlfn._xlws.FILTER(_xlpm.d,_xlpm.a*_xlpm.b)))</calculatedColumnFormula>
    </tableColumn>
    <tableColumn id="18" xr3:uid="{A9BD49BB-990C-E647-84FA-21E006B9C805}" name="max" dataDxfId="57">
      <calculatedColumnFormula array="1">_xlfn.LET(_xlpm.d,T$2:T$13,_xlpm.a,$C$2:$C$13=$C17,_xlpm.b,$D$2:$D$13=$D17,MAX(_xlfn._xlws.FILTER(_xlpm.d,_xlpm.a*_xlpm.b)))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A5F89-6AA0-BF48-AA71-A7C11D8AD813}" name="Table3" displayName="Table3" ref="A1:T13" totalsRowShown="0">
  <autoFilter ref="A1:T13" xr:uid="{0B5A5F89-6AA0-BF48-AA71-A7C11D8AD813}"/>
  <sortState xmlns:xlrd2="http://schemas.microsoft.com/office/spreadsheetml/2017/richdata2" ref="A2:T13">
    <sortCondition ref="D1:D13"/>
  </sortState>
  <tableColumns count="20">
    <tableColumn id="1" xr3:uid="{B49D09D5-4A2A-3E48-A613-62AA771F0795}" name="lang"/>
    <tableColumn id="2" xr3:uid="{504C019A-DA3E-054E-A20E-9472A3DE5341}" name="attribute.index"/>
    <tableColumn id="3" xr3:uid="{57E66CAE-557B-E643-97E1-218914D870ED}" name="attribute"/>
    <tableColumn id="4" xr3:uid="{5C98A916-BD56-CD44-8E5C-9ACD15F11467}" name="supplement"/>
    <tableColumn id="5" xr3:uid="{45A975B1-E879-D64E-92BE-D19D96810557}" name="method.index"/>
    <tableColumn id="6" xr3:uid="{34B282D5-EE50-D944-AB3B-720D1A4DAE0B}" name="method"/>
    <tableColumn id="20" xr3:uid="{ED18C7DE-E1D1-DB4F-9DEB-B26654218019}" name="Column1"/>
    <tableColumn id="7" xr3:uid="{8FC85EBB-B738-2541-9CEB-219BC73C9AFB}" name="2g-no-hash" dataDxfId="123"/>
    <tableColumn id="8" xr3:uid="{02C71412-8B31-D94B-B365-DC2635BB0039}" name="3g-no-hash" dataDxfId="122"/>
    <tableColumn id="9" xr3:uid="{E1C0EDB1-33A9-4844-90BF-A74640742525}" name="4g-no-hash" dataDxfId="121"/>
    <tableColumn id="10" xr3:uid="{744A87FA-7C26-D94A-945B-5F660C76983C}" name="xsk2g-no-hash" dataDxfId="120"/>
    <tableColumn id="11" xr3:uid="{4745C87B-7C01-B94F-AAB2-1A85E19DC94A}" name="xsk3g-no-hash" dataDxfId="119"/>
    <tableColumn id="12" xr3:uid="{3CF70559-E069-EC45-93D9-20680496DD09}" name="xsk4g-no-hash" dataDxfId="118"/>
    <tableColumn id="13" xr3:uid="{A7980327-7BDA-354A-A199-D756D3BDC2ED}" name="2g-hash-at-both" dataDxfId="117"/>
    <tableColumn id="14" xr3:uid="{350AFD9B-526C-B34B-8853-026644979168}" name="3g-hash-at-both" dataDxfId="116"/>
    <tableColumn id="15" xr3:uid="{6D35BBE6-63F6-C54B-9934-7E5E7CD3DB22}" name="4g-hash-at-both" dataDxfId="115"/>
    <tableColumn id="16" xr3:uid="{41292FF1-FC4F-AB4D-873D-A942AAB46949}" name="xsk2g-hash-at-both" dataDxfId="114"/>
    <tableColumn id="17" xr3:uid="{3867E4C0-CDC6-E24D-B72B-21CCE86FCAB4}" name="xsk3g-hash-at-both" dataDxfId="113"/>
    <tableColumn id="18" xr3:uid="{3D3C16FF-2840-BF4D-B570-3E1D07519121}" name="xsk4g-hash-at-both" dataDxfId="112"/>
    <tableColumn id="19" xr3:uid="{07D0E471-9064-464F-9FAF-38FD465F765B}" name="max" dataDxfId="111">
      <calculatedColumnFormula>MAX($H2,$S2)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C05B0AC-8ABE-7A40-BE8E-F950A4ADBE9A}" name="Table291113171914" displayName="Table291113171914" ref="B16:T20" totalsRowShown="0">
  <autoFilter ref="B16:T20" xr:uid="{6C05B0AC-8ABE-7A40-BE8E-F950A4ADBE9A}"/>
  <sortState xmlns:xlrd2="http://schemas.microsoft.com/office/spreadsheetml/2017/richdata2" ref="B17:T20">
    <sortCondition ref="B16:B20"/>
  </sortState>
  <tableColumns count="19">
    <tableColumn id="1" xr3:uid="{6106EDBF-4C71-5447-BE39-C15DCA9B5D9E}" name="attribute.index"/>
    <tableColumn id="2" xr3:uid="{9B817D90-F475-DE4E-9918-2EBD19833010}" name="attribute"/>
    <tableColumn id="3" xr3:uid="{4F1B43E8-BD39-1F41-93BE-5B96ED7849D1}" name="supplemented"/>
    <tableColumn id="4" xr3:uid="{E92CE39B-3B96-EB44-854B-9F3BD081AFC3}" name="method.index"/>
    <tableColumn id="5" xr3:uid="{7B374A26-7A06-D84D-87AF-B93002EEB7B6}" name="method"/>
    <tableColumn id="19" xr3:uid="{10789C56-29AD-F140-88B0-B1AC241B31E8}" name="var" dataDxfId="56">
      <calculatedColumnFormula>_xlfn.TEXTJOIN("-",TRUE,Table291113171914[[#This Row],[attribute]],Table291113171914[[#This Row],[supplemented]],Table291113171914[[#This Row],[method]])</calculatedColumnFormula>
    </tableColumn>
    <tableColumn id="6" xr3:uid="{F045DAA2-F1A5-9F45-8A2F-8164A3B8BE8C}" name="2g-no-hash" dataDxfId="55">
      <calculatedColumnFormula array="1">_xlfn.LET(_xlpm.d,H$2:H$13,_xlpm.a,$C$2:$C$13=$C17,_xlpm.b,$D$2:$D$13=$D17,MAX(_xlfn._xlws.FILTER(_xlpm.d,_xlpm.a*_xlpm.b)))</calculatedColumnFormula>
    </tableColumn>
    <tableColumn id="7" xr3:uid="{E1B5C4BB-B7BD-E547-8B52-3A544603C0E6}" name="3g-no-hash" dataDxfId="54">
      <calculatedColumnFormula array="1">_xlfn.LET(_xlpm.d,I$2:I$13,_xlpm.a,$C$2:$C$13=$C17,_xlpm.b,$D$2:$D$13=$D17,MAX(_xlfn._xlws.FILTER(_xlpm.d,_xlpm.a*_xlpm.b)))</calculatedColumnFormula>
    </tableColumn>
    <tableColumn id="8" xr3:uid="{AA8D1F36-8D26-DB42-88F1-0C724B30A914}" name="4g-no-hash" dataDxfId="53">
      <calculatedColumnFormula array="1">_xlfn.LET(_xlpm.d,J$2:J$13,_xlpm.a,$C$2:$C$13=$C17,_xlpm.b,$D$2:$D$13=$D17,MAX(_xlfn._xlws.FILTER(_xlpm.d,_xlpm.a*_xlpm.b)))</calculatedColumnFormula>
    </tableColumn>
    <tableColumn id="9" xr3:uid="{EB815017-3F33-F44C-BBC4-927F5B43B278}" name="xsk2g-no-hash" dataDxfId="52">
      <calculatedColumnFormula array="1">_xlfn.LET(_xlpm.d,K$2:K$13,_xlpm.a,$C$2:$C$13=$C17,_xlpm.b,$D$2:$D$13=$D17,MAX(_xlfn._xlws.FILTER(_xlpm.d,_xlpm.a*_xlpm.b)))</calculatedColumnFormula>
    </tableColumn>
    <tableColumn id="10" xr3:uid="{5F8121C3-824E-D943-9813-74DC00F3CA50}" name="xsk3g-no-hash" dataDxfId="51">
      <calculatedColumnFormula array="1">_xlfn.LET(_xlpm.d,L$2:L$13,_xlpm.a,$C$2:$C$13=$C17,_xlpm.b,$D$2:$D$13=$D17,MAX(_xlfn._xlws.FILTER(_xlpm.d,_xlpm.a*_xlpm.b)))</calculatedColumnFormula>
    </tableColumn>
    <tableColumn id="11" xr3:uid="{02B3BCF2-FDE9-1E40-B674-60535516A984}" name="xsk4g-no-hash" dataDxfId="50">
      <calculatedColumnFormula array="1">_xlfn.LET(_xlpm.d,M$2:M$13,_xlpm.a,$C$2:$C$13=$C17,_xlpm.b,$D$2:$D$13=$D17,MAX(_xlfn._xlws.FILTER(_xlpm.d,_xlpm.a*_xlpm.b)))</calculatedColumnFormula>
    </tableColumn>
    <tableColumn id="12" xr3:uid="{48A67D98-8C3D-2047-9A26-6DF227F49C89}" name="2g-hash-at-both" dataDxfId="49">
      <calculatedColumnFormula array="1">_xlfn.LET(_xlpm.d,N$2:N$13,_xlpm.a,$C$2:$C$13=$C17,_xlpm.b,$D$2:$D$13=$D17,MAX(_xlfn._xlws.FILTER(_xlpm.d,_xlpm.a*_xlpm.b)))</calculatedColumnFormula>
    </tableColumn>
    <tableColumn id="13" xr3:uid="{4949314D-FB10-544F-85C6-CA5A0E76030E}" name="3g-hash-at-both" dataDxfId="48">
      <calculatedColumnFormula array="1">_xlfn.LET(_xlpm.d,O$2:O$13,_xlpm.a,$C$2:$C$13=$C17,_xlpm.b,$D$2:$D$13=$D17,MAX(_xlfn._xlws.FILTER(_xlpm.d,_xlpm.a*_xlpm.b)))</calculatedColumnFormula>
    </tableColumn>
    <tableColumn id="14" xr3:uid="{99C71603-D7AA-1B4F-8E14-251FD812F15F}" name="4g-hash-at-both" dataDxfId="47">
      <calculatedColumnFormula array="1">_xlfn.LET(_xlpm.d,P$2:P$13,_xlpm.a,$C$2:$C$13=$C17,_xlpm.b,$D$2:$D$13=$D17,MAX(_xlfn._xlws.FILTER(_xlpm.d,_xlpm.a*_xlpm.b)))</calculatedColumnFormula>
    </tableColumn>
    <tableColumn id="15" xr3:uid="{4A2CC06C-707D-7A4A-93A2-97279924D588}" name="xsk2g-hash-at-both" dataDxfId="46">
      <calculatedColumnFormula array="1">_xlfn.LET(_xlpm.d,Q$2:Q$13,_xlpm.a,$C$2:$C$13=$C17,_xlpm.b,$D$2:$D$13=$D17,MAX(_xlfn._xlws.FILTER(_xlpm.d,_xlpm.a*_xlpm.b)))</calculatedColumnFormula>
    </tableColumn>
    <tableColumn id="16" xr3:uid="{C2819E2F-E23A-9E44-8A4C-02B22150985F}" name="xsk3g-hash-at-both" dataDxfId="45">
      <calculatedColumnFormula array="1">_xlfn.LET(_xlpm.d,R$2:R$13,_xlpm.a,$C$2:$C$13=$C17,_xlpm.b,$D$2:$D$13=$D17,MAX(_xlfn._xlws.FILTER(_xlpm.d,_xlpm.a*_xlpm.b)))</calculatedColumnFormula>
    </tableColumn>
    <tableColumn id="17" xr3:uid="{EECEA326-0D64-4A43-A137-5AD4E6AC642C}" name="xsk4g-hash-at-both" dataDxfId="44">
      <calculatedColumnFormula array="1">_xlfn.LET(_xlpm.d,S$2:S$13,_xlpm.a,$C$2:$C$13=$C17,_xlpm.b,$D$2:$D$13=$D17,MAX(_xlfn._xlws.FILTER(_xlpm.d,_xlpm.a*_xlpm.b)))</calculatedColumnFormula>
    </tableColumn>
    <tableColumn id="18" xr3:uid="{C8AAB7D4-CD35-1544-AB01-247F4E2A4659}" name="max" dataDxfId="43">
      <calculatedColumnFormula array="1">_xlfn.LET(_xlpm.d,T$2:T$13,_xlpm.a,$C$2:$C$13=$C17,_xlpm.b,$D$2:$D$13=$D17,MAX(_xlfn._xlws.FILTER(_xlpm.d,_xlpm.a*_xlpm.b)))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C4C552-F2BC-804D-9EB5-02BC0EA7B0CD}" name="Table4" displayName="Table4" ref="A1:T13" totalsRowShown="0">
  <autoFilter ref="A1:T13" xr:uid="{ECC4C552-F2BC-804D-9EB5-02BC0EA7B0CD}"/>
  <sortState xmlns:xlrd2="http://schemas.microsoft.com/office/spreadsheetml/2017/richdata2" ref="A2:T13">
    <sortCondition ref="B1:B13"/>
  </sortState>
  <tableColumns count="20">
    <tableColumn id="1" xr3:uid="{6337C237-1796-4549-A31E-EA2DD24CD7D7}" name="lang"/>
    <tableColumn id="2" xr3:uid="{C1546D7E-8E1D-CB44-9612-D768531702FF}" name="attribute.index"/>
    <tableColumn id="3" xr3:uid="{D4C4F94F-8B1D-4D41-9F47-384DD0B40500}" name="attribute"/>
    <tableColumn id="4" xr3:uid="{BA8467F4-5244-C346-9B78-5E9D33C9342B}" name="supplement"/>
    <tableColumn id="5" xr3:uid="{FE9210DD-9732-CD48-81E1-27246481DE3A}" name="method.index"/>
    <tableColumn id="6" xr3:uid="{BD0BFA88-7237-114D-BC9E-010B6FEE1DAA}" name="method"/>
    <tableColumn id="21" xr3:uid="{6F5EC18D-DC97-654F-8789-8720245C4314}" name="Column1"/>
    <tableColumn id="7" xr3:uid="{135BC180-FC5A-1448-8680-B18EF982FA68}" name="2g-no-hash" dataDxfId="136"/>
    <tableColumn id="8" xr3:uid="{7E171C88-B38E-0341-984F-E54048F42273}" name="3g-no-hash" dataDxfId="135"/>
    <tableColumn id="9" xr3:uid="{8DC12057-227A-EC4E-A588-CD3227E8D069}" name="4g-no-hash" dataDxfId="134"/>
    <tableColumn id="10" xr3:uid="{C54B61BA-1238-A64A-8F54-3FA2F01887D7}" name="xsk2g-no-hash" dataDxfId="133"/>
    <tableColumn id="11" xr3:uid="{066BE790-8014-E744-BB78-29A097AD6AE8}" name="xsk3g-no-hash" dataDxfId="132"/>
    <tableColumn id="12" xr3:uid="{96A8B892-C81C-F34A-8010-566B92BA8D90}" name="xsk4g-no-hash" dataDxfId="131"/>
    <tableColumn id="14" xr3:uid="{A38E2F83-EA2E-034E-9F2C-CBDAE1A8394C}" name="2g-hash-at-both" dataDxfId="130"/>
    <tableColumn id="15" xr3:uid="{122A5C2A-5464-254E-AA60-009654254BF4}" name="3g-hash-at-both" dataDxfId="129"/>
    <tableColumn id="16" xr3:uid="{17C91836-38FB-1546-8AA1-D3403095D3F2}" name="4g-hash-at-both" dataDxfId="128"/>
    <tableColumn id="17" xr3:uid="{2586412A-35BE-104F-BE43-2AB51C353015}" name="xsk2g-hash-at-both" dataDxfId="127"/>
    <tableColumn id="18" xr3:uid="{24B6DC3A-B6A8-DB4D-99C2-E9D96662CA5A}" name="xsk3g-hash-at-both" dataDxfId="126"/>
    <tableColumn id="19" xr3:uid="{2E8214D7-23FA-4E48-B011-2216688F5DF7}" name="xsk4g-hash-at-both" dataDxfId="125"/>
    <tableColumn id="20" xr3:uid="{20482D18-A9AE-CF44-BB7C-CC284EC7AB4C}" name="max" dataDxfId="124">
      <calculatedColumnFormula>MAX($H2:$S2)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3C7E255-3C98-6943-A016-670F1A986A31}" name="Table291113171915" displayName="Table291113171915" ref="B16:T20" totalsRowShown="0">
  <autoFilter ref="B16:T20" xr:uid="{A3C7E255-3C98-6943-A016-670F1A986A31}"/>
  <sortState xmlns:xlrd2="http://schemas.microsoft.com/office/spreadsheetml/2017/richdata2" ref="B17:T20">
    <sortCondition ref="B16:B20"/>
  </sortState>
  <tableColumns count="19">
    <tableColumn id="1" xr3:uid="{77958820-0CC0-5848-9C1C-38A79DC5E30F}" name="attribute.index"/>
    <tableColumn id="2" xr3:uid="{F6033B8A-6B80-1149-8967-F24F00EB46D4}" name="attribute"/>
    <tableColumn id="3" xr3:uid="{0331B73E-0707-8D40-94E0-2853AAFB3227}" name="supplemented"/>
    <tableColumn id="4" xr3:uid="{40421AB5-EB59-174A-8CFD-DFAF1FA38B78}" name="method.index"/>
    <tableColumn id="5" xr3:uid="{DAAC321C-61BC-F943-936D-0BFD4659A50C}" name="method"/>
    <tableColumn id="19" xr3:uid="{C46D00C4-28F5-EB46-A0E7-ED7557AAEA1A}" name="var" dataDxfId="42">
      <calculatedColumnFormula>_xlfn.TEXTJOIN("-",TRUE,Table291113171915[[#This Row],[attribute]],Table291113171915[[#This Row],[supplemented]],Table291113171915[[#This Row],[method]])</calculatedColumnFormula>
    </tableColumn>
    <tableColumn id="6" xr3:uid="{6A4173E2-E69B-754D-BD17-EACF7DCFE0D2}" name="2g-no-hash" dataDxfId="41">
      <calculatedColumnFormula array="1">_xlfn.LET(_xlpm.d,H$2:H$13,_xlpm.a,$C$2:$C$13=$C17,_xlpm.b,$D$2:$D$13=$D17,MAX(_xlfn._xlws.FILTER(_xlpm.d,_xlpm.a*_xlpm.b)))</calculatedColumnFormula>
    </tableColumn>
    <tableColumn id="7" xr3:uid="{E4C0B7B0-5972-A541-812B-FE097FEC006A}" name="3g-no-hash" dataDxfId="40">
      <calculatedColumnFormula array="1">_xlfn.LET(_xlpm.d,I$2:I$13,_xlpm.a,$C$2:$C$13=$C17,_xlpm.b,$D$2:$D$13=$D17,MAX(_xlfn._xlws.FILTER(_xlpm.d,_xlpm.a*_xlpm.b)))</calculatedColumnFormula>
    </tableColumn>
    <tableColumn id="8" xr3:uid="{DAB29C11-DD64-904E-8F89-ADE121A4C2C2}" name="4g-no-hash" dataDxfId="39">
      <calculatedColumnFormula array="1">_xlfn.LET(_xlpm.d,J$2:J$13,_xlpm.a,$C$2:$C$13=$C17,_xlpm.b,$D$2:$D$13=$D17,MAX(_xlfn._xlws.FILTER(_xlpm.d,_xlpm.a*_xlpm.b)))</calculatedColumnFormula>
    </tableColumn>
    <tableColumn id="9" xr3:uid="{19A118BB-ACF5-5741-AB53-9BB8BD605C45}" name="xsk2g-no-hash" dataDxfId="38">
      <calculatedColumnFormula array="1">_xlfn.LET(_xlpm.d,K$2:K$13,_xlpm.a,$C$2:$C$13=$C17,_xlpm.b,$D$2:$D$13=$D17,MAX(_xlfn._xlws.FILTER(_xlpm.d,_xlpm.a*_xlpm.b)))</calculatedColumnFormula>
    </tableColumn>
    <tableColumn id="10" xr3:uid="{1603DDEB-48F5-8C44-AD37-B0C16B8AE7D4}" name="xsk3g-no-hash" dataDxfId="37">
      <calculatedColumnFormula array="1">_xlfn.LET(_xlpm.d,L$2:L$13,_xlpm.a,$C$2:$C$13=$C17,_xlpm.b,$D$2:$D$13=$D17,MAX(_xlfn._xlws.FILTER(_xlpm.d,_xlpm.a*_xlpm.b)))</calculatedColumnFormula>
    </tableColumn>
    <tableColumn id="11" xr3:uid="{D8F781D8-E496-F94A-8D77-7BA78E5D1E3F}" name="xsk4g-no-hash" dataDxfId="36">
      <calculatedColumnFormula array="1">_xlfn.LET(_xlpm.d,M$2:M$13,_xlpm.a,$C$2:$C$13=$C17,_xlpm.b,$D$2:$D$13=$D17,MAX(_xlfn._xlws.FILTER(_xlpm.d,_xlpm.a*_xlpm.b)))</calculatedColumnFormula>
    </tableColumn>
    <tableColumn id="12" xr3:uid="{DB0F6E4E-D093-0C4A-92B3-04074C83178D}" name="2g-hash-at-both" dataDxfId="35">
      <calculatedColumnFormula array="1">_xlfn.LET(_xlpm.d,N$2:N$13,_xlpm.a,$C$2:$C$13=$C17,_xlpm.b,$D$2:$D$13=$D17,MAX(_xlfn._xlws.FILTER(_xlpm.d,_xlpm.a*_xlpm.b)))</calculatedColumnFormula>
    </tableColumn>
    <tableColumn id="13" xr3:uid="{14744C78-7FD1-CC4F-8ACD-B68637E8F58D}" name="3g-hash-at-both" dataDxfId="34">
      <calculatedColumnFormula array="1">_xlfn.LET(_xlpm.d,O$2:O$13,_xlpm.a,$C$2:$C$13=$C17,_xlpm.b,$D$2:$D$13=$D17,MAX(_xlfn._xlws.FILTER(_xlpm.d,_xlpm.a*_xlpm.b)))</calculatedColumnFormula>
    </tableColumn>
    <tableColumn id="14" xr3:uid="{319163CA-1863-0A49-A81F-1B582AC56827}" name="4g-hash-at-both" dataDxfId="33">
      <calculatedColumnFormula array="1">_xlfn.LET(_xlpm.d,P$2:P$13,_xlpm.a,$C$2:$C$13=$C17,_xlpm.b,$D$2:$D$13=$D17,MAX(_xlfn._xlws.FILTER(_xlpm.d,_xlpm.a*_xlpm.b)))</calculatedColumnFormula>
    </tableColumn>
    <tableColumn id="15" xr3:uid="{05881B13-E5C9-DD40-87BE-15B645376F26}" name="xsk2g-hash-at-both" dataDxfId="32">
      <calculatedColumnFormula array="1">_xlfn.LET(_xlpm.d,Q$2:Q$13,_xlpm.a,$C$2:$C$13=$C17,_xlpm.b,$D$2:$D$13=$D17,MAX(_xlfn._xlws.FILTER(_xlpm.d,_xlpm.a*_xlpm.b)))</calculatedColumnFormula>
    </tableColumn>
    <tableColumn id="16" xr3:uid="{B788D657-4D0C-D848-AEE0-85F7AE3AB4E5}" name="xsk3g-hash-at-both" dataDxfId="31">
      <calculatedColumnFormula array="1">_xlfn.LET(_xlpm.d,R$2:R$13,_xlpm.a,$C$2:$C$13=$C17,_xlpm.b,$D$2:$D$13=$D17,MAX(_xlfn._xlws.FILTER(_xlpm.d,_xlpm.a*_xlpm.b)))</calculatedColumnFormula>
    </tableColumn>
    <tableColumn id="17" xr3:uid="{6CE1AC4F-3D78-3649-A446-AFBF298C20C7}" name="xsk4g-hash-at-both" dataDxfId="30">
      <calculatedColumnFormula array="1">_xlfn.LET(_xlpm.d,S$2:S$13,_xlpm.a,$C$2:$C$13=$C17,_xlpm.b,$D$2:$D$13=$D17,MAX(_xlfn._xlws.FILTER(_xlpm.d,_xlpm.a*_xlpm.b)))</calculatedColumnFormula>
    </tableColumn>
    <tableColumn id="18" xr3:uid="{DB4A01A9-7667-C24B-B681-04ABAF577B50}" name="max" dataDxfId="29">
      <calculatedColumnFormula array="1">_xlfn.LET(_xlpm.d,T$2:T$13,_xlpm.a,$C$2:$C$13=$C17,_xlpm.b,$D$2:$D$13=$D17,MAX(_xlfn._xlws.FILTER(_xlpm.d,_xlpm.a*_xlpm.b)))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552FAC-25C9-244E-B553-9900FEF35248}" name="Table1" displayName="Table1" ref="A1:T13" totalsRowShown="0">
  <autoFilter ref="A1:T13" xr:uid="{C3552FAC-25C9-244E-B553-9900FEF35248}"/>
  <sortState xmlns:xlrd2="http://schemas.microsoft.com/office/spreadsheetml/2017/richdata2" ref="A2:T13">
    <sortCondition ref="B1:B13"/>
  </sortState>
  <tableColumns count="20">
    <tableColumn id="1" xr3:uid="{6E206A4F-53A3-994B-B791-59C8958B3348}" name="lang"/>
    <tableColumn id="2" xr3:uid="{CC480F8F-0DF4-DE4F-80E7-1267203F3471}" name="attribute.index"/>
    <tableColumn id="3" xr3:uid="{69EFAB0F-734A-2B49-934E-0E83FAAD1AD5}" name="attribute"/>
    <tableColumn id="4" xr3:uid="{1CE22F4F-070B-8E46-85AF-AE55BDD724DD}" name="supplement"/>
    <tableColumn id="5" xr3:uid="{F7A36D16-6A69-4C41-89B3-C02C053BF887}" name="method.index"/>
    <tableColumn id="6" xr3:uid="{89091EB9-9A0A-6448-BD26-EDB2F34693D5}" name="method"/>
    <tableColumn id="20" xr3:uid="{433C9F49-953F-9549-B9B4-7D729120FE0F}" name="Column1"/>
    <tableColumn id="7" xr3:uid="{01B85D7D-E22A-2241-A830-036A9A195291}" name="2g-no-hash" dataDxfId="149"/>
    <tableColumn id="8" xr3:uid="{7D584F0F-FE12-C44B-B200-111E7DE93A16}" name="3g-no-hash" dataDxfId="148"/>
    <tableColumn id="9" xr3:uid="{DC8B4AF5-8ED5-9149-97D1-412D63108E3C}" name="4g-no-hash" dataDxfId="147"/>
    <tableColumn id="10" xr3:uid="{7D0DF10E-1C70-D343-A5AD-7414645708B7}" name="xsk2g-no-hash" dataDxfId="146"/>
    <tableColumn id="11" xr3:uid="{7F34B605-8AA8-6D41-A4F9-7087D9CF3519}" name="xsk3g-no-hash" dataDxfId="145"/>
    <tableColumn id="12" xr3:uid="{6C0712A9-0DAC-744A-A04C-E5A9A0B80FA5}" name="xsk4g-no-hash" dataDxfId="144"/>
    <tableColumn id="13" xr3:uid="{B987905C-8115-CB4C-B936-B4C10EA1EA2A}" name="2g-hash-at-both" dataDxfId="143"/>
    <tableColumn id="14" xr3:uid="{A3C0D08B-3CCA-7447-9CE3-2534C8EF5542}" name="3g-hash-at-both" dataDxfId="142"/>
    <tableColumn id="15" xr3:uid="{E87B5EAB-CFC7-D142-B813-B4EF19FCAF65}" name="4g-hash-at-both" dataDxfId="141"/>
    <tableColumn id="16" xr3:uid="{1DC98C2F-99DE-A442-941F-EAC2A2C4C046}" name="xsk2g-hash-at-both" dataDxfId="140"/>
    <tableColumn id="17" xr3:uid="{7957921F-7C96-AC4F-B08C-10F96C0D0B47}" name="xsk3g-hash-at-both" dataDxfId="139"/>
    <tableColumn id="18" xr3:uid="{1FE04573-A9E7-7D44-8A7C-BF54375DADC1}" name="xsk4g-hash-at-both" dataDxfId="138"/>
    <tableColumn id="19" xr3:uid="{143659ED-70B5-BB46-B6AF-4CC37DC37965}" name="max" dataDxfId="137">
      <calculatedColumnFormula>MAX($H2:$S2)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8EA2263-E22F-1343-8025-5B11609547EB}" name="Table291113171916" displayName="Table291113171916" ref="B16:T20" totalsRowShown="0">
  <autoFilter ref="B16:T20" xr:uid="{18EA2263-E22F-1343-8025-5B11609547EB}"/>
  <sortState xmlns:xlrd2="http://schemas.microsoft.com/office/spreadsheetml/2017/richdata2" ref="B17:T20">
    <sortCondition ref="B16:B20"/>
  </sortState>
  <tableColumns count="19">
    <tableColumn id="1" xr3:uid="{E120C86B-2E89-5440-BA4F-74294979E191}" name="attribute.index"/>
    <tableColumn id="2" xr3:uid="{1BB31B57-1C54-1C4F-8137-ECD396DC7B5A}" name="attribute"/>
    <tableColumn id="3" xr3:uid="{B8C6BE2E-AD6F-FD46-9F53-0A01B7AAF9A7}" name="supplemented"/>
    <tableColumn id="4" xr3:uid="{F0F0004C-D687-B34D-AFA0-7FF48A7DA02F}" name="method.index"/>
    <tableColumn id="5" xr3:uid="{728190B7-D9E6-E24F-9FC9-869BA60B291F}" name="method"/>
    <tableColumn id="19" xr3:uid="{ACEF9509-D4FE-9747-94B2-6A0188B11364}" name="var" dataDxfId="28">
      <calculatedColumnFormula>_xlfn.TEXTJOIN("-",TRUE,Table291113171916[[#This Row],[attribute]],Table291113171916[[#This Row],[supplemented]],Table291113171916[[#This Row],[method]])</calculatedColumnFormula>
    </tableColumn>
    <tableColumn id="6" xr3:uid="{7E866797-3C2B-4643-AF2B-4FD37D999328}" name="2g-no-hash" dataDxfId="27">
      <calculatedColumnFormula array="1">_xlfn.LET(_xlpm.d,H$2:H$13,_xlpm.a,$C$2:$C$13=$C17,_xlpm.b,$D$2:$D$13=$D17,MAX(_xlfn._xlws.FILTER(_xlpm.d,_xlpm.a*_xlpm.b)))</calculatedColumnFormula>
    </tableColumn>
    <tableColumn id="7" xr3:uid="{DF4CFDD7-DE61-164A-B028-4AE81B266602}" name="3g-no-hash" dataDxfId="26">
      <calculatedColumnFormula array="1">_xlfn.LET(_xlpm.d,I$2:I$13,_xlpm.a,$C$2:$C$13=$C17,_xlpm.b,$D$2:$D$13=$D17,MAX(_xlfn._xlws.FILTER(_xlpm.d,_xlpm.a*_xlpm.b)))</calculatedColumnFormula>
    </tableColumn>
    <tableColumn id="8" xr3:uid="{5A2A4471-5AC7-FF49-B9CF-9E931D0A298B}" name="4g-no-hash" dataDxfId="25">
      <calculatedColumnFormula array="1">_xlfn.LET(_xlpm.d,J$2:J$13,_xlpm.a,$C$2:$C$13=$C17,_xlpm.b,$D$2:$D$13=$D17,MAX(_xlfn._xlws.FILTER(_xlpm.d,_xlpm.a*_xlpm.b)))</calculatedColumnFormula>
    </tableColumn>
    <tableColumn id="9" xr3:uid="{905ED114-10FA-F84A-AD02-9982032D1982}" name="xsk2g-no-hash" dataDxfId="24">
      <calculatedColumnFormula array="1">_xlfn.LET(_xlpm.d,K$2:K$13,_xlpm.a,$C$2:$C$13=$C17,_xlpm.b,$D$2:$D$13=$D17,MAX(_xlfn._xlws.FILTER(_xlpm.d,_xlpm.a*_xlpm.b)))</calculatedColumnFormula>
    </tableColumn>
    <tableColumn id="10" xr3:uid="{98935E91-7AA1-EC43-8032-A37F34B7F857}" name="xsk3g-no-hash" dataDxfId="23">
      <calculatedColumnFormula array="1">_xlfn.LET(_xlpm.d,L$2:L$13,_xlpm.a,$C$2:$C$13=$C17,_xlpm.b,$D$2:$D$13=$D17,MAX(_xlfn._xlws.FILTER(_xlpm.d,_xlpm.a*_xlpm.b)))</calculatedColumnFormula>
    </tableColumn>
    <tableColumn id="11" xr3:uid="{A2DF6F44-0AF6-184C-9AA3-678885CDD54E}" name="xsk4g-no-hash" dataDxfId="22">
      <calculatedColumnFormula array="1">_xlfn.LET(_xlpm.d,M$2:M$13,_xlpm.a,$C$2:$C$13=$C17,_xlpm.b,$D$2:$D$13=$D17,MAX(_xlfn._xlws.FILTER(_xlpm.d,_xlpm.a*_xlpm.b)))</calculatedColumnFormula>
    </tableColumn>
    <tableColumn id="12" xr3:uid="{B9C31EA2-3414-9D45-B5BC-B2EC2EC42E41}" name="2g-hash-at-both" dataDxfId="21">
      <calculatedColumnFormula array="1">_xlfn.LET(_xlpm.d,N$2:N$13,_xlpm.a,$C$2:$C$13=$C17,_xlpm.b,$D$2:$D$13=$D17,MAX(_xlfn._xlws.FILTER(_xlpm.d,_xlpm.a*_xlpm.b)))</calculatedColumnFormula>
    </tableColumn>
    <tableColumn id="13" xr3:uid="{619B4C9B-E574-1540-98DA-2D8398F41CFA}" name="3g-hash-at-both" dataDxfId="20">
      <calculatedColumnFormula array="1">_xlfn.LET(_xlpm.d,O$2:O$13,_xlpm.a,$C$2:$C$13=$C17,_xlpm.b,$D$2:$D$13=$D17,MAX(_xlfn._xlws.FILTER(_xlpm.d,_xlpm.a*_xlpm.b)))</calculatedColumnFormula>
    </tableColumn>
    <tableColumn id="14" xr3:uid="{B3A9FEBF-9A71-064E-8291-491AAAB6ED7A}" name="4g-hash-at-both" dataDxfId="19">
      <calculatedColumnFormula array="1">_xlfn.LET(_xlpm.d,P$2:P$13,_xlpm.a,$C$2:$C$13=$C17,_xlpm.b,$D$2:$D$13=$D17,MAX(_xlfn._xlws.FILTER(_xlpm.d,_xlpm.a*_xlpm.b)))</calculatedColumnFormula>
    </tableColumn>
    <tableColumn id="15" xr3:uid="{6749E117-B347-C248-840A-E670BB963BE0}" name="xsk2g-hash-at-both" dataDxfId="18">
      <calculatedColumnFormula array="1">_xlfn.LET(_xlpm.d,Q$2:Q$13,_xlpm.a,$C$2:$C$13=$C17,_xlpm.b,$D$2:$D$13=$D17,MAX(_xlfn._xlws.FILTER(_xlpm.d,_xlpm.a*_xlpm.b)))</calculatedColumnFormula>
    </tableColumn>
    <tableColumn id="16" xr3:uid="{AE2BC05A-0C51-C242-867F-810EC38E454F}" name="xsk3g-hash-at-both" dataDxfId="17">
      <calculatedColumnFormula array="1">_xlfn.LET(_xlpm.d,R$2:R$13,_xlpm.a,$C$2:$C$13=$C17,_xlpm.b,$D$2:$D$13=$D17,MAX(_xlfn._xlws.FILTER(_xlpm.d,_xlpm.a*_xlpm.b)))</calculatedColumnFormula>
    </tableColumn>
    <tableColumn id="17" xr3:uid="{097A0DE5-6D5C-3F49-9F57-471E17FC3F27}" name="xsk4g-hash-at-both" dataDxfId="16">
      <calculatedColumnFormula array="1">_xlfn.LET(_xlpm.d,S$2:S$13,_xlpm.a,$C$2:$C$13=$C17,_xlpm.b,$D$2:$D$13=$D17,MAX(_xlfn._xlws.FILTER(_xlpm.d,_xlpm.a*_xlpm.b)))</calculatedColumnFormula>
    </tableColumn>
    <tableColumn id="18" xr3:uid="{D726387D-10FD-8A49-8359-676FD1959F1E}" name="max" dataDxfId="15">
      <calculatedColumnFormula array="1">_xlfn.LET(_xlpm.d,T$2:T$13,_xlpm.a,$C$2:$C$13=$C17,_xlpm.b,$D$2:$D$13=$D17,MAX(_xlfn._xlws.FILTER(_xlpm.d,_xlpm.a*_xlpm.b)))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732BB-871C-A240-B53E-FE280F4A0177}">
  <dimension ref="A1:X25"/>
  <sheetViews>
    <sheetView workbookViewId="0"/>
  </sheetViews>
  <sheetFormatPr baseColWidth="10" defaultRowHeight="25" customHeight="1"/>
  <cols>
    <col min="1" max="4" width="7.5" customWidth="1"/>
    <col min="5" max="5" width="8.375" customWidth="1"/>
    <col min="6" max="6" width="10.375" customWidth="1"/>
    <col min="7" max="7" width="7.5" customWidth="1"/>
    <col min="8" max="8" width="8.125" customWidth="1"/>
    <col min="9" max="9" width="8.375" customWidth="1"/>
    <col min="10" max="10" width="24.375" customWidth="1"/>
    <col min="11" max="22" width="8.875" customWidth="1"/>
  </cols>
  <sheetData>
    <row r="1" spans="1:24" ht="25" customHeight="1">
      <c r="A1" t="s">
        <v>28</v>
      </c>
      <c r="B1" t="s">
        <v>29</v>
      </c>
      <c r="C1" t="s">
        <v>30</v>
      </c>
      <c r="D1" t="s">
        <v>31</v>
      </c>
      <c r="E1" t="s">
        <v>1</v>
      </c>
      <c r="F1" t="s">
        <v>2</v>
      </c>
      <c r="G1" t="s">
        <v>26</v>
      </c>
      <c r="H1" t="s">
        <v>4</v>
      </c>
      <c r="I1" t="s">
        <v>5</v>
      </c>
      <c r="J1" t="s">
        <v>27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32</v>
      </c>
    </row>
    <row r="2" spans="1:24" ht="25" hidden="1" customHeight="1">
      <c r="A2" t="s">
        <v>33</v>
      </c>
      <c r="B2" t="s">
        <v>34</v>
      </c>
      <c r="C2">
        <v>1.2</v>
      </c>
      <c r="D2">
        <v>9</v>
      </c>
      <c r="E2">
        <v>1</v>
      </c>
      <c r="F2" t="s">
        <v>23</v>
      </c>
      <c r="G2" t="b">
        <v>0</v>
      </c>
      <c r="H2">
        <v>0</v>
      </c>
      <c r="I2" t="s">
        <v>18</v>
      </c>
      <c r="J2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ml:NA-sn1.2k-plu-spl:F-mgv9</v>
      </c>
      <c r="K2" s="1">
        <v>0.93</v>
      </c>
      <c r="L2" s="1">
        <v>0.9</v>
      </c>
      <c r="M2" s="1">
        <v>0.92</v>
      </c>
      <c r="N2" s="1">
        <v>0.97</v>
      </c>
      <c r="O2" s="1">
        <v>0.96</v>
      </c>
      <c r="P2" s="1">
        <v>0.97</v>
      </c>
      <c r="Q2" s="1">
        <v>0.92</v>
      </c>
      <c r="R2" s="1">
        <v>0.88</v>
      </c>
      <c r="S2" s="1">
        <v>0.98</v>
      </c>
      <c r="T2" s="1">
        <v>0.94</v>
      </c>
      <c r="U2" s="1">
        <v>0.96</v>
      </c>
      <c r="V2" s="1">
        <v>0.95</v>
      </c>
      <c r="W2" s="1">
        <v>0.98</v>
      </c>
      <c r="X2" s="2">
        <f t="shared" ref="X2:X25" si="0">_xlfn.LET(_xlpm.d,$K2:$V2,GEOMEAN(_xlpm.d))</f>
        <v>0.93953350271557312</v>
      </c>
    </row>
    <row r="3" spans="1:24" ht="25" hidden="1" customHeight="1">
      <c r="A3" t="s">
        <v>33</v>
      </c>
      <c r="B3" t="s">
        <v>34</v>
      </c>
      <c r="C3">
        <v>1.2</v>
      </c>
      <c r="D3">
        <v>9</v>
      </c>
      <c r="E3">
        <v>1</v>
      </c>
      <c r="F3" t="s">
        <v>23</v>
      </c>
      <c r="G3" t="b">
        <v>1</v>
      </c>
      <c r="H3">
        <v>0</v>
      </c>
      <c r="I3" t="s">
        <v>18</v>
      </c>
      <c r="J3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ml:NA-sn1.2k-plu-spl:T-mgv9</v>
      </c>
      <c r="K3" s="1">
        <v>0.94</v>
      </c>
      <c r="L3" s="1">
        <v>0.92</v>
      </c>
      <c r="M3" s="1">
        <v>0.92</v>
      </c>
      <c r="N3" s="1">
        <v>0.97</v>
      </c>
      <c r="O3" s="1">
        <v>0.95</v>
      </c>
      <c r="P3" s="1">
        <v>0.96</v>
      </c>
      <c r="Q3" s="1">
        <v>0.89</v>
      </c>
      <c r="R3" s="1">
        <v>0.88</v>
      </c>
      <c r="S3" s="1">
        <v>0.96</v>
      </c>
      <c r="T3" s="1">
        <v>0.93</v>
      </c>
      <c r="U3" s="1">
        <v>0.97</v>
      </c>
      <c r="V3" s="1">
        <v>0.97</v>
      </c>
      <c r="W3" s="1">
        <v>0.97</v>
      </c>
      <c r="X3" s="2">
        <f t="shared" si="0"/>
        <v>0.93785716532879404</v>
      </c>
    </row>
    <row r="4" spans="1:24" ht="25" hidden="1" customHeight="1">
      <c r="A4" t="s">
        <v>33</v>
      </c>
      <c r="B4" t="s">
        <v>34</v>
      </c>
      <c r="C4">
        <v>1.2</v>
      </c>
      <c r="D4">
        <v>9</v>
      </c>
      <c r="E4">
        <v>2</v>
      </c>
      <c r="F4" t="s">
        <v>22</v>
      </c>
      <c r="G4" t="b">
        <v>0</v>
      </c>
      <c r="H4">
        <v>0</v>
      </c>
      <c r="I4" t="s">
        <v>18</v>
      </c>
      <c r="J4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ml:NA-sn1.2k-gen-spl:F-mgv9</v>
      </c>
      <c r="K4" s="1">
        <v>0.8</v>
      </c>
      <c r="L4" s="1">
        <v>0.79</v>
      </c>
      <c r="M4" s="1">
        <v>0.7</v>
      </c>
      <c r="N4" s="1">
        <v>0.73</v>
      </c>
      <c r="O4" s="1">
        <v>0.79</v>
      </c>
      <c r="P4" s="1">
        <v>0.73</v>
      </c>
      <c r="Q4" s="1">
        <v>0.78</v>
      </c>
      <c r="R4" s="1">
        <v>0.74</v>
      </c>
      <c r="S4" s="1">
        <v>0.74</v>
      </c>
      <c r="T4" s="1">
        <v>0.82</v>
      </c>
      <c r="U4" s="1">
        <v>0.75</v>
      </c>
      <c r="V4" s="1">
        <v>0.72</v>
      </c>
      <c r="W4" s="1">
        <v>0.82</v>
      </c>
      <c r="X4" s="2">
        <f t="shared" si="0"/>
        <v>0.75666642775608373</v>
      </c>
    </row>
    <row r="5" spans="1:24" ht="25" hidden="1" customHeight="1">
      <c r="A5" t="s">
        <v>33</v>
      </c>
      <c r="B5" t="s">
        <v>34</v>
      </c>
      <c r="C5">
        <v>1.2</v>
      </c>
      <c r="D5">
        <v>9</v>
      </c>
      <c r="E5">
        <v>2</v>
      </c>
      <c r="F5" t="s">
        <v>22</v>
      </c>
      <c r="G5" t="b">
        <v>1</v>
      </c>
      <c r="H5">
        <v>0</v>
      </c>
      <c r="I5" t="s">
        <v>18</v>
      </c>
      <c r="J5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ml:NA-sn1.2k-gen-spl:T-mgv9</v>
      </c>
      <c r="K5" s="1">
        <v>0.77</v>
      </c>
      <c r="L5" s="1">
        <v>0.8</v>
      </c>
      <c r="M5" s="1">
        <v>0.69</v>
      </c>
      <c r="N5" s="1">
        <v>0.75</v>
      </c>
      <c r="O5" s="1">
        <v>0.76</v>
      </c>
      <c r="P5" s="1">
        <v>0.75</v>
      </c>
      <c r="Q5" s="1">
        <v>0.73</v>
      </c>
      <c r="R5" s="1">
        <v>0.72</v>
      </c>
      <c r="S5" s="1">
        <v>0.71</v>
      </c>
      <c r="T5" s="1">
        <v>0.79</v>
      </c>
      <c r="U5" s="1">
        <v>0.76</v>
      </c>
      <c r="V5" s="1">
        <v>0.75</v>
      </c>
      <c r="W5" s="1">
        <v>0.8</v>
      </c>
      <c r="X5" s="2">
        <f t="shared" si="0"/>
        <v>0.74770760488523769</v>
      </c>
    </row>
    <row r="6" spans="1:24" ht="25" hidden="1" customHeight="1">
      <c r="A6" t="s">
        <v>33</v>
      </c>
      <c r="B6" t="s">
        <v>34</v>
      </c>
      <c r="C6">
        <v>2</v>
      </c>
      <c r="D6">
        <v>9</v>
      </c>
      <c r="E6">
        <v>1</v>
      </c>
      <c r="F6" t="s">
        <v>23</v>
      </c>
      <c r="G6" t="b">
        <v>0</v>
      </c>
      <c r="H6">
        <v>0</v>
      </c>
      <c r="I6" t="s">
        <v>18</v>
      </c>
      <c r="J6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ml:NA-sn2k-plu-spl:F-mgv9</v>
      </c>
      <c r="K6" s="1">
        <v>0.91</v>
      </c>
      <c r="L6" s="1">
        <v>0.92</v>
      </c>
      <c r="M6" s="1">
        <v>0.94</v>
      </c>
      <c r="N6" s="1">
        <v>0.98</v>
      </c>
      <c r="O6" s="1">
        <v>0.96</v>
      </c>
      <c r="P6" s="1">
        <v>0.95</v>
      </c>
      <c r="Q6" s="1">
        <v>0.89</v>
      </c>
      <c r="R6" s="1">
        <v>0.94</v>
      </c>
      <c r="S6" s="1">
        <v>0.93</v>
      </c>
      <c r="T6" s="1">
        <v>0.95</v>
      </c>
      <c r="U6" s="1">
        <v>0.97</v>
      </c>
      <c r="V6" s="1">
        <v>0.94</v>
      </c>
      <c r="W6" s="1">
        <v>0.98</v>
      </c>
      <c r="X6" s="2">
        <f t="shared" si="0"/>
        <v>0.93968760672020113</v>
      </c>
    </row>
    <row r="7" spans="1:24" ht="25" hidden="1" customHeight="1">
      <c r="A7" t="s">
        <v>33</v>
      </c>
      <c r="B7" t="s">
        <v>34</v>
      </c>
      <c r="C7">
        <v>2</v>
      </c>
      <c r="D7">
        <v>9</v>
      </c>
      <c r="E7">
        <v>1</v>
      </c>
      <c r="F7" t="s">
        <v>23</v>
      </c>
      <c r="G7" t="b">
        <v>1</v>
      </c>
      <c r="H7">
        <v>0</v>
      </c>
      <c r="I7" t="s">
        <v>18</v>
      </c>
      <c r="J7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ml:NA-sn2k-plu-spl:T-mgv9</v>
      </c>
      <c r="K7" s="1">
        <v>0.92</v>
      </c>
      <c r="L7" s="1">
        <v>0.91</v>
      </c>
      <c r="M7" s="1">
        <v>0.93</v>
      </c>
      <c r="N7" s="1">
        <v>0.98</v>
      </c>
      <c r="O7" s="1">
        <v>0.97</v>
      </c>
      <c r="P7" s="1">
        <v>0.94</v>
      </c>
      <c r="Q7" s="1">
        <v>0.92</v>
      </c>
      <c r="R7" s="1">
        <v>0.94</v>
      </c>
      <c r="S7" s="1">
        <v>0.93</v>
      </c>
      <c r="T7" s="1">
        <v>0.95</v>
      </c>
      <c r="U7" s="1">
        <v>0.98</v>
      </c>
      <c r="V7" s="1">
        <v>0.94</v>
      </c>
      <c r="W7" s="1">
        <v>0.98</v>
      </c>
      <c r="X7" s="2">
        <f t="shared" si="0"/>
        <v>0.94223557986437312</v>
      </c>
    </row>
    <row r="8" spans="1:24" ht="25" hidden="1" customHeight="1">
      <c r="A8" t="s">
        <v>33</v>
      </c>
      <c r="B8" t="s">
        <v>34</v>
      </c>
      <c r="C8">
        <v>2</v>
      </c>
      <c r="D8">
        <v>9</v>
      </c>
      <c r="E8">
        <v>2</v>
      </c>
      <c r="F8" t="s">
        <v>22</v>
      </c>
      <c r="G8" t="b">
        <v>0</v>
      </c>
      <c r="H8">
        <v>0</v>
      </c>
      <c r="I8" t="s">
        <v>18</v>
      </c>
      <c r="J8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ml:NA-sn2k-gen-spl:F-mgv9</v>
      </c>
      <c r="K8" s="1">
        <v>0.8</v>
      </c>
      <c r="L8" s="1">
        <v>0.81</v>
      </c>
      <c r="M8" s="1">
        <v>0.78</v>
      </c>
      <c r="N8" s="1">
        <v>0.78</v>
      </c>
      <c r="O8" s="1">
        <v>0.76</v>
      </c>
      <c r="P8" s="1">
        <v>0.76</v>
      </c>
      <c r="Q8" s="1">
        <v>0.8</v>
      </c>
      <c r="R8" s="1">
        <v>0.79</v>
      </c>
      <c r="S8" s="1">
        <v>0.8</v>
      </c>
      <c r="T8" s="1">
        <v>0.78</v>
      </c>
      <c r="U8" s="1">
        <v>0.8</v>
      </c>
      <c r="V8" s="1">
        <v>0.8</v>
      </c>
      <c r="W8" s="1">
        <v>0.81</v>
      </c>
      <c r="X8" s="2">
        <f t="shared" si="0"/>
        <v>0.78817517734212839</v>
      </c>
    </row>
    <row r="9" spans="1:24" ht="25" customHeight="1">
      <c r="A9" t="s">
        <v>33</v>
      </c>
      <c r="B9" t="s">
        <v>34</v>
      </c>
      <c r="C9">
        <v>2</v>
      </c>
      <c r="D9">
        <v>9</v>
      </c>
      <c r="E9">
        <v>2</v>
      </c>
      <c r="F9" t="s">
        <v>22</v>
      </c>
      <c r="G9" t="b">
        <v>1</v>
      </c>
      <c r="H9">
        <v>0</v>
      </c>
      <c r="I9" t="s">
        <v>18</v>
      </c>
      <c r="J9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ml:NA-sn2k-gen-spl:T-mgv9</v>
      </c>
      <c r="K9" s="1">
        <v>0.8</v>
      </c>
      <c r="L9" s="1">
        <v>0.83</v>
      </c>
      <c r="M9" s="1">
        <v>0.78</v>
      </c>
      <c r="N9" s="1">
        <v>0.81</v>
      </c>
      <c r="O9" s="1">
        <v>0.77</v>
      </c>
      <c r="P9" s="1">
        <v>0.78</v>
      </c>
      <c r="Q9" s="1">
        <v>0.81</v>
      </c>
      <c r="R9" s="1">
        <v>0.77</v>
      </c>
      <c r="S9" s="1">
        <v>0.81</v>
      </c>
      <c r="T9" s="1">
        <v>0.82</v>
      </c>
      <c r="U9" s="1">
        <v>0.8</v>
      </c>
      <c r="V9" s="1">
        <v>0.81</v>
      </c>
      <c r="W9" s="1">
        <v>0.83</v>
      </c>
      <c r="X9" s="2">
        <f t="shared" si="0"/>
        <v>0.79894194190342138</v>
      </c>
    </row>
    <row r="10" spans="1:24" ht="25" hidden="1" customHeight="1">
      <c r="A10">
        <v>2</v>
      </c>
      <c r="B10" t="s">
        <v>34</v>
      </c>
      <c r="C10">
        <v>1.2</v>
      </c>
      <c r="D10">
        <v>9</v>
      </c>
      <c r="E10">
        <v>1</v>
      </c>
      <c r="F10" t="s">
        <v>23</v>
      </c>
      <c r="G10" t="b">
        <v>0</v>
      </c>
      <c r="H10">
        <v>0</v>
      </c>
      <c r="I10" t="s">
        <v>18</v>
      </c>
      <c r="J10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ml:2-sn1.2k-plu-spl:F-mgv9</v>
      </c>
      <c r="K10" s="1">
        <v>0.93</v>
      </c>
      <c r="L10" s="1">
        <v>0.9</v>
      </c>
      <c r="M10" s="1">
        <v>0.91</v>
      </c>
      <c r="N10" s="1">
        <v>0.97</v>
      </c>
      <c r="O10" s="1">
        <v>0.98</v>
      </c>
      <c r="P10" s="1">
        <v>0.92</v>
      </c>
      <c r="Q10" s="1">
        <v>0.83</v>
      </c>
      <c r="R10" s="1">
        <v>0.94</v>
      </c>
      <c r="S10" s="1">
        <v>0.89</v>
      </c>
      <c r="T10" s="1">
        <v>0.94</v>
      </c>
      <c r="U10" s="1">
        <v>0.99</v>
      </c>
      <c r="V10" s="1">
        <v>0.95</v>
      </c>
      <c r="W10" s="1">
        <v>0.99</v>
      </c>
      <c r="X10" s="2">
        <f t="shared" si="0"/>
        <v>0.92818865918793503</v>
      </c>
    </row>
    <row r="11" spans="1:24" ht="25" hidden="1" customHeight="1">
      <c r="A11">
        <v>2</v>
      </c>
      <c r="B11" t="s">
        <v>34</v>
      </c>
      <c r="C11">
        <v>1.2</v>
      </c>
      <c r="D11">
        <v>9</v>
      </c>
      <c r="E11">
        <v>1</v>
      </c>
      <c r="F11" t="s">
        <v>23</v>
      </c>
      <c r="G11" t="b">
        <v>1</v>
      </c>
      <c r="H11">
        <v>0</v>
      </c>
      <c r="I11" t="s">
        <v>18</v>
      </c>
      <c r="J11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ml:2-sn1.2k-plu-spl:T-mgv9</v>
      </c>
      <c r="K11" s="1">
        <v>0.93</v>
      </c>
      <c r="L11" s="1">
        <v>0.92</v>
      </c>
      <c r="M11" s="1">
        <v>0.92</v>
      </c>
      <c r="N11" s="1">
        <v>0.95</v>
      </c>
      <c r="O11" s="1">
        <v>0.97</v>
      </c>
      <c r="P11" s="1">
        <v>0.91</v>
      </c>
      <c r="Q11" s="1">
        <v>0.86</v>
      </c>
      <c r="R11" s="1">
        <v>0.94</v>
      </c>
      <c r="S11" s="1">
        <v>0.87</v>
      </c>
      <c r="T11" s="1">
        <v>0.95</v>
      </c>
      <c r="U11" s="1">
        <v>0.98</v>
      </c>
      <c r="V11" s="1">
        <v>0.95</v>
      </c>
      <c r="W11" s="1">
        <v>0.98</v>
      </c>
      <c r="X11" s="2">
        <f t="shared" si="0"/>
        <v>0.9285055732866988</v>
      </c>
    </row>
    <row r="12" spans="1:24" ht="25" hidden="1" customHeight="1">
      <c r="A12">
        <v>2</v>
      </c>
      <c r="B12" t="s">
        <v>34</v>
      </c>
      <c r="C12">
        <v>1.2</v>
      </c>
      <c r="D12">
        <v>9</v>
      </c>
      <c r="E12">
        <v>2</v>
      </c>
      <c r="F12" t="s">
        <v>22</v>
      </c>
      <c r="G12" t="b">
        <v>0</v>
      </c>
      <c r="H12">
        <v>0</v>
      </c>
      <c r="I12" t="s">
        <v>18</v>
      </c>
      <c r="J12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ml:2-sn1.2k-gen-spl:F-mgv9</v>
      </c>
      <c r="K12" s="2">
        <v>0.78</v>
      </c>
      <c r="L12" s="2">
        <v>0.78</v>
      </c>
      <c r="M12" s="2">
        <v>0.75</v>
      </c>
      <c r="N12" s="2">
        <v>0.74</v>
      </c>
      <c r="O12" s="2">
        <v>0.78</v>
      </c>
      <c r="P12" s="2">
        <v>0.78</v>
      </c>
      <c r="Q12" s="2">
        <v>0.76</v>
      </c>
      <c r="R12" s="2">
        <v>0.78</v>
      </c>
      <c r="S12" s="2">
        <v>0.78</v>
      </c>
      <c r="T12" s="2">
        <v>0.7</v>
      </c>
      <c r="U12" s="2">
        <v>0.76</v>
      </c>
      <c r="V12" s="2">
        <v>0.82</v>
      </c>
      <c r="W12" s="2">
        <v>0.82</v>
      </c>
      <c r="X12" s="2">
        <f t="shared" si="0"/>
        <v>0.76697870558153936</v>
      </c>
    </row>
    <row r="13" spans="1:24" ht="25" hidden="1" customHeight="1">
      <c r="A13">
        <v>2</v>
      </c>
      <c r="B13" t="s">
        <v>34</v>
      </c>
      <c r="C13">
        <v>1.2</v>
      </c>
      <c r="D13">
        <v>9</v>
      </c>
      <c r="E13">
        <v>2</v>
      </c>
      <c r="F13" t="s">
        <v>22</v>
      </c>
      <c r="G13" t="b">
        <v>1</v>
      </c>
      <c r="H13">
        <v>0</v>
      </c>
      <c r="I13" t="s">
        <v>18</v>
      </c>
      <c r="J13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ml:2-sn1.2k-gen-spl:T-mgv9</v>
      </c>
      <c r="K13" s="2">
        <v>0.82</v>
      </c>
      <c r="L13" s="2">
        <v>0.8</v>
      </c>
      <c r="M13" s="2">
        <v>0.8</v>
      </c>
      <c r="N13" s="2">
        <v>0.77</v>
      </c>
      <c r="O13" s="2">
        <v>0.72</v>
      </c>
      <c r="P13" s="2">
        <v>0.79</v>
      </c>
      <c r="Q13" s="2">
        <v>0.73</v>
      </c>
      <c r="R13" s="2">
        <v>0.82</v>
      </c>
      <c r="S13" s="2">
        <v>0.79</v>
      </c>
      <c r="T13" s="2">
        <v>0.7</v>
      </c>
      <c r="U13" s="2">
        <v>0.79</v>
      </c>
      <c r="V13" s="2">
        <v>0.78</v>
      </c>
      <c r="W13" s="2">
        <v>0.82</v>
      </c>
      <c r="X13" s="2">
        <f t="shared" si="0"/>
        <v>0.77491185752813041</v>
      </c>
    </row>
    <row r="14" spans="1:24" ht="25" hidden="1" customHeight="1">
      <c r="A14">
        <v>2</v>
      </c>
      <c r="B14" t="s">
        <v>34</v>
      </c>
      <c r="C14">
        <v>2</v>
      </c>
      <c r="D14">
        <v>9</v>
      </c>
      <c r="E14">
        <v>1</v>
      </c>
      <c r="F14" t="s">
        <v>23</v>
      </c>
      <c r="G14" t="b">
        <v>0</v>
      </c>
      <c r="H14">
        <v>0</v>
      </c>
      <c r="I14" t="s">
        <v>18</v>
      </c>
      <c r="J14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ml:2-sn2k-plu-spl:F-mgv9</v>
      </c>
      <c r="K14" s="1">
        <v>0.9</v>
      </c>
      <c r="L14" s="1">
        <v>0.95</v>
      </c>
      <c r="M14" s="1">
        <v>0.95</v>
      </c>
      <c r="N14" s="1">
        <v>0.96</v>
      </c>
      <c r="O14" s="1">
        <v>0.95</v>
      </c>
      <c r="P14" s="1">
        <v>0.94</v>
      </c>
      <c r="Q14" s="1">
        <v>0.95</v>
      </c>
      <c r="R14" s="1">
        <v>0.94</v>
      </c>
      <c r="S14" s="1">
        <v>0.94</v>
      </c>
      <c r="T14" s="1">
        <v>0.95</v>
      </c>
      <c r="U14" s="1">
        <v>0.94</v>
      </c>
      <c r="V14" s="1">
        <v>0.96</v>
      </c>
      <c r="W14" s="1">
        <v>0.96</v>
      </c>
      <c r="X14" s="2">
        <f t="shared" si="0"/>
        <v>0.9440453730761742</v>
      </c>
    </row>
    <row r="15" spans="1:24" ht="25" hidden="1" customHeight="1">
      <c r="A15">
        <v>2</v>
      </c>
      <c r="B15" t="s">
        <v>34</v>
      </c>
      <c r="C15">
        <v>2</v>
      </c>
      <c r="D15">
        <v>9</v>
      </c>
      <c r="E15">
        <v>1</v>
      </c>
      <c r="F15" t="s">
        <v>23</v>
      </c>
      <c r="G15" t="b">
        <v>1</v>
      </c>
      <c r="H15">
        <v>0</v>
      </c>
      <c r="I15" t="s">
        <v>18</v>
      </c>
      <c r="J15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ml:2-sn2k-plu-spl:T-mgv9</v>
      </c>
      <c r="K15" s="1">
        <v>0.91</v>
      </c>
      <c r="L15" s="1">
        <v>0.94</v>
      </c>
      <c r="M15" s="1">
        <v>0.94</v>
      </c>
      <c r="N15" s="1">
        <v>0.96</v>
      </c>
      <c r="O15" s="1">
        <v>0.94</v>
      </c>
      <c r="P15" s="1">
        <v>0.96</v>
      </c>
      <c r="Q15" s="1">
        <v>0.94</v>
      </c>
      <c r="R15" s="1">
        <v>0.95</v>
      </c>
      <c r="S15" s="1">
        <v>0.94</v>
      </c>
      <c r="T15" s="1">
        <v>0.95</v>
      </c>
      <c r="U15" s="1">
        <v>0.94</v>
      </c>
      <c r="V15" s="1">
        <v>0.93</v>
      </c>
      <c r="W15" s="1">
        <v>0.96</v>
      </c>
      <c r="X15" s="2">
        <f t="shared" si="0"/>
        <v>0.94157899502169662</v>
      </c>
    </row>
    <row r="16" spans="1:24" ht="25" hidden="1" customHeight="1">
      <c r="A16">
        <v>2</v>
      </c>
      <c r="B16" t="s">
        <v>34</v>
      </c>
      <c r="C16">
        <v>2</v>
      </c>
      <c r="D16">
        <v>9</v>
      </c>
      <c r="E16">
        <v>2</v>
      </c>
      <c r="F16" t="s">
        <v>22</v>
      </c>
      <c r="G16" t="b">
        <v>0</v>
      </c>
      <c r="H16">
        <v>0</v>
      </c>
      <c r="I16" t="s">
        <v>18</v>
      </c>
      <c r="J16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ml:2-sn2k-gen-spl:F-mgv9</v>
      </c>
      <c r="K16" s="2">
        <v>0.76</v>
      </c>
      <c r="L16" s="2">
        <v>0.81</v>
      </c>
      <c r="M16" s="2">
        <v>0.79</v>
      </c>
      <c r="N16" s="2">
        <v>0.75</v>
      </c>
      <c r="O16" s="2">
        <v>0.8</v>
      </c>
      <c r="P16" s="2">
        <v>0.84</v>
      </c>
      <c r="Q16" s="2">
        <v>0.79</v>
      </c>
      <c r="R16" s="2">
        <v>0.81</v>
      </c>
      <c r="S16" s="2">
        <v>0.79</v>
      </c>
      <c r="T16" s="2">
        <v>0.77</v>
      </c>
      <c r="U16" s="2">
        <v>0.79</v>
      </c>
      <c r="V16" s="2">
        <v>0.8</v>
      </c>
      <c r="W16" s="2">
        <v>0.84</v>
      </c>
      <c r="X16" s="2">
        <f t="shared" si="0"/>
        <v>0.79133177315465819</v>
      </c>
    </row>
    <row r="17" spans="1:24" ht="25" customHeight="1">
      <c r="A17">
        <v>2</v>
      </c>
      <c r="B17" t="s">
        <v>34</v>
      </c>
      <c r="C17">
        <v>2</v>
      </c>
      <c r="D17">
        <v>9</v>
      </c>
      <c r="E17">
        <v>2</v>
      </c>
      <c r="F17" t="s">
        <v>22</v>
      </c>
      <c r="G17" t="b">
        <v>1</v>
      </c>
      <c r="H17">
        <v>0</v>
      </c>
      <c r="I17" t="s">
        <v>18</v>
      </c>
      <c r="J17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ml:2-sn2k-gen-spl:T-mgv9</v>
      </c>
      <c r="K17" s="2">
        <v>0.77</v>
      </c>
      <c r="L17" s="2">
        <v>0.81</v>
      </c>
      <c r="M17" s="2">
        <v>0.85</v>
      </c>
      <c r="N17" s="2">
        <v>0.77</v>
      </c>
      <c r="O17" s="2">
        <v>0.8</v>
      </c>
      <c r="P17" s="2">
        <v>0.83</v>
      </c>
      <c r="Q17" s="2">
        <v>0.8</v>
      </c>
      <c r="R17" s="2">
        <v>0.81</v>
      </c>
      <c r="S17" s="2">
        <v>0.82</v>
      </c>
      <c r="T17" s="2">
        <v>0.77</v>
      </c>
      <c r="U17" s="2">
        <v>0.8</v>
      </c>
      <c r="V17" s="2">
        <v>0.81</v>
      </c>
      <c r="W17" s="2">
        <v>0.85</v>
      </c>
      <c r="X17" s="2">
        <f t="shared" si="0"/>
        <v>0.80298790782904961</v>
      </c>
    </row>
    <row r="18" spans="1:24" ht="25" hidden="1" customHeight="1">
      <c r="A18">
        <v>3</v>
      </c>
      <c r="B18" t="s">
        <v>34</v>
      </c>
      <c r="C18">
        <v>1.2</v>
      </c>
      <c r="D18">
        <v>9</v>
      </c>
      <c r="E18">
        <v>1</v>
      </c>
      <c r="F18" t="s">
        <v>23</v>
      </c>
      <c r="G18" t="b">
        <v>0</v>
      </c>
      <c r="H18">
        <v>0</v>
      </c>
      <c r="I18" t="s">
        <v>18</v>
      </c>
      <c r="J18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ml:3-sn1.2k-plu-spl:F-mgv9</v>
      </c>
      <c r="K18" s="1">
        <v>0.92</v>
      </c>
      <c r="L18" s="1">
        <v>0.96</v>
      </c>
      <c r="M18" s="1">
        <v>0.95</v>
      </c>
      <c r="N18" s="1">
        <v>0.96</v>
      </c>
      <c r="O18" s="1">
        <v>0.98</v>
      </c>
      <c r="P18" s="1">
        <v>0.97</v>
      </c>
      <c r="Q18" s="1">
        <v>0.97</v>
      </c>
      <c r="R18" s="1">
        <v>0.93</v>
      </c>
      <c r="S18" s="1">
        <v>0.93</v>
      </c>
      <c r="T18" s="1">
        <v>0.98</v>
      </c>
      <c r="U18" s="1">
        <v>0.96</v>
      </c>
      <c r="V18" s="1">
        <v>0.95</v>
      </c>
      <c r="W18" s="1">
        <v>0.95</v>
      </c>
      <c r="X18" s="2">
        <f t="shared" si="0"/>
        <v>0.95481123628463538</v>
      </c>
    </row>
    <row r="19" spans="1:24" ht="25" hidden="1" customHeight="1">
      <c r="A19">
        <v>3</v>
      </c>
      <c r="B19" t="s">
        <v>34</v>
      </c>
      <c r="C19">
        <v>1.2</v>
      </c>
      <c r="D19">
        <v>9</v>
      </c>
      <c r="E19">
        <v>1</v>
      </c>
      <c r="F19" t="s">
        <v>23</v>
      </c>
      <c r="G19" t="b">
        <v>1</v>
      </c>
      <c r="H19">
        <v>0</v>
      </c>
      <c r="I19" t="s">
        <v>18</v>
      </c>
      <c r="J19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ml:3-sn1.2k-plu-spl:T-mgv9</v>
      </c>
      <c r="K19" s="1">
        <v>0.96</v>
      </c>
      <c r="L19" s="1">
        <v>0.94</v>
      </c>
      <c r="M19" s="1">
        <v>0.93</v>
      </c>
      <c r="N19" s="1">
        <v>0.97</v>
      </c>
      <c r="O19" s="1">
        <v>0.95</v>
      </c>
      <c r="P19" s="1">
        <v>0.98</v>
      </c>
      <c r="Q19" s="1">
        <v>0.95</v>
      </c>
      <c r="R19" s="1">
        <v>0.95</v>
      </c>
      <c r="S19" s="1">
        <v>0.93</v>
      </c>
      <c r="T19" s="1">
        <v>0.98</v>
      </c>
      <c r="U19" s="1">
        <v>0.95</v>
      </c>
      <c r="V19" s="1">
        <v>0.96</v>
      </c>
      <c r="W19" s="1">
        <v>0.96</v>
      </c>
      <c r="X19" s="2">
        <f t="shared" si="0"/>
        <v>0.95403185716038019</v>
      </c>
    </row>
    <row r="20" spans="1:24" ht="25" hidden="1" customHeight="1">
      <c r="A20">
        <v>3</v>
      </c>
      <c r="B20" t="s">
        <v>34</v>
      </c>
      <c r="C20">
        <v>1.2</v>
      </c>
      <c r="D20">
        <v>9</v>
      </c>
      <c r="E20">
        <v>2</v>
      </c>
      <c r="F20" t="s">
        <v>22</v>
      </c>
      <c r="G20" t="b">
        <v>0</v>
      </c>
      <c r="H20">
        <v>0</v>
      </c>
      <c r="I20" t="s">
        <v>18</v>
      </c>
      <c r="J20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ml:3-sn1.2k-gen-spl:F-mgv9</v>
      </c>
      <c r="K20" s="2">
        <v>0.76</v>
      </c>
      <c r="L20" s="2">
        <v>0.79</v>
      </c>
      <c r="M20" s="2">
        <v>0.74</v>
      </c>
      <c r="N20" s="2">
        <v>0.79</v>
      </c>
      <c r="O20" s="2">
        <v>0.82</v>
      </c>
      <c r="P20" s="2">
        <v>0.82</v>
      </c>
      <c r="Q20" s="2">
        <v>0.79</v>
      </c>
      <c r="R20" s="2">
        <v>0.78</v>
      </c>
      <c r="S20" s="2">
        <v>0.81</v>
      </c>
      <c r="T20" s="2">
        <v>0.78</v>
      </c>
      <c r="U20" s="2">
        <v>0.72</v>
      </c>
      <c r="V20" s="2">
        <v>0.79</v>
      </c>
      <c r="W20" s="2">
        <v>0.79</v>
      </c>
      <c r="X20" s="2">
        <f t="shared" si="0"/>
        <v>0.78195604594977697</v>
      </c>
    </row>
    <row r="21" spans="1:24" ht="25" hidden="1" customHeight="1">
      <c r="A21">
        <v>3</v>
      </c>
      <c r="B21" t="s">
        <v>34</v>
      </c>
      <c r="C21">
        <v>1.2</v>
      </c>
      <c r="D21">
        <v>9</v>
      </c>
      <c r="E21">
        <v>2</v>
      </c>
      <c r="F21" t="s">
        <v>22</v>
      </c>
      <c r="G21" t="b">
        <v>1</v>
      </c>
      <c r="H21">
        <v>0</v>
      </c>
      <c r="I21" t="s">
        <v>18</v>
      </c>
      <c r="J21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ml:3-sn1.2k-gen-spl:T-mgv9</v>
      </c>
      <c r="K21" s="2">
        <v>0.77</v>
      </c>
      <c r="L21" s="2">
        <v>0.8</v>
      </c>
      <c r="M21" s="2">
        <v>0.77</v>
      </c>
      <c r="N21" s="2">
        <v>0.82</v>
      </c>
      <c r="O21" s="2">
        <v>0.84</v>
      </c>
      <c r="P21" s="2">
        <v>0.79</v>
      </c>
      <c r="Q21" s="2">
        <v>0.82</v>
      </c>
      <c r="R21" s="2">
        <v>0.78</v>
      </c>
      <c r="S21" s="2">
        <v>0.81</v>
      </c>
      <c r="T21" s="2">
        <v>0.79</v>
      </c>
      <c r="U21" s="2">
        <v>0.72</v>
      </c>
      <c r="V21" s="2">
        <v>0.78</v>
      </c>
      <c r="W21" s="2">
        <v>0.78</v>
      </c>
      <c r="X21" s="2">
        <f t="shared" si="0"/>
        <v>0.79025989837357258</v>
      </c>
    </row>
    <row r="22" spans="1:24" ht="25" hidden="1" customHeight="1">
      <c r="A22">
        <v>3</v>
      </c>
      <c r="B22" t="s">
        <v>34</v>
      </c>
      <c r="C22">
        <v>2</v>
      </c>
      <c r="D22">
        <v>9</v>
      </c>
      <c r="E22">
        <v>1</v>
      </c>
      <c r="F22" t="s">
        <v>23</v>
      </c>
      <c r="G22" t="b">
        <v>0</v>
      </c>
      <c r="H22">
        <v>0</v>
      </c>
      <c r="I22" t="s">
        <v>18</v>
      </c>
      <c r="J22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ml:3-sn2k-plu-spl:F-mgv9</v>
      </c>
      <c r="K22" s="1">
        <v>0.94</v>
      </c>
      <c r="L22" s="1">
        <v>0.94</v>
      </c>
      <c r="M22" s="1">
        <v>0.94</v>
      </c>
      <c r="N22" s="1">
        <v>0.99</v>
      </c>
      <c r="O22" s="1">
        <v>0.97</v>
      </c>
      <c r="P22" s="1">
        <v>0.96</v>
      </c>
      <c r="Q22" s="1">
        <v>0.93</v>
      </c>
      <c r="R22" s="1">
        <v>0.93</v>
      </c>
      <c r="S22" s="1">
        <v>0.91</v>
      </c>
      <c r="T22" s="1">
        <v>0.96</v>
      </c>
      <c r="U22" s="1">
        <v>0.95</v>
      </c>
      <c r="V22" s="1">
        <v>0.93</v>
      </c>
      <c r="W22" s="1">
        <v>0.99</v>
      </c>
      <c r="X22" s="2">
        <f t="shared" si="0"/>
        <v>0.94561038527193675</v>
      </c>
    </row>
    <row r="23" spans="1:24" ht="25" hidden="1" customHeight="1">
      <c r="A23">
        <v>3</v>
      </c>
      <c r="B23" t="s">
        <v>34</v>
      </c>
      <c r="C23">
        <v>2</v>
      </c>
      <c r="D23">
        <v>9</v>
      </c>
      <c r="E23">
        <v>1</v>
      </c>
      <c r="F23" t="s">
        <v>23</v>
      </c>
      <c r="G23" t="b">
        <v>1</v>
      </c>
      <c r="H23">
        <v>0</v>
      </c>
      <c r="I23" t="s">
        <v>18</v>
      </c>
      <c r="J23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ml:3-sn2k-plu-spl:T-mgv9</v>
      </c>
      <c r="K23" s="1">
        <v>0.92</v>
      </c>
      <c r="L23" s="1">
        <v>0.94</v>
      </c>
      <c r="M23" s="1">
        <v>0.95</v>
      </c>
      <c r="N23" s="1">
        <v>0.96</v>
      </c>
      <c r="O23" s="1">
        <v>0.98</v>
      </c>
      <c r="P23" s="1">
        <v>0.95</v>
      </c>
      <c r="Q23" s="1">
        <v>0.9</v>
      </c>
      <c r="R23" s="1">
        <v>0.93</v>
      </c>
      <c r="S23" s="1">
        <v>0.92</v>
      </c>
      <c r="T23" s="1">
        <v>0.97</v>
      </c>
      <c r="U23" s="1">
        <v>0.94</v>
      </c>
      <c r="V23" s="1">
        <v>0.94</v>
      </c>
      <c r="W23" s="1">
        <v>0.98</v>
      </c>
      <c r="X23" s="2">
        <f t="shared" si="0"/>
        <v>0.94141997864660987</v>
      </c>
    </row>
    <row r="24" spans="1:24" ht="25" hidden="1" customHeight="1">
      <c r="A24">
        <v>3</v>
      </c>
      <c r="B24" t="s">
        <v>34</v>
      </c>
      <c r="C24">
        <v>2</v>
      </c>
      <c r="D24">
        <v>9</v>
      </c>
      <c r="E24">
        <v>2</v>
      </c>
      <c r="F24" t="s">
        <v>22</v>
      </c>
      <c r="G24" t="b">
        <v>0</v>
      </c>
      <c r="H24">
        <v>0</v>
      </c>
      <c r="I24" t="s">
        <v>18</v>
      </c>
      <c r="J24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ml:3-sn2k-gen-spl:F-mgv9</v>
      </c>
      <c r="K24" s="2">
        <v>0.74</v>
      </c>
      <c r="L24" s="2">
        <v>0.8</v>
      </c>
      <c r="M24" s="2">
        <v>0.77</v>
      </c>
      <c r="N24" s="2">
        <v>0.82</v>
      </c>
      <c r="O24" s="2">
        <v>0.81</v>
      </c>
      <c r="P24" s="2">
        <v>0.8</v>
      </c>
      <c r="Q24" s="2">
        <v>0.78</v>
      </c>
      <c r="R24" s="2">
        <v>0.8</v>
      </c>
      <c r="S24" s="2">
        <v>0.79</v>
      </c>
      <c r="T24" s="2">
        <v>0.81</v>
      </c>
      <c r="U24" s="2">
        <v>0.85</v>
      </c>
      <c r="V24" s="2">
        <v>0.79</v>
      </c>
      <c r="W24" s="2">
        <v>0.85</v>
      </c>
      <c r="X24" s="2">
        <f t="shared" si="0"/>
        <v>0.7962424620095655</v>
      </c>
    </row>
    <row r="25" spans="1:24" ht="25" customHeight="1">
      <c r="A25">
        <v>3</v>
      </c>
      <c r="B25" t="s">
        <v>34</v>
      </c>
      <c r="C25">
        <v>2</v>
      </c>
      <c r="D25">
        <v>9</v>
      </c>
      <c r="E25">
        <v>2</v>
      </c>
      <c r="F25" t="s">
        <v>22</v>
      </c>
      <c r="G25" t="b">
        <v>1</v>
      </c>
      <c r="H25">
        <v>0</v>
      </c>
      <c r="I25" t="s">
        <v>18</v>
      </c>
      <c r="J25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ml:3-sn2k-gen-spl:T-mgv9</v>
      </c>
      <c r="K25" s="2">
        <v>0.75</v>
      </c>
      <c r="L25" s="2">
        <v>0.82</v>
      </c>
      <c r="M25" s="2">
        <v>0.8</v>
      </c>
      <c r="N25" s="2">
        <v>0.85</v>
      </c>
      <c r="O25" s="2">
        <v>0.82</v>
      </c>
      <c r="P25" s="2">
        <v>0.8</v>
      </c>
      <c r="Q25" s="2">
        <v>0.76</v>
      </c>
      <c r="R25" s="2">
        <v>0.79</v>
      </c>
      <c r="S25" s="2">
        <v>0.8</v>
      </c>
      <c r="T25" s="2">
        <v>0.81</v>
      </c>
      <c r="U25" s="2">
        <v>0.84</v>
      </c>
      <c r="V25" s="2">
        <v>0.8</v>
      </c>
      <c r="W25" s="2">
        <v>0.85</v>
      </c>
      <c r="X25" s="2">
        <f t="shared" si="0"/>
        <v>0.8028592262379517</v>
      </c>
    </row>
  </sheetData>
  <conditionalFormatting sqref="K2:X25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78E86-DBA8-FA4D-A5AA-651545128BE0}">
  <dimension ref="A1:T20"/>
  <sheetViews>
    <sheetView workbookViewId="0"/>
  </sheetViews>
  <sheetFormatPr baseColWidth="10" defaultRowHeight="25" customHeight="1"/>
  <cols>
    <col min="2" max="2" width="6.375" customWidth="1"/>
    <col min="3" max="3" width="10" customWidth="1"/>
    <col min="4" max="5" width="6.375" customWidth="1"/>
    <col min="6" max="6" width="9.125" customWidth="1"/>
    <col min="7" max="19" width="8.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ht="25" customHeight="1">
      <c r="A2" t="s">
        <v>24</v>
      </c>
      <c r="B2">
        <v>1</v>
      </c>
      <c r="C2" t="s">
        <v>23</v>
      </c>
      <c r="D2" t="b">
        <v>1</v>
      </c>
      <c r="E2">
        <v>1</v>
      </c>
      <c r="F2" t="s">
        <v>19</v>
      </c>
      <c r="H2" s="2">
        <v>0.87</v>
      </c>
      <c r="I2" s="2">
        <v>0.92</v>
      </c>
      <c r="J2" s="2">
        <v>0.89</v>
      </c>
      <c r="K2" s="2">
        <v>0.85</v>
      </c>
      <c r="L2" s="2">
        <v>0.83</v>
      </c>
      <c r="M2" s="2">
        <v>0.87</v>
      </c>
      <c r="N2" s="2">
        <v>0.89</v>
      </c>
      <c r="O2" s="2">
        <v>0.9</v>
      </c>
      <c r="P2" s="2">
        <v>0.86</v>
      </c>
      <c r="Q2" s="2">
        <v>0.89</v>
      </c>
      <c r="R2" s="2">
        <v>0.87</v>
      </c>
      <c r="S2" s="2">
        <v>0.88</v>
      </c>
      <c r="T2" s="2">
        <f t="shared" ref="T2:T13" si="0">MAX($H2,$S2)</f>
        <v>0.88</v>
      </c>
    </row>
    <row r="3" spans="1:20" ht="25" customHeight="1">
      <c r="A3" t="s">
        <v>24</v>
      </c>
      <c r="B3">
        <v>1</v>
      </c>
      <c r="C3" t="s">
        <v>23</v>
      </c>
      <c r="D3" t="b">
        <v>1</v>
      </c>
      <c r="E3">
        <v>2</v>
      </c>
      <c r="F3" t="s">
        <v>20</v>
      </c>
      <c r="H3" s="2">
        <v>0.93</v>
      </c>
      <c r="I3" s="2">
        <v>0.93</v>
      </c>
      <c r="J3" s="2">
        <v>0.94</v>
      </c>
      <c r="K3" s="2">
        <v>0.95</v>
      </c>
      <c r="L3" s="2">
        <v>0.95</v>
      </c>
      <c r="M3" s="2">
        <v>0.95</v>
      </c>
      <c r="N3" s="2">
        <v>0.94</v>
      </c>
      <c r="O3" s="2">
        <v>0.93</v>
      </c>
      <c r="P3" s="2">
        <v>0.94</v>
      </c>
      <c r="Q3" s="2">
        <v>0.95</v>
      </c>
      <c r="R3" s="2">
        <v>0.94</v>
      </c>
      <c r="S3" s="2">
        <v>0.93</v>
      </c>
      <c r="T3" s="2">
        <f t="shared" si="0"/>
        <v>0.93</v>
      </c>
    </row>
    <row r="4" spans="1:20" ht="25" customHeight="1">
      <c r="A4" t="s">
        <v>24</v>
      </c>
      <c r="B4">
        <v>1</v>
      </c>
      <c r="C4" t="s">
        <v>23</v>
      </c>
      <c r="D4" t="b">
        <v>1</v>
      </c>
      <c r="E4">
        <v>3</v>
      </c>
      <c r="F4" t="s">
        <v>21</v>
      </c>
      <c r="H4" s="2">
        <v>0.94</v>
      </c>
      <c r="I4" s="2">
        <v>0.95</v>
      </c>
      <c r="J4" s="2">
        <v>0.95</v>
      </c>
      <c r="K4" s="2">
        <v>0.96</v>
      </c>
      <c r="L4" s="2">
        <v>0.95</v>
      </c>
      <c r="M4" s="2">
        <v>0.96</v>
      </c>
      <c r="N4" s="2">
        <v>0.94</v>
      </c>
      <c r="O4" s="2">
        <v>0.95</v>
      </c>
      <c r="P4" s="2">
        <v>0.95</v>
      </c>
      <c r="Q4" s="2">
        <v>0.97</v>
      </c>
      <c r="R4" s="2">
        <v>0.95</v>
      </c>
      <c r="S4" s="2">
        <v>0.96</v>
      </c>
      <c r="T4" s="2">
        <f t="shared" si="0"/>
        <v>0.96</v>
      </c>
    </row>
    <row r="5" spans="1:20" ht="25" customHeight="1">
      <c r="A5" t="s">
        <v>24</v>
      </c>
      <c r="B5">
        <v>1</v>
      </c>
      <c r="C5" t="s">
        <v>23</v>
      </c>
      <c r="D5" t="b">
        <v>0</v>
      </c>
      <c r="E5">
        <v>1</v>
      </c>
      <c r="F5" t="s">
        <v>19</v>
      </c>
      <c r="H5" s="2">
        <v>0.9</v>
      </c>
      <c r="I5" s="2">
        <v>0.92</v>
      </c>
      <c r="J5" s="2">
        <v>0.91</v>
      </c>
      <c r="K5" s="2">
        <v>0.92</v>
      </c>
      <c r="L5" s="2">
        <v>0.88</v>
      </c>
      <c r="M5" s="2">
        <v>0.89</v>
      </c>
      <c r="N5" s="2">
        <v>0.88</v>
      </c>
      <c r="O5" s="2">
        <v>0.9</v>
      </c>
      <c r="P5" s="2">
        <v>0.87</v>
      </c>
      <c r="Q5" s="2">
        <v>0.94</v>
      </c>
      <c r="R5" s="2">
        <v>0.89</v>
      </c>
      <c r="S5" s="2">
        <v>0.88</v>
      </c>
      <c r="T5" s="2">
        <f t="shared" si="0"/>
        <v>0.9</v>
      </c>
    </row>
    <row r="6" spans="1:20" ht="25" customHeight="1">
      <c r="A6" t="s">
        <v>24</v>
      </c>
      <c r="B6">
        <v>1</v>
      </c>
      <c r="C6" t="s">
        <v>23</v>
      </c>
      <c r="D6" t="b">
        <v>0</v>
      </c>
      <c r="E6">
        <v>2</v>
      </c>
      <c r="F6" t="s">
        <v>20</v>
      </c>
      <c r="H6" s="2">
        <v>0.93</v>
      </c>
      <c r="I6" s="2">
        <v>0.93</v>
      </c>
      <c r="J6" s="2">
        <v>0.91</v>
      </c>
      <c r="K6" s="2">
        <v>0.95</v>
      </c>
      <c r="L6" s="2">
        <v>0.93</v>
      </c>
      <c r="M6" s="2">
        <v>0.96</v>
      </c>
      <c r="N6" s="2">
        <v>0.94</v>
      </c>
      <c r="O6" s="2">
        <v>0.93</v>
      </c>
      <c r="P6" s="2">
        <v>0.93</v>
      </c>
      <c r="Q6" s="2">
        <v>0.96</v>
      </c>
      <c r="R6" s="2">
        <v>0.94</v>
      </c>
      <c r="S6" s="2">
        <v>0.94</v>
      </c>
      <c r="T6" s="2">
        <f t="shared" si="0"/>
        <v>0.94</v>
      </c>
    </row>
    <row r="7" spans="1:20" ht="25" customHeight="1">
      <c r="A7" t="s">
        <v>24</v>
      </c>
      <c r="B7">
        <v>1</v>
      </c>
      <c r="C7" t="s">
        <v>23</v>
      </c>
      <c r="D7" t="b">
        <v>0</v>
      </c>
      <c r="E7">
        <v>3</v>
      </c>
      <c r="F7" t="s">
        <v>21</v>
      </c>
      <c r="H7" s="2">
        <v>0.92</v>
      </c>
      <c r="I7" s="2">
        <v>0.94</v>
      </c>
      <c r="J7" s="2">
        <v>0.97</v>
      </c>
      <c r="K7" s="2">
        <v>0.95</v>
      </c>
      <c r="L7" s="2">
        <v>0.94</v>
      </c>
      <c r="M7" s="2">
        <v>0.96</v>
      </c>
      <c r="N7" s="2">
        <v>0.93</v>
      </c>
      <c r="O7" s="2">
        <v>0.94</v>
      </c>
      <c r="P7" s="2">
        <v>0.93</v>
      </c>
      <c r="Q7" s="2">
        <v>0.97</v>
      </c>
      <c r="R7" s="2">
        <v>0.94</v>
      </c>
      <c r="S7" s="2">
        <v>0.95</v>
      </c>
      <c r="T7" s="2">
        <f t="shared" si="0"/>
        <v>0.95</v>
      </c>
    </row>
    <row r="8" spans="1:20" ht="25" customHeight="1">
      <c r="A8" t="s">
        <v>24</v>
      </c>
      <c r="B8">
        <v>2</v>
      </c>
      <c r="C8" t="s">
        <v>22</v>
      </c>
      <c r="D8" t="b">
        <v>1</v>
      </c>
      <c r="E8">
        <v>1</v>
      </c>
      <c r="F8" t="s">
        <v>19</v>
      </c>
      <c r="H8" s="2">
        <v>0.73</v>
      </c>
      <c r="I8" s="2">
        <v>0.76</v>
      </c>
      <c r="J8" s="2">
        <v>0.7</v>
      </c>
      <c r="K8" s="2">
        <v>0.74</v>
      </c>
      <c r="L8" s="2">
        <v>0.71</v>
      </c>
      <c r="M8" s="2">
        <v>0.72</v>
      </c>
      <c r="N8" s="2">
        <v>0.74</v>
      </c>
      <c r="O8" s="2">
        <v>0.73</v>
      </c>
      <c r="P8" s="2">
        <v>0.64</v>
      </c>
      <c r="Q8" s="2">
        <v>0.73</v>
      </c>
      <c r="R8" s="2">
        <v>0.75</v>
      </c>
      <c r="S8" s="2">
        <v>0.69</v>
      </c>
      <c r="T8" s="2">
        <f t="shared" si="0"/>
        <v>0.73</v>
      </c>
    </row>
    <row r="9" spans="1:20" ht="25" customHeight="1">
      <c r="A9" t="s">
        <v>24</v>
      </c>
      <c r="B9">
        <v>2</v>
      </c>
      <c r="C9" t="s">
        <v>22</v>
      </c>
      <c r="D9" t="b">
        <v>1</v>
      </c>
      <c r="E9">
        <v>2</v>
      </c>
      <c r="F9" t="s">
        <v>20</v>
      </c>
      <c r="H9" s="2">
        <v>0.82</v>
      </c>
      <c r="I9" s="2">
        <v>0.81</v>
      </c>
      <c r="J9" s="2">
        <v>0.79</v>
      </c>
      <c r="K9" s="2">
        <v>0.82</v>
      </c>
      <c r="L9" s="2">
        <v>0.79</v>
      </c>
      <c r="M9" s="2">
        <v>0.81</v>
      </c>
      <c r="N9" s="2">
        <v>0.82</v>
      </c>
      <c r="O9" s="2">
        <v>0.79</v>
      </c>
      <c r="P9" s="2">
        <v>0.75</v>
      </c>
      <c r="Q9" s="2">
        <v>0.79</v>
      </c>
      <c r="R9" s="2">
        <v>0.8</v>
      </c>
      <c r="S9" s="2">
        <v>0.83</v>
      </c>
      <c r="T9" s="2">
        <f t="shared" si="0"/>
        <v>0.83</v>
      </c>
    </row>
    <row r="10" spans="1:20" ht="25" customHeight="1">
      <c r="A10" t="s">
        <v>24</v>
      </c>
      <c r="B10">
        <v>2</v>
      </c>
      <c r="C10" t="s">
        <v>22</v>
      </c>
      <c r="D10" t="b">
        <v>1</v>
      </c>
      <c r="E10">
        <v>3</v>
      </c>
      <c r="F10" t="s">
        <v>21</v>
      </c>
      <c r="H10" s="2">
        <v>0.82</v>
      </c>
      <c r="I10" s="2">
        <v>0.75</v>
      </c>
      <c r="J10" s="2">
        <v>0.8</v>
      </c>
      <c r="K10" s="2">
        <v>0.83</v>
      </c>
      <c r="L10" s="2">
        <v>0.78</v>
      </c>
      <c r="M10" s="2">
        <v>0.79</v>
      </c>
      <c r="N10" s="2">
        <v>0.82</v>
      </c>
      <c r="O10" s="2">
        <v>0.78</v>
      </c>
      <c r="P10" s="2">
        <v>0.78</v>
      </c>
      <c r="Q10" s="2">
        <v>0.78</v>
      </c>
      <c r="R10" s="2">
        <v>0.79</v>
      </c>
      <c r="S10" s="2">
        <v>0.84</v>
      </c>
      <c r="T10" s="2">
        <f t="shared" si="0"/>
        <v>0.84</v>
      </c>
    </row>
    <row r="11" spans="1:20" ht="25" customHeight="1">
      <c r="A11" t="s">
        <v>24</v>
      </c>
      <c r="B11">
        <v>2</v>
      </c>
      <c r="C11" t="s">
        <v>22</v>
      </c>
      <c r="D11" t="b">
        <v>0</v>
      </c>
      <c r="E11">
        <v>1</v>
      </c>
      <c r="F11" t="s">
        <v>19</v>
      </c>
      <c r="H11" s="2">
        <v>0.74</v>
      </c>
      <c r="I11" s="2">
        <v>0.7</v>
      </c>
      <c r="J11" s="2">
        <v>0.72</v>
      </c>
      <c r="K11" s="2">
        <v>0.72</v>
      </c>
      <c r="L11" s="2">
        <v>0.7</v>
      </c>
      <c r="M11" s="2">
        <v>0.73</v>
      </c>
      <c r="N11" s="2">
        <v>0.76</v>
      </c>
      <c r="O11" s="2">
        <v>0.71</v>
      </c>
      <c r="P11" s="2">
        <v>0.73</v>
      </c>
      <c r="Q11" s="2">
        <v>0.74</v>
      </c>
      <c r="R11" s="2">
        <v>0.7</v>
      </c>
      <c r="S11" s="2">
        <v>0.69</v>
      </c>
      <c r="T11" s="2">
        <f t="shared" si="0"/>
        <v>0.74</v>
      </c>
    </row>
    <row r="12" spans="1:20" ht="25" customHeight="1">
      <c r="A12" t="s">
        <v>24</v>
      </c>
      <c r="B12">
        <v>2</v>
      </c>
      <c r="C12" t="s">
        <v>22</v>
      </c>
      <c r="D12" t="b">
        <v>0</v>
      </c>
      <c r="E12">
        <v>2</v>
      </c>
      <c r="F12" t="s">
        <v>20</v>
      </c>
      <c r="H12" s="2">
        <v>0.82</v>
      </c>
      <c r="I12" s="2">
        <v>0.8</v>
      </c>
      <c r="J12" s="2">
        <v>0.8</v>
      </c>
      <c r="K12" s="2">
        <v>0.81</v>
      </c>
      <c r="L12" s="2">
        <v>0.78</v>
      </c>
      <c r="M12" s="2">
        <v>0.78</v>
      </c>
      <c r="N12" s="2">
        <v>0.81</v>
      </c>
      <c r="O12" s="2">
        <v>0.81</v>
      </c>
      <c r="P12" s="2">
        <v>0.72</v>
      </c>
      <c r="Q12" s="2">
        <v>0.78</v>
      </c>
      <c r="R12" s="2">
        <v>0.8</v>
      </c>
      <c r="S12" s="2">
        <v>0.83</v>
      </c>
      <c r="T12" s="2">
        <f t="shared" si="0"/>
        <v>0.83</v>
      </c>
    </row>
    <row r="13" spans="1:20" ht="25" customHeight="1">
      <c r="A13" t="s">
        <v>24</v>
      </c>
      <c r="B13">
        <v>2</v>
      </c>
      <c r="C13" t="s">
        <v>22</v>
      </c>
      <c r="D13" t="b">
        <v>0</v>
      </c>
      <c r="E13">
        <v>3</v>
      </c>
      <c r="F13" t="s">
        <v>21</v>
      </c>
      <c r="H13" s="2">
        <v>0.77</v>
      </c>
      <c r="I13" s="2">
        <v>0.77</v>
      </c>
      <c r="J13" s="2">
        <v>0.81</v>
      </c>
      <c r="K13" s="2">
        <v>0.8</v>
      </c>
      <c r="L13" s="2">
        <v>0.78</v>
      </c>
      <c r="M13" s="2">
        <v>0.78</v>
      </c>
      <c r="N13" s="2">
        <v>0.81</v>
      </c>
      <c r="O13" s="2">
        <v>0.8</v>
      </c>
      <c r="P13" s="2">
        <v>0.79</v>
      </c>
      <c r="Q13" s="2">
        <v>0.74</v>
      </c>
      <c r="R13" s="2">
        <v>0.78</v>
      </c>
      <c r="S13" s="2">
        <v>0.82</v>
      </c>
      <c r="T13" s="2">
        <f t="shared" si="0"/>
        <v>0.82</v>
      </c>
    </row>
    <row r="16" spans="1:20" ht="25" customHeight="1">
      <c r="B16" t="s">
        <v>1</v>
      </c>
      <c r="C16" t="s">
        <v>2</v>
      </c>
      <c r="D16" t="s">
        <v>26</v>
      </c>
      <c r="E16" t="s">
        <v>4</v>
      </c>
      <c r="F16" t="s">
        <v>5</v>
      </c>
      <c r="G16" t="s">
        <v>27</v>
      </c>
      <c r="H16" t="s">
        <v>6</v>
      </c>
      <c r="I16" t="s">
        <v>7</v>
      </c>
      <c r="J16" t="s">
        <v>8</v>
      </c>
      <c r="K16" t="s">
        <v>9</v>
      </c>
      <c r="L16" t="s">
        <v>10</v>
      </c>
      <c r="M16" t="s">
        <v>11</v>
      </c>
      <c r="N16" t="s">
        <v>12</v>
      </c>
      <c r="O16" t="s">
        <v>13</v>
      </c>
      <c r="P16" t="s">
        <v>14</v>
      </c>
      <c r="Q16" t="s">
        <v>15</v>
      </c>
      <c r="R16" t="s">
        <v>16</v>
      </c>
      <c r="S16" t="s">
        <v>17</v>
      </c>
      <c r="T16" t="s">
        <v>18</v>
      </c>
    </row>
    <row r="17" spans="2:20" ht="25" customHeight="1">
      <c r="B17">
        <v>1</v>
      </c>
      <c r="C17" t="s">
        <v>23</v>
      </c>
      <c r="D17" t="b">
        <v>1</v>
      </c>
      <c r="E17">
        <v>0</v>
      </c>
      <c r="F17" t="s">
        <v>18</v>
      </c>
      <c r="G17" s="3" t="str">
        <f>_xlfn.TEXTJOIN("-",TRUE,Table291113171912[[#This Row],[attribute]],Table291113171912[[#This Row],[supplemented]],Table291113171912[[#This Row],[method]])</f>
        <v>plurality-TRUE-max</v>
      </c>
      <c r="H17" s="1" cm="1">
        <f t="array" ref="H17">_xlfn.LET(_xlpm.d,H$2:H$13,_xlpm.a,$C$2:$C$13=$C17,_xlpm.b,$D$2:$D$13=$D17,MAX(_xlfn._xlws.FILTER(_xlpm.d,_xlpm.a*_xlpm.b)))</f>
        <v>0.94</v>
      </c>
      <c r="I17" s="1" cm="1">
        <f t="array" ref="I17">_xlfn.LET(_xlpm.d,I$2:I$13,_xlpm.a,$C$2:$C$13=$C17,_xlpm.b,$D$2:$D$13=$D17,MAX(_xlfn._xlws.FILTER(_xlpm.d,_xlpm.a*_xlpm.b)))</f>
        <v>0.95</v>
      </c>
      <c r="J17" s="1" cm="1">
        <f t="array" ref="J17">_xlfn.LET(_xlpm.d,J$2:J$13,_xlpm.a,$C$2:$C$13=$C17,_xlpm.b,$D$2:$D$13=$D17,MAX(_xlfn._xlws.FILTER(_xlpm.d,_xlpm.a*_xlpm.b)))</f>
        <v>0.95</v>
      </c>
      <c r="K17" s="1" cm="1">
        <f t="array" ref="K17">_xlfn.LET(_xlpm.d,K$2:K$13,_xlpm.a,$C$2:$C$13=$C17,_xlpm.b,$D$2:$D$13=$D17,MAX(_xlfn._xlws.FILTER(_xlpm.d,_xlpm.a*_xlpm.b)))</f>
        <v>0.96</v>
      </c>
      <c r="L17" s="1" cm="1">
        <f t="array" ref="L17">_xlfn.LET(_xlpm.d,L$2:L$13,_xlpm.a,$C$2:$C$13=$C17,_xlpm.b,$D$2:$D$13=$D17,MAX(_xlfn._xlws.FILTER(_xlpm.d,_xlpm.a*_xlpm.b)))</f>
        <v>0.95</v>
      </c>
      <c r="M17" s="1" cm="1">
        <f t="array" ref="M17">_xlfn.LET(_xlpm.d,M$2:M$13,_xlpm.a,$C$2:$C$13=$C17,_xlpm.b,$D$2:$D$13=$D17,MAX(_xlfn._xlws.FILTER(_xlpm.d,_xlpm.a*_xlpm.b)))</f>
        <v>0.96</v>
      </c>
      <c r="N17" s="1" cm="1">
        <f t="array" ref="N17">_xlfn.LET(_xlpm.d,N$2:N$13,_xlpm.a,$C$2:$C$13=$C17,_xlpm.b,$D$2:$D$13=$D17,MAX(_xlfn._xlws.FILTER(_xlpm.d,_xlpm.a*_xlpm.b)))</f>
        <v>0.94</v>
      </c>
      <c r="O17" s="1" cm="1">
        <f t="array" ref="O17">_xlfn.LET(_xlpm.d,O$2:O$13,_xlpm.a,$C$2:$C$13=$C17,_xlpm.b,$D$2:$D$13=$D17,MAX(_xlfn._xlws.FILTER(_xlpm.d,_xlpm.a*_xlpm.b)))</f>
        <v>0.95</v>
      </c>
      <c r="P17" s="1" cm="1">
        <f t="array" ref="P17">_xlfn.LET(_xlpm.d,P$2:P$13,_xlpm.a,$C$2:$C$13=$C17,_xlpm.b,$D$2:$D$13=$D17,MAX(_xlfn._xlws.FILTER(_xlpm.d,_xlpm.a*_xlpm.b)))</f>
        <v>0.95</v>
      </c>
      <c r="Q17" s="1" cm="1">
        <f t="array" ref="Q17">_xlfn.LET(_xlpm.d,Q$2:Q$13,_xlpm.a,$C$2:$C$13=$C17,_xlpm.b,$D$2:$D$13=$D17,MAX(_xlfn._xlws.FILTER(_xlpm.d,_xlpm.a*_xlpm.b)))</f>
        <v>0.97</v>
      </c>
      <c r="R17" s="1" cm="1">
        <f t="array" ref="R17">_xlfn.LET(_xlpm.d,R$2:R$13,_xlpm.a,$C$2:$C$13=$C17,_xlpm.b,$D$2:$D$13=$D17,MAX(_xlfn._xlws.FILTER(_xlpm.d,_xlpm.a*_xlpm.b)))</f>
        <v>0.95</v>
      </c>
      <c r="S17" s="1" cm="1">
        <f t="array" ref="S17">_xlfn.LET(_xlpm.d,S$2:S$13,_xlpm.a,$C$2:$C$13=$C17,_xlpm.b,$D$2:$D$13=$D17,MAX(_xlfn._xlws.FILTER(_xlpm.d,_xlpm.a*_xlpm.b)))</f>
        <v>0.96</v>
      </c>
      <c r="T17" s="1" cm="1">
        <f t="array" ref="T17">_xlfn.LET(_xlpm.d,T$2:T$13,_xlpm.a,$C$2:$C$13=$C17,_xlpm.b,$D$2:$D$13=$D17,MAX(_xlfn._xlws.FILTER(_xlpm.d,_xlpm.a*_xlpm.b)))</f>
        <v>0.96</v>
      </c>
    </row>
    <row r="18" spans="2:20" ht="25" customHeight="1">
      <c r="B18">
        <v>1</v>
      </c>
      <c r="C18" t="s">
        <v>23</v>
      </c>
      <c r="D18" t="b">
        <v>0</v>
      </c>
      <c r="E18">
        <v>0</v>
      </c>
      <c r="F18" t="s">
        <v>18</v>
      </c>
      <c r="G18" t="str">
        <f>_xlfn.TEXTJOIN("-",TRUE,Table291113171912[[#This Row],[attribute]],Table291113171912[[#This Row],[supplemented]],Table291113171912[[#This Row],[method]])</f>
        <v>plurality-FALSE-max</v>
      </c>
      <c r="H18" s="1" cm="1">
        <f t="array" ref="H18">_xlfn.LET(_xlpm.d,H$2:H$13,_xlpm.a,$C$2:$C$13=$C18,_xlpm.b,$D$2:$D$13=$D18,MAX(_xlfn._xlws.FILTER(_xlpm.d,_xlpm.a*_xlpm.b)))</f>
        <v>0.93</v>
      </c>
      <c r="I18" s="1" cm="1">
        <f t="array" ref="I18">_xlfn.LET(_xlpm.d,I$2:I$13,_xlpm.a,$C$2:$C$13=$C18,_xlpm.b,$D$2:$D$13=$D18,MAX(_xlfn._xlws.FILTER(_xlpm.d,_xlpm.a*_xlpm.b)))</f>
        <v>0.94</v>
      </c>
      <c r="J18" s="1" cm="1">
        <f t="array" ref="J18">_xlfn.LET(_xlpm.d,J$2:J$13,_xlpm.a,$C$2:$C$13=$C18,_xlpm.b,$D$2:$D$13=$D18,MAX(_xlfn._xlws.FILTER(_xlpm.d,_xlpm.a*_xlpm.b)))</f>
        <v>0.97</v>
      </c>
      <c r="K18" s="1" cm="1">
        <f t="array" ref="K18">_xlfn.LET(_xlpm.d,K$2:K$13,_xlpm.a,$C$2:$C$13=$C18,_xlpm.b,$D$2:$D$13=$D18,MAX(_xlfn._xlws.FILTER(_xlpm.d,_xlpm.a*_xlpm.b)))</f>
        <v>0.95</v>
      </c>
      <c r="L18" s="1" cm="1">
        <f t="array" ref="L18">_xlfn.LET(_xlpm.d,L$2:L$13,_xlpm.a,$C$2:$C$13=$C18,_xlpm.b,$D$2:$D$13=$D18,MAX(_xlfn._xlws.FILTER(_xlpm.d,_xlpm.a*_xlpm.b)))</f>
        <v>0.94</v>
      </c>
      <c r="M18" s="1" cm="1">
        <f t="array" ref="M18">_xlfn.LET(_xlpm.d,M$2:M$13,_xlpm.a,$C$2:$C$13=$C18,_xlpm.b,$D$2:$D$13=$D18,MAX(_xlfn._xlws.FILTER(_xlpm.d,_xlpm.a*_xlpm.b)))</f>
        <v>0.96</v>
      </c>
      <c r="N18" s="1" cm="1">
        <f t="array" ref="N18">_xlfn.LET(_xlpm.d,N$2:N$13,_xlpm.a,$C$2:$C$13=$C18,_xlpm.b,$D$2:$D$13=$D18,MAX(_xlfn._xlws.FILTER(_xlpm.d,_xlpm.a*_xlpm.b)))</f>
        <v>0.94</v>
      </c>
      <c r="O18" s="1" cm="1">
        <f t="array" ref="O18">_xlfn.LET(_xlpm.d,O$2:O$13,_xlpm.a,$C$2:$C$13=$C18,_xlpm.b,$D$2:$D$13=$D18,MAX(_xlfn._xlws.FILTER(_xlpm.d,_xlpm.a*_xlpm.b)))</f>
        <v>0.94</v>
      </c>
      <c r="P18" s="1" cm="1">
        <f t="array" ref="P18">_xlfn.LET(_xlpm.d,P$2:P$13,_xlpm.a,$C$2:$C$13=$C18,_xlpm.b,$D$2:$D$13=$D18,MAX(_xlfn._xlws.FILTER(_xlpm.d,_xlpm.a*_xlpm.b)))</f>
        <v>0.93</v>
      </c>
      <c r="Q18" s="1" cm="1">
        <f t="array" ref="Q18">_xlfn.LET(_xlpm.d,Q$2:Q$13,_xlpm.a,$C$2:$C$13=$C18,_xlpm.b,$D$2:$D$13=$D18,MAX(_xlfn._xlws.FILTER(_xlpm.d,_xlpm.a*_xlpm.b)))</f>
        <v>0.97</v>
      </c>
      <c r="R18" s="1" cm="1">
        <f t="array" ref="R18">_xlfn.LET(_xlpm.d,R$2:R$13,_xlpm.a,$C$2:$C$13=$C18,_xlpm.b,$D$2:$D$13=$D18,MAX(_xlfn._xlws.FILTER(_xlpm.d,_xlpm.a*_xlpm.b)))</f>
        <v>0.94</v>
      </c>
      <c r="S18" s="1" cm="1">
        <f t="array" ref="S18">_xlfn.LET(_xlpm.d,S$2:S$13,_xlpm.a,$C$2:$C$13=$C18,_xlpm.b,$D$2:$D$13=$D18,MAX(_xlfn._xlws.FILTER(_xlpm.d,_xlpm.a*_xlpm.b)))</f>
        <v>0.95</v>
      </c>
      <c r="T18" s="1" cm="1">
        <f t="array" ref="T18">_xlfn.LET(_xlpm.d,T$2:T$13,_xlpm.a,$C$2:$C$13=$C18,_xlpm.b,$D$2:$D$13=$D18,MAX(_xlfn._xlws.FILTER(_xlpm.d,_xlpm.a*_xlpm.b)))</f>
        <v>0.95</v>
      </c>
    </row>
    <row r="19" spans="2:20" ht="25" customHeight="1">
      <c r="B19">
        <v>2</v>
      </c>
      <c r="C19" t="s">
        <v>22</v>
      </c>
      <c r="D19" t="b">
        <v>1</v>
      </c>
      <c r="E19">
        <v>0</v>
      </c>
      <c r="F19" t="s">
        <v>18</v>
      </c>
      <c r="G19" t="str">
        <f>_xlfn.TEXTJOIN("-",TRUE,Table291113171912[[#This Row],[attribute]],Table291113171912[[#This Row],[supplemented]],Table291113171912[[#This Row],[method]])</f>
        <v>gender-TRUE-max</v>
      </c>
      <c r="H19" s="1" cm="1">
        <f t="array" ref="H19">_xlfn.LET(_xlpm.d,H$2:H$13,_xlpm.a,$C$2:$C$13=$C19,_xlpm.b,$D$2:$D$13=$D19,MAX(_xlfn._xlws.FILTER(_xlpm.d,_xlpm.a*_xlpm.b)))</f>
        <v>0.82</v>
      </c>
      <c r="I19" s="1" cm="1">
        <f t="array" ref="I19">_xlfn.LET(_xlpm.d,I$2:I$13,_xlpm.a,$C$2:$C$13=$C19,_xlpm.b,$D$2:$D$13=$D19,MAX(_xlfn._xlws.FILTER(_xlpm.d,_xlpm.a*_xlpm.b)))</f>
        <v>0.81</v>
      </c>
      <c r="J19" s="1" cm="1">
        <f t="array" ref="J19">_xlfn.LET(_xlpm.d,J$2:J$13,_xlpm.a,$C$2:$C$13=$C19,_xlpm.b,$D$2:$D$13=$D19,MAX(_xlfn._xlws.FILTER(_xlpm.d,_xlpm.a*_xlpm.b)))</f>
        <v>0.8</v>
      </c>
      <c r="K19" s="1" cm="1">
        <f t="array" ref="K19">_xlfn.LET(_xlpm.d,K$2:K$13,_xlpm.a,$C$2:$C$13=$C19,_xlpm.b,$D$2:$D$13=$D19,MAX(_xlfn._xlws.FILTER(_xlpm.d,_xlpm.a*_xlpm.b)))</f>
        <v>0.83</v>
      </c>
      <c r="L19" s="1" cm="1">
        <f t="array" ref="L19">_xlfn.LET(_xlpm.d,L$2:L$13,_xlpm.a,$C$2:$C$13=$C19,_xlpm.b,$D$2:$D$13=$D19,MAX(_xlfn._xlws.FILTER(_xlpm.d,_xlpm.a*_xlpm.b)))</f>
        <v>0.79</v>
      </c>
      <c r="M19" s="1" cm="1">
        <f t="array" ref="M19">_xlfn.LET(_xlpm.d,M$2:M$13,_xlpm.a,$C$2:$C$13=$C19,_xlpm.b,$D$2:$D$13=$D19,MAX(_xlfn._xlws.FILTER(_xlpm.d,_xlpm.a*_xlpm.b)))</f>
        <v>0.81</v>
      </c>
      <c r="N19" s="1" cm="1">
        <f t="array" ref="N19">_xlfn.LET(_xlpm.d,N$2:N$13,_xlpm.a,$C$2:$C$13=$C19,_xlpm.b,$D$2:$D$13=$D19,MAX(_xlfn._xlws.FILTER(_xlpm.d,_xlpm.a*_xlpm.b)))</f>
        <v>0.82</v>
      </c>
      <c r="O19" s="1" cm="1">
        <f t="array" ref="O19">_xlfn.LET(_xlpm.d,O$2:O$13,_xlpm.a,$C$2:$C$13=$C19,_xlpm.b,$D$2:$D$13=$D19,MAX(_xlfn._xlws.FILTER(_xlpm.d,_xlpm.a*_xlpm.b)))</f>
        <v>0.79</v>
      </c>
      <c r="P19" s="1" cm="1">
        <f t="array" ref="P19">_xlfn.LET(_xlpm.d,P$2:P$13,_xlpm.a,$C$2:$C$13=$C19,_xlpm.b,$D$2:$D$13=$D19,MAX(_xlfn._xlws.FILTER(_xlpm.d,_xlpm.a*_xlpm.b)))</f>
        <v>0.78</v>
      </c>
      <c r="Q19" s="1" cm="1">
        <f t="array" ref="Q19">_xlfn.LET(_xlpm.d,Q$2:Q$13,_xlpm.a,$C$2:$C$13=$C19,_xlpm.b,$D$2:$D$13=$D19,MAX(_xlfn._xlws.FILTER(_xlpm.d,_xlpm.a*_xlpm.b)))</f>
        <v>0.79</v>
      </c>
      <c r="R19" s="1" cm="1">
        <f t="array" ref="R19">_xlfn.LET(_xlpm.d,R$2:R$13,_xlpm.a,$C$2:$C$13=$C19,_xlpm.b,$D$2:$D$13=$D19,MAX(_xlfn._xlws.FILTER(_xlpm.d,_xlpm.a*_xlpm.b)))</f>
        <v>0.8</v>
      </c>
      <c r="S19" s="1" cm="1">
        <f t="array" ref="S19">_xlfn.LET(_xlpm.d,S$2:S$13,_xlpm.a,$C$2:$C$13=$C19,_xlpm.b,$D$2:$D$13=$D19,MAX(_xlfn._xlws.FILTER(_xlpm.d,_xlpm.a*_xlpm.b)))</f>
        <v>0.84</v>
      </c>
      <c r="T19" s="1" cm="1">
        <f t="array" ref="T19">_xlfn.LET(_xlpm.d,T$2:T$13,_xlpm.a,$C$2:$C$13=$C19,_xlpm.b,$D$2:$D$13=$D19,MAX(_xlfn._xlws.FILTER(_xlpm.d,_xlpm.a*_xlpm.b)))</f>
        <v>0.84</v>
      </c>
    </row>
    <row r="20" spans="2:20" ht="25" customHeight="1">
      <c r="B20">
        <v>2</v>
      </c>
      <c r="C20" t="s">
        <v>22</v>
      </c>
      <c r="D20" t="b">
        <v>0</v>
      </c>
      <c r="E20">
        <v>0</v>
      </c>
      <c r="F20" t="s">
        <v>18</v>
      </c>
      <c r="G20" t="str">
        <f>_xlfn.TEXTJOIN("-",TRUE,Table291113171912[[#This Row],[attribute]],Table291113171912[[#This Row],[supplemented]],Table291113171912[[#This Row],[method]])</f>
        <v>gender-FALSE-max</v>
      </c>
      <c r="H20" s="1" cm="1">
        <f t="array" ref="H20">_xlfn.LET(_xlpm.d,H$2:H$13,_xlpm.a,$C$2:$C$13=$C20,_xlpm.b,$D$2:$D$13=$D20,MAX(_xlfn._xlws.FILTER(_xlpm.d,_xlpm.a*_xlpm.b)))</f>
        <v>0.82</v>
      </c>
      <c r="I20" s="1" cm="1">
        <f t="array" ref="I20">_xlfn.LET(_xlpm.d,I$2:I$13,_xlpm.a,$C$2:$C$13=$C20,_xlpm.b,$D$2:$D$13=$D20,MAX(_xlfn._xlws.FILTER(_xlpm.d,_xlpm.a*_xlpm.b)))</f>
        <v>0.8</v>
      </c>
      <c r="J20" s="1" cm="1">
        <f t="array" ref="J20">_xlfn.LET(_xlpm.d,J$2:J$13,_xlpm.a,$C$2:$C$13=$C20,_xlpm.b,$D$2:$D$13=$D20,MAX(_xlfn._xlws.FILTER(_xlpm.d,_xlpm.a*_xlpm.b)))</f>
        <v>0.81</v>
      </c>
      <c r="K20" s="1" cm="1">
        <f t="array" ref="K20">_xlfn.LET(_xlpm.d,K$2:K$13,_xlpm.a,$C$2:$C$13=$C20,_xlpm.b,$D$2:$D$13=$D20,MAX(_xlfn._xlws.FILTER(_xlpm.d,_xlpm.a*_xlpm.b)))</f>
        <v>0.81</v>
      </c>
      <c r="L20" s="1" cm="1">
        <f t="array" ref="L20">_xlfn.LET(_xlpm.d,L$2:L$13,_xlpm.a,$C$2:$C$13=$C20,_xlpm.b,$D$2:$D$13=$D20,MAX(_xlfn._xlws.FILTER(_xlpm.d,_xlpm.a*_xlpm.b)))</f>
        <v>0.78</v>
      </c>
      <c r="M20" s="1" cm="1">
        <f t="array" ref="M20">_xlfn.LET(_xlpm.d,M$2:M$13,_xlpm.a,$C$2:$C$13=$C20,_xlpm.b,$D$2:$D$13=$D20,MAX(_xlfn._xlws.FILTER(_xlpm.d,_xlpm.a*_xlpm.b)))</f>
        <v>0.78</v>
      </c>
      <c r="N20" s="1" cm="1">
        <f t="array" ref="N20">_xlfn.LET(_xlpm.d,N$2:N$13,_xlpm.a,$C$2:$C$13=$C20,_xlpm.b,$D$2:$D$13=$D20,MAX(_xlfn._xlws.FILTER(_xlpm.d,_xlpm.a*_xlpm.b)))</f>
        <v>0.81</v>
      </c>
      <c r="O20" s="1" cm="1">
        <f t="array" ref="O20">_xlfn.LET(_xlpm.d,O$2:O$13,_xlpm.a,$C$2:$C$13=$C20,_xlpm.b,$D$2:$D$13=$D20,MAX(_xlfn._xlws.FILTER(_xlpm.d,_xlpm.a*_xlpm.b)))</f>
        <v>0.81</v>
      </c>
      <c r="P20" s="1" cm="1">
        <f t="array" ref="P20">_xlfn.LET(_xlpm.d,P$2:P$13,_xlpm.a,$C$2:$C$13=$C20,_xlpm.b,$D$2:$D$13=$D20,MAX(_xlfn._xlws.FILTER(_xlpm.d,_xlpm.a*_xlpm.b)))</f>
        <v>0.79</v>
      </c>
      <c r="Q20" s="1" cm="1">
        <f t="array" ref="Q20">_xlfn.LET(_xlpm.d,Q$2:Q$13,_xlpm.a,$C$2:$C$13=$C20,_xlpm.b,$D$2:$D$13=$D20,MAX(_xlfn._xlws.FILTER(_xlpm.d,_xlpm.a*_xlpm.b)))</f>
        <v>0.78</v>
      </c>
      <c r="R20" s="1" cm="1">
        <f t="array" ref="R20">_xlfn.LET(_xlpm.d,R$2:R$13,_xlpm.a,$C$2:$C$13=$C20,_xlpm.b,$D$2:$D$13=$D20,MAX(_xlfn._xlws.FILTER(_xlpm.d,_xlpm.a*_xlpm.b)))</f>
        <v>0.8</v>
      </c>
      <c r="S20" s="1" cm="1">
        <f t="array" ref="S20">_xlfn.LET(_xlpm.d,S$2:S$13,_xlpm.a,$C$2:$C$13=$C20,_xlpm.b,$D$2:$D$13=$D20,MAX(_xlfn._xlws.FILTER(_xlpm.d,_xlpm.a*_xlpm.b)))</f>
        <v>0.83</v>
      </c>
      <c r="T20" s="1" cm="1">
        <f t="array" ref="T20">_xlfn.LET(_xlpm.d,T$2:T$13,_xlpm.a,$C$2:$C$13=$C20,_xlpm.b,$D$2:$D$13=$D20,MAX(_xlfn._xlws.FILTER(_xlpm.d,_xlpm.a*_xlpm.b)))</f>
        <v>0.83</v>
      </c>
    </row>
  </sheetData>
  <conditionalFormatting sqref="H2:T13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17:T20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F4210-CFEF-274D-9AB7-DFA6A7CD2770}">
  <dimension ref="A1:T20"/>
  <sheetViews>
    <sheetView workbookViewId="0">
      <selection activeCell="H17" sqref="H17:T20"/>
    </sheetView>
  </sheetViews>
  <sheetFormatPr baseColWidth="10" defaultRowHeight="25" customHeight="1"/>
  <cols>
    <col min="2" max="5" width="8.875" customWidth="1"/>
    <col min="7" max="19" width="9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ht="25" customHeight="1">
      <c r="A2" t="s">
        <v>24</v>
      </c>
      <c r="B2">
        <v>1</v>
      </c>
      <c r="C2" t="s">
        <v>23</v>
      </c>
      <c r="D2" t="b">
        <v>0</v>
      </c>
      <c r="E2">
        <v>1</v>
      </c>
      <c r="F2" t="s">
        <v>19</v>
      </c>
      <c r="H2" s="2">
        <v>0.9</v>
      </c>
      <c r="I2" s="2">
        <v>0.87</v>
      </c>
      <c r="J2" s="2">
        <v>0.88</v>
      </c>
      <c r="K2" s="2">
        <v>0.93</v>
      </c>
      <c r="L2" s="2">
        <v>0.93</v>
      </c>
      <c r="M2" s="2">
        <v>0.89</v>
      </c>
      <c r="N2" s="2">
        <v>0.88</v>
      </c>
      <c r="O2" s="2">
        <v>0.9</v>
      </c>
      <c r="P2" s="2">
        <v>0.91</v>
      </c>
      <c r="Q2" s="2">
        <v>0.91</v>
      </c>
      <c r="R2" s="2">
        <v>0.9</v>
      </c>
      <c r="S2" s="2">
        <v>0.8</v>
      </c>
      <c r="T2" s="2">
        <f>MAX($H2:$S2)</f>
        <v>0.93</v>
      </c>
    </row>
    <row r="3" spans="1:20" ht="25" customHeight="1">
      <c r="A3" t="s">
        <v>24</v>
      </c>
      <c r="B3">
        <v>1</v>
      </c>
      <c r="C3" t="s">
        <v>23</v>
      </c>
      <c r="D3" t="b">
        <v>0</v>
      </c>
      <c r="E3">
        <v>2</v>
      </c>
      <c r="F3" t="s">
        <v>20</v>
      </c>
      <c r="H3" s="2">
        <v>0.92</v>
      </c>
      <c r="I3" s="2">
        <v>0.93</v>
      </c>
      <c r="J3" s="2">
        <v>0.92</v>
      </c>
      <c r="K3" s="2">
        <v>0.95</v>
      </c>
      <c r="L3" s="2">
        <v>0.95</v>
      </c>
      <c r="M3" s="2">
        <v>0.94</v>
      </c>
      <c r="N3" s="2">
        <v>0.9</v>
      </c>
      <c r="O3" s="2">
        <v>0.93</v>
      </c>
      <c r="P3" s="2">
        <v>0.9</v>
      </c>
      <c r="Q3" s="2">
        <v>0.95</v>
      </c>
      <c r="R3" s="2">
        <v>0.95</v>
      </c>
      <c r="S3" s="2">
        <v>0.93</v>
      </c>
      <c r="T3" s="2">
        <f>MAX($H3:$S3)</f>
        <v>0.95</v>
      </c>
    </row>
    <row r="4" spans="1:20" ht="25" customHeight="1">
      <c r="A4" t="s">
        <v>24</v>
      </c>
      <c r="B4">
        <v>1</v>
      </c>
      <c r="C4" t="s">
        <v>23</v>
      </c>
      <c r="D4" t="b">
        <v>0</v>
      </c>
      <c r="E4">
        <v>3</v>
      </c>
      <c r="F4" t="s">
        <v>21</v>
      </c>
      <c r="H4" s="2">
        <v>0.94</v>
      </c>
      <c r="I4" s="2">
        <v>0.94</v>
      </c>
      <c r="J4" s="2">
        <v>0.94</v>
      </c>
      <c r="K4" s="2">
        <v>0.99</v>
      </c>
      <c r="L4" s="2">
        <v>0.97</v>
      </c>
      <c r="M4" s="2">
        <v>0.96</v>
      </c>
      <c r="N4" s="2">
        <v>0.93</v>
      </c>
      <c r="O4" s="2">
        <v>0.91</v>
      </c>
      <c r="P4" s="2">
        <v>0.89</v>
      </c>
      <c r="Q4" s="2">
        <v>0.96</v>
      </c>
      <c r="R4" s="2">
        <v>0.95</v>
      </c>
      <c r="S4" s="2">
        <v>0.92</v>
      </c>
      <c r="T4" s="2">
        <f>MAX($H4:$S4)</f>
        <v>0.99</v>
      </c>
    </row>
    <row r="5" spans="1:20" ht="25" customHeight="1">
      <c r="A5" t="s">
        <v>24</v>
      </c>
      <c r="B5">
        <v>1</v>
      </c>
      <c r="C5" t="s">
        <v>23</v>
      </c>
      <c r="D5" t="b">
        <v>1</v>
      </c>
      <c r="E5">
        <v>1</v>
      </c>
      <c r="F5" t="s">
        <v>19</v>
      </c>
      <c r="H5" s="2">
        <v>0.89</v>
      </c>
      <c r="I5" s="2">
        <v>0.89</v>
      </c>
      <c r="J5" s="2">
        <v>0.89</v>
      </c>
      <c r="K5" s="2">
        <v>0.92</v>
      </c>
      <c r="L5" s="2">
        <v>0.88</v>
      </c>
      <c r="M5" s="2">
        <v>0.86</v>
      </c>
      <c r="N5" s="2">
        <v>0.9</v>
      </c>
      <c r="O5" s="2">
        <v>0.89</v>
      </c>
      <c r="P5" s="2">
        <v>0.88</v>
      </c>
      <c r="Q5" s="2">
        <v>0.9</v>
      </c>
      <c r="R5" s="2">
        <v>0.83</v>
      </c>
      <c r="S5" s="2">
        <v>0.84</v>
      </c>
      <c r="T5" s="2">
        <f>MAX($H5:$S5)</f>
        <v>0.92</v>
      </c>
    </row>
    <row r="6" spans="1:20" ht="25" customHeight="1">
      <c r="A6" t="s">
        <v>24</v>
      </c>
      <c r="B6">
        <v>1</v>
      </c>
      <c r="C6" t="s">
        <v>23</v>
      </c>
      <c r="D6" t="b">
        <v>1</v>
      </c>
      <c r="E6">
        <v>2</v>
      </c>
      <c r="F6" t="s">
        <v>20</v>
      </c>
      <c r="H6" s="2">
        <v>0.91</v>
      </c>
      <c r="I6" s="2">
        <v>0.91</v>
      </c>
      <c r="J6" s="2">
        <v>0.93</v>
      </c>
      <c r="K6" s="2">
        <v>0.94</v>
      </c>
      <c r="L6" s="2">
        <v>0.96</v>
      </c>
      <c r="M6" s="2">
        <v>0.94</v>
      </c>
      <c r="N6" s="2">
        <v>0.9</v>
      </c>
      <c r="O6" s="2">
        <v>0.93</v>
      </c>
      <c r="P6" s="2">
        <v>0.92</v>
      </c>
      <c r="Q6" s="2">
        <v>0.97</v>
      </c>
      <c r="R6" s="2">
        <v>0.94</v>
      </c>
      <c r="S6" s="2">
        <v>0.92</v>
      </c>
      <c r="T6" s="2">
        <f>MAX($H6:$S6)</f>
        <v>0.97</v>
      </c>
    </row>
    <row r="7" spans="1:20" ht="25" customHeight="1">
      <c r="A7" t="s">
        <v>24</v>
      </c>
      <c r="B7">
        <v>1</v>
      </c>
      <c r="C7" t="s">
        <v>23</v>
      </c>
      <c r="D7" t="b">
        <v>1</v>
      </c>
      <c r="E7">
        <v>3</v>
      </c>
      <c r="F7" t="s">
        <v>21</v>
      </c>
      <c r="H7" s="2">
        <v>0.92</v>
      </c>
      <c r="I7" s="2">
        <v>0.94</v>
      </c>
      <c r="J7" s="2">
        <v>0.95</v>
      </c>
      <c r="K7" s="2">
        <v>0.96</v>
      </c>
      <c r="L7" s="2">
        <v>0.98</v>
      </c>
      <c r="M7" s="2">
        <v>0.95</v>
      </c>
      <c r="N7" s="2">
        <v>0.9</v>
      </c>
      <c r="O7" s="2">
        <v>0.93</v>
      </c>
      <c r="P7" s="2">
        <v>0.9</v>
      </c>
      <c r="Q7" s="2">
        <v>0.96</v>
      </c>
      <c r="R7" s="2">
        <v>0.94</v>
      </c>
      <c r="S7" s="2">
        <v>0.94</v>
      </c>
      <c r="T7" s="2">
        <f>MAX($H7:$S7)</f>
        <v>0.98</v>
      </c>
    </row>
    <row r="8" spans="1:20" ht="25" customHeight="1">
      <c r="A8" t="s">
        <v>24</v>
      </c>
      <c r="B8">
        <v>2</v>
      </c>
      <c r="C8" t="s">
        <v>22</v>
      </c>
      <c r="D8" t="b">
        <v>0</v>
      </c>
      <c r="E8">
        <v>1</v>
      </c>
      <c r="F8" t="s">
        <v>19</v>
      </c>
      <c r="H8" s="2">
        <v>0.67</v>
      </c>
      <c r="I8" s="2">
        <v>0.66</v>
      </c>
      <c r="J8" s="2">
        <v>0.76</v>
      </c>
      <c r="K8" s="2">
        <v>0.76</v>
      </c>
      <c r="L8" s="2">
        <v>0.67</v>
      </c>
      <c r="M8" s="2">
        <v>0.61</v>
      </c>
      <c r="N8" s="2">
        <v>0.69</v>
      </c>
      <c r="O8" s="2">
        <v>0.68</v>
      </c>
      <c r="P8" s="2">
        <v>0.69</v>
      </c>
      <c r="Q8" s="2">
        <v>0.69</v>
      </c>
      <c r="R8" s="2">
        <v>0.67</v>
      </c>
      <c r="S8" s="2">
        <v>0.69</v>
      </c>
      <c r="T8" s="2">
        <f>MAX($H8:$S8)</f>
        <v>0.76</v>
      </c>
    </row>
    <row r="9" spans="1:20" ht="25" customHeight="1">
      <c r="A9" t="s">
        <v>24</v>
      </c>
      <c r="B9">
        <v>2</v>
      </c>
      <c r="C9" t="s">
        <v>22</v>
      </c>
      <c r="D9" t="b">
        <v>0</v>
      </c>
      <c r="E9">
        <v>2</v>
      </c>
      <c r="F9" t="s">
        <v>20</v>
      </c>
      <c r="H9" s="2">
        <v>0.74</v>
      </c>
      <c r="I9" s="2">
        <v>0.8</v>
      </c>
      <c r="J9" s="2">
        <v>0.77</v>
      </c>
      <c r="K9" s="2">
        <v>0.82</v>
      </c>
      <c r="L9" s="2">
        <v>0.81</v>
      </c>
      <c r="M9" s="2">
        <v>0.8</v>
      </c>
      <c r="N9" s="2">
        <v>0.78</v>
      </c>
      <c r="O9" s="2">
        <v>0.8</v>
      </c>
      <c r="P9" s="2">
        <v>0.79</v>
      </c>
      <c r="Q9" s="2">
        <v>0.81</v>
      </c>
      <c r="R9" s="2">
        <v>0.85</v>
      </c>
      <c r="S9" s="2">
        <v>0.77</v>
      </c>
      <c r="T9" s="2">
        <f>MAX($H9:$S9)</f>
        <v>0.85</v>
      </c>
    </row>
    <row r="10" spans="1:20" ht="25" customHeight="1">
      <c r="A10" t="s">
        <v>24</v>
      </c>
      <c r="B10">
        <v>2</v>
      </c>
      <c r="C10" t="s">
        <v>22</v>
      </c>
      <c r="D10" t="b">
        <v>0</v>
      </c>
      <c r="E10">
        <v>3</v>
      </c>
      <c r="F10" t="s">
        <v>21</v>
      </c>
      <c r="H10" s="2">
        <v>0.72</v>
      </c>
      <c r="I10" s="2">
        <v>0.77</v>
      </c>
      <c r="J10" s="2">
        <v>0.77</v>
      </c>
      <c r="K10" s="2">
        <v>0.82</v>
      </c>
      <c r="L10" s="2">
        <v>0.74</v>
      </c>
      <c r="M10" s="2">
        <v>0.76</v>
      </c>
      <c r="N10" s="2">
        <v>0.73</v>
      </c>
      <c r="O10" s="2">
        <v>0.71</v>
      </c>
      <c r="P10" s="2">
        <v>0.79</v>
      </c>
      <c r="Q10" s="2">
        <v>0.78</v>
      </c>
      <c r="R10" s="2">
        <v>0.79</v>
      </c>
      <c r="S10" s="2">
        <v>0.79</v>
      </c>
      <c r="T10" s="2">
        <f>MAX($H10:$S10)</f>
        <v>0.82</v>
      </c>
    </row>
    <row r="11" spans="1:20" ht="25" customHeight="1">
      <c r="A11" t="s">
        <v>24</v>
      </c>
      <c r="B11">
        <v>2</v>
      </c>
      <c r="C11" t="s">
        <v>22</v>
      </c>
      <c r="D11" t="b">
        <v>1</v>
      </c>
      <c r="E11">
        <v>1</v>
      </c>
      <c r="F11" t="s">
        <v>19</v>
      </c>
      <c r="H11" s="2">
        <v>0.69</v>
      </c>
      <c r="I11" s="2">
        <v>0.72</v>
      </c>
      <c r="J11" s="2">
        <v>0.75</v>
      </c>
      <c r="K11" s="2">
        <v>0.75</v>
      </c>
      <c r="L11" s="2">
        <v>0.69</v>
      </c>
      <c r="M11" s="2">
        <v>0.66</v>
      </c>
      <c r="N11" s="2">
        <v>0.68</v>
      </c>
      <c r="O11" s="2">
        <v>0.73</v>
      </c>
      <c r="P11" s="2">
        <v>0.7</v>
      </c>
      <c r="Q11" s="2">
        <v>0.69</v>
      </c>
      <c r="R11" s="2">
        <v>0.65</v>
      </c>
      <c r="S11" s="2">
        <v>0.71</v>
      </c>
      <c r="T11" s="2">
        <f>MAX($H11:$S11)</f>
        <v>0.75</v>
      </c>
    </row>
    <row r="12" spans="1:20" ht="25" customHeight="1">
      <c r="A12" t="s">
        <v>24</v>
      </c>
      <c r="B12">
        <v>2</v>
      </c>
      <c r="C12" t="s">
        <v>22</v>
      </c>
      <c r="D12" t="b">
        <v>1</v>
      </c>
      <c r="E12">
        <v>2</v>
      </c>
      <c r="F12" t="s">
        <v>20</v>
      </c>
      <c r="H12" s="2">
        <v>0.75</v>
      </c>
      <c r="I12" s="2">
        <v>0.82</v>
      </c>
      <c r="J12" s="2">
        <v>0.8</v>
      </c>
      <c r="K12" s="2">
        <v>0.85</v>
      </c>
      <c r="L12" s="2">
        <v>0.82</v>
      </c>
      <c r="M12" s="2">
        <v>0.8</v>
      </c>
      <c r="N12" s="2">
        <v>0.74</v>
      </c>
      <c r="O12" s="2">
        <v>0.79</v>
      </c>
      <c r="P12" s="2">
        <v>0.8</v>
      </c>
      <c r="Q12" s="2">
        <v>0.81</v>
      </c>
      <c r="R12" s="2">
        <v>0.84</v>
      </c>
      <c r="S12" s="2">
        <v>0.8</v>
      </c>
      <c r="T12" s="2">
        <f>MAX($H12:$S12)</f>
        <v>0.85</v>
      </c>
    </row>
    <row r="13" spans="1:20" ht="25" customHeight="1">
      <c r="A13" t="s">
        <v>24</v>
      </c>
      <c r="B13">
        <v>2</v>
      </c>
      <c r="C13" t="s">
        <v>22</v>
      </c>
      <c r="D13" t="b">
        <v>1</v>
      </c>
      <c r="E13">
        <v>3</v>
      </c>
      <c r="F13" t="s">
        <v>21</v>
      </c>
      <c r="H13" s="2">
        <v>0.73</v>
      </c>
      <c r="I13" s="2">
        <v>0.78</v>
      </c>
      <c r="J13" s="2">
        <v>0.77</v>
      </c>
      <c r="K13" s="2">
        <v>0.83</v>
      </c>
      <c r="L13" s="2">
        <v>0.79</v>
      </c>
      <c r="M13" s="2">
        <v>0.77</v>
      </c>
      <c r="N13" s="2">
        <v>0.76</v>
      </c>
      <c r="O13" s="2">
        <v>0.76</v>
      </c>
      <c r="P13" s="2">
        <v>0.76</v>
      </c>
      <c r="Q13" s="2">
        <v>0.8</v>
      </c>
      <c r="R13" s="2">
        <v>0.82</v>
      </c>
      <c r="S13" s="2">
        <v>0.79</v>
      </c>
      <c r="T13" s="2">
        <f>MAX($H13:$S13)</f>
        <v>0.83</v>
      </c>
    </row>
    <row r="16" spans="1:20" ht="25" customHeight="1">
      <c r="B16" t="s">
        <v>1</v>
      </c>
      <c r="C16" t="s">
        <v>2</v>
      </c>
      <c r="D16" t="s">
        <v>26</v>
      </c>
      <c r="E16" t="s">
        <v>4</v>
      </c>
      <c r="F16" t="s">
        <v>5</v>
      </c>
      <c r="G16" t="s">
        <v>27</v>
      </c>
      <c r="H16" t="s">
        <v>6</v>
      </c>
      <c r="I16" t="s">
        <v>7</v>
      </c>
      <c r="J16" t="s">
        <v>8</v>
      </c>
      <c r="K16" t="s">
        <v>9</v>
      </c>
      <c r="L16" t="s">
        <v>10</v>
      </c>
      <c r="M16" t="s">
        <v>11</v>
      </c>
      <c r="N16" t="s">
        <v>12</v>
      </c>
      <c r="O16" t="s">
        <v>13</v>
      </c>
      <c r="P16" t="s">
        <v>14</v>
      </c>
      <c r="Q16" t="s">
        <v>15</v>
      </c>
      <c r="R16" t="s">
        <v>16</v>
      </c>
      <c r="S16" t="s">
        <v>17</v>
      </c>
      <c r="T16" t="s">
        <v>18</v>
      </c>
    </row>
    <row r="17" spans="2:20" ht="25" customHeight="1">
      <c r="B17">
        <v>1</v>
      </c>
      <c r="C17" t="s">
        <v>23</v>
      </c>
      <c r="D17" t="b">
        <v>0</v>
      </c>
      <c r="E17">
        <v>0</v>
      </c>
      <c r="F17" t="s">
        <v>18</v>
      </c>
      <c r="G17" s="3" t="str">
        <f>_xlfn.TEXTJOIN("-",TRUE,Table2911131719[[#This Row],[attribute]],Table2911131719[[#This Row],[supplemented]],Table2911131719[[#This Row],[method]])</f>
        <v>plurality-FALSE-max</v>
      </c>
      <c r="H17" s="1" cm="1">
        <f t="array" ref="H17">_xlfn.LET(_xlpm.d,H$2:H$13,_xlpm.a,$C$2:$C$13=$C17,_xlpm.b,$D$2:$D$13=$D17,MAX(_xlfn._xlws.FILTER(_xlpm.d,_xlpm.a*_xlpm.b)))</f>
        <v>0.94</v>
      </c>
      <c r="I17" s="1" cm="1">
        <f t="array" ref="I17">_xlfn.LET(_xlpm.d,I$2:I$13,_xlpm.a,$C$2:$C$13=$C17,_xlpm.b,$D$2:$D$13=$D17,MAX(_xlfn._xlws.FILTER(_xlpm.d,_xlpm.a*_xlpm.b)))</f>
        <v>0.94</v>
      </c>
      <c r="J17" s="1" cm="1">
        <f t="array" ref="J17">_xlfn.LET(_xlpm.d,J$2:J$13,_xlpm.a,$C$2:$C$13=$C17,_xlpm.b,$D$2:$D$13=$D17,MAX(_xlfn._xlws.FILTER(_xlpm.d,_xlpm.a*_xlpm.b)))</f>
        <v>0.94</v>
      </c>
      <c r="K17" s="1" cm="1">
        <f t="array" ref="K17">_xlfn.LET(_xlpm.d,K$2:K$13,_xlpm.a,$C$2:$C$13=$C17,_xlpm.b,$D$2:$D$13=$D17,MAX(_xlfn._xlws.FILTER(_xlpm.d,_xlpm.a*_xlpm.b)))</f>
        <v>0.99</v>
      </c>
      <c r="L17" s="1" cm="1">
        <f t="array" ref="L17">_xlfn.LET(_xlpm.d,L$2:L$13,_xlpm.a,$C$2:$C$13=$C17,_xlpm.b,$D$2:$D$13=$D17,MAX(_xlfn._xlws.FILTER(_xlpm.d,_xlpm.a*_xlpm.b)))</f>
        <v>0.97</v>
      </c>
      <c r="M17" s="1" cm="1">
        <f t="array" ref="M17">_xlfn.LET(_xlpm.d,M$2:M$13,_xlpm.a,$C$2:$C$13=$C17,_xlpm.b,$D$2:$D$13=$D17,MAX(_xlfn._xlws.FILTER(_xlpm.d,_xlpm.a*_xlpm.b)))</f>
        <v>0.96</v>
      </c>
      <c r="N17" s="1" cm="1">
        <f t="array" ref="N17">_xlfn.LET(_xlpm.d,N$2:N$13,_xlpm.a,$C$2:$C$13=$C17,_xlpm.b,$D$2:$D$13=$D17,MAX(_xlfn._xlws.FILTER(_xlpm.d,_xlpm.a*_xlpm.b)))</f>
        <v>0.93</v>
      </c>
      <c r="O17" s="1" cm="1">
        <f t="array" ref="O17">_xlfn.LET(_xlpm.d,O$2:O$13,_xlpm.a,$C$2:$C$13=$C17,_xlpm.b,$D$2:$D$13=$D17,MAX(_xlfn._xlws.FILTER(_xlpm.d,_xlpm.a*_xlpm.b)))</f>
        <v>0.93</v>
      </c>
      <c r="P17" s="1" cm="1">
        <f t="array" ref="P17">_xlfn.LET(_xlpm.d,P$2:P$13,_xlpm.a,$C$2:$C$13=$C17,_xlpm.b,$D$2:$D$13=$D17,MAX(_xlfn._xlws.FILTER(_xlpm.d,_xlpm.a*_xlpm.b)))</f>
        <v>0.91</v>
      </c>
      <c r="Q17" s="1" cm="1">
        <f t="array" ref="Q17">_xlfn.LET(_xlpm.d,Q$2:Q$13,_xlpm.a,$C$2:$C$13=$C17,_xlpm.b,$D$2:$D$13=$D17,MAX(_xlfn._xlws.FILTER(_xlpm.d,_xlpm.a*_xlpm.b)))</f>
        <v>0.96</v>
      </c>
      <c r="R17" s="1" cm="1">
        <f t="array" ref="R17">_xlfn.LET(_xlpm.d,R$2:R$13,_xlpm.a,$C$2:$C$13=$C17,_xlpm.b,$D$2:$D$13=$D17,MAX(_xlfn._xlws.FILTER(_xlpm.d,_xlpm.a*_xlpm.b)))</f>
        <v>0.95</v>
      </c>
      <c r="S17" s="1" cm="1">
        <f t="array" ref="S17">_xlfn.LET(_xlpm.d,S$2:S$13,_xlpm.a,$C$2:$C$13=$C17,_xlpm.b,$D$2:$D$13=$D17,MAX(_xlfn._xlws.FILTER(_xlpm.d,_xlpm.a*_xlpm.b)))</f>
        <v>0.93</v>
      </c>
      <c r="T17" s="1" cm="1">
        <f t="array" ref="T17">_xlfn.LET(_xlpm.d,T$2:T$13,_xlpm.a,$C$2:$C$13=$C17,_xlpm.b,$D$2:$D$13=$D17,MAX(_xlfn._xlws.FILTER(_xlpm.d,_xlpm.a*_xlpm.b)))</f>
        <v>0.99</v>
      </c>
    </row>
    <row r="18" spans="2:20" ht="25" customHeight="1">
      <c r="B18">
        <v>1</v>
      </c>
      <c r="C18" t="s">
        <v>23</v>
      </c>
      <c r="D18" t="b">
        <v>1</v>
      </c>
      <c r="E18">
        <v>0</v>
      </c>
      <c r="F18" t="s">
        <v>18</v>
      </c>
      <c r="G18" s="4" t="str">
        <f>_xlfn.TEXTJOIN("-",TRUE,Table2911131719[[#This Row],[attribute]],Table2911131719[[#This Row],[supplemented]],Table2911131719[[#This Row],[method]])</f>
        <v>plurality-TRUE-max</v>
      </c>
      <c r="H18" s="1" cm="1">
        <f t="array" ref="H18">_xlfn.LET(_xlpm.d,H$2:H$13,_xlpm.a,$C$2:$C$13=$C18,_xlpm.b,$D$2:$D$13=$D18,MAX(_xlfn._xlws.FILTER(_xlpm.d,_xlpm.a*_xlpm.b)))</f>
        <v>0.92</v>
      </c>
      <c r="I18" s="1" cm="1">
        <f t="array" ref="I18">_xlfn.LET(_xlpm.d,I$2:I$13,_xlpm.a,$C$2:$C$13=$C18,_xlpm.b,$D$2:$D$13=$D18,MAX(_xlfn._xlws.FILTER(_xlpm.d,_xlpm.a*_xlpm.b)))</f>
        <v>0.94</v>
      </c>
      <c r="J18" s="1" cm="1">
        <f t="array" ref="J18">_xlfn.LET(_xlpm.d,J$2:J$13,_xlpm.a,$C$2:$C$13=$C18,_xlpm.b,$D$2:$D$13=$D18,MAX(_xlfn._xlws.FILTER(_xlpm.d,_xlpm.a*_xlpm.b)))</f>
        <v>0.95</v>
      </c>
      <c r="K18" s="1" cm="1">
        <f t="array" ref="K18">_xlfn.LET(_xlpm.d,K$2:K$13,_xlpm.a,$C$2:$C$13=$C18,_xlpm.b,$D$2:$D$13=$D18,MAX(_xlfn._xlws.FILTER(_xlpm.d,_xlpm.a*_xlpm.b)))</f>
        <v>0.96</v>
      </c>
      <c r="L18" s="1" cm="1">
        <f t="array" ref="L18">_xlfn.LET(_xlpm.d,L$2:L$13,_xlpm.a,$C$2:$C$13=$C18,_xlpm.b,$D$2:$D$13=$D18,MAX(_xlfn._xlws.FILTER(_xlpm.d,_xlpm.a*_xlpm.b)))</f>
        <v>0.98</v>
      </c>
      <c r="M18" s="1" cm="1">
        <f t="array" ref="M18">_xlfn.LET(_xlpm.d,M$2:M$13,_xlpm.a,$C$2:$C$13=$C18,_xlpm.b,$D$2:$D$13=$D18,MAX(_xlfn._xlws.FILTER(_xlpm.d,_xlpm.a*_xlpm.b)))</f>
        <v>0.95</v>
      </c>
      <c r="N18" s="1" cm="1">
        <f t="array" ref="N18">_xlfn.LET(_xlpm.d,N$2:N$13,_xlpm.a,$C$2:$C$13=$C18,_xlpm.b,$D$2:$D$13=$D18,MAX(_xlfn._xlws.FILTER(_xlpm.d,_xlpm.a*_xlpm.b)))</f>
        <v>0.9</v>
      </c>
      <c r="O18" s="1" cm="1">
        <f t="array" ref="O18">_xlfn.LET(_xlpm.d,O$2:O$13,_xlpm.a,$C$2:$C$13=$C18,_xlpm.b,$D$2:$D$13=$D18,MAX(_xlfn._xlws.FILTER(_xlpm.d,_xlpm.a*_xlpm.b)))</f>
        <v>0.93</v>
      </c>
      <c r="P18" s="1" cm="1">
        <f t="array" ref="P18">_xlfn.LET(_xlpm.d,P$2:P$13,_xlpm.a,$C$2:$C$13=$C18,_xlpm.b,$D$2:$D$13=$D18,MAX(_xlfn._xlws.FILTER(_xlpm.d,_xlpm.a*_xlpm.b)))</f>
        <v>0.92</v>
      </c>
      <c r="Q18" s="1" cm="1">
        <f t="array" ref="Q18">_xlfn.LET(_xlpm.d,Q$2:Q$13,_xlpm.a,$C$2:$C$13=$C18,_xlpm.b,$D$2:$D$13=$D18,MAX(_xlfn._xlws.FILTER(_xlpm.d,_xlpm.a*_xlpm.b)))</f>
        <v>0.97</v>
      </c>
      <c r="R18" s="1" cm="1">
        <f t="array" ref="R18">_xlfn.LET(_xlpm.d,R$2:R$13,_xlpm.a,$C$2:$C$13=$C18,_xlpm.b,$D$2:$D$13=$D18,MAX(_xlfn._xlws.FILTER(_xlpm.d,_xlpm.a*_xlpm.b)))</f>
        <v>0.94</v>
      </c>
      <c r="S18" s="1" cm="1">
        <f t="array" ref="S18">_xlfn.LET(_xlpm.d,S$2:S$13,_xlpm.a,$C$2:$C$13=$C18,_xlpm.b,$D$2:$D$13=$D18,MAX(_xlfn._xlws.FILTER(_xlpm.d,_xlpm.a*_xlpm.b)))</f>
        <v>0.94</v>
      </c>
      <c r="T18" s="1" cm="1">
        <f t="array" ref="T18">_xlfn.LET(_xlpm.d,T$2:T$13,_xlpm.a,$C$2:$C$13=$C18,_xlpm.b,$D$2:$D$13=$D18,MAX(_xlfn._xlws.FILTER(_xlpm.d,_xlpm.a*_xlpm.b)))</f>
        <v>0.98</v>
      </c>
    </row>
    <row r="19" spans="2:20" ht="25" customHeight="1">
      <c r="B19">
        <v>2</v>
      </c>
      <c r="C19" t="s">
        <v>22</v>
      </c>
      <c r="D19" t="b">
        <v>0</v>
      </c>
      <c r="E19">
        <v>0</v>
      </c>
      <c r="F19" t="s">
        <v>18</v>
      </c>
      <c r="G19" t="str">
        <f>_xlfn.TEXTJOIN("-",TRUE,Table2911131719[[#This Row],[attribute]],Table2911131719[[#This Row],[supplemented]],Table2911131719[[#This Row],[method]])</f>
        <v>gender-FALSE-max</v>
      </c>
      <c r="H19" s="1" cm="1">
        <f t="array" ref="H19">_xlfn.LET(_xlpm.d,H$2:H$13,_xlpm.a,$C$2:$C$13=$C19,_xlpm.b,$D$2:$D$13=$D19,MAX(_xlfn._xlws.FILTER(_xlpm.d,_xlpm.a*_xlpm.b)))</f>
        <v>0.74</v>
      </c>
      <c r="I19" s="1" cm="1">
        <f t="array" ref="I19">_xlfn.LET(_xlpm.d,I$2:I$13,_xlpm.a,$C$2:$C$13=$C19,_xlpm.b,$D$2:$D$13=$D19,MAX(_xlfn._xlws.FILTER(_xlpm.d,_xlpm.a*_xlpm.b)))</f>
        <v>0.8</v>
      </c>
      <c r="J19" s="1" cm="1">
        <f t="array" ref="J19">_xlfn.LET(_xlpm.d,J$2:J$13,_xlpm.a,$C$2:$C$13=$C19,_xlpm.b,$D$2:$D$13=$D19,MAX(_xlfn._xlws.FILTER(_xlpm.d,_xlpm.a*_xlpm.b)))</f>
        <v>0.77</v>
      </c>
      <c r="K19" s="1" cm="1">
        <f t="array" ref="K19">_xlfn.LET(_xlpm.d,K$2:K$13,_xlpm.a,$C$2:$C$13=$C19,_xlpm.b,$D$2:$D$13=$D19,MAX(_xlfn._xlws.FILTER(_xlpm.d,_xlpm.a*_xlpm.b)))</f>
        <v>0.82</v>
      </c>
      <c r="L19" s="1" cm="1">
        <f t="array" ref="L19">_xlfn.LET(_xlpm.d,L$2:L$13,_xlpm.a,$C$2:$C$13=$C19,_xlpm.b,$D$2:$D$13=$D19,MAX(_xlfn._xlws.FILTER(_xlpm.d,_xlpm.a*_xlpm.b)))</f>
        <v>0.81</v>
      </c>
      <c r="M19" s="1" cm="1">
        <f t="array" ref="M19">_xlfn.LET(_xlpm.d,M$2:M$13,_xlpm.a,$C$2:$C$13=$C19,_xlpm.b,$D$2:$D$13=$D19,MAX(_xlfn._xlws.FILTER(_xlpm.d,_xlpm.a*_xlpm.b)))</f>
        <v>0.8</v>
      </c>
      <c r="N19" s="1" cm="1">
        <f t="array" ref="N19">_xlfn.LET(_xlpm.d,N$2:N$13,_xlpm.a,$C$2:$C$13=$C19,_xlpm.b,$D$2:$D$13=$D19,MAX(_xlfn._xlws.FILTER(_xlpm.d,_xlpm.a*_xlpm.b)))</f>
        <v>0.78</v>
      </c>
      <c r="O19" s="1" cm="1">
        <f t="array" ref="O19">_xlfn.LET(_xlpm.d,O$2:O$13,_xlpm.a,$C$2:$C$13=$C19,_xlpm.b,$D$2:$D$13=$D19,MAX(_xlfn._xlws.FILTER(_xlpm.d,_xlpm.a*_xlpm.b)))</f>
        <v>0.8</v>
      </c>
      <c r="P19" s="1" cm="1">
        <f t="array" ref="P19">_xlfn.LET(_xlpm.d,P$2:P$13,_xlpm.a,$C$2:$C$13=$C19,_xlpm.b,$D$2:$D$13=$D19,MAX(_xlfn._xlws.FILTER(_xlpm.d,_xlpm.a*_xlpm.b)))</f>
        <v>0.79</v>
      </c>
      <c r="Q19" s="1" cm="1">
        <f t="array" ref="Q19">_xlfn.LET(_xlpm.d,Q$2:Q$13,_xlpm.a,$C$2:$C$13=$C19,_xlpm.b,$D$2:$D$13=$D19,MAX(_xlfn._xlws.FILTER(_xlpm.d,_xlpm.a*_xlpm.b)))</f>
        <v>0.81</v>
      </c>
      <c r="R19" s="1" cm="1">
        <f t="array" ref="R19">_xlfn.LET(_xlpm.d,R$2:R$13,_xlpm.a,$C$2:$C$13=$C19,_xlpm.b,$D$2:$D$13=$D19,MAX(_xlfn._xlws.FILTER(_xlpm.d,_xlpm.a*_xlpm.b)))</f>
        <v>0.85</v>
      </c>
      <c r="S19" s="1" cm="1">
        <f t="array" ref="S19">_xlfn.LET(_xlpm.d,S$2:S$13,_xlpm.a,$C$2:$C$13=$C19,_xlpm.b,$D$2:$D$13=$D19,MAX(_xlfn._xlws.FILTER(_xlpm.d,_xlpm.a*_xlpm.b)))</f>
        <v>0.79</v>
      </c>
      <c r="T19" s="1" cm="1">
        <f t="array" ref="T19">_xlfn.LET(_xlpm.d,T$2:T$13,_xlpm.a,$C$2:$C$13=$C19,_xlpm.b,$D$2:$D$13=$D19,MAX(_xlfn._xlws.FILTER(_xlpm.d,_xlpm.a*_xlpm.b)))</f>
        <v>0.85</v>
      </c>
    </row>
    <row r="20" spans="2:20" ht="25" customHeight="1">
      <c r="B20">
        <v>2</v>
      </c>
      <c r="C20" t="s">
        <v>22</v>
      </c>
      <c r="D20" t="b">
        <v>1</v>
      </c>
      <c r="E20">
        <v>0</v>
      </c>
      <c r="F20" t="s">
        <v>18</v>
      </c>
      <c r="G20" t="str">
        <f>_xlfn.TEXTJOIN("-",TRUE,Table2911131719[[#This Row],[attribute]],Table2911131719[[#This Row],[supplemented]],Table2911131719[[#This Row],[method]])</f>
        <v>gender-TRUE-max</v>
      </c>
      <c r="H20" s="1" cm="1">
        <f t="array" ref="H20">_xlfn.LET(_xlpm.d,H$2:H$13,_xlpm.a,$C$2:$C$13=$C20,_xlpm.b,$D$2:$D$13=$D20,MAX(_xlfn._xlws.FILTER(_xlpm.d,_xlpm.a*_xlpm.b)))</f>
        <v>0.75</v>
      </c>
      <c r="I20" s="1" cm="1">
        <f t="array" ref="I20">_xlfn.LET(_xlpm.d,I$2:I$13,_xlpm.a,$C$2:$C$13=$C20,_xlpm.b,$D$2:$D$13=$D20,MAX(_xlfn._xlws.FILTER(_xlpm.d,_xlpm.a*_xlpm.b)))</f>
        <v>0.82</v>
      </c>
      <c r="J20" s="1" cm="1">
        <f t="array" ref="J20">_xlfn.LET(_xlpm.d,J$2:J$13,_xlpm.a,$C$2:$C$13=$C20,_xlpm.b,$D$2:$D$13=$D20,MAX(_xlfn._xlws.FILTER(_xlpm.d,_xlpm.a*_xlpm.b)))</f>
        <v>0.8</v>
      </c>
      <c r="K20" s="1" cm="1">
        <f t="array" ref="K20">_xlfn.LET(_xlpm.d,K$2:K$13,_xlpm.a,$C$2:$C$13=$C20,_xlpm.b,$D$2:$D$13=$D20,MAX(_xlfn._xlws.FILTER(_xlpm.d,_xlpm.a*_xlpm.b)))</f>
        <v>0.85</v>
      </c>
      <c r="L20" s="1" cm="1">
        <f t="array" ref="L20">_xlfn.LET(_xlpm.d,L$2:L$13,_xlpm.a,$C$2:$C$13=$C20,_xlpm.b,$D$2:$D$13=$D20,MAX(_xlfn._xlws.FILTER(_xlpm.d,_xlpm.a*_xlpm.b)))</f>
        <v>0.82</v>
      </c>
      <c r="M20" s="1" cm="1">
        <f t="array" ref="M20">_xlfn.LET(_xlpm.d,M$2:M$13,_xlpm.a,$C$2:$C$13=$C20,_xlpm.b,$D$2:$D$13=$D20,MAX(_xlfn._xlws.FILTER(_xlpm.d,_xlpm.a*_xlpm.b)))</f>
        <v>0.8</v>
      </c>
      <c r="N20" s="1" cm="1">
        <f t="array" ref="N20">_xlfn.LET(_xlpm.d,N$2:N$13,_xlpm.a,$C$2:$C$13=$C20,_xlpm.b,$D$2:$D$13=$D20,MAX(_xlfn._xlws.FILTER(_xlpm.d,_xlpm.a*_xlpm.b)))</f>
        <v>0.76</v>
      </c>
      <c r="O20" s="1" cm="1">
        <f t="array" ref="O20">_xlfn.LET(_xlpm.d,O$2:O$13,_xlpm.a,$C$2:$C$13=$C20,_xlpm.b,$D$2:$D$13=$D20,MAX(_xlfn._xlws.FILTER(_xlpm.d,_xlpm.a*_xlpm.b)))</f>
        <v>0.79</v>
      </c>
      <c r="P20" s="1" cm="1">
        <f t="array" ref="P20">_xlfn.LET(_xlpm.d,P$2:P$13,_xlpm.a,$C$2:$C$13=$C20,_xlpm.b,$D$2:$D$13=$D20,MAX(_xlfn._xlws.FILTER(_xlpm.d,_xlpm.a*_xlpm.b)))</f>
        <v>0.8</v>
      </c>
      <c r="Q20" s="1" cm="1">
        <f t="array" ref="Q20">_xlfn.LET(_xlpm.d,Q$2:Q$13,_xlpm.a,$C$2:$C$13=$C20,_xlpm.b,$D$2:$D$13=$D20,MAX(_xlfn._xlws.FILTER(_xlpm.d,_xlpm.a*_xlpm.b)))</f>
        <v>0.81</v>
      </c>
      <c r="R20" s="1" cm="1">
        <f t="array" ref="R20">_xlfn.LET(_xlpm.d,R$2:R$13,_xlpm.a,$C$2:$C$13=$C20,_xlpm.b,$D$2:$D$13=$D20,MAX(_xlfn._xlws.FILTER(_xlpm.d,_xlpm.a*_xlpm.b)))</f>
        <v>0.84</v>
      </c>
      <c r="S20" s="1" cm="1">
        <f t="array" ref="S20">_xlfn.LET(_xlpm.d,S$2:S$13,_xlpm.a,$C$2:$C$13=$C20,_xlpm.b,$D$2:$D$13=$D20,MAX(_xlfn._xlws.FILTER(_xlpm.d,_xlpm.a*_xlpm.b)))</f>
        <v>0.8</v>
      </c>
      <c r="T20" s="1" cm="1">
        <f t="array" ref="T20">_xlfn.LET(_xlpm.d,T$2:T$13,_xlpm.a,$C$2:$C$13=$C20,_xlpm.b,$D$2:$D$13=$D20,MAX(_xlfn._xlws.FILTER(_xlpm.d,_xlpm.a*_xlpm.b)))</f>
        <v>0.85</v>
      </c>
    </row>
  </sheetData>
  <conditionalFormatting sqref="H2:T13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17:T20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8300E-1E2F-AB4F-9EB6-F258F76852C9}">
  <dimension ref="A1:T20"/>
  <sheetViews>
    <sheetView workbookViewId="0">
      <selection activeCell="H17" sqref="H17:T20"/>
    </sheetView>
  </sheetViews>
  <sheetFormatPr baseColWidth="10" defaultRowHeight="25" customHeight="1"/>
  <cols>
    <col min="2" max="2" width="8.25" customWidth="1"/>
    <col min="3" max="3" width="9.625" customWidth="1"/>
    <col min="4" max="19" width="8.2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ht="25" customHeight="1">
      <c r="A2" t="s">
        <v>24</v>
      </c>
      <c r="B2">
        <v>1</v>
      </c>
      <c r="C2" t="s">
        <v>23</v>
      </c>
      <c r="D2" t="b">
        <v>0</v>
      </c>
      <c r="E2">
        <v>1</v>
      </c>
      <c r="F2" t="s">
        <v>19</v>
      </c>
      <c r="H2" s="2">
        <v>0.91</v>
      </c>
      <c r="I2" s="2">
        <v>0.92</v>
      </c>
      <c r="J2" s="2">
        <v>0.86</v>
      </c>
      <c r="K2" s="2">
        <v>0.84</v>
      </c>
      <c r="L2" s="2">
        <v>0.85</v>
      </c>
      <c r="M2" s="2">
        <v>0.86</v>
      </c>
      <c r="N2" s="2">
        <v>0.91</v>
      </c>
      <c r="O2" s="2">
        <v>0.91</v>
      </c>
      <c r="P2" s="2">
        <v>0.83</v>
      </c>
      <c r="Q2" s="2">
        <v>0.92</v>
      </c>
      <c r="R2" s="2">
        <v>0.93</v>
      </c>
      <c r="S2" s="2">
        <v>0.88</v>
      </c>
      <c r="T2" s="2">
        <f>MAX($H2,$S2)</f>
        <v>0.91</v>
      </c>
    </row>
    <row r="3" spans="1:20" ht="25" customHeight="1">
      <c r="A3" t="s">
        <v>24</v>
      </c>
      <c r="B3">
        <v>1</v>
      </c>
      <c r="C3" t="s">
        <v>23</v>
      </c>
      <c r="D3" t="b">
        <v>0</v>
      </c>
      <c r="E3">
        <v>2</v>
      </c>
      <c r="F3" t="s">
        <v>20</v>
      </c>
      <c r="H3" s="2">
        <v>0.9</v>
      </c>
      <c r="I3" s="2">
        <v>0.94</v>
      </c>
      <c r="J3" s="2">
        <v>0.93</v>
      </c>
      <c r="K3" s="2">
        <v>0.96</v>
      </c>
      <c r="L3" s="2">
        <v>0.96</v>
      </c>
      <c r="M3" s="2">
        <v>0.97</v>
      </c>
      <c r="N3" s="2">
        <v>0.93</v>
      </c>
      <c r="O3" s="2">
        <v>0.93</v>
      </c>
      <c r="P3" s="2">
        <v>0.93</v>
      </c>
      <c r="Q3" s="2">
        <v>0.97</v>
      </c>
      <c r="R3" s="2">
        <v>0.94</v>
      </c>
      <c r="S3" s="2">
        <v>0.93</v>
      </c>
      <c r="T3" s="2">
        <f>MAX($H3,$S3)</f>
        <v>0.93</v>
      </c>
    </row>
    <row r="4" spans="1:20" ht="25" customHeight="1">
      <c r="A4" t="s">
        <v>24</v>
      </c>
      <c r="B4">
        <v>1</v>
      </c>
      <c r="C4" t="s">
        <v>23</v>
      </c>
      <c r="D4" t="b">
        <v>0</v>
      </c>
      <c r="E4">
        <v>3</v>
      </c>
      <c r="F4" t="s">
        <v>21</v>
      </c>
      <c r="H4" s="2">
        <v>0.92</v>
      </c>
      <c r="I4" s="2">
        <v>0.96</v>
      </c>
      <c r="J4" s="2">
        <v>0.95</v>
      </c>
      <c r="K4" s="2">
        <v>0.95</v>
      </c>
      <c r="L4" s="2">
        <v>0.98</v>
      </c>
      <c r="M4" s="2">
        <v>0.96</v>
      </c>
      <c r="N4" s="2">
        <v>0.97</v>
      </c>
      <c r="O4" s="2">
        <v>0.88</v>
      </c>
      <c r="P4" s="2">
        <v>0.89</v>
      </c>
      <c r="Q4" s="2">
        <v>0.98</v>
      </c>
      <c r="R4" s="2">
        <v>0.96</v>
      </c>
      <c r="S4" s="2">
        <v>0.95</v>
      </c>
      <c r="T4" s="2">
        <f>MAX($H4,$S4)</f>
        <v>0.95</v>
      </c>
    </row>
    <row r="5" spans="1:20" ht="25" customHeight="1">
      <c r="A5" t="s">
        <v>24</v>
      </c>
      <c r="B5">
        <v>2</v>
      </c>
      <c r="C5" t="s">
        <v>22</v>
      </c>
      <c r="D5" t="b">
        <v>0</v>
      </c>
      <c r="E5">
        <v>1</v>
      </c>
      <c r="F5" t="s">
        <v>19</v>
      </c>
      <c r="H5" s="2">
        <v>0.7</v>
      </c>
      <c r="I5" s="2">
        <v>0.79</v>
      </c>
      <c r="J5" s="2">
        <v>0.68</v>
      </c>
      <c r="K5" s="2">
        <v>0.69</v>
      </c>
      <c r="L5" s="2">
        <v>0.67</v>
      </c>
      <c r="M5" s="2">
        <v>0.62</v>
      </c>
      <c r="N5" s="2">
        <v>0.69</v>
      </c>
      <c r="O5" s="2">
        <v>0.68</v>
      </c>
      <c r="P5" s="2">
        <v>0.69</v>
      </c>
      <c r="Q5" s="2">
        <v>0.65</v>
      </c>
      <c r="R5" s="2">
        <v>0.62</v>
      </c>
      <c r="S5" s="2">
        <v>0.66</v>
      </c>
      <c r="T5" s="2">
        <f>MAX($H5,$S5)</f>
        <v>0.7</v>
      </c>
    </row>
    <row r="6" spans="1:20" ht="25" customHeight="1">
      <c r="A6" t="s">
        <v>24</v>
      </c>
      <c r="B6">
        <v>2</v>
      </c>
      <c r="C6" t="s">
        <v>22</v>
      </c>
      <c r="D6" t="b">
        <v>0</v>
      </c>
      <c r="E6">
        <v>2</v>
      </c>
      <c r="F6" t="s">
        <v>20</v>
      </c>
      <c r="H6" s="2">
        <v>0.74</v>
      </c>
      <c r="I6" s="2">
        <v>0.79</v>
      </c>
      <c r="J6" s="2">
        <v>0.74</v>
      </c>
      <c r="K6" s="2">
        <v>0.79</v>
      </c>
      <c r="L6" s="2">
        <v>0.82</v>
      </c>
      <c r="M6" s="2">
        <v>0.73</v>
      </c>
      <c r="N6" s="2">
        <v>0.79</v>
      </c>
      <c r="O6" s="2">
        <v>0.78</v>
      </c>
      <c r="P6" s="2">
        <v>0.81</v>
      </c>
      <c r="Q6" s="2">
        <v>0.78</v>
      </c>
      <c r="R6" s="2">
        <v>0.72</v>
      </c>
      <c r="S6" s="2">
        <v>0.79</v>
      </c>
      <c r="T6" s="2">
        <f>MAX($H6,$S6)</f>
        <v>0.79</v>
      </c>
    </row>
    <row r="7" spans="1:20" ht="25" customHeight="1">
      <c r="A7" t="s">
        <v>24</v>
      </c>
      <c r="B7">
        <v>2</v>
      </c>
      <c r="C7" t="s">
        <v>22</v>
      </c>
      <c r="D7" t="b">
        <v>0</v>
      </c>
      <c r="E7">
        <v>3</v>
      </c>
      <c r="F7" t="s">
        <v>21</v>
      </c>
      <c r="H7" s="2">
        <v>0.76</v>
      </c>
      <c r="I7" s="2">
        <v>0.74</v>
      </c>
      <c r="J7" s="2">
        <v>0.73</v>
      </c>
      <c r="K7" s="2">
        <v>0.78</v>
      </c>
      <c r="L7" s="2">
        <v>0.8</v>
      </c>
      <c r="M7" s="2">
        <v>0.82</v>
      </c>
      <c r="N7" s="2">
        <v>0.7</v>
      </c>
      <c r="O7" s="2">
        <v>0.7</v>
      </c>
      <c r="P7" s="2">
        <v>0.76</v>
      </c>
      <c r="Q7" s="2">
        <v>0.68</v>
      </c>
      <c r="R7" s="2">
        <v>0.64</v>
      </c>
      <c r="S7" s="2">
        <v>0.77</v>
      </c>
      <c r="T7" s="2">
        <f>MAX($H7,$S7)</f>
        <v>0.77</v>
      </c>
    </row>
    <row r="8" spans="1:20" ht="25" customHeight="1">
      <c r="A8" t="s">
        <v>24</v>
      </c>
      <c r="B8">
        <v>1</v>
      </c>
      <c r="C8" t="s">
        <v>23</v>
      </c>
      <c r="D8" t="b">
        <v>1</v>
      </c>
      <c r="E8">
        <v>1</v>
      </c>
      <c r="F8" t="s">
        <v>19</v>
      </c>
      <c r="H8" s="2">
        <v>0.93</v>
      </c>
      <c r="I8" s="2">
        <v>0.9</v>
      </c>
      <c r="J8" s="2">
        <v>0.89</v>
      </c>
      <c r="K8" s="2">
        <v>0.84</v>
      </c>
      <c r="L8" s="2">
        <v>0.86</v>
      </c>
      <c r="M8" s="2">
        <v>0.91</v>
      </c>
      <c r="N8" s="2">
        <v>0.9</v>
      </c>
      <c r="O8" s="2">
        <v>0.95</v>
      </c>
      <c r="P8" s="2">
        <v>0.89</v>
      </c>
      <c r="Q8" s="2">
        <v>0.9</v>
      </c>
      <c r="R8" s="2">
        <v>0.91</v>
      </c>
      <c r="S8" s="2">
        <v>0.88</v>
      </c>
      <c r="T8" s="2">
        <f>MAX($H8,$S8)</f>
        <v>0.93</v>
      </c>
    </row>
    <row r="9" spans="1:20" ht="25" customHeight="1">
      <c r="A9" t="s">
        <v>24</v>
      </c>
      <c r="B9">
        <v>1</v>
      </c>
      <c r="C9" t="s">
        <v>23</v>
      </c>
      <c r="D9" t="b">
        <v>1</v>
      </c>
      <c r="E9">
        <v>2</v>
      </c>
      <c r="F9" t="s">
        <v>20</v>
      </c>
      <c r="H9" s="2">
        <v>0.94</v>
      </c>
      <c r="I9" s="2">
        <v>0.94</v>
      </c>
      <c r="J9" s="2">
        <v>0.93</v>
      </c>
      <c r="K9" s="2">
        <v>0.97</v>
      </c>
      <c r="L9" s="2">
        <v>0.95</v>
      </c>
      <c r="M9" s="2">
        <v>0.97</v>
      </c>
      <c r="N9" s="2">
        <v>0.95</v>
      </c>
      <c r="O9" s="2">
        <v>0.93</v>
      </c>
      <c r="P9" s="2">
        <v>0.93</v>
      </c>
      <c r="Q9" s="2">
        <v>0.96</v>
      </c>
      <c r="R9" s="2">
        <v>0.95</v>
      </c>
      <c r="S9" s="2">
        <v>0.93</v>
      </c>
      <c r="T9" s="2">
        <f>MAX($H9,$S9)</f>
        <v>0.94</v>
      </c>
    </row>
    <row r="10" spans="1:20" ht="25" customHeight="1">
      <c r="A10" t="s">
        <v>24</v>
      </c>
      <c r="B10">
        <v>1</v>
      </c>
      <c r="C10" t="s">
        <v>23</v>
      </c>
      <c r="D10" t="b">
        <v>1</v>
      </c>
      <c r="E10">
        <v>3</v>
      </c>
      <c r="F10" t="s">
        <v>21</v>
      </c>
      <c r="H10" s="2">
        <v>0.96</v>
      </c>
      <c r="I10" s="2">
        <v>0.93</v>
      </c>
      <c r="J10" s="2">
        <v>0.92</v>
      </c>
      <c r="K10" s="2">
        <v>0.96</v>
      </c>
      <c r="L10" s="2">
        <v>0.93</v>
      </c>
      <c r="M10" s="2">
        <v>0.98</v>
      </c>
      <c r="N10" s="2">
        <v>0.93</v>
      </c>
      <c r="O10" s="2">
        <v>0.9</v>
      </c>
      <c r="P10" s="2">
        <v>0.88</v>
      </c>
      <c r="Q10" s="2">
        <v>0.98</v>
      </c>
      <c r="R10" s="2">
        <v>0.95</v>
      </c>
      <c r="S10" s="2">
        <v>0.96</v>
      </c>
      <c r="T10" s="2">
        <f>MAX($H10,$S10)</f>
        <v>0.96</v>
      </c>
    </row>
    <row r="11" spans="1:20" ht="25" customHeight="1">
      <c r="A11" t="s">
        <v>24</v>
      </c>
      <c r="B11">
        <v>2</v>
      </c>
      <c r="C11" t="s">
        <v>22</v>
      </c>
      <c r="D11" t="b">
        <v>1</v>
      </c>
      <c r="E11">
        <v>1</v>
      </c>
      <c r="F11" t="s">
        <v>19</v>
      </c>
      <c r="H11" s="2">
        <v>0.72</v>
      </c>
      <c r="I11" s="2">
        <v>0.75</v>
      </c>
      <c r="J11" s="2">
        <v>0.7</v>
      </c>
      <c r="K11" s="2">
        <v>0.65</v>
      </c>
      <c r="L11" s="2">
        <v>0.69</v>
      </c>
      <c r="M11" s="2">
        <v>0.68</v>
      </c>
      <c r="N11" s="2">
        <v>0.78</v>
      </c>
      <c r="O11" s="2">
        <v>0.72</v>
      </c>
      <c r="P11" s="2">
        <v>0.72</v>
      </c>
      <c r="Q11" s="2">
        <v>0.56999999999999995</v>
      </c>
      <c r="R11" s="2">
        <v>0.62</v>
      </c>
      <c r="S11" s="2">
        <v>0.73</v>
      </c>
      <c r="T11" s="2">
        <f>MAX($H11,$S11)</f>
        <v>0.73</v>
      </c>
    </row>
    <row r="12" spans="1:20" ht="25" customHeight="1">
      <c r="A12" t="s">
        <v>24</v>
      </c>
      <c r="B12">
        <v>2</v>
      </c>
      <c r="C12" t="s">
        <v>22</v>
      </c>
      <c r="D12" t="b">
        <v>1</v>
      </c>
      <c r="E12">
        <v>2</v>
      </c>
      <c r="F12" t="s">
        <v>20</v>
      </c>
      <c r="H12" s="2">
        <v>0.77</v>
      </c>
      <c r="I12" s="2">
        <v>0.8</v>
      </c>
      <c r="J12" s="2">
        <v>0.77</v>
      </c>
      <c r="K12" s="2">
        <v>0.82</v>
      </c>
      <c r="L12" s="2">
        <v>0.84</v>
      </c>
      <c r="M12" s="2">
        <v>0.75</v>
      </c>
      <c r="N12" s="2">
        <v>0.82</v>
      </c>
      <c r="O12" s="2">
        <v>0.78</v>
      </c>
      <c r="P12" s="2">
        <v>0.81</v>
      </c>
      <c r="Q12" s="2">
        <v>0.79</v>
      </c>
      <c r="R12" s="2">
        <v>0.72</v>
      </c>
      <c r="S12" s="2">
        <v>0.78</v>
      </c>
      <c r="T12" s="2">
        <f>MAX($H12,$S12)</f>
        <v>0.78</v>
      </c>
    </row>
    <row r="13" spans="1:20" ht="25" customHeight="1">
      <c r="A13" t="s">
        <v>24</v>
      </c>
      <c r="B13">
        <v>2</v>
      </c>
      <c r="C13" t="s">
        <v>22</v>
      </c>
      <c r="D13" t="b">
        <v>1</v>
      </c>
      <c r="E13">
        <v>3</v>
      </c>
      <c r="F13" t="s">
        <v>21</v>
      </c>
      <c r="H13" s="2">
        <v>0.75</v>
      </c>
      <c r="I13" s="2">
        <v>0.79</v>
      </c>
      <c r="J13" s="2">
        <v>0.72</v>
      </c>
      <c r="K13" s="2">
        <v>0.78</v>
      </c>
      <c r="L13" s="2">
        <v>0.74</v>
      </c>
      <c r="M13" s="2">
        <v>0.79</v>
      </c>
      <c r="N13" s="2">
        <v>0.79</v>
      </c>
      <c r="O13" s="2">
        <v>0.68</v>
      </c>
      <c r="P13" s="2">
        <v>0.77</v>
      </c>
      <c r="Q13" s="2">
        <v>0.72</v>
      </c>
      <c r="R13" s="2">
        <v>0.72</v>
      </c>
      <c r="S13" s="2">
        <v>0.78</v>
      </c>
      <c r="T13" s="2">
        <f>MAX($H13,$S13)</f>
        <v>0.78</v>
      </c>
    </row>
    <row r="16" spans="1:20" ht="25" customHeight="1">
      <c r="B16" t="s">
        <v>1</v>
      </c>
      <c r="C16" t="s">
        <v>2</v>
      </c>
      <c r="D16" t="s">
        <v>26</v>
      </c>
      <c r="E16" t="s">
        <v>4</v>
      </c>
      <c r="F16" t="s">
        <v>5</v>
      </c>
      <c r="G16" t="s">
        <v>27</v>
      </c>
      <c r="H16" t="s">
        <v>6</v>
      </c>
      <c r="I16" t="s">
        <v>7</v>
      </c>
      <c r="J16" t="s">
        <v>8</v>
      </c>
      <c r="K16" t="s">
        <v>9</v>
      </c>
      <c r="L16" t="s">
        <v>10</v>
      </c>
      <c r="M16" t="s">
        <v>11</v>
      </c>
      <c r="N16" t="s">
        <v>12</v>
      </c>
      <c r="O16" t="s">
        <v>13</v>
      </c>
      <c r="P16" t="s">
        <v>14</v>
      </c>
      <c r="Q16" t="s">
        <v>15</v>
      </c>
      <c r="R16" t="s">
        <v>16</v>
      </c>
      <c r="S16" t="s">
        <v>17</v>
      </c>
      <c r="T16" t="s">
        <v>18</v>
      </c>
    </row>
    <row r="17" spans="2:20" ht="25" customHeight="1">
      <c r="B17">
        <v>1</v>
      </c>
      <c r="C17" t="s">
        <v>23</v>
      </c>
      <c r="D17" t="b">
        <v>0</v>
      </c>
      <c r="E17">
        <v>0</v>
      </c>
      <c r="F17" t="s">
        <v>18</v>
      </c>
      <c r="G17" s="3" t="str">
        <f>_xlfn.TEXTJOIN("-",TRUE,Table291113171914[[#This Row],[attribute]],Table291113171914[[#This Row],[supplemented]],Table291113171914[[#This Row],[method]])</f>
        <v>plurality-FALSE-max</v>
      </c>
      <c r="H17" s="1" cm="1">
        <f t="array" ref="H17">_xlfn.LET(_xlpm.d,H$2:H$13,_xlpm.a,$C$2:$C$13=$C17,_xlpm.b,$D$2:$D$13=$D17,MAX(_xlfn._xlws.FILTER(_xlpm.d,_xlpm.a*_xlpm.b)))</f>
        <v>0.92</v>
      </c>
      <c r="I17" s="1" cm="1">
        <f t="array" ref="I17">_xlfn.LET(_xlpm.d,I$2:I$13,_xlpm.a,$C$2:$C$13=$C17,_xlpm.b,$D$2:$D$13=$D17,MAX(_xlfn._xlws.FILTER(_xlpm.d,_xlpm.a*_xlpm.b)))</f>
        <v>0.96</v>
      </c>
      <c r="J17" s="1" cm="1">
        <f t="array" ref="J17">_xlfn.LET(_xlpm.d,J$2:J$13,_xlpm.a,$C$2:$C$13=$C17,_xlpm.b,$D$2:$D$13=$D17,MAX(_xlfn._xlws.FILTER(_xlpm.d,_xlpm.a*_xlpm.b)))</f>
        <v>0.95</v>
      </c>
      <c r="K17" s="1" cm="1">
        <f t="array" ref="K17">_xlfn.LET(_xlpm.d,K$2:K$13,_xlpm.a,$C$2:$C$13=$C17,_xlpm.b,$D$2:$D$13=$D17,MAX(_xlfn._xlws.FILTER(_xlpm.d,_xlpm.a*_xlpm.b)))</f>
        <v>0.96</v>
      </c>
      <c r="L17" s="1" cm="1">
        <f t="array" ref="L17">_xlfn.LET(_xlpm.d,L$2:L$13,_xlpm.a,$C$2:$C$13=$C17,_xlpm.b,$D$2:$D$13=$D17,MAX(_xlfn._xlws.FILTER(_xlpm.d,_xlpm.a*_xlpm.b)))</f>
        <v>0.98</v>
      </c>
      <c r="M17" s="1" cm="1">
        <f t="array" ref="M17">_xlfn.LET(_xlpm.d,M$2:M$13,_xlpm.a,$C$2:$C$13=$C17,_xlpm.b,$D$2:$D$13=$D17,MAX(_xlfn._xlws.FILTER(_xlpm.d,_xlpm.a*_xlpm.b)))</f>
        <v>0.97</v>
      </c>
      <c r="N17" s="1" cm="1">
        <f t="array" ref="N17">_xlfn.LET(_xlpm.d,N$2:N$13,_xlpm.a,$C$2:$C$13=$C17,_xlpm.b,$D$2:$D$13=$D17,MAX(_xlfn._xlws.FILTER(_xlpm.d,_xlpm.a*_xlpm.b)))</f>
        <v>0.97</v>
      </c>
      <c r="O17" s="1" cm="1">
        <f t="array" ref="O17">_xlfn.LET(_xlpm.d,O$2:O$13,_xlpm.a,$C$2:$C$13=$C17,_xlpm.b,$D$2:$D$13=$D17,MAX(_xlfn._xlws.FILTER(_xlpm.d,_xlpm.a*_xlpm.b)))</f>
        <v>0.93</v>
      </c>
      <c r="P17" s="1" cm="1">
        <f t="array" ref="P17">_xlfn.LET(_xlpm.d,P$2:P$13,_xlpm.a,$C$2:$C$13=$C17,_xlpm.b,$D$2:$D$13=$D17,MAX(_xlfn._xlws.FILTER(_xlpm.d,_xlpm.a*_xlpm.b)))</f>
        <v>0.93</v>
      </c>
      <c r="Q17" s="1" cm="1">
        <f t="array" ref="Q17">_xlfn.LET(_xlpm.d,Q$2:Q$13,_xlpm.a,$C$2:$C$13=$C17,_xlpm.b,$D$2:$D$13=$D17,MAX(_xlfn._xlws.FILTER(_xlpm.d,_xlpm.a*_xlpm.b)))</f>
        <v>0.98</v>
      </c>
      <c r="R17" s="1" cm="1">
        <f t="array" ref="R17">_xlfn.LET(_xlpm.d,R$2:R$13,_xlpm.a,$C$2:$C$13=$C17,_xlpm.b,$D$2:$D$13=$D17,MAX(_xlfn._xlws.FILTER(_xlpm.d,_xlpm.a*_xlpm.b)))</f>
        <v>0.96</v>
      </c>
      <c r="S17" s="1" cm="1">
        <f t="array" ref="S17">_xlfn.LET(_xlpm.d,S$2:S$13,_xlpm.a,$C$2:$C$13=$C17,_xlpm.b,$D$2:$D$13=$D17,MAX(_xlfn._xlws.FILTER(_xlpm.d,_xlpm.a*_xlpm.b)))</f>
        <v>0.95</v>
      </c>
      <c r="T17" s="1" cm="1">
        <f t="array" ref="T17">_xlfn.LET(_xlpm.d,T$2:T$13,_xlpm.a,$C$2:$C$13=$C17,_xlpm.b,$D$2:$D$13=$D17,MAX(_xlfn._xlws.FILTER(_xlpm.d,_xlpm.a*_xlpm.b)))</f>
        <v>0.95</v>
      </c>
    </row>
    <row r="18" spans="2:20" ht="25" customHeight="1">
      <c r="B18">
        <v>1</v>
      </c>
      <c r="C18" t="s">
        <v>23</v>
      </c>
      <c r="D18" t="b">
        <v>1</v>
      </c>
      <c r="E18">
        <v>0</v>
      </c>
      <c r="F18" t="s">
        <v>18</v>
      </c>
      <c r="G18" s="4" t="str">
        <f>_xlfn.TEXTJOIN("-",TRUE,Table291113171914[[#This Row],[attribute]],Table291113171914[[#This Row],[supplemented]],Table291113171914[[#This Row],[method]])</f>
        <v>plurality-TRUE-max</v>
      </c>
      <c r="H18" s="1" cm="1">
        <f t="array" ref="H18">_xlfn.LET(_xlpm.d,H$2:H$13,_xlpm.a,$C$2:$C$13=$C18,_xlpm.b,$D$2:$D$13=$D18,MAX(_xlfn._xlws.FILTER(_xlpm.d,_xlpm.a*_xlpm.b)))</f>
        <v>0.96</v>
      </c>
      <c r="I18" s="1" cm="1">
        <f t="array" ref="I18">_xlfn.LET(_xlpm.d,I$2:I$13,_xlpm.a,$C$2:$C$13=$C18,_xlpm.b,$D$2:$D$13=$D18,MAX(_xlfn._xlws.FILTER(_xlpm.d,_xlpm.a*_xlpm.b)))</f>
        <v>0.94</v>
      </c>
      <c r="J18" s="1" cm="1">
        <f t="array" ref="J18">_xlfn.LET(_xlpm.d,J$2:J$13,_xlpm.a,$C$2:$C$13=$C18,_xlpm.b,$D$2:$D$13=$D18,MAX(_xlfn._xlws.FILTER(_xlpm.d,_xlpm.a*_xlpm.b)))</f>
        <v>0.93</v>
      </c>
      <c r="K18" s="1" cm="1">
        <f t="array" ref="K18">_xlfn.LET(_xlpm.d,K$2:K$13,_xlpm.a,$C$2:$C$13=$C18,_xlpm.b,$D$2:$D$13=$D18,MAX(_xlfn._xlws.FILTER(_xlpm.d,_xlpm.a*_xlpm.b)))</f>
        <v>0.97</v>
      </c>
      <c r="L18" s="1" cm="1">
        <f t="array" ref="L18">_xlfn.LET(_xlpm.d,L$2:L$13,_xlpm.a,$C$2:$C$13=$C18,_xlpm.b,$D$2:$D$13=$D18,MAX(_xlfn._xlws.FILTER(_xlpm.d,_xlpm.a*_xlpm.b)))</f>
        <v>0.95</v>
      </c>
      <c r="M18" s="1" cm="1">
        <f t="array" ref="M18">_xlfn.LET(_xlpm.d,M$2:M$13,_xlpm.a,$C$2:$C$13=$C18,_xlpm.b,$D$2:$D$13=$D18,MAX(_xlfn._xlws.FILTER(_xlpm.d,_xlpm.a*_xlpm.b)))</f>
        <v>0.98</v>
      </c>
      <c r="N18" s="1" cm="1">
        <f t="array" ref="N18">_xlfn.LET(_xlpm.d,N$2:N$13,_xlpm.a,$C$2:$C$13=$C18,_xlpm.b,$D$2:$D$13=$D18,MAX(_xlfn._xlws.FILTER(_xlpm.d,_xlpm.a*_xlpm.b)))</f>
        <v>0.95</v>
      </c>
      <c r="O18" s="1" cm="1">
        <f t="array" ref="O18">_xlfn.LET(_xlpm.d,O$2:O$13,_xlpm.a,$C$2:$C$13=$C18,_xlpm.b,$D$2:$D$13=$D18,MAX(_xlfn._xlws.FILTER(_xlpm.d,_xlpm.a*_xlpm.b)))</f>
        <v>0.95</v>
      </c>
      <c r="P18" s="1" cm="1">
        <f t="array" ref="P18">_xlfn.LET(_xlpm.d,P$2:P$13,_xlpm.a,$C$2:$C$13=$C18,_xlpm.b,$D$2:$D$13=$D18,MAX(_xlfn._xlws.FILTER(_xlpm.d,_xlpm.a*_xlpm.b)))</f>
        <v>0.93</v>
      </c>
      <c r="Q18" s="1" cm="1">
        <f t="array" ref="Q18">_xlfn.LET(_xlpm.d,Q$2:Q$13,_xlpm.a,$C$2:$C$13=$C18,_xlpm.b,$D$2:$D$13=$D18,MAX(_xlfn._xlws.FILTER(_xlpm.d,_xlpm.a*_xlpm.b)))</f>
        <v>0.98</v>
      </c>
      <c r="R18" s="1" cm="1">
        <f t="array" ref="R18">_xlfn.LET(_xlpm.d,R$2:R$13,_xlpm.a,$C$2:$C$13=$C18,_xlpm.b,$D$2:$D$13=$D18,MAX(_xlfn._xlws.FILTER(_xlpm.d,_xlpm.a*_xlpm.b)))</f>
        <v>0.95</v>
      </c>
      <c r="S18" s="1" cm="1">
        <f t="array" ref="S18">_xlfn.LET(_xlpm.d,S$2:S$13,_xlpm.a,$C$2:$C$13=$C18,_xlpm.b,$D$2:$D$13=$D18,MAX(_xlfn._xlws.FILTER(_xlpm.d,_xlpm.a*_xlpm.b)))</f>
        <v>0.96</v>
      </c>
      <c r="T18" s="1" cm="1">
        <f t="array" ref="T18">_xlfn.LET(_xlpm.d,T$2:T$13,_xlpm.a,$C$2:$C$13=$C18,_xlpm.b,$D$2:$D$13=$D18,MAX(_xlfn._xlws.FILTER(_xlpm.d,_xlpm.a*_xlpm.b)))</f>
        <v>0.96</v>
      </c>
    </row>
    <row r="19" spans="2:20" ht="25" customHeight="1">
      <c r="B19">
        <v>2</v>
      </c>
      <c r="C19" t="s">
        <v>22</v>
      </c>
      <c r="D19" t="b">
        <v>0</v>
      </c>
      <c r="E19">
        <v>0</v>
      </c>
      <c r="F19" t="s">
        <v>18</v>
      </c>
      <c r="G19" t="str">
        <f>_xlfn.TEXTJOIN("-",TRUE,Table291113171914[[#This Row],[attribute]],Table291113171914[[#This Row],[supplemented]],Table291113171914[[#This Row],[method]])</f>
        <v>gender-FALSE-max</v>
      </c>
      <c r="H19" s="1" cm="1">
        <f t="array" ref="H19">_xlfn.LET(_xlpm.d,H$2:H$13,_xlpm.a,$C$2:$C$13=$C19,_xlpm.b,$D$2:$D$13=$D19,MAX(_xlfn._xlws.FILTER(_xlpm.d,_xlpm.a*_xlpm.b)))</f>
        <v>0.76</v>
      </c>
      <c r="I19" s="1" cm="1">
        <f t="array" ref="I19">_xlfn.LET(_xlpm.d,I$2:I$13,_xlpm.a,$C$2:$C$13=$C19,_xlpm.b,$D$2:$D$13=$D19,MAX(_xlfn._xlws.FILTER(_xlpm.d,_xlpm.a*_xlpm.b)))</f>
        <v>0.79</v>
      </c>
      <c r="J19" s="1" cm="1">
        <f t="array" ref="J19">_xlfn.LET(_xlpm.d,J$2:J$13,_xlpm.a,$C$2:$C$13=$C19,_xlpm.b,$D$2:$D$13=$D19,MAX(_xlfn._xlws.FILTER(_xlpm.d,_xlpm.a*_xlpm.b)))</f>
        <v>0.74</v>
      </c>
      <c r="K19" s="1" cm="1">
        <f t="array" ref="K19">_xlfn.LET(_xlpm.d,K$2:K$13,_xlpm.a,$C$2:$C$13=$C19,_xlpm.b,$D$2:$D$13=$D19,MAX(_xlfn._xlws.FILTER(_xlpm.d,_xlpm.a*_xlpm.b)))</f>
        <v>0.79</v>
      </c>
      <c r="L19" s="1" cm="1">
        <f t="array" ref="L19">_xlfn.LET(_xlpm.d,L$2:L$13,_xlpm.a,$C$2:$C$13=$C19,_xlpm.b,$D$2:$D$13=$D19,MAX(_xlfn._xlws.FILTER(_xlpm.d,_xlpm.a*_xlpm.b)))</f>
        <v>0.82</v>
      </c>
      <c r="M19" s="1" cm="1">
        <f t="array" ref="M19">_xlfn.LET(_xlpm.d,M$2:M$13,_xlpm.a,$C$2:$C$13=$C19,_xlpm.b,$D$2:$D$13=$D19,MAX(_xlfn._xlws.FILTER(_xlpm.d,_xlpm.a*_xlpm.b)))</f>
        <v>0.82</v>
      </c>
      <c r="N19" s="1" cm="1">
        <f t="array" ref="N19">_xlfn.LET(_xlpm.d,N$2:N$13,_xlpm.a,$C$2:$C$13=$C19,_xlpm.b,$D$2:$D$13=$D19,MAX(_xlfn._xlws.FILTER(_xlpm.d,_xlpm.a*_xlpm.b)))</f>
        <v>0.79</v>
      </c>
      <c r="O19" s="1" cm="1">
        <f t="array" ref="O19">_xlfn.LET(_xlpm.d,O$2:O$13,_xlpm.a,$C$2:$C$13=$C19,_xlpm.b,$D$2:$D$13=$D19,MAX(_xlfn._xlws.FILTER(_xlpm.d,_xlpm.a*_xlpm.b)))</f>
        <v>0.78</v>
      </c>
      <c r="P19" s="1" cm="1">
        <f t="array" ref="P19">_xlfn.LET(_xlpm.d,P$2:P$13,_xlpm.a,$C$2:$C$13=$C19,_xlpm.b,$D$2:$D$13=$D19,MAX(_xlfn._xlws.FILTER(_xlpm.d,_xlpm.a*_xlpm.b)))</f>
        <v>0.81</v>
      </c>
      <c r="Q19" s="1" cm="1">
        <f t="array" ref="Q19">_xlfn.LET(_xlpm.d,Q$2:Q$13,_xlpm.a,$C$2:$C$13=$C19,_xlpm.b,$D$2:$D$13=$D19,MAX(_xlfn._xlws.FILTER(_xlpm.d,_xlpm.a*_xlpm.b)))</f>
        <v>0.78</v>
      </c>
      <c r="R19" s="1" cm="1">
        <f t="array" ref="R19">_xlfn.LET(_xlpm.d,R$2:R$13,_xlpm.a,$C$2:$C$13=$C19,_xlpm.b,$D$2:$D$13=$D19,MAX(_xlfn._xlws.FILTER(_xlpm.d,_xlpm.a*_xlpm.b)))</f>
        <v>0.72</v>
      </c>
      <c r="S19" s="1" cm="1">
        <f t="array" ref="S19">_xlfn.LET(_xlpm.d,S$2:S$13,_xlpm.a,$C$2:$C$13=$C19,_xlpm.b,$D$2:$D$13=$D19,MAX(_xlfn._xlws.FILTER(_xlpm.d,_xlpm.a*_xlpm.b)))</f>
        <v>0.79</v>
      </c>
      <c r="T19" s="1" cm="1">
        <f t="array" ref="T19">_xlfn.LET(_xlpm.d,T$2:T$13,_xlpm.a,$C$2:$C$13=$C19,_xlpm.b,$D$2:$D$13=$D19,MAX(_xlfn._xlws.FILTER(_xlpm.d,_xlpm.a*_xlpm.b)))</f>
        <v>0.79</v>
      </c>
    </row>
    <row r="20" spans="2:20" ht="25" customHeight="1">
      <c r="B20">
        <v>2</v>
      </c>
      <c r="C20" t="s">
        <v>22</v>
      </c>
      <c r="D20" t="b">
        <v>1</v>
      </c>
      <c r="E20">
        <v>0</v>
      </c>
      <c r="F20" t="s">
        <v>18</v>
      </c>
      <c r="G20" t="str">
        <f>_xlfn.TEXTJOIN("-",TRUE,Table291113171914[[#This Row],[attribute]],Table291113171914[[#This Row],[supplemented]],Table291113171914[[#This Row],[method]])</f>
        <v>gender-TRUE-max</v>
      </c>
      <c r="H20" s="1" cm="1">
        <f t="array" ref="H20">_xlfn.LET(_xlpm.d,H$2:H$13,_xlpm.a,$C$2:$C$13=$C20,_xlpm.b,$D$2:$D$13=$D20,MAX(_xlfn._xlws.FILTER(_xlpm.d,_xlpm.a*_xlpm.b)))</f>
        <v>0.77</v>
      </c>
      <c r="I20" s="1" cm="1">
        <f t="array" ref="I20">_xlfn.LET(_xlpm.d,I$2:I$13,_xlpm.a,$C$2:$C$13=$C20,_xlpm.b,$D$2:$D$13=$D20,MAX(_xlfn._xlws.FILTER(_xlpm.d,_xlpm.a*_xlpm.b)))</f>
        <v>0.8</v>
      </c>
      <c r="J20" s="1" cm="1">
        <f t="array" ref="J20">_xlfn.LET(_xlpm.d,J$2:J$13,_xlpm.a,$C$2:$C$13=$C20,_xlpm.b,$D$2:$D$13=$D20,MAX(_xlfn._xlws.FILTER(_xlpm.d,_xlpm.a*_xlpm.b)))</f>
        <v>0.77</v>
      </c>
      <c r="K20" s="1" cm="1">
        <f t="array" ref="K20">_xlfn.LET(_xlpm.d,K$2:K$13,_xlpm.a,$C$2:$C$13=$C20,_xlpm.b,$D$2:$D$13=$D20,MAX(_xlfn._xlws.FILTER(_xlpm.d,_xlpm.a*_xlpm.b)))</f>
        <v>0.82</v>
      </c>
      <c r="L20" s="1" cm="1">
        <f t="array" ref="L20">_xlfn.LET(_xlpm.d,L$2:L$13,_xlpm.a,$C$2:$C$13=$C20,_xlpm.b,$D$2:$D$13=$D20,MAX(_xlfn._xlws.FILTER(_xlpm.d,_xlpm.a*_xlpm.b)))</f>
        <v>0.84</v>
      </c>
      <c r="M20" s="1" cm="1">
        <f t="array" ref="M20">_xlfn.LET(_xlpm.d,M$2:M$13,_xlpm.a,$C$2:$C$13=$C20,_xlpm.b,$D$2:$D$13=$D20,MAX(_xlfn._xlws.FILTER(_xlpm.d,_xlpm.a*_xlpm.b)))</f>
        <v>0.79</v>
      </c>
      <c r="N20" s="1" cm="1">
        <f t="array" ref="N20">_xlfn.LET(_xlpm.d,N$2:N$13,_xlpm.a,$C$2:$C$13=$C20,_xlpm.b,$D$2:$D$13=$D20,MAX(_xlfn._xlws.FILTER(_xlpm.d,_xlpm.a*_xlpm.b)))</f>
        <v>0.82</v>
      </c>
      <c r="O20" s="1" cm="1">
        <f t="array" ref="O20">_xlfn.LET(_xlpm.d,O$2:O$13,_xlpm.a,$C$2:$C$13=$C20,_xlpm.b,$D$2:$D$13=$D20,MAX(_xlfn._xlws.FILTER(_xlpm.d,_xlpm.a*_xlpm.b)))</f>
        <v>0.78</v>
      </c>
      <c r="P20" s="1" cm="1">
        <f t="array" ref="P20">_xlfn.LET(_xlpm.d,P$2:P$13,_xlpm.a,$C$2:$C$13=$C20,_xlpm.b,$D$2:$D$13=$D20,MAX(_xlfn._xlws.FILTER(_xlpm.d,_xlpm.a*_xlpm.b)))</f>
        <v>0.81</v>
      </c>
      <c r="Q20" s="1" cm="1">
        <f t="array" ref="Q20">_xlfn.LET(_xlpm.d,Q$2:Q$13,_xlpm.a,$C$2:$C$13=$C20,_xlpm.b,$D$2:$D$13=$D20,MAX(_xlfn._xlws.FILTER(_xlpm.d,_xlpm.a*_xlpm.b)))</f>
        <v>0.79</v>
      </c>
      <c r="R20" s="1" cm="1">
        <f t="array" ref="R20">_xlfn.LET(_xlpm.d,R$2:R$13,_xlpm.a,$C$2:$C$13=$C20,_xlpm.b,$D$2:$D$13=$D20,MAX(_xlfn._xlws.FILTER(_xlpm.d,_xlpm.a*_xlpm.b)))</f>
        <v>0.72</v>
      </c>
      <c r="S20" s="1" cm="1">
        <f t="array" ref="S20">_xlfn.LET(_xlpm.d,S$2:S$13,_xlpm.a,$C$2:$C$13=$C20,_xlpm.b,$D$2:$D$13=$D20,MAX(_xlfn._xlws.FILTER(_xlpm.d,_xlpm.a*_xlpm.b)))</f>
        <v>0.78</v>
      </c>
      <c r="T20" s="1" cm="1">
        <f t="array" ref="T20">_xlfn.LET(_xlpm.d,T$2:T$13,_xlpm.a,$C$2:$C$13=$C20,_xlpm.b,$D$2:$D$13=$D20,MAX(_xlfn._xlws.FILTER(_xlpm.d,_xlpm.a*_xlpm.b)))</f>
        <v>0.78</v>
      </c>
    </row>
  </sheetData>
  <conditionalFormatting sqref="H2:T13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17:T20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E478F-BC88-3640-942B-79B6CF152A60}">
  <dimension ref="A1:T20"/>
  <sheetViews>
    <sheetView workbookViewId="0">
      <selection activeCell="H17" sqref="H17:T20"/>
    </sheetView>
  </sheetViews>
  <sheetFormatPr baseColWidth="10" defaultRowHeight="25" customHeight="1"/>
  <cols>
    <col min="2" max="2" width="7.125" customWidth="1"/>
    <col min="3" max="3" width="9.875" customWidth="1"/>
    <col min="4" max="6" width="7.125" customWidth="1"/>
    <col min="7" max="19" width="7.87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ht="25" customHeight="1">
      <c r="A2" t="s">
        <v>24</v>
      </c>
      <c r="B2">
        <v>1</v>
      </c>
      <c r="C2" t="s">
        <v>23</v>
      </c>
      <c r="D2" t="b">
        <v>0</v>
      </c>
      <c r="E2">
        <v>1</v>
      </c>
      <c r="F2" t="s">
        <v>19</v>
      </c>
      <c r="H2" s="2">
        <v>0.88</v>
      </c>
      <c r="I2" s="2">
        <v>0.83</v>
      </c>
      <c r="J2" s="2">
        <v>0.9</v>
      </c>
      <c r="K2" s="2">
        <v>0.93</v>
      </c>
      <c r="L2" s="2">
        <v>0.86</v>
      </c>
      <c r="M2" s="2">
        <v>0.83</v>
      </c>
      <c r="N2" s="2">
        <v>0.93</v>
      </c>
      <c r="O2" s="2">
        <v>0.88</v>
      </c>
      <c r="P2" s="2">
        <v>0.86</v>
      </c>
      <c r="Q2" s="2">
        <v>0.91</v>
      </c>
      <c r="R2" s="2">
        <v>0.82</v>
      </c>
      <c r="S2" s="2">
        <v>0.88</v>
      </c>
      <c r="T2" s="2">
        <f>MAX($H2:$S2)</f>
        <v>0.93</v>
      </c>
    </row>
    <row r="3" spans="1:20" ht="25" customHeight="1">
      <c r="A3" t="s">
        <v>24</v>
      </c>
      <c r="B3">
        <v>1</v>
      </c>
      <c r="C3" t="s">
        <v>23</v>
      </c>
      <c r="D3" t="b">
        <v>0</v>
      </c>
      <c r="E3">
        <v>2</v>
      </c>
      <c r="F3" t="s">
        <v>20</v>
      </c>
      <c r="H3" s="2">
        <v>0.89</v>
      </c>
      <c r="I3" s="2">
        <v>0.88</v>
      </c>
      <c r="J3" s="2">
        <v>0.95</v>
      </c>
      <c r="K3" s="2">
        <v>0.95</v>
      </c>
      <c r="L3" s="2">
        <v>0.95</v>
      </c>
      <c r="M3" s="2">
        <v>0.94</v>
      </c>
      <c r="N3" s="2">
        <v>0.94</v>
      </c>
      <c r="O3" s="2">
        <v>0.92</v>
      </c>
      <c r="P3" s="2">
        <v>0.94</v>
      </c>
      <c r="Q3" s="2">
        <v>0.94</v>
      </c>
      <c r="R3" s="2">
        <v>0.91</v>
      </c>
      <c r="S3" s="2">
        <v>0.96</v>
      </c>
      <c r="T3" s="2">
        <f>MAX($H3:$S3)</f>
        <v>0.96</v>
      </c>
    </row>
    <row r="4" spans="1:20" ht="25" customHeight="1">
      <c r="A4" t="s">
        <v>24</v>
      </c>
      <c r="B4">
        <v>1</v>
      </c>
      <c r="C4" t="s">
        <v>23</v>
      </c>
      <c r="D4" t="b">
        <v>0</v>
      </c>
      <c r="E4">
        <v>3</v>
      </c>
      <c r="F4" t="s">
        <v>21</v>
      </c>
      <c r="H4" s="2">
        <v>0.9</v>
      </c>
      <c r="I4" s="2">
        <v>0.95</v>
      </c>
      <c r="J4" s="2">
        <v>0.95</v>
      </c>
      <c r="K4" s="2">
        <v>0.96</v>
      </c>
      <c r="L4" s="2">
        <v>0.94</v>
      </c>
      <c r="M4" s="2">
        <v>0.94</v>
      </c>
      <c r="N4" s="2">
        <v>0.95</v>
      </c>
      <c r="O4" s="2">
        <v>0.94</v>
      </c>
      <c r="P4" s="2">
        <v>0.94</v>
      </c>
      <c r="Q4" s="2">
        <v>0.95</v>
      </c>
      <c r="R4" s="2">
        <v>0.94</v>
      </c>
      <c r="S4" s="2">
        <v>0.95</v>
      </c>
      <c r="T4" s="2">
        <f>MAX($H4:$S4)</f>
        <v>0.96</v>
      </c>
    </row>
    <row r="5" spans="1:20" ht="25" customHeight="1">
      <c r="A5" t="s">
        <v>24</v>
      </c>
      <c r="B5">
        <v>1</v>
      </c>
      <c r="C5" t="s">
        <v>23</v>
      </c>
      <c r="D5" t="b">
        <v>1</v>
      </c>
      <c r="E5">
        <v>1</v>
      </c>
      <c r="F5" t="s">
        <v>19</v>
      </c>
      <c r="H5" s="2">
        <v>0.89</v>
      </c>
      <c r="I5" s="2">
        <v>0.89</v>
      </c>
      <c r="J5" s="2">
        <v>0.91</v>
      </c>
      <c r="K5" s="2">
        <v>0.89</v>
      </c>
      <c r="L5" s="2">
        <v>0.89</v>
      </c>
      <c r="M5" s="2">
        <v>0.88</v>
      </c>
      <c r="N5" s="2">
        <v>0.94</v>
      </c>
      <c r="O5" s="2">
        <v>0.89</v>
      </c>
      <c r="P5" s="2">
        <v>0.92</v>
      </c>
      <c r="Q5" s="2">
        <v>0.85</v>
      </c>
      <c r="R5" s="2">
        <v>0.86</v>
      </c>
      <c r="S5" s="2">
        <v>0.87</v>
      </c>
      <c r="T5" s="2">
        <f>MAX($H5:$S5)</f>
        <v>0.94</v>
      </c>
    </row>
    <row r="6" spans="1:20" ht="25" customHeight="1">
      <c r="A6" t="s">
        <v>24</v>
      </c>
      <c r="B6">
        <v>1</v>
      </c>
      <c r="C6" t="s">
        <v>23</v>
      </c>
      <c r="D6" t="b">
        <v>1</v>
      </c>
      <c r="E6">
        <v>2</v>
      </c>
      <c r="F6" t="s">
        <v>20</v>
      </c>
      <c r="H6" s="2">
        <v>0.9</v>
      </c>
      <c r="I6" s="2">
        <v>0.89</v>
      </c>
      <c r="J6" s="2">
        <v>0.94</v>
      </c>
      <c r="K6" s="2">
        <v>0.95</v>
      </c>
      <c r="L6" s="2">
        <v>0.94</v>
      </c>
      <c r="M6" s="2">
        <v>0.94</v>
      </c>
      <c r="N6" s="2">
        <v>0.94</v>
      </c>
      <c r="O6" s="2">
        <v>0.92</v>
      </c>
      <c r="P6" s="2">
        <v>0.94</v>
      </c>
      <c r="Q6" s="2">
        <v>0.94</v>
      </c>
      <c r="R6" s="2">
        <v>0.92</v>
      </c>
      <c r="S6" s="2">
        <v>0.93</v>
      </c>
      <c r="T6" s="2">
        <f>MAX($H6:$S6)</f>
        <v>0.95</v>
      </c>
    </row>
    <row r="7" spans="1:20" ht="25" customHeight="1">
      <c r="A7" t="s">
        <v>24</v>
      </c>
      <c r="B7">
        <v>1</v>
      </c>
      <c r="C7" t="s">
        <v>23</v>
      </c>
      <c r="D7" t="b">
        <v>1</v>
      </c>
      <c r="E7">
        <v>3</v>
      </c>
      <c r="F7" t="s">
        <v>21</v>
      </c>
      <c r="H7" s="2">
        <v>0.91</v>
      </c>
      <c r="I7" s="2">
        <v>0.94</v>
      </c>
      <c r="J7" s="2">
        <v>0.92</v>
      </c>
      <c r="K7" s="2">
        <v>0.96</v>
      </c>
      <c r="L7" s="2">
        <v>0.94</v>
      </c>
      <c r="M7" s="2">
        <v>0.96</v>
      </c>
      <c r="N7" s="2">
        <v>0.93</v>
      </c>
      <c r="O7" s="2">
        <v>0.95</v>
      </c>
      <c r="P7" s="2">
        <v>0.94</v>
      </c>
      <c r="Q7" s="2">
        <v>0.95</v>
      </c>
      <c r="R7" s="2">
        <v>0.94</v>
      </c>
      <c r="S7" s="2">
        <v>0.93</v>
      </c>
      <c r="T7" s="2">
        <f>MAX($H7:$S7)</f>
        <v>0.96</v>
      </c>
    </row>
    <row r="8" spans="1:20" ht="25" customHeight="1">
      <c r="A8" t="s">
        <v>24</v>
      </c>
      <c r="B8">
        <v>2</v>
      </c>
      <c r="C8" t="s">
        <v>22</v>
      </c>
      <c r="D8" t="b">
        <v>0</v>
      </c>
      <c r="E8">
        <v>1</v>
      </c>
      <c r="F8" t="s">
        <v>19</v>
      </c>
      <c r="H8" s="2">
        <v>0.7</v>
      </c>
      <c r="I8" s="2">
        <v>0.73</v>
      </c>
      <c r="J8" s="2">
        <v>0.7</v>
      </c>
      <c r="K8" s="2">
        <v>0.68</v>
      </c>
      <c r="L8" s="2">
        <v>0.68</v>
      </c>
      <c r="M8" s="2">
        <v>0.72</v>
      </c>
      <c r="N8" s="2">
        <v>0.71</v>
      </c>
      <c r="O8" s="2">
        <v>0.7</v>
      </c>
      <c r="P8" s="2">
        <v>0.74</v>
      </c>
      <c r="Q8" s="2">
        <v>0.61</v>
      </c>
      <c r="R8" s="2">
        <v>0.72</v>
      </c>
      <c r="S8" s="2">
        <v>0.7</v>
      </c>
      <c r="T8" s="2">
        <f>MAX($H8:$S8)</f>
        <v>0.74</v>
      </c>
    </row>
    <row r="9" spans="1:20" ht="25" customHeight="1">
      <c r="A9" t="s">
        <v>24</v>
      </c>
      <c r="B9">
        <v>2</v>
      </c>
      <c r="C9" t="s">
        <v>22</v>
      </c>
      <c r="D9" t="b">
        <v>0</v>
      </c>
      <c r="E9">
        <v>2</v>
      </c>
      <c r="F9" t="s">
        <v>20</v>
      </c>
      <c r="H9" s="2">
        <v>0.76</v>
      </c>
      <c r="I9" s="2">
        <v>0.81</v>
      </c>
      <c r="J9" s="2">
        <v>0.79</v>
      </c>
      <c r="K9" s="2">
        <v>0.75</v>
      </c>
      <c r="L9" s="2">
        <v>0.79</v>
      </c>
      <c r="M9" s="2">
        <v>0.84</v>
      </c>
      <c r="N9" s="2">
        <v>0.78</v>
      </c>
      <c r="O9" s="2">
        <v>0.81</v>
      </c>
      <c r="P9" s="2">
        <v>0.79</v>
      </c>
      <c r="Q9" s="2">
        <v>0.77</v>
      </c>
      <c r="R9" s="2">
        <v>0.79</v>
      </c>
      <c r="S9" s="2">
        <v>0.8</v>
      </c>
      <c r="T9" s="2">
        <f>MAX($H9:$S9)</f>
        <v>0.84</v>
      </c>
    </row>
    <row r="10" spans="1:20" ht="25" customHeight="1">
      <c r="A10" t="s">
        <v>24</v>
      </c>
      <c r="B10">
        <v>2</v>
      </c>
      <c r="C10" t="s">
        <v>22</v>
      </c>
      <c r="D10" t="b">
        <v>0</v>
      </c>
      <c r="E10">
        <v>3</v>
      </c>
      <c r="F10" t="s">
        <v>21</v>
      </c>
      <c r="H10" s="2">
        <v>0.73</v>
      </c>
      <c r="I10" s="2">
        <v>0.73</v>
      </c>
      <c r="J10" s="2">
        <v>0.78</v>
      </c>
      <c r="K10" s="2">
        <v>0.72</v>
      </c>
      <c r="L10" s="2">
        <v>0.8</v>
      </c>
      <c r="M10" s="2">
        <v>0.8</v>
      </c>
      <c r="N10" s="2">
        <v>0.79</v>
      </c>
      <c r="O10" s="2">
        <v>0.78</v>
      </c>
      <c r="P10" s="2">
        <v>0.76</v>
      </c>
      <c r="Q10" s="2">
        <v>0.74</v>
      </c>
      <c r="R10" s="2">
        <v>0.75</v>
      </c>
      <c r="S10" s="2">
        <v>0.78</v>
      </c>
      <c r="T10" s="2">
        <f>MAX($H10:$S10)</f>
        <v>0.8</v>
      </c>
    </row>
    <row r="11" spans="1:20" ht="25" customHeight="1">
      <c r="A11" t="s">
        <v>24</v>
      </c>
      <c r="B11">
        <v>2</v>
      </c>
      <c r="C11" t="s">
        <v>22</v>
      </c>
      <c r="D11" t="b">
        <v>1</v>
      </c>
      <c r="E11">
        <v>1</v>
      </c>
      <c r="F11" t="s">
        <v>19</v>
      </c>
      <c r="H11" s="2">
        <v>0.68</v>
      </c>
      <c r="I11" s="2">
        <v>0.76</v>
      </c>
      <c r="J11" s="2">
        <v>0.71</v>
      </c>
      <c r="K11" s="2">
        <v>0.68</v>
      </c>
      <c r="L11" s="2">
        <v>0.75</v>
      </c>
      <c r="M11" s="2">
        <v>0.73</v>
      </c>
      <c r="N11" s="2">
        <v>0.77</v>
      </c>
      <c r="O11" s="2">
        <v>0.67</v>
      </c>
      <c r="P11" s="2">
        <v>0.69</v>
      </c>
      <c r="Q11" s="2">
        <v>0.65</v>
      </c>
      <c r="R11" s="2">
        <v>0.72</v>
      </c>
      <c r="S11" s="2">
        <v>0.68</v>
      </c>
      <c r="T11" s="2">
        <f>MAX($H11:$S11)</f>
        <v>0.77</v>
      </c>
    </row>
    <row r="12" spans="1:20" ht="25" customHeight="1">
      <c r="A12" t="s">
        <v>24</v>
      </c>
      <c r="B12">
        <v>2</v>
      </c>
      <c r="C12" t="s">
        <v>22</v>
      </c>
      <c r="D12" t="b">
        <v>1</v>
      </c>
      <c r="E12">
        <v>2</v>
      </c>
      <c r="F12" t="s">
        <v>20</v>
      </c>
      <c r="H12" s="2">
        <v>0.77</v>
      </c>
      <c r="I12" s="2">
        <v>0.81</v>
      </c>
      <c r="J12" s="2">
        <v>0.8</v>
      </c>
      <c r="K12" s="2">
        <v>0.77</v>
      </c>
      <c r="L12" s="2">
        <v>0.8</v>
      </c>
      <c r="M12" s="2">
        <v>0.82</v>
      </c>
      <c r="N12" s="2">
        <v>0.8</v>
      </c>
      <c r="O12" s="2">
        <v>0.81</v>
      </c>
      <c r="P12" s="2">
        <v>0.82</v>
      </c>
      <c r="Q12" s="2">
        <v>0.77</v>
      </c>
      <c r="R12" s="2">
        <v>0.78</v>
      </c>
      <c r="S12" s="2">
        <v>0.81</v>
      </c>
      <c r="T12" s="2">
        <f>MAX($H12:$S12)</f>
        <v>0.82</v>
      </c>
    </row>
    <row r="13" spans="1:20" ht="25" customHeight="1">
      <c r="A13" t="s">
        <v>24</v>
      </c>
      <c r="B13">
        <v>2</v>
      </c>
      <c r="C13" t="s">
        <v>22</v>
      </c>
      <c r="D13" t="b">
        <v>1</v>
      </c>
      <c r="E13">
        <v>3</v>
      </c>
      <c r="F13" t="s">
        <v>21</v>
      </c>
      <c r="H13" s="2">
        <v>0.74</v>
      </c>
      <c r="I13" s="2">
        <v>0.79</v>
      </c>
      <c r="J13" s="2">
        <v>0.85</v>
      </c>
      <c r="K13" s="2">
        <v>0.7</v>
      </c>
      <c r="L13" s="2">
        <v>0.79</v>
      </c>
      <c r="M13" s="2">
        <v>0.83</v>
      </c>
      <c r="N13" s="2">
        <v>0.73</v>
      </c>
      <c r="O13" s="2">
        <v>0.78</v>
      </c>
      <c r="P13" s="2">
        <v>0.74</v>
      </c>
      <c r="Q13" s="2">
        <v>0.76</v>
      </c>
      <c r="R13" s="2">
        <v>0.8</v>
      </c>
      <c r="S13" s="2">
        <v>0.77</v>
      </c>
      <c r="T13" s="2">
        <f>MAX($H13:$S13)</f>
        <v>0.85</v>
      </c>
    </row>
    <row r="16" spans="1:20" ht="25" customHeight="1">
      <c r="B16" t="s">
        <v>1</v>
      </c>
      <c r="C16" t="s">
        <v>2</v>
      </c>
      <c r="D16" t="s">
        <v>26</v>
      </c>
      <c r="E16" t="s">
        <v>4</v>
      </c>
      <c r="F16" t="s">
        <v>5</v>
      </c>
      <c r="G16" t="s">
        <v>27</v>
      </c>
      <c r="H16" t="s">
        <v>6</v>
      </c>
      <c r="I16" t="s">
        <v>7</v>
      </c>
      <c r="J16" t="s">
        <v>8</v>
      </c>
      <c r="K16" t="s">
        <v>9</v>
      </c>
      <c r="L16" t="s">
        <v>10</v>
      </c>
      <c r="M16" t="s">
        <v>11</v>
      </c>
      <c r="N16" t="s">
        <v>12</v>
      </c>
      <c r="O16" t="s">
        <v>13</v>
      </c>
      <c r="P16" t="s">
        <v>14</v>
      </c>
      <c r="Q16" t="s">
        <v>15</v>
      </c>
      <c r="R16" t="s">
        <v>16</v>
      </c>
      <c r="S16" t="s">
        <v>17</v>
      </c>
      <c r="T16" t="s">
        <v>18</v>
      </c>
    </row>
    <row r="17" spans="2:20" ht="25" customHeight="1">
      <c r="B17">
        <v>1</v>
      </c>
      <c r="C17" t="s">
        <v>23</v>
      </c>
      <c r="D17" t="b">
        <v>0</v>
      </c>
      <c r="E17">
        <v>0</v>
      </c>
      <c r="F17" t="s">
        <v>18</v>
      </c>
      <c r="G17" s="3" t="str">
        <f>_xlfn.TEXTJOIN("-",TRUE,Table291113171915[[#This Row],[attribute]],Table291113171915[[#This Row],[supplemented]],Table291113171915[[#This Row],[method]])</f>
        <v>plurality-FALSE-max</v>
      </c>
      <c r="H17" s="1" cm="1">
        <f t="array" ref="H17">_xlfn.LET(_xlpm.d,H$2:H$13,_xlpm.a,$C$2:$C$13=$C17,_xlpm.b,$D$2:$D$13=$D17,MAX(_xlfn._xlws.FILTER(_xlpm.d,_xlpm.a*_xlpm.b)))</f>
        <v>0.9</v>
      </c>
      <c r="I17" s="1" cm="1">
        <f t="array" ref="I17">_xlfn.LET(_xlpm.d,I$2:I$13,_xlpm.a,$C$2:$C$13=$C17,_xlpm.b,$D$2:$D$13=$D17,MAX(_xlfn._xlws.FILTER(_xlpm.d,_xlpm.a*_xlpm.b)))</f>
        <v>0.95</v>
      </c>
      <c r="J17" s="1" cm="1">
        <f t="array" ref="J17">_xlfn.LET(_xlpm.d,J$2:J$13,_xlpm.a,$C$2:$C$13=$C17,_xlpm.b,$D$2:$D$13=$D17,MAX(_xlfn._xlws.FILTER(_xlpm.d,_xlpm.a*_xlpm.b)))</f>
        <v>0.95</v>
      </c>
      <c r="K17" s="1" cm="1">
        <f t="array" ref="K17">_xlfn.LET(_xlpm.d,K$2:K$13,_xlpm.a,$C$2:$C$13=$C17,_xlpm.b,$D$2:$D$13=$D17,MAX(_xlfn._xlws.FILTER(_xlpm.d,_xlpm.a*_xlpm.b)))</f>
        <v>0.96</v>
      </c>
      <c r="L17" s="1" cm="1">
        <f t="array" ref="L17">_xlfn.LET(_xlpm.d,L$2:L$13,_xlpm.a,$C$2:$C$13=$C17,_xlpm.b,$D$2:$D$13=$D17,MAX(_xlfn._xlws.FILTER(_xlpm.d,_xlpm.a*_xlpm.b)))</f>
        <v>0.95</v>
      </c>
      <c r="M17" s="1" cm="1">
        <f t="array" ref="M17">_xlfn.LET(_xlpm.d,M$2:M$13,_xlpm.a,$C$2:$C$13=$C17,_xlpm.b,$D$2:$D$13=$D17,MAX(_xlfn._xlws.FILTER(_xlpm.d,_xlpm.a*_xlpm.b)))</f>
        <v>0.94</v>
      </c>
      <c r="N17" s="1" cm="1">
        <f t="array" ref="N17">_xlfn.LET(_xlpm.d,N$2:N$13,_xlpm.a,$C$2:$C$13=$C17,_xlpm.b,$D$2:$D$13=$D17,MAX(_xlfn._xlws.FILTER(_xlpm.d,_xlpm.a*_xlpm.b)))</f>
        <v>0.95</v>
      </c>
      <c r="O17" s="1" cm="1">
        <f t="array" ref="O17">_xlfn.LET(_xlpm.d,O$2:O$13,_xlpm.a,$C$2:$C$13=$C17,_xlpm.b,$D$2:$D$13=$D17,MAX(_xlfn._xlws.FILTER(_xlpm.d,_xlpm.a*_xlpm.b)))</f>
        <v>0.94</v>
      </c>
      <c r="P17" s="1" cm="1">
        <f t="array" ref="P17">_xlfn.LET(_xlpm.d,P$2:P$13,_xlpm.a,$C$2:$C$13=$C17,_xlpm.b,$D$2:$D$13=$D17,MAX(_xlfn._xlws.FILTER(_xlpm.d,_xlpm.a*_xlpm.b)))</f>
        <v>0.94</v>
      </c>
      <c r="Q17" s="1" cm="1">
        <f t="array" ref="Q17">_xlfn.LET(_xlpm.d,Q$2:Q$13,_xlpm.a,$C$2:$C$13=$C17,_xlpm.b,$D$2:$D$13=$D17,MAX(_xlfn._xlws.FILTER(_xlpm.d,_xlpm.a*_xlpm.b)))</f>
        <v>0.95</v>
      </c>
      <c r="R17" s="1" cm="1">
        <f t="array" ref="R17">_xlfn.LET(_xlpm.d,R$2:R$13,_xlpm.a,$C$2:$C$13=$C17,_xlpm.b,$D$2:$D$13=$D17,MAX(_xlfn._xlws.FILTER(_xlpm.d,_xlpm.a*_xlpm.b)))</f>
        <v>0.94</v>
      </c>
      <c r="S17" s="1" cm="1">
        <f t="array" ref="S17">_xlfn.LET(_xlpm.d,S$2:S$13,_xlpm.a,$C$2:$C$13=$C17,_xlpm.b,$D$2:$D$13=$D17,MAX(_xlfn._xlws.FILTER(_xlpm.d,_xlpm.a*_xlpm.b)))</f>
        <v>0.96</v>
      </c>
      <c r="T17" s="1" cm="1">
        <f t="array" ref="T17">_xlfn.LET(_xlpm.d,T$2:T$13,_xlpm.a,$C$2:$C$13=$C17,_xlpm.b,$D$2:$D$13=$D17,MAX(_xlfn._xlws.FILTER(_xlpm.d,_xlpm.a*_xlpm.b)))</f>
        <v>0.96</v>
      </c>
    </row>
    <row r="18" spans="2:20" ht="25" customHeight="1">
      <c r="B18">
        <v>1</v>
      </c>
      <c r="C18" t="s">
        <v>23</v>
      </c>
      <c r="D18" t="b">
        <v>1</v>
      </c>
      <c r="E18">
        <v>0</v>
      </c>
      <c r="F18" t="s">
        <v>18</v>
      </c>
      <c r="G18" s="4" t="str">
        <f>_xlfn.TEXTJOIN("-",TRUE,Table291113171915[[#This Row],[attribute]],Table291113171915[[#This Row],[supplemented]],Table291113171915[[#This Row],[method]])</f>
        <v>plurality-TRUE-max</v>
      </c>
      <c r="H18" s="1" cm="1">
        <f t="array" ref="H18">_xlfn.LET(_xlpm.d,H$2:H$13,_xlpm.a,$C$2:$C$13=$C18,_xlpm.b,$D$2:$D$13=$D18,MAX(_xlfn._xlws.FILTER(_xlpm.d,_xlpm.a*_xlpm.b)))</f>
        <v>0.91</v>
      </c>
      <c r="I18" s="1" cm="1">
        <f t="array" ref="I18">_xlfn.LET(_xlpm.d,I$2:I$13,_xlpm.a,$C$2:$C$13=$C18,_xlpm.b,$D$2:$D$13=$D18,MAX(_xlfn._xlws.FILTER(_xlpm.d,_xlpm.a*_xlpm.b)))</f>
        <v>0.94</v>
      </c>
      <c r="J18" s="1" cm="1">
        <f t="array" ref="J18">_xlfn.LET(_xlpm.d,J$2:J$13,_xlpm.a,$C$2:$C$13=$C18,_xlpm.b,$D$2:$D$13=$D18,MAX(_xlfn._xlws.FILTER(_xlpm.d,_xlpm.a*_xlpm.b)))</f>
        <v>0.94</v>
      </c>
      <c r="K18" s="1" cm="1">
        <f t="array" ref="K18">_xlfn.LET(_xlpm.d,K$2:K$13,_xlpm.a,$C$2:$C$13=$C18,_xlpm.b,$D$2:$D$13=$D18,MAX(_xlfn._xlws.FILTER(_xlpm.d,_xlpm.a*_xlpm.b)))</f>
        <v>0.96</v>
      </c>
      <c r="L18" s="1" cm="1">
        <f t="array" ref="L18">_xlfn.LET(_xlpm.d,L$2:L$13,_xlpm.a,$C$2:$C$13=$C18,_xlpm.b,$D$2:$D$13=$D18,MAX(_xlfn._xlws.FILTER(_xlpm.d,_xlpm.a*_xlpm.b)))</f>
        <v>0.94</v>
      </c>
      <c r="M18" s="1" cm="1">
        <f t="array" ref="M18">_xlfn.LET(_xlpm.d,M$2:M$13,_xlpm.a,$C$2:$C$13=$C18,_xlpm.b,$D$2:$D$13=$D18,MAX(_xlfn._xlws.FILTER(_xlpm.d,_xlpm.a*_xlpm.b)))</f>
        <v>0.96</v>
      </c>
      <c r="N18" s="1" cm="1">
        <f t="array" ref="N18">_xlfn.LET(_xlpm.d,N$2:N$13,_xlpm.a,$C$2:$C$13=$C18,_xlpm.b,$D$2:$D$13=$D18,MAX(_xlfn._xlws.FILTER(_xlpm.d,_xlpm.a*_xlpm.b)))</f>
        <v>0.94</v>
      </c>
      <c r="O18" s="1" cm="1">
        <f t="array" ref="O18">_xlfn.LET(_xlpm.d,O$2:O$13,_xlpm.a,$C$2:$C$13=$C18,_xlpm.b,$D$2:$D$13=$D18,MAX(_xlfn._xlws.FILTER(_xlpm.d,_xlpm.a*_xlpm.b)))</f>
        <v>0.95</v>
      </c>
      <c r="P18" s="1" cm="1">
        <f t="array" ref="P18">_xlfn.LET(_xlpm.d,P$2:P$13,_xlpm.a,$C$2:$C$13=$C18,_xlpm.b,$D$2:$D$13=$D18,MAX(_xlfn._xlws.FILTER(_xlpm.d,_xlpm.a*_xlpm.b)))</f>
        <v>0.94</v>
      </c>
      <c r="Q18" s="1" cm="1">
        <f t="array" ref="Q18">_xlfn.LET(_xlpm.d,Q$2:Q$13,_xlpm.a,$C$2:$C$13=$C18,_xlpm.b,$D$2:$D$13=$D18,MAX(_xlfn._xlws.FILTER(_xlpm.d,_xlpm.a*_xlpm.b)))</f>
        <v>0.95</v>
      </c>
      <c r="R18" s="1" cm="1">
        <f t="array" ref="R18">_xlfn.LET(_xlpm.d,R$2:R$13,_xlpm.a,$C$2:$C$13=$C18,_xlpm.b,$D$2:$D$13=$D18,MAX(_xlfn._xlws.FILTER(_xlpm.d,_xlpm.a*_xlpm.b)))</f>
        <v>0.94</v>
      </c>
      <c r="S18" s="1" cm="1">
        <f t="array" ref="S18">_xlfn.LET(_xlpm.d,S$2:S$13,_xlpm.a,$C$2:$C$13=$C18,_xlpm.b,$D$2:$D$13=$D18,MAX(_xlfn._xlws.FILTER(_xlpm.d,_xlpm.a*_xlpm.b)))</f>
        <v>0.93</v>
      </c>
      <c r="T18" s="1" cm="1">
        <f t="array" ref="T18">_xlfn.LET(_xlpm.d,T$2:T$13,_xlpm.a,$C$2:$C$13=$C18,_xlpm.b,$D$2:$D$13=$D18,MAX(_xlfn._xlws.FILTER(_xlpm.d,_xlpm.a*_xlpm.b)))</f>
        <v>0.96</v>
      </c>
    </row>
    <row r="19" spans="2:20" ht="25" customHeight="1">
      <c r="B19">
        <v>2</v>
      </c>
      <c r="C19" t="s">
        <v>22</v>
      </c>
      <c r="D19" t="b">
        <v>0</v>
      </c>
      <c r="E19">
        <v>0</v>
      </c>
      <c r="F19" t="s">
        <v>18</v>
      </c>
      <c r="G19" t="str">
        <f>_xlfn.TEXTJOIN("-",TRUE,Table291113171915[[#This Row],[attribute]],Table291113171915[[#This Row],[supplemented]],Table291113171915[[#This Row],[method]])</f>
        <v>gender-FALSE-max</v>
      </c>
      <c r="H19" s="1" cm="1">
        <f t="array" ref="H19">_xlfn.LET(_xlpm.d,H$2:H$13,_xlpm.a,$C$2:$C$13=$C19,_xlpm.b,$D$2:$D$13=$D19,MAX(_xlfn._xlws.FILTER(_xlpm.d,_xlpm.a*_xlpm.b)))</f>
        <v>0.76</v>
      </c>
      <c r="I19" s="1" cm="1">
        <f t="array" ref="I19">_xlfn.LET(_xlpm.d,I$2:I$13,_xlpm.a,$C$2:$C$13=$C19,_xlpm.b,$D$2:$D$13=$D19,MAX(_xlfn._xlws.FILTER(_xlpm.d,_xlpm.a*_xlpm.b)))</f>
        <v>0.81</v>
      </c>
      <c r="J19" s="1" cm="1">
        <f t="array" ref="J19">_xlfn.LET(_xlpm.d,J$2:J$13,_xlpm.a,$C$2:$C$13=$C19,_xlpm.b,$D$2:$D$13=$D19,MAX(_xlfn._xlws.FILTER(_xlpm.d,_xlpm.a*_xlpm.b)))</f>
        <v>0.79</v>
      </c>
      <c r="K19" s="1" cm="1">
        <f t="array" ref="K19">_xlfn.LET(_xlpm.d,K$2:K$13,_xlpm.a,$C$2:$C$13=$C19,_xlpm.b,$D$2:$D$13=$D19,MAX(_xlfn._xlws.FILTER(_xlpm.d,_xlpm.a*_xlpm.b)))</f>
        <v>0.75</v>
      </c>
      <c r="L19" s="1" cm="1">
        <f t="array" ref="L19">_xlfn.LET(_xlpm.d,L$2:L$13,_xlpm.a,$C$2:$C$13=$C19,_xlpm.b,$D$2:$D$13=$D19,MAX(_xlfn._xlws.FILTER(_xlpm.d,_xlpm.a*_xlpm.b)))</f>
        <v>0.8</v>
      </c>
      <c r="M19" s="1" cm="1">
        <f t="array" ref="M19">_xlfn.LET(_xlpm.d,M$2:M$13,_xlpm.a,$C$2:$C$13=$C19,_xlpm.b,$D$2:$D$13=$D19,MAX(_xlfn._xlws.FILTER(_xlpm.d,_xlpm.a*_xlpm.b)))</f>
        <v>0.84</v>
      </c>
      <c r="N19" s="1" cm="1">
        <f t="array" ref="N19">_xlfn.LET(_xlpm.d,N$2:N$13,_xlpm.a,$C$2:$C$13=$C19,_xlpm.b,$D$2:$D$13=$D19,MAX(_xlfn._xlws.FILTER(_xlpm.d,_xlpm.a*_xlpm.b)))</f>
        <v>0.79</v>
      </c>
      <c r="O19" s="1" cm="1">
        <f t="array" ref="O19">_xlfn.LET(_xlpm.d,O$2:O$13,_xlpm.a,$C$2:$C$13=$C19,_xlpm.b,$D$2:$D$13=$D19,MAX(_xlfn._xlws.FILTER(_xlpm.d,_xlpm.a*_xlpm.b)))</f>
        <v>0.81</v>
      </c>
      <c r="P19" s="1" cm="1">
        <f t="array" ref="P19">_xlfn.LET(_xlpm.d,P$2:P$13,_xlpm.a,$C$2:$C$13=$C19,_xlpm.b,$D$2:$D$13=$D19,MAX(_xlfn._xlws.FILTER(_xlpm.d,_xlpm.a*_xlpm.b)))</f>
        <v>0.79</v>
      </c>
      <c r="Q19" s="1" cm="1">
        <f t="array" ref="Q19">_xlfn.LET(_xlpm.d,Q$2:Q$13,_xlpm.a,$C$2:$C$13=$C19,_xlpm.b,$D$2:$D$13=$D19,MAX(_xlfn._xlws.FILTER(_xlpm.d,_xlpm.a*_xlpm.b)))</f>
        <v>0.77</v>
      </c>
      <c r="R19" s="1" cm="1">
        <f t="array" ref="R19">_xlfn.LET(_xlpm.d,R$2:R$13,_xlpm.a,$C$2:$C$13=$C19,_xlpm.b,$D$2:$D$13=$D19,MAX(_xlfn._xlws.FILTER(_xlpm.d,_xlpm.a*_xlpm.b)))</f>
        <v>0.79</v>
      </c>
      <c r="S19" s="1" cm="1">
        <f t="array" ref="S19">_xlfn.LET(_xlpm.d,S$2:S$13,_xlpm.a,$C$2:$C$13=$C19,_xlpm.b,$D$2:$D$13=$D19,MAX(_xlfn._xlws.FILTER(_xlpm.d,_xlpm.a*_xlpm.b)))</f>
        <v>0.8</v>
      </c>
      <c r="T19" s="1" cm="1">
        <f t="array" ref="T19">_xlfn.LET(_xlpm.d,T$2:T$13,_xlpm.a,$C$2:$C$13=$C19,_xlpm.b,$D$2:$D$13=$D19,MAX(_xlfn._xlws.FILTER(_xlpm.d,_xlpm.a*_xlpm.b)))</f>
        <v>0.84</v>
      </c>
    </row>
    <row r="20" spans="2:20" ht="25" customHeight="1">
      <c r="B20">
        <v>2</v>
      </c>
      <c r="C20" t="s">
        <v>22</v>
      </c>
      <c r="D20" t="b">
        <v>1</v>
      </c>
      <c r="E20">
        <v>0</v>
      </c>
      <c r="F20" t="s">
        <v>18</v>
      </c>
      <c r="G20" t="str">
        <f>_xlfn.TEXTJOIN("-",TRUE,Table291113171915[[#This Row],[attribute]],Table291113171915[[#This Row],[supplemented]],Table291113171915[[#This Row],[method]])</f>
        <v>gender-TRUE-max</v>
      </c>
      <c r="H20" s="1" cm="1">
        <f t="array" ref="H20">_xlfn.LET(_xlpm.d,H$2:H$13,_xlpm.a,$C$2:$C$13=$C20,_xlpm.b,$D$2:$D$13=$D20,MAX(_xlfn._xlws.FILTER(_xlpm.d,_xlpm.a*_xlpm.b)))</f>
        <v>0.77</v>
      </c>
      <c r="I20" s="1" cm="1">
        <f t="array" ref="I20">_xlfn.LET(_xlpm.d,I$2:I$13,_xlpm.a,$C$2:$C$13=$C20,_xlpm.b,$D$2:$D$13=$D20,MAX(_xlfn._xlws.FILTER(_xlpm.d,_xlpm.a*_xlpm.b)))</f>
        <v>0.81</v>
      </c>
      <c r="J20" s="1" cm="1">
        <f t="array" ref="J20">_xlfn.LET(_xlpm.d,J$2:J$13,_xlpm.a,$C$2:$C$13=$C20,_xlpm.b,$D$2:$D$13=$D20,MAX(_xlfn._xlws.FILTER(_xlpm.d,_xlpm.a*_xlpm.b)))</f>
        <v>0.85</v>
      </c>
      <c r="K20" s="1" cm="1">
        <f t="array" ref="K20">_xlfn.LET(_xlpm.d,K$2:K$13,_xlpm.a,$C$2:$C$13=$C20,_xlpm.b,$D$2:$D$13=$D20,MAX(_xlfn._xlws.FILTER(_xlpm.d,_xlpm.a*_xlpm.b)))</f>
        <v>0.77</v>
      </c>
      <c r="L20" s="1" cm="1">
        <f t="array" ref="L20">_xlfn.LET(_xlpm.d,L$2:L$13,_xlpm.a,$C$2:$C$13=$C20,_xlpm.b,$D$2:$D$13=$D20,MAX(_xlfn._xlws.FILTER(_xlpm.d,_xlpm.a*_xlpm.b)))</f>
        <v>0.8</v>
      </c>
      <c r="M20" s="1" cm="1">
        <f t="array" ref="M20">_xlfn.LET(_xlpm.d,M$2:M$13,_xlpm.a,$C$2:$C$13=$C20,_xlpm.b,$D$2:$D$13=$D20,MAX(_xlfn._xlws.FILTER(_xlpm.d,_xlpm.a*_xlpm.b)))</f>
        <v>0.83</v>
      </c>
      <c r="N20" s="1" cm="1">
        <f t="array" ref="N20">_xlfn.LET(_xlpm.d,N$2:N$13,_xlpm.a,$C$2:$C$13=$C20,_xlpm.b,$D$2:$D$13=$D20,MAX(_xlfn._xlws.FILTER(_xlpm.d,_xlpm.a*_xlpm.b)))</f>
        <v>0.8</v>
      </c>
      <c r="O20" s="1" cm="1">
        <f t="array" ref="O20">_xlfn.LET(_xlpm.d,O$2:O$13,_xlpm.a,$C$2:$C$13=$C20,_xlpm.b,$D$2:$D$13=$D20,MAX(_xlfn._xlws.FILTER(_xlpm.d,_xlpm.a*_xlpm.b)))</f>
        <v>0.81</v>
      </c>
      <c r="P20" s="1" cm="1">
        <f t="array" ref="P20">_xlfn.LET(_xlpm.d,P$2:P$13,_xlpm.a,$C$2:$C$13=$C20,_xlpm.b,$D$2:$D$13=$D20,MAX(_xlfn._xlws.FILTER(_xlpm.d,_xlpm.a*_xlpm.b)))</f>
        <v>0.82</v>
      </c>
      <c r="Q20" s="1" cm="1">
        <f t="array" ref="Q20">_xlfn.LET(_xlpm.d,Q$2:Q$13,_xlpm.a,$C$2:$C$13=$C20,_xlpm.b,$D$2:$D$13=$D20,MAX(_xlfn._xlws.FILTER(_xlpm.d,_xlpm.a*_xlpm.b)))</f>
        <v>0.77</v>
      </c>
      <c r="R20" s="1" cm="1">
        <f t="array" ref="R20">_xlfn.LET(_xlpm.d,R$2:R$13,_xlpm.a,$C$2:$C$13=$C20,_xlpm.b,$D$2:$D$13=$D20,MAX(_xlfn._xlws.FILTER(_xlpm.d,_xlpm.a*_xlpm.b)))</f>
        <v>0.8</v>
      </c>
      <c r="S20" s="1" cm="1">
        <f t="array" ref="S20">_xlfn.LET(_xlpm.d,S$2:S$13,_xlpm.a,$C$2:$C$13=$C20,_xlpm.b,$D$2:$D$13=$D20,MAX(_xlfn._xlws.FILTER(_xlpm.d,_xlpm.a*_xlpm.b)))</f>
        <v>0.81</v>
      </c>
      <c r="T20" s="1" cm="1">
        <f t="array" ref="T20">_xlfn.LET(_xlpm.d,T$2:T$13,_xlpm.a,$C$2:$C$13=$C20,_xlpm.b,$D$2:$D$13=$D20,MAX(_xlfn._xlws.FILTER(_xlpm.d,_xlpm.a*_xlpm.b)))</f>
        <v>0.85</v>
      </c>
    </row>
  </sheetData>
  <conditionalFormatting sqref="H2:T13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17:T20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B39C1-2AE7-114B-875A-8873C9818BB6}">
  <dimension ref="A1:T20"/>
  <sheetViews>
    <sheetView tabSelected="1" workbookViewId="0">
      <selection activeCell="F11" sqref="F11"/>
    </sheetView>
  </sheetViews>
  <sheetFormatPr baseColWidth="10" defaultRowHeight="25" customHeight="1"/>
  <cols>
    <col min="2" max="2" width="7.125" customWidth="1"/>
    <col min="3" max="3" width="9" customWidth="1"/>
    <col min="4" max="5" width="7.125" customWidth="1"/>
    <col min="7" max="19" width="8.75" customWidth="1"/>
    <col min="20" max="20" width="8.2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ht="25" customHeight="1">
      <c r="A2" t="s">
        <v>24</v>
      </c>
      <c r="B2">
        <v>1</v>
      </c>
      <c r="C2" t="s">
        <v>23</v>
      </c>
      <c r="D2" t="b">
        <v>0</v>
      </c>
      <c r="E2">
        <v>1</v>
      </c>
      <c r="F2" t="s">
        <v>19</v>
      </c>
      <c r="H2" s="2">
        <v>0.87</v>
      </c>
      <c r="I2" s="2">
        <v>0.88</v>
      </c>
      <c r="J2" s="2">
        <v>0.86</v>
      </c>
      <c r="K2" s="2">
        <v>0.91</v>
      </c>
      <c r="L2" s="2">
        <v>0.84</v>
      </c>
      <c r="M2" s="2">
        <v>0.81</v>
      </c>
      <c r="N2" s="2">
        <v>0.77</v>
      </c>
      <c r="O2" s="2">
        <v>0.91</v>
      </c>
      <c r="P2" s="2">
        <v>0.89</v>
      </c>
      <c r="Q2" s="2">
        <v>0.91</v>
      </c>
      <c r="R2" s="2">
        <v>0.93</v>
      </c>
      <c r="S2" s="2">
        <v>0.93</v>
      </c>
      <c r="T2" s="2">
        <f>MAX($H2:$S2)</f>
        <v>0.93</v>
      </c>
    </row>
    <row r="3" spans="1:20" ht="25" customHeight="1">
      <c r="A3" t="s">
        <v>24</v>
      </c>
      <c r="B3">
        <v>1</v>
      </c>
      <c r="C3" t="s">
        <v>23</v>
      </c>
      <c r="D3" t="b">
        <v>0</v>
      </c>
      <c r="E3">
        <v>2</v>
      </c>
      <c r="F3" t="s">
        <v>20</v>
      </c>
      <c r="H3" s="2">
        <v>0.89</v>
      </c>
      <c r="I3" s="2">
        <v>0.88</v>
      </c>
      <c r="J3" s="2">
        <v>0.9</v>
      </c>
      <c r="K3" s="2">
        <v>0.95</v>
      </c>
      <c r="L3" s="2">
        <v>0.97</v>
      </c>
      <c r="M3" s="2">
        <v>0.9</v>
      </c>
      <c r="N3" s="2">
        <v>0.82</v>
      </c>
      <c r="O3" s="2">
        <v>0.94</v>
      </c>
      <c r="P3" s="2">
        <v>0.85</v>
      </c>
      <c r="Q3" s="2">
        <v>0.92</v>
      </c>
      <c r="R3" s="2">
        <v>0.99</v>
      </c>
      <c r="S3" s="2">
        <v>0.95</v>
      </c>
      <c r="T3" s="2">
        <f>MAX($H3:$S3)</f>
        <v>0.99</v>
      </c>
    </row>
    <row r="4" spans="1:20" ht="25" customHeight="1">
      <c r="A4" t="s">
        <v>24</v>
      </c>
      <c r="B4">
        <v>1</v>
      </c>
      <c r="C4" t="s">
        <v>23</v>
      </c>
      <c r="D4" t="b">
        <v>0</v>
      </c>
      <c r="E4">
        <v>3</v>
      </c>
      <c r="F4" t="s">
        <v>21</v>
      </c>
      <c r="H4" s="2">
        <v>0.93</v>
      </c>
      <c r="I4" s="2">
        <v>0.9</v>
      </c>
      <c r="J4" s="2">
        <v>0.91</v>
      </c>
      <c r="K4" s="2">
        <v>0.97</v>
      </c>
      <c r="L4" s="2">
        <v>0.98</v>
      </c>
      <c r="M4" s="2">
        <v>0.92</v>
      </c>
      <c r="N4" s="2">
        <v>0.83</v>
      </c>
      <c r="O4" s="2">
        <v>0.92</v>
      </c>
      <c r="P4" s="2">
        <v>0.87</v>
      </c>
      <c r="Q4" s="2">
        <v>0.94</v>
      </c>
      <c r="R4" s="2">
        <v>0.97</v>
      </c>
      <c r="S4" s="2">
        <v>0.95</v>
      </c>
      <c r="T4" s="2">
        <f>MAX($H4:$S4)</f>
        <v>0.98</v>
      </c>
    </row>
    <row r="5" spans="1:20" ht="25" customHeight="1">
      <c r="A5" t="s">
        <v>24</v>
      </c>
      <c r="B5">
        <v>1</v>
      </c>
      <c r="C5" t="s">
        <v>23</v>
      </c>
      <c r="D5" t="b">
        <v>1</v>
      </c>
      <c r="E5">
        <v>1</v>
      </c>
      <c r="F5" t="s">
        <v>19</v>
      </c>
      <c r="H5" s="2">
        <v>0.9</v>
      </c>
      <c r="I5" s="2">
        <v>0.84</v>
      </c>
      <c r="J5" s="2">
        <v>0.88</v>
      </c>
      <c r="K5" s="2">
        <v>0.88</v>
      </c>
      <c r="L5" s="2">
        <v>0.89</v>
      </c>
      <c r="M5" s="2">
        <v>0.82</v>
      </c>
      <c r="N5" s="2">
        <v>0.86</v>
      </c>
      <c r="O5" s="2">
        <v>0.88</v>
      </c>
      <c r="P5" s="2">
        <v>0.87</v>
      </c>
      <c r="Q5" s="2">
        <v>0.89</v>
      </c>
      <c r="R5" s="2">
        <v>0.93</v>
      </c>
      <c r="S5" s="2">
        <v>0.91</v>
      </c>
      <c r="T5" s="2">
        <f>MAX($H5:$S5)</f>
        <v>0.93</v>
      </c>
    </row>
    <row r="6" spans="1:20" ht="25" customHeight="1">
      <c r="A6" t="s">
        <v>24</v>
      </c>
      <c r="B6">
        <v>1</v>
      </c>
      <c r="C6" t="s">
        <v>23</v>
      </c>
      <c r="D6" t="b">
        <v>1</v>
      </c>
      <c r="E6">
        <v>2</v>
      </c>
      <c r="F6" t="s">
        <v>20</v>
      </c>
      <c r="H6" s="2">
        <v>0.88</v>
      </c>
      <c r="I6" s="2">
        <v>0.88</v>
      </c>
      <c r="J6" s="2">
        <v>0.92</v>
      </c>
      <c r="K6" s="2">
        <v>0.95</v>
      </c>
      <c r="L6" s="2">
        <v>0.95</v>
      </c>
      <c r="M6" s="2">
        <v>0.91</v>
      </c>
      <c r="N6" s="2">
        <v>0.82</v>
      </c>
      <c r="O6" s="2">
        <v>0.94</v>
      </c>
      <c r="P6" s="2">
        <v>0.84</v>
      </c>
      <c r="Q6" s="2">
        <v>0.93</v>
      </c>
      <c r="R6" s="2">
        <v>0.98</v>
      </c>
      <c r="S6" s="2">
        <v>0.95</v>
      </c>
      <c r="T6" s="2">
        <f>MAX($H6:$S6)</f>
        <v>0.98</v>
      </c>
    </row>
    <row r="7" spans="1:20" ht="25" customHeight="1">
      <c r="A7" t="s">
        <v>24</v>
      </c>
      <c r="B7">
        <v>1</v>
      </c>
      <c r="C7" t="s">
        <v>23</v>
      </c>
      <c r="D7" t="b">
        <v>1</v>
      </c>
      <c r="E7">
        <v>3</v>
      </c>
      <c r="F7" t="s">
        <v>21</v>
      </c>
      <c r="H7" s="2">
        <v>0.93</v>
      </c>
      <c r="I7" s="2">
        <v>0.92</v>
      </c>
      <c r="J7" s="2">
        <v>0.92</v>
      </c>
      <c r="K7" s="2">
        <v>0.95</v>
      </c>
      <c r="L7" s="2">
        <v>0.97</v>
      </c>
      <c r="M7" s="2">
        <v>0.9</v>
      </c>
      <c r="N7" s="2">
        <v>0.85</v>
      </c>
      <c r="O7" s="2">
        <v>0.93</v>
      </c>
      <c r="P7" s="2">
        <v>0.83</v>
      </c>
      <c r="Q7" s="2">
        <v>0.95</v>
      </c>
      <c r="R7" s="2">
        <v>0.96</v>
      </c>
      <c r="S7" s="2">
        <v>0.95</v>
      </c>
      <c r="T7" s="2">
        <f>MAX($H7:$S7)</f>
        <v>0.97</v>
      </c>
    </row>
    <row r="8" spans="1:20" ht="25" customHeight="1">
      <c r="A8" t="s">
        <v>24</v>
      </c>
      <c r="B8">
        <v>2</v>
      </c>
      <c r="C8" t="s">
        <v>22</v>
      </c>
      <c r="D8" t="b">
        <v>0</v>
      </c>
      <c r="E8">
        <v>1</v>
      </c>
      <c r="F8" t="s">
        <v>19</v>
      </c>
      <c r="H8" s="2">
        <v>0.68</v>
      </c>
      <c r="I8" s="2">
        <v>0.64</v>
      </c>
      <c r="J8" s="2">
        <v>0.73</v>
      </c>
      <c r="K8" s="2">
        <v>0.72</v>
      </c>
      <c r="L8" s="2">
        <v>0.57999999999999996</v>
      </c>
      <c r="M8" s="2">
        <v>0.71</v>
      </c>
      <c r="N8" s="2">
        <v>0.72</v>
      </c>
      <c r="O8" s="2">
        <v>0.71</v>
      </c>
      <c r="P8" s="2">
        <v>0.62</v>
      </c>
      <c r="Q8" s="2">
        <v>0.61</v>
      </c>
      <c r="R8" s="2">
        <v>0.68</v>
      </c>
      <c r="S8" s="2">
        <v>0.73</v>
      </c>
      <c r="T8" s="2">
        <f>MAX($H8:$S8)</f>
        <v>0.73</v>
      </c>
    </row>
    <row r="9" spans="1:20" ht="25" customHeight="1">
      <c r="A9" t="s">
        <v>24</v>
      </c>
      <c r="B9">
        <v>2</v>
      </c>
      <c r="C9" t="s">
        <v>22</v>
      </c>
      <c r="D9" t="b">
        <v>0</v>
      </c>
      <c r="E9">
        <v>2</v>
      </c>
      <c r="F9" t="s">
        <v>20</v>
      </c>
      <c r="H9" s="2">
        <v>0.74</v>
      </c>
      <c r="I9" s="2">
        <v>0.78</v>
      </c>
      <c r="J9" s="2">
        <v>0.75</v>
      </c>
      <c r="K9" s="2">
        <v>0.74</v>
      </c>
      <c r="L9" s="2">
        <v>0.78</v>
      </c>
      <c r="M9" s="2">
        <v>0.73</v>
      </c>
      <c r="N9" s="2">
        <v>0.76</v>
      </c>
      <c r="O9" s="2">
        <v>0.78</v>
      </c>
      <c r="P9" s="2">
        <v>0.78</v>
      </c>
      <c r="Q9" s="2">
        <v>0.7</v>
      </c>
      <c r="R9" s="2">
        <v>0.76</v>
      </c>
      <c r="S9" s="2">
        <v>0.78</v>
      </c>
      <c r="T9" s="2">
        <f>MAX($H9:$S9)</f>
        <v>0.78</v>
      </c>
    </row>
    <row r="10" spans="1:20" ht="25" customHeight="1">
      <c r="A10" t="s">
        <v>24</v>
      </c>
      <c r="B10">
        <v>2</v>
      </c>
      <c r="C10" t="s">
        <v>22</v>
      </c>
      <c r="D10" t="b">
        <v>0</v>
      </c>
      <c r="E10">
        <v>3</v>
      </c>
      <c r="F10" t="s">
        <v>21</v>
      </c>
      <c r="H10" s="2">
        <v>0.78</v>
      </c>
      <c r="I10" s="2">
        <v>0.77</v>
      </c>
      <c r="J10" s="2">
        <v>0.74</v>
      </c>
      <c r="K10" s="2">
        <v>0.68</v>
      </c>
      <c r="L10" s="2">
        <v>0.71</v>
      </c>
      <c r="M10" s="2">
        <v>0.78</v>
      </c>
      <c r="N10" s="2">
        <v>0.74</v>
      </c>
      <c r="O10" s="2">
        <v>0.71</v>
      </c>
      <c r="P10" s="2">
        <v>0.73</v>
      </c>
      <c r="Q10" s="2">
        <v>0.7</v>
      </c>
      <c r="R10" s="2">
        <v>0.72</v>
      </c>
      <c r="S10" s="2">
        <v>0.82</v>
      </c>
      <c r="T10" s="2">
        <f>MAX($H10:$S10)</f>
        <v>0.82</v>
      </c>
    </row>
    <row r="11" spans="1:20" ht="25" customHeight="1">
      <c r="A11" t="s">
        <v>24</v>
      </c>
      <c r="B11">
        <v>2</v>
      </c>
      <c r="C11" t="s">
        <v>22</v>
      </c>
      <c r="D11" t="b">
        <v>1</v>
      </c>
      <c r="E11">
        <v>1</v>
      </c>
      <c r="F11" t="s">
        <v>19</v>
      </c>
      <c r="H11" s="2">
        <v>0.68</v>
      </c>
      <c r="I11" s="2">
        <v>0.72</v>
      </c>
      <c r="J11" s="2">
        <v>0.77</v>
      </c>
      <c r="K11" s="2">
        <v>0.68</v>
      </c>
      <c r="L11" s="2">
        <v>0.56999999999999995</v>
      </c>
      <c r="M11" s="2">
        <v>0.63</v>
      </c>
      <c r="N11" s="2">
        <v>0.65</v>
      </c>
      <c r="O11" s="2">
        <v>0.71</v>
      </c>
      <c r="P11" s="2">
        <v>0.76</v>
      </c>
      <c r="Q11" s="2">
        <v>0.62</v>
      </c>
      <c r="R11" s="2">
        <v>0.62</v>
      </c>
      <c r="S11" s="2">
        <v>0.62</v>
      </c>
      <c r="T11" s="2">
        <f>MAX($H11:$S11)</f>
        <v>0.77</v>
      </c>
    </row>
    <row r="12" spans="1:20" ht="25" customHeight="1">
      <c r="A12" t="s">
        <v>24</v>
      </c>
      <c r="B12">
        <v>2</v>
      </c>
      <c r="C12" t="s">
        <v>22</v>
      </c>
      <c r="D12" t="b">
        <v>1</v>
      </c>
      <c r="E12">
        <v>2</v>
      </c>
      <c r="F12" t="s">
        <v>20</v>
      </c>
      <c r="H12" s="2">
        <v>0.82</v>
      </c>
      <c r="I12" s="2">
        <v>0.8</v>
      </c>
      <c r="J12" s="2">
        <v>0.8</v>
      </c>
      <c r="K12" s="2">
        <v>0.77</v>
      </c>
      <c r="L12" s="2">
        <v>0.72</v>
      </c>
      <c r="M12" s="2">
        <v>0.76</v>
      </c>
      <c r="N12" s="2">
        <v>0.73</v>
      </c>
      <c r="O12" s="2">
        <v>0.82</v>
      </c>
      <c r="P12" s="2">
        <v>0.79</v>
      </c>
      <c r="Q12" s="2">
        <v>0.7</v>
      </c>
      <c r="R12" s="2">
        <v>0.79</v>
      </c>
      <c r="S12" s="2">
        <v>0.78</v>
      </c>
      <c r="T12" s="2">
        <f>MAX($H12:$S12)</f>
        <v>0.82</v>
      </c>
    </row>
    <row r="13" spans="1:20" ht="25" customHeight="1">
      <c r="A13" t="s">
        <v>24</v>
      </c>
      <c r="B13">
        <v>2</v>
      </c>
      <c r="C13" t="s">
        <v>22</v>
      </c>
      <c r="D13" t="b">
        <v>1</v>
      </c>
      <c r="E13">
        <v>3</v>
      </c>
      <c r="F13" t="s">
        <v>21</v>
      </c>
      <c r="H13" s="2">
        <v>0.77</v>
      </c>
      <c r="I13" s="2">
        <v>0.79</v>
      </c>
      <c r="J13" s="2">
        <v>0.77</v>
      </c>
      <c r="K13" s="2">
        <v>0.67</v>
      </c>
      <c r="L13" s="2">
        <v>0.7</v>
      </c>
      <c r="M13" s="2">
        <v>0.79</v>
      </c>
      <c r="N13" s="2">
        <v>0.72</v>
      </c>
      <c r="O13" s="2">
        <v>0.7</v>
      </c>
      <c r="P13" s="2">
        <v>0.77</v>
      </c>
      <c r="Q13" s="2">
        <v>0.69</v>
      </c>
      <c r="R13" s="2">
        <v>0.77</v>
      </c>
      <c r="S13" s="2">
        <v>0.78</v>
      </c>
      <c r="T13" s="2">
        <f>MAX($H13:$S13)</f>
        <v>0.79</v>
      </c>
    </row>
    <row r="16" spans="1:20" ht="25" customHeight="1">
      <c r="B16" t="s">
        <v>1</v>
      </c>
      <c r="C16" t="s">
        <v>2</v>
      </c>
      <c r="D16" t="s">
        <v>26</v>
      </c>
      <c r="E16" t="s">
        <v>4</v>
      </c>
      <c r="F16" t="s">
        <v>5</v>
      </c>
      <c r="G16" t="s">
        <v>27</v>
      </c>
      <c r="H16" t="s">
        <v>6</v>
      </c>
      <c r="I16" t="s">
        <v>7</v>
      </c>
      <c r="J16" t="s">
        <v>8</v>
      </c>
      <c r="K16" t="s">
        <v>9</v>
      </c>
      <c r="L16" t="s">
        <v>10</v>
      </c>
      <c r="M16" t="s">
        <v>11</v>
      </c>
      <c r="N16" t="s">
        <v>12</v>
      </c>
      <c r="O16" t="s">
        <v>13</v>
      </c>
      <c r="P16" t="s">
        <v>14</v>
      </c>
      <c r="Q16" t="s">
        <v>15</v>
      </c>
      <c r="R16" t="s">
        <v>16</v>
      </c>
      <c r="S16" t="s">
        <v>17</v>
      </c>
      <c r="T16" t="s">
        <v>18</v>
      </c>
    </row>
    <row r="17" spans="2:20" ht="25" customHeight="1">
      <c r="B17">
        <v>1</v>
      </c>
      <c r="C17" t="s">
        <v>23</v>
      </c>
      <c r="D17" t="b">
        <v>0</v>
      </c>
      <c r="E17">
        <v>0</v>
      </c>
      <c r="F17" t="s">
        <v>18</v>
      </c>
      <c r="G17" s="3" t="str">
        <f>_xlfn.TEXTJOIN("-",TRUE,Table291113171916[[#This Row],[attribute]],Table291113171916[[#This Row],[supplemented]],Table291113171916[[#This Row],[method]])</f>
        <v>plurality-FALSE-max</v>
      </c>
      <c r="H17" s="1" cm="1">
        <f t="array" ref="H17">_xlfn.LET(_xlpm.d,H$2:H$13,_xlpm.a,$C$2:$C$13=$C17,_xlpm.b,$D$2:$D$13=$D17,MAX(_xlfn._xlws.FILTER(_xlpm.d,_xlpm.a*_xlpm.b)))</f>
        <v>0.93</v>
      </c>
      <c r="I17" s="1" cm="1">
        <f t="array" ref="I17">_xlfn.LET(_xlpm.d,I$2:I$13,_xlpm.a,$C$2:$C$13=$C17,_xlpm.b,$D$2:$D$13=$D17,MAX(_xlfn._xlws.FILTER(_xlpm.d,_xlpm.a*_xlpm.b)))</f>
        <v>0.9</v>
      </c>
      <c r="J17" s="1" cm="1">
        <f t="array" ref="J17">_xlfn.LET(_xlpm.d,J$2:J$13,_xlpm.a,$C$2:$C$13=$C17,_xlpm.b,$D$2:$D$13=$D17,MAX(_xlfn._xlws.FILTER(_xlpm.d,_xlpm.a*_xlpm.b)))</f>
        <v>0.91</v>
      </c>
      <c r="K17" s="1" cm="1">
        <f t="array" ref="K17">_xlfn.LET(_xlpm.d,K$2:K$13,_xlpm.a,$C$2:$C$13=$C17,_xlpm.b,$D$2:$D$13=$D17,MAX(_xlfn._xlws.FILTER(_xlpm.d,_xlpm.a*_xlpm.b)))</f>
        <v>0.97</v>
      </c>
      <c r="L17" s="1" cm="1">
        <f t="array" ref="L17">_xlfn.LET(_xlpm.d,L$2:L$13,_xlpm.a,$C$2:$C$13=$C17,_xlpm.b,$D$2:$D$13=$D17,MAX(_xlfn._xlws.FILTER(_xlpm.d,_xlpm.a*_xlpm.b)))</f>
        <v>0.98</v>
      </c>
      <c r="M17" s="1" cm="1">
        <f t="array" ref="M17">_xlfn.LET(_xlpm.d,M$2:M$13,_xlpm.a,$C$2:$C$13=$C17,_xlpm.b,$D$2:$D$13=$D17,MAX(_xlfn._xlws.FILTER(_xlpm.d,_xlpm.a*_xlpm.b)))</f>
        <v>0.92</v>
      </c>
      <c r="N17" s="1" cm="1">
        <f t="array" ref="N17">_xlfn.LET(_xlpm.d,N$2:N$13,_xlpm.a,$C$2:$C$13=$C17,_xlpm.b,$D$2:$D$13=$D17,MAX(_xlfn._xlws.FILTER(_xlpm.d,_xlpm.a*_xlpm.b)))</f>
        <v>0.83</v>
      </c>
      <c r="O17" s="1" cm="1">
        <f t="array" ref="O17">_xlfn.LET(_xlpm.d,O$2:O$13,_xlpm.a,$C$2:$C$13=$C17,_xlpm.b,$D$2:$D$13=$D17,MAX(_xlfn._xlws.FILTER(_xlpm.d,_xlpm.a*_xlpm.b)))</f>
        <v>0.94</v>
      </c>
      <c r="P17" s="1" cm="1">
        <f t="array" ref="P17">_xlfn.LET(_xlpm.d,P$2:P$13,_xlpm.a,$C$2:$C$13=$C17,_xlpm.b,$D$2:$D$13=$D17,MAX(_xlfn._xlws.FILTER(_xlpm.d,_xlpm.a*_xlpm.b)))</f>
        <v>0.89</v>
      </c>
      <c r="Q17" s="1" cm="1">
        <f t="array" ref="Q17">_xlfn.LET(_xlpm.d,Q$2:Q$13,_xlpm.a,$C$2:$C$13=$C17,_xlpm.b,$D$2:$D$13=$D17,MAX(_xlfn._xlws.FILTER(_xlpm.d,_xlpm.a*_xlpm.b)))</f>
        <v>0.94</v>
      </c>
      <c r="R17" s="1" cm="1">
        <f t="array" ref="R17">_xlfn.LET(_xlpm.d,R$2:R$13,_xlpm.a,$C$2:$C$13=$C17,_xlpm.b,$D$2:$D$13=$D17,MAX(_xlfn._xlws.FILTER(_xlpm.d,_xlpm.a*_xlpm.b)))</f>
        <v>0.99</v>
      </c>
      <c r="S17" s="1" cm="1">
        <f t="array" ref="S17">_xlfn.LET(_xlpm.d,S$2:S$13,_xlpm.a,$C$2:$C$13=$C17,_xlpm.b,$D$2:$D$13=$D17,MAX(_xlfn._xlws.FILTER(_xlpm.d,_xlpm.a*_xlpm.b)))</f>
        <v>0.95</v>
      </c>
      <c r="T17" s="1" cm="1">
        <f t="array" ref="T17">_xlfn.LET(_xlpm.d,T$2:T$13,_xlpm.a,$C$2:$C$13=$C17,_xlpm.b,$D$2:$D$13=$D17,MAX(_xlfn._xlws.FILTER(_xlpm.d,_xlpm.a*_xlpm.b)))</f>
        <v>0.99</v>
      </c>
    </row>
    <row r="18" spans="2:20" ht="25" customHeight="1">
      <c r="B18">
        <v>1</v>
      </c>
      <c r="C18" t="s">
        <v>23</v>
      </c>
      <c r="D18" t="b">
        <v>1</v>
      </c>
      <c r="E18">
        <v>0</v>
      </c>
      <c r="F18" t="s">
        <v>18</v>
      </c>
      <c r="G18" s="4" t="str">
        <f>_xlfn.TEXTJOIN("-",TRUE,Table291113171916[[#This Row],[attribute]],Table291113171916[[#This Row],[supplemented]],Table291113171916[[#This Row],[method]])</f>
        <v>plurality-TRUE-max</v>
      </c>
      <c r="H18" s="1" cm="1">
        <f t="array" ref="H18">_xlfn.LET(_xlpm.d,H$2:H$13,_xlpm.a,$C$2:$C$13=$C18,_xlpm.b,$D$2:$D$13=$D18,MAX(_xlfn._xlws.FILTER(_xlpm.d,_xlpm.a*_xlpm.b)))</f>
        <v>0.93</v>
      </c>
      <c r="I18" s="1" cm="1">
        <f t="array" ref="I18">_xlfn.LET(_xlpm.d,I$2:I$13,_xlpm.a,$C$2:$C$13=$C18,_xlpm.b,$D$2:$D$13=$D18,MAX(_xlfn._xlws.FILTER(_xlpm.d,_xlpm.a*_xlpm.b)))</f>
        <v>0.92</v>
      </c>
      <c r="J18" s="1" cm="1">
        <f t="array" ref="J18">_xlfn.LET(_xlpm.d,J$2:J$13,_xlpm.a,$C$2:$C$13=$C18,_xlpm.b,$D$2:$D$13=$D18,MAX(_xlfn._xlws.FILTER(_xlpm.d,_xlpm.a*_xlpm.b)))</f>
        <v>0.92</v>
      </c>
      <c r="K18" s="1" cm="1">
        <f t="array" ref="K18">_xlfn.LET(_xlpm.d,K$2:K$13,_xlpm.a,$C$2:$C$13=$C18,_xlpm.b,$D$2:$D$13=$D18,MAX(_xlfn._xlws.FILTER(_xlpm.d,_xlpm.a*_xlpm.b)))</f>
        <v>0.95</v>
      </c>
      <c r="L18" s="1" cm="1">
        <f t="array" ref="L18">_xlfn.LET(_xlpm.d,L$2:L$13,_xlpm.a,$C$2:$C$13=$C18,_xlpm.b,$D$2:$D$13=$D18,MAX(_xlfn._xlws.FILTER(_xlpm.d,_xlpm.a*_xlpm.b)))</f>
        <v>0.97</v>
      </c>
      <c r="M18" s="1" cm="1">
        <f t="array" ref="M18">_xlfn.LET(_xlpm.d,M$2:M$13,_xlpm.a,$C$2:$C$13=$C18,_xlpm.b,$D$2:$D$13=$D18,MAX(_xlfn._xlws.FILTER(_xlpm.d,_xlpm.a*_xlpm.b)))</f>
        <v>0.91</v>
      </c>
      <c r="N18" s="1" cm="1">
        <f t="array" ref="N18">_xlfn.LET(_xlpm.d,N$2:N$13,_xlpm.a,$C$2:$C$13=$C18,_xlpm.b,$D$2:$D$13=$D18,MAX(_xlfn._xlws.FILTER(_xlpm.d,_xlpm.a*_xlpm.b)))</f>
        <v>0.86</v>
      </c>
      <c r="O18" s="1" cm="1">
        <f t="array" ref="O18">_xlfn.LET(_xlpm.d,O$2:O$13,_xlpm.a,$C$2:$C$13=$C18,_xlpm.b,$D$2:$D$13=$D18,MAX(_xlfn._xlws.FILTER(_xlpm.d,_xlpm.a*_xlpm.b)))</f>
        <v>0.94</v>
      </c>
      <c r="P18" s="1" cm="1">
        <f t="array" ref="P18">_xlfn.LET(_xlpm.d,P$2:P$13,_xlpm.a,$C$2:$C$13=$C18,_xlpm.b,$D$2:$D$13=$D18,MAX(_xlfn._xlws.FILTER(_xlpm.d,_xlpm.a*_xlpm.b)))</f>
        <v>0.87</v>
      </c>
      <c r="Q18" s="1" cm="1">
        <f t="array" ref="Q18">_xlfn.LET(_xlpm.d,Q$2:Q$13,_xlpm.a,$C$2:$C$13=$C18,_xlpm.b,$D$2:$D$13=$D18,MAX(_xlfn._xlws.FILTER(_xlpm.d,_xlpm.a*_xlpm.b)))</f>
        <v>0.95</v>
      </c>
      <c r="R18" s="1" cm="1">
        <f t="array" ref="R18">_xlfn.LET(_xlpm.d,R$2:R$13,_xlpm.a,$C$2:$C$13=$C18,_xlpm.b,$D$2:$D$13=$D18,MAX(_xlfn._xlws.FILTER(_xlpm.d,_xlpm.a*_xlpm.b)))</f>
        <v>0.98</v>
      </c>
      <c r="S18" s="1" cm="1">
        <f t="array" ref="S18">_xlfn.LET(_xlpm.d,S$2:S$13,_xlpm.a,$C$2:$C$13=$C18,_xlpm.b,$D$2:$D$13=$D18,MAX(_xlfn._xlws.FILTER(_xlpm.d,_xlpm.a*_xlpm.b)))</f>
        <v>0.95</v>
      </c>
      <c r="T18" s="1" cm="1">
        <f t="array" ref="T18">_xlfn.LET(_xlpm.d,T$2:T$13,_xlpm.a,$C$2:$C$13=$C18,_xlpm.b,$D$2:$D$13=$D18,MAX(_xlfn._xlws.FILTER(_xlpm.d,_xlpm.a*_xlpm.b)))</f>
        <v>0.98</v>
      </c>
    </row>
    <row r="19" spans="2:20" ht="25" customHeight="1">
      <c r="B19">
        <v>2</v>
      </c>
      <c r="C19" t="s">
        <v>22</v>
      </c>
      <c r="D19" t="b">
        <v>0</v>
      </c>
      <c r="E19">
        <v>0</v>
      </c>
      <c r="F19" t="s">
        <v>18</v>
      </c>
      <c r="G19" t="str">
        <f>_xlfn.TEXTJOIN("-",TRUE,Table291113171916[[#This Row],[attribute]],Table291113171916[[#This Row],[supplemented]],Table291113171916[[#This Row],[method]])</f>
        <v>gender-FALSE-max</v>
      </c>
      <c r="H19" s="1" cm="1">
        <f t="array" ref="H19">_xlfn.LET(_xlpm.d,H$2:H$13,_xlpm.a,$C$2:$C$13=$C19,_xlpm.b,$D$2:$D$13=$D19,MAX(_xlfn._xlws.FILTER(_xlpm.d,_xlpm.a*_xlpm.b)))</f>
        <v>0.78</v>
      </c>
      <c r="I19" s="1" cm="1">
        <f t="array" ref="I19">_xlfn.LET(_xlpm.d,I$2:I$13,_xlpm.a,$C$2:$C$13=$C19,_xlpm.b,$D$2:$D$13=$D19,MAX(_xlfn._xlws.FILTER(_xlpm.d,_xlpm.a*_xlpm.b)))</f>
        <v>0.78</v>
      </c>
      <c r="J19" s="1" cm="1">
        <f t="array" ref="J19">_xlfn.LET(_xlpm.d,J$2:J$13,_xlpm.a,$C$2:$C$13=$C19,_xlpm.b,$D$2:$D$13=$D19,MAX(_xlfn._xlws.FILTER(_xlpm.d,_xlpm.a*_xlpm.b)))</f>
        <v>0.75</v>
      </c>
      <c r="K19" s="1" cm="1">
        <f t="array" ref="K19">_xlfn.LET(_xlpm.d,K$2:K$13,_xlpm.a,$C$2:$C$13=$C19,_xlpm.b,$D$2:$D$13=$D19,MAX(_xlfn._xlws.FILTER(_xlpm.d,_xlpm.a*_xlpm.b)))</f>
        <v>0.74</v>
      </c>
      <c r="L19" s="1" cm="1">
        <f t="array" ref="L19">_xlfn.LET(_xlpm.d,L$2:L$13,_xlpm.a,$C$2:$C$13=$C19,_xlpm.b,$D$2:$D$13=$D19,MAX(_xlfn._xlws.FILTER(_xlpm.d,_xlpm.a*_xlpm.b)))</f>
        <v>0.78</v>
      </c>
      <c r="M19" s="1" cm="1">
        <f t="array" ref="M19">_xlfn.LET(_xlpm.d,M$2:M$13,_xlpm.a,$C$2:$C$13=$C19,_xlpm.b,$D$2:$D$13=$D19,MAX(_xlfn._xlws.FILTER(_xlpm.d,_xlpm.a*_xlpm.b)))</f>
        <v>0.78</v>
      </c>
      <c r="N19" s="1" cm="1">
        <f t="array" ref="N19">_xlfn.LET(_xlpm.d,N$2:N$13,_xlpm.a,$C$2:$C$13=$C19,_xlpm.b,$D$2:$D$13=$D19,MAX(_xlfn._xlws.FILTER(_xlpm.d,_xlpm.a*_xlpm.b)))</f>
        <v>0.76</v>
      </c>
      <c r="O19" s="1" cm="1">
        <f t="array" ref="O19">_xlfn.LET(_xlpm.d,O$2:O$13,_xlpm.a,$C$2:$C$13=$C19,_xlpm.b,$D$2:$D$13=$D19,MAX(_xlfn._xlws.FILTER(_xlpm.d,_xlpm.a*_xlpm.b)))</f>
        <v>0.78</v>
      </c>
      <c r="P19" s="1" cm="1">
        <f t="array" ref="P19">_xlfn.LET(_xlpm.d,P$2:P$13,_xlpm.a,$C$2:$C$13=$C19,_xlpm.b,$D$2:$D$13=$D19,MAX(_xlfn._xlws.FILTER(_xlpm.d,_xlpm.a*_xlpm.b)))</f>
        <v>0.78</v>
      </c>
      <c r="Q19" s="1" cm="1">
        <f t="array" ref="Q19">_xlfn.LET(_xlpm.d,Q$2:Q$13,_xlpm.a,$C$2:$C$13=$C19,_xlpm.b,$D$2:$D$13=$D19,MAX(_xlfn._xlws.FILTER(_xlpm.d,_xlpm.a*_xlpm.b)))</f>
        <v>0.7</v>
      </c>
      <c r="R19" s="1" cm="1">
        <f t="array" ref="R19">_xlfn.LET(_xlpm.d,R$2:R$13,_xlpm.a,$C$2:$C$13=$C19,_xlpm.b,$D$2:$D$13=$D19,MAX(_xlfn._xlws.FILTER(_xlpm.d,_xlpm.a*_xlpm.b)))</f>
        <v>0.76</v>
      </c>
      <c r="S19" s="1" cm="1">
        <f t="array" ref="S19">_xlfn.LET(_xlpm.d,S$2:S$13,_xlpm.a,$C$2:$C$13=$C19,_xlpm.b,$D$2:$D$13=$D19,MAX(_xlfn._xlws.FILTER(_xlpm.d,_xlpm.a*_xlpm.b)))</f>
        <v>0.82</v>
      </c>
      <c r="T19" s="1" cm="1">
        <f t="array" ref="T19">_xlfn.LET(_xlpm.d,T$2:T$13,_xlpm.a,$C$2:$C$13=$C19,_xlpm.b,$D$2:$D$13=$D19,MAX(_xlfn._xlws.FILTER(_xlpm.d,_xlpm.a*_xlpm.b)))</f>
        <v>0.82</v>
      </c>
    </row>
    <row r="20" spans="2:20" ht="25" customHeight="1">
      <c r="B20">
        <v>2</v>
      </c>
      <c r="C20" t="s">
        <v>22</v>
      </c>
      <c r="D20" t="b">
        <v>1</v>
      </c>
      <c r="E20">
        <v>0</v>
      </c>
      <c r="F20" t="s">
        <v>18</v>
      </c>
      <c r="G20" t="str">
        <f>_xlfn.TEXTJOIN("-",TRUE,Table291113171916[[#This Row],[attribute]],Table291113171916[[#This Row],[supplemented]],Table291113171916[[#This Row],[method]])</f>
        <v>gender-TRUE-max</v>
      </c>
      <c r="H20" s="1" cm="1">
        <f t="array" ref="H20">_xlfn.LET(_xlpm.d,H$2:H$13,_xlpm.a,$C$2:$C$13=$C20,_xlpm.b,$D$2:$D$13=$D20,MAX(_xlfn._xlws.FILTER(_xlpm.d,_xlpm.a*_xlpm.b)))</f>
        <v>0.82</v>
      </c>
      <c r="I20" s="1" cm="1">
        <f t="array" ref="I20">_xlfn.LET(_xlpm.d,I$2:I$13,_xlpm.a,$C$2:$C$13=$C20,_xlpm.b,$D$2:$D$13=$D20,MAX(_xlfn._xlws.FILTER(_xlpm.d,_xlpm.a*_xlpm.b)))</f>
        <v>0.8</v>
      </c>
      <c r="J20" s="1" cm="1">
        <f t="array" ref="J20">_xlfn.LET(_xlpm.d,J$2:J$13,_xlpm.a,$C$2:$C$13=$C20,_xlpm.b,$D$2:$D$13=$D20,MAX(_xlfn._xlws.FILTER(_xlpm.d,_xlpm.a*_xlpm.b)))</f>
        <v>0.8</v>
      </c>
      <c r="K20" s="1" cm="1">
        <f t="array" ref="K20">_xlfn.LET(_xlpm.d,K$2:K$13,_xlpm.a,$C$2:$C$13=$C20,_xlpm.b,$D$2:$D$13=$D20,MAX(_xlfn._xlws.FILTER(_xlpm.d,_xlpm.a*_xlpm.b)))</f>
        <v>0.77</v>
      </c>
      <c r="L20" s="1" cm="1">
        <f t="array" ref="L20">_xlfn.LET(_xlpm.d,L$2:L$13,_xlpm.a,$C$2:$C$13=$C20,_xlpm.b,$D$2:$D$13=$D20,MAX(_xlfn._xlws.FILTER(_xlpm.d,_xlpm.a*_xlpm.b)))</f>
        <v>0.72</v>
      </c>
      <c r="M20" s="1" cm="1">
        <f t="array" ref="M20">_xlfn.LET(_xlpm.d,M$2:M$13,_xlpm.a,$C$2:$C$13=$C20,_xlpm.b,$D$2:$D$13=$D20,MAX(_xlfn._xlws.FILTER(_xlpm.d,_xlpm.a*_xlpm.b)))</f>
        <v>0.79</v>
      </c>
      <c r="N20" s="1" cm="1">
        <f t="array" ref="N20">_xlfn.LET(_xlpm.d,N$2:N$13,_xlpm.a,$C$2:$C$13=$C20,_xlpm.b,$D$2:$D$13=$D20,MAX(_xlfn._xlws.FILTER(_xlpm.d,_xlpm.a*_xlpm.b)))</f>
        <v>0.73</v>
      </c>
      <c r="O20" s="1" cm="1">
        <f t="array" ref="O20">_xlfn.LET(_xlpm.d,O$2:O$13,_xlpm.a,$C$2:$C$13=$C20,_xlpm.b,$D$2:$D$13=$D20,MAX(_xlfn._xlws.FILTER(_xlpm.d,_xlpm.a*_xlpm.b)))</f>
        <v>0.82</v>
      </c>
      <c r="P20" s="1" cm="1">
        <f t="array" ref="P20">_xlfn.LET(_xlpm.d,P$2:P$13,_xlpm.a,$C$2:$C$13=$C20,_xlpm.b,$D$2:$D$13=$D20,MAX(_xlfn._xlws.FILTER(_xlpm.d,_xlpm.a*_xlpm.b)))</f>
        <v>0.79</v>
      </c>
      <c r="Q20" s="1" cm="1">
        <f t="array" ref="Q20">_xlfn.LET(_xlpm.d,Q$2:Q$13,_xlpm.a,$C$2:$C$13=$C20,_xlpm.b,$D$2:$D$13=$D20,MAX(_xlfn._xlws.FILTER(_xlpm.d,_xlpm.a*_xlpm.b)))</f>
        <v>0.7</v>
      </c>
      <c r="R20" s="1" cm="1">
        <f t="array" ref="R20">_xlfn.LET(_xlpm.d,R$2:R$13,_xlpm.a,$C$2:$C$13=$C20,_xlpm.b,$D$2:$D$13=$D20,MAX(_xlfn._xlws.FILTER(_xlpm.d,_xlpm.a*_xlpm.b)))</f>
        <v>0.79</v>
      </c>
      <c r="S20" s="1" cm="1">
        <f t="array" ref="S20">_xlfn.LET(_xlpm.d,S$2:S$13,_xlpm.a,$C$2:$C$13=$C20,_xlpm.b,$D$2:$D$13=$D20,MAX(_xlfn._xlws.FILTER(_xlpm.d,_xlpm.a*_xlpm.b)))</f>
        <v>0.78</v>
      </c>
      <c r="T20" s="1" cm="1">
        <f t="array" ref="T20">_xlfn.LET(_xlpm.d,T$2:T$13,_xlpm.a,$C$2:$C$13=$C20,_xlpm.b,$D$2:$D$13=$D20,MAX(_xlfn._xlws.FILTER(_xlpm.d,_xlpm.a*_xlpm.b)))</f>
        <v>0.82</v>
      </c>
    </row>
  </sheetData>
  <conditionalFormatting sqref="H2:T13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17:T20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summarized</vt:lpstr>
      <vt:lpstr>ml3.0-3k-xsk-mgv9</vt:lpstr>
      <vt:lpstr>ml3.0-2k-xsk-mgv9</vt:lpstr>
      <vt:lpstr>ml3.0-1.2k-xsk-mgv9</vt:lpstr>
      <vt:lpstr>ml2.0-2k-xsk-mgv9</vt:lpstr>
      <vt:lpstr>ml2.0-1.2k-xsk-mgv9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Kuroda, Kow</dc:creator>
  <cp:keywords/>
  <dc:description/>
  <cp:lastModifiedBy>Kuroda, Kow</cp:lastModifiedBy>
  <dcterms:created xsi:type="dcterms:W3CDTF">2025-02-25T03:28:35Z</dcterms:created>
  <dcterms:modified xsi:type="dcterms:W3CDTF">2025-03-03T10:15:22Z</dcterms:modified>
  <cp:category/>
</cp:coreProperties>
</file>