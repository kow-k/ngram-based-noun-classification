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EC4EF584-48A3-CD4F-A0FC-FB69473C3CD0}" xr6:coauthVersionLast="47" xr6:coauthVersionMax="47" xr10:uidLastSave="{00000000-0000-0000-0000-000000000000}"/>
  <bookViews>
    <workbookView xWindow="6420" yWindow="1180" windowWidth="32100" windowHeight="18600" activeTab="1" xr2:uid="{97E0D2CF-8C7D-184C-964B-AE412C9623E8}"/>
  </bookViews>
  <sheets>
    <sheet name="summarized" sheetId="3" r:id="rId1"/>
    <sheet name="3k-xsk-mgv9" sheetId="11" r:id="rId2"/>
    <sheet name="3k-xsk-mgv6" sheetId="5" r:id="rId3"/>
    <sheet name="3k-xsk-mgv3" sheetId="6" r:id="rId4"/>
    <sheet name="2k-xsk-mgv9" sheetId="7" r:id="rId5"/>
    <sheet name="2k-xsk-mgv6" sheetId="8" r:id="rId6"/>
    <sheet name="2k-xsk-mgv3" sheetId="12" r:id="rId7"/>
    <sheet name="1.2k-xsk-mgv9" sheetId="13" r:id="rId8"/>
    <sheet name="1.2k-xsk-mgv6" sheetId="9" r:id="rId9"/>
    <sheet name="1.2k-xsk-mgv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1" l="1"/>
  <c r="J32" i="11"/>
  <c r="K32" i="11"/>
  <c r="L32" i="11"/>
  <c r="M32" i="11"/>
  <c r="N32" i="11"/>
  <c r="O32" i="11"/>
  <c r="P32" i="11"/>
  <c r="Q32" i="11"/>
  <c r="R32" i="11"/>
  <c r="S32" i="11"/>
  <c r="I33" i="11"/>
  <c r="J33" i="11"/>
  <c r="K33" i="11"/>
  <c r="L33" i="11"/>
  <c r="M33" i="11"/>
  <c r="N33" i="11"/>
  <c r="O33" i="11"/>
  <c r="P33" i="11"/>
  <c r="Q33" i="11"/>
  <c r="R33" i="11"/>
  <c r="S33" i="11"/>
  <c r="I34" i="11"/>
  <c r="J34" i="11"/>
  <c r="K34" i="11"/>
  <c r="L34" i="11"/>
  <c r="M34" i="11"/>
  <c r="N34" i="11"/>
  <c r="O34" i="11"/>
  <c r="P34" i="11"/>
  <c r="Q34" i="11"/>
  <c r="R34" i="11"/>
  <c r="S34" i="11"/>
  <c r="I35" i="11"/>
  <c r="J35" i="11"/>
  <c r="K35" i="11"/>
  <c r="L35" i="11"/>
  <c r="M35" i="11"/>
  <c r="N35" i="11"/>
  <c r="O35" i="11"/>
  <c r="P35" i="11"/>
  <c r="Q35" i="11"/>
  <c r="R35" i="11"/>
  <c r="S35" i="11"/>
  <c r="I36" i="11"/>
  <c r="J36" i="11"/>
  <c r="K36" i="11"/>
  <c r="L36" i="11"/>
  <c r="M36" i="11"/>
  <c r="N36" i="11"/>
  <c r="O36" i="11"/>
  <c r="P36" i="11"/>
  <c r="Q36" i="11"/>
  <c r="R36" i="11"/>
  <c r="S36" i="11"/>
  <c r="I37" i="11"/>
  <c r="J37" i="11"/>
  <c r="K37" i="11"/>
  <c r="L37" i="11"/>
  <c r="M37" i="11"/>
  <c r="N37" i="11"/>
  <c r="O37" i="11"/>
  <c r="P37" i="11"/>
  <c r="Q37" i="11"/>
  <c r="R37" i="11"/>
  <c r="S37" i="11"/>
  <c r="H32" i="11"/>
  <c r="H33" i="11"/>
  <c r="H34" i="11"/>
  <c r="H35" i="11"/>
  <c r="H36" i="11"/>
  <c r="H37" i="11"/>
  <c r="G37" i="11"/>
  <c r="G36" i="11"/>
  <c r="G35" i="11"/>
  <c r="G34" i="11"/>
  <c r="G33" i="11"/>
  <c r="G32" i="11"/>
  <c r="G23" i="11"/>
  <c r="G24" i="11"/>
  <c r="G25" i="11"/>
  <c r="G26" i="11"/>
  <c r="G27" i="11"/>
  <c r="G28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37" i="6"/>
  <c r="G39" i="6"/>
  <c r="G41" i="6"/>
  <c r="G38" i="6"/>
  <c r="G40" i="6"/>
  <c r="G42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3" i="6"/>
  <c r="G25" i="6"/>
  <c r="G27" i="6"/>
  <c r="G24" i="6"/>
  <c r="G26" i="6"/>
  <c r="G28" i="6"/>
  <c r="X103" i="3" a="1"/>
  <c r="X103" i="3" s="1"/>
  <c r="X102" i="3" a="1"/>
  <c r="X102" i="3" s="1"/>
  <c r="X101" i="3" a="1"/>
  <c r="X101" i="3" s="1"/>
  <c r="X100" i="3" a="1"/>
  <c r="X100" i="3" s="1"/>
  <c r="X99" i="3" a="1"/>
  <c r="X99" i="3" s="1"/>
  <c r="X98" i="3" a="1"/>
  <c r="X98" i="3" s="1"/>
  <c r="X97" i="3" a="1"/>
  <c r="X97" i="3" s="1"/>
  <c r="X96" i="3" a="1"/>
  <c r="X96" i="3" s="1"/>
  <c r="X95" i="3" a="1"/>
  <c r="X95" i="3" s="1"/>
  <c r="X91" i="3" a="1"/>
  <c r="X91" i="3" s="1"/>
  <c r="X90" i="3" a="1"/>
  <c r="X90" i="3" s="1"/>
  <c r="X89" i="3" a="1"/>
  <c r="X89" i="3" s="1"/>
  <c r="X88" i="3" a="1"/>
  <c r="X88" i="3" s="1"/>
  <c r="X87" i="3" a="1"/>
  <c r="X87" i="3" s="1"/>
  <c r="X86" i="3" a="1"/>
  <c r="X86" i="3" s="1"/>
  <c r="X85" i="3" a="1"/>
  <c r="X85" i="3" s="1"/>
  <c r="X84" i="3" a="1"/>
  <c r="X84" i="3" s="1"/>
  <c r="X83" i="3" a="1"/>
  <c r="X83" i="3" s="1"/>
  <c r="X79" i="3" a="1"/>
  <c r="X79" i="3" s="1"/>
  <c r="X78" i="3" a="1"/>
  <c r="X78" i="3" s="1"/>
  <c r="X76" i="3" a="1"/>
  <c r="X76" i="3" s="1"/>
  <c r="X73" i="3" a="1"/>
  <c r="X73" i="3" s="1"/>
  <c r="X72" i="3" a="1"/>
  <c r="X72" i="3" s="1"/>
  <c r="X75" i="3" a="1"/>
  <c r="X75" i="3" s="1"/>
  <c r="X77" i="3" a="1"/>
  <c r="X77" i="3" s="1"/>
  <c r="X71" i="3" a="1"/>
  <c r="X71" i="3" s="1"/>
  <c r="X74" i="3" a="1"/>
  <c r="X74" i="3" s="1"/>
  <c r="U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X59" i="3" a="1"/>
  <c r="X59" i="3" s="1"/>
  <c r="X63" i="3" a="1"/>
  <c r="X63" i="3" s="1"/>
  <c r="X67" i="3" a="1"/>
  <c r="X67" i="3" s="1"/>
  <c r="X64" i="3" a="1"/>
  <c r="X64" i="3" s="1"/>
  <c r="X65" i="3" a="1"/>
  <c r="X65" i="3" s="1"/>
  <c r="X66" i="3" a="1"/>
  <c r="X66" i="3" s="1"/>
  <c r="X61" i="3" a="1"/>
  <c r="X61" i="3" s="1"/>
  <c r="X62" i="3" a="1"/>
  <c r="X62" i="3" s="1"/>
  <c r="X60" i="3" a="1"/>
  <c r="X60" i="3" s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I51" i="3"/>
  <c r="I50" i="3"/>
  <c r="I53" i="3"/>
  <c r="I52" i="3"/>
  <c r="I55" i="3"/>
  <c r="I54" i="3"/>
  <c r="I45" i="3"/>
  <c r="I44" i="3"/>
  <c r="I47" i="3"/>
  <c r="I46" i="3"/>
  <c r="I49" i="3"/>
  <c r="I48" i="3"/>
  <c r="I39" i="3"/>
  <c r="I38" i="3"/>
  <c r="I41" i="3"/>
  <c r="I40" i="3"/>
  <c r="I43" i="3"/>
  <c r="I42" i="3"/>
  <c r="I33" i="3"/>
  <c r="I32" i="3"/>
  <c r="I35" i="3"/>
  <c r="I34" i="3"/>
  <c r="I37" i="3"/>
  <c r="I36" i="3"/>
  <c r="I27" i="3"/>
  <c r="I26" i="3"/>
  <c r="I29" i="3"/>
  <c r="I28" i="3"/>
  <c r="I31" i="3"/>
  <c r="I30" i="3"/>
  <c r="I21" i="3"/>
  <c r="I20" i="3"/>
  <c r="I23" i="3"/>
  <c r="I22" i="3"/>
  <c r="I25" i="3"/>
  <c r="I24" i="3"/>
  <c r="I15" i="3"/>
  <c r="I14" i="3"/>
  <c r="I17" i="3"/>
  <c r="I16" i="3"/>
  <c r="I19" i="3"/>
  <c r="I18" i="3"/>
  <c r="I9" i="3"/>
  <c r="I8" i="3"/>
  <c r="I11" i="3"/>
  <c r="I10" i="3"/>
  <c r="I13" i="3"/>
  <c r="I12" i="3"/>
  <c r="I3" i="3"/>
  <c r="I2" i="3"/>
  <c r="I5" i="3"/>
  <c r="I4" i="3"/>
  <c r="I7" i="3"/>
  <c r="I6" i="3"/>
  <c r="X6" i="3" l="1"/>
  <c r="X40" i="3"/>
  <c r="X47" i="3"/>
  <c r="X15" i="3"/>
  <c r="X49" i="3"/>
  <c r="X41" i="3"/>
  <c r="X33" i="3"/>
  <c r="X25" i="3"/>
  <c r="X17" i="3"/>
  <c r="X9" i="3"/>
  <c r="X18" i="3"/>
  <c r="X7" i="3"/>
  <c r="X48" i="3"/>
  <c r="X39" i="3"/>
  <c r="X54" i="3"/>
  <c r="X38" i="3"/>
  <c r="X14" i="3"/>
  <c r="X53" i="3"/>
  <c r="X29" i="3"/>
  <c r="X21" i="3"/>
  <c r="X5" i="3"/>
  <c r="X52" i="3"/>
  <c r="X44" i="3"/>
  <c r="X36" i="3"/>
  <c r="X28" i="3"/>
  <c r="X20" i="3"/>
  <c r="X12" i="3"/>
  <c r="X4" i="3"/>
  <c r="X32" i="3"/>
  <c r="X24" i="3"/>
  <c r="X16" i="3"/>
  <c r="X55" i="3"/>
  <c r="X23" i="3"/>
  <c r="X30" i="3"/>
  <c r="X37" i="3"/>
  <c r="X26" i="3"/>
  <c r="X31" i="3"/>
  <c r="X46" i="3"/>
  <c r="X22" i="3"/>
  <c r="X45" i="3"/>
  <c r="X13" i="3"/>
  <c r="X35" i="3"/>
  <c r="X3" i="3"/>
  <c r="X19" i="3"/>
  <c r="X50" i="3"/>
  <c r="X10" i="3"/>
  <c r="X51" i="3"/>
  <c r="X27" i="3"/>
  <c r="X42" i="3"/>
  <c r="X2" i="3"/>
  <c r="X8" i="3"/>
  <c r="X43" i="3"/>
  <c r="X11" i="3"/>
  <c r="X34" i="3"/>
  <c r="G23" i="12" a="1"/>
  <c r="G23" i="12" s="1"/>
  <c r="R28" i="12" a="1"/>
  <c r="R28" i="12" s="1"/>
  <c r="Q28" i="12" a="1"/>
  <c r="Q28" i="12" s="1"/>
  <c r="P28" i="12" a="1"/>
  <c r="P28" i="12" s="1"/>
  <c r="O28" i="12" a="1"/>
  <c r="O28" i="12" s="1"/>
  <c r="N28" i="12" a="1"/>
  <c r="N28" i="12" s="1"/>
  <c r="M28" i="12" a="1"/>
  <c r="M28" i="12" s="1"/>
  <c r="L28" i="12" a="1"/>
  <c r="L28" i="12" s="1"/>
  <c r="K28" i="12" a="1"/>
  <c r="K28" i="12" s="1"/>
  <c r="J28" i="12" a="1"/>
  <c r="J28" i="12" s="1"/>
  <c r="I28" i="12" a="1"/>
  <c r="I28" i="12" s="1"/>
  <c r="H28" i="12" a="1"/>
  <c r="H28" i="12" s="1"/>
  <c r="G28" i="12" a="1"/>
  <c r="G28" i="12" s="1"/>
  <c r="R27" i="12" a="1"/>
  <c r="R27" i="12" s="1"/>
  <c r="Q27" i="12" a="1"/>
  <c r="Q27" i="12" s="1"/>
  <c r="P27" i="12"/>
  <c r="P27" i="12" a="1"/>
  <c r="O27" i="12" a="1"/>
  <c r="O27" i="12" s="1"/>
  <c r="N27" i="12" a="1"/>
  <c r="N27" i="12" s="1"/>
  <c r="M27" i="12" a="1"/>
  <c r="M27" i="12" s="1"/>
  <c r="L27" i="12" a="1"/>
  <c r="L27" i="12" s="1"/>
  <c r="K27" i="12" a="1"/>
  <c r="K27" i="12" s="1"/>
  <c r="J27" i="12" a="1"/>
  <c r="J27" i="12" s="1"/>
  <c r="I27" i="12" a="1"/>
  <c r="I27" i="12" s="1"/>
  <c r="H27" i="12" a="1"/>
  <c r="H27" i="12" s="1"/>
  <c r="G27" i="12" a="1"/>
  <c r="G27" i="12" s="1"/>
  <c r="R26" i="12" a="1"/>
  <c r="R26" i="12" s="1"/>
  <c r="Q26" i="12" a="1"/>
  <c r="Q26" i="12" s="1"/>
  <c r="P26" i="12" a="1"/>
  <c r="P26" i="12" s="1"/>
  <c r="O26" i="12" a="1"/>
  <c r="O26" i="12" s="1"/>
  <c r="N26" i="12" a="1"/>
  <c r="N26" i="12" s="1"/>
  <c r="M26" i="12" a="1"/>
  <c r="M26" i="12" s="1"/>
  <c r="L26" i="12" a="1"/>
  <c r="L26" i="12" s="1"/>
  <c r="K26" i="12" a="1"/>
  <c r="K26" i="12" s="1"/>
  <c r="J26" i="12" a="1"/>
  <c r="J26" i="12" s="1"/>
  <c r="I26" i="12" a="1"/>
  <c r="I26" i="12" s="1"/>
  <c r="H26" i="12" a="1"/>
  <c r="H26" i="12" s="1"/>
  <c r="G26" i="12" a="1"/>
  <c r="G26" i="12" s="1"/>
  <c r="R25" i="12" a="1"/>
  <c r="R25" i="12" s="1"/>
  <c r="Q25" i="12" a="1"/>
  <c r="Q25" i="12" s="1"/>
  <c r="P25" i="12" a="1"/>
  <c r="P25" i="12" s="1"/>
  <c r="O25" i="12" a="1"/>
  <c r="O25" i="12" s="1"/>
  <c r="N25" i="12" a="1"/>
  <c r="N25" i="12" s="1"/>
  <c r="M25" i="12" a="1"/>
  <c r="M25" i="12" s="1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G25" i="12" a="1"/>
  <c r="G25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R23" i="12" a="1"/>
  <c r="R23" i="12" s="1"/>
  <c r="Q23" i="12" a="1"/>
  <c r="Q23" i="12" s="1"/>
  <c r="P23" i="12" a="1"/>
  <c r="P23" i="12" s="1"/>
  <c r="O23" i="12" a="1"/>
  <c r="O23" i="12" s="1"/>
  <c r="N23" i="12" a="1"/>
  <c r="N23" i="12" s="1"/>
  <c r="M23" i="12" a="1"/>
  <c r="M23" i="12" s="1"/>
  <c r="L23" i="12" a="1"/>
  <c r="L23" i="12" s="1"/>
  <c r="K23" i="12" a="1"/>
  <c r="K23" i="12" s="1"/>
  <c r="J23" i="12" a="1"/>
  <c r="J23" i="12" s="1"/>
  <c r="I23" i="12" a="1"/>
  <c r="I23" i="12" s="1"/>
  <c r="H23" i="12" a="1"/>
  <c r="H23" i="12" s="1"/>
  <c r="S27" i="12" l="1"/>
  <c r="S23" i="12"/>
  <c r="S25" i="12"/>
  <c r="S28" i="12"/>
  <c r="S26" i="12"/>
  <c r="S24" i="12"/>
  <c r="S6" i="12" l="1"/>
  <c r="S3" i="12"/>
  <c r="S4" i="12"/>
  <c r="S5" i="12"/>
  <c r="S2" i="12"/>
  <c r="S7" i="12"/>
  <c r="S12" i="12"/>
  <c r="S10" i="12"/>
  <c r="S8" i="12"/>
  <c r="S13" i="12"/>
  <c r="S11" i="12"/>
  <c r="S9" i="12"/>
  <c r="S15" i="12"/>
  <c r="S14" i="12"/>
  <c r="S18" i="12"/>
  <c r="S16" i="12"/>
  <c r="S19" i="12"/>
  <c r="S17" i="12"/>
  <c r="R28" i="13" a="1"/>
  <c r="R28" i="13" s="1"/>
  <c r="Q28" i="13" a="1"/>
  <c r="Q28" i="13" s="1"/>
  <c r="P28" i="13" a="1"/>
  <c r="P28" i="13" s="1"/>
  <c r="O28" i="13" a="1"/>
  <c r="O28" i="13" s="1"/>
  <c r="N28" i="13" a="1"/>
  <c r="N28" i="13" s="1"/>
  <c r="M28" i="13" a="1"/>
  <c r="M28" i="13" s="1"/>
  <c r="L28" i="13" a="1"/>
  <c r="L28" i="13" s="1"/>
  <c r="K28" i="13" a="1"/>
  <c r="K28" i="13" s="1"/>
  <c r="J28" i="13" a="1"/>
  <c r="J28" i="13" s="1"/>
  <c r="I28" i="13" a="1"/>
  <c r="I28" i="13" s="1"/>
  <c r="H28" i="13" a="1"/>
  <c r="H28" i="13" s="1"/>
  <c r="G28" i="13" a="1"/>
  <c r="G28" i="13" s="1"/>
  <c r="R27" i="13" a="1"/>
  <c r="R27" i="13" s="1"/>
  <c r="Q27" i="13" a="1"/>
  <c r="Q27" i="13" s="1"/>
  <c r="P27" i="13" a="1"/>
  <c r="P27" i="13" s="1"/>
  <c r="O27" i="13"/>
  <c r="O27" i="13" a="1"/>
  <c r="N27" i="13" a="1"/>
  <c r="N27" i="13" s="1"/>
  <c r="M27" i="13" a="1"/>
  <c r="M27" i="13" s="1"/>
  <c r="L27" i="13" a="1"/>
  <c r="L27" i="13" s="1"/>
  <c r="K27" i="13" a="1"/>
  <c r="K27" i="13" s="1"/>
  <c r="J27" i="13" a="1"/>
  <c r="J27" i="13" s="1"/>
  <c r="I27" i="13" a="1"/>
  <c r="I27" i="13" s="1"/>
  <c r="H27" i="13" a="1"/>
  <c r="H27" i="13" s="1"/>
  <c r="G27" i="13" a="1"/>
  <c r="G27" i="13" s="1"/>
  <c r="R26" i="13" a="1"/>
  <c r="R26" i="13" s="1"/>
  <c r="Q26" i="13" a="1"/>
  <c r="Q26" i="13" s="1"/>
  <c r="P26" i="13" a="1"/>
  <c r="P26" i="13" s="1"/>
  <c r="O26" i="13" a="1"/>
  <c r="O26" i="13" s="1"/>
  <c r="N26" i="13" a="1"/>
  <c r="N26" i="13" s="1"/>
  <c r="M26" i="13" a="1"/>
  <c r="M26" i="13" s="1"/>
  <c r="L26" i="13" a="1"/>
  <c r="L26" i="13" s="1"/>
  <c r="K26" i="13" a="1"/>
  <c r="K26" i="13" s="1"/>
  <c r="J26" i="13" a="1"/>
  <c r="J26" i="13" s="1"/>
  <c r="I26" i="13" a="1"/>
  <c r="I26" i="13" s="1"/>
  <c r="H26" i="13" a="1"/>
  <c r="H26" i="13" s="1"/>
  <c r="G26" i="13" a="1"/>
  <c r="G26" i="13" s="1"/>
  <c r="R25" i="13" a="1"/>
  <c r="R25" i="13" s="1"/>
  <c r="Q25" i="13" a="1"/>
  <c r="Q25" i="13" s="1"/>
  <c r="P25" i="13" a="1"/>
  <c r="P25" i="13" s="1"/>
  <c r="O25" i="13" a="1"/>
  <c r="O25" i="13" s="1"/>
  <c r="N25" i="13" a="1"/>
  <c r="N25" i="13" s="1"/>
  <c r="M25" i="13" a="1"/>
  <c r="M25" i="13" s="1"/>
  <c r="L25" i="13" a="1"/>
  <c r="L25" i="13" s="1"/>
  <c r="K25" i="13" a="1"/>
  <c r="K25" i="13" s="1"/>
  <c r="J25" i="13" a="1"/>
  <c r="J25" i="13" s="1"/>
  <c r="I25" i="13" a="1"/>
  <c r="I25" i="13" s="1"/>
  <c r="H25" i="13" a="1"/>
  <c r="H25" i="13" s="1"/>
  <c r="G25" i="13" a="1"/>
  <c r="G25" i="13" s="1"/>
  <c r="R24" i="13" a="1"/>
  <c r="R24" i="13" s="1"/>
  <c r="Q24" i="13" a="1"/>
  <c r="Q24" i="13" s="1"/>
  <c r="P24" i="13" a="1"/>
  <c r="P24" i="13" s="1"/>
  <c r="O24" i="13" a="1"/>
  <c r="O24" i="13" s="1"/>
  <c r="N24" i="13" a="1"/>
  <c r="N24" i="13" s="1"/>
  <c r="M24" i="13" a="1"/>
  <c r="M24" i="13" s="1"/>
  <c r="L24" i="13" a="1"/>
  <c r="L24" i="13" s="1"/>
  <c r="K24" i="13" a="1"/>
  <c r="K24" i="13" s="1"/>
  <c r="J24" i="13" a="1"/>
  <c r="J24" i="13" s="1"/>
  <c r="I24" i="13" a="1"/>
  <c r="I24" i="13" s="1"/>
  <c r="H24" i="13" a="1"/>
  <c r="H24" i="13" s="1"/>
  <c r="G24" i="13" a="1"/>
  <c r="G24" i="13" s="1"/>
  <c r="R23" i="13" a="1"/>
  <c r="R23" i="13" s="1"/>
  <c r="Q23" i="13" a="1"/>
  <c r="Q23" i="13" s="1"/>
  <c r="P23" i="13" a="1"/>
  <c r="P23" i="13" s="1"/>
  <c r="O23" i="13" a="1"/>
  <c r="O23" i="13" s="1"/>
  <c r="N23" i="13" a="1"/>
  <c r="N23" i="13" s="1"/>
  <c r="M23" i="13" a="1"/>
  <c r="M23" i="13" s="1"/>
  <c r="L23" i="13" a="1"/>
  <c r="L23" i="13" s="1"/>
  <c r="K23" i="13" a="1"/>
  <c r="K23" i="13" s="1"/>
  <c r="J23" i="13"/>
  <c r="J23" i="13" a="1"/>
  <c r="I23" i="13" a="1"/>
  <c r="I23" i="13" s="1"/>
  <c r="H23" i="13" a="1"/>
  <c r="H23" i="13" s="1"/>
  <c r="G23" i="13" a="1"/>
  <c r="G23" i="13" s="1"/>
  <c r="S5" i="13"/>
  <c r="S2" i="13"/>
  <c r="S3" i="13"/>
  <c r="S4" i="13"/>
  <c r="S6" i="13"/>
  <c r="S7" i="13"/>
  <c r="S11" i="13"/>
  <c r="S12" i="13"/>
  <c r="S13" i="13"/>
  <c r="S8" i="13"/>
  <c r="S9" i="13"/>
  <c r="S10" i="13"/>
  <c r="S17" i="13"/>
  <c r="S18" i="13"/>
  <c r="S14" i="13"/>
  <c r="S15" i="13"/>
  <c r="S16" i="13"/>
  <c r="S19" i="13"/>
  <c r="S28" i="11" a="1"/>
  <c r="S28" i="11" s="1"/>
  <c r="R28" i="11" a="1"/>
  <c r="R28" i="11" s="1"/>
  <c r="Q28" i="11" a="1"/>
  <c r="Q28" i="11" s="1"/>
  <c r="P28" i="11" a="1"/>
  <c r="P28" i="11" s="1"/>
  <c r="O28" i="11" a="1"/>
  <c r="O28" i="11" s="1"/>
  <c r="N28" i="11" a="1"/>
  <c r="N28" i="11" s="1"/>
  <c r="M28" i="11" a="1"/>
  <c r="M28" i="11" s="1"/>
  <c r="L28" i="11" a="1"/>
  <c r="L28" i="11" s="1"/>
  <c r="K28" i="11" a="1"/>
  <c r="K28" i="11" s="1"/>
  <c r="J28" i="11" a="1"/>
  <c r="J28" i="11" s="1"/>
  <c r="I28" i="11" a="1"/>
  <c r="I28" i="11" s="1"/>
  <c r="H28" i="11" a="1"/>
  <c r="H28" i="11" s="1"/>
  <c r="S27" i="11" a="1"/>
  <c r="S27" i="11" s="1"/>
  <c r="R27" i="11" a="1"/>
  <c r="R27" i="11" s="1"/>
  <c r="Q27" i="11" a="1"/>
  <c r="Q27" i="11" s="1"/>
  <c r="P27" i="11" a="1"/>
  <c r="P27" i="11" s="1"/>
  <c r="O27" i="11" a="1"/>
  <c r="O27" i="11" s="1"/>
  <c r="N27" i="11" a="1"/>
  <c r="N27" i="11" s="1"/>
  <c r="M27" i="11" a="1"/>
  <c r="M27" i="11" s="1"/>
  <c r="L27" i="11" a="1"/>
  <c r="L27" i="11" s="1"/>
  <c r="K27" i="11" a="1"/>
  <c r="K27" i="11" s="1"/>
  <c r="J27" i="11" a="1"/>
  <c r="J27" i="11" s="1"/>
  <c r="I27" i="11" a="1"/>
  <c r="I27" i="11" s="1"/>
  <c r="H27" i="11" a="1"/>
  <c r="H27" i="11" s="1"/>
  <c r="S26" i="11" a="1"/>
  <c r="S26" i="11" s="1"/>
  <c r="R26" i="11" a="1"/>
  <c r="R26" i="11" s="1"/>
  <c r="Q26" i="11" a="1"/>
  <c r="Q26" i="11" s="1"/>
  <c r="P26" i="11" a="1"/>
  <c r="P26" i="11" s="1"/>
  <c r="O26" i="11" a="1"/>
  <c r="O26" i="11" s="1"/>
  <c r="N26" i="11" a="1"/>
  <c r="N26" i="11" s="1"/>
  <c r="M26" i="11" a="1"/>
  <c r="M26" i="11" s="1"/>
  <c r="L26" i="11" a="1"/>
  <c r="L26" i="11" s="1"/>
  <c r="K26" i="11" a="1"/>
  <c r="K26" i="11" s="1"/>
  <c r="J26" i="11" a="1"/>
  <c r="J26" i="11" s="1"/>
  <c r="I26" i="11" a="1"/>
  <c r="I26" i="11" s="1"/>
  <c r="H26" i="11" a="1"/>
  <c r="H26" i="11" s="1"/>
  <c r="S25" i="11" a="1"/>
  <c r="S25" i="11" s="1"/>
  <c r="R25" i="11" a="1"/>
  <c r="R25" i="11" s="1"/>
  <c r="Q25" i="11" a="1"/>
  <c r="Q25" i="11" s="1"/>
  <c r="P25" i="11" a="1"/>
  <c r="P25" i="11" s="1"/>
  <c r="O25" i="11" a="1"/>
  <c r="O25" i="11" s="1"/>
  <c r="N25" i="11" a="1"/>
  <c r="N25" i="11" s="1"/>
  <c r="M25" i="11" a="1"/>
  <c r="M25" i="11" s="1"/>
  <c r="L25" i="11" a="1"/>
  <c r="L25" i="11" s="1"/>
  <c r="K25" i="11" a="1"/>
  <c r="K25" i="11" s="1"/>
  <c r="J25" i="11" a="1"/>
  <c r="J25" i="11" s="1"/>
  <c r="I25" i="11" a="1"/>
  <c r="I25" i="11" s="1"/>
  <c r="H25" i="11" a="1"/>
  <c r="H25" i="11" s="1"/>
  <c r="S24" i="11" a="1"/>
  <c r="S24" i="11" s="1"/>
  <c r="R24" i="11" a="1"/>
  <c r="R24" i="11" s="1"/>
  <c r="Q24" i="11" a="1"/>
  <c r="Q24" i="11" s="1"/>
  <c r="P24" i="11" a="1"/>
  <c r="P24" i="11" s="1"/>
  <c r="O24" i="11" a="1"/>
  <c r="O24" i="11" s="1"/>
  <c r="N24" i="11" a="1"/>
  <c r="N24" i="11" s="1"/>
  <c r="M24" i="11" a="1"/>
  <c r="M24" i="11" s="1"/>
  <c r="L24" i="11" a="1"/>
  <c r="L24" i="11" s="1"/>
  <c r="K24" i="11" a="1"/>
  <c r="K24" i="11" s="1"/>
  <c r="J24" i="11" a="1"/>
  <c r="J24" i="11" s="1"/>
  <c r="I24" i="11" a="1"/>
  <c r="I24" i="11" s="1"/>
  <c r="H24" i="11" a="1"/>
  <c r="H24" i="11" s="1"/>
  <c r="S23" i="11" a="1"/>
  <c r="S23" i="11" s="1"/>
  <c r="R23" i="11" a="1"/>
  <c r="R23" i="11" s="1"/>
  <c r="Q23" i="11" a="1"/>
  <c r="Q23" i="11" s="1"/>
  <c r="P23" i="11" a="1"/>
  <c r="P23" i="11" s="1"/>
  <c r="O23" i="11" a="1"/>
  <c r="O23" i="11" s="1"/>
  <c r="N23" i="11" a="1"/>
  <c r="N23" i="11" s="1"/>
  <c r="M23" i="11" a="1"/>
  <c r="M23" i="11" s="1"/>
  <c r="L23" i="11" a="1"/>
  <c r="L23" i="11" s="1"/>
  <c r="K23" i="11" a="1"/>
  <c r="K23" i="11" s="1"/>
  <c r="J23" i="11" a="1"/>
  <c r="J23" i="11" s="1"/>
  <c r="I23" i="11" a="1"/>
  <c r="I23" i="11" s="1"/>
  <c r="H23" i="11" a="1"/>
  <c r="H23" i="11" s="1"/>
  <c r="T2" i="11"/>
  <c r="T5" i="11"/>
  <c r="T3" i="11"/>
  <c r="T6" i="11"/>
  <c r="T4" i="11"/>
  <c r="T7" i="11"/>
  <c r="T8" i="11"/>
  <c r="T11" i="11"/>
  <c r="T9" i="11"/>
  <c r="T12" i="11"/>
  <c r="T10" i="11"/>
  <c r="T13" i="11"/>
  <c r="T14" i="11"/>
  <c r="T17" i="11"/>
  <c r="T15" i="11"/>
  <c r="T18" i="11"/>
  <c r="T16" i="11"/>
  <c r="T19" i="11"/>
  <c r="R28" i="9" a="1"/>
  <c r="R28" i="9" s="1"/>
  <c r="Q28" i="9" a="1"/>
  <c r="Q28" i="9" s="1"/>
  <c r="P28" i="9" a="1"/>
  <c r="P28" i="9" s="1"/>
  <c r="O28" i="9" a="1"/>
  <c r="O28" i="9" s="1"/>
  <c r="N28" i="9" a="1"/>
  <c r="N28" i="9" s="1"/>
  <c r="M28" i="9" a="1"/>
  <c r="M28" i="9" s="1"/>
  <c r="L28" i="9" a="1"/>
  <c r="L28" i="9" s="1"/>
  <c r="K28" i="9" a="1"/>
  <c r="K28" i="9" s="1"/>
  <c r="J28" i="9" a="1"/>
  <c r="J28" i="9" s="1"/>
  <c r="I28" i="9" a="1"/>
  <c r="I28" i="9" s="1"/>
  <c r="H28" i="9" a="1"/>
  <c r="H28" i="9" s="1"/>
  <c r="G28" i="9" a="1"/>
  <c r="G28" i="9" s="1"/>
  <c r="R27" i="9" a="1"/>
  <c r="R27" i="9" s="1"/>
  <c r="Q27" i="9"/>
  <c r="Q27" i="9" a="1"/>
  <c r="P27" i="9" a="1"/>
  <c r="P27" i="9" s="1"/>
  <c r="O27" i="9" a="1"/>
  <c r="O27" i="9" s="1"/>
  <c r="N27" i="9" a="1"/>
  <c r="N27" i="9" s="1"/>
  <c r="M27" i="9" a="1"/>
  <c r="M27" i="9" s="1"/>
  <c r="L27" i="9" a="1"/>
  <c r="L27" i="9" s="1"/>
  <c r="K27" i="9" a="1"/>
  <c r="K27" i="9" s="1"/>
  <c r="J27" i="9" a="1"/>
  <c r="J27" i="9" s="1"/>
  <c r="I27" i="9" a="1"/>
  <c r="I27" i="9" s="1"/>
  <c r="H27" i="9"/>
  <c r="H27" i="9" a="1"/>
  <c r="G27" i="9" a="1"/>
  <c r="G27" i="9" s="1"/>
  <c r="R26" i="9" a="1"/>
  <c r="R26" i="9" s="1"/>
  <c r="Q26" i="9" a="1"/>
  <c r="Q26" i="9" s="1"/>
  <c r="P26" i="9" a="1"/>
  <c r="P26" i="9" s="1"/>
  <c r="O26" i="9" a="1"/>
  <c r="O26" i="9" s="1"/>
  <c r="N26" i="9" a="1"/>
  <c r="N26" i="9" s="1"/>
  <c r="M26" i="9" a="1"/>
  <c r="M26" i="9" s="1"/>
  <c r="L26" i="9" a="1"/>
  <c r="L26" i="9" s="1"/>
  <c r="K26" i="9" a="1"/>
  <c r="K26" i="9" s="1"/>
  <c r="J26" i="9" a="1"/>
  <c r="J26" i="9" s="1"/>
  <c r="I26" i="9" a="1"/>
  <c r="I26" i="9" s="1"/>
  <c r="H26" i="9" a="1"/>
  <c r="H26" i="9" s="1"/>
  <c r="G26" i="9" a="1"/>
  <c r="G26" i="9" s="1"/>
  <c r="R25" i="9" a="1"/>
  <c r="R25" i="9" s="1"/>
  <c r="Q25" i="9" a="1"/>
  <c r="Q25" i="9" s="1"/>
  <c r="P25" i="9" a="1"/>
  <c r="P25" i="9" s="1"/>
  <c r="O25" i="9" a="1"/>
  <c r="O25" i="9" s="1"/>
  <c r="N25" i="9" a="1"/>
  <c r="N25" i="9" s="1"/>
  <c r="M25" i="9" a="1"/>
  <c r="M25" i="9" s="1"/>
  <c r="L25" i="9" a="1"/>
  <c r="L25" i="9" s="1"/>
  <c r="K25" i="9" a="1"/>
  <c r="K25" i="9" s="1"/>
  <c r="J25" i="9" a="1"/>
  <c r="J25" i="9" s="1"/>
  <c r="I25" i="9" a="1"/>
  <c r="I25" i="9" s="1"/>
  <c r="H25" i="9" a="1"/>
  <c r="H25" i="9" s="1"/>
  <c r="G25" i="9" a="1"/>
  <c r="G25" i="9" s="1"/>
  <c r="R24" i="9" a="1"/>
  <c r="R24" i="9" s="1"/>
  <c r="Q24" i="9" a="1"/>
  <c r="Q24" i="9" s="1"/>
  <c r="P24" i="9" a="1"/>
  <c r="P24" i="9" s="1"/>
  <c r="O24" i="9" a="1"/>
  <c r="O24" i="9" s="1"/>
  <c r="N24" i="9" a="1"/>
  <c r="N24" i="9" s="1"/>
  <c r="M24" i="9" a="1"/>
  <c r="M24" i="9" s="1"/>
  <c r="L24" i="9" a="1"/>
  <c r="L24" i="9" s="1"/>
  <c r="K24" i="9" a="1"/>
  <c r="K24" i="9" s="1"/>
  <c r="J24" i="9" a="1"/>
  <c r="J24" i="9" s="1"/>
  <c r="I24" i="9" a="1"/>
  <c r="I24" i="9" s="1"/>
  <c r="H24" i="9" a="1"/>
  <c r="H24" i="9" s="1"/>
  <c r="G24" i="9" a="1"/>
  <c r="G24" i="9" s="1"/>
  <c r="R23" i="9"/>
  <c r="R23" i="9" a="1"/>
  <c r="Q23" i="9"/>
  <c r="Q23" i="9" a="1"/>
  <c r="P23" i="9" a="1"/>
  <c r="P23" i="9" s="1"/>
  <c r="O23" i="9" a="1"/>
  <c r="O23" i="9" s="1"/>
  <c r="N23" i="9" a="1"/>
  <c r="N23" i="9" s="1"/>
  <c r="M23" i="9"/>
  <c r="M23" i="9" a="1"/>
  <c r="L23" i="9" a="1"/>
  <c r="L23" i="9" s="1"/>
  <c r="K23" i="9" a="1"/>
  <c r="K23" i="9" s="1"/>
  <c r="J23" i="9" a="1"/>
  <c r="J23" i="9" s="1"/>
  <c r="I23" i="9" a="1"/>
  <c r="I23" i="9" s="1"/>
  <c r="H23" i="9" a="1"/>
  <c r="H23" i="9" s="1"/>
  <c r="G23" i="9" a="1"/>
  <c r="G23" i="9" s="1"/>
  <c r="S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R28" i="10" a="1"/>
  <c r="R28" i="10" s="1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G28" i="10" a="1"/>
  <c r="G28" i="10" s="1"/>
  <c r="R27" i="10" a="1"/>
  <c r="R27" i="10" s="1"/>
  <c r="Q27" i="10" a="1"/>
  <c r="Q27" i="10" s="1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 a="1"/>
  <c r="G27" i="10" s="1"/>
  <c r="R26" i="10" a="1"/>
  <c r="R26" i="10" s="1"/>
  <c r="Q26" i="10" a="1"/>
  <c r="Q26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 a="1"/>
  <c r="G26" i="10" s="1"/>
  <c r="R25" i="10" a="1"/>
  <c r="R25" i="10" s="1"/>
  <c r="Q25" i="10" a="1"/>
  <c r="Q25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 a="1"/>
  <c r="G25" i="10" s="1"/>
  <c r="R24" i="10" a="1"/>
  <c r="R24" i="10" s="1"/>
  <c r="Q24" i="10" a="1"/>
  <c r="Q24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 a="1"/>
  <c r="G24" i="10" s="1"/>
  <c r="R23" i="10" a="1"/>
  <c r="R23" i="10" s="1"/>
  <c r="Q23" i="10" a="1"/>
  <c r="Q23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 a="1"/>
  <c r="G23" i="10" s="1"/>
  <c r="S2" i="10"/>
  <c r="S5" i="10"/>
  <c r="S6" i="10"/>
  <c r="S3" i="10"/>
  <c r="S7" i="10"/>
  <c r="S4" i="10"/>
  <c r="S11" i="10"/>
  <c r="S12" i="10"/>
  <c r="S13" i="10"/>
  <c r="S9" i="10"/>
  <c r="S10" i="10"/>
  <c r="S8" i="10"/>
  <c r="S16" i="10"/>
  <c r="S14" i="10"/>
  <c r="S15" i="10"/>
  <c r="S18" i="10"/>
  <c r="S17" i="10"/>
  <c r="S19" i="10"/>
  <c r="S23" i="8"/>
  <c r="S24" i="8"/>
  <c r="S25" i="8"/>
  <c r="S26" i="8"/>
  <c r="S27" i="8"/>
  <c r="S28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G23" i="8" a="1"/>
  <c r="G23" i="8" s="1"/>
  <c r="R28" i="8" a="1"/>
  <c r="R28" i="8" s="1"/>
  <c r="Q28" i="8" a="1"/>
  <c r="Q28" i="8" s="1"/>
  <c r="P28" i="8" a="1"/>
  <c r="P28" i="8" s="1"/>
  <c r="O28" i="8" a="1"/>
  <c r="O28" i="8" s="1"/>
  <c r="N28" i="8" a="1"/>
  <c r="N28" i="8" s="1"/>
  <c r="M28" i="8"/>
  <c r="M28" i="8" a="1"/>
  <c r="L28" i="8" a="1"/>
  <c r="L28" i="8" s="1"/>
  <c r="K28" i="8" a="1"/>
  <c r="K28" i="8" s="1"/>
  <c r="J28" i="8" a="1"/>
  <c r="J28" i="8" s="1"/>
  <c r="I28" i="8"/>
  <c r="I28" i="8" a="1"/>
  <c r="H28" i="8" a="1"/>
  <c r="H28" i="8" s="1"/>
  <c r="G28" i="8" a="1"/>
  <c r="G28" i="8" s="1"/>
  <c r="R27" i="8" a="1"/>
  <c r="R27" i="8" s="1"/>
  <c r="Q27" i="8" a="1"/>
  <c r="Q27" i="8" s="1"/>
  <c r="P27" i="8" a="1"/>
  <c r="P27" i="8" s="1"/>
  <c r="O27" i="8" a="1"/>
  <c r="O27" i="8" s="1"/>
  <c r="N27" i="8" a="1"/>
  <c r="N27" i="8" s="1"/>
  <c r="M27" i="8" a="1"/>
  <c r="M27" i="8" s="1"/>
  <c r="L27" i="8" a="1"/>
  <c r="L27" i="8" s="1"/>
  <c r="K27" i="8" a="1"/>
  <c r="K27" i="8" s="1"/>
  <c r="J27" i="8" a="1"/>
  <c r="J27" i="8" s="1"/>
  <c r="I27" i="8" a="1"/>
  <c r="I27" i="8" s="1"/>
  <c r="H27" i="8" a="1"/>
  <c r="H27" i="8" s="1"/>
  <c r="G27" i="8" a="1"/>
  <c r="G27" i="8" s="1"/>
  <c r="R26" i="8" a="1"/>
  <c r="R26" i="8" s="1"/>
  <c r="Q26" i="8" a="1"/>
  <c r="Q26" i="8" s="1"/>
  <c r="P26" i="8" a="1"/>
  <c r="P26" i="8" s="1"/>
  <c r="O26" i="8" a="1"/>
  <c r="O26" i="8" s="1"/>
  <c r="N26" i="8" a="1"/>
  <c r="N26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G26" i="8" a="1"/>
  <c r="G26" i="8" s="1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G25" i="8" a="1"/>
  <c r="G25" i="8" s="1"/>
  <c r="R24" i="8" a="1"/>
  <c r="R24" i="8" s="1"/>
  <c r="Q24" i="8" a="1"/>
  <c r="Q24" i="8" s="1"/>
  <c r="P24" i="8" a="1"/>
  <c r="P24" i="8" s="1"/>
  <c r="O24" i="8" a="1"/>
  <c r="O24" i="8" s="1"/>
  <c r="N24" i="8" a="1"/>
  <c r="N24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R28" i="7" a="1"/>
  <c r="R28" i="7" s="1"/>
  <c r="Q28" i="7" a="1"/>
  <c r="Q28" i="7" s="1"/>
  <c r="P28" i="7" a="1"/>
  <c r="P28" i="7" s="1"/>
  <c r="O28" i="7" a="1"/>
  <c r="O28" i="7" s="1"/>
  <c r="N28" i="7" a="1"/>
  <c r="N28" i="7" s="1"/>
  <c r="M28" i="7" a="1"/>
  <c r="M28" i="7" s="1"/>
  <c r="L28" i="7" a="1"/>
  <c r="L28" i="7" s="1"/>
  <c r="K28" i="7" a="1"/>
  <c r="K28" i="7" s="1"/>
  <c r="J28" i="7" a="1"/>
  <c r="J28" i="7" s="1"/>
  <c r="I28" i="7" a="1"/>
  <c r="I28" i="7" s="1"/>
  <c r="H28" i="7" a="1"/>
  <c r="H28" i="7" s="1"/>
  <c r="G28" i="7" a="1"/>
  <c r="G28" i="7" s="1"/>
  <c r="R27" i="7" a="1"/>
  <c r="R27" i="7" s="1"/>
  <c r="Q27" i="7" a="1"/>
  <c r="Q27" i="7" s="1"/>
  <c r="P27" i="7" a="1"/>
  <c r="P27" i="7" s="1"/>
  <c r="O27" i="7" a="1"/>
  <c r="O27" i="7" s="1"/>
  <c r="N27" i="7" a="1"/>
  <c r="N27" i="7" s="1"/>
  <c r="M27" i="7" a="1"/>
  <c r="M27" i="7" s="1"/>
  <c r="L27" i="7" a="1"/>
  <c r="L27" i="7" s="1"/>
  <c r="K27" i="7" a="1"/>
  <c r="K27" i="7" s="1"/>
  <c r="J27" i="7" a="1"/>
  <c r="J27" i="7" s="1"/>
  <c r="I27" i="7" a="1"/>
  <c r="I27" i="7" s="1"/>
  <c r="H27" i="7" a="1"/>
  <c r="H27" i="7" s="1"/>
  <c r="G27" i="7" a="1"/>
  <c r="G27" i="7" s="1"/>
  <c r="R26" i="7" a="1"/>
  <c r="R26" i="7" s="1"/>
  <c r="Q26" i="7" a="1"/>
  <c r="Q26" i="7" s="1"/>
  <c r="P26" i="7" a="1"/>
  <c r="P26" i="7" s="1"/>
  <c r="O26" i="7" a="1"/>
  <c r="O26" i="7" s="1"/>
  <c r="N26" i="7" a="1"/>
  <c r="N26" i="7" s="1"/>
  <c r="M26" i="7" a="1"/>
  <c r="M26" i="7" s="1"/>
  <c r="L26" i="7" a="1"/>
  <c r="L26" i="7" s="1"/>
  <c r="K26" i="7" a="1"/>
  <c r="K26" i="7" s="1"/>
  <c r="J26" i="7" a="1"/>
  <c r="J26" i="7" s="1"/>
  <c r="I26" i="7" a="1"/>
  <c r="I26" i="7" s="1"/>
  <c r="H26" i="7" a="1"/>
  <c r="H26" i="7" s="1"/>
  <c r="G26" i="7" a="1"/>
  <c r="G26" i="7" s="1"/>
  <c r="R25" i="7" a="1"/>
  <c r="R25" i="7" s="1"/>
  <c r="Q25" i="7" a="1"/>
  <c r="Q25" i="7" s="1"/>
  <c r="P25" i="7" a="1"/>
  <c r="P25" i="7" s="1"/>
  <c r="O25" i="7" a="1"/>
  <c r="O25" i="7" s="1"/>
  <c r="N25" i="7" a="1"/>
  <c r="N25" i="7" s="1"/>
  <c r="M25" i="7" a="1"/>
  <c r="M25" i="7" s="1"/>
  <c r="L25" i="7" a="1"/>
  <c r="L25" i="7" s="1"/>
  <c r="K25" i="7" a="1"/>
  <c r="K25" i="7" s="1"/>
  <c r="J25" i="7" a="1"/>
  <c r="J25" i="7" s="1"/>
  <c r="I25" i="7" a="1"/>
  <c r="I25" i="7" s="1"/>
  <c r="H25" i="7" a="1"/>
  <c r="H25" i="7" s="1"/>
  <c r="G25" i="7" a="1"/>
  <c r="G25" i="7" s="1"/>
  <c r="R24" i="7" a="1"/>
  <c r="R24" i="7" s="1"/>
  <c r="Q24" i="7" a="1"/>
  <c r="Q24" i="7" s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 a="1"/>
  <c r="K24" i="7" s="1"/>
  <c r="J24" i="7" a="1"/>
  <c r="J24" i="7" s="1"/>
  <c r="I24" i="7" a="1"/>
  <c r="I24" i="7" s="1"/>
  <c r="H24" i="7" a="1"/>
  <c r="H24" i="7" s="1"/>
  <c r="G24" i="7" a="1"/>
  <c r="G24" i="7" s="1"/>
  <c r="R23" i="7" a="1"/>
  <c r="R23" i="7" s="1"/>
  <c r="Q23" i="7" a="1"/>
  <c r="Q23" i="7" s="1"/>
  <c r="P23" i="7" a="1"/>
  <c r="P23" i="7" s="1"/>
  <c r="O23" i="7" a="1"/>
  <c r="O23" i="7" s="1"/>
  <c r="N23" i="7" a="1"/>
  <c r="N23" i="7" s="1"/>
  <c r="M23" i="7" a="1"/>
  <c r="M23" i="7" s="1"/>
  <c r="L23" i="7" a="1"/>
  <c r="L23" i="7" s="1"/>
  <c r="K23" i="7" a="1"/>
  <c r="K23" i="7" s="1"/>
  <c r="J23" i="7" a="1"/>
  <c r="J23" i="7" s="1"/>
  <c r="I23" i="7" a="1"/>
  <c r="I23" i="7" s="1"/>
  <c r="H23" i="7" a="1"/>
  <c r="H23" i="7" s="1"/>
  <c r="G23" i="7" a="1"/>
  <c r="G23" i="7" s="1"/>
  <c r="S2" i="7"/>
  <c r="S5" i="7"/>
  <c r="S6" i="7"/>
  <c r="S3" i="7"/>
  <c r="S7" i="7"/>
  <c r="S4" i="7"/>
  <c r="S11" i="7"/>
  <c r="S12" i="7"/>
  <c r="S13" i="7"/>
  <c r="S9" i="7"/>
  <c r="S10" i="7"/>
  <c r="S8" i="7"/>
  <c r="S16" i="7"/>
  <c r="S14" i="7"/>
  <c r="S15" i="7"/>
  <c r="S18" i="7"/>
  <c r="S17" i="7"/>
  <c r="S19" i="7"/>
  <c r="G38" i="5"/>
  <c r="G37" i="5"/>
  <c r="G23" i="5" a="1"/>
  <c r="G23" i="5" s="1"/>
  <c r="H27" i="6" a="1"/>
  <c r="H27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T14" i="6"/>
  <c r="T17" i="6"/>
  <c r="T16" i="6"/>
  <c r="T19" i="6"/>
  <c r="T15" i="6"/>
  <c r="T18" i="6"/>
  <c r="T8" i="6"/>
  <c r="T11" i="6"/>
  <c r="T10" i="6"/>
  <c r="T13" i="6"/>
  <c r="T9" i="6"/>
  <c r="T12" i="6"/>
  <c r="T2" i="6"/>
  <c r="T5" i="6"/>
  <c r="T4" i="6"/>
  <c r="T7" i="6"/>
  <c r="T3" i="6"/>
  <c r="T6" i="6"/>
  <c r="G28" i="5" a="1"/>
  <c r="G28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G27" i="5" a="1"/>
  <c r="G27" i="5" s="1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K32" i="5" s="1" a="1"/>
  <c r="K32" i="5" s="1"/>
  <c r="J28" i="5" a="1"/>
  <c r="J28" i="5" s="1"/>
  <c r="I28" i="5" a="1"/>
  <c r="I28" i="5" s="1"/>
  <c r="H28" i="5" a="1"/>
  <c r="H28" i="5" s="1"/>
  <c r="S14" i="5"/>
  <c r="S17" i="5"/>
  <c r="S15" i="5"/>
  <c r="S18" i="5"/>
  <c r="S16" i="5"/>
  <c r="S19" i="5"/>
  <c r="S8" i="5"/>
  <c r="S11" i="5"/>
  <c r="S9" i="5"/>
  <c r="S12" i="5"/>
  <c r="S10" i="5"/>
  <c r="S13" i="5"/>
  <c r="S2" i="5"/>
  <c r="S5" i="5"/>
  <c r="S3" i="5"/>
  <c r="S6" i="5"/>
  <c r="S4" i="5"/>
  <c r="S7" i="5"/>
  <c r="M30" i="6" l="1" a="1"/>
  <c r="M30" i="6" s="1"/>
  <c r="M31" i="6" a="1"/>
  <c r="M31" i="6" s="1"/>
  <c r="M32" i="6" a="1"/>
  <c r="M32" i="6" s="1"/>
  <c r="M33" i="6" a="1"/>
  <c r="M33" i="6" s="1"/>
  <c r="O33" i="6" a="1"/>
  <c r="O33" i="6" s="1"/>
  <c r="O30" i="6" a="1"/>
  <c r="O30" i="6" s="1"/>
  <c r="O31" i="6" a="1"/>
  <c r="O31" i="6" s="1"/>
  <c r="O32" i="6" a="1"/>
  <c r="O32" i="6" s="1"/>
  <c r="P32" i="6" a="1"/>
  <c r="P32" i="6" s="1"/>
  <c r="P33" i="6" a="1"/>
  <c r="P33" i="6" s="1"/>
  <c r="P30" i="6" a="1"/>
  <c r="P30" i="6" s="1"/>
  <c r="P31" i="6" a="1"/>
  <c r="P31" i="6" s="1"/>
  <c r="Q31" i="6" a="1"/>
  <c r="Q31" i="6" s="1"/>
  <c r="Q32" i="6" a="1"/>
  <c r="Q32" i="6" s="1"/>
  <c r="Q33" i="6" a="1"/>
  <c r="Q33" i="6" s="1"/>
  <c r="Q30" i="6" a="1"/>
  <c r="Q30" i="6" s="1"/>
  <c r="H33" i="6" a="1"/>
  <c r="H33" i="6" s="1"/>
  <c r="H32" i="6" a="1"/>
  <c r="H32" i="6" s="1"/>
  <c r="H31" i="6" a="1"/>
  <c r="H31" i="6" s="1"/>
  <c r="H30" i="6" a="1"/>
  <c r="H30" i="6" s="1"/>
  <c r="J32" i="6" a="1"/>
  <c r="J32" i="6" s="1"/>
  <c r="J33" i="6" a="1"/>
  <c r="J33" i="6" s="1"/>
  <c r="J30" i="6" a="1"/>
  <c r="J30" i="6" s="1"/>
  <c r="J31" i="6" a="1"/>
  <c r="J31" i="6" s="1"/>
  <c r="R30" i="6" a="1"/>
  <c r="R30" i="6" s="1"/>
  <c r="R31" i="6" a="1"/>
  <c r="R31" i="6" s="1"/>
  <c r="R32" i="6" a="1"/>
  <c r="R32" i="6" s="1"/>
  <c r="R33" i="6" a="1"/>
  <c r="R33" i="6" s="1"/>
  <c r="K32" i="6" a="1"/>
  <c r="K32" i="6" s="1"/>
  <c r="K33" i="6" a="1"/>
  <c r="K33" i="6" s="1"/>
  <c r="K30" i="6" a="1"/>
  <c r="K30" i="6" s="1"/>
  <c r="K31" i="6" a="1"/>
  <c r="K31" i="6" s="1"/>
  <c r="S30" i="6" a="1"/>
  <c r="S30" i="6" s="1"/>
  <c r="S31" i="6" a="1"/>
  <c r="S31" i="6" s="1"/>
  <c r="S32" i="6" a="1"/>
  <c r="S32" i="6" s="1"/>
  <c r="S33" i="6" a="1"/>
  <c r="S33" i="6" s="1"/>
  <c r="N33" i="6" a="1"/>
  <c r="N33" i="6" s="1"/>
  <c r="N30" i="6" a="1"/>
  <c r="N30" i="6" s="1"/>
  <c r="N31" i="6" a="1"/>
  <c r="N31" i="6" s="1"/>
  <c r="N32" i="6" a="1"/>
  <c r="N32" i="6" s="1"/>
  <c r="I33" i="6" a="1"/>
  <c r="I33" i="6" s="1"/>
  <c r="I30" i="6" a="1"/>
  <c r="I30" i="6" s="1"/>
  <c r="I31" i="6" a="1"/>
  <c r="I31" i="6" s="1"/>
  <c r="I32" i="6" a="1"/>
  <c r="I32" i="6" s="1"/>
  <c r="L31" i="6" a="1"/>
  <c r="L31" i="6" s="1"/>
  <c r="L32" i="6" a="1"/>
  <c r="L32" i="6" s="1"/>
  <c r="L33" i="6" a="1"/>
  <c r="L33" i="6" s="1"/>
  <c r="L30" i="6" a="1"/>
  <c r="L30" i="6" s="1"/>
  <c r="T28" i="11" a="1"/>
  <c r="T28" i="11" s="1"/>
  <c r="S25" i="13"/>
  <c r="S23" i="13"/>
  <c r="S27" i="13"/>
  <c r="S28" i="13"/>
  <c r="S24" i="13"/>
  <c r="S26" i="13"/>
  <c r="T27" i="11" a="1"/>
  <c r="T27" i="11" s="1"/>
  <c r="T24" i="11" a="1"/>
  <c r="T24" i="11" s="1"/>
  <c r="T25" i="11" a="1"/>
  <c r="T25" i="11" s="1"/>
  <c r="T23" i="11" a="1"/>
  <c r="T23" i="11" s="1"/>
  <c r="T26" i="11" a="1"/>
  <c r="T26" i="11" s="1"/>
  <c r="S27" i="9"/>
  <c r="S25" i="9"/>
  <c r="S23" i="9"/>
  <c r="S26" i="9"/>
  <c r="S24" i="9"/>
  <c r="S28" i="9"/>
  <c r="S26" i="10" a="1"/>
  <c r="S26" i="10" s="1"/>
  <c r="S27" i="10" a="1"/>
  <c r="S27" i="10" s="1"/>
  <c r="S28" i="10" a="1"/>
  <c r="S28" i="10" s="1"/>
  <c r="S25" i="10" a="1"/>
  <c r="S25" i="10" s="1"/>
  <c r="S24" i="10" a="1"/>
  <c r="S24" i="10" s="1"/>
  <c r="S23" i="10" a="1"/>
  <c r="S23" i="10" s="1"/>
  <c r="S26" i="7" a="1"/>
  <c r="S26" i="7" s="1"/>
  <c r="S28" i="7" a="1"/>
  <c r="S28" i="7" s="1"/>
  <c r="S27" i="7" a="1"/>
  <c r="S27" i="7" s="1"/>
  <c r="S25" i="7" a="1"/>
  <c r="S25" i="7" s="1"/>
  <c r="S24" i="7" a="1"/>
  <c r="S24" i="7" s="1"/>
  <c r="S23" i="7" a="1"/>
  <c r="S23" i="7" s="1"/>
  <c r="P32" i="5" a="1"/>
  <c r="P32" i="5" s="1"/>
  <c r="N32" i="5" a="1"/>
  <c r="N32" i="5" s="1"/>
  <c r="R33" i="5" a="1"/>
  <c r="R33" i="5" s="1"/>
  <c r="H33" i="5" a="1"/>
  <c r="H33" i="5" s="1"/>
  <c r="P31" i="5" a="1"/>
  <c r="P31" i="5" s="1"/>
  <c r="M30" i="5" a="1"/>
  <c r="M30" i="5" s="1"/>
  <c r="I33" i="5" a="1"/>
  <c r="I33" i="5" s="1"/>
  <c r="Q33" i="5" a="1"/>
  <c r="Q33" i="5" s="1"/>
  <c r="N30" i="5" a="1"/>
  <c r="N30" i="5" s="1"/>
  <c r="R30" i="5" a="1"/>
  <c r="R30" i="5" s="1"/>
  <c r="J33" i="5" a="1"/>
  <c r="J33" i="5" s="1"/>
  <c r="O33" i="5" a="1"/>
  <c r="O33" i="5" s="1"/>
  <c r="M31" i="5" a="1"/>
  <c r="M31" i="5" s="1"/>
  <c r="G31" i="5" a="1"/>
  <c r="G31" i="5" s="1"/>
  <c r="J31" i="5" a="1"/>
  <c r="J31" i="5" s="1"/>
  <c r="R32" i="5" a="1"/>
  <c r="R32" i="5" s="1"/>
  <c r="O32" i="5" a="1"/>
  <c r="O32" i="5" s="1"/>
  <c r="L30" i="5" a="1"/>
  <c r="L30" i="5" s="1"/>
  <c r="H32" i="5" a="1"/>
  <c r="H32" i="5" s="1"/>
  <c r="I32" i="5" a="1"/>
  <c r="I32" i="5" s="1"/>
  <c r="K33" i="5" a="1"/>
  <c r="K33" i="5" s="1"/>
  <c r="Q30" i="5" a="1"/>
  <c r="Q30" i="5" s="1"/>
  <c r="G32" i="5" a="1"/>
  <c r="G32" i="5" s="1"/>
  <c r="N33" i="5" a="1"/>
  <c r="N33" i="5" s="1"/>
  <c r="J32" i="5" a="1"/>
  <c r="J32" i="5" s="1"/>
  <c r="O31" i="5" a="1"/>
  <c r="O31" i="5" s="1"/>
  <c r="H31" i="5" a="1"/>
  <c r="H31" i="5" s="1"/>
  <c r="I30" i="5" a="1"/>
  <c r="I30" i="5" s="1"/>
  <c r="G33" i="5" a="1"/>
  <c r="G33" i="5" s="1"/>
  <c r="M33" i="5" a="1"/>
  <c r="M33" i="5" s="1"/>
  <c r="Q32" i="5" a="1"/>
  <c r="Q32" i="5" s="1"/>
  <c r="N31" i="5" a="1"/>
  <c r="N31" i="5" s="1"/>
  <c r="L31" i="5" a="1"/>
  <c r="L31" i="5" s="1"/>
  <c r="K31" i="5" a="1"/>
  <c r="K31" i="5" s="1"/>
  <c r="M32" i="5" a="1"/>
  <c r="M32" i="5" s="1"/>
  <c r="P33" i="5" a="1"/>
  <c r="P33" i="5" s="1"/>
  <c r="L32" i="5" a="1"/>
  <c r="L32" i="5" s="1"/>
  <c r="Q31" i="5" a="1"/>
  <c r="Q31" i="5" s="1"/>
  <c r="L33" i="5" a="1"/>
  <c r="L33" i="5" s="1"/>
  <c r="R31" i="5" a="1"/>
  <c r="R31" i="5" s="1"/>
  <c r="I31" i="5" a="1"/>
  <c r="I31" i="5" s="1"/>
  <c r="J30" i="5" a="1"/>
  <c r="J30" i="5" s="1"/>
  <c r="O30" i="5" a="1"/>
  <c r="O30" i="5" s="1"/>
  <c r="K30" i="5" a="1"/>
  <c r="K30" i="5" s="1"/>
  <c r="G30" i="5" a="1"/>
  <c r="G30" i="5" s="1"/>
  <c r="H30" i="5" a="1"/>
  <c r="H30" i="5" s="1"/>
  <c r="P30" i="5" a="1"/>
  <c r="P30" i="5" s="1"/>
  <c r="H38" i="6"/>
  <c r="H41" i="6"/>
  <c r="T23" i="6" a="1"/>
  <c r="T23" i="6" s="1"/>
  <c r="T25" i="6" a="1"/>
  <c r="T25" i="6" s="1"/>
  <c r="P41" i="6"/>
  <c r="H39" i="6"/>
  <c r="L38" i="6"/>
  <c r="N41" i="6"/>
  <c r="L42" i="6"/>
  <c r="T26" i="6" a="1"/>
  <c r="T26" i="6" s="1"/>
  <c r="S24" i="5" a="1"/>
  <c r="S24" i="5" s="1"/>
  <c r="S28" i="5" a="1"/>
  <c r="S28" i="5" s="1"/>
  <c r="J42" i="5"/>
  <c r="N41" i="5"/>
  <c r="J40" i="5"/>
  <c r="N39" i="5"/>
  <c r="J38" i="5"/>
  <c r="N37" i="5"/>
  <c r="S23" i="5" a="1"/>
  <c r="S23" i="5" s="1"/>
  <c r="R40" i="5"/>
  <c r="R38" i="5"/>
  <c r="G39" i="5"/>
  <c r="K38" i="5"/>
  <c r="K37" i="5"/>
  <c r="Q41" i="5"/>
  <c r="I37" i="5"/>
  <c r="N42" i="5"/>
  <c r="J41" i="5"/>
  <c r="R41" i="5"/>
  <c r="N40" i="5"/>
  <c r="I39" i="5"/>
  <c r="R39" i="5"/>
  <c r="N38" i="5"/>
  <c r="J37" i="5"/>
  <c r="R37" i="5"/>
  <c r="R42" i="5"/>
  <c r="G41" i="5"/>
  <c r="L42" i="5"/>
  <c r="M42" i="5"/>
  <c r="Q37" i="5"/>
  <c r="O42" i="5"/>
  <c r="K41" i="5"/>
  <c r="L40" i="5"/>
  <c r="O40" i="5"/>
  <c r="K39" i="5"/>
  <c r="O38" i="5"/>
  <c r="G42" i="5"/>
  <c r="K42" i="5"/>
  <c r="O37" i="5"/>
  <c r="S27" i="5" a="1"/>
  <c r="S27" i="5" s="1"/>
  <c r="S26" i="5" a="1"/>
  <c r="S26" i="5" s="1"/>
  <c r="H42" i="5"/>
  <c r="H41" i="5"/>
  <c r="H40" i="5"/>
  <c r="P40" i="5"/>
  <c r="L39" i="5"/>
  <c r="H38" i="5"/>
  <c r="P38" i="5"/>
  <c r="O41" i="5"/>
  <c r="P37" i="5"/>
  <c r="I41" i="5"/>
  <c r="M38" i="5"/>
  <c r="S25" i="5" a="1"/>
  <c r="S25" i="5" s="1"/>
  <c r="I42" i="5"/>
  <c r="Q42" i="5"/>
  <c r="M41" i="5"/>
  <c r="I40" i="5"/>
  <c r="Q40" i="5"/>
  <c r="M39" i="5"/>
  <c r="I38" i="5"/>
  <c r="Q38" i="5"/>
  <c r="M37" i="5"/>
  <c r="H39" i="5"/>
  <c r="P42" i="5"/>
  <c r="H37" i="5"/>
  <c r="L41" i="5"/>
  <c r="L38" i="5"/>
  <c r="P39" i="5"/>
  <c r="O39" i="5"/>
  <c r="K40" i="5"/>
  <c r="G40" i="5"/>
  <c r="L37" i="5"/>
  <c r="J39" i="5"/>
  <c r="M40" i="5"/>
  <c r="P41" i="5"/>
  <c r="Q39" i="5"/>
  <c r="I41" i="6"/>
  <c r="Q39" i="6"/>
  <c r="M38" i="6"/>
  <c r="P37" i="6"/>
  <c r="T24" i="6" a="1"/>
  <c r="T24" i="6" s="1"/>
  <c r="Q41" i="6"/>
  <c r="M42" i="6"/>
  <c r="I39" i="6"/>
  <c r="J37" i="6"/>
  <c r="Q37" i="6"/>
  <c r="J41" i="6"/>
  <c r="R41" i="6"/>
  <c r="J39" i="6"/>
  <c r="R39" i="6"/>
  <c r="N40" i="6"/>
  <c r="K37" i="6"/>
  <c r="S37" i="6"/>
  <c r="O38" i="6"/>
  <c r="P38" i="6"/>
  <c r="K41" i="6"/>
  <c r="O40" i="6"/>
  <c r="P42" i="6"/>
  <c r="L37" i="6"/>
  <c r="T28" i="6" a="1"/>
  <c r="T28" i="6" s="1"/>
  <c r="M41" i="6"/>
  <c r="I42" i="6"/>
  <c r="Q42" i="6"/>
  <c r="M39" i="6"/>
  <c r="I40" i="6"/>
  <c r="Q40" i="6"/>
  <c r="I38" i="6"/>
  <c r="Q38" i="6"/>
  <c r="O42" i="6"/>
  <c r="S39" i="6"/>
  <c r="H42" i="6"/>
  <c r="N38" i="6"/>
  <c r="T27" i="6" a="1"/>
  <c r="T27" i="6" s="1"/>
  <c r="J42" i="6"/>
  <c r="R42" i="6"/>
  <c r="N39" i="6"/>
  <c r="J40" i="6"/>
  <c r="R40" i="6"/>
  <c r="N37" i="6"/>
  <c r="S41" i="6"/>
  <c r="P39" i="6"/>
  <c r="L41" i="6"/>
  <c r="L39" i="6"/>
  <c r="O41" i="6"/>
  <c r="K42" i="6"/>
  <c r="S42" i="6"/>
  <c r="O39" i="6"/>
  <c r="K40" i="6"/>
  <c r="S40" i="6"/>
  <c r="O37" i="6"/>
  <c r="K38" i="6"/>
  <c r="S38" i="6"/>
  <c r="R38" i="6"/>
  <c r="J38" i="6"/>
  <c r="M37" i="6"/>
  <c r="P40" i="6"/>
  <c r="K39" i="6"/>
  <c r="N42" i="6"/>
  <c r="M40" i="6"/>
  <c r="L40" i="6"/>
  <c r="R37" i="6"/>
  <c r="H40" i="6"/>
  <c r="I37" i="6"/>
  <c r="H37" i="6"/>
  <c r="T33" i="6" l="1" a="1"/>
  <c r="T33" i="6" s="1"/>
  <c r="T30" i="6" a="1"/>
  <c r="T30" i="6" s="1"/>
  <c r="T31" i="6" a="1"/>
  <c r="T31" i="6" s="1"/>
  <c r="T32" i="6" a="1"/>
  <c r="T32" i="6" s="1"/>
  <c r="S32" i="5" a="1"/>
  <c r="S32" i="5" s="1"/>
  <c r="S31" i="5" a="1"/>
  <c r="S31" i="5" s="1"/>
  <c r="S33" i="5" a="1"/>
  <c r="S33" i="5" s="1"/>
  <c r="S30" i="5" a="1"/>
  <c r="S30" i="5" s="1"/>
  <c r="L45" i="5" a="1"/>
  <c r="L45" i="5" s="1"/>
  <c r="H45" i="5" a="1"/>
  <c r="H45" i="5" s="1"/>
  <c r="M44" i="5" a="1"/>
  <c r="M44" i="5" s="1"/>
  <c r="K44" i="6" a="1"/>
  <c r="K44" i="6" s="1"/>
  <c r="M45" i="6" a="1"/>
  <c r="M45" i="6" s="1"/>
  <c r="L44" i="6" a="1"/>
  <c r="L44" i="6" s="1"/>
  <c r="R44" i="5" a="1"/>
  <c r="R44" i="5" s="1"/>
  <c r="O44" i="5" a="1"/>
  <c r="O44" i="5" s="1"/>
  <c r="G44" i="5" a="1"/>
  <c r="G44" i="5" s="1"/>
  <c r="K45" i="5" a="1"/>
  <c r="K45" i="5" s="1"/>
  <c r="L45" i="6" a="1"/>
  <c r="L45" i="6" s="1"/>
  <c r="H45" i="6" a="1"/>
  <c r="H45" i="6" s="1"/>
  <c r="K45" i="6" a="1"/>
  <c r="K45" i="6" s="1"/>
  <c r="P45" i="6" a="1"/>
  <c r="P45" i="6" s="1"/>
  <c r="O45" i="6" a="1"/>
  <c r="O45" i="6" s="1"/>
  <c r="I45" i="6" a="1"/>
  <c r="I45" i="6" s="1"/>
  <c r="Q45" i="5" a="1"/>
  <c r="Q45" i="5" s="1"/>
  <c r="I44" i="5" a="1"/>
  <c r="I44" i="5" s="1"/>
  <c r="N45" i="5" a="1"/>
  <c r="N45" i="5" s="1"/>
  <c r="J44" i="5" a="1"/>
  <c r="J44" i="5" s="1"/>
  <c r="Q44" i="5" a="1"/>
  <c r="Q44" i="5" s="1"/>
  <c r="N44" i="5" a="1"/>
  <c r="N44" i="5" s="1"/>
  <c r="J45" i="5" a="1"/>
  <c r="J45" i="5" s="1"/>
  <c r="L44" i="5" a="1"/>
  <c r="L44" i="5" s="1"/>
  <c r="P44" i="5" a="1"/>
  <c r="P44" i="5" s="1"/>
  <c r="I45" i="5" a="1"/>
  <c r="I45" i="5" s="1"/>
  <c r="K44" i="5" a="1"/>
  <c r="K44" i="5" s="1"/>
  <c r="H44" i="5" a="1"/>
  <c r="H44" i="5" s="1"/>
  <c r="G45" i="5" a="1"/>
  <c r="G45" i="5" s="1"/>
  <c r="R45" i="5" a="1"/>
  <c r="R45" i="5" s="1"/>
  <c r="O45" i="5" a="1"/>
  <c r="O45" i="5" s="1"/>
  <c r="M45" i="5" a="1"/>
  <c r="M45" i="5" s="1"/>
  <c r="P45" i="5" a="1"/>
  <c r="P45" i="5" s="1"/>
  <c r="O44" i="6" a="1"/>
  <c r="O44" i="6" s="1"/>
  <c r="Q45" i="6" a="1"/>
  <c r="Q45" i="6" s="1"/>
  <c r="G45" i="6" a="1"/>
  <c r="G45" i="6" s="1"/>
  <c r="J45" i="6" a="1"/>
  <c r="J45" i="6" s="1"/>
  <c r="M44" i="6" a="1"/>
  <c r="M44" i="6" s="1"/>
  <c r="R45" i="6" a="1"/>
  <c r="R45" i="6" s="1"/>
  <c r="P44" i="6" a="1"/>
  <c r="P44" i="6" s="1"/>
  <c r="G44" i="6" a="1"/>
  <c r="G44" i="6" s="1"/>
  <c r="J44" i="6" a="1"/>
  <c r="J44" i="6" s="1"/>
  <c r="N44" i="6" a="1"/>
  <c r="N44" i="6" s="1"/>
  <c r="H44" i="6" a="1"/>
  <c r="H44" i="6" s="1"/>
  <c r="R44" i="6" a="1"/>
  <c r="R44" i="6" s="1"/>
  <c r="I44" i="6" a="1"/>
  <c r="I44" i="6" s="1"/>
  <c r="N45" i="6" a="1"/>
  <c r="N45" i="6" s="1"/>
  <c r="Q44" i="6" a="1"/>
  <c r="Q4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<sst xmlns="http://schemas.openxmlformats.org/spreadsheetml/2006/main" count="1278" uniqueCount="53">
  <si>
    <t>lang</t>
  </si>
  <si>
    <t>attribute</t>
  </si>
  <si>
    <t>supplement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</si>
  <si>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</si>
  <si>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</si>
  <si>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</si>
  <si>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</si>
  <si>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</si>
  <si>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</si>
  <si>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</si>
  <si>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</si>
  <si>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</si>
  <si>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</si>
  <si>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</si>
  <si>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</si>
  <si>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</si>
  <si>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Czech</t>
  </si>
  <si>
    <t>plurality</t>
  </si>
  <si>
    <t>NN</t>
  </si>
  <si>
    <t>RF</t>
  </si>
  <si>
    <t>DT</t>
  </si>
  <si>
    <t>gender</t>
  </si>
  <si>
    <t>case</t>
  </si>
  <si>
    <t>max</t>
  </si>
  <si>
    <t>attribute.index</t>
  </si>
  <si>
    <t>method.index</t>
  </si>
  <si>
    <t>supplemented</t>
  </si>
  <si>
    <t>metric</t>
  </si>
  <si>
    <t>max.rank</t>
  </si>
  <si>
    <t>geomean</t>
  </si>
  <si>
    <t>min</t>
  </si>
  <si>
    <t>stdev</t>
  </si>
  <si>
    <t>average</t>
  </si>
  <si>
    <t>2gram-no-hash</t>
  </si>
  <si>
    <t>3gram-no-hash</t>
  </si>
  <si>
    <t>4gram-no-hash</t>
  </si>
  <si>
    <t>2gram-hash-at-both</t>
  </si>
  <si>
    <t>3gram-hash-at-both</t>
  </si>
  <si>
    <t>4gram-hash-at-both</t>
  </si>
  <si>
    <t>Supplement</t>
  </si>
  <si>
    <t>xsk2gram-no-hash</t>
  </si>
  <si>
    <t>xsk3gram-no-hash</t>
  </si>
  <si>
    <t>xsk4gram-no-hash</t>
  </si>
  <si>
    <t>xsk2gram-hash-at-both</t>
  </si>
  <si>
    <t>xsk3gram-hash-at-both</t>
  </si>
  <si>
    <t>xsk4gram-hash-at-both</t>
  </si>
  <si>
    <t>skippiness</t>
  </si>
  <si>
    <t>sample.n</t>
  </si>
  <si>
    <t>mgv</t>
  </si>
  <si>
    <t>xsk</t>
  </si>
  <si>
    <t>var</t>
  </si>
  <si>
    <t>rank</t>
  </si>
  <si>
    <t>rank.average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</si>
</sst>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2" xfId="0" applyNumberFormat="1" applyBorder="1"/>
    <xf numFmtId="2" fontId="0" fillId="0" borderId="1" xfId="0" applyNumberFormat="1" applyBorder="1"/>
    <xf numFmtId="0" fontId="0" fillId="0" borderId="1" xfId="0" applyBorder="1"/>
    <xf numFmtId="2" fontId="0" fillId="2" borderId="2" xfId="0" applyNumberFormat="1" applyFill="1" applyBorder="1"/>
    <xf numFmtId="2" fontId="0" fillId="2" borderId="1" xfId="0" applyNumberFormat="1" applyFill="1" applyBorder="1"/>
    <xf numFmtId="1" fontId="0" fillId="0" borderId="0" xfId="0" applyNumberFormat="1"/>
    <xf numFmtId="0" fontId="0" fillId="0" borderId="3" xfId="0" applyBorder="1"/>
    <xf numFmtId="0" fontId="0" fillId="0" borderId="2" xfId="0" applyBorder="1"/>
    <xf numFmtId="2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309"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max</a:t>
            </a:r>
            <a:r>
              <a:rPr lang="ja-JP" altLang="en-US"/>
              <a:t> </a:t>
            </a:r>
            <a:r>
              <a:rPr lang="en-US" altLang="ja-JP"/>
              <a:t>accuracy</a:t>
            </a:r>
            <a:r>
              <a:rPr lang="ja-JP" altLang="en-US"/>
              <a:t> </a:t>
            </a:r>
            <a:r>
              <a:rPr lang="en-US" altLang="ja-JP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2gram-no-hash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summarized!$J$2:$J$55</c:f>
              <c:numCache>
                <c:formatCode>0.00</c:formatCode>
                <c:ptCount val="54"/>
                <c:pt idx="0">
                  <c:v>0.8</c:v>
                </c:pt>
                <c:pt idx="1">
                  <c:v>0.87</c:v>
                </c:pt>
                <c:pt idx="2">
                  <c:v>0.69</c:v>
                </c:pt>
                <c:pt idx="3">
                  <c:v>0.7</c:v>
                </c:pt>
                <c:pt idx="4">
                  <c:v>0.46</c:v>
                </c:pt>
                <c:pt idx="5">
                  <c:v>0.52</c:v>
                </c:pt>
                <c:pt idx="6">
                  <c:v>0.82</c:v>
                </c:pt>
                <c:pt idx="7">
                  <c:v>0.89</c:v>
                </c:pt>
                <c:pt idx="8">
                  <c:v>0.67</c:v>
                </c:pt>
                <c:pt idx="9">
                  <c:v>0.66</c:v>
                </c:pt>
                <c:pt idx="10">
                  <c:v>0.37</c:v>
                </c:pt>
                <c:pt idx="11">
                  <c:v>0.44</c:v>
                </c:pt>
                <c:pt idx="12">
                  <c:v>0.83</c:v>
                </c:pt>
                <c:pt idx="13">
                  <c:v>0.88</c:v>
                </c:pt>
                <c:pt idx="14">
                  <c:v>0.64</c:v>
                </c:pt>
                <c:pt idx="15">
                  <c:v>0.63</c:v>
                </c:pt>
                <c:pt idx="16">
                  <c:v>0.4</c:v>
                </c:pt>
                <c:pt idx="17">
                  <c:v>0.55000000000000004</c:v>
                </c:pt>
                <c:pt idx="18">
                  <c:v>0.77</c:v>
                </c:pt>
                <c:pt idx="19">
                  <c:v>0.88</c:v>
                </c:pt>
                <c:pt idx="20">
                  <c:v>0.59</c:v>
                </c:pt>
                <c:pt idx="21">
                  <c:v>0.64</c:v>
                </c:pt>
                <c:pt idx="22">
                  <c:v>0.42</c:v>
                </c:pt>
                <c:pt idx="23">
                  <c:v>0.51</c:v>
                </c:pt>
                <c:pt idx="24">
                  <c:v>0.85</c:v>
                </c:pt>
                <c:pt idx="25">
                  <c:v>0.91</c:v>
                </c:pt>
                <c:pt idx="26">
                  <c:v>0.67</c:v>
                </c:pt>
                <c:pt idx="27">
                  <c:v>0.69</c:v>
                </c:pt>
                <c:pt idx="28">
                  <c:v>0.45</c:v>
                </c:pt>
                <c:pt idx="29">
                  <c:v>0.55000000000000004</c:v>
                </c:pt>
                <c:pt idx="30">
                  <c:v>0.85</c:v>
                </c:pt>
                <c:pt idx="31">
                  <c:v>0.93</c:v>
                </c:pt>
                <c:pt idx="32">
                  <c:v>0.7</c:v>
                </c:pt>
                <c:pt idx="33">
                  <c:v>0.91</c:v>
                </c:pt>
                <c:pt idx="34">
                  <c:v>0.44</c:v>
                </c:pt>
                <c:pt idx="35">
                  <c:v>0.48</c:v>
                </c:pt>
                <c:pt idx="36">
                  <c:v>0.84</c:v>
                </c:pt>
                <c:pt idx="37">
                  <c:v>0.89</c:v>
                </c:pt>
                <c:pt idx="38">
                  <c:v>0.61</c:v>
                </c:pt>
                <c:pt idx="39">
                  <c:v>0.66</c:v>
                </c:pt>
                <c:pt idx="40">
                  <c:v>0.48</c:v>
                </c:pt>
                <c:pt idx="41">
                  <c:v>0.56999999999999995</c:v>
                </c:pt>
                <c:pt idx="42">
                  <c:v>0.84</c:v>
                </c:pt>
                <c:pt idx="43">
                  <c:v>0.9</c:v>
                </c:pt>
                <c:pt idx="44">
                  <c:v>0.7</c:v>
                </c:pt>
                <c:pt idx="45">
                  <c:v>0.7</c:v>
                </c:pt>
                <c:pt idx="46">
                  <c:v>0.42</c:v>
                </c:pt>
                <c:pt idx="47">
                  <c:v>0.59</c:v>
                </c:pt>
                <c:pt idx="48">
                  <c:v>0.83</c:v>
                </c:pt>
                <c:pt idx="49">
                  <c:v>0.93</c:v>
                </c:pt>
                <c:pt idx="50">
                  <c:v>0.77</c:v>
                </c:pt>
                <c:pt idx="51">
                  <c:v>0.93</c:v>
                </c:pt>
                <c:pt idx="52">
                  <c:v>0.42</c:v>
                </c:pt>
                <c:pt idx="5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A-244D-A465-3B93991D25A0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3gram-no-hash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summarized!$K$2:$K$55</c:f>
              <c:numCache>
                <c:formatCode>0.00</c:formatCode>
                <c:ptCount val="54"/>
                <c:pt idx="0">
                  <c:v>0.78</c:v>
                </c:pt>
                <c:pt idx="1">
                  <c:v>0.82</c:v>
                </c:pt>
                <c:pt idx="2">
                  <c:v>0.57999999999999996</c:v>
                </c:pt>
                <c:pt idx="3">
                  <c:v>0.62</c:v>
                </c:pt>
                <c:pt idx="4">
                  <c:v>0.39</c:v>
                </c:pt>
                <c:pt idx="5">
                  <c:v>0.49</c:v>
                </c:pt>
                <c:pt idx="6">
                  <c:v>0.89</c:v>
                </c:pt>
                <c:pt idx="7">
                  <c:v>0.92</c:v>
                </c:pt>
                <c:pt idx="8">
                  <c:v>0.6</c:v>
                </c:pt>
                <c:pt idx="9">
                  <c:v>0.64</c:v>
                </c:pt>
                <c:pt idx="10">
                  <c:v>0.48</c:v>
                </c:pt>
                <c:pt idx="11">
                  <c:v>0.5</c:v>
                </c:pt>
                <c:pt idx="12">
                  <c:v>0.82</c:v>
                </c:pt>
                <c:pt idx="13">
                  <c:v>0.87</c:v>
                </c:pt>
                <c:pt idx="14">
                  <c:v>0.63</c:v>
                </c:pt>
                <c:pt idx="15">
                  <c:v>0.72</c:v>
                </c:pt>
                <c:pt idx="16">
                  <c:v>0.4</c:v>
                </c:pt>
                <c:pt idx="17">
                  <c:v>0.45</c:v>
                </c:pt>
                <c:pt idx="18">
                  <c:v>0.84</c:v>
                </c:pt>
                <c:pt idx="19">
                  <c:v>0.88</c:v>
                </c:pt>
                <c:pt idx="20">
                  <c:v>0.64</c:v>
                </c:pt>
                <c:pt idx="21">
                  <c:v>0.71</c:v>
                </c:pt>
                <c:pt idx="22">
                  <c:v>0.42</c:v>
                </c:pt>
                <c:pt idx="23">
                  <c:v>0.5</c:v>
                </c:pt>
                <c:pt idx="24">
                  <c:v>0.81</c:v>
                </c:pt>
                <c:pt idx="25">
                  <c:v>0.9</c:v>
                </c:pt>
                <c:pt idx="26">
                  <c:v>0.65</c:v>
                </c:pt>
                <c:pt idx="27">
                  <c:v>0.73</c:v>
                </c:pt>
                <c:pt idx="28">
                  <c:v>0.43</c:v>
                </c:pt>
                <c:pt idx="29">
                  <c:v>0.59</c:v>
                </c:pt>
                <c:pt idx="30">
                  <c:v>0.84</c:v>
                </c:pt>
                <c:pt idx="31">
                  <c:v>0.89</c:v>
                </c:pt>
                <c:pt idx="32">
                  <c:v>0.7</c:v>
                </c:pt>
                <c:pt idx="33">
                  <c:v>0.92</c:v>
                </c:pt>
                <c:pt idx="34">
                  <c:v>0.46</c:v>
                </c:pt>
                <c:pt idx="35">
                  <c:v>0.56999999999999995</c:v>
                </c:pt>
                <c:pt idx="36">
                  <c:v>0.82</c:v>
                </c:pt>
                <c:pt idx="37">
                  <c:v>0.87</c:v>
                </c:pt>
                <c:pt idx="38">
                  <c:v>0.69</c:v>
                </c:pt>
                <c:pt idx="39">
                  <c:v>0.67</c:v>
                </c:pt>
                <c:pt idx="40">
                  <c:v>0.47</c:v>
                </c:pt>
                <c:pt idx="41">
                  <c:v>0.55000000000000004</c:v>
                </c:pt>
                <c:pt idx="42">
                  <c:v>0.83</c:v>
                </c:pt>
                <c:pt idx="43">
                  <c:v>0.9</c:v>
                </c:pt>
                <c:pt idx="44">
                  <c:v>0.73</c:v>
                </c:pt>
                <c:pt idx="45">
                  <c:v>0.74</c:v>
                </c:pt>
                <c:pt idx="46">
                  <c:v>0.39</c:v>
                </c:pt>
                <c:pt idx="47">
                  <c:v>0.53</c:v>
                </c:pt>
                <c:pt idx="48">
                  <c:v>0.87</c:v>
                </c:pt>
                <c:pt idx="49">
                  <c:v>0.89</c:v>
                </c:pt>
                <c:pt idx="50">
                  <c:v>0.75</c:v>
                </c:pt>
                <c:pt idx="51">
                  <c:v>0.94</c:v>
                </c:pt>
                <c:pt idx="52">
                  <c:v>0.47</c:v>
                </c:pt>
                <c:pt idx="5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CA-244D-A465-3B93991D25A0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4gram-no-hash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summarized!$L$2:$L$55</c:f>
              <c:numCache>
                <c:formatCode>0.00</c:formatCode>
                <c:ptCount val="54"/>
                <c:pt idx="0">
                  <c:v>0.85</c:v>
                </c:pt>
                <c:pt idx="1">
                  <c:v>0.88</c:v>
                </c:pt>
                <c:pt idx="2">
                  <c:v>0.57999999999999996</c:v>
                </c:pt>
                <c:pt idx="3">
                  <c:v>0.65</c:v>
                </c:pt>
                <c:pt idx="4">
                  <c:v>0.45</c:v>
                </c:pt>
                <c:pt idx="5">
                  <c:v>0.51</c:v>
                </c:pt>
                <c:pt idx="6">
                  <c:v>0.77</c:v>
                </c:pt>
                <c:pt idx="7">
                  <c:v>0.82</c:v>
                </c:pt>
                <c:pt idx="8">
                  <c:v>0.61</c:v>
                </c:pt>
                <c:pt idx="9">
                  <c:v>0.56000000000000005</c:v>
                </c:pt>
                <c:pt idx="10">
                  <c:v>0.4</c:v>
                </c:pt>
                <c:pt idx="11">
                  <c:v>0.53</c:v>
                </c:pt>
                <c:pt idx="12">
                  <c:v>0.78</c:v>
                </c:pt>
                <c:pt idx="13">
                  <c:v>0.86</c:v>
                </c:pt>
                <c:pt idx="14">
                  <c:v>0.56999999999999995</c:v>
                </c:pt>
                <c:pt idx="15">
                  <c:v>0.59</c:v>
                </c:pt>
                <c:pt idx="16">
                  <c:v>0.42</c:v>
                </c:pt>
                <c:pt idx="17">
                  <c:v>0.54</c:v>
                </c:pt>
                <c:pt idx="18">
                  <c:v>0.81</c:v>
                </c:pt>
                <c:pt idx="19">
                  <c:v>0.86</c:v>
                </c:pt>
                <c:pt idx="20">
                  <c:v>0.64</c:v>
                </c:pt>
                <c:pt idx="21">
                  <c:v>0.67</c:v>
                </c:pt>
                <c:pt idx="22">
                  <c:v>0.46</c:v>
                </c:pt>
                <c:pt idx="23">
                  <c:v>0.57999999999999996</c:v>
                </c:pt>
                <c:pt idx="24">
                  <c:v>0.84</c:v>
                </c:pt>
                <c:pt idx="25">
                  <c:v>0.89</c:v>
                </c:pt>
                <c:pt idx="26">
                  <c:v>0.67</c:v>
                </c:pt>
                <c:pt idx="27">
                  <c:v>0.66</c:v>
                </c:pt>
                <c:pt idx="28">
                  <c:v>0.4</c:v>
                </c:pt>
                <c:pt idx="29">
                  <c:v>0.52</c:v>
                </c:pt>
                <c:pt idx="30">
                  <c:v>0.81</c:v>
                </c:pt>
                <c:pt idx="31">
                  <c:v>0.86</c:v>
                </c:pt>
                <c:pt idx="32">
                  <c:v>0.71</c:v>
                </c:pt>
                <c:pt idx="33">
                  <c:v>0.93</c:v>
                </c:pt>
                <c:pt idx="34">
                  <c:v>0.39</c:v>
                </c:pt>
                <c:pt idx="35">
                  <c:v>0.62</c:v>
                </c:pt>
                <c:pt idx="36">
                  <c:v>0.82</c:v>
                </c:pt>
                <c:pt idx="37">
                  <c:v>0.87</c:v>
                </c:pt>
                <c:pt idx="38">
                  <c:v>0.69</c:v>
                </c:pt>
                <c:pt idx="39">
                  <c:v>0.73</c:v>
                </c:pt>
                <c:pt idx="40">
                  <c:v>0.44</c:v>
                </c:pt>
                <c:pt idx="41">
                  <c:v>0.51</c:v>
                </c:pt>
                <c:pt idx="42">
                  <c:v>0.83</c:v>
                </c:pt>
                <c:pt idx="43">
                  <c:v>0.88</c:v>
                </c:pt>
                <c:pt idx="44">
                  <c:v>0.68</c:v>
                </c:pt>
                <c:pt idx="45">
                  <c:v>0.71</c:v>
                </c:pt>
                <c:pt idx="46">
                  <c:v>0.44</c:v>
                </c:pt>
                <c:pt idx="47">
                  <c:v>0.55000000000000004</c:v>
                </c:pt>
                <c:pt idx="48">
                  <c:v>0.82</c:v>
                </c:pt>
                <c:pt idx="49">
                  <c:v>0.88</c:v>
                </c:pt>
                <c:pt idx="50">
                  <c:v>0.72</c:v>
                </c:pt>
                <c:pt idx="51">
                  <c:v>0.94</c:v>
                </c:pt>
                <c:pt idx="52">
                  <c:v>0.42</c:v>
                </c:pt>
                <c:pt idx="5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CA-244D-A465-3B93991D25A0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xsk2gram-no-hash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summarized!$M$2:$M$55</c:f>
              <c:numCache>
                <c:formatCode>0.00</c:formatCode>
                <c:ptCount val="54"/>
                <c:pt idx="0">
                  <c:v>0.84</c:v>
                </c:pt>
                <c:pt idx="1">
                  <c:v>0.84</c:v>
                </c:pt>
                <c:pt idx="2">
                  <c:v>0.56999999999999995</c:v>
                </c:pt>
                <c:pt idx="3">
                  <c:v>0.55000000000000004</c:v>
                </c:pt>
                <c:pt idx="4">
                  <c:v>0.39</c:v>
                </c:pt>
                <c:pt idx="5">
                  <c:v>0.5</c:v>
                </c:pt>
                <c:pt idx="6">
                  <c:v>0.87</c:v>
                </c:pt>
                <c:pt idx="7">
                  <c:v>0.9</c:v>
                </c:pt>
                <c:pt idx="8">
                  <c:v>0.59</c:v>
                </c:pt>
                <c:pt idx="9">
                  <c:v>0.63</c:v>
                </c:pt>
                <c:pt idx="10">
                  <c:v>0.41</c:v>
                </c:pt>
                <c:pt idx="11">
                  <c:v>0.44</c:v>
                </c:pt>
                <c:pt idx="12">
                  <c:v>0.82</c:v>
                </c:pt>
                <c:pt idx="13">
                  <c:v>0.88</c:v>
                </c:pt>
                <c:pt idx="14">
                  <c:v>0.63</c:v>
                </c:pt>
                <c:pt idx="15">
                  <c:v>0.61</c:v>
                </c:pt>
                <c:pt idx="16">
                  <c:v>0.4</c:v>
                </c:pt>
                <c:pt idx="17">
                  <c:v>0.42</c:v>
                </c:pt>
                <c:pt idx="18">
                  <c:v>0.84</c:v>
                </c:pt>
                <c:pt idx="19">
                  <c:v>0.88</c:v>
                </c:pt>
                <c:pt idx="20">
                  <c:v>0.71</c:v>
                </c:pt>
                <c:pt idx="21">
                  <c:v>0.68</c:v>
                </c:pt>
                <c:pt idx="22">
                  <c:v>0.46</c:v>
                </c:pt>
                <c:pt idx="23">
                  <c:v>0.56000000000000005</c:v>
                </c:pt>
                <c:pt idx="24">
                  <c:v>0.83</c:v>
                </c:pt>
                <c:pt idx="25">
                  <c:v>0.86</c:v>
                </c:pt>
                <c:pt idx="26">
                  <c:v>0.66</c:v>
                </c:pt>
                <c:pt idx="27">
                  <c:v>0.65</c:v>
                </c:pt>
                <c:pt idx="28">
                  <c:v>0.42</c:v>
                </c:pt>
                <c:pt idx="29">
                  <c:v>0.5</c:v>
                </c:pt>
                <c:pt idx="30">
                  <c:v>0.86</c:v>
                </c:pt>
                <c:pt idx="31">
                  <c:v>0.89</c:v>
                </c:pt>
                <c:pt idx="32">
                  <c:v>0.71</c:v>
                </c:pt>
                <c:pt idx="33">
                  <c:v>0.89</c:v>
                </c:pt>
                <c:pt idx="34">
                  <c:v>0.42</c:v>
                </c:pt>
                <c:pt idx="35">
                  <c:v>0.56000000000000005</c:v>
                </c:pt>
                <c:pt idx="36">
                  <c:v>0.87</c:v>
                </c:pt>
                <c:pt idx="37">
                  <c:v>0.89</c:v>
                </c:pt>
                <c:pt idx="38">
                  <c:v>0.7</c:v>
                </c:pt>
                <c:pt idx="39">
                  <c:v>0.72</c:v>
                </c:pt>
                <c:pt idx="40">
                  <c:v>0.39</c:v>
                </c:pt>
                <c:pt idx="41">
                  <c:v>0.46</c:v>
                </c:pt>
                <c:pt idx="42">
                  <c:v>0.84</c:v>
                </c:pt>
                <c:pt idx="43">
                  <c:v>0.88</c:v>
                </c:pt>
                <c:pt idx="44">
                  <c:v>0.72</c:v>
                </c:pt>
                <c:pt idx="45">
                  <c:v>0.74</c:v>
                </c:pt>
                <c:pt idx="46">
                  <c:v>0.48</c:v>
                </c:pt>
                <c:pt idx="47">
                  <c:v>0.59</c:v>
                </c:pt>
                <c:pt idx="48">
                  <c:v>0.83</c:v>
                </c:pt>
                <c:pt idx="49">
                  <c:v>0.89</c:v>
                </c:pt>
                <c:pt idx="50">
                  <c:v>0.71</c:v>
                </c:pt>
                <c:pt idx="51">
                  <c:v>0.91</c:v>
                </c:pt>
                <c:pt idx="52">
                  <c:v>0.46</c:v>
                </c:pt>
                <c:pt idx="5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CA-244D-A465-3B93991D25A0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xsk3gram-no-hash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summarized!$N$2:$N$55</c:f>
              <c:numCache>
                <c:formatCode>0.00</c:formatCode>
                <c:ptCount val="54"/>
                <c:pt idx="0">
                  <c:v>0.84</c:v>
                </c:pt>
                <c:pt idx="1">
                  <c:v>0.85</c:v>
                </c:pt>
                <c:pt idx="2">
                  <c:v>0.62</c:v>
                </c:pt>
                <c:pt idx="3">
                  <c:v>0.66</c:v>
                </c:pt>
                <c:pt idx="4">
                  <c:v>0.41</c:v>
                </c:pt>
                <c:pt idx="5">
                  <c:v>0.55000000000000004</c:v>
                </c:pt>
                <c:pt idx="6">
                  <c:v>0.83</c:v>
                </c:pt>
                <c:pt idx="7">
                  <c:v>0.81</c:v>
                </c:pt>
                <c:pt idx="8">
                  <c:v>0.6</c:v>
                </c:pt>
                <c:pt idx="9">
                  <c:v>0.61</c:v>
                </c:pt>
                <c:pt idx="10">
                  <c:v>0.38</c:v>
                </c:pt>
                <c:pt idx="11">
                  <c:v>0.43</c:v>
                </c:pt>
                <c:pt idx="12">
                  <c:v>0.79</c:v>
                </c:pt>
                <c:pt idx="13">
                  <c:v>0.81</c:v>
                </c:pt>
                <c:pt idx="14">
                  <c:v>0.66</c:v>
                </c:pt>
                <c:pt idx="15">
                  <c:v>0.68</c:v>
                </c:pt>
                <c:pt idx="16">
                  <c:v>0.52</c:v>
                </c:pt>
                <c:pt idx="17">
                  <c:v>0.59</c:v>
                </c:pt>
                <c:pt idx="18">
                  <c:v>0.83</c:v>
                </c:pt>
                <c:pt idx="19">
                  <c:v>0.85</c:v>
                </c:pt>
                <c:pt idx="20">
                  <c:v>0.65</c:v>
                </c:pt>
                <c:pt idx="21">
                  <c:v>0.67</c:v>
                </c:pt>
                <c:pt idx="22">
                  <c:v>0.4</c:v>
                </c:pt>
                <c:pt idx="23">
                  <c:v>0.53</c:v>
                </c:pt>
                <c:pt idx="24">
                  <c:v>0.84</c:v>
                </c:pt>
                <c:pt idx="25">
                  <c:v>0.82</c:v>
                </c:pt>
                <c:pt idx="26">
                  <c:v>0.66</c:v>
                </c:pt>
                <c:pt idx="27">
                  <c:v>0.67</c:v>
                </c:pt>
                <c:pt idx="28">
                  <c:v>0.41</c:v>
                </c:pt>
                <c:pt idx="29">
                  <c:v>0.47</c:v>
                </c:pt>
                <c:pt idx="30">
                  <c:v>0.85</c:v>
                </c:pt>
                <c:pt idx="31">
                  <c:v>0.86</c:v>
                </c:pt>
                <c:pt idx="32">
                  <c:v>0.77</c:v>
                </c:pt>
                <c:pt idx="33">
                  <c:v>0.84</c:v>
                </c:pt>
                <c:pt idx="34">
                  <c:v>0.41</c:v>
                </c:pt>
                <c:pt idx="35">
                  <c:v>0.48</c:v>
                </c:pt>
                <c:pt idx="36">
                  <c:v>0.85</c:v>
                </c:pt>
                <c:pt idx="37">
                  <c:v>0.87</c:v>
                </c:pt>
                <c:pt idx="38">
                  <c:v>0.7</c:v>
                </c:pt>
                <c:pt idx="39">
                  <c:v>0.72</c:v>
                </c:pt>
                <c:pt idx="40">
                  <c:v>0.48</c:v>
                </c:pt>
                <c:pt idx="41">
                  <c:v>0.54</c:v>
                </c:pt>
                <c:pt idx="42">
                  <c:v>0.84</c:v>
                </c:pt>
                <c:pt idx="43">
                  <c:v>0.85</c:v>
                </c:pt>
                <c:pt idx="44">
                  <c:v>0.68</c:v>
                </c:pt>
                <c:pt idx="45">
                  <c:v>0.67</c:v>
                </c:pt>
                <c:pt idx="46">
                  <c:v>0.44</c:v>
                </c:pt>
                <c:pt idx="47">
                  <c:v>0.54</c:v>
                </c:pt>
                <c:pt idx="48">
                  <c:v>0.87</c:v>
                </c:pt>
                <c:pt idx="49">
                  <c:v>0.87</c:v>
                </c:pt>
                <c:pt idx="50">
                  <c:v>0.77</c:v>
                </c:pt>
                <c:pt idx="51">
                  <c:v>0.89</c:v>
                </c:pt>
                <c:pt idx="52">
                  <c:v>0.43</c:v>
                </c:pt>
                <c:pt idx="5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CA-244D-A465-3B93991D25A0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xsk4gram-no-hash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summarized!$O$2:$O$55</c:f>
              <c:numCache>
                <c:formatCode>0.00</c:formatCode>
                <c:ptCount val="54"/>
                <c:pt idx="0">
                  <c:v>0.77</c:v>
                </c:pt>
                <c:pt idx="1">
                  <c:v>0.79</c:v>
                </c:pt>
                <c:pt idx="2">
                  <c:v>0.56999999999999995</c:v>
                </c:pt>
                <c:pt idx="3">
                  <c:v>0.65</c:v>
                </c:pt>
                <c:pt idx="4">
                  <c:v>0.37</c:v>
                </c:pt>
                <c:pt idx="5">
                  <c:v>0.51</c:v>
                </c:pt>
                <c:pt idx="6">
                  <c:v>0.88</c:v>
                </c:pt>
                <c:pt idx="7">
                  <c:v>0.88</c:v>
                </c:pt>
                <c:pt idx="8">
                  <c:v>0.53</c:v>
                </c:pt>
                <c:pt idx="9">
                  <c:v>0.6</c:v>
                </c:pt>
                <c:pt idx="10">
                  <c:v>0.42</c:v>
                </c:pt>
                <c:pt idx="11">
                  <c:v>0.48</c:v>
                </c:pt>
                <c:pt idx="12">
                  <c:v>0.87</c:v>
                </c:pt>
                <c:pt idx="13">
                  <c:v>0.92</c:v>
                </c:pt>
                <c:pt idx="14">
                  <c:v>0.62</c:v>
                </c:pt>
                <c:pt idx="15">
                  <c:v>0.67</c:v>
                </c:pt>
                <c:pt idx="16">
                  <c:v>0.5</c:v>
                </c:pt>
                <c:pt idx="17">
                  <c:v>0.49</c:v>
                </c:pt>
                <c:pt idx="18">
                  <c:v>0.85</c:v>
                </c:pt>
                <c:pt idx="19">
                  <c:v>0.88</c:v>
                </c:pt>
                <c:pt idx="20">
                  <c:v>0.6</c:v>
                </c:pt>
                <c:pt idx="21">
                  <c:v>0.7</c:v>
                </c:pt>
                <c:pt idx="22">
                  <c:v>0.46</c:v>
                </c:pt>
                <c:pt idx="23">
                  <c:v>0.5</c:v>
                </c:pt>
                <c:pt idx="24">
                  <c:v>0.81</c:v>
                </c:pt>
                <c:pt idx="25">
                  <c:v>0.81</c:v>
                </c:pt>
                <c:pt idx="26">
                  <c:v>0.67</c:v>
                </c:pt>
                <c:pt idx="27">
                  <c:v>0.68</c:v>
                </c:pt>
                <c:pt idx="28">
                  <c:v>0.49</c:v>
                </c:pt>
                <c:pt idx="29">
                  <c:v>0.53</c:v>
                </c:pt>
                <c:pt idx="30">
                  <c:v>0.8</c:v>
                </c:pt>
                <c:pt idx="31">
                  <c:v>0.81</c:v>
                </c:pt>
                <c:pt idx="32">
                  <c:v>0.73</c:v>
                </c:pt>
                <c:pt idx="33">
                  <c:v>0.83</c:v>
                </c:pt>
                <c:pt idx="34">
                  <c:v>0.41</c:v>
                </c:pt>
                <c:pt idx="35">
                  <c:v>0.47</c:v>
                </c:pt>
                <c:pt idx="36">
                  <c:v>0.79</c:v>
                </c:pt>
                <c:pt idx="37">
                  <c:v>0.83</c:v>
                </c:pt>
                <c:pt idx="38">
                  <c:v>0.7</c:v>
                </c:pt>
                <c:pt idx="39">
                  <c:v>0.65</c:v>
                </c:pt>
                <c:pt idx="40">
                  <c:v>0.44</c:v>
                </c:pt>
                <c:pt idx="41">
                  <c:v>0.5</c:v>
                </c:pt>
                <c:pt idx="42">
                  <c:v>0.88</c:v>
                </c:pt>
                <c:pt idx="43">
                  <c:v>0.89</c:v>
                </c:pt>
                <c:pt idx="44">
                  <c:v>0.67</c:v>
                </c:pt>
                <c:pt idx="45">
                  <c:v>0.72</c:v>
                </c:pt>
                <c:pt idx="46">
                  <c:v>0.5</c:v>
                </c:pt>
                <c:pt idx="47">
                  <c:v>0.55000000000000004</c:v>
                </c:pt>
                <c:pt idx="48">
                  <c:v>0.86</c:v>
                </c:pt>
                <c:pt idx="49">
                  <c:v>0.89</c:v>
                </c:pt>
                <c:pt idx="50">
                  <c:v>0.77</c:v>
                </c:pt>
                <c:pt idx="51">
                  <c:v>0.9</c:v>
                </c:pt>
                <c:pt idx="52">
                  <c:v>0.48</c:v>
                </c:pt>
                <c:pt idx="5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CA-244D-A465-3B93991D25A0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2gram-hash-at-both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summarized!$P$2:$P$55</c:f>
              <c:numCache>
                <c:formatCode>0.00</c:formatCode>
                <c:ptCount val="54"/>
                <c:pt idx="0">
                  <c:v>0.81</c:v>
                </c:pt>
                <c:pt idx="1">
                  <c:v>0.87</c:v>
                </c:pt>
                <c:pt idx="2">
                  <c:v>0.55000000000000004</c:v>
                </c:pt>
                <c:pt idx="3">
                  <c:v>0.66</c:v>
                </c:pt>
                <c:pt idx="4">
                  <c:v>0.41</c:v>
                </c:pt>
                <c:pt idx="5">
                  <c:v>0.67</c:v>
                </c:pt>
                <c:pt idx="6">
                  <c:v>0.82</c:v>
                </c:pt>
                <c:pt idx="7">
                  <c:v>0.82</c:v>
                </c:pt>
                <c:pt idx="8">
                  <c:v>0.61</c:v>
                </c:pt>
                <c:pt idx="9">
                  <c:v>0.59</c:v>
                </c:pt>
                <c:pt idx="10">
                  <c:v>0.41</c:v>
                </c:pt>
                <c:pt idx="11">
                  <c:v>0.52</c:v>
                </c:pt>
                <c:pt idx="12">
                  <c:v>0.82</c:v>
                </c:pt>
                <c:pt idx="13">
                  <c:v>0.88</c:v>
                </c:pt>
                <c:pt idx="14">
                  <c:v>0.62</c:v>
                </c:pt>
                <c:pt idx="15">
                  <c:v>0.63</c:v>
                </c:pt>
                <c:pt idx="16">
                  <c:v>0.42</c:v>
                </c:pt>
                <c:pt idx="17">
                  <c:v>0.54</c:v>
                </c:pt>
                <c:pt idx="18">
                  <c:v>0.86</c:v>
                </c:pt>
                <c:pt idx="19">
                  <c:v>0.91</c:v>
                </c:pt>
                <c:pt idx="20">
                  <c:v>0.63</c:v>
                </c:pt>
                <c:pt idx="21">
                  <c:v>0.69</c:v>
                </c:pt>
                <c:pt idx="22">
                  <c:v>0.41</c:v>
                </c:pt>
                <c:pt idx="23">
                  <c:v>0.53</c:v>
                </c:pt>
                <c:pt idx="24">
                  <c:v>0.83</c:v>
                </c:pt>
                <c:pt idx="25">
                  <c:v>0.92</c:v>
                </c:pt>
                <c:pt idx="26">
                  <c:v>0.64</c:v>
                </c:pt>
                <c:pt idx="27">
                  <c:v>0.68</c:v>
                </c:pt>
                <c:pt idx="28">
                  <c:v>0.44</c:v>
                </c:pt>
                <c:pt idx="29">
                  <c:v>0.5</c:v>
                </c:pt>
                <c:pt idx="30">
                  <c:v>0.79</c:v>
                </c:pt>
                <c:pt idx="31">
                  <c:v>0.89</c:v>
                </c:pt>
                <c:pt idx="32">
                  <c:v>0.72</c:v>
                </c:pt>
                <c:pt idx="33">
                  <c:v>0.91</c:v>
                </c:pt>
                <c:pt idx="34">
                  <c:v>0.47</c:v>
                </c:pt>
                <c:pt idx="35">
                  <c:v>0.56000000000000005</c:v>
                </c:pt>
                <c:pt idx="36">
                  <c:v>0.81</c:v>
                </c:pt>
                <c:pt idx="37">
                  <c:v>0.89</c:v>
                </c:pt>
                <c:pt idx="38">
                  <c:v>0.68</c:v>
                </c:pt>
                <c:pt idx="39">
                  <c:v>0.71</c:v>
                </c:pt>
                <c:pt idx="40">
                  <c:v>0.39</c:v>
                </c:pt>
                <c:pt idx="41">
                  <c:v>0.56000000000000005</c:v>
                </c:pt>
                <c:pt idx="42">
                  <c:v>0.81</c:v>
                </c:pt>
                <c:pt idx="43">
                  <c:v>0.88</c:v>
                </c:pt>
                <c:pt idx="44">
                  <c:v>0.7</c:v>
                </c:pt>
                <c:pt idx="45">
                  <c:v>0.74</c:v>
                </c:pt>
                <c:pt idx="46">
                  <c:v>0.46</c:v>
                </c:pt>
                <c:pt idx="47">
                  <c:v>0.62</c:v>
                </c:pt>
                <c:pt idx="48">
                  <c:v>0.86</c:v>
                </c:pt>
                <c:pt idx="49">
                  <c:v>0.91</c:v>
                </c:pt>
                <c:pt idx="50">
                  <c:v>0.73</c:v>
                </c:pt>
                <c:pt idx="51">
                  <c:v>0.94</c:v>
                </c:pt>
                <c:pt idx="52">
                  <c:v>0.48</c:v>
                </c:pt>
                <c:pt idx="53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CA-244D-A465-3B93991D25A0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3gram-hash-at-both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summarized!$Q$2:$Q$55</c:f>
              <c:numCache>
                <c:formatCode>0.00</c:formatCode>
                <c:ptCount val="54"/>
                <c:pt idx="0">
                  <c:v>0.84</c:v>
                </c:pt>
                <c:pt idx="1">
                  <c:v>0.89</c:v>
                </c:pt>
                <c:pt idx="2">
                  <c:v>0.59</c:v>
                </c:pt>
                <c:pt idx="3">
                  <c:v>0.62</c:v>
                </c:pt>
                <c:pt idx="4">
                  <c:v>0.28999999999999998</c:v>
                </c:pt>
                <c:pt idx="5">
                  <c:v>0.35</c:v>
                </c:pt>
                <c:pt idx="6">
                  <c:v>0.78</c:v>
                </c:pt>
                <c:pt idx="7">
                  <c:v>0.82</c:v>
                </c:pt>
                <c:pt idx="8">
                  <c:v>0.62</c:v>
                </c:pt>
                <c:pt idx="9">
                  <c:v>0.65</c:v>
                </c:pt>
                <c:pt idx="10">
                  <c:v>0.47</c:v>
                </c:pt>
                <c:pt idx="11">
                  <c:v>0.52</c:v>
                </c:pt>
                <c:pt idx="12">
                  <c:v>0.81</c:v>
                </c:pt>
                <c:pt idx="13">
                  <c:v>0.88</c:v>
                </c:pt>
                <c:pt idx="14">
                  <c:v>0.66</c:v>
                </c:pt>
                <c:pt idx="15">
                  <c:v>0.68</c:v>
                </c:pt>
                <c:pt idx="16">
                  <c:v>0.36</c:v>
                </c:pt>
                <c:pt idx="17">
                  <c:v>0.43</c:v>
                </c:pt>
                <c:pt idx="18">
                  <c:v>0.85</c:v>
                </c:pt>
                <c:pt idx="19">
                  <c:v>0.93</c:v>
                </c:pt>
                <c:pt idx="20">
                  <c:v>0.69</c:v>
                </c:pt>
                <c:pt idx="21">
                  <c:v>0.71</c:v>
                </c:pt>
                <c:pt idx="22">
                  <c:v>0.44</c:v>
                </c:pt>
                <c:pt idx="23">
                  <c:v>0.56000000000000005</c:v>
                </c:pt>
                <c:pt idx="24">
                  <c:v>0.81</c:v>
                </c:pt>
                <c:pt idx="25">
                  <c:v>0.83</c:v>
                </c:pt>
                <c:pt idx="26">
                  <c:v>0.63</c:v>
                </c:pt>
                <c:pt idx="27">
                  <c:v>0.66</c:v>
                </c:pt>
                <c:pt idx="28">
                  <c:v>0.41</c:v>
                </c:pt>
                <c:pt idx="29">
                  <c:v>0.51</c:v>
                </c:pt>
                <c:pt idx="30">
                  <c:v>0.83</c:v>
                </c:pt>
                <c:pt idx="31">
                  <c:v>0.88</c:v>
                </c:pt>
                <c:pt idx="32">
                  <c:v>0.71</c:v>
                </c:pt>
                <c:pt idx="33">
                  <c:v>0.94</c:v>
                </c:pt>
                <c:pt idx="34">
                  <c:v>0.43</c:v>
                </c:pt>
                <c:pt idx="35">
                  <c:v>0.51</c:v>
                </c:pt>
                <c:pt idx="36">
                  <c:v>0.85</c:v>
                </c:pt>
                <c:pt idx="37">
                  <c:v>0.89</c:v>
                </c:pt>
                <c:pt idx="38">
                  <c:v>0.68</c:v>
                </c:pt>
                <c:pt idx="39">
                  <c:v>0.69</c:v>
                </c:pt>
                <c:pt idx="40">
                  <c:v>0.48</c:v>
                </c:pt>
                <c:pt idx="41">
                  <c:v>0.61</c:v>
                </c:pt>
                <c:pt idx="42">
                  <c:v>0.83</c:v>
                </c:pt>
                <c:pt idx="43">
                  <c:v>0.91</c:v>
                </c:pt>
                <c:pt idx="44">
                  <c:v>0.66</c:v>
                </c:pt>
                <c:pt idx="45">
                  <c:v>0.7</c:v>
                </c:pt>
                <c:pt idx="46">
                  <c:v>0.42</c:v>
                </c:pt>
                <c:pt idx="47">
                  <c:v>0.52</c:v>
                </c:pt>
                <c:pt idx="48">
                  <c:v>0.84</c:v>
                </c:pt>
                <c:pt idx="49">
                  <c:v>0.88</c:v>
                </c:pt>
                <c:pt idx="50">
                  <c:v>0.78</c:v>
                </c:pt>
                <c:pt idx="51">
                  <c:v>0.96</c:v>
                </c:pt>
                <c:pt idx="52">
                  <c:v>0.43</c:v>
                </c:pt>
                <c:pt idx="5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CA-244D-A465-3B93991D25A0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4gram-hash-at-both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summarized!$R$2:$R$55</c:f>
              <c:numCache>
                <c:formatCode>0.00</c:formatCode>
                <c:ptCount val="54"/>
                <c:pt idx="0">
                  <c:v>0.85</c:v>
                </c:pt>
                <c:pt idx="1">
                  <c:v>0.88</c:v>
                </c:pt>
                <c:pt idx="2">
                  <c:v>0.65</c:v>
                </c:pt>
                <c:pt idx="3">
                  <c:v>0.63</c:v>
                </c:pt>
                <c:pt idx="4">
                  <c:v>0.4</c:v>
                </c:pt>
                <c:pt idx="5">
                  <c:v>0.48</c:v>
                </c:pt>
                <c:pt idx="6">
                  <c:v>0.84</c:v>
                </c:pt>
                <c:pt idx="7">
                  <c:v>0.97</c:v>
                </c:pt>
                <c:pt idx="8">
                  <c:v>0.61</c:v>
                </c:pt>
                <c:pt idx="9">
                  <c:v>0.62</c:v>
                </c:pt>
                <c:pt idx="10">
                  <c:v>0.41</c:v>
                </c:pt>
                <c:pt idx="11">
                  <c:v>0.47</c:v>
                </c:pt>
                <c:pt idx="12">
                  <c:v>0.81</c:v>
                </c:pt>
                <c:pt idx="13">
                  <c:v>0.87</c:v>
                </c:pt>
                <c:pt idx="14">
                  <c:v>0.6</c:v>
                </c:pt>
                <c:pt idx="15">
                  <c:v>0.64</c:v>
                </c:pt>
                <c:pt idx="16">
                  <c:v>0.42</c:v>
                </c:pt>
                <c:pt idx="17">
                  <c:v>0.5</c:v>
                </c:pt>
                <c:pt idx="18">
                  <c:v>0.84</c:v>
                </c:pt>
                <c:pt idx="19">
                  <c:v>0.88</c:v>
                </c:pt>
                <c:pt idx="20">
                  <c:v>0.61</c:v>
                </c:pt>
                <c:pt idx="21">
                  <c:v>0.63</c:v>
                </c:pt>
                <c:pt idx="22">
                  <c:v>0.41</c:v>
                </c:pt>
                <c:pt idx="23">
                  <c:v>0.51</c:v>
                </c:pt>
                <c:pt idx="24">
                  <c:v>0.85</c:v>
                </c:pt>
                <c:pt idx="25">
                  <c:v>0.89</c:v>
                </c:pt>
                <c:pt idx="26">
                  <c:v>0.65</c:v>
                </c:pt>
                <c:pt idx="27">
                  <c:v>0.67</c:v>
                </c:pt>
                <c:pt idx="28">
                  <c:v>0.44</c:v>
                </c:pt>
                <c:pt idx="29">
                  <c:v>0.52</c:v>
                </c:pt>
                <c:pt idx="30">
                  <c:v>0.87</c:v>
                </c:pt>
                <c:pt idx="31">
                  <c:v>0.91</c:v>
                </c:pt>
                <c:pt idx="32">
                  <c:v>0.72</c:v>
                </c:pt>
                <c:pt idx="33">
                  <c:v>0.93</c:v>
                </c:pt>
                <c:pt idx="34">
                  <c:v>0.43</c:v>
                </c:pt>
                <c:pt idx="35">
                  <c:v>0.51</c:v>
                </c:pt>
                <c:pt idx="36">
                  <c:v>0.81</c:v>
                </c:pt>
                <c:pt idx="37">
                  <c:v>0.87</c:v>
                </c:pt>
                <c:pt idx="38">
                  <c:v>0.7</c:v>
                </c:pt>
                <c:pt idx="39">
                  <c:v>0.71</c:v>
                </c:pt>
                <c:pt idx="40">
                  <c:v>0.43</c:v>
                </c:pt>
                <c:pt idx="41">
                  <c:v>0.56000000000000005</c:v>
                </c:pt>
                <c:pt idx="42">
                  <c:v>0.86</c:v>
                </c:pt>
                <c:pt idx="43">
                  <c:v>0.91</c:v>
                </c:pt>
                <c:pt idx="44">
                  <c:v>0.68</c:v>
                </c:pt>
                <c:pt idx="45">
                  <c:v>0.7</c:v>
                </c:pt>
                <c:pt idx="46">
                  <c:v>0.45</c:v>
                </c:pt>
                <c:pt idx="47">
                  <c:v>0.55000000000000004</c:v>
                </c:pt>
                <c:pt idx="48">
                  <c:v>0.79</c:v>
                </c:pt>
                <c:pt idx="49">
                  <c:v>0.84</c:v>
                </c:pt>
                <c:pt idx="50">
                  <c:v>0.75</c:v>
                </c:pt>
                <c:pt idx="51">
                  <c:v>0.96</c:v>
                </c:pt>
                <c:pt idx="52">
                  <c:v>0.46</c:v>
                </c:pt>
                <c:pt idx="5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CA-244D-A465-3B93991D25A0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xsk2gram-hash-at-both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summarized!$S$2:$S$55</c:f>
              <c:numCache>
                <c:formatCode>0.00</c:formatCode>
                <c:ptCount val="54"/>
                <c:pt idx="0">
                  <c:v>0.82</c:v>
                </c:pt>
                <c:pt idx="1">
                  <c:v>0.84</c:v>
                </c:pt>
                <c:pt idx="2">
                  <c:v>0.56999999999999995</c:v>
                </c:pt>
                <c:pt idx="3">
                  <c:v>0.61</c:v>
                </c:pt>
                <c:pt idx="4">
                  <c:v>0.37</c:v>
                </c:pt>
                <c:pt idx="5">
                  <c:v>0.48</c:v>
                </c:pt>
                <c:pt idx="6">
                  <c:v>0.87</c:v>
                </c:pt>
                <c:pt idx="7">
                  <c:v>0.89</c:v>
                </c:pt>
                <c:pt idx="8">
                  <c:v>0.67</c:v>
                </c:pt>
                <c:pt idx="9">
                  <c:v>0.62</c:v>
                </c:pt>
                <c:pt idx="10">
                  <c:v>0.36</c:v>
                </c:pt>
                <c:pt idx="11">
                  <c:v>0.44</c:v>
                </c:pt>
                <c:pt idx="12">
                  <c:v>0.81</c:v>
                </c:pt>
                <c:pt idx="13">
                  <c:v>0.83</c:v>
                </c:pt>
                <c:pt idx="14">
                  <c:v>0.64</c:v>
                </c:pt>
                <c:pt idx="15">
                  <c:v>0.65</c:v>
                </c:pt>
                <c:pt idx="16">
                  <c:v>0.47</c:v>
                </c:pt>
                <c:pt idx="17">
                  <c:v>0.55000000000000004</c:v>
                </c:pt>
                <c:pt idx="18">
                  <c:v>0.81</c:v>
                </c:pt>
                <c:pt idx="19">
                  <c:v>0.84</c:v>
                </c:pt>
                <c:pt idx="20">
                  <c:v>0.65</c:v>
                </c:pt>
                <c:pt idx="21">
                  <c:v>0.68</c:v>
                </c:pt>
                <c:pt idx="22">
                  <c:v>0.37</c:v>
                </c:pt>
                <c:pt idx="23">
                  <c:v>0.52</c:v>
                </c:pt>
                <c:pt idx="24">
                  <c:v>0.81</c:v>
                </c:pt>
                <c:pt idx="25">
                  <c:v>0.88</c:v>
                </c:pt>
                <c:pt idx="26">
                  <c:v>0.63</c:v>
                </c:pt>
                <c:pt idx="27">
                  <c:v>0.62</c:v>
                </c:pt>
                <c:pt idx="28">
                  <c:v>0.43</c:v>
                </c:pt>
                <c:pt idx="29">
                  <c:v>0.56000000000000005</c:v>
                </c:pt>
                <c:pt idx="30">
                  <c:v>0.84</c:v>
                </c:pt>
                <c:pt idx="31">
                  <c:v>0.88</c:v>
                </c:pt>
                <c:pt idx="32">
                  <c:v>0.71</c:v>
                </c:pt>
                <c:pt idx="33">
                  <c:v>0.91</c:v>
                </c:pt>
                <c:pt idx="34">
                  <c:v>0.53</c:v>
                </c:pt>
                <c:pt idx="35">
                  <c:v>0.6</c:v>
                </c:pt>
                <c:pt idx="36">
                  <c:v>0.83</c:v>
                </c:pt>
                <c:pt idx="37">
                  <c:v>0.88</c:v>
                </c:pt>
                <c:pt idx="38">
                  <c:v>0.7</c:v>
                </c:pt>
                <c:pt idx="39">
                  <c:v>0.66</c:v>
                </c:pt>
                <c:pt idx="40">
                  <c:v>0.41</c:v>
                </c:pt>
                <c:pt idx="41">
                  <c:v>0.51</c:v>
                </c:pt>
                <c:pt idx="42">
                  <c:v>0.85</c:v>
                </c:pt>
                <c:pt idx="43">
                  <c:v>0.89</c:v>
                </c:pt>
                <c:pt idx="44">
                  <c:v>0.67</c:v>
                </c:pt>
                <c:pt idx="45">
                  <c:v>0.7</c:v>
                </c:pt>
                <c:pt idx="46">
                  <c:v>0.47</c:v>
                </c:pt>
                <c:pt idx="47">
                  <c:v>0.56000000000000005</c:v>
                </c:pt>
                <c:pt idx="48">
                  <c:v>0.85</c:v>
                </c:pt>
                <c:pt idx="49">
                  <c:v>0.89</c:v>
                </c:pt>
                <c:pt idx="50">
                  <c:v>0.75</c:v>
                </c:pt>
                <c:pt idx="51">
                  <c:v>0.91</c:v>
                </c:pt>
                <c:pt idx="52">
                  <c:v>0.46</c:v>
                </c:pt>
                <c:pt idx="5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CA-244D-A465-3B93991D25A0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xsk3gram-hash-at-both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summarized!$T$2:$T$55</c:f>
              <c:numCache>
                <c:formatCode>0.00</c:formatCode>
                <c:ptCount val="54"/>
                <c:pt idx="0">
                  <c:v>0.9</c:v>
                </c:pt>
                <c:pt idx="1">
                  <c:v>0.94</c:v>
                </c:pt>
                <c:pt idx="2">
                  <c:v>0.56999999999999995</c:v>
                </c:pt>
                <c:pt idx="3">
                  <c:v>0.64</c:v>
                </c:pt>
                <c:pt idx="4">
                  <c:v>0.36</c:v>
                </c:pt>
                <c:pt idx="5">
                  <c:v>0.44</c:v>
                </c:pt>
                <c:pt idx="6">
                  <c:v>0.79</c:v>
                </c:pt>
                <c:pt idx="7">
                  <c:v>0.8</c:v>
                </c:pt>
                <c:pt idx="8">
                  <c:v>0.61</c:v>
                </c:pt>
                <c:pt idx="9">
                  <c:v>0.68</c:v>
                </c:pt>
                <c:pt idx="10">
                  <c:v>0.44</c:v>
                </c:pt>
                <c:pt idx="11">
                  <c:v>0.5</c:v>
                </c:pt>
                <c:pt idx="12">
                  <c:v>0.89</c:v>
                </c:pt>
                <c:pt idx="13">
                  <c:v>0.89</c:v>
                </c:pt>
                <c:pt idx="14">
                  <c:v>0.57999999999999996</c:v>
                </c:pt>
                <c:pt idx="15">
                  <c:v>0.55000000000000004</c:v>
                </c:pt>
                <c:pt idx="16">
                  <c:v>0.34</c:v>
                </c:pt>
                <c:pt idx="17">
                  <c:v>0.38</c:v>
                </c:pt>
                <c:pt idx="18">
                  <c:v>0.81</c:v>
                </c:pt>
                <c:pt idx="19">
                  <c:v>0.84</c:v>
                </c:pt>
                <c:pt idx="20">
                  <c:v>0.6</c:v>
                </c:pt>
                <c:pt idx="21">
                  <c:v>0.64</c:v>
                </c:pt>
                <c:pt idx="22">
                  <c:v>0.52</c:v>
                </c:pt>
                <c:pt idx="23">
                  <c:v>0.56999999999999995</c:v>
                </c:pt>
                <c:pt idx="24">
                  <c:v>0.83</c:v>
                </c:pt>
                <c:pt idx="25">
                  <c:v>0.84</c:v>
                </c:pt>
                <c:pt idx="26">
                  <c:v>0.66</c:v>
                </c:pt>
                <c:pt idx="27">
                  <c:v>0.64</c:v>
                </c:pt>
                <c:pt idx="28">
                  <c:v>0.44</c:v>
                </c:pt>
                <c:pt idx="29">
                  <c:v>0.52</c:v>
                </c:pt>
                <c:pt idx="30">
                  <c:v>0.82</c:v>
                </c:pt>
                <c:pt idx="31">
                  <c:v>0.84</c:v>
                </c:pt>
                <c:pt idx="32">
                  <c:v>0.71</c:v>
                </c:pt>
                <c:pt idx="33">
                  <c:v>0.89</c:v>
                </c:pt>
                <c:pt idx="34">
                  <c:v>0.47</c:v>
                </c:pt>
                <c:pt idx="35">
                  <c:v>0.47</c:v>
                </c:pt>
                <c:pt idx="36">
                  <c:v>0.83</c:v>
                </c:pt>
                <c:pt idx="37">
                  <c:v>0.86</c:v>
                </c:pt>
                <c:pt idx="38">
                  <c:v>0.68</c:v>
                </c:pt>
                <c:pt idx="39">
                  <c:v>0.71</c:v>
                </c:pt>
                <c:pt idx="40">
                  <c:v>0.47</c:v>
                </c:pt>
                <c:pt idx="41">
                  <c:v>0.52</c:v>
                </c:pt>
                <c:pt idx="42">
                  <c:v>0.85</c:v>
                </c:pt>
                <c:pt idx="43">
                  <c:v>0.85</c:v>
                </c:pt>
                <c:pt idx="44">
                  <c:v>0.62</c:v>
                </c:pt>
                <c:pt idx="45">
                  <c:v>0.67</c:v>
                </c:pt>
                <c:pt idx="46">
                  <c:v>0.47</c:v>
                </c:pt>
                <c:pt idx="47">
                  <c:v>0.54</c:v>
                </c:pt>
                <c:pt idx="48">
                  <c:v>0.88</c:v>
                </c:pt>
                <c:pt idx="49">
                  <c:v>0.9</c:v>
                </c:pt>
                <c:pt idx="50">
                  <c:v>0.78</c:v>
                </c:pt>
                <c:pt idx="51">
                  <c:v>0.88</c:v>
                </c:pt>
                <c:pt idx="52">
                  <c:v>0.51</c:v>
                </c:pt>
                <c:pt idx="5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CA-244D-A465-3B93991D25A0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xsk4gram-hash-at-both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plu-spl:F-mgv:3-sn:1.2k</c:v>
                </c:pt>
                <c:pt idx="1">
                  <c:v>plu-spl:T-mgv:3-sn:1.2k</c:v>
                </c:pt>
                <c:pt idx="2">
                  <c:v>gen-spl:F-mgv:3-sn:1.2k</c:v>
                </c:pt>
                <c:pt idx="3">
                  <c:v>gen-spl:T-mgv:3-sn:1.2k</c:v>
                </c:pt>
                <c:pt idx="4">
                  <c:v>cas-spl:F-mgv:3-sn:1.2k</c:v>
                </c:pt>
                <c:pt idx="5">
                  <c:v>cas-spl:T-mgv:3-sn:1.2k</c:v>
                </c:pt>
                <c:pt idx="6">
                  <c:v>plu-spl:F-mgv:6-sn:1.2k</c:v>
                </c:pt>
                <c:pt idx="7">
                  <c:v>plu-spl:T-mgv:6-sn:1.2k</c:v>
                </c:pt>
                <c:pt idx="8">
                  <c:v>gen-spl:F-mgv:6-sn:1.2k</c:v>
                </c:pt>
                <c:pt idx="9">
                  <c:v>gen-spl:T-mgv:6-sn:1.2k</c:v>
                </c:pt>
                <c:pt idx="10">
                  <c:v>cas-spl:F-mgv:6-sn:1.2k</c:v>
                </c:pt>
                <c:pt idx="11">
                  <c:v>cas-spl:T-mgv:6-sn:1.2k</c:v>
                </c:pt>
                <c:pt idx="12">
                  <c:v>plu-spl:F-mgv:9-sn:1.2k</c:v>
                </c:pt>
                <c:pt idx="13">
                  <c:v>plu-spl:T-mgv:9-sn:1.2k</c:v>
                </c:pt>
                <c:pt idx="14">
                  <c:v>gen-spl:F-mgv:9-sn:1.2k</c:v>
                </c:pt>
                <c:pt idx="15">
                  <c:v>gen-spl:T-mgv:9-sn:1.2k</c:v>
                </c:pt>
                <c:pt idx="16">
                  <c:v>cas-spl:F-mgv:9-sn:1.2k</c:v>
                </c:pt>
                <c:pt idx="17">
                  <c:v>cas-spl:T-mgv:9-sn:1.2k</c:v>
                </c:pt>
                <c:pt idx="18">
                  <c:v>plu-spl:F-mgv:3-sn:2k</c:v>
                </c:pt>
                <c:pt idx="19">
                  <c:v>plu-spl:T-mgv:3-sn:2k</c:v>
                </c:pt>
                <c:pt idx="20">
                  <c:v>gen-spl:F-mgv:3-sn:2k</c:v>
                </c:pt>
                <c:pt idx="21">
                  <c:v>gen-spl:T-mgv:3-sn:2k</c:v>
                </c:pt>
                <c:pt idx="22">
                  <c:v>cas-spl:F-mgv:3-sn:2k</c:v>
                </c:pt>
                <c:pt idx="23">
                  <c:v>cas-spl:T-mgv:3-sn:2k</c:v>
                </c:pt>
                <c:pt idx="24">
                  <c:v>plu-spl:F-mgv:6-sn:2k</c:v>
                </c:pt>
                <c:pt idx="25">
                  <c:v>plu-spl:T-mgv:6-sn:2k</c:v>
                </c:pt>
                <c:pt idx="26">
                  <c:v>gen-spl:F-mgv:6-sn:2k</c:v>
                </c:pt>
                <c:pt idx="27">
                  <c:v>gen-spl:T-mgv:6-sn:2k</c:v>
                </c:pt>
                <c:pt idx="28">
                  <c:v>cas-spl:F-mgv:6-sn:2k</c:v>
                </c:pt>
                <c:pt idx="29">
                  <c:v>cas-spl:T-mgv:6-sn:2k</c:v>
                </c:pt>
                <c:pt idx="30">
                  <c:v>plu-spl:F-mgv:9-sn:2k</c:v>
                </c:pt>
                <c:pt idx="31">
                  <c:v>plu-spl:T-mgv:9-sn:2k</c:v>
                </c:pt>
                <c:pt idx="32">
                  <c:v>gen-spl:F-mgv:9-sn:2k</c:v>
                </c:pt>
                <c:pt idx="33">
                  <c:v>gen-spl:T-mgv:9-sn:2k</c:v>
                </c:pt>
                <c:pt idx="34">
                  <c:v>cas-spl:F-mgv:9-sn:2k</c:v>
                </c:pt>
                <c:pt idx="35">
                  <c:v>cas-spl:T-mgv:9-sn:2k</c:v>
                </c:pt>
                <c:pt idx="36">
                  <c:v>plu-spl:F-mgv:3-sn:3k</c:v>
                </c:pt>
                <c:pt idx="37">
                  <c:v>plu-spl:T-mgv:3-sn:3k</c:v>
                </c:pt>
                <c:pt idx="38">
                  <c:v>gen-spl:F-mgv:3-sn:3k</c:v>
                </c:pt>
                <c:pt idx="39">
                  <c:v>gen-spl:T-mgv:3-sn:3k</c:v>
                </c:pt>
                <c:pt idx="40">
                  <c:v>cas-spl:F-mgv:3-sn:3k</c:v>
                </c:pt>
                <c:pt idx="41">
                  <c:v>cas-spl:T-mgv:3-sn:3k</c:v>
                </c:pt>
                <c:pt idx="42">
                  <c:v>plu-spl:F-mgv:6-sn:3k</c:v>
                </c:pt>
                <c:pt idx="43">
                  <c:v>plu-spl:T-mgv:6-sn:3k</c:v>
                </c:pt>
                <c:pt idx="44">
                  <c:v>gen-spl:F-mgv:6-sn:3k</c:v>
                </c:pt>
                <c:pt idx="45">
                  <c:v>gen-spl:T-mgv:6-sn:3k</c:v>
                </c:pt>
                <c:pt idx="46">
                  <c:v>cas-spl:F-mgv:6-sn:3k</c:v>
                </c:pt>
                <c:pt idx="47">
                  <c:v>cas-spl:T-mgv:6-sn:3k</c:v>
                </c:pt>
                <c:pt idx="48">
                  <c:v>plu-spl:F-mgv:9-sn:3k</c:v>
                </c:pt>
                <c:pt idx="49">
                  <c:v>plu-spl:T-mgv:9-sn:3k</c:v>
                </c:pt>
                <c:pt idx="50">
                  <c:v>gen-spl:F-mgv:9-sn:3k</c:v>
                </c:pt>
                <c:pt idx="51">
                  <c:v>gen-spl:T-mgv:9-sn:3k</c:v>
                </c:pt>
                <c:pt idx="52">
                  <c:v>cas-spl:F-mgv:9-sn:3k</c:v>
                </c:pt>
                <c:pt idx="53">
                  <c:v>cas-spl:T-mgv:9-sn:3k</c:v>
                </c:pt>
              </c:strCache>
            </c:strRef>
          </c:cat>
          <c:val>
            <c:numRef>
              <c:f>summarized!$U$2:$U$55</c:f>
              <c:numCache>
                <c:formatCode>0.00</c:formatCode>
                <c:ptCount val="54"/>
                <c:pt idx="0">
                  <c:v>0.85</c:v>
                </c:pt>
                <c:pt idx="1">
                  <c:v>0.87</c:v>
                </c:pt>
                <c:pt idx="2">
                  <c:v>0.7</c:v>
                </c:pt>
                <c:pt idx="3">
                  <c:v>0.62</c:v>
                </c:pt>
                <c:pt idx="4">
                  <c:v>0.42</c:v>
                </c:pt>
                <c:pt idx="5">
                  <c:v>0.51</c:v>
                </c:pt>
                <c:pt idx="6">
                  <c:v>0.77</c:v>
                </c:pt>
                <c:pt idx="7">
                  <c:v>0.79</c:v>
                </c:pt>
                <c:pt idx="8">
                  <c:v>0.56999999999999995</c:v>
                </c:pt>
                <c:pt idx="9">
                  <c:v>0.55000000000000004</c:v>
                </c:pt>
                <c:pt idx="10">
                  <c:v>0.34</c:v>
                </c:pt>
                <c:pt idx="11">
                  <c:v>0.44</c:v>
                </c:pt>
                <c:pt idx="12">
                  <c:v>0.8</c:v>
                </c:pt>
                <c:pt idx="13">
                  <c:v>0.85</c:v>
                </c:pt>
                <c:pt idx="14">
                  <c:v>0.64</c:v>
                </c:pt>
                <c:pt idx="15">
                  <c:v>0.65</c:v>
                </c:pt>
                <c:pt idx="16">
                  <c:v>0.46</c:v>
                </c:pt>
                <c:pt idx="17">
                  <c:v>0.53</c:v>
                </c:pt>
                <c:pt idx="18">
                  <c:v>0.81</c:v>
                </c:pt>
                <c:pt idx="19">
                  <c:v>0.81</c:v>
                </c:pt>
                <c:pt idx="20">
                  <c:v>0.65</c:v>
                </c:pt>
                <c:pt idx="21">
                  <c:v>0.65</c:v>
                </c:pt>
                <c:pt idx="22">
                  <c:v>0.48</c:v>
                </c:pt>
                <c:pt idx="23">
                  <c:v>0.52</c:v>
                </c:pt>
                <c:pt idx="24">
                  <c:v>0.81</c:v>
                </c:pt>
                <c:pt idx="25">
                  <c:v>0.84</c:v>
                </c:pt>
                <c:pt idx="26">
                  <c:v>0.56999999999999995</c:v>
                </c:pt>
                <c:pt idx="27">
                  <c:v>0.62</c:v>
                </c:pt>
                <c:pt idx="28">
                  <c:v>0.45</c:v>
                </c:pt>
                <c:pt idx="29">
                  <c:v>0.53</c:v>
                </c:pt>
                <c:pt idx="30">
                  <c:v>0.87</c:v>
                </c:pt>
                <c:pt idx="31">
                  <c:v>0.89</c:v>
                </c:pt>
                <c:pt idx="32">
                  <c:v>0.71</c:v>
                </c:pt>
                <c:pt idx="33">
                  <c:v>0.86</c:v>
                </c:pt>
                <c:pt idx="34">
                  <c:v>0.45</c:v>
                </c:pt>
                <c:pt idx="35">
                  <c:v>0.46</c:v>
                </c:pt>
                <c:pt idx="36">
                  <c:v>0.82</c:v>
                </c:pt>
                <c:pt idx="37">
                  <c:v>0.86</c:v>
                </c:pt>
                <c:pt idx="38">
                  <c:v>0.69</c:v>
                </c:pt>
                <c:pt idx="39">
                  <c:v>0.68</c:v>
                </c:pt>
                <c:pt idx="40">
                  <c:v>0.46</c:v>
                </c:pt>
                <c:pt idx="41">
                  <c:v>0.54</c:v>
                </c:pt>
                <c:pt idx="42">
                  <c:v>0.83</c:v>
                </c:pt>
                <c:pt idx="43">
                  <c:v>0.86</c:v>
                </c:pt>
                <c:pt idx="44">
                  <c:v>0.73</c:v>
                </c:pt>
                <c:pt idx="45">
                  <c:v>0.7</c:v>
                </c:pt>
                <c:pt idx="46">
                  <c:v>0.43</c:v>
                </c:pt>
                <c:pt idx="47">
                  <c:v>0.53</c:v>
                </c:pt>
                <c:pt idx="48">
                  <c:v>0.83</c:v>
                </c:pt>
                <c:pt idx="49">
                  <c:v>0.87</c:v>
                </c:pt>
                <c:pt idx="50">
                  <c:v>0.75</c:v>
                </c:pt>
                <c:pt idx="51">
                  <c:v>0.84</c:v>
                </c:pt>
                <c:pt idx="52">
                  <c:v>0.45</c:v>
                </c:pt>
                <c:pt idx="5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CA-244D-A465-3B93991D2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258176"/>
        <c:axId val="1177996784"/>
      </c:lineChart>
      <c:catAx>
        <c:axId val="134725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77996784"/>
        <c:crosses val="autoZero"/>
        <c:auto val="1"/>
        <c:lblAlgn val="ctr"/>
        <c:lblOffset val="100"/>
        <c:noMultiLvlLbl val="0"/>
      </c:catAx>
      <c:valAx>
        <c:axId val="11779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4725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sample</a:t>
            </a:r>
            <a:r>
              <a:rPr lang="ja-JP" altLang="en-US" baseline="0"/>
              <a:t> </a:t>
            </a:r>
            <a:r>
              <a:rPr lang="en-US" altLang="ja-JP" baseline="0"/>
              <a:t>3k,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'3k-xsk-mgv9'!$G$23</c:f>
              <c:strCache>
                <c:ptCount val="1"/>
                <c:pt idx="0">
                  <c:v>plurality-T-3k-mgv3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'3k-xsk-mgv9'!$H$23:$S$23</c:f>
              <c:numCache>
                <c:formatCode>0.00</c:formatCode>
                <c:ptCount val="12"/>
                <c:pt idx="0">
                  <c:v>0.93</c:v>
                </c:pt>
                <c:pt idx="1">
                  <c:v>0.89</c:v>
                </c:pt>
                <c:pt idx="2">
                  <c:v>0.88</c:v>
                </c:pt>
                <c:pt idx="3">
                  <c:v>0.89</c:v>
                </c:pt>
                <c:pt idx="4">
                  <c:v>0.87</c:v>
                </c:pt>
                <c:pt idx="5">
                  <c:v>0.89</c:v>
                </c:pt>
                <c:pt idx="6">
                  <c:v>0.91</c:v>
                </c:pt>
                <c:pt idx="7">
                  <c:v>0.88</c:v>
                </c:pt>
                <c:pt idx="8">
                  <c:v>0.84</c:v>
                </c:pt>
                <c:pt idx="9">
                  <c:v>0.89</c:v>
                </c:pt>
                <c:pt idx="10">
                  <c:v>0.9</c:v>
                </c:pt>
                <c:pt idx="1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4-5B4A-9F12-CF20B181933E}"/>
            </c:ext>
          </c:extLst>
        </c:ser>
        <c:ser>
          <c:idx val="1"/>
          <c:order val="1"/>
          <c:tx>
            <c:strRef>
              <c:f>'3k-xsk-mgv9'!$G$24</c:f>
              <c:strCache>
                <c:ptCount val="1"/>
                <c:pt idx="0">
                  <c:v>plurality-F-3k-mgv3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'3k-xsk-mgv9'!$H$24:$S$24</c:f>
              <c:numCache>
                <c:formatCode>0.00</c:formatCode>
                <c:ptCount val="12"/>
                <c:pt idx="0">
                  <c:v>0.83</c:v>
                </c:pt>
                <c:pt idx="1">
                  <c:v>0.87</c:v>
                </c:pt>
                <c:pt idx="2">
                  <c:v>0.82</c:v>
                </c:pt>
                <c:pt idx="3">
                  <c:v>0.83</c:v>
                </c:pt>
                <c:pt idx="4">
                  <c:v>0.87</c:v>
                </c:pt>
                <c:pt idx="5">
                  <c:v>0.86</c:v>
                </c:pt>
                <c:pt idx="6">
                  <c:v>0.86</c:v>
                </c:pt>
                <c:pt idx="7">
                  <c:v>0.84</c:v>
                </c:pt>
                <c:pt idx="8">
                  <c:v>0.79</c:v>
                </c:pt>
                <c:pt idx="9">
                  <c:v>0.85</c:v>
                </c:pt>
                <c:pt idx="10">
                  <c:v>0.88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4-5B4A-9F12-CF20B181933E}"/>
            </c:ext>
          </c:extLst>
        </c:ser>
        <c:ser>
          <c:idx val="2"/>
          <c:order val="2"/>
          <c:tx>
            <c:strRef>
              <c:f>'3k-xsk-mgv9'!$G$25</c:f>
              <c:strCache>
                <c:ptCount val="1"/>
                <c:pt idx="0">
                  <c:v>gender-T-3k-mgv3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'3k-xsk-mgv9'!$H$25:$S$25</c:f>
              <c:numCache>
                <c:formatCode>0.00</c:formatCode>
                <c:ptCount val="12"/>
                <c:pt idx="0">
                  <c:v>0.93</c:v>
                </c:pt>
                <c:pt idx="1">
                  <c:v>0.94</c:v>
                </c:pt>
                <c:pt idx="2">
                  <c:v>0.94</c:v>
                </c:pt>
                <c:pt idx="3">
                  <c:v>0.91</c:v>
                </c:pt>
                <c:pt idx="4">
                  <c:v>0.89</c:v>
                </c:pt>
                <c:pt idx="5">
                  <c:v>0.9</c:v>
                </c:pt>
                <c:pt idx="6">
                  <c:v>0.94</c:v>
                </c:pt>
                <c:pt idx="7">
                  <c:v>0.96</c:v>
                </c:pt>
                <c:pt idx="8">
                  <c:v>0.96</c:v>
                </c:pt>
                <c:pt idx="9">
                  <c:v>0.91</c:v>
                </c:pt>
                <c:pt idx="10">
                  <c:v>0.88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24-5B4A-9F12-CF20B181933E}"/>
            </c:ext>
          </c:extLst>
        </c:ser>
        <c:ser>
          <c:idx val="3"/>
          <c:order val="3"/>
          <c:tx>
            <c:strRef>
              <c:f>'3k-xsk-mgv9'!$G$26</c:f>
              <c:strCache>
                <c:ptCount val="1"/>
                <c:pt idx="0">
                  <c:v>gender-F-3k-mgv3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'3k-xsk-mgv9'!$H$26:$S$26</c:f>
              <c:numCache>
                <c:formatCode>0.00</c:formatCode>
                <c:ptCount val="12"/>
                <c:pt idx="0">
                  <c:v>0.77</c:v>
                </c:pt>
                <c:pt idx="1">
                  <c:v>0.75</c:v>
                </c:pt>
                <c:pt idx="2">
                  <c:v>0.72</c:v>
                </c:pt>
                <c:pt idx="3">
                  <c:v>0.71</c:v>
                </c:pt>
                <c:pt idx="4">
                  <c:v>0.77</c:v>
                </c:pt>
                <c:pt idx="5">
                  <c:v>0.77</c:v>
                </c:pt>
                <c:pt idx="6">
                  <c:v>0.73</c:v>
                </c:pt>
                <c:pt idx="7">
                  <c:v>0.78</c:v>
                </c:pt>
                <c:pt idx="8">
                  <c:v>0.75</c:v>
                </c:pt>
                <c:pt idx="9">
                  <c:v>0.75</c:v>
                </c:pt>
                <c:pt idx="10">
                  <c:v>0.78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24-5B4A-9F12-CF20B181933E}"/>
            </c:ext>
          </c:extLst>
        </c:ser>
        <c:ser>
          <c:idx val="4"/>
          <c:order val="4"/>
          <c:tx>
            <c:strRef>
              <c:f>'3k-xsk-mgv9'!$G$27</c:f>
              <c:strCache>
                <c:ptCount val="1"/>
                <c:pt idx="0">
                  <c:v>case-T-3k-mgv3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'3k-xsk-mgv9'!$H$27:$S$27</c:f>
              <c:numCache>
                <c:formatCode>0.00</c:formatCode>
                <c:ptCount val="12"/>
                <c:pt idx="0">
                  <c:v>0.52</c:v>
                </c:pt>
                <c:pt idx="1">
                  <c:v>0.56000000000000005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0.52</c:v>
                </c:pt>
                <c:pt idx="5">
                  <c:v>0.49</c:v>
                </c:pt>
                <c:pt idx="6">
                  <c:v>0.61</c:v>
                </c:pt>
                <c:pt idx="7">
                  <c:v>0.51</c:v>
                </c:pt>
                <c:pt idx="8">
                  <c:v>0.56999999999999995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24-5B4A-9F12-CF20B181933E}"/>
            </c:ext>
          </c:extLst>
        </c:ser>
        <c:ser>
          <c:idx val="5"/>
          <c:order val="5"/>
          <c:tx>
            <c:strRef>
              <c:f>'3k-xsk-mgv9'!$G$28</c:f>
              <c:strCache>
                <c:ptCount val="1"/>
                <c:pt idx="0">
                  <c:v>case-F-3k-mgv3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'3k-xsk-mgv9'!$H$28:$S$28</c:f>
              <c:numCache>
                <c:formatCode>0.00</c:formatCode>
                <c:ptCount val="12"/>
                <c:pt idx="0">
                  <c:v>0.42</c:v>
                </c:pt>
                <c:pt idx="1">
                  <c:v>0.47</c:v>
                </c:pt>
                <c:pt idx="2">
                  <c:v>0.42</c:v>
                </c:pt>
                <c:pt idx="3">
                  <c:v>0.46</c:v>
                </c:pt>
                <c:pt idx="4">
                  <c:v>0.43</c:v>
                </c:pt>
                <c:pt idx="5">
                  <c:v>0.48</c:v>
                </c:pt>
                <c:pt idx="6">
                  <c:v>0.48</c:v>
                </c:pt>
                <c:pt idx="7">
                  <c:v>0.43</c:v>
                </c:pt>
                <c:pt idx="8">
                  <c:v>0.46</c:v>
                </c:pt>
                <c:pt idx="9">
                  <c:v>0.46</c:v>
                </c:pt>
                <c:pt idx="10">
                  <c:v>0.51</c:v>
                </c:pt>
                <c:pt idx="11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24-5B4A-9F12-CF20B181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421872"/>
        <c:axId val="1143445440"/>
      </c:lineChart>
      <c:catAx>
        <c:axId val="12144218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43445440"/>
        <c:crosses val="autoZero"/>
        <c:auto val="1"/>
        <c:lblAlgn val="ctr"/>
        <c:lblOffset val="100"/>
        <c:noMultiLvlLbl val="0"/>
      </c:catAx>
      <c:valAx>
        <c:axId val="11434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14421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sample</a:t>
            </a:r>
            <a:r>
              <a:rPr lang="ja-JP" altLang="en-US"/>
              <a:t> </a:t>
            </a:r>
            <a:r>
              <a:rPr lang="en-US" altLang="ja-JP"/>
              <a:t>3k,</a:t>
            </a:r>
            <a:r>
              <a:rPr lang="ja-JP" altLang="en-US"/>
              <a:t> </a:t>
            </a:r>
            <a:r>
              <a:rPr lang="en-US" altLang="ja-JP"/>
              <a:t>mgv</a:t>
            </a:r>
            <a:r>
              <a:rPr lang="ja-JP" altLang="en-US"/>
              <a:t> </a:t>
            </a:r>
            <a:r>
              <a:rPr lang="en-US" altLang="ja-JP"/>
              <a:t>=</a:t>
            </a:r>
            <a:r>
              <a:rPr lang="ja-JP" altLang="en-US"/>
              <a:t> </a:t>
            </a:r>
            <a:r>
              <a:rPr lang="en-US" altLang="ja-JP"/>
              <a:t>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'3k-xsk-mgv3'!$G$23</c:f>
              <c:strCache>
                <c:ptCount val="1"/>
                <c:pt idx="0">
                  <c:v>plurality-F-3k-mgv3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'3k-xsk-mgv3'!$H$23:$S$23</c:f>
              <c:numCache>
                <c:formatCode>0.00</c:formatCode>
                <c:ptCount val="12"/>
                <c:pt idx="0">
                  <c:v>0.84</c:v>
                </c:pt>
                <c:pt idx="1">
                  <c:v>0.82</c:v>
                </c:pt>
                <c:pt idx="2">
                  <c:v>0.82</c:v>
                </c:pt>
                <c:pt idx="3">
                  <c:v>0.87</c:v>
                </c:pt>
                <c:pt idx="4">
                  <c:v>0.85</c:v>
                </c:pt>
                <c:pt idx="5">
                  <c:v>0.79</c:v>
                </c:pt>
                <c:pt idx="6">
                  <c:v>0.81</c:v>
                </c:pt>
                <c:pt idx="7">
                  <c:v>0.85</c:v>
                </c:pt>
                <c:pt idx="8">
                  <c:v>0.81</c:v>
                </c:pt>
                <c:pt idx="9">
                  <c:v>0.83</c:v>
                </c:pt>
                <c:pt idx="10">
                  <c:v>0.83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7-7E4D-BEFF-E051C7F26AEB}"/>
            </c:ext>
          </c:extLst>
        </c:ser>
        <c:ser>
          <c:idx val="1"/>
          <c:order val="1"/>
          <c:tx>
            <c:strRef>
              <c:f>'3k-xsk-mgv3'!$G$24</c:f>
              <c:strCache>
                <c:ptCount val="1"/>
                <c:pt idx="0">
                  <c:v>plurality-T-3k-mgv3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'3k-xsk-mgv3'!$H$24:$S$24</c:f>
              <c:numCache>
                <c:formatCode>0.00</c:formatCode>
                <c:ptCount val="12"/>
                <c:pt idx="0">
                  <c:v>0.89</c:v>
                </c:pt>
                <c:pt idx="1">
                  <c:v>0.87</c:v>
                </c:pt>
                <c:pt idx="2">
                  <c:v>0.87</c:v>
                </c:pt>
                <c:pt idx="3">
                  <c:v>0.89</c:v>
                </c:pt>
                <c:pt idx="4">
                  <c:v>0.87</c:v>
                </c:pt>
                <c:pt idx="5">
                  <c:v>0.83</c:v>
                </c:pt>
                <c:pt idx="6">
                  <c:v>0.89</c:v>
                </c:pt>
                <c:pt idx="7">
                  <c:v>0.89</c:v>
                </c:pt>
                <c:pt idx="8">
                  <c:v>0.87</c:v>
                </c:pt>
                <c:pt idx="9">
                  <c:v>0.88</c:v>
                </c:pt>
                <c:pt idx="10">
                  <c:v>0.86</c:v>
                </c:pt>
                <c:pt idx="11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7-7E4D-BEFF-E051C7F26AEB}"/>
            </c:ext>
          </c:extLst>
        </c:ser>
        <c:ser>
          <c:idx val="2"/>
          <c:order val="2"/>
          <c:tx>
            <c:strRef>
              <c:f>'3k-xsk-mgv3'!$G$25</c:f>
              <c:strCache>
                <c:ptCount val="1"/>
                <c:pt idx="0">
                  <c:v>gender-F-3k-mgv3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'3k-xsk-mgv3'!$H$25:$S$25</c:f>
              <c:numCache>
                <c:formatCode>0.00</c:formatCode>
                <c:ptCount val="12"/>
                <c:pt idx="0">
                  <c:v>0.61</c:v>
                </c:pt>
                <c:pt idx="1">
                  <c:v>0.69</c:v>
                </c:pt>
                <c:pt idx="2">
                  <c:v>0.69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0.68</c:v>
                </c:pt>
                <c:pt idx="8">
                  <c:v>0.7</c:v>
                </c:pt>
                <c:pt idx="9">
                  <c:v>0.7</c:v>
                </c:pt>
                <c:pt idx="10">
                  <c:v>0.68</c:v>
                </c:pt>
                <c:pt idx="11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7-7E4D-BEFF-E051C7F26AEB}"/>
            </c:ext>
          </c:extLst>
        </c:ser>
        <c:ser>
          <c:idx val="3"/>
          <c:order val="3"/>
          <c:tx>
            <c:strRef>
              <c:f>'3k-xsk-mgv3'!$G$26</c:f>
              <c:strCache>
                <c:ptCount val="1"/>
                <c:pt idx="0">
                  <c:v>gender-T-3k-mgv3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'3k-xsk-mgv3'!$H$26:$S$26</c:f>
              <c:numCache>
                <c:formatCode>0.00</c:formatCode>
                <c:ptCount val="12"/>
                <c:pt idx="0">
                  <c:v>0.66</c:v>
                </c:pt>
                <c:pt idx="1">
                  <c:v>0.67</c:v>
                </c:pt>
                <c:pt idx="2">
                  <c:v>0.73</c:v>
                </c:pt>
                <c:pt idx="3">
                  <c:v>0.72</c:v>
                </c:pt>
                <c:pt idx="4">
                  <c:v>0.72</c:v>
                </c:pt>
                <c:pt idx="5">
                  <c:v>0.65</c:v>
                </c:pt>
                <c:pt idx="6">
                  <c:v>0.71</c:v>
                </c:pt>
                <c:pt idx="7">
                  <c:v>0.69</c:v>
                </c:pt>
                <c:pt idx="8">
                  <c:v>0.71</c:v>
                </c:pt>
                <c:pt idx="9">
                  <c:v>0.66</c:v>
                </c:pt>
                <c:pt idx="10">
                  <c:v>0.71</c:v>
                </c:pt>
                <c:pt idx="1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87-7E4D-BEFF-E051C7F26AEB}"/>
            </c:ext>
          </c:extLst>
        </c:ser>
        <c:ser>
          <c:idx val="4"/>
          <c:order val="4"/>
          <c:tx>
            <c:strRef>
              <c:f>'3k-xsk-mgv3'!$G$27</c:f>
              <c:strCache>
                <c:ptCount val="1"/>
                <c:pt idx="0">
                  <c:v>case-F-3k-mgv3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'3k-xsk-mgv3'!$H$27:$S$27</c:f>
              <c:numCache>
                <c:formatCode>0.00</c:formatCode>
                <c:ptCount val="12"/>
                <c:pt idx="0">
                  <c:v>0.48</c:v>
                </c:pt>
                <c:pt idx="1">
                  <c:v>0.47</c:v>
                </c:pt>
                <c:pt idx="2">
                  <c:v>0.44</c:v>
                </c:pt>
                <c:pt idx="3">
                  <c:v>0.39</c:v>
                </c:pt>
                <c:pt idx="4">
                  <c:v>0.48</c:v>
                </c:pt>
                <c:pt idx="5">
                  <c:v>0.44</c:v>
                </c:pt>
                <c:pt idx="6">
                  <c:v>0.39</c:v>
                </c:pt>
                <c:pt idx="7">
                  <c:v>0.48</c:v>
                </c:pt>
                <c:pt idx="8">
                  <c:v>0.43</c:v>
                </c:pt>
                <c:pt idx="9">
                  <c:v>0.41</c:v>
                </c:pt>
                <c:pt idx="10">
                  <c:v>0.47</c:v>
                </c:pt>
                <c:pt idx="11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7-7E4D-BEFF-E051C7F26AEB}"/>
            </c:ext>
          </c:extLst>
        </c:ser>
        <c:ser>
          <c:idx val="5"/>
          <c:order val="5"/>
          <c:tx>
            <c:strRef>
              <c:f>'3k-xsk-mgv3'!$G$28</c:f>
              <c:strCache>
                <c:ptCount val="1"/>
                <c:pt idx="0">
                  <c:v>case-T-3k-mgv3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'3k-xsk-mgv3'!$H$28:$S$28</c:f>
              <c:numCache>
                <c:formatCode>0.00</c:formatCode>
                <c:ptCount val="12"/>
                <c:pt idx="0">
                  <c:v>0.56999999999999995</c:v>
                </c:pt>
                <c:pt idx="1">
                  <c:v>0.55000000000000004</c:v>
                </c:pt>
                <c:pt idx="2">
                  <c:v>0.51</c:v>
                </c:pt>
                <c:pt idx="3">
                  <c:v>0.46</c:v>
                </c:pt>
                <c:pt idx="4">
                  <c:v>0.54</c:v>
                </c:pt>
                <c:pt idx="5">
                  <c:v>0.5</c:v>
                </c:pt>
                <c:pt idx="6">
                  <c:v>0.56000000000000005</c:v>
                </c:pt>
                <c:pt idx="7">
                  <c:v>0.61</c:v>
                </c:pt>
                <c:pt idx="8">
                  <c:v>0.56000000000000005</c:v>
                </c:pt>
                <c:pt idx="9">
                  <c:v>0.51</c:v>
                </c:pt>
                <c:pt idx="10">
                  <c:v>0.52</c:v>
                </c:pt>
                <c:pt idx="11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87-7E4D-BEFF-E051C7F2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449615"/>
        <c:axId val="471451327"/>
      </c:lineChart>
      <c:catAx>
        <c:axId val="47144961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71451327"/>
        <c:crosses val="autoZero"/>
        <c:auto val="1"/>
        <c:lblAlgn val="ctr"/>
        <c:lblOffset val="100"/>
        <c:noMultiLvlLbl val="0"/>
      </c:catAx>
      <c:valAx>
        <c:axId val="47145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71449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571500</xdr:colOff>
      <xdr:row>0</xdr:row>
      <xdr:rowOff>292100</xdr:rowOff>
    </xdr:from>
    <xdr:to>
      <xdr:col>28</xdr:col>
      <xdr:colOff>933500</xdr:colOff>
      <xdr:row>16</xdr:row>
      <xdr:rowOff>252100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E6C22-D436-997B-2E1C-4B1276ABD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762000</xdr:colOff>
      <xdr:row>20</xdr:row>
      <xdr:rowOff>101597</xdr:rowOff>
    </xdr:from>
    <xdr:to>
      <xdr:col>25</xdr:col>
      <xdr:colOff>764500</xdr:colOff>
      <xdr:row>33</xdr:row>
      <xdr:rowOff>294097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C4035-9EF6-4CF9-CB9C-DED7CFFBD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927100</xdr:colOff>
      <xdr:row>18</xdr:row>
      <xdr:rowOff>82548</xdr:rowOff>
    </xdr:from>
    <xdr:to>
      <xdr:col>26</xdr:col>
      <xdr:colOff>929600</xdr:colOff>
      <xdr:row>30</xdr:row>
      <xdr:rowOff>287748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74D2A2-3E31-6D7B-7BDE-45C37EF10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C6FC30-DD12-184C-9692-046A82D6D683}" name="Table21" displayName="Table21" ref="A1:X55" totalsRowShown="0">
  <autoFilter ref="A1:X55" xr:uid="{6AC6FC30-DD12-184C-9692-046A82D6D683}"/>
  <sortState xmlns:xlrd2="http://schemas.microsoft.com/office/spreadsheetml/2017/richdata2" ref="A2:V55">
    <sortCondition ref="B1:B55"/>
  </sortState>
  <tableColumns count="24">
    <tableColumn id="1" xr3:uid="{7A3188C4-0D27-8043-A6A4-131A22E0B156}" name="skippiness"/>
    <tableColumn id="2" xr3:uid="{0A9CC467-D7A4-D246-AE67-EED73A0F1D21}" name="sample.n"/>
    <tableColumn id="3" xr3:uid="{459AFE9F-3E77-654F-A830-99A280E00B27}" name="mgv"/>
    <tableColumn id="4" xr3:uid="{75BFCBC2-C6A1-8249-8823-1C2543D20D68}" name="attribute.index"/>
    <tableColumn id="5" xr3:uid="{2FA8B65E-4184-5046-B406-15A355F74FBE}" name="attribute"/>
    <tableColumn id="6" xr3:uid="{8899AEC1-421F-574B-A588-F2436DAC6465}" name="supplemented"/>
    <tableColumn id="7" xr3:uid="{CCC1B8A9-23F2-AF4D-B06E-5B6B19CC57BD}" name="method.index"/>
    <tableColumn id="8" xr3:uid="{919F257E-63F2-DD44-BADA-2872AAFC4329}" name="metric"/>
    <tableColumn id="22" xr3:uid="{49FB8C35-82E0-7944-B205-B85A539D3FE5}" name="var" dataDxfId="308">
      <calculatedColumnFormula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calculatedColumnFormula>
    </tableColumn>
    <tableColumn id="9" xr3:uid="{A41D810B-E765-1C41-94F3-C7CC2F655231}" name="2gram-no-hash" dataDxfId="307"/>
    <tableColumn id="10" xr3:uid="{10CC39EA-6511-3A4E-8D15-B7A070F7D644}" name="3gram-no-hash" dataDxfId="306"/>
    <tableColumn id="11" xr3:uid="{4ADD6036-5D3B-5447-9C6B-66D668245424}" name="4gram-no-hash" dataDxfId="305"/>
    <tableColumn id="12" xr3:uid="{5C65AB07-58F5-1E4E-A7B0-070F0A685B53}" name="xsk2gram-no-hash" dataDxfId="304"/>
    <tableColumn id="13" xr3:uid="{26A285E5-E965-F941-95A6-B2C7129E04AE}" name="xsk3gram-no-hash" dataDxfId="303"/>
    <tableColumn id="14" xr3:uid="{82FBC195-0BD7-7549-829A-12B264EADE11}" name="xsk4gram-no-hash" dataDxfId="302"/>
    <tableColumn id="15" xr3:uid="{9EF0391B-206F-E741-B6AD-579F6930B2FA}" name="2gram-hash-at-both" dataDxfId="301"/>
    <tableColumn id="16" xr3:uid="{91579578-9A15-0A4E-827B-689461210ADE}" name="3gram-hash-at-both" dataDxfId="300"/>
    <tableColumn id="17" xr3:uid="{EAF50AEA-C73A-3041-8C4E-8616F6A0C8EA}" name="4gram-hash-at-both" dataDxfId="299"/>
    <tableColumn id="18" xr3:uid="{95AC514E-8DAC-AE40-B8D0-006F532C4109}" name="xsk2gram-hash-at-both" dataDxfId="298"/>
    <tableColumn id="19" xr3:uid="{C6F7A69A-AEDE-C244-A495-62CFE0DA61A1}" name="xsk3gram-hash-at-both" dataDxfId="297"/>
    <tableColumn id="20" xr3:uid="{2629EC10-B05E-B149-91B4-5ED294931164}" name="xsk4gram-hash-at-both" dataDxfId="296"/>
    <tableColumn id="21" xr3:uid="{C180BD0D-E5A8-544B-A39A-6705D6ED5635}" name="max" dataDxfId="295"/>
    <tableColumn id="23" xr3:uid="{8C0C84DD-1809-2443-9AC6-A8CF8CFAA68F}" name="geomean" dataDxfId="294">
      <calculatedColumnFormula>_xlfn.LET(_xlpm.d,$J2:$U2,GEOMEAN(_xlpm.d))</calculatedColumnFormula>
    </tableColumn>
    <tableColumn id="24" xr3:uid="{9970CA92-5361-714C-AAA1-10267C69B74F}" name="rank" dataDxfId="293">
      <calculatedColumnFormula>_xlfn.LET(_xlpm.x,W2,_xlpm.r,W$2:W$55,RANK(_xlpm.x,_xlpm.r))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C35788F-4A37-B247-B258-FCC81A1AF080}" name="Table823" displayName="Table823" ref="U58:X67" totalsRowShown="0">
  <autoFilter ref="U58:X67" xr:uid="{6C35788F-4A37-B247-B258-FCC81A1AF080}"/>
  <sortState xmlns:xlrd2="http://schemas.microsoft.com/office/spreadsheetml/2017/richdata2" ref="U59:X67">
    <sortCondition ref="X58:X67"/>
  </sortState>
  <tableColumns count="4">
    <tableColumn id="1" xr3:uid="{7A740713-787F-9F43-BD5E-8BDE096EC443}" name="sample.n"/>
    <tableColumn id="2" xr3:uid="{234E9F82-7ED6-B844-BAA9-F80681204B5F}" name="mgv"/>
    <tableColumn id="3" xr3:uid="{026A11FD-B607-F040-9665-39DDA1F28934}" name="supplemented"/>
    <tableColumn id="4" xr3:uid="{C74D9800-3DBD-0F4A-ACF0-7349FC728DB9}" name="rank.average" dataDxfId="292">
      <calculatedColumnFormula array="1">_xlfn.LET(_xlpm.d,X$2:X$55,_xlpm.a,$B$2:$B$55=$U59,_xlpm.b,$C$2:$C$55=$V59,_xlpm.c,$F$2:$F$55=$W59,GEOMEAN(_xlfn._xlws.FILTER(_xlpm.d,_xlpm.a*_xlpm.b)))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B6D236-0F45-AB48-BBFB-D3997084EDD7}" name="Table23" displayName="Table23" ref="U70:X79" totalsRowShown="0">
  <autoFilter ref="U70:X79" xr:uid="{0CB6D236-0F45-AB48-BBFB-D3997084EDD7}"/>
  <sortState xmlns:xlrd2="http://schemas.microsoft.com/office/spreadsheetml/2017/richdata2" ref="U71:X79">
    <sortCondition ref="V70:V79"/>
  </sortState>
  <tableColumns count="4">
    <tableColumn id="1" xr3:uid="{BCFC5217-1607-0142-927B-1BFC1B1FE612}" name="sample.n"/>
    <tableColumn id="2" xr3:uid="{8F856572-FDC5-274F-9D08-7A3A27DE4D71}" name="mgv"/>
    <tableColumn id="3" xr3:uid="{49D76353-63F6-C94B-B910-B391ACCA0532}" name="attribute"/>
    <tableColumn id="4" xr3:uid="{1AF40B17-D601-574C-852A-770F328A6F4D}" name="rank.average" dataDxfId="291">
      <calculatedColumnFormula array="1">_xlfn.LET(_xlpm.d,X$2:X$55,_xlpm.a,$B$2:$B$55=$U71,_xlpm.b,$C$2:$C$55=$V71,_xlpm.c,$E$2:$E$55=$W71,GEOMEAN(_xlfn._xlws.FILTER(_xlpm.d,_xlpm.a*_xlpm.b)))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61D72B1-E3BB-C649-874D-CDA93E6365D9}" name="Table24" displayName="Table24" ref="U82:X91" totalsRowShown="0">
  <autoFilter ref="U82:X91" xr:uid="{161D72B1-E3BB-C649-874D-CDA93E6365D9}"/>
  <tableColumns count="4">
    <tableColumn id="1" xr3:uid="{F7E21166-C36A-8A43-A229-6E573EF5B42A}" name="sample.n"/>
    <tableColumn id="2" xr3:uid="{67D9B4E0-9398-D143-8BCE-4116B2308E45}" name="mgv"/>
    <tableColumn id="3" xr3:uid="{EC2EEE79-9B3D-A040-9E27-A408AB978DE4}" name="attribute"/>
    <tableColumn id="4" xr3:uid="{A02333A7-D7E4-EA40-9D83-7ADEE1D82076}" name="rank.average" dataDxfId="290">
      <calculatedColumnFormula array="1">_xlfn.LET(_xlpm.d,X$2:X$55,_xlpm.a,$B$2:$B$55=$U83,_xlpm.b,$C$2:$C$55=$V83,_xlpm.c,$E$2:$E$55=$W83,GEOMEAN(_xlfn._xlws.FILTER(_xlpm.d,_xlpm.a*_xlpm.b)))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E4B4456-87DE-4145-9C5D-0DEFF13BD285}" name="Table25" displayName="Table25" ref="U94:X103" totalsRowShown="0">
  <autoFilter ref="U94:X103" xr:uid="{0E4B4456-87DE-4145-9C5D-0DEFF13BD285}"/>
  <tableColumns count="4">
    <tableColumn id="1" xr3:uid="{D54F94F4-41A0-AC4D-B4FF-AA093FE290D7}" name="sample.n"/>
    <tableColumn id="2" xr3:uid="{53167D3E-1094-A145-9022-C2288C53E6BF}" name="mgv"/>
    <tableColumn id="3" xr3:uid="{05426A8E-825E-5140-B4B9-A815D1E9FAAC}" name="attribute"/>
    <tableColumn id="4" xr3:uid="{CCD9935A-6E95-C346-A479-FD5A7ECC3EBA}" name="rank.average" dataDxfId="289">
      <calculatedColumnFormula array="1">_xlfn.LET(_xlpm.d,X$2:X$55,_xlpm.a,$B$2:$B$55=$U95,_xlpm.b,$C$2:$C$55=$V95,_xlpm.c,$E$2:$E$55=$W95,GEOMEAN(_xlfn._xlws.FILTER(_xlpm.d,_xlpm.a*_xlpm.b)))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9011D-E5F0-FE4E-A5E1-D1F96FEB7553}" name="Table1" displayName="Table1" ref="A1:T19" totalsRowShown="0">
  <autoFilter ref="A1:T19" xr:uid="{AEC9011D-E5F0-FE4E-A5E1-D1F96FEB7553}"/>
  <sortState xmlns:xlrd2="http://schemas.microsoft.com/office/spreadsheetml/2017/richdata2" ref="A2:T19">
    <sortCondition ref="B1:B19"/>
  </sortState>
  <tableColumns count="20">
    <tableColumn id="1" xr3:uid="{CC4FBA27-468F-C040-BBA5-A4338EDD57D4}" name="lang"/>
    <tableColumn id="2" xr3:uid="{9661F1B1-D749-1E44-BA43-8FD6741D3917}" name="attribute.index"/>
    <tableColumn id="3" xr3:uid="{A98759D9-BA08-C246-B99F-AE3509118C31}" name="attribute"/>
    <tableColumn id="4" xr3:uid="{8E836CD4-71C6-E74E-A1D2-D3E73DBB75D4}" name="supplemented"/>
    <tableColumn id="5" xr3:uid="{B1484646-CE1F-B14C-8067-2AD89A94EF43}" name="method.index"/>
    <tableColumn id="6" xr3:uid="{27821F2B-ACF3-3448-84E2-86C018A157B6}" name="method"/>
    <tableColumn id="10" xr3:uid="{FA7FB6BC-E301-CB49-A660-43567432D8B5}" name="var" dataDxfId="288">
      <calculatedColumnFormula>_xlfn.LET(_xlpm.attr,Table1[[#This Row],[attribute]],_xlpm.spl,LEFT(Table1[[#This Row],[supplemented]],1),_xlfn.TEXTJOIN("-",TRUE,_xlpm.attr,_xlpm.spl,"3k-mgv3"))</calculatedColumnFormula>
    </tableColumn>
    <tableColumn id="7" xr3:uid="{E4E80564-8E7D-A44F-9BA5-A8CC1126A648}" name="2g-no-hash" dataDxfId="287"/>
    <tableColumn id="8" xr3:uid="{9FD87474-6738-C549-931F-0EBBC78EE625}" name="3g-no-hash" dataDxfId="286"/>
    <tableColumn id="9" xr3:uid="{155D62F1-2373-C748-9F5E-D63A3812EDD0}" name="4g-no-hash" dataDxfId="285"/>
    <tableColumn id="13" xr3:uid="{BAC171E5-07B3-0E46-BEFA-13126280A156}" name="xsk2g-no-hash" dataDxfId="284"/>
    <tableColumn id="14" xr3:uid="{9242612D-6E66-FE4E-B3F5-D6E14EB08AFC}" name="xsk3g-no-hash" dataDxfId="283"/>
    <tableColumn id="15" xr3:uid="{33BA6F43-B01B-1C4B-9285-7E63CD9D12DA}" name="xsk4g-no-hash" dataDxfId="282"/>
    <tableColumn id="16" xr3:uid="{CD996176-81B5-0840-A355-69857774938B}" name="2g-hash-at-both" dataDxfId="281"/>
    <tableColumn id="17" xr3:uid="{ECD7E58B-1E58-D547-A439-54053237A41B}" name="3g-hash-at-both" dataDxfId="280"/>
    <tableColumn id="18" xr3:uid="{917C0D1F-6843-5443-A9F6-CBA46357E4C1}" name="4g-hash-at-both" dataDxfId="279"/>
    <tableColumn id="22" xr3:uid="{3C186F1F-6253-354C-8E03-828F38FF002A}" name="xsk2g-hash-at-both" dataDxfId="278"/>
    <tableColumn id="23" xr3:uid="{D8DF4707-21D7-3B45-B1AA-11BB13A15407}" name="xsk3g-hash-at-both" dataDxfId="277"/>
    <tableColumn id="24" xr3:uid="{71083000-7CEC-7F44-9F61-E78FF6215AA7}" name="xsk4g-hash-at-both" dataDxfId="276"/>
    <tableColumn id="25" xr3:uid="{D537C3E4-88C2-314A-98D0-45EC5BE477AF}" name="max" dataDxfId="275">
      <calculatedColumnFormula>MAX($H2:$P2)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EC93BF-51B1-E44E-9E55-C6C032315DB1}" name="Table618" displayName="Table618" ref="B22:T28" totalsRowShown="0">
  <autoFilter ref="B22:T28" xr:uid="{3BEC93BF-51B1-E44E-9E55-C6C032315DB1}"/>
  <sortState xmlns:xlrd2="http://schemas.microsoft.com/office/spreadsheetml/2017/richdata2" ref="B23:T28">
    <sortCondition ref="B22:B28"/>
  </sortState>
  <tableColumns count="19">
    <tableColumn id="18" xr3:uid="{D6038284-F958-6E42-816F-CDD2970E6578}" name="attribute.index" dataDxfId="274"/>
    <tableColumn id="1" xr3:uid="{A1E29C71-08B2-D440-A7C2-B928E26BEF12}" name="attribute"/>
    <tableColumn id="2" xr3:uid="{9F29DF79-7FD8-4143-BA19-3FB60EF3A56A}" name="supplemented"/>
    <tableColumn id="3" xr3:uid="{B1F0CAE7-2E30-5347-AF3F-F357293EF482}" name="method.index"/>
    <tableColumn id="4" xr3:uid="{5FB55172-09AA-C54C-B3A3-B86A559C86E2}" name="metric"/>
    <tableColumn id="19" xr3:uid="{C547AB7D-4399-8C45-832E-E04599D7AAD8}" name="var" dataDxfId="273">
      <calculatedColumnFormula>_xlfn.LET(_xlpm.attr,Table618[[#This Row],[attribute]],_xlpm.spl,LEFT(Table618[[#This Row],[supplemented]],1),_xlfn.TEXTJOIN("-",TRUE,_xlpm.attr,_xlpm.spl,"3k-mgv3"))</calculatedColumnFormula>
    </tableColumn>
    <tableColumn id="5" xr3:uid="{8E3C51C6-5D47-B840-AEBB-703C334BC0F2}" name="2g-no-hash" dataDxfId="272">
      <calculatedColumnFormula array="1">_xlfn.LET(_xlpm.d,H$2:H$19,_xlpm.a,$C$2:$C$19=$C23,_xlpm.b,$D$2:$D$19=$D23,MAX(_xlfn._xlws.FILTER(_xlpm.d,_xlpm.a*_xlpm.b)))</calculatedColumnFormula>
    </tableColumn>
    <tableColumn id="6" xr3:uid="{AAE87735-8C73-6F47-86CF-ABECF87586C7}" name="3g-no-hash" dataDxfId="271">
      <calculatedColumnFormula array="1">_xlfn.LET(_xlpm.d,I$2:I$19,_xlpm.a,$C$2:$C$19=$C23,_xlpm.b,$D$2:$D$19=$D23,MAX(_xlfn._xlws.FILTER(_xlpm.d,_xlpm.a*_xlpm.b)))</calculatedColumnFormula>
    </tableColumn>
    <tableColumn id="7" xr3:uid="{808C21BC-BDE3-EA4A-8F0A-DDD972FB68F9}" name="4g-no-hash" dataDxfId="270">
      <calculatedColumnFormula array="1">_xlfn.LET(_xlpm.d,J$2:J$19,_xlpm.a,$C$2:$C$19=$C23,_xlpm.b,$D$2:$D$19=$D23,MAX(_xlfn._xlws.FILTER(_xlpm.d,_xlpm.a*_xlpm.b)))</calculatedColumnFormula>
    </tableColumn>
    <tableColumn id="8" xr3:uid="{1C562825-F95B-AB4B-A09B-6D47C39896BD}" name="xsk2g-no-hash" dataDxfId="269">
      <calculatedColumnFormula array="1">_xlfn.LET(_xlpm.d,K$2:K$19,_xlpm.a,$C$2:$C$19=$C23,_xlpm.b,$D$2:$D$19=$D23,MAX(_xlfn._xlws.FILTER(_xlpm.d,_xlpm.a*_xlpm.b)))</calculatedColumnFormula>
    </tableColumn>
    <tableColumn id="9" xr3:uid="{87C0635E-30A9-DD46-9485-C1FB93333993}" name="xsk3g-no-hash" dataDxfId="268">
      <calculatedColumnFormula array="1">_xlfn.LET(_xlpm.d,L$2:L$19,_xlpm.a,$C$2:$C$19=$C23,_xlpm.b,$D$2:$D$19=$D23,MAX(_xlfn._xlws.FILTER(_xlpm.d,_xlpm.a*_xlpm.b)))</calculatedColumnFormula>
    </tableColumn>
    <tableColumn id="10" xr3:uid="{3DBD7F7C-796B-5146-9865-9753A22FE4CC}" name="xsk4g-no-hash" dataDxfId="267">
      <calculatedColumnFormula array="1">_xlfn.LET(_xlpm.d,M$2:M$19,_xlpm.a,$C$2:$C$19=$C23,_xlpm.b,$D$2:$D$19=$D23,MAX(_xlfn._xlws.FILTER(_xlpm.d,_xlpm.a*_xlpm.b)))</calculatedColumnFormula>
    </tableColumn>
    <tableColumn id="11" xr3:uid="{FDE8C067-570C-E44F-9067-94C7766CB442}" name="2g-hash-at-both" dataDxfId="266">
      <calculatedColumnFormula array="1">_xlfn.LET(_xlpm.d,N$2:N$19,_xlpm.a,$C$2:$C$19=$C23,_xlpm.b,$D$2:$D$19=$D23,MAX(_xlfn._xlws.FILTER(_xlpm.d,_xlpm.a*_xlpm.b)))</calculatedColumnFormula>
    </tableColumn>
    <tableColumn id="12" xr3:uid="{27127E8C-4281-CA41-BDE5-DE14D574365B}" name="3g-hash-at-both" dataDxfId="265">
      <calculatedColumnFormula array="1">_xlfn.LET(_xlpm.d,O$2:O$19,_xlpm.a,$C$2:$C$19=$C23,_xlpm.b,$D$2:$D$19=$D23,MAX(_xlfn._xlws.FILTER(_xlpm.d,_xlpm.a*_xlpm.b)))</calculatedColumnFormula>
    </tableColumn>
    <tableColumn id="13" xr3:uid="{46BA8E6D-0DC5-8842-B6FC-78CD2FEC8C8E}" name="4g-hash-at-both" dataDxfId="264">
      <calculatedColumnFormula array="1">_xlfn.LET(_xlpm.d,P$2:P$19,_xlpm.a,$C$2:$C$19=$C23,_xlpm.b,$D$2:$D$19=$D23,MAX(_xlfn._xlws.FILTER(_xlpm.d,_xlpm.a*_xlpm.b)))</calculatedColumnFormula>
    </tableColumn>
    <tableColumn id="14" xr3:uid="{8D61CA28-C0FC-054F-82C0-672C743FEE82}" name="xsk2g-hash-at-both" dataDxfId="263">
      <calculatedColumnFormula array="1">_xlfn.LET(_xlpm.d,Q$2:Q$19,_xlpm.a,$C$2:$C$19=$C23,_xlpm.b,$D$2:$D$19=$D23,MAX(_xlfn._xlws.FILTER(_xlpm.d,_xlpm.a*_xlpm.b)))</calculatedColumnFormula>
    </tableColumn>
    <tableColumn id="15" xr3:uid="{3AF2EFA8-0343-CB42-BE56-113314A9BD12}" name="xsk3g-hash-at-both" dataDxfId="262">
      <calculatedColumnFormula array="1">_xlfn.LET(_xlpm.d,R$2:R$19,_xlpm.a,$C$2:$C$19=$C23,_xlpm.b,$D$2:$D$19=$D23,MAX(_xlfn._xlws.FILTER(_xlpm.d,_xlpm.a*_xlpm.b)))</calculatedColumnFormula>
    </tableColumn>
    <tableColumn id="16" xr3:uid="{D2A290F4-71A6-8640-8942-3694498AADB9}" name="xsk4g-hash-at-both" dataDxfId="261">
      <calculatedColumnFormula array="1">_xlfn.LET(_xlpm.d,S$2:S$19,_xlpm.a,$C$2:$C$19=$C23,_xlpm.b,$D$2:$D$19=$D23,MAX(_xlfn._xlws.FILTER(_xlpm.d,_xlpm.a*_xlpm.b)))</calculatedColumnFormula>
    </tableColumn>
    <tableColumn id="17" xr3:uid="{3FF5BA72-27AC-A741-9090-8BCE8BF23BA4}" name="max" dataDxfId="260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43EF233-AC77-F44C-8694-F7292733828D}" name="Table1027" displayName="Table1027" ref="B31:S37" totalsRowShown="0">
  <autoFilter ref="B31:S37" xr:uid="{143EF233-AC77-F44C-8694-F7292733828D}"/>
  <sortState xmlns:xlrd2="http://schemas.microsoft.com/office/spreadsheetml/2017/richdata2" ref="B32:S37">
    <sortCondition ref="B36:B42"/>
  </sortState>
  <tableColumns count="18">
    <tableColumn id="17" xr3:uid="{AA152A17-E99A-F94E-B402-AEF39C3A63D9}" name="attribute.index" dataDxfId="259"/>
    <tableColumn id="1" xr3:uid="{C3C6F196-AD81-1649-A6D9-38EF129DBA59}" name="attribute"/>
    <tableColumn id="2" xr3:uid="{3A3D60CC-7173-D74B-BBF6-526548213791}" name="supplemented"/>
    <tableColumn id="3" xr3:uid="{B90B6093-D484-1340-8855-EBD0769847DB}" name="method.index"/>
    <tableColumn id="4" xr3:uid="{F13BC2B6-24C4-4641-B49B-F6457090696E}" name="metric"/>
    <tableColumn id="18" xr3:uid="{94DEB7FD-7E0A-674C-A0A7-17A853B9C0CB}" name="var" dataDxfId="258">
      <calculatedColumnFormula>_xlfn.LET(_xlpm.attr,Table1027[[#This Row],[attribute]],_xlpm.spl,LEFT(Table1027[[#This Row],[supplemented]],1),_xlfn.TEXTJOIN("-",TRUE,_xlpm.attr,_xlpm.spl,"3k-mgv3"))</calculatedColumnFormula>
    </tableColumn>
    <tableColumn id="5" xr3:uid="{B2C0F508-4E3E-B046-A2C7-93C294D23992}" name="2g-no-hash" dataDxfId="257">
      <calculatedColumnFormula>_xlfn.LET(_xlpm.d,$H23:$S23,RANK(H23,_xlpm.d))</calculatedColumnFormula>
    </tableColumn>
    <tableColumn id="6" xr3:uid="{B0B5C771-638B-DF41-84CF-F0DC07FDF180}" name="3g-no-hash" dataDxfId="256">
      <calculatedColumnFormula>_xlfn.LET(_xlpm.d,$H23:$S23,RANK(I23,_xlpm.d))</calculatedColumnFormula>
    </tableColumn>
    <tableColumn id="7" xr3:uid="{B56C5B2E-98CB-6444-BE71-296E0E8357CB}" name="4g-no-hash" dataDxfId="255">
      <calculatedColumnFormula>_xlfn.LET(_xlpm.d,$H23:$S23,RANK(J23,_xlpm.d))</calculatedColumnFormula>
    </tableColumn>
    <tableColumn id="8" xr3:uid="{2A24E124-30C7-1548-B02A-517B22AD4B27}" name="xsk2g-no-hash" dataDxfId="254">
      <calculatedColumnFormula>_xlfn.LET(_xlpm.d,$H23:$S23,RANK(K23,_xlpm.d))</calculatedColumnFormula>
    </tableColumn>
    <tableColumn id="9" xr3:uid="{1456E749-309E-CE46-A928-C0E83B0EB90E}" name="xsk3g-no-hash" dataDxfId="253">
      <calculatedColumnFormula>_xlfn.LET(_xlpm.d,$H23:$S23,RANK(L23,_xlpm.d))</calculatedColumnFormula>
    </tableColumn>
    <tableColumn id="10" xr3:uid="{2E81079E-C0F3-E84D-9CDB-90BB4E9281E1}" name="xsk4g-no-hash" dataDxfId="252">
      <calculatedColumnFormula>_xlfn.LET(_xlpm.d,$H23:$S23,RANK(M23,_xlpm.d))</calculatedColumnFormula>
    </tableColumn>
    <tableColumn id="11" xr3:uid="{ED9652E1-C590-5A48-A44D-322641A06E6B}" name="2g-hash-at-both" dataDxfId="251">
      <calculatedColumnFormula>_xlfn.LET(_xlpm.d,$H23:$S23,RANK(N23,_xlpm.d))</calculatedColumnFormula>
    </tableColumn>
    <tableColumn id="12" xr3:uid="{BD52EB65-BF6E-0249-A532-768CB64FA47D}" name="3g-hash-at-both" dataDxfId="250">
      <calculatedColumnFormula>_xlfn.LET(_xlpm.d,$H23:$S23,RANK(O23,_xlpm.d))</calculatedColumnFormula>
    </tableColumn>
    <tableColumn id="13" xr3:uid="{7E2B71A1-4F50-F44F-8243-47D5D07E9DD4}" name="4g-hash-at-both" dataDxfId="249">
      <calculatedColumnFormula>_xlfn.LET(_xlpm.d,$H23:$S23,RANK(P23,_xlpm.d))</calculatedColumnFormula>
    </tableColumn>
    <tableColumn id="14" xr3:uid="{F32B316A-59E6-5E4B-8AD0-8590B9409C17}" name="xsk2g-hash-at-both" dataDxfId="248">
      <calculatedColumnFormula>_xlfn.LET(_xlpm.d,$H23:$S23,RANK(Q23,_xlpm.d))</calculatedColumnFormula>
    </tableColumn>
    <tableColumn id="15" xr3:uid="{12A8DB86-D8D4-D24F-AC8E-74964B8C5C3B}" name="xsk3g-hash-at-both" dataDxfId="247">
      <calculatedColumnFormula>_xlfn.LET(_xlpm.d,$H23:$S23,RANK(R23,_xlpm.d))</calculatedColumnFormula>
    </tableColumn>
    <tableColumn id="16" xr3:uid="{8D18DA43-5785-1246-9DC8-486DD9B95FAE}" name="xsk4g-hash-at-both" dataDxfId="246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A06A65-63BB-7F42-BF4C-FC8DD96EF83D}" name="Table5" displayName="Table5" ref="A1:S19" totalsRowShown="0">
  <autoFilter ref="A1:S19" xr:uid="{DFA06A65-63BB-7F42-BF4C-FC8DD96EF83D}"/>
  <sortState xmlns:xlrd2="http://schemas.microsoft.com/office/spreadsheetml/2017/richdata2" ref="A2:S19">
    <sortCondition ref="B1:B19"/>
  </sortState>
  <tableColumns count="19">
    <tableColumn id="1" xr3:uid="{772D1B16-7568-7A48-94C2-D4A55D631BCE}" name="lang"/>
    <tableColumn id="18" xr3:uid="{00B8D552-4CE2-1648-990F-C2BE7E33F536}" name="attribute.index"/>
    <tableColumn id="2" xr3:uid="{06F70484-82EF-B541-B753-358FF6B7226B}" name="attribute"/>
    <tableColumn id="3" xr3:uid="{70959A16-2BE0-3C49-926A-32E2A61EB8C7}" name="supplement"/>
    <tableColumn id="19" xr3:uid="{3326AD4F-6FA0-8D47-88FD-27D1B2FE28E3}" name="method.index"/>
    <tableColumn id="4" xr3:uid="{AD8C06B6-DA19-894C-AC64-6F7E4409140E}" name="method"/>
    <tableColumn id="5" xr3:uid="{53AF00D5-23E5-4648-B600-27445244DB6B}" name="2gram-no-hash" dataDxfId="245"/>
    <tableColumn id="6" xr3:uid="{A069C5D6-09D4-4641-85A6-DE40D620E6E0}" name="3gram-no-hash" dataDxfId="244"/>
    <tableColumn id="7" xr3:uid="{C73E6A74-FA08-1547-B80C-EE7A878D936F}" name="4gram-no-hash" dataDxfId="243"/>
    <tableColumn id="8" xr3:uid="{AC7F31C2-B712-1443-B8AE-72A484F5FC62}" name="xsk2gram-no-hash" dataDxfId="242"/>
    <tableColumn id="9" xr3:uid="{D3409F02-EDC5-B04F-BB4A-8541FEB19351}" name="xsk3gram-no-hash" dataDxfId="241"/>
    <tableColumn id="10" xr3:uid="{07E9AE29-1324-6043-9E9C-4B962F26F6E7}" name="xsk4gram-no-hash" dataDxfId="240"/>
    <tableColumn id="11" xr3:uid="{6D5D7D21-08BB-844E-B5CB-AFDDF62F48F4}" name="2gram-hash-at-both" dataDxfId="239"/>
    <tableColumn id="12" xr3:uid="{136706C2-0E13-3F41-A57C-4D1B84FF5A17}" name="3gram-hash-at-both" dataDxfId="238"/>
    <tableColumn id="13" xr3:uid="{EA8B0AF6-BC86-D341-9AEF-93041BC3A7F7}" name="4gram-hash-at-both" dataDxfId="237"/>
    <tableColumn id="14" xr3:uid="{6A6299EF-DB03-7C4F-B587-3B535427FBDB}" name="xsk2gram-hash-at-both" dataDxfId="236"/>
    <tableColumn id="15" xr3:uid="{F0928669-DB8A-7D41-9DCC-9DCE036EF7C8}" name="xsk3gram-hash-at-both" dataDxfId="235"/>
    <tableColumn id="16" xr3:uid="{060C0A89-078D-2642-8B22-A8145283053F}" name="xsk4gram-hash-at-both" dataDxfId="234"/>
    <tableColumn id="17" xr3:uid="{6676A3F5-A4AC-6343-8DE8-7A1507364B4B}" name="max" dataDxfId="233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FEE3BF-6C3D-2A42-872C-6FC9461EB7C0}" name="Table6" displayName="Table6" ref="B22:S28" totalsRowShown="0">
  <autoFilter ref="B22:S28" xr:uid="{F6FEE3BF-6C3D-2A42-872C-6FC9461EB7C0}"/>
  <sortState xmlns:xlrd2="http://schemas.microsoft.com/office/spreadsheetml/2017/richdata2" ref="B23:S28">
    <sortCondition ref="B22:B28"/>
  </sortState>
  <tableColumns count="18">
    <tableColumn id="18" xr3:uid="{75D40AC1-267C-5841-86B4-CD2396967B8E}" name="attribute.index" dataDxfId="232"/>
    <tableColumn id="1" xr3:uid="{83FDBF90-8856-E240-8A19-0FB44FFC4C12}" name="attribute"/>
    <tableColumn id="2" xr3:uid="{68EE2E59-2920-1B4A-BF04-F9247CF121C5}" name="supplemented"/>
    <tableColumn id="3" xr3:uid="{E0FC2708-61B5-2F45-B867-B9209BEBAD64}" name="method.index"/>
    <tableColumn id="4" xr3:uid="{0E673158-4ACF-074C-A2A2-E1B6D856A2FE}" name="metric"/>
    <tableColumn id="5" xr3:uid="{B3ACFE05-AE01-3B4D-9863-1CC62A159519}" name="2gram-no-hash" dataDxfId="231">
      <calculatedColumnFormula array="1">_xlfn.LET(_xlpm.d,G$2:G$19,_xlpm.a,$C$2:$C$19=$C23,_xlpm.b,$D$2:$D$19=$D23,MAX(_xlfn._xlws.FILTER(_xlpm.d,_xlpm.a*_xlpm.b)))</calculatedColumnFormula>
    </tableColumn>
    <tableColumn id="6" xr3:uid="{36B88110-14BC-424D-8FA1-85511F40085E}" name="3gram-no-hash" dataDxfId="230">
      <calculatedColumnFormula array="1">_xlfn.LET(_xlpm.d,H$2:H$19,_xlpm.a,$C$2:$C$19=$C23,_xlpm.b,$D$2:$D$19=$D23,MAX(_xlfn._xlws.FILTER(_xlpm.d,_xlpm.a*_xlpm.b)))</calculatedColumnFormula>
    </tableColumn>
    <tableColumn id="7" xr3:uid="{28920486-23A6-D948-AE56-66BCB4C73C09}" name="4gram-no-hash" dataDxfId="229">
      <calculatedColumnFormula array="1">_xlfn.LET(_xlpm.d,I$2:I$19,_xlpm.a,$C$2:$C$19=$C23,_xlpm.b,$D$2:$D$19=$D23,MAX(_xlfn._xlws.FILTER(_xlpm.d,_xlpm.a*_xlpm.b)))</calculatedColumnFormula>
    </tableColumn>
    <tableColumn id="8" xr3:uid="{033C7462-BA50-1E4A-934D-7444B2191CA4}" name="xsk2gram-no-hash" dataDxfId="228">
      <calculatedColumnFormula array="1">_xlfn.LET(_xlpm.d,J$2:J$19,_xlpm.a,$C$2:$C$19=$C23,_xlpm.b,$D$2:$D$19=$D23,MAX(_xlfn._xlws.FILTER(_xlpm.d,_xlpm.a*_xlpm.b)))</calculatedColumnFormula>
    </tableColumn>
    <tableColumn id="9" xr3:uid="{09F440AF-EBCE-4942-8F7A-218339E2999F}" name="xsk3gram-no-hash" dataDxfId="227">
      <calculatedColumnFormula array="1">_xlfn.LET(_xlpm.d,K$2:K$19,_xlpm.a,$C$2:$C$19=$C23,_xlpm.b,$D$2:$D$19=$D23,MAX(_xlfn._xlws.FILTER(_xlpm.d,_xlpm.a*_xlpm.b)))</calculatedColumnFormula>
    </tableColumn>
    <tableColumn id="10" xr3:uid="{194F92C4-AE75-C44F-AD60-AF830440C153}" name="xsk4gram-no-hash" dataDxfId="226">
      <calculatedColumnFormula array="1">_xlfn.LET(_xlpm.d,L$2:L$19,_xlpm.a,$C$2:$C$19=$C23,_xlpm.b,$D$2:$D$19=$D23,MAX(_xlfn._xlws.FILTER(_xlpm.d,_xlpm.a*_xlpm.b)))</calculatedColumnFormula>
    </tableColumn>
    <tableColumn id="11" xr3:uid="{9A3B59CC-7315-9C46-B80D-C20B75E41F11}" name="2gram-hash-at-both" dataDxfId="225">
      <calculatedColumnFormula array="1">_xlfn.LET(_xlpm.d,M$2:M$19,_xlpm.a,$C$2:$C$19=$C23,_xlpm.b,$D$2:$D$19=$D23,MAX(_xlfn._xlws.FILTER(_xlpm.d,_xlpm.a*_xlpm.b)))</calculatedColumnFormula>
    </tableColumn>
    <tableColumn id="12" xr3:uid="{207C67B2-A752-314B-9BF1-73E0E4D9741A}" name="3gram-hash-at-both" dataDxfId="224">
      <calculatedColumnFormula array="1">_xlfn.LET(_xlpm.d,N$2:N$19,_xlpm.a,$C$2:$C$19=$C23,_xlpm.b,$D$2:$D$19=$D23,MAX(_xlfn._xlws.FILTER(_xlpm.d,_xlpm.a*_xlpm.b)))</calculatedColumnFormula>
    </tableColumn>
    <tableColumn id="13" xr3:uid="{E8A9D466-D1C5-714C-93BE-5DCBF8A14F32}" name="4gram-hash-at-both" dataDxfId="223">
      <calculatedColumnFormula array="1">_xlfn.LET(_xlpm.d,O$2:O$19,_xlpm.a,$C$2:$C$19=$C23,_xlpm.b,$D$2:$D$19=$D23,MAX(_xlfn._xlws.FILTER(_xlpm.d,_xlpm.a*_xlpm.b)))</calculatedColumnFormula>
    </tableColumn>
    <tableColumn id="14" xr3:uid="{B8E4ADEA-4FEB-E44F-847B-DC628CF7FF1C}" name="xsk2gram-hash-at-both" dataDxfId="222">
      <calculatedColumnFormula array="1">_xlfn.LET(_xlpm.d,P$2:P$19,_xlpm.a,$C$2:$C$19=$C23,_xlpm.b,$D$2:$D$19=$D23,MAX(_xlfn._xlws.FILTER(_xlpm.d,_xlpm.a*_xlpm.b)))</calculatedColumnFormula>
    </tableColumn>
    <tableColumn id="15" xr3:uid="{7F26A78F-A17B-7544-8540-B3E125494B27}" name="xsk3gram-hash-at-both" dataDxfId="221">
      <calculatedColumnFormula array="1">_xlfn.LET(_xlpm.d,Q$2:Q$19,_xlpm.a,$C$2:$C$19=$C23,_xlpm.b,$D$2:$D$19=$D23,MAX(_xlfn._xlws.FILTER(_xlpm.d,_xlpm.a*_xlpm.b)))</calculatedColumnFormula>
    </tableColumn>
    <tableColumn id="16" xr3:uid="{7F5BB129-D694-7D4A-B074-C97D4853EC1B}" name="xsk4gram-hash-at-both" dataDxfId="220">
      <calculatedColumnFormula array="1">_xlfn.LET(_xlpm.d,R$2:R$19,_xlpm.a,$C$2:$C$19=$C23,_xlpm.b,$D$2:$D$19=$D23,MAX(_xlfn._xlws.FILTER(_xlpm.d,_xlpm.a*_xlpm.b)))</calculatedColumnFormula>
    </tableColumn>
    <tableColumn id="17" xr3:uid="{77AEE890-B3F3-6C4B-A16A-A69B38457864}" name="max" dataDxfId="219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750793-CE7A-7A46-AA3A-108DCEE108CF}" name="Table7" displayName="Table7" ref="B36:R42" totalsRowShown="0">
  <autoFilter ref="B36:R42" xr:uid="{7D750793-CE7A-7A46-AA3A-108DCEE108CF}"/>
  <sortState xmlns:xlrd2="http://schemas.microsoft.com/office/spreadsheetml/2017/richdata2" ref="B37:R42">
    <sortCondition ref="B36:B42"/>
  </sortState>
  <tableColumns count="17">
    <tableColumn id="17" xr3:uid="{DA7CF9D0-AC02-6744-B8F9-325FA15D6983}" name="attribute.index" dataDxfId="218"/>
    <tableColumn id="1" xr3:uid="{79C0FE92-FAD3-4A43-93A7-1CE1B7B50B61}" name="attribute"/>
    <tableColumn id="2" xr3:uid="{86C9D9A0-28EC-F148-9D3A-F4EAAB423CEF}" name="supplemented"/>
    <tableColumn id="3" xr3:uid="{483BF96C-AAA3-6649-816B-E2E31E1D789C}" name="method.index"/>
    <tableColumn id="4" xr3:uid="{9E50EFF6-AF76-494F-8AFC-D75FACB1CF50}" name="metric"/>
    <tableColumn id="5" xr3:uid="{DDF86C2D-C8C5-2E43-B010-25A6C7A80B5C}" name="2gram-no-hash" dataDxfId="217">
      <calculatedColumnFormula>_xlfn.LET(_xlpm.d,$G23:$R23,RANK(G23,_xlpm.d))</calculatedColumnFormula>
    </tableColumn>
    <tableColumn id="6" xr3:uid="{AFFAD023-6B2B-1844-A757-2FB5EE254291}" name="3gram-no-hash" dataDxfId="216">
      <calculatedColumnFormula>_xlfn.LET(_xlpm.d,$G23:$R23,RANK(H23,_xlpm.d))</calculatedColumnFormula>
    </tableColumn>
    <tableColumn id="7" xr3:uid="{47B19AC4-60FB-354A-944D-481FA0626B82}" name="4gram-no-hash" dataDxfId="215">
      <calculatedColumnFormula>_xlfn.LET(_xlpm.d,$G23:$R23,RANK(I23,_xlpm.d))</calculatedColumnFormula>
    </tableColumn>
    <tableColumn id="8" xr3:uid="{4E72C841-DA53-4547-8FA5-586D221A3961}" name="xsk2gram-no-hash" dataDxfId="214">
      <calculatedColumnFormula>_xlfn.LET(_xlpm.d,$G23:$R23,RANK(J23,_xlpm.d))</calculatedColumnFormula>
    </tableColumn>
    <tableColumn id="9" xr3:uid="{5292863E-9B31-504B-8697-260DAB2A18AE}" name="xsk3gram-no-hash" dataDxfId="213">
      <calculatedColumnFormula>_xlfn.LET(_xlpm.d,$G23:$R23,RANK(K23,_xlpm.d))</calculatedColumnFormula>
    </tableColumn>
    <tableColumn id="10" xr3:uid="{3CE20F80-D0A1-224A-BCCA-1DD3DB76F9DE}" name="xsk4gram-no-hash" dataDxfId="212">
      <calculatedColumnFormula>_xlfn.LET(_xlpm.d,$G23:$R23,RANK(L23,_xlpm.d))</calculatedColumnFormula>
    </tableColumn>
    <tableColumn id="11" xr3:uid="{2C34468A-9967-8A4C-B64C-7F00EAAFDDC5}" name="2gram-hash-at-both" dataDxfId="211">
      <calculatedColumnFormula>_xlfn.LET(_xlpm.d,$G23:$R23,RANK(M23,_xlpm.d))</calculatedColumnFormula>
    </tableColumn>
    <tableColumn id="12" xr3:uid="{096E899F-40D0-144A-9044-23A1486EE47F}" name="3gram-hash-at-both" dataDxfId="210">
      <calculatedColumnFormula>_xlfn.LET(_xlpm.d,$G23:$R23,RANK(N23,_xlpm.d))</calculatedColumnFormula>
    </tableColumn>
    <tableColumn id="13" xr3:uid="{A3663B77-A570-684F-8166-A7028508ADBE}" name="4gram-hash-at-both" dataDxfId="209">
      <calculatedColumnFormula>_xlfn.LET(_xlpm.d,$G23:$R23,RANK(O23,_xlpm.d))</calculatedColumnFormula>
    </tableColumn>
    <tableColumn id="14" xr3:uid="{09C15515-396B-8A47-85F0-2E9C5FB0F99C}" name="xsk2gram-hash-at-both" dataDxfId="208">
      <calculatedColumnFormula>_xlfn.LET(_xlpm.d,$G23:$R23,RANK(P23,_xlpm.d))</calculatedColumnFormula>
    </tableColumn>
    <tableColumn id="15" xr3:uid="{D109CCD3-8987-2945-93F3-74010B952E70}" name="xsk3gram-hash-at-both" dataDxfId="207">
      <calculatedColumnFormula>_xlfn.LET(_xlpm.d,$G23:$R23,RANK(Q23,_xlpm.d))</calculatedColumnFormula>
    </tableColumn>
    <tableColumn id="16" xr3:uid="{C4FF3449-FE15-F249-A4F1-ED5943044748}" name="xsk4gram-hash-at-both" dataDxfId="206">
      <calculatedColumnFormula>_xlfn.LET(_xlpm.d,$G23:$R23,RANK(R23,_xlpm.d))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2FEBD53-7856-1445-990D-1070C3644F3C}" name="Table8" displayName="Table8" ref="A1:U19" totalsRowShown="0">
  <autoFilter ref="A1:U19" xr:uid="{C2FEBD53-7856-1445-990D-1070C3644F3C}"/>
  <sortState xmlns:xlrd2="http://schemas.microsoft.com/office/spreadsheetml/2017/richdata2" ref="A2:T19">
    <sortCondition ref="B1:B19"/>
  </sortState>
  <tableColumns count="21">
    <tableColumn id="1" xr3:uid="{618829F3-A163-FE4A-81EB-DD41EF5368BD}" name="lang"/>
    <tableColumn id="18" xr3:uid="{6E973F8E-CD37-C547-B5EC-E2F5878BFB75}" name="attribute.index"/>
    <tableColumn id="2" xr3:uid="{1D6B6CFB-95B1-854F-B00B-F5018C9815CC}" name="attribute"/>
    <tableColumn id="3" xr3:uid="{E83AFA84-667D-0342-AAA1-DA07B4C7A796}" name="supplemented"/>
    <tableColumn id="19" xr3:uid="{39D27A0E-444F-434B-8E71-92663C67FE63}" name="method.index"/>
    <tableColumn id="4" xr3:uid="{90B3DF95-3343-B041-90D3-C114C2190EC5}" name="method"/>
    <tableColumn id="21" xr3:uid="{1A3C69A4-658F-114E-9002-5B40A2305655}" name="var" dataDxfId="205">
      <calculatedColumnFormula>_xlfn.LET(_xlpm.attr,Table8[[#This Row],[attribute]],_xlpm.spl,LEFT(Table8[[#This Row],[supplemented]],1),_xlfn.TEXTJOIN("-",TRUE,_xlpm.attr,_xlpm.spl,"3k-mgv3"))</calculatedColumnFormula>
    </tableColumn>
    <tableColumn id="5" xr3:uid="{CECFB8A3-FF8F-A043-8977-9A93FCCD1AD1}" name="2g-no-hash" dataDxfId="204"/>
    <tableColumn id="6" xr3:uid="{9F3FD638-09E1-0A46-8117-28757CCBCB16}" name="3g-no-hash" dataDxfId="203"/>
    <tableColumn id="7" xr3:uid="{8B23A447-B185-2841-B083-CDBFDA317C92}" name="4g-no-hash" dataDxfId="202"/>
    <tableColumn id="8" xr3:uid="{C5C36C10-C340-B543-A915-0C16B1B62A15}" name="xsk2g-no-hash" dataDxfId="201"/>
    <tableColumn id="9" xr3:uid="{AD76DF32-BA6A-4F4C-88DB-FB114679A4D4}" name="xsk3g-no-hash" dataDxfId="200"/>
    <tableColumn id="10" xr3:uid="{C57D5099-A01B-B347-BB93-0960456EF596}" name="xsk4g-no-hash" dataDxfId="199"/>
    <tableColumn id="11" xr3:uid="{E0BD2D6B-4B88-4A48-9319-C18F5B334A25}" name="2g-hash-at-both" dataDxfId="198"/>
    <tableColumn id="12" xr3:uid="{8CF593B4-71AB-804B-B776-D6305E52B09D}" name="3g-hash-at-both" dataDxfId="197"/>
    <tableColumn id="13" xr3:uid="{FF4FB414-0811-7048-B44E-1D18EF383BE3}" name="4g-hash-at-both" dataDxfId="196"/>
    <tableColumn id="14" xr3:uid="{59A7BFB4-CBF3-AB45-A429-89C3496CAE0C}" name="xsk2g-hash-at-both" dataDxfId="195"/>
    <tableColumn id="15" xr3:uid="{DB72FFD3-2BA3-9748-83D1-FBBD78C93AC5}" name="xsk3g-hash-at-both" dataDxfId="194"/>
    <tableColumn id="16" xr3:uid="{4B36EC39-5F5E-274A-838C-787C91846CA5}" name="xsk4g-hash-at-both" dataDxfId="193"/>
    <tableColumn id="17" xr3:uid="{357483EA-206C-844B-8D50-108DE1D4C6A0}" name="max" dataDxfId="192">
      <calculatedColumnFormula>_xlfn.LET(_xlpm.d,$H2:$S2,MAX(_xlpm.d))</calculatedColumnFormula>
    </tableColumn>
    <tableColumn id="20" xr3:uid="{C0BE5AA6-FE19-5F49-A5E7-DED7FE59EADC}" name="geomean" dataDxfId="191">
      <calculatedColumnFormula>_xlfn.LET(_xlpm.d,$H2:$S2,GEOMEAN(_xlpm.d))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81780A-D90A-034E-8645-5E5A5F7638C4}" name="Table9" displayName="Table9" ref="B22:T28" totalsRowShown="0">
  <autoFilter ref="B22:T28" xr:uid="{2F81780A-D90A-034E-8645-5E5A5F7638C4}"/>
  <sortState xmlns:xlrd2="http://schemas.microsoft.com/office/spreadsheetml/2017/richdata2" ref="B23:T28">
    <sortCondition ref="B22:B28"/>
  </sortState>
  <tableColumns count="19">
    <tableColumn id="18" xr3:uid="{A04AFF7E-4577-6345-BDD8-59FB9D65E1F7}" name="attribute.index" dataDxfId="190"/>
    <tableColumn id="1" xr3:uid="{C9E47D24-7DE9-F442-B94B-BB4BD1AD0EE7}" name="attribute"/>
    <tableColumn id="2" xr3:uid="{7D10E5DB-33B6-9944-AB95-E7FC51396A59}" name="supplemented"/>
    <tableColumn id="3" xr3:uid="{B3B966B5-73B8-F345-8498-860290A0CBB9}" name="method.index"/>
    <tableColumn id="4" xr3:uid="{94F84D79-29E4-B249-9A08-4757812C7C67}" name="metric"/>
    <tableColumn id="19" xr3:uid="{5377F699-AFD8-4B4D-AC34-01F076C44146}" name="var" dataDxfId="189">
      <calculatedColumnFormula>_xlfn.LET(_xlpm.attr,Table9[[#This Row],[attribute]],_xlpm.spl,LEFT(Table9[[#This Row],[supplemented]],1),_xlfn.TEXTJOIN("-",TRUE,_xlpm.attr,_xlpm.spl,"3k-mgv3"))</calculatedColumnFormula>
    </tableColumn>
    <tableColumn id="5" xr3:uid="{B67EDF8E-7F0F-DB44-8BBB-952986A2379C}" name="2g-no-hash" dataDxfId="188">
      <calculatedColumnFormula array="1">_xlfn.LET(_xlpm.d,H$2:H$19,_xlpm.a,$C$2:$C$19=$C23,_xlpm.b,$D$2:$D$19=$D23,MAX(_xlfn._xlws.FILTER(_xlpm.d,_xlpm.a*_xlpm.b)))</calculatedColumnFormula>
    </tableColumn>
    <tableColumn id="6" xr3:uid="{53F33358-A8C3-ED4B-9FB8-C986B583BA03}" name="3g-no-hash" dataDxfId="187">
      <calculatedColumnFormula array="1">_xlfn.LET(_xlpm.d,I$2:I$19,_xlpm.a,$C$2:$C$19=$C23,_xlpm.b,$D$2:$D$19=$D23,MAX(_xlfn._xlws.FILTER(_xlpm.d,_xlpm.a*_xlpm.b)))</calculatedColumnFormula>
    </tableColumn>
    <tableColumn id="7" xr3:uid="{83208F63-3A7E-CF48-855D-D29FEE047BE0}" name="4g-no-hash" dataDxfId="186">
      <calculatedColumnFormula array="1">_xlfn.LET(_xlpm.d,J$2:J$19,_xlpm.a,$C$2:$C$19=$C23,_xlpm.b,$D$2:$D$19=$D23,MAX(_xlfn._xlws.FILTER(_xlpm.d,_xlpm.a*_xlpm.b)))</calculatedColumnFormula>
    </tableColumn>
    <tableColumn id="8" xr3:uid="{7EBD09E9-5DBE-E34D-A9CE-1C2BEEEC2A77}" name="xsk2g-no-hash" dataDxfId="185">
      <calculatedColumnFormula array="1">_xlfn.LET(_xlpm.d,K$2:K$19,_xlpm.a,$C$2:$C$19=$C23,_xlpm.b,$D$2:$D$19=$D23,MAX(_xlfn._xlws.FILTER(_xlpm.d,_xlpm.a*_xlpm.b)))</calculatedColumnFormula>
    </tableColumn>
    <tableColumn id="9" xr3:uid="{D6CCD1F0-27DA-AB43-B94C-492B0EFF962E}" name="xsk3g-no-hash" dataDxfId="184">
      <calculatedColumnFormula array="1">_xlfn.LET(_xlpm.d,L$2:L$19,_xlpm.a,$C$2:$C$19=$C23,_xlpm.b,$D$2:$D$19=$D23,MAX(_xlfn._xlws.FILTER(_xlpm.d,_xlpm.a*_xlpm.b)))</calculatedColumnFormula>
    </tableColumn>
    <tableColumn id="10" xr3:uid="{16F4E2B5-67C2-6A4E-8069-6C74DF7FB9C2}" name="xsk4g-no-hash" dataDxfId="183">
      <calculatedColumnFormula array="1">_xlfn.LET(_xlpm.d,M$2:M$19,_xlpm.a,$C$2:$C$19=$C23,_xlpm.b,$D$2:$D$19=$D23,MAX(_xlfn._xlws.FILTER(_xlpm.d,_xlpm.a*_xlpm.b)))</calculatedColumnFormula>
    </tableColumn>
    <tableColumn id="11" xr3:uid="{293ACE25-D299-8841-B473-C2246B491C31}" name="2g-hash-at-both" dataDxfId="182">
      <calculatedColumnFormula array="1">_xlfn.LET(_xlpm.d,N$2:N$19,_xlpm.a,$C$2:$C$19=$C23,_xlpm.b,$D$2:$D$19=$D23,MAX(_xlfn._xlws.FILTER(_xlpm.d,_xlpm.a*_xlpm.b)))</calculatedColumnFormula>
    </tableColumn>
    <tableColumn id="12" xr3:uid="{5F520E50-3EF4-BC43-B6A6-56091DFE2703}" name="3g-hash-at-both" dataDxfId="181">
      <calculatedColumnFormula array="1">_xlfn.LET(_xlpm.d,O$2:O$19,_xlpm.a,$C$2:$C$19=$C23,_xlpm.b,$D$2:$D$19=$D23,MAX(_xlfn._xlws.FILTER(_xlpm.d,_xlpm.a*_xlpm.b)))</calculatedColumnFormula>
    </tableColumn>
    <tableColumn id="13" xr3:uid="{6B16BAAE-6D15-E44F-A1B5-4F7E9C007CC7}" name="4g-hash-at-both" dataDxfId="180">
      <calculatedColumnFormula array="1">_xlfn.LET(_xlpm.d,P$2:P$19,_xlpm.a,$C$2:$C$19=$C23,_xlpm.b,$D$2:$D$19=$D23,MAX(_xlfn._xlws.FILTER(_xlpm.d,_xlpm.a*_xlpm.b)))</calculatedColumnFormula>
    </tableColumn>
    <tableColumn id="14" xr3:uid="{39E314E2-01C7-C447-BC81-40BC38B99768}" name="xsk2g-hash-at-both" dataDxfId="179">
      <calculatedColumnFormula array="1">_xlfn.LET(_xlpm.d,Q$2:Q$19,_xlpm.a,$C$2:$C$19=$C23,_xlpm.b,$D$2:$D$19=$D23,MAX(_xlfn._xlws.FILTER(_xlpm.d,_xlpm.a*_xlpm.b)))</calculatedColumnFormula>
    </tableColumn>
    <tableColumn id="15" xr3:uid="{1E36D61A-3D4A-8346-A1B6-38D7DE130E5B}" name="xsk3g-hash-at-both" dataDxfId="178">
      <calculatedColumnFormula array="1">_xlfn.LET(_xlpm.d,R$2:R$19,_xlpm.a,$C$2:$C$19=$C23,_xlpm.b,$D$2:$D$19=$D23,MAX(_xlfn._xlws.FILTER(_xlpm.d,_xlpm.a*_xlpm.b)))</calculatedColumnFormula>
    </tableColumn>
    <tableColumn id="16" xr3:uid="{58058754-8E50-A641-9EE1-AFD69EBB1503}" name="xsk4g-hash-at-both" dataDxfId="177">
      <calculatedColumnFormula array="1">_xlfn.LET(_xlpm.d,S$2:S$19,_xlpm.a,$C$2:$C$19=$C23,_xlpm.b,$D$2:$D$19=$D23,MAX(_xlfn._xlws.FILTER(_xlpm.d,_xlpm.a*_xlpm.b)))</calculatedColumnFormula>
    </tableColumn>
    <tableColumn id="17" xr3:uid="{CC573835-A26D-394F-9ACE-CA08C6001674}" name="max" dataDxfId="176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AB0D81-97C5-EA48-98B8-A80BD996C2C1}" name="Table10" displayName="Table10" ref="B36:S42" totalsRowShown="0">
  <autoFilter ref="B36:S42" xr:uid="{87AB0D81-97C5-EA48-98B8-A80BD996C2C1}"/>
  <sortState xmlns:xlrd2="http://schemas.microsoft.com/office/spreadsheetml/2017/richdata2" ref="B37:S42">
    <sortCondition ref="B36:B42"/>
  </sortState>
  <tableColumns count="18">
    <tableColumn id="17" xr3:uid="{F5DF1E44-0E93-244E-9B9F-E1CA5C0827FF}" name="attribute.index" dataDxfId="175"/>
    <tableColumn id="1" xr3:uid="{7DB9EB1D-A945-C842-9BF0-BA179340A817}" name="attribute"/>
    <tableColumn id="2" xr3:uid="{7B0FD065-2090-8D45-8696-B99027B4209A}" name="supplemented"/>
    <tableColumn id="3" xr3:uid="{7F9C51CF-74C7-FD45-A996-420DC77DCE70}" name="method.index"/>
    <tableColumn id="4" xr3:uid="{3F3BE5C6-6549-0C4A-BB5C-2FB94E4E4C7B}" name="metric"/>
    <tableColumn id="18" xr3:uid="{6B91A237-1CBA-C042-8346-8D6A14DF2332}" name="var" dataDxfId="174">
      <calculatedColumnFormula>_xlfn.LET(_xlpm.attr,Table10[[#This Row],[attribute]],_xlpm.spl,LEFT(Table10[[#This Row],[supplemented]],1),_xlfn.TEXTJOIN("-",TRUE,_xlpm.attr,_xlpm.spl,"3k-mgv3"))</calculatedColumnFormula>
    </tableColumn>
    <tableColumn id="5" xr3:uid="{7D26A165-0239-E342-8174-E8DDD4E2F085}" name="2g-no-hash" dataDxfId="173">
      <calculatedColumnFormula>_xlfn.LET(_xlpm.d,$H23:$S23,RANK(H23,_xlpm.d))</calculatedColumnFormula>
    </tableColumn>
    <tableColumn id="6" xr3:uid="{5A69CD36-4960-6A48-8BA5-C531320CA0B4}" name="3g-no-hash" dataDxfId="172">
      <calculatedColumnFormula>_xlfn.LET(_xlpm.d,$H23:$S23,RANK(I23,_xlpm.d))</calculatedColumnFormula>
    </tableColumn>
    <tableColumn id="7" xr3:uid="{4D034BCC-79FC-2544-B978-214349795D1B}" name="4g-no-hash" dataDxfId="171">
      <calculatedColumnFormula>_xlfn.LET(_xlpm.d,$H23:$S23,RANK(J23,_xlpm.d))</calculatedColumnFormula>
    </tableColumn>
    <tableColumn id="8" xr3:uid="{D4C51F71-F948-6B4B-A6CD-0F7FE5F122DB}" name="xsk2g-no-hash" dataDxfId="170">
      <calculatedColumnFormula>_xlfn.LET(_xlpm.d,$H23:$S23,RANK(K23,_xlpm.d))</calculatedColumnFormula>
    </tableColumn>
    <tableColumn id="9" xr3:uid="{95FB767A-8137-3D40-92D0-472A9516D6DA}" name="xsk3g-no-hash" dataDxfId="169">
      <calculatedColumnFormula>_xlfn.LET(_xlpm.d,$H23:$S23,RANK(L23,_xlpm.d))</calculatedColumnFormula>
    </tableColumn>
    <tableColumn id="10" xr3:uid="{A40FF3E8-A6EC-7645-A41A-865E4838C3D9}" name="xsk4g-no-hash" dataDxfId="168">
      <calculatedColumnFormula>_xlfn.LET(_xlpm.d,$H23:$S23,RANK(M23,_xlpm.d))</calculatedColumnFormula>
    </tableColumn>
    <tableColumn id="11" xr3:uid="{373F14A3-4394-AF49-B1AD-7F301A0C9A69}" name="2g-hash-at-both" dataDxfId="167">
      <calculatedColumnFormula>_xlfn.LET(_xlpm.d,$H23:$S23,RANK(N23,_xlpm.d))</calculatedColumnFormula>
    </tableColumn>
    <tableColumn id="12" xr3:uid="{92BA2703-247B-5E48-83F4-8C415F32EE0C}" name="3g-hash-at-both" dataDxfId="166">
      <calculatedColumnFormula>_xlfn.LET(_xlpm.d,$H23:$S23,RANK(O23,_xlpm.d))</calculatedColumnFormula>
    </tableColumn>
    <tableColumn id="13" xr3:uid="{AE15647A-66A7-F749-A025-B3F4980E8DCE}" name="4g-hash-at-both" dataDxfId="165">
      <calculatedColumnFormula>_xlfn.LET(_xlpm.d,$H23:$S23,RANK(P23,_xlpm.d))</calculatedColumnFormula>
    </tableColumn>
    <tableColumn id="14" xr3:uid="{A07EC92D-3F92-8746-BFD7-23369D453431}" name="xsk2g-hash-at-both" dataDxfId="164">
      <calculatedColumnFormula>_xlfn.LET(_xlpm.d,$H23:$S23,RANK(Q23,_xlpm.d))</calculatedColumnFormula>
    </tableColumn>
    <tableColumn id="15" xr3:uid="{EC280D04-81C8-A545-9473-A07315DA20B9}" name="xsk3g-hash-at-both" dataDxfId="163">
      <calculatedColumnFormula>_xlfn.LET(_xlpm.d,$H23:$S23,RANK(R23,_xlpm.d))</calculatedColumnFormula>
    </tableColumn>
    <tableColumn id="16" xr3:uid="{DB88D6BE-0094-514A-B8DD-5519DB3FB967}" name="xsk4g-hash-at-both" dataDxfId="162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1F368-49AA-B341-B62B-34F7181D5ED8}" name="Table2" displayName="Table2" ref="A1:S19" totalsRowShown="0">
  <autoFilter ref="A1:S19" xr:uid="{3BF1F368-49AA-B341-B62B-34F7181D5ED8}"/>
  <sortState xmlns:xlrd2="http://schemas.microsoft.com/office/spreadsheetml/2017/richdata2" ref="A2:S19">
    <sortCondition ref="B1:B19"/>
  </sortState>
  <tableColumns count="19">
    <tableColumn id="1" xr3:uid="{E802A988-C649-5046-8177-73F9B119D1F6}" name="lang"/>
    <tableColumn id="2" xr3:uid="{EB139C5F-5499-2443-8DC8-FE5C0C129561}" name="attribute.index"/>
    <tableColumn id="3" xr3:uid="{EDC11E1A-4B62-EF49-BDE3-674F86DDABE6}" name="attribute"/>
    <tableColumn id="4" xr3:uid="{973B57C7-9C18-D246-A06A-CCF656590153}" name="supplement"/>
    <tableColumn id="5" xr3:uid="{40C9DC08-60A5-524E-A0EF-D8524849C201}" name="method.index"/>
    <tableColumn id="6" xr3:uid="{FB9E819E-6A5F-AB4F-8016-FB483DFA9DCF}" name="method"/>
    <tableColumn id="7" xr3:uid="{95135714-D149-F944-BA79-8352978E2878}" name="2g-no-hash" dataDxfId="161"/>
    <tableColumn id="8" xr3:uid="{E581CC38-9B76-194F-8878-D8DF8089C7B0}" name="3g-no-hash" dataDxfId="160"/>
    <tableColumn id="9" xr3:uid="{133BF17C-42A8-544D-91E6-3E11AA025E61}" name="4g-no-hash" dataDxfId="159"/>
    <tableColumn id="10" xr3:uid="{50C8CD63-3DED-A941-8679-A4C1416E9E52}" name="xsk2g-no-hash" dataDxfId="158"/>
    <tableColumn id="11" xr3:uid="{835F89F2-AD22-1340-8855-7518AC0260A4}" name="xsk3g-no-hash" dataDxfId="157"/>
    <tableColumn id="12" xr3:uid="{9B8743CD-1C56-2F46-8D1E-1DA7B667EF17}" name="xsk4g-no-hash" dataDxfId="156"/>
    <tableColumn id="13" xr3:uid="{23B4B829-EA5E-9241-8AF4-C71DEAA8363E}" name="2g-hash-at-both" dataDxfId="155"/>
    <tableColumn id="14" xr3:uid="{D562C930-B6CB-394E-93B6-962798219DA1}" name="3g-hash-at-both" dataDxfId="154"/>
    <tableColumn id="15" xr3:uid="{821C6E45-D2AF-C24A-8D3F-EA41E8DF345D}" name="4g-hash-at-both" dataDxfId="153"/>
    <tableColumn id="16" xr3:uid="{116A2A9C-0637-1B46-B19E-C5273A222F3B}" name="xsk2g-hash-at-both" dataDxfId="152"/>
    <tableColumn id="17" xr3:uid="{AA821496-813C-7344-9D5B-689FE4E12D8F}" name="xsk3g-hash-at-both" dataDxfId="151"/>
    <tableColumn id="18" xr3:uid="{4FF4F855-0A06-2543-89C8-1C1CDEAC8BD8}" name="xsk4g-hash-at-both" dataDxfId="150"/>
    <tableColumn id="19" xr3:uid="{DB3959DA-6243-0E43-A2DE-3B57E5EFEED0}" name="max" dataDxfId="14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810822-5622-1342-8E6E-0E93BC6979A9}" name="Table94" displayName="Table94" ref="B22:S28" totalsRowShown="0">
  <autoFilter ref="B22:S28" xr:uid="{71810822-5622-1342-8E6E-0E93BC6979A9}"/>
  <sortState xmlns:xlrd2="http://schemas.microsoft.com/office/spreadsheetml/2017/richdata2" ref="B23:S28">
    <sortCondition ref="B22:B28"/>
  </sortState>
  <tableColumns count="18">
    <tableColumn id="18" xr3:uid="{685627EB-BEB6-3443-8AE0-A28120B0314C}" name="attribute.index" dataDxfId="148"/>
    <tableColumn id="1" xr3:uid="{DCE8E1CD-D504-254E-AE96-7C69A0ABCE37}" name="attribute"/>
    <tableColumn id="2" xr3:uid="{4DE4151E-ECC2-5643-897E-0CB0FAF67EEE}" name="supplemented"/>
    <tableColumn id="3" xr3:uid="{B569613E-EE9F-4542-9701-F4CCA99709FD}" name="method.index"/>
    <tableColumn id="4" xr3:uid="{01014089-09DE-A546-8ED2-27C04E04C35C}" name="metric"/>
    <tableColumn id="5" xr3:uid="{A8C35CC3-1C17-DE4B-9BB5-19F4D1A346F9}" name="2g-no-hash" dataDxfId="147">
      <calculatedColumnFormula array="1">_xlfn.LET(_xlpm.d,G$2:G$19,_xlpm.a,$C$2:$C$19=$C23,_xlpm.b,$D$2:$D$19=$D23,MAX(_xlfn._xlws.FILTER(_xlpm.d,_xlpm.a*_xlpm.b)))</calculatedColumnFormula>
    </tableColumn>
    <tableColumn id="6" xr3:uid="{AB0C04FE-90D6-7043-921F-CD9F97489D71}" name="3g-no-hash" dataDxfId="146">
      <calculatedColumnFormula array="1">_xlfn.LET(_xlpm.d,H$2:H$19,_xlpm.a,$C$2:$C$19=$C23,_xlpm.b,$D$2:$D$19=$D23,MAX(_xlfn._xlws.FILTER(_xlpm.d,_xlpm.a*_xlpm.b)))</calculatedColumnFormula>
    </tableColumn>
    <tableColumn id="7" xr3:uid="{5389094F-3F9E-FE48-9871-CF4ACA40828D}" name="4g-no-hash" dataDxfId="145">
      <calculatedColumnFormula array="1">_xlfn.LET(_xlpm.d,I$2:I$19,_xlpm.a,$C$2:$C$19=$C23,_xlpm.b,$D$2:$D$19=$D23,MAX(_xlfn._xlws.FILTER(_xlpm.d,_xlpm.a*_xlpm.b)))</calculatedColumnFormula>
    </tableColumn>
    <tableColumn id="8" xr3:uid="{AC09C470-D0F4-EB4C-870B-2C81D0863EDA}" name="xsk2g-no-hash" dataDxfId="144">
      <calculatedColumnFormula array="1">_xlfn.LET(_xlpm.d,J$2:J$19,_xlpm.a,$C$2:$C$19=$C23,_xlpm.b,$D$2:$D$19=$D23,MAX(_xlfn._xlws.FILTER(_xlpm.d,_xlpm.a*_xlpm.b)))</calculatedColumnFormula>
    </tableColumn>
    <tableColumn id="9" xr3:uid="{F7743AAC-C8C3-2B4D-B37E-8FFF71508D98}" name="xsk3g-no-hash" dataDxfId="143">
      <calculatedColumnFormula array="1">_xlfn.LET(_xlpm.d,K$2:K$19,_xlpm.a,$C$2:$C$19=$C23,_xlpm.b,$D$2:$D$19=$D23,MAX(_xlfn._xlws.FILTER(_xlpm.d,_xlpm.a*_xlpm.b)))</calculatedColumnFormula>
    </tableColumn>
    <tableColumn id="10" xr3:uid="{D7CA6358-0226-4A43-9BAF-242E73A6482D}" name="xsk4g-no-hash" dataDxfId="142">
      <calculatedColumnFormula array="1">_xlfn.LET(_xlpm.d,L$2:L$19,_xlpm.a,$C$2:$C$19=$C23,_xlpm.b,$D$2:$D$19=$D23,MAX(_xlfn._xlws.FILTER(_xlpm.d,_xlpm.a*_xlpm.b)))</calculatedColumnFormula>
    </tableColumn>
    <tableColumn id="11" xr3:uid="{BB9D0E36-99EB-5D46-BD32-CE4F045A7FE4}" name="2g-hash-at-both" dataDxfId="141">
      <calculatedColumnFormula array="1">_xlfn.LET(_xlpm.d,M$2:M$19,_xlpm.a,$C$2:$C$19=$C23,_xlpm.b,$D$2:$D$19=$D23,MAX(_xlfn._xlws.FILTER(_xlpm.d,_xlpm.a*_xlpm.b)))</calculatedColumnFormula>
    </tableColumn>
    <tableColumn id="12" xr3:uid="{27857FF9-1D90-4E42-95C2-A25F7A57498A}" name="3g-hash-at-both" dataDxfId="140">
      <calculatedColumnFormula array="1">_xlfn.LET(_xlpm.d,N$2:N$19,_xlpm.a,$C$2:$C$19=$C23,_xlpm.b,$D$2:$D$19=$D23,MAX(_xlfn._xlws.FILTER(_xlpm.d,_xlpm.a*_xlpm.b)))</calculatedColumnFormula>
    </tableColumn>
    <tableColumn id="13" xr3:uid="{F3FAFA96-689E-4A4A-9D41-5700DD8B2FF1}" name="4g-hash-at-both" dataDxfId="139">
      <calculatedColumnFormula array="1">_xlfn.LET(_xlpm.d,O$2:O$19,_xlpm.a,$C$2:$C$19=$C23,_xlpm.b,$D$2:$D$19=$D23,MAX(_xlfn._xlws.FILTER(_xlpm.d,_xlpm.a*_xlpm.b)))</calculatedColumnFormula>
    </tableColumn>
    <tableColumn id="14" xr3:uid="{3B9DF5AA-A406-644F-84B1-D36AD1EBF040}" name="xsk2g-hash-at-both" dataDxfId="138">
      <calculatedColumnFormula array="1">_xlfn.LET(_xlpm.d,P$2:P$19,_xlpm.a,$C$2:$C$19=$C23,_xlpm.b,$D$2:$D$19=$D23,MAX(_xlfn._xlws.FILTER(_xlpm.d,_xlpm.a*_xlpm.b)))</calculatedColumnFormula>
    </tableColumn>
    <tableColumn id="15" xr3:uid="{1BDFCF3A-1EA1-2245-8979-8EF907757FA9}" name="xsk3g-hash-at-both" dataDxfId="137">
      <calculatedColumnFormula array="1">_xlfn.LET(_xlpm.d,Q$2:Q$19,_xlpm.a,$C$2:$C$19=$C23,_xlpm.b,$D$2:$D$19=$D23,MAX(_xlfn._xlws.FILTER(_xlpm.d,_xlpm.a*_xlpm.b)))</calculatedColumnFormula>
    </tableColumn>
    <tableColumn id="16" xr3:uid="{7432F2E2-AF4D-F24E-9131-D5769373D335}" name="xsk4g-hash-at-both" dataDxfId="136">
      <calculatedColumnFormula array="1">_xlfn.LET(_xlpm.d,R$2:R$19,_xlpm.a,$C$2:$C$19=$C23,_xlpm.b,$D$2:$D$19=$D23,MAX(_xlfn._xlws.FILTER(_xlpm.d,_xlpm.a*_xlpm.b)))</calculatedColumnFormula>
    </tableColumn>
    <tableColumn id="17" xr3:uid="{E7DD4280-5154-864E-909C-C21F61DD4684}" name="max" dataDxfId="135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40D666-8633-0140-8EEA-81B139883B75}" name="Table4" displayName="Table4" ref="A1:S19" totalsRowShown="0">
  <autoFilter ref="A1:S19" xr:uid="{E240D666-8633-0140-8EEA-81B139883B75}"/>
  <tableColumns count="19">
    <tableColumn id="1" xr3:uid="{229B6D90-90B5-3441-8F05-40683C0434F1}" name="lang"/>
    <tableColumn id="2" xr3:uid="{20ABAA9B-4B49-CF44-8C30-426F420263D8}" name="attribute.index"/>
    <tableColumn id="3" xr3:uid="{B42B0561-CF2A-2D45-82C2-A570B09F7686}" name="attribute"/>
    <tableColumn id="4" xr3:uid="{420294E7-71C8-F74A-B1A2-6724F2A90F9C}" name="supplement"/>
    <tableColumn id="5" xr3:uid="{FC31C9C3-3720-0842-91FB-B984C9CB4DD1}" name="method.index"/>
    <tableColumn id="6" xr3:uid="{8A8930B0-662E-1A4E-8F79-D5C79F779E58}" name="method"/>
    <tableColumn id="7" xr3:uid="{C2C3A8A7-4527-E746-B9CC-6770BB2DFE16}" name="2g-no-hash" dataDxfId="134"/>
    <tableColumn id="8" xr3:uid="{22107455-76BB-C544-B59D-E19FE3C8E211}" name="3g-no-hash" dataDxfId="133"/>
    <tableColumn id="9" xr3:uid="{FF98B448-9935-F241-9DBC-AAF05234C6BA}" name="4g-no-hash" dataDxfId="132"/>
    <tableColumn id="10" xr3:uid="{DEBE37A2-9958-974D-99AE-48B2087DBCC8}" name="xsk2g-no-hash" dataDxfId="131"/>
    <tableColumn id="11" xr3:uid="{72611B13-9B39-2045-A26E-73F70B88F416}" name="xsk3g-no-hash" dataDxfId="130"/>
    <tableColumn id="12" xr3:uid="{03110B4C-3E7F-3A47-903C-46C56703C321}" name="xsk4g-no-hash" dataDxfId="129"/>
    <tableColumn id="13" xr3:uid="{F666F9A8-2B91-5A4F-8FF6-8662814BE008}" name="2g-hash-at-both" dataDxfId="128"/>
    <tableColumn id="14" xr3:uid="{B7C982F9-8B5F-EB40-A120-8562D900F112}" name="3g-hash-at-both" dataDxfId="127"/>
    <tableColumn id="15" xr3:uid="{EFA698A3-ABF3-6C43-B7B3-D7641C5A5033}" name="4g-hash-at-both" dataDxfId="126"/>
    <tableColumn id="16" xr3:uid="{1306A1A5-0281-5E45-9D17-57CC08D99390}" name="xsk2g-hash-at-both" dataDxfId="125"/>
    <tableColumn id="17" xr3:uid="{D536BF92-51E5-9441-81CD-42B6AE875625}" name="xsk3g-hash-at-both" dataDxfId="124"/>
    <tableColumn id="18" xr3:uid="{D544CB21-C2A9-4745-BD6B-37148F34D079}" name="xsk4g-hash-at-both" dataDxfId="123"/>
    <tableColumn id="19" xr3:uid="{78AB5E8E-ADD7-364E-BE3B-7C4EB75B5778}" name="max" dataDxfId="122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3E692E-19AC-9F4C-93C8-0658382743C7}" name="Table912" displayName="Table912" ref="B22:S28" totalsRowShown="0">
  <autoFilter ref="B22:S28" xr:uid="{263E692E-19AC-9F4C-93C8-0658382743C7}"/>
  <sortState xmlns:xlrd2="http://schemas.microsoft.com/office/spreadsheetml/2017/richdata2" ref="B23:S28">
    <sortCondition ref="B22:B28"/>
  </sortState>
  <tableColumns count="18">
    <tableColumn id="18" xr3:uid="{825C3CCD-56E3-0843-91EE-7E49332F1403}" name="attribute.index" dataDxfId="121"/>
    <tableColumn id="1" xr3:uid="{63130184-757D-7741-8778-B83995EE7843}" name="attribute"/>
    <tableColumn id="2" xr3:uid="{BB6281A9-6D0A-6749-91D5-3C940D31127D}" name="supplemented"/>
    <tableColumn id="3" xr3:uid="{6B077B26-B5B3-CC44-A60E-96FD3FC08576}" name="method.index"/>
    <tableColumn id="4" xr3:uid="{90B51D45-8144-854D-9570-2EF9D7045857}" name="metric"/>
    <tableColumn id="5" xr3:uid="{B3FF734B-CF99-2745-B7F2-2052264AB844}" name="2g-no-hash" dataDxfId="120">
      <calculatedColumnFormula array="1">_xlfn.LET(_xlpm.d,G$2:G$19,_xlpm.a,$C$2:$C$19=$C23,_xlpm.b,$D$2:$D$19=$D23,MAX(_xlfn._xlws.FILTER(_xlpm.d,_xlpm.a*_xlpm.b)))</calculatedColumnFormula>
    </tableColumn>
    <tableColumn id="6" xr3:uid="{54126478-C226-8E44-8A55-7D797C904A84}" name="3g-no-hash" dataDxfId="119">
      <calculatedColumnFormula array="1">_xlfn.LET(_xlpm.d,H$2:H$19,_xlpm.a,$C$2:$C$19=$C23,_xlpm.b,$D$2:$D$19=$D23,MAX(_xlfn._xlws.FILTER(_xlpm.d,_xlpm.a*_xlpm.b)))</calculatedColumnFormula>
    </tableColumn>
    <tableColumn id="7" xr3:uid="{04B8AD49-D2DC-334A-B8A6-90040F77AF6B}" name="4g-no-hash" dataDxfId="118">
      <calculatedColumnFormula array="1">_xlfn.LET(_xlpm.d,I$2:I$19,_xlpm.a,$C$2:$C$19=$C23,_xlpm.b,$D$2:$D$19=$D23,MAX(_xlfn._xlws.FILTER(_xlpm.d,_xlpm.a*_xlpm.b)))</calculatedColumnFormula>
    </tableColumn>
    <tableColumn id="8" xr3:uid="{A723A809-15B3-0147-B448-0D8A314174A7}" name="xsk2g-no-hash" dataDxfId="117">
      <calculatedColumnFormula array="1">_xlfn.LET(_xlpm.d,J$2:J$19,_xlpm.a,$C$2:$C$19=$C23,_xlpm.b,$D$2:$D$19=$D23,MAX(_xlfn._xlws.FILTER(_xlpm.d,_xlpm.a*_xlpm.b)))</calculatedColumnFormula>
    </tableColumn>
    <tableColumn id="9" xr3:uid="{3CB50A40-F1A2-B642-874E-0FAE1DD4D567}" name="xsk3g-no-hash" dataDxfId="116">
      <calculatedColumnFormula array="1">_xlfn.LET(_xlpm.d,K$2:K$19,_xlpm.a,$C$2:$C$19=$C23,_xlpm.b,$D$2:$D$19=$D23,MAX(_xlfn._xlws.FILTER(_xlpm.d,_xlpm.a*_xlpm.b)))</calculatedColumnFormula>
    </tableColumn>
    <tableColumn id="10" xr3:uid="{99E6D7D5-5CC8-684E-AA9D-AF5BFF6AC312}" name="xsk4g-no-hash" dataDxfId="115">
      <calculatedColumnFormula array="1">_xlfn.LET(_xlpm.d,L$2:L$19,_xlpm.a,$C$2:$C$19=$C23,_xlpm.b,$D$2:$D$19=$D23,MAX(_xlfn._xlws.FILTER(_xlpm.d,_xlpm.a*_xlpm.b)))</calculatedColumnFormula>
    </tableColumn>
    <tableColumn id="11" xr3:uid="{57114697-4AF2-344B-9334-687AD635A113}" name="2g-hash-at-both" dataDxfId="114">
      <calculatedColumnFormula array="1">_xlfn.LET(_xlpm.d,M$2:M$19,_xlpm.a,$C$2:$C$19=$C23,_xlpm.b,$D$2:$D$19=$D23,MAX(_xlfn._xlws.FILTER(_xlpm.d,_xlpm.a*_xlpm.b)))</calculatedColumnFormula>
    </tableColumn>
    <tableColumn id="12" xr3:uid="{94645ADF-E8C0-D646-BB97-219842988C91}" name="3g-hash-at-both" dataDxfId="113">
      <calculatedColumnFormula array="1">_xlfn.LET(_xlpm.d,N$2:N$19,_xlpm.a,$C$2:$C$19=$C23,_xlpm.b,$D$2:$D$19=$D23,MAX(_xlfn._xlws.FILTER(_xlpm.d,_xlpm.a*_xlpm.b)))</calculatedColumnFormula>
    </tableColumn>
    <tableColumn id="13" xr3:uid="{0CBD08C0-FE34-DC4C-942A-4A071D31B230}" name="4g-hash-at-both" dataDxfId="112">
      <calculatedColumnFormula array="1">_xlfn.LET(_xlpm.d,O$2:O$19,_xlpm.a,$C$2:$C$19=$C23,_xlpm.b,$D$2:$D$19=$D23,MAX(_xlfn._xlws.FILTER(_xlpm.d,_xlpm.a*_xlpm.b)))</calculatedColumnFormula>
    </tableColumn>
    <tableColumn id="14" xr3:uid="{110F6736-2E35-F543-A963-2A201683257E}" name="xsk2g-hash-at-both" dataDxfId="111">
      <calculatedColumnFormula array="1">_xlfn.LET(_xlpm.d,P$2:P$19,_xlpm.a,$C$2:$C$19=$C23,_xlpm.b,$D$2:$D$19=$D23,MAX(_xlfn._xlws.FILTER(_xlpm.d,_xlpm.a*_xlpm.b)))</calculatedColumnFormula>
    </tableColumn>
    <tableColumn id="15" xr3:uid="{DB491184-43C2-D749-8261-EAA2C85C332B}" name="xsk3g-hash-at-both" dataDxfId="110">
      <calculatedColumnFormula array="1">_xlfn.LET(_xlpm.d,Q$2:Q$19,_xlpm.a,$C$2:$C$19=$C23,_xlpm.b,$D$2:$D$19=$D23,MAX(_xlfn._xlws.FILTER(_xlpm.d,_xlpm.a*_xlpm.b)))</calculatedColumnFormula>
    </tableColumn>
    <tableColumn id="16" xr3:uid="{7DCA02B4-081A-DC4E-84A7-4E459479EDF9}" name="xsk4g-hash-at-both" dataDxfId="109">
      <calculatedColumnFormula array="1">_xlfn.LET(_xlpm.d,R$2:R$19,_xlpm.a,$C$2:$C$19=$C23,_xlpm.b,$D$2:$D$19=$D23,MAX(_xlfn._xlws.FILTER(_xlpm.d,_xlpm.a*_xlpm.b)))</calculatedColumnFormula>
    </tableColumn>
    <tableColumn id="17" xr3:uid="{2FBD08EE-759F-0749-A310-0DF0584D43E3}" name="max" dataDxfId="108">
      <calculatedColumnFormula>MAX($G23:$R23)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E34F922-6B31-2649-BFE8-3F0D41FEBF82}" name="Table19" displayName="Table19" ref="A1:S19" totalsRowShown="0">
  <autoFilter ref="A1:S19" xr:uid="{3E34F922-6B31-2649-BFE8-3F0D41FEBF82}"/>
  <sortState xmlns:xlrd2="http://schemas.microsoft.com/office/spreadsheetml/2017/richdata2" ref="A2:S19">
    <sortCondition ref="B1:B19"/>
  </sortState>
  <tableColumns count="19">
    <tableColumn id="1" xr3:uid="{286C545C-D46B-B947-8C75-C8734889CF25}" name="lang"/>
    <tableColumn id="2" xr3:uid="{45F39B2A-6E34-0446-8A5E-21146E733CAE}" name="attribute.index"/>
    <tableColumn id="3" xr3:uid="{D70D1827-AA67-864D-A27C-9A8A2ACD818B}" name="attribute"/>
    <tableColumn id="4" xr3:uid="{4DAAE97E-15FE-114E-B2B5-F42379638A9A}" name="supplement"/>
    <tableColumn id="5" xr3:uid="{D4D98674-7A3B-D747-B980-E8FD98268D90}" name="method.index"/>
    <tableColumn id="6" xr3:uid="{A7F7C21A-1E1F-584B-B0FC-5F0CDD82527C}" name="method"/>
    <tableColumn id="7" xr3:uid="{809178DE-2901-4544-866F-3D219E220DCF}" name="2g-no-hash" dataDxfId="107"/>
    <tableColumn id="8" xr3:uid="{6F294732-75E9-5F44-8A9C-26DD62A40709}" name="3g-no-hash" dataDxfId="106"/>
    <tableColumn id="9" xr3:uid="{D256B08E-8C7F-3A41-8989-373773BF30F4}" name="4g-no-hash" dataDxfId="105"/>
    <tableColumn id="13" xr3:uid="{9FE4D5D3-1DBB-F942-A02B-C7BCD0BF8851}" name="xsk2g-no-hash" dataDxfId="104"/>
    <tableColumn id="14" xr3:uid="{60FBADD4-5CF0-854A-A5A8-4A6D3CAC8AA9}" name="xsk3g-no-hash" dataDxfId="103"/>
    <tableColumn id="15" xr3:uid="{6C26C71A-754D-6C4C-ACC4-7202C560C2D9}" name="xsk4g-no-hash" dataDxfId="102"/>
    <tableColumn id="16" xr3:uid="{12C620A0-5B4E-1445-B64E-A6E5079766D7}" name="2g-hash-at-both" dataDxfId="101"/>
    <tableColumn id="17" xr3:uid="{490D44B0-13A9-7743-B502-B7A9857AC18F}" name="3g-hash-at-both" dataDxfId="100"/>
    <tableColumn id="18" xr3:uid="{ABB9ADC6-C44D-A240-A104-ECBC8EC0AE14}" name="4g-hash-at-both" dataDxfId="99"/>
    <tableColumn id="22" xr3:uid="{54B3A69D-B7CD-1145-93CB-04892F3E0CC2}" name="xsk2g-hash-at-both" dataDxfId="98"/>
    <tableColumn id="23" xr3:uid="{142DA1F5-BD51-2D44-9480-6BAE77C4DB39}" name="xsk3g-hash-at-both" dataDxfId="97"/>
    <tableColumn id="24" xr3:uid="{60C84BC4-7CE7-2A4F-A6F9-2132BBD45C14}" name="xsk4g-hash-at-both" dataDxfId="96"/>
    <tableColumn id="25" xr3:uid="{592256AA-67C1-0349-A77D-19EC6790EDBE}" name="max" dataDxfId="95">
      <calculatedColumnFormula>MAX($G2:$O2)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BD98F51-339A-124C-A0D8-C336DAC4DCBD}" name="Table912161921" displayName="Table912161921" ref="B22:S28" totalsRowShown="0">
  <autoFilter ref="B22:S28" xr:uid="{ABD98F51-339A-124C-A0D8-C336DAC4DCBD}"/>
  <sortState xmlns:xlrd2="http://schemas.microsoft.com/office/spreadsheetml/2017/richdata2" ref="B23:S28">
    <sortCondition ref="B22:B28"/>
  </sortState>
  <tableColumns count="18">
    <tableColumn id="18" xr3:uid="{06B50D92-FF5F-4741-8110-25C90753932A}" name="attribute.index" dataDxfId="94"/>
    <tableColumn id="1" xr3:uid="{1AB12E5A-0D2D-904C-9923-4C7E3D89699E}" name="attribute"/>
    <tableColumn id="2" xr3:uid="{45369654-087F-454D-9945-71579B0AE0C5}" name="supplemented"/>
    <tableColumn id="3" xr3:uid="{75459F0D-C2E9-354F-A628-B2E0AF7D4B36}" name="method.index"/>
    <tableColumn id="4" xr3:uid="{48C84D31-52A3-EA4F-ABD0-A8958DB2DAF7}" name="metric"/>
    <tableColumn id="5" xr3:uid="{CF9E5A4F-72D1-2A4E-8DD4-F16FBA076732}" name="2g-no-hash" dataDxfId="93">
      <calculatedColumnFormula array="1">_xlfn.LET(_xlpm.d,G$2:G$19,_xlpm.a,$C$2:$C$19=$C23,_xlpm.b,$D$2:$D$19=$D23,MAX(_xlfn._xlws.FILTER(_xlpm.d,_xlpm.a*_xlpm.b)))</calculatedColumnFormula>
    </tableColumn>
    <tableColumn id="6" xr3:uid="{ABB3A10C-7472-2A4E-8982-7C3D8724C3C8}" name="3g-no-hash" dataDxfId="92">
      <calculatedColumnFormula array="1">_xlfn.LET(_xlpm.d,H$2:H$19,_xlpm.a,$C$2:$C$19=$C23,_xlpm.b,$D$2:$D$19=$D23,MAX(_xlfn._xlws.FILTER(_xlpm.d,_xlpm.a*_xlpm.b)))</calculatedColumnFormula>
    </tableColumn>
    <tableColumn id="7" xr3:uid="{20D40B5B-A2D4-0940-BA4A-4D9B8AF77BAE}" name="4g-no-hash" dataDxfId="91">
      <calculatedColumnFormula array="1">_xlfn.LET(_xlpm.d,I$2:I$19,_xlpm.a,$C$2:$C$19=$C23,_xlpm.b,$D$2:$D$19=$D23,MAX(_xlfn._xlws.FILTER(_xlpm.d,_xlpm.a*_xlpm.b)))</calculatedColumnFormula>
    </tableColumn>
    <tableColumn id="8" xr3:uid="{5C4E9447-6139-FF4F-B914-C11FE8CB0C5A}" name="xsk2g-no-hash" dataDxfId="90">
      <calculatedColumnFormula array="1">_xlfn.LET(_xlpm.d,J$2:J$19,_xlpm.a,$C$2:$C$19=$C23,_xlpm.b,$D$2:$D$19=$D23,MAX(_xlfn._xlws.FILTER(_xlpm.d,_xlpm.a*_xlpm.b)))</calculatedColumnFormula>
    </tableColumn>
    <tableColumn id="9" xr3:uid="{7E21A24B-A325-644F-A906-5BE8F3461A25}" name="xsk3g-no-hash" dataDxfId="89">
      <calculatedColumnFormula array="1">_xlfn.LET(_xlpm.d,K$2:K$19,_xlpm.a,$C$2:$C$19=$C23,_xlpm.b,$D$2:$D$19=$D23,MAX(_xlfn._xlws.FILTER(_xlpm.d,_xlpm.a*_xlpm.b)))</calculatedColumnFormula>
    </tableColumn>
    <tableColumn id="10" xr3:uid="{7B7316B9-FB9E-EF43-9169-3B7B174C6E51}" name="xsk4g-no-hash" dataDxfId="88">
      <calculatedColumnFormula array="1">_xlfn.LET(_xlpm.d,L$2:L$19,_xlpm.a,$C$2:$C$19=$C23,_xlpm.b,$D$2:$D$19=$D23,MAX(_xlfn._xlws.FILTER(_xlpm.d,_xlpm.a*_xlpm.b)))</calculatedColumnFormula>
    </tableColumn>
    <tableColumn id="11" xr3:uid="{6A64FFE6-2B0B-9449-9F2F-22686A7AAF6B}" name="2g-hash-at-both" dataDxfId="87">
      <calculatedColumnFormula array="1">_xlfn.LET(_xlpm.d,M$2:M$19,_xlpm.a,$C$2:$C$19=$C23,_xlpm.b,$D$2:$D$19=$D23,MAX(_xlfn._xlws.FILTER(_xlpm.d,_xlpm.a*_xlpm.b)))</calculatedColumnFormula>
    </tableColumn>
    <tableColumn id="12" xr3:uid="{3E3D4522-9C3A-004A-A87E-1352056D9711}" name="3g-hash-at-both" dataDxfId="86">
      <calculatedColumnFormula array="1">_xlfn.LET(_xlpm.d,N$2:N$19,_xlpm.a,$C$2:$C$19=$C23,_xlpm.b,$D$2:$D$19=$D23,MAX(_xlfn._xlws.FILTER(_xlpm.d,_xlpm.a*_xlpm.b)))</calculatedColumnFormula>
    </tableColumn>
    <tableColumn id="13" xr3:uid="{A5622E6E-F2C3-9F4C-8254-2A3C908C1325}" name="4g-hash-at-both" dataDxfId="85">
      <calculatedColumnFormula array="1">_xlfn.LET(_xlpm.d,O$2:O$19,_xlpm.a,$C$2:$C$19=$C23,_xlpm.b,$D$2:$D$19=$D23,MAX(_xlfn._xlws.FILTER(_xlpm.d,_xlpm.a*_xlpm.b)))</calculatedColumnFormula>
    </tableColumn>
    <tableColumn id="14" xr3:uid="{8DA8C32E-B975-324A-AF5A-C669C8ECA3D2}" name="xsk2g-hash-at-both" dataDxfId="84">
      <calculatedColumnFormula array="1">_xlfn.LET(_xlpm.d,P$2:P$19,_xlpm.a,$C$2:$C$19=$C23,_xlpm.b,$D$2:$D$19=$D23,MAX(_xlfn._xlws.FILTER(_xlpm.d,_xlpm.a*_xlpm.b)))</calculatedColumnFormula>
    </tableColumn>
    <tableColumn id="15" xr3:uid="{E0AB6DBA-FAB6-4143-A1B5-8606AB5184C8}" name="xsk3g-hash-at-both" dataDxfId="83">
      <calculatedColumnFormula array="1">_xlfn.LET(_xlpm.d,Q$2:Q$19,_xlpm.a,$C$2:$C$19=$C23,_xlpm.b,$D$2:$D$19=$D23,MAX(_xlfn._xlws.FILTER(_xlpm.d,_xlpm.a*_xlpm.b)))</calculatedColumnFormula>
    </tableColumn>
    <tableColumn id="16" xr3:uid="{8BCA3E3A-6D49-8048-8571-783F1E9FB92A}" name="xsk4g-hash-at-both" dataDxfId="82">
      <calculatedColumnFormula array="1">_xlfn.LET(_xlpm.d,R$2:R$19,_xlpm.a,$C$2:$C$19=$C23,_xlpm.b,$D$2:$D$19=$D23,MAX(_xlfn._xlws.FILTER(_xlpm.d,_xlpm.a*_xlpm.b)))</calculatedColumnFormula>
    </tableColumn>
    <tableColumn id="17" xr3:uid="{E792C534-2AD4-A743-8B5E-7FFA266F8347}" name="max" dataDxfId="81">
      <calculatedColumnFormula>MAX($G23:$R23)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B978DF1-5443-E342-883A-01822E79C5D5}" name="Table16" displayName="Table16" ref="A1:S19" totalsRowShown="0">
  <autoFilter ref="A1:S19" xr:uid="{CB978DF1-5443-E342-883A-01822E79C5D5}"/>
  <sortState xmlns:xlrd2="http://schemas.microsoft.com/office/spreadsheetml/2017/richdata2" ref="A2:S19">
    <sortCondition ref="B1:B19"/>
  </sortState>
  <tableColumns count="19">
    <tableColumn id="1" xr3:uid="{0C3835E8-3A14-EA4E-92DC-847B08ED4740}" name="lang"/>
    <tableColumn id="2" xr3:uid="{5F82E28B-FBAE-CE4C-BCE4-48FDBF8CC6AB}" name="attribute.index"/>
    <tableColumn id="3" xr3:uid="{4E050D94-8BEA-A346-9A18-4822DFCCE46F}" name="attribute"/>
    <tableColumn id="4" xr3:uid="{E2C1FE62-B880-244B-8063-60A6227A1288}" name="supplement"/>
    <tableColumn id="5" xr3:uid="{4028991B-473F-BC43-B5CE-574FC500C8F2}" name="method.index"/>
    <tableColumn id="6" xr3:uid="{86B3B154-9BAC-864E-A745-A749B0DBDBE0}" name="method"/>
    <tableColumn id="7" xr3:uid="{01EB4CE6-24E6-FD4A-AD4F-F4BE50CDD2B3}" name="2g-no-hash" dataDxfId="80"/>
    <tableColumn id="8" xr3:uid="{CADF5482-A4E3-0644-9467-7AA87562FD80}" name="3g-no-hash" dataDxfId="79"/>
    <tableColumn id="9" xr3:uid="{9FCB449B-13B7-414F-8461-6D96D31AB432}" name="4g-no-hash" dataDxfId="78"/>
    <tableColumn id="10" xr3:uid="{3AE48F16-D0C9-7B45-BFCD-D3EEFAE2A879}" name="xsk2g-no-hash" dataDxfId="77"/>
    <tableColumn id="11" xr3:uid="{57F82649-62E2-9E4D-A237-974A6287CA5A}" name="xsk3g-no-hash" dataDxfId="76"/>
    <tableColumn id="12" xr3:uid="{B9F588FB-2118-064F-983C-172924B17146}" name="xsk4g-no-hash" dataDxfId="75"/>
    <tableColumn id="13" xr3:uid="{82CCCB46-77CC-E044-A298-501408FFB6F6}" name="2g-hash-at-both" dataDxfId="74"/>
    <tableColumn id="14" xr3:uid="{FD873F23-0FC0-7949-A027-E3F1FC174CE7}" name="3g-hash-at-both" dataDxfId="73"/>
    <tableColumn id="15" xr3:uid="{2CED64A8-EE69-444B-A93E-3E621B593BAA}" name="4g-hash-at-both" dataDxfId="72"/>
    <tableColumn id="16" xr3:uid="{FD6B3AA1-017A-D448-9418-4FD9F5B93E07}" name="xsk2g-hash-at-both" dataDxfId="71"/>
    <tableColumn id="17" xr3:uid="{A04AD9E9-34D3-F64E-ADB8-3D0301992FFD}" name="xsk3g-hash-at-both" dataDxfId="70"/>
    <tableColumn id="18" xr3:uid="{D450E541-1E41-A945-96F1-26B8E9ABDCF6}" name="xsk4g-hash-at-both" dataDxfId="69"/>
    <tableColumn id="19" xr3:uid="{4535292F-9AC7-F445-A32F-8E0A3A56D0EE}" name="max" dataDxfId="68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F295A03-3433-1A49-A9C4-809E77C1C180}" name="Table9121619" displayName="Table9121619" ref="B22:S28" totalsRowShown="0">
  <autoFilter ref="B22:S28" xr:uid="{DF295A03-3433-1A49-A9C4-809E77C1C180}"/>
  <sortState xmlns:xlrd2="http://schemas.microsoft.com/office/spreadsheetml/2017/richdata2" ref="B23:S28">
    <sortCondition ref="B22:B28"/>
  </sortState>
  <tableColumns count="18">
    <tableColumn id="18" xr3:uid="{3F59380B-F5CC-1E48-9A6B-C3BD1141A519}" name="attribute.index" dataDxfId="67"/>
    <tableColumn id="1" xr3:uid="{10EED2A5-6303-694D-A98B-3CB22E663545}" name="attribute"/>
    <tableColumn id="2" xr3:uid="{C1A042F8-E98D-D94B-8DE6-FDCDC8CC919E}" name="supplemented"/>
    <tableColumn id="3" xr3:uid="{63475B85-0311-4047-8218-683DFB6A3C6D}" name="method.index"/>
    <tableColumn id="4" xr3:uid="{FBB56575-32FE-424D-8E19-202A01D95291}" name="metric"/>
    <tableColumn id="5" xr3:uid="{9CD9E6A5-D76C-4343-AF3C-E1B11E777494}" name="2g-no-hash" dataDxfId="66">
      <calculatedColumnFormula array="1">_xlfn.LET(_xlpm.d,G$2:G$19,_xlpm.a,$C$2:$C$19=$C23,_xlpm.b,$D$2:$D$19=$D23,MAX(_xlfn._xlws.FILTER(_xlpm.d,_xlpm.a*_xlpm.b)))</calculatedColumnFormula>
    </tableColumn>
    <tableColumn id="6" xr3:uid="{A1740559-D274-7847-8F13-273748B097BF}" name="3g-no-hash" dataDxfId="65">
      <calculatedColumnFormula array="1">_xlfn.LET(_xlpm.d,H$2:H$19,_xlpm.a,$C$2:$C$19=$C23,_xlpm.b,$D$2:$D$19=$D23,MAX(_xlfn._xlws.FILTER(_xlpm.d,_xlpm.a*_xlpm.b)))</calculatedColumnFormula>
    </tableColumn>
    <tableColumn id="7" xr3:uid="{C974A9EA-70B9-4C41-A480-2D4F533B6716}" name="4g-no-hash" dataDxfId="64">
      <calculatedColumnFormula array="1">_xlfn.LET(_xlpm.d,I$2:I$19,_xlpm.a,$C$2:$C$19=$C23,_xlpm.b,$D$2:$D$19=$D23,MAX(_xlfn._xlws.FILTER(_xlpm.d,_xlpm.a*_xlpm.b)))</calculatedColumnFormula>
    </tableColumn>
    <tableColumn id="8" xr3:uid="{932BAC72-CD0F-DD4B-94D2-05E6C9E4A1C8}" name="xsk2g-no-hash" dataDxfId="63">
      <calculatedColumnFormula array="1">_xlfn.LET(_xlpm.d,J$2:J$19,_xlpm.a,$C$2:$C$19=$C23,_xlpm.b,$D$2:$D$19=$D23,MAX(_xlfn._xlws.FILTER(_xlpm.d,_xlpm.a*_xlpm.b)))</calculatedColumnFormula>
    </tableColumn>
    <tableColumn id="9" xr3:uid="{782756E3-F4F0-114D-A8BA-D80F7C793580}" name="xsk3g-no-hash" dataDxfId="62">
      <calculatedColumnFormula array="1">_xlfn.LET(_xlpm.d,K$2:K$19,_xlpm.a,$C$2:$C$19=$C23,_xlpm.b,$D$2:$D$19=$D23,MAX(_xlfn._xlws.FILTER(_xlpm.d,_xlpm.a*_xlpm.b)))</calculatedColumnFormula>
    </tableColumn>
    <tableColumn id="10" xr3:uid="{96311560-6D95-FA4E-AB16-A6B501C14A25}" name="xsk4g-no-hash" dataDxfId="61">
      <calculatedColumnFormula array="1">_xlfn.LET(_xlpm.d,L$2:L$19,_xlpm.a,$C$2:$C$19=$C23,_xlpm.b,$D$2:$D$19=$D23,MAX(_xlfn._xlws.FILTER(_xlpm.d,_xlpm.a*_xlpm.b)))</calculatedColumnFormula>
    </tableColumn>
    <tableColumn id="11" xr3:uid="{94E68AD5-53BD-F94E-8B6D-BA567C7DFD0A}" name="2g-hash-at-both" dataDxfId="60">
      <calculatedColumnFormula array="1">_xlfn.LET(_xlpm.d,M$2:M$19,_xlpm.a,$C$2:$C$19=$C23,_xlpm.b,$D$2:$D$19=$D23,MAX(_xlfn._xlws.FILTER(_xlpm.d,_xlpm.a*_xlpm.b)))</calculatedColumnFormula>
    </tableColumn>
    <tableColumn id="12" xr3:uid="{6943A267-BDE6-294D-B4C3-4D0327843F6A}" name="3g-hash-at-both" dataDxfId="59">
      <calculatedColumnFormula array="1">_xlfn.LET(_xlpm.d,N$2:N$19,_xlpm.a,$C$2:$C$19=$C23,_xlpm.b,$D$2:$D$19=$D23,MAX(_xlfn._xlws.FILTER(_xlpm.d,_xlpm.a*_xlpm.b)))</calculatedColumnFormula>
    </tableColumn>
    <tableColumn id="13" xr3:uid="{E4BC417B-B529-9949-9E97-DA1F56F79CFE}" name="4g-hash-at-both" dataDxfId="58">
      <calculatedColumnFormula array="1">_xlfn.LET(_xlpm.d,O$2:O$19,_xlpm.a,$C$2:$C$19=$C23,_xlpm.b,$D$2:$D$19=$D23,MAX(_xlfn._xlws.FILTER(_xlpm.d,_xlpm.a*_xlpm.b)))</calculatedColumnFormula>
    </tableColumn>
    <tableColumn id="14" xr3:uid="{29FFF7DB-1D47-9342-A6AE-B9B8CD78F08C}" name="xsk2g-hash-at-both" dataDxfId="57">
      <calculatedColumnFormula array="1">_xlfn.LET(_xlpm.d,P$2:P$19,_xlpm.a,$C$2:$C$19=$C23,_xlpm.b,$D$2:$D$19=$D23,MAX(_xlfn._xlws.FILTER(_xlpm.d,_xlpm.a*_xlpm.b)))</calculatedColumnFormula>
    </tableColumn>
    <tableColumn id="15" xr3:uid="{860D585C-A649-5C46-8A5C-24ADE3ACAA33}" name="xsk3g-hash-at-both" dataDxfId="56">
      <calculatedColumnFormula array="1">_xlfn.LET(_xlpm.d,Q$2:Q$19,_xlpm.a,$C$2:$C$19=$C23,_xlpm.b,$D$2:$D$19=$D23,MAX(_xlfn._xlws.FILTER(_xlpm.d,_xlpm.a*_xlpm.b)))</calculatedColumnFormula>
    </tableColumn>
    <tableColumn id="16" xr3:uid="{C899584B-30D0-3843-AB9A-22BA8A66E1D2}" name="xsk4g-hash-at-both" dataDxfId="55">
      <calculatedColumnFormula array="1">_xlfn.LET(_xlpm.d,R$2:R$19,_xlpm.a,$C$2:$C$19=$C23,_xlpm.b,$D$2:$D$19=$D23,MAX(_xlfn._xlws.FILTER(_xlpm.d,_xlpm.a*_xlpm.b)))</calculatedColumnFormula>
    </tableColumn>
    <tableColumn id="17" xr3:uid="{D27CF882-CD4D-6445-9B40-DD638890A44C}" name="max" dataDxfId="54">
      <calculatedColumnFormula>MAX($G23:$R23)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604EB6-CFB1-614C-982E-FF7026D67BD4}" name="Table12" displayName="Table12" ref="A1:S19" totalsRowShown="0">
  <autoFilter ref="A1:S19" xr:uid="{46604EB6-CFB1-614C-982E-FF7026D67BD4}"/>
  <tableColumns count="19">
    <tableColumn id="1" xr3:uid="{F8296ABF-88BF-D145-B6E3-2B2022D35FD0}" name="lang"/>
    <tableColumn id="2" xr3:uid="{947FFFB2-BD48-3B43-AA58-BC13FB424305}" name="attribute.index"/>
    <tableColumn id="3" xr3:uid="{A6997B80-74F8-2243-B5DD-93351790B3AB}" name="attribute"/>
    <tableColumn id="4" xr3:uid="{4DD2C88B-1F2D-6546-8107-8686145CFA98}" name="supplement"/>
    <tableColumn id="5" xr3:uid="{AFF4863D-C015-3B43-BB4D-A66D905040A5}" name="method.index"/>
    <tableColumn id="6" xr3:uid="{07AED814-C19B-2641-98FC-9474976B843E}" name="method"/>
    <tableColumn id="7" xr3:uid="{3A2914A1-0A34-0B4C-B241-C54BF3F1B67F}" name="2g-no-hash" dataDxfId="53"/>
    <tableColumn id="8" xr3:uid="{30256124-77F2-5140-B943-426C9FD3296D}" name="3g-no-hash" dataDxfId="52"/>
    <tableColumn id="9" xr3:uid="{265D31DA-4808-2C4A-95B7-5B51B016BCFF}" name="4g-no-hash" dataDxfId="51"/>
    <tableColumn id="10" xr3:uid="{9AA3F971-F659-544D-B8EE-009889C66A67}" name="xsk2g-no-hash" dataDxfId="50"/>
    <tableColumn id="11" xr3:uid="{B032DD62-6CDE-F748-9FC4-D14FE7CD907E}" name="xsk3g-no-hash" dataDxfId="49"/>
    <tableColumn id="12" xr3:uid="{D06A0D8F-83C4-594D-8711-D617299E60EC}" name="xsk4g-no-hash" dataDxfId="48"/>
    <tableColumn id="13" xr3:uid="{37D0C759-F792-9244-B868-65880AD04787}" name="2g-hash-at-both" dataDxfId="47"/>
    <tableColumn id="14" xr3:uid="{76AF4563-E092-8845-93F1-A27F8060F400}" name="3g-hash-at-both" dataDxfId="46"/>
    <tableColumn id="15" xr3:uid="{C3133C2F-94C8-D44D-9CC1-E37D82A08F84}" name="4g-hash-at-both" dataDxfId="45"/>
    <tableColumn id="16" xr3:uid="{64415970-EC4B-F043-8BCD-E761A1AB704F}" name="xsk2g-hash-at-both" dataDxfId="44"/>
    <tableColumn id="17" xr3:uid="{5B7753F3-BF8F-1A4E-8528-8684F10B7500}" name="xsk3g-hash-at-both" dataDxfId="43"/>
    <tableColumn id="18" xr3:uid="{082CD385-F755-9F4A-B5B7-7A3D05F4D1A5}" name="xsk4g-hash-at-both" dataDxfId="42"/>
    <tableColumn id="19" xr3:uid="{BE014FAD-37EA-6740-90E6-76E22D2F6FB3}" name="max" dataDxfId="4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3180B2-D879-B44B-8668-3B77BB168153}" name="Table91216" displayName="Table91216" ref="B22:S28" totalsRowShown="0">
  <autoFilter ref="B22:S28" xr:uid="{603180B2-D879-B44B-8668-3B77BB168153}"/>
  <sortState xmlns:xlrd2="http://schemas.microsoft.com/office/spreadsheetml/2017/richdata2" ref="B23:S28">
    <sortCondition ref="B22:B28"/>
  </sortState>
  <tableColumns count="18">
    <tableColumn id="18" xr3:uid="{B769FE2D-0AB0-7942-84BC-DBA734F737FC}" name="attribute.index" dataDxfId="40"/>
    <tableColumn id="1" xr3:uid="{EA713545-B98C-AD46-867D-CEB8AF802ADD}" name="attribute"/>
    <tableColumn id="2" xr3:uid="{807888EE-5D93-CE4B-A880-AB985A1E4571}" name="supplemented"/>
    <tableColumn id="3" xr3:uid="{000A9523-5726-1F43-AF5F-A659F91B0548}" name="method.index"/>
    <tableColumn id="4" xr3:uid="{7AC5606C-BBC6-3448-8B3C-974514CBB5FE}" name="metric"/>
    <tableColumn id="5" xr3:uid="{FB97C4E3-05B8-6B4E-A725-AAF19F01DA66}" name="2g-no-hash" dataDxfId="39">
      <calculatedColumnFormula array="1">_xlfn.LET(_xlpm.d,G$2:G$19,_xlpm.a,$C$2:$C$19=$C23,_xlpm.b,$D$2:$D$19=$D23,MAX(_xlfn._xlws.FILTER(_xlpm.d,_xlpm.a*_xlpm.b)))</calculatedColumnFormula>
    </tableColumn>
    <tableColumn id="6" xr3:uid="{96BC7F40-108F-6849-A06A-D3266D8FE9FD}" name="3g-no-hash" dataDxfId="38">
      <calculatedColumnFormula array="1">_xlfn.LET(_xlpm.d,H$2:H$19,_xlpm.a,$C$2:$C$19=$C23,_xlpm.b,$D$2:$D$19=$D23,MAX(_xlfn._xlws.FILTER(_xlpm.d,_xlpm.a*_xlpm.b)))</calculatedColumnFormula>
    </tableColumn>
    <tableColumn id="7" xr3:uid="{7800FA9C-C71D-5242-9624-88956C35D233}" name="4g-no-hash" dataDxfId="37">
      <calculatedColumnFormula array="1">_xlfn.LET(_xlpm.d,I$2:I$19,_xlpm.a,$C$2:$C$19=$C23,_xlpm.b,$D$2:$D$19=$D23,MAX(_xlfn._xlws.FILTER(_xlpm.d,_xlpm.a*_xlpm.b)))</calculatedColumnFormula>
    </tableColumn>
    <tableColumn id="8" xr3:uid="{13BE9CFC-6A18-0D47-B9E7-90E5535C8688}" name="xsk2g-no-hash" dataDxfId="36">
      <calculatedColumnFormula array="1">_xlfn.LET(_xlpm.d,J$2:J$19,_xlpm.a,$C$2:$C$19=$C23,_xlpm.b,$D$2:$D$19=$D23,MAX(_xlfn._xlws.FILTER(_xlpm.d,_xlpm.a*_xlpm.b)))</calculatedColumnFormula>
    </tableColumn>
    <tableColumn id="9" xr3:uid="{0661CDDE-1FFC-DD44-B98C-97A61443AE63}" name="xsk3g-no-hash" dataDxfId="35">
      <calculatedColumnFormula array="1">_xlfn.LET(_xlpm.d,K$2:K$19,_xlpm.a,$C$2:$C$19=$C23,_xlpm.b,$D$2:$D$19=$D23,MAX(_xlfn._xlws.FILTER(_xlpm.d,_xlpm.a*_xlpm.b)))</calculatedColumnFormula>
    </tableColumn>
    <tableColumn id="10" xr3:uid="{6DF0FC74-B35F-B14A-8E57-0960CF725299}" name="xsk4g-no-hash" dataDxfId="34">
      <calculatedColumnFormula array="1">_xlfn.LET(_xlpm.d,L$2:L$19,_xlpm.a,$C$2:$C$19=$C23,_xlpm.b,$D$2:$D$19=$D23,MAX(_xlfn._xlws.FILTER(_xlpm.d,_xlpm.a*_xlpm.b)))</calculatedColumnFormula>
    </tableColumn>
    <tableColumn id="11" xr3:uid="{3AD42B0B-2CE7-D142-A958-816F6204EEC9}" name="2g-hash-at-both" dataDxfId="33">
      <calculatedColumnFormula array="1">_xlfn.LET(_xlpm.d,M$2:M$19,_xlpm.a,$C$2:$C$19=$C23,_xlpm.b,$D$2:$D$19=$D23,MAX(_xlfn._xlws.FILTER(_xlpm.d,_xlpm.a*_xlpm.b)))</calculatedColumnFormula>
    </tableColumn>
    <tableColumn id="12" xr3:uid="{81604F5A-01DA-2647-8D42-B1865F926C5F}" name="3g-hash-at-both" dataDxfId="32">
      <calculatedColumnFormula array="1">_xlfn.LET(_xlpm.d,N$2:N$19,_xlpm.a,$C$2:$C$19=$C23,_xlpm.b,$D$2:$D$19=$D23,MAX(_xlfn._xlws.FILTER(_xlpm.d,_xlpm.a*_xlpm.b)))</calculatedColumnFormula>
    </tableColumn>
    <tableColumn id="13" xr3:uid="{3F7D32A0-7621-F040-A706-809B3DD0DC36}" name="4g-hash-at-both" dataDxfId="31">
      <calculatedColumnFormula array="1">_xlfn.LET(_xlpm.d,O$2:O$19,_xlpm.a,$C$2:$C$19=$C23,_xlpm.b,$D$2:$D$19=$D23,MAX(_xlfn._xlws.FILTER(_xlpm.d,_xlpm.a*_xlpm.b)))</calculatedColumnFormula>
    </tableColumn>
    <tableColumn id="14" xr3:uid="{F43C5593-B8FF-C94E-8FA1-D60EB2ABCBAC}" name="xsk2g-hash-at-both" dataDxfId="30">
      <calculatedColumnFormula array="1">_xlfn.LET(_xlpm.d,P$2:P$19,_xlpm.a,$C$2:$C$19=$C23,_xlpm.b,$D$2:$D$19=$D23,MAX(_xlfn._xlws.FILTER(_xlpm.d,_xlpm.a*_xlpm.b)))</calculatedColumnFormula>
    </tableColumn>
    <tableColumn id="15" xr3:uid="{6C5ADE54-F036-5145-B523-3FC6C153D786}" name="xsk3g-hash-at-both" dataDxfId="29">
      <calculatedColumnFormula array="1">_xlfn.LET(_xlpm.d,Q$2:Q$19,_xlpm.a,$C$2:$C$19=$C23,_xlpm.b,$D$2:$D$19=$D23,MAX(_xlfn._xlws.FILTER(_xlpm.d,_xlpm.a*_xlpm.b)))</calculatedColumnFormula>
    </tableColumn>
    <tableColumn id="16" xr3:uid="{D7B32147-37B3-8543-94DF-7D21A0DEF87C}" name="xsk4g-hash-at-both" dataDxfId="28">
      <calculatedColumnFormula array="1">_xlfn.LET(_xlpm.d,R$2:R$19,_xlpm.a,$C$2:$C$19=$C23,_xlpm.b,$D$2:$D$19=$D23,MAX(_xlfn._xlws.FILTER(_xlpm.d,_xlpm.a*_xlpm.b)))</calculatedColumnFormula>
    </tableColumn>
    <tableColumn id="17" xr3:uid="{D388C29F-A3D1-8140-8EE1-333E1F2E4536}" name="max" dataDxfId="27">
      <calculatedColumnFormula>MAX($G23:$R23)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1ACC64-9082-4B43-A2DC-6B549A575DBE}" name="Table13" displayName="Table13" ref="A1:S19" totalsRowShown="0">
  <autoFilter ref="A1:S19" xr:uid="{951ACC64-9082-4B43-A2DC-6B549A575DBE}"/>
  <sortState xmlns:xlrd2="http://schemas.microsoft.com/office/spreadsheetml/2017/richdata2" ref="A2:S19">
    <sortCondition ref="B1:B19"/>
  </sortState>
  <tableColumns count="19">
    <tableColumn id="1" xr3:uid="{F591FD78-077A-6542-89E7-A97047F61B04}" name="lang"/>
    <tableColumn id="2" xr3:uid="{26AC73F5-99FE-D243-93FC-B759DE6DEA6A}" name="attribute.index"/>
    <tableColumn id="3" xr3:uid="{FB198775-5F12-1B46-AE5A-54626377DC7E}" name="attribute"/>
    <tableColumn id="4" xr3:uid="{C346A945-F4AA-4746-97F8-86B62AF0976E}" name="supplement"/>
    <tableColumn id="5" xr3:uid="{45E7E95E-1945-9A4C-8A35-2BE7757D352C}" name="method.index"/>
    <tableColumn id="6" xr3:uid="{A2D74D0E-836E-BC4E-8930-DD28C29A2709}" name="method"/>
    <tableColumn id="7" xr3:uid="{BDF0A32B-3191-674B-B187-C65689ED76B9}" name="2g-no-hash" dataDxfId="26"/>
    <tableColumn id="8" xr3:uid="{073FD5CB-11FD-1F47-A0FD-2FB51FD61EF7}" name="3g-no-hash" dataDxfId="25"/>
    <tableColumn id="9" xr3:uid="{88AEE094-9E70-1149-B360-B8082FC0D17C}" name="4g-no-hash" dataDxfId="24"/>
    <tableColumn id="10" xr3:uid="{EA2A5CEE-2BA0-0A44-AE93-787CE43263EB}" name="xsk2g-no-hash" dataDxfId="23"/>
    <tableColumn id="11" xr3:uid="{708A555E-1F8B-4746-A4C2-7AD4099F8352}" name="xsk3g-no-hash" dataDxfId="22"/>
    <tableColumn id="12" xr3:uid="{D2652533-D641-1C46-9B44-071E67A51E61}" name="xsk4g-no-hash" dataDxfId="21"/>
    <tableColumn id="13" xr3:uid="{D4602502-90C9-9240-A504-0AD541A9824F}" name="2g-hash-at-both" dataDxfId="20"/>
    <tableColumn id="14" xr3:uid="{78061474-07FA-C44E-9A97-411B79C50030}" name="3g-hash-at-both" dataDxfId="19"/>
    <tableColumn id="15" xr3:uid="{792E03D5-35F3-1A40-8EF5-D7949232A43D}" name="4g-hash-at-both" dataDxfId="18"/>
    <tableColumn id="16" xr3:uid="{0FA6F6B8-A6D7-4A4D-88D8-6EA1AC810CC5}" name="xsk2g-hash-at-both" dataDxfId="17"/>
    <tableColumn id="17" xr3:uid="{8983F717-025A-9949-850B-F12E5768883C}" name="xsk3g-hash-at-both" dataDxfId="16"/>
    <tableColumn id="18" xr3:uid="{739203AD-00B5-AB45-AB2C-47DB6B03F5A5}" name="xsk4g-hash-at-both" dataDxfId="15"/>
    <tableColumn id="19" xr3:uid="{D56B28C9-2064-CD45-8804-15C4651195BA}" name="max" dataDxfId="14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FAEC878-75A2-1C43-98A1-8137B725CD31}" name="Table615" displayName="Table615" ref="B22:S28" totalsRowShown="0">
  <autoFilter ref="B22:S28" xr:uid="{0FAEC878-75A2-1C43-98A1-8137B725CD31}"/>
  <sortState xmlns:xlrd2="http://schemas.microsoft.com/office/spreadsheetml/2017/richdata2" ref="B23:S28">
    <sortCondition ref="B22:B28"/>
  </sortState>
  <tableColumns count="18">
    <tableColumn id="18" xr3:uid="{E4E38B0E-7C36-444B-A90F-B8D248C7D568}" name="attribute.index" dataDxfId="13"/>
    <tableColumn id="1" xr3:uid="{EC5C01E7-3690-C04B-A512-FE3BE4B65C2F}" name="attribute"/>
    <tableColumn id="2" xr3:uid="{FD56F8BA-66A8-1346-919F-F0A242399A1C}" name="supplemented"/>
    <tableColumn id="3" xr3:uid="{69C339DE-A13C-0742-A207-A5983A91850A}" name="method.index"/>
    <tableColumn id="4" xr3:uid="{A348AD8C-ECCB-9647-8690-E9A7D43440EE}" name="metric"/>
    <tableColumn id="5" xr3:uid="{6D5CB9C4-8273-0C43-BE3B-B070C4026678}" name="2gram-no-hash" dataDxfId="12">
      <calculatedColumnFormula array="1">_xlfn.LET(_xlpm.d,G$2:G$19,_xlpm.a,$C$2:$C$19=$C23,_xlpm.b,$D$2:$D$19=$D23,MAX(_xlfn._xlws.FILTER(_xlpm.d,_xlpm.a*_xlpm.b)))</calculatedColumnFormula>
    </tableColumn>
    <tableColumn id="6" xr3:uid="{1FB74865-0DDD-5941-A116-9468A1F27409}" name="3gram-no-hash" dataDxfId="11">
      <calculatedColumnFormula array="1">_xlfn.LET(_xlpm.d,H$2:H$19,_xlpm.a,$C$2:$C$19=$C23,_xlpm.b,$D$2:$D$19=$D23,MAX(_xlfn._xlws.FILTER(_xlpm.d,_xlpm.a*_xlpm.b)))</calculatedColumnFormula>
    </tableColumn>
    <tableColumn id="7" xr3:uid="{2EA71616-64A3-EB4A-8DE4-E2389CD9B5AE}" name="4gram-no-hash" dataDxfId="10">
      <calculatedColumnFormula array="1">_xlfn.LET(_xlpm.d,I$2:I$19,_xlpm.a,$C$2:$C$19=$C23,_xlpm.b,$D$2:$D$19=$D23,MAX(_xlfn._xlws.FILTER(_xlpm.d,_xlpm.a*_xlpm.b)))</calculatedColumnFormula>
    </tableColumn>
    <tableColumn id="8" xr3:uid="{AF9A06E9-6648-8049-80E1-6DB0A07A6014}" name="xsk2gram-no-hash" dataDxfId="9">
      <calculatedColumnFormula array="1">_xlfn.LET(_xlpm.d,J$2:J$19,_xlpm.a,$C$2:$C$19=$C23,_xlpm.b,$D$2:$D$19=$D23,MAX(_xlfn._xlws.FILTER(_xlpm.d,_xlpm.a*_xlpm.b)))</calculatedColumnFormula>
    </tableColumn>
    <tableColumn id="9" xr3:uid="{E0F3ADEE-9795-8549-9F6F-BFB8E7019133}" name="xsk3gram-no-hash" dataDxfId="8">
      <calculatedColumnFormula array="1">_xlfn.LET(_xlpm.d,K$2:K$19,_xlpm.a,$C$2:$C$19=$C23,_xlpm.b,$D$2:$D$19=$D23,MAX(_xlfn._xlws.FILTER(_xlpm.d,_xlpm.a*_xlpm.b)))</calculatedColumnFormula>
    </tableColumn>
    <tableColumn id="10" xr3:uid="{9EC35A50-2BE2-5146-8894-1DB8A7EF33CF}" name="xsk4gram-no-hash" dataDxfId="7">
      <calculatedColumnFormula array="1">_xlfn.LET(_xlpm.d,L$2:L$19,_xlpm.a,$C$2:$C$19=$C23,_xlpm.b,$D$2:$D$19=$D23,MAX(_xlfn._xlws.FILTER(_xlpm.d,_xlpm.a*_xlpm.b)))</calculatedColumnFormula>
    </tableColumn>
    <tableColumn id="11" xr3:uid="{4A3A5D9D-B5CF-544C-A4F6-B7B0EE82D656}" name="2gram-hash-at-both" dataDxfId="6">
      <calculatedColumnFormula array="1">_xlfn.LET(_xlpm.d,M$2:M$19,_xlpm.a,$C$2:$C$19=$C23,_xlpm.b,$D$2:$D$19=$D23,MAX(_xlfn._xlws.FILTER(_xlpm.d,_xlpm.a*_xlpm.b)))</calculatedColumnFormula>
    </tableColumn>
    <tableColumn id="12" xr3:uid="{E8B451F4-550B-C14D-A8A5-92CCA42ED83C}" name="3gram-hash-at-both" dataDxfId="5">
      <calculatedColumnFormula array="1">_xlfn.LET(_xlpm.d,N$2:N$19,_xlpm.a,$C$2:$C$19=$C23,_xlpm.b,$D$2:$D$19=$D23,MAX(_xlfn._xlws.FILTER(_xlpm.d,_xlpm.a*_xlpm.b)))</calculatedColumnFormula>
    </tableColumn>
    <tableColumn id="13" xr3:uid="{718C0DFB-082C-494B-9651-0502BC648A0D}" name="4gram-hash-at-both" dataDxfId="4">
      <calculatedColumnFormula array="1">_xlfn.LET(_xlpm.d,O$2:O$19,_xlpm.a,$C$2:$C$19=$C23,_xlpm.b,$D$2:$D$19=$D23,MAX(_xlfn._xlws.FILTER(_xlpm.d,_xlpm.a*_xlpm.b)))</calculatedColumnFormula>
    </tableColumn>
    <tableColumn id="14" xr3:uid="{927A2BE0-2278-9F4F-854B-E8366A1E137F}" name="xsk2gram-hash-at-both" dataDxfId="3">
      <calculatedColumnFormula array="1">_xlfn.LET(_xlpm.d,P$2:P$19,_xlpm.a,$C$2:$C$19=$C23,_xlpm.b,$D$2:$D$19=$D23,MAX(_xlfn._xlws.FILTER(_xlpm.d,_xlpm.a*_xlpm.b)))</calculatedColumnFormula>
    </tableColumn>
    <tableColumn id="15" xr3:uid="{F8507DF9-9B7C-7146-AC3F-BFA85AC5BF97}" name="xsk3gram-hash-at-both" dataDxfId="2">
      <calculatedColumnFormula array="1">_xlfn.LET(_xlpm.d,Q$2:Q$19,_xlpm.a,$C$2:$C$19=$C23,_xlpm.b,$D$2:$D$19=$D23,MAX(_xlfn._xlws.FILTER(_xlpm.d,_xlpm.a*_xlpm.b)))</calculatedColumnFormula>
    </tableColumn>
    <tableColumn id="16" xr3:uid="{265AC059-22F3-C34D-B9B7-1DB3123B6146}" name="xsk4gram-hash-at-both" dataDxfId="1">
      <calculatedColumnFormula array="1">_xlfn.LET(_xlpm.d,R$2:R$19,_xlpm.a,$C$2:$C$19=$C23,_xlpm.b,$D$2:$D$19=$D23,MAX(_xlfn._xlws.FILTER(_xlpm.d,_xlpm.a*_xlpm.b)))</calculatedColumnFormula>
    </tableColumn>
    <tableColumn id="17" xr3:uid="{E0532B89-513A-5244-82FF-360218BD6919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A365-97FB-6846-8F24-98595B9D6B0D}">
  <sheetPr codeName="Sheet6"/>
  <dimension ref="A1:X103"/>
  <sheetViews>
    <sheetView workbookViewId="0">
      <pane xSplit="13700" ySplit="2940" topLeftCell="R56" activePane="bottomRight"/>
      <selection activeCell="G53" sqref="G53"/>
      <selection pane="topRight" activeCell="X1" sqref="X1:X1048576"/>
      <selection pane="bottomLeft" activeCell="G77" sqref="G77"/>
      <selection pane="bottomRight" activeCell="R74" sqref="R74"/>
    </sheetView>
  </sheetViews>
  <sheetFormatPr baseColWidth="10" defaultRowHeight="25" customHeight="1"/>
  <cols>
    <col min="1" max="1" width="7.375" customWidth="1"/>
    <col min="2" max="4" width="6.75" customWidth="1"/>
    <col min="5" max="5" width="10.125" customWidth="1"/>
    <col min="6" max="6" width="7.125" customWidth="1"/>
    <col min="7" max="8" width="6.75" customWidth="1"/>
    <col min="9" max="9" width="25.875" customWidth="1"/>
    <col min="10" max="20" width="6.75" customWidth="1"/>
    <col min="21" max="21" width="9.75" customWidth="1"/>
    <col min="22" max="22" width="8.75" customWidth="1"/>
    <col min="23" max="23" width="9.375" customWidth="1"/>
    <col min="24" max="24" width="10.5" customWidth="1"/>
  </cols>
  <sheetData>
    <row r="1" spans="1:24" ht="25" customHeight="1">
      <c r="A1" t="s">
        <v>46</v>
      </c>
      <c r="B1" t="s">
        <v>47</v>
      </c>
      <c r="C1" t="s">
        <v>48</v>
      </c>
      <c r="D1" t="s">
        <v>24</v>
      </c>
      <c r="E1" t="s">
        <v>1</v>
      </c>
      <c r="F1" t="s">
        <v>26</v>
      </c>
      <c r="G1" t="s">
        <v>25</v>
      </c>
      <c r="H1" t="s">
        <v>27</v>
      </c>
      <c r="I1" t="s">
        <v>50</v>
      </c>
      <c r="J1" t="s">
        <v>33</v>
      </c>
      <c r="K1" t="s">
        <v>34</v>
      </c>
      <c r="L1" t="s">
        <v>35</v>
      </c>
      <c r="M1" t="s">
        <v>40</v>
      </c>
      <c r="N1" t="s">
        <v>41</v>
      </c>
      <c r="O1" t="s">
        <v>42</v>
      </c>
      <c r="P1" t="s">
        <v>36</v>
      </c>
      <c r="Q1" t="s">
        <v>37</v>
      </c>
      <c r="R1" t="s">
        <v>38</v>
      </c>
      <c r="S1" t="s">
        <v>43</v>
      </c>
      <c r="T1" t="s">
        <v>44</v>
      </c>
      <c r="U1" t="s">
        <v>45</v>
      </c>
      <c r="V1" t="s">
        <v>23</v>
      </c>
      <c r="W1" t="s">
        <v>29</v>
      </c>
      <c r="X1" t="s">
        <v>51</v>
      </c>
    </row>
    <row r="2" spans="1:24" ht="25" customHeight="1">
      <c r="A2" t="s">
        <v>49</v>
      </c>
      <c r="B2">
        <v>1.2</v>
      </c>
      <c r="C2">
        <v>3</v>
      </c>
      <c r="D2">
        <v>1</v>
      </c>
      <c r="E2" t="s">
        <v>17</v>
      </c>
      <c r="F2" t="b">
        <v>0</v>
      </c>
      <c r="G2">
        <v>0</v>
      </c>
      <c r="H2" t="s">
        <v>23</v>
      </c>
      <c r="I2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plu-spl:F-mgv:3-sn:1.2k</v>
      </c>
      <c r="J2" s="4">
        <v>0.8</v>
      </c>
      <c r="K2" s="4">
        <v>0.78</v>
      </c>
      <c r="L2" s="4">
        <v>0.85</v>
      </c>
      <c r="M2" s="4">
        <v>0.84</v>
      </c>
      <c r="N2" s="4">
        <v>0.84</v>
      </c>
      <c r="O2" s="4">
        <v>0.77</v>
      </c>
      <c r="P2" s="4">
        <v>0.81</v>
      </c>
      <c r="Q2" s="4">
        <v>0.84</v>
      </c>
      <c r="R2" s="4">
        <v>0.85</v>
      </c>
      <c r="S2" s="4">
        <v>0.82</v>
      </c>
      <c r="T2" s="4">
        <v>0.9</v>
      </c>
      <c r="U2" s="4">
        <v>0.85</v>
      </c>
      <c r="V2" s="4">
        <v>0.9</v>
      </c>
      <c r="W2" s="4">
        <f t="shared" ref="W2:W33" si="0">_xlfn.LET(_xlpm.d,$J2:$U2,GEOMEAN(_xlpm.d))</f>
        <v>0.82846839298368224</v>
      </c>
      <c r="X2" s="6">
        <f t="shared" ref="X2:X33" si="1">_xlfn.LET(_xlpm.x,W2,_xlpm.r,W$2:W$55,RANK(_xlpm.x,_xlpm.r))</f>
        <v>15</v>
      </c>
    </row>
    <row r="3" spans="1:24" ht="25" customHeight="1">
      <c r="A3" t="s">
        <v>49</v>
      </c>
      <c r="B3">
        <v>1.2</v>
      </c>
      <c r="C3">
        <v>3</v>
      </c>
      <c r="D3">
        <v>1</v>
      </c>
      <c r="E3" t="s">
        <v>17</v>
      </c>
      <c r="F3" t="b">
        <v>1</v>
      </c>
      <c r="G3">
        <v>0</v>
      </c>
      <c r="H3" t="s">
        <v>23</v>
      </c>
      <c r="I3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plu-spl:T-mgv:3-sn:1.2k</v>
      </c>
      <c r="J3" s="4">
        <v>0.87</v>
      </c>
      <c r="K3" s="4">
        <v>0.82</v>
      </c>
      <c r="L3" s="4">
        <v>0.88</v>
      </c>
      <c r="M3" s="4">
        <v>0.84</v>
      </c>
      <c r="N3" s="4">
        <v>0.85</v>
      </c>
      <c r="O3" s="4">
        <v>0.79</v>
      </c>
      <c r="P3" s="4">
        <v>0.87</v>
      </c>
      <c r="Q3" s="4">
        <v>0.89</v>
      </c>
      <c r="R3" s="4">
        <v>0.88</v>
      </c>
      <c r="S3" s="4">
        <v>0.84</v>
      </c>
      <c r="T3" s="4">
        <v>0.94</v>
      </c>
      <c r="U3" s="4">
        <v>0.87</v>
      </c>
      <c r="V3" s="4">
        <v>0.94</v>
      </c>
      <c r="W3" s="4">
        <f t="shared" si="0"/>
        <v>0.86090444532545818</v>
      </c>
      <c r="X3" s="6">
        <f t="shared" si="1"/>
        <v>10</v>
      </c>
    </row>
    <row r="4" spans="1:24" ht="25" customHeight="1">
      <c r="A4" t="s">
        <v>49</v>
      </c>
      <c r="B4">
        <v>1.2</v>
      </c>
      <c r="C4">
        <v>3</v>
      </c>
      <c r="D4">
        <v>2</v>
      </c>
      <c r="E4" t="s">
        <v>21</v>
      </c>
      <c r="F4" t="b">
        <v>0</v>
      </c>
      <c r="G4">
        <v>0</v>
      </c>
      <c r="H4" t="s">
        <v>23</v>
      </c>
      <c r="I4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gen-spl:F-mgv:3-sn:1.2k</v>
      </c>
      <c r="J4" s="4">
        <v>0.69</v>
      </c>
      <c r="K4" s="4">
        <v>0.57999999999999996</v>
      </c>
      <c r="L4" s="4">
        <v>0.57999999999999996</v>
      </c>
      <c r="M4" s="4">
        <v>0.56999999999999995</v>
      </c>
      <c r="N4" s="4">
        <v>0.62</v>
      </c>
      <c r="O4" s="4">
        <v>0.56999999999999995</v>
      </c>
      <c r="P4" s="4">
        <v>0.55000000000000004</v>
      </c>
      <c r="Q4" s="4">
        <v>0.59</v>
      </c>
      <c r="R4" s="4">
        <v>0.65</v>
      </c>
      <c r="S4" s="4">
        <v>0.56999999999999995</v>
      </c>
      <c r="T4" s="4">
        <v>0.56999999999999995</v>
      </c>
      <c r="U4" s="4">
        <v>0.7</v>
      </c>
      <c r="V4" s="4">
        <v>0.7</v>
      </c>
      <c r="W4" s="4">
        <f t="shared" si="0"/>
        <v>0.6014993891824898</v>
      </c>
      <c r="X4" s="6">
        <f t="shared" si="1"/>
        <v>36</v>
      </c>
    </row>
    <row r="5" spans="1:24" ht="25" customHeight="1">
      <c r="A5" t="s">
        <v>49</v>
      </c>
      <c r="B5">
        <v>1.2</v>
      </c>
      <c r="C5">
        <v>3</v>
      </c>
      <c r="D5">
        <v>2</v>
      </c>
      <c r="E5" t="s">
        <v>21</v>
      </c>
      <c r="F5" t="b">
        <v>1</v>
      </c>
      <c r="G5">
        <v>0</v>
      </c>
      <c r="H5" t="s">
        <v>23</v>
      </c>
      <c r="I5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gen-spl:T-mgv:3-sn:1.2k</v>
      </c>
      <c r="J5" s="4">
        <v>0.7</v>
      </c>
      <c r="K5" s="4">
        <v>0.62</v>
      </c>
      <c r="L5" s="4">
        <v>0.65</v>
      </c>
      <c r="M5" s="4">
        <v>0.55000000000000004</v>
      </c>
      <c r="N5" s="4">
        <v>0.66</v>
      </c>
      <c r="O5" s="4">
        <v>0.65</v>
      </c>
      <c r="P5" s="4">
        <v>0.66</v>
      </c>
      <c r="Q5" s="4">
        <v>0.62</v>
      </c>
      <c r="R5" s="4">
        <v>0.63</v>
      </c>
      <c r="S5" s="4">
        <v>0.61</v>
      </c>
      <c r="T5" s="4">
        <v>0.64</v>
      </c>
      <c r="U5" s="4">
        <v>0.62</v>
      </c>
      <c r="V5" s="4">
        <v>0.7</v>
      </c>
      <c r="W5" s="4">
        <f t="shared" si="0"/>
        <v>0.63318904890238892</v>
      </c>
      <c r="X5" s="6">
        <f t="shared" si="1"/>
        <v>32</v>
      </c>
    </row>
    <row r="6" spans="1:24" ht="25" customHeight="1">
      <c r="A6" t="s">
        <v>49</v>
      </c>
      <c r="B6">
        <v>1.2</v>
      </c>
      <c r="C6">
        <v>3</v>
      </c>
      <c r="D6">
        <v>3</v>
      </c>
      <c r="E6" t="s">
        <v>22</v>
      </c>
      <c r="F6" t="b">
        <v>0</v>
      </c>
      <c r="G6">
        <v>0</v>
      </c>
      <c r="H6" t="s">
        <v>23</v>
      </c>
      <c r="I6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cas-spl:F-mgv:3-sn:1.2k</v>
      </c>
      <c r="J6" s="4">
        <v>0.46</v>
      </c>
      <c r="K6" s="4">
        <v>0.39</v>
      </c>
      <c r="L6" s="4">
        <v>0.45</v>
      </c>
      <c r="M6" s="4">
        <v>0.39</v>
      </c>
      <c r="N6" s="4">
        <v>0.41</v>
      </c>
      <c r="O6" s="4">
        <v>0.37</v>
      </c>
      <c r="P6" s="4">
        <v>0.41</v>
      </c>
      <c r="Q6" s="4">
        <v>0.28999999999999998</v>
      </c>
      <c r="R6" s="4">
        <v>0.4</v>
      </c>
      <c r="S6" s="4">
        <v>0.37</v>
      </c>
      <c r="T6" s="4">
        <v>0.36</v>
      </c>
      <c r="U6" s="4">
        <v>0.42</v>
      </c>
      <c r="V6" s="4">
        <v>0.46</v>
      </c>
      <c r="W6" s="4">
        <f t="shared" si="0"/>
        <v>0.39084693307683804</v>
      </c>
      <c r="X6" s="6">
        <f t="shared" si="1"/>
        <v>54</v>
      </c>
    </row>
    <row r="7" spans="1:24" ht="25" customHeight="1">
      <c r="A7" t="s">
        <v>49</v>
      </c>
      <c r="B7">
        <v>1.2</v>
      </c>
      <c r="C7">
        <v>3</v>
      </c>
      <c r="D7">
        <v>3</v>
      </c>
      <c r="E7" t="s">
        <v>22</v>
      </c>
      <c r="F7" t="b">
        <v>1</v>
      </c>
      <c r="G7">
        <v>0</v>
      </c>
      <c r="H7" t="s">
        <v>23</v>
      </c>
      <c r="I7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cas-spl:T-mgv:3-sn:1.2k</v>
      </c>
      <c r="J7" s="4">
        <v>0.52</v>
      </c>
      <c r="K7" s="4">
        <v>0.49</v>
      </c>
      <c r="L7" s="4">
        <v>0.51</v>
      </c>
      <c r="M7" s="4">
        <v>0.5</v>
      </c>
      <c r="N7" s="4">
        <v>0.55000000000000004</v>
      </c>
      <c r="O7" s="4">
        <v>0.51</v>
      </c>
      <c r="P7" s="4">
        <v>0.67</v>
      </c>
      <c r="Q7" s="4">
        <v>0.35</v>
      </c>
      <c r="R7" s="4">
        <v>0.48</v>
      </c>
      <c r="S7" s="4">
        <v>0.48</v>
      </c>
      <c r="T7" s="4">
        <v>0.44</v>
      </c>
      <c r="U7" s="4">
        <v>0.51</v>
      </c>
      <c r="V7" s="4">
        <v>0.67</v>
      </c>
      <c r="W7" s="4">
        <f t="shared" si="0"/>
        <v>0.49586111619250212</v>
      </c>
      <c r="X7" s="6">
        <f t="shared" si="1"/>
        <v>43</v>
      </c>
    </row>
    <row r="8" spans="1:24" ht="25" customHeight="1">
      <c r="A8" t="s">
        <v>49</v>
      </c>
      <c r="B8">
        <v>1.2</v>
      </c>
      <c r="C8">
        <v>6</v>
      </c>
      <c r="D8">
        <v>1</v>
      </c>
      <c r="E8" t="s">
        <v>17</v>
      </c>
      <c r="F8" t="b">
        <v>0</v>
      </c>
      <c r="G8">
        <v>0</v>
      </c>
      <c r="H8" t="s">
        <v>23</v>
      </c>
      <c r="I8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plu-spl:F-mgv:6-sn:1.2k</v>
      </c>
      <c r="J8" s="4">
        <v>0.82</v>
      </c>
      <c r="K8" s="4">
        <v>0.89</v>
      </c>
      <c r="L8" s="4">
        <v>0.77</v>
      </c>
      <c r="M8" s="4">
        <v>0.87</v>
      </c>
      <c r="N8" s="4">
        <v>0.83</v>
      </c>
      <c r="O8" s="4">
        <v>0.88</v>
      </c>
      <c r="P8" s="4">
        <v>0.82</v>
      </c>
      <c r="Q8" s="4">
        <v>0.78</v>
      </c>
      <c r="R8" s="4">
        <v>0.84</v>
      </c>
      <c r="S8" s="4">
        <v>0.87</v>
      </c>
      <c r="T8" s="4">
        <v>0.79</v>
      </c>
      <c r="U8" s="4">
        <v>0.77</v>
      </c>
      <c r="V8" s="4">
        <v>0.89</v>
      </c>
      <c r="W8" s="4">
        <f t="shared" si="0"/>
        <v>0.82645006398927889</v>
      </c>
      <c r="X8" s="6">
        <f t="shared" si="1"/>
        <v>18</v>
      </c>
    </row>
    <row r="9" spans="1:24" ht="25" customHeight="1">
      <c r="A9" t="s">
        <v>49</v>
      </c>
      <c r="B9">
        <v>1.2</v>
      </c>
      <c r="C9">
        <v>6</v>
      </c>
      <c r="D9">
        <v>1</v>
      </c>
      <c r="E9" t="s">
        <v>17</v>
      </c>
      <c r="F9" t="b">
        <v>1</v>
      </c>
      <c r="G9">
        <v>0</v>
      </c>
      <c r="H9" t="s">
        <v>23</v>
      </c>
      <c r="I9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plu-spl:T-mgv:6-sn:1.2k</v>
      </c>
      <c r="J9" s="4">
        <v>0.89</v>
      </c>
      <c r="K9" s="4">
        <v>0.92</v>
      </c>
      <c r="L9" s="4">
        <v>0.82</v>
      </c>
      <c r="M9" s="4">
        <v>0.9</v>
      </c>
      <c r="N9" s="4">
        <v>0.81</v>
      </c>
      <c r="O9" s="4">
        <v>0.88</v>
      </c>
      <c r="P9" s="4">
        <v>0.82</v>
      </c>
      <c r="Q9" s="4">
        <v>0.82</v>
      </c>
      <c r="R9" s="4">
        <v>0.97</v>
      </c>
      <c r="S9" s="4">
        <v>0.89</v>
      </c>
      <c r="T9" s="4">
        <v>0.8</v>
      </c>
      <c r="U9" s="4">
        <v>0.79</v>
      </c>
      <c r="V9" s="4">
        <v>0.97</v>
      </c>
      <c r="W9" s="4">
        <f t="shared" si="0"/>
        <v>0.85748335972216516</v>
      </c>
      <c r="X9" s="6">
        <f t="shared" si="1"/>
        <v>11</v>
      </c>
    </row>
    <row r="10" spans="1:24" ht="25" customHeight="1">
      <c r="A10" t="s">
        <v>49</v>
      </c>
      <c r="B10">
        <v>1.2</v>
      </c>
      <c r="C10">
        <v>6</v>
      </c>
      <c r="D10">
        <v>2</v>
      </c>
      <c r="E10" t="s">
        <v>21</v>
      </c>
      <c r="F10" t="b">
        <v>0</v>
      </c>
      <c r="G10">
        <v>0</v>
      </c>
      <c r="H10" t="s">
        <v>23</v>
      </c>
      <c r="I10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gen-spl:F-mgv:6-sn:1.2k</v>
      </c>
      <c r="J10" s="9">
        <v>0.67</v>
      </c>
      <c r="K10" s="9">
        <v>0.6</v>
      </c>
      <c r="L10" s="9">
        <v>0.61</v>
      </c>
      <c r="M10" s="9">
        <v>0.59</v>
      </c>
      <c r="N10" s="9">
        <v>0.6</v>
      </c>
      <c r="O10" s="9">
        <v>0.53</v>
      </c>
      <c r="P10" s="9">
        <v>0.61</v>
      </c>
      <c r="Q10" s="9">
        <v>0.62</v>
      </c>
      <c r="R10" s="9">
        <v>0.61</v>
      </c>
      <c r="S10" s="9">
        <v>0.67</v>
      </c>
      <c r="T10" s="9">
        <v>0.61</v>
      </c>
      <c r="U10" s="9">
        <v>0.56999999999999995</v>
      </c>
      <c r="V10" s="9">
        <v>0.67</v>
      </c>
      <c r="W10" s="4">
        <f t="shared" si="0"/>
        <v>0.60640646497843409</v>
      </c>
      <c r="X10" s="6">
        <f t="shared" si="1"/>
        <v>35</v>
      </c>
    </row>
    <row r="11" spans="1:24" ht="25" customHeight="1">
      <c r="A11" t="s">
        <v>49</v>
      </c>
      <c r="B11">
        <v>1.2</v>
      </c>
      <c r="C11">
        <v>6</v>
      </c>
      <c r="D11">
        <v>2</v>
      </c>
      <c r="E11" t="s">
        <v>21</v>
      </c>
      <c r="F11" t="b">
        <v>1</v>
      </c>
      <c r="G11">
        <v>0</v>
      </c>
      <c r="H11" t="s">
        <v>23</v>
      </c>
      <c r="I11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gen-spl:T-mgv:6-sn:1.2k</v>
      </c>
      <c r="J11" s="9">
        <v>0.66</v>
      </c>
      <c r="K11" s="9">
        <v>0.64</v>
      </c>
      <c r="L11" s="9">
        <v>0.56000000000000005</v>
      </c>
      <c r="M11" s="9">
        <v>0.63</v>
      </c>
      <c r="N11" s="9">
        <v>0.61</v>
      </c>
      <c r="O11" s="9">
        <v>0.6</v>
      </c>
      <c r="P11" s="9">
        <v>0.59</v>
      </c>
      <c r="Q11" s="9">
        <v>0.65</v>
      </c>
      <c r="R11" s="9">
        <v>0.62</v>
      </c>
      <c r="S11" s="9">
        <v>0.62</v>
      </c>
      <c r="T11" s="9">
        <v>0.68</v>
      </c>
      <c r="U11" s="9">
        <v>0.55000000000000004</v>
      </c>
      <c r="V11" s="9">
        <v>0.68</v>
      </c>
      <c r="W11" s="4">
        <f t="shared" si="0"/>
        <v>0.61637662438681862</v>
      </c>
      <c r="X11" s="6">
        <f t="shared" si="1"/>
        <v>34</v>
      </c>
    </row>
    <row r="12" spans="1:24" ht="25" customHeight="1">
      <c r="A12" t="s">
        <v>49</v>
      </c>
      <c r="B12">
        <v>1.2</v>
      </c>
      <c r="C12">
        <v>6</v>
      </c>
      <c r="D12">
        <v>3</v>
      </c>
      <c r="E12" t="s">
        <v>22</v>
      </c>
      <c r="F12" t="b">
        <v>0</v>
      </c>
      <c r="G12">
        <v>0</v>
      </c>
      <c r="H12" t="s">
        <v>23</v>
      </c>
      <c r="I12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cas-spl:F-mgv:6-sn:1.2k</v>
      </c>
      <c r="J12" s="9">
        <v>0.37</v>
      </c>
      <c r="K12" s="9">
        <v>0.48</v>
      </c>
      <c r="L12" s="9">
        <v>0.4</v>
      </c>
      <c r="M12" s="9">
        <v>0.41</v>
      </c>
      <c r="N12" s="9">
        <v>0.38</v>
      </c>
      <c r="O12" s="9">
        <v>0.42</v>
      </c>
      <c r="P12" s="9">
        <v>0.41</v>
      </c>
      <c r="Q12" s="9">
        <v>0.47</v>
      </c>
      <c r="R12" s="9">
        <v>0.41</v>
      </c>
      <c r="S12" s="9">
        <v>0.36</v>
      </c>
      <c r="T12" s="9">
        <v>0.44</v>
      </c>
      <c r="U12" s="9">
        <v>0.34</v>
      </c>
      <c r="V12" s="9">
        <v>0.48</v>
      </c>
      <c r="W12" s="4">
        <f t="shared" si="0"/>
        <v>0.40552560434029045</v>
      </c>
      <c r="X12" s="6">
        <f t="shared" si="1"/>
        <v>53</v>
      </c>
    </row>
    <row r="13" spans="1:24" ht="25" customHeight="1">
      <c r="A13" t="s">
        <v>49</v>
      </c>
      <c r="B13">
        <v>1.2</v>
      </c>
      <c r="C13">
        <v>6</v>
      </c>
      <c r="D13">
        <v>3</v>
      </c>
      <c r="E13" t="s">
        <v>22</v>
      </c>
      <c r="F13" t="b">
        <v>1</v>
      </c>
      <c r="G13">
        <v>0</v>
      </c>
      <c r="H13" t="s">
        <v>23</v>
      </c>
      <c r="I13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cas-spl:T-mgv:6-sn:1.2k</v>
      </c>
      <c r="J13" s="9">
        <v>0.44</v>
      </c>
      <c r="K13" s="9">
        <v>0.5</v>
      </c>
      <c r="L13" s="9">
        <v>0.53</v>
      </c>
      <c r="M13" s="9">
        <v>0.44</v>
      </c>
      <c r="N13" s="9">
        <v>0.43</v>
      </c>
      <c r="O13" s="9">
        <v>0.48</v>
      </c>
      <c r="P13" s="9">
        <v>0.52</v>
      </c>
      <c r="Q13" s="9">
        <v>0.52</v>
      </c>
      <c r="R13" s="9">
        <v>0.47</v>
      </c>
      <c r="S13" s="9">
        <v>0.44</v>
      </c>
      <c r="T13" s="9">
        <v>0.5</v>
      </c>
      <c r="U13" s="9">
        <v>0.44</v>
      </c>
      <c r="V13" s="9">
        <v>0.53</v>
      </c>
      <c r="W13" s="4">
        <f t="shared" si="0"/>
        <v>0.47450056643014932</v>
      </c>
      <c r="X13" s="6">
        <f t="shared" si="1"/>
        <v>45</v>
      </c>
    </row>
    <row r="14" spans="1:24" ht="25" customHeight="1">
      <c r="A14" t="s">
        <v>49</v>
      </c>
      <c r="B14">
        <v>1.2</v>
      </c>
      <c r="C14">
        <v>9</v>
      </c>
      <c r="D14">
        <v>1</v>
      </c>
      <c r="E14" t="s">
        <v>17</v>
      </c>
      <c r="F14" t="b">
        <v>0</v>
      </c>
      <c r="G14">
        <v>0</v>
      </c>
      <c r="H14" t="s">
        <v>23</v>
      </c>
      <c r="I14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plu-spl:F-mgv:9-sn:1.2k</v>
      </c>
      <c r="J14" s="4">
        <v>0.83</v>
      </c>
      <c r="K14" s="4">
        <v>0.82</v>
      </c>
      <c r="L14" s="4">
        <v>0.78</v>
      </c>
      <c r="M14" s="4">
        <v>0.82</v>
      </c>
      <c r="N14" s="4">
        <v>0.79</v>
      </c>
      <c r="O14" s="4">
        <v>0.87</v>
      </c>
      <c r="P14" s="4">
        <v>0.82</v>
      </c>
      <c r="Q14" s="4">
        <v>0.81</v>
      </c>
      <c r="R14" s="4">
        <v>0.81</v>
      </c>
      <c r="S14" s="4">
        <v>0.81</v>
      </c>
      <c r="T14" s="4">
        <v>0.89</v>
      </c>
      <c r="U14" s="4">
        <v>0.8</v>
      </c>
      <c r="V14" s="4">
        <v>0.89</v>
      </c>
      <c r="W14" s="4">
        <f t="shared" si="0"/>
        <v>0.82030363719420074</v>
      </c>
      <c r="X14" s="6">
        <f t="shared" si="1"/>
        <v>20</v>
      </c>
    </row>
    <row r="15" spans="1:24" ht="25" customHeight="1">
      <c r="A15" t="s">
        <v>49</v>
      </c>
      <c r="B15">
        <v>1.2</v>
      </c>
      <c r="C15">
        <v>9</v>
      </c>
      <c r="D15">
        <v>1</v>
      </c>
      <c r="E15" t="s">
        <v>17</v>
      </c>
      <c r="F15" t="b">
        <v>1</v>
      </c>
      <c r="G15">
        <v>0</v>
      </c>
      <c r="H15" t="s">
        <v>23</v>
      </c>
      <c r="I15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plu-spl:T-mgv:9-sn:1.2k</v>
      </c>
      <c r="J15" s="4">
        <v>0.88</v>
      </c>
      <c r="K15" s="4">
        <v>0.87</v>
      </c>
      <c r="L15" s="4">
        <v>0.86</v>
      </c>
      <c r="M15" s="4">
        <v>0.88</v>
      </c>
      <c r="N15" s="4">
        <v>0.81</v>
      </c>
      <c r="O15" s="4">
        <v>0.92</v>
      </c>
      <c r="P15" s="4">
        <v>0.88</v>
      </c>
      <c r="Q15" s="4">
        <v>0.88</v>
      </c>
      <c r="R15" s="4">
        <v>0.87</v>
      </c>
      <c r="S15" s="4">
        <v>0.83</v>
      </c>
      <c r="T15" s="4">
        <v>0.89</v>
      </c>
      <c r="U15" s="4">
        <v>0.85</v>
      </c>
      <c r="V15" s="4">
        <v>0.92</v>
      </c>
      <c r="W15" s="4">
        <f t="shared" si="0"/>
        <v>0.86789854376209585</v>
      </c>
      <c r="X15" s="6">
        <f t="shared" si="1"/>
        <v>8</v>
      </c>
    </row>
    <row r="16" spans="1:24" ht="25" customHeight="1">
      <c r="A16" t="s">
        <v>49</v>
      </c>
      <c r="B16">
        <v>1.2</v>
      </c>
      <c r="C16">
        <v>9</v>
      </c>
      <c r="D16">
        <v>2</v>
      </c>
      <c r="E16" t="s">
        <v>21</v>
      </c>
      <c r="F16" t="b">
        <v>0</v>
      </c>
      <c r="G16">
        <v>0</v>
      </c>
      <c r="H16" t="s">
        <v>23</v>
      </c>
      <c r="I16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gen-spl:F-mgv:9-sn:1.2k</v>
      </c>
      <c r="J16" s="9">
        <v>0.64</v>
      </c>
      <c r="K16" s="9">
        <v>0.63</v>
      </c>
      <c r="L16" s="9">
        <v>0.56999999999999995</v>
      </c>
      <c r="M16" s="9">
        <v>0.63</v>
      </c>
      <c r="N16" s="9">
        <v>0.66</v>
      </c>
      <c r="O16" s="9">
        <v>0.62</v>
      </c>
      <c r="P16" s="9">
        <v>0.62</v>
      </c>
      <c r="Q16" s="9">
        <v>0.66</v>
      </c>
      <c r="R16" s="9">
        <v>0.6</v>
      </c>
      <c r="S16" s="9">
        <v>0.64</v>
      </c>
      <c r="T16" s="9">
        <v>0.57999999999999996</v>
      </c>
      <c r="U16" s="9">
        <v>0.64</v>
      </c>
      <c r="V16" s="9">
        <v>0.66</v>
      </c>
      <c r="W16" s="4">
        <f t="shared" si="0"/>
        <v>0.62356088421925404</v>
      </c>
      <c r="X16" s="6">
        <f t="shared" si="1"/>
        <v>33</v>
      </c>
    </row>
    <row r="17" spans="1:24" ht="25" customHeight="1">
      <c r="A17" t="s">
        <v>49</v>
      </c>
      <c r="B17">
        <v>1.2</v>
      </c>
      <c r="C17">
        <v>9</v>
      </c>
      <c r="D17">
        <v>2</v>
      </c>
      <c r="E17" t="s">
        <v>21</v>
      </c>
      <c r="F17" t="b">
        <v>1</v>
      </c>
      <c r="G17">
        <v>0</v>
      </c>
      <c r="H17" t="s">
        <v>23</v>
      </c>
      <c r="I17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gen-spl:T-mgv:9-sn:1.2k</v>
      </c>
      <c r="J17" s="9">
        <v>0.63</v>
      </c>
      <c r="K17" s="9">
        <v>0.72</v>
      </c>
      <c r="L17" s="9">
        <v>0.59</v>
      </c>
      <c r="M17" s="9">
        <v>0.61</v>
      </c>
      <c r="N17" s="9">
        <v>0.68</v>
      </c>
      <c r="O17" s="9">
        <v>0.67</v>
      </c>
      <c r="P17" s="9">
        <v>0.63</v>
      </c>
      <c r="Q17" s="9">
        <v>0.68</v>
      </c>
      <c r="R17" s="9">
        <v>0.64</v>
      </c>
      <c r="S17" s="9">
        <v>0.65</v>
      </c>
      <c r="T17" s="9">
        <v>0.55000000000000004</v>
      </c>
      <c r="U17" s="9">
        <v>0.65</v>
      </c>
      <c r="V17" s="9">
        <v>0.72</v>
      </c>
      <c r="W17" s="4">
        <f t="shared" si="0"/>
        <v>0.64018395804293693</v>
      </c>
      <c r="X17" s="6">
        <f t="shared" si="1"/>
        <v>30</v>
      </c>
    </row>
    <row r="18" spans="1:24" ht="25" customHeight="1">
      <c r="A18" t="s">
        <v>49</v>
      </c>
      <c r="B18">
        <v>1.2</v>
      </c>
      <c r="C18">
        <v>9</v>
      </c>
      <c r="D18">
        <v>3</v>
      </c>
      <c r="E18" t="s">
        <v>22</v>
      </c>
      <c r="F18" t="b">
        <v>0</v>
      </c>
      <c r="G18">
        <v>0</v>
      </c>
      <c r="H18" t="s">
        <v>23</v>
      </c>
      <c r="I18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cas-spl:F-mgv:9-sn:1.2k</v>
      </c>
      <c r="J18" s="9">
        <v>0.4</v>
      </c>
      <c r="K18" s="9">
        <v>0.4</v>
      </c>
      <c r="L18" s="9">
        <v>0.42</v>
      </c>
      <c r="M18" s="9">
        <v>0.4</v>
      </c>
      <c r="N18" s="9">
        <v>0.52</v>
      </c>
      <c r="O18" s="9">
        <v>0.5</v>
      </c>
      <c r="P18" s="9">
        <v>0.42</v>
      </c>
      <c r="Q18" s="9">
        <v>0.36</v>
      </c>
      <c r="R18" s="9">
        <v>0.42</v>
      </c>
      <c r="S18" s="9">
        <v>0.47</v>
      </c>
      <c r="T18" s="9">
        <v>0.34</v>
      </c>
      <c r="U18" s="9">
        <v>0.46</v>
      </c>
      <c r="V18" s="9">
        <v>0.52</v>
      </c>
      <c r="W18" s="4">
        <f t="shared" si="0"/>
        <v>0.42279339276042843</v>
      </c>
      <c r="X18" s="6">
        <f t="shared" si="1"/>
        <v>52</v>
      </c>
    </row>
    <row r="19" spans="1:24" ht="25" customHeight="1">
      <c r="A19" t="s">
        <v>49</v>
      </c>
      <c r="B19">
        <v>1.2</v>
      </c>
      <c r="C19">
        <v>9</v>
      </c>
      <c r="D19">
        <v>3</v>
      </c>
      <c r="E19" t="s">
        <v>22</v>
      </c>
      <c r="F19" t="b">
        <v>1</v>
      </c>
      <c r="G19">
        <v>0</v>
      </c>
      <c r="H19" t="s">
        <v>23</v>
      </c>
      <c r="I19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cas-spl:T-mgv:9-sn:1.2k</v>
      </c>
      <c r="J19" s="9">
        <v>0.55000000000000004</v>
      </c>
      <c r="K19" s="9">
        <v>0.45</v>
      </c>
      <c r="L19" s="9">
        <v>0.54</v>
      </c>
      <c r="M19" s="9">
        <v>0.42</v>
      </c>
      <c r="N19" s="9">
        <v>0.59</v>
      </c>
      <c r="O19" s="9">
        <v>0.49</v>
      </c>
      <c r="P19" s="9">
        <v>0.54</v>
      </c>
      <c r="Q19" s="9">
        <v>0.43</v>
      </c>
      <c r="R19" s="9">
        <v>0.5</v>
      </c>
      <c r="S19" s="9">
        <v>0.55000000000000004</v>
      </c>
      <c r="T19" s="9">
        <v>0.38</v>
      </c>
      <c r="U19" s="9">
        <v>0.53</v>
      </c>
      <c r="V19" s="9">
        <v>0.59</v>
      </c>
      <c r="W19" s="4">
        <f t="shared" si="0"/>
        <v>0.49350708660847376</v>
      </c>
      <c r="X19" s="6">
        <f t="shared" si="1"/>
        <v>44</v>
      </c>
    </row>
    <row r="20" spans="1:24" ht="25" customHeight="1">
      <c r="A20" t="s">
        <v>49</v>
      </c>
      <c r="B20">
        <v>2</v>
      </c>
      <c r="C20">
        <v>3</v>
      </c>
      <c r="D20">
        <v>1</v>
      </c>
      <c r="E20" t="s">
        <v>17</v>
      </c>
      <c r="F20" t="b">
        <v>0</v>
      </c>
      <c r="G20">
        <v>0</v>
      </c>
      <c r="H20" t="s">
        <v>23</v>
      </c>
      <c r="I20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plu-spl:F-mgv:3-sn:2k</v>
      </c>
      <c r="J20" s="4">
        <v>0.77</v>
      </c>
      <c r="K20" s="4">
        <v>0.84</v>
      </c>
      <c r="L20" s="4">
        <v>0.81</v>
      </c>
      <c r="M20" s="4">
        <v>0.84</v>
      </c>
      <c r="N20" s="4">
        <v>0.83</v>
      </c>
      <c r="O20" s="4">
        <v>0.85</v>
      </c>
      <c r="P20" s="4">
        <v>0.86</v>
      </c>
      <c r="Q20" s="4">
        <v>0.85</v>
      </c>
      <c r="R20" s="4">
        <v>0.84</v>
      </c>
      <c r="S20" s="4">
        <v>0.81</v>
      </c>
      <c r="T20" s="4">
        <v>0.81</v>
      </c>
      <c r="U20" s="4">
        <v>0.81</v>
      </c>
      <c r="V20" s="4">
        <v>0.86</v>
      </c>
      <c r="W20" s="4">
        <f t="shared" si="0"/>
        <v>0.82630475988366692</v>
      </c>
      <c r="X20" s="6">
        <f t="shared" si="1"/>
        <v>19</v>
      </c>
    </row>
    <row r="21" spans="1:24" ht="25" customHeight="1">
      <c r="A21" t="s">
        <v>49</v>
      </c>
      <c r="B21">
        <v>2</v>
      </c>
      <c r="C21">
        <v>3</v>
      </c>
      <c r="D21">
        <v>1</v>
      </c>
      <c r="E21" t="s">
        <v>17</v>
      </c>
      <c r="F21" t="b">
        <v>1</v>
      </c>
      <c r="G21">
        <v>0</v>
      </c>
      <c r="H21" t="s">
        <v>23</v>
      </c>
      <c r="I21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plu-spl:T-mgv:3-sn:2k</v>
      </c>
      <c r="J21" s="4">
        <v>0.88</v>
      </c>
      <c r="K21" s="4">
        <v>0.88</v>
      </c>
      <c r="L21" s="4">
        <v>0.86</v>
      </c>
      <c r="M21" s="4">
        <v>0.88</v>
      </c>
      <c r="N21" s="4">
        <v>0.85</v>
      </c>
      <c r="O21" s="4">
        <v>0.88</v>
      </c>
      <c r="P21" s="4">
        <v>0.91</v>
      </c>
      <c r="Q21" s="4">
        <v>0.93</v>
      </c>
      <c r="R21" s="4">
        <v>0.88</v>
      </c>
      <c r="S21" s="4">
        <v>0.84</v>
      </c>
      <c r="T21" s="4">
        <v>0.84</v>
      </c>
      <c r="U21" s="4">
        <v>0.81</v>
      </c>
      <c r="V21" s="4">
        <v>0.93</v>
      </c>
      <c r="W21" s="4">
        <f t="shared" si="0"/>
        <v>0.86944388193051514</v>
      </c>
      <c r="X21" s="6">
        <f t="shared" si="1"/>
        <v>7</v>
      </c>
    </row>
    <row r="22" spans="1:24" ht="25" customHeight="1">
      <c r="A22" t="s">
        <v>49</v>
      </c>
      <c r="B22">
        <v>2</v>
      </c>
      <c r="C22">
        <v>3</v>
      </c>
      <c r="D22">
        <v>2</v>
      </c>
      <c r="E22" t="s">
        <v>21</v>
      </c>
      <c r="F22" t="b">
        <v>0</v>
      </c>
      <c r="G22">
        <v>0</v>
      </c>
      <c r="H22" t="s">
        <v>23</v>
      </c>
      <c r="I22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gen-spl:F-mgv:3-sn:2k</v>
      </c>
      <c r="J22" s="9">
        <v>0.59</v>
      </c>
      <c r="K22" s="9">
        <v>0.64</v>
      </c>
      <c r="L22" s="9">
        <v>0.64</v>
      </c>
      <c r="M22" s="9">
        <v>0.71</v>
      </c>
      <c r="N22" s="9">
        <v>0.65</v>
      </c>
      <c r="O22" s="9">
        <v>0.6</v>
      </c>
      <c r="P22" s="9">
        <v>0.63</v>
      </c>
      <c r="Q22" s="9">
        <v>0.69</v>
      </c>
      <c r="R22" s="9">
        <v>0.61</v>
      </c>
      <c r="S22" s="9">
        <v>0.65</v>
      </c>
      <c r="T22" s="9">
        <v>0.6</v>
      </c>
      <c r="U22" s="9">
        <v>0.65</v>
      </c>
      <c r="V22" s="9">
        <v>0.71</v>
      </c>
      <c r="W22" s="4">
        <f t="shared" si="0"/>
        <v>0.63741071951626427</v>
      </c>
      <c r="X22" s="6">
        <f t="shared" si="1"/>
        <v>31</v>
      </c>
    </row>
    <row r="23" spans="1:24" ht="25" customHeight="1">
      <c r="A23" t="s">
        <v>49</v>
      </c>
      <c r="B23">
        <v>2</v>
      </c>
      <c r="C23">
        <v>3</v>
      </c>
      <c r="D23">
        <v>2</v>
      </c>
      <c r="E23" t="s">
        <v>21</v>
      </c>
      <c r="F23" t="b">
        <v>1</v>
      </c>
      <c r="G23">
        <v>0</v>
      </c>
      <c r="H23" t="s">
        <v>23</v>
      </c>
      <c r="I23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gen-spl:T-mgv:3-sn:2k</v>
      </c>
      <c r="J23" s="9">
        <v>0.64</v>
      </c>
      <c r="K23" s="9">
        <v>0.71</v>
      </c>
      <c r="L23" s="9">
        <v>0.67</v>
      </c>
      <c r="M23" s="9">
        <v>0.68</v>
      </c>
      <c r="N23" s="9">
        <v>0.67</v>
      </c>
      <c r="O23" s="9">
        <v>0.7</v>
      </c>
      <c r="P23" s="9">
        <v>0.69</v>
      </c>
      <c r="Q23" s="9">
        <v>0.71</v>
      </c>
      <c r="R23" s="9">
        <v>0.63</v>
      </c>
      <c r="S23" s="9">
        <v>0.68</v>
      </c>
      <c r="T23" s="9">
        <v>0.64</v>
      </c>
      <c r="U23" s="9">
        <v>0.65</v>
      </c>
      <c r="V23" s="9">
        <v>0.71</v>
      </c>
      <c r="W23" s="4">
        <f t="shared" si="0"/>
        <v>0.67197599560989552</v>
      </c>
      <c r="X23" s="6">
        <f t="shared" si="1"/>
        <v>27</v>
      </c>
    </row>
    <row r="24" spans="1:24" ht="25" customHeight="1">
      <c r="A24" t="s">
        <v>49</v>
      </c>
      <c r="B24">
        <v>2</v>
      </c>
      <c r="C24">
        <v>3</v>
      </c>
      <c r="D24">
        <v>3</v>
      </c>
      <c r="E24" t="s">
        <v>22</v>
      </c>
      <c r="F24" t="b">
        <v>0</v>
      </c>
      <c r="G24">
        <v>0</v>
      </c>
      <c r="H24" t="s">
        <v>23</v>
      </c>
      <c r="I24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cas-spl:F-mgv:3-sn:2k</v>
      </c>
      <c r="J24" s="9">
        <v>0.42</v>
      </c>
      <c r="K24" s="9">
        <v>0.42</v>
      </c>
      <c r="L24" s="9">
        <v>0.46</v>
      </c>
      <c r="M24" s="9">
        <v>0.46</v>
      </c>
      <c r="N24" s="9">
        <v>0.4</v>
      </c>
      <c r="O24" s="9">
        <v>0.46</v>
      </c>
      <c r="P24" s="9">
        <v>0.41</v>
      </c>
      <c r="Q24" s="9">
        <v>0.44</v>
      </c>
      <c r="R24" s="9">
        <v>0.41</v>
      </c>
      <c r="S24" s="9">
        <v>0.37</v>
      </c>
      <c r="T24" s="9">
        <v>0.52</v>
      </c>
      <c r="U24" s="9">
        <v>0.48</v>
      </c>
      <c r="V24" s="9">
        <v>0.52</v>
      </c>
      <c r="W24" s="4">
        <f t="shared" si="0"/>
        <v>0.43578762837327306</v>
      </c>
      <c r="X24" s="6">
        <f t="shared" si="1"/>
        <v>50</v>
      </c>
    </row>
    <row r="25" spans="1:24" ht="25" customHeight="1">
      <c r="A25" t="s">
        <v>49</v>
      </c>
      <c r="B25">
        <v>2</v>
      </c>
      <c r="C25">
        <v>3</v>
      </c>
      <c r="D25">
        <v>3</v>
      </c>
      <c r="E25" t="s">
        <v>22</v>
      </c>
      <c r="F25" t="b">
        <v>1</v>
      </c>
      <c r="G25">
        <v>0</v>
      </c>
      <c r="H25" t="s">
        <v>23</v>
      </c>
      <c r="I25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cas-spl:T-mgv:3-sn:2k</v>
      </c>
      <c r="J25" s="9">
        <v>0.51</v>
      </c>
      <c r="K25" s="9">
        <v>0.5</v>
      </c>
      <c r="L25" s="9">
        <v>0.57999999999999996</v>
      </c>
      <c r="M25" s="9">
        <v>0.56000000000000005</v>
      </c>
      <c r="N25" s="9">
        <v>0.53</v>
      </c>
      <c r="O25" s="9">
        <v>0.5</v>
      </c>
      <c r="P25" s="9">
        <v>0.53</v>
      </c>
      <c r="Q25" s="9">
        <v>0.56000000000000005</v>
      </c>
      <c r="R25" s="9">
        <v>0.51</v>
      </c>
      <c r="S25" s="9">
        <v>0.52</v>
      </c>
      <c r="T25" s="9">
        <v>0.56999999999999995</v>
      </c>
      <c r="U25" s="9">
        <v>0.52</v>
      </c>
      <c r="V25" s="9">
        <v>0.57999999999999996</v>
      </c>
      <c r="W25" s="4">
        <f t="shared" si="0"/>
        <v>0.53183446045554106</v>
      </c>
      <c r="X25" s="6">
        <f t="shared" si="1"/>
        <v>40</v>
      </c>
    </row>
    <row r="26" spans="1:24" ht="25" customHeight="1">
      <c r="A26" t="s">
        <v>49</v>
      </c>
      <c r="B26">
        <v>2</v>
      </c>
      <c r="C26">
        <v>6</v>
      </c>
      <c r="D26">
        <v>1</v>
      </c>
      <c r="E26" t="s">
        <v>17</v>
      </c>
      <c r="F26" t="b">
        <v>0</v>
      </c>
      <c r="G26">
        <v>0</v>
      </c>
      <c r="H26" t="s">
        <v>23</v>
      </c>
      <c r="I26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plu-spl:F-mgv:6-sn:2k</v>
      </c>
      <c r="J26" s="4">
        <v>0.85</v>
      </c>
      <c r="K26" s="4">
        <v>0.81</v>
      </c>
      <c r="L26" s="4">
        <v>0.84</v>
      </c>
      <c r="M26" s="4">
        <v>0.83</v>
      </c>
      <c r="N26" s="4">
        <v>0.84</v>
      </c>
      <c r="O26" s="4">
        <v>0.81</v>
      </c>
      <c r="P26" s="4">
        <v>0.83</v>
      </c>
      <c r="Q26" s="4">
        <v>0.81</v>
      </c>
      <c r="R26" s="4">
        <v>0.85</v>
      </c>
      <c r="S26" s="4">
        <v>0.81</v>
      </c>
      <c r="T26" s="4">
        <v>0.83</v>
      </c>
      <c r="U26" s="4">
        <v>0.81</v>
      </c>
      <c r="V26" s="4">
        <v>0.85</v>
      </c>
      <c r="W26" s="4">
        <f t="shared" si="0"/>
        <v>0.82652244089644678</v>
      </c>
      <c r="X26" s="6">
        <f t="shared" si="1"/>
        <v>17</v>
      </c>
    </row>
    <row r="27" spans="1:24" ht="25" customHeight="1">
      <c r="A27" t="s">
        <v>49</v>
      </c>
      <c r="B27">
        <v>2</v>
      </c>
      <c r="C27">
        <v>6</v>
      </c>
      <c r="D27">
        <v>1</v>
      </c>
      <c r="E27" t="s">
        <v>17</v>
      </c>
      <c r="F27" t="b">
        <v>1</v>
      </c>
      <c r="G27">
        <v>0</v>
      </c>
      <c r="H27" t="s">
        <v>23</v>
      </c>
      <c r="I27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plu-spl:T-mgv:6-sn:2k</v>
      </c>
      <c r="J27" s="4">
        <v>0.91</v>
      </c>
      <c r="K27" s="4">
        <v>0.9</v>
      </c>
      <c r="L27" s="4">
        <v>0.89</v>
      </c>
      <c r="M27" s="4">
        <v>0.86</v>
      </c>
      <c r="N27" s="4">
        <v>0.82</v>
      </c>
      <c r="O27" s="4">
        <v>0.81</v>
      </c>
      <c r="P27" s="4">
        <v>0.92</v>
      </c>
      <c r="Q27" s="4">
        <v>0.83</v>
      </c>
      <c r="R27" s="4">
        <v>0.89</v>
      </c>
      <c r="S27" s="4">
        <v>0.88</v>
      </c>
      <c r="T27" s="4">
        <v>0.84</v>
      </c>
      <c r="U27" s="4">
        <v>0.84</v>
      </c>
      <c r="V27" s="4">
        <v>0.92</v>
      </c>
      <c r="W27" s="4">
        <f t="shared" si="0"/>
        <v>0.86509546120741998</v>
      </c>
      <c r="X27" s="6">
        <f t="shared" si="1"/>
        <v>9</v>
      </c>
    </row>
    <row r="28" spans="1:24" ht="25" customHeight="1">
      <c r="A28" t="s">
        <v>49</v>
      </c>
      <c r="B28">
        <v>2</v>
      </c>
      <c r="C28">
        <v>6</v>
      </c>
      <c r="D28">
        <v>2</v>
      </c>
      <c r="E28" t="s">
        <v>21</v>
      </c>
      <c r="F28" t="b">
        <v>0</v>
      </c>
      <c r="G28">
        <v>0</v>
      </c>
      <c r="H28" t="s">
        <v>23</v>
      </c>
      <c r="I28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gen-spl:F-mgv:6-sn:2k</v>
      </c>
      <c r="J28" s="9">
        <v>0.67</v>
      </c>
      <c r="K28" s="9">
        <v>0.65</v>
      </c>
      <c r="L28" s="9">
        <v>0.67</v>
      </c>
      <c r="M28" s="9">
        <v>0.66</v>
      </c>
      <c r="N28" s="9">
        <v>0.66</v>
      </c>
      <c r="O28" s="9">
        <v>0.67</v>
      </c>
      <c r="P28" s="9">
        <v>0.64</v>
      </c>
      <c r="Q28" s="9">
        <v>0.63</v>
      </c>
      <c r="R28" s="9">
        <v>0.65</v>
      </c>
      <c r="S28" s="9">
        <v>0.63</v>
      </c>
      <c r="T28" s="9">
        <v>0.66</v>
      </c>
      <c r="U28" s="9">
        <v>0.56999999999999995</v>
      </c>
      <c r="V28" s="9">
        <v>0.67</v>
      </c>
      <c r="W28" s="4">
        <f t="shared" si="0"/>
        <v>0.64607792837233147</v>
      </c>
      <c r="X28" s="6">
        <f t="shared" si="1"/>
        <v>29</v>
      </c>
    </row>
    <row r="29" spans="1:24" ht="25" customHeight="1">
      <c r="A29" t="s">
        <v>49</v>
      </c>
      <c r="B29">
        <v>2</v>
      </c>
      <c r="C29">
        <v>6</v>
      </c>
      <c r="D29">
        <v>2</v>
      </c>
      <c r="E29" t="s">
        <v>21</v>
      </c>
      <c r="F29" t="b">
        <v>1</v>
      </c>
      <c r="G29">
        <v>0</v>
      </c>
      <c r="H29" t="s">
        <v>23</v>
      </c>
      <c r="I29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gen-spl:T-mgv:6-sn:2k</v>
      </c>
      <c r="J29" s="9">
        <v>0.69</v>
      </c>
      <c r="K29" s="9">
        <v>0.73</v>
      </c>
      <c r="L29" s="9">
        <v>0.66</v>
      </c>
      <c r="M29" s="9">
        <v>0.65</v>
      </c>
      <c r="N29" s="9">
        <v>0.67</v>
      </c>
      <c r="O29" s="9">
        <v>0.68</v>
      </c>
      <c r="P29" s="9">
        <v>0.68</v>
      </c>
      <c r="Q29" s="9">
        <v>0.66</v>
      </c>
      <c r="R29" s="9">
        <v>0.67</v>
      </c>
      <c r="S29" s="9">
        <v>0.62</v>
      </c>
      <c r="T29" s="9">
        <v>0.64</v>
      </c>
      <c r="U29" s="9">
        <v>0.62</v>
      </c>
      <c r="V29" s="9">
        <v>0.73</v>
      </c>
      <c r="W29" s="4">
        <f t="shared" si="0"/>
        <v>0.66352709750293482</v>
      </c>
      <c r="X29" s="6">
        <f t="shared" si="1"/>
        <v>28</v>
      </c>
    </row>
    <row r="30" spans="1:24" ht="25" customHeight="1">
      <c r="A30" t="s">
        <v>49</v>
      </c>
      <c r="B30">
        <v>2</v>
      </c>
      <c r="C30">
        <v>6</v>
      </c>
      <c r="D30">
        <v>3</v>
      </c>
      <c r="E30" t="s">
        <v>22</v>
      </c>
      <c r="F30" t="b">
        <v>0</v>
      </c>
      <c r="G30">
        <v>0</v>
      </c>
      <c r="H30" t="s">
        <v>23</v>
      </c>
      <c r="I30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cas-spl:F-mgv:6-sn:2k</v>
      </c>
      <c r="J30" s="9">
        <v>0.45</v>
      </c>
      <c r="K30" s="9">
        <v>0.43</v>
      </c>
      <c r="L30" s="9">
        <v>0.4</v>
      </c>
      <c r="M30" s="9">
        <v>0.42</v>
      </c>
      <c r="N30" s="9">
        <v>0.41</v>
      </c>
      <c r="O30" s="9">
        <v>0.49</v>
      </c>
      <c r="P30" s="9">
        <v>0.44</v>
      </c>
      <c r="Q30" s="9">
        <v>0.41</v>
      </c>
      <c r="R30" s="9">
        <v>0.44</v>
      </c>
      <c r="S30" s="9">
        <v>0.43</v>
      </c>
      <c r="T30" s="9">
        <v>0.44</v>
      </c>
      <c r="U30" s="9">
        <v>0.45</v>
      </c>
      <c r="V30" s="9">
        <v>0.49</v>
      </c>
      <c r="W30" s="4">
        <f t="shared" si="0"/>
        <v>0.43357685111223065</v>
      </c>
      <c r="X30" s="6">
        <f t="shared" si="1"/>
        <v>51</v>
      </c>
    </row>
    <row r="31" spans="1:24" ht="25" customHeight="1">
      <c r="A31" t="s">
        <v>49</v>
      </c>
      <c r="B31">
        <v>2</v>
      </c>
      <c r="C31">
        <v>6</v>
      </c>
      <c r="D31">
        <v>3</v>
      </c>
      <c r="E31" t="s">
        <v>22</v>
      </c>
      <c r="F31" t="b">
        <v>1</v>
      </c>
      <c r="G31">
        <v>0</v>
      </c>
      <c r="H31" t="s">
        <v>23</v>
      </c>
      <c r="I31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cas-spl:T-mgv:6-sn:2k</v>
      </c>
      <c r="J31" s="9">
        <v>0.55000000000000004</v>
      </c>
      <c r="K31" s="9">
        <v>0.59</v>
      </c>
      <c r="L31" s="9">
        <v>0.52</v>
      </c>
      <c r="M31" s="9">
        <v>0.5</v>
      </c>
      <c r="N31" s="9">
        <v>0.47</v>
      </c>
      <c r="O31" s="9">
        <v>0.53</v>
      </c>
      <c r="P31" s="9">
        <v>0.5</v>
      </c>
      <c r="Q31" s="9">
        <v>0.51</v>
      </c>
      <c r="R31" s="9">
        <v>0.52</v>
      </c>
      <c r="S31" s="9">
        <v>0.56000000000000005</v>
      </c>
      <c r="T31" s="9">
        <v>0.52</v>
      </c>
      <c r="U31" s="9">
        <v>0.53</v>
      </c>
      <c r="V31" s="9">
        <v>0.59</v>
      </c>
      <c r="W31" s="4">
        <f t="shared" si="0"/>
        <v>0.52416060668258546</v>
      </c>
      <c r="X31" s="6">
        <f t="shared" si="1"/>
        <v>41</v>
      </c>
    </row>
    <row r="32" spans="1:24" ht="25" customHeight="1">
      <c r="A32" t="s">
        <v>49</v>
      </c>
      <c r="B32">
        <v>2</v>
      </c>
      <c r="C32">
        <v>9</v>
      </c>
      <c r="D32">
        <v>1</v>
      </c>
      <c r="E32" t="s">
        <v>17</v>
      </c>
      <c r="F32" t="b">
        <v>0</v>
      </c>
      <c r="G32">
        <v>0</v>
      </c>
      <c r="H32" t="s">
        <v>23</v>
      </c>
      <c r="I32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plu-spl:F-mgv:9-sn:2k</v>
      </c>
      <c r="J32" s="4">
        <v>0.85</v>
      </c>
      <c r="K32" s="4">
        <v>0.84</v>
      </c>
      <c r="L32" s="4">
        <v>0.81</v>
      </c>
      <c r="M32" s="4">
        <v>0.86</v>
      </c>
      <c r="N32" s="4">
        <v>0.85</v>
      </c>
      <c r="O32" s="4">
        <v>0.8</v>
      </c>
      <c r="P32" s="4">
        <v>0.79</v>
      </c>
      <c r="Q32" s="4">
        <v>0.83</v>
      </c>
      <c r="R32" s="4">
        <v>0.87</v>
      </c>
      <c r="S32" s="4">
        <v>0.84</v>
      </c>
      <c r="T32" s="4">
        <v>0.82</v>
      </c>
      <c r="U32" s="4">
        <v>0.87</v>
      </c>
      <c r="V32" s="4">
        <v>0.87</v>
      </c>
      <c r="W32" s="4">
        <f t="shared" si="0"/>
        <v>0.83544709228753378</v>
      </c>
      <c r="X32" s="6">
        <f t="shared" si="1"/>
        <v>14</v>
      </c>
    </row>
    <row r="33" spans="1:24" ht="25" customHeight="1">
      <c r="A33" t="s">
        <v>49</v>
      </c>
      <c r="B33">
        <v>2</v>
      </c>
      <c r="C33">
        <v>9</v>
      </c>
      <c r="D33">
        <v>1</v>
      </c>
      <c r="E33" t="s">
        <v>17</v>
      </c>
      <c r="F33" t="b">
        <v>1</v>
      </c>
      <c r="G33">
        <v>0</v>
      </c>
      <c r="H33" t="s">
        <v>23</v>
      </c>
      <c r="I33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plu-spl:T-mgv:9-sn:2k</v>
      </c>
      <c r="J33" s="4">
        <v>0.93</v>
      </c>
      <c r="K33" s="4">
        <v>0.89</v>
      </c>
      <c r="L33" s="4">
        <v>0.86</v>
      </c>
      <c r="M33" s="4">
        <v>0.89</v>
      </c>
      <c r="N33" s="4">
        <v>0.86</v>
      </c>
      <c r="O33" s="4">
        <v>0.81</v>
      </c>
      <c r="P33" s="4">
        <v>0.89</v>
      </c>
      <c r="Q33" s="4">
        <v>0.88</v>
      </c>
      <c r="R33" s="4">
        <v>0.91</v>
      </c>
      <c r="S33" s="4">
        <v>0.88</v>
      </c>
      <c r="T33" s="4">
        <v>0.84</v>
      </c>
      <c r="U33" s="4">
        <v>0.89</v>
      </c>
      <c r="V33" s="4">
        <v>0.93</v>
      </c>
      <c r="W33" s="4">
        <f t="shared" si="0"/>
        <v>0.87696900305881653</v>
      </c>
      <c r="X33" s="6">
        <f t="shared" si="1"/>
        <v>5</v>
      </c>
    </row>
    <row r="34" spans="1:24" ht="25" customHeight="1">
      <c r="A34" t="s">
        <v>49</v>
      </c>
      <c r="B34">
        <v>2</v>
      </c>
      <c r="C34">
        <v>9</v>
      </c>
      <c r="D34">
        <v>2</v>
      </c>
      <c r="E34" t="s">
        <v>21</v>
      </c>
      <c r="F34" t="b">
        <v>0</v>
      </c>
      <c r="G34">
        <v>0</v>
      </c>
      <c r="H34" t="s">
        <v>23</v>
      </c>
      <c r="I34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gen-spl:F-mgv:9-sn:2k</v>
      </c>
      <c r="J34" s="9">
        <v>0.7</v>
      </c>
      <c r="K34" s="9">
        <v>0.7</v>
      </c>
      <c r="L34" s="9">
        <v>0.71</v>
      </c>
      <c r="M34" s="9">
        <v>0.71</v>
      </c>
      <c r="N34" s="9">
        <v>0.77</v>
      </c>
      <c r="O34" s="9">
        <v>0.73</v>
      </c>
      <c r="P34" s="9">
        <v>0.72</v>
      </c>
      <c r="Q34" s="9">
        <v>0.71</v>
      </c>
      <c r="R34" s="9">
        <v>0.72</v>
      </c>
      <c r="S34" s="9">
        <v>0.71</v>
      </c>
      <c r="T34" s="9">
        <v>0.71</v>
      </c>
      <c r="U34" s="9">
        <v>0.71</v>
      </c>
      <c r="V34" s="9">
        <v>0.77</v>
      </c>
      <c r="W34" s="4">
        <f t="shared" ref="W34:W55" si="2">_xlfn.LET(_xlpm.d,$J34:$U34,GEOMEAN(_xlpm.d))</f>
        <v>0.71644918977658645</v>
      </c>
      <c r="X34" s="6">
        <f t="shared" ref="X34:X55" si="3">_xlfn.LET(_xlpm.x,W34,_xlpm.r,W$2:W$55,RANK(_xlpm.x,_xlpm.r))</f>
        <v>22</v>
      </c>
    </row>
    <row r="35" spans="1:24" ht="25" customHeight="1">
      <c r="A35" t="s">
        <v>49</v>
      </c>
      <c r="B35">
        <v>2</v>
      </c>
      <c r="C35">
        <v>9</v>
      </c>
      <c r="D35">
        <v>2</v>
      </c>
      <c r="E35" t="s">
        <v>21</v>
      </c>
      <c r="F35" t="b">
        <v>1</v>
      </c>
      <c r="G35">
        <v>0</v>
      </c>
      <c r="H35" t="s">
        <v>23</v>
      </c>
      <c r="I35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gen-spl:T-mgv:9-sn:2k</v>
      </c>
      <c r="J35" s="9">
        <v>0.91</v>
      </c>
      <c r="K35" s="9">
        <v>0.92</v>
      </c>
      <c r="L35" s="9">
        <v>0.93</v>
      </c>
      <c r="M35" s="9">
        <v>0.89</v>
      </c>
      <c r="N35" s="9">
        <v>0.84</v>
      </c>
      <c r="O35" s="9">
        <v>0.83</v>
      </c>
      <c r="P35" s="9">
        <v>0.91</v>
      </c>
      <c r="Q35" s="9">
        <v>0.94</v>
      </c>
      <c r="R35" s="9">
        <v>0.93</v>
      </c>
      <c r="S35" s="9">
        <v>0.91</v>
      </c>
      <c r="T35" s="9">
        <v>0.89</v>
      </c>
      <c r="U35" s="9">
        <v>0.86</v>
      </c>
      <c r="V35" s="9">
        <v>0.94</v>
      </c>
      <c r="W35" s="4">
        <f t="shared" si="2"/>
        <v>0.89599062697534382</v>
      </c>
      <c r="X35" s="6">
        <f t="shared" si="3"/>
        <v>2</v>
      </c>
    </row>
    <row r="36" spans="1:24" ht="25" customHeight="1">
      <c r="A36" t="s">
        <v>49</v>
      </c>
      <c r="B36">
        <v>2</v>
      </c>
      <c r="C36">
        <v>9</v>
      </c>
      <c r="D36">
        <v>3</v>
      </c>
      <c r="E36" t="s">
        <v>22</v>
      </c>
      <c r="F36" t="b">
        <v>0</v>
      </c>
      <c r="G36">
        <v>0</v>
      </c>
      <c r="H36" t="s">
        <v>23</v>
      </c>
      <c r="I36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cas-spl:F-mgv:9-sn:2k</v>
      </c>
      <c r="J36" s="9">
        <v>0.44</v>
      </c>
      <c r="K36" s="9">
        <v>0.46</v>
      </c>
      <c r="L36" s="9">
        <v>0.39</v>
      </c>
      <c r="M36" s="9">
        <v>0.42</v>
      </c>
      <c r="N36" s="9">
        <v>0.41</v>
      </c>
      <c r="O36" s="9">
        <v>0.41</v>
      </c>
      <c r="P36" s="9">
        <v>0.47</v>
      </c>
      <c r="Q36" s="9">
        <v>0.43</v>
      </c>
      <c r="R36" s="9">
        <v>0.43</v>
      </c>
      <c r="S36" s="9">
        <v>0.53</v>
      </c>
      <c r="T36" s="9">
        <v>0.47</v>
      </c>
      <c r="U36" s="9">
        <v>0.45</v>
      </c>
      <c r="V36" s="9">
        <v>0.53</v>
      </c>
      <c r="W36" s="4">
        <f t="shared" si="2"/>
        <v>0.4411227207991063</v>
      </c>
      <c r="X36" s="6">
        <f t="shared" si="3"/>
        <v>49</v>
      </c>
    </row>
    <row r="37" spans="1:24" ht="25" customHeight="1">
      <c r="A37" t="s">
        <v>49</v>
      </c>
      <c r="B37">
        <v>2</v>
      </c>
      <c r="C37">
        <v>9</v>
      </c>
      <c r="D37">
        <v>3</v>
      </c>
      <c r="E37" t="s">
        <v>22</v>
      </c>
      <c r="F37" t="b">
        <v>1</v>
      </c>
      <c r="G37">
        <v>0</v>
      </c>
      <c r="H37" t="s">
        <v>23</v>
      </c>
      <c r="I37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cas-spl:T-mgv:9-sn:2k</v>
      </c>
      <c r="J37" s="9">
        <v>0.48</v>
      </c>
      <c r="K37" s="9">
        <v>0.56999999999999995</v>
      </c>
      <c r="L37" s="9">
        <v>0.62</v>
      </c>
      <c r="M37" s="9">
        <v>0.56000000000000005</v>
      </c>
      <c r="N37" s="9">
        <v>0.48</v>
      </c>
      <c r="O37" s="9">
        <v>0.47</v>
      </c>
      <c r="P37" s="9">
        <v>0.56000000000000005</v>
      </c>
      <c r="Q37" s="9">
        <v>0.51</v>
      </c>
      <c r="R37" s="9">
        <v>0.51</v>
      </c>
      <c r="S37" s="9">
        <v>0.6</v>
      </c>
      <c r="T37" s="9">
        <v>0.47</v>
      </c>
      <c r="U37" s="9">
        <v>0.46</v>
      </c>
      <c r="V37" s="9">
        <v>0.62</v>
      </c>
      <c r="W37" s="4">
        <f t="shared" si="2"/>
        <v>0.52153186924702166</v>
      </c>
      <c r="X37" s="6">
        <f t="shared" si="3"/>
        <v>42</v>
      </c>
    </row>
    <row r="38" spans="1:24" ht="25" customHeight="1">
      <c r="A38" t="s">
        <v>49</v>
      </c>
      <c r="B38">
        <v>3</v>
      </c>
      <c r="C38">
        <v>3</v>
      </c>
      <c r="D38">
        <v>1</v>
      </c>
      <c r="E38" t="s">
        <v>17</v>
      </c>
      <c r="F38" t="b">
        <v>0</v>
      </c>
      <c r="G38">
        <v>0</v>
      </c>
      <c r="H38" t="s">
        <v>23</v>
      </c>
      <c r="I38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plu-spl:F-mgv:3-sn:3k</v>
      </c>
      <c r="J38" s="4">
        <v>0.84</v>
      </c>
      <c r="K38" s="4">
        <v>0.82</v>
      </c>
      <c r="L38" s="4">
        <v>0.82</v>
      </c>
      <c r="M38" s="4">
        <v>0.87</v>
      </c>
      <c r="N38" s="4">
        <v>0.85</v>
      </c>
      <c r="O38" s="4">
        <v>0.79</v>
      </c>
      <c r="P38" s="4">
        <v>0.81</v>
      </c>
      <c r="Q38" s="4">
        <v>0.85</v>
      </c>
      <c r="R38" s="4">
        <v>0.81</v>
      </c>
      <c r="S38" s="4">
        <v>0.83</v>
      </c>
      <c r="T38" s="4">
        <v>0.83</v>
      </c>
      <c r="U38" s="4">
        <v>0.82</v>
      </c>
      <c r="V38" s="4">
        <v>0.87</v>
      </c>
      <c r="W38" s="4">
        <f t="shared" si="2"/>
        <v>0.82807423442329375</v>
      </c>
      <c r="X38" s="6">
        <f t="shared" si="3"/>
        <v>16</v>
      </c>
    </row>
    <row r="39" spans="1:24" ht="25" customHeight="1">
      <c r="A39" t="s">
        <v>49</v>
      </c>
      <c r="B39">
        <v>3</v>
      </c>
      <c r="C39">
        <v>3</v>
      </c>
      <c r="D39">
        <v>1</v>
      </c>
      <c r="E39" t="s">
        <v>17</v>
      </c>
      <c r="F39" t="b">
        <v>1</v>
      </c>
      <c r="G39">
        <v>0</v>
      </c>
      <c r="H39" t="s">
        <v>23</v>
      </c>
      <c r="I39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plu-spl:T-mgv:3-sn:3k</v>
      </c>
      <c r="J39" s="4">
        <v>0.89</v>
      </c>
      <c r="K39" s="4">
        <v>0.87</v>
      </c>
      <c r="L39" s="4">
        <v>0.87</v>
      </c>
      <c r="M39" s="4">
        <v>0.89</v>
      </c>
      <c r="N39" s="4">
        <v>0.87</v>
      </c>
      <c r="O39" s="4">
        <v>0.83</v>
      </c>
      <c r="P39" s="4">
        <v>0.89</v>
      </c>
      <c r="Q39" s="4">
        <v>0.89</v>
      </c>
      <c r="R39" s="4">
        <v>0.87</v>
      </c>
      <c r="S39" s="4">
        <v>0.88</v>
      </c>
      <c r="T39" s="4">
        <v>0.86</v>
      </c>
      <c r="U39" s="4">
        <v>0.86</v>
      </c>
      <c r="V39" s="4">
        <v>0.89</v>
      </c>
      <c r="W39" s="4">
        <f t="shared" si="2"/>
        <v>0.87233418516091232</v>
      </c>
      <c r="X39" s="6">
        <f t="shared" si="3"/>
        <v>6</v>
      </c>
    </row>
    <row r="40" spans="1:24" ht="25" customHeight="1">
      <c r="A40" t="s">
        <v>49</v>
      </c>
      <c r="B40">
        <v>3</v>
      </c>
      <c r="C40">
        <v>3</v>
      </c>
      <c r="D40">
        <v>2</v>
      </c>
      <c r="E40" t="s">
        <v>21</v>
      </c>
      <c r="F40" t="b">
        <v>0</v>
      </c>
      <c r="G40">
        <v>0</v>
      </c>
      <c r="H40" t="s">
        <v>23</v>
      </c>
      <c r="I40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gen-spl:F-mgv:3-sn:3k</v>
      </c>
      <c r="J40" s="9">
        <v>0.61</v>
      </c>
      <c r="K40" s="9">
        <v>0.69</v>
      </c>
      <c r="L40" s="9">
        <v>0.69</v>
      </c>
      <c r="M40" s="9">
        <v>0.7</v>
      </c>
      <c r="N40" s="9">
        <v>0.7</v>
      </c>
      <c r="O40" s="9">
        <v>0.7</v>
      </c>
      <c r="P40" s="9">
        <v>0.68</v>
      </c>
      <c r="Q40" s="9">
        <v>0.68</v>
      </c>
      <c r="R40" s="9">
        <v>0.7</v>
      </c>
      <c r="S40" s="9">
        <v>0.7</v>
      </c>
      <c r="T40" s="9">
        <v>0.68</v>
      </c>
      <c r="U40" s="9">
        <v>0.69</v>
      </c>
      <c r="V40" s="9">
        <v>0.7</v>
      </c>
      <c r="W40" s="4">
        <f t="shared" si="2"/>
        <v>0.68455419645904647</v>
      </c>
      <c r="X40" s="6">
        <f t="shared" si="3"/>
        <v>26</v>
      </c>
    </row>
    <row r="41" spans="1:24" ht="25" customHeight="1">
      <c r="A41" t="s">
        <v>49</v>
      </c>
      <c r="B41">
        <v>3</v>
      </c>
      <c r="C41">
        <v>3</v>
      </c>
      <c r="D41">
        <v>2</v>
      </c>
      <c r="E41" t="s">
        <v>21</v>
      </c>
      <c r="F41" t="b">
        <v>1</v>
      </c>
      <c r="G41">
        <v>0</v>
      </c>
      <c r="H41" t="s">
        <v>23</v>
      </c>
      <c r="I41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gen-spl:T-mgv:3-sn:3k</v>
      </c>
      <c r="J41" s="9">
        <v>0.66</v>
      </c>
      <c r="K41" s="9">
        <v>0.67</v>
      </c>
      <c r="L41" s="9">
        <v>0.73</v>
      </c>
      <c r="M41" s="9">
        <v>0.72</v>
      </c>
      <c r="N41" s="9">
        <v>0.72</v>
      </c>
      <c r="O41" s="9">
        <v>0.65</v>
      </c>
      <c r="P41" s="9">
        <v>0.71</v>
      </c>
      <c r="Q41" s="9">
        <v>0.69</v>
      </c>
      <c r="R41" s="9">
        <v>0.71</v>
      </c>
      <c r="S41" s="9">
        <v>0.66</v>
      </c>
      <c r="T41" s="9">
        <v>0.71</v>
      </c>
      <c r="U41" s="9">
        <v>0.68</v>
      </c>
      <c r="V41" s="9">
        <v>0.73</v>
      </c>
      <c r="W41" s="4">
        <f t="shared" si="2"/>
        <v>0.69198988199215183</v>
      </c>
      <c r="X41" s="6">
        <f t="shared" si="3"/>
        <v>24</v>
      </c>
    </row>
    <row r="42" spans="1:24" ht="25" customHeight="1">
      <c r="A42" t="s">
        <v>49</v>
      </c>
      <c r="B42">
        <v>3</v>
      </c>
      <c r="C42">
        <v>3</v>
      </c>
      <c r="D42">
        <v>3</v>
      </c>
      <c r="E42" t="s">
        <v>22</v>
      </c>
      <c r="F42" t="b">
        <v>0</v>
      </c>
      <c r="G42">
        <v>0</v>
      </c>
      <c r="H42" t="s">
        <v>23</v>
      </c>
      <c r="I42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cas-spl:F-mgv:3-sn:3k</v>
      </c>
      <c r="J42" s="9">
        <v>0.48</v>
      </c>
      <c r="K42" s="9">
        <v>0.47</v>
      </c>
      <c r="L42" s="9">
        <v>0.44</v>
      </c>
      <c r="M42" s="9">
        <v>0.39</v>
      </c>
      <c r="N42" s="9">
        <v>0.48</v>
      </c>
      <c r="O42" s="9">
        <v>0.44</v>
      </c>
      <c r="P42" s="9">
        <v>0.39</v>
      </c>
      <c r="Q42" s="9">
        <v>0.48</v>
      </c>
      <c r="R42" s="9">
        <v>0.43</v>
      </c>
      <c r="S42" s="9">
        <v>0.41</v>
      </c>
      <c r="T42" s="9">
        <v>0.47</v>
      </c>
      <c r="U42" s="9">
        <v>0.46</v>
      </c>
      <c r="V42" s="9">
        <v>0.48</v>
      </c>
      <c r="W42" s="4">
        <f t="shared" si="2"/>
        <v>0.44377586404129504</v>
      </c>
      <c r="X42" s="6">
        <f t="shared" si="3"/>
        <v>48</v>
      </c>
    </row>
    <row r="43" spans="1:24" ht="25" customHeight="1">
      <c r="A43" t="s">
        <v>49</v>
      </c>
      <c r="B43">
        <v>3</v>
      </c>
      <c r="C43">
        <v>3</v>
      </c>
      <c r="D43">
        <v>3</v>
      </c>
      <c r="E43" t="s">
        <v>22</v>
      </c>
      <c r="F43" t="b">
        <v>1</v>
      </c>
      <c r="G43">
        <v>0</v>
      </c>
      <c r="H43" t="s">
        <v>23</v>
      </c>
      <c r="I43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cas-spl:T-mgv:3-sn:3k</v>
      </c>
      <c r="J43" s="9">
        <v>0.56999999999999995</v>
      </c>
      <c r="K43" s="9">
        <v>0.55000000000000004</v>
      </c>
      <c r="L43" s="9">
        <v>0.51</v>
      </c>
      <c r="M43" s="9">
        <v>0.46</v>
      </c>
      <c r="N43" s="9">
        <v>0.54</v>
      </c>
      <c r="O43" s="9">
        <v>0.5</v>
      </c>
      <c r="P43" s="9">
        <v>0.56000000000000005</v>
      </c>
      <c r="Q43" s="9">
        <v>0.61</v>
      </c>
      <c r="R43" s="9">
        <v>0.56000000000000005</v>
      </c>
      <c r="S43" s="9">
        <v>0.51</v>
      </c>
      <c r="T43" s="9">
        <v>0.52</v>
      </c>
      <c r="U43" s="9">
        <v>0.54</v>
      </c>
      <c r="V43" s="9">
        <v>0.61</v>
      </c>
      <c r="W43" s="4">
        <f t="shared" si="2"/>
        <v>0.5345235865860315</v>
      </c>
      <c r="X43" s="6">
        <f t="shared" si="3"/>
        <v>39</v>
      </c>
    </row>
    <row r="44" spans="1:24" ht="25" customHeight="1">
      <c r="A44" t="s">
        <v>49</v>
      </c>
      <c r="B44">
        <v>3</v>
      </c>
      <c r="C44">
        <v>6</v>
      </c>
      <c r="D44">
        <v>1</v>
      </c>
      <c r="E44" t="s">
        <v>17</v>
      </c>
      <c r="F44" t="b">
        <v>0</v>
      </c>
      <c r="G44">
        <v>0</v>
      </c>
      <c r="H44" t="s">
        <v>23</v>
      </c>
      <c r="I44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plu-spl:F-mgv:6-sn:3k</v>
      </c>
      <c r="J44" s="4">
        <v>0.84</v>
      </c>
      <c r="K44" s="4">
        <v>0.83</v>
      </c>
      <c r="L44" s="4">
        <v>0.83</v>
      </c>
      <c r="M44" s="4">
        <v>0.84</v>
      </c>
      <c r="N44" s="4">
        <v>0.84</v>
      </c>
      <c r="O44" s="4">
        <v>0.88</v>
      </c>
      <c r="P44" s="4">
        <v>0.81</v>
      </c>
      <c r="Q44" s="4">
        <v>0.83</v>
      </c>
      <c r="R44" s="4">
        <v>0.86</v>
      </c>
      <c r="S44" s="4">
        <v>0.85</v>
      </c>
      <c r="T44" s="4">
        <v>0.85</v>
      </c>
      <c r="U44" s="4">
        <v>0.83</v>
      </c>
      <c r="V44" s="4">
        <v>0.88</v>
      </c>
      <c r="W44" s="4">
        <f t="shared" si="2"/>
        <v>0.84066155176839319</v>
      </c>
      <c r="X44" s="6">
        <f t="shared" si="3"/>
        <v>13</v>
      </c>
    </row>
    <row r="45" spans="1:24" ht="25" customHeight="1">
      <c r="A45" t="s">
        <v>49</v>
      </c>
      <c r="B45">
        <v>3</v>
      </c>
      <c r="C45">
        <v>6</v>
      </c>
      <c r="D45">
        <v>1</v>
      </c>
      <c r="E45" t="s">
        <v>17</v>
      </c>
      <c r="F45" t="b">
        <v>1</v>
      </c>
      <c r="G45">
        <v>0</v>
      </c>
      <c r="H45" t="s">
        <v>23</v>
      </c>
      <c r="I45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plu-spl:T-mgv:6-sn:3k</v>
      </c>
      <c r="J45" s="4">
        <v>0.9</v>
      </c>
      <c r="K45" s="4">
        <v>0.9</v>
      </c>
      <c r="L45" s="4">
        <v>0.88</v>
      </c>
      <c r="M45" s="4">
        <v>0.88</v>
      </c>
      <c r="N45" s="4">
        <v>0.85</v>
      </c>
      <c r="O45" s="4">
        <v>0.89</v>
      </c>
      <c r="P45" s="4">
        <v>0.88</v>
      </c>
      <c r="Q45" s="4">
        <v>0.91</v>
      </c>
      <c r="R45" s="4">
        <v>0.91</v>
      </c>
      <c r="S45" s="4">
        <v>0.89</v>
      </c>
      <c r="T45" s="4">
        <v>0.85</v>
      </c>
      <c r="U45" s="4">
        <v>0.86</v>
      </c>
      <c r="V45" s="4">
        <v>0.91</v>
      </c>
      <c r="W45" s="4">
        <f t="shared" si="2"/>
        <v>0.88310229076869384</v>
      </c>
      <c r="X45" s="6">
        <f t="shared" si="3"/>
        <v>4</v>
      </c>
    </row>
    <row r="46" spans="1:24" ht="25" customHeight="1">
      <c r="A46" t="s">
        <v>49</v>
      </c>
      <c r="B46">
        <v>3</v>
      </c>
      <c r="C46">
        <v>6</v>
      </c>
      <c r="D46">
        <v>2</v>
      </c>
      <c r="E46" t="s">
        <v>21</v>
      </c>
      <c r="F46" t="b">
        <v>0</v>
      </c>
      <c r="G46">
        <v>0</v>
      </c>
      <c r="H46" t="s">
        <v>23</v>
      </c>
      <c r="I46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gen-spl:F-mgv:6-sn:3k</v>
      </c>
      <c r="J46" s="9">
        <v>0.7</v>
      </c>
      <c r="K46" s="9">
        <v>0.73</v>
      </c>
      <c r="L46" s="9">
        <v>0.68</v>
      </c>
      <c r="M46" s="9">
        <v>0.72</v>
      </c>
      <c r="N46" s="9">
        <v>0.68</v>
      </c>
      <c r="O46" s="9">
        <v>0.67</v>
      </c>
      <c r="P46" s="9">
        <v>0.7</v>
      </c>
      <c r="Q46" s="9">
        <v>0.66</v>
      </c>
      <c r="R46" s="9">
        <v>0.68</v>
      </c>
      <c r="S46" s="9">
        <v>0.67</v>
      </c>
      <c r="T46" s="9">
        <v>0.62</v>
      </c>
      <c r="U46" s="9">
        <v>0.73</v>
      </c>
      <c r="V46" s="9">
        <v>0.73</v>
      </c>
      <c r="W46" s="4">
        <f t="shared" si="2"/>
        <v>0.6859864259099423</v>
      </c>
      <c r="X46" s="6">
        <f t="shared" si="3"/>
        <v>25</v>
      </c>
    </row>
    <row r="47" spans="1:24" ht="25" customHeight="1">
      <c r="A47" t="s">
        <v>49</v>
      </c>
      <c r="B47">
        <v>3</v>
      </c>
      <c r="C47">
        <v>6</v>
      </c>
      <c r="D47">
        <v>2</v>
      </c>
      <c r="E47" t="s">
        <v>21</v>
      </c>
      <c r="F47" t="b">
        <v>1</v>
      </c>
      <c r="G47">
        <v>0</v>
      </c>
      <c r="H47" t="s">
        <v>23</v>
      </c>
      <c r="I47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gen-spl:T-mgv:6-sn:3k</v>
      </c>
      <c r="J47" s="9">
        <v>0.7</v>
      </c>
      <c r="K47" s="9">
        <v>0.74</v>
      </c>
      <c r="L47" s="9">
        <v>0.71</v>
      </c>
      <c r="M47" s="9">
        <v>0.74</v>
      </c>
      <c r="N47" s="9">
        <v>0.67</v>
      </c>
      <c r="O47" s="9">
        <v>0.72</v>
      </c>
      <c r="P47" s="9">
        <v>0.74</v>
      </c>
      <c r="Q47" s="9">
        <v>0.7</v>
      </c>
      <c r="R47" s="9">
        <v>0.7</v>
      </c>
      <c r="S47" s="9">
        <v>0.7</v>
      </c>
      <c r="T47" s="9">
        <v>0.67</v>
      </c>
      <c r="U47" s="9">
        <v>0.7</v>
      </c>
      <c r="V47" s="9">
        <v>0.74</v>
      </c>
      <c r="W47" s="4">
        <f t="shared" si="2"/>
        <v>0.70712113419751521</v>
      </c>
      <c r="X47" s="6">
        <f t="shared" si="3"/>
        <v>23</v>
      </c>
    </row>
    <row r="48" spans="1:24" ht="25" customHeight="1">
      <c r="A48" t="s">
        <v>49</v>
      </c>
      <c r="B48">
        <v>3</v>
      </c>
      <c r="C48">
        <v>6</v>
      </c>
      <c r="D48">
        <v>3</v>
      </c>
      <c r="E48" t="s">
        <v>22</v>
      </c>
      <c r="F48" t="b">
        <v>0</v>
      </c>
      <c r="G48">
        <v>0</v>
      </c>
      <c r="H48" t="s">
        <v>23</v>
      </c>
      <c r="I48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cas-spl:F-mgv:6-sn:3k</v>
      </c>
      <c r="J48" s="9">
        <v>0.42</v>
      </c>
      <c r="K48" s="9">
        <v>0.39</v>
      </c>
      <c r="L48" s="9">
        <v>0.44</v>
      </c>
      <c r="M48" s="9">
        <v>0.48</v>
      </c>
      <c r="N48" s="9">
        <v>0.44</v>
      </c>
      <c r="O48" s="9">
        <v>0.5</v>
      </c>
      <c r="P48" s="9">
        <v>0.46</v>
      </c>
      <c r="Q48" s="9">
        <v>0.42</v>
      </c>
      <c r="R48" s="9">
        <v>0.45</v>
      </c>
      <c r="S48" s="9">
        <v>0.47</v>
      </c>
      <c r="T48" s="9">
        <v>0.47</v>
      </c>
      <c r="U48" s="9">
        <v>0.43</v>
      </c>
      <c r="V48" s="9">
        <v>0.5</v>
      </c>
      <c r="W48" s="4">
        <f t="shared" si="2"/>
        <v>0.44653913313746879</v>
      </c>
      <c r="X48" s="6">
        <f t="shared" si="3"/>
        <v>47</v>
      </c>
    </row>
    <row r="49" spans="1:24" ht="25" customHeight="1">
      <c r="A49" t="s">
        <v>49</v>
      </c>
      <c r="B49">
        <v>3</v>
      </c>
      <c r="C49">
        <v>6</v>
      </c>
      <c r="D49">
        <v>3</v>
      </c>
      <c r="E49" t="s">
        <v>22</v>
      </c>
      <c r="F49" t="b">
        <v>1</v>
      </c>
      <c r="G49">
        <v>0</v>
      </c>
      <c r="H49" t="s">
        <v>23</v>
      </c>
      <c r="I49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cas-spl:T-mgv:6-sn:3k</v>
      </c>
      <c r="J49" s="9">
        <v>0.59</v>
      </c>
      <c r="K49" s="9">
        <v>0.53</v>
      </c>
      <c r="L49" s="9">
        <v>0.55000000000000004</v>
      </c>
      <c r="M49" s="9">
        <v>0.59</v>
      </c>
      <c r="N49" s="9">
        <v>0.54</v>
      </c>
      <c r="O49" s="9">
        <v>0.55000000000000004</v>
      </c>
      <c r="P49" s="9">
        <v>0.62</v>
      </c>
      <c r="Q49" s="9">
        <v>0.52</v>
      </c>
      <c r="R49" s="9">
        <v>0.55000000000000004</v>
      </c>
      <c r="S49" s="9">
        <v>0.56000000000000005</v>
      </c>
      <c r="T49" s="9">
        <v>0.54</v>
      </c>
      <c r="U49" s="9">
        <v>0.53</v>
      </c>
      <c r="V49" s="9">
        <v>0.62</v>
      </c>
      <c r="W49" s="4">
        <f t="shared" si="2"/>
        <v>0.5551276604746106</v>
      </c>
      <c r="X49" s="6">
        <f t="shared" si="3"/>
        <v>37</v>
      </c>
    </row>
    <row r="50" spans="1:24" ht="25" customHeight="1">
      <c r="A50" t="s">
        <v>49</v>
      </c>
      <c r="B50">
        <v>3</v>
      </c>
      <c r="C50">
        <v>9</v>
      </c>
      <c r="D50">
        <v>1</v>
      </c>
      <c r="E50" t="s">
        <v>17</v>
      </c>
      <c r="F50" t="b">
        <v>0</v>
      </c>
      <c r="G50">
        <v>0</v>
      </c>
      <c r="H50" t="s">
        <v>23</v>
      </c>
      <c r="I50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plu-spl:F-mgv:9-sn:3k</v>
      </c>
      <c r="J50" s="4">
        <v>0.83</v>
      </c>
      <c r="K50" s="4">
        <v>0.87</v>
      </c>
      <c r="L50" s="4">
        <v>0.82</v>
      </c>
      <c r="M50" s="4">
        <v>0.83</v>
      </c>
      <c r="N50" s="4">
        <v>0.87</v>
      </c>
      <c r="O50" s="4">
        <v>0.86</v>
      </c>
      <c r="P50" s="4">
        <v>0.86</v>
      </c>
      <c r="Q50" s="4">
        <v>0.84</v>
      </c>
      <c r="R50" s="4">
        <v>0.79</v>
      </c>
      <c r="S50" s="4">
        <v>0.85</v>
      </c>
      <c r="T50" s="4">
        <v>0.88</v>
      </c>
      <c r="U50" s="4">
        <v>0.83</v>
      </c>
      <c r="V50" s="4">
        <v>0.87</v>
      </c>
      <c r="W50" s="4">
        <f t="shared" si="2"/>
        <v>0.84380279455735363</v>
      </c>
      <c r="X50" s="6">
        <f t="shared" si="3"/>
        <v>12</v>
      </c>
    </row>
    <row r="51" spans="1:24" ht="25" customHeight="1">
      <c r="A51" t="s">
        <v>49</v>
      </c>
      <c r="B51">
        <v>3</v>
      </c>
      <c r="C51">
        <v>9</v>
      </c>
      <c r="D51">
        <v>1</v>
      </c>
      <c r="E51" t="s">
        <v>17</v>
      </c>
      <c r="F51" t="b">
        <v>1</v>
      </c>
      <c r="G51">
        <v>0</v>
      </c>
      <c r="H51" t="s">
        <v>23</v>
      </c>
      <c r="I51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plu-spl:T-mgv:9-sn:3k</v>
      </c>
      <c r="J51" s="4">
        <v>0.93</v>
      </c>
      <c r="K51" s="4">
        <v>0.89</v>
      </c>
      <c r="L51" s="4">
        <v>0.88</v>
      </c>
      <c r="M51" s="4">
        <v>0.89</v>
      </c>
      <c r="N51" s="4">
        <v>0.87</v>
      </c>
      <c r="O51" s="4">
        <v>0.89</v>
      </c>
      <c r="P51" s="4">
        <v>0.91</v>
      </c>
      <c r="Q51" s="4">
        <v>0.88</v>
      </c>
      <c r="R51" s="4">
        <v>0.84</v>
      </c>
      <c r="S51" s="4">
        <v>0.89</v>
      </c>
      <c r="T51" s="4">
        <v>0.9</v>
      </c>
      <c r="U51" s="4">
        <v>0.87</v>
      </c>
      <c r="V51" s="4">
        <v>0.93</v>
      </c>
      <c r="W51" s="4">
        <f t="shared" si="2"/>
        <v>0.88640902197655058</v>
      </c>
      <c r="X51" s="6">
        <f t="shared" si="3"/>
        <v>3</v>
      </c>
    </row>
    <row r="52" spans="1:24" ht="25" customHeight="1">
      <c r="A52" t="s">
        <v>49</v>
      </c>
      <c r="B52">
        <v>3</v>
      </c>
      <c r="C52">
        <v>9</v>
      </c>
      <c r="D52">
        <v>2</v>
      </c>
      <c r="E52" t="s">
        <v>21</v>
      </c>
      <c r="F52" t="b">
        <v>0</v>
      </c>
      <c r="G52">
        <v>0</v>
      </c>
      <c r="H52" t="s">
        <v>23</v>
      </c>
      <c r="I52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gen-spl:F-mgv:9-sn:3k</v>
      </c>
      <c r="J52" s="9">
        <v>0.77</v>
      </c>
      <c r="K52" s="9">
        <v>0.75</v>
      </c>
      <c r="L52" s="9">
        <v>0.72</v>
      </c>
      <c r="M52" s="9">
        <v>0.71</v>
      </c>
      <c r="N52" s="9">
        <v>0.77</v>
      </c>
      <c r="O52" s="9">
        <v>0.77</v>
      </c>
      <c r="P52" s="9">
        <v>0.73</v>
      </c>
      <c r="Q52" s="9">
        <v>0.78</v>
      </c>
      <c r="R52" s="9">
        <v>0.75</v>
      </c>
      <c r="S52" s="9">
        <v>0.75</v>
      </c>
      <c r="T52" s="9">
        <v>0.78</v>
      </c>
      <c r="U52" s="9">
        <v>0.75</v>
      </c>
      <c r="V52" s="9">
        <v>0.78</v>
      </c>
      <c r="W52" s="4">
        <f t="shared" si="2"/>
        <v>0.75217404790445819</v>
      </c>
      <c r="X52" s="6">
        <f t="shared" si="3"/>
        <v>21</v>
      </c>
    </row>
    <row r="53" spans="1:24" ht="25" customHeight="1">
      <c r="A53" t="s">
        <v>49</v>
      </c>
      <c r="B53">
        <v>3</v>
      </c>
      <c r="C53">
        <v>9</v>
      </c>
      <c r="D53">
        <v>2</v>
      </c>
      <c r="E53" t="s">
        <v>21</v>
      </c>
      <c r="F53" t="b">
        <v>1</v>
      </c>
      <c r="G53">
        <v>0</v>
      </c>
      <c r="H53" t="s">
        <v>23</v>
      </c>
      <c r="I53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gen-spl:T-mgv:9-sn:3k</v>
      </c>
      <c r="J53" s="9">
        <v>0.93</v>
      </c>
      <c r="K53" s="9">
        <v>0.94</v>
      </c>
      <c r="L53" s="9">
        <v>0.94</v>
      </c>
      <c r="M53" s="9">
        <v>0.91</v>
      </c>
      <c r="N53" s="9">
        <v>0.89</v>
      </c>
      <c r="O53" s="9">
        <v>0.9</v>
      </c>
      <c r="P53" s="9">
        <v>0.94</v>
      </c>
      <c r="Q53" s="9">
        <v>0.96</v>
      </c>
      <c r="R53" s="9">
        <v>0.96</v>
      </c>
      <c r="S53" s="9">
        <v>0.91</v>
      </c>
      <c r="T53" s="9">
        <v>0.88</v>
      </c>
      <c r="U53" s="9">
        <v>0.84</v>
      </c>
      <c r="V53" s="9">
        <v>0.96</v>
      </c>
      <c r="W53" s="4">
        <f t="shared" si="2"/>
        <v>0.9160247040253281</v>
      </c>
      <c r="X53" s="6">
        <f t="shared" si="3"/>
        <v>1</v>
      </c>
    </row>
    <row r="54" spans="1:24" ht="25" customHeight="1">
      <c r="A54" t="s">
        <v>49</v>
      </c>
      <c r="B54">
        <v>3</v>
      </c>
      <c r="C54">
        <v>9</v>
      </c>
      <c r="D54">
        <v>3</v>
      </c>
      <c r="E54" t="s">
        <v>22</v>
      </c>
      <c r="F54" t="b">
        <v>0</v>
      </c>
      <c r="G54">
        <v>0</v>
      </c>
      <c r="H54" t="s">
        <v>23</v>
      </c>
      <c r="I54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cas-spl:F-mgv:9-sn:3k</v>
      </c>
      <c r="J54" s="9">
        <v>0.42</v>
      </c>
      <c r="K54" s="9">
        <v>0.47</v>
      </c>
      <c r="L54" s="9">
        <v>0.42</v>
      </c>
      <c r="M54" s="9">
        <v>0.46</v>
      </c>
      <c r="N54" s="9">
        <v>0.43</v>
      </c>
      <c r="O54" s="9">
        <v>0.48</v>
      </c>
      <c r="P54" s="9">
        <v>0.48</v>
      </c>
      <c r="Q54" s="9">
        <v>0.43</v>
      </c>
      <c r="R54" s="9">
        <v>0.46</v>
      </c>
      <c r="S54" s="9">
        <v>0.46</v>
      </c>
      <c r="T54" s="9">
        <v>0.51</v>
      </c>
      <c r="U54" s="9">
        <v>0.45</v>
      </c>
      <c r="V54" s="9">
        <v>0.48</v>
      </c>
      <c r="W54" s="4">
        <f t="shared" si="2"/>
        <v>0.45508166056385807</v>
      </c>
      <c r="X54" s="6">
        <f t="shared" si="3"/>
        <v>46</v>
      </c>
    </row>
    <row r="55" spans="1:24" ht="25" customHeight="1">
      <c r="A55" t="s">
        <v>49</v>
      </c>
      <c r="B55">
        <v>3</v>
      </c>
      <c r="C55">
        <v>9</v>
      </c>
      <c r="D55">
        <v>3</v>
      </c>
      <c r="E55" t="s">
        <v>22</v>
      </c>
      <c r="F55" t="b">
        <v>1</v>
      </c>
      <c r="G55">
        <v>0</v>
      </c>
      <c r="H55" t="s">
        <v>23</v>
      </c>
      <c r="I55" t="str">
        <f>_xlfn.LET(_xlpm.sk,_xlfn.SINGLE(Table21[skippiness]),_xlpm.sn,_xlfn.SINGLE(Table21[sample.n]),_xlpm.mgv,_xlfn.SINGLE(Table21[mgv]),_xlpm.attr,_xlfn.SINGLE(Table21[attribute]),_xlpm.spl,_xlfn.SINGLE(Table21[supplemented]),_xlfn.TEXTJOIN({"-spl:","-mgv:","-sn:",""},TRUE,LEFT(_xlpm.attr,3),LEFT(_xlpm.spl,1),_xlpm.mgv,_xlpm.sn,"k"))</f>
        <v>cas-spl:T-mgv:9-sn:3k</v>
      </c>
      <c r="J55" s="9">
        <v>0.52</v>
      </c>
      <c r="K55" s="9">
        <v>0.56000000000000005</v>
      </c>
      <c r="L55" s="9">
        <v>0.54</v>
      </c>
      <c r="M55" s="9">
        <v>0.56000000000000005</v>
      </c>
      <c r="N55" s="9">
        <v>0.52</v>
      </c>
      <c r="O55" s="9">
        <v>0.49</v>
      </c>
      <c r="P55" s="9">
        <v>0.61</v>
      </c>
      <c r="Q55" s="9">
        <v>0.51</v>
      </c>
      <c r="R55" s="9">
        <v>0.56999999999999995</v>
      </c>
      <c r="S55" s="9">
        <v>0.56000000000000005</v>
      </c>
      <c r="T55" s="9">
        <v>0.56000000000000005</v>
      </c>
      <c r="U55" s="9">
        <v>0.47</v>
      </c>
      <c r="V55" s="9">
        <v>0.61</v>
      </c>
      <c r="W55" s="4">
        <f t="shared" si="2"/>
        <v>0.53787964964664736</v>
      </c>
      <c r="X55" s="6">
        <f t="shared" si="3"/>
        <v>38</v>
      </c>
    </row>
    <row r="58" spans="1:24" ht="25" customHeight="1">
      <c r="U58" t="s">
        <v>47</v>
      </c>
      <c r="V58" t="s">
        <v>48</v>
      </c>
      <c r="W58" t="s">
        <v>26</v>
      </c>
      <c r="X58" t="s">
        <v>52</v>
      </c>
    </row>
    <row r="59" spans="1:24" ht="25" customHeight="1">
      <c r="U59">
        <v>3</v>
      </c>
      <c r="V59">
        <v>9</v>
      </c>
      <c r="W59" t="b">
        <v>1</v>
      </c>
      <c r="X59" s="10" cm="1">
        <f t="array" ref="X59">_xlfn.LET(_xlpm.d,X$2:X$55,_xlpm.a,$B$2:$B$55=$U59,_xlpm.b,$C$2:$C$55=$V59,_xlpm.c,$F$2:$F$55=$W59,GEOMEAN(_xlfn._xlws.FILTER(_xlpm.d,_xlpm.a*_xlpm.b)))</f>
        <v>10.47555892170957</v>
      </c>
    </row>
    <row r="60" spans="1:24" ht="25" customHeight="1">
      <c r="U60">
        <v>2</v>
      </c>
      <c r="V60">
        <v>9</v>
      </c>
      <c r="W60" t="b">
        <v>1</v>
      </c>
      <c r="X60" s="10" cm="1">
        <f t="array" ref="X60">_xlfn.LET(_xlpm.d,X$2:X$55,_xlpm.a,$B$2:$B$55=$U60,_xlpm.b,$C$2:$C$55=$V60,_xlpm.c,$F$2:$F$55=$W60,GEOMEAN(_xlfn._xlws.FILTER(_xlpm.d,_xlpm.a*_xlpm.b)))</f>
        <v>13.603980930588047</v>
      </c>
    </row>
    <row r="61" spans="1:24" ht="25" customHeight="1">
      <c r="U61">
        <v>3</v>
      </c>
      <c r="V61">
        <v>6</v>
      </c>
      <c r="W61" t="b">
        <v>1</v>
      </c>
      <c r="X61" s="10" cm="1">
        <f t="array" ref="X61">_xlfn.LET(_xlpm.d,X$2:X$55,_xlpm.a,$B$2:$B$55=$U61,_xlpm.b,$C$2:$C$55=$V61,_xlpm.c,$F$2:$F$55=$W61,GEOMEAN(_xlfn._xlws.FILTER(_xlpm.d,_xlpm.a*_xlpm.b)))</f>
        <v>19.319466456673723</v>
      </c>
    </row>
    <row r="62" spans="1:24" ht="25" customHeight="1">
      <c r="U62">
        <v>3</v>
      </c>
      <c r="V62">
        <v>3</v>
      </c>
      <c r="W62" t="b">
        <v>1</v>
      </c>
      <c r="X62" s="10" cm="1">
        <f t="array" ref="X62">_xlfn.LET(_xlpm.d,X$2:X$55,_xlpm.a,$B$2:$B$55=$U62,_xlpm.b,$C$2:$C$55=$V62,_xlpm.c,$F$2:$F$55=$W62,GEOMEAN(_xlfn._xlws.FILTER(_xlpm.d,_xlpm.a*_xlpm.b)))</f>
        <v>21.959727394010216</v>
      </c>
    </row>
    <row r="63" spans="1:24" ht="25" customHeight="1">
      <c r="U63">
        <v>2</v>
      </c>
      <c r="V63">
        <v>3</v>
      </c>
      <c r="W63" t="b">
        <v>1</v>
      </c>
      <c r="X63" s="10" cm="1">
        <f t="array" ref="X63">_xlfn.LET(_xlpm.d,X$2:X$55,_xlpm.a,$B$2:$B$55=$U63,_xlpm.b,$C$2:$C$55=$V63,_xlpm.c,$F$2:$F$55=$W63,GEOMEAN(_xlfn._xlws.FILTER(_xlpm.d,_xlpm.a*_xlpm.b)))</f>
        <v>24.618854924641997</v>
      </c>
    </row>
    <row r="64" spans="1:24" ht="25" customHeight="1">
      <c r="U64">
        <v>2</v>
      </c>
      <c r="V64">
        <v>6</v>
      </c>
      <c r="W64" t="b">
        <v>1</v>
      </c>
      <c r="X64" s="10" cm="1">
        <f t="array" ref="X64">_xlfn.LET(_xlpm.d,X$2:X$55,_xlpm.a,$B$2:$B$55=$U64,_xlpm.b,$C$2:$C$55=$V64,_xlpm.c,$F$2:$F$55=$W64,GEOMEAN(_xlfn._xlws.FILTER(_xlpm.d,_xlpm.a*_xlpm.b)))</f>
        <v>25.260013722282658</v>
      </c>
    </row>
    <row r="65" spans="21:24" ht="25" customHeight="1">
      <c r="U65">
        <v>1.2</v>
      </c>
      <c r="V65">
        <v>9</v>
      </c>
      <c r="W65" t="b">
        <v>1</v>
      </c>
      <c r="X65" s="10" cm="1">
        <f t="array" ref="X65">_xlfn.LET(_xlpm.d,X$2:X$55,_xlpm.a,$B$2:$B$55=$U65,_xlpm.b,$C$2:$C$55=$V65,_xlpm.c,$F$2:$F$55=$W65,GEOMEAN(_xlfn._xlws.FILTER(_xlpm.d,_xlpm.a*_xlpm.b)))</f>
        <v>26.701471737551451</v>
      </c>
    </row>
    <row r="66" spans="21:24" ht="25" customHeight="1">
      <c r="U66">
        <v>1.2</v>
      </c>
      <c r="V66">
        <v>3</v>
      </c>
      <c r="W66" t="b">
        <v>1</v>
      </c>
      <c r="X66" s="10" cm="1">
        <f t="array" ref="X66">_xlfn.LET(_xlpm.d,X$2:X$55,_xlpm.a,$B$2:$B$55=$U66,_xlpm.b,$C$2:$C$55=$V66,_xlpm.c,$F$2:$F$55=$W66,GEOMEAN(_xlfn._xlws.FILTER(_xlpm.d,_xlpm.a*_xlpm.b)))</f>
        <v>27.158200625714802</v>
      </c>
    </row>
    <row r="67" spans="21:24" ht="25" customHeight="1">
      <c r="U67">
        <v>1.2</v>
      </c>
      <c r="V67">
        <v>6</v>
      </c>
      <c r="W67" t="b">
        <v>1</v>
      </c>
      <c r="X67" s="10" cm="1">
        <f t="array" ref="X67">_xlfn.LET(_xlpm.d,X$2:X$55,_xlpm.a,$B$2:$B$55=$U67,_xlpm.b,$C$2:$C$55=$V67,_xlpm.c,$F$2:$F$55=$W67,GEOMEAN(_xlfn._xlws.FILTER(_xlpm.d,_xlpm.a*_xlpm.b)))</f>
        <v>28.726546776197733</v>
      </c>
    </row>
    <row r="70" spans="21:24" ht="25" customHeight="1">
      <c r="U70" t="s">
        <v>47</v>
      </c>
      <c r="V70" t="s">
        <v>48</v>
      </c>
      <c r="W70" t="s">
        <v>1</v>
      </c>
      <c r="X70" t="s">
        <v>52</v>
      </c>
    </row>
    <row r="71" spans="21:24" ht="25" customHeight="1">
      <c r="U71">
        <v>1.2</v>
      </c>
      <c r="V71">
        <v>3</v>
      </c>
      <c r="W71" t="s">
        <v>21</v>
      </c>
      <c r="X71" s="10" cm="1">
        <f t="array" ref="X71">_xlfn.LET(_xlpm.d,X$2:X$55,_xlpm.a,$B$2:$B$55=$U71,_xlpm.b,$C$2:$C$55=$V71,_xlpm.c,$E$2:$E$55=$W71,GEOMEAN(_xlfn._xlws.FILTER(_xlpm.d,_xlpm.a*_xlpm.b)))</f>
        <v>27.158200625714802</v>
      </c>
    </row>
    <row r="72" spans="21:24" ht="25" customHeight="1">
      <c r="U72">
        <v>2</v>
      </c>
      <c r="V72">
        <v>3</v>
      </c>
      <c r="W72" t="s">
        <v>21</v>
      </c>
      <c r="X72" s="10" cm="1">
        <f t="array" ref="X72">_xlfn.LET(_xlpm.d,X$2:X$55,_xlpm.a,$B$2:$B$55=$U72,_xlpm.b,$C$2:$C$55=$V72,_xlpm.c,$E$2:$E$55=$W72,GEOMEAN(_xlfn._xlws.FILTER(_xlpm.d,_xlpm.a*_xlpm.b)))</f>
        <v>24.618854924641997</v>
      </c>
    </row>
    <row r="73" spans="21:24" ht="25" customHeight="1">
      <c r="U73">
        <v>3</v>
      </c>
      <c r="V73">
        <v>3</v>
      </c>
      <c r="W73" t="s">
        <v>21</v>
      </c>
      <c r="X73" s="10" cm="1">
        <f t="array" ref="X73">_xlfn.LET(_xlpm.d,X$2:X$55,_xlpm.a,$B$2:$B$55=$U73,_xlpm.b,$C$2:$C$55=$V73,_xlpm.c,$E$2:$E$55=$W73,GEOMEAN(_xlfn._xlws.FILTER(_xlpm.d,_xlpm.a*_xlpm.b)))</f>
        <v>21.959727394010216</v>
      </c>
    </row>
    <row r="74" spans="21:24" ht="25" customHeight="1">
      <c r="U74">
        <v>1.2</v>
      </c>
      <c r="V74">
        <v>6</v>
      </c>
      <c r="W74" t="s">
        <v>21</v>
      </c>
      <c r="X74" s="10" cm="1">
        <f t="array" ref="X74">_xlfn.LET(_xlpm.d,X$2:X$55,_xlpm.a,$B$2:$B$55=$U74,_xlpm.b,$C$2:$C$55=$V74,_xlpm.c,$E$2:$E$55=$W74,GEOMEAN(_xlfn._xlws.FILTER(_xlpm.d,_xlpm.a*_xlpm.b)))</f>
        <v>28.726546776197733</v>
      </c>
    </row>
    <row r="75" spans="21:24" ht="25" customHeight="1">
      <c r="U75">
        <v>2</v>
      </c>
      <c r="V75">
        <v>6</v>
      </c>
      <c r="W75" t="s">
        <v>21</v>
      </c>
      <c r="X75" s="10" cm="1">
        <f t="array" ref="X75">_xlfn.LET(_xlpm.d,X$2:X$55,_xlpm.a,$B$2:$B$55=$U75,_xlpm.b,$C$2:$C$55=$V75,_xlpm.c,$E$2:$E$55=$W75,GEOMEAN(_xlfn._xlws.FILTER(_xlpm.d,_xlpm.a*_xlpm.b)))</f>
        <v>25.260013722282658</v>
      </c>
    </row>
    <row r="76" spans="21:24" ht="25" customHeight="1">
      <c r="U76">
        <v>3</v>
      </c>
      <c r="V76">
        <v>6</v>
      </c>
      <c r="W76" t="s">
        <v>21</v>
      </c>
      <c r="X76" s="10" cm="1">
        <f t="array" ref="X76">_xlfn.LET(_xlpm.d,X$2:X$55,_xlpm.a,$B$2:$B$55=$U76,_xlpm.b,$C$2:$C$55=$V76,_xlpm.c,$E$2:$E$55=$W76,GEOMEAN(_xlfn._xlws.FILTER(_xlpm.d,_xlpm.a*_xlpm.b)))</f>
        <v>19.319466456673723</v>
      </c>
    </row>
    <row r="77" spans="21:24" ht="25" customHeight="1">
      <c r="U77">
        <v>1.2</v>
      </c>
      <c r="V77">
        <v>9</v>
      </c>
      <c r="W77" t="s">
        <v>21</v>
      </c>
      <c r="X77" s="10" cm="1">
        <f t="array" ref="X77">_xlfn.LET(_xlpm.d,X$2:X$55,_xlpm.a,$B$2:$B$55=$U77,_xlpm.b,$C$2:$C$55=$V77,_xlpm.c,$E$2:$E$55=$W77,GEOMEAN(_xlfn._xlws.FILTER(_xlpm.d,_xlpm.a*_xlpm.b)))</f>
        <v>26.701471737551451</v>
      </c>
    </row>
    <row r="78" spans="21:24" ht="25" customHeight="1">
      <c r="U78">
        <v>2</v>
      </c>
      <c r="V78">
        <v>9</v>
      </c>
      <c r="W78" t="s">
        <v>21</v>
      </c>
      <c r="X78" s="10" cm="1">
        <f t="array" ref="X78">_xlfn.LET(_xlpm.d,X$2:X$55,_xlpm.a,$B$2:$B$55=$U78,_xlpm.b,$C$2:$C$55=$V78,_xlpm.c,$E$2:$E$55=$W78,GEOMEAN(_xlfn._xlws.FILTER(_xlpm.d,_xlpm.a*_xlpm.b)))</f>
        <v>13.603980930588047</v>
      </c>
    </row>
    <row r="79" spans="21:24" ht="25" customHeight="1">
      <c r="U79">
        <v>3</v>
      </c>
      <c r="V79">
        <v>9</v>
      </c>
      <c r="W79" t="s">
        <v>21</v>
      </c>
      <c r="X79" s="10" cm="1">
        <f t="array" ref="X79">_xlfn.LET(_xlpm.d,X$2:X$55,_xlpm.a,$B$2:$B$55=$U79,_xlpm.b,$C$2:$C$55=$V79,_xlpm.c,$E$2:$E$55=$W79,GEOMEAN(_xlfn._xlws.FILTER(_xlpm.d,_xlpm.a*_xlpm.b)))</f>
        <v>10.47555892170957</v>
      </c>
    </row>
    <row r="82" spans="21:24" ht="25" customHeight="1">
      <c r="U82" t="s">
        <v>47</v>
      </c>
      <c r="V82" t="s">
        <v>48</v>
      </c>
      <c r="W82" t="s">
        <v>1</v>
      </c>
      <c r="X82" t="s">
        <v>52</v>
      </c>
    </row>
    <row r="83" spans="21:24" ht="25" customHeight="1">
      <c r="U83">
        <v>1.2</v>
      </c>
      <c r="V83">
        <v>3</v>
      </c>
      <c r="W83" t="s">
        <v>17</v>
      </c>
      <c r="X83" s="10" cm="1">
        <f t="array" ref="X83">_xlfn.LET(_xlpm.d,X$2:X$55,_xlpm.a,$B$2:$B$55=$U83,_xlpm.b,$C$2:$C$55=$V83,_xlpm.c,$E$2:$E$55=$W83,GEOMEAN(_xlfn._xlws.FILTER(_xlpm.d,_xlpm.a*_xlpm.b)))</f>
        <v>27.158200625714802</v>
      </c>
    </row>
    <row r="84" spans="21:24" ht="25" customHeight="1">
      <c r="U84">
        <v>2</v>
      </c>
      <c r="V84">
        <v>3</v>
      </c>
      <c r="W84" t="s">
        <v>17</v>
      </c>
      <c r="X84" s="10" cm="1">
        <f t="array" ref="X84">_xlfn.LET(_xlpm.d,X$2:X$55,_xlpm.a,$B$2:$B$55=$U84,_xlpm.b,$C$2:$C$55=$V84,_xlpm.c,$E$2:$E$55=$W84,GEOMEAN(_xlfn._xlws.FILTER(_xlpm.d,_xlpm.a*_xlpm.b)))</f>
        <v>24.618854924641997</v>
      </c>
    </row>
    <row r="85" spans="21:24" ht="25" customHeight="1">
      <c r="U85">
        <v>3</v>
      </c>
      <c r="V85">
        <v>3</v>
      </c>
      <c r="W85" t="s">
        <v>17</v>
      </c>
      <c r="X85" s="10" cm="1">
        <f t="array" ref="X85">_xlfn.LET(_xlpm.d,X$2:X$55,_xlpm.a,$B$2:$B$55=$U85,_xlpm.b,$C$2:$C$55=$V85,_xlpm.c,$E$2:$E$55=$W85,GEOMEAN(_xlfn._xlws.FILTER(_xlpm.d,_xlpm.a*_xlpm.b)))</f>
        <v>21.959727394010216</v>
      </c>
    </row>
    <row r="86" spans="21:24" ht="25" customHeight="1">
      <c r="U86">
        <v>1.2</v>
      </c>
      <c r="V86">
        <v>6</v>
      </c>
      <c r="W86" t="s">
        <v>17</v>
      </c>
      <c r="X86" s="10" cm="1">
        <f t="array" ref="X86">_xlfn.LET(_xlpm.d,X$2:X$55,_xlpm.a,$B$2:$B$55=$U86,_xlpm.b,$C$2:$C$55=$V86,_xlpm.c,$E$2:$E$55=$W86,GEOMEAN(_xlfn._xlws.FILTER(_xlpm.d,_xlpm.a*_xlpm.b)))</f>
        <v>28.726546776197733</v>
      </c>
    </row>
    <row r="87" spans="21:24" ht="25" customHeight="1">
      <c r="U87">
        <v>2</v>
      </c>
      <c r="V87">
        <v>6</v>
      </c>
      <c r="W87" t="s">
        <v>17</v>
      </c>
      <c r="X87" s="10" cm="1">
        <f t="array" ref="X87">_xlfn.LET(_xlpm.d,X$2:X$55,_xlpm.a,$B$2:$B$55=$U87,_xlpm.b,$C$2:$C$55=$V87,_xlpm.c,$E$2:$E$55=$W87,GEOMEAN(_xlfn._xlws.FILTER(_xlpm.d,_xlpm.a*_xlpm.b)))</f>
        <v>25.260013722282658</v>
      </c>
    </row>
    <row r="88" spans="21:24" ht="25" customHeight="1">
      <c r="U88">
        <v>3</v>
      </c>
      <c r="V88">
        <v>6</v>
      </c>
      <c r="W88" t="s">
        <v>17</v>
      </c>
      <c r="X88" s="10" cm="1">
        <f t="array" ref="X88">_xlfn.LET(_xlpm.d,X$2:X$55,_xlpm.a,$B$2:$B$55=$U88,_xlpm.b,$C$2:$C$55=$V88,_xlpm.c,$E$2:$E$55=$W88,GEOMEAN(_xlfn._xlws.FILTER(_xlpm.d,_xlpm.a*_xlpm.b)))</f>
        <v>19.319466456673723</v>
      </c>
    </row>
    <row r="89" spans="21:24" ht="25" customHeight="1">
      <c r="U89">
        <v>1.2</v>
      </c>
      <c r="V89">
        <v>9</v>
      </c>
      <c r="W89" t="s">
        <v>17</v>
      </c>
      <c r="X89" s="10" cm="1">
        <f t="array" ref="X89">_xlfn.LET(_xlpm.d,X$2:X$55,_xlpm.a,$B$2:$B$55=$U89,_xlpm.b,$C$2:$C$55=$V89,_xlpm.c,$E$2:$E$55=$W89,GEOMEAN(_xlfn._xlws.FILTER(_xlpm.d,_xlpm.a*_xlpm.b)))</f>
        <v>26.701471737551451</v>
      </c>
    </row>
    <row r="90" spans="21:24" ht="25" customHeight="1">
      <c r="U90">
        <v>2</v>
      </c>
      <c r="V90">
        <v>9</v>
      </c>
      <c r="W90" t="s">
        <v>17</v>
      </c>
      <c r="X90" s="10" cm="1">
        <f t="array" ref="X90">_xlfn.LET(_xlpm.d,X$2:X$55,_xlpm.a,$B$2:$B$55=$U90,_xlpm.b,$C$2:$C$55=$V90,_xlpm.c,$E$2:$E$55=$W90,GEOMEAN(_xlfn._xlws.FILTER(_xlpm.d,_xlpm.a*_xlpm.b)))</f>
        <v>13.603980930588047</v>
      </c>
    </row>
    <row r="91" spans="21:24" ht="25" customHeight="1">
      <c r="U91">
        <v>3</v>
      </c>
      <c r="V91">
        <v>9</v>
      </c>
      <c r="W91" t="s">
        <v>17</v>
      </c>
      <c r="X91" s="10" cm="1">
        <f t="array" ref="X91">_xlfn.LET(_xlpm.d,X$2:X$55,_xlpm.a,$B$2:$B$55=$U91,_xlpm.b,$C$2:$C$55=$V91,_xlpm.c,$E$2:$E$55=$W91,GEOMEAN(_xlfn._xlws.FILTER(_xlpm.d,_xlpm.a*_xlpm.b)))</f>
        <v>10.47555892170957</v>
      </c>
    </row>
    <row r="94" spans="21:24" ht="25" customHeight="1">
      <c r="U94" t="s">
        <v>47</v>
      </c>
      <c r="V94" t="s">
        <v>48</v>
      </c>
      <c r="W94" t="s">
        <v>1</v>
      </c>
      <c r="X94" t="s">
        <v>52</v>
      </c>
    </row>
    <row r="95" spans="21:24" ht="25" customHeight="1">
      <c r="U95">
        <v>1.2</v>
      </c>
      <c r="V95">
        <v>3</v>
      </c>
      <c r="W95" t="s">
        <v>22</v>
      </c>
      <c r="X95" s="10" cm="1">
        <f t="array" ref="X95">_xlfn.LET(_xlpm.d,X$2:X$55,_xlpm.a,$B$2:$B$55=$U95,_xlpm.b,$C$2:$C$55=$V95,_xlpm.c,$E$2:$E$55=$W95,GEOMEAN(_xlfn._xlws.FILTER(_xlpm.d,_xlpm.a*_xlpm.b)))</f>
        <v>27.158200625714802</v>
      </c>
    </row>
    <row r="96" spans="21:24" ht="25" customHeight="1">
      <c r="U96">
        <v>2</v>
      </c>
      <c r="V96">
        <v>3</v>
      </c>
      <c r="W96" t="s">
        <v>22</v>
      </c>
      <c r="X96" s="10" cm="1">
        <f t="array" ref="X96">_xlfn.LET(_xlpm.d,X$2:X$55,_xlpm.a,$B$2:$B$55=$U96,_xlpm.b,$C$2:$C$55=$V96,_xlpm.c,$E$2:$E$55=$W96,GEOMEAN(_xlfn._xlws.FILTER(_xlpm.d,_xlpm.a*_xlpm.b)))</f>
        <v>24.618854924641997</v>
      </c>
    </row>
    <row r="97" spans="21:24" ht="25" customHeight="1">
      <c r="U97">
        <v>3</v>
      </c>
      <c r="V97">
        <v>3</v>
      </c>
      <c r="W97" t="s">
        <v>22</v>
      </c>
      <c r="X97" s="10" cm="1">
        <f t="array" ref="X97">_xlfn.LET(_xlpm.d,X$2:X$55,_xlpm.a,$B$2:$B$55=$U97,_xlpm.b,$C$2:$C$55=$V97,_xlpm.c,$E$2:$E$55=$W97,GEOMEAN(_xlfn._xlws.FILTER(_xlpm.d,_xlpm.a*_xlpm.b)))</f>
        <v>21.959727394010216</v>
      </c>
    </row>
    <row r="98" spans="21:24" ht="25" customHeight="1">
      <c r="U98">
        <v>1.2</v>
      </c>
      <c r="V98">
        <v>6</v>
      </c>
      <c r="W98" t="s">
        <v>22</v>
      </c>
      <c r="X98" s="10" cm="1">
        <f t="array" ref="X98">_xlfn.LET(_xlpm.d,X$2:X$55,_xlpm.a,$B$2:$B$55=$U98,_xlpm.b,$C$2:$C$55=$V98,_xlpm.c,$E$2:$E$55=$W98,GEOMEAN(_xlfn._xlws.FILTER(_xlpm.d,_xlpm.a*_xlpm.b)))</f>
        <v>28.726546776197733</v>
      </c>
    </row>
    <row r="99" spans="21:24" ht="25" customHeight="1">
      <c r="U99">
        <v>2</v>
      </c>
      <c r="V99">
        <v>6</v>
      </c>
      <c r="W99" t="s">
        <v>22</v>
      </c>
      <c r="X99" s="10" cm="1">
        <f t="array" ref="X99">_xlfn.LET(_xlpm.d,X$2:X$55,_xlpm.a,$B$2:$B$55=$U99,_xlpm.b,$C$2:$C$55=$V99,_xlpm.c,$E$2:$E$55=$W99,GEOMEAN(_xlfn._xlws.FILTER(_xlpm.d,_xlpm.a*_xlpm.b)))</f>
        <v>25.260013722282658</v>
      </c>
    </row>
    <row r="100" spans="21:24" ht="25" customHeight="1">
      <c r="U100">
        <v>3</v>
      </c>
      <c r="V100">
        <v>6</v>
      </c>
      <c r="W100" t="s">
        <v>22</v>
      </c>
      <c r="X100" s="10" cm="1">
        <f t="array" ref="X100">_xlfn.LET(_xlpm.d,X$2:X$55,_xlpm.a,$B$2:$B$55=$U100,_xlpm.b,$C$2:$C$55=$V100,_xlpm.c,$E$2:$E$55=$W100,GEOMEAN(_xlfn._xlws.FILTER(_xlpm.d,_xlpm.a*_xlpm.b)))</f>
        <v>19.319466456673723</v>
      </c>
    </row>
    <row r="101" spans="21:24" ht="25" customHeight="1">
      <c r="U101">
        <v>1.2</v>
      </c>
      <c r="V101">
        <v>9</v>
      </c>
      <c r="W101" t="s">
        <v>22</v>
      </c>
      <c r="X101" s="10" cm="1">
        <f t="array" ref="X101">_xlfn.LET(_xlpm.d,X$2:X$55,_xlpm.a,$B$2:$B$55=$U101,_xlpm.b,$C$2:$C$55=$V101,_xlpm.c,$E$2:$E$55=$W101,GEOMEAN(_xlfn._xlws.FILTER(_xlpm.d,_xlpm.a*_xlpm.b)))</f>
        <v>26.701471737551451</v>
      </c>
    </row>
    <row r="102" spans="21:24" ht="25" customHeight="1">
      <c r="U102">
        <v>2</v>
      </c>
      <c r="V102">
        <v>9</v>
      </c>
      <c r="W102" t="s">
        <v>22</v>
      </c>
      <c r="X102" s="10" cm="1">
        <f t="array" ref="X102">_xlfn.LET(_xlpm.d,X$2:X$55,_xlpm.a,$B$2:$B$55=$U102,_xlpm.b,$C$2:$C$55=$V102,_xlpm.c,$E$2:$E$55=$W102,GEOMEAN(_xlfn._xlws.FILTER(_xlpm.d,_xlpm.a*_xlpm.b)))</f>
        <v>13.603980930588047</v>
      </c>
    </row>
    <row r="103" spans="21:24" ht="25" customHeight="1">
      <c r="U103">
        <v>3</v>
      </c>
      <c r="V103">
        <v>9</v>
      </c>
      <c r="W103" t="s">
        <v>22</v>
      </c>
      <c r="X103" s="10" cm="1">
        <f t="array" ref="X103">_xlfn.LET(_xlpm.d,X$2:X$55,_xlpm.a,$B$2:$B$55=$U103,_xlpm.b,$C$2:$C$55=$V103,_xlpm.c,$E$2:$E$55=$W103,GEOMEAN(_xlfn._xlws.FILTER(_xlpm.d,_xlpm.a*_xlpm.b)))</f>
        <v>10.47555892170957</v>
      </c>
    </row>
  </sheetData>
  <conditionalFormatting sqref="J2:V55">
    <cfRule type="colorScale" priority="9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W2:W55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2:X55">
    <cfRule type="colorScale" priority="6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59:X67">
    <cfRule type="colorScale" priority="4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71:X79">
    <cfRule type="colorScale" priority="3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83:X91">
    <cfRule type="colorScale" priority="2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95:X103">
    <cfRule type="colorScale" priority="1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5763-AAB1-9948-B5CF-F31544BB963E}">
  <dimension ref="A1:T37"/>
  <sheetViews>
    <sheetView tabSelected="1" workbookViewId="0">
      <pane xSplit="8480" ySplit="5440" topLeftCell="P19" activePane="topRight"/>
      <selection activeCell="E1" sqref="E1:E1048576"/>
      <selection pane="topRight" activeCell="U6" sqref="U6"/>
      <selection pane="bottomLeft" activeCell="B22" sqref="B22:T28"/>
      <selection pane="bottomRight" activeCell="AB31" sqref="AB31"/>
    </sheetView>
  </sheetViews>
  <sheetFormatPr baseColWidth="10" defaultRowHeight="25" customHeight="1"/>
  <cols>
    <col min="2" max="6" width="7.75" customWidth="1"/>
    <col min="7" max="7" width="13.75" customWidth="1"/>
    <col min="8" max="20" width="8.375" customWidth="1"/>
  </cols>
  <sheetData>
    <row r="1" spans="1:20" ht="25" customHeight="1">
      <c r="A1" t="s">
        <v>0</v>
      </c>
      <c r="B1" t="s">
        <v>24</v>
      </c>
      <c r="C1" t="s">
        <v>1</v>
      </c>
      <c r="D1" t="s">
        <v>26</v>
      </c>
      <c r="E1" t="s">
        <v>25</v>
      </c>
      <c r="F1" t="s">
        <v>3</v>
      </c>
      <c r="G1" t="s">
        <v>50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t="str">
        <f>_xlfn.LET(_xlpm.attr,Table1[[#This Row],[attribute]],_xlpm.spl,LEFT(Table1[[#This Row],[supplemented]],1),_xlfn.TEXTJOIN("-",TRUE,_xlpm.attr,_xlpm.spl,"3k-mgv3"))</f>
        <v>plurality-T-3k-mgv3</v>
      </c>
      <c r="H2" s="4">
        <v>0.9</v>
      </c>
      <c r="I2" s="4">
        <v>0.87</v>
      </c>
      <c r="J2" s="4">
        <v>0.81</v>
      </c>
      <c r="K2" s="4">
        <v>0.87</v>
      </c>
      <c r="L2" s="4">
        <v>0.8</v>
      </c>
      <c r="M2" s="4">
        <v>0.88</v>
      </c>
      <c r="N2" s="4">
        <v>0.88</v>
      </c>
      <c r="O2" s="4">
        <v>0.87</v>
      </c>
      <c r="P2" s="4">
        <v>0.78</v>
      </c>
      <c r="Q2" s="4">
        <v>0.83</v>
      </c>
      <c r="R2" s="4">
        <v>0.85</v>
      </c>
      <c r="S2" s="4">
        <v>0.83</v>
      </c>
      <c r="T2" s="4">
        <f t="shared" ref="T2:T19" si="0">MAX($H2:$P2)</f>
        <v>0.9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G3" t="str">
        <f>_xlfn.LET(_xlpm.attr,Table1[[#This Row],[attribute]],_xlpm.spl,LEFT(Table1[[#This Row],[supplemented]],1),_xlfn.TEXTJOIN("-",TRUE,_xlpm.attr,_xlpm.spl,"3k-mgv3"))</f>
        <v>plurality-T-3k-mgv3</v>
      </c>
      <c r="H3" s="4">
        <v>0.93</v>
      </c>
      <c r="I3" s="4">
        <v>0.89</v>
      </c>
      <c r="J3" s="4">
        <v>0.88</v>
      </c>
      <c r="K3" s="4">
        <v>0.89</v>
      </c>
      <c r="L3" s="4">
        <v>0.85</v>
      </c>
      <c r="M3" s="4">
        <v>0.89</v>
      </c>
      <c r="N3" s="4">
        <v>0.9</v>
      </c>
      <c r="O3" s="4">
        <v>0.88</v>
      </c>
      <c r="P3" s="4">
        <v>0.84</v>
      </c>
      <c r="Q3" s="4">
        <v>0.89</v>
      </c>
      <c r="R3" s="4">
        <v>0.9</v>
      </c>
      <c r="S3" s="4">
        <v>0.87</v>
      </c>
      <c r="T3" s="4">
        <f t="shared" si="0"/>
        <v>0.93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G4" t="str">
        <f>_xlfn.LET(_xlpm.attr,Table1[[#This Row],[attribute]],_xlpm.spl,LEFT(Table1[[#This Row],[supplemented]],1),_xlfn.TEXTJOIN("-",TRUE,_xlpm.attr,_xlpm.spl,"3k-mgv3"))</f>
        <v>plurality-T-3k-mgv3</v>
      </c>
      <c r="H4" s="4">
        <v>0.89</v>
      </c>
      <c r="I4" s="4">
        <v>0.89</v>
      </c>
      <c r="J4" s="4">
        <v>0.87</v>
      </c>
      <c r="K4" s="4">
        <v>0.84</v>
      </c>
      <c r="L4" s="4">
        <v>0.87</v>
      </c>
      <c r="M4" s="4">
        <v>0.87</v>
      </c>
      <c r="N4" s="4">
        <v>0.91</v>
      </c>
      <c r="O4" s="4">
        <v>0.86</v>
      </c>
      <c r="P4" s="4">
        <v>0.82</v>
      </c>
      <c r="Q4" s="4">
        <v>0.87</v>
      </c>
      <c r="R4" s="4">
        <v>0.86</v>
      </c>
      <c r="S4" s="4">
        <v>0.85</v>
      </c>
      <c r="T4" s="4">
        <f t="shared" si="0"/>
        <v>0.91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t="str">
        <f>_xlfn.LET(_xlpm.attr,Table1[[#This Row],[attribute]],_xlpm.spl,LEFT(Table1[[#This Row],[supplemented]],1),_xlfn.TEXTJOIN("-",TRUE,_xlpm.attr,_xlpm.spl,"3k-mgv3"))</f>
        <v>plurality-F-3k-mgv3</v>
      </c>
      <c r="H5" s="4">
        <v>0.78</v>
      </c>
      <c r="I5" s="4">
        <v>0.85</v>
      </c>
      <c r="J5" s="4">
        <v>0.79</v>
      </c>
      <c r="K5" s="4">
        <v>0.81</v>
      </c>
      <c r="L5" s="4">
        <v>0.83</v>
      </c>
      <c r="M5" s="4">
        <v>0.86</v>
      </c>
      <c r="N5" s="4">
        <v>0.82</v>
      </c>
      <c r="O5" s="4">
        <v>0.81</v>
      </c>
      <c r="P5" s="4">
        <v>0.76</v>
      </c>
      <c r="Q5" s="4">
        <v>0.82</v>
      </c>
      <c r="R5" s="4">
        <v>0.82</v>
      </c>
      <c r="S5" s="4">
        <v>0.82</v>
      </c>
      <c r="T5" s="4">
        <f t="shared" si="0"/>
        <v>0.86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G6" t="str">
        <f>_xlfn.LET(_xlpm.attr,Table1[[#This Row],[attribute]],_xlpm.spl,LEFT(Table1[[#This Row],[supplemented]],1),_xlfn.TEXTJOIN("-",TRUE,_xlpm.attr,_xlpm.spl,"3k-mgv3"))</f>
        <v>plurality-F-3k-mgv3</v>
      </c>
      <c r="H6" s="4">
        <v>0.83</v>
      </c>
      <c r="I6" s="4">
        <v>0.87</v>
      </c>
      <c r="J6" s="4">
        <v>0.82</v>
      </c>
      <c r="K6" s="4">
        <v>0.83</v>
      </c>
      <c r="L6" s="4">
        <v>0.85</v>
      </c>
      <c r="M6" s="4">
        <v>0.86</v>
      </c>
      <c r="N6" s="4">
        <v>0.86</v>
      </c>
      <c r="O6" s="4">
        <v>0.84</v>
      </c>
      <c r="P6" s="4">
        <v>0.79</v>
      </c>
      <c r="Q6" s="4">
        <v>0.85</v>
      </c>
      <c r="R6" s="4">
        <v>0.87</v>
      </c>
      <c r="S6" s="4">
        <v>0.83</v>
      </c>
      <c r="T6" s="4">
        <f t="shared" si="0"/>
        <v>0.87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G7" t="str">
        <f>_xlfn.LET(_xlpm.attr,Table1[[#This Row],[attribute]],_xlpm.spl,LEFT(Table1[[#This Row],[supplemented]],1),_xlfn.TEXTJOIN("-",TRUE,_xlpm.attr,_xlpm.spl,"3k-mgv3"))</f>
        <v>plurality-F-3k-mgv3</v>
      </c>
      <c r="H7" s="4">
        <v>0.82</v>
      </c>
      <c r="I7" s="4">
        <v>0.83</v>
      </c>
      <c r="J7" s="4">
        <v>0.8</v>
      </c>
      <c r="K7" s="4">
        <v>0.83</v>
      </c>
      <c r="L7" s="4">
        <v>0.87</v>
      </c>
      <c r="M7" s="4">
        <v>0.85</v>
      </c>
      <c r="N7" s="4">
        <v>0.79</v>
      </c>
      <c r="O7" s="4">
        <v>0.8</v>
      </c>
      <c r="P7" s="4">
        <v>0.78</v>
      </c>
      <c r="Q7" s="4">
        <v>0.85</v>
      </c>
      <c r="R7" s="4">
        <v>0.88</v>
      </c>
      <c r="S7" s="4">
        <v>0.83</v>
      </c>
      <c r="T7" s="4">
        <f t="shared" si="0"/>
        <v>0.87</v>
      </c>
    </row>
    <row r="8" spans="1:20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t="str">
        <f>_xlfn.LET(_xlpm.attr,Table1[[#This Row],[attribute]],_xlpm.spl,LEFT(Table1[[#This Row],[supplemented]],1),_xlfn.TEXTJOIN("-",TRUE,_xlpm.attr,_xlpm.spl,"3k-mgv3"))</f>
        <v>gender-T-3k-mgv3</v>
      </c>
      <c r="H8" s="4">
        <v>0.89</v>
      </c>
      <c r="I8" s="4">
        <v>0.9</v>
      </c>
      <c r="J8" s="4">
        <v>0.76</v>
      </c>
      <c r="K8" s="4">
        <v>0.81</v>
      </c>
      <c r="L8" s="4">
        <v>0.83</v>
      </c>
      <c r="M8" s="4">
        <v>0.61</v>
      </c>
      <c r="N8" s="4">
        <v>0.92</v>
      </c>
      <c r="O8" s="4">
        <v>0.94</v>
      </c>
      <c r="P8" s="4">
        <v>0.94</v>
      </c>
      <c r="Q8" s="4">
        <v>0.71</v>
      </c>
      <c r="R8" s="4">
        <v>0.73</v>
      </c>
      <c r="S8" s="4">
        <v>0.54</v>
      </c>
      <c r="T8" s="4">
        <f t="shared" si="0"/>
        <v>0.94</v>
      </c>
    </row>
    <row r="9" spans="1:20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19</v>
      </c>
      <c r="G9" t="str">
        <f>_xlfn.LET(_xlpm.attr,Table1[[#This Row],[attribute]],_xlpm.spl,LEFT(Table1[[#This Row],[supplemented]],1),_xlfn.TEXTJOIN("-",TRUE,_xlpm.attr,_xlpm.spl,"3k-mgv3"))</f>
        <v>gender-T-3k-mgv3</v>
      </c>
      <c r="H9" s="4">
        <v>0.93</v>
      </c>
      <c r="I9" s="4">
        <v>0.92</v>
      </c>
      <c r="J9" s="4">
        <v>0.92</v>
      </c>
      <c r="K9" s="4">
        <v>0.88</v>
      </c>
      <c r="L9" s="4">
        <v>0.86</v>
      </c>
      <c r="M9" s="4">
        <v>0.89</v>
      </c>
      <c r="N9" s="4">
        <v>0.92</v>
      </c>
      <c r="O9" s="4">
        <v>0.93</v>
      </c>
      <c r="P9" s="4">
        <v>0.91</v>
      </c>
      <c r="Q9" s="4">
        <v>0.89</v>
      </c>
      <c r="R9" s="4">
        <v>0.88</v>
      </c>
      <c r="S9" s="4">
        <v>0.84</v>
      </c>
      <c r="T9" s="4">
        <f t="shared" si="0"/>
        <v>0.93</v>
      </c>
    </row>
    <row r="10" spans="1:20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18</v>
      </c>
      <c r="G10" t="str">
        <f>_xlfn.LET(_xlpm.attr,Table1[[#This Row],[attribute]],_xlpm.spl,LEFT(Table1[[#This Row],[supplemented]],1),_xlfn.TEXTJOIN("-",TRUE,_xlpm.attr,_xlpm.spl,"3k-mgv3"))</f>
        <v>gender-T-3k-mgv3</v>
      </c>
      <c r="H10" s="4">
        <v>0.93</v>
      </c>
      <c r="I10" s="4">
        <v>0.94</v>
      </c>
      <c r="J10" s="4">
        <v>0.94</v>
      </c>
      <c r="K10" s="4">
        <v>0.91</v>
      </c>
      <c r="L10" s="4">
        <v>0.89</v>
      </c>
      <c r="M10" s="4">
        <v>0.9</v>
      </c>
      <c r="N10" s="4">
        <v>0.94</v>
      </c>
      <c r="O10" s="4">
        <v>0.96</v>
      </c>
      <c r="P10" s="4">
        <v>0.96</v>
      </c>
      <c r="Q10" s="4">
        <v>0.91</v>
      </c>
      <c r="R10" s="4">
        <v>0.88</v>
      </c>
      <c r="S10" s="4">
        <v>0.84</v>
      </c>
      <c r="T10" s="4">
        <f t="shared" si="0"/>
        <v>0.96</v>
      </c>
    </row>
    <row r="11" spans="1:20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t="str">
        <f>_xlfn.LET(_xlpm.attr,Table1[[#This Row],[attribute]],_xlpm.spl,LEFT(Table1[[#This Row],[supplemented]],1),_xlfn.TEXTJOIN("-",TRUE,_xlpm.attr,_xlpm.spl,"3k-mgv3"))</f>
        <v>gender-F-3k-mgv3</v>
      </c>
      <c r="H11" s="4">
        <v>0.65</v>
      </c>
      <c r="I11" s="4">
        <v>0.61</v>
      </c>
      <c r="J11" s="4">
        <v>0.66</v>
      </c>
      <c r="K11" s="4">
        <v>0.59</v>
      </c>
      <c r="L11" s="4">
        <v>0.57999999999999996</v>
      </c>
      <c r="M11" s="4">
        <v>0.56999999999999995</v>
      </c>
      <c r="N11" s="4">
        <v>0.63</v>
      </c>
      <c r="O11" s="4">
        <v>0.67</v>
      </c>
      <c r="P11" s="4">
        <v>0.59</v>
      </c>
      <c r="Q11" s="4">
        <v>0.64</v>
      </c>
      <c r="R11" s="4">
        <v>0.63</v>
      </c>
      <c r="S11" s="4">
        <v>0.63</v>
      </c>
      <c r="T11" s="4">
        <f t="shared" si="0"/>
        <v>0.67</v>
      </c>
    </row>
    <row r="12" spans="1:20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19</v>
      </c>
      <c r="G12" t="str">
        <f>_xlfn.LET(_xlpm.attr,Table1[[#This Row],[attribute]],_xlpm.spl,LEFT(Table1[[#This Row],[supplemented]],1),_xlfn.TEXTJOIN("-",TRUE,_xlpm.attr,_xlpm.spl,"3k-mgv3"))</f>
        <v>gender-F-3k-mgv3</v>
      </c>
      <c r="H12" s="4">
        <v>0.75</v>
      </c>
      <c r="I12" s="4">
        <v>0.75</v>
      </c>
      <c r="J12" s="4">
        <v>0.72</v>
      </c>
      <c r="K12" s="4">
        <v>0.69</v>
      </c>
      <c r="L12" s="4">
        <v>0.67</v>
      </c>
      <c r="M12" s="4">
        <v>0.67</v>
      </c>
      <c r="N12" s="4">
        <v>0.73</v>
      </c>
      <c r="O12" s="4">
        <v>0.73</v>
      </c>
      <c r="P12" s="4">
        <v>0.75</v>
      </c>
      <c r="Q12" s="4">
        <v>0.7</v>
      </c>
      <c r="R12" s="4">
        <v>0.69</v>
      </c>
      <c r="S12" s="4">
        <v>0.71</v>
      </c>
      <c r="T12" s="4">
        <f t="shared" si="0"/>
        <v>0.75</v>
      </c>
    </row>
    <row r="13" spans="1:20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18</v>
      </c>
      <c r="G13" t="str">
        <f>_xlfn.LET(_xlpm.attr,Table1[[#This Row],[attribute]],_xlpm.spl,LEFT(Table1[[#This Row],[supplemented]],1),_xlfn.TEXTJOIN("-",TRUE,_xlpm.attr,_xlpm.spl,"3k-mgv3"))</f>
        <v>gender-F-3k-mgv3</v>
      </c>
      <c r="H13" s="4">
        <v>0.77</v>
      </c>
      <c r="I13" s="4">
        <v>0.74</v>
      </c>
      <c r="J13" s="4">
        <v>0.71</v>
      </c>
      <c r="K13" s="4">
        <v>0.71</v>
      </c>
      <c r="L13" s="4">
        <v>0.77</v>
      </c>
      <c r="M13" s="4">
        <v>0.77</v>
      </c>
      <c r="N13" s="4">
        <v>0.73</v>
      </c>
      <c r="O13" s="4">
        <v>0.78</v>
      </c>
      <c r="P13" s="4">
        <v>0.75</v>
      </c>
      <c r="Q13" s="4">
        <v>0.75</v>
      </c>
      <c r="R13" s="4">
        <v>0.78</v>
      </c>
      <c r="S13" s="4">
        <v>0.75</v>
      </c>
      <c r="T13" s="4">
        <f t="shared" si="0"/>
        <v>0.78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t="str">
        <f>_xlfn.LET(_xlpm.attr,Table1[[#This Row],[attribute]],_xlpm.spl,LEFT(Table1[[#This Row],[supplemented]],1),_xlfn.TEXTJOIN("-",TRUE,_xlpm.attr,_xlpm.spl,"3k-mgv3"))</f>
        <v>case-T-3k-mgv3</v>
      </c>
      <c r="H14" s="4">
        <v>0.47</v>
      </c>
      <c r="I14" s="4">
        <v>0.52</v>
      </c>
      <c r="J14" s="4">
        <v>0.44</v>
      </c>
      <c r="K14" s="4">
        <v>0.42</v>
      </c>
      <c r="L14" s="4">
        <v>0.42</v>
      </c>
      <c r="M14" s="4">
        <v>0.41</v>
      </c>
      <c r="N14" s="4">
        <v>0.59</v>
      </c>
      <c r="O14" s="4">
        <v>0.51</v>
      </c>
      <c r="P14" s="4">
        <v>0.49</v>
      </c>
      <c r="Q14" s="4">
        <v>0.43</v>
      </c>
      <c r="R14" s="4">
        <v>0.42</v>
      </c>
      <c r="S14" s="4">
        <v>0.4</v>
      </c>
      <c r="T14" s="4">
        <f t="shared" si="0"/>
        <v>0.59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G15" t="str">
        <f>_xlfn.LET(_xlpm.attr,Table1[[#This Row],[attribute]],_xlpm.spl,LEFT(Table1[[#This Row],[supplemented]],1),_xlfn.TEXTJOIN("-",TRUE,_xlpm.attr,_xlpm.spl,"3k-mgv3"))</f>
        <v>case-T-3k-mgv3</v>
      </c>
      <c r="H15" s="4">
        <v>0.5</v>
      </c>
      <c r="I15" s="4">
        <v>0.56000000000000005</v>
      </c>
      <c r="J15" s="4">
        <v>0.54</v>
      </c>
      <c r="K15" s="4">
        <v>0.56000000000000005</v>
      </c>
      <c r="L15" s="4">
        <v>0.52</v>
      </c>
      <c r="M15" s="4">
        <v>0.49</v>
      </c>
      <c r="N15" s="4">
        <v>0.61</v>
      </c>
      <c r="O15" s="4">
        <v>0.51</v>
      </c>
      <c r="P15" s="4">
        <v>0.56999999999999995</v>
      </c>
      <c r="Q15" s="4">
        <v>0.56000000000000005</v>
      </c>
      <c r="R15" s="4">
        <v>0.56000000000000005</v>
      </c>
      <c r="S15" s="4">
        <v>0.47</v>
      </c>
      <c r="T15" s="4">
        <f t="shared" si="0"/>
        <v>0.61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G16" t="str">
        <f>_xlfn.LET(_xlpm.attr,Table1[[#This Row],[attribute]],_xlpm.spl,LEFT(Table1[[#This Row],[supplemented]],1),_xlfn.TEXTJOIN("-",TRUE,_xlpm.attr,_xlpm.spl,"3k-mgv3"))</f>
        <v>case-T-3k-mgv3</v>
      </c>
      <c r="H16" s="4">
        <v>0.52</v>
      </c>
      <c r="I16" s="4">
        <v>0.54</v>
      </c>
      <c r="J16" s="4">
        <v>0.47</v>
      </c>
      <c r="K16" s="4">
        <v>0.42</v>
      </c>
      <c r="L16" s="4">
        <v>0.37</v>
      </c>
      <c r="M16" s="4">
        <v>0.4</v>
      </c>
      <c r="N16" s="4">
        <v>0.54</v>
      </c>
      <c r="O16" s="4">
        <v>0.46</v>
      </c>
      <c r="P16" s="4">
        <v>0.47</v>
      </c>
      <c r="Q16" s="4">
        <v>0.48</v>
      </c>
      <c r="R16" s="4">
        <v>0.43</v>
      </c>
      <c r="S16" s="4">
        <v>0.42</v>
      </c>
      <c r="T16" s="4">
        <f t="shared" si="0"/>
        <v>0.54</v>
      </c>
    </row>
    <row r="17" spans="1:20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t="str">
        <f>_xlfn.LET(_xlpm.attr,Table1[[#This Row],[attribute]],_xlpm.spl,LEFT(Table1[[#This Row],[supplemented]],1),_xlfn.TEXTJOIN("-",TRUE,_xlpm.attr,_xlpm.spl,"3k-mgv3"))</f>
        <v>case-F-3k-mgv3</v>
      </c>
      <c r="H17" s="4">
        <v>0.39</v>
      </c>
      <c r="I17" s="4">
        <v>0.43</v>
      </c>
      <c r="J17" s="4">
        <v>0.41</v>
      </c>
      <c r="K17" s="4">
        <v>0.46</v>
      </c>
      <c r="L17" s="4">
        <v>0.37</v>
      </c>
      <c r="M17" s="4">
        <v>0.38</v>
      </c>
      <c r="N17" s="4">
        <v>0.44</v>
      </c>
      <c r="O17" s="4">
        <v>0.4</v>
      </c>
      <c r="P17" s="4">
        <v>0.43</v>
      </c>
      <c r="Q17" s="4">
        <v>0.33</v>
      </c>
      <c r="R17" s="4">
        <v>0.44</v>
      </c>
      <c r="S17" s="4">
        <v>0.38</v>
      </c>
      <c r="T17" s="4">
        <f t="shared" si="0"/>
        <v>0.46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G18" t="str">
        <f>_xlfn.LET(_xlpm.attr,Table1[[#This Row],[attribute]],_xlpm.spl,LEFT(Table1[[#This Row],[supplemented]],1),_xlfn.TEXTJOIN("-",TRUE,_xlpm.attr,_xlpm.spl,"3k-mgv3"))</f>
        <v>case-F-3k-mgv3</v>
      </c>
      <c r="H18" s="4">
        <v>0.42</v>
      </c>
      <c r="I18" s="4">
        <v>0.47</v>
      </c>
      <c r="J18" s="4">
        <v>0.42</v>
      </c>
      <c r="K18" s="4">
        <v>0.43</v>
      </c>
      <c r="L18" s="4">
        <v>0.43</v>
      </c>
      <c r="M18" s="4">
        <v>0.48</v>
      </c>
      <c r="N18" s="4">
        <v>0.48</v>
      </c>
      <c r="O18" s="4">
        <v>0.43</v>
      </c>
      <c r="P18" s="4">
        <v>0.46</v>
      </c>
      <c r="Q18" s="4">
        <v>0.45</v>
      </c>
      <c r="R18" s="4">
        <v>0.51</v>
      </c>
      <c r="S18" s="4">
        <v>0.45</v>
      </c>
      <c r="T18" s="4">
        <f t="shared" si="0"/>
        <v>0.48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t="str">
        <f>_xlfn.LET(_xlpm.attr,Table1[[#This Row],[attribute]],_xlpm.spl,LEFT(Table1[[#This Row],[supplemented]],1),_xlfn.TEXTJOIN("-",TRUE,_xlpm.attr,_xlpm.spl,"3k-mgv3"))</f>
        <v>case-F-3k-mgv3</v>
      </c>
      <c r="H19" s="4">
        <v>0.4</v>
      </c>
      <c r="I19" s="4">
        <v>0.46</v>
      </c>
      <c r="J19" s="4">
        <v>0.36</v>
      </c>
      <c r="K19" s="4">
        <v>0.4</v>
      </c>
      <c r="L19" s="4">
        <v>0.37</v>
      </c>
      <c r="M19" s="4">
        <v>0.37</v>
      </c>
      <c r="N19" s="4">
        <v>0.4</v>
      </c>
      <c r="O19" s="4">
        <v>0.4</v>
      </c>
      <c r="P19" s="4">
        <v>0.42</v>
      </c>
      <c r="Q19" s="4">
        <v>0.46</v>
      </c>
      <c r="R19" s="4">
        <v>0.45</v>
      </c>
      <c r="S19" s="4">
        <v>0.44</v>
      </c>
      <c r="T19" s="4">
        <f t="shared" si="0"/>
        <v>0.46</v>
      </c>
    </row>
    <row r="22" spans="1:20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50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5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G23" t="str">
        <f>_xlfn.LET(_xlpm.attr,Table618[[#This Row],[attribute]],_xlpm.spl,LEFT(Table618[[#This Row],[supplemented]],1),_xlfn.TEXTJOIN("-",TRUE,_xlpm.attr,_xlpm.spl,"3k-mgv3"))</f>
        <v>plurality-T-3k-mgv3</v>
      </c>
      <c r="H23" s="4" cm="1">
        <f t="array" ref="H23">_xlfn.LET(_xlpm.d,H$2:H$19,_xlpm.a,$C$2:$C$19=$C23,_xlpm.b,$D$2:$D$19=$D23,MAX(_xlfn._xlws.FILTER(_xlpm.d,_xlpm.a*_xlpm.b)))</f>
        <v>0.93</v>
      </c>
      <c r="I23" s="4" cm="1">
        <f t="array" ref="I23">_xlfn.LET(_xlpm.d,I$2:I$19,_xlpm.a,$C$2:$C$19=$C23,_xlpm.b,$D$2:$D$19=$D23,MAX(_xlfn._xlws.FILTER(_xlpm.d,_xlpm.a*_xlpm.b)))</f>
        <v>0.89</v>
      </c>
      <c r="J23" s="4" cm="1">
        <f t="array" ref="J23">_xlfn.LET(_xlpm.d,J$2:J$19,_xlpm.a,$C$2:$C$19=$C23,_xlpm.b,$D$2:$D$19=$D23,MAX(_xlfn._xlws.FILTER(_xlpm.d,_xlpm.a*_xlpm.b)))</f>
        <v>0.88</v>
      </c>
      <c r="K23" s="4" cm="1">
        <f t="array" ref="K23">_xlfn.LET(_xlpm.d,K$2:K$19,_xlpm.a,$C$2:$C$19=$C23,_xlpm.b,$D$2:$D$19=$D23,MAX(_xlfn._xlws.FILTER(_xlpm.d,_xlpm.a*_xlpm.b)))</f>
        <v>0.89</v>
      </c>
      <c r="L23" s="4" cm="1">
        <f t="array" ref="L23">_xlfn.LET(_xlpm.d,L$2:L$19,_xlpm.a,$C$2:$C$19=$C23,_xlpm.b,$D$2:$D$19=$D23,MAX(_xlfn._xlws.FILTER(_xlpm.d,_xlpm.a*_xlpm.b)))</f>
        <v>0.87</v>
      </c>
      <c r="M23" s="4" cm="1">
        <f t="array" ref="M23">_xlfn.LET(_xlpm.d,M$2:M$19,_xlpm.a,$C$2:$C$19=$C23,_xlpm.b,$D$2:$D$19=$D23,MAX(_xlfn._xlws.FILTER(_xlpm.d,_xlpm.a*_xlpm.b)))</f>
        <v>0.89</v>
      </c>
      <c r="N23" s="4" cm="1">
        <f t="array" ref="N23">_xlfn.LET(_xlpm.d,N$2:N$19,_xlpm.a,$C$2:$C$19=$C23,_xlpm.b,$D$2:$D$19=$D23,MAX(_xlfn._xlws.FILTER(_xlpm.d,_xlpm.a*_xlpm.b)))</f>
        <v>0.91</v>
      </c>
      <c r="O23" s="4" cm="1">
        <f t="array" ref="O23">_xlfn.LET(_xlpm.d,O$2:O$19,_xlpm.a,$C$2:$C$19=$C23,_xlpm.b,$D$2:$D$19=$D23,MAX(_xlfn._xlws.FILTER(_xlpm.d,_xlpm.a*_xlpm.b)))</f>
        <v>0.88</v>
      </c>
      <c r="P23" s="4" cm="1">
        <f t="array" ref="P23">_xlfn.LET(_xlpm.d,P$2:P$19,_xlpm.a,$C$2:$C$19=$C23,_xlpm.b,$D$2:$D$19=$D23,MAX(_xlfn._xlws.FILTER(_xlpm.d,_xlpm.a*_xlpm.b)))</f>
        <v>0.84</v>
      </c>
      <c r="Q23" s="4" cm="1">
        <f t="array" ref="Q23">_xlfn.LET(_xlpm.d,Q$2:Q$19,_xlpm.a,$C$2:$C$19=$C23,_xlpm.b,$D$2:$D$19=$D23,MAX(_xlfn._xlws.FILTER(_xlpm.d,_xlpm.a*_xlpm.b)))</f>
        <v>0.89</v>
      </c>
      <c r="R23" s="4" cm="1">
        <f t="array" ref="R23">_xlfn.LET(_xlpm.d,R$2:R$19,_xlpm.a,$C$2:$C$19=$C23,_xlpm.b,$D$2:$D$19=$D23,MAX(_xlfn._xlws.FILTER(_xlpm.d,_xlpm.a*_xlpm.b)))</f>
        <v>0.9</v>
      </c>
      <c r="S23" s="4" cm="1">
        <f t="array" ref="S23">_xlfn.LET(_xlpm.d,S$2:S$19,_xlpm.a,$C$2:$C$19=$C23,_xlpm.b,$D$2:$D$19=$D23,MAX(_xlfn._xlws.FILTER(_xlpm.d,_xlpm.a*_xlpm.b)))</f>
        <v>0.87</v>
      </c>
      <c r="T23" s="4" cm="1">
        <f t="array" ref="T23">_xlfn.LET(_xlpm.d,T$2:T$19,_xlpm.a,$C$2:$C$19=$C23,_xlpm.b,$D$2:$D$19=$D23,MAX(_xlfn._xlws.FILTER(_xlpm.d,_xlpm.a*_xlpm.b)))</f>
        <v>0.93</v>
      </c>
    </row>
    <row r="24" spans="1:20" ht="25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G24" t="str">
        <f>_xlfn.LET(_xlpm.attr,Table618[[#This Row],[attribute]],_xlpm.spl,LEFT(Table618[[#This Row],[supplemented]],1),_xlfn.TEXTJOIN("-",TRUE,_xlpm.attr,_xlpm.spl,"3k-mgv3"))</f>
        <v>plurality-F-3k-mgv3</v>
      </c>
      <c r="H24" s="4" cm="1">
        <f t="array" ref="H24">_xlfn.LET(_xlpm.d,H$2:H$19,_xlpm.a,$C$2:$C$19=$C24,_xlpm.b,$D$2:$D$19=$D24,MAX(_xlfn._xlws.FILTER(_xlpm.d,_xlpm.a*_xlpm.b)))</f>
        <v>0.83</v>
      </c>
      <c r="I24" s="4" cm="1">
        <f t="array" ref="I24">_xlfn.LET(_xlpm.d,I$2:I$19,_xlpm.a,$C$2:$C$19=$C24,_xlpm.b,$D$2:$D$19=$D24,MAX(_xlfn._xlws.FILTER(_xlpm.d,_xlpm.a*_xlpm.b)))</f>
        <v>0.87</v>
      </c>
      <c r="J24" s="4" cm="1">
        <f t="array" ref="J24">_xlfn.LET(_xlpm.d,J$2:J$19,_xlpm.a,$C$2:$C$19=$C24,_xlpm.b,$D$2:$D$19=$D24,MAX(_xlfn._xlws.FILTER(_xlpm.d,_xlpm.a*_xlpm.b)))</f>
        <v>0.82</v>
      </c>
      <c r="K24" s="4" cm="1">
        <f t="array" ref="K24">_xlfn.LET(_xlpm.d,K$2:K$19,_xlpm.a,$C$2:$C$19=$C24,_xlpm.b,$D$2:$D$19=$D24,MAX(_xlfn._xlws.FILTER(_xlpm.d,_xlpm.a*_xlpm.b)))</f>
        <v>0.83</v>
      </c>
      <c r="L24" s="4" cm="1">
        <f t="array" ref="L24">_xlfn.LET(_xlpm.d,L$2:L$19,_xlpm.a,$C$2:$C$19=$C24,_xlpm.b,$D$2:$D$19=$D24,MAX(_xlfn._xlws.FILTER(_xlpm.d,_xlpm.a*_xlpm.b)))</f>
        <v>0.87</v>
      </c>
      <c r="M24" s="4" cm="1">
        <f t="array" ref="M24">_xlfn.LET(_xlpm.d,M$2:M$19,_xlpm.a,$C$2:$C$19=$C24,_xlpm.b,$D$2:$D$19=$D24,MAX(_xlfn._xlws.FILTER(_xlpm.d,_xlpm.a*_xlpm.b)))</f>
        <v>0.86</v>
      </c>
      <c r="N24" s="4" cm="1">
        <f t="array" ref="N24">_xlfn.LET(_xlpm.d,N$2:N$19,_xlpm.a,$C$2:$C$19=$C24,_xlpm.b,$D$2:$D$19=$D24,MAX(_xlfn._xlws.FILTER(_xlpm.d,_xlpm.a*_xlpm.b)))</f>
        <v>0.86</v>
      </c>
      <c r="O24" s="4" cm="1">
        <f t="array" ref="O24">_xlfn.LET(_xlpm.d,O$2:O$19,_xlpm.a,$C$2:$C$19=$C24,_xlpm.b,$D$2:$D$19=$D24,MAX(_xlfn._xlws.FILTER(_xlpm.d,_xlpm.a*_xlpm.b)))</f>
        <v>0.84</v>
      </c>
      <c r="P24" s="4" cm="1">
        <f t="array" ref="P24">_xlfn.LET(_xlpm.d,P$2:P$19,_xlpm.a,$C$2:$C$19=$C24,_xlpm.b,$D$2:$D$19=$D24,MAX(_xlfn._xlws.FILTER(_xlpm.d,_xlpm.a*_xlpm.b)))</f>
        <v>0.79</v>
      </c>
      <c r="Q24" s="4" cm="1">
        <f t="array" ref="Q24">_xlfn.LET(_xlpm.d,Q$2:Q$19,_xlpm.a,$C$2:$C$19=$C24,_xlpm.b,$D$2:$D$19=$D24,MAX(_xlfn._xlws.FILTER(_xlpm.d,_xlpm.a*_xlpm.b)))</f>
        <v>0.85</v>
      </c>
      <c r="R24" s="4" cm="1">
        <f t="array" ref="R24">_xlfn.LET(_xlpm.d,R$2:R$19,_xlpm.a,$C$2:$C$19=$C24,_xlpm.b,$D$2:$D$19=$D24,MAX(_xlfn._xlws.FILTER(_xlpm.d,_xlpm.a*_xlpm.b)))</f>
        <v>0.88</v>
      </c>
      <c r="S24" s="4" cm="1">
        <f t="array" ref="S24">_xlfn.LET(_xlpm.d,S$2:S$19,_xlpm.a,$C$2:$C$19=$C24,_xlpm.b,$D$2:$D$19=$D24,MAX(_xlfn._xlws.FILTER(_xlpm.d,_xlpm.a*_xlpm.b)))</f>
        <v>0.83</v>
      </c>
      <c r="T24" s="4" cm="1">
        <f t="array" ref="T24">_xlfn.LET(_xlpm.d,T$2:T$19,_xlpm.a,$C$2:$C$19=$C24,_xlpm.b,$D$2:$D$19=$D24,MAX(_xlfn._xlws.FILTER(_xlpm.d,_xlpm.a*_xlpm.b)))</f>
        <v>0.87</v>
      </c>
    </row>
    <row r="25" spans="1:20" ht="25" customHeight="1">
      <c r="B25">
        <v>2</v>
      </c>
      <c r="C25" t="s">
        <v>21</v>
      </c>
      <c r="D25" t="b">
        <v>1</v>
      </c>
      <c r="E25">
        <v>0</v>
      </c>
      <c r="F25" t="s">
        <v>23</v>
      </c>
      <c r="G25" t="str">
        <f>_xlfn.LET(_xlpm.attr,Table618[[#This Row],[attribute]],_xlpm.spl,LEFT(Table618[[#This Row],[supplemented]],1),_xlfn.TEXTJOIN("-",TRUE,_xlpm.attr,_xlpm.spl,"3k-mgv3"))</f>
        <v>gender-T-3k-mgv3</v>
      </c>
      <c r="H25" s="4" cm="1">
        <f t="array" ref="H25">_xlfn.LET(_xlpm.d,H$2:H$19,_xlpm.a,$C$2:$C$19=$C25,_xlpm.b,$D$2:$D$19=$D25,MAX(_xlfn._xlws.FILTER(_xlpm.d,_xlpm.a*_xlpm.b)))</f>
        <v>0.93</v>
      </c>
      <c r="I25" s="4" cm="1">
        <f t="array" ref="I25">_xlfn.LET(_xlpm.d,I$2:I$19,_xlpm.a,$C$2:$C$19=$C25,_xlpm.b,$D$2:$D$19=$D25,MAX(_xlfn._xlws.FILTER(_xlpm.d,_xlpm.a*_xlpm.b)))</f>
        <v>0.94</v>
      </c>
      <c r="J25" s="4" cm="1">
        <f t="array" ref="J25">_xlfn.LET(_xlpm.d,J$2:J$19,_xlpm.a,$C$2:$C$19=$C25,_xlpm.b,$D$2:$D$19=$D25,MAX(_xlfn._xlws.FILTER(_xlpm.d,_xlpm.a*_xlpm.b)))</f>
        <v>0.94</v>
      </c>
      <c r="K25" s="4" cm="1">
        <f t="array" ref="K25">_xlfn.LET(_xlpm.d,K$2:K$19,_xlpm.a,$C$2:$C$19=$C25,_xlpm.b,$D$2:$D$19=$D25,MAX(_xlfn._xlws.FILTER(_xlpm.d,_xlpm.a*_xlpm.b)))</f>
        <v>0.91</v>
      </c>
      <c r="L25" s="4" cm="1">
        <f t="array" ref="L25">_xlfn.LET(_xlpm.d,L$2:L$19,_xlpm.a,$C$2:$C$19=$C25,_xlpm.b,$D$2:$D$19=$D25,MAX(_xlfn._xlws.FILTER(_xlpm.d,_xlpm.a*_xlpm.b)))</f>
        <v>0.89</v>
      </c>
      <c r="M25" s="4" cm="1">
        <f t="array" ref="M25">_xlfn.LET(_xlpm.d,M$2:M$19,_xlpm.a,$C$2:$C$19=$C25,_xlpm.b,$D$2:$D$19=$D25,MAX(_xlfn._xlws.FILTER(_xlpm.d,_xlpm.a*_xlpm.b)))</f>
        <v>0.9</v>
      </c>
      <c r="N25" s="4" cm="1">
        <f t="array" ref="N25">_xlfn.LET(_xlpm.d,N$2:N$19,_xlpm.a,$C$2:$C$19=$C25,_xlpm.b,$D$2:$D$19=$D25,MAX(_xlfn._xlws.FILTER(_xlpm.d,_xlpm.a*_xlpm.b)))</f>
        <v>0.94</v>
      </c>
      <c r="O25" s="4" cm="1">
        <f t="array" ref="O25">_xlfn.LET(_xlpm.d,O$2:O$19,_xlpm.a,$C$2:$C$19=$C25,_xlpm.b,$D$2:$D$19=$D25,MAX(_xlfn._xlws.FILTER(_xlpm.d,_xlpm.a*_xlpm.b)))</f>
        <v>0.96</v>
      </c>
      <c r="P25" s="4" cm="1">
        <f t="array" ref="P25">_xlfn.LET(_xlpm.d,P$2:P$19,_xlpm.a,$C$2:$C$19=$C25,_xlpm.b,$D$2:$D$19=$D25,MAX(_xlfn._xlws.FILTER(_xlpm.d,_xlpm.a*_xlpm.b)))</f>
        <v>0.96</v>
      </c>
      <c r="Q25" s="4" cm="1">
        <f t="array" ref="Q25">_xlfn.LET(_xlpm.d,Q$2:Q$19,_xlpm.a,$C$2:$C$19=$C25,_xlpm.b,$D$2:$D$19=$D25,MAX(_xlfn._xlws.FILTER(_xlpm.d,_xlpm.a*_xlpm.b)))</f>
        <v>0.91</v>
      </c>
      <c r="R25" s="4" cm="1">
        <f t="array" ref="R25">_xlfn.LET(_xlpm.d,R$2:R$19,_xlpm.a,$C$2:$C$19=$C25,_xlpm.b,$D$2:$D$19=$D25,MAX(_xlfn._xlws.FILTER(_xlpm.d,_xlpm.a*_xlpm.b)))</f>
        <v>0.88</v>
      </c>
      <c r="S25" s="4" cm="1">
        <f t="array" ref="S25">_xlfn.LET(_xlpm.d,S$2:S$19,_xlpm.a,$C$2:$C$19=$C25,_xlpm.b,$D$2:$D$19=$D25,MAX(_xlfn._xlws.FILTER(_xlpm.d,_xlpm.a*_xlpm.b)))</f>
        <v>0.84</v>
      </c>
      <c r="T25" s="4" cm="1">
        <f t="array" ref="T25">_xlfn.LET(_xlpm.d,T$2:T$19,_xlpm.a,$C$2:$C$19=$C25,_xlpm.b,$D$2:$D$19=$D25,MAX(_xlfn._xlws.FILTER(_xlpm.d,_xlpm.a*_xlpm.b)))</f>
        <v>0.96</v>
      </c>
    </row>
    <row r="26" spans="1:20" ht="25" customHeight="1">
      <c r="B26">
        <v>2</v>
      </c>
      <c r="C26" t="s">
        <v>21</v>
      </c>
      <c r="D26" t="b">
        <v>0</v>
      </c>
      <c r="E26">
        <v>0</v>
      </c>
      <c r="F26" t="s">
        <v>23</v>
      </c>
      <c r="G26" t="str">
        <f>_xlfn.LET(_xlpm.attr,Table618[[#This Row],[attribute]],_xlpm.spl,LEFT(Table618[[#This Row],[supplemented]],1),_xlfn.TEXTJOIN("-",TRUE,_xlpm.attr,_xlpm.spl,"3k-mgv3"))</f>
        <v>gender-F-3k-mgv3</v>
      </c>
      <c r="H26" s="4" cm="1">
        <f t="array" ref="H26">_xlfn.LET(_xlpm.d,H$2:H$19,_xlpm.a,$C$2:$C$19=$C26,_xlpm.b,$D$2:$D$19=$D26,MAX(_xlfn._xlws.FILTER(_xlpm.d,_xlpm.a*_xlpm.b)))</f>
        <v>0.77</v>
      </c>
      <c r="I26" s="4" cm="1">
        <f t="array" ref="I26">_xlfn.LET(_xlpm.d,I$2:I$19,_xlpm.a,$C$2:$C$19=$C26,_xlpm.b,$D$2:$D$19=$D26,MAX(_xlfn._xlws.FILTER(_xlpm.d,_xlpm.a*_xlpm.b)))</f>
        <v>0.75</v>
      </c>
      <c r="J26" s="4" cm="1">
        <f t="array" ref="J26">_xlfn.LET(_xlpm.d,J$2:J$19,_xlpm.a,$C$2:$C$19=$C26,_xlpm.b,$D$2:$D$19=$D26,MAX(_xlfn._xlws.FILTER(_xlpm.d,_xlpm.a*_xlpm.b)))</f>
        <v>0.72</v>
      </c>
      <c r="K26" s="4" cm="1">
        <f t="array" ref="K26">_xlfn.LET(_xlpm.d,K$2:K$19,_xlpm.a,$C$2:$C$19=$C26,_xlpm.b,$D$2:$D$19=$D26,MAX(_xlfn._xlws.FILTER(_xlpm.d,_xlpm.a*_xlpm.b)))</f>
        <v>0.71</v>
      </c>
      <c r="L26" s="4" cm="1">
        <f t="array" ref="L26">_xlfn.LET(_xlpm.d,L$2:L$19,_xlpm.a,$C$2:$C$19=$C26,_xlpm.b,$D$2:$D$19=$D26,MAX(_xlfn._xlws.FILTER(_xlpm.d,_xlpm.a*_xlpm.b)))</f>
        <v>0.77</v>
      </c>
      <c r="M26" s="4" cm="1">
        <f t="array" ref="M26">_xlfn.LET(_xlpm.d,M$2:M$19,_xlpm.a,$C$2:$C$19=$C26,_xlpm.b,$D$2:$D$19=$D26,MAX(_xlfn._xlws.FILTER(_xlpm.d,_xlpm.a*_xlpm.b)))</f>
        <v>0.77</v>
      </c>
      <c r="N26" s="4" cm="1">
        <f t="array" ref="N26">_xlfn.LET(_xlpm.d,N$2:N$19,_xlpm.a,$C$2:$C$19=$C26,_xlpm.b,$D$2:$D$19=$D26,MAX(_xlfn._xlws.FILTER(_xlpm.d,_xlpm.a*_xlpm.b)))</f>
        <v>0.73</v>
      </c>
      <c r="O26" s="4" cm="1">
        <f t="array" ref="O26">_xlfn.LET(_xlpm.d,O$2:O$19,_xlpm.a,$C$2:$C$19=$C26,_xlpm.b,$D$2:$D$19=$D26,MAX(_xlfn._xlws.FILTER(_xlpm.d,_xlpm.a*_xlpm.b)))</f>
        <v>0.78</v>
      </c>
      <c r="P26" s="4" cm="1">
        <f t="array" ref="P26">_xlfn.LET(_xlpm.d,P$2:P$19,_xlpm.a,$C$2:$C$19=$C26,_xlpm.b,$D$2:$D$19=$D26,MAX(_xlfn._xlws.FILTER(_xlpm.d,_xlpm.a*_xlpm.b)))</f>
        <v>0.75</v>
      </c>
      <c r="Q26" s="4" cm="1">
        <f t="array" ref="Q26">_xlfn.LET(_xlpm.d,Q$2:Q$19,_xlpm.a,$C$2:$C$19=$C26,_xlpm.b,$D$2:$D$19=$D26,MAX(_xlfn._xlws.FILTER(_xlpm.d,_xlpm.a*_xlpm.b)))</f>
        <v>0.75</v>
      </c>
      <c r="R26" s="4" cm="1">
        <f t="array" ref="R26">_xlfn.LET(_xlpm.d,R$2:R$19,_xlpm.a,$C$2:$C$19=$C26,_xlpm.b,$D$2:$D$19=$D26,MAX(_xlfn._xlws.FILTER(_xlpm.d,_xlpm.a*_xlpm.b)))</f>
        <v>0.78</v>
      </c>
      <c r="S26" s="4" cm="1">
        <f t="array" ref="S26">_xlfn.LET(_xlpm.d,S$2:S$19,_xlpm.a,$C$2:$C$19=$C26,_xlpm.b,$D$2:$D$19=$D26,MAX(_xlfn._xlws.FILTER(_xlpm.d,_xlpm.a*_xlpm.b)))</f>
        <v>0.75</v>
      </c>
      <c r="T26" s="4" cm="1">
        <f t="array" ref="T26">_xlfn.LET(_xlpm.d,T$2:T$19,_xlpm.a,$C$2:$C$19=$C26,_xlpm.b,$D$2:$D$19=$D26,MAX(_xlfn._xlws.FILTER(_xlpm.d,_xlpm.a*_xlpm.b)))</f>
        <v>0.78</v>
      </c>
    </row>
    <row r="27" spans="1:20" ht="25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G27" t="str">
        <f>_xlfn.LET(_xlpm.attr,Table618[[#This Row],[attribute]],_xlpm.spl,LEFT(Table618[[#This Row],[supplemented]],1),_xlfn.TEXTJOIN("-",TRUE,_xlpm.attr,_xlpm.spl,"3k-mgv3"))</f>
        <v>case-T-3k-mgv3</v>
      </c>
      <c r="H27" s="4" cm="1">
        <f t="array" ref="H27">_xlfn.LET(_xlpm.d,H$2:H$19,_xlpm.a,$C$2:$C$19=$C27,_xlpm.b,$D$2:$D$19=$D27,MAX(_xlfn._xlws.FILTER(_xlpm.d,_xlpm.a*_xlpm.b)))</f>
        <v>0.52</v>
      </c>
      <c r="I27" s="4" cm="1">
        <f t="array" ref="I27">_xlfn.LET(_xlpm.d,I$2:I$19,_xlpm.a,$C$2:$C$19=$C27,_xlpm.b,$D$2:$D$19=$D27,MAX(_xlfn._xlws.FILTER(_xlpm.d,_xlpm.a*_xlpm.b)))</f>
        <v>0.56000000000000005</v>
      </c>
      <c r="J27" s="4" cm="1">
        <f t="array" ref="J27">_xlfn.LET(_xlpm.d,J$2:J$19,_xlpm.a,$C$2:$C$19=$C27,_xlpm.b,$D$2:$D$19=$D27,MAX(_xlfn._xlws.FILTER(_xlpm.d,_xlpm.a*_xlpm.b)))</f>
        <v>0.54</v>
      </c>
      <c r="K27" s="4" cm="1">
        <f t="array" ref="K27">_xlfn.LET(_xlpm.d,K$2:K$19,_xlpm.a,$C$2:$C$19=$C27,_xlpm.b,$D$2:$D$19=$D27,MAX(_xlfn._xlws.FILTER(_xlpm.d,_xlpm.a*_xlpm.b)))</f>
        <v>0.56000000000000005</v>
      </c>
      <c r="L27" s="4" cm="1">
        <f t="array" ref="L27">_xlfn.LET(_xlpm.d,L$2:L$19,_xlpm.a,$C$2:$C$19=$C27,_xlpm.b,$D$2:$D$19=$D27,MAX(_xlfn._xlws.FILTER(_xlpm.d,_xlpm.a*_xlpm.b)))</f>
        <v>0.52</v>
      </c>
      <c r="M27" s="4" cm="1">
        <f t="array" ref="M27">_xlfn.LET(_xlpm.d,M$2:M$19,_xlpm.a,$C$2:$C$19=$C27,_xlpm.b,$D$2:$D$19=$D27,MAX(_xlfn._xlws.FILTER(_xlpm.d,_xlpm.a*_xlpm.b)))</f>
        <v>0.49</v>
      </c>
      <c r="N27" s="4" cm="1">
        <f t="array" ref="N27">_xlfn.LET(_xlpm.d,N$2:N$19,_xlpm.a,$C$2:$C$19=$C27,_xlpm.b,$D$2:$D$19=$D27,MAX(_xlfn._xlws.FILTER(_xlpm.d,_xlpm.a*_xlpm.b)))</f>
        <v>0.61</v>
      </c>
      <c r="O27" s="4" cm="1">
        <f t="array" ref="O27">_xlfn.LET(_xlpm.d,O$2:O$19,_xlpm.a,$C$2:$C$19=$C27,_xlpm.b,$D$2:$D$19=$D27,MAX(_xlfn._xlws.FILTER(_xlpm.d,_xlpm.a*_xlpm.b)))</f>
        <v>0.51</v>
      </c>
      <c r="P27" s="4" cm="1">
        <f t="array" ref="P27">_xlfn.LET(_xlpm.d,P$2:P$19,_xlpm.a,$C$2:$C$19=$C27,_xlpm.b,$D$2:$D$19=$D27,MAX(_xlfn._xlws.FILTER(_xlpm.d,_xlpm.a*_xlpm.b)))</f>
        <v>0.56999999999999995</v>
      </c>
      <c r="Q27" s="4" cm="1">
        <f t="array" ref="Q27">_xlfn.LET(_xlpm.d,Q$2:Q$19,_xlpm.a,$C$2:$C$19=$C27,_xlpm.b,$D$2:$D$19=$D27,MAX(_xlfn._xlws.FILTER(_xlpm.d,_xlpm.a*_xlpm.b)))</f>
        <v>0.56000000000000005</v>
      </c>
      <c r="R27" s="4" cm="1">
        <f t="array" ref="R27">_xlfn.LET(_xlpm.d,R$2:R$19,_xlpm.a,$C$2:$C$19=$C27,_xlpm.b,$D$2:$D$19=$D27,MAX(_xlfn._xlws.FILTER(_xlpm.d,_xlpm.a*_xlpm.b)))</f>
        <v>0.56000000000000005</v>
      </c>
      <c r="S27" s="4" cm="1">
        <f t="array" ref="S27">_xlfn.LET(_xlpm.d,S$2:S$19,_xlpm.a,$C$2:$C$19=$C27,_xlpm.b,$D$2:$D$19=$D27,MAX(_xlfn._xlws.FILTER(_xlpm.d,_xlpm.a*_xlpm.b)))</f>
        <v>0.47</v>
      </c>
      <c r="T27" s="4" cm="1">
        <f t="array" ref="T27">_xlfn.LET(_xlpm.d,T$2:T$19,_xlpm.a,$C$2:$C$19=$C27,_xlpm.b,$D$2:$D$19=$D27,MAX(_xlfn._xlws.FILTER(_xlpm.d,_xlpm.a*_xlpm.b)))</f>
        <v>0.61</v>
      </c>
    </row>
    <row r="28" spans="1:20" ht="25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G28" t="str">
        <f>_xlfn.LET(_xlpm.attr,Table618[[#This Row],[attribute]],_xlpm.spl,LEFT(Table618[[#This Row],[supplemented]],1),_xlfn.TEXTJOIN("-",TRUE,_xlpm.attr,_xlpm.spl,"3k-mgv3"))</f>
        <v>case-F-3k-mgv3</v>
      </c>
      <c r="H28" s="4" cm="1">
        <f t="array" ref="H28">_xlfn.LET(_xlpm.d,H$2:H$19,_xlpm.a,$C$2:$C$19=$C28,_xlpm.b,$D$2:$D$19=$D28,MAX(_xlfn._xlws.FILTER(_xlpm.d,_xlpm.a*_xlpm.b)))</f>
        <v>0.42</v>
      </c>
      <c r="I28" s="4" cm="1">
        <f t="array" ref="I28">_xlfn.LET(_xlpm.d,I$2:I$19,_xlpm.a,$C$2:$C$19=$C28,_xlpm.b,$D$2:$D$19=$D28,MAX(_xlfn._xlws.FILTER(_xlpm.d,_xlpm.a*_xlpm.b)))</f>
        <v>0.47</v>
      </c>
      <c r="J28" s="4" cm="1">
        <f t="array" ref="J28">_xlfn.LET(_xlpm.d,J$2:J$19,_xlpm.a,$C$2:$C$19=$C28,_xlpm.b,$D$2:$D$19=$D28,MAX(_xlfn._xlws.FILTER(_xlpm.d,_xlpm.a*_xlpm.b)))</f>
        <v>0.42</v>
      </c>
      <c r="K28" s="4" cm="1">
        <f t="array" ref="K28">_xlfn.LET(_xlpm.d,K$2:K$19,_xlpm.a,$C$2:$C$19=$C28,_xlpm.b,$D$2:$D$19=$D28,MAX(_xlfn._xlws.FILTER(_xlpm.d,_xlpm.a*_xlpm.b)))</f>
        <v>0.46</v>
      </c>
      <c r="L28" s="4" cm="1">
        <f t="array" ref="L28">_xlfn.LET(_xlpm.d,L$2:L$19,_xlpm.a,$C$2:$C$19=$C28,_xlpm.b,$D$2:$D$19=$D28,MAX(_xlfn._xlws.FILTER(_xlpm.d,_xlpm.a*_xlpm.b)))</f>
        <v>0.43</v>
      </c>
      <c r="M28" s="4" cm="1">
        <f t="array" ref="M28">_xlfn.LET(_xlpm.d,M$2:M$19,_xlpm.a,$C$2:$C$19=$C28,_xlpm.b,$D$2:$D$19=$D28,MAX(_xlfn._xlws.FILTER(_xlpm.d,_xlpm.a*_xlpm.b)))</f>
        <v>0.48</v>
      </c>
      <c r="N28" s="4" cm="1">
        <f t="array" ref="N28">_xlfn.LET(_xlpm.d,N$2:N$19,_xlpm.a,$C$2:$C$19=$C28,_xlpm.b,$D$2:$D$19=$D28,MAX(_xlfn._xlws.FILTER(_xlpm.d,_xlpm.a*_xlpm.b)))</f>
        <v>0.48</v>
      </c>
      <c r="O28" s="4" cm="1">
        <f t="array" ref="O28">_xlfn.LET(_xlpm.d,O$2:O$19,_xlpm.a,$C$2:$C$19=$C28,_xlpm.b,$D$2:$D$19=$D28,MAX(_xlfn._xlws.FILTER(_xlpm.d,_xlpm.a*_xlpm.b)))</f>
        <v>0.43</v>
      </c>
      <c r="P28" s="4" cm="1">
        <f t="array" ref="P28">_xlfn.LET(_xlpm.d,P$2:P$19,_xlpm.a,$C$2:$C$19=$C28,_xlpm.b,$D$2:$D$19=$D28,MAX(_xlfn._xlws.FILTER(_xlpm.d,_xlpm.a*_xlpm.b)))</f>
        <v>0.46</v>
      </c>
      <c r="Q28" s="4" cm="1">
        <f t="array" ref="Q28">_xlfn.LET(_xlpm.d,Q$2:Q$19,_xlpm.a,$C$2:$C$19=$C28,_xlpm.b,$D$2:$D$19=$D28,MAX(_xlfn._xlws.FILTER(_xlpm.d,_xlpm.a*_xlpm.b)))</f>
        <v>0.46</v>
      </c>
      <c r="R28" s="4" cm="1">
        <f t="array" ref="R28">_xlfn.LET(_xlpm.d,R$2:R$19,_xlpm.a,$C$2:$C$19=$C28,_xlpm.b,$D$2:$D$19=$D28,MAX(_xlfn._xlws.FILTER(_xlpm.d,_xlpm.a*_xlpm.b)))</f>
        <v>0.51</v>
      </c>
      <c r="S28" s="4" cm="1">
        <f t="array" ref="S28">_xlfn.LET(_xlpm.d,S$2:S$19,_xlpm.a,$C$2:$C$19=$C28,_xlpm.b,$D$2:$D$19=$D28,MAX(_xlfn._xlws.FILTER(_xlpm.d,_xlpm.a*_xlpm.b)))</f>
        <v>0.45</v>
      </c>
      <c r="T28" s="4" cm="1">
        <f t="array" ref="T28">_xlfn.LET(_xlpm.d,T$2:T$19,_xlpm.a,$C$2:$C$19=$C28,_xlpm.b,$D$2:$D$19=$D28,MAX(_xlfn._xlws.FILTER(_xlpm.d,_xlpm.a*_xlpm.b)))</f>
        <v>0.48</v>
      </c>
    </row>
    <row r="31" spans="1:20" ht="25" customHeight="1">
      <c r="B31" t="s">
        <v>24</v>
      </c>
      <c r="C31" t="s">
        <v>1</v>
      </c>
      <c r="D31" t="s">
        <v>26</v>
      </c>
      <c r="E31" t="s">
        <v>25</v>
      </c>
      <c r="F31" t="s">
        <v>27</v>
      </c>
      <c r="G31" t="s">
        <v>50</v>
      </c>
      <c r="H31" t="s">
        <v>4</v>
      </c>
      <c r="I31" t="s">
        <v>5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t="s">
        <v>15</v>
      </c>
    </row>
    <row r="32" spans="1:20" ht="25" customHeight="1">
      <c r="B32" s="7">
        <v>1</v>
      </c>
      <c r="C32" t="s">
        <v>17</v>
      </c>
      <c r="D32" t="b">
        <v>0</v>
      </c>
      <c r="E32">
        <v>0</v>
      </c>
      <c r="F32" t="s">
        <v>28</v>
      </c>
      <c r="G32" t="str">
        <f>_xlfn.LET(_xlpm.attr,Table1027[[#This Row],[attribute]],_xlpm.spl,LEFT(Table1027[[#This Row],[supplemented]],1),_xlfn.TEXTJOIN("-",TRUE,_xlpm.attr,_xlpm.spl,"3k-mgv3"))</f>
        <v>plurality-F-3k-mgv3</v>
      </c>
      <c r="H32" s="3">
        <f t="shared" ref="H32:S37" si="1">_xlfn.LET(_xlpm.d,$H23:$S23,RANK(H23,_xlpm.d))</f>
        <v>1</v>
      </c>
      <c r="I32" s="3">
        <f t="shared" si="1"/>
        <v>4</v>
      </c>
      <c r="J32" s="3">
        <f t="shared" si="1"/>
        <v>8</v>
      </c>
      <c r="K32" s="3">
        <f t="shared" si="1"/>
        <v>4</v>
      </c>
      <c r="L32" s="3">
        <f t="shared" si="1"/>
        <v>10</v>
      </c>
      <c r="M32" s="3">
        <f t="shared" si="1"/>
        <v>4</v>
      </c>
      <c r="N32" s="3">
        <f t="shared" si="1"/>
        <v>2</v>
      </c>
      <c r="O32" s="3">
        <f t="shared" si="1"/>
        <v>8</v>
      </c>
      <c r="P32" s="3">
        <f t="shared" si="1"/>
        <v>12</v>
      </c>
      <c r="Q32" s="3">
        <f t="shared" si="1"/>
        <v>4</v>
      </c>
      <c r="R32" s="3">
        <f t="shared" si="1"/>
        <v>3</v>
      </c>
      <c r="S32" s="3">
        <f t="shared" si="1"/>
        <v>10</v>
      </c>
    </row>
    <row r="33" spans="2:19" ht="25" customHeight="1">
      <c r="B33" s="3">
        <v>1</v>
      </c>
      <c r="C33" t="s">
        <v>17</v>
      </c>
      <c r="D33" t="b">
        <v>1</v>
      </c>
      <c r="E33">
        <v>0</v>
      </c>
      <c r="F33" t="s">
        <v>28</v>
      </c>
      <c r="G33" t="str">
        <f>_xlfn.LET(_xlpm.attr,Table1027[[#This Row],[attribute]],_xlpm.spl,LEFT(Table1027[[#This Row],[supplemented]],1),_xlfn.TEXTJOIN("-",TRUE,_xlpm.attr,_xlpm.spl,"3k-mgv3"))</f>
        <v>plurality-T-3k-mgv3</v>
      </c>
      <c r="H33" s="3">
        <f t="shared" si="1"/>
        <v>8</v>
      </c>
      <c r="I33" s="3">
        <f t="shared" si="1"/>
        <v>2</v>
      </c>
      <c r="J33" s="3">
        <f t="shared" si="1"/>
        <v>11</v>
      </c>
      <c r="K33" s="3">
        <f t="shared" si="1"/>
        <v>8</v>
      </c>
      <c r="L33" s="3">
        <f t="shared" si="1"/>
        <v>2</v>
      </c>
      <c r="M33" s="3">
        <f t="shared" si="1"/>
        <v>4</v>
      </c>
      <c r="N33" s="3">
        <f t="shared" si="1"/>
        <v>4</v>
      </c>
      <c r="O33" s="3">
        <f t="shared" si="1"/>
        <v>7</v>
      </c>
      <c r="P33" s="3">
        <f t="shared" si="1"/>
        <v>12</v>
      </c>
      <c r="Q33" s="3">
        <f t="shared" si="1"/>
        <v>6</v>
      </c>
      <c r="R33" s="3">
        <f t="shared" si="1"/>
        <v>1</v>
      </c>
      <c r="S33" s="3">
        <f t="shared" si="1"/>
        <v>8</v>
      </c>
    </row>
    <row r="34" spans="2:19" ht="25" customHeight="1">
      <c r="B34" s="3">
        <v>2</v>
      </c>
      <c r="C34" t="s">
        <v>21</v>
      </c>
      <c r="D34" t="b">
        <v>0</v>
      </c>
      <c r="E34">
        <v>0</v>
      </c>
      <c r="F34" t="s">
        <v>28</v>
      </c>
      <c r="G34" t="str">
        <f>_xlfn.LET(_xlpm.attr,Table1027[[#This Row],[attribute]],_xlpm.spl,LEFT(Table1027[[#This Row],[supplemented]],1),_xlfn.TEXTJOIN("-",TRUE,_xlpm.attr,_xlpm.spl,"3k-mgv3"))</f>
        <v>gender-F-3k-mgv3</v>
      </c>
      <c r="H34" s="3">
        <f t="shared" si="1"/>
        <v>6</v>
      </c>
      <c r="I34" s="3">
        <f t="shared" si="1"/>
        <v>3</v>
      </c>
      <c r="J34" s="3">
        <f t="shared" si="1"/>
        <v>3</v>
      </c>
      <c r="K34" s="3">
        <f t="shared" si="1"/>
        <v>7</v>
      </c>
      <c r="L34" s="3">
        <f t="shared" si="1"/>
        <v>10</v>
      </c>
      <c r="M34" s="3">
        <f t="shared" si="1"/>
        <v>9</v>
      </c>
      <c r="N34" s="3">
        <f t="shared" si="1"/>
        <v>3</v>
      </c>
      <c r="O34" s="3">
        <f t="shared" si="1"/>
        <v>1</v>
      </c>
      <c r="P34" s="3">
        <f t="shared" si="1"/>
        <v>1</v>
      </c>
      <c r="Q34" s="3">
        <f t="shared" si="1"/>
        <v>7</v>
      </c>
      <c r="R34" s="3">
        <f t="shared" si="1"/>
        <v>11</v>
      </c>
      <c r="S34" s="3">
        <f t="shared" si="1"/>
        <v>12</v>
      </c>
    </row>
    <row r="35" spans="2:19" ht="25" customHeight="1">
      <c r="B35" s="3">
        <v>2</v>
      </c>
      <c r="C35" t="s">
        <v>21</v>
      </c>
      <c r="D35" t="b">
        <v>1</v>
      </c>
      <c r="E35">
        <v>0</v>
      </c>
      <c r="F35" t="s">
        <v>28</v>
      </c>
      <c r="G35" t="str">
        <f>_xlfn.LET(_xlpm.attr,Table1027[[#This Row],[attribute]],_xlpm.spl,LEFT(Table1027[[#This Row],[supplemented]],1),_xlfn.TEXTJOIN("-",TRUE,_xlpm.attr,_xlpm.spl,"3k-mgv3"))</f>
        <v>gender-T-3k-mgv3</v>
      </c>
      <c r="H35" s="3">
        <f t="shared" si="1"/>
        <v>3</v>
      </c>
      <c r="I35" s="3">
        <f t="shared" si="1"/>
        <v>6</v>
      </c>
      <c r="J35" s="3">
        <f t="shared" si="1"/>
        <v>11</v>
      </c>
      <c r="K35" s="3">
        <f t="shared" si="1"/>
        <v>12</v>
      </c>
      <c r="L35" s="3">
        <f t="shared" si="1"/>
        <v>3</v>
      </c>
      <c r="M35" s="3">
        <f t="shared" si="1"/>
        <v>3</v>
      </c>
      <c r="N35" s="3">
        <f t="shared" si="1"/>
        <v>10</v>
      </c>
      <c r="O35" s="3">
        <f t="shared" si="1"/>
        <v>1</v>
      </c>
      <c r="P35" s="3">
        <f t="shared" si="1"/>
        <v>6</v>
      </c>
      <c r="Q35" s="3">
        <f t="shared" si="1"/>
        <v>6</v>
      </c>
      <c r="R35" s="3">
        <f t="shared" si="1"/>
        <v>1</v>
      </c>
      <c r="S35" s="3">
        <f t="shared" si="1"/>
        <v>6</v>
      </c>
    </row>
    <row r="36" spans="2:19" ht="25" customHeight="1">
      <c r="B36" s="3">
        <v>3</v>
      </c>
      <c r="C36" t="s">
        <v>22</v>
      </c>
      <c r="D36" t="b">
        <v>0</v>
      </c>
      <c r="E36">
        <v>0</v>
      </c>
      <c r="F36" t="s">
        <v>28</v>
      </c>
      <c r="G36" t="str">
        <f>_xlfn.LET(_xlpm.attr,Table1027[[#This Row],[attribute]],_xlpm.spl,LEFT(Table1027[[#This Row],[supplemented]],1),_xlfn.TEXTJOIN("-",TRUE,_xlpm.attr,_xlpm.spl,"3k-mgv3"))</f>
        <v>case-F-3k-mgv3</v>
      </c>
      <c r="H36" s="3">
        <f t="shared" si="1"/>
        <v>8</v>
      </c>
      <c r="I36" s="3">
        <f t="shared" si="1"/>
        <v>3</v>
      </c>
      <c r="J36" s="3">
        <f t="shared" si="1"/>
        <v>7</v>
      </c>
      <c r="K36" s="3">
        <f t="shared" si="1"/>
        <v>3</v>
      </c>
      <c r="L36" s="3">
        <f t="shared" si="1"/>
        <v>8</v>
      </c>
      <c r="M36" s="3">
        <f t="shared" si="1"/>
        <v>11</v>
      </c>
      <c r="N36" s="3">
        <f t="shared" si="1"/>
        <v>1</v>
      </c>
      <c r="O36" s="3">
        <f t="shared" si="1"/>
        <v>10</v>
      </c>
      <c r="P36" s="3">
        <f t="shared" si="1"/>
        <v>2</v>
      </c>
      <c r="Q36" s="3">
        <f t="shared" si="1"/>
        <v>3</v>
      </c>
      <c r="R36" s="3">
        <f t="shared" si="1"/>
        <v>3</v>
      </c>
      <c r="S36" s="3">
        <f t="shared" si="1"/>
        <v>12</v>
      </c>
    </row>
    <row r="37" spans="2:19" ht="25" customHeight="1">
      <c r="B37" s="8">
        <v>3</v>
      </c>
      <c r="C37" t="s">
        <v>22</v>
      </c>
      <c r="D37" t="b">
        <v>1</v>
      </c>
      <c r="E37">
        <v>0</v>
      </c>
      <c r="F37" t="s">
        <v>28</v>
      </c>
      <c r="G37" t="str">
        <f>_xlfn.LET(_xlpm.attr,Table1027[[#This Row],[attribute]],_xlpm.spl,LEFT(Table1027[[#This Row],[supplemented]],1),_xlfn.TEXTJOIN("-",TRUE,_xlpm.attr,_xlpm.spl,"3k-mgv3"))</f>
        <v>case-T-3k-mgv3</v>
      </c>
      <c r="H37" s="3">
        <f t="shared" si="1"/>
        <v>11</v>
      </c>
      <c r="I37" s="3">
        <f t="shared" si="1"/>
        <v>4</v>
      </c>
      <c r="J37" s="3">
        <f t="shared" si="1"/>
        <v>11</v>
      </c>
      <c r="K37" s="3">
        <f t="shared" si="1"/>
        <v>5</v>
      </c>
      <c r="L37" s="3">
        <f t="shared" si="1"/>
        <v>9</v>
      </c>
      <c r="M37" s="3">
        <f t="shared" si="1"/>
        <v>2</v>
      </c>
      <c r="N37" s="3">
        <f t="shared" si="1"/>
        <v>2</v>
      </c>
      <c r="O37" s="3">
        <f t="shared" si="1"/>
        <v>9</v>
      </c>
      <c r="P37" s="3">
        <f t="shared" si="1"/>
        <v>5</v>
      </c>
      <c r="Q37" s="3">
        <f t="shared" si="1"/>
        <v>5</v>
      </c>
      <c r="R37" s="3">
        <f t="shared" si="1"/>
        <v>1</v>
      </c>
      <c r="S37" s="3">
        <f t="shared" si="1"/>
        <v>8</v>
      </c>
    </row>
  </sheetData>
  <conditionalFormatting sqref="H32:S3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7FBC-5245-C24F-A704-FDC157AC90DA}">
  <sheetPr codeName="Sheet4"/>
  <dimension ref="A1:Y45"/>
  <sheetViews>
    <sheetView workbookViewId="0"/>
  </sheetViews>
  <sheetFormatPr baseColWidth="10" defaultRowHeight="27" customHeight="1"/>
  <cols>
    <col min="1" max="1" width="7.25" customWidth="1"/>
    <col min="2" max="2" width="7" customWidth="1"/>
    <col min="4" max="4" width="11.25" customWidth="1"/>
    <col min="5" max="5" width="8.5" customWidth="1"/>
    <col min="7" max="19" width="7.75" customWidth="1"/>
  </cols>
  <sheetData>
    <row r="1" spans="1:19" ht="27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33</v>
      </c>
      <c r="H1" t="s">
        <v>34</v>
      </c>
      <c r="I1" t="s">
        <v>35</v>
      </c>
      <c r="J1" t="s">
        <v>40</v>
      </c>
      <c r="K1" t="s">
        <v>41</v>
      </c>
      <c r="L1" t="s">
        <v>42</v>
      </c>
      <c r="M1" t="s">
        <v>36</v>
      </c>
      <c r="N1" t="s">
        <v>37</v>
      </c>
      <c r="O1" t="s">
        <v>38</v>
      </c>
      <c r="P1" t="s">
        <v>43</v>
      </c>
      <c r="Q1" t="s">
        <v>44</v>
      </c>
      <c r="R1" t="s">
        <v>45</v>
      </c>
      <c r="S1" t="s">
        <v>23</v>
      </c>
    </row>
    <row r="2" spans="1:19" ht="27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4">
        <v>0.87</v>
      </c>
      <c r="H2" s="4">
        <v>0.84</v>
      </c>
      <c r="I2" s="4">
        <v>0.84</v>
      </c>
      <c r="J2" s="4">
        <v>0.88</v>
      </c>
      <c r="K2" s="4">
        <v>0.84</v>
      </c>
      <c r="L2" s="4">
        <v>0.86</v>
      </c>
      <c r="M2" s="4">
        <v>0.85</v>
      </c>
      <c r="N2" s="4">
        <v>0.91</v>
      </c>
      <c r="O2" s="4">
        <v>0.88</v>
      </c>
      <c r="P2" s="4">
        <v>0.81</v>
      </c>
      <c r="Q2" s="4">
        <v>0.82</v>
      </c>
      <c r="R2" s="4">
        <v>0.76</v>
      </c>
      <c r="S2" s="4">
        <f t="shared" ref="S2:S19" si="0">_xlfn.LET(_xlpm.d,$G2:$R2,MAX(_xlpm.d))</f>
        <v>0.91</v>
      </c>
    </row>
    <row r="3" spans="1:19" ht="27" customHeight="1">
      <c r="A3" t="s">
        <v>16</v>
      </c>
      <c r="B3">
        <v>1</v>
      </c>
      <c r="C3" t="s">
        <v>17</v>
      </c>
      <c r="D3" t="b">
        <v>1</v>
      </c>
      <c r="E3">
        <v>3</v>
      </c>
      <c r="F3" t="s">
        <v>18</v>
      </c>
      <c r="G3" s="4">
        <v>0.87</v>
      </c>
      <c r="H3" s="4">
        <v>0.89</v>
      </c>
      <c r="I3" s="4">
        <v>0.86</v>
      </c>
      <c r="J3" s="4">
        <v>0.86</v>
      </c>
      <c r="K3" s="4">
        <v>0.85</v>
      </c>
      <c r="L3" s="4">
        <v>0.88</v>
      </c>
      <c r="M3" s="4">
        <v>0.88</v>
      </c>
      <c r="N3" s="4">
        <v>0.86</v>
      </c>
      <c r="O3" s="4">
        <v>0.89</v>
      </c>
      <c r="P3" s="4">
        <v>0.83</v>
      </c>
      <c r="Q3" s="4">
        <v>0.82</v>
      </c>
      <c r="R3" s="4">
        <v>0.8</v>
      </c>
      <c r="S3" s="4">
        <f t="shared" si="0"/>
        <v>0.89</v>
      </c>
    </row>
    <row r="4" spans="1:19" ht="27" customHeight="1">
      <c r="A4" t="s">
        <v>16</v>
      </c>
      <c r="B4">
        <v>1</v>
      </c>
      <c r="C4" t="s">
        <v>17</v>
      </c>
      <c r="D4" t="b">
        <v>1</v>
      </c>
      <c r="E4">
        <v>2</v>
      </c>
      <c r="F4" t="s">
        <v>19</v>
      </c>
      <c r="G4" s="4">
        <v>0.9</v>
      </c>
      <c r="H4" s="4">
        <v>0.9</v>
      </c>
      <c r="I4" s="4">
        <v>0.88</v>
      </c>
      <c r="J4" s="4">
        <v>0.85</v>
      </c>
      <c r="K4" s="4">
        <v>0.85</v>
      </c>
      <c r="L4" s="4">
        <v>0.89</v>
      </c>
      <c r="M4" s="4">
        <v>0.87</v>
      </c>
      <c r="N4" s="4">
        <v>0.88</v>
      </c>
      <c r="O4" s="4">
        <v>0.91</v>
      </c>
      <c r="P4" s="4">
        <v>0.89</v>
      </c>
      <c r="Q4" s="4">
        <v>0.85</v>
      </c>
      <c r="R4" s="4">
        <v>0.86</v>
      </c>
      <c r="S4" s="4">
        <f t="shared" si="0"/>
        <v>0.91</v>
      </c>
    </row>
    <row r="5" spans="1:19" ht="27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4">
        <v>0.8</v>
      </c>
      <c r="H5" s="4">
        <v>0.81</v>
      </c>
      <c r="I5" s="4">
        <v>0.81</v>
      </c>
      <c r="J5" s="4">
        <v>0.83</v>
      </c>
      <c r="K5" s="4">
        <v>0.82</v>
      </c>
      <c r="L5" s="4">
        <v>0.83</v>
      </c>
      <c r="M5" s="4">
        <v>0.8</v>
      </c>
      <c r="N5" s="4">
        <v>0.82</v>
      </c>
      <c r="O5" s="4">
        <v>0.84</v>
      </c>
      <c r="P5" s="4">
        <v>0.84</v>
      </c>
      <c r="Q5" s="4">
        <v>0.79</v>
      </c>
      <c r="R5" s="4">
        <v>0.76</v>
      </c>
      <c r="S5" s="4">
        <f t="shared" si="0"/>
        <v>0.84</v>
      </c>
    </row>
    <row r="6" spans="1:19" ht="27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18</v>
      </c>
      <c r="G6" s="4">
        <v>0.78</v>
      </c>
      <c r="H6" s="4">
        <v>0.81</v>
      </c>
      <c r="I6" s="4">
        <v>0.82</v>
      </c>
      <c r="J6" s="4">
        <v>0.84</v>
      </c>
      <c r="K6" s="4">
        <v>0.83</v>
      </c>
      <c r="L6" s="4">
        <v>0.86</v>
      </c>
      <c r="M6" s="4">
        <v>0.8</v>
      </c>
      <c r="N6" s="4">
        <v>0.81</v>
      </c>
      <c r="O6" s="4">
        <v>0.86</v>
      </c>
      <c r="P6" s="4">
        <v>0.84</v>
      </c>
      <c r="Q6" s="4">
        <v>0.81</v>
      </c>
      <c r="R6" s="4">
        <v>0.82</v>
      </c>
      <c r="S6" s="4">
        <f t="shared" si="0"/>
        <v>0.86</v>
      </c>
    </row>
    <row r="7" spans="1:19" ht="27" customHeight="1">
      <c r="A7" t="s">
        <v>16</v>
      </c>
      <c r="B7">
        <v>1</v>
      </c>
      <c r="C7" t="s">
        <v>17</v>
      </c>
      <c r="D7" t="b">
        <v>0</v>
      </c>
      <c r="E7">
        <v>2</v>
      </c>
      <c r="F7" t="s">
        <v>19</v>
      </c>
      <c r="G7" s="4">
        <v>0.84</v>
      </c>
      <c r="H7" s="4">
        <v>0.83</v>
      </c>
      <c r="I7" s="4">
        <v>0.83</v>
      </c>
      <c r="J7" s="4">
        <v>0.84</v>
      </c>
      <c r="K7" s="4">
        <v>0.84</v>
      </c>
      <c r="L7" s="4">
        <v>0.88</v>
      </c>
      <c r="M7" s="4">
        <v>0.81</v>
      </c>
      <c r="N7" s="4">
        <v>0.83</v>
      </c>
      <c r="O7" s="4">
        <v>0.86</v>
      </c>
      <c r="P7" s="4">
        <v>0.85</v>
      </c>
      <c r="Q7" s="4">
        <v>0.85</v>
      </c>
      <c r="R7" s="4">
        <v>0.83</v>
      </c>
      <c r="S7" s="4">
        <f t="shared" si="0"/>
        <v>0.88</v>
      </c>
    </row>
    <row r="8" spans="1:19" ht="27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4">
        <v>0.57999999999999996</v>
      </c>
      <c r="H8" s="4">
        <v>0.6</v>
      </c>
      <c r="I8" s="4">
        <v>0.54</v>
      </c>
      <c r="J8" s="4">
        <v>0.5</v>
      </c>
      <c r="K8" s="4">
        <v>0.48</v>
      </c>
      <c r="L8" s="4">
        <v>0.51</v>
      </c>
      <c r="M8" s="4">
        <v>0.59</v>
      </c>
      <c r="N8" s="4">
        <v>0.54</v>
      </c>
      <c r="O8" s="4">
        <v>0.55000000000000004</v>
      </c>
      <c r="P8" s="4">
        <v>0.53</v>
      </c>
      <c r="Q8" s="4">
        <v>0.45</v>
      </c>
      <c r="R8" s="4">
        <v>0.5</v>
      </c>
      <c r="S8" s="4">
        <f t="shared" si="0"/>
        <v>0.6</v>
      </c>
    </row>
    <row r="9" spans="1:19" ht="27" customHeight="1">
      <c r="A9" t="s">
        <v>16</v>
      </c>
      <c r="B9">
        <v>2</v>
      </c>
      <c r="C9" t="s">
        <v>21</v>
      </c>
      <c r="D9" t="b">
        <v>1</v>
      </c>
      <c r="E9">
        <v>3</v>
      </c>
      <c r="F9" t="s">
        <v>18</v>
      </c>
      <c r="G9" s="4">
        <v>0.68</v>
      </c>
      <c r="H9" s="4">
        <v>0.74</v>
      </c>
      <c r="I9" s="4">
        <v>0.68</v>
      </c>
      <c r="J9" s="4">
        <v>0.74</v>
      </c>
      <c r="K9" s="4">
        <v>0.67</v>
      </c>
      <c r="L9" s="4">
        <v>0.72</v>
      </c>
      <c r="M9" s="4">
        <v>0.68</v>
      </c>
      <c r="N9" s="4">
        <v>0.7</v>
      </c>
      <c r="O9" s="4">
        <v>0.68</v>
      </c>
      <c r="P9" s="4">
        <v>0.67</v>
      </c>
      <c r="Q9" s="4">
        <v>0.67</v>
      </c>
      <c r="R9" s="4">
        <v>0.7</v>
      </c>
      <c r="S9" s="4">
        <f t="shared" si="0"/>
        <v>0.74</v>
      </c>
    </row>
    <row r="10" spans="1:19" ht="27" customHeight="1">
      <c r="A10" t="s">
        <v>16</v>
      </c>
      <c r="B10">
        <v>2</v>
      </c>
      <c r="C10" t="s">
        <v>21</v>
      </c>
      <c r="D10" t="b">
        <v>1</v>
      </c>
      <c r="E10">
        <v>2</v>
      </c>
      <c r="F10" t="s">
        <v>19</v>
      </c>
      <c r="G10" s="4">
        <v>0.7</v>
      </c>
      <c r="H10" s="4">
        <v>0.71</v>
      </c>
      <c r="I10" s="4">
        <v>0.71</v>
      </c>
      <c r="J10" s="4">
        <v>0.74</v>
      </c>
      <c r="K10" s="4">
        <v>0.57999999999999996</v>
      </c>
      <c r="L10" s="4">
        <v>0.65</v>
      </c>
      <c r="M10" s="4">
        <v>0.74</v>
      </c>
      <c r="N10" s="4">
        <v>0.68</v>
      </c>
      <c r="O10" s="4">
        <v>0.7</v>
      </c>
      <c r="P10" s="4">
        <v>0.7</v>
      </c>
      <c r="Q10" s="4">
        <v>0.63</v>
      </c>
      <c r="R10" s="4">
        <v>0.63</v>
      </c>
      <c r="S10" s="4">
        <f t="shared" si="0"/>
        <v>0.74</v>
      </c>
    </row>
    <row r="11" spans="1:19" ht="27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4">
        <v>0.56000000000000005</v>
      </c>
      <c r="H11" s="4">
        <v>0.56000000000000005</v>
      </c>
      <c r="I11" s="4">
        <v>0.55000000000000004</v>
      </c>
      <c r="J11" s="4">
        <v>0.55000000000000004</v>
      </c>
      <c r="K11" s="4">
        <v>0.53</v>
      </c>
      <c r="L11" s="4">
        <v>0.44</v>
      </c>
      <c r="M11" s="4">
        <v>0.6</v>
      </c>
      <c r="N11" s="4">
        <v>0.55000000000000004</v>
      </c>
      <c r="O11" s="4">
        <v>0.59</v>
      </c>
      <c r="P11" s="4">
        <v>0.55000000000000004</v>
      </c>
      <c r="Q11" s="4">
        <v>0.48</v>
      </c>
      <c r="R11" s="4">
        <v>0.54</v>
      </c>
      <c r="S11" s="4">
        <f t="shared" si="0"/>
        <v>0.6</v>
      </c>
    </row>
    <row r="12" spans="1:19" ht="27" customHeight="1">
      <c r="A12" t="s">
        <v>16</v>
      </c>
      <c r="B12">
        <v>2</v>
      </c>
      <c r="C12" t="s">
        <v>21</v>
      </c>
      <c r="D12" t="b">
        <v>0</v>
      </c>
      <c r="E12">
        <v>3</v>
      </c>
      <c r="F12" t="s">
        <v>18</v>
      </c>
      <c r="G12" s="4">
        <v>0.67</v>
      </c>
      <c r="H12" s="4">
        <v>0.69</v>
      </c>
      <c r="I12" s="4">
        <v>0.68</v>
      </c>
      <c r="J12" s="4">
        <v>0.72</v>
      </c>
      <c r="K12" s="4">
        <v>0.68</v>
      </c>
      <c r="L12" s="4">
        <v>0.67</v>
      </c>
      <c r="M12" s="4">
        <v>0.67</v>
      </c>
      <c r="N12" s="4">
        <v>0.66</v>
      </c>
      <c r="O12" s="4">
        <v>0.68</v>
      </c>
      <c r="P12" s="4">
        <v>0.67</v>
      </c>
      <c r="Q12" s="4">
        <v>0.62</v>
      </c>
      <c r="R12" s="4">
        <v>0.73</v>
      </c>
      <c r="S12" s="4">
        <f t="shared" si="0"/>
        <v>0.73</v>
      </c>
    </row>
    <row r="13" spans="1:19" ht="27" customHeight="1">
      <c r="A13" t="s">
        <v>16</v>
      </c>
      <c r="B13">
        <v>2</v>
      </c>
      <c r="C13" t="s">
        <v>21</v>
      </c>
      <c r="D13" t="b">
        <v>0</v>
      </c>
      <c r="E13">
        <v>2</v>
      </c>
      <c r="F13" t="s">
        <v>19</v>
      </c>
      <c r="G13" s="4">
        <v>0.7</v>
      </c>
      <c r="H13" s="4">
        <v>0.73</v>
      </c>
      <c r="I13" s="4">
        <v>0.68</v>
      </c>
      <c r="J13" s="4">
        <v>0.7</v>
      </c>
      <c r="K13" s="4">
        <v>0.61</v>
      </c>
      <c r="L13" s="4">
        <v>0.62</v>
      </c>
      <c r="M13" s="4">
        <v>0.7</v>
      </c>
      <c r="N13" s="4">
        <v>0.66</v>
      </c>
      <c r="O13" s="4">
        <v>0.63</v>
      </c>
      <c r="P13" s="4">
        <v>0.67</v>
      </c>
      <c r="Q13" s="4">
        <v>0.57999999999999996</v>
      </c>
      <c r="R13" s="4">
        <v>0.6</v>
      </c>
      <c r="S13" s="4">
        <f t="shared" si="0"/>
        <v>0.73</v>
      </c>
    </row>
    <row r="14" spans="1:19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4">
        <v>0.52</v>
      </c>
      <c r="H14" s="4">
        <v>0.47</v>
      </c>
      <c r="I14" s="4">
        <v>0.47</v>
      </c>
      <c r="J14" s="4">
        <v>0.44</v>
      </c>
      <c r="K14" s="4">
        <v>0.33</v>
      </c>
      <c r="L14" s="4">
        <v>0.4</v>
      </c>
      <c r="M14" s="4">
        <v>0.56999999999999995</v>
      </c>
      <c r="N14" s="4">
        <v>0.45</v>
      </c>
      <c r="O14" s="4">
        <v>0.53</v>
      </c>
      <c r="P14" s="4">
        <v>0.45</v>
      </c>
      <c r="Q14" s="4">
        <v>0.38</v>
      </c>
      <c r="R14" s="4">
        <v>0.38</v>
      </c>
      <c r="S14" s="4">
        <f t="shared" si="0"/>
        <v>0.56999999999999995</v>
      </c>
    </row>
    <row r="15" spans="1:19" ht="27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18</v>
      </c>
      <c r="G15" s="4">
        <v>0.56000000000000005</v>
      </c>
      <c r="H15" s="4">
        <v>0.44</v>
      </c>
      <c r="I15" s="4">
        <v>0.45</v>
      </c>
      <c r="J15" s="4">
        <v>0.47</v>
      </c>
      <c r="K15" s="4">
        <v>0.36</v>
      </c>
      <c r="L15" s="4">
        <v>0.48</v>
      </c>
      <c r="M15" s="4">
        <v>0.51</v>
      </c>
      <c r="N15" s="4">
        <v>0.44</v>
      </c>
      <c r="O15" s="4">
        <v>0.52</v>
      </c>
      <c r="P15" s="4">
        <v>0.42</v>
      </c>
      <c r="Q15" s="4">
        <v>0.4</v>
      </c>
      <c r="R15" s="4">
        <v>0.38</v>
      </c>
      <c r="S15" s="4">
        <f t="shared" si="0"/>
        <v>0.56000000000000005</v>
      </c>
    </row>
    <row r="16" spans="1:19" ht="27" customHeight="1">
      <c r="A16" t="s">
        <v>16</v>
      </c>
      <c r="B16">
        <v>3</v>
      </c>
      <c r="C16" t="s">
        <v>22</v>
      </c>
      <c r="D16" t="b">
        <v>1</v>
      </c>
      <c r="E16">
        <v>2</v>
      </c>
      <c r="F16" t="s">
        <v>19</v>
      </c>
      <c r="G16" s="4">
        <v>0.59</v>
      </c>
      <c r="H16" s="4">
        <v>0.53</v>
      </c>
      <c r="I16" s="4">
        <v>0.55000000000000004</v>
      </c>
      <c r="J16" s="4">
        <v>0.59</v>
      </c>
      <c r="K16" s="4">
        <v>0.54</v>
      </c>
      <c r="L16" s="4">
        <v>0.55000000000000004</v>
      </c>
      <c r="M16" s="4">
        <v>0.62</v>
      </c>
      <c r="N16" s="4">
        <v>0.52</v>
      </c>
      <c r="O16" s="4">
        <v>0.55000000000000004</v>
      </c>
      <c r="P16" s="4">
        <v>0.56000000000000005</v>
      </c>
      <c r="Q16" s="4">
        <v>0.54</v>
      </c>
      <c r="R16" s="4">
        <v>0.53</v>
      </c>
      <c r="S16" s="4">
        <f t="shared" si="0"/>
        <v>0.62</v>
      </c>
    </row>
    <row r="17" spans="1:19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4">
        <v>0.39</v>
      </c>
      <c r="H17" s="4">
        <v>0.38</v>
      </c>
      <c r="I17" s="4">
        <v>0.4</v>
      </c>
      <c r="J17" s="4">
        <v>0.4</v>
      </c>
      <c r="K17" s="4">
        <v>0.39</v>
      </c>
      <c r="L17" s="4">
        <v>0.41</v>
      </c>
      <c r="M17" s="4">
        <v>0.41</v>
      </c>
      <c r="N17" s="4">
        <v>0.39</v>
      </c>
      <c r="O17" s="4">
        <v>0.41</v>
      </c>
      <c r="P17" s="4">
        <v>0.46</v>
      </c>
      <c r="Q17" s="4">
        <v>0.41</v>
      </c>
      <c r="R17" s="4">
        <v>0.33</v>
      </c>
      <c r="S17" s="4">
        <f t="shared" si="0"/>
        <v>0.46</v>
      </c>
    </row>
    <row r="18" spans="1:19" ht="27" customHeight="1">
      <c r="A18" t="s">
        <v>16</v>
      </c>
      <c r="B18">
        <v>3</v>
      </c>
      <c r="C18" t="s">
        <v>22</v>
      </c>
      <c r="D18" t="b">
        <v>0</v>
      </c>
      <c r="E18">
        <v>3</v>
      </c>
      <c r="F18" t="s">
        <v>18</v>
      </c>
      <c r="G18" s="4">
        <v>0.39</v>
      </c>
      <c r="H18" s="4">
        <v>0.34</v>
      </c>
      <c r="I18" s="4">
        <v>0.39</v>
      </c>
      <c r="J18" s="4">
        <v>0.4</v>
      </c>
      <c r="K18" s="4">
        <v>0.39</v>
      </c>
      <c r="L18" s="4">
        <v>0.42</v>
      </c>
      <c r="M18" s="4">
        <v>0.45</v>
      </c>
      <c r="N18" s="4">
        <v>0.36</v>
      </c>
      <c r="O18" s="4">
        <v>0.41</v>
      </c>
      <c r="P18" s="4">
        <v>0.44</v>
      </c>
      <c r="Q18" s="4">
        <v>0.42</v>
      </c>
      <c r="R18" s="4">
        <v>0.36</v>
      </c>
      <c r="S18" s="4">
        <f t="shared" si="0"/>
        <v>0.45</v>
      </c>
    </row>
    <row r="19" spans="1:19" ht="27" customHeight="1">
      <c r="A19" t="s">
        <v>16</v>
      </c>
      <c r="B19">
        <v>3</v>
      </c>
      <c r="C19" t="s">
        <v>22</v>
      </c>
      <c r="D19" t="b">
        <v>0</v>
      </c>
      <c r="E19">
        <v>2</v>
      </c>
      <c r="F19" t="s">
        <v>19</v>
      </c>
      <c r="G19" s="4">
        <v>0.42</v>
      </c>
      <c r="H19" s="4">
        <v>0.39</v>
      </c>
      <c r="I19" s="4">
        <v>0.44</v>
      </c>
      <c r="J19" s="4">
        <v>0.48</v>
      </c>
      <c r="K19" s="4">
        <v>0.44</v>
      </c>
      <c r="L19" s="4">
        <v>0.5</v>
      </c>
      <c r="M19" s="4">
        <v>0.46</v>
      </c>
      <c r="N19" s="4">
        <v>0.42</v>
      </c>
      <c r="O19" s="4">
        <v>0.45</v>
      </c>
      <c r="P19" s="4">
        <v>0.47</v>
      </c>
      <c r="Q19" s="4">
        <v>0.47</v>
      </c>
      <c r="R19" s="4">
        <v>0.43</v>
      </c>
      <c r="S19" s="4">
        <f t="shared" si="0"/>
        <v>0.5</v>
      </c>
    </row>
    <row r="22" spans="1:19" ht="27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33</v>
      </c>
      <c r="H22" t="s">
        <v>34</v>
      </c>
      <c r="I22" t="s">
        <v>35</v>
      </c>
      <c r="J22" t="s">
        <v>40</v>
      </c>
      <c r="K22" t="s">
        <v>41</v>
      </c>
      <c r="L22" t="s">
        <v>42</v>
      </c>
      <c r="M22" t="s">
        <v>36</v>
      </c>
      <c r="N22" t="s">
        <v>37</v>
      </c>
      <c r="O22" t="s">
        <v>38</v>
      </c>
      <c r="P22" t="s">
        <v>43</v>
      </c>
      <c r="Q22" t="s">
        <v>44</v>
      </c>
      <c r="R22" t="s">
        <v>45</v>
      </c>
      <c r="S22" t="s">
        <v>23</v>
      </c>
    </row>
    <row r="23" spans="1:19" ht="27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G23" s="4" cm="1">
        <f t="array" ref="G23">_xlfn.LET(_xlpm.d,G$2:G$19,_xlpm.a,$C$2:$C$19=$C23,_xlpm.b,$D$2:$D$19=$D23,MAX(_xlfn._xlws.FILTER(_xlpm.d,_xlpm.a*_xlpm.b)))</f>
        <v>0.9</v>
      </c>
      <c r="H23" s="4" cm="1">
        <f t="array" ref="H23">_xlfn.LET(_xlpm.d,H$2:H$19,_xlpm.a,$C$2:$C$19=$C23,_xlpm.b,$D$2:$D$19=$D23,MAX(_xlfn._xlws.FILTER(_xlpm.d,_xlpm.a*_xlpm.b)))</f>
        <v>0.9</v>
      </c>
      <c r="I23" s="4" cm="1">
        <f t="array" ref="I23">_xlfn.LET(_xlpm.d,I$2:I$19,_xlpm.a,$C$2:$C$19=$C23,_xlpm.b,$D$2:$D$19=$D23,MAX(_xlfn._xlws.FILTER(_xlpm.d,_xlpm.a*_xlpm.b)))</f>
        <v>0.88</v>
      </c>
      <c r="J23" s="4" cm="1">
        <f t="array" ref="J23">_xlfn.LET(_xlpm.d,J$2:J$19,_xlpm.a,$C$2:$C$19=$C23,_xlpm.b,$D$2:$D$19=$D23,MAX(_xlfn._xlws.FILTER(_xlpm.d,_xlpm.a*_xlpm.b)))</f>
        <v>0.88</v>
      </c>
      <c r="K23" s="4" cm="1">
        <f t="array" ref="K23">_xlfn.LET(_xlpm.d,K$2:K$19,_xlpm.a,$C$2:$C$19=$C23,_xlpm.b,$D$2:$D$19=$D23,MAX(_xlfn._xlws.FILTER(_xlpm.d,_xlpm.a*_xlpm.b)))</f>
        <v>0.85</v>
      </c>
      <c r="L23" s="4" cm="1">
        <f t="array" ref="L23">_xlfn.LET(_xlpm.d,L$2:L$19,_xlpm.a,$C$2:$C$19=$C23,_xlpm.b,$D$2:$D$19=$D23,MAX(_xlfn._xlws.FILTER(_xlpm.d,_xlpm.a*_xlpm.b)))</f>
        <v>0.89</v>
      </c>
      <c r="M23" s="4" cm="1">
        <f t="array" ref="M23">_xlfn.LET(_xlpm.d,M$2:M$19,_xlpm.a,$C$2:$C$19=$C23,_xlpm.b,$D$2:$D$19=$D23,MAX(_xlfn._xlws.FILTER(_xlpm.d,_xlpm.a*_xlpm.b)))</f>
        <v>0.88</v>
      </c>
      <c r="N23" s="4" cm="1">
        <f t="array" ref="N23">_xlfn.LET(_xlpm.d,N$2:N$19,_xlpm.a,$C$2:$C$19=$C23,_xlpm.b,$D$2:$D$19=$D23,MAX(_xlfn._xlws.FILTER(_xlpm.d,_xlpm.a*_xlpm.b)))</f>
        <v>0.91</v>
      </c>
      <c r="O23" s="4" cm="1">
        <f t="array" ref="O23">_xlfn.LET(_xlpm.d,O$2:O$19,_xlpm.a,$C$2:$C$19=$C23,_xlpm.b,$D$2:$D$19=$D23,MAX(_xlfn._xlws.FILTER(_xlpm.d,_xlpm.a*_xlpm.b)))</f>
        <v>0.91</v>
      </c>
      <c r="P23" s="4" cm="1">
        <f t="array" ref="P23">_xlfn.LET(_xlpm.d,P$2:P$19,_xlpm.a,$C$2:$C$19=$C23,_xlpm.b,$D$2:$D$19=$D23,MAX(_xlfn._xlws.FILTER(_xlpm.d,_xlpm.a*_xlpm.b)))</f>
        <v>0.89</v>
      </c>
      <c r="Q23" s="4" cm="1">
        <f t="array" ref="Q23">_xlfn.LET(_xlpm.d,Q$2:Q$19,_xlpm.a,$C$2:$C$19=$C23,_xlpm.b,$D$2:$D$19=$D23,MAX(_xlfn._xlws.FILTER(_xlpm.d,_xlpm.a*_xlpm.b)))</f>
        <v>0.85</v>
      </c>
      <c r="R23" s="4" cm="1">
        <f t="array" ref="R23">_xlfn.LET(_xlpm.d,R$2:R$19,_xlpm.a,$C$2:$C$19=$C23,_xlpm.b,$D$2:$D$19=$D23,MAX(_xlfn._xlws.FILTER(_xlpm.d,_xlpm.a*_xlpm.b)))</f>
        <v>0.86</v>
      </c>
      <c r="S23" s="4" cm="1">
        <f t="array" ref="S23">_xlfn.LET(_xlpm.d,S$2:S$19,_xlpm.a,$C$2:$C$19=$C23,_xlpm.b,$D$2:$D$19=$D23,MAX(_xlfn._xlws.FILTER(_xlpm.d,_xlpm.a*_xlpm.b)))</f>
        <v>0.91</v>
      </c>
    </row>
    <row r="24" spans="1:19" ht="27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G24" s="4" cm="1">
        <f t="array" ref="G24">_xlfn.LET(_xlpm.d,G$2:G$19,_xlpm.a,$C$2:$C$19=$C24,_xlpm.b,$D$2:$D$19=$D24,MAX(_xlfn._xlws.FILTER(_xlpm.d,_xlpm.a*_xlpm.b)))</f>
        <v>0.84</v>
      </c>
      <c r="H24" s="4" cm="1">
        <f t="array" ref="H24">_xlfn.LET(_xlpm.d,H$2:H$19,_xlpm.a,$C$2:$C$19=$C24,_xlpm.b,$D$2:$D$19=$D24,MAX(_xlfn._xlws.FILTER(_xlpm.d,_xlpm.a*_xlpm.b)))</f>
        <v>0.83</v>
      </c>
      <c r="I24" s="4" cm="1">
        <f t="array" ref="I24">_xlfn.LET(_xlpm.d,I$2:I$19,_xlpm.a,$C$2:$C$19=$C24,_xlpm.b,$D$2:$D$19=$D24,MAX(_xlfn._xlws.FILTER(_xlpm.d,_xlpm.a*_xlpm.b)))</f>
        <v>0.83</v>
      </c>
      <c r="J24" s="4" cm="1">
        <f t="array" ref="J24">_xlfn.LET(_xlpm.d,J$2:J$19,_xlpm.a,$C$2:$C$19=$C24,_xlpm.b,$D$2:$D$19=$D24,MAX(_xlfn._xlws.FILTER(_xlpm.d,_xlpm.a*_xlpm.b)))</f>
        <v>0.84</v>
      </c>
      <c r="K24" s="4" cm="1">
        <f t="array" ref="K24">_xlfn.LET(_xlpm.d,K$2:K$19,_xlpm.a,$C$2:$C$19=$C24,_xlpm.b,$D$2:$D$19=$D24,MAX(_xlfn._xlws.FILTER(_xlpm.d,_xlpm.a*_xlpm.b)))</f>
        <v>0.84</v>
      </c>
      <c r="L24" s="4" cm="1">
        <f t="array" ref="L24">_xlfn.LET(_xlpm.d,L$2:L$19,_xlpm.a,$C$2:$C$19=$C24,_xlpm.b,$D$2:$D$19=$D24,MAX(_xlfn._xlws.FILTER(_xlpm.d,_xlpm.a*_xlpm.b)))</f>
        <v>0.88</v>
      </c>
      <c r="M24" s="4" cm="1">
        <f t="array" ref="M24">_xlfn.LET(_xlpm.d,M$2:M$19,_xlpm.a,$C$2:$C$19=$C24,_xlpm.b,$D$2:$D$19=$D24,MAX(_xlfn._xlws.FILTER(_xlpm.d,_xlpm.a*_xlpm.b)))</f>
        <v>0.81</v>
      </c>
      <c r="N24" s="4" cm="1">
        <f t="array" ref="N24">_xlfn.LET(_xlpm.d,N$2:N$19,_xlpm.a,$C$2:$C$19=$C24,_xlpm.b,$D$2:$D$19=$D24,MAX(_xlfn._xlws.FILTER(_xlpm.d,_xlpm.a*_xlpm.b)))</f>
        <v>0.83</v>
      </c>
      <c r="O24" s="4" cm="1">
        <f t="array" ref="O24">_xlfn.LET(_xlpm.d,O$2:O$19,_xlpm.a,$C$2:$C$19=$C24,_xlpm.b,$D$2:$D$19=$D24,MAX(_xlfn._xlws.FILTER(_xlpm.d,_xlpm.a*_xlpm.b)))</f>
        <v>0.86</v>
      </c>
      <c r="P24" s="4" cm="1">
        <f t="array" ref="P24">_xlfn.LET(_xlpm.d,P$2:P$19,_xlpm.a,$C$2:$C$19=$C24,_xlpm.b,$D$2:$D$19=$D24,MAX(_xlfn._xlws.FILTER(_xlpm.d,_xlpm.a*_xlpm.b)))</f>
        <v>0.85</v>
      </c>
      <c r="Q24" s="4" cm="1">
        <f t="array" ref="Q24">_xlfn.LET(_xlpm.d,Q$2:Q$19,_xlpm.a,$C$2:$C$19=$C24,_xlpm.b,$D$2:$D$19=$D24,MAX(_xlfn._xlws.FILTER(_xlpm.d,_xlpm.a*_xlpm.b)))</f>
        <v>0.85</v>
      </c>
      <c r="R24" s="4" cm="1">
        <f t="array" ref="R24">_xlfn.LET(_xlpm.d,R$2:R$19,_xlpm.a,$C$2:$C$19=$C24,_xlpm.b,$D$2:$D$19=$D24,MAX(_xlfn._xlws.FILTER(_xlpm.d,_xlpm.a*_xlpm.b)))</f>
        <v>0.83</v>
      </c>
      <c r="S24" s="4" cm="1">
        <f t="array" ref="S24">_xlfn.LET(_xlpm.d,S$2:S$19,_xlpm.a,$C$2:$C$19=$C24,_xlpm.b,$D$2:$D$19=$D24,MAX(_xlfn._xlws.FILTER(_xlpm.d,_xlpm.a*_xlpm.b)))</f>
        <v>0.88</v>
      </c>
    </row>
    <row r="25" spans="1:19" ht="27" customHeight="1">
      <c r="B25">
        <v>2</v>
      </c>
      <c r="C25" t="s">
        <v>21</v>
      </c>
      <c r="D25" t="b">
        <v>1</v>
      </c>
      <c r="E25">
        <v>0</v>
      </c>
      <c r="F25" t="s">
        <v>23</v>
      </c>
      <c r="G25" s="4" cm="1">
        <f t="array" ref="G25">_xlfn.LET(_xlpm.d,G$2:G$19,_xlpm.a,$C$2:$C$19=$C25,_xlpm.b,$D$2:$D$19=$D25,MAX(_xlfn._xlws.FILTER(_xlpm.d,_xlpm.a*_xlpm.b)))</f>
        <v>0.7</v>
      </c>
      <c r="H25" s="4" cm="1">
        <f t="array" ref="H25">_xlfn.LET(_xlpm.d,H$2:H$19,_xlpm.a,$C$2:$C$19=$C25,_xlpm.b,$D$2:$D$19=$D25,MAX(_xlfn._xlws.FILTER(_xlpm.d,_xlpm.a*_xlpm.b)))</f>
        <v>0.74</v>
      </c>
      <c r="I25" s="4" cm="1">
        <f t="array" ref="I25">_xlfn.LET(_xlpm.d,I$2:I$19,_xlpm.a,$C$2:$C$19=$C25,_xlpm.b,$D$2:$D$19=$D25,MAX(_xlfn._xlws.FILTER(_xlpm.d,_xlpm.a*_xlpm.b)))</f>
        <v>0.71</v>
      </c>
      <c r="J25" s="4" cm="1">
        <f t="array" ref="J25">_xlfn.LET(_xlpm.d,J$2:J$19,_xlpm.a,$C$2:$C$19=$C25,_xlpm.b,$D$2:$D$19=$D25,MAX(_xlfn._xlws.FILTER(_xlpm.d,_xlpm.a*_xlpm.b)))</f>
        <v>0.74</v>
      </c>
      <c r="K25" s="4" cm="1">
        <f t="array" ref="K25">_xlfn.LET(_xlpm.d,K$2:K$19,_xlpm.a,$C$2:$C$19=$C25,_xlpm.b,$D$2:$D$19=$D25,MAX(_xlfn._xlws.FILTER(_xlpm.d,_xlpm.a*_xlpm.b)))</f>
        <v>0.67</v>
      </c>
      <c r="L25" s="4" cm="1">
        <f t="array" ref="L25">_xlfn.LET(_xlpm.d,L$2:L$19,_xlpm.a,$C$2:$C$19=$C25,_xlpm.b,$D$2:$D$19=$D25,MAX(_xlfn._xlws.FILTER(_xlpm.d,_xlpm.a*_xlpm.b)))</f>
        <v>0.72</v>
      </c>
      <c r="M25" s="4" cm="1">
        <f t="array" ref="M25">_xlfn.LET(_xlpm.d,M$2:M$19,_xlpm.a,$C$2:$C$19=$C25,_xlpm.b,$D$2:$D$19=$D25,MAX(_xlfn._xlws.FILTER(_xlpm.d,_xlpm.a*_xlpm.b)))</f>
        <v>0.74</v>
      </c>
      <c r="N25" s="4" cm="1">
        <f t="array" ref="N25">_xlfn.LET(_xlpm.d,N$2:N$19,_xlpm.a,$C$2:$C$19=$C25,_xlpm.b,$D$2:$D$19=$D25,MAX(_xlfn._xlws.FILTER(_xlpm.d,_xlpm.a*_xlpm.b)))</f>
        <v>0.7</v>
      </c>
      <c r="O25" s="4" cm="1">
        <f t="array" ref="O25">_xlfn.LET(_xlpm.d,O$2:O$19,_xlpm.a,$C$2:$C$19=$C25,_xlpm.b,$D$2:$D$19=$D25,MAX(_xlfn._xlws.FILTER(_xlpm.d,_xlpm.a*_xlpm.b)))</f>
        <v>0.7</v>
      </c>
      <c r="P25" s="4" cm="1">
        <f t="array" ref="P25">_xlfn.LET(_xlpm.d,P$2:P$19,_xlpm.a,$C$2:$C$19=$C25,_xlpm.b,$D$2:$D$19=$D25,MAX(_xlfn._xlws.FILTER(_xlpm.d,_xlpm.a*_xlpm.b)))</f>
        <v>0.7</v>
      </c>
      <c r="Q25" s="4" cm="1">
        <f t="array" ref="Q25">_xlfn.LET(_xlpm.d,Q$2:Q$19,_xlpm.a,$C$2:$C$19=$C25,_xlpm.b,$D$2:$D$19=$D25,MAX(_xlfn._xlws.FILTER(_xlpm.d,_xlpm.a*_xlpm.b)))</f>
        <v>0.67</v>
      </c>
      <c r="R25" s="4" cm="1">
        <f t="array" ref="R25">_xlfn.LET(_xlpm.d,R$2:R$19,_xlpm.a,$C$2:$C$19=$C25,_xlpm.b,$D$2:$D$19=$D25,MAX(_xlfn._xlws.FILTER(_xlpm.d,_xlpm.a*_xlpm.b)))</f>
        <v>0.7</v>
      </c>
      <c r="S25" s="4" cm="1">
        <f t="array" ref="S25">_xlfn.LET(_xlpm.d,S$2:S$19,_xlpm.a,$C$2:$C$19=$C25,_xlpm.b,$D$2:$D$19=$D25,MAX(_xlfn._xlws.FILTER(_xlpm.d,_xlpm.a*_xlpm.b)))</f>
        <v>0.74</v>
      </c>
    </row>
    <row r="26" spans="1:19" ht="27" customHeight="1">
      <c r="B26">
        <v>2</v>
      </c>
      <c r="C26" t="s">
        <v>21</v>
      </c>
      <c r="D26" t="b">
        <v>0</v>
      </c>
      <c r="E26">
        <v>0</v>
      </c>
      <c r="F26" t="s">
        <v>23</v>
      </c>
      <c r="G26" s="4" cm="1">
        <f t="array" ref="G26">_xlfn.LET(_xlpm.d,G$2:G$19,_xlpm.a,$C$2:$C$19=$C26,_xlpm.b,$D$2:$D$19=$D26,MAX(_xlfn._xlws.FILTER(_xlpm.d,_xlpm.a*_xlpm.b)))</f>
        <v>0.7</v>
      </c>
      <c r="H26" s="4" cm="1">
        <f t="array" ref="H26">_xlfn.LET(_xlpm.d,H$2:H$19,_xlpm.a,$C$2:$C$19=$C26,_xlpm.b,$D$2:$D$19=$D26,MAX(_xlfn._xlws.FILTER(_xlpm.d,_xlpm.a*_xlpm.b)))</f>
        <v>0.73</v>
      </c>
      <c r="I26" s="4" cm="1">
        <f t="array" ref="I26">_xlfn.LET(_xlpm.d,I$2:I$19,_xlpm.a,$C$2:$C$19=$C26,_xlpm.b,$D$2:$D$19=$D26,MAX(_xlfn._xlws.FILTER(_xlpm.d,_xlpm.a*_xlpm.b)))</f>
        <v>0.68</v>
      </c>
      <c r="J26" s="4" cm="1">
        <f t="array" ref="J26">_xlfn.LET(_xlpm.d,J$2:J$19,_xlpm.a,$C$2:$C$19=$C26,_xlpm.b,$D$2:$D$19=$D26,MAX(_xlfn._xlws.FILTER(_xlpm.d,_xlpm.a*_xlpm.b)))</f>
        <v>0.72</v>
      </c>
      <c r="K26" s="4" cm="1">
        <f t="array" ref="K26">_xlfn.LET(_xlpm.d,K$2:K$19,_xlpm.a,$C$2:$C$19=$C26,_xlpm.b,$D$2:$D$19=$D26,MAX(_xlfn._xlws.FILTER(_xlpm.d,_xlpm.a*_xlpm.b)))</f>
        <v>0.68</v>
      </c>
      <c r="L26" s="4" cm="1">
        <f t="array" ref="L26">_xlfn.LET(_xlpm.d,L$2:L$19,_xlpm.a,$C$2:$C$19=$C26,_xlpm.b,$D$2:$D$19=$D26,MAX(_xlfn._xlws.FILTER(_xlpm.d,_xlpm.a*_xlpm.b)))</f>
        <v>0.67</v>
      </c>
      <c r="M26" s="4" cm="1">
        <f t="array" ref="M26">_xlfn.LET(_xlpm.d,M$2:M$19,_xlpm.a,$C$2:$C$19=$C26,_xlpm.b,$D$2:$D$19=$D26,MAX(_xlfn._xlws.FILTER(_xlpm.d,_xlpm.a*_xlpm.b)))</f>
        <v>0.7</v>
      </c>
      <c r="N26" s="4" cm="1">
        <f t="array" ref="N26">_xlfn.LET(_xlpm.d,N$2:N$19,_xlpm.a,$C$2:$C$19=$C26,_xlpm.b,$D$2:$D$19=$D26,MAX(_xlfn._xlws.FILTER(_xlpm.d,_xlpm.a*_xlpm.b)))</f>
        <v>0.66</v>
      </c>
      <c r="O26" s="4" cm="1">
        <f t="array" ref="O26">_xlfn.LET(_xlpm.d,O$2:O$19,_xlpm.a,$C$2:$C$19=$C26,_xlpm.b,$D$2:$D$19=$D26,MAX(_xlfn._xlws.FILTER(_xlpm.d,_xlpm.a*_xlpm.b)))</f>
        <v>0.68</v>
      </c>
      <c r="P26" s="4" cm="1">
        <f t="array" ref="P26">_xlfn.LET(_xlpm.d,P$2:P$19,_xlpm.a,$C$2:$C$19=$C26,_xlpm.b,$D$2:$D$19=$D26,MAX(_xlfn._xlws.FILTER(_xlpm.d,_xlpm.a*_xlpm.b)))</f>
        <v>0.67</v>
      </c>
      <c r="Q26" s="4" cm="1">
        <f t="array" ref="Q26">_xlfn.LET(_xlpm.d,Q$2:Q$19,_xlpm.a,$C$2:$C$19=$C26,_xlpm.b,$D$2:$D$19=$D26,MAX(_xlfn._xlws.FILTER(_xlpm.d,_xlpm.a*_xlpm.b)))</f>
        <v>0.62</v>
      </c>
      <c r="R26" s="4" cm="1">
        <f t="array" ref="R26">_xlfn.LET(_xlpm.d,R$2:R$19,_xlpm.a,$C$2:$C$19=$C26,_xlpm.b,$D$2:$D$19=$D26,MAX(_xlfn._xlws.FILTER(_xlpm.d,_xlpm.a*_xlpm.b)))</f>
        <v>0.73</v>
      </c>
      <c r="S26" s="4" cm="1">
        <f t="array" ref="S26">_xlfn.LET(_xlpm.d,S$2:S$19,_xlpm.a,$C$2:$C$19=$C26,_xlpm.b,$D$2:$D$19=$D26,MAX(_xlfn._xlws.FILTER(_xlpm.d,_xlpm.a*_xlpm.b)))</f>
        <v>0.73</v>
      </c>
    </row>
    <row r="27" spans="1:19" ht="27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G27" s="4" cm="1">
        <f t="array" ref="G27">_xlfn.LET(_xlpm.d,G$2:G$19,_xlpm.a,$C$2:$C$19=$C27,_xlpm.b,$D$2:$D$19=$D27,MAX(_xlfn._xlws.FILTER(_xlpm.d,_xlpm.a*_xlpm.b)))</f>
        <v>0.59</v>
      </c>
      <c r="H27" s="4" cm="1">
        <f t="array" ref="H27">_xlfn.LET(_xlpm.d,H$2:H$19,_xlpm.a,$C$2:$C$19=$C27,_xlpm.b,$D$2:$D$19=$D27,MAX(_xlfn._xlws.FILTER(_xlpm.d,_xlpm.a*_xlpm.b)))</f>
        <v>0.53</v>
      </c>
      <c r="I27" s="4" cm="1">
        <f t="array" ref="I27">_xlfn.LET(_xlpm.d,I$2:I$19,_xlpm.a,$C$2:$C$19=$C27,_xlpm.b,$D$2:$D$19=$D27,MAX(_xlfn._xlws.FILTER(_xlpm.d,_xlpm.a*_xlpm.b)))</f>
        <v>0.55000000000000004</v>
      </c>
      <c r="J27" s="4" cm="1">
        <f t="array" ref="J27">_xlfn.LET(_xlpm.d,J$2:J$19,_xlpm.a,$C$2:$C$19=$C27,_xlpm.b,$D$2:$D$19=$D27,MAX(_xlfn._xlws.FILTER(_xlpm.d,_xlpm.a*_xlpm.b)))</f>
        <v>0.59</v>
      </c>
      <c r="K27" s="4" cm="1">
        <f t="array" ref="K27">_xlfn.LET(_xlpm.d,K$2:K$19,_xlpm.a,$C$2:$C$19=$C27,_xlpm.b,$D$2:$D$19=$D27,MAX(_xlfn._xlws.FILTER(_xlpm.d,_xlpm.a*_xlpm.b)))</f>
        <v>0.54</v>
      </c>
      <c r="L27" s="4" cm="1">
        <f t="array" ref="L27">_xlfn.LET(_xlpm.d,L$2:L$19,_xlpm.a,$C$2:$C$19=$C27,_xlpm.b,$D$2:$D$19=$D27,MAX(_xlfn._xlws.FILTER(_xlpm.d,_xlpm.a*_xlpm.b)))</f>
        <v>0.55000000000000004</v>
      </c>
      <c r="M27" s="4" cm="1">
        <f t="array" ref="M27">_xlfn.LET(_xlpm.d,M$2:M$19,_xlpm.a,$C$2:$C$19=$C27,_xlpm.b,$D$2:$D$19=$D27,MAX(_xlfn._xlws.FILTER(_xlpm.d,_xlpm.a*_xlpm.b)))</f>
        <v>0.62</v>
      </c>
      <c r="N27" s="4" cm="1">
        <f t="array" ref="N27">_xlfn.LET(_xlpm.d,N$2:N$19,_xlpm.a,$C$2:$C$19=$C27,_xlpm.b,$D$2:$D$19=$D27,MAX(_xlfn._xlws.FILTER(_xlpm.d,_xlpm.a*_xlpm.b)))</f>
        <v>0.52</v>
      </c>
      <c r="O27" s="4" cm="1">
        <f t="array" ref="O27">_xlfn.LET(_xlpm.d,O$2:O$19,_xlpm.a,$C$2:$C$19=$C27,_xlpm.b,$D$2:$D$19=$D27,MAX(_xlfn._xlws.FILTER(_xlpm.d,_xlpm.a*_xlpm.b)))</f>
        <v>0.55000000000000004</v>
      </c>
      <c r="P27" s="4" cm="1">
        <f t="array" ref="P27">_xlfn.LET(_xlpm.d,P$2:P$19,_xlpm.a,$C$2:$C$19=$C27,_xlpm.b,$D$2:$D$19=$D27,MAX(_xlfn._xlws.FILTER(_xlpm.d,_xlpm.a*_xlpm.b)))</f>
        <v>0.56000000000000005</v>
      </c>
      <c r="Q27" s="4" cm="1">
        <f t="array" ref="Q27">_xlfn.LET(_xlpm.d,Q$2:Q$19,_xlpm.a,$C$2:$C$19=$C27,_xlpm.b,$D$2:$D$19=$D27,MAX(_xlfn._xlws.FILTER(_xlpm.d,_xlpm.a*_xlpm.b)))</f>
        <v>0.54</v>
      </c>
      <c r="R27" s="4" cm="1">
        <f t="array" ref="R27">_xlfn.LET(_xlpm.d,R$2:R$19,_xlpm.a,$C$2:$C$19=$C27,_xlpm.b,$D$2:$D$19=$D27,MAX(_xlfn._xlws.FILTER(_xlpm.d,_xlpm.a*_xlpm.b)))</f>
        <v>0.53</v>
      </c>
      <c r="S27" s="4" cm="1">
        <f t="array" ref="S27">_xlfn.LET(_xlpm.d,S$2:S$19,_xlpm.a,$C$2:$C$19=$C27,_xlpm.b,$D$2:$D$19=$D27,MAX(_xlfn._xlws.FILTER(_xlpm.d,_xlpm.a*_xlpm.b)))</f>
        <v>0.62</v>
      </c>
    </row>
    <row r="28" spans="1:19" ht="27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G28" s="4" cm="1">
        <f t="array" ref="G28">_xlfn.LET(_xlpm.d,G$2:G$19,_xlpm.a,$C$2:$C$19=$C28,_xlpm.b,$D$2:$D$19=$D28,MAX(_xlfn._xlws.FILTER(_xlpm.d,_xlpm.a*_xlpm.b)))</f>
        <v>0.42</v>
      </c>
      <c r="H28" s="4" cm="1">
        <f t="array" ref="H28">_xlfn.LET(_xlpm.d,H$2:H$19,_xlpm.a,$C$2:$C$19=$C28,_xlpm.b,$D$2:$D$19=$D28,MAX(_xlfn._xlws.FILTER(_xlpm.d,_xlpm.a*_xlpm.b)))</f>
        <v>0.39</v>
      </c>
      <c r="I28" s="4" cm="1">
        <f t="array" ref="I28">_xlfn.LET(_xlpm.d,I$2:I$19,_xlpm.a,$C$2:$C$19=$C28,_xlpm.b,$D$2:$D$19=$D28,MAX(_xlfn._xlws.FILTER(_xlpm.d,_xlpm.a*_xlpm.b)))</f>
        <v>0.44</v>
      </c>
      <c r="J28" s="4" cm="1">
        <f t="array" ref="J28">_xlfn.LET(_xlpm.d,J$2:J$19,_xlpm.a,$C$2:$C$19=$C28,_xlpm.b,$D$2:$D$19=$D28,MAX(_xlfn._xlws.FILTER(_xlpm.d,_xlpm.a*_xlpm.b)))</f>
        <v>0.48</v>
      </c>
      <c r="K28" s="4" cm="1">
        <f t="array" ref="K28">_xlfn.LET(_xlpm.d,K$2:K$19,_xlpm.a,$C$2:$C$19=$C28,_xlpm.b,$D$2:$D$19=$D28,MAX(_xlfn._xlws.FILTER(_xlpm.d,_xlpm.a*_xlpm.b)))</f>
        <v>0.44</v>
      </c>
      <c r="L28" s="4" cm="1">
        <f t="array" ref="L28">_xlfn.LET(_xlpm.d,L$2:L$19,_xlpm.a,$C$2:$C$19=$C28,_xlpm.b,$D$2:$D$19=$D28,MAX(_xlfn._xlws.FILTER(_xlpm.d,_xlpm.a*_xlpm.b)))</f>
        <v>0.5</v>
      </c>
      <c r="M28" s="4" cm="1">
        <f t="array" ref="M28">_xlfn.LET(_xlpm.d,M$2:M$19,_xlpm.a,$C$2:$C$19=$C28,_xlpm.b,$D$2:$D$19=$D28,MAX(_xlfn._xlws.FILTER(_xlpm.d,_xlpm.a*_xlpm.b)))</f>
        <v>0.46</v>
      </c>
      <c r="N28" s="4" cm="1">
        <f t="array" ref="N28">_xlfn.LET(_xlpm.d,N$2:N$19,_xlpm.a,$C$2:$C$19=$C28,_xlpm.b,$D$2:$D$19=$D28,MAX(_xlfn._xlws.FILTER(_xlpm.d,_xlpm.a*_xlpm.b)))</f>
        <v>0.42</v>
      </c>
      <c r="O28" s="4" cm="1">
        <f t="array" ref="O28">_xlfn.LET(_xlpm.d,O$2:O$19,_xlpm.a,$C$2:$C$19=$C28,_xlpm.b,$D$2:$D$19=$D28,MAX(_xlfn._xlws.FILTER(_xlpm.d,_xlpm.a*_xlpm.b)))</f>
        <v>0.45</v>
      </c>
      <c r="P28" s="4" cm="1">
        <f t="array" ref="P28">_xlfn.LET(_xlpm.d,P$2:P$19,_xlpm.a,$C$2:$C$19=$C28,_xlpm.b,$D$2:$D$19=$D28,MAX(_xlfn._xlws.FILTER(_xlpm.d,_xlpm.a*_xlpm.b)))</f>
        <v>0.47</v>
      </c>
      <c r="Q28" s="4" cm="1">
        <f t="array" ref="Q28">_xlfn.LET(_xlpm.d,Q$2:Q$19,_xlpm.a,$C$2:$C$19=$C28,_xlpm.b,$D$2:$D$19=$D28,MAX(_xlfn._xlws.FILTER(_xlpm.d,_xlpm.a*_xlpm.b)))</f>
        <v>0.47</v>
      </c>
      <c r="R28" s="4" cm="1">
        <f t="array" ref="R28">_xlfn.LET(_xlpm.d,R$2:R$19,_xlpm.a,$C$2:$C$19=$C28,_xlpm.b,$D$2:$D$19=$D28,MAX(_xlfn._xlws.FILTER(_xlpm.d,_xlpm.a*_xlpm.b)))</f>
        <v>0.43</v>
      </c>
      <c r="S28" s="4" cm="1">
        <f t="array" ref="S28">_xlfn.LET(_xlpm.d,S$2:S$19,_xlpm.a,$C$2:$C$19=$C28,_xlpm.b,$D$2:$D$19=$D28,MAX(_xlfn._xlws.FILTER(_xlpm.d,_xlpm.a*_xlpm.b)))</f>
        <v>0.5</v>
      </c>
    </row>
    <row r="30" spans="1:19" ht="27" customHeight="1">
      <c r="E30" t="s">
        <v>23</v>
      </c>
      <c r="F30" t="s">
        <v>29</v>
      </c>
      <c r="G30" s="5" cm="1">
        <f t="array" ref="G30">_xlfn.LET(_xlpm.d,G$23:G$28,_xlpm.c,$E$23:$E$28=0,GEOMEAN(_xlfn._xlws.FILTER(_xlpm.d,_xlpm.c)))</f>
        <v>0.67163996387450564</v>
      </c>
      <c r="H30" s="5" cm="1">
        <f t="array" ref="H30">_xlfn.LET(_xlpm.d,H$23:H$28,_xlpm.c,$E$23:$E$28=0,GEOMEAN(_xlfn._xlws.FILTER(_xlpm.d,_xlpm.c)))</f>
        <v>0.66100175066250921</v>
      </c>
      <c r="I30" s="5" cm="1">
        <f t="array" ref="I30">_xlfn.LET(_xlpm.d,I$23:I$28,_xlpm.c,$E$23:$E$28=0,GEOMEAN(_xlfn._xlws.FILTER(_xlpm.d,_xlpm.c)))</f>
        <v>0.66352491035577432</v>
      </c>
      <c r="J30" s="5" cm="1">
        <f t="array" ref="J30">_xlfn.LET(_xlpm.d,J$23:J$28,_xlpm.c,$E$23:$E$28=0,GEOMEAN(_xlfn._xlws.FILTER(_xlpm.d,_xlpm.c)))</f>
        <v>0.69380363449304594</v>
      </c>
      <c r="K30" s="5" cm="1">
        <f t="array" ref="K30">_xlfn.LET(_xlpm.d,K$23:K$28,_xlpm.c,$E$23:$E$28=0,GEOMEAN(_xlfn._xlws.FILTER(_xlpm.d,_xlpm.c)))</f>
        <v>0.65266159892693631</v>
      </c>
      <c r="L30" s="5" cm="1">
        <f t="array" ref="L30">_xlfn.LET(_xlpm.d,L$23:L$28,_xlpm.c,$E$23:$E$28=0,GEOMEAN(_xlfn._xlws.FILTER(_xlpm.d,_xlpm.c)))</f>
        <v>0.6856494184052998</v>
      </c>
      <c r="M30" s="5" cm="1">
        <f t="array" ref="M30">_xlfn.LET(_xlpm.d,M$23:M$28,_xlpm.c,$E$23:$E$28=0,GEOMEAN(_xlfn._xlws.FILTER(_xlpm.d,_xlpm.c)))</f>
        <v>0.68718630422700544</v>
      </c>
      <c r="N30" s="5" cm="1">
        <f t="array" ref="N30">_xlfn.LET(_xlpm.d,N$23:N$28,_xlpm.c,$E$23:$E$28=0,GEOMEAN(_xlfn._xlws.FILTER(_xlpm.d,_xlpm.c)))</f>
        <v>0.65113196455990341</v>
      </c>
      <c r="O30" s="5" cm="1">
        <f t="array" ref="O30">_xlfn.LET(_xlpm.d,O$23:O$28,_xlpm.c,$E$23:$E$28=0,GEOMEAN(_xlfn._xlws.FILTER(_xlpm.d,_xlpm.c)))</f>
        <v>0.67213059794898855</v>
      </c>
      <c r="P30" s="5" cm="1">
        <f t="array" ref="P30">_xlfn.LET(_xlpm.d,P$23:P$28,_xlpm.c,$E$23:$E$28=0,GEOMEAN(_xlfn._xlws.FILTER(_xlpm.d,_xlpm.c)))</f>
        <v>0.67356256689934901</v>
      </c>
      <c r="Q30" s="5" cm="1">
        <f t="array" ref="Q30">_xlfn.LET(_xlpm.d,Q$23:Q$28,_xlpm.c,$E$23:$E$28=0,GEOMEAN(_xlfn._xlws.FILTER(_xlpm.d,_xlpm.c)))</f>
        <v>0.65107745954673635</v>
      </c>
      <c r="R30" s="5" cm="1">
        <f t="array" ref="R30">_xlfn.LET(_xlpm.d,R$23:R$28,_xlpm.c,$E$23:$E$28=0,GEOMEAN(_xlfn._xlws.FILTER(_xlpm.d,_xlpm.c)))</f>
        <v>0.66062797664100992</v>
      </c>
      <c r="S30" s="5" cm="1">
        <f t="array" ref="S30">_xlfn.LET(_xlpm.d,S$23:S$28,_xlpm.c,$E$23:$E$28=0,GEOMEAN(_xlfn._xlws.FILTER(_xlpm.d,_xlpm.c)))</f>
        <v>0.7154402832615413</v>
      </c>
    </row>
    <row r="31" spans="1:19" ht="27" customHeight="1">
      <c r="E31" t="s">
        <v>23</v>
      </c>
      <c r="F31" t="s">
        <v>23</v>
      </c>
      <c r="G31" s="5" cm="1">
        <f t="array" ref="G31">_xlfn.LET(_xlpm.d,G$23:G$33,_xlpm.c,$E$23:$E$33=0,MAX(_xlfn._xlws.FILTER(_xlpm.d,_xlpm.c)))</f>
        <v>0.9</v>
      </c>
      <c r="H31" s="5" cm="1">
        <f t="array" ref="H31">_xlfn.LET(_xlpm.d,H$23:H$33,_xlpm.c,$E$23:$E$33=0,MAX(_xlfn._xlws.FILTER(_xlpm.d,_xlpm.c)))</f>
        <v>0.9</v>
      </c>
      <c r="I31" s="5" cm="1">
        <f t="array" ref="I31">_xlfn.LET(_xlpm.d,I$23:I$33,_xlpm.c,$E$23:$E$33=0,MAX(_xlfn._xlws.FILTER(_xlpm.d,_xlpm.c)))</f>
        <v>0.88</v>
      </c>
      <c r="J31" s="5" cm="1">
        <f t="array" ref="J31">_xlfn.LET(_xlpm.d,J$23:J$33,_xlpm.c,$E$23:$E$33=0,MAX(_xlfn._xlws.FILTER(_xlpm.d,_xlpm.c)))</f>
        <v>0.88</v>
      </c>
      <c r="K31" s="5" cm="1">
        <f t="array" ref="K31">_xlfn.LET(_xlpm.d,K$23:K$33,_xlpm.c,$E$23:$E$33=0,MAX(_xlfn._xlws.FILTER(_xlpm.d,_xlpm.c)))</f>
        <v>0.85</v>
      </c>
      <c r="L31" s="5" cm="1">
        <f t="array" ref="L31">_xlfn.LET(_xlpm.d,L$23:L$33,_xlpm.c,$E$23:$E$33=0,MAX(_xlfn._xlws.FILTER(_xlpm.d,_xlpm.c)))</f>
        <v>0.89</v>
      </c>
      <c r="M31" s="5" cm="1">
        <f t="array" ref="M31">_xlfn.LET(_xlpm.d,M$23:M$33,_xlpm.c,$E$23:$E$33=0,MAX(_xlfn._xlws.FILTER(_xlpm.d,_xlpm.c)))</f>
        <v>0.88</v>
      </c>
      <c r="N31" s="5" cm="1">
        <f t="array" ref="N31">_xlfn.LET(_xlpm.d,N$23:N$33,_xlpm.c,$E$23:$E$33=0,MAX(_xlfn._xlws.FILTER(_xlpm.d,_xlpm.c)))</f>
        <v>0.91</v>
      </c>
      <c r="O31" s="5" cm="1">
        <f t="array" ref="O31">_xlfn.LET(_xlpm.d,O$23:O$33,_xlpm.c,$E$23:$E$33=0,MAX(_xlfn._xlws.FILTER(_xlpm.d,_xlpm.c)))</f>
        <v>0.91</v>
      </c>
      <c r="P31" s="5" cm="1">
        <f t="array" ref="P31">_xlfn.LET(_xlpm.d,P$23:P$33,_xlpm.c,$E$23:$E$33=0,MAX(_xlfn._xlws.FILTER(_xlpm.d,_xlpm.c)))</f>
        <v>0.89</v>
      </c>
      <c r="Q31" s="5" cm="1">
        <f t="array" ref="Q31">_xlfn.LET(_xlpm.d,Q$23:Q$33,_xlpm.c,$E$23:$E$33=0,MAX(_xlfn._xlws.FILTER(_xlpm.d,_xlpm.c)))</f>
        <v>0.85</v>
      </c>
      <c r="R31" s="5" cm="1">
        <f t="array" ref="R31">_xlfn.LET(_xlpm.d,R$23:R$33,_xlpm.c,$E$23:$E$33=0,MAX(_xlfn._xlws.FILTER(_xlpm.d,_xlpm.c)))</f>
        <v>0.86</v>
      </c>
      <c r="S31" s="5" cm="1">
        <f t="array" ref="S31">_xlfn.LET(_xlpm.d,S$23:S$33,_xlpm.c,$E$23:$E$33=0,MAX(_xlfn._xlws.FILTER(_xlpm.d,_xlpm.c)))</f>
        <v>0.91</v>
      </c>
    </row>
    <row r="32" spans="1:19" ht="27" customHeight="1">
      <c r="E32" t="s">
        <v>23</v>
      </c>
      <c r="F32" t="s">
        <v>30</v>
      </c>
      <c r="G32" s="5" cm="1">
        <f t="array" ref="G32">_xlfn.LET(_xlpm.d,G$23:G$33,_xlpm.c,$E$23:$E$33=0,MIN(_xlfn._xlws.FILTER(_xlpm.d,_xlpm.c)))</f>
        <v>0.42</v>
      </c>
      <c r="H32" s="5" cm="1">
        <f t="array" ref="H32">_xlfn.LET(_xlpm.d,H$23:H$33,_xlpm.c,$E$23:$E$33=0,MIN(_xlfn._xlws.FILTER(_xlpm.d,_xlpm.c)))</f>
        <v>0.39</v>
      </c>
      <c r="I32" s="5" cm="1">
        <f t="array" ref="I32">_xlfn.LET(_xlpm.d,I$23:I$33,_xlpm.c,$E$23:$E$33=0,MIN(_xlfn._xlws.FILTER(_xlpm.d,_xlpm.c)))</f>
        <v>0.44</v>
      </c>
      <c r="J32" s="5" cm="1">
        <f t="array" ref="J32">_xlfn.LET(_xlpm.d,J$23:J$33,_xlpm.c,$E$23:$E$33=0,MIN(_xlfn._xlws.FILTER(_xlpm.d,_xlpm.c)))</f>
        <v>0.48</v>
      </c>
      <c r="K32" s="5" cm="1">
        <f t="array" ref="K32">_xlfn.LET(_xlpm.d,K$23:K$33,_xlpm.c,$E$23:$E$33=0,MIN(_xlfn._xlws.FILTER(_xlpm.d,_xlpm.c)))</f>
        <v>0.44</v>
      </c>
      <c r="L32" s="5" cm="1">
        <f t="array" ref="L32">_xlfn.LET(_xlpm.d,L$23:L$33,_xlpm.c,$E$23:$E$33=0,MIN(_xlfn._xlws.FILTER(_xlpm.d,_xlpm.c)))</f>
        <v>0.5</v>
      </c>
      <c r="M32" s="5" cm="1">
        <f t="array" ref="M32">_xlfn.LET(_xlpm.d,M$23:M$33,_xlpm.c,$E$23:$E$33=0,MIN(_xlfn._xlws.FILTER(_xlpm.d,_xlpm.c)))</f>
        <v>0.46</v>
      </c>
      <c r="N32" s="5" cm="1">
        <f t="array" ref="N32">_xlfn.LET(_xlpm.d,N$23:N$33,_xlpm.c,$E$23:$E$33=0,MIN(_xlfn._xlws.FILTER(_xlpm.d,_xlpm.c)))</f>
        <v>0.42</v>
      </c>
      <c r="O32" s="5" cm="1">
        <f t="array" ref="O32">_xlfn.LET(_xlpm.d,O$23:O$33,_xlpm.c,$E$23:$E$33=0,MIN(_xlfn._xlws.FILTER(_xlpm.d,_xlpm.c)))</f>
        <v>0.45</v>
      </c>
      <c r="P32" s="5" cm="1">
        <f t="array" ref="P32">_xlfn.LET(_xlpm.d,P$23:P$33,_xlpm.c,$E$23:$E$33=0,MIN(_xlfn._xlws.FILTER(_xlpm.d,_xlpm.c)))</f>
        <v>0.47</v>
      </c>
      <c r="Q32" s="5" cm="1">
        <f t="array" ref="Q32">_xlfn.LET(_xlpm.d,Q$23:Q$33,_xlpm.c,$E$23:$E$33=0,MIN(_xlfn._xlws.FILTER(_xlpm.d,_xlpm.c)))</f>
        <v>0.47</v>
      </c>
      <c r="R32" s="5" cm="1">
        <f t="array" ref="R32">_xlfn.LET(_xlpm.d,R$23:R$33,_xlpm.c,$E$23:$E$33=0,MIN(_xlfn._xlws.FILTER(_xlpm.d,_xlpm.c)))</f>
        <v>0.43</v>
      </c>
      <c r="S32" s="5" cm="1">
        <f t="array" ref="S32">_xlfn.LET(_xlpm.d,S$23:S$33,_xlpm.c,$E$23:$E$33=0,MIN(_xlfn._xlws.FILTER(_xlpm.d,_xlpm.c)))</f>
        <v>0.5</v>
      </c>
    </row>
    <row r="33" spans="2:25" ht="27" customHeight="1">
      <c r="E33" t="s">
        <v>23</v>
      </c>
      <c r="F33" t="s">
        <v>31</v>
      </c>
      <c r="G33" cm="1">
        <f t="array" ref="G33">_xlfn.LET(_xlpm.d,G$23:G$33,_xlpm.c,$E$23:$E$33=0,STDEV(_xlfn._xlws.FILTER(_xlpm.d,_xlpm.c)))</f>
        <v>0.17302215657732037</v>
      </c>
      <c r="H33" cm="1">
        <f t="array" ref="H33">_xlfn.LET(_xlpm.d,H$23:H$33,_xlpm.c,$E$23:$E$33=0,STDEV(_xlfn._xlws.FILTER(_xlpm.d,_xlpm.c)))</f>
        <v>0.19148542155126799</v>
      </c>
      <c r="I33" cm="1">
        <f t="array" ref="I33">_xlfn.LET(_xlpm.d,I$23:I$33,_xlpm.c,$E$23:$E$33=0,STDEV(_xlfn._xlws.FILTER(_xlpm.d,_xlpm.c)))</f>
        <v>0.16606223732885961</v>
      </c>
      <c r="J33" cm="1">
        <f t="array" ref="J33">_xlfn.LET(_xlpm.d,J$23:J$33,_xlpm.c,$E$23:$E$33=0,STDEV(_xlfn._xlws.FILTER(_xlpm.d,_xlpm.c)))</f>
        <v>0.1510518674716296</v>
      </c>
      <c r="K33" cm="1">
        <f t="array" ref="K33">_xlfn.LET(_xlpm.d,K$23:K$33,_xlpm.c,$E$23:$E$33=0,STDEV(_xlfn._xlws.FILTER(_xlpm.d,_xlpm.c)))</f>
        <v>0.16198765385053226</v>
      </c>
      <c r="L33" cm="1">
        <f t="array" ref="L33">_xlfn.LET(_xlpm.d,L$23:L$33,_xlpm.c,$E$23:$E$33=0,STDEV(_xlfn._xlws.FILTER(_xlpm.d,_xlpm.c)))</f>
        <v>0.16265505423031526</v>
      </c>
      <c r="M33" cm="1">
        <f t="array" ref="M33">_xlfn.LET(_xlpm.d,M$23:M$33,_xlpm.c,$E$23:$E$33=0,STDEV(_xlfn._xlws.FILTER(_xlpm.d,_xlpm.c)))</f>
        <v>0.14838014242703321</v>
      </c>
      <c r="N33" cm="1">
        <f t="array" ref="N33">_xlfn.LET(_xlpm.d,N$23:N$33,_xlpm.c,$E$23:$E$33=0,STDEV(_xlfn._xlws.FILTER(_xlpm.d,_xlpm.c)))</f>
        <v>0.18392027258207994</v>
      </c>
      <c r="O33" cm="1">
        <f t="array" ref="O33">_xlfn.LET(_xlpm.d,O$23:O$33,_xlpm.c,$E$23:$E$33=0,STDEV(_xlfn._xlws.FILTER(_xlpm.d,_xlpm.c)))</f>
        <v>0.17588822208057756</v>
      </c>
      <c r="P33" cm="1">
        <f t="array" ref="P33">_xlfn.LET(_xlpm.d,P$23:P$33,_xlpm.c,$E$23:$E$33=0,STDEV(_xlfn._xlws.FILTER(_xlpm.d,_xlpm.c)))</f>
        <v>0.16211107303327565</v>
      </c>
      <c r="Q33" cm="1">
        <f t="array" ref="Q33">_xlfn.LET(_xlpm.d,Q$23:Q$33,_xlpm.c,$E$23:$E$33=0,STDEV(_xlfn._xlws.FILTER(_xlpm.d,_xlpm.c)))</f>
        <v>0.15756480148391835</v>
      </c>
      <c r="R33" cm="1">
        <f t="array" ref="R33">_xlfn.LET(_xlpm.d,R$23:R$33,_xlpm.c,$E$23:$E$33=0,STDEV(_xlfn._xlws.FILTER(_xlpm.d,_xlpm.c)))</f>
        <v>0.16899704139422128</v>
      </c>
      <c r="S33" cm="1">
        <f t="array" ref="S33">_xlfn.LET(_xlpm.d,S$23:S$33,_xlpm.c,$E$23:$E$33=0,STDEV(_xlfn._xlws.FILTER(_xlpm.d,_xlpm.c)))</f>
        <v>0.15491933384829559</v>
      </c>
    </row>
    <row r="36" spans="2:25" ht="27" customHeight="1">
      <c r="B36" t="s">
        <v>24</v>
      </c>
      <c r="C36" t="s">
        <v>1</v>
      </c>
      <c r="D36" t="s">
        <v>26</v>
      </c>
      <c r="E36" t="s">
        <v>25</v>
      </c>
      <c r="F36" t="s">
        <v>27</v>
      </c>
      <c r="G36" t="s">
        <v>33</v>
      </c>
      <c r="H36" t="s">
        <v>34</v>
      </c>
      <c r="I36" t="s">
        <v>35</v>
      </c>
      <c r="J36" t="s">
        <v>40</v>
      </c>
      <c r="K36" t="s">
        <v>41</v>
      </c>
      <c r="L36" t="s">
        <v>42</v>
      </c>
      <c r="M36" t="s">
        <v>36</v>
      </c>
      <c r="N36" t="s">
        <v>37</v>
      </c>
      <c r="O36" t="s">
        <v>38</v>
      </c>
      <c r="P36" t="s">
        <v>43</v>
      </c>
      <c r="Q36" t="s">
        <v>44</v>
      </c>
      <c r="R36" t="s">
        <v>45</v>
      </c>
    </row>
    <row r="37" spans="2:25" ht="27" customHeight="1">
      <c r="B37" s="7">
        <v>1</v>
      </c>
      <c r="C37" t="s">
        <v>17</v>
      </c>
      <c r="D37" t="b">
        <v>1</v>
      </c>
      <c r="E37">
        <v>1</v>
      </c>
      <c r="F37" t="s">
        <v>28</v>
      </c>
      <c r="G37" s="3">
        <f t="shared" ref="G37:R37" si="1">_xlfn.LET(_xlpm.d,$G23:$R23,RANK(G23,_xlpm.d))</f>
        <v>3</v>
      </c>
      <c r="H37" s="3">
        <f t="shared" si="1"/>
        <v>3</v>
      </c>
      <c r="I37" s="3">
        <f t="shared" si="1"/>
        <v>7</v>
      </c>
      <c r="J37" s="3">
        <f t="shared" si="1"/>
        <v>7</v>
      </c>
      <c r="K37" s="3">
        <f t="shared" si="1"/>
        <v>11</v>
      </c>
      <c r="L37" s="3">
        <f t="shared" si="1"/>
        <v>5</v>
      </c>
      <c r="M37" s="3">
        <f t="shared" si="1"/>
        <v>7</v>
      </c>
      <c r="N37" s="3">
        <f t="shared" si="1"/>
        <v>1</v>
      </c>
      <c r="O37" s="3">
        <f t="shared" si="1"/>
        <v>1</v>
      </c>
      <c r="P37" s="3">
        <f t="shared" si="1"/>
        <v>5</v>
      </c>
      <c r="Q37" s="3">
        <f t="shared" si="1"/>
        <v>11</v>
      </c>
      <c r="R37" s="3">
        <f t="shared" si="1"/>
        <v>10</v>
      </c>
    </row>
    <row r="38" spans="2:25" ht="27" customHeight="1">
      <c r="B38" s="3">
        <v>1</v>
      </c>
      <c r="C38" t="s">
        <v>17</v>
      </c>
      <c r="D38" t="b">
        <v>0</v>
      </c>
      <c r="E38">
        <v>1</v>
      </c>
      <c r="F38" t="s">
        <v>28</v>
      </c>
      <c r="G38" s="3">
        <f t="shared" ref="G38:R38" si="2">_xlfn.LET(_xlpm.d,$G24:$R24,RANK(G24,_xlpm.d))</f>
        <v>5</v>
      </c>
      <c r="H38" s="3">
        <f t="shared" si="2"/>
        <v>8</v>
      </c>
      <c r="I38" s="3">
        <f t="shared" si="2"/>
        <v>8</v>
      </c>
      <c r="J38" s="3">
        <f t="shared" si="2"/>
        <v>5</v>
      </c>
      <c r="K38" s="3">
        <f t="shared" si="2"/>
        <v>5</v>
      </c>
      <c r="L38" s="3">
        <f t="shared" si="2"/>
        <v>1</v>
      </c>
      <c r="M38" s="3">
        <f t="shared" si="2"/>
        <v>12</v>
      </c>
      <c r="N38" s="3">
        <f t="shared" si="2"/>
        <v>8</v>
      </c>
      <c r="O38" s="3">
        <f t="shared" si="2"/>
        <v>2</v>
      </c>
      <c r="P38" s="3">
        <f t="shared" si="2"/>
        <v>3</v>
      </c>
      <c r="Q38" s="3">
        <f t="shared" si="2"/>
        <v>3</v>
      </c>
      <c r="R38" s="3">
        <f t="shared" si="2"/>
        <v>8</v>
      </c>
    </row>
    <row r="39" spans="2:25" ht="27" customHeight="1">
      <c r="B39" s="3">
        <v>2</v>
      </c>
      <c r="C39" t="s">
        <v>21</v>
      </c>
      <c r="D39" t="b">
        <v>1</v>
      </c>
      <c r="E39">
        <v>1</v>
      </c>
      <c r="F39" t="s">
        <v>28</v>
      </c>
      <c r="G39" s="3">
        <f t="shared" ref="G39:R39" si="3">_xlfn.LET(_xlpm.d,$G25:$R25,RANK(G25,_xlpm.d))</f>
        <v>6</v>
      </c>
      <c r="H39" s="3">
        <f t="shared" si="3"/>
        <v>1</v>
      </c>
      <c r="I39" s="3">
        <f t="shared" si="3"/>
        <v>5</v>
      </c>
      <c r="J39" s="3">
        <f t="shared" si="3"/>
        <v>1</v>
      </c>
      <c r="K39" s="3">
        <f t="shared" si="3"/>
        <v>11</v>
      </c>
      <c r="L39" s="3">
        <f t="shared" si="3"/>
        <v>4</v>
      </c>
      <c r="M39" s="3">
        <f t="shared" si="3"/>
        <v>1</v>
      </c>
      <c r="N39" s="3">
        <f t="shared" si="3"/>
        <v>6</v>
      </c>
      <c r="O39" s="3">
        <f t="shared" si="3"/>
        <v>6</v>
      </c>
      <c r="P39" s="3">
        <f t="shared" si="3"/>
        <v>6</v>
      </c>
      <c r="Q39" s="3">
        <f t="shared" si="3"/>
        <v>11</v>
      </c>
      <c r="R39" s="3">
        <f t="shared" si="3"/>
        <v>6</v>
      </c>
    </row>
    <row r="40" spans="2:25" ht="27" customHeight="1">
      <c r="B40" s="3">
        <v>2</v>
      </c>
      <c r="C40" t="s">
        <v>21</v>
      </c>
      <c r="D40" t="b">
        <v>0</v>
      </c>
      <c r="E40">
        <v>1</v>
      </c>
      <c r="F40" t="s">
        <v>28</v>
      </c>
      <c r="G40" s="3">
        <f t="shared" ref="G40:R40" si="4">_xlfn.LET(_xlpm.d,$G26:$R26,RANK(G26,_xlpm.d))</f>
        <v>4</v>
      </c>
      <c r="H40" s="3">
        <f t="shared" si="4"/>
        <v>1</v>
      </c>
      <c r="I40" s="3">
        <f t="shared" si="4"/>
        <v>6</v>
      </c>
      <c r="J40" s="3">
        <f t="shared" si="4"/>
        <v>3</v>
      </c>
      <c r="K40" s="3">
        <f t="shared" si="4"/>
        <v>6</v>
      </c>
      <c r="L40" s="3">
        <f t="shared" si="4"/>
        <v>9</v>
      </c>
      <c r="M40" s="3">
        <f t="shared" si="4"/>
        <v>4</v>
      </c>
      <c r="N40" s="3">
        <f t="shared" si="4"/>
        <v>11</v>
      </c>
      <c r="O40" s="3">
        <f t="shared" si="4"/>
        <v>6</v>
      </c>
      <c r="P40" s="3">
        <f t="shared" si="4"/>
        <v>9</v>
      </c>
      <c r="Q40" s="3">
        <f t="shared" si="4"/>
        <v>12</v>
      </c>
      <c r="R40" s="3">
        <f t="shared" si="4"/>
        <v>1</v>
      </c>
    </row>
    <row r="41" spans="2:25" ht="27" customHeight="1">
      <c r="B41" s="3">
        <v>3</v>
      </c>
      <c r="C41" t="s">
        <v>22</v>
      </c>
      <c r="D41" t="b">
        <v>1</v>
      </c>
      <c r="E41">
        <v>1</v>
      </c>
      <c r="F41" t="s">
        <v>28</v>
      </c>
      <c r="G41" s="3">
        <f t="shared" ref="G41:R41" si="5">_xlfn.LET(_xlpm.d,$G27:$R27,RANK(G27,_xlpm.d))</f>
        <v>2</v>
      </c>
      <c r="H41" s="3">
        <f t="shared" si="5"/>
        <v>10</v>
      </c>
      <c r="I41" s="3">
        <f t="shared" si="5"/>
        <v>5</v>
      </c>
      <c r="J41" s="3">
        <f t="shared" si="5"/>
        <v>2</v>
      </c>
      <c r="K41" s="3">
        <f t="shared" si="5"/>
        <v>8</v>
      </c>
      <c r="L41" s="3">
        <f t="shared" si="5"/>
        <v>5</v>
      </c>
      <c r="M41" s="3">
        <f t="shared" si="5"/>
        <v>1</v>
      </c>
      <c r="N41" s="3">
        <f t="shared" si="5"/>
        <v>12</v>
      </c>
      <c r="O41" s="3">
        <f t="shared" si="5"/>
        <v>5</v>
      </c>
      <c r="P41" s="3">
        <f t="shared" si="5"/>
        <v>4</v>
      </c>
      <c r="Q41" s="3">
        <f t="shared" si="5"/>
        <v>8</v>
      </c>
      <c r="R41" s="3">
        <f t="shared" si="5"/>
        <v>10</v>
      </c>
    </row>
    <row r="42" spans="2:25" ht="27" customHeight="1">
      <c r="B42" s="8">
        <v>3</v>
      </c>
      <c r="C42" t="s">
        <v>22</v>
      </c>
      <c r="D42" t="b">
        <v>0</v>
      </c>
      <c r="E42">
        <v>1</v>
      </c>
      <c r="F42" t="s">
        <v>28</v>
      </c>
      <c r="G42" s="3">
        <f t="shared" ref="G42:R42" si="6">_xlfn.LET(_xlpm.d,$G28:$R28,RANK(G28,_xlpm.d))</f>
        <v>10</v>
      </c>
      <c r="H42" s="3">
        <f t="shared" si="6"/>
        <v>12</v>
      </c>
      <c r="I42" s="3">
        <f t="shared" si="6"/>
        <v>7</v>
      </c>
      <c r="J42" s="3">
        <f t="shared" si="6"/>
        <v>2</v>
      </c>
      <c r="K42" s="3">
        <f t="shared" si="6"/>
        <v>7</v>
      </c>
      <c r="L42" s="3">
        <f t="shared" si="6"/>
        <v>1</v>
      </c>
      <c r="M42" s="3">
        <f t="shared" si="6"/>
        <v>5</v>
      </c>
      <c r="N42" s="3">
        <f t="shared" si="6"/>
        <v>10</v>
      </c>
      <c r="O42" s="3">
        <f t="shared" si="6"/>
        <v>6</v>
      </c>
      <c r="P42" s="3">
        <f t="shared" si="6"/>
        <v>3</v>
      </c>
      <c r="Q42" s="3">
        <f t="shared" si="6"/>
        <v>3</v>
      </c>
      <c r="R42" s="3">
        <f t="shared" si="6"/>
        <v>9</v>
      </c>
    </row>
    <row r="44" spans="2:25" ht="27" customHeight="1">
      <c r="C44" t="s">
        <v>39</v>
      </c>
      <c r="D44" t="b">
        <v>0</v>
      </c>
      <c r="E44" t="s">
        <v>28</v>
      </c>
      <c r="F44" t="s">
        <v>32</v>
      </c>
      <c r="G44" s="2" cm="1">
        <f t="array" ref="G44">_xlfn.LET(_xlpm.d,G$37:G$42,_xlpm.c,$D$37:$D$42=$D44,GEOMEAN(_xlfn._xlws.FILTER(_xlpm.d,_xlpm.c)))</f>
        <v>5.8480354764257321</v>
      </c>
      <c r="H44" s="2" cm="1">
        <f t="array" ref="H44">_xlfn.LET(_xlpm.d,H$37:H$42,_xlpm.c,$D$37:$D$42=$D44,GEOMEAN(_xlfn._xlws.FILTER(_xlpm.d,_xlpm.c)))</f>
        <v>4.5788569702133275</v>
      </c>
      <c r="I44" s="2" cm="1">
        <f t="array" ref="I44">_xlfn.LET(_xlpm.d,I$37:I$42,_xlpm.c,$D$37:$D$42=$D44,GEOMEAN(_xlfn._xlws.FILTER(_xlpm.d,_xlpm.c)))</f>
        <v>6.9520532897728993</v>
      </c>
      <c r="J44" s="2" cm="1">
        <f t="array" ref="J44">_xlfn.LET(_xlpm.d,J$37:J$42,_xlpm.c,$D$37:$D$42=$D44,GEOMEAN(_xlfn._xlws.FILTER(_xlpm.d,_xlpm.c)))</f>
        <v>3.1072325059538586</v>
      </c>
      <c r="K44" s="2" cm="1">
        <f t="array" ref="K44">_xlfn.LET(_xlpm.d,K$37:K$42,_xlpm.c,$D$37:$D$42=$D44,GEOMEAN(_xlfn._xlws.FILTER(_xlpm.d,_xlpm.c)))</f>
        <v>5.9439219527631293</v>
      </c>
      <c r="L44" s="2" cm="1">
        <f t="array" ref="L44">_xlfn.LET(_xlpm.d,L$37:L$42,_xlpm.c,$D$37:$D$42=$D44,GEOMEAN(_xlfn._xlws.FILTER(_xlpm.d,_xlpm.c)))</f>
        <v>2.0800838230519041</v>
      </c>
      <c r="M44" s="2" cm="1">
        <f t="array" ref="M44">_xlfn.LET(_xlpm.d,M$37:M$42,_xlpm.c,$D$37:$D$42=$D44,GEOMEAN(_xlfn._xlws.FILTER(_xlpm.d,_xlpm.c)))</f>
        <v>6.2144650119077172</v>
      </c>
      <c r="N44" s="2" cm="1">
        <f t="array" ref="N44">_xlfn.LET(_xlpm.d,N$37:N$42,_xlpm.c,$D$37:$D$42=$D44,GEOMEAN(_xlfn._xlws.FILTER(_xlpm.d,_xlpm.c)))</f>
        <v>9.5828397141255675</v>
      </c>
      <c r="O44" s="2" cm="1">
        <f t="array" ref="O44">_xlfn.LET(_xlpm.d,O$37:O$42,_xlpm.c,$D$37:$D$42=$D44,GEOMEAN(_xlfn._xlws.FILTER(_xlpm.d,_xlpm.c)))</f>
        <v>4.1601676461038082</v>
      </c>
      <c r="P44" s="2" cm="1">
        <f t="array" ref="P44">_xlfn.LET(_xlpm.d,P$37:P$42,_xlpm.c,$D$37:$D$42=$D44,GEOMEAN(_xlfn._xlws.FILTER(_xlpm.d,_xlpm.c)))</f>
        <v>4.3267487109222253</v>
      </c>
      <c r="Q44" s="2" cm="1">
        <f t="array" ref="Q44">_xlfn.LET(_xlpm.d,Q$37:Q$42,_xlpm.c,$D$37:$D$42=$D44,GEOMEAN(_xlfn._xlws.FILTER(_xlpm.d,_xlpm.c)))</f>
        <v>4.7622031559045981</v>
      </c>
      <c r="R44" s="2" cm="1">
        <f t="array" ref="R44">_xlfn.LET(_xlpm.d,R$37:R$42,_xlpm.c,$D$37:$D$42=$D44,GEOMEAN(_xlfn._xlws.FILTER(_xlpm.d,_xlpm.c)))</f>
        <v>4.1601676461038082</v>
      </c>
      <c r="S44" s="2"/>
      <c r="T44" s="2"/>
      <c r="U44" s="2"/>
      <c r="V44" s="2"/>
      <c r="W44" s="2"/>
      <c r="X44" s="2"/>
      <c r="Y44" s="2"/>
    </row>
    <row r="45" spans="2:25" ht="27" customHeight="1">
      <c r="C45" t="s">
        <v>39</v>
      </c>
      <c r="D45" t="b">
        <v>1</v>
      </c>
      <c r="E45" t="s">
        <v>28</v>
      </c>
      <c r="F45" t="s">
        <v>32</v>
      </c>
      <c r="G45" s="2" cm="1">
        <f t="array" ref="G45">_xlfn.LET(_xlpm.d,G$37:G$42,_xlpm.c,$D$37:$D$42=$D45,GEOMEAN(_xlfn._xlws.FILTER(_xlpm.d,_xlpm.c)))</f>
        <v>3.3019272488946267</v>
      </c>
      <c r="H45" s="2" cm="1">
        <f t="array" ref="H45">_xlfn.LET(_xlpm.d,H$37:H$42,_xlpm.c,$D$37:$D$42=$D45,GEOMEAN(_xlfn._xlws.FILTER(_xlpm.d,_xlpm.c)))</f>
        <v>3.1072325059538586</v>
      </c>
      <c r="I45" s="2" cm="1">
        <f t="array" ref="I45">_xlfn.LET(_xlpm.d,I$37:I$42,_xlpm.c,$D$37:$D$42=$D45,GEOMEAN(_xlfn._xlws.FILTER(_xlpm.d,_xlpm.c)))</f>
        <v>5.5934447104069838</v>
      </c>
      <c r="J45" s="2" cm="1">
        <f t="array" ref="J45">_xlfn.LET(_xlpm.d,J$37:J$42,_xlpm.c,$D$37:$D$42=$D45,GEOMEAN(_xlfn._xlws.FILTER(_xlpm.d,_xlpm.c)))</f>
        <v>2.4101422641752301</v>
      </c>
      <c r="K45" s="2" cm="1">
        <f t="array" ref="K45">_xlfn.LET(_xlpm.d,K$37:K$42,_xlpm.c,$D$37:$D$42=$D45,GEOMEAN(_xlfn._xlws.FILTER(_xlpm.d,_xlpm.c)))</f>
        <v>9.8921748864974006</v>
      </c>
      <c r="L45" s="2" cm="1">
        <f t="array" ref="L45">_xlfn.LET(_xlpm.d,L$37:L$42,_xlpm.c,$D$37:$D$42=$D45,GEOMEAN(_xlfn._xlws.FILTER(_xlpm.d,_xlpm.c)))</f>
        <v>4.6415888336127793</v>
      </c>
      <c r="M45" s="2" cm="1">
        <f t="array" ref="M45">_xlfn.LET(_xlpm.d,M$37:M$42,_xlpm.c,$D$37:$D$42=$D45,GEOMEAN(_xlfn._xlws.FILTER(_xlpm.d,_xlpm.c)))</f>
        <v>1.9129311827723889</v>
      </c>
      <c r="N45" s="2" cm="1">
        <f t="array" ref="N45">_xlfn.LET(_xlpm.d,N$37:N$42,_xlpm.c,$D$37:$D$42=$D45,GEOMEAN(_xlfn._xlws.FILTER(_xlpm.d,_xlpm.c)))</f>
        <v>4.1601676461038082</v>
      </c>
      <c r="O45" s="2" cm="1">
        <f t="array" ref="O45">_xlfn.LET(_xlpm.d,O$37:O$42,_xlpm.c,$D$37:$D$42=$D45,GEOMEAN(_xlfn._xlws.FILTER(_xlpm.d,_xlpm.c)))</f>
        <v>3.1072325059538586</v>
      </c>
      <c r="P45" s="2" cm="1">
        <f t="array" ref="P45">_xlfn.LET(_xlpm.d,P$37:P$42,_xlpm.c,$D$37:$D$42=$D45,GEOMEAN(_xlfn._xlws.FILTER(_xlpm.d,_xlpm.c)))</f>
        <v>4.9324241486609397</v>
      </c>
      <c r="Q45" s="2" cm="1">
        <f t="array" ref="Q45">_xlfn.LET(_xlpm.d,Q$37:Q$42,_xlpm.c,$D$37:$D$42=$D45,GEOMEAN(_xlfn._xlws.FILTER(_xlpm.d,_xlpm.c)))</f>
        <v>9.8921748864974006</v>
      </c>
      <c r="R45" s="2" cm="1">
        <f t="array" ref="R45">_xlfn.LET(_xlpm.d,R$37:R$42,_xlpm.c,$D$37:$D$42=$D45,GEOMEAN(_xlfn._xlws.FILTER(_xlpm.d,_xlpm.c)))</f>
        <v>8.434326653017493</v>
      </c>
      <c r="S45" s="2"/>
      <c r="T45" s="2"/>
      <c r="U45" s="2"/>
      <c r="V45" s="2"/>
      <c r="W45" s="2"/>
      <c r="X45" s="2"/>
      <c r="Y45" s="2"/>
    </row>
  </sheetData>
  <conditionalFormatting sqref="G37:R42">
    <cfRule type="colorScale" priority="8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">
    <cfRule type="colorScale" priority="10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9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S32">
    <cfRule type="colorScale" priority="6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44:Y45">
    <cfRule type="colorScale" priority="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0BD1-6D3F-5E4D-905B-7854D8D18455}">
  <sheetPr codeName="Sheet5"/>
  <dimension ref="A1:U45"/>
  <sheetViews>
    <sheetView workbookViewId="0">
      <pane xSplit="9740" ySplit="3140" topLeftCell="R15" activePane="bottomLeft"/>
      <selection activeCell="A6" sqref="A6"/>
      <selection pane="topRight" activeCell="G2" sqref="G2"/>
      <selection pane="bottomLeft" activeCell="B31" sqref="B31"/>
      <selection pane="bottomRight" activeCell="AB17" sqref="AB17"/>
    </sheetView>
  </sheetViews>
  <sheetFormatPr baseColWidth="10" defaultRowHeight="27" customHeight="1"/>
  <cols>
    <col min="1" max="1" width="9.625" customWidth="1"/>
    <col min="2" max="2" width="7.875" customWidth="1"/>
    <col min="4" max="4" width="9.875" customWidth="1"/>
    <col min="5" max="5" width="8.625" customWidth="1"/>
    <col min="7" max="7" width="12.5" customWidth="1"/>
    <col min="8" max="19" width="8.125" customWidth="1"/>
    <col min="20" max="20" width="8.75" customWidth="1"/>
    <col min="21" max="21" width="8.875" customWidth="1"/>
  </cols>
  <sheetData>
    <row r="1" spans="1:21" ht="27" customHeight="1">
      <c r="A1" t="s">
        <v>0</v>
      </c>
      <c r="B1" t="s">
        <v>24</v>
      </c>
      <c r="C1" t="s">
        <v>1</v>
      </c>
      <c r="D1" t="s">
        <v>26</v>
      </c>
      <c r="E1" t="s">
        <v>25</v>
      </c>
      <c r="F1" t="s">
        <v>3</v>
      </c>
      <c r="G1" t="s">
        <v>50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  <c r="U1" t="s">
        <v>29</v>
      </c>
    </row>
    <row r="2" spans="1:21" ht="27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t="str">
        <f>_xlfn.LET(_xlpm.attr,Table8[[#This Row],[attribute]],_xlpm.spl,LEFT(Table8[[#This Row],[supplemented]],1),_xlfn.TEXTJOIN("-",TRUE,_xlpm.attr,_xlpm.spl,"3k-mgv3"))</f>
        <v>plurality-T-3k-mgv3</v>
      </c>
      <c r="H2" s="1">
        <v>0.86</v>
      </c>
      <c r="I2" s="1">
        <v>0.87</v>
      </c>
      <c r="J2" s="1">
        <v>0.79</v>
      </c>
      <c r="K2" s="1">
        <v>0.87</v>
      </c>
      <c r="L2" s="1">
        <v>0.81</v>
      </c>
      <c r="M2" s="1">
        <v>0.75</v>
      </c>
      <c r="N2" s="1">
        <v>0.84</v>
      </c>
      <c r="O2" s="1">
        <v>0.83</v>
      </c>
      <c r="P2" s="1">
        <v>0.84</v>
      </c>
      <c r="Q2" s="1">
        <v>0.82</v>
      </c>
      <c r="R2" s="1">
        <v>0.83</v>
      </c>
      <c r="S2" s="1">
        <v>0.82</v>
      </c>
      <c r="T2" s="1">
        <f t="shared" ref="T2:T19" si="0">_xlfn.LET(_xlpm.d,$H2:$S2,MAX(_xlpm.d))</f>
        <v>0.87</v>
      </c>
      <c r="U2" s="1">
        <f t="shared" ref="U2:U19" si="1">_xlfn.LET(_xlpm.d,$H2:$S2,GEOMEAN(_xlpm.d))</f>
        <v>0.82683921497111523</v>
      </c>
    </row>
    <row r="3" spans="1:21" ht="27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G3" t="str">
        <f>_xlfn.LET(_xlpm.attr,Table8[[#This Row],[attribute]],_xlpm.spl,LEFT(Table8[[#This Row],[supplemented]],1),_xlfn.TEXTJOIN("-",TRUE,_xlpm.attr,_xlpm.spl,"3k-mgv3"))</f>
        <v>plurality-T-3k-mgv3</v>
      </c>
      <c r="H3" s="1">
        <v>0.89</v>
      </c>
      <c r="I3" s="1">
        <v>0.86</v>
      </c>
      <c r="J3" s="1">
        <v>0.87</v>
      </c>
      <c r="K3" s="1">
        <v>0.89</v>
      </c>
      <c r="L3" s="1">
        <v>0.87</v>
      </c>
      <c r="M3" s="1">
        <v>0.83</v>
      </c>
      <c r="N3" s="1">
        <v>0.84</v>
      </c>
      <c r="O3" s="1">
        <v>0.89</v>
      </c>
      <c r="P3" s="1">
        <v>0.87</v>
      </c>
      <c r="Q3" s="1">
        <v>0.88</v>
      </c>
      <c r="R3" s="1">
        <v>0.86</v>
      </c>
      <c r="S3" s="1">
        <v>0.86</v>
      </c>
      <c r="T3" s="1">
        <f t="shared" si="0"/>
        <v>0.89</v>
      </c>
      <c r="U3" s="1">
        <f t="shared" si="1"/>
        <v>0.86730516324614226</v>
      </c>
    </row>
    <row r="4" spans="1:21" ht="27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G4" t="str">
        <f>_xlfn.LET(_xlpm.attr,Table8[[#This Row],[attribute]],_xlpm.spl,LEFT(Table8[[#This Row],[supplemented]],1),_xlfn.TEXTJOIN("-",TRUE,_xlpm.attr,_xlpm.spl,"3k-mgv3"))</f>
        <v>plurality-T-3k-mgv3</v>
      </c>
      <c r="H4" s="1">
        <v>0.87</v>
      </c>
      <c r="I4" s="1">
        <v>0.86</v>
      </c>
      <c r="J4" s="1">
        <v>0.86</v>
      </c>
      <c r="K4" s="1">
        <v>0.87</v>
      </c>
      <c r="L4" s="1">
        <v>0.87</v>
      </c>
      <c r="M4" s="1">
        <v>0.77</v>
      </c>
      <c r="N4" s="1">
        <v>0.89</v>
      </c>
      <c r="O4" s="1">
        <v>0.85</v>
      </c>
      <c r="P4" s="1">
        <v>0.86</v>
      </c>
      <c r="Q4" s="1">
        <v>0.82</v>
      </c>
      <c r="R4" s="1">
        <v>0.81</v>
      </c>
      <c r="S4" s="1">
        <v>0.82</v>
      </c>
      <c r="T4" s="1">
        <f t="shared" si="0"/>
        <v>0.89</v>
      </c>
      <c r="U4" s="1">
        <f t="shared" si="1"/>
        <v>0.84519215580754192</v>
      </c>
    </row>
    <row r="5" spans="1:21" ht="27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t="str">
        <f>_xlfn.LET(_xlpm.attr,Table8[[#This Row],[attribute]],_xlpm.spl,LEFT(Table8[[#This Row],[supplemented]],1),_xlfn.TEXTJOIN("-",TRUE,_xlpm.attr,_xlpm.spl,"3k-mgv3"))</f>
        <v>plurality-F-3k-mgv3</v>
      </c>
      <c r="H5" s="1">
        <v>0.84</v>
      </c>
      <c r="I5" s="1">
        <v>0.82</v>
      </c>
      <c r="J5" s="1">
        <v>0.8</v>
      </c>
      <c r="K5" s="1">
        <v>0.86</v>
      </c>
      <c r="L5" s="1">
        <v>0.84</v>
      </c>
      <c r="M5" s="1">
        <v>0.76</v>
      </c>
      <c r="N5" s="1">
        <v>0.74</v>
      </c>
      <c r="O5" s="1">
        <v>0.81</v>
      </c>
      <c r="P5" s="1">
        <v>0.8</v>
      </c>
      <c r="Q5" s="1">
        <v>0.81</v>
      </c>
      <c r="R5" s="1">
        <v>0.82</v>
      </c>
      <c r="S5" s="1">
        <v>0.77</v>
      </c>
      <c r="T5" s="1">
        <f t="shared" si="0"/>
        <v>0.86</v>
      </c>
      <c r="U5" s="1">
        <f t="shared" si="1"/>
        <v>0.8051267041850233</v>
      </c>
    </row>
    <row r="6" spans="1:21" ht="27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G6" t="str">
        <f>_xlfn.LET(_xlpm.attr,Table8[[#This Row],[attribute]],_xlpm.spl,LEFT(Table8[[#This Row],[supplemented]],1),_xlfn.TEXTJOIN("-",TRUE,_xlpm.attr,_xlpm.spl,"3k-mgv3"))</f>
        <v>plurality-F-3k-mgv3</v>
      </c>
      <c r="H6" s="1">
        <v>0.84</v>
      </c>
      <c r="I6" s="1">
        <v>0.82</v>
      </c>
      <c r="J6" s="1">
        <v>0.82</v>
      </c>
      <c r="K6" s="1">
        <v>0.84</v>
      </c>
      <c r="L6" s="1">
        <v>0.85</v>
      </c>
      <c r="M6" s="1">
        <v>0.79</v>
      </c>
      <c r="N6" s="1">
        <v>0.81</v>
      </c>
      <c r="O6" s="1">
        <v>0.85</v>
      </c>
      <c r="P6" s="1">
        <v>0.81</v>
      </c>
      <c r="Q6" s="1">
        <v>0.83</v>
      </c>
      <c r="R6" s="1">
        <v>0.83</v>
      </c>
      <c r="S6" s="1">
        <v>0.82</v>
      </c>
      <c r="T6" s="1">
        <f t="shared" si="0"/>
        <v>0.85</v>
      </c>
      <c r="U6" s="1">
        <f t="shared" si="1"/>
        <v>0.82565625342011251</v>
      </c>
    </row>
    <row r="7" spans="1:21" ht="27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G7" t="str">
        <f>_xlfn.LET(_xlpm.attr,Table8[[#This Row],[attribute]],_xlpm.spl,LEFT(Table8[[#This Row],[supplemented]],1),_xlfn.TEXTJOIN("-",TRUE,_xlpm.attr,_xlpm.spl,"3k-mgv3"))</f>
        <v>plurality-F-3k-mgv3</v>
      </c>
      <c r="H7" s="1">
        <v>0.8</v>
      </c>
      <c r="I7" s="1">
        <v>0.8</v>
      </c>
      <c r="J7" s="1">
        <v>0.76</v>
      </c>
      <c r="K7" s="1">
        <v>0.87</v>
      </c>
      <c r="L7" s="1">
        <v>0.85</v>
      </c>
      <c r="M7" s="1">
        <v>0.77</v>
      </c>
      <c r="N7" s="1">
        <v>0.76</v>
      </c>
      <c r="O7" s="1">
        <v>0.77</v>
      </c>
      <c r="P7" s="1">
        <v>0.78</v>
      </c>
      <c r="Q7" s="1">
        <v>0.8</v>
      </c>
      <c r="R7" s="1">
        <v>0.81</v>
      </c>
      <c r="S7" s="1">
        <v>0.79</v>
      </c>
      <c r="T7" s="1">
        <f t="shared" si="0"/>
        <v>0.87</v>
      </c>
      <c r="U7" s="1">
        <f t="shared" si="1"/>
        <v>0.79601018376222477</v>
      </c>
    </row>
    <row r="8" spans="1:21" ht="27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t="str">
        <f>_xlfn.LET(_xlpm.attr,Table8[[#This Row],[attribute]],_xlpm.spl,LEFT(Table8[[#This Row],[supplemented]],1),_xlfn.TEXTJOIN("-",TRUE,_xlpm.attr,_xlpm.spl,"3k-mgv3"))</f>
        <v>gender-T-3k-mgv3</v>
      </c>
      <c r="H8" s="1">
        <v>0.56000000000000005</v>
      </c>
      <c r="I8" s="1">
        <v>0.59</v>
      </c>
      <c r="J8" s="1">
        <v>0.43</v>
      </c>
      <c r="K8" s="1">
        <v>0.57999999999999996</v>
      </c>
      <c r="L8" s="1">
        <v>0.57999999999999996</v>
      </c>
      <c r="M8" s="1">
        <v>0.45</v>
      </c>
      <c r="N8" s="1">
        <v>0.59</v>
      </c>
      <c r="O8" s="1">
        <v>0.56000000000000005</v>
      </c>
      <c r="P8" s="1">
        <v>0.61</v>
      </c>
      <c r="Q8" s="1">
        <v>0.5</v>
      </c>
      <c r="R8" s="1">
        <v>0.51</v>
      </c>
      <c r="S8" s="1">
        <v>0.57999999999999996</v>
      </c>
      <c r="T8" s="1">
        <f t="shared" si="0"/>
        <v>0.61</v>
      </c>
      <c r="U8" s="1">
        <f t="shared" si="1"/>
        <v>0.54188806630909847</v>
      </c>
    </row>
    <row r="9" spans="1:21" ht="27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19</v>
      </c>
      <c r="G9" t="str">
        <f>_xlfn.LET(_xlpm.attr,Table8[[#This Row],[attribute]],_xlpm.spl,LEFT(Table8[[#This Row],[supplemented]],1),_xlfn.TEXTJOIN("-",TRUE,_xlpm.attr,_xlpm.spl,"3k-mgv3"))</f>
        <v>gender-T-3k-mgv3</v>
      </c>
      <c r="H9" s="1">
        <v>0.57999999999999996</v>
      </c>
      <c r="I9" s="1">
        <v>0.67</v>
      </c>
      <c r="J9" s="1">
        <v>0.73</v>
      </c>
      <c r="K9" s="1">
        <v>0.68</v>
      </c>
      <c r="L9" s="1">
        <v>0.72</v>
      </c>
      <c r="M9" s="1">
        <v>0.65</v>
      </c>
      <c r="N9" s="1">
        <v>0.71</v>
      </c>
      <c r="O9" s="1">
        <v>0.69</v>
      </c>
      <c r="P9" s="1">
        <v>0.71</v>
      </c>
      <c r="Q9" s="1">
        <v>0.66</v>
      </c>
      <c r="R9" s="1">
        <v>0.69</v>
      </c>
      <c r="S9" s="1">
        <v>0.67</v>
      </c>
      <c r="T9" s="1">
        <f t="shared" si="0"/>
        <v>0.73</v>
      </c>
      <c r="U9" s="1">
        <f t="shared" si="1"/>
        <v>0.67886669568613556</v>
      </c>
    </row>
    <row r="10" spans="1:21" ht="27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18</v>
      </c>
      <c r="G10" t="str">
        <f>_xlfn.LET(_xlpm.attr,Table8[[#This Row],[attribute]],_xlpm.spl,LEFT(Table8[[#This Row],[supplemented]],1),_xlfn.TEXTJOIN("-",TRUE,_xlpm.attr,_xlpm.spl,"3k-mgv3"))</f>
        <v>gender-T-3k-mgv3</v>
      </c>
      <c r="H10" s="1">
        <v>0.66</v>
      </c>
      <c r="I10" s="1">
        <v>0.66</v>
      </c>
      <c r="J10" s="1">
        <v>0.69</v>
      </c>
      <c r="K10" s="1">
        <v>0.72</v>
      </c>
      <c r="L10" s="1">
        <v>0.71</v>
      </c>
      <c r="M10" s="1">
        <v>0.65</v>
      </c>
      <c r="N10" s="1">
        <v>0.67</v>
      </c>
      <c r="O10" s="1">
        <v>0.69</v>
      </c>
      <c r="P10" s="1">
        <v>0.68</v>
      </c>
      <c r="Q10" s="1">
        <v>0.65</v>
      </c>
      <c r="R10" s="1">
        <v>0.71</v>
      </c>
      <c r="S10" s="1">
        <v>0.68</v>
      </c>
      <c r="T10" s="1">
        <f t="shared" si="0"/>
        <v>0.72</v>
      </c>
      <c r="U10" s="1">
        <f t="shared" si="1"/>
        <v>0.68044999567535114</v>
      </c>
    </row>
    <row r="11" spans="1:21" ht="27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t="str">
        <f>_xlfn.LET(_xlpm.attr,Table8[[#This Row],[attribute]],_xlpm.spl,LEFT(Table8[[#This Row],[supplemented]],1),_xlfn.TEXTJOIN("-",TRUE,_xlpm.attr,_xlpm.spl,"3k-mgv3"))</f>
        <v>gender-F-3k-mgv3</v>
      </c>
      <c r="H11" s="1">
        <v>0.51</v>
      </c>
      <c r="I11" s="1">
        <v>0.57999999999999996</v>
      </c>
      <c r="J11" s="1">
        <v>0.55000000000000004</v>
      </c>
      <c r="K11" s="1">
        <v>0.55000000000000004</v>
      </c>
      <c r="L11" s="1">
        <v>0.55000000000000004</v>
      </c>
      <c r="M11" s="1">
        <v>0.5</v>
      </c>
      <c r="N11" s="1">
        <v>0.62</v>
      </c>
      <c r="O11" s="1">
        <v>0.54</v>
      </c>
      <c r="P11" s="1">
        <v>0.54</v>
      </c>
      <c r="Q11" s="1">
        <v>0.54</v>
      </c>
      <c r="R11" s="1">
        <v>0.52</v>
      </c>
      <c r="S11" s="1">
        <v>0.5</v>
      </c>
      <c r="T11" s="1">
        <f t="shared" si="0"/>
        <v>0.62</v>
      </c>
      <c r="U11" s="1">
        <f t="shared" si="1"/>
        <v>0.54071308565782428</v>
      </c>
    </row>
    <row r="12" spans="1:21" ht="27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19</v>
      </c>
      <c r="G12" t="str">
        <f>_xlfn.LET(_xlpm.attr,Table8[[#This Row],[attribute]],_xlpm.spl,LEFT(Table8[[#This Row],[supplemented]],1),_xlfn.TEXTJOIN("-",TRUE,_xlpm.attr,_xlpm.spl,"3k-mgv3"))</f>
        <v>gender-F-3k-mgv3</v>
      </c>
      <c r="H12" s="1">
        <v>0.61</v>
      </c>
      <c r="I12" s="1">
        <v>0.63</v>
      </c>
      <c r="J12" s="1">
        <v>0.68</v>
      </c>
      <c r="K12" s="1">
        <v>0.63</v>
      </c>
      <c r="L12" s="1">
        <v>0.68</v>
      </c>
      <c r="M12" s="1">
        <v>0.61</v>
      </c>
      <c r="N12" s="1">
        <v>0.68</v>
      </c>
      <c r="O12" s="1">
        <v>0.68</v>
      </c>
      <c r="P12" s="1">
        <v>0.7</v>
      </c>
      <c r="Q12" s="1">
        <v>0.66</v>
      </c>
      <c r="R12" s="1">
        <v>0.62</v>
      </c>
      <c r="S12" s="1">
        <v>0.62</v>
      </c>
      <c r="T12" s="1">
        <f t="shared" si="0"/>
        <v>0.7</v>
      </c>
      <c r="U12" s="1">
        <f t="shared" si="1"/>
        <v>0.64923234417926035</v>
      </c>
    </row>
    <row r="13" spans="1:21" ht="27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18</v>
      </c>
      <c r="G13" t="str">
        <f>_xlfn.LET(_xlpm.attr,Table8[[#This Row],[attribute]],_xlpm.spl,LEFT(Table8[[#This Row],[supplemented]],1),_xlfn.TEXTJOIN("-",TRUE,_xlpm.attr,_xlpm.spl,"3k-mgv3"))</f>
        <v>gender-F-3k-mgv3</v>
      </c>
      <c r="H13" s="1">
        <v>0.6</v>
      </c>
      <c r="I13" s="1">
        <v>0.69</v>
      </c>
      <c r="J13" s="1">
        <v>0.69</v>
      </c>
      <c r="K13" s="1">
        <v>0.7</v>
      </c>
      <c r="L13" s="1">
        <v>0.7</v>
      </c>
      <c r="M13" s="1">
        <v>0.7</v>
      </c>
      <c r="N13" s="1">
        <v>0.64</v>
      </c>
      <c r="O13" s="1">
        <v>0.65</v>
      </c>
      <c r="P13" s="1">
        <v>0.68</v>
      </c>
      <c r="Q13" s="1">
        <v>0.7</v>
      </c>
      <c r="R13" s="1">
        <v>0.68</v>
      </c>
      <c r="S13" s="1">
        <v>0.69</v>
      </c>
      <c r="T13" s="1">
        <f t="shared" si="0"/>
        <v>0.7</v>
      </c>
      <c r="U13" s="1">
        <f t="shared" si="1"/>
        <v>0.67597943927874526</v>
      </c>
    </row>
    <row r="14" spans="1:21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t="str">
        <f>_xlfn.LET(_xlpm.attr,Table8[[#This Row],[attribute]],_xlpm.spl,LEFT(Table8[[#This Row],[supplemented]],1),_xlfn.TEXTJOIN("-",TRUE,_xlpm.attr,_xlpm.spl,"3k-mgv3"))</f>
        <v>case-T-3k-mgv3</v>
      </c>
      <c r="H14" s="1">
        <v>0.48</v>
      </c>
      <c r="I14" s="1">
        <v>0.35</v>
      </c>
      <c r="J14" s="1">
        <v>0.5</v>
      </c>
      <c r="K14" s="1">
        <v>0.43</v>
      </c>
      <c r="L14" s="1">
        <v>0.46</v>
      </c>
      <c r="M14" s="1">
        <v>0.33</v>
      </c>
      <c r="N14" s="1">
        <v>0.53</v>
      </c>
      <c r="O14" s="1">
        <v>0.56999999999999995</v>
      </c>
      <c r="P14" s="1">
        <v>0.46</v>
      </c>
      <c r="Q14" s="1">
        <v>0.38</v>
      </c>
      <c r="R14" s="1">
        <v>0.48</v>
      </c>
      <c r="S14" s="1">
        <v>0.35</v>
      </c>
      <c r="T14" s="1">
        <f t="shared" si="0"/>
        <v>0.56999999999999995</v>
      </c>
      <c r="U14" s="1">
        <f t="shared" si="1"/>
        <v>0.43710430017348439</v>
      </c>
    </row>
    <row r="15" spans="1:21" ht="27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G15" t="str">
        <f>_xlfn.LET(_xlpm.attr,Table8[[#This Row],[attribute]],_xlpm.spl,LEFT(Table8[[#This Row],[supplemented]],1),_xlfn.TEXTJOIN("-",TRUE,_xlpm.attr,_xlpm.spl,"3k-mgv3"))</f>
        <v>case-T-3k-mgv3</v>
      </c>
      <c r="H15" s="1">
        <v>0.56999999999999995</v>
      </c>
      <c r="I15" s="1">
        <v>0.55000000000000004</v>
      </c>
      <c r="J15" s="1">
        <v>0.51</v>
      </c>
      <c r="K15" s="1">
        <v>0.46</v>
      </c>
      <c r="L15" s="1">
        <v>0.54</v>
      </c>
      <c r="M15" s="1">
        <v>0.5</v>
      </c>
      <c r="N15" s="1">
        <v>0.56000000000000005</v>
      </c>
      <c r="O15" s="1">
        <v>0.61</v>
      </c>
      <c r="P15" s="1">
        <v>0.56000000000000005</v>
      </c>
      <c r="Q15" s="1">
        <v>0.51</v>
      </c>
      <c r="R15" s="1">
        <v>0.52</v>
      </c>
      <c r="S15" s="1">
        <v>0.54</v>
      </c>
      <c r="T15" s="1">
        <f t="shared" si="0"/>
        <v>0.61</v>
      </c>
      <c r="U15" s="1">
        <f t="shared" si="1"/>
        <v>0.5345235865860315</v>
      </c>
    </row>
    <row r="16" spans="1:21" ht="27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G16" t="str">
        <f>_xlfn.LET(_xlpm.attr,Table8[[#This Row],[attribute]],_xlpm.spl,LEFT(Table8[[#This Row],[supplemented]],1),_xlfn.TEXTJOIN("-",TRUE,_xlpm.attr,_xlpm.spl,"3k-mgv3"))</f>
        <v>case-T-3k-mgv3</v>
      </c>
      <c r="H16" s="1">
        <v>0.52</v>
      </c>
      <c r="I16" s="1">
        <v>0.47</v>
      </c>
      <c r="J16" s="1">
        <v>0.51</v>
      </c>
      <c r="K16" s="1">
        <v>0.4</v>
      </c>
      <c r="L16" s="1">
        <v>0.44</v>
      </c>
      <c r="M16" s="1">
        <v>0.39</v>
      </c>
      <c r="N16" s="1">
        <v>0.49</v>
      </c>
      <c r="O16" s="1">
        <v>0.5</v>
      </c>
      <c r="P16" s="1">
        <v>0.54</v>
      </c>
      <c r="Q16" s="1">
        <v>0.43</v>
      </c>
      <c r="R16" s="1">
        <v>0.45</v>
      </c>
      <c r="S16" s="1">
        <v>0.4</v>
      </c>
      <c r="T16" s="1">
        <f t="shared" si="0"/>
        <v>0.54</v>
      </c>
      <c r="U16" s="1">
        <f t="shared" si="1"/>
        <v>0.45907022059215258</v>
      </c>
    </row>
    <row r="17" spans="1:21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t="str">
        <f>_xlfn.LET(_xlpm.attr,Table8[[#This Row],[attribute]],_xlpm.spl,LEFT(Table8[[#This Row],[supplemented]],1),_xlfn.TEXTJOIN("-",TRUE,_xlpm.attr,_xlpm.spl,"3k-mgv3"))</f>
        <v>case-F-3k-mgv3</v>
      </c>
      <c r="H17" s="1">
        <v>0.4</v>
      </c>
      <c r="I17" s="1">
        <v>0.43</v>
      </c>
      <c r="J17" s="1">
        <v>0.38</v>
      </c>
      <c r="K17" s="1">
        <v>0.34</v>
      </c>
      <c r="L17" s="1">
        <v>0.38</v>
      </c>
      <c r="M17" s="1">
        <v>0.35</v>
      </c>
      <c r="N17" s="1">
        <v>0.37</v>
      </c>
      <c r="O17" s="1">
        <v>0.42</v>
      </c>
      <c r="P17" s="1">
        <v>0.39</v>
      </c>
      <c r="Q17" s="1">
        <v>0.37</v>
      </c>
      <c r="R17" s="1">
        <v>0.4</v>
      </c>
      <c r="S17" s="1">
        <v>0.36</v>
      </c>
      <c r="T17" s="1">
        <f t="shared" si="0"/>
        <v>0.43</v>
      </c>
      <c r="U17" s="1">
        <f t="shared" si="1"/>
        <v>0.38163090444926123</v>
      </c>
    </row>
    <row r="18" spans="1:21" ht="27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G18" t="str">
        <f>_xlfn.LET(_xlpm.attr,Table8[[#This Row],[attribute]],_xlpm.spl,LEFT(Table8[[#This Row],[supplemented]],1),_xlfn.TEXTJOIN("-",TRUE,_xlpm.attr,_xlpm.spl,"3k-mgv3"))</f>
        <v>case-F-3k-mgv3</v>
      </c>
      <c r="H18" s="1">
        <v>0.48</v>
      </c>
      <c r="I18" s="1">
        <v>0.47</v>
      </c>
      <c r="J18" s="1">
        <v>0.44</v>
      </c>
      <c r="K18" s="1">
        <v>0.39</v>
      </c>
      <c r="L18" s="1">
        <v>0.48</v>
      </c>
      <c r="M18" s="1">
        <v>0.44</v>
      </c>
      <c r="N18" s="1">
        <v>0.39</v>
      </c>
      <c r="O18" s="1">
        <v>0.48</v>
      </c>
      <c r="P18" s="1">
        <v>0.43</v>
      </c>
      <c r="Q18" s="1">
        <v>0.41</v>
      </c>
      <c r="R18" s="1">
        <v>0.47</v>
      </c>
      <c r="S18" s="1">
        <v>0.46</v>
      </c>
      <c r="T18" s="1">
        <f t="shared" si="0"/>
        <v>0.48</v>
      </c>
      <c r="U18" s="1">
        <f t="shared" si="1"/>
        <v>0.44377586404129504</v>
      </c>
    </row>
    <row r="19" spans="1:21" ht="27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t="str">
        <f>_xlfn.LET(_xlpm.attr,Table8[[#This Row],[attribute]],_xlpm.spl,LEFT(Table8[[#This Row],[supplemented]],1),_xlfn.TEXTJOIN("-",TRUE,_xlpm.attr,_xlpm.spl,"3k-mgv3"))</f>
        <v>case-F-3k-mgv3</v>
      </c>
      <c r="H19" s="1">
        <v>0.39</v>
      </c>
      <c r="I19" s="1">
        <v>0.41</v>
      </c>
      <c r="J19" s="1">
        <v>0.41</v>
      </c>
      <c r="K19" s="1">
        <v>0.39</v>
      </c>
      <c r="L19" s="1">
        <v>0.41</v>
      </c>
      <c r="M19" s="1">
        <v>0.37</v>
      </c>
      <c r="N19" s="1">
        <v>0.37</v>
      </c>
      <c r="O19" s="1">
        <v>0.38</v>
      </c>
      <c r="P19" s="1">
        <v>0.4</v>
      </c>
      <c r="Q19" s="1">
        <v>0.41</v>
      </c>
      <c r="R19" s="1">
        <v>0.43</v>
      </c>
      <c r="S19" s="1">
        <v>0.35</v>
      </c>
      <c r="T19" s="1">
        <f t="shared" si="0"/>
        <v>0.43</v>
      </c>
      <c r="U19" s="1">
        <f t="shared" si="1"/>
        <v>0.39272391459746486</v>
      </c>
    </row>
    <row r="22" spans="1:21" ht="27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50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1" ht="27" customHeight="1">
      <c r="B23" s="6">
        <v>1</v>
      </c>
      <c r="C23" t="s">
        <v>17</v>
      </c>
      <c r="D23" t="b">
        <v>0</v>
      </c>
      <c r="E23">
        <v>0</v>
      </c>
      <c r="F23" t="s">
        <v>23</v>
      </c>
      <c r="G23" t="str">
        <f>_xlfn.LET(_xlpm.attr,Table9[[#This Row],[attribute]],_xlpm.spl,LEFT(Table9[[#This Row],[supplemented]],1),_xlfn.TEXTJOIN("-",TRUE,_xlpm.attr,_xlpm.spl,"3k-mgv3"))</f>
        <v>plurality-F-3k-mgv3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0.82</v>
      </c>
      <c r="J23" s="1" cm="1">
        <f t="array" ref="J23">_xlfn.LET(_xlpm.d,J$2:J$19,_xlpm.a,$C$2:$C$19=$C23,_xlpm.b,$D$2:$D$19=$D23,MAX(_xlfn._xlws.FILTER(_xlpm.d,_xlpm.a*_xlpm.b)))</f>
        <v>0.82</v>
      </c>
      <c r="K23" s="1" cm="1">
        <f t="array" ref="K23">_xlfn.LET(_xlpm.d,K$2:K$19,_xlpm.a,$C$2:$C$19=$C23,_xlpm.b,$D$2:$D$19=$D23,MAX(_xlfn._xlws.FILTER(_xlpm.d,_xlpm.a*_xlpm.b)))</f>
        <v>0.87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0.79</v>
      </c>
      <c r="N23" s="1" cm="1">
        <f t="array" ref="N23">_xlfn.LET(_xlpm.d,N$2:N$19,_xlpm.a,$C$2:$C$19=$C23,_xlpm.b,$D$2:$D$19=$D23,MAX(_xlfn._xlws.FILTER(_xlpm.d,_xlpm.a*_xlpm.b)))</f>
        <v>0.81</v>
      </c>
      <c r="O23" s="1" cm="1">
        <f t="array" ref="O23">_xlfn.LET(_xlpm.d,O$2:O$19,_xlpm.a,$C$2:$C$19=$C23,_xlpm.b,$D$2:$D$19=$D23,MAX(_xlfn._xlws.FILTER(_xlpm.d,_xlpm.a*_xlpm.b)))</f>
        <v>0.85</v>
      </c>
      <c r="P23" s="1" cm="1">
        <f t="array" ref="P23">_xlfn.LET(_xlpm.d,P$2:P$19,_xlpm.a,$C$2:$C$19=$C23,_xlpm.b,$D$2:$D$19=$D23,MAX(_xlfn._xlws.FILTER(_xlpm.d,_xlpm.a*_xlpm.b)))</f>
        <v>0.81</v>
      </c>
      <c r="Q23" s="1" cm="1">
        <f t="array" ref="Q23">_xlfn.LET(_xlpm.d,Q$2:Q$19,_xlpm.a,$C$2:$C$19=$C23,_xlpm.b,$D$2:$D$19=$D23,MAX(_xlfn._xlws.FILTER(_xlpm.d,_xlpm.a*_xlpm.b)))</f>
        <v>0.83</v>
      </c>
      <c r="R23" s="1" cm="1">
        <f t="array" ref="R23">_xlfn.LET(_xlpm.d,R$2:R$19,_xlpm.a,$C$2:$C$19=$C23,_xlpm.b,$D$2:$D$19=$D23,MAX(_xlfn._xlws.FILTER(_xlpm.d,_xlpm.a*_xlpm.b)))</f>
        <v>0.83</v>
      </c>
      <c r="S23" s="1" cm="1">
        <f t="array" ref="S23">_xlfn.LET(_xlpm.d,S$2:S$19,_xlpm.a,$C$2:$C$19=$C23,_xlpm.b,$D$2:$D$19=$D23,MAX(_xlfn._xlws.FILTER(_xlpm.d,_xlpm.a*_xlpm.b)))</f>
        <v>0.82</v>
      </c>
      <c r="T23" s="1" cm="1">
        <f t="array" ref="T23">_xlfn.LET(_xlpm.d,T$2:T$19,_xlpm.a,$C$2:$C$19=$C23,_xlpm.b,$D$2:$D$19=$D23,MAX(_xlfn._xlws.FILTER(_xlpm.d,_xlpm.a*_xlpm.b)))</f>
        <v>0.87</v>
      </c>
    </row>
    <row r="24" spans="1:21" ht="27" customHeight="1">
      <c r="B24" s="6">
        <v>1</v>
      </c>
      <c r="C24" t="s">
        <v>17</v>
      </c>
      <c r="D24" t="b">
        <v>1</v>
      </c>
      <c r="E24">
        <v>0</v>
      </c>
      <c r="F24" t="s">
        <v>23</v>
      </c>
      <c r="G24" t="str">
        <f>_xlfn.LET(_xlpm.attr,Table9[[#This Row],[attribute]],_xlpm.spl,LEFT(Table9[[#This Row],[supplemented]],1),_xlfn.TEXTJOIN("-",TRUE,_xlpm.attr,_xlpm.spl,"3k-mgv3"))</f>
        <v>plurality-T-3k-mgv3</v>
      </c>
      <c r="H24" s="1" cm="1">
        <f t="array" ref="H24">_xlfn.LET(_xlpm.d,H$2:H$19,_xlpm.a,$C$2:$C$19=$C24,_xlpm.b,$D$2:$D$19=$D24,MAX(_xlfn._xlws.FILTER(_xlpm.d,_xlpm.a*_xlpm.b)))</f>
        <v>0.89</v>
      </c>
      <c r="I24" s="1" cm="1">
        <f t="array" ref="I24">_xlfn.LET(_xlpm.d,I$2:I$19,_xlpm.a,$C$2:$C$19=$C24,_xlpm.b,$D$2:$D$19=$D24,MAX(_xlfn._xlws.FILTER(_xlpm.d,_xlpm.a*_xlpm.b)))</f>
        <v>0.87</v>
      </c>
      <c r="J24" s="1" cm="1">
        <f t="array" ref="J24">_xlfn.LET(_xlpm.d,J$2:J$19,_xlpm.a,$C$2:$C$19=$C24,_xlpm.b,$D$2:$D$19=$D24,MAX(_xlfn._xlws.FILTER(_xlpm.d,_xlpm.a*_xlpm.b)))</f>
        <v>0.87</v>
      </c>
      <c r="K24" s="1" cm="1">
        <f t="array" ref="K24">_xlfn.LET(_xlpm.d,K$2:K$19,_xlpm.a,$C$2:$C$19=$C24,_xlpm.b,$D$2:$D$19=$D24,MAX(_xlfn._xlws.FILTER(_xlpm.d,_xlpm.a*_xlpm.b)))</f>
        <v>0.89</v>
      </c>
      <c r="L24" s="1" cm="1">
        <f t="array" ref="L24">_xlfn.LET(_xlpm.d,L$2:L$19,_xlpm.a,$C$2:$C$19=$C24,_xlpm.b,$D$2:$D$19=$D24,MAX(_xlfn._xlws.FILTER(_xlpm.d,_xlpm.a*_xlpm.b)))</f>
        <v>0.87</v>
      </c>
      <c r="M24" s="1" cm="1">
        <f t="array" ref="M24">_xlfn.LET(_xlpm.d,M$2:M$19,_xlpm.a,$C$2:$C$19=$C24,_xlpm.b,$D$2:$D$19=$D24,MAX(_xlfn._xlws.FILTER(_xlpm.d,_xlpm.a*_xlpm.b)))</f>
        <v>0.83</v>
      </c>
      <c r="N24" s="1" cm="1">
        <f t="array" ref="N24">_xlfn.LET(_xlpm.d,N$2:N$19,_xlpm.a,$C$2:$C$19=$C24,_xlpm.b,$D$2:$D$19=$D24,MAX(_xlfn._xlws.FILTER(_xlpm.d,_xlpm.a*_xlpm.b)))</f>
        <v>0.89</v>
      </c>
      <c r="O24" s="1" cm="1">
        <f t="array" ref="O24">_xlfn.LET(_xlpm.d,O$2:O$19,_xlpm.a,$C$2:$C$19=$C24,_xlpm.b,$D$2:$D$19=$D24,MAX(_xlfn._xlws.FILTER(_xlpm.d,_xlpm.a*_xlpm.b)))</f>
        <v>0.89</v>
      </c>
      <c r="P24" s="1" cm="1">
        <f t="array" ref="P24">_xlfn.LET(_xlpm.d,P$2:P$19,_xlpm.a,$C$2:$C$19=$C24,_xlpm.b,$D$2:$D$19=$D24,MAX(_xlfn._xlws.FILTER(_xlpm.d,_xlpm.a*_xlpm.b)))</f>
        <v>0.87</v>
      </c>
      <c r="Q24" s="1" cm="1">
        <f t="array" ref="Q24">_xlfn.LET(_xlpm.d,Q$2:Q$19,_xlpm.a,$C$2:$C$19=$C24,_xlpm.b,$D$2:$D$19=$D24,MAX(_xlfn._xlws.FILTER(_xlpm.d,_xlpm.a*_xlpm.b)))</f>
        <v>0.88</v>
      </c>
      <c r="R24" s="1" cm="1">
        <f t="array" ref="R24">_xlfn.LET(_xlpm.d,R$2:R$19,_xlpm.a,$C$2:$C$19=$C24,_xlpm.b,$D$2:$D$19=$D24,MAX(_xlfn._xlws.FILTER(_xlpm.d,_xlpm.a*_xlpm.b)))</f>
        <v>0.86</v>
      </c>
      <c r="S24" s="1" cm="1">
        <f t="array" ref="S24">_xlfn.LET(_xlpm.d,S$2:S$19,_xlpm.a,$C$2:$C$19=$C24,_xlpm.b,$D$2:$D$19=$D24,MAX(_xlfn._xlws.FILTER(_xlpm.d,_xlpm.a*_xlpm.b)))</f>
        <v>0.86</v>
      </c>
      <c r="T24" s="1" cm="1">
        <f t="array" ref="T24">_xlfn.LET(_xlpm.d,T$2:T$19,_xlpm.a,$C$2:$C$19=$C24,_xlpm.b,$D$2:$D$19=$D24,MAX(_xlfn._xlws.FILTER(_xlpm.d,_xlpm.a*_xlpm.b)))</f>
        <v>0.89</v>
      </c>
    </row>
    <row r="25" spans="1:21" ht="27" customHeight="1">
      <c r="B25" s="6">
        <v>2</v>
      </c>
      <c r="C25" t="s">
        <v>21</v>
      </c>
      <c r="D25" t="b">
        <v>0</v>
      </c>
      <c r="E25">
        <v>0</v>
      </c>
      <c r="F25" t="s">
        <v>23</v>
      </c>
      <c r="G25" t="str">
        <f>_xlfn.LET(_xlpm.attr,Table9[[#This Row],[attribute]],_xlpm.spl,LEFT(Table9[[#This Row],[supplemented]],1),_xlfn.TEXTJOIN("-",TRUE,_xlpm.attr,_xlpm.spl,"3k-mgv3"))</f>
        <v>gender-F-3k-mgv3</v>
      </c>
      <c r="H25" s="1" cm="1">
        <f t="array" ref="H25">_xlfn.LET(_xlpm.d,H$2:H$19,_xlpm.a,$C$2:$C$19=$C25,_xlpm.b,$D$2:$D$19=$D25,MAX(_xlfn._xlws.FILTER(_xlpm.d,_xlpm.a*_xlpm.b)))</f>
        <v>0.61</v>
      </c>
      <c r="I25" s="1" cm="1">
        <f t="array" ref="I25">_xlfn.LET(_xlpm.d,I$2:I$19,_xlpm.a,$C$2:$C$19=$C25,_xlpm.b,$D$2:$D$19=$D25,MAX(_xlfn._xlws.FILTER(_xlpm.d,_xlpm.a*_xlpm.b)))</f>
        <v>0.69</v>
      </c>
      <c r="J25" s="1" cm="1">
        <f t="array" ref="J25">_xlfn.LET(_xlpm.d,J$2:J$19,_xlpm.a,$C$2:$C$19=$C25,_xlpm.b,$D$2:$D$19=$D25,MAX(_xlfn._xlws.FILTER(_xlpm.d,_xlpm.a*_xlpm.b)))</f>
        <v>0.69</v>
      </c>
      <c r="K25" s="1" cm="1">
        <f t="array" ref="K25">_xlfn.LET(_xlpm.d,K$2:K$19,_xlpm.a,$C$2:$C$19=$C25,_xlpm.b,$D$2:$D$19=$D25,MAX(_xlfn._xlws.FILTER(_xlpm.d,_xlpm.a*_xlpm.b)))</f>
        <v>0.7</v>
      </c>
      <c r="L25" s="1" cm="1">
        <f t="array" ref="L25">_xlfn.LET(_xlpm.d,L$2:L$19,_xlpm.a,$C$2:$C$19=$C25,_xlpm.b,$D$2:$D$19=$D25,MAX(_xlfn._xlws.FILTER(_xlpm.d,_xlpm.a*_xlpm.b)))</f>
        <v>0.7</v>
      </c>
      <c r="M25" s="1" cm="1">
        <f t="array" ref="M25">_xlfn.LET(_xlpm.d,M$2:M$19,_xlpm.a,$C$2:$C$19=$C25,_xlpm.b,$D$2:$D$19=$D25,MAX(_xlfn._xlws.FILTER(_xlpm.d,_xlpm.a*_xlpm.b)))</f>
        <v>0.7</v>
      </c>
      <c r="N25" s="1" cm="1">
        <f t="array" ref="N25">_xlfn.LET(_xlpm.d,N$2:N$19,_xlpm.a,$C$2:$C$19=$C25,_xlpm.b,$D$2:$D$19=$D25,MAX(_xlfn._xlws.FILTER(_xlpm.d,_xlpm.a*_xlpm.b)))</f>
        <v>0.68</v>
      </c>
      <c r="O25" s="1" cm="1">
        <f t="array" ref="O25">_xlfn.LET(_xlpm.d,O$2:O$19,_xlpm.a,$C$2:$C$19=$C25,_xlpm.b,$D$2:$D$19=$D25,MAX(_xlfn._xlws.FILTER(_xlpm.d,_xlpm.a*_xlpm.b)))</f>
        <v>0.68</v>
      </c>
      <c r="P25" s="1" cm="1">
        <f t="array" ref="P25">_xlfn.LET(_xlpm.d,P$2:P$19,_xlpm.a,$C$2:$C$19=$C25,_xlpm.b,$D$2:$D$19=$D25,MAX(_xlfn._xlws.FILTER(_xlpm.d,_xlpm.a*_xlpm.b)))</f>
        <v>0.7</v>
      </c>
      <c r="Q25" s="1" cm="1">
        <f t="array" ref="Q25">_xlfn.LET(_xlpm.d,Q$2:Q$19,_xlpm.a,$C$2:$C$19=$C25,_xlpm.b,$D$2:$D$19=$D25,MAX(_xlfn._xlws.FILTER(_xlpm.d,_xlpm.a*_xlpm.b)))</f>
        <v>0.7</v>
      </c>
      <c r="R25" s="1" cm="1">
        <f t="array" ref="R25">_xlfn.LET(_xlpm.d,R$2:R$19,_xlpm.a,$C$2:$C$19=$C25,_xlpm.b,$D$2:$D$19=$D25,MAX(_xlfn._xlws.FILTER(_xlpm.d,_xlpm.a*_xlpm.b)))</f>
        <v>0.68</v>
      </c>
      <c r="S25" s="1" cm="1">
        <f t="array" ref="S25">_xlfn.LET(_xlpm.d,S$2:S$19,_xlpm.a,$C$2:$C$19=$C25,_xlpm.b,$D$2:$D$19=$D25,MAX(_xlfn._xlws.FILTER(_xlpm.d,_xlpm.a*_xlpm.b)))</f>
        <v>0.69</v>
      </c>
      <c r="T25" s="1" cm="1">
        <f t="array" ref="T25">_xlfn.LET(_xlpm.d,T$2:T$19,_xlpm.a,$C$2:$C$19=$C25,_xlpm.b,$D$2:$D$19=$D25,MAX(_xlfn._xlws.FILTER(_xlpm.d,_xlpm.a*_xlpm.b)))</f>
        <v>0.7</v>
      </c>
    </row>
    <row r="26" spans="1:21" ht="27" customHeight="1">
      <c r="B26" s="6">
        <v>2</v>
      </c>
      <c r="C26" t="s">
        <v>21</v>
      </c>
      <c r="D26" t="b">
        <v>1</v>
      </c>
      <c r="E26">
        <v>0</v>
      </c>
      <c r="F26" t="s">
        <v>23</v>
      </c>
      <c r="G26" t="str">
        <f>_xlfn.LET(_xlpm.attr,Table9[[#This Row],[attribute]],_xlpm.spl,LEFT(Table9[[#This Row],[supplemented]],1),_xlfn.TEXTJOIN("-",TRUE,_xlpm.attr,_xlpm.spl,"3k-mgv3"))</f>
        <v>gender-T-3k-mgv3</v>
      </c>
      <c r="H26" s="1" cm="1">
        <f t="array" ref="H26">_xlfn.LET(_xlpm.d,H$2:H$19,_xlpm.a,$C$2:$C$19=$C26,_xlpm.b,$D$2:$D$19=$D26,MAX(_xlfn._xlws.FILTER(_xlpm.d,_xlpm.a*_xlpm.b)))</f>
        <v>0.66</v>
      </c>
      <c r="I26" s="1" cm="1">
        <f t="array" ref="I26">_xlfn.LET(_xlpm.d,I$2:I$19,_xlpm.a,$C$2:$C$19=$C26,_xlpm.b,$D$2:$D$19=$D26,MAX(_xlfn._xlws.FILTER(_xlpm.d,_xlpm.a*_xlpm.b)))</f>
        <v>0.67</v>
      </c>
      <c r="J26" s="1" cm="1">
        <f t="array" ref="J26">_xlfn.LET(_xlpm.d,J$2:J$19,_xlpm.a,$C$2:$C$19=$C26,_xlpm.b,$D$2:$D$19=$D26,MAX(_xlfn._xlws.FILTER(_xlpm.d,_xlpm.a*_xlpm.b)))</f>
        <v>0.73</v>
      </c>
      <c r="K26" s="1" cm="1">
        <f t="array" ref="K26">_xlfn.LET(_xlpm.d,K$2:K$19,_xlpm.a,$C$2:$C$19=$C26,_xlpm.b,$D$2:$D$19=$D26,MAX(_xlfn._xlws.FILTER(_xlpm.d,_xlpm.a*_xlpm.b)))</f>
        <v>0.72</v>
      </c>
      <c r="L26" s="1" cm="1">
        <f t="array" ref="L26">_xlfn.LET(_xlpm.d,L$2:L$19,_xlpm.a,$C$2:$C$19=$C26,_xlpm.b,$D$2:$D$19=$D26,MAX(_xlfn._xlws.FILTER(_xlpm.d,_xlpm.a*_xlpm.b)))</f>
        <v>0.72</v>
      </c>
      <c r="M26" s="1" cm="1">
        <f t="array" ref="M26">_xlfn.LET(_xlpm.d,M$2:M$19,_xlpm.a,$C$2:$C$19=$C26,_xlpm.b,$D$2:$D$19=$D26,MAX(_xlfn._xlws.FILTER(_xlpm.d,_xlpm.a*_xlpm.b)))</f>
        <v>0.65</v>
      </c>
      <c r="N26" s="1" cm="1">
        <f t="array" ref="N26">_xlfn.LET(_xlpm.d,N$2:N$19,_xlpm.a,$C$2:$C$19=$C26,_xlpm.b,$D$2:$D$19=$D26,MAX(_xlfn._xlws.FILTER(_xlpm.d,_xlpm.a*_xlpm.b)))</f>
        <v>0.71</v>
      </c>
      <c r="O26" s="1" cm="1">
        <f t="array" ref="O26">_xlfn.LET(_xlpm.d,O$2:O$19,_xlpm.a,$C$2:$C$19=$C26,_xlpm.b,$D$2:$D$19=$D26,MAX(_xlfn._xlws.FILTER(_xlpm.d,_xlpm.a*_xlpm.b)))</f>
        <v>0.69</v>
      </c>
      <c r="P26" s="1" cm="1">
        <f t="array" ref="P26">_xlfn.LET(_xlpm.d,P$2:P$19,_xlpm.a,$C$2:$C$19=$C26,_xlpm.b,$D$2:$D$19=$D26,MAX(_xlfn._xlws.FILTER(_xlpm.d,_xlpm.a*_xlpm.b)))</f>
        <v>0.71</v>
      </c>
      <c r="Q26" s="1" cm="1">
        <f t="array" ref="Q26">_xlfn.LET(_xlpm.d,Q$2:Q$19,_xlpm.a,$C$2:$C$19=$C26,_xlpm.b,$D$2:$D$19=$D26,MAX(_xlfn._xlws.FILTER(_xlpm.d,_xlpm.a*_xlpm.b)))</f>
        <v>0.66</v>
      </c>
      <c r="R26" s="1" cm="1">
        <f t="array" ref="R26">_xlfn.LET(_xlpm.d,R$2:R$19,_xlpm.a,$C$2:$C$19=$C26,_xlpm.b,$D$2:$D$19=$D26,MAX(_xlfn._xlws.FILTER(_xlpm.d,_xlpm.a*_xlpm.b)))</f>
        <v>0.71</v>
      </c>
      <c r="S26" s="1" cm="1">
        <f t="array" ref="S26">_xlfn.LET(_xlpm.d,S$2:S$19,_xlpm.a,$C$2:$C$19=$C26,_xlpm.b,$D$2:$D$19=$D26,MAX(_xlfn._xlws.FILTER(_xlpm.d,_xlpm.a*_xlpm.b)))</f>
        <v>0.68</v>
      </c>
      <c r="T26" s="1" cm="1">
        <f t="array" ref="T26">_xlfn.LET(_xlpm.d,T$2:T$19,_xlpm.a,$C$2:$C$19=$C26,_xlpm.b,$D$2:$D$19=$D26,MAX(_xlfn._xlws.FILTER(_xlpm.d,_xlpm.a*_xlpm.b)))</f>
        <v>0.73</v>
      </c>
    </row>
    <row r="27" spans="1:21" ht="27" customHeight="1">
      <c r="B27" s="6">
        <v>3</v>
      </c>
      <c r="C27" t="s">
        <v>22</v>
      </c>
      <c r="D27" t="b">
        <v>0</v>
      </c>
      <c r="E27">
        <v>0</v>
      </c>
      <c r="F27" t="s">
        <v>23</v>
      </c>
      <c r="G27" t="str">
        <f>_xlfn.LET(_xlpm.attr,Table9[[#This Row],[attribute]],_xlpm.spl,LEFT(Table9[[#This Row],[supplemented]],1),_xlfn.TEXTJOIN("-",TRUE,_xlpm.attr,_xlpm.spl,"3k-mgv3"))</f>
        <v>case-F-3k-mgv3</v>
      </c>
      <c r="H27" s="1" cm="1">
        <f t="array" ref="H27">_xlfn.LET(_xlpm.d,H$2:H$19,_xlpm.a,$C$2:$C$19=$C27,_xlpm.b,$D$2:$D$19=$D27,MAX(_xlfn._xlws.FILTER(_xlpm.d,_xlpm.a*_xlpm.b)))</f>
        <v>0.48</v>
      </c>
      <c r="I27" s="1" cm="1">
        <f t="array" ref="I27">_xlfn.LET(_xlpm.d,I$2:I$19,_xlpm.a,$C$2:$C$19=$C27,_xlpm.b,$D$2:$D$19=$D27,MAX(_xlfn._xlws.FILTER(_xlpm.d,_xlpm.a*_xlpm.b)))</f>
        <v>0.47</v>
      </c>
      <c r="J27" s="1" cm="1">
        <f t="array" ref="J27">_xlfn.LET(_xlpm.d,J$2:J$19,_xlpm.a,$C$2:$C$19=$C27,_xlpm.b,$D$2:$D$19=$D27,MAX(_xlfn._xlws.FILTER(_xlpm.d,_xlpm.a*_xlpm.b)))</f>
        <v>0.44</v>
      </c>
      <c r="K27" s="1" cm="1">
        <f t="array" ref="K27">_xlfn.LET(_xlpm.d,K$2:K$19,_xlpm.a,$C$2:$C$19=$C27,_xlpm.b,$D$2:$D$19=$D27,MAX(_xlfn._xlws.FILTER(_xlpm.d,_xlpm.a*_xlpm.b)))</f>
        <v>0.39</v>
      </c>
      <c r="L27" s="1" cm="1">
        <f t="array" ref="L27">_xlfn.LET(_xlpm.d,L$2:L$19,_xlpm.a,$C$2:$C$19=$C27,_xlpm.b,$D$2:$D$19=$D27,MAX(_xlfn._xlws.FILTER(_xlpm.d,_xlpm.a*_xlpm.b)))</f>
        <v>0.48</v>
      </c>
      <c r="M27" s="1" cm="1">
        <f t="array" ref="M27">_xlfn.LET(_xlpm.d,M$2:M$19,_xlpm.a,$C$2:$C$19=$C27,_xlpm.b,$D$2:$D$19=$D27,MAX(_xlfn._xlws.FILTER(_xlpm.d,_xlpm.a*_xlpm.b)))</f>
        <v>0.44</v>
      </c>
      <c r="N27" s="1" cm="1">
        <f t="array" ref="N27">_xlfn.LET(_xlpm.d,N$2:N$19,_xlpm.a,$C$2:$C$19=$C27,_xlpm.b,$D$2:$D$19=$D27,MAX(_xlfn._xlws.FILTER(_xlpm.d,_xlpm.a*_xlpm.b)))</f>
        <v>0.39</v>
      </c>
      <c r="O27" s="1" cm="1">
        <f t="array" ref="O27">_xlfn.LET(_xlpm.d,O$2:O$19,_xlpm.a,$C$2:$C$19=$C27,_xlpm.b,$D$2:$D$19=$D27,MAX(_xlfn._xlws.FILTER(_xlpm.d,_xlpm.a*_xlpm.b)))</f>
        <v>0.48</v>
      </c>
      <c r="P27" s="1" cm="1">
        <f t="array" ref="P27">_xlfn.LET(_xlpm.d,P$2:P$19,_xlpm.a,$C$2:$C$19=$C27,_xlpm.b,$D$2:$D$19=$D27,MAX(_xlfn._xlws.FILTER(_xlpm.d,_xlpm.a*_xlpm.b)))</f>
        <v>0.43</v>
      </c>
      <c r="Q27" s="1" cm="1">
        <f t="array" ref="Q27">_xlfn.LET(_xlpm.d,Q$2:Q$19,_xlpm.a,$C$2:$C$19=$C27,_xlpm.b,$D$2:$D$19=$D27,MAX(_xlfn._xlws.FILTER(_xlpm.d,_xlpm.a*_xlpm.b)))</f>
        <v>0.41</v>
      </c>
      <c r="R27" s="1" cm="1">
        <f t="array" ref="R27">_xlfn.LET(_xlpm.d,R$2:R$19,_xlpm.a,$C$2:$C$19=$C27,_xlpm.b,$D$2:$D$19=$D27,MAX(_xlfn._xlws.FILTER(_xlpm.d,_xlpm.a*_xlpm.b)))</f>
        <v>0.47</v>
      </c>
      <c r="S27" s="1" cm="1">
        <f t="array" ref="S27">_xlfn.LET(_xlpm.d,S$2:S$19,_xlpm.a,$C$2:$C$19=$C27,_xlpm.b,$D$2:$D$19=$D27,MAX(_xlfn._xlws.FILTER(_xlpm.d,_xlpm.a*_xlpm.b)))</f>
        <v>0.46</v>
      </c>
      <c r="T27" s="1" cm="1">
        <f t="array" ref="T27">_xlfn.LET(_xlpm.d,T$2:T$19,_xlpm.a,$C$2:$C$19=$C27,_xlpm.b,$D$2:$D$19=$D27,MAX(_xlfn._xlws.FILTER(_xlpm.d,_xlpm.a*_xlpm.b)))</f>
        <v>0.48</v>
      </c>
    </row>
    <row r="28" spans="1:21" ht="27" customHeight="1">
      <c r="B28" s="6">
        <v>3</v>
      </c>
      <c r="C28" t="s">
        <v>22</v>
      </c>
      <c r="D28" t="b">
        <v>1</v>
      </c>
      <c r="E28">
        <v>0</v>
      </c>
      <c r="F28" t="s">
        <v>23</v>
      </c>
      <c r="G28" t="str">
        <f>_xlfn.LET(_xlpm.attr,Table9[[#This Row],[attribute]],_xlpm.spl,LEFT(Table9[[#This Row],[supplemented]],1),_xlfn.TEXTJOIN("-",TRUE,_xlpm.attr,_xlpm.spl,"3k-mgv3"))</f>
        <v>case-T-3k-mgv3</v>
      </c>
      <c r="H28" s="1" cm="1">
        <f t="array" ref="H28">_xlfn.LET(_xlpm.d,H$2:H$19,_xlpm.a,$C$2:$C$19=$C28,_xlpm.b,$D$2:$D$19=$D28,MAX(_xlfn._xlws.FILTER(_xlpm.d,_xlpm.a*_xlpm.b)))</f>
        <v>0.56999999999999995</v>
      </c>
      <c r="I28" s="1" cm="1">
        <f t="array" ref="I28">_xlfn.LET(_xlpm.d,I$2:I$19,_xlpm.a,$C$2:$C$19=$C28,_xlpm.b,$D$2:$D$19=$D28,MAX(_xlfn._xlws.FILTER(_xlpm.d,_xlpm.a*_xlpm.b)))</f>
        <v>0.55000000000000004</v>
      </c>
      <c r="J28" s="1" cm="1">
        <f t="array" ref="J28">_xlfn.LET(_xlpm.d,J$2:J$19,_xlpm.a,$C$2:$C$19=$C28,_xlpm.b,$D$2:$D$19=$D28,MAX(_xlfn._xlws.FILTER(_xlpm.d,_xlpm.a*_xlpm.b)))</f>
        <v>0.51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0.54</v>
      </c>
      <c r="M28" s="1" cm="1">
        <f t="array" ref="M28">_xlfn.LET(_xlpm.d,M$2:M$19,_xlpm.a,$C$2:$C$19=$C28,_xlpm.b,$D$2:$D$19=$D28,MAX(_xlfn._xlws.FILTER(_xlpm.d,_xlpm.a*_xlpm.b)))</f>
        <v>0.5</v>
      </c>
      <c r="N28" s="1" cm="1">
        <f t="array" ref="N28">_xlfn.LET(_xlpm.d,N$2:N$19,_xlpm.a,$C$2:$C$19=$C28,_xlpm.b,$D$2:$D$19=$D28,MAX(_xlfn._xlws.FILTER(_xlpm.d,_xlpm.a*_xlpm.b)))</f>
        <v>0.56000000000000005</v>
      </c>
      <c r="O28" s="1" cm="1">
        <f t="array" ref="O28">_xlfn.LET(_xlpm.d,O$2:O$19,_xlpm.a,$C$2:$C$19=$C28,_xlpm.b,$D$2:$D$19=$D28,MAX(_xlfn._xlws.FILTER(_xlpm.d,_xlpm.a*_xlpm.b)))</f>
        <v>0.61</v>
      </c>
      <c r="P28" s="1" cm="1">
        <f t="array" ref="P28">_xlfn.LET(_xlpm.d,P$2:P$19,_xlpm.a,$C$2:$C$19=$C28,_xlpm.b,$D$2:$D$19=$D28,MAX(_xlfn._xlws.FILTER(_xlpm.d,_xlpm.a*_xlpm.b)))</f>
        <v>0.56000000000000005</v>
      </c>
      <c r="Q28" s="1" cm="1">
        <f t="array" ref="Q28">_xlfn.LET(_xlpm.d,Q$2:Q$19,_xlpm.a,$C$2:$C$19=$C28,_xlpm.b,$D$2:$D$19=$D28,MAX(_xlfn._xlws.FILTER(_xlpm.d,_xlpm.a*_xlpm.b)))</f>
        <v>0.51</v>
      </c>
      <c r="R28" s="1" cm="1">
        <f t="array" ref="R28">_xlfn.LET(_xlpm.d,R$2:R$19,_xlpm.a,$C$2:$C$19=$C28,_xlpm.b,$D$2:$D$19=$D28,MAX(_xlfn._xlws.FILTER(_xlpm.d,_xlpm.a*_xlpm.b)))</f>
        <v>0.52</v>
      </c>
      <c r="S28" s="1" cm="1">
        <f t="array" ref="S28">_xlfn.LET(_xlpm.d,S$2:S$19,_xlpm.a,$C$2:$C$19=$C28,_xlpm.b,$D$2:$D$19=$D28,MAX(_xlfn._xlws.FILTER(_xlpm.d,_xlpm.a*_xlpm.b)))</f>
        <v>0.54</v>
      </c>
      <c r="T28" s="1" cm="1">
        <f t="array" ref="T28">_xlfn.LET(_xlpm.d,T$2:T$19,_xlpm.a,$C$2:$C$19=$C28,_xlpm.b,$D$2:$D$19=$D28,MAX(_xlfn._xlws.FILTER(_xlpm.d,_xlpm.a*_xlpm.b)))</f>
        <v>0.61</v>
      </c>
    </row>
    <row r="30" spans="1:21" ht="27" customHeight="1">
      <c r="E30" t="s">
        <v>23</v>
      </c>
      <c r="F30" t="s">
        <v>29</v>
      </c>
      <c r="H30" s="5" cm="1">
        <f t="array" ref="H30">_xlfn.LET(_xlpm.d,H$23:H$28,_xlpm.c,$D$23:$D$28=TRUE,GEOMEAN(_xlfn._xlws.FILTER(_xlpm.d,_xlpm.c)))</f>
        <v>0.69438916016193308</v>
      </c>
      <c r="I30" s="5" cm="1">
        <f t="array" ref="I30">_xlfn.LET(_xlpm.d,I$23:I$28,_xlpm.c,$D$23:$D$28=TRUE,GEOMEAN(_xlfn._xlws.FILTER(_xlpm.d,_xlpm.c)))</f>
        <v>0.6844140477293057</v>
      </c>
      <c r="J30" s="5" cm="1">
        <f t="array" ref="J30">_xlfn.LET(_xlpm.d,J$23:J$28,_xlpm.c,$D$23:$D$28=TRUE,GEOMEAN(_xlfn._xlws.FILTER(_xlpm.d,_xlpm.c)))</f>
        <v>0.68675858364650044</v>
      </c>
      <c r="K30" s="5" cm="1">
        <f t="array" ref="K30">_xlfn.LET(_xlpm.d,K$23:K$28,_xlpm.c,$D$23:$D$28=TRUE,GEOMEAN(_xlfn._xlws.FILTER(_xlpm.d,_xlpm.c)))</f>
        <v>0.66551846803961823</v>
      </c>
      <c r="L30" s="5" cm="1">
        <f t="array" ref="L30">_xlfn.LET(_xlpm.d,L$23:L$28,_xlpm.c,$D$23:$D$28=TRUE,GEOMEAN(_xlfn._xlws.FILTER(_xlpm.d,_xlpm.c)))</f>
        <v>0.69675779531300341</v>
      </c>
      <c r="M30" s="5" cm="1">
        <f t="array" ref="M30">_xlfn.LET(_xlpm.d,M$23:M$28,_xlpm.c,$D$23:$D$28=TRUE,GEOMEAN(_xlfn._xlws.FILTER(_xlpm.d,_xlpm.c)))</f>
        <v>0.64613086071500281</v>
      </c>
      <c r="N30" s="5" cm="1">
        <f t="array" ref="N30">_xlfn.LET(_xlpm.d,N$23:N$28,_xlpm.c,$D$23:$D$28=TRUE,GEOMEAN(_xlfn._xlws.FILTER(_xlpm.d,_xlpm.c)))</f>
        <v>0.70731379351359647</v>
      </c>
      <c r="O30" s="5" cm="1">
        <f t="array" ref="O30">_xlfn.LET(_xlpm.d,O$23:O$28,_xlpm.c,$D$23:$D$28=TRUE,GEOMEAN(_xlfn._xlws.FILTER(_xlpm.d,_xlpm.c)))</f>
        <v>0.72086893546708075</v>
      </c>
      <c r="P30" s="5" cm="1">
        <f t="array" ref="P30">_xlfn.LET(_xlpm.d,P$23:P$28,_xlpm.c,$D$23:$D$28=TRUE,GEOMEAN(_xlfn._xlws.FILTER(_xlpm.d,_xlpm.c)))</f>
        <v>0.7019753727125585</v>
      </c>
      <c r="Q30" s="5" cm="1">
        <f t="array" ref="Q30">_xlfn.LET(_xlpm.d,Q$23:Q$28,_xlpm.c,$D$23:$D$28=TRUE,GEOMEAN(_xlfn._xlws.FILTER(_xlpm.d,_xlpm.c)))</f>
        <v>0.66660043786528111</v>
      </c>
      <c r="R30" s="5" cm="1">
        <f t="array" ref="R30">_xlfn.LET(_xlpm.d,R$23:R$28,_xlpm.c,$D$23:$D$28=TRUE,GEOMEAN(_xlfn._xlws.FILTER(_xlpm.d,_xlpm.c)))</f>
        <v>0.68221308947531367</v>
      </c>
      <c r="S30" s="5" cm="1">
        <f t="array" ref="S30">_xlfn.LET(_xlpm.d,S$23:S$28,_xlpm.c,$D$23:$D$28=TRUE,GEOMEAN(_xlfn._xlws.FILTER(_xlpm.d,_xlpm.c)))</f>
        <v>0.68097898206008867</v>
      </c>
      <c r="T30" s="5" cm="1">
        <f t="array" ref="T30">_xlfn.LET(_xlpm.d,T$23:T$28,_xlpm.c,$D$23:$D$28=TRUE,GEOMEAN(_xlfn._xlws.FILTER(_xlpm.d,_xlpm.c)))</f>
        <v>0.73453794211466461</v>
      </c>
    </row>
    <row r="31" spans="1:21" ht="27" customHeight="1">
      <c r="E31" t="s">
        <v>23</v>
      </c>
      <c r="F31" t="s">
        <v>23</v>
      </c>
      <c r="H31" s="5" cm="1">
        <f t="array" ref="H31">_xlfn.LET(_xlpm.d,H$23:H$28,_xlpm.c,$D$23:$D$28=TRUE,MAX(_xlfn._xlws.FILTER(_xlpm.d,_xlpm.c)))</f>
        <v>0.89</v>
      </c>
      <c r="I31" s="5" cm="1">
        <f t="array" ref="I31">_xlfn.LET(_xlpm.d,I$23:I$28,_xlpm.c,$D$23:$D$28=TRUE,MAX(_xlfn._xlws.FILTER(_xlpm.d,_xlpm.c)))</f>
        <v>0.87</v>
      </c>
      <c r="J31" s="5" cm="1">
        <f t="array" ref="J31">_xlfn.LET(_xlpm.d,J$23:J$28,_xlpm.c,$D$23:$D$28=TRUE,MAX(_xlfn._xlws.FILTER(_xlpm.d,_xlpm.c)))</f>
        <v>0.87</v>
      </c>
      <c r="K31" s="5" cm="1">
        <f t="array" ref="K31">_xlfn.LET(_xlpm.d,K$23:K$28,_xlpm.c,$D$23:$D$28=TRUE,MAX(_xlfn._xlws.FILTER(_xlpm.d,_xlpm.c)))</f>
        <v>0.89</v>
      </c>
      <c r="L31" s="5" cm="1">
        <f t="array" ref="L31">_xlfn.LET(_xlpm.d,L$23:L$28,_xlpm.c,$D$23:$D$28=TRUE,MAX(_xlfn._xlws.FILTER(_xlpm.d,_xlpm.c)))</f>
        <v>0.87</v>
      </c>
      <c r="M31" s="5" cm="1">
        <f t="array" ref="M31">_xlfn.LET(_xlpm.d,M$23:M$28,_xlpm.c,$D$23:$D$28=TRUE,MAX(_xlfn._xlws.FILTER(_xlpm.d,_xlpm.c)))</f>
        <v>0.83</v>
      </c>
      <c r="N31" s="5" cm="1">
        <f t="array" ref="N31">_xlfn.LET(_xlpm.d,N$23:N$28,_xlpm.c,$D$23:$D$28=TRUE,MAX(_xlfn._xlws.FILTER(_xlpm.d,_xlpm.c)))</f>
        <v>0.89</v>
      </c>
      <c r="O31" s="5" cm="1">
        <f t="array" ref="O31">_xlfn.LET(_xlpm.d,O$23:O$28,_xlpm.c,$D$23:$D$28=TRUE,MAX(_xlfn._xlws.FILTER(_xlpm.d,_xlpm.c)))</f>
        <v>0.89</v>
      </c>
      <c r="P31" s="5" cm="1">
        <f t="array" ref="P31">_xlfn.LET(_xlpm.d,P$23:P$28,_xlpm.c,$D$23:$D$28=TRUE,MAX(_xlfn._xlws.FILTER(_xlpm.d,_xlpm.c)))</f>
        <v>0.87</v>
      </c>
      <c r="Q31" s="5" cm="1">
        <f t="array" ref="Q31">_xlfn.LET(_xlpm.d,Q$23:Q$28,_xlpm.c,$D$23:$D$28=TRUE,MAX(_xlfn._xlws.FILTER(_xlpm.d,_xlpm.c)))</f>
        <v>0.88</v>
      </c>
      <c r="R31" s="5" cm="1">
        <f t="array" ref="R31">_xlfn.LET(_xlpm.d,R$23:R$28,_xlpm.c,$D$23:$D$28=TRUE,MAX(_xlfn._xlws.FILTER(_xlpm.d,_xlpm.c)))</f>
        <v>0.86</v>
      </c>
      <c r="S31" s="5" cm="1">
        <f t="array" ref="S31">_xlfn.LET(_xlpm.d,S$23:S$28,_xlpm.c,$D$23:$D$28=TRUE,MAX(_xlfn._xlws.FILTER(_xlpm.d,_xlpm.c)))</f>
        <v>0.86</v>
      </c>
      <c r="T31" s="5" cm="1">
        <f t="array" ref="T31">_xlfn.LET(_xlpm.d,T$23:T$28,_xlpm.c,$D$23:$D$28=TRUE,MAX(_xlfn._xlws.FILTER(_xlpm.d,_xlpm.c)))</f>
        <v>0.89</v>
      </c>
    </row>
    <row r="32" spans="1:21" ht="27" customHeight="1">
      <c r="E32" t="s">
        <v>23</v>
      </c>
      <c r="F32" t="s">
        <v>30</v>
      </c>
      <c r="H32" s="5" cm="1">
        <f t="array" ref="H32">_xlfn.LET(_xlpm.d,H$23:H$28,_xlpm.c,$D$23:$D$28=TRUE,MIN(_xlfn._xlws.FILTER(_xlpm.d,_xlpm.c)))</f>
        <v>0.56999999999999995</v>
      </c>
      <c r="I32" s="5" cm="1">
        <f t="array" ref="I32">_xlfn.LET(_xlpm.d,I$23:I$28,_xlpm.c,$D$23:$D$28=TRUE,MIN(_xlfn._xlws.FILTER(_xlpm.d,_xlpm.c)))</f>
        <v>0.55000000000000004</v>
      </c>
      <c r="J32" s="5" cm="1">
        <f t="array" ref="J32">_xlfn.LET(_xlpm.d,J$23:J$28,_xlpm.c,$D$23:$D$28=TRUE,MIN(_xlfn._xlws.FILTER(_xlpm.d,_xlpm.c)))</f>
        <v>0.51</v>
      </c>
      <c r="K32" s="5" cm="1">
        <f t="array" ref="K32">_xlfn.LET(_xlpm.d,K$23:K$28,_xlpm.c,$D$23:$D$28=TRUE,MIN(_xlfn._xlws.FILTER(_xlpm.d,_xlpm.c)))</f>
        <v>0.46</v>
      </c>
      <c r="L32" s="5" cm="1">
        <f t="array" ref="L32">_xlfn.LET(_xlpm.d,L$23:L$28,_xlpm.c,$D$23:$D$28=TRUE,MIN(_xlfn._xlws.FILTER(_xlpm.d,_xlpm.c)))</f>
        <v>0.54</v>
      </c>
      <c r="M32" s="5" cm="1">
        <f t="array" ref="M32">_xlfn.LET(_xlpm.d,M$23:M$28,_xlpm.c,$D$23:$D$28=TRUE,MIN(_xlfn._xlws.FILTER(_xlpm.d,_xlpm.c)))</f>
        <v>0.5</v>
      </c>
      <c r="N32" s="5" cm="1">
        <f t="array" ref="N32">_xlfn.LET(_xlpm.d,N$23:N$28,_xlpm.c,$D$23:$D$28=TRUE,MIN(_xlfn._xlws.FILTER(_xlpm.d,_xlpm.c)))</f>
        <v>0.56000000000000005</v>
      </c>
      <c r="O32" s="5" cm="1">
        <f t="array" ref="O32">_xlfn.LET(_xlpm.d,O$23:O$28,_xlpm.c,$D$23:$D$28=TRUE,MIN(_xlfn._xlws.FILTER(_xlpm.d,_xlpm.c)))</f>
        <v>0.61</v>
      </c>
      <c r="P32" s="5" cm="1">
        <f t="array" ref="P32">_xlfn.LET(_xlpm.d,P$23:P$28,_xlpm.c,$D$23:$D$28=TRUE,MIN(_xlfn._xlws.FILTER(_xlpm.d,_xlpm.c)))</f>
        <v>0.56000000000000005</v>
      </c>
      <c r="Q32" s="5" cm="1">
        <f t="array" ref="Q32">_xlfn.LET(_xlpm.d,Q$23:Q$28,_xlpm.c,$D$23:$D$28=TRUE,MIN(_xlfn._xlws.FILTER(_xlpm.d,_xlpm.c)))</f>
        <v>0.51</v>
      </c>
      <c r="R32" s="5" cm="1">
        <f t="array" ref="R32">_xlfn.LET(_xlpm.d,R$23:R$28,_xlpm.c,$D$23:$D$28=TRUE,MIN(_xlfn._xlws.FILTER(_xlpm.d,_xlpm.c)))</f>
        <v>0.52</v>
      </c>
      <c r="S32" s="5" cm="1">
        <f t="array" ref="S32">_xlfn.LET(_xlpm.d,S$23:S$28,_xlpm.c,$D$23:$D$28=TRUE,MIN(_xlfn._xlws.FILTER(_xlpm.d,_xlpm.c)))</f>
        <v>0.54</v>
      </c>
      <c r="T32" s="5" cm="1">
        <f t="array" ref="T32">_xlfn.LET(_xlpm.d,T$23:T$28,_xlpm.c,$D$23:$D$28=TRUE,MIN(_xlfn._xlws.FILTER(_xlpm.d,_xlpm.c)))</f>
        <v>0.61</v>
      </c>
    </row>
    <row r="33" spans="2:20" ht="27" customHeight="1">
      <c r="E33" t="s">
        <v>23</v>
      </c>
      <c r="F33" t="s">
        <v>31</v>
      </c>
      <c r="H33" s="5" cm="1">
        <f t="array" ref="H33">_xlfn.LET(_xlpm.d,H$23:H$28,_xlpm.c,$D$23:$D$28=TRUE,STDEV(_xlfn._xlws.FILTER(_xlpm.d,_xlpm.c)))</f>
        <v>0.16502525059315384</v>
      </c>
      <c r="I33" s="5" cm="1">
        <f t="array" ref="I33">_xlfn.LET(_xlpm.d,I$23:I$28,_xlpm.c,$D$23:$D$28=TRUE,STDEV(_xlfn._xlws.FILTER(_xlpm.d,_xlpm.c)))</f>
        <v>0.16165807537309559</v>
      </c>
      <c r="J33" s="5" cm="1">
        <f t="array" ref="J33">_xlfn.LET(_xlpm.d,J$23:J$28,_xlpm.c,$D$23:$D$28=TRUE,STDEV(_xlfn._xlws.FILTER(_xlpm.d,_xlpm.c)))</f>
        <v>0.18147543451754883</v>
      </c>
      <c r="K33" s="5" cm="1">
        <f t="array" ref="K33">_xlfn.LET(_xlpm.d,K$23:K$28,_xlpm.c,$D$23:$D$28=TRUE,STDEV(_xlfn._xlws.FILTER(_xlpm.d,_xlpm.c)))</f>
        <v>0.21656407827707727</v>
      </c>
      <c r="L33" s="5" cm="1">
        <f t="array" ref="L33">_xlfn.LET(_xlpm.d,L$23:L$28,_xlpm.c,$D$23:$D$28=TRUE,STDEV(_xlfn._xlws.FILTER(_xlpm.d,_xlpm.c)))</f>
        <v>0.1652271164185837</v>
      </c>
      <c r="M33" s="5" cm="1">
        <f t="array" ref="M33">_xlfn.LET(_xlpm.d,M$23:M$28,_xlpm.c,$D$23:$D$28=TRUE,STDEV(_xlfn._xlws.FILTER(_xlpm.d,_xlpm.c)))</f>
        <v>0.16522711641858304</v>
      </c>
      <c r="N33" s="5" cm="1">
        <f t="array" ref="N33">_xlfn.LET(_xlpm.d,N$23:N$28,_xlpm.c,$D$23:$D$28=TRUE,STDEV(_xlfn._xlws.FILTER(_xlpm.d,_xlpm.c)))</f>
        <v>0.16522711641858304</v>
      </c>
      <c r="O33" s="5" cm="1">
        <f t="array" ref="O33">_xlfn.LET(_xlpm.d,O$23:O$28,_xlpm.c,$D$23:$D$28=TRUE,STDEV(_xlfn._xlws.FILTER(_xlpm.d,_xlpm.c)))</f>
        <v>0.14422205101855934</v>
      </c>
      <c r="P33" s="5" cm="1">
        <f t="array" ref="P33">_xlfn.LET(_xlpm.d,P$23:P$28,_xlpm.c,$D$23:$D$28=TRUE,STDEV(_xlfn._xlws.FILTER(_xlpm.d,_xlpm.c)))</f>
        <v>0.15502687938978021</v>
      </c>
      <c r="Q33" s="5" cm="1">
        <f t="array" ref="Q33">_xlfn.LET(_xlpm.d,Q$23:Q$28,_xlpm.c,$D$23:$D$28=TRUE,STDEV(_xlfn._xlws.FILTER(_xlpm.d,_xlpm.c)))</f>
        <v>0.18610033136277163</v>
      </c>
      <c r="R33" s="5" cm="1">
        <f t="array" ref="R33">_xlfn.LET(_xlpm.d,R$23:R$28,_xlpm.c,$D$23:$D$28=TRUE,STDEV(_xlfn._xlws.FILTER(_xlpm.d,_xlpm.c)))</f>
        <v>0.17039170558842784</v>
      </c>
      <c r="S33" s="5" cm="1">
        <f t="array" ref="S33">_xlfn.LET(_xlpm.d,S$23:S$28,_xlpm.c,$D$23:$D$28=TRUE,STDEV(_xlfn._xlws.FILTER(_xlpm.d,_xlpm.c)))</f>
        <v>0.16041612554021267</v>
      </c>
      <c r="T33" s="5" cm="1">
        <f t="array" ref="T33">_xlfn.LET(_xlpm.d,T$23:T$28,_xlpm.c,$D$23:$D$28=TRUE,STDEV(_xlfn._xlws.FILTER(_xlpm.d,_xlpm.c)))</f>
        <v>0.14047538337136961</v>
      </c>
    </row>
    <row r="36" spans="2:20" ht="27" customHeight="1">
      <c r="B36" t="s">
        <v>24</v>
      </c>
      <c r="C36" t="s">
        <v>1</v>
      </c>
      <c r="D36" t="s">
        <v>26</v>
      </c>
      <c r="E36" t="s">
        <v>25</v>
      </c>
      <c r="F36" t="s">
        <v>27</v>
      </c>
      <c r="G36" t="s">
        <v>50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t="s">
        <v>15</v>
      </c>
    </row>
    <row r="37" spans="2:20" ht="27" customHeight="1">
      <c r="B37" s="7">
        <v>1</v>
      </c>
      <c r="C37" t="s">
        <v>17</v>
      </c>
      <c r="D37" t="b">
        <v>0</v>
      </c>
      <c r="E37">
        <v>0</v>
      </c>
      <c r="F37" t="s">
        <v>28</v>
      </c>
      <c r="G37" t="str">
        <f>_xlfn.LET(_xlpm.attr,Table10[[#This Row],[attribute]],_xlpm.spl,LEFT(Table10[[#This Row],[supplemented]],1),_xlfn.TEXTJOIN("-",TRUE,_xlpm.attr,_xlpm.spl,"3k-mgv3"))</f>
        <v>plurality-F-3k-mgv3</v>
      </c>
      <c r="H37" s="3">
        <f t="shared" ref="H37:S37" si="2">_xlfn.LET(_xlpm.d,$H23:$S23,RANK(H23,_xlpm.d))</f>
        <v>4</v>
      </c>
      <c r="I37" s="3">
        <f t="shared" si="2"/>
        <v>7</v>
      </c>
      <c r="J37" s="3">
        <f t="shared" si="2"/>
        <v>7</v>
      </c>
      <c r="K37" s="3">
        <f t="shared" si="2"/>
        <v>1</v>
      </c>
      <c r="L37" s="3">
        <f t="shared" si="2"/>
        <v>2</v>
      </c>
      <c r="M37" s="3">
        <f t="shared" si="2"/>
        <v>12</v>
      </c>
      <c r="N37" s="3">
        <f t="shared" si="2"/>
        <v>10</v>
      </c>
      <c r="O37" s="3">
        <f t="shared" si="2"/>
        <v>2</v>
      </c>
      <c r="P37" s="3">
        <f t="shared" si="2"/>
        <v>10</v>
      </c>
      <c r="Q37" s="3">
        <f t="shared" si="2"/>
        <v>5</v>
      </c>
      <c r="R37" s="3">
        <f t="shared" si="2"/>
        <v>5</v>
      </c>
      <c r="S37" s="3">
        <f t="shared" si="2"/>
        <v>7</v>
      </c>
    </row>
    <row r="38" spans="2:20" ht="27" customHeight="1">
      <c r="B38" s="3">
        <v>1</v>
      </c>
      <c r="C38" t="s">
        <v>17</v>
      </c>
      <c r="D38" t="b">
        <v>1</v>
      </c>
      <c r="E38">
        <v>0</v>
      </c>
      <c r="F38" t="s">
        <v>28</v>
      </c>
      <c r="G38" t="str">
        <f>_xlfn.LET(_xlpm.attr,Table10[[#This Row],[attribute]],_xlpm.spl,LEFT(Table10[[#This Row],[supplemented]],1),_xlfn.TEXTJOIN("-",TRUE,_xlpm.attr,_xlpm.spl,"3k-mgv3"))</f>
        <v>plurality-T-3k-mgv3</v>
      </c>
      <c r="H38" s="3">
        <f t="shared" ref="H38:S38" si="3">_xlfn.LET(_xlpm.d,$H24:$S24,RANK(H24,_xlpm.d))</f>
        <v>1</v>
      </c>
      <c r="I38" s="3">
        <f t="shared" si="3"/>
        <v>6</v>
      </c>
      <c r="J38" s="3">
        <f t="shared" si="3"/>
        <v>6</v>
      </c>
      <c r="K38" s="3">
        <f t="shared" si="3"/>
        <v>1</v>
      </c>
      <c r="L38" s="3">
        <f t="shared" si="3"/>
        <v>6</v>
      </c>
      <c r="M38" s="3">
        <f t="shared" si="3"/>
        <v>12</v>
      </c>
      <c r="N38" s="3">
        <f t="shared" si="3"/>
        <v>1</v>
      </c>
      <c r="O38" s="3">
        <f t="shared" si="3"/>
        <v>1</v>
      </c>
      <c r="P38" s="3">
        <f t="shared" si="3"/>
        <v>6</v>
      </c>
      <c r="Q38" s="3">
        <f t="shared" si="3"/>
        <v>5</v>
      </c>
      <c r="R38" s="3">
        <f t="shared" si="3"/>
        <v>10</v>
      </c>
      <c r="S38" s="3">
        <f t="shared" si="3"/>
        <v>10</v>
      </c>
    </row>
    <row r="39" spans="2:20" ht="27" customHeight="1">
      <c r="B39" s="3">
        <v>2</v>
      </c>
      <c r="C39" t="s">
        <v>21</v>
      </c>
      <c r="D39" t="b">
        <v>0</v>
      </c>
      <c r="E39">
        <v>0</v>
      </c>
      <c r="F39" t="s">
        <v>28</v>
      </c>
      <c r="G39" t="str">
        <f>_xlfn.LET(_xlpm.attr,Table10[[#This Row],[attribute]],_xlpm.spl,LEFT(Table10[[#This Row],[supplemented]],1),_xlfn.TEXTJOIN("-",TRUE,_xlpm.attr,_xlpm.spl,"3k-mgv3"))</f>
        <v>gender-F-3k-mgv3</v>
      </c>
      <c r="H39" s="3">
        <f t="shared" ref="H39:S39" si="4">_xlfn.LET(_xlpm.d,$H25:$S25,RANK(H25,_xlpm.d))</f>
        <v>12</v>
      </c>
      <c r="I39" s="3">
        <f t="shared" si="4"/>
        <v>6</v>
      </c>
      <c r="J39" s="3">
        <f t="shared" si="4"/>
        <v>6</v>
      </c>
      <c r="K39" s="3">
        <f t="shared" si="4"/>
        <v>1</v>
      </c>
      <c r="L39" s="3">
        <f t="shared" si="4"/>
        <v>1</v>
      </c>
      <c r="M39" s="3">
        <f t="shared" si="4"/>
        <v>1</v>
      </c>
      <c r="N39" s="3">
        <f t="shared" si="4"/>
        <v>9</v>
      </c>
      <c r="O39" s="3">
        <f t="shared" si="4"/>
        <v>9</v>
      </c>
      <c r="P39" s="3">
        <f t="shared" si="4"/>
        <v>1</v>
      </c>
      <c r="Q39" s="3">
        <f t="shared" si="4"/>
        <v>1</v>
      </c>
      <c r="R39" s="3">
        <f t="shared" si="4"/>
        <v>9</v>
      </c>
      <c r="S39" s="3">
        <f t="shared" si="4"/>
        <v>6</v>
      </c>
    </row>
    <row r="40" spans="2:20" ht="27" customHeight="1">
      <c r="B40" s="3">
        <v>2</v>
      </c>
      <c r="C40" t="s">
        <v>21</v>
      </c>
      <c r="D40" t="b">
        <v>1</v>
      </c>
      <c r="E40">
        <v>0</v>
      </c>
      <c r="F40" t="s">
        <v>28</v>
      </c>
      <c r="G40" t="str">
        <f>_xlfn.LET(_xlpm.attr,Table10[[#This Row],[attribute]],_xlpm.spl,LEFT(Table10[[#This Row],[supplemented]],1),_xlfn.TEXTJOIN("-",TRUE,_xlpm.attr,_xlpm.spl,"3k-mgv3"))</f>
        <v>gender-T-3k-mgv3</v>
      </c>
      <c r="H40" s="3">
        <f t="shared" ref="H40:S40" si="5">_xlfn.LET(_xlpm.d,$H26:$S26,RANK(H26,_xlpm.d))</f>
        <v>10</v>
      </c>
      <c r="I40" s="3">
        <f t="shared" si="5"/>
        <v>9</v>
      </c>
      <c r="J40" s="3">
        <f t="shared" si="5"/>
        <v>1</v>
      </c>
      <c r="K40" s="3">
        <f t="shared" si="5"/>
        <v>2</v>
      </c>
      <c r="L40" s="3">
        <f t="shared" si="5"/>
        <v>2</v>
      </c>
      <c r="M40" s="3">
        <f t="shared" si="5"/>
        <v>12</v>
      </c>
      <c r="N40" s="3">
        <f t="shared" si="5"/>
        <v>4</v>
      </c>
      <c r="O40" s="3">
        <f t="shared" si="5"/>
        <v>7</v>
      </c>
      <c r="P40" s="3">
        <f t="shared" si="5"/>
        <v>4</v>
      </c>
      <c r="Q40" s="3">
        <f t="shared" si="5"/>
        <v>10</v>
      </c>
      <c r="R40" s="3">
        <f t="shared" si="5"/>
        <v>4</v>
      </c>
      <c r="S40" s="3">
        <f t="shared" si="5"/>
        <v>8</v>
      </c>
    </row>
    <row r="41" spans="2:20" ht="27" customHeight="1">
      <c r="B41" s="3">
        <v>3</v>
      </c>
      <c r="C41" t="s">
        <v>22</v>
      </c>
      <c r="D41" t="b">
        <v>0</v>
      </c>
      <c r="E41">
        <v>0</v>
      </c>
      <c r="F41" t="s">
        <v>28</v>
      </c>
      <c r="G41" t="str">
        <f>_xlfn.LET(_xlpm.attr,Table10[[#This Row],[attribute]],_xlpm.spl,LEFT(Table10[[#This Row],[supplemented]],1),_xlfn.TEXTJOIN("-",TRUE,_xlpm.attr,_xlpm.spl,"3k-mgv3"))</f>
        <v>case-F-3k-mgv3</v>
      </c>
      <c r="H41" s="3">
        <f t="shared" ref="H41:S41" si="6">_xlfn.LET(_xlpm.d,$H27:$S27,RANK(H27,_xlpm.d))</f>
        <v>1</v>
      </c>
      <c r="I41" s="3">
        <f t="shared" si="6"/>
        <v>4</v>
      </c>
      <c r="J41" s="3">
        <f t="shared" si="6"/>
        <v>7</v>
      </c>
      <c r="K41" s="3">
        <f t="shared" si="6"/>
        <v>11</v>
      </c>
      <c r="L41" s="3">
        <f t="shared" si="6"/>
        <v>1</v>
      </c>
      <c r="M41" s="3">
        <f t="shared" si="6"/>
        <v>7</v>
      </c>
      <c r="N41" s="3">
        <f t="shared" si="6"/>
        <v>11</v>
      </c>
      <c r="O41" s="3">
        <f t="shared" si="6"/>
        <v>1</v>
      </c>
      <c r="P41" s="3">
        <f t="shared" si="6"/>
        <v>9</v>
      </c>
      <c r="Q41" s="3">
        <f t="shared" si="6"/>
        <v>10</v>
      </c>
      <c r="R41" s="3">
        <f t="shared" si="6"/>
        <v>4</v>
      </c>
      <c r="S41" s="3">
        <f t="shared" si="6"/>
        <v>6</v>
      </c>
    </row>
    <row r="42" spans="2:20" ht="27" customHeight="1">
      <c r="B42" s="8">
        <v>3</v>
      </c>
      <c r="C42" t="s">
        <v>22</v>
      </c>
      <c r="D42" t="b">
        <v>1</v>
      </c>
      <c r="E42">
        <v>0</v>
      </c>
      <c r="F42" t="s">
        <v>28</v>
      </c>
      <c r="G42" t="str">
        <f>_xlfn.LET(_xlpm.attr,Table10[[#This Row],[attribute]],_xlpm.spl,LEFT(Table10[[#This Row],[supplemented]],1),_xlfn.TEXTJOIN("-",TRUE,_xlpm.attr,_xlpm.spl,"3k-mgv3"))</f>
        <v>case-T-3k-mgv3</v>
      </c>
      <c r="H42" s="3">
        <f t="shared" ref="H42:S42" si="7">_xlfn.LET(_xlpm.d,$H28:$S28,RANK(H28,_xlpm.d))</f>
        <v>2</v>
      </c>
      <c r="I42" s="3">
        <f t="shared" si="7"/>
        <v>5</v>
      </c>
      <c r="J42" s="3">
        <f t="shared" si="7"/>
        <v>9</v>
      </c>
      <c r="K42" s="3">
        <f t="shared" si="7"/>
        <v>12</v>
      </c>
      <c r="L42" s="3">
        <f t="shared" si="7"/>
        <v>6</v>
      </c>
      <c r="M42" s="3">
        <f t="shared" si="7"/>
        <v>11</v>
      </c>
      <c r="N42" s="3">
        <f t="shared" si="7"/>
        <v>3</v>
      </c>
      <c r="O42" s="3">
        <f t="shared" si="7"/>
        <v>1</v>
      </c>
      <c r="P42" s="3">
        <f t="shared" si="7"/>
        <v>3</v>
      </c>
      <c r="Q42" s="3">
        <f t="shared" si="7"/>
        <v>9</v>
      </c>
      <c r="R42" s="3">
        <f t="shared" si="7"/>
        <v>8</v>
      </c>
      <c r="S42" s="3">
        <f t="shared" si="7"/>
        <v>6</v>
      </c>
    </row>
    <row r="44" spans="2:20" ht="27" customHeight="1">
      <c r="C44" t="s">
        <v>39</v>
      </c>
      <c r="D44" t="b">
        <v>0</v>
      </c>
      <c r="E44" t="s">
        <v>28</v>
      </c>
      <c r="F44" t="s">
        <v>32</v>
      </c>
      <c r="G44" s="2" cm="1">
        <f t="array" ref="G44">_xlfn.LET(_xlpm.d,H$37:H$42,_xlpm.c,$D$38:$D$43=$D44,GEOMEAN(_xlfn._xlws.FILTER(_xlpm.d,_xlpm.c)))</f>
        <v>2.7144176165949068</v>
      </c>
      <c r="H44" s="2" cm="1">
        <f t="array" ref="H44">_xlfn.LET(_xlpm.d,I$37:I$42,_xlpm.c,$D$38:$D$43=$D44,GEOMEAN(_xlfn._xlws.FILTER(_xlpm.d,_xlpm.c)))</f>
        <v>6.463304070095651</v>
      </c>
      <c r="I44" s="2" cm="1">
        <f t="array" ref="I44">_xlfn.LET(_xlpm.d,J$37:J$42,_xlpm.c,$D$38:$D$43=$D44,GEOMEAN(_xlfn._xlws.FILTER(_xlpm.d,_xlpm.c)))</f>
        <v>3.7797631496846193</v>
      </c>
      <c r="J44" s="2" cm="1">
        <f t="array" ref="J44">_xlfn.LET(_xlpm.d,K$37:K$42,_xlpm.c,$D$38:$D$43=$D44,GEOMEAN(_xlfn._xlws.FILTER(_xlpm.d,_xlpm.c)))</f>
        <v>2.8844991406148166</v>
      </c>
      <c r="K44" s="2" cm="1">
        <f t="array" ref="K44">_xlfn.LET(_xlpm.d,L$37:L$42,_xlpm.c,$D$38:$D$43=$D44,GEOMEAN(_xlfn._xlws.FILTER(_xlpm.d,_xlpm.c)))</f>
        <v>4.1601676461038082</v>
      </c>
      <c r="L44" s="2" cm="1">
        <f t="array" ref="L44">_xlfn.LET(_xlpm.d,M$37:M$42,_xlpm.c,$D$38:$D$43=$D44,GEOMEAN(_xlfn._xlws.FILTER(_xlpm.d,_xlpm.c)))</f>
        <v>11.656953366502911</v>
      </c>
      <c r="M44" s="2" cm="1">
        <f t="array" ref="M44">_xlfn.LET(_xlpm.d,N$37:N$42,_xlpm.c,$D$38:$D$43=$D44,GEOMEAN(_xlfn._xlws.FILTER(_xlpm.d,_xlpm.c)))</f>
        <v>2.2894284851066637</v>
      </c>
      <c r="N44" s="2" cm="1">
        <f t="array" ref="N44">_xlfn.LET(_xlpm.d,O$37:O$42,_xlpm.c,$D$38:$D$43=$D44,GEOMEAN(_xlfn._xlws.FILTER(_xlpm.d,_xlpm.c)))</f>
        <v>1.9129311827723889</v>
      </c>
      <c r="O44" s="2" cm="1">
        <f t="array" ref="O44">_xlfn.LET(_xlpm.d,P$37:P$42,_xlpm.c,$D$38:$D$43=$D44,GEOMEAN(_xlfn._xlws.FILTER(_xlpm.d,_xlpm.c)))</f>
        <v>4.1601676461038082</v>
      </c>
      <c r="P44" s="2" cm="1">
        <f t="array" ref="P44">_xlfn.LET(_xlpm.d,Q$37:Q$42,_xlpm.c,$D$38:$D$43=$D44,GEOMEAN(_xlfn._xlws.FILTER(_xlpm.d,_xlpm.c)))</f>
        <v>7.6630943239355309</v>
      </c>
      <c r="Q44" s="2" cm="1">
        <f t="array" ref="Q44">_xlfn.LET(_xlpm.d,R$37:R$42,_xlpm.c,$D$38:$D$43=$D44,GEOMEAN(_xlfn._xlws.FILTER(_xlpm.d,_xlpm.c)))</f>
        <v>6.8399037867067873</v>
      </c>
      <c r="R44" s="2" cm="1">
        <f t="array" ref="R44">_xlfn.LET(_xlpm.d,S$37:S$42,_xlpm.c,$D$38:$D$43=$D44,GEOMEAN(_xlfn._xlws.FILTER(_xlpm.d,_xlpm.c)))</f>
        <v>7.8297352823377269</v>
      </c>
    </row>
    <row r="45" spans="2:20" ht="27" customHeight="1">
      <c r="C45" t="s">
        <v>39</v>
      </c>
      <c r="D45" t="b">
        <v>1</v>
      </c>
      <c r="E45" t="s">
        <v>28</v>
      </c>
      <c r="F45" t="s">
        <v>32</v>
      </c>
      <c r="G45" s="2" cm="1">
        <f t="array" ref="G45">_xlfn.LET(_xlpm.d,H$37:H$42,_xlpm.c,$D$38:$D$43=$D45,GEOMEAN(_xlfn._xlws.FILTER(_xlpm.d,_xlpm.c)))</f>
        <v>3.6342411856642793</v>
      </c>
      <c r="H45" s="2" cm="1">
        <f t="array" ref="H45">_xlfn.LET(_xlpm.d,I$37:I$42,_xlpm.c,$D$38:$D$43=$D45,GEOMEAN(_xlfn._xlws.FILTER(_xlpm.d,_xlpm.c)))</f>
        <v>5.5178483527622415</v>
      </c>
      <c r="I45" s="2" cm="1">
        <f t="array" ref="I45">_xlfn.LET(_xlpm.d,J$37:J$42,_xlpm.c,$D$38:$D$43=$D45,GEOMEAN(_xlfn._xlws.FILTER(_xlpm.d,_xlpm.c)))</f>
        <v>6.649399761150975</v>
      </c>
      <c r="J45" s="2" cm="1">
        <f t="array" ref="J45">_xlfn.LET(_xlpm.d,K$37:K$42,_xlpm.c,$D$38:$D$43=$D45,GEOMEAN(_xlfn._xlws.FILTER(_xlpm.d,_xlpm.c)))</f>
        <v>2.2239800905693157</v>
      </c>
      <c r="K45" s="2" cm="1">
        <f t="array" ref="K45">_xlfn.LET(_xlpm.d,L$37:L$42,_xlpm.c,$D$38:$D$43=$D45,GEOMEAN(_xlfn._xlws.FILTER(_xlpm.d,_xlpm.c)))</f>
        <v>1.2599210498948732</v>
      </c>
      <c r="L45" s="2" cm="1">
        <f t="array" ref="L45">_xlfn.LET(_xlpm.d,M$37:M$42,_xlpm.c,$D$38:$D$43=$D45,GEOMEAN(_xlfn._xlws.FILTER(_xlpm.d,_xlpm.c)))</f>
        <v>4.379519139887889</v>
      </c>
      <c r="M45" s="2" cm="1">
        <f t="array" ref="M45">_xlfn.LET(_xlpm.d,N$37:N$42,_xlpm.c,$D$38:$D$43=$D45,GEOMEAN(_xlfn._xlws.FILTER(_xlpm.d,_xlpm.c)))</f>
        <v>9.9665549341259627</v>
      </c>
      <c r="N45" s="2" cm="1">
        <f t="array" ref="N45">_xlfn.LET(_xlpm.d,O$37:O$42,_xlpm.c,$D$38:$D$43=$D45,GEOMEAN(_xlfn._xlws.FILTER(_xlpm.d,_xlpm.c)))</f>
        <v>2.6207413942088964</v>
      </c>
      <c r="O45" s="2" cm="1">
        <f t="array" ref="O45">_xlfn.LET(_xlpm.d,P$37:P$42,_xlpm.c,$D$38:$D$43=$D45,GEOMEAN(_xlfn._xlws.FILTER(_xlpm.d,_xlpm.c)))</f>
        <v>4.4814047465571649</v>
      </c>
      <c r="P45" s="2" cm="1">
        <f t="array" ref="P45">_xlfn.LET(_xlpm.d,Q$37:Q$42,_xlpm.c,$D$38:$D$43=$D45,GEOMEAN(_xlfn._xlws.FILTER(_xlpm.d,_xlpm.c)))</f>
        <v>3.6840314986403864</v>
      </c>
      <c r="Q45" s="2" cm="1">
        <f t="array" ref="Q45">_xlfn.LET(_xlpm.d,R$37:R$42,_xlpm.c,$D$38:$D$43=$D45,GEOMEAN(_xlfn._xlws.FILTER(_xlpm.d,_xlpm.c)))</f>
        <v>5.6462161732861711</v>
      </c>
      <c r="R45" s="2" cm="1">
        <f t="array" ref="R45">_xlfn.LET(_xlpm.d,S$37:S$42,_xlpm.c,$D$38:$D$43=$D45,GEOMEAN(_xlfn._xlws.FILTER(_xlpm.d,_xlpm.c)))</f>
        <v>6.3163595976563789</v>
      </c>
    </row>
  </sheetData>
  <conditionalFormatting sqref="G44:R45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37:S42">
    <cfRule type="colorScale" priority="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8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0:T32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3:T3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U2:U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E29B-7337-7344-A32C-4A018CEB392B}">
  <dimension ref="A1:S28"/>
  <sheetViews>
    <sheetView workbookViewId="0"/>
  </sheetViews>
  <sheetFormatPr baseColWidth="10" defaultRowHeight="25" customHeight="1"/>
  <cols>
    <col min="2" max="5" width="8.375" customWidth="1"/>
    <col min="6" max="6" width="9.25" customWidth="1"/>
    <col min="7" max="19" width="7.75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0.89</v>
      </c>
      <c r="H2" s="1">
        <v>0.83</v>
      </c>
      <c r="I2" s="1">
        <v>0.8</v>
      </c>
      <c r="J2" s="1">
        <v>0.87</v>
      </c>
      <c r="K2" s="1">
        <v>0.81</v>
      </c>
      <c r="L2" s="1">
        <v>0.78</v>
      </c>
      <c r="M2" s="1">
        <v>0.87</v>
      </c>
      <c r="N2" s="1">
        <v>0.83</v>
      </c>
      <c r="O2" s="1">
        <v>0.87</v>
      </c>
      <c r="P2" s="1">
        <v>0.84</v>
      </c>
      <c r="Q2" s="1">
        <v>0.82</v>
      </c>
      <c r="R2" s="1">
        <v>0.84</v>
      </c>
      <c r="S2" s="1">
        <f t="shared" ref="S2:S19" si="0">MAX($G2:$R2)</f>
        <v>0.89</v>
      </c>
    </row>
    <row r="3" spans="1:19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G3" s="1">
        <v>0.93</v>
      </c>
      <c r="H3" s="1">
        <v>0.89</v>
      </c>
      <c r="I3" s="1">
        <v>0.86</v>
      </c>
      <c r="J3" s="1">
        <v>0.89</v>
      </c>
      <c r="K3" s="1">
        <v>0.86</v>
      </c>
      <c r="L3" s="1">
        <v>0.81</v>
      </c>
      <c r="M3" s="1">
        <v>0.89</v>
      </c>
      <c r="N3" s="1">
        <v>0.88</v>
      </c>
      <c r="O3" s="1">
        <v>0.91</v>
      </c>
      <c r="P3" s="1">
        <v>0.88</v>
      </c>
      <c r="Q3" s="1">
        <v>0.84</v>
      </c>
      <c r="R3" s="1">
        <v>0.89</v>
      </c>
      <c r="S3" s="1">
        <f t="shared" si="0"/>
        <v>0.93</v>
      </c>
    </row>
    <row r="4" spans="1:19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G4" s="1">
        <v>0.87</v>
      </c>
      <c r="H4" s="1">
        <v>0.84</v>
      </c>
      <c r="I4" s="1">
        <v>0.82</v>
      </c>
      <c r="J4" s="1">
        <v>0.82</v>
      </c>
      <c r="K4" s="1">
        <v>0.83</v>
      </c>
      <c r="L4" s="1">
        <v>0.78</v>
      </c>
      <c r="M4" s="1">
        <v>0.89</v>
      </c>
      <c r="N4" s="1">
        <v>0.83</v>
      </c>
      <c r="O4" s="1">
        <v>0.85</v>
      </c>
      <c r="P4" s="1">
        <v>0.83</v>
      </c>
      <c r="Q4" s="1">
        <v>0.82</v>
      </c>
      <c r="R4" s="1">
        <v>0.82</v>
      </c>
      <c r="S4" s="1">
        <f t="shared" si="0"/>
        <v>0.89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0.82</v>
      </c>
      <c r="H5" s="1">
        <v>0.84</v>
      </c>
      <c r="I5" s="1">
        <v>0.8</v>
      </c>
      <c r="J5" s="1">
        <v>0.83</v>
      </c>
      <c r="K5" s="1">
        <v>0.81</v>
      </c>
      <c r="L5" s="1">
        <v>0.8</v>
      </c>
      <c r="M5" s="1">
        <v>0.78</v>
      </c>
      <c r="N5" s="1">
        <v>0.78</v>
      </c>
      <c r="O5" s="1">
        <v>0.87</v>
      </c>
      <c r="P5" s="1">
        <v>0.8</v>
      </c>
      <c r="Q5" s="1">
        <v>0.8</v>
      </c>
      <c r="R5" s="1">
        <v>0.82</v>
      </c>
      <c r="S5" s="1">
        <f t="shared" si="0"/>
        <v>0.87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G6" s="1">
        <v>0.85</v>
      </c>
      <c r="H6" s="1">
        <v>0.81</v>
      </c>
      <c r="I6" s="1">
        <v>0.81</v>
      </c>
      <c r="J6" s="1">
        <v>0.86</v>
      </c>
      <c r="K6" s="1">
        <v>0.85</v>
      </c>
      <c r="L6" s="1">
        <v>0.79</v>
      </c>
      <c r="M6" s="1">
        <v>0.79</v>
      </c>
      <c r="N6" s="1">
        <v>0.83</v>
      </c>
      <c r="O6" s="1">
        <v>0.86</v>
      </c>
      <c r="P6" s="1">
        <v>0.84</v>
      </c>
      <c r="Q6" s="1">
        <v>0.82</v>
      </c>
      <c r="R6" s="1">
        <v>0.87</v>
      </c>
      <c r="S6" s="1">
        <f t="shared" si="0"/>
        <v>0.87</v>
      </c>
    </row>
    <row r="7" spans="1:19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G7" s="1">
        <v>0.83</v>
      </c>
      <c r="H7" s="1">
        <v>0.82</v>
      </c>
      <c r="I7" s="1">
        <v>0.8</v>
      </c>
      <c r="J7" s="1">
        <v>0.82</v>
      </c>
      <c r="K7" s="1">
        <v>0.84</v>
      </c>
      <c r="L7" s="1">
        <v>0.76</v>
      </c>
      <c r="M7" s="1">
        <v>0.78</v>
      </c>
      <c r="N7" s="1">
        <v>0.81</v>
      </c>
      <c r="O7" s="1">
        <v>0.81</v>
      </c>
      <c r="P7" s="1">
        <v>0.81</v>
      </c>
      <c r="Q7" s="1">
        <v>0.82</v>
      </c>
      <c r="R7" s="1">
        <v>0.8</v>
      </c>
      <c r="S7" s="1">
        <f t="shared" si="0"/>
        <v>0.84</v>
      </c>
    </row>
    <row r="8" spans="1:19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1">
        <v>0.79</v>
      </c>
      <c r="H8" s="1">
        <v>0.83</v>
      </c>
      <c r="I8" s="1">
        <v>0.65</v>
      </c>
      <c r="J8" s="1">
        <v>0.69</v>
      </c>
      <c r="K8" s="1">
        <v>0.6</v>
      </c>
      <c r="L8" s="1">
        <v>0.54</v>
      </c>
      <c r="M8" s="1">
        <v>0.89</v>
      </c>
      <c r="N8" s="1">
        <v>0.74</v>
      </c>
      <c r="O8" s="1">
        <v>0.85</v>
      </c>
      <c r="P8" s="1">
        <v>0.67</v>
      </c>
      <c r="Q8" s="1">
        <v>0.61</v>
      </c>
      <c r="R8" s="1">
        <v>0.59</v>
      </c>
      <c r="S8" s="1">
        <f t="shared" si="0"/>
        <v>0.89</v>
      </c>
    </row>
    <row r="9" spans="1:19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19</v>
      </c>
      <c r="G9" s="1">
        <v>0.91</v>
      </c>
      <c r="H9" s="1">
        <v>0.9</v>
      </c>
      <c r="I9" s="1">
        <v>0.9</v>
      </c>
      <c r="J9" s="1">
        <v>0.85</v>
      </c>
      <c r="K9" s="1">
        <v>0.82</v>
      </c>
      <c r="L9" s="1">
        <v>0.83</v>
      </c>
      <c r="M9" s="1">
        <v>0.89</v>
      </c>
      <c r="N9" s="1">
        <v>0.93</v>
      </c>
      <c r="O9" s="1">
        <v>0.92</v>
      </c>
      <c r="P9" s="1">
        <v>0.88</v>
      </c>
      <c r="Q9" s="1">
        <v>0.89</v>
      </c>
      <c r="R9" s="1">
        <v>0.69</v>
      </c>
      <c r="S9" s="1">
        <f t="shared" si="0"/>
        <v>0.93</v>
      </c>
    </row>
    <row r="10" spans="1:19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18</v>
      </c>
      <c r="G10" s="1">
        <v>0.9</v>
      </c>
      <c r="H10" s="1">
        <v>0.92</v>
      </c>
      <c r="I10" s="1">
        <v>0.93</v>
      </c>
      <c r="J10" s="1">
        <v>0.89</v>
      </c>
      <c r="K10" s="1">
        <v>0.84</v>
      </c>
      <c r="L10" s="1">
        <v>0.82</v>
      </c>
      <c r="M10" s="1">
        <v>0.91</v>
      </c>
      <c r="N10" s="1">
        <v>0.94</v>
      </c>
      <c r="O10" s="1">
        <v>0.93</v>
      </c>
      <c r="P10" s="1">
        <v>0.91</v>
      </c>
      <c r="Q10" s="1">
        <v>0.88</v>
      </c>
      <c r="R10" s="1">
        <v>0.86</v>
      </c>
      <c r="S10" s="1">
        <f t="shared" si="0"/>
        <v>0.94</v>
      </c>
    </row>
    <row r="11" spans="1:19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1">
        <v>0.59</v>
      </c>
      <c r="H11" s="1">
        <v>0.64</v>
      </c>
      <c r="I11" s="1">
        <v>0.62</v>
      </c>
      <c r="J11" s="1">
        <v>0.57999999999999996</v>
      </c>
      <c r="K11" s="1">
        <v>0.61</v>
      </c>
      <c r="L11" s="1">
        <v>0.54</v>
      </c>
      <c r="M11" s="1">
        <v>0.66</v>
      </c>
      <c r="N11" s="1">
        <v>0.62</v>
      </c>
      <c r="O11" s="1">
        <v>0.64</v>
      </c>
      <c r="P11" s="1">
        <v>0.59</v>
      </c>
      <c r="Q11" s="1">
        <v>0.59</v>
      </c>
      <c r="R11" s="1">
        <v>0.6</v>
      </c>
      <c r="S11" s="1">
        <f t="shared" si="0"/>
        <v>0.66</v>
      </c>
    </row>
    <row r="12" spans="1:19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19</v>
      </c>
      <c r="G12" s="1">
        <v>0.7</v>
      </c>
      <c r="H12" s="1">
        <v>0.67</v>
      </c>
      <c r="I12" s="1">
        <v>0.71</v>
      </c>
      <c r="J12" s="1">
        <v>0.71</v>
      </c>
      <c r="K12" s="1">
        <v>0.67</v>
      </c>
      <c r="L12" s="1">
        <v>0.7</v>
      </c>
      <c r="M12" s="1">
        <v>0.72</v>
      </c>
      <c r="N12" s="1">
        <v>0.71</v>
      </c>
      <c r="O12" s="1">
        <v>0.72</v>
      </c>
      <c r="P12" s="1">
        <v>0.62</v>
      </c>
      <c r="Q12" s="1">
        <v>0.71</v>
      </c>
      <c r="R12" s="1">
        <v>0.66</v>
      </c>
      <c r="S12" s="1">
        <f t="shared" si="0"/>
        <v>0.72</v>
      </c>
    </row>
    <row r="13" spans="1:19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18</v>
      </c>
      <c r="G13" s="1">
        <v>0.66</v>
      </c>
      <c r="H13" s="1">
        <v>0.7</v>
      </c>
      <c r="I13" s="1">
        <v>0.7</v>
      </c>
      <c r="J13" s="1">
        <v>0.68</v>
      </c>
      <c r="K13" s="1">
        <v>0.77</v>
      </c>
      <c r="L13" s="1">
        <v>0.73</v>
      </c>
      <c r="M13" s="1">
        <v>0.67</v>
      </c>
      <c r="N13" s="1">
        <v>0.67</v>
      </c>
      <c r="O13" s="1">
        <v>0.69</v>
      </c>
      <c r="P13" s="1">
        <v>0.71</v>
      </c>
      <c r="Q13" s="1">
        <v>0.71</v>
      </c>
      <c r="R13" s="1">
        <v>0.71</v>
      </c>
      <c r="S13" s="1">
        <f t="shared" si="0"/>
        <v>0.77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0.46</v>
      </c>
      <c r="H14" s="1">
        <v>0.51</v>
      </c>
      <c r="I14" s="1">
        <v>0.51</v>
      </c>
      <c r="J14" s="1">
        <v>0.46</v>
      </c>
      <c r="K14" s="1">
        <v>0.37</v>
      </c>
      <c r="L14" s="1">
        <v>0.38</v>
      </c>
      <c r="M14" s="1">
        <v>0.5</v>
      </c>
      <c r="N14" s="1">
        <v>0.51</v>
      </c>
      <c r="O14" s="1">
        <v>0.51</v>
      </c>
      <c r="P14" s="1">
        <v>0.41</v>
      </c>
      <c r="Q14" s="1">
        <v>0.32</v>
      </c>
      <c r="R14" s="1">
        <v>0.39</v>
      </c>
      <c r="S14" s="1">
        <f t="shared" si="0"/>
        <v>0.51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G15" s="1">
        <v>0.48</v>
      </c>
      <c r="H15" s="1">
        <v>0.56999999999999995</v>
      </c>
      <c r="I15" s="1">
        <v>0.62</v>
      </c>
      <c r="J15" s="1">
        <v>0.56000000000000005</v>
      </c>
      <c r="K15" s="1">
        <v>0.48</v>
      </c>
      <c r="L15" s="1">
        <v>0.47</v>
      </c>
      <c r="M15" s="1">
        <v>0.56000000000000005</v>
      </c>
      <c r="N15" s="1">
        <v>0.51</v>
      </c>
      <c r="O15" s="1">
        <v>0.51</v>
      </c>
      <c r="P15" s="1">
        <v>0.6</v>
      </c>
      <c r="Q15" s="1">
        <v>0.47</v>
      </c>
      <c r="R15" s="1">
        <v>0.46</v>
      </c>
      <c r="S15" s="1">
        <f t="shared" si="0"/>
        <v>0.62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G16" s="1">
        <v>0.46</v>
      </c>
      <c r="H16" s="1">
        <v>0.44</v>
      </c>
      <c r="I16" s="1">
        <v>0.4</v>
      </c>
      <c r="J16" s="1">
        <v>0.37</v>
      </c>
      <c r="K16" s="1">
        <v>0.37</v>
      </c>
      <c r="L16" s="1">
        <v>0.36</v>
      </c>
      <c r="M16" s="1">
        <v>0.51</v>
      </c>
      <c r="N16" s="1">
        <v>0.4</v>
      </c>
      <c r="O16" s="1">
        <v>0.4</v>
      </c>
      <c r="P16" s="1">
        <v>0.41</v>
      </c>
      <c r="Q16" s="1">
        <v>0.37</v>
      </c>
      <c r="R16" s="1">
        <v>0.36</v>
      </c>
      <c r="S16" s="1">
        <f t="shared" si="0"/>
        <v>0.51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1">
        <v>0.35</v>
      </c>
      <c r="H17" s="1">
        <v>0.41</v>
      </c>
      <c r="I17" s="1">
        <v>0.39</v>
      </c>
      <c r="J17" s="1">
        <v>0.35</v>
      </c>
      <c r="K17" s="1">
        <v>0.31</v>
      </c>
      <c r="L17" s="1">
        <v>0.35</v>
      </c>
      <c r="M17" s="1">
        <v>0.47</v>
      </c>
      <c r="N17" s="1">
        <v>0.37</v>
      </c>
      <c r="O17" s="1">
        <v>0.43</v>
      </c>
      <c r="P17" s="1">
        <v>0.43</v>
      </c>
      <c r="Q17" s="1">
        <v>0.4</v>
      </c>
      <c r="R17" s="1">
        <v>0.38</v>
      </c>
      <c r="S17" s="1">
        <f t="shared" si="0"/>
        <v>0.47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G18" s="1">
        <v>0.44</v>
      </c>
      <c r="H18" s="1">
        <v>0.46</v>
      </c>
      <c r="I18" s="1">
        <v>0.39</v>
      </c>
      <c r="J18" s="1">
        <v>0.42</v>
      </c>
      <c r="K18" s="1">
        <v>0.41</v>
      </c>
      <c r="L18" s="1">
        <v>0.41</v>
      </c>
      <c r="M18" s="1">
        <v>0.43</v>
      </c>
      <c r="N18" s="1">
        <v>0.43</v>
      </c>
      <c r="O18" s="1">
        <v>0.41</v>
      </c>
      <c r="P18" s="1">
        <v>0.53</v>
      </c>
      <c r="Q18" s="1">
        <v>0.47</v>
      </c>
      <c r="R18" s="1">
        <v>0.45</v>
      </c>
      <c r="S18" s="1">
        <f t="shared" si="0"/>
        <v>0.53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s="1">
        <v>0.35</v>
      </c>
      <c r="H19" s="1">
        <v>0.36</v>
      </c>
      <c r="I19" s="1">
        <v>0.39</v>
      </c>
      <c r="J19" s="1">
        <v>0.4</v>
      </c>
      <c r="K19" s="1">
        <v>0.38</v>
      </c>
      <c r="L19" s="1">
        <v>0.31</v>
      </c>
      <c r="M19" s="1">
        <v>0.4</v>
      </c>
      <c r="N19" s="1">
        <v>0.36</v>
      </c>
      <c r="O19" s="1">
        <v>0.4</v>
      </c>
      <c r="P19" s="1">
        <v>0.42</v>
      </c>
      <c r="Q19" s="1">
        <v>0.39</v>
      </c>
      <c r="R19" s="1">
        <v>0.37</v>
      </c>
      <c r="S19" s="1">
        <f t="shared" si="0"/>
        <v>0.42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 s="6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0.93</v>
      </c>
      <c r="H23" s="1" cm="1">
        <f t="array" ref="H23">_xlfn.LET(_xlpm.d,H$2:H$19,_xlpm.a,$C$2:$C$19=$C23,_xlpm.b,$D$2:$D$19=$D23,MAX(_xlfn._xlws.FILTER(_xlpm.d,_xlpm.a*_xlpm.b)))</f>
        <v>0.89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0.89</v>
      </c>
      <c r="K23" s="1" cm="1">
        <f t="array" ref="K23">_xlfn.LET(_xlpm.d,K$2:K$19,_xlpm.a,$C$2:$C$19=$C23,_xlpm.b,$D$2:$D$19=$D23,MAX(_xlfn._xlws.FILTER(_xlpm.d,_xlpm.a*_xlpm.b)))</f>
        <v>0.86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0.89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0.91</v>
      </c>
      <c r="P23" s="1" cm="1">
        <f t="array" ref="P23">_xlfn.LET(_xlpm.d,P$2:P$19,_xlpm.a,$C$2:$C$19=$C23,_xlpm.b,$D$2:$D$19=$D23,MAX(_xlfn._xlws.FILTER(_xlpm.d,_xlpm.a*_xlpm.b)))</f>
        <v>0.88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0.89</v>
      </c>
      <c r="S23" s="1" cm="1">
        <f t="array" ref="S23">_xlfn.LET(_xlpm.d,S$2:S$19,_xlpm.a,$C$2:$C$19=$C23,_xlpm.b,$D$2:$D$19=$D23,MAX(_xlfn._xlws.FILTER(_xlpm.d,_xlpm.a*_xlpm.b)))</f>
        <v>0.93</v>
      </c>
    </row>
    <row r="24" spans="1:19" ht="25" customHeight="1">
      <c r="B24" s="6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0.85</v>
      </c>
      <c r="H24" s="1" cm="1">
        <f t="array" ref="H24">_xlfn.LET(_xlpm.d,H$2:H$19,_xlpm.a,$C$2:$C$19=$C24,_xlpm.b,$D$2:$D$19=$D24,MAX(_xlfn._xlws.FILTER(_xlpm.d,_xlpm.a*_xlpm.b)))</f>
        <v>0.84</v>
      </c>
      <c r="I24" s="1" cm="1">
        <f t="array" ref="I24">_xlfn.LET(_xlpm.d,I$2:I$19,_xlpm.a,$C$2:$C$19=$C24,_xlpm.b,$D$2:$D$19=$D24,MAX(_xlfn._xlws.FILTER(_xlpm.d,_xlpm.a*_xlpm.b)))</f>
        <v>0.81</v>
      </c>
      <c r="J24" s="1" cm="1">
        <f t="array" ref="J24">_xlfn.LET(_xlpm.d,J$2:J$19,_xlpm.a,$C$2:$C$19=$C24,_xlpm.b,$D$2:$D$19=$D24,MAX(_xlfn._xlws.FILTER(_xlpm.d,_xlpm.a*_xlpm.b)))</f>
        <v>0.86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0.8</v>
      </c>
      <c r="M24" s="1" cm="1">
        <f t="array" ref="M24">_xlfn.LET(_xlpm.d,M$2:M$19,_xlpm.a,$C$2:$C$19=$C24,_xlpm.b,$D$2:$D$19=$D24,MAX(_xlfn._xlws.FILTER(_xlpm.d,_xlpm.a*_xlpm.b)))</f>
        <v>0.79</v>
      </c>
      <c r="N24" s="1" cm="1">
        <f t="array" ref="N24">_xlfn.LET(_xlpm.d,N$2:N$19,_xlpm.a,$C$2:$C$19=$C24,_xlpm.b,$D$2:$D$19=$D24,MAX(_xlfn._xlws.FILTER(_xlpm.d,_xlpm.a*_xlpm.b)))</f>
        <v>0.83</v>
      </c>
      <c r="O24" s="1" cm="1">
        <f t="array" ref="O24">_xlfn.LET(_xlpm.d,O$2:O$19,_xlpm.a,$C$2:$C$19=$C24,_xlpm.b,$D$2:$D$19=$D24,MAX(_xlfn._xlws.FILTER(_xlpm.d,_xlpm.a*_xlpm.b)))</f>
        <v>0.87</v>
      </c>
      <c r="P24" s="1" cm="1">
        <f t="array" ref="P24">_xlfn.LET(_xlpm.d,P$2:P$19,_xlpm.a,$C$2:$C$19=$C24,_xlpm.b,$D$2:$D$19=$D24,MAX(_xlfn._xlws.FILTER(_xlpm.d,_xlpm.a*_xlpm.b)))</f>
        <v>0.84</v>
      </c>
      <c r="Q24" s="1" cm="1">
        <f t="array" ref="Q24">_xlfn.LET(_xlpm.d,Q$2:Q$19,_xlpm.a,$C$2:$C$19=$C24,_xlpm.b,$D$2:$D$19=$D24,MAX(_xlfn._xlws.FILTER(_xlpm.d,_xlpm.a*_xlpm.b)))</f>
        <v>0.82</v>
      </c>
      <c r="R24" s="1" cm="1">
        <f t="array" ref="R24">_xlfn.LET(_xlpm.d,R$2:R$19,_xlpm.a,$C$2:$C$19=$C24,_xlpm.b,$D$2:$D$19=$D24,MAX(_xlfn._xlws.FILTER(_xlpm.d,_xlpm.a*_xlpm.b)))</f>
        <v>0.87</v>
      </c>
      <c r="S24" s="1" cm="1">
        <f t="array" ref="S24">_xlfn.LET(_xlpm.d,S$2:S$19,_xlpm.a,$C$2:$C$19=$C24,_xlpm.b,$D$2:$D$19=$D24,MAX(_xlfn._xlws.FILTER(_xlpm.d,_xlpm.a*_xlpm.b)))</f>
        <v>0.87</v>
      </c>
    </row>
    <row r="25" spans="1:19" ht="25" customHeight="1">
      <c r="B25" s="6">
        <v>2</v>
      </c>
      <c r="C25" t="s">
        <v>21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0.91</v>
      </c>
      <c r="H25" s="1" cm="1">
        <f t="array" ref="H25">_xlfn.LET(_xlpm.d,H$2:H$19,_xlpm.a,$C$2:$C$19=$C25,_xlpm.b,$D$2:$D$19=$D25,MAX(_xlfn._xlws.FILTER(_xlpm.d,_xlpm.a*_xlpm.b)))</f>
        <v>0.92</v>
      </c>
      <c r="I25" s="1" cm="1">
        <f t="array" ref="I25">_xlfn.LET(_xlpm.d,I$2:I$19,_xlpm.a,$C$2:$C$19=$C25,_xlpm.b,$D$2:$D$19=$D25,MAX(_xlfn._xlws.FILTER(_xlpm.d,_xlpm.a*_xlpm.b)))</f>
        <v>0.93</v>
      </c>
      <c r="J25" s="1" cm="1">
        <f t="array" ref="J25">_xlfn.LET(_xlpm.d,J$2:J$19,_xlpm.a,$C$2:$C$19=$C25,_xlpm.b,$D$2:$D$19=$D25,MAX(_xlfn._xlws.FILTER(_xlpm.d,_xlpm.a*_xlpm.b)))</f>
        <v>0.89</v>
      </c>
      <c r="K25" s="1" cm="1">
        <f t="array" ref="K25">_xlfn.LET(_xlpm.d,K$2:K$19,_xlpm.a,$C$2:$C$19=$C25,_xlpm.b,$D$2:$D$19=$D25,MAX(_xlfn._xlws.FILTER(_xlpm.d,_xlpm.a*_xlpm.b)))</f>
        <v>0.84</v>
      </c>
      <c r="L25" s="1" cm="1">
        <f t="array" ref="L25">_xlfn.LET(_xlpm.d,L$2:L$19,_xlpm.a,$C$2:$C$19=$C25,_xlpm.b,$D$2:$D$19=$D25,MAX(_xlfn._xlws.FILTER(_xlpm.d,_xlpm.a*_xlpm.b)))</f>
        <v>0.83</v>
      </c>
      <c r="M25" s="1" cm="1">
        <f t="array" ref="M25">_xlfn.LET(_xlpm.d,M$2:M$19,_xlpm.a,$C$2:$C$19=$C25,_xlpm.b,$D$2:$D$19=$D25,MAX(_xlfn._xlws.FILTER(_xlpm.d,_xlpm.a*_xlpm.b)))</f>
        <v>0.91</v>
      </c>
      <c r="N25" s="1" cm="1">
        <f t="array" ref="N25">_xlfn.LET(_xlpm.d,N$2:N$19,_xlpm.a,$C$2:$C$19=$C25,_xlpm.b,$D$2:$D$19=$D25,MAX(_xlfn._xlws.FILTER(_xlpm.d,_xlpm.a*_xlpm.b)))</f>
        <v>0.94</v>
      </c>
      <c r="O25" s="1" cm="1">
        <f t="array" ref="O25">_xlfn.LET(_xlpm.d,O$2:O$19,_xlpm.a,$C$2:$C$19=$C25,_xlpm.b,$D$2:$D$19=$D25,MAX(_xlfn._xlws.FILTER(_xlpm.d,_xlpm.a*_xlpm.b)))</f>
        <v>0.93</v>
      </c>
      <c r="P25" s="1" cm="1">
        <f t="array" ref="P25">_xlfn.LET(_xlpm.d,P$2:P$19,_xlpm.a,$C$2:$C$19=$C25,_xlpm.b,$D$2:$D$19=$D25,MAX(_xlfn._xlws.FILTER(_xlpm.d,_xlpm.a*_xlpm.b)))</f>
        <v>0.91</v>
      </c>
      <c r="Q25" s="1" cm="1">
        <f t="array" ref="Q25">_xlfn.LET(_xlpm.d,Q$2:Q$19,_xlpm.a,$C$2:$C$19=$C25,_xlpm.b,$D$2:$D$19=$D25,MAX(_xlfn._xlws.FILTER(_xlpm.d,_xlpm.a*_xlpm.b)))</f>
        <v>0.89</v>
      </c>
      <c r="R25" s="1" cm="1">
        <f t="array" ref="R25">_xlfn.LET(_xlpm.d,R$2:R$19,_xlpm.a,$C$2:$C$19=$C25,_xlpm.b,$D$2:$D$19=$D25,MAX(_xlfn._xlws.FILTER(_xlpm.d,_xlpm.a*_xlpm.b)))</f>
        <v>0.86</v>
      </c>
      <c r="S25" s="1" cm="1">
        <f t="array" ref="S25">_xlfn.LET(_xlpm.d,S$2:S$19,_xlpm.a,$C$2:$C$19=$C25,_xlpm.b,$D$2:$D$19=$D25,MAX(_xlfn._xlws.FILTER(_xlpm.d,_xlpm.a*_xlpm.b)))</f>
        <v>0.94</v>
      </c>
    </row>
    <row r="26" spans="1:19" ht="25" customHeight="1">
      <c r="B26" s="6">
        <v>2</v>
      </c>
      <c r="C26" t="s">
        <v>21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0.7</v>
      </c>
      <c r="H26" s="1" cm="1">
        <f t="array" ref="H26">_xlfn.LET(_xlpm.d,H$2:H$19,_xlpm.a,$C$2:$C$19=$C26,_xlpm.b,$D$2:$D$19=$D26,MAX(_xlfn._xlws.FILTER(_xlpm.d,_xlpm.a*_xlpm.b)))</f>
        <v>0.7</v>
      </c>
      <c r="I26" s="1" cm="1">
        <f t="array" ref="I26">_xlfn.LET(_xlpm.d,I$2:I$19,_xlpm.a,$C$2:$C$19=$C26,_xlpm.b,$D$2:$D$19=$D26,MAX(_xlfn._xlws.FILTER(_xlpm.d,_xlpm.a*_xlpm.b)))</f>
        <v>0.71</v>
      </c>
      <c r="J26" s="1" cm="1">
        <f t="array" ref="J26">_xlfn.LET(_xlpm.d,J$2:J$19,_xlpm.a,$C$2:$C$19=$C26,_xlpm.b,$D$2:$D$19=$D26,MAX(_xlfn._xlws.FILTER(_xlpm.d,_xlpm.a*_xlpm.b)))</f>
        <v>0.71</v>
      </c>
      <c r="K26" s="1" cm="1">
        <f t="array" ref="K26">_xlfn.LET(_xlpm.d,K$2:K$19,_xlpm.a,$C$2:$C$19=$C26,_xlpm.b,$D$2:$D$19=$D26,MAX(_xlfn._xlws.FILTER(_xlpm.d,_xlpm.a*_xlpm.b)))</f>
        <v>0.77</v>
      </c>
      <c r="L26" s="1" cm="1">
        <f t="array" ref="L26">_xlfn.LET(_xlpm.d,L$2:L$19,_xlpm.a,$C$2:$C$19=$C26,_xlpm.b,$D$2:$D$19=$D26,MAX(_xlfn._xlws.FILTER(_xlpm.d,_xlpm.a*_xlpm.b)))</f>
        <v>0.73</v>
      </c>
      <c r="M26" s="1" cm="1">
        <f t="array" ref="M26">_xlfn.LET(_xlpm.d,M$2:M$19,_xlpm.a,$C$2:$C$19=$C26,_xlpm.b,$D$2:$D$19=$D26,MAX(_xlfn._xlws.FILTER(_xlpm.d,_xlpm.a*_xlpm.b)))</f>
        <v>0.72</v>
      </c>
      <c r="N26" s="1" cm="1">
        <f t="array" ref="N26">_xlfn.LET(_xlpm.d,N$2:N$19,_xlpm.a,$C$2:$C$19=$C26,_xlpm.b,$D$2:$D$19=$D26,MAX(_xlfn._xlws.FILTER(_xlpm.d,_xlpm.a*_xlpm.b)))</f>
        <v>0.71</v>
      </c>
      <c r="O26" s="1" cm="1">
        <f t="array" ref="O26">_xlfn.LET(_xlpm.d,O$2:O$19,_xlpm.a,$C$2:$C$19=$C26,_xlpm.b,$D$2:$D$19=$D26,MAX(_xlfn._xlws.FILTER(_xlpm.d,_xlpm.a*_xlpm.b)))</f>
        <v>0.72</v>
      </c>
      <c r="P26" s="1" cm="1">
        <f t="array" ref="P26">_xlfn.LET(_xlpm.d,P$2:P$19,_xlpm.a,$C$2:$C$19=$C26,_xlpm.b,$D$2:$D$19=$D26,MAX(_xlfn._xlws.FILTER(_xlpm.d,_xlpm.a*_xlpm.b)))</f>
        <v>0.71</v>
      </c>
      <c r="Q26" s="1" cm="1">
        <f t="array" ref="Q26">_xlfn.LET(_xlpm.d,Q$2:Q$19,_xlpm.a,$C$2:$C$19=$C26,_xlpm.b,$D$2:$D$19=$D26,MAX(_xlfn._xlws.FILTER(_xlpm.d,_xlpm.a*_xlpm.b)))</f>
        <v>0.71</v>
      </c>
      <c r="R26" s="1" cm="1">
        <f t="array" ref="R26">_xlfn.LET(_xlpm.d,R$2:R$19,_xlpm.a,$C$2:$C$19=$C26,_xlpm.b,$D$2:$D$19=$D26,MAX(_xlfn._xlws.FILTER(_xlpm.d,_xlpm.a*_xlpm.b)))</f>
        <v>0.71</v>
      </c>
      <c r="S26" s="1" cm="1">
        <f t="array" ref="S26">_xlfn.LET(_xlpm.d,S$2:S$19,_xlpm.a,$C$2:$C$19=$C26,_xlpm.b,$D$2:$D$19=$D26,MAX(_xlfn._xlws.FILTER(_xlpm.d,_xlpm.a*_xlpm.b)))</f>
        <v>0.77</v>
      </c>
    </row>
    <row r="27" spans="1:19" ht="25" customHeight="1">
      <c r="B27" s="6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0.48</v>
      </c>
      <c r="H27" s="1" cm="1">
        <f t="array" ref="H27">_xlfn.LET(_xlpm.d,H$2:H$19,_xlpm.a,$C$2:$C$19=$C27,_xlpm.b,$D$2:$D$19=$D27,MAX(_xlfn._xlws.FILTER(_xlpm.d,_xlpm.a*_xlpm.b)))</f>
        <v>0.56999999999999995</v>
      </c>
      <c r="I27" s="1" cm="1">
        <f t="array" ref="I27">_xlfn.LET(_xlpm.d,I$2:I$19,_xlpm.a,$C$2:$C$19=$C27,_xlpm.b,$D$2:$D$19=$D27,MAX(_xlfn._xlws.FILTER(_xlpm.d,_xlpm.a*_xlpm.b)))</f>
        <v>0.62</v>
      </c>
      <c r="J27" s="1" cm="1">
        <f t="array" ref="J27">_xlfn.LET(_xlpm.d,J$2:J$19,_xlpm.a,$C$2:$C$19=$C27,_xlpm.b,$D$2:$D$19=$D27,MAX(_xlfn._xlws.FILTER(_xlpm.d,_xlpm.a*_xlpm.b)))</f>
        <v>0.56000000000000005</v>
      </c>
      <c r="K27" s="1" cm="1">
        <f t="array" ref="K27">_xlfn.LET(_xlpm.d,K$2:K$19,_xlpm.a,$C$2:$C$19=$C27,_xlpm.b,$D$2:$D$19=$D27,MAX(_xlfn._xlws.FILTER(_xlpm.d,_xlpm.a*_xlpm.b)))</f>
        <v>0.48</v>
      </c>
      <c r="L27" s="1" cm="1">
        <f t="array" ref="L27">_xlfn.LET(_xlpm.d,L$2:L$19,_xlpm.a,$C$2:$C$19=$C27,_xlpm.b,$D$2:$D$19=$D27,MAX(_xlfn._xlws.FILTER(_xlpm.d,_xlpm.a*_xlpm.b)))</f>
        <v>0.47</v>
      </c>
      <c r="M27" s="1" cm="1">
        <f t="array" ref="M27">_xlfn.LET(_xlpm.d,M$2:M$19,_xlpm.a,$C$2:$C$19=$C27,_xlpm.b,$D$2:$D$19=$D27,MAX(_xlfn._xlws.FILTER(_xlpm.d,_xlpm.a*_xlpm.b)))</f>
        <v>0.56000000000000005</v>
      </c>
      <c r="N27" s="1" cm="1">
        <f t="array" ref="N27">_xlfn.LET(_xlpm.d,N$2:N$19,_xlpm.a,$C$2:$C$19=$C27,_xlpm.b,$D$2:$D$19=$D27,MAX(_xlfn._xlws.FILTER(_xlpm.d,_xlpm.a*_xlpm.b)))</f>
        <v>0.51</v>
      </c>
      <c r="O27" s="1" cm="1">
        <f t="array" ref="O27">_xlfn.LET(_xlpm.d,O$2:O$19,_xlpm.a,$C$2:$C$19=$C27,_xlpm.b,$D$2:$D$19=$D27,MAX(_xlfn._xlws.FILTER(_xlpm.d,_xlpm.a*_xlpm.b)))</f>
        <v>0.51</v>
      </c>
      <c r="P27" s="1" cm="1">
        <f t="array" ref="P27">_xlfn.LET(_xlpm.d,P$2:P$19,_xlpm.a,$C$2:$C$19=$C27,_xlpm.b,$D$2:$D$19=$D27,MAX(_xlfn._xlws.FILTER(_xlpm.d,_xlpm.a*_xlpm.b)))</f>
        <v>0.6</v>
      </c>
      <c r="Q27" s="1" cm="1">
        <f t="array" ref="Q27">_xlfn.LET(_xlpm.d,Q$2:Q$19,_xlpm.a,$C$2:$C$19=$C27,_xlpm.b,$D$2:$D$19=$D27,MAX(_xlfn._xlws.FILTER(_xlpm.d,_xlpm.a*_xlpm.b)))</f>
        <v>0.47</v>
      </c>
      <c r="R27" s="1" cm="1">
        <f t="array" ref="R27">_xlfn.LET(_xlpm.d,R$2:R$19,_xlpm.a,$C$2:$C$19=$C27,_xlpm.b,$D$2:$D$19=$D27,MAX(_xlfn._xlws.FILTER(_xlpm.d,_xlpm.a*_xlpm.b)))</f>
        <v>0.46</v>
      </c>
      <c r="S27" s="1" cm="1">
        <f t="array" ref="S27">_xlfn.LET(_xlpm.d,S$2:S$19,_xlpm.a,$C$2:$C$19=$C27,_xlpm.b,$D$2:$D$19=$D27,MAX(_xlfn._xlws.FILTER(_xlpm.d,_xlpm.a*_xlpm.b)))</f>
        <v>0.62</v>
      </c>
    </row>
    <row r="28" spans="1:19" ht="25" customHeight="1">
      <c r="B28" s="6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0.44</v>
      </c>
      <c r="H28" s="1" cm="1">
        <f t="array" ref="H28">_xlfn.LET(_xlpm.d,H$2:H$19,_xlpm.a,$C$2:$C$19=$C28,_xlpm.b,$D$2:$D$19=$D28,MAX(_xlfn._xlws.FILTER(_xlpm.d,_xlpm.a*_xlpm.b)))</f>
        <v>0.46</v>
      </c>
      <c r="I28" s="1" cm="1">
        <f t="array" ref="I28">_xlfn.LET(_xlpm.d,I$2:I$19,_xlpm.a,$C$2:$C$19=$C28,_xlpm.b,$D$2:$D$19=$D28,MAX(_xlfn._xlws.FILTER(_xlpm.d,_xlpm.a*_xlpm.b)))</f>
        <v>0.39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0.41</v>
      </c>
      <c r="L28" s="1" cm="1">
        <f t="array" ref="L28">_xlfn.LET(_xlpm.d,L$2:L$19,_xlpm.a,$C$2:$C$19=$C28,_xlpm.b,$D$2:$D$19=$D28,MAX(_xlfn._xlws.FILTER(_xlpm.d,_xlpm.a*_xlpm.b)))</f>
        <v>0.41</v>
      </c>
      <c r="M28" s="1" cm="1">
        <f t="array" ref="M28">_xlfn.LET(_xlpm.d,M$2:M$19,_xlpm.a,$C$2:$C$19=$C28,_xlpm.b,$D$2:$D$19=$D28,MAX(_xlfn._xlws.FILTER(_xlpm.d,_xlpm.a*_xlpm.b)))</f>
        <v>0.47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0.43</v>
      </c>
      <c r="P28" s="1" cm="1">
        <f t="array" ref="P28">_xlfn.LET(_xlpm.d,P$2:P$19,_xlpm.a,$C$2:$C$19=$C28,_xlpm.b,$D$2:$D$19=$D28,MAX(_xlfn._xlws.FILTER(_xlpm.d,_xlpm.a*_xlpm.b)))</f>
        <v>0.53</v>
      </c>
      <c r="Q28" s="1" cm="1">
        <f t="array" ref="Q28">_xlfn.LET(_xlpm.d,Q$2:Q$19,_xlpm.a,$C$2:$C$19=$C28,_xlpm.b,$D$2:$D$19=$D28,MAX(_xlfn._xlws.FILTER(_xlpm.d,_xlpm.a*_xlpm.b)))</f>
        <v>0.47</v>
      </c>
      <c r="R28" s="1" cm="1">
        <f t="array" ref="R28">_xlfn.LET(_xlpm.d,R$2:R$19,_xlpm.a,$C$2:$C$19=$C28,_xlpm.b,$D$2:$D$19=$D28,MAX(_xlfn._xlws.FILTER(_xlpm.d,_xlpm.a*_xlpm.b)))</f>
        <v>0.45</v>
      </c>
      <c r="S28" s="1" cm="1">
        <f t="array" ref="S28">_xlfn.LET(_xlpm.d,S$2:S$19,_xlpm.a,$C$2:$C$19=$C28,_xlpm.b,$D$2:$D$19=$D28,MAX(_xlfn._xlws.FILTER(_xlpm.d,_xlpm.a*_xlpm.b)))</f>
        <v>0.53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A5E5-F2F9-564D-93FE-C96C18DF621F}">
  <dimension ref="A1:S28"/>
  <sheetViews>
    <sheetView workbookViewId="0"/>
  </sheetViews>
  <sheetFormatPr baseColWidth="10" defaultRowHeight="25" customHeight="1"/>
  <cols>
    <col min="2" max="4" width="9.625" customWidth="1"/>
    <col min="5" max="5" width="8.375" customWidth="1"/>
    <col min="6" max="6" width="9.625" customWidth="1"/>
    <col min="7" max="19" width="8.125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0.82</v>
      </c>
      <c r="H2" s="1">
        <v>0.9</v>
      </c>
      <c r="I2" s="1">
        <v>0.89</v>
      </c>
      <c r="J2" s="1">
        <v>0.79</v>
      </c>
      <c r="K2" s="1">
        <v>0.8</v>
      </c>
      <c r="L2" s="1">
        <v>0.81</v>
      </c>
      <c r="M2" s="1">
        <v>0.85</v>
      </c>
      <c r="N2" s="1">
        <v>0.83</v>
      </c>
      <c r="O2" s="1">
        <v>0.78</v>
      </c>
      <c r="P2" s="1">
        <v>0.82</v>
      </c>
      <c r="Q2" s="1">
        <v>0.79</v>
      </c>
      <c r="R2" s="1">
        <v>0.79</v>
      </c>
      <c r="S2" s="1">
        <f t="shared" ref="S2:S19" si="0">MAX($G2:$R2)</f>
        <v>0.9</v>
      </c>
    </row>
    <row r="3" spans="1:19" ht="25" customHeight="1">
      <c r="A3" t="s">
        <v>16</v>
      </c>
      <c r="B3">
        <v>1</v>
      </c>
      <c r="C3" t="s">
        <v>17</v>
      </c>
      <c r="D3" t="b">
        <v>0</v>
      </c>
      <c r="E3">
        <v>1</v>
      </c>
      <c r="F3" t="s">
        <v>20</v>
      </c>
      <c r="G3" s="1">
        <v>0.82</v>
      </c>
      <c r="H3" s="1">
        <v>0.79</v>
      </c>
      <c r="I3" s="1">
        <v>0.81</v>
      </c>
      <c r="J3" s="1">
        <v>0.8</v>
      </c>
      <c r="K3" s="1">
        <v>0.79</v>
      </c>
      <c r="L3" s="1">
        <v>0.78</v>
      </c>
      <c r="M3" s="1">
        <v>0.83</v>
      </c>
      <c r="N3" s="1">
        <v>0.81</v>
      </c>
      <c r="O3" s="1">
        <v>0.82</v>
      </c>
      <c r="P3" s="1">
        <v>0.8</v>
      </c>
      <c r="Q3" s="1">
        <v>0.8</v>
      </c>
      <c r="R3" s="1">
        <v>0.78</v>
      </c>
      <c r="S3" s="1">
        <f t="shared" si="0"/>
        <v>0.83</v>
      </c>
    </row>
    <row r="4" spans="1:19" ht="25" customHeight="1">
      <c r="A4" t="s">
        <v>16</v>
      </c>
      <c r="B4">
        <v>1</v>
      </c>
      <c r="C4" t="s">
        <v>17</v>
      </c>
      <c r="D4" t="b">
        <v>0</v>
      </c>
      <c r="E4">
        <v>2</v>
      </c>
      <c r="F4" t="s">
        <v>19</v>
      </c>
      <c r="G4" s="1">
        <v>0.81</v>
      </c>
      <c r="H4" s="1">
        <v>0.81</v>
      </c>
      <c r="I4" s="1">
        <v>0.84</v>
      </c>
      <c r="J4" s="1">
        <v>0.83</v>
      </c>
      <c r="K4" s="1">
        <v>0.84</v>
      </c>
      <c r="L4" s="1">
        <v>0.81</v>
      </c>
      <c r="M4" s="1">
        <v>0.83</v>
      </c>
      <c r="N4" s="1">
        <v>0.79</v>
      </c>
      <c r="O4" s="1">
        <v>0.85</v>
      </c>
      <c r="P4" s="1">
        <v>0.78</v>
      </c>
      <c r="Q4" s="1">
        <v>0.83</v>
      </c>
      <c r="R4" s="1">
        <v>0.81</v>
      </c>
      <c r="S4" s="1">
        <f t="shared" si="0"/>
        <v>0.85</v>
      </c>
    </row>
    <row r="5" spans="1:19" ht="25" customHeight="1">
      <c r="A5" t="s">
        <v>16</v>
      </c>
      <c r="B5">
        <v>1</v>
      </c>
      <c r="C5" t="s">
        <v>17</v>
      </c>
      <c r="D5" t="b">
        <v>1</v>
      </c>
      <c r="E5">
        <v>2</v>
      </c>
      <c r="F5" t="s">
        <v>19</v>
      </c>
      <c r="G5" s="1">
        <v>0.91</v>
      </c>
      <c r="H5" s="1">
        <v>0.88</v>
      </c>
      <c r="I5" s="1">
        <v>0.85</v>
      </c>
      <c r="J5" s="1">
        <v>0.86</v>
      </c>
      <c r="K5" s="1">
        <v>0.81</v>
      </c>
      <c r="L5" s="1">
        <v>0.81</v>
      </c>
      <c r="M5" s="1">
        <v>0.9</v>
      </c>
      <c r="N5" s="1">
        <v>0.83</v>
      </c>
      <c r="O5" s="1">
        <v>0.89</v>
      </c>
      <c r="P5" s="1">
        <v>0.88</v>
      </c>
      <c r="Q5" s="1">
        <v>0.84</v>
      </c>
      <c r="R5" s="1">
        <v>0.84</v>
      </c>
      <c r="S5" s="1">
        <f t="shared" si="0"/>
        <v>0.91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18</v>
      </c>
      <c r="G6" s="1">
        <v>0.85</v>
      </c>
      <c r="H6" s="1">
        <v>0.78</v>
      </c>
      <c r="I6" s="1">
        <v>0.83</v>
      </c>
      <c r="J6" s="1">
        <v>0.82</v>
      </c>
      <c r="K6" s="1">
        <v>0.83</v>
      </c>
      <c r="L6" s="1">
        <v>0.81</v>
      </c>
      <c r="M6" s="1">
        <v>0.78</v>
      </c>
      <c r="N6" s="1">
        <v>0.79</v>
      </c>
      <c r="O6" s="1">
        <v>0.8</v>
      </c>
      <c r="P6" s="1">
        <v>0.81</v>
      </c>
      <c r="Q6" s="1">
        <v>0.79</v>
      </c>
      <c r="R6" s="1">
        <v>0.79</v>
      </c>
      <c r="S6" s="1">
        <f t="shared" si="0"/>
        <v>0.85</v>
      </c>
    </row>
    <row r="7" spans="1:19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18</v>
      </c>
      <c r="G7" s="1">
        <v>0.88</v>
      </c>
      <c r="H7" s="1">
        <v>0.85</v>
      </c>
      <c r="I7" s="1">
        <v>0.84</v>
      </c>
      <c r="J7" s="1">
        <v>0.82</v>
      </c>
      <c r="K7" s="1">
        <v>0.82</v>
      </c>
      <c r="L7" s="1">
        <v>0.81</v>
      </c>
      <c r="M7" s="1">
        <v>0.92</v>
      </c>
      <c r="N7" s="1">
        <v>0.82</v>
      </c>
      <c r="O7" s="1">
        <v>0.82</v>
      </c>
      <c r="P7" s="1">
        <v>0.83</v>
      </c>
      <c r="Q7" s="1">
        <v>0.8</v>
      </c>
      <c r="R7" s="1">
        <v>0.81</v>
      </c>
      <c r="S7" s="1">
        <f t="shared" si="0"/>
        <v>0.92</v>
      </c>
    </row>
    <row r="8" spans="1:19" ht="25" customHeight="1">
      <c r="A8" t="s">
        <v>16</v>
      </c>
      <c r="B8">
        <v>2</v>
      </c>
      <c r="C8" t="s">
        <v>21</v>
      </c>
      <c r="D8" t="b">
        <v>0</v>
      </c>
      <c r="E8">
        <v>1</v>
      </c>
      <c r="F8" t="s">
        <v>20</v>
      </c>
      <c r="G8" s="1">
        <v>0.49</v>
      </c>
      <c r="H8" s="1">
        <v>0.52</v>
      </c>
      <c r="I8" s="1">
        <v>0.56000000000000005</v>
      </c>
      <c r="J8" s="1">
        <v>0.45</v>
      </c>
      <c r="K8" s="1">
        <v>0.48</v>
      </c>
      <c r="L8" s="1">
        <v>0.49</v>
      </c>
      <c r="M8" s="1">
        <v>0.5</v>
      </c>
      <c r="N8" s="1">
        <v>0.54</v>
      </c>
      <c r="O8" s="1">
        <v>0.54</v>
      </c>
      <c r="P8" s="1">
        <v>0.49</v>
      </c>
      <c r="Q8" s="1">
        <v>0.49</v>
      </c>
      <c r="R8" s="1">
        <v>0.48</v>
      </c>
      <c r="S8" s="1">
        <f t="shared" si="0"/>
        <v>0.56000000000000005</v>
      </c>
    </row>
    <row r="9" spans="1:19" ht="25" customHeight="1">
      <c r="A9" t="s">
        <v>16</v>
      </c>
      <c r="B9">
        <v>2</v>
      </c>
      <c r="C9" t="s">
        <v>21</v>
      </c>
      <c r="D9" t="b">
        <v>0</v>
      </c>
      <c r="E9">
        <v>2</v>
      </c>
      <c r="F9" t="s">
        <v>19</v>
      </c>
      <c r="G9" s="1">
        <v>0.67</v>
      </c>
      <c r="H9" s="1">
        <v>0.63</v>
      </c>
      <c r="I9" s="1">
        <v>0.57999999999999996</v>
      </c>
      <c r="J9" s="1">
        <v>0.62</v>
      </c>
      <c r="K9" s="1">
        <v>0.66</v>
      </c>
      <c r="L9" s="1">
        <v>0.65</v>
      </c>
      <c r="M9" s="1">
        <v>0.57999999999999996</v>
      </c>
      <c r="N9" s="1">
        <v>0.61</v>
      </c>
      <c r="O9" s="1">
        <v>0.62</v>
      </c>
      <c r="P9" s="1">
        <v>0.62</v>
      </c>
      <c r="Q9" s="1">
        <v>0.6</v>
      </c>
      <c r="R9" s="1">
        <v>0.56000000000000005</v>
      </c>
      <c r="S9" s="1">
        <f t="shared" si="0"/>
        <v>0.67</v>
      </c>
    </row>
    <row r="10" spans="1:19" ht="25" customHeight="1">
      <c r="A10" t="s">
        <v>16</v>
      </c>
      <c r="B10">
        <v>2</v>
      </c>
      <c r="C10" t="s">
        <v>21</v>
      </c>
      <c r="D10" t="b">
        <v>0</v>
      </c>
      <c r="E10">
        <v>3</v>
      </c>
      <c r="F10" t="s">
        <v>18</v>
      </c>
      <c r="G10" s="1">
        <v>0.56000000000000005</v>
      </c>
      <c r="H10" s="1">
        <v>0.65</v>
      </c>
      <c r="I10" s="1">
        <v>0.67</v>
      </c>
      <c r="J10" s="1">
        <v>0.66</v>
      </c>
      <c r="K10" s="1">
        <v>0.62</v>
      </c>
      <c r="L10" s="1">
        <v>0.67</v>
      </c>
      <c r="M10" s="1">
        <v>0.64</v>
      </c>
      <c r="N10" s="1">
        <v>0.63</v>
      </c>
      <c r="O10" s="1">
        <v>0.65</v>
      </c>
      <c r="P10" s="1">
        <v>0.63</v>
      </c>
      <c r="Q10" s="1">
        <v>0.66</v>
      </c>
      <c r="R10" s="1">
        <v>0.56999999999999995</v>
      </c>
      <c r="S10" s="1">
        <f t="shared" si="0"/>
        <v>0.67</v>
      </c>
    </row>
    <row r="11" spans="1:19" ht="25" customHeight="1">
      <c r="A11" t="s">
        <v>16</v>
      </c>
      <c r="B11">
        <v>2</v>
      </c>
      <c r="C11" t="s">
        <v>21</v>
      </c>
      <c r="D11" t="b">
        <v>1</v>
      </c>
      <c r="E11">
        <v>2</v>
      </c>
      <c r="F11" t="s">
        <v>19</v>
      </c>
      <c r="G11" s="1">
        <v>0.69</v>
      </c>
      <c r="H11" s="1">
        <v>0.73</v>
      </c>
      <c r="I11" s="1">
        <v>0.43</v>
      </c>
      <c r="J11" s="1">
        <v>0.63</v>
      </c>
      <c r="K11" s="1">
        <v>0.64</v>
      </c>
      <c r="L11" s="1">
        <v>0.64</v>
      </c>
      <c r="M11" s="1">
        <v>0.68</v>
      </c>
      <c r="N11" s="1">
        <v>0.66</v>
      </c>
      <c r="O11" s="1">
        <v>0.67</v>
      </c>
      <c r="P11" s="1">
        <v>0.62</v>
      </c>
      <c r="Q11" s="1">
        <v>0.57999999999999996</v>
      </c>
      <c r="R11" s="1">
        <v>0.53</v>
      </c>
      <c r="S11" s="1">
        <f t="shared" si="0"/>
        <v>0.73</v>
      </c>
    </row>
    <row r="12" spans="1:19" ht="25" customHeight="1">
      <c r="A12" t="s">
        <v>16</v>
      </c>
      <c r="B12">
        <v>2</v>
      </c>
      <c r="C12" t="s">
        <v>21</v>
      </c>
      <c r="D12" t="b">
        <v>1</v>
      </c>
      <c r="E12">
        <v>3</v>
      </c>
      <c r="F12" t="s">
        <v>18</v>
      </c>
      <c r="G12" s="1">
        <v>0.59</v>
      </c>
      <c r="H12" s="1">
        <v>0.66</v>
      </c>
      <c r="I12" s="1">
        <v>0.66</v>
      </c>
      <c r="J12" s="1">
        <v>0.65</v>
      </c>
      <c r="K12" s="1">
        <v>0.67</v>
      </c>
      <c r="L12" s="1">
        <v>0.68</v>
      </c>
      <c r="M12" s="1">
        <v>0.68</v>
      </c>
      <c r="N12" s="1">
        <v>0.62</v>
      </c>
      <c r="O12" s="1">
        <v>0.62</v>
      </c>
      <c r="P12" s="1">
        <v>0.57999999999999996</v>
      </c>
      <c r="Q12" s="1">
        <v>0.64</v>
      </c>
      <c r="R12" s="1">
        <v>0.62</v>
      </c>
      <c r="S12" s="1">
        <f t="shared" si="0"/>
        <v>0.68</v>
      </c>
    </row>
    <row r="13" spans="1:19" ht="25" customHeight="1">
      <c r="A13" t="s">
        <v>16</v>
      </c>
      <c r="B13">
        <v>2</v>
      </c>
      <c r="C13" t="s">
        <v>21</v>
      </c>
      <c r="D13" t="b">
        <v>1</v>
      </c>
      <c r="E13">
        <v>1</v>
      </c>
      <c r="F13" t="s">
        <v>20</v>
      </c>
      <c r="G13" s="1">
        <v>0.53</v>
      </c>
      <c r="H13" s="1">
        <v>0.57999999999999996</v>
      </c>
      <c r="I13" s="1">
        <v>0.56000000000000005</v>
      </c>
      <c r="J13" s="1">
        <v>0.51</v>
      </c>
      <c r="K13" s="1">
        <v>0.47</v>
      </c>
      <c r="L13" s="1">
        <v>0.45</v>
      </c>
      <c r="M13" s="1">
        <v>0.62</v>
      </c>
      <c r="N13" s="1">
        <v>0.52</v>
      </c>
      <c r="O13" s="1">
        <v>0.49</v>
      </c>
      <c r="P13" s="1">
        <v>0.48</v>
      </c>
      <c r="Q13" s="1">
        <v>0.4</v>
      </c>
      <c r="R13" s="1">
        <v>0.47</v>
      </c>
      <c r="S13" s="1">
        <f t="shared" si="0"/>
        <v>0.62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3</v>
      </c>
      <c r="F14" t="s">
        <v>18</v>
      </c>
      <c r="G14" s="1">
        <v>0.45</v>
      </c>
      <c r="H14" s="1">
        <v>0.4</v>
      </c>
      <c r="I14" s="1">
        <v>0.39</v>
      </c>
      <c r="J14" s="1">
        <v>0.35</v>
      </c>
      <c r="K14" s="1">
        <v>0.4</v>
      </c>
      <c r="L14" s="1">
        <v>0.44</v>
      </c>
      <c r="M14" s="1">
        <v>0.46</v>
      </c>
      <c r="N14" s="1">
        <v>0.45</v>
      </c>
      <c r="O14" s="1">
        <v>0.49</v>
      </c>
      <c r="P14" s="1">
        <v>0.41</v>
      </c>
      <c r="Q14" s="1">
        <v>0.39</v>
      </c>
      <c r="R14" s="1">
        <v>0.42</v>
      </c>
      <c r="S14" s="1">
        <f t="shared" si="0"/>
        <v>0.49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1</v>
      </c>
      <c r="F15" t="s">
        <v>20</v>
      </c>
      <c r="G15" s="1">
        <v>0.52</v>
      </c>
      <c r="H15" s="1">
        <v>0.49</v>
      </c>
      <c r="I15" s="1">
        <v>0.47</v>
      </c>
      <c r="J15" s="1">
        <v>0.48</v>
      </c>
      <c r="K15" s="1">
        <v>0.4</v>
      </c>
      <c r="L15" s="1">
        <v>0.41</v>
      </c>
      <c r="M15" s="1">
        <v>0.5</v>
      </c>
      <c r="N15" s="1">
        <v>0.46</v>
      </c>
      <c r="O15" s="1">
        <v>0.5</v>
      </c>
      <c r="P15" s="1">
        <v>0.46</v>
      </c>
      <c r="Q15" s="1">
        <v>0.41</v>
      </c>
      <c r="R15" s="1">
        <v>0.44</v>
      </c>
      <c r="S15" s="1">
        <f t="shared" si="0"/>
        <v>0.52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2</v>
      </c>
      <c r="F16" t="s">
        <v>19</v>
      </c>
      <c r="G16" s="1">
        <v>0.55000000000000004</v>
      </c>
      <c r="H16" s="1">
        <v>0.59</v>
      </c>
      <c r="I16" s="1">
        <v>0.52</v>
      </c>
      <c r="J16" s="1">
        <v>0.5</v>
      </c>
      <c r="K16" s="1">
        <v>0.47</v>
      </c>
      <c r="L16" s="1">
        <v>0.53</v>
      </c>
      <c r="M16" s="1">
        <v>0.5</v>
      </c>
      <c r="N16" s="1">
        <v>0.51</v>
      </c>
      <c r="O16" s="1">
        <v>0.52</v>
      </c>
      <c r="P16" s="1">
        <v>0.56000000000000005</v>
      </c>
      <c r="Q16" s="1">
        <v>0.52</v>
      </c>
      <c r="R16" s="1">
        <v>0.53</v>
      </c>
      <c r="S16" s="1">
        <f t="shared" si="0"/>
        <v>0.59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2</v>
      </c>
      <c r="F17" t="s">
        <v>19</v>
      </c>
      <c r="G17" s="1">
        <v>0.45</v>
      </c>
      <c r="H17" s="1">
        <v>0.43</v>
      </c>
      <c r="I17" s="1">
        <v>0.4</v>
      </c>
      <c r="J17" s="1">
        <v>0.42</v>
      </c>
      <c r="K17" s="1">
        <v>0.41</v>
      </c>
      <c r="L17" s="1">
        <v>0.49</v>
      </c>
      <c r="M17" s="1">
        <v>0.44</v>
      </c>
      <c r="N17" s="1">
        <v>0.4</v>
      </c>
      <c r="O17" s="1">
        <v>0.44</v>
      </c>
      <c r="P17" s="1">
        <v>0.43</v>
      </c>
      <c r="Q17" s="1">
        <v>0.44</v>
      </c>
      <c r="R17" s="1">
        <v>0.45</v>
      </c>
      <c r="S17" s="1">
        <f t="shared" si="0"/>
        <v>0.49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1</v>
      </c>
      <c r="F18" t="s">
        <v>20</v>
      </c>
      <c r="G18" s="1">
        <v>0.37</v>
      </c>
      <c r="H18" s="1">
        <v>0.37</v>
      </c>
      <c r="I18" s="1">
        <v>0.39</v>
      </c>
      <c r="J18" s="1">
        <v>0.37</v>
      </c>
      <c r="K18" s="1">
        <v>0.35</v>
      </c>
      <c r="L18" s="1">
        <v>0.39</v>
      </c>
      <c r="M18" s="1">
        <v>0.37</v>
      </c>
      <c r="N18" s="1">
        <v>0.4</v>
      </c>
      <c r="O18" s="1">
        <v>0.35</v>
      </c>
      <c r="P18" s="1">
        <v>0.39</v>
      </c>
      <c r="Q18" s="1">
        <v>0.42</v>
      </c>
      <c r="R18" s="1">
        <v>0.38</v>
      </c>
      <c r="S18" s="1">
        <f t="shared" si="0"/>
        <v>0.42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s="1">
        <v>0.38</v>
      </c>
      <c r="H19" s="1">
        <v>0.37</v>
      </c>
      <c r="I19" s="1">
        <v>0.34</v>
      </c>
      <c r="J19" s="1">
        <v>0.33</v>
      </c>
      <c r="K19" s="1">
        <v>0.4</v>
      </c>
      <c r="L19" s="1">
        <v>0.45</v>
      </c>
      <c r="M19" s="1">
        <v>0.34</v>
      </c>
      <c r="N19" s="1">
        <v>0.41</v>
      </c>
      <c r="O19" s="1">
        <v>0.42</v>
      </c>
      <c r="P19" s="1">
        <v>0.37</v>
      </c>
      <c r="Q19" s="1">
        <v>0.41</v>
      </c>
      <c r="R19" s="1">
        <v>0.36</v>
      </c>
      <c r="S19" s="1">
        <f t="shared" si="0"/>
        <v>0.45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 s="6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0.91</v>
      </c>
      <c r="H23" s="1" cm="1">
        <f t="array" ref="H23">_xlfn.LET(_xlpm.d,H$2:H$19,_xlpm.a,$C$2:$C$19=$C23,_xlpm.b,$D$2:$D$19=$D23,MAX(_xlfn._xlws.FILTER(_xlpm.d,_xlpm.a*_xlpm.b)))</f>
        <v>0.9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0.92</v>
      </c>
      <c r="N23" s="1" cm="1">
        <f t="array" ref="N23">_xlfn.LET(_xlpm.d,N$2:N$19,_xlpm.a,$C$2:$C$19=$C23,_xlpm.b,$D$2:$D$19=$D23,MAX(_xlfn._xlws.FILTER(_xlpm.d,_xlpm.a*_xlpm.b)))</f>
        <v>0.83</v>
      </c>
      <c r="O23" s="1" cm="1">
        <f t="array" ref="O23">_xlfn.LET(_xlpm.d,O$2:O$19,_xlpm.a,$C$2:$C$19=$C23,_xlpm.b,$D$2:$D$19=$D23,MAX(_xlfn._xlws.FILTER(_xlpm.d,_xlpm.a*_xlpm.b)))</f>
        <v>0.89</v>
      </c>
      <c r="P23" s="1" cm="1">
        <f t="array" ref="P23">_xlfn.LET(_xlpm.d,P$2:P$19,_xlpm.a,$C$2:$C$19=$C23,_xlpm.b,$D$2:$D$19=$D23,MAX(_xlfn._xlws.FILTER(_xlpm.d,_xlpm.a*_xlpm.b)))</f>
        <v>0.88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0.84</v>
      </c>
      <c r="S23" s="1">
        <f t="shared" ref="S23:S28" si="1">MAX($G23:$R23)</f>
        <v>0.92</v>
      </c>
    </row>
    <row r="24" spans="1:19" ht="25" customHeight="1">
      <c r="B24" s="6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0.85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0.84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0.84</v>
      </c>
      <c r="L24" s="1" cm="1">
        <f t="array" ref="L24">_xlfn.LET(_xlpm.d,L$2:L$19,_xlpm.a,$C$2:$C$19=$C24,_xlpm.b,$D$2:$D$19=$D24,MAX(_xlfn._xlws.FILTER(_xlpm.d,_xlpm.a*_xlpm.b)))</f>
        <v>0.81</v>
      </c>
      <c r="M24" s="1" cm="1">
        <f t="array" ref="M24">_xlfn.LET(_xlpm.d,M$2:M$19,_xlpm.a,$C$2:$C$19=$C24,_xlpm.b,$D$2:$D$19=$D24,MAX(_xlfn._xlws.FILTER(_xlpm.d,_xlpm.a*_xlpm.b)))</f>
        <v>0.83</v>
      </c>
      <c r="N24" s="1" cm="1">
        <f t="array" ref="N24">_xlfn.LET(_xlpm.d,N$2:N$19,_xlpm.a,$C$2:$C$19=$C24,_xlpm.b,$D$2:$D$19=$D24,MAX(_xlfn._xlws.FILTER(_xlpm.d,_xlpm.a*_xlpm.b)))</f>
        <v>0.81</v>
      </c>
      <c r="O24" s="1" cm="1">
        <f t="array" ref="O24">_xlfn.LET(_xlpm.d,O$2:O$19,_xlpm.a,$C$2:$C$19=$C24,_xlpm.b,$D$2:$D$19=$D24,MAX(_xlfn._xlws.FILTER(_xlpm.d,_xlpm.a*_xlpm.b)))</f>
        <v>0.85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0.83</v>
      </c>
      <c r="R24" s="1" cm="1">
        <f t="array" ref="R24">_xlfn.LET(_xlpm.d,R$2:R$19,_xlpm.a,$C$2:$C$19=$C24,_xlpm.b,$D$2:$D$19=$D24,MAX(_xlfn._xlws.FILTER(_xlpm.d,_xlpm.a*_xlpm.b)))</f>
        <v>0.81</v>
      </c>
      <c r="S24" s="1">
        <f t="shared" si="1"/>
        <v>0.85</v>
      </c>
    </row>
    <row r="25" spans="1:19" ht="25" customHeight="1">
      <c r="B25" s="6">
        <v>2</v>
      </c>
      <c r="C25" t="s">
        <v>21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0.69</v>
      </c>
      <c r="H25" s="1" cm="1">
        <f t="array" ref="H25">_xlfn.LET(_xlpm.d,H$2:H$19,_xlpm.a,$C$2:$C$19=$C25,_xlpm.b,$D$2:$D$19=$D25,MAX(_xlfn._xlws.FILTER(_xlpm.d,_xlpm.a*_xlpm.b)))</f>
        <v>0.73</v>
      </c>
      <c r="I25" s="1" cm="1">
        <f t="array" ref="I25">_xlfn.LET(_xlpm.d,I$2:I$19,_xlpm.a,$C$2:$C$19=$C25,_xlpm.b,$D$2:$D$19=$D25,MAX(_xlfn._xlws.FILTER(_xlpm.d,_xlpm.a*_xlpm.b)))</f>
        <v>0.66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0.67</v>
      </c>
      <c r="L25" s="1" cm="1">
        <f t="array" ref="L25">_xlfn.LET(_xlpm.d,L$2:L$19,_xlpm.a,$C$2:$C$19=$C25,_xlpm.b,$D$2:$D$19=$D25,MAX(_xlfn._xlws.FILTER(_xlpm.d,_xlpm.a*_xlpm.b)))</f>
        <v>0.68</v>
      </c>
      <c r="M25" s="1" cm="1">
        <f t="array" ref="M25">_xlfn.LET(_xlpm.d,M$2:M$19,_xlpm.a,$C$2:$C$19=$C25,_xlpm.b,$D$2:$D$19=$D25,MAX(_xlfn._xlws.FILTER(_xlpm.d,_xlpm.a*_xlpm.b)))</f>
        <v>0.68</v>
      </c>
      <c r="N25" s="1" cm="1">
        <f t="array" ref="N25">_xlfn.LET(_xlpm.d,N$2:N$19,_xlpm.a,$C$2:$C$19=$C25,_xlpm.b,$D$2:$D$19=$D25,MAX(_xlfn._xlws.FILTER(_xlpm.d,_xlpm.a*_xlpm.b)))</f>
        <v>0.66</v>
      </c>
      <c r="O25" s="1" cm="1">
        <f t="array" ref="O25">_xlfn.LET(_xlpm.d,O$2:O$19,_xlpm.a,$C$2:$C$19=$C25,_xlpm.b,$D$2:$D$19=$D25,MAX(_xlfn._xlws.FILTER(_xlpm.d,_xlpm.a*_xlpm.b)))</f>
        <v>0.67</v>
      </c>
      <c r="P25" s="1" cm="1">
        <f t="array" ref="P25">_xlfn.LET(_xlpm.d,P$2:P$19,_xlpm.a,$C$2:$C$19=$C25,_xlpm.b,$D$2:$D$19=$D25,MAX(_xlfn._xlws.FILTER(_xlpm.d,_xlpm.a*_xlpm.b)))</f>
        <v>0.62</v>
      </c>
      <c r="Q25" s="1" cm="1">
        <f t="array" ref="Q25">_xlfn.LET(_xlpm.d,Q$2:Q$19,_xlpm.a,$C$2:$C$19=$C25,_xlpm.b,$D$2:$D$19=$D25,MAX(_xlfn._xlws.FILTER(_xlpm.d,_xlpm.a*_xlpm.b)))</f>
        <v>0.64</v>
      </c>
      <c r="R25" s="1" cm="1">
        <f t="array" ref="R25">_xlfn.LET(_xlpm.d,R$2:R$19,_xlpm.a,$C$2:$C$19=$C25,_xlpm.b,$D$2:$D$19=$D25,MAX(_xlfn._xlws.FILTER(_xlpm.d,_xlpm.a*_xlpm.b)))</f>
        <v>0.62</v>
      </c>
      <c r="S25" s="1">
        <f t="shared" si="1"/>
        <v>0.73</v>
      </c>
    </row>
    <row r="26" spans="1:19" ht="25" customHeight="1">
      <c r="B26" s="6">
        <v>2</v>
      </c>
      <c r="C26" t="s">
        <v>21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0.67</v>
      </c>
      <c r="H26" s="1" cm="1">
        <f t="array" ref="H26">_xlfn.LET(_xlpm.d,H$2:H$19,_xlpm.a,$C$2:$C$19=$C26,_xlpm.b,$D$2:$D$19=$D26,MAX(_xlfn._xlws.FILTER(_xlpm.d,_xlpm.a*_xlpm.b)))</f>
        <v>0.65</v>
      </c>
      <c r="I26" s="1" cm="1">
        <f t="array" ref="I26">_xlfn.LET(_xlpm.d,I$2:I$19,_xlpm.a,$C$2:$C$19=$C26,_xlpm.b,$D$2:$D$19=$D26,MAX(_xlfn._xlws.FILTER(_xlpm.d,_xlpm.a*_xlpm.b)))</f>
        <v>0.67</v>
      </c>
      <c r="J26" s="1" cm="1">
        <f t="array" ref="J26">_xlfn.LET(_xlpm.d,J$2:J$19,_xlpm.a,$C$2:$C$19=$C26,_xlpm.b,$D$2:$D$19=$D26,MAX(_xlfn._xlws.FILTER(_xlpm.d,_xlpm.a*_xlpm.b)))</f>
        <v>0.66</v>
      </c>
      <c r="K26" s="1" cm="1">
        <f t="array" ref="K26">_xlfn.LET(_xlpm.d,K$2:K$19,_xlpm.a,$C$2:$C$19=$C26,_xlpm.b,$D$2:$D$19=$D26,MAX(_xlfn._xlws.FILTER(_xlpm.d,_xlpm.a*_xlpm.b)))</f>
        <v>0.66</v>
      </c>
      <c r="L26" s="1" cm="1">
        <f t="array" ref="L26">_xlfn.LET(_xlpm.d,L$2:L$19,_xlpm.a,$C$2:$C$19=$C26,_xlpm.b,$D$2:$D$19=$D26,MAX(_xlfn._xlws.FILTER(_xlpm.d,_xlpm.a*_xlpm.b)))</f>
        <v>0.67</v>
      </c>
      <c r="M26" s="1" cm="1">
        <f t="array" ref="M26">_xlfn.LET(_xlpm.d,M$2:M$19,_xlpm.a,$C$2:$C$19=$C26,_xlpm.b,$D$2:$D$19=$D26,MAX(_xlfn._xlws.FILTER(_xlpm.d,_xlpm.a*_xlpm.b)))</f>
        <v>0.64</v>
      </c>
      <c r="N26" s="1" cm="1">
        <f t="array" ref="N26">_xlfn.LET(_xlpm.d,N$2:N$19,_xlpm.a,$C$2:$C$19=$C26,_xlpm.b,$D$2:$D$19=$D26,MAX(_xlfn._xlws.FILTER(_xlpm.d,_xlpm.a*_xlpm.b)))</f>
        <v>0.63</v>
      </c>
      <c r="O26" s="1" cm="1">
        <f t="array" ref="O26">_xlfn.LET(_xlpm.d,O$2:O$19,_xlpm.a,$C$2:$C$19=$C26,_xlpm.b,$D$2:$D$19=$D26,MAX(_xlfn._xlws.FILTER(_xlpm.d,_xlpm.a*_xlpm.b)))</f>
        <v>0.65</v>
      </c>
      <c r="P26" s="1" cm="1">
        <f t="array" ref="P26">_xlfn.LET(_xlpm.d,P$2:P$19,_xlpm.a,$C$2:$C$19=$C26,_xlpm.b,$D$2:$D$19=$D26,MAX(_xlfn._xlws.FILTER(_xlpm.d,_xlpm.a*_xlpm.b)))</f>
        <v>0.63</v>
      </c>
      <c r="Q26" s="1" cm="1">
        <f t="array" ref="Q26">_xlfn.LET(_xlpm.d,Q$2:Q$19,_xlpm.a,$C$2:$C$19=$C26,_xlpm.b,$D$2:$D$19=$D26,MAX(_xlfn._xlws.FILTER(_xlpm.d,_xlpm.a*_xlpm.b)))</f>
        <v>0.66</v>
      </c>
      <c r="R26" s="1" cm="1">
        <f t="array" ref="R26">_xlfn.LET(_xlpm.d,R$2:R$19,_xlpm.a,$C$2:$C$19=$C26,_xlpm.b,$D$2:$D$19=$D26,MAX(_xlfn._xlws.FILTER(_xlpm.d,_xlpm.a*_xlpm.b)))</f>
        <v>0.56999999999999995</v>
      </c>
      <c r="S26" s="1">
        <f t="shared" si="1"/>
        <v>0.67</v>
      </c>
    </row>
    <row r="27" spans="1:19" ht="25" customHeight="1">
      <c r="B27" s="6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0.55000000000000004</v>
      </c>
      <c r="H27" s="1" cm="1">
        <f t="array" ref="H27">_xlfn.LET(_xlpm.d,H$2:H$19,_xlpm.a,$C$2:$C$19=$C27,_xlpm.b,$D$2:$D$19=$D27,MAX(_xlfn._xlws.FILTER(_xlpm.d,_xlpm.a*_xlpm.b)))</f>
        <v>0.59</v>
      </c>
      <c r="I27" s="1" cm="1">
        <f t="array" ref="I27">_xlfn.LET(_xlpm.d,I$2:I$19,_xlpm.a,$C$2:$C$19=$C27,_xlpm.b,$D$2:$D$19=$D27,MAX(_xlfn._xlws.FILTER(_xlpm.d,_xlpm.a*_xlpm.b)))</f>
        <v>0.52</v>
      </c>
      <c r="J27" s="1" cm="1">
        <f t="array" ref="J27">_xlfn.LET(_xlpm.d,J$2:J$19,_xlpm.a,$C$2:$C$19=$C27,_xlpm.b,$D$2:$D$19=$D27,MAX(_xlfn._xlws.FILTER(_xlpm.d,_xlpm.a*_xlpm.b)))</f>
        <v>0.5</v>
      </c>
      <c r="K27" s="1" cm="1">
        <f t="array" ref="K27">_xlfn.LET(_xlpm.d,K$2:K$19,_xlpm.a,$C$2:$C$19=$C27,_xlpm.b,$D$2:$D$19=$D27,MAX(_xlfn._xlws.FILTER(_xlpm.d,_xlpm.a*_xlpm.b)))</f>
        <v>0.47</v>
      </c>
      <c r="L27" s="1" cm="1">
        <f t="array" ref="L27">_xlfn.LET(_xlpm.d,L$2:L$19,_xlpm.a,$C$2:$C$19=$C27,_xlpm.b,$D$2:$D$19=$D27,MAX(_xlfn._xlws.FILTER(_xlpm.d,_xlpm.a*_xlpm.b)))</f>
        <v>0.53</v>
      </c>
      <c r="M27" s="1" cm="1">
        <f t="array" ref="M27">_xlfn.LET(_xlpm.d,M$2:M$19,_xlpm.a,$C$2:$C$19=$C27,_xlpm.b,$D$2:$D$19=$D27,MAX(_xlfn._xlws.FILTER(_xlpm.d,_xlpm.a*_xlpm.b)))</f>
        <v>0.5</v>
      </c>
      <c r="N27" s="1" cm="1">
        <f t="array" ref="N27">_xlfn.LET(_xlpm.d,N$2:N$19,_xlpm.a,$C$2:$C$19=$C27,_xlpm.b,$D$2:$D$19=$D27,MAX(_xlfn._xlws.FILTER(_xlpm.d,_xlpm.a*_xlpm.b)))</f>
        <v>0.51</v>
      </c>
      <c r="O27" s="1" cm="1">
        <f t="array" ref="O27">_xlfn.LET(_xlpm.d,O$2:O$19,_xlpm.a,$C$2:$C$19=$C27,_xlpm.b,$D$2:$D$19=$D27,MAX(_xlfn._xlws.FILTER(_xlpm.d,_xlpm.a*_xlpm.b)))</f>
        <v>0.52</v>
      </c>
      <c r="P27" s="1" cm="1">
        <f t="array" ref="P27">_xlfn.LET(_xlpm.d,P$2:P$19,_xlpm.a,$C$2:$C$19=$C27,_xlpm.b,$D$2:$D$19=$D27,MAX(_xlfn._xlws.FILTER(_xlpm.d,_xlpm.a*_xlpm.b)))</f>
        <v>0.56000000000000005</v>
      </c>
      <c r="Q27" s="1" cm="1">
        <f t="array" ref="Q27">_xlfn.LET(_xlpm.d,Q$2:Q$19,_xlpm.a,$C$2:$C$19=$C27,_xlpm.b,$D$2:$D$19=$D27,MAX(_xlfn._xlws.FILTER(_xlpm.d,_xlpm.a*_xlpm.b)))</f>
        <v>0.52</v>
      </c>
      <c r="R27" s="1" cm="1">
        <f t="array" ref="R27">_xlfn.LET(_xlpm.d,R$2:R$19,_xlpm.a,$C$2:$C$19=$C27,_xlpm.b,$D$2:$D$19=$D27,MAX(_xlfn._xlws.FILTER(_xlpm.d,_xlpm.a*_xlpm.b)))</f>
        <v>0.53</v>
      </c>
      <c r="S27" s="1">
        <f t="shared" si="1"/>
        <v>0.59</v>
      </c>
    </row>
    <row r="28" spans="1:19" ht="25" customHeight="1">
      <c r="B28" s="6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0.45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0.41</v>
      </c>
      <c r="L28" s="1" cm="1">
        <f t="array" ref="L28">_xlfn.LET(_xlpm.d,L$2:L$19,_xlpm.a,$C$2:$C$19=$C28,_xlpm.b,$D$2:$D$19=$D28,MAX(_xlfn._xlws.FILTER(_xlpm.d,_xlpm.a*_xlpm.b)))</f>
        <v>0.49</v>
      </c>
      <c r="M28" s="1" cm="1">
        <f t="array" ref="M28">_xlfn.LET(_xlpm.d,M$2:M$19,_xlpm.a,$C$2:$C$19=$C28,_xlpm.b,$D$2:$D$19=$D28,MAX(_xlfn._xlws.FILTER(_xlpm.d,_xlpm.a*_xlpm.b)))</f>
        <v>0.44</v>
      </c>
      <c r="N28" s="1" cm="1">
        <f t="array" ref="N28">_xlfn.LET(_xlpm.d,N$2:N$19,_xlpm.a,$C$2:$C$19=$C28,_xlpm.b,$D$2:$D$19=$D28,MAX(_xlfn._xlws.FILTER(_xlpm.d,_xlpm.a*_xlpm.b)))</f>
        <v>0.41</v>
      </c>
      <c r="O28" s="1" cm="1">
        <f t="array" ref="O28">_xlfn.LET(_xlpm.d,O$2:O$19,_xlpm.a,$C$2:$C$19=$C28,_xlpm.b,$D$2:$D$19=$D28,MAX(_xlfn._xlws.FILTER(_xlpm.d,_xlpm.a*_xlpm.b)))</f>
        <v>0.44</v>
      </c>
      <c r="P28" s="1" cm="1">
        <f t="array" ref="P28">_xlfn.LET(_xlpm.d,P$2:P$19,_xlpm.a,$C$2:$C$19=$C28,_xlpm.b,$D$2:$D$19=$D28,MAX(_xlfn._xlws.FILTER(_xlpm.d,_xlpm.a*_xlpm.b)))</f>
        <v>0.43</v>
      </c>
      <c r="Q28" s="1" cm="1">
        <f t="array" ref="Q28">_xlfn.LET(_xlpm.d,Q$2:Q$19,_xlpm.a,$C$2:$C$19=$C28,_xlpm.b,$D$2:$D$19=$D28,MAX(_xlfn._xlws.FILTER(_xlpm.d,_xlpm.a*_xlpm.b)))</f>
        <v>0.44</v>
      </c>
      <c r="R28" s="1" cm="1">
        <f t="array" ref="R28">_xlfn.LET(_xlpm.d,R$2:R$19,_xlpm.a,$C$2:$C$19=$C28,_xlpm.b,$D$2:$D$19=$D28,MAX(_xlfn._xlws.FILTER(_xlpm.d,_xlpm.a*_xlpm.b)))</f>
        <v>0.45</v>
      </c>
      <c r="S28" s="1">
        <f t="shared" si="1"/>
        <v>0.49</v>
      </c>
    </row>
  </sheetData>
  <conditionalFormatting sqref="G23:R28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:S19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4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F86B-F670-AB49-B741-D24BDB96AF78}">
  <dimension ref="A1:S28"/>
  <sheetViews>
    <sheetView workbookViewId="0">
      <pane xSplit="13960" ySplit="3940" topLeftCell="J12" activePane="bottomRight"/>
      <selection activeCell="F1" sqref="F1:F1048576"/>
      <selection pane="topRight" activeCell="T1" sqref="T1"/>
      <selection pane="bottomLeft" activeCell="A8" sqref="A8"/>
      <selection pane="bottomRight" activeCell="M13" sqref="M13"/>
    </sheetView>
  </sheetViews>
  <sheetFormatPr baseColWidth="10" defaultRowHeight="25" customHeight="1"/>
  <cols>
    <col min="2" max="2" width="7" customWidth="1"/>
    <col min="4" max="4" width="9.125" customWidth="1"/>
    <col min="5" max="6" width="8.125" customWidth="1"/>
    <col min="7" max="25" width="8.25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G2" s="1">
        <v>0.75</v>
      </c>
      <c r="H2" s="1">
        <v>0.81</v>
      </c>
      <c r="I2" s="1">
        <v>0.81</v>
      </c>
      <c r="J2" s="1">
        <v>0.8</v>
      </c>
      <c r="K2" s="1">
        <v>0.8</v>
      </c>
      <c r="L2" s="1">
        <v>0.82</v>
      </c>
      <c r="M2" s="1">
        <v>0.83</v>
      </c>
      <c r="N2" s="1">
        <v>0.82</v>
      </c>
      <c r="O2" s="1">
        <v>0.81</v>
      </c>
      <c r="P2" s="1">
        <v>0.81</v>
      </c>
      <c r="Q2" s="1">
        <v>0.76</v>
      </c>
      <c r="R2" s="1">
        <v>0.78</v>
      </c>
      <c r="S2" s="1">
        <f t="shared" ref="S2:S19" si="0">MAX($G2:$O2)</f>
        <v>0.83</v>
      </c>
    </row>
    <row r="3" spans="1:19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19</v>
      </c>
      <c r="G3" s="1">
        <v>0.75</v>
      </c>
      <c r="H3" s="1">
        <v>0.82</v>
      </c>
      <c r="I3" s="1">
        <v>0.81</v>
      </c>
      <c r="J3" s="1">
        <v>0.84</v>
      </c>
      <c r="K3" s="1">
        <v>0.83</v>
      </c>
      <c r="L3" s="1">
        <v>0.85</v>
      </c>
      <c r="M3" s="1">
        <v>0.86</v>
      </c>
      <c r="N3" s="1">
        <v>0.85</v>
      </c>
      <c r="O3" s="1">
        <v>0.84</v>
      </c>
      <c r="P3" s="1">
        <v>0.81</v>
      </c>
      <c r="Q3" s="1">
        <v>0.81</v>
      </c>
      <c r="R3" s="1">
        <v>0.8</v>
      </c>
      <c r="S3" s="1">
        <f t="shared" si="0"/>
        <v>0.86</v>
      </c>
    </row>
    <row r="4" spans="1:19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18</v>
      </c>
      <c r="G4" s="1">
        <v>0.77</v>
      </c>
      <c r="H4" s="1">
        <v>0.84</v>
      </c>
      <c r="I4" s="1">
        <v>0.74</v>
      </c>
      <c r="J4" s="1">
        <v>0.8</v>
      </c>
      <c r="K4" s="1">
        <v>0.83</v>
      </c>
      <c r="L4" s="1">
        <v>0.85</v>
      </c>
      <c r="M4" s="1">
        <v>0.82</v>
      </c>
      <c r="N4" s="1">
        <v>0.85</v>
      </c>
      <c r="O4" s="1">
        <v>0.76</v>
      </c>
      <c r="P4" s="1">
        <v>0.81</v>
      </c>
      <c r="Q4" s="1">
        <v>0.81</v>
      </c>
      <c r="R4" s="1">
        <v>0.81</v>
      </c>
      <c r="S4" s="1">
        <f t="shared" si="0"/>
        <v>0.85</v>
      </c>
    </row>
    <row r="5" spans="1:19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G5" s="1">
        <v>0.84</v>
      </c>
      <c r="H5" s="1">
        <v>0.86</v>
      </c>
      <c r="I5" s="1">
        <v>0.86</v>
      </c>
      <c r="J5" s="1">
        <v>0.86</v>
      </c>
      <c r="K5" s="1">
        <v>0.81</v>
      </c>
      <c r="L5" s="1">
        <v>0.81</v>
      </c>
      <c r="M5" s="1">
        <v>0.9</v>
      </c>
      <c r="N5" s="1">
        <v>0.89</v>
      </c>
      <c r="O5" s="1">
        <v>0.84</v>
      </c>
      <c r="P5" s="1">
        <v>0.82</v>
      </c>
      <c r="Q5" s="1">
        <v>0.81</v>
      </c>
      <c r="R5" s="1">
        <v>0.77</v>
      </c>
      <c r="S5" s="1">
        <f t="shared" si="0"/>
        <v>0.9</v>
      </c>
    </row>
    <row r="6" spans="1:19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19</v>
      </c>
      <c r="G6" s="1">
        <v>0.88</v>
      </c>
      <c r="H6" s="1">
        <v>0.88</v>
      </c>
      <c r="I6" s="1">
        <v>0.85</v>
      </c>
      <c r="J6" s="1">
        <v>0.88</v>
      </c>
      <c r="K6" s="1">
        <v>0.85</v>
      </c>
      <c r="L6" s="1">
        <v>0.88</v>
      </c>
      <c r="M6" s="1">
        <v>0.91</v>
      </c>
      <c r="N6" s="1">
        <v>0.93</v>
      </c>
      <c r="O6" s="1">
        <v>0.88</v>
      </c>
      <c r="P6" s="1">
        <v>0.84</v>
      </c>
      <c r="Q6" s="1">
        <v>0.84</v>
      </c>
      <c r="R6" s="1">
        <v>0.81</v>
      </c>
      <c r="S6" s="1">
        <f t="shared" si="0"/>
        <v>0.93</v>
      </c>
    </row>
    <row r="7" spans="1:19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18</v>
      </c>
      <c r="G7" s="1">
        <v>0.88</v>
      </c>
      <c r="H7" s="1">
        <v>0.88</v>
      </c>
      <c r="I7" s="1">
        <v>0.81</v>
      </c>
      <c r="J7" s="1">
        <v>0.85</v>
      </c>
      <c r="K7" s="1">
        <v>0.82</v>
      </c>
      <c r="L7" s="1">
        <v>0.84</v>
      </c>
      <c r="M7" s="1">
        <v>0.87</v>
      </c>
      <c r="N7" s="1">
        <v>0.9</v>
      </c>
      <c r="O7" s="1">
        <v>0.84</v>
      </c>
      <c r="P7" s="1">
        <v>0.77</v>
      </c>
      <c r="Q7" s="1">
        <v>0.83</v>
      </c>
      <c r="R7" s="1">
        <v>0.8</v>
      </c>
      <c r="S7" s="1">
        <f t="shared" si="0"/>
        <v>0.9</v>
      </c>
    </row>
    <row r="8" spans="1:19" ht="25" customHeight="1">
      <c r="A8" t="s">
        <v>16</v>
      </c>
      <c r="B8">
        <v>2</v>
      </c>
      <c r="C8" t="s">
        <v>21</v>
      </c>
      <c r="D8" t="b">
        <v>0</v>
      </c>
      <c r="E8">
        <v>1</v>
      </c>
      <c r="F8" t="s">
        <v>20</v>
      </c>
      <c r="G8" s="1">
        <v>0.47</v>
      </c>
      <c r="H8" s="1">
        <v>0.48</v>
      </c>
      <c r="I8" s="1">
        <v>0.55000000000000004</v>
      </c>
      <c r="J8" s="1">
        <v>0.49</v>
      </c>
      <c r="K8" s="1">
        <v>0.51</v>
      </c>
      <c r="L8" s="1">
        <v>0.55000000000000004</v>
      </c>
      <c r="M8" s="1">
        <v>0.49</v>
      </c>
      <c r="N8" s="1">
        <v>0.56000000000000005</v>
      </c>
      <c r="O8" s="1">
        <v>0.48</v>
      </c>
      <c r="P8" s="1">
        <v>0.56999999999999995</v>
      </c>
      <c r="Q8" s="1">
        <v>0.49</v>
      </c>
      <c r="R8" s="1">
        <v>0.48</v>
      </c>
      <c r="S8" s="1">
        <f t="shared" si="0"/>
        <v>0.56000000000000005</v>
      </c>
    </row>
    <row r="9" spans="1:19" ht="25" customHeight="1">
      <c r="A9" t="s">
        <v>16</v>
      </c>
      <c r="B9">
        <v>2</v>
      </c>
      <c r="C9" t="s">
        <v>21</v>
      </c>
      <c r="D9" t="b">
        <v>0</v>
      </c>
      <c r="E9">
        <v>2</v>
      </c>
      <c r="F9" t="s">
        <v>19</v>
      </c>
      <c r="G9" s="1">
        <v>0.59</v>
      </c>
      <c r="H9" s="1">
        <v>0.63</v>
      </c>
      <c r="I9" s="1">
        <v>0.64</v>
      </c>
      <c r="J9" s="1">
        <v>0.64</v>
      </c>
      <c r="K9" s="1">
        <v>0.56000000000000005</v>
      </c>
      <c r="L9" s="1">
        <v>0.59</v>
      </c>
      <c r="M9" s="1">
        <v>0.61</v>
      </c>
      <c r="N9" s="1">
        <v>0.67</v>
      </c>
      <c r="O9" s="1">
        <v>0.61</v>
      </c>
      <c r="P9" s="1">
        <v>0.65</v>
      </c>
      <c r="Q9" s="1">
        <v>0.56000000000000005</v>
      </c>
      <c r="R9" s="1">
        <v>0.63</v>
      </c>
      <c r="S9" s="1">
        <f t="shared" si="0"/>
        <v>0.67</v>
      </c>
    </row>
    <row r="10" spans="1:19" ht="25" customHeight="1">
      <c r="A10" t="s">
        <v>16</v>
      </c>
      <c r="B10">
        <v>2</v>
      </c>
      <c r="C10" t="s">
        <v>21</v>
      </c>
      <c r="D10" t="b">
        <v>0</v>
      </c>
      <c r="E10">
        <v>3</v>
      </c>
      <c r="F10" t="s">
        <v>18</v>
      </c>
      <c r="G10" s="1">
        <v>0.56000000000000005</v>
      </c>
      <c r="H10" s="1">
        <v>0.64</v>
      </c>
      <c r="I10" s="1">
        <v>0.64</v>
      </c>
      <c r="J10" s="1">
        <v>0.71</v>
      </c>
      <c r="K10" s="1">
        <v>0.65</v>
      </c>
      <c r="L10" s="1">
        <v>0.6</v>
      </c>
      <c r="M10" s="1">
        <v>0.63</v>
      </c>
      <c r="N10" s="1">
        <v>0.69</v>
      </c>
      <c r="O10" s="1">
        <v>0.59</v>
      </c>
      <c r="P10" s="1">
        <v>0.63</v>
      </c>
      <c r="Q10" s="1">
        <v>0.6</v>
      </c>
      <c r="R10" s="1">
        <v>0.65</v>
      </c>
      <c r="S10" s="1">
        <f t="shared" si="0"/>
        <v>0.71</v>
      </c>
    </row>
    <row r="11" spans="1:19" ht="25" customHeight="1">
      <c r="A11" t="s">
        <v>16</v>
      </c>
      <c r="B11">
        <v>2</v>
      </c>
      <c r="C11" t="s">
        <v>21</v>
      </c>
      <c r="D11" t="b">
        <v>1</v>
      </c>
      <c r="E11">
        <v>1</v>
      </c>
      <c r="F11" t="s">
        <v>20</v>
      </c>
      <c r="G11" s="1">
        <v>0.52</v>
      </c>
      <c r="H11" s="1">
        <v>0.55000000000000004</v>
      </c>
      <c r="I11" s="1">
        <v>0.52</v>
      </c>
      <c r="J11" s="1">
        <v>0.59</v>
      </c>
      <c r="K11" s="1">
        <v>0.48</v>
      </c>
      <c r="L11" s="1">
        <v>0.51</v>
      </c>
      <c r="M11" s="1">
        <v>0.57999999999999996</v>
      </c>
      <c r="N11" s="1">
        <v>0.56000000000000005</v>
      </c>
      <c r="O11" s="1">
        <v>0.56999999999999995</v>
      </c>
      <c r="P11" s="1">
        <v>0.55000000000000004</v>
      </c>
      <c r="Q11" s="1">
        <v>0.48</v>
      </c>
      <c r="R11" s="1">
        <v>0.46</v>
      </c>
      <c r="S11" s="1">
        <f t="shared" si="0"/>
        <v>0.59</v>
      </c>
    </row>
    <row r="12" spans="1:19" ht="25" customHeight="1">
      <c r="A12" t="s">
        <v>16</v>
      </c>
      <c r="B12">
        <v>2</v>
      </c>
      <c r="C12" t="s">
        <v>21</v>
      </c>
      <c r="D12" t="b">
        <v>1</v>
      </c>
      <c r="E12">
        <v>2</v>
      </c>
      <c r="F12" t="s">
        <v>19</v>
      </c>
      <c r="G12" s="1">
        <v>0.64</v>
      </c>
      <c r="H12" s="1">
        <v>0.71</v>
      </c>
      <c r="I12" s="1">
        <v>0.67</v>
      </c>
      <c r="J12" s="1">
        <v>0.65</v>
      </c>
      <c r="K12" s="1">
        <v>0.65</v>
      </c>
      <c r="L12" s="1">
        <v>0.7</v>
      </c>
      <c r="M12" s="1">
        <v>0.69</v>
      </c>
      <c r="N12" s="1">
        <v>0.71</v>
      </c>
      <c r="O12" s="1">
        <v>0.63</v>
      </c>
      <c r="P12" s="1">
        <v>0.68</v>
      </c>
      <c r="Q12" s="1">
        <v>0.59</v>
      </c>
      <c r="R12" s="1">
        <v>0.59</v>
      </c>
      <c r="S12" s="1">
        <f t="shared" si="0"/>
        <v>0.71</v>
      </c>
    </row>
    <row r="13" spans="1:19" ht="25" customHeight="1">
      <c r="A13" t="s">
        <v>16</v>
      </c>
      <c r="B13">
        <v>2</v>
      </c>
      <c r="C13" t="s">
        <v>21</v>
      </c>
      <c r="D13" t="b">
        <v>1</v>
      </c>
      <c r="E13">
        <v>3</v>
      </c>
      <c r="F13" t="s">
        <v>18</v>
      </c>
      <c r="G13" s="1">
        <v>0.6</v>
      </c>
      <c r="H13" s="1">
        <v>0.66</v>
      </c>
      <c r="I13" s="1">
        <v>0.64</v>
      </c>
      <c r="J13" s="1">
        <v>0.68</v>
      </c>
      <c r="K13" s="1">
        <v>0.67</v>
      </c>
      <c r="L13" s="1">
        <v>0.64</v>
      </c>
      <c r="M13" s="1">
        <v>0.62</v>
      </c>
      <c r="N13" s="1">
        <v>0.7</v>
      </c>
      <c r="O13" s="1">
        <v>0.57999999999999996</v>
      </c>
      <c r="P13" s="1">
        <v>0.62</v>
      </c>
      <c r="Q13" s="1">
        <v>0.64</v>
      </c>
      <c r="R13" s="1">
        <v>0.65</v>
      </c>
      <c r="S13" s="1">
        <f t="shared" si="0"/>
        <v>0.7</v>
      </c>
    </row>
    <row r="14" spans="1:19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G14" s="1">
        <v>0.37</v>
      </c>
      <c r="H14" s="1">
        <v>0.37</v>
      </c>
      <c r="I14" s="1">
        <v>0.4</v>
      </c>
      <c r="J14" s="1">
        <v>0.38</v>
      </c>
      <c r="K14" s="1">
        <v>0.37</v>
      </c>
      <c r="L14" s="1">
        <v>0.38</v>
      </c>
      <c r="M14" s="1">
        <v>0.41</v>
      </c>
      <c r="N14" s="1">
        <v>0.35</v>
      </c>
      <c r="O14" s="1">
        <v>0.34</v>
      </c>
      <c r="P14" s="1">
        <v>0.34</v>
      </c>
      <c r="Q14" s="1">
        <v>0.39</v>
      </c>
      <c r="R14" s="1">
        <v>0.34</v>
      </c>
      <c r="S14" s="1">
        <f t="shared" si="0"/>
        <v>0.41</v>
      </c>
    </row>
    <row r="15" spans="1:19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19</v>
      </c>
      <c r="G15" s="1">
        <v>0.42</v>
      </c>
      <c r="H15" s="1">
        <v>0.42</v>
      </c>
      <c r="I15" s="1">
        <v>0.46</v>
      </c>
      <c r="J15" s="1">
        <v>0.46</v>
      </c>
      <c r="K15" s="1">
        <v>0.4</v>
      </c>
      <c r="L15" s="1">
        <v>0.46</v>
      </c>
      <c r="M15" s="1">
        <v>0.37</v>
      </c>
      <c r="N15" s="1">
        <v>0.44</v>
      </c>
      <c r="O15" s="1">
        <v>0.41</v>
      </c>
      <c r="P15" s="1">
        <v>0.37</v>
      </c>
      <c r="Q15" s="1">
        <v>0.52</v>
      </c>
      <c r="R15" s="1">
        <v>0.48</v>
      </c>
      <c r="S15" s="1">
        <f t="shared" si="0"/>
        <v>0.46</v>
      </c>
    </row>
    <row r="16" spans="1:19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18</v>
      </c>
      <c r="G16" s="1">
        <v>0.41</v>
      </c>
      <c r="H16" s="1">
        <v>0.32</v>
      </c>
      <c r="I16" s="1">
        <v>0.44</v>
      </c>
      <c r="J16" s="1">
        <v>0.31</v>
      </c>
      <c r="K16" s="1">
        <v>0.35</v>
      </c>
      <c r="L16" s="1">
        <v>0.34</v>
      </c>
      <c r="M16" s="1">
        <v>0.31</v>
      </c>
      <c r="N16" s="1">
        <v>0.35</v>
      </c>
      <c r="O16" s="1">
        <v>0.34</v>
      </c>
      <c r="P16" s="1">
        <v>0.3</v>
      </c>
      <c r="Q16" s="1">
        <v>0.44</v>
      </c>
      <c r="R16" s="1">
        <v>0.42</v>
      </c>
      <c r="S16" s="1">
        <f t="shared" si="0"/>
        <v>0.44</v>
      </c>
    </row>
    <row r="17" spans="1:19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G17" s="1">
        <v>0.5</v>
      </c>
      <c r="H17" s="1">
        <v>0.49</v>
      </c>
      <c r="I17" s="1">
        <v>0.48</v>
      </c>
      <c r="J17" s="1">
        <v>0.44</v>
      </c>
      <c r="K17" s="1">
        <v>0.46</v>
      </c>
      <c r="L17" s="1">
        <v>0.36</v>
      </c>
      <c r="M17" s="1">
        <v>0.46</v>
      </c>
      <c r="N17" s="1">
        <v>0.49</v>
      </c>
      <c r="O17" s="1">
        <v>0.47</v>
      </c>
      <c r="P17" s="1">
        <v>0.33</v>
      </c>
      <c r="Q17" s="1">
        <v>0.51</v>
      </c>
      <c r="R17" s="1">
        <v>0.45</v>
      </c>
      <c r="S17" s="1">
        <f t="shared" si="0"/>
        <v>0.5</v>
      </c>
    </row>
    <row r="18" spans="1:19" ht="25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19</v>
      </c>
      <c r="G18" s="1">
        <v>0.51</v>
      </c>
      <c r="H18" s="1">
        <v>0.5</v>
      </c>
      <c r="I18" s="1">
        <v>0.57999999999999996</v>
      </c>
      <c r="J18" s="1">
        <v>0.56000000000000005</v>
      </c>
      <c r="K18" s="1">
        <v>0.53</v>
      </c>
      <c r="L18" s="1">
        <v>0.5</v>
      </c>
      <c r="M18" s="1">
        <v>0.53</v>
      </c>
      <c r="N18" s="1">
        <v>0.56000000000000005</v>
      </c>
      <c r="O18" s="1">
        <v>0.51</v>
      </c>
      <c r="P18" s="1">
        <v>0.52</v>
      </c>
      <c r="Q18" s="1">
        <v>0.56999999999999995</v>
      </c>
      <c r="R18" s="1">
        <v>0.52</v>
      </c>
      <c r="S18" s="1">
        <f t="shared" si="0"/>
        <v>0.57999999999999996</v>
      </c>
    </row>
    <row r="19" spans="1:19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18</v>
      </c>
      <c r="G19" s="1">
        <v>0.47</v>
      </c>
      <c r="H19" s="1">
        <v>0.44</v>
      </c>
      <c r="I19" s="1">
        <v>0.47</v>
      </c>
      <c r="J19" s="1">
        <v>0.43</v>
      </c>
      <c r="K19" s="1">
        <v>0.39</v>
      </c>
      <c r="L19" s="1">
        <v>0.36</v>
      </c>
      <c r="M19" s="1">
        <v>0.42</v>
      </c>
      <c r="N19" s="1">
        <v>0.41</v>
      </c>
      <c r="O19" s="1">
        <v>0.34</v>
      </c>
      <c r="P19" s="1">
        <v>0.33</v>
      </c>
      <c r="Q19" s="1">
        <v>0.42</v>
      </c>
      <c r="R19" s="1">
        <v>0.42</v>
      </c>
      <c r="S19" s="1">
        <f t="shared" si="0"/>
        <v>0.47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 s="6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0.88</v>
      </c>
      <c r="H23" s="1" cm="1">
        <f t="array" ref="H23">_xlfn.LET(_xlpm.d,H$2:H$19,_xlpm.a,$C$2:$C$19=$C23,_xlpm.b,$D$2:$D$19=$D23,MAX(_xlfn._xlws.FILTER(_xlpm.d,_xlpm.a*_xlpm.b)))</f>
        <v>0.88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0.85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0.91</v>
      </c>
      <c r="N23" s="1" cm="1">
        <f t="array" ref="N23">_xlfn.LET(_xlpm.d,N$2:N$19,_xlpm.a,$C$2:$C$19=$C23,_xlpm.b,$D$2:$D$19=$D23,MAX(_xlfn._xlws.FILTER(_xlpm.d,_xlpm.a*_xlpm.b)))</f>
        <v>0.93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0.81</v>
      </c>
      <c r="S23" s="1">
        <f>MAX($G23:$R23)</f>
        <v>0.93</v>
      </c>
    </row>
    <row r="24" spans="1:19" ht="25" customHeight="1">
      <c r="B24" s="6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0.77</v>
      </c>
      <c r="H24" s="1" cm="1">
        <f t="array" ref="H24">_xlfn.LET(_xlpm.d,H$2:H$19,_xlpm.a,$C$2:$C$19=$C24,_xlpm.b,$D$2:$D$19=$D24,MAX(_xlfn._xlws.FILTER(_xlpm.d,_xlpm.a*_xlpm.b)))</f>
        <v>0.84</v>
      </c>
      <c r="I24" s="1" cm="1">
        <f t="array" ref="I24">_xlfn.LET(_xlpm.d,I$2:I$19,_xlpm.a,$C$2:$C$19=$C24,_xlpm.b,$D$2:$D$19=$D24,MAX(_xlfn._xlws.FILTER(_xlpm.d,_xlpm.a*_xlpm.b)))</f>
        <v>0.81</v>
      </c>
      <c r="J24" s="1" cm="1">
        <f t="array" ref="J24">_xlfn.LET(_xlpm.d,J$2:J$19,_xlpm.a,$C$2:$C$19=$C24,_xlpm.b,$D$2:$D$19=$D24,MAX(_xlfn._xlws.FILTER(_xlpm.d,_xlpm.a*_xlpm.b)))</f>
        <v>0.84</v>
      </c>
      <c r="K24" s="1" cm="1">
        <f t="array" ref="K24">_xlfn.LET(_xlpm.d,K$2:K$19,_xlpm.a,$C$2:$C$19=$C24,_xlpm.b,$D$2:$D$19=$D24,MAX(_xlfn._xlws.FILTER(_xlpm.d,_xlpm.a*_xlpm.b)))</f>
        <v>0.83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0.86</v>
      </c>
      <c r="N24" s="1" cm="1">
        <f t="array" ref="N24">_xlfn.LET(_xlpm.d,N$2:N$19,_xlpm.a,$C$2:$C$19=$C24,_xlpm.b,$D$2:$D$19=$D24,MAX(_xlfn._xlws.FILTER(_xlpm.d,_xlpm.a*_xlpm.b)))</f>
        <v>0.85</v>
      </c>
      <c r="O24" s="1" cm="1">
        <f t="array" ref="O24">_xlfn.LET(_xlpm.d,O$2:O$19,_xlpm.a,$C$2:$C$19=$C24,_xlpm.b,$D$2:$D$19=$D24,MAX(_xlfn._xlws.FILTER(_xlpm.d,_xlpm.a*_xlpm.b)))</f>
        <v>0.84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0.81</v>
      </c>
      <c r="R24" s="1" cm="1">
        <f t="array" ref="R24">_xlfn.LET(_xlpm.d,R$2:R$19,_xlpm.a,$C$2:$C$19=$C24,_xlpm.b,$D$2:$D$19=$D24,MAX(_xlfn._xlws.FILTER(_xlpm.d,_xlpm.a*_xlpm.b)))</f>
        <v>0.81</v>
      </c>
      <c r="S24" s="1">
        <f t="shared" ref="S24:S28" si="1">MAX($G24:$R24)</f>
        <v>0.86</v>
      </c>
    </row>
    <row r="25" spans="1:19" ht="25" customHeight="1">
      <c r="B25" s="6">
        <v>2</v>
      </c>
      <c r="C25" t="s">
        <v>21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0.64</v>
      </c>
      <c r="H25" s="1" cm="1">
        <f t="array" ref="H25">_xlfn.LET(_xlpm.d,H$2:H$19,_xlpm.a,$C$2:$C$19=$C25,_xlpm.b,$D$2:$D$19=$D25,MAX(_xlfn._xlws.FILTER(_xlpm.d,_xlpm.a*_xlpm.b)))</f>
        <v>0.71</v>
      </c>
      <c r="I25" s="1" cm="1">
        <f t="array" ref="I25">_xlfn.LET(_xlpm.d,I$2:I$19,_xlpm.a,$C$2:$C$19=$C25,_xlpm.b,$D$2:$D$19=$D25,MAX(_xlfn._xlws.FILTER(_xlpm.d,_xlpm.a*_xlpm.b)))</f>
        <v>0.67</v>
      </c>
      <c r="J25" s="1" cm="1">
        <f t="array" ref="J25">_xlfn.LET(_xlpm.d,J$2:J$19,_xlpm.a,$C$2:$C$19=$C25,_xlpm.b,$D$2:$D$19=$D25,MAX(_xlfn._xlws.FILTER(_xlpm.d,_xlpm.a*_xlpm.b)))</f>
        <v>0.68</v>
      </c>
      <c r="K25" s="1" cm="1">
        <f t="array" ref="K25">_xlfn.LET(_xlpm.d,K$2:K$19,_xlpm.a,$C$2:$C$19=$C25,_xlpm.b,$D$2:$D$19=$D25,MAX(_xlfn._xlws.FILTER(_xlpm.d,_xlpm.a*_xlpm.b)))</f>
        <v>0.67</v>
      </c>
      <c r="L25" s="1" cm="1">
        <f t="array" ref="L25">_xlfn.LET(_xlpm.d,L$2:L$19,_xlpm.a,$C$2:$C$19=$C25,_xlpm.b,$D$2:$D$19=$D25,MAX(_xlfn._xlws.FILTER(_xlpm.d,_xlpm.a*_xlpm.b)))</f>
        <v>0.7</v>
      </c>
      <c r="M25" s="1" cm="1">
        <f t="array" ref="M25">_xlfn.LET(_xlpm.d,M$2:M$19,_xlpm.a,$C$2:$C$19=$C25,_xlpm.b,$D$2:$D$19=$D25,MAX(_xlfn._xlws.FILTER(_xlpm.d,_xlpm.a*_xlpm.b)))</f>
        <v>0.69</v>
      </c>
      <c r="N25" s="1" cm="1">
        <f t="array" ref="N25">_xlfn.LET(_xlpm.d,N$2:N$19,_xlpm.a,$C$2:$C$19=$C25,_xlpm.b,$D$2:$D$19=$D25,MAX(_xlfn._xlws.FILTER(_xlpm.d,_xlpm.a*_xlpm.b)))</f>
        <v>0.71</v>
      </c>
      <c r="O25" s="1" cm="1">
        <f t="array" ref="O25">_xlfn.LET(_xlpm.d,O$2:O$19,_xlpm.a,$C$2:$C$19=$C25,_xlpm.b,$D$2:$D$19=$D25,MAX(_xlfn._xlws.FILTER(_xlpm.d,_xlpm.a*_xlpm.b)))</f>
        <v>0.63</v>
      </c>
      <c r="P25" s="1" cm="1">
        <f t="array" ref="P25">_xlfn.LET(_xlpm.d,P$2:P$19,_xlpm.a,$C$2:$C$19=$C25,_xlpm.b,$D$2:$D$19=$D25,MAX(_xlfn._xlws.FILTER(_xlpm.d,_xlpm.a*_xlpm.b)))</f>
        <v>0.68</v>
      </c>
      <c r="Q25" s="1" cm="1">
        <f t="array" ref="Q25">_xlfn.LET(_xlpm.d,Q$2:Q$19,_xlpm.a,$C$2:$C$19=$C25,_xlpm.b,$D$2:$D$19=$D25,MAX(_xlfn._xlws.FILTER(_xlpm.d,_xlpm.a*_xlpm.b)))</f>
        <v>0.64</v>
      </c>
      <c r="R25" s="1" cm="1">
        <f t="array" ref="R25">_xlfn.LET(_xlpm.d,R$2:R$19,_xlpm.a,$C$2:$C$19=$C25,_xlpm.b,$D$2:$D$19=$D25,MAX(_xlfn._xlws.FILTER(_xlpm.d,_xlpm.a*_xlpm.b)))</f>
        <v>0.65</v>
      </c>
      <c r="S25" s="1">
        <f t="shared" si="1"/>
        <v>0.71</v>
      </c>
    </row>
    <row r="26" spans="1:19" ht="25" customHeight="1">
      <c r="B26" s="6">
        <v>2</v>
      </c>
      <c r="C26" t="s">
        <v>21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0.59</v>
      </c>
      <c r="H26" s="1" cm="1">
        <f t="array" ref="H26">_xlfn.LET(_xlpm.d,H$2:H$19,_xlpm.a,$C$2:$C$19=$C26,_xlpm.b,$D$2:$D$19=$D26,MAX(_xlfn._xlws.FILTER(_xlpm.d,_xlpm.a*_xlpm.b)))</f>
        <v>0.64</v>
      </c>
      <c r="I26" s="1" cm="1">
        <f t="array" ref="I26">_xlfn.LET(_xlpm.d,I$2:I$19,_xlpm.a,$C$2:$C$19=$C26,_xlpm.b,$D$2:$D$19=$D26,MAX(_xlfn._xlws.FILTER(_xlpm.d,_xlpm.a*_xlpm.b)))</f>
        <v>0.64</v>
      </c>
      <c r="J26" s="1" cm="1">
        <f t="array" ref="J26">_xlfn.LET(_xlpm.d,J$2:J$19,_xlpm.a,$C$2:$C$19=$C26,_xlpm.b,$D$2:$D$19=$D26,MAX(_xlfn._xlws.FILTER(_xlpm.d,_xlpm.a*_xlpm.b)))</f>
        <v>0.71</v>
      </c>
      <c r="K26" s="1" cm="1">
        <f t="array" ref="K26">_xlfn.LET(_xlpm.d,K$2:K$19,_xlpm.a,$C$2:$C$19=$C26,_xlpm.b,$D$2:$D$19=$D26,MAX(_xlfn._xlws.FILTER(_xlpm.d,_xlpm.a*_xlpm.b)))</f>
        <v>0.65</v>
      </c>
      <c r="L26" s="1" cm="1">
        <f t="array" ref="L26">_xlfn.LET(_xlpm.d,L$2:L$19,_xlpm.a,$C$2:$C$19=$C26,_xlpm.b,$D$2:$D$19=$D26,MAX(_xlfn._xlws.FILTER(_xlpm.d,_xlpm.a*_xlpm.b)))</f>
        <v>0.6</v>
      </c>
      <c r="M26" s="1" cm="1">
        <f t="array" ref="M26">_xlfn.LET(_xlpm.d,M$2:M$19,_xlpm.a,$C$2:$C$19=$C26,_xlpm.b,$D$2:$D$19=$D26,MAX(_xlfn._xlws.FILTER(_xlpm.d,_xlpm.a*_xlpm.b)))</f>
        <v>0.63</v>
      </c>
      <c r="N26" s="1" cm="1">
        <f t="array" ref="N26">_xlfn.LET(_xlpm.d,N$2:N$19,_xlpm.a,$C$2:$C$19=$C26,_xlpm.b,$D$2:$D$19=$D26,MAX(_xlfn._xlws.FILTER(_xlpm.d,_xlpm.a*_xlpm.b)))</f>
        <v>0.69</v>
      </c>
      <c r="O26" s="1" cm="1">
        <f t="array" ref="O26">_xlfn.LET(_xlpm.d,O$2:O$19,_xlpm.a,$C$2:$C$19=$C26,_xlpm.b,$D$2:$D$19=$D26,MAX(_xlfn._xlws.FILTER(_xlpm.d,_xlpm.a*_xlpm.b)))</f>
        <v>0.61</v>
      </c>
      <c r="P26" s="1" cm="1">
        <f t="array" ref="P26">_xlfn.LET(_xlpm.d,P$2:P$19,_xlpm.a,$C$2:$C$19=$C26,_xlpm.b,$D$2:$D$19=$D26,MAX(_xlfn._xlws.FILTER(_xlpm.d,_xlpm.a*_xlpm.b)))</f>
        <v>0.65</v>
      </c>
      <c r="Q26" s="1" cm="1">
        <f t="array" ref="Q26">_xlfn.LET(_xlpm.d,Q$2:Q$19,_xlpm.a,$C$2:$C$19=$C26,_xlpm.b,$D$2:$D$19=$D26,MAX(_xlfn._xlws.FILTER(_xlpm.d,_xlpm.a*_xlpm.b)))</f>
        <v>0.6</v>
      </c>
      <c r="R26" s="1" cm="1">
        <f t="array" ref="R26">_xlfn.LET(_xlpm.d,R$2:R$19,_xlpm.a,$C$2:$C$19=$C26,_xlpm.b,$D$2:$D$19=$D26,MAX(_xlfn._xlws.FILTER(_xlpm.d,_xlpm.a*_xlpm.b)))</f>
        <v>0.65</v>
      </c>
      <c r="S26" s="1">
        <f t="shared" si="1"/>
        <v>0.71</v>
      </c>
    </row>
    <row r="27" spans="1:19" ht="25" customHeight="1">
      <c r="B27" s="6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0.51</v>
      </c>
      <c r="H27" s="1" cm="1">
        <f t="array" ref="H27">_xlfn.LET(_xlpm.d,H$2:H$19,_xlpm.a,$C$2:$C$19=$C27,_xlpm.b,$D$2:$D$19=$D27,MAX(_xlfn._xlws.FILTER(_xlpm.d,_xlpm.a*_xlpm.b)))</f>
        <v>0.5</v>
      </c>
      <c r="I27" s="1" cm="1">
        <f t="array" ref="I27">_xlfn.LET(_xlpm.d,I$2:I$19,_xlpm.a,$C$2:$C$19=$C27,_xlpm.b,$D$2:$D$19=$D27,MAX(_xlfn._xlws.FILTER(_xlpm.d,_xlpm.a*_xlpm.b)))</f>
        <v>0.57999999999999996</v>
      </c>
      <c r="J27" s="1" cm="1">
        <f t="array" ref="J27">_xlfn.LET(_xlpm.d,J$2:J$19,_xlpm.a,$C$2:$C$19=$C27,_xlpm.b,$D$2:$D$19=$D27,MAX(_xlfn._xlws.FILTER(_xlpm.d,_xlpm.a*_xlpm.b)))</f>
        <v>0.56000000000000005</v>
      </c>
      <c r="K27" s="1" cm="1">
        <f t="array" ref="K27">_xlfn.LET(_xlpm.d,K$2:K$19,_xlpm.a,$C$2:$C$19=$C27,_xlpm.b,$D$2:$D$19=$D27,MAX(_xlfn._xlws.FILTER(_xlpm.d,_xlpm.a*_xlpm.b)))</f>
        <v>0.53</v>
      </c>
      <c r="L27" s="1" cm="1">
        <f t="array" ref="L27">_xlfn.LET(_xlpm.d,L$2:L$19,_xlpm.a,$C$2:$C$19=$C27,_xlpm.b,$D$2:$D$19=$D27,MAX(_xlfn._xlws.FILTER(_xlpm.d,_xlpm.a*_xlpm.b)))</f>
        <v>0.5</v>
      </c>
      <c r="M27" s="1" cm="1">
        <f t="array" ref="M27">_xlfn.LET(_xlpm.d,M$2:M$19,_xlpm.a,$C$2:$C$19=$C27,_xlpm.b,$D$2:$D$19=$D27,MAX(_xlfn._xlws.FILTER(_xlpm.d,_xlpm.a*_xlpm.b)))</f>
        <v>0.53</v>
      </c>
      <c r="N27" s="1" cm="1">
        <f t="array" ref="N27">_xlfn.LET(_xlpm.d,N$2:N$19,_xlpm.a,$C$2:$C$19=$C27,_xlpm.b,$D$2:$D$19=$D27,MAX(_xlfn._xlws.FILTER(_xlpm.d,_xlpm.a*_xlpm.b)))</f>
        <v>0.56000000000000005</v>
      </c>
      <c r="O27" s="1" cm="1">
        <f t="array" ref="O27">_xlfn.LET(_xlpm.d,O$2:O$19,_xlpm.a,$C$2:$C$19=$C27,_xlpm.b,$D$2:$D$19=$D27,MAX(_xlfn._xlws.FILTER(_xlpm.d,_xlpm.a*_xlpm.b)))</f>
        <v>0.51</v>
      </c>
      <c r="P27" s="1" cm="1">
        <f t="array" ref="P27">_xlfn.LET(_xlpm.d,P$2:P$19,_xlpm.a,$C$2:$C$19=$C27,_xlpm.b,$D$2:$D$19=$D27,MAX(_xlfn._xlws.FILTER(_xlpm.d,_xlpm.a*_xlpm.b)))</f>
        <v>0.52</v>
      </c>
      <c r="Q27" s="1" cm="1">
        <f t="array" ref="Q27">_xlfn.LET(_xlpm.d,Q$2:Q$19,_xlpm.a,$C$2:$C$19=$C27,_xlpm.b,$D$2:$D$19=$D27,MAX(_xlfn._xlws.FILTER(_xlpm.d,_xlpm.a*_xlpm.b)))</f>
        <v>0.56999999999999995</v>
      </c>
      <c r="R27" s="1" cm="1">
        <f t="array" ref="R27">_xlfn.LET(_xlpm.d,R$2:R$19,_xlpm.a,$C$2:$C$19=$C27,_xlpm.b,$D$2:$D$19=$D27,MAX(_xlfn._xlws.FILTER(_xlpm.d,_xlpm.a*_xlpm.b)))</f>
        <v>0.52</v>
      </c>
      <c r="S27" s="1">
        <f t="shared" si="1"/>
        <v>0.57999999999999996</v>
      </c>
    </row>
    <row r="28" spans="1:19" ht="25" customHeight="1">
      <c r="B28" s="6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0.42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0.46</v>
      </c>
      <c r="J28" s="1" cm="1">
        <f t="array" ref="J28">_xlfn.LET(_xlpm.d,J$2:J$19,_xlpm.a,$C$2:$C$19=$C28,_xlpm.b,$D$2:$D$19=$D28,MAX(_xlfn._xlws.FILTER(_xlpm.d,_xlpm.a*_xlpm.b)))</f>
        <v>0.46</v>
      </c>
      <c r="K28" s="1" cm="1">
        <f t="array" ref="K28">_xlfn.LET(_xlpm.d,K$2:K$19,_xlpm.a,$C$2:$C$19=$C28,_xlpm.b,$D$2:$D$19=$D28,MAX(_xlfn._xlws.FILTER(_xlpm.d,_xlpm.a*_xlpm.b)))</f>
        <v>0.4</v>
      </c>
      <c r="L28" s="1" cm="1">
        <f t="array" ref="L28">_xlfn.LET(_xlpm.d,L$2:L$19,_xlpm.a,$C$2:$C$19=$C28,_xlpm.b,$D$2:$D$19=$D28,MAX(_xlfn._xlws.FILTER(_xlpm.d,_xlpm.a*_xlpm.b)))</f>
        <v>0.46</v>
      </c>
      <c r="M28" s="1" cm="1">
        <f t="array" ref="M28">_xlfn.LET(_xlpm.d,M$2:M$19,_xlpm.a,$C$2:$C$19=$C28,_xlpm.b,$D$2:$D$19=$D28,MAX(_xlfn._xlws.FILTER(_xlpm.d,_xlpm.a*_xlpm.b)))</f>
        <v>0.41</v>
      </c>
      <c r="N28" s="1" cm="1">
        <f t="array" ref="N28">_xlfn.LET(_xlpm.d,N$2:N$19,_xlpm.a,$C$2:$C$19=$C28,_xlpm.b,$D$2:$D$19=$D28,MAX(_xlfn._xlws.FILTER(_xlpm.d,_xlpm.a*_xlpm.b)))</f>
        <v>0.44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0.37</v>
      </c>
      <c r="Q28" s="1" cm="1">
        <f t="array" ref="Q28">_xlfn.LET(_xlpm.d,Q$2:Q$19,_xlpm.a,$C$2:$C$19=$C28,_xlpm.b,$D$2:$D$19=$D28,MAX(_xlfn._xlws.FILTER(_xlpm.d,_xlpm.a*_xlpm.b)))</f>
        <v>0.52</v>
      </c>
      <c r="R28" s="1" cm="1">
        <f t="array" ref="R28">_xlfn.LET(_xlpm.d,R$2:R$19,_xlpm.a,$C$2:$C$19=$C28,_xlpm.b,$D$2:$D$19=$D28,MAX(_xlfn._xlws.FILTER(_xlpm.d,_xlpm.a*_xlpm.b)))</f>
        <v>0.48</v>
      </c>
      <c r="S28" s="1">
        <f t="shared" si="1"/>
        <v>0.52</v>
      </c>
    </row>
  </sheetData>
  <conditionalFormatting sqref="G23:R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:S19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E298-33CA-E44C-85CD-54A74BC6400E}">
  <dimension ref="A1:S28"/>
  <sheetViews>
    <sheetView workbookViewId="0"/>
  </sheetViews>
  <sheetFormatPr baseColWidth="10" defaultRowHeight="25" customHeight="1"/>
  <cols>
    <col min="2" max="2" width="6.375" customWidth="1"/>
    <col min="3" max="3" width="10.875" customWidth="1"/>
    <col min="4" max="6" width="6.375" customWidth="1"/>
    <col min="7" max="19" width="8.5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0</v>
      </c>
      <c r="E2">
        <v>2</v>
      </c>
      <c r="F2" t="s">
        <v>19</v>
      </c>
      <c r="G2" s="1">
        <v>0.83</v>
      </c>
      <c r="H2" s="1">
        <v>0.82</v>
      </c>
      <c r="I2" s="1">
        <v>0.78</v>
      </c>
      <c r="J2" s="1">
        <v>0.82</v>
      </c>
      <c r="K2" s="1">
        <v>0.79</v>
      </c>
      <c r="L2" s="1">
        <v>0.87</v>
      </c>
      <c r="M2" s="1">
        <v>0.82</v>
      </c>
      <c r="N2" s="1">
        <v>0.81</v>
      </c>
      <c r="O2" s="1">
        <v>0.77</v>
      </c>
      <c r="P2" s="1">
        <v>0.79</v>
      </c>
      <c r="Q2" s="1">
        <v>0.87</v>
      </c>
      <c r="R2" s="1">
        <v>0.8</v>
      </c>
      <c r="S2" s="1">
        <f t="shared" ref="S2:S19" si="0">MAX($G2:$R2)</f>
        <v>0.87</v>
      </c>
    </row>
    <row r="3" spans="1:19" ht="25" customHeight="1">
      <c r="A3" t="s">
        <v>16</v>
      </c>
      <c r="B3">
        <v>1</v>
      </c>
      <c r="C3" t="s">
        <v>17</v>
      </c>
      <c r="D3" t="b">
        <v>0</v>
      </c>
      <c r="E3">
        <v>3</v>
      </c>
      <c r="F3" t="s">
        <v>18</v>
      </c>
      <c r="G3" s="1">
        <v>0.83</v>
      </c>
      <c r="H3" s="1">
        <v>0.81</v>
      </c>
      <c r="I3" s="1">
        <v>0.75</v>
      </c>
      <c r="J3" s="1">
        <v>0.82</v>
      </c>
      <c r="K3" s="1">
        <v>0.77</v>
      </c>
      <c r="L3" s="1">
        <v>0.82</v>
      </c>
      <c r="M3" s="1">
        <v>0.81</v>
      </c>
      <c r="N3" s="1">
        <v>0.73</v>
      </c>
      <c r="O3" s="1">
        <v>0.81</v>
      </c>
      <c r="P3" s="1">
        <v>0.8</v>
      </c>
      <c r="Q3" s="1">
        <v>0.83</v>
      </c>
      <c r="R3" s="1">
        <v>0.77</v>
      </c>
      <c r="S3" s="1">
        <f t="shared" si="0"/>
        <v>0.83</v>
      </c>
    </row>
    <row r="4" spans="1:19" ht="25" customHeight="1">
      <c r="A4" t="s">
        <v>16</v>
      </c>
      <c r="B4">
        <v>1</v>
      </c>
      <c r="C4" t="s">
        <v>17</v>
      </c>
      <c r="D4" t="b">
        <v>0</v>
      </c>
      <c r="E4">
        <v>1</v>
      </c>
      <c r="F4" t="s">
        <v>20</v>
      </c>
      <c r="G4" s="1">
        <v>0.78</v>
      </c>
      <c r="H4" s="1">
        <v>0.78</v>
      </c>
      <c r="I4" s="1">
        <v>0.75</v>
      </c>
      <c r="J4" s="1">
        <v>0.81</v>
      </c>
      <c r="K4" s="1">
        <v>0.74</v>
      </c>
      <c r="L4" s="1">
        <v>0.81</v>
      </c>
      <c r="M4" s="1">
        <v>0.8</v>
      </c>
      <c r="N4" s="1">
        <v>0.8</v>
      </c>
      <c r="O4" s="1">
        <v>0.78</v>
      </c>
      <c r="P4" s="1">
        <v>0.81</v>
      </c>
      <c r="Q4" s="1">
        <v>0.89</v>
      </c>
      <c r="R4" s="1">
        <v>0.74</v>
      </c>
      <c r="S4" s="1">
        <f t="shared" si="0"/>
        <v>0.89</v>
      </c>
    </row>
    <row r="5" spans="1:19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G5" s="1">
        <v>0.88</v>
      </c>
      <c r="H5" s="1">
        <v>0.8</v>
      </c>
      <c r="I5" s="1">
        <v>0.86</v>
      </c>
      <c r="J5" s="1">
        <v>0.79</v>
      </c>
      <c r="K5" s="1">
        <v>0.78</v>
      </c>
      <c r="L5" s="1">
        <v>0.84</v>
      </c>
      <c r="M5" s="1">
        <v>0.86</v>
      </c>
      <c r="N5" s="1">
        <v>0.81</v>
      </c>
      <c r="O5" s="1">
        <v>0.87</v>
      </c>
      <c r="P5" s="1">
        <v>0.82</v>
      </c>
      <c r="Q5" s="1">
        <v>0.81</v>
      </c>
      <c r="R5" s="1">
        <v>0.8</v>
      </c>
      <c r="S5" s="1">
        <f t="shared" si="0"/>
        <v>0.88</v>
      </c>
    </row>
    <row r="6" spans="1:19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19</v>
      </c>
      <c r="G6" s="1">
        <v>0.87</v>
      </c>
      <c r="H6" s="1">
        <v>0.86</v>
      </c>
      <c r="I6" s="1">
        <v>0.83</v>
      </c>
      <c r="J6" s="1">
        <v>0.84</v>
      </c>
      <c r="K6" s="1">
        <v>0.81</v>
      </c>
      <c r="L6" s="1">
        <v>0.84</v>
      </c>
      <c r="M6" s="1">
        <v>0.88</v>
      </c>
      <c r="N6" s="1">
        <v>0.88</v>
      </c>
      <c r="O6" s="1">
        <v>0.86</v>
      </c>
      <c r="P6" s="1">
        <v>0.83</v>
      </c>
      <c r="Q6" s="1">
        <v>0.89</v>
      </c>
      <c r="R6" s="1">
        <v>0.85</v>
      </c>
      <c r="S6" s="1">
        <f t="shared" si="0"/>
        <v>0.89</v>
      </c>
    </row>
    <row r="7" spans="1:19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18</v>
      </c>
      <c r="G7" s="1">
        <v>0.88</v>
      </c>
      <c r="H7" s="1">
        <v>0.87</v>
      </c>
      <c r="I7" s="1">
        <v>0.76</v>
      </c>
      <c r="J7" s="1">
        <v>0.88</v>
      </c>
      <c r="K7" s="1">
        <v>0.78</v>
      </c>
      <c r="L7" s="1">
        <v>0.92</v>
      </c>
      <c r="M7" s="1">
        <v>0.85</v>
      </c>
      <c r="N7" s="1">
        <v>0.79</v>
      </c>
      <c r="O7" s="1">
        <v>0.86</v>
      </c>
      <c r="P7" s="1">
        <v>0.82</v>
      </c>
      <c r="Q7" s="1">
        <v>0.82</v>
      </c>
      <c r="R7" s="1">
        <v>0.74</v>
      </c>
      <c r="S7" s="1">
        <f t="shared" si="0"/>
        <v>0.92</v>
      </c>
    </row>
    <row r="8" spans="1:19" ht="25" customHeight="1">
      <c r="A8" t="s">
        <v>16</v>
      </c>
      <c r="B8">
        <v>2</v>
      </c>
      <c r="C8" t="s">
        <v>21</v>
      </c>
      <c r="D8" t="b">
        <v>0</v>
      </c>
      <c r="E8">
        <v>2</v>
      </c>
      <c r="F8" t="s">
        <v>19</v>
      </c>
      <c r="G8" s="1">
        <v>0.64</v>
      </c>
      <c r="H8" s="1">
        <v>0.63</v>
      </c>
      <c r="I8" s="1">
        <v>0.51</v>
      </c>
      <c r="J8" s="1">
        <v>0.63</v>
      </c>
      <c r="K8" s="1">
        <v>0.64</v>
      </c>
      <c r="L8" s="1">
        <v>0.56999999999999995</v>
      </c>
      <c r="M8" s="1">
        <v>0.62</v>
      </c>
      <c r="N8" s="1">
        <v>0.66</v>
      </c>
      <c r="O8" s="1">
        <v>0.6</v>
      </c>
      <c r="P8" s="1">
        <v>0.64</v>
      </c>
      <c r="Q8" s="1">
        <v>0.51</v>
      </c>
      <c r="R8" s="1">
        <v>0.57999999999999996</v>
      </c>
      <c r="S8" s="1">
        <f t="shared" si="0"/>
        <v>0.66</v>
      </c>
    </row>
    <row r="9" spans="1:19" ht="25" customHeight="1">
      <c r="A9" t="s">
        <v>16</v>
      </c>
      <c r="B9">
        <v>2</v>
      </c>
      <c r="C9" t="s">
        <v>21</v>
      </c>
      <c r="D9" t="b">
        <v>0</v>
      </c>
      <c r="E9">
        <v>3</v>
      </c>
      <c r="F9" t="s">
        <v>18</v>
      </c>
      <c r="G9" s="1">
        <v>0.6</v>
      </c>
      <c r="H9" s="1">
        <v>0.56999999999999995</v>
      </c>
      <c r="I9" s="1">
        <v>0.56999999999999995</v>
      </c>
      <c r="J9" s="1">
        <v>0.6</v>
      </c>
      <c r="K9" s="1">
        <v>0.66</v>
      </c>
      <c r="L9" s="1">
        <v>0.62</v>
      </c>
      <c r="M9" s="1">
        <v>0.56000000000000005</v>
      </c>
      <c r="N9" s="1">
        <v>0.66</v>
      </c>
      <c r="O9" s="1">
        <v>0.6</v>
      </c>
      <c r="P9" s="1">
        <v>0.62</v>
      </c>
      <c r="Q9" s="1">
        <v>0.57999999999999996</v>
      </c>
      <c r="R9" s="1">
        <v>0.64</v>
      </c>
      <c r="S9" s="1">
        <f t="shared" si="0"/>
        <v>0.66</v>
      </c>
    </row>
    <row r="10" spans="1:19" ht="25" customHeight="1">
      <c r="A10" t="s">
        <v>16</v>
      </c>
      <c r="B10">
        <v>2</v>
      </c>
      <c r="C10" t="s">
        <v>21</v>
      </c>
      <c r="D10" t="b">
        <v>0</v>
      </c>
      <c r="E10">
        <v>1</v>
      </c>
      <c r="F10" t="s">
        <v>20</v>
      </c>
      <c r="G10" s="1">
        <v>0.53</v>
      </c>
      <c r="H10" s="1">
        <v>0.46</v>
      </c>
      <c r="I10" s="1">
        <v>0.49</v>
      </c>
      <c r="J10" s="1">
        <v>0.47</v>
      </c>
      <c r="K10" s="1">
        <v>0.56999999999999995</v>
      </c>
      <c r="L10" s="1">
        <v>0.47</v>
      </c>
      <c r="M10" s="1">
        <v>0.53</v>
      </c>
      <c r="N10" s="1">
        <v>0.54</v>
      </c>
      <c r="O10" s="1">
        <v>0.46</v>
      </c>
      <c r="P10" s="1">
        <v>0.38</v>
      </c>
      <c r="Q10" s="1">
        <v>0.44</v>
      </c>
      <c r="R10" s="1">
        <v>0.42</v>
      </c>
      <c r="S10" s="1">
        <f t="shared" si="0"/>
        <v>0.56999999999999995</v>
      </c>
    </row>
    <row r="11" spans="1:19" ht="25" customHeight="1">
      <c r="A11" t="s">
        <v>16</v>
      </c>
      <c r="B11">
        <v>2</v>
      </c>
      <c r="C11" t="s">
        <v>21</v>
      </c>
      <c r="D11" t="b">
        <v>1</v>
      </c>
      <c r="E11">
        <v>2</v>
      </c>
      <c r="F11" t="s">
        <v>19</v>
      </c>
      <c r="G11" s="1">
        <v>0.63</v>
      </c>
      <c r="H11" s="1">
        <v>0.72</v>
      </c>
      <c r="I11" s="1">
        <v>0.57999999999999996</v>
      </c>
      <c r="J11" s="1">
        <v>0.6</v>
      </c>
      <c r="K11" s="1">
        <v>0.68</v>
      </c>
      <c r="L11" s="1">
        <v>0.62</v>
      </c>
      <c r="M11" s="1">
        <v>0.63</v>
      </c>
      <c r="N11" s="1">
        <v>0.68</v>
      </c>
      <c r="O11" s="1">
        <v>0.64</v>
      </c>
      <c r="P11" s="1">
        <v>0.65</v>
      </c>
      <c r="Q11" s="1">
        <v>0.55000000000000004</v>
      </c>
      <c r="R11" s="1">
        <v>0.65</v>
      </c>
      <c r="S11" s="1">
        <f t="shared" si="0"/>
        <v>0.72</v>
      </c>
    </row>
    <row r="12" spans="1:19" ht="25" customHeight="1">
      <c r="A12" t="s">
        <v>16</v>
      </c>
      <c r="B12">
        <v>2</v>
      </c>
      <c r="C12" t="s">
        <v>21</v>
      </c>
      <c r="D12" t="b">
        <v>1</v>
      </c>
      <c r="E12">
        <v>1</v>
      </c>
      <c r="F12" t="s">
        <v>20</v>
      </c>
      <c r="G12" s="1">
        <v>0.56000000000000005</v>
      </c>
      <c r="H12" s="1">
        <v>0.56999999999999995</v>
      </c>
      <c r="I12" s="1">
        <v>0.38</v>
      </c>
      <c r="J12" s="1">
        <v>0.56999999999999995</v>
      </c>
      <c r="K12" s="1">
        <v>0.56999999999999995</v>
      </c>
      <c r="L12" s="1">
        <v>0.4</v>
      </c>
      <c r="M12" s="1">
        <v>0.49</v>
      </c>
      <c r="N12" s="1">
        <v>0.52</v>
      </c>
      <c r="O12" s="1">
        <v>0.56000000000000005</v>
      </c>
      <c r="P12" s="1">
        <v>0.52</v>
      </c>
      <c r="Q12" s="1">
        <v>0.44</v>
      </c>
      <c r="R12" s="1">
        <v>0.46</v>
      </c>
      <c r="S12" s="1">
        <f t="shared" si="0"/>
        <v>0.56999999999999995</v>
      </c>
    </row>
    <row r="13" spans="1:19" ht="25" customHeight="1">
      <c r="A13" t="s">
        <v>16</v>
      </c>
      <c r="B13">
        <v>2</v>
      </c>
      <c r="C13" t="s">
        <v>21</v>
      </c>
      <c r="D13" t="b">
        <v>1</v>
      </c>
      <c r="E13">
        <v>3</v>
      </c>
      <c r="F13" t="s">
        <v>18</v>
      </c>
      <c r="G13" s="1">
        <v>0.57999999999999996</v>
      </c>
      <c r="H13" s="1">
        <v>0.56000000000000005</v>
      </c>
      <c r="I13" s="1">
        <v>0.59</v>
      </c>
      <c r="J13" s="1">
        <v>0.61</v>
      </c>
      <c r="K13" s="1">
        <v>0.63</v>
      </c>
      <c r="L13" s="1">
        <v>0.67</v>
      </c>
      <c r="M13" s="1">
        <v>0.56999999999999995</v>
      </c>
      <c r="N13" s="1">
        <v>0.61</v>
      </c>
      <c r="O13" s="1">
        <v>0.56999999999999995</v>
      </c>
      <c r="P13" s="1">
        <v>0.56999999999999995</v>
      </c>
      <c r="Q13" s="1">
        <v>0.53</v>
      </c>
      <c r="R13" s="1">
        <v>0.62</v>
      </c>
      <c r="S13" s="1">
        <f t="shared" si="0"/>
        <v>0.67</v>
      </c>
    </row>
    <row r="14" spans="1:19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G14" s="1">
        <v>0.4</v>
      </c>
      <c r="H14" s="1">
        <v>0.36</v>
      </c>
      <c r="I14" s="1">
        <v>0.38</v>
      </c>
      <c r="J14" s="1">
        <v>0.38</v>
      </c>
      <c r="K14" s="1">
        <v>0.41</v>
      </c>
      <c r="L14" s="1">
        <v>0.37</v>
      </c>
      <c r="M14" s="1">
        <v>0.42</v>
      </c>
      <c r="N14" s="1">
        <v>0.34</v>
      </c>
      <c r="O14" s="1">
        <v>0.35</v>
      </c>
      <c r="P14" s="1">
        <v>0.35</v>
      </c>
      <c r="Q14" s="1">
        <v>0.28000000000000003</v>
      </c>
      <c r="R14" s="1">
        <v>0.43</v>
      </c>
      <c r="S14" s="1">
        <f t="shared" si="0"/>
        <v>0.43</v>
      </c>
    </row>
    <row r="15" spans="1:19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19</v>
      </c>
      <c r="G15" s="1">
        <v>0.36</v>
      </c>
      <c r="H15" s="1">
        <v>0.4</v>
      </c>
      <c r="I15" s="1">
        <v>0.42</v>
      </c>
      <c r="J15" s="1">
        <v>0.4</v>
      </c>
      <c r="K15" s="1">
        <v>0.52</v>
      </c>
      <c r="L15" s="1">
        <v>0.5</v>
      </c>
      <c r="M15" s="1">
        <v>0.37</v>
      </c>
      <c r="N15" s="1">
        <v>0.36</v>
      </c>
      <c r="O15" s="1">
        <v>0.42</v>
      </c>
      <c r="P15" s="1">
        <v>0.47</v>
      </c>
      <c r="Q15" s="1">
        <v>0.34</v>
      </c>
      <c r="R15" s="1">
        <v>0.46</v>
      </c>
      <c r="S15" s="1">
        <f t="shared" si="0"/>
        <v>0.52</v>
      </c>
    </row>
    <row r="16" spans="1:19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18</v>
      </c>
      <c r="G16" s="1">
        <v>0.31</v>
      </c>
      <c r="H16" s="1">
        <v>0.39</v>
      </c>
      <c r="I16" s="1">
        <v>0.36</v>
      </c>
      <c r="J16" s="1">
        <v>0.38</v>
      </c>
      <c r="K16" s="1">
        <v>0.45</v>
      </c>
      <c r="L16" s="1">
        <v>0.36</v>
      </c>
      <c r="M16" s="1">
        <v>0.32</v>
      </c>
      <c r="N16" s="1">
        <v>0.28999999999999998</v>
      </c>
      <c r="O16" s="1">
        <v>0.34</v>
      </c>
      <c r="P16" s="1">
        <v>0.41</v>
      </c>
      <c r="Q16" s="1">
        <v>0.32</v>
      </c>
      <c r="R16" s="1">
        <v>0.42</v>
      </c>
      <c r="S16" s="1">
        <f t="shared" si="0"/>
        <v>0.45</v>
      </c>
    </row>
    <row r="17" spans="1:19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G17" s="1">
        <v>0.46</v>
      </c>
      <c r="H17" s="1">
        <v>0.37</v>
      </c>
      <c r="I17" s="1">
        <v>0.5</v>
      </c>
      <c r="J17" s="1">
        <v>0.32</v>
      </c>
      <c r="K17" s="1">
        <v>0.36</v>
      </c>
      <c r="L17" s="1">
        <v>0.39</v>
      </c>
      <c r="M17" s="1">
        <v>0.48</v>
      </c>
      <c r="N17" s="1">
        <v>0.43</v>
      </c>
      <c r="O17" s="1">
        <v>0.33</v>
      </c>
      <c r="P17" s="1">
        <v>0.36</v>
      </c>
      <c r="Q17" s="1">
        <v>0.31</v>
      </c>
      <c r="R17" s="1">
        <v>0.34</v>
      </c>
      <c r="S17" s="1">
        <f t="shared" si="0"/>
        <v>0.5</v>
      </c>
    </row>
    <row r="18" spans="1:19" ht="25" customHeight="1">
      <c r="A18" t="s">
        <v>16</v>
      </c>
      <c r="B18">
        <v>3</v>
      </c>
      <c r="C18" t="s">
        <v>22</v>
      </c>
      <c r="D18" t="b">
        <v>1</v>
      </c>
      <c r="E18">
        <v>3</v>
      </c>
      <c r="F18" t="s">
        <v>18</v>
      </c>
      <c r="G18" s="1">
        <v>0.39</v>
      </c>
      <c r="H18" s="1">
        <v>0.37</v>
      </c>
      <c r="I18" s="1">
        <v>0.4</v>
      </c>
      <c r="J18" s="1">
        <v>0.39</v>
      </c>
      <c r="K18" s="1">
        <v>0.42</v>
      </c>
      <c r="L18" s="1">
        <v>0.37</v>
      </c>
      <c r="M18" s="1">
        <v>0.44</v>
      </c>
      <c r="N18" s="1">
        <v>0.33</v>
      </c>
      <c r="O18" s="1">
        <v>0.32</v>
      </c>
      <c r="P18" s="1">
        <v>0.36</v>
      </c>
      <c r="Q18" s="1">
        <v>0.27</v>
      </c>
      <c r="R18" s="1">
        <v>0.43</v>
      </c>
      <c r="S18" s="1">
        <f t="shared" si="0"/>
        <v>0.44</v>
      </c>
    </row>
    <row r="19" spans="1:19" ht="25" customHeight="1">
      <c r="A19" t="s">
        <v>16</v>
      </c>
      <c r="B19">
        <v>3</v>
      </c>
      <c r="C19" t="s">
        <v>22</v>
      </c>
      <c r="D19" t="b">
        <v>1</v>
      </c>
      <c r="E19">
        <v>2</v>
      </c>
      <c r="F19" t="s">
        <v>19</v>
      </c>
      <c r="G19" s="1">
        <v>0.55000000000000004</v>
      </c>
      <c r="H19" s="1">
        <v>0.45</v>
      </c>
      <c r="I19" s="1">
        <v>0.54</v>
      </c>
      <c r="J19" s="1">
        <v>0.42</v>
      </c>
      <c r="K19" s="1">
        <v>0.59</v>
      </c>
      <c r="L19" s="1">
        <v>0.49</v>
      </c>
      <c r="M19" s="1">
        <v>0.54</v>
      </c>
      <c r="N19" s="1">
        <v>0.42</v>
      </c>
      <c r="O19" s="1">
        <v>0.5</v>
      </c>
      <c r="P19" s="1">
        <v>0.55000000000000004</v>
      </c>
      <c r="Q19" s="1">
        <v>0.38</v>
      </c>
      <c r="R19" s="1">
        <v>0.53</v>
      </c>
      <c r="S19" s="1">
        <f t="shared" si="0"/>
        <v>0.59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 s="6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0.88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0.81</v>
      </c>
      <c r="L23" s="1" cm="1">
        <f t="array" ref="L23">_xlfn.LET(_xlpm.d,L$2:L$19,_xlpm.a,$C$2:$C$19=$C23,_xlpm.b,$D$2:$D$19=$D23,MAX(_xlfn._xlws.FILTER(_xlpm.d,_xlpm.a*_xlpm.b)))</f>
        <v>0.92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0.87</v>
      </c>
      <c r="P23" s="1" cm="1">
        <f t="array" ref="P23">_xlfn.LET(_xlpm.d,P$2:P$19,_xlpm.a,$C$2:$C$19=$C23,_xlpm.b,$D$2:$D$19=$D23,MAX(_xlfn._xlws.FILTER(_xlpm.d,_xlpm.a*_xlpm.b)))</f>
        <v>0.83</v>
      </c>
      <c r="Q23" s="1" cm="1">
        <f t="array" ref="Q23">_xlfn.LET(_xlpm.d,Q$2:Q$19,_xlpm.a,$C$2:$C$19=$C23,_xlpm.b,$D$2:$D$19=$D23,MAX(_xlfn._xlws.FILTER(_xlpm.d,_xlpm.a*_xlpm.b)))</f>
        <v>0.89</v>
      </c>
      <c r="R23" s="1" cm="1">
        <f t="array" ref="R23">_xlfn.LET(_xlpm.d,R$2:R$19,_xlpm.a,$C$2:$C$19=$C23,_xlpm.b,$D$2:$D$19=$D23,MAX(_xlfn._xlws.FILTER(_xlpm.d,_xlpm.a*_xlpm.b)))</f>
        <v>0.85</v>
      </c>
      <c r="S23" s="1">
        <f t="shared" ref="S23:S28" si="1">MAX($G23:$R23)</f>
        <v>0.92</v>
      </c>
    </row>
    <row r="24" spans="1:19" ht="25" customHeight="1">
      <c r="B24" s="6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0.83</v>
      </c>
      <c r="H24" s="1" cm="1">
        <f t="array" ref="H24">_xlfn.LET(_xlpm.d,H$2:H$19,_xlpm.a,$C$2:$C$19=$C24,_xlpm.b,$D$2:$D$19=$D24,MAX(_xlfn._xlws.FILTER(_xlpm.d,_xlpm.a*_xlpm.b)))</f>
        <v>0.82</v>
      </c>
      <c r="I24" s="1" cm="1">
        <f t="array" ref="I24">_xlfn.LET(_xlpm.d,I$2:I$19,_xlpm.a,$C$2:$C$19=$C24,_xlpm.b,$D$2:$D$19=$D24,MAX(_xlfn._xlws.FILTER(_xlpm.d,_xlpm.a*_xlpm.b)))</f>
        <v>0.78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0.87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0.81</v>
      </c>
      <c r="O24" s="1" cm="1">
        <f t="array" ref="O24">_xlfn.LET(_xlpm.d,O$2:O$19,_xlpm.a,$C$2:$C$19=$C24,_xlpm.b,$D$2:$D$19=$D24,MAX(_xlfn._xlws.FILTER(_xlpm.d,_xlpm.a*_xlpm.b)))</f>
        <v>0.81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0.89</v>
      </c>
      <c r="R24" s="1" cm="1">
        <f t="array" ref="R24">_xlfn.LET(_xlpm.d,R$2:R$19,_xlpm.a,$C$2:$C$19=$C24,_xlpm.b,$D$2:$D$19=$D24,MAX(_xlfn._xlws.FILTER(_xlpm.d,_xlpm.a*_xlpm.b)))</f>
        <v>0.8</v>
      </c>
      <c r="S24" s="1">
        <f t="shared" si="1"/>
        <v>0.89</v>
      </c>
    </row>
    <row r="25" spans="1:19" ht="25" customHeight="1">
      <c r="B25" s="6">
        <v>2</v>
      </c>
      <c r="C25" t="s">
        <v>21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0.63</v>
      </c>
      <c r="H25" s="1" cm="1">
        <f t="array" ref="H25">_xlfn.LET(_xlpm.d,H$2:H$19,_xlpm.a,$C$2:$C$19=$C25,_xlpm.b,$D$2:$D$19=$D25,MAX(_xlfn._xlws.FILTER(_xlpm.d,_xlpm.a*_xlpm.b)))</f>
        <v>0.72</v>
      </c>
      <c r="I25" s="1" cm="1">
        <f t="array" ref="I25">_xlfn.LET(_xlpm.d,I$2:I$19,_xlpm.a,$C$2:$C$19=$C25,_xlpm.b,$D$2:$D$19=$D25,MAX(_xlfn._xlws.FILTER(_xlpm.d,_xlpm.a*_xlpm.b)))</f>
        <v>0.59</v>
      </c>
      <c r="J25" s="1" cm="1">
        <f t="array" ref="J25">_xlfn.LET(_xlpm.d,J$2:J$19,_xlpm.a,$C$2:$C$19=$C25,_xlpm.b,$D$2:$D$19=$D25,MAX(_xlfn._xlws.FILTER(_xlpm.d,_xlpm.a*_xlpm.b)))</f>
        <v>0.61</v>
      </c>
      <c r="K25" s="1" cm="1">
        <f t="array" ref="K25">_xlfn.LET(_xlpm.d,K$2:K$19,_xlpm.a,$C$2:$C$19=$C25,_xlpm.b,$D$2:$D$19=$D25,MAX(_xlfn._xlws.FILTER(_xlpm.d,_xlpm.a*_xlpm.b)))</f>
        <v>0.68</v>
      </c>
      <c r="L25" s="1" cm="1">
        <f t="array" ref="L25">_xlfn.LET(_xlpm.d,L$2:L$19,_xlpm.a,$C$2:$C$19=$C25,_xlpm.b,$D$2:$D$19=$D25,MAX(_xlfn._xlws.FILTER(_xlpm.d,_xlpm.a*_xlpm.b)))</f>
        <v>0.67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0.68</v>
      </c>
      <c r="O25" s="1" cm="1">
        <f t="array" ref="O25">_xlfn.LET(_xlpm.d,O$2:O$19,_xlpm.a,$C$2:$C$19=$C25,_xlpm.b,$D$2:$D$19=$D25,MAX(_xlfn._xlws.FILTER(_xlpm.d,_xlpm.a*_xlpm.b)))</f>
        <v>0.64</v>
      </c>
      <c r="P25" s="1" cm="1">
        <f t="array" ref="P25">_xlfn.LET(_xlpm.d,P$2:P$19,_xlpm.a,$C$2:$C$19=$C25,_xlpm.b,$D$2:$D$19=$D25,MAX(_xlfn._xlws.FILTER(_xlpm.d,_xlpm.a*_xlpm.b)))</f>
        <v>0.65</v>
      </c>
      <c r="Q25" s="1" cm="1">
        <f t="array" ref="Q25">_xlfn.LET(_xlpm.d,Q$2:Q$19,_xlpm.a,$C$2:$C$19=$C25,_xlpm.b,$D$2:$D$19=$D25,MAX(_xlfn._xlws.FILTER(_xlpm.d,_xlpm.a*_xlpm.b)))</f>
        <v>0.55000000000000004</v>
      </c>
      <c r="R25" s="1" cm="1">
        <f t="array" ref="R25">_xlfn.LET(_xlpm.d,R$2:R$19,_xlpm.a,$C$2:$C$19=$C25,_xlpm.b,$D$2:$D$19=$D25,MAX(_xlfn._xlws.FILTER(_xlpm.d,_xlpm.a*_xlpm.b)))</f>
        <v>0.65</v>
      </c>
      <c r="S25" s="1">
        <f t="shared" si="1"/>
        <v>0.72</v>
      </c>
    </row>
    <row r="26" spans="1:19" ht="25" customHeight="1">
      <c r="B26" s="6">
        <v>2</v>
      </c>
      <c r="C26" t="s">
        <v>21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0.64</v>
      </c>
      <c r="H26" s="1" cm="1">
        <f t="array" ref="H26">_xlfn.LET(_xlpm.d,H$2:H$19,_xlpm.a,$C$2:$C$19=$C26,_xlpm.b,$D$2:$D$19=$D26,MAX(_xlfn._xlws.FILTER(_xlpm.d,_xlpm.a*_xlpm.b)))</f>
        <v>0.63</v>
      </c>
      <c r="I26" s="1" cm="1">
        <f t="array" ref="I26">_xlfn.LET(_xlpm.d,I$2:I$19,_xlpm.a,$C$2:$C$19=$C26,_xlpm.b,$D$2:$D$19=$D26,MAX(_xlfn._xlws.FILTER(_xlpm.d,_xlpm.a*_xlpm.b)))</f>
        <v>0.56999999999999995</v>
      </c>
      <c r="J26" s="1" cm="1">
        <f t="array" ref="J26">_xlfn.LET(_xlpm.d,J$2:J$19,_xlpm.a,$C$2:$C$19=$C26,_xlpm.b,$D$2:$D$19=$D26,MAX(_xlfn._xlws.FILTER(_xlpm.d,_xlpm.a*_xlpm.b)))</f>
        <v>0.63</v>
      </c>
      <c r="K26" s="1" cm="1">
        <f t="array" ref="K26">_xlfn.LET(_xlpm.d,K$2:K$19,_xlpm.a,$C$2:$C$19=$C26,_xlpm.b,$D$2:$D$19=$D26,MAX(_xlfn._xlws.FILTER(_xlpm.d,_xlpm.a*_xlpm.b)))</f>
        <v>0.66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0.62</v>
      </c>
      <c r="N26" s="1" cm="1">
        <f t="array" ref="N26">_xlfn.LET(_xlpm.d,N$2:N$19,_xlpm.a,$C$2:$C$19=$C26,_xlpm.b,$D$2:$D$19=$D26,MAX(_xlfn._xlws.FILTER(_xlpm.d,_xlpm.a*_xlpm.b)))</f>
        <v>0.66</v>
      </c>
      <c r="O26" s="1" cm="1">
        <f t="array" ref="O26">_xlfn.LET(_xlpm.d,O$2:O$19,_xlpm.a,$C$2:$C$19=$C26,_xlpm.b,$D$2:$D$19=$D26,MAX(_xlfn._xlws.FILTER(_xlpm.d,_xlpm.a*_xlpm.b)))</f>
        <v>0.6</v>
      </c>
      <c r="P26" s="1" cm="1">
        <f t="array" ref="P26">_xlfn.LET(_xlpm.d,P$2:P$19,_xlpm.a,$C$2:$C$19=$C26,_xlpm.b,$D$2:$D$19=$D26,MAX(_xlfn._xlws.FILTER(_xlpm.d,_xlpm.a*_xlpm.b)))</f>
        <v>0.64</v>
      </c>
      <c r="Q26" s="1" cm="1">
        <f t="array" ref="Q26">_xlfn.LET(_xlpm.d,Q$2:Q$19,_xlpm.a,$C$2:$C$19=$C26,_xlpm.b,$D$2:$D$19=$D26,MAX(_xlfn._xlws.FILTER(_xlpm.d,_xlpm.a*_xlpm.b)))</f>
        <v>0.57999999999999996</v>
      </c>
      <c r="R26" s="1" cm="1">
        <f t="array" ref="R26">_xlfn.LET(_xlpm.d,R$2:R$19,_xlpm.a,$C$2:$C$19=$C26,_xlpm.b,$D$2:$D$19=$D26,MAX(_xlfn._xlws.FILTER(_xlpm.d,_xlpm.a*_xlpm.b)))</f>
        <v>0.64</v>
      </c>
      <c r="S26" s="1">
        <f t="shared" si="1"/>
        <v>0.66</v>
      </c>
    </row>
    <row r="27" spans="1:19" ht="25" customHeight="1">
      <c r="B27" s="6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0.55000000000000004</v>
      </c>
      <c r="H27" s="1" cm="1">
        <f t="array" ref="H27">_xlfn.LET(_xlpm.d,H$2:H$19,_xlpm.a,$C$2:$C$19=$C27,_xlpm.b,$D$2:$D$19=$D27,MAX(_xlfn._xlws.FILTER(_xlpm.d,_xlpm.a*_xlpm.b)))</f>
        <v>0.45</v>
      </c>
      <c r="I27" s="1" cm="1">
        <f t="array" ref="I27">_xlfn.LET(_xlpm.d,I$2:I$19,_xlpm.a,$C$2:$C$19=$C27,_xlpm.b,$D$2:$D$19=$D27,MAX(_xlfn._xlws.FILTER(_xlpm.d,_xlpm.a*_xlpm.b)))</f>
        <v>0.54</v>
      </c>
      <c r="J27" s="1" cm="1">
        <f t="array" ref="J27">_xlfn.LET(_xlpm.d,J$2:J$19,_xlpm.a,$C$2:$C$19=$C27,_xlpm.b,$D$2:$D$19=$D27,MAX(_xlfn._xlws.FILTER(_xlpm.d,_xlpm.a*_xlpm.b)))</f>
        <v>0.42</v>
      </c>
      <c r="K27" s="1" cm="1">
        <f t="array" ref="K27">_xlfn.LET(_xlpm.d,K$2:K$19,_xlpm.a,$C$2:$C$19=$C27,_xlpm.b,$D$2:$D$19=$D27,MAX(_xlfn._xlws.FILTER(_xlpm.d,_xlpm.a*_xlpm.b)))</f>
        <v>0.59</v>
      </c>
      <c r="L27" s="1" cm="1">
        <f t="array" ref="L27">_xlfn.LET(_xlpm.d,L$2:L$19,_xlpm.a,$C$2:$C$19=$C27,_xlpm.b,$D$2:$D$19=$D27,MAX(_xlfn._xlws.FILTER(_xlpm.d,_xlpm.a*_xlpm.b)))</f>
        <v>0.49</v>
      </c>
      <c r="M27" s="1" cm="1">
        <f t="array" ref="M27">_xlfn.LET(_xlpm.d,M$2:M$19,_xlpm.a,$C$2:$C$19=$C27,_xlpm.b,$D$2:$D$19=$D27,MAX(_xlfn._xlws.FILTER(_xlpm.d,_xlpm.a*_xlpm.b)))</f>
        <v>0.54</v>
      </c>
      <c r="N27" s="1" cm="1">
        <f t="array" ref="N27">_xlfn.LET(_xlpm.d,N$2:N$19,_xlpm.a,$C$2:$C$19=$C27,_xlpm.b,$D$2:$D$19=$D27,MAX(_xlfn._xlws.FILTER(_xlpm.d,_xlpm.a*_xlpm.b)))</f>
        <v>0.43</v>
      </c>
      <c r="O27" s="1" cm="1">
        <f t="array" ref="O27">_xlfn.LET(_xlpm.d,O$2:O$19,_xlpm.a,$C$2:$C$19=$C27,_xlpm.b,$D$2:$D$19=$D27,MAX(_xlfn._xlws.FILTER(_xlpm.d,_xlpm.a*_xlpm.b)))</f>
        <v>0.5</v>
      </c>
      <c r="P27" s="1" cm="1">
        <f t="array" ref="P27">_xlfn.LET(_xlpm.d,P$2:P$19,_xlpm.a,$C$2:$C$19=$C27,_xlpm.b,$D$2:$D$19=$D27,MAX(_xlfn._xlws.FILTER(_xlpm.d,_xlpm.a*_xlpm.b)))</f>
        <v>0.55000000000000004</v>
      </c>
      <c r="Q27" s="1" cm="1">
        <f t="array" ref="Q27">_xlfn.LET(_xlpm.d,Q$2:Q$19,_xlpm.a,$C$2:$C$19=$C27,_xlpm.b,$D$2:$D$19=$D27,MAX(_xlfn._xlws.FILTER(_xlpm.d,_xlpm.a*_xlpm.b)))</f>
        <v>0.38</v>
      </c>
      <c r="R27" s="1" cm="1">
        <f t="array" ref="R27">_xlfn.LET(_xlpm.d,R$2:R$19,_xlpm.a,$C$2:$C$19=$C27,_xlpm.b,$D$2:$D$19=$D27,MAX(_xlfn._xlws.FILTER(_xlpm.d,_xlpm.a*_xlpm.b)))</f>
        <v>0.53</v>
      </c>
      <c r="S27" s="1">
        <f t="shared" si="1"/>
        <v>0.59</v>
      </c>
    </row>
    <row r="28" spans="1:19" ht="25" customHeight="1">
      <c r="B28" s="6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0.4</v>
      </c>
      <c r="H28" s="1" cm="1">
        <f t="array" ref="H28">_xlfn.LET(_xlpm.d,H$2:H$19,_xlpm.a,$C$2:$C$19=$C28,_xlpm.b,$D$2:$D$19=$D28,MAX(_xlfn._xlws.FILTER(_xlpm.d,_xlpm.a*_xlpm.b)))</f>
        <v>0.4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</v>
      </c>
      <c r="K28" s="1" cm="1">
        <f t="array" ref="K28">_xlfn.LET(_xlpm.d,K$2:K$19,_xlpm.a,$C$2:$C$19=$C28,_xlpm.b,$D$2:$D$19=$D28,MAX(_xlfn._xlws.FILTER(_xlpm.d,_xlpm.a*_xlpm.b)))</f>
        <v>0.52</v>
      </c>
      <c r="L28" s="1" cm="1">
        <f t="array" ref="L28">_xlfn.LET(_xlpm.d,L$2:L$19,_xlpm.a,$C$2:$C$19=$C28,_xlpm.b,$D$2:$D$19=$D28,MAX(_xlfn._xlws.FILTER(_xlpm.d,_xlpm.a*_xlpm.b)))</f>
        <v>0.5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0.36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0.47</v>
      </c>
      <c r="Q28" s="1" cm="1">
        <f t="array" ref="Q28">_xlfn.LET(_xlpm.d,Q$2:Q$19,_xlpm.a,$C$2:$C$19=$C28,_xlpm.b,$D$2:$D$19=$D28,MAX(_xlfn._xlws.FILTER(_xlpm.d,_xlpm.a*_xlpm.b)))</f>
        <v>0.34</v>
      </c>
      <c r="R28" s="1" cm="1">
        <f t="array" ref="R28">_xlfn.LET(_xlpm.d,R$2:R$19,_xlpm.a,$C$2:$C$19=$C28,_xlpm.b,$D$2:$D$19=$D28,MAX(_xlfn._xlws.FILTER(_xlpm.d,_xlpm.a*_xlpm.b)))</f>
        <v>0.46</v>
      </c>
      <c r="S28" s="1">
        <f t="shared" si="1"/>
        <v>0.52</v>
      </c>
    </row>
  </sheetData>
  <conditionalFormatting sqref="G23:R28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4:S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E439-F59B-2A42-982B-0D8C39519A73}">
  <dimension ref="A1:S28"/>
  <sheetViews>
    <sheetView workbookViewId="0"/>
  </sheetViews>
  <sheetFormatPr baseColWidth="10" defaultRowHeight="25" customHeight="1"/>
  <cols>
    <col min="2" max="5" width="8.5" customWidth="1"/>
    <col min="6" max="6" width="8.875" customWidth="1"/>
    <col min="7" max="19" width="8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0.86</v>
      </c>
      <c r="H2" s="1">
        <v>0.86</v>
      </c>
      <c r="I2" s="1">
        <v>0.76</v>
      </c>
      <c r="J2" s="1">
        <v>0.74</v>
      </c>
      <c r="K2" s="1">
        <v>0.77</v>
      </c>
      <c r="L2" s="1">
        <v>0.81</v>
      </c>
      <c r="M2" s="1">
        <v>0.82</v>
      </c>
      <c r="N2" s="1">
        <v>0.82</v>
      </c>
      <c r="O2" s="1">
        <v>0.97</v>
      </c>
      <c r="P2" s="1">
        <v>0.86</v>
      </c>
      <c r="Q2" s="1">
        <v>0.79</v>
      </c>
      <c r="R2" s="1">
        <v>0.72</v>
      </c>
      <c r="S2" s="1">
        <f t="shared" ref="S2:S19" si="0">MAX($G2:$R2)</f>
        <v>0.97</v>
      </c>
    </row>
    <row r="3" spans="1:19" ht="25" customHeight="1">
      <c r="A3" t="s">
        <v>16</v>
      </c>
      <c r="B3">
        <v>1</v>
      </c>
      <c r="C3" t="s">
        <v>17</v>
      </c>
      <c r="D3" t="b">
        <v>0</v>
      </c>
      <c r="E3">
        <v>1</v>
      </c>
      <c r="F3" t="s">
        <v>20</v>
      </c>
      <c r="G3" s="1">
        <v>0.82</v>
      </c>
      <c r="H3" s="1">
        <v>0.83</v>
      </c>
      <c r="I3" s="1">
        <v>0.77</v>
      </c>
      <c r="J3" s="1">
        <v>0.78</v>
      </c>
      <c r="K3" s="1">
        <v>0.79</v>
      </c>
      <c r="L3" s="1">
        <v>0.82</v>
      </c>
      <c r="M3" s="1">
        <v>0.72</v>
      </c>
      <c r="N3" s="1">
        <v>0.75</v>
      </c>
      <c r="O3" s="1">
        <v>0.82</v>
      </c>
      <c r="P3" s="1">
        <v>0.81</v>
      </c>
      <c r="Q3" s="1">
        <v>0.75</v>
      </c>
      <c r="R3" s="1">
        <v>0.72</v>
      </c>
      <c r="S3" s="1">
        <f t="shared" si="0"/>
        <v>0.83</v>
      </c>
    </row>
    <row r="4" spans="1:19" ht="25" customHeight="1">
      <c r="A4" t="s">
        <v>16</v>
      </c>
      <c r="B4">
        <v>1</v>
      </c>
      <c r="C4" t="s">
        <v>17</v>
      </c>
      <c r="D4" t="b">
        <v>0</v>
      </c>
      <c r="E4">
        <v>2</v>
      </c>
      <c r="F4" t="s">
        <v>19</v>
      </c>
      <c r="G4" s="1">
        <v>0.78</v>
      </c>
      <c r="H4" s="1">
        <v>0.89</v>
      </c>
      <c r="I4" s="1">
        <v>0.76</v>
      </c>
      <c r="J4" s="1">
        <v>0.87</v>
      </c>
      <c r="K4" s="1">
        <v>0.83</v>
      </c>
      <c r="L4" s="1">
        <v>0.88</v>
      </c>
      <c r="M4" s="1">
        <v>0.82</v>
      </c>
      <c r="N4" s="1">
        <v>0.78</v>
      </c>
      <c r="O4" s="1">
        <v>0.84</v>
      </c>
      <c r="P4" s="1">
        <v>0.87</v>
      </c>
      <c r="Q4" s="1">
        <v>0.75</v>
      </c>
      <c r="R4" s="1">
        <v>0.77</v>
      </c>
      <c r="S4" s="1">
        <f t="shared" si="0"/>
        <v>0.89</v>
      </c>
    </row>
    <row r="5" spans="1:19" ht="25" customHeight="1">
      <c r="A5" t="s">
        <v>16</v>
      </c>
      <c r="B5">
        <v>1</v>
      </c>
      <c r="C5" t="s">
        <v>17</v>
      </c>
      <c r="D5" t="b">
        <v>1</v>
      </c>
      <c r="E5">
        <v>2</v>
      </c>
      <c r="F5" t="s">
        <v>19</v>
      </c>
      <c r="G5" s="1">
        <v>0.89</v>
      </c>
      <c r="H5" s="1">
        <v>0.92</v>
      </c>
      <c r="I5" s="1">
        <v>0.8</v>
      </c>
      <c r="J5" s="1">
        <v>0.9</v>
      </c>
      <c r="K5" s="1">
        <v>0.81</v>
      </c>
      <c r="L5" s="1">
        <v>0.88</v>
      </c>
      <c r="M5" s="1">
        <v>0.82</v>
      </c>
      <c r="N5" s="1">
        <v>0.82</v>
      </c>
      <c r="O5" s="1">
        <v>0.85</v>
      </c>
      <c r="P5" s="1">
        <v>0.89</v>
      </c>
      <c r="Q5" s="1">
        <v>0.78</v>
      </c>
      <c r="R5" s="1">
        <v>0.79</v>
      </c>
      <c r="S5" s="1">
        <f t="shared" si="0"/>
        <v>0.92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18</v>
      </c>
      <c r="G6" s="1">
        <v>0.78</v>
      </c>
      <c r="H6" s="1">
        <v>0.85</v>
      </c>
      <c r="I6" s="1">
        <v>0.75</v>
      </c>
      <c r="J6" s="1">
        <v>0.78</v>
      </c>
      <c r="K6" s="1">
        <v>0.77</v>
      </c>
      <c r="L6" s="1">
        <v>0.84</v>
      </c>
      <c r="M6" s="1">
        <v>0.77</v>
      </c>
      <c r="N6" s="1">
        <v>0.68</v>
      </c>
      <c r="O6" s="1">
        <v>0.72</v>
      </c>
      <c r="P6" s="1">
        <v>0.81</v>
      </c>
      <c r="Q6" s="1">
        <v>0.79</v>
      </c>
      <c r="R6" s="1">
        <v>0.75</v>
      </c>
      <c r="S6" s="1">
        <f t="shared" si="0"/>
        <v>0.85</v>
      </c>
    </row>
    <row r="7" spans="1:19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18</v>
      </c>
      <c r="G7" s="1">
        <v>0.82</v>
      </c>
      <c r="H7" s="1">
        <v>0.88</v>
      </c>
      <c r="I7" s="1">
        <v>0.82</v>
      </c>
      <c r="J7" s="1">
        <v>0.83</v>
      </c>
      <c r="K7" s="1">
        <v>0.75</v>
      </c>
      <c r="L7" s="1">
        <v>0.82</v>
      </c>
      <c r="M7" s="1">
        <v>0.82</v>
      </c>
      <c r="N7" s="1">
        <v>0.72</v>
      </c>
      <c r="O7" s="1">
        <v>0.84</v>
      </c>
      <c r="P7" s="1">
        <v>0.87</v>
      </c>
      <c r="Q7" s="1">
        <v>0.8</v>
      </c>
      <c r="R7" s="1">
        <v>0.75</v>
      </c>
      <c r="S7" s="1">
        <f t="shared" si="0"/>
        <v>0.88</v>
      </c>
    </row>
    <row r="8" spans="1:19" ht="25" customHeight="1">
      <c r="A8" t="s">
        <v>16</v>
      </c>
      <c r="B8">
        <v>2</v>
      </c>
      <c r="C8" t="s">
        <v>21</v>
      </c>
      <c r="D8" t="b">
        <v>0</v>
      </c>
      <c r="E8">
        <v>1</v>
      </c>
      <c r="F8" t="s">
        <v>20</v>
      </c>
      <c r="G8" s="1">
        <v>0.48</v>
      </c>
      <c r="H8" s="1">
        <v>0.54</v>
      </c>
      <c r="I8" s="1">
        <v>0.47</v>
      </c>
      <c r="J8" s="1">
        <v>0.42</v>
      </c>
      <c r="K8" s="1">
        <v>0.34</v>
      </c>
      <c r="L8" s="1">
        <v>0.42</v>
      </c>
      <c r="M8" s="1">
        <v>0.52</v>
      </c>
      <c r="N8" s="1">
        <v>0.53</v>
      </c>
      <c r="O8" s="1">
        <v>0.45</v>
      </c>
      <c r="P8" s="1">
        <v>0.56000000000000005</v>
      </c>
      <c r="Q8" s="1">
        <v>0.47</v>
      </c>
      <c r="R8" s="1">
        <v>0.44</v>
      </c>
      <c r="S8" s="1">
        <f t="shared" si="0"/>
        <v>0.56000000000000005</v>
      </c>
    </row>
    <row r="9" spans="1:19" ht="25" customHeight="1">
      <c r="A9" t="s">
        <v>16</v>
      </c>
      <c r="B9">
        <v>2</v>
      </c>
      <c r="C9" t="s">
        <v>21</v>
      </c>
      <c r="D9" t="b">
        <v>0</v>
      </c>
      <c r="E9">
        <v>2</v>
      </c>
      <c r="F9" t="s">
        <v>19</v>
      </c>
      <c r="G9" s="1">
        <v>0.67</v>
      </c>
      <c r="H9" s="1">
        <v>0.6</v>
      </c>
      <c r="I9" s="1">
        <v>0.56999999999999995</v>
      </c>
      <c r="J9" s="1">
        <v>0.56999999999999995</v>
      </c>
      <c r="K9" s="1">
        <v>0.53</v>
      </c>
      <c r="L9" s="1">
        <v>0.53</v>
      </c>
      <c r="M9" s="1">
        <v>0.61</v>
      </c>
      <c r="N9" s="1">
        <v>0.62</v>
      </c>
      <c r="O9" s="1">
        <v>0.53</v>
      </c>
      <c r="P9" s="1">
        <v>0.67</v>
      </c>
      <c r="Q9" s="1">
        <v>0.55000000000000004</v>
      </c>
      <c r="R9" s="1">
        <v>0.56999999999999995</v>
      </c>
      <c r="S9" s="1">
        <f t="shared" si="0"/>
        <v>0.67</v>
      </c>
    </row>
    <row r="10" spans="1:19" ht="25" customHeight="1">
      <c r="A10" t="s">
        <v>16</v>
      </c>
      <c r="B10">
        <v>2</v>
      </c>
      <c r="C10" t="s">
        <v>21</v>
      </c>
      <c r="D10" t="b">
        <v>0</v>
      </c>
      <c r="E10">
        <v>3</v>
      </c>
      <c r="F10" t="s">
        <v>18</v>
      </c>
      <c r="G10" s="1">
        <v>0.6</v>
      </c>
      <c r="H10" s="1">
        <v>0.56999999999999995</v>
      </c>
      <c r="I10" s="1">
        <v>0.61</v>
      </c>
      <c r="J10" s="1">
        <v>0.59</v>
      </c>
      <c r="K10" s="1">
        <v>0.6</v>
      </c>
      <c r="L10" s="1">
        <v>0.51</v>
      </c>
      <c r="M10" s="1">
        <v>0.55000000000000004</v>
      </c>
      <c r="N10" s="1">
        <v>0.56999999999999995</v>
      </c>
      <c r="O10" s="1">
        <v>0.61</v>
      </c>
      <c r="P10" s="1">
        <v>0.62</v>
      </c>
      <c r="Q10" s="1">
        <v>0.61</v>
      </c>
      <c r="R10" s="1">
        <v>0.56999999999999995</v>
      </c>
      <c r="S10" s="1">
        <f t="shared" si="0"/>
        <v>0.62</v>
      </c>
    </row>
    <row r="11" spans="1:19" ht="25" customHeight="1">
      <c r="A11" t="s">
        <v>16</v>
      </c>
      <c r="B11">
        <v>2</v>
      </c>
      <c r="C11" t="s">
        <v>21</v>
      </c>
      <c r="D11" t="b">
        <v>1</v>
      </c>
      <c r="E11">
        <v>2</v>
      </c>
      <c r="F11" t="s">
        <v>19</v>
      </c>
      <c r="G11" s="1">
        <v>0.66</v>
      </c>
      <c r="H11" s="1">
        <v>0.64</v>
      </c>
      <c r="I11" s="1">
        <v>0.56000000000000005</v>
      </c>
      <c r="J11" s="1">
        <v>0.63</v>
      </c>
      <c r="K11" s="1">
        <v>0.56999999999999995</v>
      </c>
      <c r="L11" s="1">
        <v>0.6</v>
      </c>
      <c r="M11" s="1">
        <v>0.59</v>
      </c>
      <c r="N11" s="1">
        <v>0.65</v>
      </c>
      <c r="O11" s="1">
        <v>0.59</v>
      </c>
      <c r="P11" s="1">
        <v>0.59</v>
      </c>
      <c r="Q11" s="1">
        <v>0.56999999999999995</v>
      </c>
      <c r="R11" s="1">
        <v>0.55000000000000004</v>
      </c>
      <c r="S11" s="1">
        <f t="shared" si="0"/>
        <v>0.66</v>
      </c>
    </row>
    <row r="12" spans="1:19" ht="25" customHeight="1">
      <c r="A12" t="s">
        <v>16</v>
      </c>
      <c r="B12">
        <v>2</v>
      </c>
      <c r="C12" t="s">
        <v>21</v>
      </c>
      <c r="D12" t="b">
        <v>1</v>
      </c>
      <c r="E12">
        <v>3</v>
      </c>
      <c r="F12" t="s">
        <v>18</v>
      </c>
      <c r="G12" s="1">
        <v>0.59</v>
      </c>
      <c r="H12" s="1">
        <v>0.56000000000000005</v>
      </c>
      <c r="I12" s="1">
        <v>0.53</v>
      </c>
      <c r="J12" s="1">
        <v>0.61</v>
      </c>
      <c r="K12" s="1">
        <v>0.61</v>
      </c>
      <c r="L12" s="1">
        <v>0.59</v>
      </c>
      <c r="M12" s="1">
        <v>0.56999999999999995</v>
      </c>
      <c r="N12" s="1">
        <v>0.57999999999999996</v>
      </c>
      <c r="O12" s="1">
        <v>0.62</v>
      </c>
      <c r="P12" s="1">
        <v>0.62</v>
      </c>
      <c r="Q12" s="1">
        <v>0.68</v>
      </c>
      <c r="R12" s="1">
        <v>0.54</v>
      </c>
      <c r="S12" s="1">
        <f t="shared" si="0"/>
        <v>0.68</v>
      </c>
    </row>
    <row r="13" spans="1:19" ht="25" customHeight="1">
      <c r="A13" t="s">
        <v>16</v>
      </c>
      <c r="B13">
        <v>2</v>
      </c>
      <c r="C13" t="s">
        <v>21</v>
      </c>
      <c r="D13" t="b">
        <v>1</v>
      </c>
      <c r="E13">
        <v>1</v>
      </c>
      <c r="F13" t="s">
        <v>20</v>
      </c>
      <c r="G13" s="1">
        <v>0.53</v>
      </c>
      <c r="H13" s="1">
        <v>0.45</v>
      </c>
      <c r="I13" s="1">
        <v>0.51</v>
      </c>
      <c r="J13" s="1">
        <v>0.53</v>
      </c>
      <c r="K13" s="1">
        <v>0.4</v>
      </c>
      <c r="L13" s="1">
        <v>0.38</v>
      </c>
      <c r="M13" s="1">
        <v>0.45</v>
      </c>
      <c r="N13" s="1">
        <v>0.51</v>
      </c>
      <c r="O13" s="1">
        <v>0.49</v>
      </c>
      <c r="P13" s="1">
        <v>0.53</v>
      </c>
      <c r="Q13" s="1">
        <v>0.51</v>
      </c>
      <c r="R13" s="1">
        <v>0.45</v>
      </c>
      <c r="S13" s="1">
        <f t="shared" si="0"/>
        <v>0.53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3</v>
      </c>
      <c r="F14" t="s">
        <v>18</v>
      </c>
      <c r="G14" s="1">
        <v>0.44</v>
      </c>
      <c r="H14" s="1">
        <v>0.38</v>
      </c>
      <c r="I14" s="1">
        <v>0.34</v>
      </c>
      <c r="J14" s="1">
        <v>0.37</v>
      </c>
      <c r="K14" s="1">
        <v>0.34</v>
      </c>
      <c r="L14" s="1">
        <v>0.41</v>
      </c>
      <c r="M14" s="1">
        <v>0.41</v>
      </c>
      <c r="N14" s="1">
        <v>0.46</v>
      </c>
      <c r="O14" s="1">
        <v>0.36</v>
      </c>
      <c r="P14" s="1">
        <v>0.44</v>
      </c>
      <c r="Q14" s="1">
        <v>0.39</v>
      </c>
      <c r="R14" s="1">
        <v>0.31</v>
      </c>
      <c r="S14" s="1">
        <f t="shared" si="0"/>
        <v>0.46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1</v>
      </c>
      <c r="F15" t="s">
        <v>20</v>
      </c>
      <c r="G15" s="1">
        <v>0.43</v>
      </c>
      <c r="H15" s="1">
        <v>0.45</v>
      </c>
      <c r="I15" s="1">
        <v>0.41</v>
      </c>
      <c r="J15" s="1">
        <v>0.32</v>
      </c>
      <c r="K15" s="1">
        <v>0.32</v>
      </c>
      <c r="L15" s="1">
        <v>0.48</v>
      </c>
      <c r="M15" s="1">
        <v>0.51</v>
      </c>
      <c r="N15" s="1">
        <v>0.43</v>
      </c>
      <c r="O15" s="1">
        <v>0.42</v>
      </c>
      <c r="P15" s="1">
        <v>0.35</v>
      </c>
      <c r="Q15" s="1">
        <v>0.38</v>
      </c>
      <c r="R15" s="1">
        <v>0.38</v>
      </c>
      <c r="S15" s="1">
        <f t="shared" si="0"/>
        <v>0.51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2</v>
      </c>
      <c r="F16" t="s">
        <v>19</v>
      </c>
      <c r="G16" s="1">
        <v>0.39</v>
      </c>
      <c r="H16" s="1">
        <v>0.5</v>
      </c>
      <c r="I16" s="1">
        <v>0.53</v>
      </c>
      <c r="J16" s="1">
        <v>0.44</v>
      </c>
      <c r="K16" s="1">
        <v>0.43</v>
      </c>
      <c r="L16" s="1">
        <v>0.46</v>
      </c>
      <c r="M16" s="1">
        <v>0.52</v>
      </c>
      <c r="N16" s="1">
        <v>0.52</v>
      </c>
      <c r="O16" s="1">
        <v>0.47</v>
      </c>
      <c r="P16" s="1">
        <v>0.39</v>
      </c>
      <c r="Q16" s="1">
        <v>0.5</v>
      </c>
      <c r="R16" s="1">
        <v>0.44</v>
      </c>
      <c r="S16" s="1">
        <f t="shared" si="0"/>
        <v>0.53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2</v>
      </c>
      <c r="F17" t="s">
        <v>19</v>
      </c>
      <c r="G17" s="1">
        <v>0.37</v>
      </c>
      <c r="H17" s="1">
        <v>0.48</v>
      </c>
      <c r="I17" s="1">
        <v>0.39</v>
      </c>
      <c r="J17" s="1">
        <v>0.41</v>
      </c>
      <c r="K17" s="1">
        <v>0.38</v>
      </c>
      <c r="L17" s="1">
        <v>0.42</v>
      </c>
      <c r="M17" s="1">
        <v>0.41</v>
      </c>
      <c r="N17" s="1">
        <v>0.47</v>
      </c>
      <c r="O17" s="1">
        <v>0.41</v>
      </c>
      <c r="P17" s="1">
        <v>0.36</v>
      </c>
      <c r="Q17" s="1">
        <v>0.44</v>
      </c>
      <c r="R17" s="1">
        <v>0.34</v>
      </c>
      <c r="S17" s="1">
        <f t="shared" si="0"/>
        <v>0.48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1</v>
      </c>
      <c r="F18" t="s">
        <v>20</v>
      </c>
      <c r="G18" s="1">
        <v>0.36</v>
      </c>
      <c r="H18" s="1">
        <v>0.43</v>
      </c>
      <c r="I18" s="1">
        <v>0.4</v>
      </c>
      <c r="J18" s="1">
        <v>0.24</v>
      </c>
      <c r="K18" s="1">
        <v>0.28999999999999998</v>
      </c>
      <c r="L18" s="1">
        <v>0.34</v>
      </c>
      <c r="M18" s="1">
        <v>0.36</v>
      </c>
      <c r="N18" s="1">
        <v>0.47</v>
      </c>
      <c r="O18" s="1">
        <v>0.34</v>
      </c>
      <c r="P18" s="1">
        <v>0.36</v>
      </c>
      <c r="Q18" s="1">
        <v>0.31</v>
      </c>
      <c r="R18" s="1">
        <v>0.33</v>
      </c>
      <c r="S18" s="1">
        <f t="shared" si="0"/>
        <v>0.47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s="1">
        <v>0.26</v>
      </c>
      <c r="H19" s="1">
        <v>0.41</v>
      </c>
      <c r="I19" s="1">
        <v>0.3</v>
      </c>
      <c r="J19" s="1">
        <v>0.3</v>
      </c>
      <c r="K19" s="1">
        <v>0.3</v>
      </c>
      <c r="L19" s="1">
        <v>0.32</v>
      </c>
      <c r="M19" s="1">
        <v>0.35</v>
      </c>
      <c r="N19" s="1">
        <v>0.41</v>
      </c>
      <c r="O19" s="1">
        <v>0.31</v>
      </c>
      <c r="P19" s="1">
        <v>0.35</v>
      </c>
      <c r="Q19" s="1">
        <v>0.41</v>
      </c>
      <c r="R19" s="1">
        <v>0.28999999999999998</v>
      </c>
      <c r="S19" s="1">
        <f t="shared" si="0"/>
        <v>0.41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 s="6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0.89</v>
      </c>
      <c r="H23" s="1" cm="1">
        <f t="array" ref="H23">_xlfn.LET(_xlpm.d,H$2:H$19,_xlpm.a,$C$2:$C$19=$C23,_xlpm.b,$D$2:$D$19=$D23,MAX(_xlfn._xlws.FILTER(_xlpm.d,_xlpm.a*_xlpm.b)))</f>
        <v>0.92</v>
      </c>
      <c r="I23" s="1" cm="1">
        <f t="array" ref="I23">_xlfn.LET(_xlpm.d,I$2:I$19,_xlpm.a,$C$2:$C$19=$C23,_xlpm.b,$D$2:$D$19=$D23,MAX(_xlfn._xlws.FILTER(_xlpm.d,_xlpm.a*_xlpm.b)))</f>
        <v>0.82</v>
      </c>
      <c r="J23" s="1" cm="1">
        <f t="array" ref="J23">_xlfn.LET(_xlpm.d,J$2:J$19,_xlpm.a,$C$2:$C$19=$C23,_xlpm.b,$D$2:$D$19=$D23,MAX(_xlfn._xlws.FILTER(_xlpm.d,_xlpm.a*_xlpm.b)))</f>
        <v>0.9</v>
      </c>
      <c r="K23" s="1" cm="1">
        <f t="array" ref="K23">_xlfn.LET(_xlpm.d,K$2:K$19,_xlpm.a,$C$2:$C$19=$C23,_xlpm.b,$D$2:$D$19=$D23,MAX(_xlfn._xlws.FILTER(_xlpm.d,_xlpm.a*_xlpm.b)))</f>
        <v>0.81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0.82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0.97</v>
      </c>
      <c r="P23" s="1" cm="1">
        <f t="array" ref="P23">_xlfn.LET(_xlpm.d,P$2:P$19,_xlpm.a,$C$2:$C$19=$C23,_xlpm.b,$D$2:$D$19=$D23,MAX(_xlfn._xlws.FILTER(_xlpm.d,_xlpm.a*_xlpm.b)))</f>
        <v>0.89</v>
      </c>
      <c r="Q23" s="1" cm="1">
        <f t="array" ref="Q23">_xlfn.LET(_xlpm.d,Q$2:Q$19,_xlpm.a,$C$2:$C$19=$C23,_xlpm.b,$D$2:$D$19=$D23,MAX(_xlfn._xlws.FILTER(_xlpm.d,_xlpm.a*_xlpm.b)))</f>
        <v>0.8</v>
      </c>
      <c r="R23" s="1" cm="1">
        <f t="array" ref="R23">_xlfn.LET(_xlpm.d,R$2:R$19,_xlpm.a,$C$2:$C$19=$C23,_xlpm.b,$D$2:$D$19=$D23,MAX(_xlfn._xlws.FILTER(_xlpm.d,_xlpm.a*_xlpm.b)))</f>
        <v>0.79</v>
      </c>
      <c r="S23" s="1">
        <f t="shared" ref="S23:S28" si="1">MAX($G23:$R23)</f>
        <v>0.97</v>
      </c>
    </row>
    <row r="24" spans="1:19" ht="25" customHeight="1">
      <c r="B24" s="6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0.89</v>
      </c>
      <c r="I24" s="1" cm="1">
        <f t="array" ref="I24">_xlfn.LET(_xlpm.d,I$2:I$19,_xlpm.a,$C$2:$C$19=$C24,_xlpm.b,$D$2:$D$19=$D24,MAX(_xlfn._xlws.FILTER(_xlpm.d,_xlpm.a*_xlpm.b)))</f>
        <v>0.77</v>
      </c>
      <c r="J24" s="1" cm="1">
        <f t="array" ref="J24">_xlfn.LET(_xlpm.d,J$2:J$19,_xlpm.a,$C$2:$C$19=$C24,_xlpm.b,$D$2:$D$19=$D24,MAX(_xlfn._xlws.FILTER(_xlpm.d,_xlpm.a*_xlpm.b)))</f>
        <v>0.87</v>
      </c>
      <c r="K24" s="1" cm="1">
        <f t="array" ref="K24">_xlfn.LET(_xlpm.d,K$2:K$19,_xlpm.a,$C$2:$C$19=$C24,_xlpm.b,$D$2:$D$19=$D24,MAX(_xlfn._xlws.FILTER(_xlpm.d,_xlpm.a*_xlpm.b)))</f>
        <v>0.83</v>
      </c>
      <c r="L24" s="1" cm="1">
        <f t="array" ref="L24">_xlfn.LET(_xlpm.d,L$2:L$19,_xlpm.a,$C$2:$C$19=$C24,_xlpm.b,$D$2:$D$19=$D24,MAX(_xlfn._xlws.FILTER(_xlpm.d,_xlpm.a*_xlpm.b)))</f>
        <v>0.88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0.78</v>
      </c>
      <c r="O24" s="1" cm="1">
        <f t="array" ref="O24">_xlfn.LET(_xlpm.d,O$2:O$19,_xlpm.a,$C$2:$C$19=$C24,_xlpm.b,$D$2:$D$19=$D24,MAX(_xlfn._xlws.FILTER(_xlpm.d,_xlpm.a*_xlpm.b)))</f>
        <v>0.84</v>
      </c>
      <c r="P24" s="1" cm="1">
        <f t="array" ref="P24">_xlfn.LET(_xlpm.d,P$2:P$19,_xlpm.a,$C$2:$C$19=$C24,_xlpm.b,$D$2:$D$19=$D24,MAX(_xlfn._xlws.FILTER(_xlpm.d,_xlpm.a*_xlpm.b)))</f>
        <v>0.87</v>
      </c>
      <c r="Q24" s="1" cm="1">
        <f t="array" ref="Q24">_xlfn.LET(_xlpm.d,Q$2:Q$19,_xlpm.a,$C$2:$C$19=$C24,_xlpm.b,$D$2:$D$19=$D24,MAX(_xlfn._xlws.FILTER(_xlpm.d,_xlpm.a*_xlpm.b)))</f>
        <v>0.79</v>
      </c>
      <c r="R24" s="1" cm="1">
        <f t="array" ref="R24">_xlfn.LET(_xlpm.d,R$2:R$19,_xlpm.a,$C$2:$C$19=$C24,_xlpm.b,$D$2:$D$19=$D24,MAX(_xlfn._xlws.FILTER(_xlpm.d,_xlpm.a*_xlpm.b)))</f>
        <v>0.77</v>
      </c>
      <c r="S24" s="1">
        <f t="shared" si="1"/>
        <v>0.89</v>
      </c>
    </row>
    <row r="25" spans="1:19" ht="25" customHeight="1">
      <c r="B25" s="6">
        <v>2</v>
      </c>
      <c r="C25" t="s">
        <v>21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0.66</v>
      </c>
      <c r="H25" s="1" cm="1">
        <f t="array" ref="H25">_xlfn.LET(_xlpm.d,H$2:H$19,_xlpm.a,$C$2:$C$19=$C25,_xlpm.b,$D$2:$D$19=$D25,MAX(_xlfn._xlws.FILTER(_xlpm.d,_xlpm.a*_xlpm.b)))</f>
        <v>0.64</v>
      </c>
      <c r="I25" s="1" cm="1">
        <f t="array" ref="I25">_xlfn.LET(_xlpm.d,I$2:I$19,_xlpm.a,$C$2:$C$19=$C25,_xlpm.b,$D$2:$D$19=$D25,MAX(_xlfn._xlws.FILTER(_xlpm.d,_xlpm.a*_xlpm.b)))</f>
        <v>0.56000000000000005</v>
      </c>
      <c r="J25" s="1" cm="1">
        <f t="array" ref="J25">_xlfn.LET(_xlpm.d,J$2:J$19,_xlpm.a,$C$2:$C$19=$C25,_xlpm.b,$D$2:$D$19=$D25,MAX(_xlfn._xlws.FILTER(_xlpm.d,_xlpm.a*_xlpm.b)))</f>
        <v>0.63</v>
      </c>
      <c r="K25" s="1" cm="1">
        <f t="array" ref="K25">_xlfn.LET(_xlpm.d,K$2:K$19,_xlpm.a,$C$2:$C$19=$C25,_xlpm.b,$D$2:$D$19=$D25,MAX(_xlfn._xlws.FILTER(_xlpm.d,_xlpm.a*_xlpm.b)))</f>
        <v>0.61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0.59</v>
      </c>
      <c r="N25" s="1" cm="1">
        <f t="array" ref="N25">_xlfn.LET(_xlpm.d,N$2:N$19,_xlpm.a,$C$2:$C$19=$C25,_xlpm.b,$D$2:$D$19=$D25,MAX(_xlfn._xlws.FILTER(_xlpm.d,_xlpm.a*_xlpm.b)))</f>
        <v>0.65</v>
      </c>
      <c r="O25" s="1" cm="1">
        <f t="array" ref="O25">_xlfn.LET(_xlpm.d,O$2:O$19,_xlpm.a,$C$2:$C$19=$C25,_xlpm.b,$D$2:$D$19=$D25,MAX(_xlfn._xlws.FILTER(_xlpm.d,_xlpm.a*_xlpm.b)))</f>
        <v>0.62</v>
      </c>
      <c r="P25" s="1" cm="1">
        <f t="array" ref="P25">_xlfn.LET(_xlpm.d,P$2:P$19,_xlpm.a,$C$2:$C$19=$C25,_xlpm.b,$D$2:$D$19=$D25,MAX(_xlfn._xlws.FILTER(_xlpm.d,_xlpm.a*_xlpm.b)))</f>
        <v>0.62</v>
      </c>
      <c r="Q25" s="1" cm="1">
        <f t="array" ref="Q25">_xlfn.LET(_xlpm.d,Q$2:Q$19,_xlpm.a,$C$2:$C$19=$C25,_xlpm.b,$D$2:$D$19=$D25,MAX(_xlfn._xlws.FILTER(_xlpm.d,_xlpm.a*_xlpm.b)))</f>
        <v>0.68</v>
      </c>
      <c r="R25" s="1" cm="1">
        <f t="array" ref="R25">_xlfn.LET(_xlpm.d,R$2:R$19,_xlpm.a,$C$2:$C$19=$C25,_xlpm.b,$D$2:$D$19=$D25,MAX(_xlfn._xlws.FILTER(_xlpm.d,_xlpm.a*_xlpm.b)))</f>
        <v>0.55000000000000004</v>
      </c>
      <c r="S25" s="1">
        <f t="shared" si="1"/>
        <v>0.68</v>
      </c>
    </row>
    <row r="26" spans="1:19" ht="25" customHeight="1">
      <c r="B26" s="6">
        <v>2</v>
      </c>
      <c r="C26" t="s">
        <v>21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0.67</v>
      </c>
      <c r="H26" s="1" cm="1">
        <f t="array" ref="H26">_xlfn.LET(_xlpm.d,H$2:H$19,_xlpm.a,$C$2:$C$19=$C26,_xlpm.b,$D$2:$D$19=$D26,MAX(_xlfn._xlws.FILTER(_xlpm.d,_xlpm.a*_xlpm.b)))</f>
        <v>0.6</v>
      </c>
      <c r="I26" s="1" cm="1">
        <f t="array" ref="I26">_xlfn.LET(_xlpm.d,I$2:I$19,_xlpm.a,$C$2:$C$19=$C26,_xlpm.b,$D$2:$D$19=$D26,MAX(_xlfn._xlws.FILTER(_xlpm.d,_xlpm.a*_xlpm.b)))</f>
        <v>0.61</v>
      </c>
      <c r="J26" s="1" cm="1">
        <f t="array" ref="J26">_xlfn.LET(_xlpm.d,J$2:J$19,_xlpm.a,$C$2:$C$19=$C26,_xlpm.b,$D$2:$D$19=$D26,MAX(_xlfn._xlws.FILTER(_xlpm.d,_xlpm.a*_xlpm.b)))</f>
        <v>0.59</v>
      </c>
      <c r="K26" s="1" cm="1">
        <f t="array" ref="K26">_xlfn.LET(_xlpm.d,K$2:K$19,_xlpm.a,$C$2:$C$19=$C26,_xlpm.b,$D$2:$D$19=$D26,MAX(_xlfn._xlws.FILTER(_xlpm.d,_xlpm.a*_xlpm.b)))</f>
        <v>0.6</v>
      </c>
      <c r="L26" s="1" cm="1">
        <f t="array" ref="L26">_xlfn.LET(_xlpm.d,L$2:L$19,_xlpm.a,$C$2:$C$19=$C26,_xlpm.b,$D$2:$D$19=$D26,MAX(_xlfn._xlws.FILTER(_xlpm.d,_xlpm.a*_xlpm.b)))</f>
        <v>0.53</v>
      </c>
      <c r="M26" s="1" cm="1">
        <f t="array" ref="M26">_xlfn.LET(_xlpm.d,M$2:M$19,_xlpm.a,$C$2:$C$19=$C26,_xlpm.b,$D$2:$D$19=$D26,MAX(_xlfn._xlws.FILTER(_xlpm.d,_xlpm.a*_xlpm.b)))</f>
        <v>0.61</v>
      </c>
      <c r="N26" s="1" cm="1">
        <f t="array" ref="N26">_xlfn.LET(_xlpm.d,N$2:N$19,_xlpm.a,$C$2:$C$19=$C26,_xlpm.b,$D$2:$D$19=$D26,MAX(_xlfn._xlws.FILTER(_xlpm.d,_xlpm.a*_xlpm.b)))</f>
        <v>0.62</v>
      </c>
      <c r="O26" s="1" cm="1">
        <f t="array" ref="O26">_xlfn.LET(_xlpm.d,O$2:O$19,_xlpm.a,$C$2:$C$19=$C26,_xlpm.b,$D$2:$D$19=$D26,MAX(_xlfn._xlws.FILTER(_xlpm.d,_xlpm.a*_xlpm.b)))</f>
        <v>0.61</v>
      </c>
      <c r="P26" s="1" cm="1">
        <f t="array" ref="P26">_xlfn.LET(_xlpm.d,P$2:P$19,_xlpm.a,$C$2:$C$19=$C26,_xlpm.b,$D$2:$D$19=$D26,MAX(_xlfn._xlws.FILTER(_xlpm.d,_xlpm.a*_xlpm.b)))</f>
        <v>0.67</v>
      </c>
      <c r="Q26" s="1" cm="1">
        <f t="array" ref="Q26">_xlfn.LET(_xlpm.d,Q$2:Q$19,_xlpm.a,$C$2:$C$19=$C26,_xlpm.b,$D$2:$D$19=$D26,MAX(_xlfn._xlws.FILTER(_xlpm.d,_xlpm.a*_xlpm.b)))</f>
        <v>0.61</v>
      </c>
      <c r="R26" s="1" cm="1">
        <f t="array" ref="R26">_xlfn.LET(_xlpm.d,R$2:R$19,_xlpm.a,$C$2:$C$19=$C26,_xlpm.b,$D$2:$D$19=$D26,MAX(_xlfn._xlws.FILTER(_xlpm.d,_xlpm.a*_xlpm.b)))</f>
        <v>0.56999999999999995</v>
      </c>
      <c r="S26" s="1">
        <f t="shared" si="1"/>
        <v>0.67</v>
      </c>
    </row>
    <row r="27" spans="1:19" ht="25" customHeight="1">
      <c r="B27" s="6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0.44</v>
      </c>
      <c r="H27" s="1" cm="1">
        <f t="array" ref="H27">_xlfn.LET(_xlpm.d,H$2:H$19,_xlpm.a,$C$2:$C$19=$C27,_xlpm.b,$D$2:$D$19=$D27,MAX(_xlfn._xlws.FILTER(_xlpm.d,_xlpm.a*_xlpm.b)))</f>
        <v>0.5</v>
      </c>
      <c r="I27" s="1" cm="1">
        <f t="array" ref="I27">_xlfn.LET(_xlpm.d,I$2:I$19,_xlpm.a,$C$2:$C$19=$C27,_xlpm.b,$D$2:$D$19=$D27,MAX(_xlfn._xlws.FILTER(_xlpm.d,_xlpm.a*_xlpm.b)))</f>
        <v>0.53</v>
      </c>
      <c r="J27" s="1" cm="1">
        <f t="array" ref="J27">_xlfn.LET(_xlpm.d,J$2:J$19,_xlpm.a,$C$2:$C$19=$C27,_xlpm.b,$D$2:$D$19=$D27,MAX(_xlfn._xlws.FILTER(_xlpm.d,_xlpm.a*_xlpm.b)))</f>
        <v>0.44</v>
      </c>
      <c r="K27" s="1" cm="1">
        <f t="array" ref="K27">_xlfn.LET(_xlpm.d,K$2:K$19,_xlpm.a,$C$2:$C$19=$C27,_xlpm.b,$D$2:$D$19=$D27,MAX(_xlfn._xlws.FILTER(_xlpm.d,_xlpm.a*_xlpm.b)))</f>
        <v>0.43</v>
      </c>
      <c r="L27" s="1" cm="1">
        <f t="array" ref="L27">_xlfn.LET(_xlpm.d,L$2:L$19,_xlpm.a,$C$2:$C$19=$C27,_xlpm.b,$D$2:$D$19=$D27,MAX(_xlfn._xlws.FILTER(_xlpm.d,_xlpm.a*_xlpm.b)))</f>
        <v>0.48</v>
      </c>
      <c r="M27" s="1" cm="1">
        <f t="array" ref="M27">_xlfn.LET(_xlpm.d,M$2:M$19,_xlpm.a,$C$2:$C$19=$C27,_xlpm.b,$D$2:$D$19=$D27,MAX(_xlfn._xlws.FILTER(_xlpm.d,_xlpm.a*_xlpm.b)))</f>
        <v>0.52</v>
      </c>
      <c r="N27" s="1" cm="1">
        <f t="array" ref="N27">_xlfn.LET(_xlpm.d,N$2:N$19,_xlpm.a,$C$2:$C$19=$C27,_xlpm.b,$D$2:$D$19=$D27,MAX(_xlfn._xlws.FILTER(_xlpm.d,_xlpm.a*_xlpm.b)))</f>
        <v>0.52</v>
      </c>
      <c r="O27" s="1" cm="1">
        <f t="array" ref="O27">_xlfn.LET(_xlpm.d,O$2:O$19,_xlpm.a,$C$2:$C$19=$C27,_xlpm.b,$D$2:$D$19=$D27,MAX(_xlfn._xlws.FILTER(_xlpm.d,_xlpm.a*_xlpm.b)))</f>
        <v>0.47</v>
      </c>
      <c r="P27" s="1" cm="1">
        <f t="array" ref="P27">_xlfn.LET(_xlpm.d,P$2:P$19,_xlpm.a,$C$2:$C$19=$C27,_xlpm.b,$D$2:$D$19=$D27,MAX(_xlfn._xlws.FILTER(_xlpm.d,_xlpm.a*_xlpm.b)))</f>
        <v>0.44</v>
      </c>
      <c r="Q27" s="1" cm="1">
        <f t="array" ref="Q27">_xlfn.LET(_xlpm.d,Q$2:Q$19,_xlpm.a,$C$2:$C$19=$C27,_xlpm.b,$D$2:$D$19=$D27,MAX(_xlfn._xlws.FILTER(_xlpm.d,_xlpm.a*_xlpm.b)))</f>
        <v>0.5</v>
      </c>
      <c r="R27" s="1" cm="1">
        <f t="array" ref="R27">_xlfn.LET(_xlpm.d,R$2:R$19,_xlpm.a,$C$2:$C$19=$C27,_xlpm.b,$D$2:$D$19=$D27,MAX(_xlfn._xlws.FILTER(_xlpm.d,_xlpm.a*_xlpm.b)))</f>
        <v>0.44</v>
      </c>
      <c r="S27" s="1">
        <f t="shared" si="1"/>
        <v>0.53</v>
      </c>
    </row>
    <row r="28" spans="1:19" ht="25" customHeight="1">
      <c r="B28" s="6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0.37</v>
      </c>
      <c r="H28" s="1" cm="1">
        <f t="array" ref="H28">_xlfn.LET(_xlpm.d,H$2:H$19,_xlpm.a,$C$2:$C$19=$C28,_xlpm.b,$D$2:$D$19=$D28,MAX(_xlfn._xlws.FILTER(_xlpm.d,_xlpm.a*_xlpm.b)))</f>
        <v>0.48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0.41</v>
      </c>
      <c r="K28" s="1" cm="1">
        <f t="array" ref="K28">_xlfn.LET(_xlpm.d,K$2:K$19,_xlpm.a,$C$2:$C$19=$C28,_xlpm.b,$D$2:$D$19=$D28,MAX(_xlfn._xlws.FILTER(_xlpm.d,_xlpm.a*_xlpm.b)))</f>
        <v>0.38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0.41</v>
      </c>
      <c r="N28" s="1" cm="1">
        <f t="array" ref="N28">_xlfn.LET(_xlpm.d,N$2:N$19,_xlpm.a,$C$2:$C$19=$C28,_xlpm.b,$D$2:$D$19=$D28,MAX(_xlfn._xlws.FILTER(_xlpm.d,_xlpm.a*_xlpm.b)))</f>
        <v>0.47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0.36</v>
      </c>
      <c r="Q28" s="1" cm="1">
        <f t="array" ref="Q28">_xlfn.LET(_xlpm.d,Q$2:Q$19,_xlpm.a,$C$2:$C$19=$C28,_xlpm.b,$D$2:$D$19=$D28,MAX(_xlfn._xlws.FILTER(_xlpm.d,_xlpm.a*_xlpm.b)))</f>
        <v>0.44</v>
      </c>
      <c r="R28" s="1" cm="1">
        <f t="array" ref="R28">_xlfn.LET(_xlpm.d,R$2:R$19,_xlpm.a,$C$2:$C$19=$C28,_xlpm.b,$D$2:$D$19=$D28,MAX(_xlfn._xlws.FILTER(_xlpm.d,_xlpm.a*_xlpm.b)))</f>
        <v>0.34</v>
      </c>
      <c r="S28" s="1">
        <f t="shared" si="1"/>
        <v>0.48</v>
      </c>
    </row>
  </sheetData>
  <conditionalFormatting sqref="G23:R28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24:S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EC13-31F1-8B40-BF6D-DC3D8B6EB40E}">
  <dimension ref="A1:S28"/>
  <sheetViews>
    <sheetView workbookViewId="0"/>
  </sheetViews>
  <sheetFormatPr baseColWidth="10" defaultRowHeight="25" customHeight="1"/>
  <cols>
    <col min="2" max="2" width="5.75" customWidth="1"/>
    <col min="3" max="3" width="8.875" customWidth="1"/>
    <col min="4" max="4" width="9" customWidth="1"/>
    <col min="5" max="6" width="5.75" customWidth="1"/>
    <col min="7" max="19" width="8.375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4">
        <v>0.83</v>
      </c>
      <c r="H2" s="4">
        <v>0.8</v>
      </c>
      <c r="I2" s="4">
        <v>0.85</v>
      </c>
      <c r="J2" s="4">
        <v>0.84</v>
      </c>
      <c r="K2" s="4">
        <v>0.81</v>
      </c>
      <c r="L2" s="4">
        <v>0.78</v>
      </c>
      <c r="M2" s="4">
        <v>0.87</v>
      </c>
      <c r="N2" s="4">
        <v>0.89</v>
      </c>
      <c r="O2" s="4">
        <v>0.82</v>
      </c>
      <c r="P2" s="4">
        <v>0.77</v>
      </c>
      <c r="Q2" s="4">
        <v>0.88</v>
      </c>
      <c r="R2" s="4">
        <v>0.82</v>
      </c>
      <c r="S2" s="4">
        <f t="shared" ref="S2:S19" si="0">MAX($G2:$R2)</f>
        <v>0.89</v>
      </c>
    </row>
    <row r="3" spans="1:19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G3" s="4">
        <v>0.87</v>
      </c>
      <c r="H3" s="4">
        <v>0.82</v>
      </c>
      <c r="I3" s="4">
        <v>0.88</v>
      </c>
      <c r="J3" s="4">
        <v>0.83</v>
      </c>
      <c r="K3" s="4">
        <v>0.83</v>
      </c>
      <c r="L3" s="4">
        <v>0.79</v>
      </c>
      <c r="M3" s="4">
        <v>0.84</v>
      </c>
      <c r="N3" s="4">
        <v>0.89</v>
      </c>
      <c r="O3" s="4">
        <v>0.88</v>
      </c>
      <c r="P3" s="4">
        <v>0.84</v>
      </c>
      <c r="Q3" s="4">
        <v>0.94</v>
      </c>
      <c r="R3" s="4">
        <v>0.85</v>
      </c>
      <c r="S3" s="4">
        <f t="shared" si="0"/>
        <v>0.94</v>
      </c>
    </row>
    <row r="4" spans="1:19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G4" s="4">
        <v>0.78</v>
      </c>
      <c r="H4" s="4">
        <v>0.79</v>
      </c>
      <c r="I4" s="4">
        <v>0.85</v>
      </c>
      <c r="J4" s="4">
        <v>0.81</v>
      </c>
      <c r="K4" s="4">
        <v>0.85</v>
      </c>
      <c r="L4" s="4">
        <v>0.76</v>
      </c>
      <c r="M4" s="4">
        <v>0.81</v>
      </c>
      <c r="N4" s="4">
        <v>0.82</v>
      </c>
      <c r="O4" s="4">
        <v>0.83</v>
      </c>
      <c r="P4" s="4">
        <v>0.81</v>
      </c>
      <c r="Q4" s="4">
        <v>0.88</v>
      </c>
      <c r="R4" s="4">
        <v>0.87</v>
      </c>
      <c r="S4" s="4">
        <f t="shared" si="0"/>
        <v>0.88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4">
        <v>0.79</v>
      </c>
      <c r="H5" s="4">
        <v>0.74</v>
      </c>
      <c r="I5" s="4">
        <v>0.82</v>
      </c>
      <c r="J5" s="4">
        <v>0.79</v>
      </c>
      <c r="K5" s="4">
        <v>0.83</v>
      </c>
      <c r="L5" s="4">
        <v>0.72</v>
      </c>
      <c r="M5" s="4">
        <v>0.79</v>
      </c>
      <c r="N5" s="4">
        <v>0.77</v>
      </c>
      <c r="O5" s="4">
        <v>0.81</v>
      </c>
      <c r="P5" s="4">
        <v>0.82</v>
      </c>
      <c r="Q5" s="4">
        <v>0.84</v>
      </c>
      <c r="R5" s="4">
        <v>0.82</v>
      </c>
      <c r="S5" s="4">
        <f t="shared" si="0"/>
        <v>0.84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G6" s="4">
        <v>0.8</v>
      </c>
      <c r="H6" s="4">
        <v>0.78</v>
      </c>
      <c r="I6" s="4">
        <v>0.85</v>
      </c>
      <c r="J6" s="4">
        <v>0.84</v>
      </c>
      <c r="K6" s="4">
        <v>0.84</v>
      </c>
      <c r="L6" s="4">
        <v>0.77</v>
      </c>
      <c r="M6" s="4">
        <v>0.81</v>
      </c>
      <c r="N6" s="4">
        <v>0.83</v>
      </c>
      <c r="O6" s="4">
        <v>0.85</v>
      </c>
      <c r="P6" s="4">
        <v>0.8</v>
      </c>
      <c r="Q6" s="4">
        <v>0.9</v>
      </c>
      <c r="R6" s="4">
        <v>0.85</v>
      </c>
      <c r="S6" s="4">
        <f t="shared" si="0"/>
        <v>0.9</v>
      </c>
    </row>
    <row r="7" spans="1:19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G7" s="4">
        <v>0.74</v>
      </c>
      <c r="H7" s="4">
        <v>0.73</v>
      </c>
      <c r="I7" s="4">
        <v>0.81</v>
      </c>
      <c r="J7" s="4">
        <v>0.82</v>
      </c>
      <c r="K7" s="4">
        <v>0.83</v>
      </c>
      <c r="L7" s="4">
        <v>0.75</v>
      </c>
      <c r="M7" s="4">
        <v>0.75</v>
      </c>
      <c r="N7" s="4">
        <v>0.84</v>
      </c>
      <c r="O7" s="4">
        <v>0.73</v>
      </c>
      <c r="P7" s="4">
        <v>0.78</v>
      </c>
      <c r="Q7" s="4">
        <v>0.88</v>
      </c>
      <c r="R7" s="4">
        <v>0.84</v>
      </c>
      <c r="S7" s="4">
        <f t="shared" si="0"/>
        <v>0.88</v>
      </c>
    </row>
    <row r="8" spans="1:19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4">
        <v>0.56999999999999995</v>
      </c>
      <c r="H8" s="4">
        <v>0.5</v>
      </c>
      <c r="I8" s="4">
        <v>0.53</v>
      </c>
      <c r="J8" s="4">
        <v>0.45</v>
      </c>
      <c r="K8" s="4">
        <v>0.52</v>
      </c>
      <c r="L8" s="4">
        <v>0.54</v>
      </c>
      <c r="M8" s="4">
        <v>0.5</v>
      </c>
      <c r="N8" s="4">
        <v>0.48</v>
      </c>
      <c r="O8" s="4">
        <v>0.55000000000000004</v>
      </c>
      <c r="P8" s="4">
        <v>0.42</v>
      </c>
      <c r="Q8" s="4">
        <v>0.47</v>
      </c>
      <c r="R8" s="4">
        <v>0.55000000000000004</v>
      </c>
      <c r="S8" s="4">
        <f t="shared" si="0"/>
        <v>0.56999999999999995</v>
      </c>
    </row>
    <row r="9" spans="1:19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19</v>
      </c>
      <c r="G9" s="4">
        <v>0.7</v>
      </c>
      <c r="H9" s="4">
        <v>0.56000000000000005</v>
      </c>
      <c r="I9" s="4">
        <v>0.65</v>
      </c>
      <c r="J9" s="4">
        <v>0.55000000000000004</v>
      </c>
      <c r="K9" s="4">
        <v>0.66</v>
      </c>
      <c r="L9" s="4">
        <v>0.64</v>
      </c>
      <c r="M9" s="4">
        <v>0.66</v>
      </c>
      <c r="N9" s="4">
        <v>0.61</v>
      </c>
      <c r="O9" s="4">
        <v>0.61</v>
      </c>
      <c r="P9" s="4">
        <v>0.61</v>
      </c>
      <c r="Q9" s="4">
        <v>0.64</v>
      </c>
      <c r="R9" s="4">
        <v>0.62</v>
      </c>
      <c r="S9" s="4">
        <f t="shared" si="0"/>
        <v>0.7</v>
      </c>
    </row>
    <row r="10" spans="1:19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18</v>
      </c>
      <c r="G10" s="4">
        <v>0.65</v>
      </c>
      <c r="H10" s="4">
        <v>0.62</v>
      </c>
      <c r="I10" s="4">
        <v>0.53</v>
      </c>
      <c r="J10" s="4">
        <v>0.54</v>
      </c>
      <c r="K10" s="4">
        <v>0.56000000000000005</v>
      </c>
      <c r="L10" s="4">
        <v>0.65</v>
      </c>
      <c r="M10" s="4">
        <v>0.56000000000000005</v>
      </c>
      <c r="N10" s="4">
        <v>0.62</v>
      </c>
      <c r="O10" s="4">
        <v>0.63</v>
      </c>
      <c r="P10" s="4">
        <v>0.53</v>
      </c>
      <c r="Q10" s="4">
        <v>0.59</v>
      </c>
      <c r="R10" s="4">
        <v>0.59</v>
      </c>
      <c r="S10" s="4">
        <f t="shared" si="0"/>
        <v>0.65</v>
      </c>
    </row>
    <row r="11" spans="1:19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4">
        <v>0.56000000000000005</v>
      </c>
      <c r="H11" s="4">
        <v>0.54</v>
      </c>
      <c r="I11" s="4">
        <v>0.49</v>
      </c>
      <c r="J11" s="4">
        <v>0.47</v>
      </c>
      <c r="K11" s="4">
        <v>0.53</v>
      </c>
      <c r="L11" s="4">
        <v>0.46</v>
      </c>
      <c r="M11" s="4">
        <v>0.53</v>
      </c>
      <c r="N11" s="4">
        <v>0.5</v>
      </c>
      <c r="O11" s="4">
        <v>0.49</v>
      </c>
      <c r="P11" s="4">
        <v>0.45</v>
      </c>
      <c r="Q11" s="4">
        <v>0.48</v>
      </c>
      <c r="R11" s="4">
        <v>0.48</v>
      </c>
      <c r="S11" s="4">
        <f t="shared" si="0"/>
        <v>0.56000000000000005</v>
      </c>
    </row>
    <row r="12" spans="1:19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19</v>
      </c>
      <c r="G12" s="4">
        <v>0.69</v>
      </c>
      <c r="H12" s="4">
        <v>0.56999999999999995</v>
      </c>
      <c r="I12" s="4">
        <v>0.57999999999999996</v>
      </c>
      <c r="J12" s="4">
        <v>0.51</v>
      </c>
      <c r="K12" s="4">
        <v>0.62</v>
      </c>
      <c r="L12" s="4">
        <v>0.54</v>
      </c>
      <c r="M12" s="4">
        <v>0.55000000000000004</v>
      </c>
      <c r="N12" s="4">
        <v>0.56999999999999995</v>
      </c>
      <c r="O12" s="4">
        <v>0.63</v>
      </c>
      <c r="P12" s="4">
        <v>0.55000000000000004</v>
      </c>
      <c r="Q12" s="4">
        <v>0.52</v>
      </c>
      <c r="R12" s="4">
        <v>0.7</v>
      </c>
      <c r="S12" s="4">
        <f t="shared" si="0"/>
        <v>0.7</v>
      </c>
    </row>
    <row r="13" spans="1:19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18</v>
      </c>
      <c r="G13" s="4">
        <v>0.59</v>
      </c>
      <c r="H13" s="4">
        <v>0.57999999999999996</v>
      </c>
      <c r="I13" s="4">
        <v>0.56000000000000005</v>
      </c>
      <c r="J13" s="4">
        <v>0.56999999999999995</v>
      </c>
      <c r="K13" s="4">
        <v>0.57999999999999996</v>
      </c>
      <c r="L13" s="4">
        <v>0.56999999999999995</v>
      </c>
      <c r="M13" s="4">
        <v>0.53</v>
      </c>
      <c r="N13" s="4">
        <v>0.59</v>
      </c>
      <c r="O13" s="4">
        <v>0.65</v>
      </c>
      <c r="P13" s="4">
        <v>0.56999999999999995</v>
      </c>
      <c r="Q13" s="4">
        <v>0.56999999999999995</v>
      </c>
      <c r="R13" s="4">
        <v>0.62</v>
      </c>
      <c r="S13" s="4">
        <f t="shared" si="0"/>
        <v>0.65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4">
        <v>0.44</v>
      </c>
      <c r="H14" s="4">
        <v>0.44</v>
      </c>
      <c r="I14" s="4">
        <v>0.43</v>
      </c>
      <c r="J14" s="4">
        <v>0.47</v>
      </c>
      <c r="K14" s="4">
        <v>0.55000000000000004</v>
      </c>
      <c r="L14" s="4">
        <v>0.5</v>
      </c>
      <c r="M14" s="4">
        <v>0.5</v>
      </c>
      <c r="N14" s="4">
        <v>0.31</v>
      </c>
      <c r="O14" s="4">
        <v>0.43</v>
      </c>
      <c r="P14" s="4">
        <v>0.39</v>
      </c>
      <c r="Q14" s="4">
        <v>0.32</v>
      </c>
      <c r="R14" s="4">
        <v>0.31</v>
      </c>
      <c r="S14" s="4">
        <f t="shared" si="0"/>
        <v>0.55000000000000004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G15" s="4">
        <v>0.52</v>
      </c>
      <c r="H15" s="4">
        <v>0.49</v>
      </c>
      <c r="I15" s="4">
        <v>0.51</v>
      </c>
      <c r="J15" s="4">
        <v>0.5</v>
      </c>
      <c r="K15" s="4">
        <v>0.48</v>
      </c>
      <c r="L15" s="4">
        <v>0.51</v>
      </c>
      <c r="M15" s="4">
        <v>0.67</v>
      </c>
      <c r="N15" s="4">
        <v>0.35</v>
      </c>
      <c r="O15" s="4">
        <v>0.48</v>
      </c>
      <c r="P15" s="4">
        <v>0.48</v>
      </c>
      <c r="Q15" s="4">
        <v>0.44</v>
      </c>
      <c r="R15" s="4">
        <v>0.51</v>
      </c>
      <c r="S15" s="4">
        <f t="shared" si="0"/>
        <v>0.67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G16" s="4">
        <v>0.34</v>
      </c>
      <c r="H16" s="4">
        <v>0.34</v>
      </c>
      <c r="I16" s="4">
        <v>0.36</v>
      </c>
      <c r="J16" s="4">
        <v>0.33</v>
      </c>
      <c r="K16" s="4">
        <v>0.36</v>
      </c>
      <c r="L16" s="4">
        <v>0.31</v>
      </c>
      <c r="M16" s="4">
        <v>0.42</v>
      </c>
      <c r="N16" s="4">
        <v>0.26</v>
      </c>
      <c r="O16" s="4">
        <v>0.36</v>
      </c>
      <c r="P16" s="4">
        <v>0.36</v>
      </c>
      <c r="Q16" s="4">
        <v>0.23</v>
      </c>
      <c r="R16" s="4">
        <v>0.31</v>
      </c>
      <c r="S16" s="4">
        <f t="shared" si="0"/>
        <v>0.42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4">
        <v>0.46</v>
      </c>
      <c r="H17" s="4">
        <v>0.39</v>
      </c>
      <c r="I17" s="4">
        <v>0.37</v>
      </c>
      <c r="J17" s="4">
        <v>0.39</v>
      </c>
      <c r="K17" s="4">
        <v>0.28000000000000003</v>
      </c>
      <c r="L17" s="4">
        <v>0.32</v>
      </c>
      <c r="M17" s="4">
        <v>0.38</v>
      </c>
      <c r="N17" s="4">
        <v>0.28999999999999998</v>
      </c>
      <c r="O17" s="4">
        <v>0.3</v>
      </c>
      <c r="P17" s="4">
        <v>0.32</v>
      </c>
      <c r="Q17" s="4">
        <v>0.36</v>
      </c>
      <c r="R17" s="4">
        <v>0.38</v>
      </c>
      <c r="S17" s="4">
        <f t="shared" si="0"/>
        <v>0.46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G18" s="4">
        <v>0.39</v>
      </c>
      <c r="H18" s="4">
        <v>0.39</v>
      </c>
      <c r="I18" s="4">
        <v>0.45</v>
      </c>
      <c r="J18" s="4">
        <v>0.38</v>
      </c>
      <c r="K18" s="4">
        <v>0.41</v>
      </c>
      <c r="L18" s="4">
        <v>0.37</v>
      </c>
      <c r="M18" s="4">
        <v>0.39</v>
      </c>
      <c r="N18" s="4">
        <v>0.26</v>
      </c>
      <c r="O18" s="4">
        <v>0.4</v>
      </c>
      <c r="P18" s="4">
        <v>0.37</v>
      </c>
      <c r="Q18" s="4">
        <v>0.33</v>
      </c>
      <c r="R18" s="4">
        <v>0.42</v>
      </c>
      <c r="S18" s="4">
        <f t="shared" si="0"/>
        <v>0.45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s="4">
        <v>0.32</v>
      </c>
      <c r="H19" s="4">
        <v>0.31</v>
      </c>
      <c r="I19" s="4">
        <v>0.24</v>
      </c>
      <c r="J19" s="4">
        <v>0.34</v>
      </c>
      <c r="K19" s="4">
        <v>0.34</v>
      </c>
      <c r="L19" s="4">
        <v>0.28000000000000003</v>
      </c>
      <c r="M19" s="4">
        <v>0.41</v>
      </c>
      <c r="N19" s="4">
        <v>0.25</v>
      </c>
      <c r="O19" s="4">
        <v>0.3</v>
      </c>
      <c r="P19" s="4">
        <v>0.32</v>
      </c>
      <c r="Q19" s="4">
        <v>0.31</v>
      </c>
      <c r="R19" s="4">
        <v>0.34</v>
      </c>
      <c r="S19" s="4">
        <f t="shared" si="0"/>
        <v>0.41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33</v>
      </c>
      <c r="H22" t="s">
        <v>34</v>
      </c>
      <c r="I22" t="s">
        <v>35</v>
      </c>
      <c r="J22" t="s">
        <v>40</v>
      </c>
      <c r="K22" t="s">
        <v>41</v>
      </c>
      <c r="L22" t="s">
        <v>42</v>
      </c>
      <c r="M22" t="s">
        <v>36</v>
      </c>
      <c r="N22" t="s">
        <v>37</v>
      </c>
      <c r="O22" t="s">
        <v>38</v>
      </c>
      <c r="P22" t="s">
        <v>43</v>
      </c>
      <c r="Q22" t="s">
        <v>44</v>
      </c>
      <c r="R22" t="s">
        <v>45</v>
      </c>
      <c r="S22" t="s">
        <v>23</v>
      </c>
    </row>
    <row r="23" spans="1:19" ht="25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G23" s="4" cm="1">
        <f t="array" ref="G23">_xlfn.LET(_xlpm.d,G$2:G$19,_xlpm.a,$C$2:$C$19=$C23,_xlpm.b,$D$2:$D$19=$D23,MAX(_xlfn._xlws.FILTER(_xlpm.d,_xlpm.a*_xlpm.b)))</f>
        <v>0.87</v>
      </c>
      <c r="H23" s="4" cm="1">
        <f t="array" ref="H23">_xlfn.LET(_xlpm.d,H$2:H$19,_xlpm.a,$C$2:$C$19=$C23,_xlpm.b,$D$2:$D$19=$D23,MAX(_xlfn._xlws.FILTER(_xlpm.d,_xlpm.a*_xlpm.b)))</f>
        <v>0.82</v>
      </c>
      <c r="I23" s="4" cm="1">
        <f t="array" ref="I23">_xlfn.LET(_xlpm.d,I$2:I$19,_xlpm.a,$C$2:$C$19=$C23,_xlpm.b,$D$2:$D$19=$D23,MAX(_xlfn._xlws.FILTER(_xlpm.d,_xlpm.a*_xlpm.b)))</f>
        <v>0.88</v>
      </c>
      <c r="J23" s="4" cm="1">
        <f t="array" ref="J23">_xlfn.LET(_xlpm.d,J$2:J$19,_xlpm.a,$C$2:$C$19=$C23,_xlpm.b,$D$2:$D$19=$D23,MAX(_xlfn._xlws.FILTER(_xlpm.d,_xlpm.a*_xlpm.b)))</f>
        <v>0.84</v>
      </c>
      <c r="K23" s="4" cm="1">
        <f t="array" ref="K23">_xlfn.LET(_xlpm.d,K$2:K$19,_xlpm.a,$C$2:$C$19=$C23,_xlpm.b,$D$2:$D$19=$D23,MAX(_xlfn._xlws.FILTER(_xlpm.d,_xlpm.a*_xlpm.b)))</f>
        <v>0.85</v>
      </c>
      <c r="L23" s="4" cm="1">
        <f t="array" ref="L23">_xlfn.LET(_xlpm.d,L$2:L$19,_xlpm.a,$C$2:$C$19=$C23,_xlpm.b,$D$2:$D$19=$D23,MAX(_xlfn._xlws.FILTER(_xlpm.d,_xlpm.a*_xlpm.b)))</f>
        <v>0.79</v>
      </c>
      <c r="M23" s="4" cm="1">
        <f t="array" ref="M23">_xlfn.LET(_xlpm.d,M$2:M$19,_xlpm.a,$C$2:$C$19=$C23,_xlpm.b,$D$2:$D$19=$D23,MAX(_xlfn._xlws.FILTER(_xlpm.d,_xlpm.a*_xlpm.b)))</f>
        <v>0.87</v>
      </c>
      <c r="N23" s="4" cm="1">
        <f t="array" ref="N23">_xlfn.LET(_xlpm.d,N$2:N$19,_xlpm.a,$C$2:$C$19=$C23,_xlpm.b,$D$2:$D$19=$D23,MAX(_xlfn._xlws.FILTER(_xlpm.d,_xlpm.a*_xlpm.b)))</f>
        <v>0.89</v>
      </c>
      <c r="O23" s="4" cm="1">
        <f t="array" ref="O23">_xlfn.LET(_xlpm.d,O$2:O$19,_xlpm.a,$C$2:$C$19=$C23,_xlpm.b,$D$2:$D$19=$D23,MAX(_xlfn._xlws.FILTER(_xlpm.d,_xlpm.a*_xlpm.b)))</f>
        <v>0.88</v>
      </c>
      <c r="P23" s="4" cm="1">
        <f t="array" ref="P23">_xlfn.LET(_xlpm.d,P$2:P$19,_xlpm.a,$C$2:$C$19=$C23,_xlpm.b,$D$2:$D$19=$D23,MAX(_xlfn._xlws.FILTER(_xlpm.d,_xlpm.a*_xlpm.b)))</f>
        <v>0.84</v>
      </c>
      <c r="Q23" s="4" cm="1">
        <f t="array" ref="Q23">_xlfn.LET(_xlpm.d,Q$2:Q$19,_xlpm.a,$C$2:$C$19=$C23,_xlpm.b,$D$2:$D$19=$D23,MAX(_xlfn._xlws.FILTER(_xlpm.d,_xlpm.a*_xlpm.b)))</f>
        <v>0.94</v>
      </c>
      <c r="R23" s="4" cm="1">
        <f t="array" ref="R23">_xlfn.LET(_xlpm.d,R$2:R$19,_xlpm.a,$C$2:$C$19=$C23,_xlpm.b,$D$2:$D$19=$D23,MAX(_xlfn._xlws.FILTER(_xlpm.d,_xlpm.a*_xlpm.b)))</f>
        <v>0.87</v>
      </c>
      <c r="S23" s="4" cm="1">
        <f t="array" ref="S23">_xlfn.LET(_xlpm.d,S$2:S$19,_xlpm.a,$C$2:$C$19=$C23,_xlpm.b,$D$2:$D$19=$D23,MAX(_xlfn._xlws.FILTER(_xlpm.d,_xlpm.a*_xlpm.b)))</f>
        <v>0.94</v>
      </c>
    </row>
    <row r="24" spans="1:19" ht="25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G24" s="4" cm="1">
        <f t="array" ref="G24">_xlfn.LET(_xlpm.d,G$2:G$19,_xlpm.a,$C$2:$C$19=$C24,_xlpm.b,$D$2:$D$19=$D24,MAX(_xlfn._xlws.FILTER(_xlpm.d,_xlpm.a*_xlpm.b)))</f>
        <v>0.8</v>
      </c>
      <c r="H24" s="4" cm="1">
        <f t="array" ref="H24">_xlfn.LET(_xlpm.d,H$2:H$19,_xlpm.a,$C$2:$C$19=$C24,_xlpm.b,$D$2:$D$19=$D24,MAX(_xlfn._xlws.FILTER(_xlpm.d,_xlpm.a*_xlpm.b)))</f>
        <v>0.78</v>
      </c>
      <c r="I24" s="4" cm="1">
        <f t="array" ref="I24">_xlfn.LET(_xlpm.d,I$2:I$19,_xlpm.a,$C$2:$C$19=$C24,_xlpm.b,$D$2:$D$19=$D24,MAX(_xlfn._xlws.FILTER(_xlpm.d,_xlpm.a*_xlpm.b)))</f>
        <v>0.85</v>
      </c>
      <c r="J24" s="4" cm="1">
        <f t="array" ref="J24">_xlfn.LET(_xlpm.d,J$2:J$19,_xlpm.a,$C$2:$C$19=$C24,_xlpm.b,$D$2:$D$19=$D24,MAX(_xlfn._xlws.FILTER(_xlpm.d,_xlpm.a*_xlpm.b)))</f>
        <v>0.84</v>
      </c>
      <c r="K24" s="4" cm="1">
        <f t="array" ref="K24">_xlfn.LET(_xlpm.d,K$2:K$19,_xlpm.a,$C$2:$C$19=$C24,_xlpm.b,$D$2:$D$19=$D24,MAX(_xlfn._xlws.FILTER(_xlpm.d,_xlpm.a*_xlpm.b)))</f>
        <v>0.84</v>
      </c>
      <c r="L24" s="4" cm="1">
        <f t="array" ref="L24">_xlfn.LET(_xlpm.d,L$2:L$19,_xlpm.a,$C$2:$C$19=$C24,_xlpm.b,$D$2:$D$19=$D24,MAX(_xlfn._xlws.FILTER(_xlpm.d,_xlpm.a*_xlpm.b)))</f>
        <v>0.77</v>
      </c>
      <c r="M24" s="4" cm="1">
        <f t="array" ref="M24">_xlfn.LET(_xlpm.d,M$2:M$19,_xlpm.a,$C$2:$C$19=$C24,_xlpm.b,$D$2:$D$19=$D24,MAX(_xlfn._xlws.FILTER(_xlpm.d,_xlpm.a*_xlpm.b)))</f>
        <v>0.81</v>
      </c>
      <c r="N24" s="4" cm="1">
        <f t="array" ref="N24">_xlfn.LET(_xlpm.d,N$2:N$19,_xlpm.a,$C$2:$C$19=$C24,_xlpm.b,$D$2:$D$19=$D24,MAX(_xlfn._xlws.FILTER(_xlpm.d,_xlpm.a*_xlpm.b)))</f>
        <v>0.84</v>
      </c>
      <c r="O24" s="4" cm="1">
        <f t="array" ref="O24">_xlfn.LET(_xlpm.d,O$2:O$19,_xlpm.a,$C$2:$C$19=$C24,_xlpm.b,$D$2:$D$19=$D24,MAX(_xlfn._xlws.FILTER(_xlpm.d,_xlpm.a*_xlpm.b)))</f>
        <v>0.85</v>
      </c>
      <c r="P24" s="4" cm="1">
        <f t="array" ref="P24">_xlfn.LET(_xlpm.d,P$2:P$19,_xlpm.a,$C$2:$C$19=$C24,_xlpm.b,$D$2:$D$19=$D24,MAX(_xlfn._xlws.FILTER(_xlpm.d,_xlpm.a*_xlpm.b)))</f>
        <v>0.82</v>
      </c>
      <c r="Q24" s="4" cm="1">
        <f t="array" ref="Q24">_xlfn.LET(_xlpm.d,Q$2:Q$19,_xlpm.a,$C$2:$C$19=$C24,_xlpm.b,$D$2:$D$19=$D24,MAX(_xlfn._xlws.FILTER(_xlpm.d,_xlpm.a*_xlpm.b)))</f>
        <v>0.9</v>
      </c>
      <c r="R24" s="4" cm="1">
        <f t="array" ref="R24">_xlfn.LET(_xlpm.d,R$2:R$19,_xlpm.a,$C$2:$C$19=$C24,_xlpm.b,$D$2:$D$19=$D24,MAX(_xlfn._xlws.FILTER(_xlpm.d,_xlpm.a*_xlpm.b)))</f>
        <v>0.85</v>
      </c>
      <c r="S24" s="4" cm="1">
        <f t="array" ref="S24">_xlfn.LET(_xlpm.d,S$2:S$19,_xlpm.a,$C$2:$C$19=$C24,_xlpm.b,$D$2:$D$19=$D24,MAX(_xlfn._xlws.FILTER(_xlpm.d,_xlpm.a*_xlpm.b)))</f>
        <v>0.9</v>
      </c>
    </row>
    <row r="25" spans="1:19" ht="25" customHeight="1">
      <c r="B25">
        <v>2</v>
      </c>
      <c r="C25" t="s">
        <v>21</v>
      </c>
      <c r="D25" t="b">
        <v>1</v>
      </c>
      <c r="E25">
        <v>0</v>
      </c>
      <c r="F25" t="s">
        <v>23</v>
      </c>
      <c r="G25" s="4" cm="1">
        <f t="array" ref="G25">_xlfn.LET(_xlpm.d,G$2:G$19,_xlpm.a,$C$2:$C$19=$C25,_xlpm.b,$D$2:$D$19=$D25,MAX(_xlfn._xlws.FILTER(_xlpm.d,_xlpm.a*_xlpm.b)))</f>
        <v>0.7</v>
      </c>
      <c r="H25" s="4" cm="1">
        <f t="array" ref="H25">_xlfn.LET(_xlpm.d,H$2:H$19,_xlpm.a,$C$2:$C$19=$C25,_xlpm.b,$D$2:$D$19=$D25,MAX(_xlfn._xlws.FILTER(_xlpm.d,_xlpm.a*_xlpm.b)))</f>
        <v>0.62</v>
      </c>
      <c r="I25" s="4" cm="1">
        <f t="array" ref="I25">_xlfn.LET(_xlpm.d,I$2:I$19,_xlpm.a,$C$2:$C$19=$C25,_xlpm.b,$D$2:$D$19=$D25,MAX(_xlfn._xlws.FILTER(_xlpm.d,_xlpm.a*_xlpm.b)))</f>
        <v>0.65</v>
      </c>
      <c r="J25" s="4" cm="1">
        <f t="array" ref="J25">_xlfn.LET(_xlpm.d,J$2:J$19,_xlpm.a,$C$2:$C$19=$C25,_xlpm.b,$D$2:$D$19=$D25,MAX(_xlfn._xlws.FILTER(_xlpm.d,_xlpm.a*_xlpm.b)))</f>
        <v>0.55000000000000004</v>
      </c>
      <c r="K25" s="4" cm="1">
        <f t="array" ref="K25">_xlfn.LET(_xlpm.d,K$2:K$19,_xlpm.a,$C$2:$C$19=$C25,_xlpm.b,$D$2:$D$19=$D25,MAX(_xlfn._xlws.FILTER(_xlpm.d,_xlpm.a*_xlpm.b)))</f>
        <v>0.66</v>
      </c>
      <c r="L25" s="4" cm="1">
        <f t="array" ref="L25">_xlfn.LET(_xlpm.d,L$2:L$19,_xlpm.a,$C$2:$C$19=$C25,_xlpm.b,$D$2:$D$19=$D25,MAX(_xlfn._xlws.FILTER(_xlpm.d,_xlpm.a*_xlpm.b)))</f>
        <v>0.65</v>
      </c>
      <c r="M25" s="4" cm="1">
        <f t="array" ref="M25">_xlfn.LET(_xlpm.d,M$2:M$19,_xlpm.a,$C$2:$C$19=$C25,_xlpm.b,$D$2:$D$19=$D25,MAX(_xlfn._xlws.FILTER(_xlpm.d,_xlpm.a*_xlpm.b)))</f>
        <v>0.66</v>
      </c>
      <c r="N25" s="4" cm="1">
        <f t="array" ref="N25">_xlfn.LET(_xlpm.d,N$2:N$19,_xlpm.a,$C$2:$C$19=$C25,_xlpm.b,$D$2:$D$19=$D25,MAX(_xlfn._xlws.FILTER(_xlpm.d,_xlpm.a*_xlpm.b)))</f>
        <v>0.62</v>
      </c>
      <c r="O25" s="4" cm="1">
        <f t="array" ref="O25">_xlfn.LET(_xlpm.d,O$2:O$19,_xlpm.a,$C$2:$C$19=$C25,_xlpm.b,$D$2:$D$19=$D25,MAX(_xlfn._xlws.FILTER(_xlpm.d,_xlpm.a*_xlpm.b)))</f>
        <v>0.63</v>
      </c>
      <c r="P25" s="4" cm="1">
        <f t="array" ref="P25">_xlfn.LET(_xlpm.d,P$2:P$19,_xlpm.a,$C$2:$C$19=$C25,_xlpm.b,$D$2:$D$19=$D25,MAX(_xlfn._xlws.FILTER(_xlpm.d,_xlpm.a*_xlpm.b)))</f>
        <v>0.61</v>
      </c>
      <c r="Q25" s="4" cm="1">
        <f t="array" ref="Q25">_xlfn.LET(_xlpm.d,Q$2:Q$19,_xlpm.a,$C$2:$C$19=$C25,_xlpm.b,$D$2:$D$19=$D25,MAX(_xlfn._xlws.FILTER(_xlpm.d,_xlpm.a*_xlpm.b)))</f>
        <v>0.64</v>
      </c>
      <c r="R25" s="4" cm="1">
        <f t="array" ref="R25">_xlfn.LET(_xlpm.d,R$2:R$19,_xlpm.a,$C$2:$C$19=$C25,_xlpm.b,$D$2:$D$19=$D25,MAX(_xlfn._xlws.FILTER(_xlpm.d,_xlpm.a*_xlpm.b)))</f>
        <v>0.62</v>
      </c>
      <c r="S25" s="4" cm="1">
        <f t="array" ref="S25">_xlfn.LET(_xlpm.d,S$2:S$19,_xlpm.a,$C$2:$C$19=$C25,_xlpm.b,$D$2:$D$19=$D25,MAX(_xlfn._xlws.FILTER(_xlpm.d,_xlpm.a*_xlpm.b)))</f>
        <v>0.7</v>
      </c>
    </row>
    <row r="26" spans="1:19" ht="25" customHeight="1">
      <c r="B26">
        <v>2</v>
      </c>
      <c r="C26" t="s">
        <v>21</v>
      </c>
      <c r="D26" t="b">
        <v>0</v>
      </c>
      <c r="E26">
        <v>0</v>
      </c>
      <c r="F26" t="s">
        <v>23</v>
      </c>
      <c r="G26" s="4" cm="1">
        <f t="array" ref="G26">_xlfn.LET(_xlpm.d,G$2:G$19,_xlpm.a,$C$2:$C$19=$C26,_xlpm.b,$D$2:$D$19=$D26,MAX(_xlfn._xlws.FILTER(_xlpm.d,_xlpm.a*_xlpm.b)))</f>
        <v>0.69</v>
      </c>
      <c r="H26" s="4" cm="1">
        <f t="array" ref="H26">_xlfn.LET(_xlpm.d,H$2:H$19,_xlpm.a,$C$2:$C$19=$C26,_xlpm.b,$D$2:$D$19=$D26,MAX(_xlfn._xlws.FILTER(_xlpm.d,_xlpm.a*_xlpm.b)))</f>
        <v>0.57999999999999996</v>
      </c>
      <c r="I26" s="4" cm="1">
        <f t="array" ref="I26">_xlfn.LET(_xlpm.d,I$2:I$19,_xlpm.a,$C$2:$C$19=$C26,_xlpm.b,$D$2:$D$19=$D26,MAX(_xlfn._xlws.FILTER(_xlpm.d,_xlpm.a*_xlpm.b)))</f>
        <v>0.57999999999999996</v>
      </c>
      <c r="J26" s="4" cm="1">
        <f t="array" ref="J26">_xlfn.LET(_xlpm.d,J$2:J$19,_xlpm.a,$C$2:$C$19=$C26,_xlpm.b,$D$2:$D$19=$D26,MAX(_xlfn._xlws.FILTER(_xlpm.d,_xlpm.a*_xlpm.b)))</f>
        <v>0.56999999999999995</v>
      </c>
      <c r="K26" s="4" cm="1">
        <f t="array" ref="K26">_xlfn.LET(_xlpm.d,K$2:K$19,_xlpm.a,$C$2:$C$19=$C26,_xlpm.b,$D$2:$D$19=$D26,MAX(_xlfn._xlws.FILTER(_xlpm.d,_xlpm.a*_xlpm.b)))</f>
        <v>0.62</v>
      </c>
      <c r="L26" s="4" cm="1">
        <f t="array" ref="L26">_xlfn.LET(_xlpm.d,L$2:L$19,_xlpm.a,$C$2:$C$19=$C26,_xlpm.b,$D$2:$D$19=$D26,MAX(_xlfn._xlws.FILTER(_xlpm.d,_xlpm.a*_xlpm.b)))</f>
        <v>0.56999999999999995</v>
      </c>
      <c r="M26" s="4" cm="1">
        <f t="array" ref="M26">_xlfn.LET(_xlpm.d,M$2:M$19,_xlpm.a,$C$2:$C$19=$C26,_xlpm.b,$D$2:$D$19=$D26,MAX(_xlfn._xlws.FILTER(_xlpm.d,_xlpm.a*_xlpm.b)))</f>
        <v>0.55000000000000004</v>
      </c>
      <c r="N26" s="4" cm="1">
        <f t="array" ref="N26">_xlfn.LET(_xlpm.d,N$2:N$19,_xlpm.a,$C$2:$C$19=$C26,_xlpm.b,$D$2:$D$19=$D26,MAX(_xlfn._xlws.FILTER(_xlpm.d,_xlpm.a*_xlpm.b)))</f>
        <v>0.59</v>
      </c>
      <c r="O26" s="4" cm="1">
        <f t="array" ref="O26">_xlfn.LET(_xlpm.d,O$2:O$19,_xlpm.a,$C$2:$C$19=$C26,_xlpm.b,$D$2:$D$19=$D26,MAX(_xlfn._xlws.FILTER(_xlpm.d,_xlpm.a*_xlpm.b)))</f>
        <v>0.65</v>
      </c>
      <c r="P26" s="4" cm="1">
        <f t="array" ref="P26">_xlfn.LET(_xlpm.d,P$2:P$19,_xlpm.a,$C$2:$C$19=$C26,_xlpm.b,$D$2:$D$19=$D26,MAX(_xlfn._xlws.FILTER(_xlpm.d,_xlpm.a*_xlpm.b)))</f>
        <v>0.56999999999999995</v>
      </c>
      <c r="Q26" s="4" cm="1">
        <f t="array" ref="Q26">_xlfn.LET(_xlpm.d,Q$2:Q$19,_xlpm.a,$C$2:$C$19=$C26,_xlpm.b,$D$2:$D$19=$D26,MAX(_xlfn._xlws.FILTER(_xlpm.d,_xlpm.a*_xlpm.b)))</f>
        <v>0.56999999999999995</v>
      </c>
      <c r="R26" s="4" cm="1">
        <f t="array" ref="R26">_xlfn.LET(_xlpm.d,R$2:R$19,_xlpm.a,$C$2:$C$19=$C26,_xlpm.b,$D$2:$D$19=$D26,MAX(_xlfn._xlws.FILTER(_xlpm.d,_xlpm.a*_xlpm.b)))</f>
        <v>0.7</v>
      </c>
      <c r="S26" s="4" cm="1">
        <f t="array" ref="S26">_xlfn.LET(_xlpm.d,S$2:S$19,_xlpm.a,$C$2:$C$19=$C26,_xlpm.b,$D$2:$D$19=$D26,MAX(_xlfn._xlws.FILTER(_xlpm.d,_xlpm.a*_xlpm.b)))</f>
        <v>0.7</v>
      </c>
    </row>
    <row r="27" spans="1:19" ht="25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G27" s="4" cm="1">
        <f t="array" ref="G27">_xlfn.LET(_xlpm.d,G$2:G$19,_xlpm.a,$C$2:$C$19=$C27,_xlpm.b,$D$2:$D$19=$D27,MAX(_xlfn._xlws.FILTER(_xlpm.d,_xlpm.a*_xlpm.b)))</f>
        <v>0.52</v>
      </c>
      <c r="H27" s="4" cm="1">
        <f t="array" ref="H27">_xlfn.LET(_xlpm.d,H$2:H$19,_xlpm.a,$C$2:$C$19=$C27,_xlpm.b,$D$2:$D$19=$D27,MAX(_xlfn._xlws.FILTER(_xlpm.d,_xlpm.a*_xlpm.b)))</f>
        <v>0.49</v>
      </c>
      <c r="I27" s="4" cm="1">
        <f t="array" ref="I27">_xlfn.LET(_xlpm.d,I$2:I$19,_xlpm.a,$C$2:$C$19=$C27,_xlpm.b,$D$2:$D$19=$D27,MAX(_xlfn._xlws.FILTER(_xlpm.d,_xlpm.a*_xlpm.b)))</f>
        <v>0.51</v>
      </c>
      <c r="J27" s="4" cm="1">
        <f t="array" ref="J27">_xlfn.LET(_xlpm.d,J$2:J$19,_xlpm.a,$C$2:$C$19=$C27,_xlpm.b,$D$2:$D$19=$D27,MAX(_xlfn._xlws.FILTER(_xlpm.d,_xlpm.a*_xlpm.b)))</f>
        <v>0.5</v>
      </c>
      <c r="K27" s="4" cm="1">
        <f t="array" ref="K27">_xlfn.LET(_xlpm.d,K$2:K$19,_xlpm.a,$C$2:$C$19=$C27,_xlpm.b,$D$2:$D$19=$D27,MAX(_xlfn._xlws.FILTER(_xlpm.d,_xlpm.a*_xlpm.b)))</f>
        <v>0.55000000000000004</v>
      </c>
      <c r="L27" s="4" cm="1">
        <f t="array" ref="L27">_xlfn.LET(_xlpm.d,L$2:L$19,_xlpm.a,$C$2:$C$19=$C27,_xlpm.b,$D$2:$D$19=$D27,MAX(_xlfn._xlws.FILTER(_xlpm.d,_xlpm.a*_xlpm.b)))</f>
        <v>0.51</v>
      </c>
      <c r="M27" s="4" cm="1">
        <f t="array" ref="M27">_xlfn.LET(_xlpm.d,M$2:M$19,_xlpm.a,$C$2:$C$19=$C27,_xlpm.b,$D$2:$D$19=$D27,MAX(_xlfn._xlws.FILTER(_xlpm.d,_xlpm.a*_xlpm.b)))</f>
        <v>0.67</v>
      </c>
      <c r="N27" s="4" cm="1">
        <f t="array" ref="N27">_xlfn.LET(_xlpm.d,N$2:N$19,_xlpm.a,$C$2:$C$19=$C27,_xlpm.b,$D$2:$D$19=$D27,MAX(_xlfn._xlws.FILTER(_xlpm.d,_xlpm.a*_xlpm.b)))</f>
        <v>0.35</v>
      </c>
      <c r="O27" s="4" cm="1">
        <f t="array" ref="O27">_xlfn.LET(_xlpm.d,O$2:O$19,_xlpm.a,$C$2:$C$19=$C27,_xlpm.b,$D$2:$D$19=$D27,MAX(_xlfn._xlws.FILTER(_xlpm.d,_xlpm.a*_xlpm.b)))</f>
        <v>0.48</v>
      </c>
      <c r="P27" s="4" cm="1">
        <f t="array" ref="P27">_xlfn.LET(_xlpm.d,P$2:P$19,_xlpm.a,$C$2:$C$19=$C27,_xlpm.b,$D$2:$D$19=$D27,MAX(_xlfn._xlws.FILTER(_xlpm.d,_xlpm.a*_xlpm.b)))</f>
        <v>0.48</v>
      </c>
      <c r="Q27" s="4" cm="1">
        <f t="array" ref="Q27">_xlfn.LET(_xlpm.d,Q$2:Q$19,_xlpm.a,$C$2:$C$19=$C27,_xlpm.b,$D$2:$D$19=$D27,MAX(_xlfn._xlws.FILTER(_xlpm.d,_xlpm.a*_xlpm.b)))</f>
        <v>0.44</v>
      </c>
      <c r="R27" s="4" cm="1">
        <f t="array" ref="R27">_xlfn.LET(_xlpm.d,R$2:R$19,_xlpm.a,$C$2:$C$19=$C27,_xlpm.b,$D$2:$D$19=$D27,MAX(_xlfn._xlws.FILTER(_xlpm.d,_xlpm.a*_xlpm.b)))</f>
        <v>0.51</v>
      </c>
      <c r="S27" s="4" cm="1">
        <f t="array" ref="S27">_xlfn.LET(_xlpm.d,S$2:S$19,_xlpm.a,$C$2:$C$19=$C27,_xlpm.b,$D$2:$D$19=$D27,MAX(_xlfn._xlws.FILTER(_xlpm.d,_xlpm.a*_xlpm.b)))</f>
        <v>0.67</v>
      </c>
    </row>
    <row r="28" spans="1:19" ht="25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G28" s="4" cm="1">
        <f t="array" ref="G28">_xlfn.LET(_xlpm.d,G$2:G$19,_xlpm.a,$C$2:$C$19=$C28,_xlpm.b,$D$2:$D$19=$D28,MAX(_xlfn._xlws.FILTER(_xlpm.d,_xlpm.a*_xlpm.b)))</f>
        <v>0.46</v>
      </c>
      <c r="H28" s="4" cm="1">
        <f t="array" ref="H28">_xlfn.LET(_xlpm.d,H$2:H$19,_xlpm.a,$C$2:$C$19=$C28,_xlpm.b,$D$2:$D$19=$D28,MAX(_xlfn._xlws.FILTER(_xlpm.d,_xlpm.a*_xlpm.b)))</f>
        <v>0.39</v>
      </c>
      <c r="I28" s="4" cm="1">
        <f t="array" ref="I28">_xlfn.LET(_xlpm.d,I$2:I$19,_xlpm.a,$C$2:$C$19=$C28,_xlpm.b,$D$2:$D$19=$D28,MAX(_xlfn._xlws.FILTER(_xlpm.d,_xlpm.a*_xlpm.b)))</f>
        <v>0.45</v>
      </c>
      <c r="J28" s="4" cm="1">
        <f t="array" ref="J28">_xlfn.LET(_xlpm.d,J$2:J$19,_xlpm.a,$C$2:$C$19=$C28,_xlpm.b,$D$2:$D$19=$D28,MAX(_xlfn._xlws.FILTER(_xlpm.d,_xlpm.a*_xlpm.b)))</f>
        <v>0.39</v>
      </c>
      <c r="K28" s="4" cm="1">
        <f t="array" ref="K28">_xlfn.LET(_xlpm.d,K$2:K$19,_xlpm.a,$C$2:$C$19=$C28,_xlpm.b,$D$2:$D$19=$D28,MAX(_xlfn._xlws.FILTER(_xlpm.d,_xlpm.a*_xlpm.b)))</f>
        <v>0.41</v>
      </c>
      <c r="L28" s="4" cm="1">
        <f t="array" ref="L28">_xlfn.LET(_xlpm.d,L$2:L$19,_xlpm.a,$C$2:$C$19=$C28,_xlpm.b,$D$2:$D$19=$D28,MAX(_xlfn._xlws.FILTER(_xlpm.d,_xlpm.a*_xlpm.b)))</f>
        <v>0.37</v>
      </c>
      <c r="M28" s="4" cm="1">
        <f t="array" ref="M28">_xlfn.LET(_xlpm.d,M$2:M$19,_xlpm.a,$C$2:$C$19=$C28,_xlpm.b,$D$2:$D$19=$D28,MAX(_xlfn._xlws.FILTER(_xlpm.d,_xlpm.a*_xlpm.b)))</f>
        <v>0.41</v>
      </c>
      <c r="N28" s="4" cm="1">
        <f t="array" ref="N28">_xlfn.LET(_xlpm.d,N$2:N$19,_xlpm.a,$C$2:$C$19=$C28,_xlpm.b,$D$2:$D$19=$D28,MAX(_xlfn._xlws.FILTER(_xlpm.d,_xlpm.a*_xlpm.b)))</f>
        <v>0.28999999999999998</v>
      </c>
      <c r="O28" s="4" cm="1">
        <f t="array" ref="O28">_xlfn.LET(_xlpm.d,O$2:O$19,_xlpm.a,$C$2:$C$19=$C28,_xlpm.b,$D$2:$D$19=$D28,MAX(_xlfn._xlws.FILTER(_xlpm.d,_xlpm.a*_xlpm.b)))</f>
        <v>0.4</v>
      </c>
      <c r="P28" s="4" cm="1">
        <f t="array" ref="P28">_xlfn.LET(_xlpm.d,P$2:P$19,_xlpm.a,$C$2:$C$19=$C28,_xlpm.b,$D$2:$D$19=$D28,MAX(_xlfn._xlws.FILTER(_xlpm.d,_xlpm.a*_xlpm.b)))</f>
        <v>0.37</v>
      </c>
      <c r="Q28" s="4" cm="1">
        <f t="array" ref="Q28">_xlfn.LET(_xlpm.d,Q$2:Q$19,_xlpm.a,$C$2:$C$19=$C28,_xlpm.b,$D$2:$D$19=$D28,MAX(_xlfn._xlws.FILTER(_xlpm.d,_xlpm.a*_xlpm.b)))</f>
        <v>0.36</v>
      </c>
      <c r="R28" s="4" cm="1">
        <f t="array" ref="R28">_xlfn.LET(_xlpm.d,R$2:R$19,_xlpm.a,$C$2:$C$19=$C28,_xlpm.b,$D$2:$D$19=$D28,MAX(_xlfn._xlws.FILTER(_xlpm.d,_xlpm.a*_xlpm.b)))</f>
        <v>0.42</v>
      </c>
      <c r="S28" s="4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3k-xsk-mgv9</vt:lpstr>
      <vt:lpstr>3k-xsk-mgv6</vt:lpstr>
      <vt:lpstr>3k-xsk-mgv3</vt:lpstr>
      <vt:lpstr>2k-xsk-mgv9</vt:lpstr>
      <vt:lpstr>2k-xsk-mgv6</vt:lpstr>
      <vt:lpstr>2k-xsk-mgv3</vt:lpstr>
      <vt:lpstr>1.2k-xsk-mgv9</vt:lpstr>
      <vt:lpstr>1.2k-xsk-mgv6</vt:lpstr>
      <vt:lpstr>1.2k-xsk-mgv3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2025-02-18T09:30:05Z</dcterms:created>
  <dcterms:modified xsi:type="dcterms:W3CDTF">2025-03-03T09:26:14Z</dcterms:modified>
  <cp:category/>
</cp:coreProperties>
</file>