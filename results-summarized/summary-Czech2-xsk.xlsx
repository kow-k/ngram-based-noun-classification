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BEFE901E-7BC2-7D4A-81E6-0CE024F42FF0}" xr6:coauthVersionLast="47" xr6:coauthVersionMax="47" xr10:uidLastSave="{00000000-0000-0000-0000-000000000000}"/>
  <bookViews>
    <workbookView xWindow="1060" yWindow="2860" windowWidth="31300" windowHeight="18740" activeTab="8" xr2:uid="{D0D8EEE6-8D51-5841-A738-AF4A695F4874}"/>
  </bookViews>
  <sheets>
    <sheet name="summarized" sheetId="3" r:id="rId1"/>
    <sheet name="3k-xsk-mgv9" sheetId="4" r:id="rId2"/>
    <sheet name="3k-xsk-mgv6" sheetId="13" r:id="rId3"/>
    <sheet name="3k-xsk-mgv3" sheetId="14" r:id="rId4"/>
    <sheet name="2k-xsk-mgv9" sheetId="7" r:id="rId5"/>
    <sheet name="2k-xsk-mgv6" sheetId="8" r:id="rId6"/>
    <sheet name="2k-xsk-mgv3" sheetId="12" r:id="rId7"/>
    <sheet name="1.2k-xsk-mgv9" sheetId="9" r:id="rId8"/>
    <sheet name="1.2-xsk-mgv6" sheetId="10" r:id="rId9"/>
    <sheet name="1.2k-xsk-mgv3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G24" i="4"/>
  <c r="G25" i="4"/>
  <c r="G26" i="4"/>
  <c r="G27" i="4"/>
  <c r="G28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37" i="4"/>
  <c r="G38" i="4"/>
  <c r="G39" i="4"/>
  <c r="G40" i="4"/>
  <c r="G41" i="4"/>
  <c r="G42" i="4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3" i="14"/>
  <c r="G24" i="14"/>
  <c r="G25" i="14"/>
  <c r="G26" i="14"/>
  <c r="G27" i="14"/>
  <c r="G28" i="14"/>
  <c r="G32" i="14"/>
  <c r="G33" i="14"/>
  <c r="G34" i="14"/>
  <c r="G35" i="14"/>
  <c r="G36" i="14"/>
  <c r="G37" i="14"/>
  <c r="I32" i="14"/>
  <c r="J32" i="14"/>
  <c r="K32" i="14"/>
  <c r="L32" i="14"/>
  <c r="M32" i="14"/>
  <c r="N32" i="14"/>
  <c r="O32" i="14"/>
  <c r="P32" i="14"/>
  <c r="Q32" i="14"/>
  <c r="R32" i="14"/>
  <c r="S32" i="14"/>
  <c r="I33" i="14"/>
  <c r="J33" i="14"/>
  <c r="K33" i="14"/>
  <c r="L33" i="14"/>
  <c r="M33" i="14"/>
  <c r="N33" i="14"/>
  <c r="O33" i="14"/>
  <c r="P33" i="14"/>
  <c r="Q33" i="14"/>
  <c r="R33" i="14"/>
  <c r="S33" i="14"/>
  <c r="I34" i="14"/>
  <c r="J34" i="14"/>
  <c r="K34" i="14"/>
  <c r="L34" i="14"/>
  <c r="M34" i="14"/>
  <c r="N34" i="14"/>
  <c r="O34" i="14"/>
  <c r="P34" i="14"/>
  <c r="Q34" i="14"/>
  <c r="R34" i="14"/>
  <c r="S34" i="14"/>
  <c r="I35" i="14"/>
  <c r="J35" i="14"/>
  <c r="K35" i="14"/>
  <c r="L35" i="14"/>
  <c r="M35" i="14"/>
  <c r="N35" i="14"/>
  <c r="O35" i="14"/>
  <c r="P35" i="14"/>
  <c r="Q35" i="14"/>
  <c r="R35" i="14"/>
  <c r="S35" i="14"/>
  <c r="I36" i="14"/>
  <c r="J36" i="14"/>
  <c r="K36" i="14"/>
  <c r="L36" i="14"/>
  <c r="M36" i="14"/>
  <c r="N36" i="14"/>
  <c r="O36" i="14"/>
  <c r="P36" i="14"/>
  <c r="Q36" i="14"/>
  <c r="R36" i="14"/>
  <c r="S36" i="14"/>
  <c r="I37" i="14"/>
  <c r="J37" i="14"/>
  <c r="K37" i="14"/>
  <c r="L37" i="14"/>
  <c r="M37" i="14"/>
  <c r="N37" i="14"/>
  <c r="O37" i="14"/>
  <c r="P37" i="14"/>
  <c r="Q37" i="14"/>
  <c r="R37" i="14"/>
  <c r="S37" i="14"/>
  <c r="H32" i="14"/>
  <c r="H33" i="14"/>
  <c r="H34" i="14"/>
  <c r="H35" i="14"/>
  <c r="H36" i="14"/>
  <c r="H37" i="14"/>
  <c r="H23" i="14" a="1"/>
  <c r="H23" i="14" s="1"/>
  <c r="I4" i="3"/>
  <c r="W4" i="3"/>
  <c r="S28" i="14" a="1"/>
  <c r="S28" i="14" s="1"/>
  <c r="R28" i="14" a="1"/>
  <c r="R28" i="14" s="1"/>
  <c r="Q28" i="14" a="1"/>
  <c r="Q28" i="14" s="1"/>
  <c r="P28" i="14" a="1"/>
  <c r="P28" i="14" s="1"/>
  <c r="O28" i="14" a="1"/>
  <c r="O28" i="14" s="1"/>
  <c r="N28" i="14" a="1"/>
  <c r="N28" i="14" s="1"/>
  <c r="M28" i="14" a="1"/>
  <c r="M28" i="14" s="1"/>
  <c r="L28" i="14" a="1"/>
  <c r="L28" i="14" s="1"/>
  <c r="K28" i="14" a="1"/>
  <c r="K28" i="14" s="1"/>
  <c r="J28" i="14" a="1"/>
  <c r="J28" i="14" s="1"/>
  <c r="I28" i="14" a="1"/>
  <c r="I28" i="14" s="1"/>
  <c r="H28" i="14" a="1"/>
  <c r="H28" i="14" s="1"/>
  <c r="S27" i="14" a="1"/>
  <c r="S27" i="14" s="1"/>
  <c r="R27" i="14" a="1"/>
  <c r="R27" i="14" s="1"/>
  <c r="Q27" i="14" a="1"/>
  <c r="Q27" i="14" s="1"/>
  <c r="P27" i="14" a="1"/>
  <c r="P27" i="14" s="1"/>
  <c r="O27" i="14" a="1"/>
  <c r="O27" i="14" s="1"/>
  <c r="N27" i="14" a="1"/>
  <c r="N27" i="14" s="1"/>
  <c r="M27" i="14" a="1"/>
  <c r="M27" i="14" s="1"/>
  <c r="L27" i="14" a="1"/>
  <c r="L27" i="14" s="1"/>
  <c r="K27" i="14" a="1"/>
  <c r="K27" i="14" s="1"/>
  <c r="J27" i="14" a="1"/>
  <c r="J27" i="14" s="1"/>
  <c r="I27" i="14" a="1"/>
  <c r="I27" i="14" s="1"/>
  <c r="H27" i="14" a="1"/>
  <c r="H27" i="14" s="1"/>
  <c r="S26" i="14" a="1"/>
  <c r="S26" i="14" s="1"/>
  <c r="R26" i="14" a="1"/>
  <c r="R26" i="14" s="1"/>
  <c r="Q26" i="14" a="1"/>
  <c r="Q26" i="14" s="1"/>
  <c r="P26" i="14" a="1"/>
  <c r="P26" i="14" s="1"/>
  <c r="O26" i="14" a="1"/>
  <c r="O26" i="14" s="1"/>
  <c r="N26" i="14" a="1"/>
  <c r="N26" i="14" s="1"/>
  <c r="M26" i="14" a="1"/>
  <c r="M26" i="14" s="1"/>
  <c r="L26" i="14" a="1"/>
  <c r="L26" i="14" s="1"/>
  <c r="K26" i="14" a="1"/>
  <c r="K26" i="14" s="1"/>
  <c r="J26" i="14" a="1"/>
  <c r="J26" i="14" s="1"/>
  <c r="I26" i="14" a="1"/>
  <c r="I26" i="14" s="1"/>
  <c r="H26" i="14" a="1"/>
  <c r="H26" i="14" s="1"/>
  <c r="S25" i="14" a="1"/>
  <c r="S25" i="14" s="1"/>
  <c r="R25" i="14" a="1"/>
  <c r="R25" i="14" s="1"/>
  <c r="Q25" i="14" a="1"/>
  <c r="Q25" i="14" s="1"/>
  <c r="P25" i="14" a="1"/>
  <c r="P25" i="14" s="1"/>
  <c r="O25" i="14" a="1"/>
  <c r="O25" i="14" s="1"/>
  <c r="N25" i="14" a="1"/>
  <c r="N25" i="14" s="1"/>
  <c r="M25" i="14" a="1"/>
  <c r="M25" i="14" s="1"/>
  <c r="L25" i="14" a="1"/>
  <c r="L25" i="14" s="1"/>
  <c r="K25" i="14" a="1"/>
  <c r="K25" i="14" s="1"/>
  <c r="J25" i="14" a="1"/>
  <c r="J25" i="14" s="1"/>
  <c r="I25" i="14" a="1"/>
  <c r="I25" i="14" s="1"/>
  <c r="H25" i="14" a="1"/>
  <c r="H25" i="14" s="1"/>
  <c r="S24" i="14" a="1"/>
  <c r="S24" i="14" s="1"/>
  <c r="R24" i="14" a="1"/>
  <c r="R24" i="14" s="1"/>
  <c r="Q24" i="14" a="1"/>
  <c r="Q24" i="14" s="1"/>
  <c r="P24" i="14" a="1"/>
  <c r="P24" i="14" s="1"/>
  <c r="O24" i="14" a="1"/>
  <c r="O24" i="14" s="1"/>
  <c r="N24" i="14" a="1"/>
  <c r="N24" i="14" s="1"/>
  <c r="M24" i="14" a="1"/>
  <c r="M24" i="14" s="1"/>
  <c r="L24" i="14" a="1"/>
  <c r="L24" i="14" s="1"/>
  <c r="K24" i="14" a="1"/>
  <c r="K24" i="14" s="1"/>
  <c r="J24" i="14" a="1"/>
  <c r="J24" i="14" s="1"/>
  <c r="I24" i="14" a="1"/>
  <c r="I24" i="14" s="1"/>
  <c r="H24" i="14" a="1"/>
  <c r="H24" i="14" s="1"/>
  <c r="S23" i="14" a="1"/>
  <c r="S23" i="14" s="1"/>
  <c r="R23" i="14" a="1"/>
  <c r="R23" i="14" s="1"/>
  <c r="Q23" i="14" a="1"/>
  <c r="Q23" i="14" s="1"/>
  <c r="P23" i="14" a="1"/>
  <c r="P23" i="14" s="1"/>
  <c r="O23" i="14" a="1"/>
  <c r="O23" i="14" s="1"/>
  <c r="N23" i="14" a="1"/>
  <c r="N23" i="14" s="1"/>
  <c r="M23" i="14" a="1"/>
  <c r="M23" i="14" s="1"/>
  <c r="L23" i="14" a="1"/>
  <c r="L23" i="14" s="1"/>
  <c r="K23" i="14" a="1"/>
  <c r="K23" i="14" s="1"/>
  <c r="J23" i="14" a="1"/>
  <c r="J23" i="14" s="1"/>
  <c r="I23" i="14" a="1"/>
  <c r="I23" i="14" s="1"/>
  <c r="T7" i="14"/>
  <c r="T2" i="14"/>
  <c r="T6" i="14"/>
  <c r="T5" i="14"/>
  <c r="T4" i="14"/>
  <c r="T3" i="14"/>
  <c r="T12" i="14"/>
  <c r="T10" i="14"/>
  <c r="T9" i="14"/>
  <c r="T13" i="14"/>
  <c r="T11" i="14"/>
  <c r="T8" i="14"/>
  <c r="T16" i="14"/>
  <c r="T17" i="14"/>
  <c r="T14" i="14"/>
  <c r="T15" i="14"/>
  <c r="T19" i="14"/>
  <c r="T18" i="14"/>
  <c r="T24" i="14" l="1" a="1"/>
  <c r="T24" i="14" s="1"/>
  <c r="T26" i="14" a="1"/>
  <c r="T26" i="14" s="1"/>
  <c r="T27" i="14" a="1"/>
  <c r="T27" i="14" s="1"/>
  <c r="T25" i="14" a="1"/>
  <c r="T25" i="14" s="1"/>
  <c r="T23" i="14" a="1"/>
  <c r="T23" i="14" s="1"/>
  <c r="T28" i="14" a="1"/>
  <c r="T28" i="14" s="1"/>
  <c r="I7" i="3"/>
  <c r="I16" i="3"/>
  <c r="W7" i="3"/>
  <c r="W16" i="3"/>
  <c r="H24" i="13" a="1"/>
  <c r="H24" i="13" s="1"/>
  <c r="S27" i="13" a="1"/>
  <c r="S27" i="13" s="1"/>
  <c r="R27" i="13" a="1"/>
  <c r="R27" i="13" s="1"/>
  <c r="Q27" i="13" a="1"/>
  <c r="Q27" i="13" s="1"/>
  <c r="P27" i="13" a="1"/>
  <c r="P27" i="13" s="1"/>
  <c r="O27" i="13" a="1"/>
  <c r="O27" i="13" s="1"/>
  <c r="N27" i="13" a="1"/>
  <c r="N27" i="13" s="1"/>
  <c r="M27" i="13" a="1"/>
  <c r="M27" i="13" s="1"/>
  <c r="L27" i="13" a="1"/>
  <c r="L27" i="13" s="1"/>
  <c r="K27" i="13" a="1"/>
  <c r="K27" i="13" s="1"/>
  <c r="J27" i="13" a="1"/>
  <c r="J27" i="13" s="1"/>
  <c r="I27" i="13" a="1"/>
  <c r="I27" i="13" s="1"/>
  <c r="H27" i="13" a="1"/>
  <c r="H27" i="13" s="1"/>
  <c r="S28" i="13" a="1"/>
  <c r="S28" i="13" s="1"/>
  <c r="R28" i="13" a="1"/>
  <c r="R28" i="13" s="1"/>
  <c r="Q28" i="13" a="1"/>
  <c r="Q28" i="13" s="1"/>
  <c r="P28" i="13" a="1"/>
  <c r="P28" i="13" s="1"/>
  <c r="O28" i="13" a="1"/>
  <c r="O28" i="13" s="1"/>
  <c r="N28" i="13" a="1"/>
  <c r="N28" i="13" s="1"/>
  <c r="M28" i="13" a="1"/>
  <c r="M28" i="13" s="1"/>
  <c r="L28" i="13" a="1"/>
  <c r="L28" i="13" s="1"/>
  <c r="K28" i="13" a="1"/>
  <c r="K28" i="13" s="1"/>
  <c r="J28" i="13" a="1"/>
  <c r="J28" i="13" s="1"/>
  <c r="I28" i="13" a="1"/>
  <c r="I28" i="13" s="1"/>
  <c r="H28" i="13" a="1"/>
  <c r="H28" i="13" s="1"/>
  <c r="S25" i="13" a="1"/>
  <c r="S25" i="13" s="1"/>
  <c r="R25" i="13" a="1"/>
  <c r="R25" i="13" s="1"/>
  <c r="Q25" i="13" a="1"/>
  <c r="Q25" i="13" s="1"/>
  <c r="P25" i="13" a="1"/>
  <c r="P25" i="13" s="1"/>
  <c r="O25" i="13" a="1"/>
  <c r="O25" i="13" s="1"/>
  <c r="N25" i="13" a="1"/>
  <c r="N25" i="13" s="1"/>
  <c r="M25" i="13" a="1"/>
  <c r="M25" i="13" s="1"/>
  <c r="L25" i="13" a="1"/>
  <c r="L25" i="13" s="1"/>
  <c r="K25" i="13" a="1"/>
  <c r="K25" i="13" s="1"/>
  <c r="J25" i="13" a="1"/>
  <c r="J25" i="13" s="1"/>
  <c r="I25" i="13" a="1"/>
  <c r="I25" i="13" s="1"/>
  <c r="H25" i="13" a="1"/>
  <c r="H25" i="13" s="1"/>
  <c r="S26" i="13" a="1"/>
  <c r="S26" i="13" s="1"/>
  <c r="R26" i="13" a="1"/>
  <c r="R26" i="13" s="1"/>
  <c r="Q26" i="13" a="1"/>
  <c r="Q26" i="13" s="1"/>
  <c r="P26" i="13" a="1"/>
  <c r="P26" i="13" s="1"/>
  <c r="O26" i="13" a="1"/>
  <c r="O26" i="13" s="1"/>
  <c r="N26" i="13" a="1"/>
  <c r="N26" i="13" s="1"/>
  <c r="M26" i="13" a="1"/>
  <c r="M26" i="13" s="1"/>
  <c r="L26" i="13" a="1"/>
  <c r="L26" i="13" s="1"/>
  <c r="K26" i="13" a="1"/>
  <c r="K26" i="13" s="1"/>
  <c r="J26" i="13" a="1"/>
  <c r="J26" i="13" s="1"/>
  <c r="I26" i="13" a="1"/>
  <c r="I26" i="13" s="1"/>
  <c r="H26" i="13" a="1"/>
  <c r="H26" i="13" s="1"/>
  <c r="S23" i="13" a="1"/>
  <c r="S23" i="13" s="1"/>
  <c r="R23" i="13" a="1"/>
  <c r="R23" i="13" s="1"/>
  <c r="Q23" i="13" a="1"/>
  <c r="Q23" i="13" s="1"/>
  <c r="P23" i="13" a="1"/>
  <c r="P23" i="13" s="1"/>
  <c r="O23" i="13" a="1"/>
  <c r="O23" i="13" s="1"/>
  <c r="N23" i="13" a="1"/>
  <c r="N23" i="13" s="1"/>
  <c r="M23" i="13" a="1"/>
  <c r="M23" i="13" s="1"/>
  <c r="L23" i="13" a="1"/>
  <c r="L23" i="13" s="1"/>
  <c r="K23" i="13" a="1"/>
  <c r="K23" i="13" s="1"/>
  <c r="J23" i="13" a="1"/>
  <c r="J23" i="13" s="1"/>
  <c r="I23" i="13" a="1"/>
  <c r="I23" i="13" s="1"/>
  <c r="H23" i="13" a="1"/>
  <c r="H23" i="13" s="1"/>
  <c r="S24" i="13" a="1"/>
  <c r="S24" i="13" s="1"/>
  <c r="R24" i="13" a="1"/>
  <c r="R24" i="13" s="1"/>
  <c r="Q24" i="13" a="1"/>
  <c r="Q24" i="13" s="1"/>
  <c r="P24" i="13" a="1"/>
  <c r="P24" i="13" s="1"/>
  <c r="O24" i="13" a="1"/>
  <c r="O24" i="13" s="1"/>
  <c r="N24" i="13" a="1"/>
  <c r="N24" i="13" s="1"/>
  <c r="M24" i="13" a="1"/>
  <c r="M24" i="13" s="1"/>
  <c r="L24" i="13" a="1"/>
  <c r="L24" i="13" s="1"/>
  <c r="K24" i="13" a="1"/>
  <c r="K24" i="13" s="1"/>
  <c r="J24" i="13" a="1"/>
  <c r="J24" i="13" s="1"/>
  <c r="I24" i="13" a="1"/>
  <c r="I24" i="13" s="1"/>
  <c r="T2" i="13"/>
  <c r="T3" i="13"/>
  <c r="T4" i="13"/>
  <c r="T5" i="13"/>
  <c r="T24" i="13" s="1" a="1"/>
  <c r="T24" i="13" s="1"/>
  <c r="T6" i="13"/>
  <c r="T7" i="13"/>
  <c r="T8" i="13"/>
  <c r="T9" i="13"/>
  <c r="T10" i="13"/>
  <c r="T11" i="13"/>
  <c r="T12" i="13"/>
  <c r="T13" i="13"/>
  <c r="T14" i="13"/>
  <c r="T15" i="13"/>
  <c r="T28" i="13" s="1" a="1"/>
  <c r="T28" i="13" s="1"/>
  <c r="T16" i="13"/>
  <c r="T17" i="13"/>
  <c r="T18" i="13"/>
  <c r="T19" i="13"/>
  <c r="W2" i="3"/>
  <c r="W3" i="3"/>
  <c r="W5" i="3"/>
  <c r="W6" i="3"/>
  <c r="W8" i="3"/>
  <c r="W9" i="3"/>
  <c r="W10" i="3"/>
  <c r="W11" i="3"/>
  <c r="W12" i="3"/>
  <c r="W13" i="3"/>
  <c r="W14" i="3"/>
  <c r="W15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I55" i="3"/>
  <c r="I46" i="3"/>
  <c r="I37" i="3"/>
  <c r="I28" i="3"/>
  <c r="I19" i="3"/>
  <c r="I10" i="3"/>
  <c r="I52" i="3"/>
  <c r="I43" i="3"/>
  <c r="I34" i="3"/>
  <c r="I25" i="3"/>
  <c r="I49" i="3"/>
  <c r="I40" i="3"/>
  <c r="I31" i="3"/>
  <c r="I22" i="3"/>
  <c r="I13" i="3"/>
  <c r="I54" i="3"/>
  <c r="I45" i="3"/>
  <c r="I36" i="3"/>
  <c r="I27" i="3"/>
  <c r="I18" i="3"/>
  <c r="I9" i="3"/>
  <c r="I51" i="3"/>
  <c r="I42" i="3"/>
  <c r="I33" i="3"/>
  <c r="I24" i="3"/>
  <c r="I15" i="3"/>
  <c r="I6" i="3"/>
  <c r="I48" i="3"/>
  <c r="I39" i="3"/>
  <c r="I30" i="3"/>
  <c r="I21" i="3"/>
  <c r="I12" i="3"/>
  <c r="I3" i="3"/>
  <c r="I53" i="3"/>
  <c r="I44" i="3"/>
  <c r="I35" i="3"/>
  <c r="I26" i="3"/>
  <c r="I17" i="3"/>
  <c r="I8" i="3"/>
  <c r="I50" i="3"/>
  <c r="I41" i="3"/>
  <c r="I32" i="3"/>
  <c r="I23" i="3"/>
  <c r="I14" i="3"/>
  <c r="I5" i="3"/>
  <c r="I47" i="3"/>
  <c r="I38" i="3"/>
  <c r="I29" i="3"/>
  <c r="I20" i="3"/>
  <c r="I11" i="3"/>
  <c r="I2" i="3"/>
  <c r="T27" i="13" l="1" a="1"/>
  <c r="T27" i="13" s="1"/>
  <c r="T23" i="13" a="1"/>
  <c r="T23" i="13" s="1"/>
  <c r="T26" i="13" a="1"/>
  <c r="T26" i="13" s="1"/>
  <c r="T25" i="13" a="1"/>
  <c r="T25" i="13" s="1"/>
  <c r="X2" i="3"/>
  <c r="X4" i="3"/>
  <c r="X30" i="3"/>
  <c r="X54" i="3"/>
  <c r="X46" i="3"/>
  <c r="X22" i="3"/>
  <c r="X14" i="3"/>
  <c r="X48" i="3"/>
  <c r="X40" i="3"/>
  <c r="X32" i="3"/>
  <c r="X24" i="3"/>
  <c r="X8" i="3"/>
  <c r="X55" i="3"/>
  <c r="X47" i="3"/>
  <c r="X39" i="3"/>
  <c r="X31" i="3"/>
  <c r="X23" i="3"/>
  <c r="X15" i="3"/>
  <c r="X6" i="3"/>
  <c r="X53" i="3"/>
  <c r="X21" i="3"/>
  <c r="X13" i="3"/>
  <c r="X5" i="3"/>
  <c r="X16" i="3"/>
  <c r="X7" i="3"/>
  <c r="X45" i="3"/>
  <c r="X52" i="3"/>
  <c r="X36" i="3"/>
  <c r="X20" i="3"/>
  <c r="X12" i="3"/>
  <c r="X43" i="3"/>
  <c r="X27" i="3"/>
  <c r="X11" i="3"/>
  <c r="X50" i="3"/>
  <c r="X42" i="3"/>
  <c r="X34" i="3"/>
  <c r="X26" i="3"/>
  <c r="X18" i="3"/>
  <c r="X10" i="3"/>
  <c r="X38" i="3"/>
  <c r="X37" i="3"/>
  <c r="X29" i="3"/>
  <c r="X44" i="3"/>
  <c r="X28" i="3"/>
  <c r="X51" i="3"/>
  <c r="X35" i="3"/>
  <c r="X19" i="3"/>
  <c r="X3" i="3"/>
  <c r="X49" i="3"/>
  <c r="X41" i="3"/>
  <c r="X33" i="3"/>
  <c r="X25" i="3"/>
  <c r="X17" i="3"/>
  <c r="X9" i="3"/>
  <c r="R28" i="12" a="1"/>
  <c r="R28" i="12" s="1"/>
  <c r="Q28" i="12" a="1"/>
  <c r="Q28" i="12" s="1"/>
  <c r="P28" i="12" a="1"/>
  <c r="P28" i="12" s="1"/>
  <c r="O28" i="12" a="1"/>
  <c r="O28" i="12" s="1"/>
  <c r="N28" i="12" a="1"/>
  <c r="N28" i="12" s="1"/>
  <c r="M28" i="12" a="1"/>
  <c r="M28" i="12" s="1"/>
  <c r="L28" i="12" a="1"/>
  <c r="L28" i="12" s="1"/>
  <c r="K28" i="12" a="1"/>
  <c r="K28" i="12" s="1"/>
  <c r="J28" i="12" a="1"/>
  <c r="J28" i="12" s="1"/>
  <c r="I28" i="12" a="1"/>
  <c r="I28" i="12" s="1"/>
  <c r="H28" i="12" a="1"/>
  <c r="H28" i="12" s="1"/>
  <c r="G28" i="12" a="1"/>
  <c r="G28" i="12" s="1"/>
  <c r="R27" i="12" a="1"/>
  <c r="R27" i="12" s="1"/>
  <c r="Q27" i="12" a="1"/>
  <c r="Q27" i="12" s="1"/>
  <c r="P27" i="12" a="1"/>
  <c r="P27" i="12" s="1"/>
  <c r="O27" i="12" a="1"/>
  <c r="O27" i="12" s="1"/>
  <c r="N27" i="12" a="1"/>
  <c r="N27" i="12" s="1"/>
  <c r="M27" i="12" a="1"/>
  <c r="M27" i="12" s="1"/>
  <c r="L27" i="12" a="1"/>
  <c r="L27" i="12" s="1"/>
  <c r="K27" i="12" a="1"/>
  <c r="K27" i="12" s="1"/>
  <c r="J27" i="12" a="1"/>
  <c r="J27" i="12" s="1"/>
  <c r="I27" i="12" a="1"/>
  <c r="I27" i="12" s="1"/>
  <c r="H27" i="12" a="1"/>
  <c r="H27" i="12" s="1"/>
  <c r="G27" i="12" a="1"/>
  <c r="G27" i="12" s="1"/>
  <c r="S26" i="12" a="1"/>
  <c r="S26" i="12" s="1"/>
  <c r="R26" i="12" a="1"/>
  <c r="R26" i="12" s="1"/>
  <c r="Q26" i="12" a="1"/>
  <c r="Q26" i="12" s="1"/>
  <c r="P26" i="12" a="1"/>
  <c r="P26" i="12" s="1"/>
  <c r="O26" i="12" a="1"/>
  <c r="O26" i="12" s="1"/>
  <c r="N26" i="12" a="1"/>
  <c r="N26" i="12" s="1"/>
  <c r="M26" i="12" a="1"/>
  <c r="M26" i="12" s="1"/>
  <c r="L26" i="12" a="1"/>
  <c r="L26" i="12" s="1"/>
  <c r="K26" i="12" a="1"/>
  <c r="K26" i="12" s="1"/>
  <c r="J26" i="12" a="1"/>
  <c r="J26" i="12" s="1"/>
  <c r="I26" i="12" a="1"/>
  <c r="I26" i="12" s="1"/>
  <c r="H26" i="12" a="1"/>
  <c r="H26" i="12" s="1"/>
  <c r="G26" i="12" a="1"/>
  <c r="G26" i="12" s="1"/>
  <c r="S25" i="12" a="1"/>
  <c r="S25" i="12" s="1"/>
  <c r="R25" i="12" a="1"/>
  <c r="R25" i="12" s="1"/>
  <c r="Q25" i="12" a="1"/>
  <c r="Q25" i="12" s="1"/>
  <c r="P25" i="12" a="1"/>
  <c r="P25" i="12" s="1"/>
  <c r="O25" i="12" a="1"/>
  <c r="O25" i="12" s="1"/>
  <c r="N25" i="12" a="1"/>
  <c r="N25" i="12" s="1"/>
  <c r="M25" i="12" a="1"/>
  <c r="M25" i="12" s="1"/>
  <c r="L25" i="12" a="1"/>
  <c r="L25" i="12" s="1"/>
  <c r="K25" i="12" a="1"/>
  <c r="K25" i="12" s="1"/>
  <c r="J25" i="12" a="1"/>
  <c r="J25" i="12" s="1"/>
  <c r="I25" i="12" a="1"/>
  <c r="I25" i="12" s="1"/>
  <c r="H25" i="12" a="1"/>
  <c r="H25" i="12" s="1"/>
  <c r="G25" i="12" a="1"/>
  <c r="G25" i="12" s="1"/>
  <c r="R24" i="12" a="1"/>
  <c r="R24" i="12" s="1"/>
  <c r="Q24" i="12" a="1"/>
  <c r="Q24" i="12" s="1"/>
  <c r="P24" i="12" a="1"/>
  <c r="P24" i="12" s="1"/>
  <c r="O24" i="12" a="1"/>
  <c r="O24" i="12" s="1"/>
  <c r="N24" i="12" a="1"/>
  <c r="N24" i="12" s="1"/>
  <c r="M24" i="12" a="1"/>
  <c r="M24" i="12" s="1"/>
  <c r="L24" i="12" a="1"/>
  <c r="L24" i="12" s="1"/>
  <c r="K24" i="12" a="1"/>
  <c r="K24" i="12" s="1"/>
  <c r="J24" i="12" a="1"/>
  <c r="J24" i="12" s="1"/>
  <c r="I24" i="12" a="1"/>
  <c r="I24" i="12" s="1"/>
  <c r="H24" i="12" a="1"/>
  <c r="H24" i="12" s="1"/>
  <c r="G24" i="12" a="1"/>
  <c r="G24" i="12" s="1"/>
  <c r="R23" i="12" a="1"/>
  <c r="R23" i="12" s="1"/>
  <c r="Q23" i="12" a="1"/>
  <c r="Q23" i="12" s="1"/>
  <c r="P23" i="12" a="1"/>
  <c r="P23" i="12" s="1"/>
  <c r="O23" i="12" a="1"/>
  <c r="O23" i="12" s="1"/>
  <c r="N23" i="12" a="1"/>
  <c r="N23" i="12" s="1"/>
  <c r="M23" i="12" a="1"/>
  <c r="M23" i="12" s="1"/>
  <c r="L23" i="12" a="1"/>
  <c r="L23" i="12" s="1"/>
  <c r="K23" i="12" a="1"/>
  <c r="K23" i="12" s="1"/>
  <c r="J23" i="12" a="1"/>
  <c r="J23" i="12" s="1"/>
  <c r="I23" i="12" a="1"/>
  <c r="I23" i="12" s="1"/>
  <c r="H23" i="12" a="1"/>
  <c r="H23" i="12" s="1"/>
  <c r="G23" i="12" a="1"/>
  <c r="G23" i="12" s="1"/>
  <c r="S2" i="12"/>
  <c r="S3" i="12"/>
  <c r="S24" i="12" s="1" a="1"/>
  <c r="S24" i="12" s="1"/>
  <c r="S4" i="12"/>
  <c r="S5" i="12"/>
  <c r="S6" i="12"/>
  <c r="S23" i="12" s="1" a="1"/>
  <c r="S23" i="12" s="1"/>
  <c r="S7" i="12"/>
  <c r="S8" i="12"/>
  <c r="S9" i="12"/>
  <c r="S10" i="12"/>
  <c r="S11" i="12"/>
  <c r="S12" i="12"/>
  <c r="S13" i="12"/>
  <c r="S14" i="12"/>
  <c r="S27" i="12" s="1" a="1"/>
  <c r="S27" i="12" s="1"/>
  <c r="S15" i="12"/>
  <c r="S16" i="12"/>
  <c r="S28" i="12" s="1" a="1"/>
  <c r="S28" i="12" s="1"/>
  <c r="S17" i="12"/>
  <c r="S18" i="12"/>
  <c r="S19" i="12"/>
  <c r="R28" i="11" a="1"/>
  <c r="R28" i="11" s="1"/>
  <c r="Q28" i="11" a="1"/>
  <c r="Q28" i="11" s="1"/>
  <c r="P28" i="11" a="1"/>
  <c r="P28" i="11" s="1"/>
  <c r="O28" i="11" a="1"/>
  <c r="O28" i="11" s="1"/>
  <c r="N28" i="11" a="1"/>
  <c r="N28" i="11" s="1"/>
  <c r="M28" i="11" a="1"/>
  <c r="M28" i="11" s="1"/>
  <c r="L28" i="11" a="1"/>
  <c r="L28" i="11" s="1"/>
  <c r="K28" i="11" a="1"/>
  <c r="K28" i="11" s="1"/>
  <c r="J28" i="11" a="1"/>
  <c r="J28" i="11" s="1"/>
  <c r="I28" i="11" a="1"/>
  <c r="I28" i="11" s="1"/>
  <c r="H28" i="11" a="1"/>
  <c r="H28" i="11" s="1"/>
  <c r="G28" i="11" a="1"/>
  <c r="G28" i="11" s="1"/>
  <c r="R27" i="11" a="1"/>
  <c r="R27" i="11" s="1"/>
  <c r="Q27" i="11" a="1"/>
  <c r="Q27" i="11" s="1"/>
  <c r="P27" i="11" a="1"/>
  <c r="P27" i="11" s="1"/>
  <c r="O27" i="11" a="1"/>
  <c r="O27" i="11" s="1"/>
  <c r="N27" i="11" a="1"/>
  <c r="N27" i="11" s="1"/>
  <c r="M27" i="11" a="1"/>
  <c r="M27" i="11" s="1"/>
  <c r="L27" i="11" a="1"/>
  <c r="L27" i="11" s="1"/>
  <c r="K27" i="11" a="1"/>
  <c r="K27" i="11" s="1"/>
  <c r="J27" i="11" a="1"/>
  <c r="J27" i="11" s="1"/>
  <c r="I27" i="11" a="1"/>
  <c r="I27" i="11" s="1"/>
  <c r="H27" i="11" a="1"/>
  <c r="H27" i="11" s="1"/>
  <c r="G27" i="11" a="1"/>
  <c r="G27" i="11" s="1"/>
  <c r="R26" i="11" a="1"/>
  <c r="R26" i="11" s="1"/>
  <c r="Q26" i="11" a="1"/>
  <c r="Q26" i="11" s="1"/>
  <c r="P26" i="11" a="1"/>
  <c r="P26" i="11" s="1"/>
  <c r="O26" i="11" a="1"/>
  <c r="O26" i="11" s="1"/>
  <c r="N26" i="11" a="1"/>
  <c r="N26" i="11" s="1"/>
  <c r="M26" i="11" a="1"/>
  <c r="M26" i="11" s="1"/>
  <c r="L26" i="11" a="1"/>
  <c r="L26" i="11" s="1"/>
  <c r="K26" i="11" a="1"/>
  <c r="K26" i="11" s="1"/>
  <c r="J26" i="11" a="1"/>
  <c r="J26" i="11" s="1"/>
  <c r="I26" i="11" a="1"/>
  <c r="I26" i="11" s="1"/>
  <c r="H26" i="11" a="1"/>
  <c r="H26" i="11" s="1"/>
  <c r="G26" i="11" a="1"/>
  <c r="G26" i="11" s="1"/>
  <c r="R25" i="11" a="1"/>
  <c r="R25" i="11" s="1"/>
  <c r="Q25" i="11" a="1"/>
  <c r="Q25" i="11" s="1"/>
  <c r="P25" i="11" a="1"/>
  <c r="P25" i="11" s="1"/>
  <c r="O25" i="11" a="1"/>
  <c r="O25" i="11" s="1"/>
  <c r="N25" i="11" a="1"/>
  <c r="N25" i="11" s="1"/>
  <c r="M25" i="11" a="1"/>
  <c r="M25" i="11" s="1"/>
  <c r="L25" i="11" a="1"/>
  <c r="L25" i="11" s="1"/>
  <c r="K25" i="11" a="1"/>
  <c r="K25" i="11" s="1"/>
  <c r="J25" i="11" a="1"/>
  <c r="J25" i="11" s="1"/>
  <c r="I25" i="11" a="1"/>
  <c r="I25" i="11" s="1"/>
  <c r="H25" i="11" a="1"/>
  <c r="H25" i="11" s="1"/>
  <c r="G25" i="11" a="1"/>
  <c r="G25" i="11" s="1"/>
  <c r="R24" i="11" a="1"/>
  <c r="R24" i="11" s="1"/>
  <c r="Q24" i="11" a="1"/>
  <c r="Q24" i="11" s="1"/>
  <c r="P24" i="11" a="1"/>
  <c r="P24" i="11" s="1"/>
  <c r="O24" i="11" a="1"/>
  <c r="O24" i="11" s="1"/>
  <c r="N24" i="11" a="1"/>
  <c r="N24" i="11" s="1"/>
  <c r="M24" i="11" a="1"/>
  <c r="M24" i="11" s="1"/>
  <c r="L24" i="11" a="1"/>
  <c r="L24" i="11" s="1"/>
  <c r="K24" i="11" a="1"/>
  <c r="K24" i="11" s="1"/>
  <c r="J24" i="11" a="1"/>
  <c r="J24" i="11" s="1"/>
  <c r="I24" i="11" a="1"/>
  <c r="I24" i="11" s="1"/>
  <c r="H24" i="11" a="1"/>
  <c r="H24" i="11" s="1"/>
  <c r="G24" i="11" a="1"/>
  <c r="G24" i="11" s="1"/>
  <c r="R23" i="11" a="1"/>
  <c r="R23" i="11" s="1"/>
  <c r="Q23" i="11" a="1"/>
  <c r="Q23" i="11" s="1"/>
  <c r="P23" i="11" a="1"/>
  <c r="P23" i="11" s="1"/>
  <c r="O23" i="11" a="1"/>
  <c r="O23" i="11" s="1"/>
  <c r="N23" i="11" a="1"/>
  <c r="N23" i="11" s="1"/>
  <c r="M23" i="11" a="1"/>
  <c r="M23" i="11" s="1"/>
  <c r="L23" i="11" a="1"/>
  <c r="L23" i="11" s="1"/>
  <c r="K23" i="11" a="1"/>
  <c r="K23" i="11" s="1"/>
  <c r="J23" i="11" a="1"/>
  <c r="J23" i="11" s="1"/>
  <c r="I23" i="11" a="1"/>
  <c r="I23" i="11" s="1"/>
  <c r="H23" i="11" a="1"/>
  <c r="H23" i="11" s="1"/>
  <c r="G23" i="11" a="1"/>
  <c r="G23" i="11" s="1"/>
  <c r="S2" i="11"/>
  <c r="S5" i="11"/>
  <c r="S6" i="11"/>
  <c r="S3" i="11"/>
  <c r="S7" i="11"/>
  <c r="S4" i="11"/>
  <c r="S11" i="11"/>
  <c r="S12" i="11"/>
  <c r="S13" i="11"/>
  <c r="S9" i="11"/>
  <c r="S10" i="11"/>
  <c r="S8" i="11"/>
  <c r="S16" i="11"/>
  <c r="S14" i="11"/>
  <c r="S15" i="11"/>
  <c r="S18" i="11"/>
  <c r="S17" i="11"/>
  <c r="S19" i="11"/>
  <c r="S28" i="10" a="1"/>
  <c r="S28" i="10" s="1"/>
  <c r="R28" i="10" a="1"/>
  <c r="R28" i="10" s="1"/>
  <c r="Q28" i="10" a="1"/>
  <c r="Q28" i="10" s="1"/>
  <c r="P28" i="10" a="1"/>
  <c r="P28" i="10" s="1"/>
  <c r="O28" i="10" a="1"/>
  <c r="O28" i="10" s="1"/>
  <c r="N28" i="10" a="1"/>
  <c r="N28" i="10" s="1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S27" i="10" a="1"/>
  <c r="S27" i="10" s="1"/>
  <c r="R27" i="10" a="1"/>
  <c r="R27" i="10" s="1"/>
  <c r="Q27" i="10" a="1"/>
  <c r="Q27" i="10" s="1"/>
  <c r="P27" i="10" a="1"/>
  <c r="P27" i="10" s="1"/>
  <c r="O27" i="10" a="1"/>
  <c r="O27" i="10" s="1"/>
  <c r="N27" i="10" a="1"/>
  <c r="N27" i="10" s="1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S26" i="10" a="1"/>
  <c r="S26" i="10" s="1"/>
  <c r="R26" i="10" a="1"/>
  <c r="R26" i="10" s="1"/>
  <c r="Q26" i="10" a="1"/>
  <c r="Q26" i="10" s="1"/>
  <c r="P26" i="10" a="1"/>
  <c r="P26" i="10" s="1"/>
  <c r="O26" i="10" a="1"/>
  <c r="O26" i="10" s="1"/>
  <c r="N26" i="10" a="1"/>
  <c r="N26" i="10" s="1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S25" i="10" a="1"/>
  <c r="S25" i="10" s="1"/>
  <c r="R25" i="10" a="1"/>
  <c r="R25" i="10" s="1"/>
  <c r="Q25" i="10" a="1"/>
  <c r="Q25" i="10" s="1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S24" i="10" a="1"/>
  <c r="S24" i="10" s="1"/>
  <c r="R24" i="10" a="1"/>
  <c r="R24" i="10" s="1"/>
  <c r="Q24" i="10" a="1"/>
  <c r="Q24" i="10" s="1"/>
  <c r="P24" i="10" a="1"/>
  <c r="P24" i="10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S23" i="10" a="1"/>
  <c r="S23" i="10" s="1"/>
  <c r="R23" i="10" a="1"/>
  <c r="R23" i="10" s="1"/>
  <c r="Q23" i="10" a="1"/>
  <c r="Q23" i="10" s="1"/>
  <c r="P23" i="10" a="1"/>
  <c r="P23" i="10" s="1"/>
  <c r="O23" i="10" a="1"/>
  <c r="O23" i="10" s="1"/>
  <c r="N23" i="10" a="1"/>
  <c r="N23" i="10" s="1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T6" i="10"/>
  <c r="T7" i="10"/>
  <c r="T5" i="10"/>
  <c r="T3" i="10"/>
  <c r="T4" i="10"/>
  <c r="T2" i="10"/>
  <c r="T12" i="10"/>
  <c r="T13" i="10"/>
  <c r="T11" i="10"/>
  <c r="T9" i="10"/>
  <c r="T10" i="10"/>
  <c r="T8" i="10"/>
  <c r="T25" i="10" s="1" a="1"/>
  <c r="T25" i="10" s="1"/>
  <c r="T18" i="10"/>
  <c r="T19" i="10"/>
  <c r="T17" i="10"/>
  <c r="T15" i="10"/>
  <c r="T16" i="10"/>
  <c r="T14" i="10"/>
  <c r="H23" i="9" a="1"/>
  <c r="H23" i="9" s="1"/>
  <c r="S28" i="9" a="1"/>
  <c r="S28" i="9" s="1"/>
  <c r="R28" i="9" a="1"/>
  <c r="R28" i="9" s="1"/>
  <c r="Q28" i="9" a="1"/>
  <c r="Q28" i="9" s="1"/>
  <c r="P28" i="9" a="1"/>
  <c r="P28" i="9" s="1"/>
  <c r="O28" i="9" a="1"/>
  <c r="O28" i="9" s="1"/>
  <c r="N28" i="9" a="1"/>
  <c r="N28" i="9" s="1"/>
  <c r="M28" i="9" a="1"/>
  <c r="M28" i="9" s="1"/>
  <c r="L28" i="9" a="1"/>
  <c r="L28" i="9" s="1"/>
  <c r="K28" i="9" a="1"/>
  <c r="K28" i="9" s="1"/>
  <c r="J28" i="9" a="1"/>
  <c r="J28" i="9" s="1"/>
  <c r="I28" i="9" a="1"/>
  <c r="I28" i="9" s="1"/>
  <c r="H28" i="9" a="1"/>
  <c r="H28" i="9" s="1"/>
  <c r="S27" i="9" a="1"/>
  <c r="S27" i="9" s="1"/>
  <c r="R27" i="9" a="1"/>
  <c r="R27" i="9" s="1"/>
  <c r="Q27" i="9" a="1"/>
  <c r="Q27" i="9" s="1"/>
  <c r="P27" i="9" a="1"/>
  <c r="P27" i="9" s="1"/>
  <c r="O27" i="9" a="1"/>
  <c r="O27" i="9" s="1"/>
  <c r="N27" i="9" a="1"/>
  <c r="N27" i="9" s="1"/>
  <c r="M27" i="9" a="1"/>
  <c r="M27" i="9" s="1"/>
  <c r="L27" i="9" a="1"/>
  <c r="L27" i="9" s="1"/>
  <c r="K27" i="9" a="1"/>
  <c r="K27" i="9" s="1"/>
  <c r="J27" i="9" a="1"/>
  <c r="J27" i="9" s="1"/>
  <c r="I27" i="9" a="1"/>
  <c r="I27" i="9" s="1"/>
  <c r="H27" i="9" a="1"/>
  <c r="H27" i="9" s="1"/>
  <c r="S26" i="9" a="1"/>
  <c r="S26" i="9" s="1"/>
  <c r="R26" i="9" a="1"/>
  <c r="R26" i="9" s="1"/>
  <c r="Q26" i="9" a="1"/>
  <c r="Q26" i="9" s="1"/>
  <c r="P26" i="9" a="1"/>
  <c r="P26" i="9" s="1"/>
  <c r="O26" i="9" a="1"/>
  <c r="O26" i="9" s="1"/>
  <c r="N26" i="9" a="1"/>
  <c r="N26" i="9" s="1"/>
  <c r="M26" i="9" a="1"/>
  <c r="M26" i="9" s="1"/>
  <c r="L26" i="9" a="1"/>
  <c r="L26" i="9" s="1"/>
  <c r="K26" i="9" a="1"/>
  <c r="K26" i="9" s="1"/>
  <c r="J26" i="9" a="1"/>
  <c r="J26" i="9" s="1"/>
  <c r="I26" i="9" a="1"/>
  <c r="I26" i="9" s="1"/>
  <c r="H26" i="9" a="1"/>
  <c r="H26" i="9" s="1"/>
  <c r="S25" i="9" a="1"/>
  <c r="S25" i="9" s="1"/>
  <c r="R25" i="9" a="1"/>
  <c r="R25" i="9" s="1"/>
  <c r="Q25" i="9" a="1"/>
  <c r="Q25" i="9" s="1"/>
  <c r="P25" i="9" a="1"/>
  <c r="P25" i="9" s="1"/>
  <c r="O25" i="9" a="1"/>
  <c r="O25" i="9" s="1"/>
  <c r="N25" i="9" a="1"/>
  <c r="N25" i="9" s="1"/>
  <c r="M25" i="9" a="1"/>
  <c r="M25" i="9" s="1"/>
  <c r="L25" i="9" a="1"/>
  <c r="L25" i="9" s="1"/>
  <c r="K25" i="9" a="1"/>
  <c r="K25" i="9" s="1"/>
  <c r="J25" i="9" a="1"/>
  <c r="J25" i="9" s="1"/>
  <c r="I25" i="9" a="1"/>
  <c r="I25" i="9" s="1"/>
  <c r="H25" i="9" a="1"/>
  <c r="H25" i="9" s="1"/>
  <c r="S24" i="9" a="1"/>
  <c r="S24" i="9" s="1"/>
  <c r="R24" i="9" a="1"/>
  <c r="R24" i="9" s="1"/>
  <c r="Q24" i="9" a="1"/>
  <c r="Q24" i="9" s="1"/>
  <c r="P24" i="9" a="1"/>
  <c r="P24" i="9" s="1"/>
  <c r="O24" i="9" a="1"/>
  <c r="O24" i="9" s="1"/>
  <c r="N24" i="9" a="1"/>
  <c r="N24" i="9" s="1"/>
  <c r="M24" i="9" a="1"/>
  <c r="M24" i="9" s="1"/>
  <c r="L24" i="9" a="1"/>
  <c r="L24" i="9" s="1"/>
  <c r="K24" i="9" a="1"/>
  <c r="K24" i="9" s="1"/>
  <c r="J24" i="9" a="1"/>
  <c r="J24" i="9" s="1"/>
  <c r="I24" i="9" a="1"/>
  <c r="I24" i="9" s="1"/>
  <c r="H24" i="9" a="1"/>
  <c r="H24" i="9" s="1"/>
  <c r="S23" i="9" a="1"/>
  <c r="S23" i="9" s="1"/>
  <c r="R23" i="9" a="1"/>
  <c r="R23" i="9" s="1"/>
  <c r="Q23" i="9" a="1"/>
  <c r="Q23" i="9" s="1"/>
  <c r="P23" i="9" a="1"/>
  <c r="P23" i="9" s="1"/>
  <c r="O23" i="9" a="1"/>
  <c r="O23" i="9" s="1"/>
  <c r="N23" i="9" a="1"/>
  <c r="N23" i="9" s="1"/>
  <c r="M23" i="9" a="1"/>
  <c r="M23" i="9" s="1"/>
  <c r="L23" i="9" a="1"/>
  <c r="L23" i="9" s="1"/>
  <c r="K23" i="9" a="1"/>
  <c r="K23" i="9" s="1"/>
  <c r="J23" i="9" a="1"/>
  <c r="J23" i="9" s="1"/>
  <c r="I23" i="9" a="1"/>
  <c r="I23" i="9" s="1"/>
  <c r="T2" i="9"/>
  <c r="T5" i="9"/>
  <c r="T6" i="9"/>
  <c r="T3" i="9"/>
  <c r="T7" i="9"/>
  <c r="T4" i="9"/>
  <c r="T11" i="9"/>
  <c r="T12" i="9"/>
  <c r="T13" i="9"/>
  <c r="T9" i="9"/>
  <c r="T10" i="9"/>
  <c r="T8" i="9"/>
  <c r="T25" i="9" s="1" a="1"/>
  <c r="T25" i="9" s="1"/>
  <c r="T16" i="9"/>
  <c r="T14" i="9"/>
  <c r="T15" i="9"/>
  <c r="T18" i="9"/>
  <c r="T17" i="9"/>
  <c r="T19" i="9"/>
  <c r="H25" i="8" a="1"/>
  <c r="H25" i="8" s="1"/>
  <c r="H23" i="8" a="1"/>
  <c r="H23" i="8" s="1"/>
  <c r="S28" i="8" a="1"/>
  <c r="S28" i="8" s="1"/>
  <c r="R28" i="8" a="1"/>
  <c r="R28" i="8" s="1"/>
  <c r="Q28" i="8" a="1"/>
  <c r="Q28" i="8" s="1"/>
  <c r="P28" i="8" a="1"/>
  <c r="P28" i="8" s="1"/>
  <c r="O28" i="8" a="1"/>
  <c r="O28" i="8" s="1"/>
  <c r="N28" i="8" a="1"/>
  <c r="N28" i="8" s="1"/>
  <c r="M28" i="8" a="1"/>
  <c r="M28" i="8" s="1"/>
  <c r="L28" i="8" a="1"/>
  <c r="L28" i="8" s="1"/>
  <c r="K28" i="8" a="1"/>
  <c r="K28" i="8" s="1"/>
  <c r="J28" i="8" a="1"/>
  <c r="J28" i="8" s="1"/>
  <c r="I28" i="8" a="1"/>
  <c r="I28" i="8" s="1"/>
  <c r="H28" i="8" a="1"/>
  <c r="H28" i="8" s="1"/>
  <c r="S27" i="8" a="1"/>
  <c r="S27" i="8" s="1"/>
  <c r="R27" i="8" a="1"/>
  <c r="R27" i="8" s="1"/>
  <c r="Q27" i="8" a="1"/>
  <c r="Q27" i="8" s="1"/>
  <c r="P27" i="8" a="1"/>
  <c r="P27" i="8" s="1"/>
  <c r="O27" i="8" a="1"/>
  <c r="O27" i="8" s="1"/>
  <c r="N27" i="8" a="1"/>
  <c r="N27" i="8" s="1"/>
  <c r="M27" i="8" a="1"/>
  <c r="M27" i="8" s="1"/>
  <c r="L27" i="8" a="1"/>
  <c r="L27" i="8" s="1"/>
  <c r="K27" i="8" a="1"/>
  <c r="K27" i="8" s="1"/>
  <c r="J27" i="8" a="1"/>
  <c r="J27" i="8" s="1"/>
  <c r="I27" i="8" a="1"/>
  <c r="I27" i="8" s="1"/>
  <c r="H27" i="8" a="1"/>
  <c r="H27" i="8" s="1"/>
  <c r="S26" i="8" a="1"/>
  <c r="S26" i="8" s="1"/>
  <c r="R26" i="8" a="1"/>
  <c r="R26" i="8" s="1"/>
  <c r="Q26" i="8" a="1"/>
  <c r="Q26" i="8" s="1"/>
  <c r="P26" i="8" a="1"/>
  <c r="P26" i="8" s="1"/>
  <c r="O26" i="8" a="1"/>
  <c r="O26" i="8" s="1"/>
  <c r="N26" i="8" a="1"/>
  <c r="N26" i="8" s="1"/>
  <c r="M26" i="8" a="1"/>
  <c r="M26" i="8" s="1"/>
  <c r="L26" i="8" a="1"/>
  <c r="L26" i="8" s="1"/>
  <c r="K26" i="8" a="1"/>
  <c r="K26" i="8" s="1"/>
  <c r="J26" i="8" a="1"/>
  <c r="J26" i="8" s="1"/>
  <c r="I26" i="8" a="1"/>
  <c r="I26" i="8" s="1"/>
  <c r="H26" i="8" a="1"/>
  <c r="H26" i="8" s="1"/>
  <c r="S25" i="8" a="1"/>
  <c r="S25" i="8" s="1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S24" i="8" a="1"/>
  <c r="S24" i="8" s="1"/>
  <c r="R24" i="8" a="1"/>
  <c r="R24" i="8" s="1"/>
  <c r="Q24" i="8" a="1"/>
  <c r="Q24" i="8" s="1"/>
  <c r="P24" i="8" a="1"/>
  <c r="P24" i="8" s="1"/>
  <c r="O24" i="8" a="1"/>
  <c r="O24" i="8" s="1"/>
  <c r="N24" i="8" a="1"/>
  <c r="N24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S23" i="8" a="1"/>
  <c r="S23" i="8" s="1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T2" i="8"/>
  <c r="T4" i="8"/>
  <c r="T3" i="8"/>
  <c r="T5" i="8"/>
  <c r="T24" i="8" s="1" a="1"/>
  <c r="T24" i="8" s="1"/>
  <c r="T7" i="8"/>
  <c r="T6" i="8"/>
  <c r="T8" i="8"/>
  <c r="T10" i="8"/>
  <c r="T9" i="8"/>
  <c r="T25" i="8" s="1" a="1"/>
  <c r="T25" i="8" s="1"/>
  <c r="T11" i="8"/>
  <c r="T13" i="8"/>
  <c r="T12" i="8"/>
  <c r="T14" i="8"/>
  <c r="T16" i="8"/>
  <c r="T27" i="8" s="1" a="1"/>
  <c r="T27" i="8" s="1"/>
  <c r="T15" i="8"/>
  <c r="T17" i="8"/>
  <c r="T19" i="8"/>
  <c r="T18" i="8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H28" i="7" a="1"/>
  <c r="H28" i="7" s="1"/>
  <c r="I28" i="7" a="1"/>
  <c r="I28" i="7" s="1"/>
  <c r="J28" i="7" a="1"/>
  <c r="J28" i="7" s="1"/>
  <c r="K28" i="7" a="1"/>
  <c r="K28" i="7" s="1"/>
  <c r="L28" i="7" a="1"/>
  <c r="L28" i="7" s="1"/>
  <c r="M28" i="7" a="1"/>
  <c r="M28" i="7" s="1"/>
  <c r="N28" i="7" a="1"/>
  <c r="N28" i="7" s="1"/>
  <c r="O28" i="7" a="1"/>
  <c r="O28" i="7" s="1"/>
  <c r="P28" i="7" a="1"/>
  <c r="P28" i="7" s="1"/>
  <c r="Q28" i="7" a="1"/>
  <c r="Q28" i="7" s="1"/>
  <c r="R28" i="7" a="1"/>
  <c r="R28" i="7" s="1"/>
  <c r="S28" i="7" a="1"/>
  <c r="S28" i="7" s="1"/>
  <c r="H27" i="7" a="1"/>
  <c r="H27" i="7" s="1"/>
  <c r="I27" i="7" a="1"/>
  <c r="I27" i="7" s="1"/>
  <c r="J27" i="7" a="1"/>
  <c r="J27" i="7" s="1"/>
  <c r="K27" i="7" a="1"/>
  <c r="K27" i="7" s="1"/>
  <c r="L27" i="7" a="1"/>
  <c r="L27" i="7" s="1"/>
  <c r="M27" i="7" a="1"/>
  <c r="M27" i="7" s="1"/>
  <c r="N27" i="7" a="1"/>
  <c r="N27" i="7" s="1"/>
  <c r="O27" i="7" a="1"/>
  <c r="O27" i="7" s="1"/>
  <c r="P27" i="7" a="1"/>
  <c r="P27" i="7" s="1"/>
  <c r="Q27" i="7" a="1"/>
  <c r="Q27" i="7" s="1"/>
  <c r="R27" i="7" a="1"/>
  <c r="R27" i="7" s="1"/>
  <c r="S27" i="7" a="1"/>
  <c r="S27" i="7" s="1"/>
  <c r="H26" i="7" a="1"/>
  <c r="H26" i="7" s="1"/>
  <c r="I26" i="7" a="1"/>
  <c r="I26" i="7" s="1"/>
  <c r="J26" i="7" a="1"/>
  <c r="J26" i="7" s="1"/>
  <c r="K26" i="7" a="1"/>
  <c r="K26" i="7" s="1"/>
  <c r="L26" i="7" a="1"/>
  <c r="L26" i="7" s="1"/>
  <c r="M26" i="7" a="1"/>
  <c r="M26" i="7" s="1"/>
  <c r="N26" i="7" a="1"/>
  <c r="N26" i="7" s="1"/>
  <c r="O26" i="7" a="1"/>
  <c r="O26" i="7" s="1"/>
  <c r="P26" i="7" a="1"/>
  <c r="P26" i="7" s="1"/>
  <c r="Q26" i="7" a="1"/>
  <c r="Q26" i="7" s="1"/>
  <c r="R26" i="7" a="1"/>
  <c r="R26" i="7" s="1"/>
  <c r="S26" i="7" a="1"/>
  <c r="S26" i="7" s="1"/>
  <c r="H25" i="7" a="1"/>
  <c r="H25" i="7" s="1"/>
  <c r="I25" i="7" a="1"/>
  <c r="I25" i="7" s="1"/>
  <c r="J25" i="7" a="1"/>
  <c r="J25" i="7" s="1"/>
  <c r="K25" i="7" a="1"/>
  <c r="K25" i="7" s="1"/>
  <c r="L25" i="7" a="1"/>
  <c r="L25" i="7" s="1"/>
  <c r="M25" i="7" a="1"/>
  <c r="M25" i="7" s="1"/>
  <c r="N25" i="7" a="1"/>
  <c r="N25" i="7" s="1"/>
  <c r="O25" i="7" a="1"/>
  <c r="O25" i="7" s="1"/>
  <c r="P25" i="7" a="1"/>
  <c r="P25" i="7" s="1"/>
  <c r="Q25" i="7" a="1"/>
  <c r="Q25" i="7" s="1"/>
  <c r="R25" i="7" a="1"/>
  <c r="R25" i="7" s="1"/>
  <c r="S25" i="7" a="1"/>
  <c r="S25" i="7" s="1"/>
  <c r="H24" i="7" a="1"/>
  <c r="H24" i="7" s="1"/>
  <c r="I24" i="7" a="1"/>
  <c r="I24" i="7" s="1"/>
  <c r="J24" i="7" a="1"/>
  <c r="J24" i="7" s="1"/>
  <c r="K24" i="7" a="1"/>
  <c r="K24" i="7" s="1"/>
  <c r="L24" i="7" a="1"/>
  <c r="L24" i="7" s="1"/>
  <c r="M24" i="7" a="1"/>
  <c r="M24" i="7" s="1"/>
  <c r="N24" i="7" a="1"/>
  <c r="N24" i="7" s="1"/>
  <c r="O24" i="7" a="1"/>
  <c r="O24" i="7" s="1"/>
  <c r="P24" i="7" a="1"/>
  <c r="P24" i="7" s="1"/>
  <c r="Q24" i="7" a="1"/>
  <c r="Q24" i="7" s="1"/>
  <c r="R24" i="7" a="1"/>
  <c r="R24" i="7" s="1"/>
  <c r="S24" i="7" a="1"/>
  <c r="S24" i="7" s="1"/>
  <c r="H23" i="7" a="1"/>
  <c r="H23" i="7" s="1"/>
  <c r="I23" i="7" a="1"/>
  <c r="I23" i="7" s="1"/>
  <c r="J23" i="7" a="1"/>
  <c r="J23" i="7" s="1"/>
  <c r="K23" i="7" a="1"/>
  <c r="K23" i="7" s="1"/>
  <c r="L23" i="7" a="1"/>
  <c r="L23" i="7" s="1"/>
  <c r="M23" i="7" a="1"/>
  <c r="M23" i="7" s="1"/>
  <c r="N23" i="7" a="1"/>
  <c r="N23" i="7" s="1"/>
  <c r="O23" i="7" a="1"/>
  <c r="O23" i="7" s="1"/>
  <c r="P23" i="7" a="1"/>
  <c r="P23" i="7" s="1"/>
  <c r="Q23" i="7" a="1"/>
  <c r="Q23" i="7" s="1"/>
  <c r="R23" i="7" a="1"/>
  <c r="R23" i="7" s="1"/>
  <c r="S23" i="7" a="1"/>
  <c r="S23" i="7" s="1"/>
  <c r="I28" i="4" a="1"/>
  <c r="I28" i="4" s="1"/>
  <c r="J28" i="4" a="1"/>
  <c r="J28" i="4" s="1"/>
  <c r="K28" i="4" a="1"/>
  <c r="K28" i="4" s="1"/>
  <c r="L28" i="4" a="1"/>
  <c r="L28" i="4" s="1"/>
  <c r="M28" i="4" a="1"/>
  <c r="M28" i="4" s="1"/>
  <c r="N28" i="4" a="1"/>
  <c r="N28" i="4" s="1"/>
  <c r="O28" i="4" a="1"/>
  <c r="O28" i="4" s="1"/>
  <c r="P28" i="4" a="1"/>
  <c r="P28" i="4" s="1"/>
  <c r="Q28" i="4" a="1"/>
  <c r="Q28" i="4" s="1"/>
  <c r="R28" i="4" a="1"/>
  <c r="R28" i="4" s="1"/>
  <c r="S28" i="4" a="1"/>
  <c r="S28" i="4" s="1"/>
  <c r="I27" i="4" a="1"/>
  <c r="I27" i="4" s="1"/>
  <c r="J27" i="4" a="1"/>
  <c r="J27" i="4" s="1"/>
  <c r="K27" i="4" a="1"/>
  <c r="K27" i="4" s="1"/>
  <c r="L27" i="4" a="1"/>
  <c r="L27" i="4" s="1"/>
  <c r="M27" i="4" a="1"/>
  <c r="M27" i="4" s="1"/>
  <c r="N27" i="4" a="1"/>
  <c r="N27" i="4" s="1"/>
  <c r="O27" i="4" a="1"/>
  <c r="O27" i="4" s="1"/>
  <c r="P27" i="4" a="1"/>
  <c r="P27" i="4" s="1"/>
  <c r="Q27" i="4" a="1"/>
  <c r="Q27" i="4" s="1"/>
  <c r="R27" i="4" a="1"/>
  <c r="R27" i="4" s="1"/>
  <c r="S27" i="4" a="1"/>
  <c r="S27" i="4" s="1"/>
  <c r="I26" i="4" a="1"/>
  <c r="I26" i="4" s="1"/>
  <c r="J26" i="4" a="1"/>
  <c r="J26" i="4" s="1"/>
  <c r="K26" i="4" a="1"/>
  <c r="K26" i="4" s="1"/>
  <c r="L26" i="4" a="1"/>
  <c r="L26" i="4" s="1"/>
  <c r="M26" i="4" a="1"/>
  <c r="M26" i="4" s="1"/>
  <c r="N26" i="4" a="1"/>
  <c r="N26" i="4" s="1"/>
  <c r="O26" i="4" a="1"/>
  <c r="O26" i="4" s="1"/>
  <c r="P26" i="4" a="1"/>
  <c r="P26" i="4" s="1"/>
  <c r="Q26" i="4" a="1"/>
  <c r="Q26" i="4" s="1"/>
  <c r="R26" i="4" a="1"/>
  <c r="R26" i="4" s="1"/>
  <c r="S26" i="4" a="1"/>
  <c r="S26" i="4" s="1"/>
  <c r="I25" i="4" a="1"/>
  <c r="I25" i="4" s="1"/>
  <c r="J25" i="4" a="1"/>
  <c r="J25" i="4" s="1"/>
  <c r="K25" i="4" a="1"/>
  <c r="K25" i="4" s="1"/>
  <c r="L25" i="4" a="1"/>
  <c r="L25" i="4" s="1"/>
  <c r="M25" i="4" a="1"/>
  <c r="M25" i="4" s="1"/>
  <c r="N25" i="4" a="1"/>
  <c r="N25" i="4" s="1"/>
  <c r="O25" i="4" a="1"/>
  <c r="O25" i="4" s="1"/>
  <c r="P25" i="4" a="1"/>
  <c r="P25" i="4" s="1"/>
  <c r="Q25" i="4" a="1"/>
  <c r="Q25" i="4" s="1"/>
  <c r="R25" i="4" a="1"/>
  <c r="R25" i="4" s="1"/>
  <c r="S25" i="4" a="1"/>
  <c r="S25" i="4" s="1"/>
  <c r="I24" i="4" a="1"/>
  <c r="I24" i="4" s="1"/>
  <c r="J24" i="4" a="1"/>
  <c r="J24" i="4" s="1"/>
  <c r="K24" i="4" a="1"/>
  <c r="K24" i="4" s="1"/>
  <c r="L24" i="4" a="1"/>
  <c r="L24" i="4" s="1"/>
  <c r="M24" i="4" a="1"/>
  <c r="M24" i="4" s="1"/>
  <c r="N24" i="4" a="1"/>
  <c r="N24" i="4" s="1"/>
  <c r="O24" i="4" a="1"/>
  <c r="O24" i="4" s="1"/>
  <c r="P24" i="4" a="1"/>
  <c r="P24" i="4" s="1"/>
  <c r="Q24" i="4" a="1"/>
  <c r="Q24" i="4" s="1"/>
  <c r="R24" i="4" a="1"/>
  <c r="R24" i="4" s="1"/>
  <c r="S24" i="4" a="1"/>
  <c r="S24" i="4" s="1"/>
  <c r="I23" i="4" a="1"/>
  <c r="I23" i="4" s="1"/>
  <c r="J23" i="4" a="1"/>
  <c r="J23" i="4" s="1"/>
  <c r="K23" i="4" a="1"/>
  <c r="K23" i="4" s="1"/>
  <c r="L23" i="4" a="1"/>
  <c r="L23" i="4" s="1"/>
  <c r="M23" i="4" a="1"/>
  <c r="M23" i="4" s="1"/>
  <c r="N23" i="4" a="1"/>
  <c r="N23" i="4" s="1"/>
  <c r="O23" i="4" a="1"/>
  <c r="O23" i="4" s="1"/>
  <c r="P23" i="4" a="1"/>
  <c r="P23" i="4" s="1"/>
  <c r="Q23" i="4" a="1"/>
  <c r="Q23" i="4" s="1"/>
  <c r="R23" i="4" a="1"/>
  <c r="R23" i="4" s="1"/>
  <c r="S23" i="4" a="1"/>
  <c r="S23" i="4" s="1"/>
  <c r="H28" i="4" a="1"/>
  <c r="H28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T24" i="10" l="1" a="1"/>
  <c r="T24" i="10" s="1"/>
  <c r="T27" i="9" a="1"/>
  <c r="T27" i="9" s="1"/>
  <c r="T24" i="9" a="1"/>
  <c r="T24" i="9" s="1"/>
  <c r="T28" i="9" a="1"/>
  <c r="T28" i="9" s="1"/>
  <c r="T23" i="9" a="1"/>
  <c r="T23" i="9" s="1"/>
  <c r="T26" i="9" a="1"/>
  <c r="T26" i="9" s="1"/>
  <c r="T23" i="8" a="1"/>
  <c r="T23" i="8" s="1"/>
  <c r="T26" i="8" a="1"/>
  <c r="T26" i="8" s="1"/>
  <c r="T28" i="8" a="1"/>
  <c r="T28" i="8" s="1"/>
  <c r="T23" i="7" a="1"/>
  <c r="T23" i="7" s="1"/>
  <c r="T26" i="7" a="1"/>
  <c r="T26" i="7" s="1"/>
  <c r="T25" i="7" a="1"/>
  <c r="T25" i="7" s="1"/>
  <c r="T28" i="7" a="1"/>
  <c r="T28" i="7" s="1"/>
  <c r="X65" i="3" a="1"/>
  <c r="X65" i="3" s="1"/>
  <c r="X79" i="3" a="1"/>
  <c r="X79" i="3" s="1"/>
  <c r="X67" i="3" a="1"/>
  <c r="X67" i="3" s="1"/>
  <c r="X78" i="3" a="1"/>
  <c r="X78" i="3" s="1"/>
  <c r="X83" i="3" a="1"/>
  <c r="X83" i="3" s="1"/>
  <c r="X64" i="3" a="1"/>
  <c r="X64" i="3" s="1"/>
  <c r="X95" i="3" a="1"/>
  <c r="X95" i="3" s="1"/>
  <c r="X98" i="3" a="1"/>
  <c r="X98" i="3" s="1"/>
  <c r="X76" i="3" a="1"/>
  <c r="X76" i="3" s="1"/>
  <c r="X86" i="3" a="1"/>
  <c r="X86" i="3" s="1"/>
  <c r="X66" i="3" a="1"/>
  <c r="X66" i="3" s="1"/>
  <c r="X71" i="3" a="1"/>
  <c r="X71" i="3" s="1"/>
  <c r="X59" i="3" a="1"/>
  <c r="X59" i="3" s="1"/>
  <c r="X87" i="3" a="1"/>
  <c r="X87" i="3" s="1"/>
  <c r="X99" i="3" a="1"/>
  <c r="X99" i="3" s="1"/>
  <c r="X73" i="3" a="1"/>
  <c r="X73" i="3" s="1"/>
  <c r="X97" i="3" a="1"/>
  <c r="X97" i="3" s="1"/>
  <c r="X85" i="3" a="1"/>
  <c r="X85" i="3" s="1"/>
  <c r="X102" i="3" a="1"/>
  <c r="X102" i="3" s="1"/>
  <c r="X62" i="3" a="1"/>
  <c r="X62" i="3" s="1"/>
  <c r="X72" i="3" a="1"/>
  <c r="X72" i="3" s="1"/>
  <c r="X90" i="3" a="1"/>
  <c r="X90" i="3" s="1"/>
  <c r="X63" i="3" a="1"/>
  <c r="X63" i="3" s="1"/>
  <c r="X88" i="3" a="1"/>
  <c r="X88" i="3" s="1"/>
  <c r="X75" i="3" a="1"/>
  <c r="X75" i="3" s="1"/>
  <c r="X100" i="3" a="1"/>
  <c r="X100" i="3" s="1"/>
  <c r="X60" i="3" a="1"/>
  <c r="X60" i="3" s="1"/>
  <c r="X103" i="3" a="1"/>
  <c r="X103" i="3" s="1"/>
  <c r="X91" i="3" a="1"/>
  <c r="X91" i="3" s="1"/>
  <c r="X74" i="3" a="1"/>
  <c r="X74" i="3" s="1"/>
  <c r="X84" i="3" a="1"/>
  <c r="X84" i="3" s="1"/>
  <c r="X96" i="3" a="1"/>
  <c r="X96" i="3" s="1"/>
  <c r="X101" i="3" a="1"/>
  <c r="X101" i="3" s="1"/>
  <c r="X61" i="3" a="1"/>
  <c r="X61" i="3" s="1"/>
  <c r="X77" i="3" a="1"/>
  <c r="X77" i="3" s="1"/>
  <c r="X89" i="3" a="1"/>
  <c r="X89" i="3" s="1"/>
  <c r="O31" i="4" a="1"/>
  <c r="O31" i="4" s="1"/>
  <c r="O32" i="4" a="1"/>
  <c r="O32" i="4" s="1"/>
  <c r="O33" i="4" a="1"/>
  <c r="O33" i="4" s="1"/>
  <c r="O30" i="4" a="1"/>
  <c r="O30" i="4" s="1"/>
  <c r="N32" i="4" a="1"/>
  <c r="N32" i="4" s="1"/>
  <c r="N31" i="4" a="1"/>
  <c r="N31" i="4" s="1"/>
  <c r="N33" i="4" a="1"/>
  <c r="N33" i="4" s="1"/>
  <c r="N30" i="4" a="1"/>
  <c r="N30" i="4" s="1"/>
  <c r="H30" i="4" a="1"/>
  <c r="H30" i="4" s="1"/>
  <c r="H31" i="4" a="1"/>
  <c r="H31" i="4" s="1"/>
  <c r="H32" i="4" a="1"/>
  <c r="H32" i="4" s="1"/>
  <c r="H33" i="4" a="1"/>
  <c r="H33" i="4" s="1"/>
  <c r="M32" i="4" a="1"/>
  <c r="M32" i="4" s="1"/>
  <c r="M31" i="4" a="1"/>
  <c r="M31" i="4" s="1"/>
  <c r="M30" i="4" a="1"/>
  <c r="M30" i="4" s="1"/>
  <c r="M33" i="4" a="1"/>
  <c r="M33" i="4" s="1"/>
  <c r="L31" i="4" a="1"/>
  <c r="L31" i="4" s="1"/>
  <c r="L30" i="4" a="1"/>
  <c r="L30" i="4" s="1"/>
  <c r="L33" i="4" a="1"/>
  <c r="L33" i="4" s="1"/>
  <c r="L32" i="4" a="1"/>
  <c r="L32" i="4" s="1"/>
  <c r="K30" i="4" a="1"/>
  <c r="K30" i="4" s="1"/>
  <c r="K33" i="4" a="1"/>
  <c r="K33" i="4" s="1"/>
  <c r="K32" i="4" a="1"/>
  <c r="K32" i="4" s="1"/>
  <c r="K31" i="4" a="1"/>
  <c r="K31" i="4" s="1"/>
  <c r="R30" i="4" a="1"/>
  <c r="R30" i="4" s="1"/>
  <c r="R33" i="4" a="1"/>
  <c r="R33" i="4" s="1"/>
  <c r="R32" i="4" a="1"/>
  <c r="R32" i="4" s="1"/>
  <c r="R31" i="4" a="1"/>
  <c r="R31" i="4" s="1"/>
  <c r="J31" i="4" a="1"/>
  <c r="J31" i="4" s="1"/>
  <c r="J33" i="4" a="1"/>
  <c r="J33" i="4" s="1"/>
  <c r="J32" i="4" a="1"/>
  <c r="J32" i="4" s="1"/>
  <c r="J30" i="4" a="1"/>
  <c r="J30" i="4" s="1"/>
  <c r="S31" i="4" a="1"/>
  <c r="S31" i="4" s="1"/>
  <c r="S30" i="4" a="1"/>
  <c r="S30" i="4" s="1"/>
  <c r="S33" i="4" a="1"/>
  <c r="S33" i="4" s="1"/>
  <c r="S32" i="4" a="1"/>
  <c r="S32" i="4" s="1"/>
  <c r="Q32" i="4" a="1"/>
  <c r="Q32" i="4" s="1"/>
  <c r="Q33" i="4" a="1"/>
  <c r="Q33" i="4" s="1"/>
  <c r="Q31" i="4" a="1"/>
  <c r="Q31" i="4" s="1"/>
  <c r="Q30" i="4" a="1"/>
  <c r="Q30" i="4" s="1"/>
  <c r="I33" i="4" a="1"/>
  <c r="I33" i="4" s="1"/>
  <c r="I32" i="4" a="1"/>
  <c r="I32" i="4" s="1"/>
  <c r="I31" i="4" a="1"/>
  <c r="I31" i="4" s="1"/>
  <c r="I30" i="4" a="1"/>
  <c r="I30" i="4" s="1"/>
  <c r="P33" i="4" a="1"/>
  <c r="P33" i="4" s="1"/>
  <c r="P31" i="4" a="1"/>
  <c r="P31" i="4" s="1"/>
  <c r="P32" i="4" a="1"/>
  <c r="P32" i="4" s="1"/>
  <c r="P30" i="4" a="1"/>
  <c r="P30" i="4" s="1"/>
  <c r="S28" i="11" a="1"/>
  <c r="S28" i="11" s="1"/>
  <c r="S24" i="11" a="1"/>
  <c r="S24" i="11" s="1"/>
  <c r="S26" i="11" a="1"/>
  <c r="S26" i="11" s="1"/>
  <c r="S27" i="11" a="1"/>
  <c r="S27" i="11" s="1"/>
  <c r="S25" i="11" a="1"/>
  <c r="S25" i="11" s="1"/>
  <c r="S23" i="11" a="1"/>
  <c r="S23" i="11" s="1"/>
  <c r="T28" i="10" a="1"/>
  <c r="T28" i="10" s="1"/>
  <c r="T23" i="10" a="1"/>
  <c r="T23" i="10" s="1"/>
  <c r="T27" i="10" a="1"/>
  <c r="T27" i="10" s="1"/>
  <c r="T26" i="10" a="1"/>
  <c r="T26" i="10" s="1"/>
  <c r="H32" i="7" a="1"/>
  <c r="H32" i="7" s="1"/>
  <c r="G34" i="7" a="1"/>
  <c r="G34" i="7" s="1"/>
  <c r="T27" i="7" a="1"/>
  <c r="T27" i="7" s="1"/>
  <c r="T24" i="7" a="1"/>
  <c r="T24" i="7" s="1"/>
  <c r="G31" i="7" a="1"/>
  <c r="G31" i="7" s="1"/>
  <c r="J33" i="7" a="1"/>
  <c r="J33" i="7" s="1"/>
  <c r="J32" i="7" a="1"/>
  <c r="J32" i="7" s="1"/>
  <c r="J34" i="7" a="1"/>
  <c r="J34" i="7" s="1"/>
  <c r="J31" i="7" a="1"/>
  <c r="J31" i="7" s="1"/>
  <c r="O34" i="7" a="1"/>
  <c r="O34" i="7" s="1"/>
  <c r="I34" i="7" a="1"/>
  <c r="I34" i="7" s="1"/>
  <c r="I31" i="7" a="1"/>
  <c r="I31" i="7" s="1"/>
  <c r="I32" i="7" a="1"/>
  <c r="I32" i="7" s="1"/>
  <c r="I33" i="7" a="1"/>
  <c r="I33" i="7" s="1"/>
  <c r="K31" i="7" a="1"/>
  <c r="K31" i="7" s="1"/>
  <c r="K33" i="7" a="1"/>
  <c r="K33" i="7" s="1"/>
  <c r="N31" i="7" a="1"/>
  <c r="N31" i="7" s="1"/>
  <c r="N33" i="7" a="1"/>
  <c r="N33" i="7" s="1"/>
  <c r="N34" i="7" a="1"/>
  <c r="N34" i="7" s="1"/>
  <c r="N32" i="7" a="1"/>
  <c r="N32" i="7" s="1"/>
  <c r="O33" i="7" a="1"/>
  <c r="O33" i="7" s="1"/>
  <c r="R31" i="7" a="1"/>
  <c r="R31" i="7" s="1"/>
  <c r="R32" i="7" a="1"/>
  <c r="R32" i="7" s="1"/>
  <c r="R33" i="7" a="1"/>
  <c r="R33" i="7" s="1"/>
  <c r="R34" i="7" a="1"/>
  <c r="R34" i="7" s="1"/>
  <c r="L32" i="7" a="1"/>
  <c r="L32" i="7" s="1"/>
  <c r="L33" i="7" a="1"/>
  <c r="L33" i="7" s="1"/>
  <c r="L34" i="7" a="1"/>
  <c r="L34" i="7" s="1"/>
  <c r="L31" i="7" a="1"/>
  <c r="L31" i="7" s="1"/>
  <c r="Q33" i="7" a="1"/>
  <c r="Q33" i="7" s="1"/>
  <c r="Q31" i="7" a="1"/>
  <c r="Q31" i="7" s="1"/>
  <c r="Q32" i="7" a="1"/>
  <c r="Q32" i="7" s="1"/>
  <c r="Q34" i="7" a="1"/>
  <c r="Q34" i="7" s="1"/>
  <c r="K34" i="7" a="1"/>
  <c r="K34" i="7" s="1"/>
  <c r="O31" i="7" a="1"/>
  <c r="O31" i="7" s="1"/>
  <c r="M33" i="7" a="1"/>
  <c r="M33" i="7" s="1"/>
  <c r="M31" i="7" a="1"/>
  <c r="M31" i="7" s="1"/>
  <c r="M32" i="7" a="1"/>
  <c r="M32" i="7" s="1"/>
  <c r="M34" i="7" a="1"/>
  <c r="M34" i="7" s="1"/>
  <c r="P31" i="7" a="1"/>
  <c r="P31" i="7" s="1"/>
  <c r="G33" i="7" a="1"/>
  <c r="G33" i="7" s="1"/>
  <c r="H31" i="7" a="1"/>
  <c r="H31" i="7" s="1"/>
  <c r="O32" i="7" a="1"/>
  <c r="O32" i="7" s="1"/>
  <c r="K32" i="7" a="1"/>
  <c r="K32" i="7" s="1"/>
  <c r="G32" i="7" a="1"/>
  <c r="G32" i="7" s="1"/>
  <c r="P34" i="7" a="1"/>
  <c r="P34" i="7" s="1"/>
  <c r="H34" i="7" a="1"/>
  <c r="H34" i="7" s="1"/>
  <c r="P33" i="7" a="1"/>
  <c r="P33" i="7" s="1"/>
  <c r="H33" i="7" a="1"/>
  <c r="H33" i="7" s="1"/>
  <c r="P32" i="7" a="1"/>
  <c r="P32" i="7" s="1"/>
  <c r="N37" i="4"/>
  <c r="R37" i="4"/>
  <c r="J37" i="4"/>
  <c r="L37" i="4"/>
  <c r="S38" i="4"/>
  <c r="O38" i="4"/>
  <c r="J38" i="4"/>
  <c r="L40" i="4"/>
  <c r="S41" i="4"/>
  <c r="P39" i="4"/>
  <c r="R38" i="4"/>
  <c r="N38" i="4"/>
  <c r="K37" i="4"/>
  <c r="S39" i="4"/>
  <c r="O39" i="4"/>
  <c r="R41" i="4"/>
  <c r="N41" i="4"/>
  <c r="J41" i="4"/>
  <c r="P37" i="4"/>
  <c r="N40" i="4"/>
  <c r="I40" i="4"/>
  <c r="Q42" i="4"/>
  <c r="H41" i="4"/>
  <c r="Q37" i="4"/>
  <c r="M37" i="4"/>
  <c r="I37" i="4"/>
  <c r="P38" i="4"/>
  <c r="K39" i="4"/>
  <c r="Q40" i="4"/>
  <c r="P41" i="4"/>
  <c r="L38" i="4"/>
  <c r="R39" i="4"/>
  <c r="N39" i="4"/>
  <c r="J39" i="4"/>
  <c r="Q41" i="4"/>
  <c r="M41" i="4"/>
  <c r="I41" i="4"/>
  <c r="L42" i="4"/>
  <c r="M42" i="4"/>
  <c r="K40" i="4"/>
  <c r="M38" i="4"/>
  <c r="H42" i="4"/>
  <c r="K38" i="4"/>
  <c r="Q39" i="4"/>
  <c r="M39" i="4"/>
  <c r="I39" i="4"/>
  <c r="P40" i="4"/>
  <c r="L41" i="4"/>
  <c r="S42" i="4"/>
  <c r="O42" i="4"/>
  <c r="J42" i="4"/>
  <c r="I38" i="4"/>
  <c r="H38" i="4"/>
  <c r="Q38" i="4"/>
  <c r="S37" i="4"/>
  <c r="L39" i="4"/>
  <c r="S40" i="4"/>
  <c r="O40" i="4"/>
  <c r="J40" i="4"/>
  <c r="N42" i="4"/>
  <c r="I42" i="4"/>
  <c r="H40" i="4"/>
  <c r="R40" i="4"/>
  <c r="M40" i="4"/>
  <c r="H39" i="4"/>
  <c r="R42" i="4"/>
  <c r="H37" i="4"/>
  <c r="O37" i="4"/>
  <c r="K41" i="4"/>
  <c r="K42" i="4"/>
  <c r="O41" i="4"/>
  <c r="P42" i="4"/>
  <c r="S31" i="7" l="1"/>
  <c r="S33" i="7"/>
  <c r="S34" i="7"/>
  <c r="K45" i="4" a="1"/>
  <c r="K45" i="4" s="1"/>
  <c r="L45" i="4" a="1"/>
  <c r="L45" i="4" s="1"/>
  <c r="N45" i="4" a="1"/>
  <c r="N45" i="4" s="1"/>
  <c r="L44" i="4" a="1"/>
  <c r="L44" i="4" s="1"/>
  <c r="S45" i="4" a="1"/>
  <c r="S45" i="4" s="1"/>
  <c r="S32" i="7"/>
  <c r="Q45" i="4" a="1"/>
  <c r="Q45" i="4" s="1"/>
  <c r="R45" i="4" a="1"/>
  <c r="R45" i="4" s="1"/>
  <c r="J45" i="4" a="1"/>
  <c r="J45" i="4" s="1"/>
  <c r="P44" i="4" a="1"/>
  <c r="P44" i="4" s="1"/>
  <c r="P45" i="4" a="1"/>
  <c r="P45" i="4" s="1"/>
  <c r="O45" i="4" a="1"/>
  <c r="O45" i="4" s="1"/>
  <c r="R44" i="4" a="1"/>
  <c r="R44" i="4" s="1"/>
  <c r="J44" i="4" a="1"/>
  <c r="J44" i="4" s="1"/>
  <c r="O44" i="4" a="1"/>
  <c r="O44" i="4" s="1"/>
  <c r="H44" i="4" a="1"/>
  <c r="H44" i="4" s="1"/>
  <c r="I45" i="4" a="1"/>
  <c r="I45" i="4" s="1"/>
  <c r="K44" i="4" a="1"/>
  <c r="K44" i="4" s="1"/>
  <c r="M45" i="4" a="1"/>
  <c r="M45" i="4" s="1"/>
  <c r="I44" i="4" a="1"/>
  <c r="I44" i="4" s="1"/>
  <c r="M44" i="4" a="1"/>
  <c r="M44" i="4" s="1"/>
  <c r="H45" i="4" a="1"/>
  <c r="H45" i="4" s="1"/>
  <c r="S44" i="4" a="1"/>
  <c r="S44" i="4" s="1"/>
  <c r="Q44" i="4" a="1"/>
  <c r="Q44" i="4" s="1"/>
  <c r="N44" i="4" a="1"/>
  <c r="N44" i="4" s="1"/>
  <c r="T3" i="4"/>
  <c r="T4" i="4"/>
  <c r="T2" i="4"/>
  <c r="T6" i="4"/>
  <c r="T7" i="4"/>
  <c r="T5" i="4"/>
  <c r="T9" i="4"/>
  <c r="T10" i="4"/>
  <c r="T8" i="4"/>
  <c r="T12" i="4"/>
  <c r="T13" i="4"/>
  <c r="T11" i="4"/>
  <c r="T15" i="4"/>
  <c r="T16" i="4"/>
  <c r="T14" i="4"/>
  <c r="T18" i="4"/>
  <c r="T19" i="4"/>
  <c r="T17" i="4"/>
  <c r="T24" i="4" l="1" a="1"/>
  <c r="T24" i="4" s="1"/>
  <c r="T27" i="4" a="1"/>
  <c r="T27" i="4" s="1"/>
  <c r="T25" i="4" a="1"/>
  <c r="T25" i="4" s="1"/>
  <c r="T23" i="4" a="1"/>
  <c r="T23" i="4" s="1"/>
  <c r="T28" i="4" a="1"/>
  <c r="T28" i="4" s="1"/>
  <c r="T26" i="4" a="1"/>
  <c r="T26" i="4" s="1"/>
  <c r="T32" i="4" l="1" a="1"/>
  <c r="T32" i="4" s="1"/>
  <c r="T31" i="4" a="1"/>
  <c r="T31" i="4" s="1"/>
  <c r="T30" i="4" a="1"/>
  <c r="T30" i="4" s="1"/>
  <c r="T33" i="4" a="1"/>
  <c r="T3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<sst xmlns="http://schemas.openxmlformats.org/spreadsheetml/2006/main" count="1250" uniqueCount="41">
  <si>
    <t>lang</t>
  </si>
  <si>
    <t>attribute</t>
  </si>
  <si>
    <t>supplement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</si>
  <si>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</si>
  <si>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</si>
  <si>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</si>
  <si>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</si>
  <si>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</si>
  <si>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</si>
  <si>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</si>
  <si>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</si>
  <si>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</si>
  <si>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</si>
  <si>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</si>
  <si>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</si>
  <si>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</si>
  <si>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Czech</t>
  </si>
  <si>
    <t>plurality</t>
  </si>
  <si>
    <t>NN</t>
  </si>
  <si>
    <t>RF</t>
  </si>
  <si>
    <t>DT</t>
  </si>
  <si>
    <t>gender</t>
  </si>
  <si>
    <t>case</t>
  </si>
  <si>
    <t>max</t>
  </si>
  <si>
    <t>attribute.index</t>
  </si>
  <si>
    <t>method.index</t>
  </si>
  <si>
    <t>supplemented</t>
  </si>
  <si>
    <t>metric</t>
  </si>
  <si>
    <t>max.rank</t>
  </si>
  <si>
    <t>geomean</t>
  </si>
  <si>
    <t>min</t>
  </si>
  <si>
    <t>stdev</t>
  </si>
  <si>
    <t>average</t>
  </si>
  <si>
    <t>gender2</t>
  </si>
  <si>
    <t>skippiness</t>
  </si>
  <si>
    <t>sample.n</t>
  </si>
  <si>
    <t>mgv</t>
  </si>
  <si>
    <t>var</t>
  </si>
  <si>
    <t>xsk</t>
  </si>
  <si>
    <t>gm.rank</t>
  </si>
  <si>
    <t>gm.rank.average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</si>
</sst>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3"/>
      <color theme="1"/>
      <name val="LucidaSansUnicode"/>
      <family val="2"/>
    </font>
    <font>
      <sz val="13"/>
      <color rgb="FF000000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3" xfId="0" applyNumberFormat="1" applyBorder="1"/>
    <xf numFmtId="2" fontId="0" fillId="0" borderId="1" xfId="0" applyNumberFormat="1" applyBorder="1"/>
    <xf numFmtId="0" fontId="0" fillId="0" borderId="1" xfId="0" applyBorder="1"/>
    <xf numFmtId="2" fontId="0" fillId="2" borderId="1" xfId="0" applyNumberFormat="1" applyFill="1" applyBorder="1"/>
    <xf numFmtId="2" fontId="0" fillId="2" borderId="2" xfId="0" applyNumberFormat="1" applyFill="1" applyBorder="1"/>
    <xf numFmtId="1" fontId="0" fillId="0" borderId="0" xfId="0" applyNumberFormat="1"/>
    <xf numFmtId="0" fontId="0" fillId="0" borderId="4" xfId="0" applyBorder="1"/>
    <xf numFmtId="0" fontId="0" fillId="0" borderId="3" xfId="0" applyBorder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3" xfId="0" applyNumberFormat="1" applyBorder="1"/>
  </cellXfs>
  <cellStyles count="1">
    <cellStyle name="Normal" xfId="0" builtinId="0"/>
  </cellStyles>
  <dxfs count="291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LucidaSansUnicode"/>
        <family val="2"/>
        <scheme val="none"/>
      </font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max</a:t>
            </a:r>
            <a:r>
              <a:rPr lang="ja-JP" altLang="en-US" baseline="0"/>
              <a:t> </a:t>
            </a:r>
            <a:r>
              <a:rPr lang="en-US" altLang="ja-JP" baseline="0"/>
              <a:t>accuracy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summarized!$J$2:$J$55</c:f>
              <c:numCache>
                <c:formatCode>0.00</c:formatCode>
                <c:ptCount val="54"/>
                <c:pt idx="0">
                  <c:v>0.48</c:v>
                </c:pt>
                <c:pt idx="1">
                  <c:v>0.37</c:v>
                </c:pt>
                <c:pt idx="2">
                  <c:v>0.46</c:v>
                </c:pt>
                <c:pt idx="3">
                  <c:v>0.37</c:v>
                </c:pt>
                <c:pt idx="4">
                  <c:v>0.41</c:v>
                </c:pt>
                <c:pt idx="5">
                  <c:v>0.45</c:v>
                </c:pt>
                <c:pt idx="6">
                  <c:v>0.41</c:v>
                </c:pt>
                <c:pt idx="7">
                  <c:v>0.45</c:v>
                </c:pt>
                <c:pt idx="8">
                  <c:v>0.42</c:v>
                </c:pt>
                <c:pt idx="9">
                  <c:v>0.61</c:v>
                </c:pt>
                <c:pt idx="10">
                  <c:v>0.45</c:v>
                </c:pt>
                <c:pt idx="11">
                  <c:v>0.55000000000000004</c:v>
                </c:pt>
                <c:pt idx="12">
                  <c:v>0.45</c:v>
                </c:pt>
                <c:pt idx="13">
                  <c:v>0.56999999999999995</c:v>
                </c:pt>
                <c:pt idx="14">
                  <c:v>0.57999999999999996</c:v>
                </c:pt>
                <c:pt idx="15">
                  <c:v>0.56999999999999995</c:v>
                </c:pt>
                <c:pt idx="16">
                  <c:v>0.53</c:v>
                </c:pt>
                <c:pt idx="17">
                  <c:v>0.52</c:v>
                </c:pt>
                <c:pt idx="18">
                  <c:v>0.65</c:v>
                </c:pt>
                <c:pt idx="19">
                  <c:v>0.75</c:v>
                </c:pt>
                <c:pt idx="20">
                  <c:v>0.7</c:v>
                </c:pt>
                <c:pt idx="21">
                  <c:v>0.75</c:v>
                </c:pt>
                <c:pt idx="22">
                  <c:v>0.68</c:v>
                </c:pt>
                <c:pt idx="23">
                  <c:v>0.7</c:v>
                </c:pt>
                <c:pt idx="24">
                  <c:v>0.68</c:v>
                </c:pt>
                <c:pt idx="25">
                  <c:v>0.67</c:v>
                </c:pt>
                <c:pt idx="26">
                  <c:v>0.77</c:v>
                </c:pt>
                <c:pt idx="27">
                  <c:v>0.89</c:v>
                </c:pt>
                <c:pt idx="28">
                  <c:v>0.94</c:v>
                </c:pt>
                <c:pt idx="29">
                  <c:v>0.94</c:v>
                </c:pt>
                <c:pt idx="30">
                  <c:v>0.94</c:v>
                </c:pt>
                <c:pt idx="31">
                  <c:v>0.91</c:v>
                </c:pt>
                <c:pt idx="32">
                  <c:v>0.91</c:v>
                </c:pt>
                <c:pt idx="33">
                  <c:v>0.91</c:v>
                </c:pt>
                <c:pt idx="34">
                  <c:v>0.93</c:v>
                </c:pt>
                <c:pt idx="35">
                  <c:v>0.93</c:v>
                </c:pt>
                <c:pt idx="36">
                  <c:v>0.79</c:v>
                </c:pt>
                <c:pt idx="37">
                  <c:v>0.81</c:v>
                </c:pt>
                <c:pt idx="38">
                  <c:v>0.77</c:v>
                </c:pt>
                <c:pt idx="39">
                  <c:v>0.81</c:v>
                </c:pt>
                <c:pt idx="40">
                  <c:v>0.79</c:v>
                </c:pt>
                <c:pt idx="41">
                  <c:v>0.85</c:v>
                </c:pt>
                <c:pt idx="42">
                  <c:v>0.79</c:v>
                </c:pt>
                <c:pt idx="43">
                  <c:v>0.86</c:v>
                </c:pt>
                <c:pt idx="44">
                  <c:v>0.83</c:v>
                </c:pt>
                <c:pt idx="45">
                  <c:v>0.85</c:v>
                </c:pt>
                <c:pt idx="46">
                  <c:v>0.86</c:v>
                </c:pt>
                <c:pt idx="47">
                  <c:v>0.92</c:v>
                </c:pt>
                <c:pt idx="48">
                  <c:v>0.86</c:v>
                </c:pt>
                <c:pt idx="49">
                  <c:v>0.83</c:v>
                </c:pt>
                <c:pt idx="50">
                  <c:v>0.93</c:v>
                </c:pt>
                <c:pt idx="51">
                  <c:v>0.83</c:v>
                </c:pt>
                <c:pt idx="52">
                  <c:v>0.93</c:v>
                </c:pt>
                <c:pt idx="5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0-3C48-86A0-72E6FA2E181D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summarized!$K$2:$K$55</c:f>
              <c:numCache>
                <c:formatCode>0.00</c:formatCode>
                <c:ptCount val="54"/>
                <c:pt idx="0">
                  <c:v>0.52</c:v>
                </c:pt>
                <c:pt idx="1">
                  <c:v>0.46</c:v>
                </c:pt>
                <c:pt idx="2">
                  <c:v>0.48</c:v>
                </c:pt>
                <c:pt idx="3">
                  <c:v>0.46</c:v>
                </c:pt>
                <c:pt idx="4">
                  <c:v>0.35</c:v>
                </c:pt>
                <c:pt idx="5">
                  <c:v>0.48</c:v>
                </c:pt>
                <c:pt idx="6">
                  <c:v>0.35</c:v>
                </c:pt>
                <c:pt idx="7">
                  <c:v>0.43</c:v>
                </c:pt>
                <c:pt idx="8">
                  <c:v>0.47</c:v>
                </c:pt>
                <c:pt idx="9">
                  <c:v>0.62</c:v>
                </c:pt>
                <c:pt idx="10">
                  <c:v>0.56000000000000005</c:v>
                </c:pt>
                <c:pt idx="11">
                  <c:v>0.52</c:v>
                </c:pt>
                <c:pt idx="12">
                  <c:v>0.56000000000000005</c:v>
                </c:pt>
                <c:pt idx="13">
                  <c:v>0.46</c:v>
                </c:pt>
                <c:pt idx="14">
                  <c:v>0.59</c:v>
                </c:pt>
                <c:pt idx="15">
                  <c:v>0.46</c:v>
                </c:pt>
                <c:pt idx="16">
                  <c:v>0.51</c:v>
                </c:pt>
                <c:pt idx="17">
                  <c:v>0.56000000000000005</c:v>
                </c:pt>
                <c:pt idx="18">
                  <c:v>0.7</c:v>
                </c:pt>
                <c:pt idx="19">
                  <c:v>0.7</c:v>
                </c:pt>
                <c:pt idx="20">
                  <c:v>0.74</c:v>
                </c:pt>
                <c:pt idx="21">
                  <c:v>0.7</c:v>
                </c:pt>
                <c:pt idx="22">
                  <c:v>0.71</c:v>
                </c:pt>
                <c:pt idx="23">
                  <c:v>0.7</c:v>
                </c:pt>
                <c:pt idx="24">
                  <c:v>0.71</c:v>
                </c:pt>
                <c:pt idx="25">
                  <c:v>0.74</c:v>
                </c:pt>
                <c:pt idx="26">
                  <c:v>0.75</c:v>
                </c:pt>
                <c:pt idx="27">
                  <c:v>0.89</c:v>
                </c:pt>
                <c:pt idx="28">
                  <c:v>0.92</c:v>
                </c:pt>
                <c:pt idx="29">
                  <c:v>0.92</c:v>
                </c:pt>
                <c:pt idx="30">
                  <c:v>0.92</c:v>
                </c:pt>
                <c:pt idx="31">
                  <c:v>0.95</c:v>
                </c:pt>
                <c:pt idx="32">
                  <c:v>0.92</c:v>
                </c:pt>
                <c:pt idx="33">
                  <c:v>0.95</c:v>
                </c:pt>
                <c:pt idx="34">
                  <c:v>0.91</c:v>
                </c:pt>
                <c:pt idx="35">
                  <c:v>0.94</c:v>
                </c:pt>
                <c:pt idx="36">
                  <c:v>0.78</c:v>
                </c:pt>
                <c:pt idx="37">
                  <c:v>0.87</c:v>
                </c:pt>
                <c:pt idx="38">
                  <c:v>0.83</c:v>
                </c:pt>
                <c:pt idx="39">
                  <c:v>0.87</c:v>
                </c:pt>
                <c:pt idx="40">
                  <c:v>0.81</c:v>
                </c:pt>
                <c:pt idx="41">
                  <c:v>0.84</c:v>
                </c:pt>
                <c:pt idx="42">
                  <c:v>0.81</c:v>
                </c:pt>
                <c:pt idx="43">
                  <c:v>0.83</c:v>
                </c:pt>
                <c:pt idx="44">
                  <c:v>0.87</c:v>
                </c:pt>
                <c:pt idx="45">
                  <c:v>0.84</c:v>
                </c:pt>
                <c:pt idx="46">
                  <c:v>0.93</c:v>
                </c:pt>
                <c:pt idx="47">
                  <c:v>0.88</c:v>
                </c:pt>
                <c:pt idx="48">
                  <c:v>0.93</c:v>
                </c:pt>
                <c:pt idx="49">
                  <c:v>0.87</c:v>
                </c:pt>
                <c:pt idx="50">
                  <c:v>0.89</c:v>
                </c:pt>
                <c:pt idx="51">
                  <c:v>0.87</c:v>
                </c:pt>
                <c:pt idx="52">
                  <c:v>0.88</c:v>
                </c:pt>
                <c:pt idx="5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0-3C48-86A0-72E6FA2E181D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summarized!$L$2:$L$55</c:f>
              <c:numCache>
                <c:formatCode>0.00</c:formatCode>
                <c:ptCount val="54"/>
                <c:pt idx="0">
                  <c:v>0.39</c:v>
                </c:pt>
                <c:pt idx="1">
                  <c:v>0.44</c:v>
                </c:pt>
                <c:pt idx="2">
                  <c:v>0.47</c:v>
                </c:pt>
                <c:pt idx="3">
                  <c:v>0.44</c:v>
                </c:pt>
                <c:pt idx="4">
                  <c:v>0.47</c:v>
                </c:pt>
                <c:pt idx="5">
                  <c:v>0.41</c:v>
                </c:pt>
                <c:pt idx="6">
                  <c:v>0.47</c:v>
                </c:pt>
                <c:pt idx="7">
                  <c:v>0.44</c:v>
                </c:pt>
                <c:pt idx="8">
                  <c:v>0.42</c:v>
                </c:pt>
                <c:pt idx="9">
                  <c:v>0.47</c:v>
                </c:pt>
                <c:pt idx="10">
                  <c:v>0.47</c:v>
                </c:pt>
                <c:pt idx="11">
                  <c:v>0.56999999999999995</c:v>
                </c:pt>
                <c:pt idx="12">
                  <c:v>0.47</c:v>
                </c:pt>
                <c:pt idx="13">
                  <c:v>0.62</c:v>
                </c:pt>
                <c:pt idx="14">
                  <c:v>0.55000000000000004</c:v>
                </c:pt>
                <c:pt idx="15">
                  <c:v>0.62</c:v>
                </c:pt>
                <c:pt idx="16">
                  <c:v>0.53</c:v>
                </c:pt>
                <c:pt idx="17">
                  <c:v>0.54</c:v>
                </c:pt>
                <c:pt idx="18">
                  <c:v>0.68</c:v>
                </c:pt>
                <c:pt idx="19">
                  <c:v>0.69</c:v>
                </c:pt>
                <c:pt idx="20">
                  <c:v>0.7</c:v>
                </c:pt>
                <c:pt idx="21">
                  <c:v>0.69</c:v>
                </c:pt>
                <c:pt idx="22">
                  <c:v>0.7</c:v>
                </c:pt>
                <c:pt idx="23">
                  <c:v>0.71</c:v>
                </c:pt>
                <c:pt idx="24">
                  <c:v>0.7</c:v>
                </c:pt>
                <c:pt idx="25">
                  <c:v>0.68</c:v>
                </c:pt>
                <c:pt idx="26">
                  <c:v>0.72</c:v>
                </c:pt>
                <c:pt idx="27">
                  <c:v>0.9</c:v>
                </c:pt>
                <c:pt idx="28">
                  <c:v>0.91</c:v>
                </c:pt>
                <c:pt idx="29">
                  <c:v>0.94</c:v>
                </c:pt>
                <c:pt idx="30">
                  <c:v>0.91</c:v>
                </c:pt>
                <c:pt idx="31">
                  <c:v>0.93</c:v>
                </c:pt>
                <c:pt idx="32">
                  <c:v>0.93</c:v>
                </c:pt>
                <c:pt idx="33">
                  <c:v>0.93</c:v>
                </c:pt>
                <c:pt idx="34">
                  <c:v>0.91</c:v>
                </c:pt>
                <c:pt idx="35">
                  <c:v>0.94</c:v>
                </c:pt>
                <c:pt idx="36">
                  <c:v>0.81</c:v>
                </c:pt>
                <c:pt idx="37">
                  <c:v>0.79</c:v>
                </c:pt>
                <c:pt idx="38">
                  <c:v>0.87</c:v>
                </c:pt>
                <c:pt idx="39">
                  <c:v>0.79</c:v>
                </c:pt>
                <c:pt idx="40">
                  <c:v>0.88</c:v>
                </c:pt>
                <c:pt idx="41">
                  <c:v>0.81</c:v>
                </c:pt>
                <c:pt idx="42">
                  <c:v>0.88</c:v>
                </c:pt>
                <c:pt idx="43">
                  <c:v>0.81</c:v>
                </c:pt>
                <c:pt idx="44">
                  <c:v>0.82</c:v>
                </c:pt>
                <c:pt idx="45">
                  <c:v>0.84</c:v>
                </c:pt>
                <c:pt idx="46">
                  <c:v>0.84</c:v>
                </c:pt>
                <c:pt idx="47">
                  <c:v>0.91</c:v>
                </c:pt>
                <c:pt idx="48">
                  <c:v>0.84</c:v>
                </c:pt>
                <c:pt idx="49">
                  <c:v>0.89</c:v>
                </c:pt>
                <c:pt idx="50">
                  <c:v>0.86</c:v>
                </c:pt>
                <c:pt idx="51">
                  <c:v>0.89</c:v>
                </c:pt>
                <c:pt idx="52">
                  <c:v>0.86</c:v>
                </c:pt>
                <c:pt idx="5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50-3C48-86A0-72E6FA2E181D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xsk2g-no-hash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summarized!$M$2:$M$55</c:f>
              <c:numCache>
                <c:formatCode>0.00</c:formatCode>
                <c:ptCount val="54"/>
                <c:pt idx="0">
                  <c:v>0.39</c:v>
                </c:pt>
                <c:pt idx="1">
                  <c:v>0.44</c:v>
                </c:pt>
                <c:pt idx="2">
                  <c:v>0.43</c:v>
                </c:pt>
                <c:pt idx="3">
                  <c:v>0.44</c:v>
                </c:pt>
                <c:pt idx="4">
                  <c:v>0.42</c:v>
                </c:pt>
                <c:pt idx="5">
                  <c:v>0.45</c:v>
                </c:pt>
                <c:pt idx="6">
                  <c:v>0.42</c:v>
                </c:pt>
                <c:pt idx="7">
                  <c:v>0.39</c:v>
                </c:pt>
                <c:pt idx="8">
                  <c:v>0.46</c:v>
                </c:pt>
                <c:pt idx="9">
                  <c:v>0.47</c:v>
                </c:pt>
                <c:pt idx="10">
                  <c:v>0.47</c:v>
                </c:pt>
                <c:pt idx="11">
                  <c:v>0.54</c:v>
                </c:pt>
                <c:pt idx="12">
                  <c:v>0.47</c:v>
                </c:pt>
                <c:pt idx="13">
                  <c:v>0.59</c:v>
                </c:pt>
                <c:pt idx="14">
                  <c:v>0.54</c:v>
                </c:pt>
                <c:pt idx="15">
                  <c:v>0.59</c:v>
                </c:pt>
                <c:pt idx="16">
                  <c:v>0.53</c:v>
                </c:pt>
                <c:pt idx="17">
                  <c:v>0.56000000000000005</c:v>
                </c:pt>
                <c:pt idx="18">
                  <c:v>0.72</c:v>
                </c:pt>
                <c:pt idx="19">
                  <c:v>0.68</c:v>
                </c:pt>
                <c:pt idx="20">
                  <c:v>0.75</c:v>
                </c:pt>
                <c:pt idx="21">
                  <c:v>0.68</c:v>
                </c:pt>
                <c:pt idx="22">
                  <c:v>0.69</c:v>
                </c:pt>
                <c:pt idx="23">
                  <c:v>0.71</c:v>
                </c:pt>
                <c:pt idx="24">
                  <c:v>0.69</c:v>
                </c:pt>
                <c:pt idx="25">
                  <c:v>0.73</c:v>
                </c:pt>
                <c:pt idx="26">
                  <c:v>0.71</c:v>
                </c:pt>
                <c:pt idx="27">
                  <c:v>0.92</c:v>
                </c:pt>
                <c:pt idx="28">
                  <c:v>0.87</c:v>
                </c:pt>
                <c:pt idx="29">
                  <c:v>0.94</c:v>
                </c:pt>
                <c:pt idx="30">
                  <c:v>0.87</c:v>
                </c:pt>
                <c:pt idx="31">
                  <c:v>0.93</c:v>
                </c:pt>
                <c:pt idx="32">
                  <c:v>0.89</c:v>
                </c:pt>
                <c:pt idx="33">
                  <c:v>0.93</c:v>
                </c:pt>
                <c:pt idx="34">
                  <c:v>0.94</c:v>
                </c:pt>
                <c:pt idx="35">
                  <c:v>0.91</c:v>
                </c:pt>
                <c:pt idx="36">
                  <c:v>0.77</c:v>
                </c:pt>
                <c:pt idx="37">
                  <c:v>0.82</c:v>
                </c:pt>
                <c:pt idx="38">
                  <c:v>0.92</c:v>
                </c:pt>
                <c:pt idx="39">
                  <c:v>0.82</c:v>
                </c:pt>
                <c:pt idx="40">
                  <c:v>0.84</c:v>
                </c:pt>
                <c:pt idx="41">
                  <c:v>0.86</c:v>
                </c:pt>
                <c:pt idx="42">
                  <c:v>0.84</c:v>
                </c:pt>
                <c:pt idx="43">
                  <c:v>0.87</c:v>
                </c:pt>
                <c:pt idx="44">
                  <c:v>0.83</c:v>
                </c:pt>
                <c:pt idx="45">
                  <c:v>0.79</c:v>
                </c:pt>
                <c:pt idx="46">
                  <c:v>0.82</c:v>
                </c:pt>
                <c:pt idx="47">
                  <c:v>0.93</c:v>
                </c:pt>
                <c:pt idx="48">
                  <c:v>0.82</c:v>
                </c:pt>
                <c:pt idx="49">
                  <c:v>0.84</c:v>
                </c:pt>
                <c:pt idx="50">
                  <c:v>0.89</c:v>
                </c:pt>
                <c:pt idx="51">
                  <c:v>0.84</c:v>
                </c:pt>
                <c:pt idx="52">
                  <c:v>0.85</c:v>
                </c:pt>
                <c:pt idx="5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50-3C48-86A0-72E6FA2E181D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xsk3g-no-hash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summarized!$N$2:$N$55</c:f>
              <c:numCache>
                <c:formatCode>0.00</c:formatCode>
                <c:ptCount val="54"/>
                <c:pt idx="0">
                  <c:v>0.41</c:v>
                </c:pt>
                <c:pt idx="1">
                  <c:v>0.41</c:v>
                </c:pt>
                <c:pt idx="2">
                  <c:v>0.45</c:v>
                </c:pt>
                <c:pt idx="3">
                  <c:v>0.41</c:v>
                </c:pt>
                <c:pt idx="4">
                  <c:v>0.31</c:v>
                </c:pt>
                <c:pt idx="5">
                  <c:v>0.49</c:v>
                </c:pt>
                <c:pt idx="6">
                  <c:v>0.31</c:v>
                </c:pt>
                <c:pt idx="7">
                  <c:v>0.39</c:v>
                </c:pt>
                <c:pt idx="8">
                  <c:v>0.43</c:v>
                </c:pt>
                <c:pt idx="9">
                  <c:v>0.47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0.35</c:v>
                </c:pt>
                <c:pt idx="14">
                  <c:v>0.52</c:v>
                </c:pt>
                <c:pt idx="15">
                  <c:v>0.35</c:v>
                </c:pt>
                <c:pt idx="16">
                  <c:v>0.43</c:v>
                </c:pt>
                <c:pt idx="17">
                  <c:v>0.52</c:v>
                </c:pt>
                <c:pt idx="18">
                  <c:v>0.69</c:v>
                </c:pt>
                <c:pt idx="19">
                  <c:v>0.69</c:v>
                </c:pt>
                <c:pt idx="20">
                  <c:v>0.72</c:v>
                </c:pt>
                <c:pt idx="21">
                  <c:v>0.69</c:v>
                </c:pt>
                <c:pt idx="22">
                  <c:v>0.62</c:v>
                </c:pt>
                <c:pt idx="23">
                  <c:v>0.77</c:v>
                </c:pt>
                <c:pt idx="24">
                  <c:v>0.62</c:v>
                </c:pt>
                <c:pt idx="25">
                  <c:v>0.68</c:v>
                </c:pt>
                <c:pt idx="26">
                  <c:v>0.77</c:v>
                </c:pt>
                <c:pt idx="27">
                  <c:v>0.92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0.84</c:v>
                </c:pt>
                <c:pt idx="32">
                  <c:v>0.84</c:v>
                </c:pt>
                <c:pt idx="33">
                  <c:v>0.84</c:v>
                </c:pt>
                <c:pt idx="34">
                  <c:v>0.91</c:v>
                </c:pt>
                <c:pt idx="35">
                  <c:v>0.89</c:v>
                </c:pt>
                <c:pt idx="36">
                  <c:v>0.81</c:v>
                </c:pt>
                <c:pt idx="37">
                  <c:v>0.86</c:v>
                </c:pt>
                <c:pt idx="38">
                  <c:v>0.86</c:v>
                </c:pt>
                <c:pt idx="39">
                  <c:v>0.86</c:v>
                </c:pt>
                <c:pt idx="40">
                  <c:v>0.78</c:v>
                </c:pt>
                <c:pt idx="41">
                  <c:v>0.85</c:v>
                </c:pt>
                <c:pt idx="42">
                  <c:v>0.78</c:v>
                </c:pt>
                <c:pt idx="43">
                  <c:v>0.85</c:v>
                </c:pt>
                <c:pt idx="44">
                  <c:v>0.87</c:v>
                </c:pt>
                <c:pt idx="45">
                  <c:v>0.81</c:v>
                </c:pt>
                <c:pt idx="46">
                  <c:v>0.85</c:v>
                </c:pt>
                <c:pt idx="47">
                  <c:v>0.88</c:v>
                </c:pt>
                <c:pt idx="48">
                  <c:v>0.85</c:v>
                </c:pt>
                <c:pt idx="49">
                  <c:v>0.79</c:v>
                </c:pt>
                <c:pt idx="50">
                  <c:v>0.86</c:v>
                </c:pt>
                <c:pt idx="51">
                  <c:v>0.79</c:v>
                </c:pt>
                <c:pt idx="52">
                  <c:v>0.86</c:v>
                </c:pt>
                <c:pt idx="5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50-3C48-86A0-72E6FA2E181D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xsk4g-no-hash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summarized!$O$2:$O$55</c:f>
              <c:numCache>
                <c:formatCode>0.00</c:formatCode>
                <c:ptCount val="54"/>
                <c:pt idx="0">
                  <c:v>0.41</c:v>
                </c:pt>
                <c:pt idx="1">
                  <c:v>0.44</c:v>
                </c:pt>
                <c:pt idx="2">
                  <c:v>0.45</c:v>
                </c:pt>
                <c:pt idx="3">
                  <c:v>0.44</c:v>
                </c:pt>
                <c:pt idx="4">
                  <c:v>0.48</c:v>
                </c:pt>
                <c:pt idx="5">
                  <c:v>0.49</c:v>
                </c:pt>
                <c:pt idx="6">
                  <c:v>0.48</c:v>
                </c:pt>
                <c:pt idx="7">
                  <c:v>0.47</c:v>
                </c:pt>
                <c:pt idx="8">
                  <c:v>0.48</c:v>
                </c:pt>
                <c:pt idx="9">
                  <c:v>0.44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0.57999999999999996</c:v>
                </c:pt>
                <c:pt idx="14">
                  <c:v>0.54</c:v>
                </c:pt>
                <c:pt idx="15">
                  <c:v>0.57999999999999996</c:v>
                </c:pt>
                <c:pt idx="16">
                  <c:v>0.54</c:v>
                </c:pt>
                <c:pt idx="17">
                  <c:v>0.49</c:v>
                </c:pt>
                <c:pt idx="18">
                  <c:v>0.69</c:v>
                </c:pt>
                <c:pt idx="19">
                  <c:v>0.67</c:v>
                </c:pt>
                <c:pt idx="20">
                  <c:v>0.73</c:v>
                </c:pt>
                <c:pt idx="21">
                  <c:v>0.67</c:v>
                </c:pt>
                <c:pt idx="22">
                  <c:v>0.73</c:v>
                </c:pt>
                <c:pt idx="23">
                  <c:v>0.73</c:v>
                </c:pt>
                <c:pt idx="24">
                  <c:v>0.73</c:v>
                </c:pt>
                <c:pt idx="25">
                  <c:v>0.69</c:v>
                </c:pt>
                <c:pt idx="26">
                  <c:v>0.77</c:v>
                </c:pt>
                <c:pt idx="27">
                  <c:v>0.91</c:v>
                </c:pt>
                <c:pt idx="28">
                  <c:v>0.89</c:v>
                </c:pt>
                <c:pt idx="29">
                  <c:v>0.82</c:v>
                </c:pt>
                <c:pt idx="30">
                  <c:v>0.89</c:v>
                </c:pt>
                <c:pt idx="31">
                  <c:v>0.88</c:v>
                </c:pt>
                <c:pt idx="32">
                  <c:v>0.83</c:v>
                </c:pt>
                <c:pt idx="33">
                  <c:v>0.88</c:v>
                </c:pt>
                <c:pt idx="34">
                  <c:v>0.89</c:v>
                </c:pt>
                <c:pt idx="35">
                  <c:v>0.9</c:v>
                </c:pt>
                <c:pt idx="36">
                  <c:v>0.84</c:v>
                </c:pt>
                <c:pt idx="37">
                  <c:v>0.82</c:v>
                </c:pt>
                <c:pt idx="38">
                  <c:v>0.84</c:v>
                </c:pt>
                <c:pt idx="39">
                  <c:v>0.82</c:v>
                </c:pt>
                <c:pt idx="40">
                  <c:v>0.78</c:v>
                </c:pt>
                <c:pt idx="41">
                  <c:v>0.8</c:v>
                </c:pt>
                <c:pt idx="42">
                  <c:v>0.78</c:v>
                </c:pt>
                <c:pt idx="43">
                  <c:v>0.88</c:v>
                </c:pt>
                <c:pt idx="44">
                  <c:v>0.86</c:v>
                </c:pt>
                <c:pt idx="45">
                  <c:v>0.88</c:v>
                </c:pt>
                <c:pt idx="46">
                  <c:v>0.84</c:v>
                </c:pt>
                <c:pt idx="47">
                  <c:v>0.84</c:v>
                </c:pt>
                <c:pt idx="48">
                  <c:v>0.84</c:v>
                </c:pt>
                <c:pt idx="49">
                  <c:v>0.8</c:v>
                </c:pt>
                <c:pt idx="50">
                  <c:v>0.81</c:v>
                </c:pt>
                <c:pt idx="51">
                  <c:v>0.8</c:v>
                </c:pt>
                <c:pt idx="52">
                  <c:v>0.91</c:v>
                </c:pt>
                <c:pt idx="5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50-3C48-86A0-72E6FA2E181D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summarized!$P$2:$P$55</c:f>
              <c:numCache>
                <c:formatCode>0.00</c:formatCode>
                <c:ptCount val="54"/>
                <c:pt idx="0">
                  <c:v>0.38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</c:v>
                </c:pt>
                <c:pt idx="5">
                  <c:v>0.45</c:v>
                </c:pt>
                <c:pt idx="6">
                  <c:v>0.4</c:v>
                </c:pt>
                <c:pt idx="7">
                  <c:v>0.39</c:v>
                </c:pt>
                <c:pt idx="8">
                  <c:v>0.48</c:v>
                </c:pt>
                <c:pt idx="9">
                  <c:v>0.48</c:v>
                </c:pt>
                <c:pt idx="10">
                  <c:v>0.47</c:v>
                </c:pt>
                <c:pt idx="11">
                  <c:v>0.56000000000000005</c:v>
                </c:pt>
                <c:pt idx="12">
                  <c:v>0.47</c:v>
                </c:pt>
                <c:pt idx="13">
                  <c:v>0.53</c:v>
                </c:pt>
                <c:pt idx="14">
                  <c:v>0.56000000000000005</c:v>
                </c:pt>
                <c:pt idx="15">
                  <c:v>0.53</c:v>
                </c:pt>
                <c:pt idx="16">
                  <c:v>0.53</c:v>
                </c:pt>
                <c:pt idx="17">
                  <c:v>0.61</c:v>
                </c:pt>
                <c:pt idx="18">
                  <c:v>0.64</c:v>
                </c:pt>
                <c:pt idx="19">
                  <c:v>0.67</c:v>
                </c:pt>
                <c:pt idx="20">
                  <c:v>0.71</c:v>
                </c:pt>
                <c:pt idx="21">
                  <c:v>0.67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0.66</c:v>
                </c:pt>
                <c:pt idx="26">
                  <c:v>0.73</c:v>
                </c:pt>
                <c:pt idx="27">
                  <c:v>0.93</c:v>
                </c:pt>
                <c:pt idx="28">
                  <c:v>0.93</c:v>
                </c:pt>
                <c:pt idx="29">
                  <c:v>0.91</c:v>
                </c:pt>
                <c:pt idx="30">
                  <c:v>0.93</c:v>
                </c:pt>
                <c:pt idx="31">
                  <c:v>0.93</c:v>
                </c:pt>
                <c:pt idx="32">
                  <c:v>0.91</c:v>
                </c:pt>
                <c:pt idx="33">
                  <c:v>0.93</c:v>
                </c:pt>
                <c:pt idx="34">
                  <c:v>0.93</c:v>
                </c:pt>
                <c:pt idx="35">
                  <c:v>0.94</c:v>
                </c:pt>
                <c:pt idx="36">
                  <c:v>0.77</c:v>
                </c:pt>
                <c:pt idx="37">
                  <c:v>0.84</c:v>
                </c:pt>
                <c:pt idx="38">
                  <c:v>0.86</c:v>
                </c:pt>
                <c:pt idx="39">
                  <c:v>0.84</c:v>
                </c:pt>
                <c:pt idx="40">
                  <c:v>0.75</c:v>
                </c:pt>
                <c:pt idx="41">
                  <c:v>0.79</c:v>
                </c:pt>
                <c:pt idx="42">
                  <c:v>0.75</c:v>
                </c:pt>
                <c:pt idx="43">
                  <c:v>0.84</c:v>
                </c:pt>
                <c:pt idx="44">
                  <c:v>0.86</c:v>
                </c:pt>
                <c:pt idx="45">
                  <c:v>0.87</c:v>
                </c:pt>
                <c:pt idx="46">
                  <c:v>0.92</c:v>
                </c:pt>
                <c:pt idx="47">
                  <c:v>0.94</c:v>
                </c:pt>
                <c:pt idx="48">
                  <c:v>0.92</c:v>
                </c:pt>
                <c:pt idx="49">
                  <c:v>0.85</c:v>
                </c:pt>
                <c:pt idx="50">
                  <c:v>0.89</c:v>
                </c:pt>
                <c:pt idx="51">
                  <c:v>0.85</c:v>
                </c:pt>
                <c:pt idx="52">
                  <c:v>0.92</c:v>
                </c:pt>
                <c:pt idx="53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50-3C48-86A0-72E6FA2E181D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summarized!$Q$2:$Q$55</c:f>
              <c:numCache>
                <c:formatCode>0.00</c:formatCode>
                <c:ptCount val="54"/>
                <c:pt idx="0">
                  <c:v>0.38</c:v>
                </c:pt>
                <c:pt idx="1">
                  <c:v>0.39</c:v>
                </c:pt>
                <c:pt idx="2">
                  <c:v>0.48</c:v>
                </c:pt>
                <c:pt idx="3">
                  <c:v>0.39</c:v>
                </c:pt>
                <c:pt idx="4">
                  <c:v>0.46</c:v>
                </c:pt>
                <c:pt idx="5">
                  <c:v>0.44</c:v>
                </c:pt>
                <c:pt idx="6">
                  <c:v>0.46</c:v>
                </c:pt>
                <c:pt idx="7">
                  <c:v>0.47</c:v>
                </c:pt>
                <c:pt idx="8">
                  <c:v>0.43</c:v>
                </c:pt>
                <c:pt idx="9">
                  <c:v>0.48</c:v>
                </c:pt>
                <c:pt idx="10">
                  <c:v>0.45</c:v>
                </c:pt>
                <c:pt idx="11">
                  <c:v>0.54</c:v>
                </c:pt>
                <c:pt idx="12">
                  <c:v>0.45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0.53</c:v>
                </c:pt>
                <c:pt idx="16">
                  <c:v>0.48</c:v>
                </c:pt>
                <c:pt idx="17">
                  <c:v>0.51</c:v>
                </c:pt>
                <c:pt idx="18">
                  <c:v>0.69</c:v>
                </c:pt>
                <c:pt idx="19">
                  <c:v>0.75</c:v>
                </c:pt>
                <c:pt idx="20">
                  <c:v>0.71</c:v>
                </c:pt>
                <c:pt idx="21">
                  <c:v>0.75</c:v>
                </c:pt>
                <c:pt idx="22">
                  <c:v>0.64</c:v>
                </c:pt>
                <c:pt idx="23">
                  <c:v>0.71</c:v>
                </c:pt>
                <c:pt idx="24">
                  <c:v>0.64</c:v>
                </c:pt>
                <c:pt idx="25">
                  <c:v>0.73</c:v>
                </c:pt>
                <c:pt idx="26">
                  <c:v>0.78</c:v>
                </c:pt>
                <c:pt idx="27">
                  <c:v>0.88</c:v>
                </c:pt>
                <c:pt idx="28">
                  <c:v>0.95</c:v>
                </c:pt>
                <c:pt idx="29">
                  <c:v>0.9</c:v>
                </c:pt>
                <c:pt idx="30">
                  <c:v>0.95</c:v>
                </c:pt>
                <c:pt idx="31">
                  <c:v>0.88</c:v>
                </c:pt>
                <c:pt idx="32">
                  <c:v>0.94</c:v>
                </c:pt>
                <c:pt idx="33">
                  <c:v>0.88</c:v>
                </c:pt>
                <c:pt idx="34">
                  <c:v>0.88</c:v>
                </c:pt>
                <c:pt idx="35">
                  <c:v>0.96</c:v>
                </c:pt>
                <c:pt idx="36">
                  <c:v>0.84</c:v>
                </c:pt>
                <c:pt idx="37">
                  <c:v>0.83</c:v>
                </c:pt>
                <c:pt idx="38">
                  <c:v>0.81</c:v>
                </c:pt>
                <c:pt idx="39">
                  <c:v>0.83</c:v>
                </c:pt>
                <c:pt idx="40">
                  <c:v>0.85</c:v>
                </c:pt>
                <c:pt idx="41">
                  <c:v>0.83</c:v>
                </c:pt>
                <c:pt idx="42">
                  <c:v>0.85</c:v>
                </c:pt>
                <c:pt idx="43">
                  <c:v>0.79</c:v>
                </c:pt>
                <c:pt idx="44">
                  <c:v>0.84</c:v>
                </c:pt>
                <c:pt idx="45">
                  <c:v>0.85</c:v>
                </c:pt>
                <c:pt idx="46">
                  <c:v>0.86</c:v>
                </c:pt>
                <c:pt idx="47">
                  <c:v>0.86</c:v>
                </c:pt>
                <c:pt idx="48">
                  <c:v>0.86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0.86</c:v>
                </c:pt>
                <c:pt idx="5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50-3C48-86A0-72E6FA2E181D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summarized!$R$2:$R$55</c:f>
              <c:numCache>
                <c:formatCode>0.00</c:formatCode>
                <c:ptCount val="54"/>
                <c:pt idx="0">
                  <c:v>0.39</c:v>
                </c:pt>
                <c:pt idx="1">
                  <c:v>0.42</c:v>
                </c:pt>
                <c:pt idx="2">
                  <c:v>0.44</c:v>
                </c:pt>
                <c:pt idx="3">
                  <c:v>0.42</c:v>
                </c:pt>
                <c:pt idx="4">
                  <c:v>0.4</c:v>
                </c:pt>
                <c:pt idx="5">
                  <c:v>0.43</c:v>
                </c:pt>
                <c:pt idx="6">
                  <c:v>0.4</c:v>
                </c:pt>
                <c:pt idx="7">
                  <c:v>0.41</c:v>
                </c:pt>
                <c:pt idx="8">
                  <c:v>0.46</c:v>
                </c:pt>
                <c:pt idx="9">
                  <c:v>0.57999999999999996</c:v>
                </c:pt>
                <c:pt idx="10">
                  <c:v>0.48</c:v>
                </c:pt>
                <c:pt idx="11">
                  <c:v>0.56000000000000005</c:v>
                </c:pt>
                <c:pt idx="12">
                  <c:v>0.48</c:v>
                </c:pt>
                <c:pt idx="13">
                  <c:v>0.53</c:v>
                </c:pt>
                <c:pt idx="14">
                  <c:v>0.56000000000000005</c:v>
                </c:pt>
                <c:pt idx="15">
                  <c:v>0.53</c:v>
                </c:pt>
                <c:pt idx="16">
                  <c:v>0.49</c:v>
                </c:pt>
                <c:pt idx="17">
                  <c:v>0.56999999999999995</c:v>
                </c:pt>
                <c:pt idx="18">
                  <c:v>0.74</c:v>
                </c:pt>
                <c:pt idx="19">
                  <c:v>0.71</c:v>
                </c:pt>
                <c:pt idx="20">
                  <c:v>0.71</c:v>
                </c:pt>
                <c:pt idx="21">
                  <c:v>0.71</c:v>
                </c:pt>
                <c:pt idx="22">
                  <c:v>0.7</c:v>
                </c:pt>
                <c:pt idx="23">
                  <c:v>0.72</c:v>
                </c:pt>
                <c:pt idx="24">
                  <c:v>0.7</c:v>
                </c:pt>
                <c:pt idx="25">
                  <c:v>0.73</c:v>
                </c:pt>
                <c:pt idx="26">
                  <c:v>0.75</c:v>
                </c:pt>
                <c:pt idx="27">
                  <c:v>0.93</c:v>
                </c:pt>
                <c:pt idx="28">
                  <c:v>0.91</c:v>
                </c:pt>
                <c:pt idx="29">
                  <c:v>0.91</c:v>
                </c:pt>
                <c:pt idx="30">
                  <c:v>0.91</c:v>
                </c:pt>
                <c:pt idx="31">
                  <c:v>0.95</c:v>
                </c:pt>
                <c:pt idx="32">
                  <c:v>0.93</c:v>
                </c:pt>
                <c:pt idx="33">
                  <c:v>0.95</c:v>
                </c:pt>
                <c:pt idx="34">
                  <c:v>0.94</c:v>
                </c:pt>
                <c:pt idx="35">
                  <c:v>0.96</c:v>
                </c:pt>
                <c:pt idx="36">
                  <c:v>0.81</c:v>
                </c:pt>
                <c:pt idx="37">
                  <c:v>0.79</c:v>
                </c:pt>
                <c:pt idx="38">
                  <c:v>0.87</c:v>
                </c:pt>
                <c:pt idx="39">
                  <c:v>0.79</c:v>
                </c:pt>
                <c:pt idx="40">
                  <c:v>0.82</c:v>
                </c:pt>
                <c:pt idx="41">
                  <c:v>0.87</c:v>
                </c:pt>
                <c:pt idx="42">
                  <c:v>0.82</c:v>
                </c:pt>
                <c:pt idx="43">
                  <c:v>0.85</c:v>
                </c:pt>
                <c:pt idx="44">
                  <c:v>0.79</c:v>
                </c:pt>
                <c:pt idx="45">
                  <c:v>0.89</c:v>
                </c:pt>
                <c:pt idx="46">
                  <c:v>0.87</c:v>
                </c:pt>
                <c:pt idx="47">
                  <c:v>0.9</c:v>
                </c:pt>
                <c:pt idx="48">
                  <c:v>0.87</c:v>
                </c:pt>
                <c:pt idx="49">
                  <c:v>0.9</c:v>
                </c:pt>
                <c:pt idx="50">
                  <c:v>0.91</c:v>
                </c:pt>
                <c:pt idx="51">
                  <c:v>0.9</c:v>
                </c:pt>
                <c:pt idx="52">
                  <c:v>0.91</c:v>
                </c:pt>
                <c:pt idx="53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50-3C48-86A0-72E6FA2E181D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xsk2g-hash-at-both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summarized!$S$2:$S$55</c:f>
              <c:numCache>
                <c:formatCode>0.00</c:formatCode>
                <c:ptCount val="54"/>
                <c:pt idx="0">
                  <c:v>0.41</c:v>
                </c:pt>
                <c:pt idx="1">
                  <c:v>0.39</c:v>
                </c:pt>
                <c:pt idx="2">
                  <c:v>0.44</c:v>
                </c:pt>
                <c:pt idx="3">
                  <c:v>0.39</c:v>
                </c:pt>
                <c:pt idx="4">
                  <c:v>0.36</c:v>
                </c:pt>
                <c:pt idx="5">
                  <c:v>0.49</c:v>
                </c:pt>
                <c:pt idx="6">
                  <c:v>0.36</c:v>
                </c:pt>
                <c:pt idx="7">
                  <c:v>0.44</c:v>
                </c:pt>
                <c:pt idx="8">
                  <c:v>0.46</c:v>
                </c:pt>
                <c:pt idx="9">
                  <c:v>0.47</c:v>
                </c:pt>
                <c:pt idx="10">
                  <c:v>0.45</c:v>
                </c:pt>
                <c:pt idx="11">
                  <c:v>0.48</c:v>
                </c:pt>
                <c:pt idx="12">
                  <c:v>0.45</c:v>
                </c:pt>
                <c:pt idx="13">
                  <c:v>0.43</c:v>
                </c:pt>
                <c:pt idx="14">
                  <c:v>0.54</c:v>
                </c:pt>
                <c:pt idx="15">
                  <c:v>0.43</c:v>
                </c:pt>
                <c:pt idx="16">
                  <c:v>0.51</c:v>
                </c:pt>
                <c:pt idx="17">
                  <c:v>0.56000000000000005</c:v>
                </c:pt>
                <c:pt idx="18">
                  <c:v>0.68</c:v>
                </c:pt>
                <c:pt idx="19">
                  <c:v>0.67</c:v>
                </c:pt>
                <c:pt idx="20">
                  <c:v>0.73</c:v>
                </c:pt>
                <c:pt idx="21">
                  <c:v>0.67</c:v>
                </c:pt>
                <c:pt idx="22">
                  <c:v>0.68</c:v>
                </c:pt>
                <c:pt idx="23">
                  <c:v>0.71</c:v>
                </c:pt>
                <c:pt idx="24">
                  <c:v>0.68</c:v>
                </c:pt>
                <c:pt idx="25">
                  <c:v>0.73</c:v>
                </c:pt>
                <c:pt idx="26">
                  <c:v>0.75</c:v>
                </c:pt>
                <c:pt idx="27">
                  <c:v>0.88</c:v>
                </c:pt>
                <c:pt idx="28">
                  <c:v>0.86</c:v>
                </c:pt>
                <c:pt idx="29">
                  <c:v>0.93</c:v>
                </c:pt>
                <c:pt idx="30">
                  <c:v>0.86</c:v>
                </c:pt>
                <c:pt idx="31">
                  <c:v>0.86</c:v>
                </c:pt>
                <c:pt idx="32">
                  <c:v>0.91</c:v>
                </c:pt>
                <c:pt idx="33">
                  <c:v>0.86</c:v>
                </c:pt>
                <c:pt idx="34">
                  <c:v>0.91</c:v>
                </c:pt>
                <c:pt idx="35">
                  <c:v>0.91</c:v>
                </c:pt>
                <c:pt idx="36">
                  <c:v>0.88</c:v>
                </c:pt>
                <c:pt idx="37">
                  <c:v>0.88</c:v>
                </c:pt>
                <c:pt idx="38">
                  <c:v>0.85</c:v>
                </c:pt>
                <c:pt idx="39">
                  <c:v>0.88</c:v>
                </c:pt>
                <c:pt idx="40">
                  <c:v>0.79</c:v>
                </c:pt>
                <c:pt idx="41">
                  <c:v>0.84</c:v>
                </c:pt>
                <c:pt idx="42">
                  <c:v>0.79</c:v>
                </c:pt>
                <c:pt idx="43">
                  <c:v>0.81</c:v>
                </c:pt>
                <c:pt idx="44">
                  <c:v>0.85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0.86</c:v>
                </c:pt>
                <c:pt idx="50">
                  <c:v>0.88</c:v>
                </c:pt>
                <c:pt idx="51">
                  <c:v>0.86</c:v>
                </c:pt>
                <c:pt idx="52">
                  <c:v>0.89</c:v>
                </c:pt>
                <c:pt idx="53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50-3C48-86A0-72E6FA2E181D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xsk3g-hash-at-both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summarized!$T$2:$T$55</c:f>
              <c:numCache>
                <c:formatCode>0.00</c:formatCode>
                <c:ptCount val="54"/>
                <c:pt idx="0">
                  <c:v>0.45</c:v>
                </c:pt>
                <c:pt idx="1">
                  <c:v>0.42</c:v>
                </c:pt>
                <c:pt idx="2">
                  <c:v>0.48</c:v>
                </c:pt>
                <c:pt idx="3">
                  <c:v>0.42</c:v>
                </c:pt>
                <c:pt idx="4">
                  <c:v>0.45</c:v>
                </c:pt>
                <c:pt idx="5">
                  <c:v>0.49</c:v>
                </c:pt>
                <c:pt idx="6">
                  <c:v>0.45</c:v>
                </c:pt>
                <c:pt idx="7">
                  <c:v>0.42</c:v>
                </c:pt>
                <c:pt idx="8">
                  <c:v>0.51</c:v>
                </c:pt>
                <c:pt idx="9">
                  <c:v>0.49</c:v>
                </c:pt>
                <c:pt idx="10">
                  <c:v>0.43</c:v>
                </c:pt>
                <c:pt idx="11">
                  <c:v>0.45</c:v>
                </c:pt>
                <c:pt idx="12">
                  <c:v>0.43</c:v>
                </c:pt>
                <c:pt idx="13">
                  <c:v>0.53</c:v>
                </c:pt>
                <c:pt idx="14">
                  <c:v>0.5</c:v>
                </c:pt>
                <c:pt idx="15">
                  <c:v>0.53</c:v>
                </c:pt>
                <c:pt idx="16">
                  <c:v>0.51</c:v>
                </c:pt>
                <c:pt idx="17">
                  <c:v>0.56000000000000005</c:v>
                </c:pt>
                <c:pt idx="18">
                  <c:v>0.67</c:v>
                </c:pt>
                <c:pt idx="19">
                  <c:v>0.69</c:v>
                </c:pt>
                <c:pt idx="20">
                  <c:v>0.72</c:v>
                </c:pt>
                <c:pt idx="21">
                  <c:v>0.69</c:v>
                </c:pt>
                <c:pt idx="22">
                  <c:v>0.68</c:v>
                </c:pt>
                <c:pt idx="23">
                  <c:v>0.71</c:v>
                </c:pt>
                <c:pt idx="24">
                  <c:v>0.68</c:v>
                </c:pt>
                <c:pt idx="25">
                  <c:v>0.69</c:v>
                </c:pt>
                <c:pt idx="26">
                  <c:v>0.78</c:v>
                </c:pt>
                <c:pt idx="27">
                  <c:v>0.94</c:v>
                </c:pt>
                <c:pt idx="28">
                  <c:v>0.84</c:v>
                </c:pt>
                <c:pt idx="29">
                  <c:v>0.88</c:v>
                </c:pt>
                <c:pt idx="30">
                  <c:v>0.84</c:v>
                </c:pt>
                <c:pt idx="31">
                  <c:v>0.81</c:v>
                </c:pt>
                <c:pt idx="32">
                  <c:v>0.89</c:v>
                </c:pt>
                <c:pt idx="33">
                  <c:v>0.81</c:v>
                </c:pt>
                <c:pt idx="34">
                  <c:v>0.91</c:v>
                </c:pt>
                <c:pt idx="35">
                  <c:v>0.88</c:v>
                </c:pt>
                <c:pt idx="36">
                  <c:v>0.82</c:v>
                </c:pt>
                <c:pt idx="37">
                  <c:v>0.85</c:v>
                </c:pt>
                <c:pt idx="38">
                  <c:v>0.9</c:v>
                </c:pt>
                <c:pt idx="39">
                  <c:v>0.85</c:v>
                </c:pt>
                <c:pt idx="40">
                  <c:v>0.82</c:v>
                </c:pt>
                <c:pt idx="41">
                  <c:v>0.82</c:v>
                </c:pt>
                <c:pt idx="42">
                  <c:v>0.82</c:v>
                </c:pt>
                <c:pt idx="43">
                  <c:v>0.81</c:v>
                </c:pt>
                <c:pt idx="44">
                  <c:v>0.88</c:v>
                </c:pt>
                <c:pt idx="45">
                  <c:v>0.84</c:v>
                </c:pt>
                <c:pt idx="46">
                  <c:v>0.87</c:v>
                </c:pt>
                <c:pt idx="47">
                  <c:v>0.86</c:v>
                </c:pt>
                <c:pt idx="48">
                  <c:v>0.87</c:v>
                </c:pt>
                <c:pt idx="49">
                  <c:v>0.88</c:v>
                </c:pt>
                <c:pt idx="50">
                  <c:v>0.84</c:v>
                </c:pt>
                <c:pt idx="51">
                  <c:v>0.88</c:v>
                </c:pt>
                <c:pt idx="52">
                  <c:v>0.85</c:v>
                </c:pt>
                <c:pt idx="5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50-3C48-86A0-72E6FA2E181D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xsk4g-hash-at-both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54"/>
                <c:pt idx="0">
                  <c:v>cas-spl:F-mgv:3-sn:1.2k</c:v>
                </c:pt>
                <c:pt idx="1">
                  <c:v>cas-spl:F-mgv:3-sn:2k</c:v>
                </c:pt>
                <c:pt idx="2">
                  <c:v>cas-spl:F-mgv:3-sn:3k</c:v>
                </c:pt>
                <c:pt idx="3">
                  <c:v>cas-spl:F-mgv:6-sn:1.2k</c:v>
                </c:pt>
                <c:pt idx="4">
                  <c:v>cas-spl:F-mgv:6-sn:2k</c:v>
                </c:pt>
                <c:pt idx="5">
                  <c:v>cas-spl:F-mgv:6-sn:3k</c:v>
                </c:pt>
                <c:pt idx="6">
                  <c:v>cas-spl:F-mgv:9-sn:1.2k</c:v>
                </c:pt>
                <c:pt idx="7">
                  <c:v>cas-spl:F-mgv:9-sn:2k</c:v>
                </c:pt>
                <c:pt idx="8">
                  <c:v>cas-spl:F-mgv:9-sn:3k</c:v>
                </c:pt>
                <c:pt idx="9">
                  <c:v>cas-spl:T-mgv:3-sn:1.2k</c:v>
                </c:pt>
                <c:pt idx="10">
                  <c:v>cas-spl:T-mgv:3-sn:2k</c:v>
                </c:pt>
                <c:pt idx="11">
                  <c:v>cas-spl:T-mgv:3-sn:3k</c:v>
                </c:pt>
                <c:pt idx="12">
                  <c:v>cas-spl:T-mgv:6-sn:1.2k</c:v>
                </c:pt>
                <c:pt idx="13">
                  <c:v>cas-spl:T-mgv:6-sn:2k</c:v>
                </c:pt>
                <c:pt idx="14">
                  <c:v>cas-spl:T-mgv:6-sn:3k</c:v>
                </c:pt>
                <c:pt idx="15">
                  <c:v>cas-spl:T-mgv:9-sn:1.2k</c:v>
                </c:pt>
                <c:pt idx="16">
                  <c:v>cas-spl:T-mgv:9-sn:2k</c:v>
                </c:pt>
                <c:pt idx="17">
                  <c:v>cas-spl:T-mgv:9-sn:3k</c:v>
                </c:pt>
                <c:pt idx="18">
                  <c:v>gen-spl:F-mgv:3-sn:1.2k</c:v>
                </c:pt>
                <c:pt idx="19">
                  <c:v>gen-spl:F-mgv:3-sn:2k</c:v>
                </c:pt>
                <c:pt idx="20">
                  <c:v>gen-spl:F-mgv:3-sn:3k</c:v>
                </c:pt>
                <c:pt idx="21">
                  <c:v>gen-spl:F-mgv:6-sn:1.2k</c:v>
                </c:pt>
                <c:pt idx="22">
                  <c:v>gen-spl:F-mgv:6-sn:2k</c:v>
                </c:pt>
                <c:pt idx="23">
                  <c:v>gen-spl:F-mgv:6-sn:3k</c:v>
                </c:pt>
                <c:pt idx="24">
                  <c:v>gen-spl:F-mgv:9-sn:1.2k</c:v>
                </c:pt>
                <c:pt idx="25">
                  <c:v>gen-spl:F-mgv:9-sn:2k</c:v>
                </c:pt>
                <c:pt idx="26">
                  <c:v>gen-spl:F-mgv:9-sn:3k</c:v>
                </c:pt>
                <c:pt idx="27">
                  <c:v>gen-spl:T-mgv:3-sn:1.2k</c:v>
                </c:pt>
                <c:pt idx="28">
                  <c:v>gen-spl:T-mgv:3-sn:2k</c:v>
                </c:pt>
                <c:pt idx="29">
                  <c:v>gen-spl:T-mgv:3-sn:3k</c:v>
                </c:pt>
                <c:pt idx="30">
                  <c:v>gen-spl:T-mgv:6-sn:1.2k</c:v>
                </c:pt>
                <c:pt idx="31">
                  <c:v>gen-spl:T-mgv:6-sn:2k</c:v>
                </c:pt>
                <c:pt idx="32">
                  <c:v>gen-spl:T-mgv:6-sn:3k</c:v>
                </c:pt>
                <c:pt idx="33">
                  <c:v>gen-spl:T-mgv:9-sn:1.2k</c:v>
                </c:pt>
                <c:pt idx="34">
                  <c:v>gen-spl:T-mgv:9-sn:2k</c:v>
                </c:pt>
                <c:pt idx="35">
                  <c:v>gen-spl:T-mgv:9-sn:3k</c:v>
                </c:pt>
                <c:pt idx="36">
                  <c:v>plu-spl:F-mgv:3-sn:1.2k</c:v>
                </c:pt>
                <c:pt idx="37">
                  <c:v>plu-spl:F-mgv:3-sn:2k</c:v>
                </c:pt>
                <c:pt idx="38">
                  <c:v>plu-spl:F-mgv:3-sn:3k</c:v>
                </c:pt>
                <c:pt idx="39">
                  <c:v>plu-spl:F-mgv:6-sn:1.2k</c:v>
                </c:pt>
                <c:pt idx="40">
                  <c:v>plu-spl:F-mgv:6-sn:2k</c:v>
                </c:pt>
                <c:pt idx="41">
                  <c:v>plu-spl:F-mgv:6-sn:3k</c:v>
                </c:pt>
                <c:pt idx="42">
                  <c:v>plu-spl:F-mgv:9-sn:1.2k</c:v>
                </c:pt>
                <c:pt idx="43">
                  <c:v>plu-spl:F-mgv:9-sn:2k</c:v>
                </c:pt>
                <c:pt idx="44">
                  <c:v>plu-spl:F-mgv:9-sn:3k</c:v>
                </c:pt>
                <c:pt idx="45">
                  <c:v>plu-spl:T-mgv:3-sn:1.2k</c:v>
                </c:pt>
                <c:pt idx="46">
                  <c:v>plu-spl:T-mgv:3-sn:2k</c:v>
                </c:pt>
                <c:pt idx="47">
                  <c:v>plu-spl:T-mgv:3-sn:3k</c:v>
                </c:pt>
                <c:pt idx="48">
                  <c:v>plu-spl:T-mgv:6-sn:1.2k</c:v>
                </c:pt>
                <c:pt idx="49">
                  <c:v>plu-spl:T-mgv:6-sn:2k</c:v>
                </c:pt>
                <c:pt idx="50">
                  <c:v>plu-spl:T-mgv:6-sn:3k</c:v>
                </c:pt>
                <c:pt idx="51">
                  <c:v>plu-spl:T-mgv:9-sn:1.2k</c:v>
                </c:pt>
                <c:pt idx="52">
                  <c:v>plu-spl:T-mgv:9-sn:2k</c:v>
                </c:pt>
                <c:pt idx="53">
                  <c:v>plu-spl:T-mgv:9-sn:3k</c:v>
                </c:pt>
              </c:strCache>
            </c:strRef>
          </c:cat>
          <c:val>
            <c:numRef>
              <c:f>summarized!$U$2:$U$55</c:f>
              <c:numCache>
                <c:formatCode>0.00</c:formatCode>
                <c:ptCount val="54"/>
                <c:pt idx="0">
                  <c:v>0.45</c:v>
                </c:pt>
                <c:pt idx="1">
                  <c:v>0.37</c:v>
                </c:pt>
                <c:pt idx="2">
                  <c:v>0.43</c:v>
                </c:pt>
                <c:pt idx="3">
                  <c:v>0.37</c:v>
                </c:pt>
                <c:pt idx="4">
                  <c:v>0.43</c:v>
                </c:pt>
                <c:pt idx="5">
                  <c:v>0.44</c:v>
                </c:pt>
                <c:pt idx="6">
                  <c:v>0.43</c:v>
                </c:pt>
                <c:pt idx="7">
                  <c:v>0.39</c:v>
                </c:pt>
                <c:pt idx="8">
                  <c:v>0.45</c:v>
                </c:pt>
                <c:pt idx="9">
                  <c:v>0.42</c:v>
                </c:pt>
                <c:pt idx="10">
                  <c:v>0.45</c:v>
                </c:pt>
                <c:pt idx="11">
                  <c:v>0.52</c:v>
                </c:pt>
                <c:pt idx="12">
                  <c:v>0.45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0.49</c:v>
                </c:pt>
                <c:pt idx="17">
                  <c:v>0.47</c:v>
                </c:pt>
                <c:pt idx="18">
                  <c:v>0.67</c:v>
                </c:pt>
                <c:pt idx="19">
                  <c:v>0.67</c:v>
                </c:pt>
                <c:pt idx="20">
                  <c:v>0.72</c:v>
                </c:pt>
                <c:pt idx="21">
                  <c:v>0.67</c:v>
                </c:pt>
                <c:pt idx="22">
                  <c:v>0.63</c:v>
                </c:pt>
                <c:pt idx="23">
                  <c:v>0.71</c:v>
                </c:pt>
                <c:pt idx="24">
                  <c:v>0.63</c:v>
                </c:pt>
                <c:pt idx="25">
                  <c:v>0.73</c:v>
                </c:pt>
                <c:pt idx="26">
                  <c:v>0.75</c:v>
                </c:pt>
                <c:pt idx="27">
                  <c:v>0.85</c:v>
                </c:pt>
                <c:pt idx="28">
                  <c:v>0.8</c:v>
                </c:pt>
                <c:pt idx="29">
                  <c:v>0.85</c:v>
                </c:pt>
                <c:pt idx="30">
                  <c:v>0.8</c:v>
                </c:pt>
                <c:pt idx="31">
                  <c:v>0.88</c:v>
                </c:pt>
                <c:pt idx="32">
                  <c:v>0.86</c:v>
                </c:pt>
                <c:pt idx="33">
                  <c:v>0.88</c:v>
                </c:pt>
                <c:pt idx="34">
                  <c:v>0.91</c:v>
                </c:pt>
                <c:pt idx="35">
                  <c:v>0.84</c:v>
                </c:pt>
                <c:pt idx="36">
                  <c:v>0.81</c:v>
                </c:pt>
                <c:pt idx="37">
                  <c:v>0.82</c:v>
                </c:pt>
                <c:pt idx="38">
                  <c:v>0.84</c:v>
                </c:pt>
                <c:pt idx="39">
                  <c:v>0.82</c:v>
                </c:pt>
                <c:pt idx="40">
                  <c:v>0.86</c:v>
                </c:pt>
                <c:pt idx="41">
                  <c:v>0.87</c:v>
                </c:pt>
                <c:pt idx="42">
                  <c:v>0.86</c:v>
                </c:pt>
                <c:pt idx="43">
                  <c:v>0.83</c:v>
                </c:pt>
                <c:pt idx="44">
                  <c:v>0.83</c:v>
                </c:pt>
                <c:pt idx="45">
                  <c:v>0.8</c:v>
                </c:pt>
                <c:pt idx="46">
                  <c:v>0.82</c:v>
                </c:pt>
                <c:pt idx="47">
                  <c:v>0.85</c:v>
                </c:pt>
                <c:pt idx="48">
                  <c:v>0.82</c:v>
                </c:pt>
                <c:pt idx="49">
                  <c:v>0.87</c:v>
                </c:pt>
                <c:pt idx="50">
                  <c:v>0.89</c:v>
                </c:pt>
                <c:pt idx="51">
                  <c:v>0.87</c:v>
                </c:pt>
                <c:pt idx="52">
                  <c:v>0.89</c:v>
                </c:pt>
                <c:pt idx="5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50-3C48-86A0-72E6FA2E1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36032"/>
        <c:axId val="2050678255"/>
      </c:lineChart>
      <c:catAx>
        <c:axId val="3113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50678255"/>
        <c:crosses val="autoZero"/>
        <c:auto val="1"/>
        <c:lblAlgn val="ctr"/>
        <c:lblOffset val="100"/>
        <c:noMultiLvlLbl val="0"/>
      </c:catAx>
      <c:valAx>
        <c:axId val="205067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11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Czech2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sample</a:t>
            </a:r>
            <a:r>
              <a:rPr lang="ja-JP" altLang="en-US" baseline="0"/>
              <a:t> </a:t>
            </a:r>
            <a:r>
              <a:rPr lang="en-US" altLang="ja-JP" baseline="0"/>
              <a:t>3k,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'3k-xsk-mgv9'!$H$23:$S$23</c:f>
              <c:numCache>
                <c:formatCode>0.00</c:formatCode>
                <c:ptCount val="12"/>
                <c:pt idx="0">
                  <c:v>0.93</c:v>
                </c:pt>
                <c:pt idx="1">
                  <c:v>0.89</c:v>
                </c:pt>
                <c:pt idx="2">
                  <c:v>0.88</c:v>
                </c:pt>
                <c:pt idx="3">
                  <c:v>0.89</c:v>
                </c:pt>
                <c:pt idx="4">
                  <c:v>0.87</c:v>
                </c:pt>
                <c:pt idx="5">
                  <c:v>0.89</c:v>
                </c:pt>
                <c:pt idx="6">
                  <c:v>0.91</c:v>
                </c:pt>
                <c:pt idx="7">
                  <c:v>0.88</c:v>
                </c:pt>
                <c:pt idx="8">
                  <c:v>0.84</c:v>
                </c:pt>
                <c:pt idx="9">
                  <c:v>0.89</c:v>
                </c:pt>
                <c:pt idx="10">
                  <c:v>0.9</c:v>
                </c:pt>
                <c:pt idx="11">
                  <c:v>0.87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EC6-5740-825D-8F9F625B4BC9}"/>
            </c:ext>
          </c:extLst>
        </c:ser>
        <c:ser>
          <c:idx val="1"/>
          <c:order val="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'3k-xsk-mgv9'!$H$24:$S$24</c:f>
              <c:numCache>
                <c:formatCode>0.00</c:formatCode>
                <c:ptCount val="12"/>
                <c:pt idx="0">
                  <c:v>0.83</c:v>
                </c:pt>
                <c:pt idx="1">
                  <c:v>0.87</c:v>
                </c:pt>
                <c:pt idx="2">
                  <c:v>0.82</c:v>
                </c:pt>
                <c:pt idx="3">
                  <c:v>0.83</c:v>
                </c:pt>
                <c:pt idx="4">
                  <c:v>0.87</c:v>
                </c:pt>
                <c:pt idx="5">
                  <c:v>0.86</c:v>
                </c:pt>
                <c:pt idx="6">
                  <c:v>0.86</c:v>
                </c:pt>
                <c:pt idx="7">
                  <c:v>0.84</c:v>
                </c:pt>
                <c:pt idx="8">
                  <c:v>0.79</c:v>
                </c:pt>
                <c:pt idx="9">
                  <c:v>0.85</c:v>
                </c:pt>
                <c:pt idx="10">
                  <c:v>0.88</c:v>
                </c:pt>
                <c:pt idx="11">
                  <c:v>0.83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EC6-5740-825D-8F9F625B4BC9}"/>
            </c:ext>
          </c:extLst>
        </c:ser>
        <c:ser>
          <c:idx val="2"/>
          <c:order val="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'3k-xsk-mgv9'!$H$25:$S$25</c:f>
              <c:numCache>
                <c:formatCode>0.00</c:formatCode>
                <c:ptCount val="12"/>
                <c:pt idx="0">
                  <c:v>0.93</c:v>
                </c:pt>
                <c:pt idx="1">
                  <c:v>0.94</c:v>
                </c:pt>
                <c:pt idx="2">
                  <c:v>0.94</c:v>
                </c:pt>
                <c:pt idx="3">
                  <c:v>0.91</c:v>
                </c:pt>
                <c:pt idx="4">
                  <c:v>0.89</c:v>
                </c:pt>
                <c:pt idx="5">
                  <c:v>0.9</c:v>
                </c:pt>
                <c:pt idx="6">
                  <c:v>0.94</c:v>
                </c:pt>
                <c:pt idx="7">
                  <c:v>0.96</c:v>
                </c:pt>
                <c:pt idx="8">
                  <c:v>0.96</c:v>
                </c:pt>
                <c:pt idx="9">
                  <c:v>0.91</c:v>
                </c:pt>
                <c:pt idx="10">
                  <c:v>0.88</c:v>
                </c:pt>
                <c:pt idx="11">
                  <c:v>0.84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EC6-5740-825D-8F9F625B4BC9}"/>
            </c:ext>
          </c:extLst>
        </c:ser>
        <c:ser>
          <c:idx val="3"/>
          <c:order val="3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'3k-xsk-mgv9'!$H$26:$S$26</c:f>
              <c:numCache>
                <c:formatCode>0.00</c:formatCode>
                <c:ptCount val="12"/>
                <c:pt idx="0">
                  <c:v>0.77</c:v>
                </c:pt>
                <c:pt idx="1">
                  <c:v>0.75</c:v>
                </c:pt>
                <c:pt idx="2">
                  <c:v>0.72</c:v>
                </c:pt>
                <c:pt idx="3">
                  <c:v>0.71</c:v>
                </c:pt>
                <c:pt idx="4">
                  <c:v>0.77</c:v>
                </c:pt>
                <c:pt idx="5">
                  <c:v>0.77</c:v>
                </c:pt>
                <c:pt idx="6">
                  <c:v>0.73</c:v>
                </c:pt>
                <c:pt idx="7">
                  <c:v>0.78</c:v>
                </c:pt>
                <c:pt idx="8">
                  <c:v>0.75</c:v>
                </c:pt>
                <c:pt idx="9">
                  <c:v>0.75</c:v>
                </c:pt>
                <c:pt idx="10">
                  <c:v>0.78</c:v>
                </c:pt>
                <c:pt idx="11">
                  <c:v>0.75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EC6-5740-825D-8F9F625B4BC9}"/>
            </c:ext>
          </c:extLst>
        </c:ser>
        <c:ser>
          <c:idx val="4"/>
          <c:order val="4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'3k-xsk-mgv9'!$H$27:$S$27</c:f>
              <c:numCache>
                <c:formatCode>0.00</c:formatCode>
                <c:ptCount val="12"/>
                <c:pt idx="0">
                  <c:v>0.52</c:v>
                </c:pt>
                <c:pt idx="1">
                  <c:v>0.56000000000000005</c:v>
                </c:pt>
                <c:pt idx="2">
                  <c:v>0.54</c:v>
                </c:pt>
                <c:pt idx="3">
                  <c:v>0.56000000000000005</c:v>
                </c:pt>
                <c:pt idx="4">
                  <c:v>0.52</c:v>
                </c:pt>
                <c:pt idx="5">
                  <c:v>0.49</c:v>
                </c:pt>
                <c:pt idx="6">
                  <c:v>0.61</c:v>
                </c:pt>
                <c:pt idx="7">
                  <c:v>0.51</c:v>
                </c:pt>
                <c:pt idx="8">
                  <c:v>0.56999999999999995</c:v>
                </c:pt>
                <c:pt idx="9">
                  <c:v>0.56000000000000005</c:v>
                </c:pt>
                <c:pt idx="10">
                  <c:v>0.56000000000000005</c:v>
                </c:pt>
                <c:pt idx="11">
                  <c:v>0.47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EC6-5740-825D-8F9F625B4BC9}"/>
            </c:ext>
          </c:extLst>
        </c:ser>
        <c:ser>
          <c:idx val="5"/>
          <c:order val="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'3k-xsk-mgv9'!$H$28:$S$28</c:f>
              <c:numCache>
                <c:formatCode>0.00</c:formatCode>
                <c:ptCount val="12"/>
                <c:pt idx="0">
                  <c:v>0.42</c:v>
                </c:pt>
                <c:pt idx="1">
                  <c:v>0.47</c:v>
                </c:pt>
                <c:pt idx="2">
                  <c:v>0.42</c:v>
                </c:pt>
                <c:pt idx="3">
                  <c:v>0.46</c:v>
                </c:pt>
                <c:pt idx="4">
                  <c:v>0.43</c:v>
                </c:pt>
                <c:pt idx="5">
                  <c:v>0.48</c:v>
                </c:pt>
                <c:pt idx="6">
                  <c:v>0.48</c:v>
                </c:pt>
                <c:pt idx="7">
                  <c:v>0.43</c:v>
                </c:pt>
                <c:pt idx="8">
                  <c:v>0.46</c:v>
                </c:pt>
                <c:pt idx="9">
                  <c:v>0.46</c:v>
                </c:pt>
                <c:pt idx="10">
                  <c:v>0.51</c:v>
                </c:pt>
                <c:pt idx="11">
                  <c:v>0.45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EC6-5740-825D-8F9F625B4BC9}"/>
            </c:ext>
          </c:extLst>
        </c:ser>
        <c:ser>
          <c:idx val="6"/>
          <c:order val="6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3EC6-5740-825D-8F9F625B4BC9}"/>
            </c:ext>
          </c:extLst>
        </c:ser>
        <c:ser>
          <c:idx val="7"/>
          <c:order val="7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F-3EC6-5740-825D-8F9F625B4BC9}"/>
            </c:ext>
          </c:extLst>
        </c:ser>
        <c:ser>
          <c:idx val="8"/>
          <c:order val="8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1-3EC6-5740-825D-8F9F625B4BC9}"/>
            </c:ext>
          </c:extLst>
        </c:ser>
        <c:ser>
          <c:idx val="9"/>
          <c:order val="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3-3EC6-5740-825D-8F9F625B4BC9}"/>
            </c:ext>
          </c:extLst>
        </c:ser>
        <c:ser>
          <c:idx val="10"/>
          <c:order val="10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5-3EC6-5740-825D-8F9F625B4BC9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7-3EC6-5740-825D-8F9F625B4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882239"/>
        <c:axId val="612190367"/>
      </c:lineChart>
      <c:catAx>
        <c:axId val="512882239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12190367"/>
        <c:crosses val="autoZero"/>
        <c:auto val="1"/>
        <c:lblAlgn val="ctr"/>
        <c:lblOffset val="100"/>
        <c:noMultiLvlLbl val="0"/>
      </c:catAx>
      <c:valAx>
        <c:axId val="61219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12882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Czeck</a:t>
            </a:r>
            <a:r>
              <a:rPr lang="ja-JP" altLang="en-US" baseline="0"/>
              <a:t> </a:t>
            </a:r>
            <a:r>
              <a:rPr lang="en-US" altLang="ja-JP" baseline="0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sample</a:t>
            </a:r>
            <a:r>
              <a:rPr lang="ja-JP" altLang="en-US" baseline="0"/>
              <a:t> </a:t>
            </a:r>
            <a:r>
              <a:rPr lang="en-US" altLang="ja-JP" baseline="0"/>
              <a:t>3k,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'3k-xsk-mgv3'!$G$23</c:f>
              <c:strCache>
                <c:ptCount val="1"/>
                <c:pt idx="0">
                  <c:v>plurality-F-max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'3k-xsk-mgv3'!$H$23:$S$23</c:f>
              <c:numCache>
                <c:formatCode>0.00</c:formatCode>
                <c:ptCount val="12"/>
                <c:pt idx="0">
                  <c:v>0.84</c:v>
                </c:pt>
                <c:pt idx="1">
                  <c:v>0.86</c:v>
                </c:pt>
                <c:pt idx="2">
                  <c:v>0.85</c:v>
                </c:pt>
                <c:pt idx="3">
                  <c:v>0.9</c:v>
                </c:pt>
                <c:pt idx="4">
                  <c:v>0.82</c:v>
                </c:pt>
                <c:pt idx="5">
                  <c:v>0.88</c:v>
                </c:pt>
                <c:pt idx="6">
                  <c:v>0.83</c:v>
                </c:pt>
                <c:pt idx="7">
                  <c:v>0.83</c:v>
                </c:pt>
                <c:pt idx="8">
                  <c:v>0.82</c:v>
                </c:pt>
                <c:pt idx="9">
                  <c:v>0.86</c:v>
                </c:pt>
                <c:pt idx="10">
                  <c:v>0.85</c:v>
                </c:pt>
                <c:pt idx="1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C-194E-8608-8AB2E232DE08}"/>
            </c:ext>
          </c:extLst>
        </c:ser>
        <c:ser>
          <c:idx val="1"/>
          <c:order val="1"/>
          <c:tx>
            <c:strRef>
              <c:f>'3k-xsk-mgv3'!$G$24</c:f>
              <c:strCache>
                <c:ptCount val="1"/>
                <c:pt idx="0">
                  <c:v>plurality-T-max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'3k-xsk-mgv3'!$H$24:$S$24</c:f>
              <c:numCache>
                <c:formatCode>0.00</c:formatCode>
                <c:ptCount val="12"/>
                <c:pt idx="0">
                  <c:v>0.94</c:v>
                </c:pt>
                <c:pt idx="1">
                  <c:v>0.91</c:v>
                </c:pt>
                <c:pt idx="2">
                  <c:v>0.89</c:v>
                </c:pt>
                <c:pt idx="3">
                  <c:v>0.92</c:v>
                </c:pt>
                <c:pt idx="4">
                  <c:v>0.84</c:v>
                </c:pt>
                <c:pt idx="5">
                  <c:v>0.9</c:v>
                </c:pt>
                <c:pt idx="6">
                  <c:v>0.9</c:v>
                </c:pt>
                <c:pt idx="7">
                  <c:v>0.93</c:v>
                </c:pt>
                <c:pt idx="8">
                  <c:v>0.87</c:v>
                </c:pt>
                <c:pt idx="9">
                  <c:v>0.88</c:v>
                </c:pt>
                <c:pt idx="10">
                  <c:v>0.88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C-194E-8608-8AB2E232DE08}"/>
            </c:ext>
          </c:extLst>
        </c:ser>
        <c:ser>
          <c:idx val="2"/>
          <c:order val="2"/>
          <c:tx>
            <c:strRef>
              <c:f>'3k-xsk-mgv3'!$G$25</c:f>
              <c:strCache>
                <c:ptCount val="1"/>
                <c:pt idx="0">
                  <c:v>gender2-F-max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'3k-xsk-mgv3'!$H$25:$S$25</c:f>
              <c:numCache>
                <c:formatCode>0.00</c:formatCode>
                <c:ptCount val="12"/>
                <c:pt idx="0">
                  <c:v>0.76</c:v>
                </c:pt>
                <c:pt idx="1">
                  <c:v>0.73</c:v>
                </c:pt>
                <c:pt idx="2">
                  <c:v>0.75</c:v>
                </c:pt>
                <c:pt idx="3">
                  <c:v>0.74</c:v>
                </c:pt>
                <c:pt idx="4">
                  <c:v>0.76</c:v>
                </c:pt>
                <c:pt idx="5">
                  <c:v>0.74</c:v>
                </c:pt>
                <c:pt idx="6">
                  <c:v>0.71</c:v>
                </c:pt>
                <c:pt idx="7">
                  <c:v>0.77</c:v>
                </c:pt>
                <c:pt idx="8">
                  <c:v>0.77</c:v>
                </c:pt>
                <c:pt idx="9">
                  <c:v>0.73</c:v>
                </c:pt>
                <c:pt idx="10">
                  <c:v>0.74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8C-194E-8608-8AB2E232DE08}"/>
            </c:ext>
          </c:extLst>
        </c:ser>
        <c:ser>
          <c:idx val="3"/>
          <c:order val="3"/>
          <c:tx>
            <c:strRef>
              <c:f>'3k-xsk-mgv3'!$G$26</c:f>
              <c:strCache>
                <c:ptCount val="1"/>
                <c:pt idx="0">
                  <c:v>gender2-T-max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'3k-xsk-mgv3'!$H$26:$S$26</c:f>
              <c:numCache>
                <c:formatCode>0.00</c:formatCode>
                <c:ptCount val="12"/>
                <c:pt idx="0">
                  <c:v>0.95</c:v>
                </c:pt>
                <c:pt idx="1">
                  <c:v>0.93</c:v>
                </c:pt>
                <c:pt idx="2">
                  <c:v>0.91</c:v>
                </c:pt>
                <c:pt idx="3">
                  <c:v>0.91</c:v>
                </c:pt>
                <c:pt idx="4">
                  <c:v>0.92</c:v>
                </c:pt>
                <c:pt idx="5">
                  <c:v>0.91</c:v>
                </c:pt>
                <c:pt idx="6">
                  <c:v>0.93</c:v>
                </c:pt>
                <c:pt idx="7">
                  <c:v>0.92</c:v>
                </c:pt>
                <c:pt idx="8">
                  <c:v>0.94</c:v>
                </c:pt>
                <c:pt idx="9">
                  <c:v>0.93</c:v>
                </c:pt>
                <c:pt idx="10">
                  <c:v>0.92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8C-194E-8608-8AB2E232DE08}"/>
            </c:ext>
          </c:extLst>
        </c:ser>
        <c:ser>
          <c:idx val="4"/>
          <c:order val="4"/>
          <c:tx>
            <c:strRef>
              <c:f>'3k-xsk-mgv3'!$G$27</c:f>
              <c:strCache>
                <c:ptCount val="1"/>
                <c:pt idx="0">
                  <c:v>case-F-max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'3k-xsk-mgv3'!$H$27:$S$27</c:f>
              <c:numCache>
                <c:formatCode>0.00</c:formatCode>
                <c:ptCount val="12"/>
                <c:pt idx="0">
                  <c:v>0.46</c:v>
                </c:pt>
                <c:pt idx="1">
                  <c:v>0.48</c:v>
                </c:pt>
                <c:pt idx="2">
                  <c:v>0.47</c:v>
                </c:pt>
                <c:pt idx="3">
                  <c:v>0.43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0.48</c:v>
                </c:pt>
                <c:pt idx="8">
                  <c:v>0.44</c:v>
                </c:pt>
                <c:pt idx="9">
                  <c:v>0.44</c:v>
                </c:pt>
                <c:pt idx="10">
                  <c:v>0.48</c:v>
                </c:pt>
                <c:pt idx="11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8C-194E-8608-8AB2E232DE08}"/>
            </c:ext>
          </c:extLst>
        </c:ser>
        <c:ser>
          <c:idx val="5"/>
          <c:order val="5"/>
          <c:tx>
            <c:strRef>
              <c:f>'3k-xsk-mgv3'!$G$28</c:f>
              <c:strCache>
                <c:ptCount val="1"/>
                <c:pt idx="0">
                  <c:v>case-T-max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'3k-xsk-mgv3'!$H$22:$S$22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'3k-xsk-mgv3'!$H$28:$S$28</c:f>
              <c:numCache>
                <c:formatCode>0.00</c:formatCode>
                <c:ptCount val="12"/>
                <c:pt idx="0">
                  <c:v>0.59</c:v>
                </c:pt>
                <c:pt idx="1">
                  <c:v>0.56000000000000005</c:v>
                </c:pt>
                <c:pt idx="2">
                  <c:v>0.55000000000000004</c:v>
                </c:pt>
                <c:pt idx="3">
                  <c:v>0.56000000000000005</c:v>
                </c:pt>
                <c:pt idx="4">
                  <c:v>0.52</c:v>
                </c:pt>
                <c:pt idx="5">
                  <c:v>0.51</c:v>
                </c:pt>
                <c:pt idx="6">
                  <c:v>0.52</c:v>
                </c:pt>
                <c:pt idx="7">
                  <c:v>0.59</c:v>
                </c:pt>
                <c:pt idx="8">
                  <c:v>0.54</c:v>
                </c:pt>
                <c:pt idx="9">
                  <c:v>0.51</c:v>
                </c:pt>
                <c:pt idx="10">
                  <c:v>0.49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8C-194E-8608-8AB2E232D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117664"/>
        <c:axId val="1225587472"/>
      </c:lineChart>
      <c:catAx>
        <c:axId val="1033117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225587472"/>
        <c:crosses val="autoZero"/>
        <c:auto val="1"/>
        <c:lblAlgn val="ctr"/>
        <c:lblOffset val="100"/>
        <c:noMultiLvlLbl val="0"/>
      </c:catAx>
      <c:valAx>
        <c:axId val="12255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33117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1003300</xdr:colOff>
      <xdr:row>0</xdr:row>
      <xdr:rowOff>228600</xdr:rowOff>
    </xdr:from>
    <xdr:to>
      <xdr:col>29</xdr:col>
      <xdr:colOff>285800</xdr:colOff>
      <xdr:row>16</xdr:row>
      <xdr:rowOff>163200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4A4B3-63F2-F1FD-9751-A9ECA0A9F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596900</xdr:colOff>
      <xdr:row>22</xdr:row>
      <xdr:rowOff>114297</xdr:rowOff>
    </xdr:from>
    <xdr:to>
      <xdr:col>27</xdr:col>
      <xdr:colOff>27900</xdr:colOff>
      <xdr:row>34</xdr:row>
      <xdr:rowOff>319497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D184F-9FAF-1F85-75DA-F59E1732B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279400</xdr:colOff>
      <xdr:row>18</xdr:row>
      <xdr:rowOff>215897</xdr:rowOff>
    </xdr:from>
    <xdr:to>
      <xdr:col>26</xdr:col>
      <xdr:colOff>281900</xdr:colOff>
      <xdr:row>32</xdr:row>
      <xdr:rowOff>90897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BFCC6-79D6-C916-FE85-52928DEAD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682277-B3C4-9140-A7BB-8E763FFEE667}" name="Table7" displayName="Table7" ref="A1:X55" totalsRowShown="0">
  <autoFilter ref="A1:X55" xr:uid="{F8682277-B3C4-9140-A7BB-8E763FFEE667}"/>
  <sortState xmlns:xlrd2="http://schemas.microsoft.com/office/spreadsheetml/2017/richdata2" ref="A2:X55">
    <sortCondition ref="I1:I55"/>
  </sortState>
  <tableColumns count="24">
    <tableColumn id="1" xr3:uid="{220A770E-D86D-9449-82F0-82C77C20803B}" name="skippiness"/>
    <tableColumn id="2" xr3:uid="{E20B60CB-2672-0444-9018-8A0E7C2829BD}" name="sample.n"/>
    <tableColumn id="3" xr3:uid="{CE80511D-BD81-3249-986B-59C74F41A90C}" name="mgv"/>
    <tableColumn id="4" xr3:uid="{CCDE61AB-B100-A14A-BD60-DB807218AE0E}" name="attribute.index"/>
    <tableColumn id="5" xr3:uid="{F4016EFF-E311-3842-AB7E-266A5F4E5D0D}" name="attribute"/>
    <tableColumn id="6" xr3:uid="{2AF9D71F-0A6E-C845-8660-1035C1F765E7}" name="supplemented"/>
    <tableColumn id="7" xr3:uid="{BBAD0683-F8CF-1449-ADA2-9B314CD7FA94}" name="method.index"/>
    <tableColumn id="8" xr3:uid="{14C61D05-FAEB-2B41-92FF-2ABF6C8FEC37}" name="metric"/>
    <tableColumn id="22" xr3:uid="{A3DAF344-B5C4-954C-89BC-C3AC26C24A8F}" name="var" dataDxfId="290">
      <calculatedColumnFormula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calculatedColumnFormula>
    </tableColumn>
    <tableColumn id="9" xr3:uid="{B20451B5-ECF7-4445-9140-9EA4C074AADE}" name="2g-no-hash" dataDxfId="289"/>
    <tableColumn id="10" xr3:uid="{4CBE6246-A7D2-7342-B373-4F67CC239F0B}" name="3g-no-hash" dataDxfId="288"/>
    <tableColumn id="11" xr3:uid="{244E5E92-8C53-9D46-8400-B2C62A614FD7}" name="4g-no-hash" dataDxfId="287"/>
    <tableColumn id="12" xr3:uid="{CDB5D869-3479-0949-9289-0A8E116FC741}" name="xsk2g-no-hash" dataDxfId="286"/>
    <tableColumn id="13" xr3:uid="{67F97ECE-E6F7-7942-AA9D-6658EED46050}" name="xsk3g-no-hash" dataDxfId="285"/>
    <tableColumn id="14" xr3:uid="{31C9BD36-3FBA-074E-9FE0-F4CD0AB03D28}" name="xsk4g-no-hash" dataDxfId="284"/>
    <tableColumn id="15" xr3:uid="{A4F5492C-F9C7-8746-B5DC-9A83148BFB47}" name="2g-hash-at-both" dataDxfId="283"/>
    <tableColumn id="16" xr3:uid="{160FD3EC-0040-9042-833A-698E391FE75B}" name="3g-hash-at-both" dataDxfId="282"/>
    <tableColumn id="17" xr3:uid="{29DFEC75-341C-C848-915A-FD1118420F5F}" name="4g-hash-at-both" dataDxfId="281"/>
    <tableColumn id="18" xr3:uid="{828BFD71-6641-2D4E-8921-CC8014509BD9}" name="xsk2g-hash-at-both" dataDxfId="280"/>
    <tableColumn id="19" xr3:uid="{343A1343-A2DD-0E4F-8354-9E3155D2B14E}" name="xsk3g-hash-at-both" dataDxfId="279"/>
    <tableColumn id="20" xr3:uid="{8938053F-484A-9843-8F4A-A212D5289C38}" name="xsk4g-hash-at-both" dataDxfId="278"/>
    <tableColumn id="21" xr3:uid="{E233B894-C8FF-B244-8D60-1EDECBF71EF0}" name="max" dataDxfId="277"/>
    <tableColumn id="23" xr3:uid="{BC49E0D7-9DD6-5C46-A0E6-88E45CC6C508}" name="geomean" dataDxfId="276">
      <calculatedColumnFormula>_xlfn.LET(_xlpm.d,$J2:$U2,GEOMEAN(_xlpm.d))</calculatedColumnFormula>
    </tableColumn>
    <tableColumn id="24" xr3:uid="{D3EB75A3-EF70-9546-87CD-F6AE7E14F041}" name="gm.rank" dataDxfId="275">
      <calculatedColumnFormula>_xlfn.LET(_xlpm.x,W2,_xlpm.r,W$2:W$55,RANK(_xlpm.x,_xlpm.r))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F84DE3-FD7A-5240-8642-1DC8FCF78950}" name="Table8" displayName="Table8" ref="U58:X67" totalsRowShown="0">
  <autoFilter ref="U58:X67" xr:uid="{49F84DE3-FD7A-5240-8642-1DC8FCF78950}"/>
  <sortState xmlns:xlrd2="http://schemas.microsoft.com/office/spreadsheetml/2017/richdata2" ref="U59:X67">
    <sortCondition ref="U58:U67"/>
  </sortState>
  <tableColumns count="4">
    <tableColumn id="1" xr3:uid="{97555990-BEDB-0641-AA99-A6B1BEB00A96}" name="sample.n"/>
    <tableColumn id="2" xr3:uid="{3289D249-C199-1B4F-A9EB-6C79C21F6795}" name="mgv"/>
    <tableColumn id="3" xr3:uid="{7617C9E0-5B4C-7C48-98DB-1CFCB6D05BA3}" name="supplemented"/>
    <tableColumn id="4" xr3:uid="{0E023F57-5800-7047-85EF-44D128B06D68}" name="gm.rank.average" dataDxfId="274">
      <calculatedColumnFormula array="1">_xlfn.LET(_xlpm.d,X$2:X$55,_xlpm.a,$B$2:$B$55=$U59,_xlpm.b,$C$2:$C$55=$V59,_xlpm.c,$F$2:$F$55=$W59,GEOMEAN(_xlfn._xlws.FILTER(_xlpm.d,_xlpm.a*_xlpm.b)))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407A54-C778-1F48-A6B9-DA7FD4A19FDF}" name="Table9" displayName="Table9" ref="U70:X79" totalsRowShown="0">
  <autoFilter ref="U70:X79" xr:uid="{8B407A54-C778-1F48-A6B9-DA7FD4A19FDF}"/>
  <sortState xmlns:xlrd2="http://schemas.microsoft.com/office/spreadsheetml/2017/richdata2" ref="U71:X79">
    <sortCondition ref="V70:V79"/>
  </sortState>
  <tableColumns count="4">
    <tableColumn id="1" xr3:uid="{5AA2DC0D-88AF-654C-BDFA-77B9E2E7A38B}" name="sample.n"/>
    <tableColumn id="2" xr3:uid="{6899AAE7-3438-214B-B99C-11FB680094A6}" name="mgv"/>
    <tableColumn id="3" xr3:uid="{44FCFE31-F87A-8A41-9C7C-0B85EE2A4E3B}" name="attribute"/>
    <tableColumn id="4" xr3:uid="{B07F6279-F96F-BC42-9794-5130398F45CC}" name="gm.rank.average" dataDxfId="273">
      <calculatedColumnFormula array="1">_xlfn.LET(_xlpm.d,X$2:X$55,_xlpm.a,$B$2:$B$55=$U71,_xlpm.b,$C$2:$C$55=$V71,_xlpm.c,$E$2:$E$55=$W71,GEOMEAN(_xlfn._xlws.FILTER(_xlpm.d,_xlpm.a*_xlpm.b)))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FC7847-393A-B640-BBB9-CAE750081157}" name="Table10" displayName="Table10" ref="U82:X91" totalsRowShown="0">
  <autoFilter ref="U82:X91" xr:uid="{A6FC7847-393A-B640-BBB9-CAE750081157}"/>
  <sortState xmlns:xlrd2="http://schemas.microsoft.com/office/spreadsheetml/2017/richdata2" ref="U83:X91">
    <sortCondition ref="X82:X91"/>
  </sortState>
  <tableColumns count="4">
    <tableColumn id="1" xr3:uid="{3174B536-5CB1-DB4B-9B81-7BF70DA4B898}" name="sample.n"/>
    <tableColumn id="2" xr3:uid="{826B6BBE-8B8F-B24F-82D1-01F3397DFC04}" name="mgv"/>
    <tableColumn id="3" xr3:uid="{E46FDB6C-0382-A449-8BD2-20DBF707E135}" name="attribute"/>
    <tableColumn id="4" xr3:uid="{C1E67D75-7B83-BF4B-AC51-13801E10E82D}" name="gm.rank.average" dataDxfId="272">
      <calculatedColumnFormula array="1">_xlfn.LET(_xlpm.d,X$2:X$55,_xlpm.a,$B$2:$B$55=$U83,_xlpm.b,$C$2:$C$55=$V83,_xlpm.c,$E$2:$E$55=$W83,GEOMEAN(_xlfn._xlws.FILTER(_xlpm.d,_xlpm.a*_xlpm.b)))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600E85F-71F5-774D-8A02-BEDD3617CD19}" name="Table1021" displayName="Table1021" ref="U94:X103" totalsRowShown="0">
  <autoFilter ref="U94:X103" xr:uid="{E600E85F-71F5-774D-8A02-BEDD3617CD19}"/>
  <sortState xmlns:xlrd2="http://schemas.microsoft.com/office/spreadsheetml/2017/richdata2" ref="U95:X103">
    <sortCondition ref="X94:X103"/>
  </sortState>
  <tableColumns count="4">
    <tableColumn id="1" xr3:uid="{3C7120B8-29A3-8740-B853-8A7E3B29A5F1}" name="sample.n"/>
    <tableColumn id="2" xr3:uid="{479898CC-E39B-2B44-BEEC-F1A9622A0F39}" name="mgv"/>
    <tableColumn id="3" xr3:uid="{E0C26498-6FAD-C44B-93A7-583E32AC7DD1}" name="attribute"/>
    <tableColumn id="4" xr3:uid="{51D7AE65-784C-3C49-9F68-B4EA01140432}" name="gm.rank.average" dataDxfId="271">
      <calculatedColumnFormula array="1">_xlfn.LET(_xlpm.d,X$2:X$55,_xlpm.a,$B$2:$B$55=$U95,_xlpm.b,$C$2:$C$55=$V95,_xlpm.c,$E$2:$E$55=$W95,GEOMEAN(_xlfn._xlws.FILTER(_xlpm.d,_xlpm.a*_xlpm.b)))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11571-261D-8E40-A87B-3E3E0AA69395}" name="Table1" displayName="Table1" ref="A1:T19" totalsRowShown="0">
  <autoFilter ref="A1:T19" xr:uid="{FE911571-261D-8E40-A87B-3E3E0AA69395}"/>
  <sortState xmlns:xlrd2="http://schemas.microsoft.com/office/spreadsheetml/2017/richdata2" ref="A2:T19">
    <sortCondition ref="B1:B19"/>
  </sortState>
  <tableColumns count="20">
    <tableColumn id="1" xr3:uid="{CB447037-EAD2-6240-8A2A-EC7EBCC562E1}" name="lang"/>
    <tableColumn id="24" xr3:uid="{BDD38101-A229-004C-81BB-844AB5644A91}" name="attribute.index"/>
    <tableColumn id="2" xr3:uid="{6AEEDCAB-F956-A14D-9DB6-A923E30DD5E1}" name="attribute"/>
    <tableColumn id="3" xr3:uid="{7E0B3E2F-E632-1F4B-80BD-011AFAA99A86}" name="supplemented"/>
    <tableColumn id="25" xr3:uid="{E257D76D-F775-D74F-B92F-FA85072B3760}" name="method.index"/>
    <tableColumn id="4" xr3:uid="{805CE453-1465-FB4A-86D8-93F175A96B7E}" name="method"/>
    <tableColumn id="8" xr3:uid="{0B01C957-4D57-6B40-A196-A41DA768EB5E}" name="var" dataDxfId="270">
      <calculatedColumnFormula>_xlfn.TEXTJOIN("-",TRUE,Table1[[#This Row],[attribute]],LEFT(Table1[[#This Row],[supplemented]],1),Table1[[#This Row],[method]])</calculatedColumnFormula>
    </tableColumn>
    <tableColumn id="5" xr3:uid="{2790929F-996A-044E-9C89-C46EC293A861}" name="2g-no-hash" dataDxfId="269"/>
    <tableColumn id="6" xr3:uid="{F9CBFB24-4C82-2742-8B79-E3E35D0104D1}" name="3g-no-hash" dataDxfId="268"/>
    <tableColumn id="7" xr3:uid="{84CB90EC-D8CA-B345-9260-9ED97AD95814}" name="4g-no-hash" dataDxfId="267"/>
    <tableColumn id="11" xr3:uid="{7DD41F0D-4455-9749-B334-3E528CD8170A}" name="xsk2g-no-hash" dataDxfId="266"/>
    <tableColumn id="12" xr3:uid="{C5AAAB53-CCF1-3741-91EF-C8C7DA0D0CC3}" name="xsk3g-no-hash" dataDxfId="265"/>
    <tableColumn id="13" xr3:uid="{D51C0467-473D-6644-89A7-EEBD51B4D2CD}" name="xsk4g-no-hash" dataDxfId="264"/>
    <tableColumn id="14" xr3:uid="{B7431F6D-0A16-B443-AF33-787D755D7100}" name="2g-hash-at-both" dataDxfId="263"/>
    <tableColumn id="15" xr3:uid="{7B5663B0-1E51-AD48-A5CB-BF0BB6DC9D41}" name="3g-hash-at-both" dataDxfId="262"/>
    <tableColumn id="16" xr3:uid="{D7BEFE7A-1822-5342-BB4C-BF92602F2BED}" name="4g-hash-at-both" dataDxfId="261"/>
    <tableColumn id="20" xr3:uid="{ADB5B902-9FAF-B240-9D79-E50BD887687E}" name="xsk2g-hash-at-both" dataDxfId="260"/>
    <tableColumn id="21" xr3:uid="{B671DA51-7FE4-CF43-9BDD-0059F908A50D}" name="xsk3g-hash-at-both" dataDxfId="259"/>
    <tableColumn id="22" xr3:uid="{48A25609-0888-4144-B241-6EFF74058C4C}" name="xsk4g-hash-at-both" dataDxfId="258"/>
    <tableColumn id="23" xr3:uid="{A740E8D8-CE33-904D-9319-4DB4B0C7F33A}" name="max" dataDxfId="257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721822-6578-B946-A4E7-BF3891C3A5AB}" name="Table2" displayName="Table2" ref="B22:T28" totalsRowShown="0">
  <autoFilter ref="B22:T28" xr:uid="{53721822-6578-B946-A4E7-BF3891C3A5AB}"/>
  <sortState xmlns:xlrd2="http://schemas.microsoft.com/office/spreadsheetml/2017/richdata2" ref="C23:T28">
    <sortCondition descending="1" ref="C22:C28"/>
  </sortState>
  <tableColumns count="19">
    <tableColumn id="24" xr3:uid="{0B3D21BF-D068-D04F-9ED5-9CEF997C7F7A}" name="attribute.index" dataDxfId="256"/>
    <tableColumn id="1" xr3:uid="{F76FDB89-972B-5243-BEBE-19B35F6634BE}" name="attribute"/>
    <tableColumn id="2" xr3:uid="{70CC468B-EE75-BB46-A347-17A9C67F1AF7}" name="supplemented"/>
    <tableColumn id="3" xr3:uid="{A52A86C5-B41A-CE40-AAF4-BF20EB745AEF}" name="method.index"/>
    <tableColumn id="4" xr3:uid="{0177DA55-29EE-3D49-948F-25CA089AF55B}" name="method"/>
    <tableColumn id="8" xr3:uid="{C84492CA-B698-3F41-8BEB-F456A5DF3011}" name="var" dataDxfId="255">
      <calculatedColumnFormula>_xlfn.TEXTJOIN("-",TRUE,Table2[[#This Row],[attribute]],LEFT(Table2[[#This Row],[supplemented]],1),Table2[[#This Row],[method]])</calculatedColumnFormula>
    </tableColumn>
    <tableColumn id="5" xr3:uid="{116129F3-4784-1F42-ACEB-F7B837FF6AA1}" name="2g-no-hash" dataDxfId="254">
      <calculatedColumnFormula array="1">_xlfn.LET(_xlpm.d,H$2:H$19,_xlpm.a,$C$2:$C$19=$C23,_xlpm.b,$D$2:$D$19=$D23,MAX(_xlfn._xlws.FILTER(_xlpm.d,_xlpm.a*_xlpm.b)))</calculatedColumnFormula>
    </tableColumn>
    <tableColumn id="6" xr3:uid="{912BD4E9-25AB-8C43-98DC-05000C443B78}" name="3g-no-hash" dataDxfId="253">
      <calculatedColumnFormula array="1">_xlfn.LET(_xlpm.d,I$2:I$19,_xlpm.a,$C$2:$C$19=$C23,_xlpm.b,$D$2:$D$19=$D23,MAX(_xlfn._xlws.FILTER(_xlpm.d,_xlpm.a*_xlpm.b)))</calculatedColumnFormula>
    </tableColumn>
    <tableColumn id="7" xr3:uid="{F28A3D3D-B742-6241-9906-478E9C32DFFF}" name="4g-no-hash" dataDxfId="252">
      <calculatedColumnFormula array="1">_xlfn.LET(_xlpm.d,J$2:J$19,_xlpm.a,$C$2:$C$19=$C23,_xlpm.b,$D$2:$D$19=$D23,MAX(_xlfn._xlws.FILTER(_xlpm.d,_xlpm.a*_xlpm.b)))</calculatedColumnFormula>
    </tableColumn>
    <tableColumn id="11" xr3:uid="{A360F610-EDDB-574B-9A29-FE51AE92BCB1}" name="xsk2g-no-hash" dataDxfId="251">
      <calculatedColumnFormula array="1">_xlfn.LET(_xlpm.d,K$2:K$19,_xlpm.a,$C$2:$C$19=$C23,_xlpm.b,$D$2:$D$19=$D23,MAX(_xlfn._xlws.FILTER(_xlpm.d,_xlpm.a*_xlpm.b)))</calculatedColumnFormula>
    </tableColumn>
    <tableColumn id="12" xr3:uid="{6E0504C8-7770-094F-A22D-3016629747D9}" name="xsk3g-no-hash" dataDxfId="250">
      <calculatedColumnFormula array="1">_xlfn.LET(_xlpm.d,L$2:L$19,_xlpm.a,$C$2:$C$19=$C23,_xlpm.b,$D$2:$D$19=$D23,MAX(_xlfn._xlws.FILTER(_xlpm.d,_xlpm.a*_xlpm.b)))</calculatedColumnFormula>
    </tableColumn>
    <tableColumn id="13" xr3:uid="{832EDEFB-9AC4-FC47-85E7-B037C3307BCD}" name="xsk4g-no-hash" dataDxfId="249">
      <calculatedColumnFormula array="1">_xlfn.LET(_xlpm.d,M$2:M$19,_xlpm.a,$C$2:$C$19=$C23,_xlpm.b,$D$2:$D$19=$D23,MAX(_xlfn._xlws.FILTER(_xlpm.d,_xlpm.a*_xlpm.b)))</calculatedColumnFormula>
    </tableColumn>
    <tableColumn id="14" xr3:uid="{41936A98-5C6A-7C47-B173-8432489ACCE8}" name="2g-hash-at-both" dataDxfId="248">
      <calculatedColumnFormula array="1">_xlfn.LET(_xlpm.d,N$2:N$19,_xlpm.a,$C$2:$C$19=$C23,_xlpm.b,$D$2:$D$19=$D23,MAX(_xlfn._xlws.FILTER(_xlpm.d,_xlpm.a*_xlpm.b)))</calculatedColumnFormula>
    </tableColumn>
    <tableColumn id="15" xr3:uid="{2EF12D4C-8D39-6F44-BDDC-55341B156AA0}" name="3g-hash-at-both" dataDxfId="247">
      <calculatedColumnFormula array="1">_xlfn.LET(_xlpm.d,O$2:O$19,_xlpm.a,$C$2:$C$19=$C23,_xlpm.b,$D$2:$D$19=$D23,MAX(_xlfn._xlws.FILTER(_xlpm.d,_xlpm.a*_xlpm.b)))</calculatedColumnFormula>
    </tableColumn>
    <tableColumn id="16" xr3:uid="{7111FBED-47A5-8247-82FA-8BBDA26488D9}" name="4g-hash-at-both" dataDxfId="246">
      <calculatedColumnFormula array="1">_xlfn.LET(_xlpm.d,P$2:P$19,_xlpm.a,$C$2:$C$19=$C23,_xlpm.b,$D$2:$D$19=$D23,MAX(_xlfn._xlws.FILTER(_xlpm.d,_xlpm.a*_xlpm.b)))</calculatedColumnFormula>
    </tableColumn>
    <tableColumn id="20" xr3:uid="{326B708F-85BF-8146-B3CD-219B242AF4CA}" name="xsk2g-hash-at-both" dataDxfId="245">
      <calculatedColumnFormula array="1">_xlfn.LET(_xlpm.d,Q$2:Q$19,_xlpm.a,$C$2:$C$19=$C23,_xlpm.b,$D$2:$D$19=$D23,MAX(_xlfn._xlws.FILTER(_xlpm.d,_xlpm.a*_xlpm.b)))</calculatedColumnFormula>
    </tableColumn>
    <tableColumn id="21" xr3:uid="{C5878014-32C1-9742-91A7-DC8942092156}" name="xsk3g-hash-at-both" dataDxfId="244">
      <calculatedColumnFormula array="1">_xlfn.LET(_xlpm.d,R$2:R$19,_xlpm.a,$C$2:$C$19=$C23,_xlpm.b,$D$2:$D$19=$D23,MAX(_xlfn._xlws.FILTER(_xlpm.d,_xlpm.a*_xlpm.b)))</calculatedColumnFormula>
    </tableColumn>
    <tableColumn id="22" xr3:uid="{F0EA13D5-A054-8948-B715-0EAAFEA95CC3}" name="xsk4g-hash-at-both" dataDxfId="243">
      <calculatedColumnFormula array="1">_xlfn.LET(_xlpm.d,S$2:S$19,_xlpm.a,$C$2:$C$19=$C23,_xlpm.b,$D$2:$D$19=$D23,MAX(_xlfn._xlws.FILTER(_xlpm.d,_xlpm.a*_xlpm.b)))</calculatedColumnFormula>
    </tableColumn>
    <tableColumn id="23" xr3:uid="{C5A30CB7-0B5A-C745-9545-F0FCB030C122}" name="max" dataDxfId="242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64040F-DA69-3F43-A29A-3CE0A952C65E}" name="Table4" displayName="Table4" ref="B36:S42" totalsRowShown="0">
  <autoFilter ref="B36:S42" xr:uid="{8464040F-DA69-3F43-A29A-3CE0A952C65E}"/>
  <sortState xmlns:xlrd2="http://schemas.microsoft.com/office/spreadsheetml/2017/richdata2" ref="B37:S42">
    <sortCondition ref="B36:B42"/>
  </sortState>
  <tableColumns count="18">
    <tableColumn id="23" xr3:uid="{0809AD36-E9DE-F64B-AA4A-4C723FB68766}" name="attribute.index" dataDxfId="241"/>
    <tableColumn id="1" xr3:uid="{0757AF01-32C8-BE4B-8C21-682CD79BA969}" name="attribute"/>
    <tableColumn id="2" xr3:uid="{C464A7BF-10F1-AC49-9FB7-27286C44C7DC}" name="supplemented"/>
    <tableColumn id="3" xr3:uid="{415A4F34-F3E7-5842-83A6-D08DDA21D377}" name="method.index"/>
    <tableColumn id="4" xr3:uid="{6223D491-281E-5446-906E-3E77D94CD587}" name="method"/>
    <tableColumn id="8" xr3:uid="{2BFCB203-E755-B441-B035-C5F9E5C6E3B3}" name="var" dataDxfId="240">
      <calculatedColumnFormula>_xlfn.TEXTJOIN("-",TRUE,Table4[[#This Row],[attribute]],LEFT(Table4[[#This Row],[supplemented]],1),Table4[[#This Row],[method]])</calculatedColumnFormula>
    </tableColumn>
    <tableColumn id="5" xr3:uid="{F045A218-737B-5F48-873A-37DA500275AF}" name="2g-no-hash" dataDxfId="239">
      <calculatedColumnFormula>_xlfn.LET(_xlpm.d,$H23:$S23,RANK(H23,_xlpm.d))</calculatedColumnFormula>
    </tableColumn>
    <tableColumn id="6" xr3:uid="{9D344E9C-A7DA-5845-8521-04D6965BEA89}" name="3g-no-hash" dataDxfId="238">
      <calculatedColumnFormula>_xlfn.LET(_xlpm.d,$H23:$S23,RANK(I23,_xlpm.d))</calculatedColumnFormula>
    </tableColumn>
    <tableColumn id="7" xr3:uid="{63E0CCA3-4C19-3942-A986-CDD102B29609}" name="4g-no-hash" dataDxfId="237">
      <calculatedColumnFormula>_xlfn.LET(_xlpm.d,$H23:$S23,RANK(J23,_xlpm.d))</calculatedColumnFormula>
    </tableColumn>
    <tableColumn id="11" xr3:uid="{01A33B73-F209-F54C-A7F3-A8F404BC06FF}" name="xsk2g-no-hash" dataDxfId="236">
      <calculatedColumnFormula>_xlfn.LET(_xlpm.d,$H23:$S23,RANK(K23,_xlpm.d))</calculatedColumnFormula>
    </tableColumn>
    <tableColumn id="12" xr3:uid="{CD3FD699-A6AF-1949-90F1-7D26587E0A16}" name="xsk3g-no-hash" dataDxfId="235">
      <calculatedColumnFormula>_xlfn.LET(_xlpm.d,$H23:$S23,RANK(L23,_xlpm.d))</calculatedColumnFormula>
    </tableColumn>
    <tableColumn id="13" xr3:uid="{A0D73E6B-71D7-AF40-8E7E-92E235E0F379}" name="xsk4g-no-hash" dataDxfId="234">
      <calculatedColumnFormula>_xlfn.LET(_xlpm.d,$H23:$S23,RANK(M23,_xlpm.d))</calculatedColumnFormula>
    </tableColumn>
    <tableColumn id="14" xr3:uid="{9420A18B-8C61-2945-84F1-2BB5D4605858}" name="2g-hash-at-both" dataDxfId="233">
      <calculatedColumnFormula>_xlfn.LET(_xlpm.d,$H23:$S23,RANK(N23,_xlpm.d))</calculatedColumnFormula>
    </tableColumn>
    <tableColumn id="15" xr3:uid="{C767A7A9-E22A-C041-AC95-B26FD9A2FB50}" name="3g-hash-at-both" dataDxfId="232">
      <calculatedColumnFormula>_xlfn.LET(_xlpm.d,$H23:$S23,RANK(O23,_xlpm.d))</calculatedColumnFormula>
    </tableColumn>
    <tableColumn id="16" xr3:uid="{448B9421-F62D-CA4F-A3EC-DB521FE8C82A}" name="4g-hash-at-both" dataDxfId="231">
      <calculatedColumnFormula>_xlfn.LET(_xlpm.d,$H23:$S23,RANK(P23,_xlpm.d))</calculatedColumnFormula>
    </tableColumn>
    <tableColumn id="20" xr3:uid="{BF926EC0-C1A6-B442-B8B3-C243D0A6C7E8}" name="xsk2g-hash-at-both" dataDxfId="230">
      <calculatedColumnFormula>_xlfn.LET(_xlpm.d,$H23:$S23,RANK(Q23,_xlpm.d))</calculatedColumnFormula>
    </tableColumn>
    <tableColumn id="21" xr3:uid="{0A9B149C-4D71-784C-BDA7-600440D0BC4D}" name="xsk3g-hash-at-both" dataDxfId="229">
      <calculatedColumnFormula>_xlfn.LET(_xlpm.d,$H23:$S23,RANK(R23,_xlpm.d))</calculatedColumnFormula>
    </tableColumn>
    <tableColumn id="22" xr3:uid="{DE1D8AFF-2649-EB46-BA36-27787C525791}" name="xsk4g-hash-at-both" dataDxfId="228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F7C4145-A76E-8249-B8FD-DE55AF5460D9}" name="Table21" displayName="Table21" ref="A1:T19" totalsRowShown="0">
  <autoFilter ref="A1:T19" xr:uid="{3F7C4145-A76E-8249-B8FD-DE55AF5460D9}"/>
  <tableColumns count="20">
    <tableColumn id="1" xr3:uid="{BBA55636-05CA-CE47-A2A3-E04BD11519D7}" name="lang"/>
    <tableColumn id="2" xr3:uid="{8CC7693C-FE06-ED41-A2C2-2250FCF863F5}" name="attribute.index"/>
    <tableColumn id="3" xr3:uid="{2F76C1BD-86AC-7F42-BE9A-EE8113C95AC7}" name="attribute"/>
    <tableColumn id="4" xr3:uid="{0170747A-CB11-2346-8ABB-C7A0F3AD1067}" name="supplement"/>
    <tableColumn id="5" xr3:uid="{336F31F1-7051-B54C-9B58-62200875F9D0}" name="method.index"/>
    <tableColumn id="6" xr3:uid="{B95A73CD-7A6A-1749-A9A4-BB7F3153469D}" name="method"/>
    <tableColumn id="20" xr3:uid="{F7AE016B-BE99-4346-BD56-2816930EC9B1}" name="var"/>
    <tableColumn id="7" xr3:uid="{1236C45E-F1CB-9E4B-A6D7-71547C7F0754}" name="2g-no-hash" dataDxfId="227"/>
    <tableColumn id="8" xr3:uid="{324EA6B8-4595-5245-8979-7DE9228ED51D}" name="3g-no-hash" dataDxfId="226"/>
    <tableColumn id="9" xr3:uid="{A999DA3D-E45F-814F-AAD5-FE2198668AFF}" name="4g-no-hash" dataDxfId="225"/>
    <tableColumn id="10" xr3:uid="{35D9BEAA-49B4-3548-BFD6-C4601FE0E3EF}" name="xsk2g-no-hash" dataDxfId="224"/>
    <tableColumn id="11" xr3:uid="{20CE0570-6CAD-6547-A824-D6DEAF4B8EA7}" name="xsk3g-no-hash" dataDxfId="223"/>
    <tableColumn id="12" xr3:uid="{0B731C2D-A26D-264D-8606-EEEE4ABC153C}" name="xsk4g-no-hash" dataDxfId="222"/>
    <tableColumn id="13" xr3:uid="{9915DA43-4D09-A049-8463-84D5A75DBA28}" name="2g-hash-at-both" dataDxfId="221"/>
    <tableColumn id="14" xr3:uid="{D68DD055-F06E-3E42-AA9B-64F790F72717}" name="3g-hash-at-both" dataDxfId="220"/>
    <tableColumn id="15" xr3:uid="{3CFE876B-35FD-6246-8AC5-A9C999A557A7}" name="4g-hash-at-both" dataDxfId="219"/>
    <tableColumn id="16" xr3:uid="{A5A82D34-DB92-B04B-851E-DB352F81E77B}" name="xsk2g-hash-at-both" dataDxfId="218"/>
    <tableColumn id="17" xr3:uid="{B0798B8E-C8BF-CC49-8543-34F76B8C4FBA}" name="xsk3g-hash-at-both" dataDxfId="217"/>
    <tableColumn id="18" xr3:uid="{69B05179-D2FE-574F-B6FD-E8FA02CE5C04}" name="xsk4g-hash-at-both" dataDxfId="216"/>
    <tableColumn id="19" xr3:uid="{29ED1AC1-27A5-E04F-A0C6-E6F7E76EDFE9}" name="max" dataDxfId="215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0C6528B-BF89-9C47-B8EA-44975A75328A}" name="Table21223" displayName="Table21223" ref="B22:T28" totalsRowShown="0">
  <autoFilter ref="B22:T28" xr:uid="{90C6528B-BF89-9C47-B8EA-44975A75328A}"/>
  <sortState xmlns:xlrd2="http://schemas.microsoft.com/office/spreadsheetml/2017/richdata2" ref="B23:T28">
    <sortCondition ref="B22:B28"/>
  </sortState>
  <tableColumns count="19">
    <tableColumn id="18" xr3:uid="{81A50622-8113-EE46-AB1A-28A0FF97AE85}" name="attribute.index" dataDxfId="214"/>
    <tableColumn id="1" xr3:uid="{FEBCC99E-7A45-A446-90F0-8F16FCB5E576}" name="attribute"/>
    <tableColumn id="2" xr3:uid="{D0DBCFE7-A144-5C40-A15C-598971BB38F9}" name="supplemented"/>
    <tableColumn id="3" xr3:uid="{8FF9D15D-F43D-4D46-A32C-54C5BBF48B48}" name="method.index"/>
    <tableColumn id="4" xr3:uid="{5118BF62-939B-7940-9CFE-E7D50D40E288}" name="method"/>
    <tableColumn id="19" xr3:uid="{68AC321B-89CB-C04F-B4F0-FDFABFD1336D}" name="var"/>
    <tableColumn id="5" xr3:uid="{914245B1-4C76-0F4B-8B68-D4F4A4F235DB}" name="2g-no-hash" dataDxfId="213">
      <calculatedColumnFormula array="1">_xlfn.LET(_xlpm.d,H$2:H$19,_xlpm.a,$C$2:$C$19=$C23,_xlpm.b,$D$2:$D$19=$D23,MAX(_xlfn._xlws.FILTER(_xlpm.d,_xlpm.a*_xlpm.b)))</calculatedColumnFormula>
    </tableColumn>
    <tableColumn id="6" xr3:uid="{3C20A277-3F1B-7546-B8B6-4AB6C357BA98}" name="3g-no-hash" dataDxfId="212">
      <calculatedColumnFormula array="1">_xlfn.LET(_xlpm.d,I$2:I$19,_xlpm.a,$C$2:$C$19=$C23,_xlpm.b,$D$2:$D$19=$D23,MAX(_xlfn._xlws.FILTER(_xlpm.d,_xlpm.a*_xlpm.b)))</calculatedColumnFormula>
    </tableColumn>
    <tableColumn id="7" xr3:uid="{D74A6E62-2926-064B-A7B2-155B408E4044}" name="4g-no-hash" dataDxfId="211">
      <calculatedColumnFormula array="1">_xlfn.LET(_xlpm.d,J$2:J$19,_xlpm.a,$C$2:$C$19=$C23,_xlpm.b,$D$2:$D$19=$D23,MAX(_xlfn._xlws.FILTER(_xlpm.d,_xlpm.a*_xlpm.b)))</calculatedColumnFormula>
    </tableColumn>
    <tableColumn id="8" xr3:uid="{DC7F3411-3F48-BE48-B8DB-856DBD8ACCF2}" name="xsk2g-no-hash" dataDxfId="210">
      <calculatedColumnFormula array="1">_xlfn.LET(_xlpm.d,K$2:K$19,_xlpm.a,$C$2:$C$19=$C23,_xlpm.b,$D$2:$D$19=$D23,MAX(_xlfn._xlws.FILTER(_xlpm.d,_xlpm.a*_xlpm.b)))</calculatedColumnFormula>
    </tableColumn>
    <tableColumn id="9" xr3:uid="{F2E58B7A-308F-5444-A4BB-19EC2324A8BA}" name="xsk3g-no-hash" dataDxfId="209">
      <calculatedColumnFormula array="1">_xlfn.LET(_xlpm.d,L$2:L$19,_xlpm.a,$C$2:$C$19=$C23,_xlpm.b,$D$2:$D$19=$D23,MAX(_xlfn._xlws.FILTER(_xlpm.d,_xlpm.a*_xlpm.b)))</calculatedColumnFormula>
    </tableColumn>
    <tableColumn id="10" xr3:uid="{77038591-4BCE-D144-B5E5-2BE0E9364564}" name="xsk4g-no-hash" dataDxfId="208">
      <calculatedColumnFormula array="1">_xlfn.LET(_xlpm.d,M$2:M$19,_xlpm.a,$C$2:$C$19=$C23,_xlpm.b,$D$2:$D$19=$D23,MAX(_xlfn._xlws.FILTER(_xlpm.d,_xlpm.a*_xlpm.b)))</calculatedColumnFormula>
    </tableColumn>
    <tableColumn id="11" xr3:uid="{35B6603B-0215-0E43-B564-84605E5A8CB8}" name="2g-hash-at-both" dataDxfId="207">
      <calculatedColumnFormula array="1">_xlfn.LET(_xlpm.d,N$2:N$19,_xlpm.a,$C$2:$C$19=$C23,_xlpm.b,$D$2:$D$19=$D23,MAX(_xlfn._xlws.FILTER(_xlpm.d,_xlpm.a*_xlpm.b)))</calculatedColumnFormula>
    </tableColumn>
    <tableColumn id="12" xr3:uid="{DF988D29-D86D-9945-A230-5665EE27B1DC}" name="3g-hash-at-both" dataDxfId="206">
      <calculatedColumnFormula array="1">_xlfn.LET(_xlpm.d,O$2:O$19,_xlpm.a,$C$2:$C$19=$C23,_xlpm.b,$D$2:$D$19=$D23,MAX(_xlfn._xlws.FILTER(_xlpm.d,_xlpm.a*_xlpm.b)))</calculatedColumnFormula>
    </tableColumn>
    <tableColumn id="13" xr3:uid="{C4426EBC-A621-0441-81A6-9A8A63B49DD8}" name="4g-hash-at-both" dataDxfId="205">
      <calculatedColumnFormula array="1">_xlfn.LET(_xlpm.d,P$2:P$19,_xlpm.a,$C$2:$C$19=$C23,_xlpm.b,$D$2:$D$19=$D23,MAX(_xlfn._xlws.FILTER(_xlpm.d,_xlpm.a*_xlpm.b)))</calculatedColumnFormula>
    </tableColumn>
    <tableColumn id="14" xr3:uid="{D5036876-4CF2-E740-AE5E-D3B0E9053314}" name="xsk2g-hash-at-both" dataDxfId="204">
      <calculatedColumnFormula array="1">_xlfn.LET(_xlpm.d,Q$2:Q$19,_xlpm.a,$C$2:$C$19=$C23,_xlpm.b,$D$2:$D$19=$D23,MAX(_xlfn._xlws.FILTER(_xlpm.d,_xlpm.a*_xlpm.b)))</calculatedColumnFormula>
    </tableColumn>
    <tableColumn id="15" xr3:uid="{7E9E10B8-8513-BF49-8990-13725161252A}" name="xsk3g-hash-at-both" dataDxfId="203">
      <calculatedColumnFormula array="1">_xlfn.LET(_xlpm.d,R$2:R$19,_xlpm.a,$C$2:$C$19=$C23,_xlpm.b,$D$2:$D$19=$D23,MAX(_xlfn._xlws.FILTER(_xlpm.d,_xlpm.a*_xlpm.b)))</calculatedColumnFormula>
    </tableColumn>
    <tableColumn id="16" xr3:uid="{6BA82210-BED2-7F4D-9A65-D632C7FF6099}" name="xsk4g-hash-at-both" dataDxfId="202">
      <calculatedColumnFormula array="1">_xlfn.LET(_xlpm.d,S$2:S$19,_xlpm.a,$C$2:$C$19=$C23,_xlpm.b,$D$2:$D$19=$D23,MAX(_xlfn._xlws.FILTER(_xlpm.d,_xlpm.a*_xlpm.b)))</calculatedColumnFormula>
    </tableColumn>
    <tableColumn id="17" xr3:uid="{7C1F933E-8107-384D-810E-6811F5B58D5D}" name="max" dataDxfId="201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A1374D3-191F-8747-90C3-0FFBE53522B0}" name="Table23" displayName="Table23" ref="A1:T19" totalsRowShown="0">
  <autoFilter ref="A1:T19" xr:uid="{1A1374D3-191F-8747-90C3-0FFBE53522B0}"/>
  <sortState xmlns:xlrd2="http://schemas.microsoft.com/office/spreadsheetml/2017/richdata2" ref="A2:T19">
    <sortCondition ref="B1:B19"/>
  </sortState>
  <tableColumns count="20">
    <tableColumn id="1" xr3:uid="{608788F7-A360-AA48-AF0F-9FF244871D90}" name="lang"/>
    <tableColumn id="2" xr3:uid="{6FF28772-1E07-9D45-81C0-7C3EBB0B91CB}" name="attribute.index"/>
    <tableColumn id="3" xr3:uid="{8DB897DA-525B-9F4F-A77A-B69CBE0C7EF4}" name="attribute"/>
    <tableColumn id="4" xr3:uid="{EFDE8A42-5CF9-6047-B4F4-3949D169F3DA}" name="supplemented"/>
    <tableColumn id="5" xr3:uid="{F73E0E93-0169-4647-8D3C-04564F0A746B}" name="method.index"/>
    <tableColumn id="6" xr3:uid="{2203C28C-197C-A549-84FE-62C01D88245D}" name="method"/>
    <tableColumn id="20" xr3:uid="{5A830BCC-52C8-114C-B318-FAF8EDB2D815}" name="var" dataDxfId="200">
      <calculatedColumnFormula>_xlfn.TEXTJOIN("-",TRUE,Table23[[#This Row],[attribute]],LEFT(Table23[[#This Row],[supplemented]],1),Table23[[#This Row],[method]])</calculatedColumnFormula>
    </tableColumn>
    <tableColumn id="7" xr3:uid="{B40A962F-E3D7-E242-BC4B-243CC0053006}" name="2g-no-hash" dataDxfId="199"/>
    <tableColumn id="8" xr3:uid="{AC59EF34-5725-BB41-BEBE-6DDA6A5A7D4D}" name="3g-no-hash" dataDxfId="198"/>
    <tableColumn id="9" xr3:uid="{BF0C0F50-E81E-154A-B7A3-F46495015365}" name="4g-no-hash" dataDxfId="197"/>
    <tableColumn id="10" xr3:uid="{9A79E3B5-72AA-E542-8B7A-2E649F7E5DBF}" name="xsk2g-no-hash" dataDxfId="196"/>
    <tableColumn id="11" xr3:uid="{6EE67F5F-D18F-C24B-BA40-9383254DE30C}" name="xsk3g-no-hash" dataDxfId="195"/>
    <tableColumn id="12" xr3:uid="{99ACC8E2-60E7-BA43-A871-E865549B66EC}" name="xsk4g-no-hash" dataDxfId="194"/>
    <tableColumn id="13" xr3:uid="{627BFCDD-295C-4542-AAA1-BD0AE16126EF}" name="2g-hash-at-both" dataDxfId="193"/>
    <tableColumn id="14" xr3:uid="{F17F244D-4512-EE4A-A79D-7D972E1EBC56}" name="3g-hash-at-both" dataDxfId="192"/>
    <tableColumn id="15" xr3:uid="{68DAA36E-6852-9345-B76D-C1657E82D2A2}" name="4g-hash-at-both" dataDxfId="191"/>
    <tableColumn id="16" xr3:uid="{CF693659-AAAC-8749-832F-FD812F5F724D}" name="xsk2g-hash-at-both" dataDxfId="190"/>
    <tableColumn id="17" xr3:uid="{A4411FC9-B259-AD4D-AE6F-62F2648D282A}" name="xsk3g-hash-at-both" dataDxfId="189"/>
    <tableColumn id="18" xr3:uid="{79BD9304-29A8-8D45-BC10-E887282EB794}" name="xsk4g-hash-at-both" dataDxfId="188"/>
    <tableColumn id="19" xr3:uid="{8D41A0F4-D11C-7F45-AEB0-AEBDBC149BF2}" name="max" dataDxfId="187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426568D-0E01-8D48-B8C6-F9682A4C2C36}" name="Table2122325" displayName="Table2122325" ref="B22:T28" totalsRowShown="0">
  <autoFilter ref="B22:T28" xr:uid="{2426568D-0E01-8D48-B8C6-F9682A4C2C36}"/>
  <sortState xmlns:xlrd2="http://schemas.microsoft.com/office/spreadsheetml/2017/richdata2" ref="B23:T28">
    <sortCondition ref="B22:B28"/>
  </sortState>
  <tableColumns count="19">
    <tableColumn id="18" xr3:uid="{16B57A27-BDFB-8D4F-937C-DFAD3DC94C6F}" name="attribute.index" dataDxfId="186"/>
    <tableColumn id="1" xr3:uid="{73268388-312C-B541-81A2-D6CB05B87C22}" name="attribute"/>
    <tableColumn id="2" xr3:uid="{999CAE94-29B6-264C-8759-B530A8AA73AB}" name="supplemented"/>
    <tableColumn id="3" xr3:uid="{26C6A382-5484-1B41-B049-24BD70BEDAE3}" name="method.index"/>
    <tableColumn id="4" xr3:uid="{09755D34-F298-7741-8379-11705147714B}" name="method"/>
    <tableColumn id="19" xr3:uid="{78CCCB75-6C4D-3843-AC18-2CADEB7FFA7E}" name="var" dataDxfId="185">
      <calculatedColumnFormula>_xlfn.TEXTJOIN("-",TRUE,Table2122325[[#This Row],[attribute]],LEFT(Table2122325[[#This Row],[supplemented]],1),Table2122325[[#This Row],[method]])</calculatedColumnFormula>
    </tableColumn>
    <tableColumn id="5" xr3:uid="{C6199DA2-6411-F941-9B63-47C76989F839}" name="2g-no-hash" dataDxfId="184">
      <calculatedColumnFormula array="1">_xlfn.LET(_xlpm.d,H$2:H$19,_xlpm.a,$C$2:$C$19=$C23,_xlpm.b,$D$2:$D$19=$D23,MAX(_xlfn._xlws.FILTER(_xlpm.d,_xlpm.a*_xlpm.b)))</calculatedColumnFormula>
    </tableColumn>
    <tableColumn id="6" xr3:uid="{391FF3F0-10CB-D94D-9532-FDB1BECE1F7F}" name="3g-no-hash" dataDxfId="183">
      <calculatedColumnFormula array="1">_xlfn.LET(_xlpm.d,I$2:I$19,_xlpm.a,$C$2:$C$19=$C23,_xlpm.b,$D$2:$D$19=$D23,MAX(_xlfn._xlws.FILTER(_xlpm.d,_xlpm.a*_xlpm.b)))</calculatedColumnFormula>
    </tableColumn>
    <tableColumn id="7" xr3:uid="{E9B379F8-4197-3D41-A814-5FD7BAE3FE6E}" name="4g-no-hash" dataDxfId="182">
      <calculatedColumnFormula array="1">_xlfn.LET(_xlpm.d,J$2:J$19,_xlpm.a,$C$2:$C$19=$C23,_xlpm.b,$D$2:$D$19=$D23,MAX(_xlfn._xlws.FILTER(_xlpm.d,_xlpm.a*_xlpm.b)))</calculatedColumnFormula>
    </tableColumn>
    <tableColumn id="8" xr3:uid="{48D2B2FD-0BFD-FF42-95A3-189274F19B54}" name="xsk2g-no-hash" dataDxfId="181">
      <calculatedColumnFormula array="1">_xlfn.LET(_xlpm.d,K$2:K$19,_xlpm.a,$C$2:$C$19=$C23,_xlpm.b,$D$2:$D$19=$D23,MAX(_xlfn._xlws.FILTER(_xlpm.d,_xlpm.a*_xlpm.b)))</calculatedColumnFormula>
    </tableColumn>
    <tableColumn id="9" xr3:uid="{F4B58433-453A-4B47-8AD3-E3F178895162}" name="xsk3g-no-hash" dataDxfId="180">
      <calculatedColumnFormula array="1">_xlfn.LET(_xlpm.d,L$2:L$19,_xlpm.a,$C$2:$C$19=$C23,_xlpm.b,$D$2:$D$19=$D23,MAX(_xlfn._xlws.FILTER(_xlpm.d,_xlpm.a*_xlpm.b)))</calculatedColumnFormula>
    </tableColumn>
    <tableColumn id="10" xr3:uid="{FF85612C-7F2F-5F40-A692-0886D876ABBF}" name="xsk4g-no-hash" dataDxfId="179">
      <calculatedColumnFormula array="1">_xlfn.LET(_xlpm.d,M$2:M$19,_xlpm.a,$C$2:$C$19=$C23,_xlpm.b,$D$2:$D$19=$D23,MAX(_xlfn._xlws.FILTER(_xlpm.d,_xlpm.a*_xlpm.b)))</calculatedColumnFormula>
    </tableColumn>
    <tableColumn id="11" xr3:uid="{BCCB7F43-39CB-C049-A612-9CF3E16EBA66}" name="2g-hash-at-both" dataDxfId="178">
      <calculatedColumnFormula array="1">_xlfn.LET(_xlpm.d,N$2:N$19,_xlpm.a,$C$2:$C$19=$C23,_xlpm.b,$D$2:$D$19=$D23,MAX(_xlfn._xlws.FILTER(_xlpm.d,_xlpm.a*_xlpm.b)))</calculatedColumnFormula>
    </tableColumn>
    <tableColumn id="12" xr3:uid="{A191C8AB-9EED-374A-ACD1-A0C0E2E36123}" name="3g-hash-at-both" dataDxfId="177">
      <calculatedColumnFormula array="1">_xlfn.LET(_xlpm.d,O$2:O$19,_xlpm.a,$C$2:$C$19=$C23,_xlpm.b,$D$2:$D$19=$D23,MAX(_xlfn._xlws.FILTER(_xlpm.d,_xlpm.a*_xlpm.b)))</calculatedColumnFormula>
    </tableColumn>
    <tableColumn id="13" xr3:uid="{06990264-6ECB-A048-B77B-51D00F353084}" name="4g-hash-at-both" dataDxfId="176">
      <calculatedColumnFormula array="1">_xlfn.LET(_xlpm.d,P$2:P$19,_xlpm.a,$C$2:$C$19=$C23,_xlpm.b,$D$2:$D$19=$D23,MAX(_xlfn._xlws.FILTER(_xlpm.d,_xlpm.a*_xlpm.b)))</calculatedColumnFormula>
    </tableColumn>
    <tableColumn id="14" xr3:uid="{96E10DBD-BD3C-C946-AFF8-93D2C1C243A9}" name="xsk2g-hash-at-both" dataDxfId="175">
      <calculatedColumnFormula array="1">_xlfn.LET(_xlpm.d,Q$2:Q$19,_xlpm.a,$C$2:$C$19=$C23,_xlpm.b,$D$2:$D$19=$D23,MAX(_xlfn._xlws.FILTER(_xlpm.d,_xlpm.a*_xlpm.b)))</calculatedColumnFormula>
    </tableColumn>
    <tableColumn id="15" xr3:uid="{169DB09C-82BC-614B-994B-105ED6B74BD3}" name="xsk3g-hash-at-both" dataDxfId="174">
      <calculatedColumnFormula array="1">_xlfn.LET(_xlpm.d,R$2:R$19,_xlpm.a,$C$2:$C$19=$C23,_xlpm.b,$D$2:$D$19=$D23,MAX(_xlfn._xlws.FILTER(_xlpm.d,_xlpm.a*_xlpm.b)))</calculatedColumnFormula>
    </tableColumn>
    <tableColumn id="16" xr3:uid="{53DF2CB2-EE69-6241-BFB7-CA93CAA80F39}" name="xsk4g-hash-at-both" dataDxfId="173">
      <calculatedColumnFormula array="1">_xlfn.LET(_xlpm.d,S$2:S$19,_xlpm.a,$C$2:$C$19=$C23,_xlpm.b,$D$2:$D$19=$D23,MAX(_xlfn._xlws.FILTER(_xlpm.d,_xlpm.a*_xlpm.b)))</calculatedColumnFormula>
    </tableColumn>
    <tableColumn id="17" xr3:uid="{2D1D6489-54A4-5248-805C-4AA7C8AAD27D}" name="max" dataDxfId="172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0E60550-FA05-F84A-8D56-F8F5F844BDD7}" name="Table426" displayName="Table426" ref="B31:S37" totalsRowShown="0">
  <autoFilter ref="B31:S37" xr:uid="{20E60550-FA05-F84A-8D56-F8F5F844BDD7}"/>
  <sortState xmlns:xlrd2="http://schemas.microsoft.com/office/spreadsheetml/2017/richdata2" ref="B32:S37">
    <sortCondition ref="B36:B42"/>
  </sortState>
  <tableColumns count="18">
    <tableColumn id="23" xr3:uid="{505ABF00-12F2-494E-AAEC-8E3F28369230}" name="attribute.index" dataDxfId="171"/>
    <tableColumn id="1" xr3:uid="{96187F6B-D2D7-E145-93E6-96A67494D3BC}" name="attribute"/>
    <tableColumn id="2" xr3:uid="{37A8073C-605E-8046-B8F5-43F7C745F0CA}" name="supplemented"/>
    <tableColumn id="3" xr3:uid="{95C89B66-6716-994F-B8A5-369FF31A04D6}" name="method.index"/>
    <tableColumn id="4" xr3:uid="{2A9A4DD8-9A20-FC4F-8791-4680EE812988}" name="method"/>
    <tableColumn id="8" xr3:uid="{40FD21DA-3B8B-9D48-8869-35196096F58A}" name="var" dataDxfId="170">
      <calculatedColumnFormula>_xlfn.TEXTJOIN("-",TRUE,Table426[[#This Row],[attribute]],LEFT(Table426[[#This Row],[supplemented]],1),Table426[[#This Row],[method]])</calculatedColumnFormula>
    </tableColumn>
    <tableColumn id="5" xr3:uid="{EAD36726-DEA3-F14F-91FD-B5DB6C141227}" name="2g-no-hash" dataDxfId="169">
      <calculatedColumnFormula>_xlfn.LET(_xlpm.d,$H23:$S23,RANK(H23,_xlpm.d))</calculatedColumnFormula>
    </tableColumn>
    <tableColumn id="6" xr3:uid="{AA4974E6-CED1-0444-AF38-3E60294FEF82}" name="3g-no-hash" dataDxfId="168">
      <calculatedColumnFormula>_xlfn.LET(_xlpm.d,$H23:$S23,RANK(I23,_xlpm.d))</calculatedColumnFormula>
    </tableColumn>
    <tableColumn id="7" xr3:uid="{C8B0A332-4F14-2547-9FEA-72B9C4B20258}" name="4g-no-hash" dataDxfId="167">
      <calculatedColumnFormula>_xlfn.LET(_xlpm.d,$H23:$S23,RANK(J23,_xlpm.d))</calculatedColumnFormula>
    </tableColumn>
    <tableColumn id="11" xr3:uid="{858197C9-A3B9-FA47-A13E-2180F48D008E}" name="xsk2g-no-hash" dataDxfId="166">
      <calculatedColumnFormula>_xlfn.LET(_xlpm.d,$H23:$S23,RANK(K23,_xlpm.d))</calculatedColumnFormula>
    </tableColumn>
    <tableColumn id="12" xr3:uid="{58949817-B2C4-2A42-A252-54466AEA39B2}" name="xsk3g-no-hash" dataDxfId="165">
      <calculatedColumnFormula>_xlfn.LET(_xlpm.d,$H23:$S23,RANK(L23,_xlpm.d))</calculatedColumnFormula>
    </tableColumn>
    <tableColumn id="13" xr3:uid="{22AF39FF-095B-E642-93B2-66415B70AB6B}" name="xsk4g-no-hash" dataDxfId="164">
      <calculatedColumnFormula>_xlfn.LET(_xlpm.d,$H23:$S23,RANK(M23,_xlpm.d))</calculatedColumnFormula>
    </tableColumn>
    <tableColumn id="14" xr3:uid="{4A8E63EB-1CDA-DC4E-BB09-A87064E644C6}" name="2g-hash-at-both" dataDxfId="163">
      <calculatedColumnFormula>_xlfn.LET(_xlpm.d,$H23:$S23,RANK(N23,_xlpm.d))</calculatedColumnFormula>
    </tableColumn>
    <tableColumn id="15" xr3:uid="{994B117C-4121-F146-BF9F-B2F454C9702A}" name="3g-hash-at-both" dataDxfId="162">
      <calculatedColumnFormula>_xlfn.LET(_xlpm.d,$H23:$S23,RANK(O23,_xlpm.d))</calculatedColumnFormula>
    </tableColumn>
    <tableColumn id="16" xr3:uid="{AAD3C847-C3AC-1E43-B4F6-07657E5E9164}" name="4g-hash-at-both" dataDxfId="161">
      <calculatedColumnFormula>_xlfn.LET(_xlpm.d,$H23:$S23,RANK(P23,_xlpm.d))</calculatedColumnFormula>
    </tableColumn>
    <tableColumn id="20" xr3:uid="{FC72EEA9-76AC-1644-9BE4-B770CA1EE22D}" name="xsk2g-hash-at-both" dataDxfId="160">
      <calculatedColumnFormula>_xlfn.LET(_xlpm.d,$H23:$S23,RANK(Q23,_xlpm.d))</calculatedColumnFormula>
    </tableColumn>
    <tableColumn id="21" xr3:uid="{DFD30CA4-C235-064D-8159-BCBA94007C97}" name="xsk3g-hash-at-both" dataDxfId="159">
      <calculatedColumnFormula>_xlfn.LET(_xlpm.d,$H23:$S23,RANK(R23,_xlpm.d))</calculatedColumnFormula>
    </tableColumn>
    <tableColumn id="22" xr3:uid="{88B2745F-AEA7-C24E-B762-B139E5FF8A4B}" name="xsk4g-hash-at-both" dataDxfId="158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0CF98-AF1C-1D41-90F4-E311464DBEA2}" name="Table14" displayName="Table14" ref="A1:T19" totalsRowShown="0">
  <autoFilter ref="A1:T19" xr:uid="{3899593E-877C-9A46-82AF-FC4D9610C4E5}"/>
  <sortState xmlns:xlrd2="http://schemas.microsoft.com/office/spreadsheetml/2017/richdata2" ref="A2:T19">
    <sortCondition ref="B1:B19"/>
  </sortState>
  <tableColumns count="20">
    <tableColumn id="1" xr3:uid="{6C52DA2F-E678-2740-A058-A4A49A59454E}" name="lang"/>
    <tableColumn id="18" xr3:uid="{9D2DF7C2-C2CB-AA48-A78F-E92D8D0D78B0}" name="attribute.index"/>
    <tableColumn id="2" xr3:uid="{EEFC9CEF-46E1-7145-92BC-7AE1FAD5B3EB}" name="attribute"/>
    <tableColumn id="3" xr3:uid="{080BE186-8D9C-0A45-8E43-DF6FCE924F31}" name="supplement"/>
    <tableColumn id="19" xr3:uid="{24BAD499-FDB0-3D4B-82E4-3FD4A24EEFCD}" name="method.index"/>
    <tableColumn id="4" xr3:uid="{FB637B3B-84EE-454F-AE4A-87A523092D4A}" name="method"/>
    <tableColumn id="20" xr3:uid="{190BD164-829E-C14A-9C9D-DD1FE3EA86D6}" name="var"/>
    <tableColumn id="5" xr3:uid="{3B496384-4794-8548-AC29-58C60DBAB36C}" name="2g-no-hash" dataDxfId="157"/>
    <tableColumn id="6" xr3:uid="{5E4C12C9-61D6-734E-B5CB-FCC8F5780AE7}" name="3g-no-hash" dataDxfId="156"/>
    <tableColumn id="7" xr3:uid="{1EC77474-5272-D946-BF3F-F23A499454DC}" name="4g-no-hash" dataDxfId="155"/>
    <tableColumn id="8" xr3:uid="{836A9445-E2D4-7545-9260-F6D086A81944}" name="xsk2g-no-hash" dataDxfId="154"/>
    <tableColumn id="9" xr3:uid="{6B90E2EC-8F0F-0340-9CD8-8E070D0BA684}" name="xsk3g-no-hash" dataDxfId="153"/>
    <tableColumn id="10" xr3:uid="{243601B0-2095-2E48-BB17-9A13B365A2A5}" name="xsk4g-no-hash" dataDxfId="152"/>
    <tableColumn id="11" xr3:uid="{91B5D97A-AAE5-EA4D-B1F4-709AB34AF771}" name="2g-hash-at-both" dataDxfId="151"/>
    <tableColumn id="12" xr3:uid="{FB16D6E9-CBED-FA45-AA0F-4E070BFA17BA}" name="3g-hash-at-both" dataDxfId="150"/>
    <tableColumn id="13" xr3:uid="{BAB6A296-FBD2-BF42-BC20-5C855A94DDBA}" name="4g-hash-at-both" dataDxfId="149"/>
    <tableColumn id="14" xr3:uid="{A03EEB79-3A01-744D-A69E-AAEA9B6FC1EB}" name="xsk2g-hash-at-both" dataDxfId="148"/>
    <tableColumn id="15" xr3:uid="{64763E26-0663-0E40-982D-65A037CE8ECB}" name="xsk3g-hash-at-both" dataDxfId="147"/>
    <tableColumn id="16" xr3:uid="{3ED29ABF-A641-7D43-94EE-A41FE0E5B9A2}" name="xsk4g-hash-at-both" dataDxfId="146"/>
    <tableColumn id="17" xr3:uid="{B337477A-09AC-3649-AB1B-798EF69644D1}" name="max" dataDxfId="145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660777-D657-B747-B8D5-F64A4A514543}" name="Table212" displayName="Table212" ref="B22:T28" totalsRowShown="0">
  <autoFilter ref="B22:T28" xr:uid="{DF710D92-E003-0A4D-85D3-BA6B812FE5A8}"/>
  <sortState xmlns:xlrd2="http://schemas.microsoft.com/office/spreadsheetml/2017/richdata2" ref="B23:T28">
    <sortCondition ref="B22:B28"/>
  </sortState>
  <tableColumns count="19">
    <tableColumn id="18" xr3:uid="{CBFF9E67-A3EB-9643-8583-4590290E0085}" name="attribute.index" dataDxfId="144"/>
    <tableColumn id="1" xr3:uid="{120970A1-664D-604A-9551-A59E37358C45}" name="attribute"/>
    <tableColumn id="2" xr3:uid="{D741A386-9398-AA45-A29B-34E11DA57BEE}" name="supplemented"/>
    <tableColumn id="3" xr3:uid="{B189D03E-B188-B84E-BECE-3A4409D1F14D}" name="method.index"/>
    <tableColumn id="4" xr3:uid="{98F82162-3616-EF4B-9A14-DCBF20BBB436}" name="method"/>
    <tableColumn id="20" xr3:uid="{B081BDBE-A195-8740-840C-2DD02F654354}" name="var"/>
    <tableColumn id="5" xr3:uid="{3C31B67F-2D37-304B-821E-7D940BD81418}" name="2g-no-hash" dataDxfId="143">
      <calculatedColumnFormula array="1">_xlfn.LET(_xlpm.d,H$2:H$19,_xlpm.a,$C$2:$C$19=$C23,_xlpm.b,$D$2:$D$19=$D23,MAX(_xlfn._xlws.FILTER(_xlpm.d,_xlpm.a*_xlpm.b)))</calculatedColumnFormula>
    </tableColumn>
    <tableColumn id="6" xr3:uid="{EBBF2C6D-76B9-5340-BB43-7AE94362598A}" name="3g-no-hash" dataDxfId="142">
      <calculatedColumnFormula array="1">_xlfn.LET(_xlpm.d,I$2:I$19,_xlpm.a,$C$2:$C$19=$C23,_xlpm.b,$D$2:$D$19=$D23,MAX(_xlfn._xlws.FILTER(_xlpm.d,_xlpm.a*_xlpm.b)))</calculatedColumnFormula>
    </tableColumn>
    <tableColumn id="7" xr3:uid="{F9179A68-770F-C245-8C47-AA890F2A3A7B}" name="4g-no-hash" dataDxfId="141">
      <calculatedColumnFormula array="1">_xlfn.LET(_xlpm.d,J$2:J$19,_xlpm.a,$C$2:$C$19=$C23,_xlpm.b,$D$2:$D$19=$D23,MAX(_xlfn._xlws.FILTER(_xlpm.d,_xlpm.a*_xlpm.b)))</calculatedColumnFormula>
    </tableColumn>
    <tableColumn id="8" xr3:uid="{12BF66B2-9DE7-3447-9470-0659129AF0BA}" name="xsk2g-no-hash" dataDxfId="140">
      <calculatedColumnFormula array="1">_xlfn.LET(_xlpm.d,K$2:K$19,_xlpm.a,$C$2:$C$19=$C23,_xlpm.b,$D$2:$D$19=$D23,MAX(_xlfn._xlws.FILTER(_xlpm.d,_xlpm.a*_xlpm.b)))</calculatedColumnFormula>
    </tableColumn>
    <tableColumn id="9" xr3:uid="{F32303B9-9D22-C647-9014-51B7AD842B7A}" name="xsk3g-no-hash" dataDxfId="139">
      <calculatedColumnFormula array="1">_xlfn.LET(_xlpm.d,L$2:L$19,_xlpm.a,$C$2:$C$19=$C23,_xlpm.b,$D$2:$D$19=$D23,MAX(_xlfn._xlws.FILTER(_xlpm.d,_xlpm.a*_xlpm.b)))</calculatedColumnFormula>
    </tableColumn>
    <tableColumn id="10" xr3:uid="{8C72E046-4BB7-B640-9712-51741DDF2444}" name="xsk4g-no-hash" dataDxfId="138">
      <calculatedColumnFormula array="1">_xlfn.LET(_xlpm.d,M$2:M$19,_xlpm.a,$C$2:$C$19=$C23,_xlpm.b,$D$2:$D$19=$D23,MAX(_xlfn._xlws.FILTER(_xlpm.d,_xlpm.a*_xlpm.b)))</calculatedColumnFormula>
    </tableColumn>
    <tableColumn id="11" xr3:uid="{9BAEB61E-8B97-1846-AB7F-4A0EAD09D644}" name="2g-hash-at-both" dataDxfId="137">
      <calculatedColumnFormula array="1">_xlfn.LET(_xlpm.d,N$2:N$19,_xlpm.a,$C$2:$C$19=$C23,_xlpm.b,$D$2:$D$19=$D23,MAX(_xlfn._xlws.FILTER(_xlpm.d,_xlpm.a*_xlpm.b)))</calculatedColumnFormula>
    </tableColumn>
    <tableColumn id="12" xr3:uid="{5962A88C-AFED-564C-9272-592320D2B5EE}" name="3g-hash-at-both" dataDxfId="136">
      <calculatedColumnFormula array="1">_xlfn.LET(_xlpm.d,O$2:O$19,_xlpm.a,$C$2:$C$19=$C23,_xlpm.b,$D$2:$D$19=$D23,MAX(_xlfn._xlws.FILTER(_xlpm.d,_xlpm.a*_xlpm.b)))</calculatedColumnFormula>
    </tableColumn>
    <tableColumn id="13" xr3:uid="{B5FD4780-CC7E-5345-A39A-1B6EF1E364B7}" name="4g-hash-at-both" dataDxfId="135">
      <calculatedColumnFormula array="1">_xlfn.LET(_xlpm.d,P$2:P$19,_xlpm.a,$C$2:$C$19=$C23,_xlpm.b,$D$2:$D$19=$D23,MAX(_xlfn._xlws.FILTER(_xlpm.d,_xlpm.a*_xlpm.b)))</calculatedColumnFormula>
    </tableColumn>
    <tableColumn id="14" xr3:uid="{21438E03-DD87-0B46-BDE7-90CA0C5CE025}" name="xsk2g-hash-at-both" dataDxfId="134">
      <calculatedColumnFormula array="1">_xlfn.LET(_xlpm.d,Q$2:Q$19,_xlpm.a,$C$2:$C$19=$C23,_xlpm.b,$D$2:$D$19=$D23,MAX(_xlfn._xlws.FILTER(_xlpm.d,_xlpm.a*_xlpm.b)))</calculatedColumnFormula>
    </tableColumn>
    <tableColumn id="15" xr3:uid="{2BBC3E9B-7AED-4F40-B537-D75B98338E55}" name="xsk3g-hash-at-both" dataDxfId="133">
      <calculatedColumnFormula array="1">_xlfn.LET(_xlpm.d,R$2:R$19,_xlpm.a,$C$2:$C$19=$C23,_xlpm.b,$D$2:$D$19=$D23,MAX(_xlfn._xlws.FILTER(_xlpm.d,_xlpm.a*_xlpm.b)))</calculatedColumnFormula>
    </tableColumn>
    <tableColumn id="16" xr3:uid="{45680EBC-0B4D-774C-9890-6CB703F97886}" name="xsk4g-hash-at-both" dataDxfId="132">
      <calculatedColumnFormula array="1">_xlfn.LET(_xlpm.d,S$2:S$19,_xlpm.a,$C$2:$C$19=$C23,_xlpm.b,$D$2:$D$19=$D23,MAX(_xlfn._xlws.FILTER(_xlpm.d,_xlpm.a*_xlpm.b)))</calculatedColumnFormula>
    </tableColumn>
    <tableColumn id="17" xr3:uid="{BB718EE4-B903-034E-8E2F-D7A91913B516}" name="max" dataDxfId="131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3FC522-E965-384C-9E1A-077BC955EF86}" name="Table3" displayName="Table3" ref="A1:T19" totalsRowShown="0">
  <autoFilter ref="A1:T19" xr:uid="{3B35E7C7-3BA1-3647-B818-46A572744909}"/>
  <sortState xmlns:xlrd2="http://schemas.microsoft.com/office/spreadsheetml/2017/richdata2" ref="A2:T19">
    <sortCondition ref="B1:B19"/>
  </sortState>
  <tableColumns count="20">
    <tableColumn id="1" xr3:uid="{5425BC3B-EE4F-3E41-B9B6-D2DEC23E6634}" name="lang"/>
    <tableColumn id="2" xr3:uid="{2A238F93-A782-754B-A922-D203E55ECE2A}" name="attribute.index"/>
    <tableColumn id="3" xr3:uid="{997711C8-C303-4944-B54A-91C1D725C254}" name="attribute"/>
    <tableColumn id="4" xr3:uid="{9F0B96B8-FB4E-0D40-89F8-4F4F511E7A2B}" name="supplement"/>
    <tableColumn id="5" xr3:uid="{8C28E66E-B10E-7A47-B167-D905C3C6E453}" name="method.index"/>
    <tableColumn id="6" xr3:uid="{597A624C-D948-8B4F-9C12-7DA2354E9E71}" name="method"/>
    <tableColumn id="20" xr3:uid="{83FB6CBF-806C-ED4C-BF21-0084F5386D20}" name="var"/>
    <tableColumn id="7" xr3:uid="{5249CD20-03BC-0341-8FB1-DFB8DFE6FFC4}" name="2g-no-hash" dataDxfId="130"/>
    <tableColumn id="8" xr3:uid="{3C6519F1-4376-FA4C-87C8-7FBF972338B0}" name="3g-no-hash" dataDxfId="129"/>
    <tableColumn id="9" xr3:uid="{EF240660-01C6-7849-A169-5034BE90A330}" name="4g-no-hash" dataDxfId="128"/>
    <tableColumn id="10" xr3:uid="{CA96B8F7-74EA-DA49-B94F-1587CDDA483E}" name="xsk2g-no-hash" dataDxfId="127"/>
    <tableColumn id="11" xr3:uid="{2CC0EE06-9D76-B74D-A60E-D98B3E519E1B}" name="xsk3g-no-hash" dataDxfId="126"/>
    <tableColumn id="12" xr3:uid="{F563401E-FE96-BA49-838A-6974FCC9A9C0}" name="xsk4g-no-hash" dataDxfId="125"/>
    <tableColumn id="13" xr3:uid="{D8DBFD17-4BD2-F54F-965D-C34560302A0D}" name="2g-hash-at-both" dataDxfId="124"/>
    <tableColumn id="14" xr3:uid="{EA8AB30C-C03A-2446-8DD2-B78BC016CB28}" name="3g-hash-at-both" dataDxfId="123"/>
    <tableColumn id="15" xr3:uid="{367EF147-655F-FF4F-A9C7-7A07C0BEB36E}" name="4g-hash-at-both" dataDxfId="122"/>
    <tableColumn id="16" xr3:uid="{9D333510-9DE1-E64A-87EE-9E93B1C162B4}" name="xsk2g-hash-at-both" dataDxfId="121"/>
    <tableColumn id="17" xr3:uid="{57FCE470-BE20-4E40-B108-FD8146A7F55E}" name="xsk3g-hash-at-both" dataDxfId="120"/>
    <tableColumn id="18" xr3:uid="{3A3A0F79-3EC4-174C-A0ED-90FB711108FE}" name="xsk4g-hash-at-both" dataDxfId="119"/>
    <tableColumn id="19" xr3:uid="{1BA09FF9-3E0F-4040-9080-CD6485655799}" name="max" dataDxfId="118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4E13760-575E-BF4B-966F-4AA62B3D974E}" name="Table13" displayName="Table13" ref="B22:T28" totalsRowShown="0">
  <autoFilter ref="B22:T28" xr:uid="{F4E13760-575E-BF4B-966F-4AA62B3D974E}"/>
  <tableColumns count="19">
    <tableColumn id="1" xr3:uid="{FA1188EE-5FC2-364A-9F5A-DF7286C8F8E4}" name="attribute.index"/>
    <tableColumn id="2" xr3:uid="{EE697679-1516-9340-B780-F028F30D84BF}" name="attribute"/>
    <tableColumn id="3" xr3:uid="{8347B3B4-89C4-504F-9FD0-EE8C1A813DDE}" name="supplemented"/>
    <tableColumn id="4" xr3:uid="{233B2ECE-1321-A94D-8ACB-B6F1A209B91A}" name="method.index"/>
    <tableColumn id="5" xr3:uid="{E1A1B9C1-3AF8-3B4E-B6B1-897972E52167}" name="method"/>
    <tableColumn id="19" xr3:uid="{E7C5407C-BDE6-754F-87EA-63234BB8C364}" name="var"/>
    <tableColumn id="6" xr3:uid="{CB77B0C8-A602-5C43-A929-F766BCDA3295}" name="2g-no-hash" dataDxfId="117">
      <calculatedColumnFormula array="1">_xlfn.LET(_xlpm.d,H$2:H$19,_xlpm.a,$C$2:$C$19=$C23,_xlpm.b,$D$2:$D$19=$D23,MAX(_xlfn._xlws.FILTER(_xlpm.d,_xlpm.a*_xlpm.b)))</calculatedColumnFormula>
    </tableColumn>
    <tableColumn id="7" xr3:uid="{F9390292-17EA-CE45-8923-15A2CDB7D277}" name="3g-no-hash" dataDxfId="116">
      <calculatedColumnFormula array="1">_xlfn.LET(_xlpm.d,I$2:I$19,_xlpm.a,$C$2:$C$19=$C23,_xlpm.b,$D$2:$D$19=$D23,MAX(_xlfn._xlws.FILTER(_xlpm.d,_xlpm.a*_xlpm.b)))</calculatedColumnFormula>
    </tableColumn>
    <tableColumn id="8" xr3:uid="{57454EFA-ECA5-CD42-B346-51632BE9D3E8}" name="4g-no-hash" dataDxfId="115">
      <calculatedColumnFormula array="1">_xlfn.LET(_xlpm.d,J$2:J$19,_xlpm.a,$C$2:$C$19=$C23,_xlpm.b,$D$2:$D$19=$D23,MAX(_xlfn._xlws.FILTER(_xlpm.d,_xlpm.a*_xlpm.b)))</calculatedColumnFormula>
    </tableColumn>
    <tableColumn id="9" xr3:uid="{8758B09A-67E7-8043-B810-8659F5B62F21}" name="xsk2g-no-hash" dataDxfId="114">
      <calculatedColumnFormula array="1">_xlfn.LET(_xlpm.d,K$2:K$19,_xlpm.a,$C$2:$C$19=$C23,_xlpm.b,$D$2:$D$19=$D23,MAX(_xlfn._xlws.FILTER(_xlpm.d,_xlpm.a*_xlpm.b)))</calculatedColumnFormula>
    </tableColumn>
    <tableColumn id="10" xr3:uid="{834F51F5-68E2-1744-A2F3-3435E8131BB4}" name="xsk3g-no-hash" dataDxfId="113">
      <calculatedColumnFormula array="1">_xlfn.LET(_xlpm.d,L$2:L$19,_xlpm.a,$C$2:$C$19=$C23,_xlpm.b,$D$2:$D$19=$D23,MAX(_xlfn._xlws.FILTER(_xlpm.d,_xlpm.a*_xlpm.b)))</calculatedColumnFormula>
    </tableColumn>
    <tableColumn id="11" xr3:uid="{5710711B-8CA5-BF4A-806E-239F703A7F51}" name="xsk4g-no-hash" dataDxfId="112">
      <calculatedColumnFormula array="1">_xlfn.LET(_xlpm.d,M$2:M$19,_xlpm.a,$C$2:$C$19=$C23,_xlpm.b,$D$2:$D$19=$D23,MAX(_xlfn._xlws.FILTER(_xlpm.d,_xlpm.a*_xlpm.b)))</calculatedColumnFormula>
    </tableColumn>
    <tableColumn id="12" xr3:uid="{5CF5FE58-22BB-9E47-9848-02270CB5EF2C}" name="2g-hash-at-both" dataDxfId="111">
      <calculatedColumnFormula array="1">_xlfn.LET(_xlpm.d,N$2:N$19,_xlpm.a,$C$2:$C$19=$C23,_xlpm.b,$D$2:$D$19=$D23,MAX(_xlfn._xlws.FILTER(_xlpm.d,_xlpm.a*_xlpm.b)))</calculatedColumnFormula>
    </tableColumn>
    <tableColumn id="13" xr3:uid="{FC7ADDD4-B303-264E-9FAF-0306B04F4F8A}" name="3g-hash-at-both" dataDxfId="110">
      <calculatedColumnFormula array="1">_xlfn.LET(_xlpm.d,O$2:O$19,_xlpm.a,$C$2:$C$19=$C23,_xlpm.b,$D$2:$D$19=$D23,MAX(_xlfn._xlws.FILTER(_xlpm.d,_xlpm.a*_xlpm.b)))</calculatedColumnFormula>
    </tableColumn>
    <tableColumn id="14" xr3:uid="{08463BC9-3B34-564F-B913-E817163F91A8}" name="4g-hash-at-both" dataDxfId="109">
      <calculatedColumnFormula array="1">_xlfn.LET(_xlpm.d,P$2:P$19,_xlpm.a,$C$2:$C$19=$C23,_xlpm.b,$D$2:$D$19=$D23,MAX(_xlfn._xlws.FILTER(_xlpm.d,_xlpm.a*_xlpm.b)))</calculatedColumnFormula>
    </tableColumn>
    <tableColumn id="15" xr3:uid="{5C940735-3071-B045-BD94-F4F61322F5CD}" name="xsk2g-hash-at-both" dataDxfId="108">
      <calculatedColumnFormula array="1">_xlfn.LET(_xlpm.d,Q$2:Q$19,_xlpm.a,$C$2:$C$19=$C23,_xlpm.b,$D$2:$D$19=$D23,MAX(_xlfn._xlws.FILTER(_xlpm.d,_xlpm.a*_xlpm.b)))</calculatedColumnFormula>
    </tableColumn>
    <tableColumn id="16" xr3:uid="{3DE71E24-0389-3647-B0EC-DC0873189ABA}" name="xsk3g-hash-at-both" dataDxfId="107">
      <calculatedColumnFormula array="1">_xlfn.LET(_xlpm.d,R$2:R$19,_xlpm.a,$C$2:$C$19=$C23,_xlpm.b,$D$2:$D$19=$D23,MAX(_xlfn._xlws.FILTER(_xlpm.d,_xlpm.a*_xlpm.b)))</calculatedColumnFormula>
    </tableColumn>
    <tableColumn id="17" xr3:uid="{BB8AED67-B8C5-A44C-9486-18DADB287CF1}" name="xsk4g-hash-at-both" dataDxfId="106">
      <calculatedColumnFormula array="1">_xlfn.LET(_xlpm.d,S$2:S$19,_xlpm.a,$C$2:$C$19=$C23,_xlpm.b,$D$2:$D$19=$D23,MAX(_xlfn._xlws.FILTER(_xlpm.d,_xlpm.a*_xlpm.b)))</calculatedColumnFormula>
    </tableColumn>
    <tableColumn id="18" xr3:uid="{5C0265E8-AE2F-8447-A9DB-CC53BD67C99F}" name="max" dataDxfId="105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BC2F98-EB9E-344B-887F-F7940C2F7786}" name="Table5" displayName="Table5" ref="A1:S19" totalsRowShown="0">
  <autoFilter ref="A1:S19" xr:uid="{1CBC2F98-EB9E-344B-887F-F7940C2F7786}"/>
  <tableColumns count="19">
    <tableColumn id="1" xr3:uid="{020043BA-8A04-6C4B-9F6F-77063B9683C1}" name="lang"/>
    <tableColumn id="2" xr3:uid="{9B8E8175-B1ED-864F-8887-291CECAD3523}" name="attribute.index"/>
    <tableColumn id="3" xr3:uid="{E25AD578-0835-B44A-A61D-6AFC39EFE860}" name="attribute"/>
    <tableColumn id="4" xr3:uid="{F4A66A1A-5350-8042-B33E-D7839AE8BFA3}" name="supplement"/>
    <tableColumn id="5" xr3:uid="{2F4A4E01-9E0A-0948-9F0D-B44851CCF335}" name="method.index"/>
    <tableColumn id="6" xr3:uid="{DDE58B54-2CD4-514C-BE28-B5A4D21B05B3}" name="method"/>
    <tableColumn id="7" xr3:uid="{9C22EDCE-2FDE-DB4B-95A4-3E5CEC997970}" name="2g-no-hash" dataDxfId="104"/>
    <tableColumn id="8" xr3:uid="{F0719F33-AAFD-BF45-BC85-BA6026AA96DB}" name="3g-no-hash" dataDxfId="103"/>
    <tableColumn id="9" xr3:uid="{81AC9B3B-5CFB-3647-81B0-8C7851F7869F}" name="4g-no-hash" dataDxfId="102"/>
    <tableColumn id="10" xr3:uid="{684FFC8D-2943-064F-8818-C682B0753F02}" name="xsk2g-no-hash" dataDxfId="101"/>
    <tableColumn id="11" xr3:uid="{A9F67840-5D45-4D43-8609-94DE83AA16DC}" name="xsk3g-no-hash" dataDxfId="100"/>
    <tableColumn id="12" xr3:uid="{5C8858EB-A55E-5F46-87CB-3883ADFAEBB8}" name="xsk4g-no-hash" dataDxfId="99"/>
    <tableColumn id="13" xr3:uid="{990F3D16-0E3D-804F-ADA1-E6668B6AAA73}" name="2g-hash-at-both" dataDxfId="98"/>
    <tableColumn id="14" xr3:uid="{075788D8-F25F-2647-92DE-6F1F5EE67567}" name="3g-hash-at-both" dataDxfId="97"/>
    <tableColumn id="15" xr3:uid="{F7DED23F-DEF3-9E42-BBBF-E87ABE88E295}" name="4g-hash-at-both" dataDxfId="96"/>
    <tableColumn id="16" xr3:uid="{E4A950C0-CE7A-CC4B-A734-7FE5138594E3}" name="xsk2g-hash-at-both" dataDxfId="95"/>
    <tableColumn id="17" xr3:uid="{AA1ECE16-5466-9346-8F31-9D6DAE418AB6}" name="xsk3g-hash-at-both" dataDxfId="94"/>
    <tableColumn id="18" xr3:uid="{38448FE5-7AE1-B445-AC96-549A8CDBBC12}" name="xsk4g-hash-at-both" dataDxfId="93"/>
    <tableColumn id="19" xr3:uid="{81178E67-EFA9-4845-AED2-AE140B987CBA}" name="max" dataDxfId="92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BFDC61-63DB-1644-B93B-A568E71A90E1}" name="Table167" displayName="Table167" ref="B22:S28" totalsRowShown="0">
  <autoFilter ref="B22:S28" xr:uid="{1EBFDC61-63DB-1644-B93B-A568E71A90E1}"/>
  <tableColumns count="18">
    <tableColumn id="1" xr3:uid="{E86DB90A-D346-2D49-A2A2-088C8250D429}" name="attribute.index"/>
    <tableColumn id="2" xr3:uid="{0559A0B8-319C-3844-B348-773E8655FC15}" name="attribute"/>
    <tableColumn id="3" xr3:uid="{34057729-6D55-B942-AF4C-1B76818779E4}" name="supplemented"/>
    <tableColumn id="4" xr3:uid="{4690C886-2F82-7144-9EDE-71633EF76C0B}" name="method.index"/>
    <tableColumn id="5" xr3:uid="{BAB7FA25-107A-DF4C-9B44-BF5A430028EC}" name="metric"/>
    <tableColumn id="6" xr3:uid="{EF697E7C-DFAE-AF44-89FB-098288A7B62D}" name="2g-no-hash" dataDxfId="91">
      <calculatedColumnFormula array="1">_xlfn.LET(_xlpm.d,G$2:G$19,_xlpm.a,$C$2:$C$19=$C23,_xlpm.b,$D$2:$D$19=$D23,MAX(_xlfn._xlws.FILTER(_xlpm.d,_xlpm.a*_xlpm.b)))</calculatedColumnFormula>
    </tableColumn>
    <tableColumn id="7" xr3:uid="{23C77523-5655-CD41-B3B8-1E28BD817728}" name="3g-no-hash" dataDxfId="90">
      <calculatedColumnFormula array="1">_xlfn.LET(_xlpm.d,H$2:H$19,_xlpm.a,$C$2:$C$19=$C23,_xlpm.b,$D$2:$D$19=$D23,MAX(_xlfn._xlws.FILTER(_xlpm.d,_xlpm.a*_xlpm.b)))</calculatedColumnFormula>
    </tableColumn>
    <tableColumn id="8" xr3:uid="{5C5452FE-FA7F-DA4C-9E91-B9DB3236E661}" name="4g-no-hash" dataDxfId="89">
      <calculatedColumnFormula array="1">_xlfn.LET(_xlpm.d,I$2:I$19,_xlpm.a,$C$2:$C$19=$C23,_xlpm.b,$D$2:$D$19=$D23,MAX(_xlfn._xlws.FILTER(_xlpm.d,_xlpm.a*_xlpm.b)))</calculatedColumnFormula>
    </tableColumn>
    <tableColumn id="9" xr3:uid="{4060C70E-7573-D344-AB6F-77DE83F25313}" name="xsk2g-no-hash" dataDxfId="88">
      <calculatedColumnFormula array="1">_xlfn.LET(_xlpm.d,J$2:J$19,_xlpm.a,$C$2:$C$19=$C23,_xlpm.b,$D$2:$D$19=$D23,MAX(_xlfn._xlws.FILTER(_xlpm.d,_xlpm.a*_xlpm.b)))</calculatedColumnFormula>
    </tableColumn>
    <tableColumn id="10" xr3:uid="{ADF4D7D8-BE34-0345-8311-F10E0530D55D}" name="xsk3g-no-hash" dataDxfId="87">
      <calculatedColumnFormula array="1">_xlfn.LET(_xlpm.d,K$2:K$19,_xlpm.a,$C$2:$C$19=$C23,_xlpm.b,$D$2:$D$19=$D23,MAX(_xlfn._xlws.FILTER(_xlpm.d,_xlpm.a*_xlpm.b)))</calculatedColumnFormula>
    </tableColumn>
    <tableColumn id="11" xr3:uid="{2B78769E-5D86-9C4D-815E-FE512FB93FB0}" name="xsk4g-no-hash" dataDxfId="86">
      <calculatedColumnFormula array="1">_xlfn.LET(_xlpm.d,L$2:L$19,_xlpm.a,$C$2:$C$19=$C23,_xlpm.b,$D$2:$D$19=$D23,MAX(_xlfn._xlws.FILTER(_xlpm.d,_xlpm.a*_xlpm.b)))</calculatedColumnFormula>
    </tableColumn>
    <tableColumn id="12" xr3:uid="{793388FA-C5D6-D740-9D87-30A290390C71}" name="2g-hash-at-both" dataDxfId="85">
      <calculatedColumnFormula array="1">_xlfn.LET(_xlpm.d,M$2:M$19,_xlpm.a,$C$2:$C$19=$C23,_xlpm.b,$D$2:$D$19=$D23,MAX(_xlfn._xlws.FILTER(_xlpm.d,_xlpm.a*_xlpm.b)))</calculatedColumnFormula>
    </tableColumn>
    <tableColumn id="13" xr3:uid="{67F081FA-0A42-1042-9B63-E9DAEA1A2CC2}" name="3g-hash-at-both" dataDxfId="84">
      <calculatedColumnFormula array="1">_xlfn.LET(_xlpm.d,N$2:N$19,_xlpm.a,$C$2:$C$19=$C23,_xlpm.b,$D$2:$D$19=$D23,MAX(_xlfn._xlws.FILTER(_xlpm.d,_xlpm.a*_xlpm.b)))</calculatedColumnFormula>
    </tableColumn>
    <tableColumn id="14" xr3:uid="{F39D7DB6-5BB2-2D48-876A-FC0C442FDFE7}" name="4g-hash-at-both" dataDxfId="83">
      <calculatedColumnFormula array="1">_xlfn.LET(_xlpm.d,O$2:O$19,_xlpm.a,$C$2:$C$19=$C23,_xlpm.b,$D$2:$D$19=$D23,MAX(_xlfn._xlws.FILTER(_xlpm.d,_xlpm.a*_xlpm.b)))</calculatedColumnFormula>
    </tableColumn>
    <tableColumn id="15" xr3:uid="{7FA819D1-7CF6-E94E-9D3F-DC0318878856}" name="xsk2g-hash-at-both" dataDxfId="82">
      <calculatedColumnFormula array="1">_xlfn.LET(_xlpm.d,P$2:P$19,_xlpm.a,$C$2:$C$19=$C23,_xlpm.b,$D$2:$D$19=$D23,MAX(_xlfn._xlws.FILTER(_xlpm.d,_xlpm.a*_xlpm.b)))</calculatedColumnFormula>
    </tableColumn>
    <tableColumn id="16" xr3:uid="{4CCAB890-A1CF-D94B-99DE-140598FF133F}" name="xsk3g-hash-at-both" dataDxfId="81">
      <calculatedColumnFormula array="1">_xlfn.LET(_xlpm.d,Q$2:Q$19,_xlpm.a,$C$2:$C$19=$C23,_xlpm.b,$D$2:$D$19=$D23,MAX(_xlfn._xlws.FILTER(_xlpm.d,_xlpm.a*_xlpm.b)))</calculatedColumnFormula>
    </tableColumn>
    <tableColumn id="17" xr3:uid="{5B2E8EE8-318C-224D-9204-A410A4D62351}" name="xsk4g-hash-at-both" dataDxfId="80">
      <calculatedColumnFormula array="1">_xlfn.LET(_xlpm.d,R$2:R$19,_xlpm.a,$C$2:$C$19=$C23,_xlpm.b,$D$2:$D$19=$D23,MAX(_xlfn._xlws.FILTER(_xlpm.d,_xlpm.a*_xlpm.b)))</calculatedColumnFormula>
    </tableColumn>
    <tableColumn id="18" xr3:uid="{C577E733-A271-6647-A8C1-AFDB87763F82}" name="max" dataDxfId="79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74411F-C287-494D-A83B-8FD7566390BC}" name="Table15" displayName="Table15" ref="A1:T19" totalsRowShown="0">
  <autoFilter ref="A1:T19" xr:uid="{1574411F-C287-494D-A83B-8FD7566390BC}"/>
  <sortState xmlns:xlrd2="http://schemas.microsoft.com/office/spreadsheetml/2017/richdata2" ref="A2:T19">
    <sortCondition ref="B1:B19"/>
  </sortState>
  <tableColumns count="20">
    <tableColumn id="1" xr3:uid="{56B8BCD3-B22C-0647-A069-82E3BC096B87}" name="lang"/>
    <tableColumn id="2" xr3:uid="{0A6DD2B7-6992-4448-B202-72F23DDE60C2}" name="attribute.index"/>
    <tableColumn id="3" xr3:uid="{6E65C6E0-26A1-6245-8F8F-6943D9123B66}" name="attribute"/>
    <tableColumn id="4" xr3:uid="{CB9CF557-A575-4C4E-9336-F9FABBFD0BDA}" name="supplement"/>
    <tableColumn id="5" xr3:uid="{DCEAC2D9-9BE2-B34A-9137-7063B236F402}" name="method.index"/>
    <tableColumn id="6" xr3:uid="{F627CD0A-CB49-0741-9528-4D240F471001}" name="method"/>
    <tableColumn id="20" xr3:uid="{21999F64-8EBD-264B-905C-CD48F283F1B3}" name="var"/>
    <tableColumn id="7" xr3:uid="{1610675F-CEAC-CD42-A46B-D01F0D814547}" name="2g-no-hash" dataDxfId="78"/>
    <tableColumn id="8" xr3:uid="{9BA45C24-2F2C-2642-B0B8-1521D9674184}" name="3g-no-hash" dataDxfId="77"/>
    <tableColumn id="9" xr3:uid="{5C4DAB25-336C-1549-B08C-223A45780293}" name="4g-no-hash" dataDxfId="76"/>
    <tableColumn id="10" xr3:uid="{977AE5D7-878B-0E45-9C22-847EFFA37268}" name="xsk2g-no-hash" dataDxfId="75"/>
    <tableColumn id="11" xr3:uid="{43E2B2EF-5D67-8342-9E23-739F72F0F0FA}" name="xsk3g-no-hash" dataDxfId="74"/>
    <tableColumn id="12" xr3:uid="{D73A72E2-0DA3-894D-8C12-A702BF81AB88}" name="xsk4g-no-hash" dataDxfId="73"/>
    <tableColumn id="13" xr3:uid="{27108118-B4E1-7D46-B728-881FC5C5A8A4}" name="2g-hash-at-both" dataDxfId="72"/>
    <tableColumn id="14" xr3:uid="{AFD5EDAD-5C05-F640-BB04-81DF40BBCBA4}" name="3g-hash-at-both" dataDxfId="71"/>
    <tableColumn id="15" xr3:uid="{FAE7B488-A6D6-8742-A084-E71CB087299B}" name="4g-hash-at-both" dataDxfId="70"/>
    <tableColumn id="16" xr3:uid="{CABDF20D-F02A-2842-AC34-12CA8D51107A}" name="xsk2g-hash-at-both" dataDxfId="69"/>
    <tableColumn id="17" xr3:uid="{DB09EAAD-D9E1-4B4B-8E4C-6570F850505D}" name="xsk3g-hash-at-both" dataDxfId="68"/>
    <tableColumn id="18" xr3:uid="{E09F292C-04FC-5F48-8C16-18DC652F4AD1}" name="xsk4g-hash-at-both" dataDxfId="67"/>
    <tableColumn id="19" xr3:uid="{E088C57D-8A19-E541-9A6F-A80AB3B43DDA}" name="max" dataDxfId="66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0B30F03-3B91-6A41-8F3A-70ABE7174F2A}" name="Table16" displayName="Table16" ref="B22:T28" totalsRowShown="0">
  <autoFilter ref="B22:T28" xr:uid="{70B30F03-3B91-6A41-8F3A-70ABE7174F2A}"/>
  <tableColumns count="19">
    <tableColumn id="1" xr3:uid="{0BC765AC-817F-5D43-879C-4BC837D0A93D}" name="attribute.index"/>
    <tableColumn id="2" xr3:uid="{7430CF71-1CAC-4446-967A-D5BA39B42F80}" name="attribute"/>
    <tableColumn id="3" xr3:uid="{6BC332C5-2FA8-704F-B765-58B1FDF033B6}" name="supplemented"/>
    <tableColumn id="4" xr3:uid="{73CED17E-A354-3E4D-92FA-B4CA75257B50}" name="method.index"/>
    <tableColumn id="5" xr3:uid="{31E2601A-4CB8-414E-AE51-DDA79251D834}" name="metric"/>
    <tableColumn id="19" xr3:uid="{8E5FDFEB-0DAA-624F-A92B-39E65E0408BE}" name="var"/>
    <tableColumn id="6" xr3:uid="{0139629D-D881-C94C-9D27-8165B8E63E07}" name="2g-no-hash" dataDxfId="65">
      <calculatedColumnFormula array="1">_xlfn.LET(_xlpm.d,H$2:H$19,_xlpm.a,$C$2:$C$19=$C23,_xlpm.b,$D$2:$D$19=$D23,MAX(_xlfn._xlws.FILTER(_xlpm.d,_xlpm.a*_xlpm.b)))</calculatedColumnFormula>
    </tableColumn>
    <tableColumn id="7" xr3:uid="{5B8E4C32-B28C-4444-9F61-414F52876316}" name="3g-no-hash" dataDxfId="64">
      <calculatedColumnFormula array="1">_xlfn.LET(_xlpm.d,I$2:I$19,_xlpm.a,$C$2:$C$19=$C23,_xlpm.b,$D$2:$D$19=$D23,MAX(_xlfn._xlws.FILTER(_xlpm.d,_xlpm.a*_xlpm.b)))</calculatedColumnFormula>
    </tableColumn>
    <tableColumn id="8" xr3:uid="{C8852E29-9533-6D4D-9D69-22C905F02F86}" name="4g-no-hash" dataDxfId="63">
      <calculatedColumnFormula array="1">_xlfn.LET(_xlpm.d,J$2:J$19,_xlpm.a,$C$2:$C$19=$C23,_xlpm.b,$D$2:$D$19=$D23,MAX(_xlfn._xlws.FILTER(_xlpm.d,_xlpm.a*_xlpm.b)))</calculatedColumnFormula>
    </tableColumn>
    <tableColumn id="9" xr3:uid="{78F4D4CD-2A9A-BA41-B45E-5ED1028795A2}" name="xsk2g-no-hash" dataDxfId="62">
      <calculatedColumnFormula array="1">_xlfn.LET(_xlpm.d,K$2:K$19,_xlpm.a,$C$2:$C$19=$C23,_xlpm.b,$D$2:$D$19=$D23,MAX(_xlfn._xlws.FILTER(_xlpm.d,_xlpm.a*_xlpm.b)))</calculatedColumnFormula>
    </tableColumn>
    <tableColumn id="10" xr3:uid="{0DBAFDD5-AA21-8547-8AE1-6846AB23AA69}" name="xsk3g-no-hash" dataDxfId="61">
      <calculatedColumnFormula array="1">_xlfn.LET(_xlpm.d,L$2:L$19,_xlpm.a,$C$2:$C$19=$C23,_xlpm.b,$D$2:$D$19=$D23,MAX(_xlfn._xlws.FILTER(_xlpm.d,_xlpm.a*_xlpm.b)))</calculatedColumnFormula>
    </tableColumn>
    <tableColumn id="11" xr3:uid="{1FF2AD0D-7768-3147-A634-A074E26A9BF8}" name="xsk4g-no-hash" dataDxfId="60">
      <calculatedColumnFormula array="1">_xlfn.LET(_xlpm.d,M$2:M$19,_xlpm.a,$C$2:$C$19=$C23,_xlpm.b,$D$2:$D$19=$D23,MAX(_xlfn._xlws.FILTER(_xlpm.d,_xlpm.a*_xlpm.b)))</calculatedColumnFormula>
    </tableColumn>
    <tableColumn id="12" xr3:uid="{3C2FCB32-6B9D-1640-9B4E-2CE90664D0A2}" name="2g-hash-at-both" dataDxfId="59">
      <calculatedColumnFormula array="1">_xlfn.LET(_xlpm.d,N$2:N$19,_xlpm.a,$C$2:$C$19=$C23,_xlpm.b,$D$2:$D$19=$D23,MAX(_xlfn._xlws.FILTER(_xlpm.d,_xlpm.a*_xlpm.b)))</calculatedColumnFormula>
    </tableColumn>
    <tableColumn id="13" xr3:uid="{672DA275-63F4-A741-BA2A-180813164E5D}" name="3g-hash-at-both" dataDxfId="58">
      <calculatedColumnFormula array="1">_xlfn.LET(_xlpm.d,O$2:O$19,_xlpm.a,$C$2:$C$19=$C23,_xlpm.b,$D$2:$D$19=$D23,MAX(_xlfn._xlws.FILTER(_xlpm.d,_xlpm.a*_xlpm.b)))</calculatedColumnFormula>
    </tableColumn>
    <tableColumn id="14" xr3:uid="{42599CD6-E5D0-564E-B4DD-0C4541469517}" name="4g-hash-at-both" dataDxfId="57">
      <calculatedColumnFormula array="1">_xlfn.LET(_xlpm.d,P$2:P$19,_xlpm.a,$C$2:$C$19=$C23,_xlpm.b,$D$2:$D$19=$D23,MAX(_xlfn._xlws.FILTER(_xlpm.d,_xlpm.a*_xlpm.b)))</calculatedColumnFormula>
    </tableColumn>
    <tableColumn id="15" xr3:uid="{A225C33E-39C1-C442-8957-224F9BD75BC5}" name="xsk2g-hash-at-both" dataDxfId="56">
      <calculatedColumnFormula array="1">_xlfn.LET(_xlpm.d,Q$2:Q$19,_xlpm.a,$C$2:$C$19=$C23,_xlpm.b,$D$2:$D$19=$D23,MAX(_xlfn._xlws.FILTER(_xlpm.d,_xlpm.a*_xlpm.b)))</calculatedColumnFormula>
    </tableColumn>
    <tableColumn id="16" xr3:uid="{02471536-E36F-CC4A-BA63-B8E8707FDF7B}" name="xsk3g-hash-at-both" dataDxfId="55">
      <calculatedColumnFormula array="1">_xlfn.LET(_xlpm.d,R$2:R$19,_xlpm.a,$C$2:$C$19=$C23,_xlpm.b,$D$2:$D$19=$D23,MAX(_xlfn._xlws.FILTER(_xlpm.d,_xlpm.a*_xlpm.b)))</calculatedColumnFormula>
    </tableColumn>
    <tableColumn id="17" xr3:uid="{772F7494-0F97-A640-BC09-9DEE234C7416}" name="xsk4g-hash-at-both" dataDxfId="54">
      <calculatedColumnFormula array="1">_xlfn.LET(_xlpm.d,S$2:S$19,_xlpm.a,$C$2:$C$19=$C23,_xlpm.b,$D$2:$D$19=$D23,MAX(_xlfn._xlws.FILTER(_xlpm.d,_xlpm.a*_xlpm.b)))</calculatedColumnFormula>
    </tableColumn>
    <tableColumn id="18" xr3:uid="{0F89BA00-3212-BB43-84A5-C4E48DD41ABA}" name="max" dataDxfId="53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71B484-0701-D747-96B3-FE9641E9FECF}" name="Table17" displayName="Table17" ref="A1:T19" totalsRowShown="0">
  <autoFilter ref="A1:T19" xr:uid="{6B71B484-0701-D747-96B3-FE9641E9FECF}"/>
  <sortState xmlns:xlrd2="http://schemas.microsoft.com/office/spreadsheetml/2017/richdata2" ref="A2:T19">
    <sortCondition ref="B1:B19"/>
  </sortState>
  <tableColumns count="20">
    <tableColumn id="1" xr3:uid="{BFE275BC-7E93-4A41-BC95-621A6DA82784}" name="lang"/>
    <tableColumn id="2" xr3:uid="{2C16D2BB-689F-2F4B-95AF-CDF92706C7C1}" name="attribute.index"/>
    <tableColumn id="3" xr3:uid="{B9F5E3F9-2A15-C54A-93F5-66EAC462399F}" name="attribute"/>
    <tableColumn id="4" xr3:uid="{15090EA8-405A-524C-B97E-4B6773DA0B5E}" name="supplement"/>
    <tableColumn id="5" xr3:uid="{59AB2118-B8F0-5F4D-9A4D-DE68B20DCBF2}" name="method.index" dataDxfId="52"/>
    <tableColumn id="6" xr3:uid="{FC675DA9-94D7-E347-969A-2A649B20DC2A}" name="method"/>
    <tableColumn id="20" xr3:uid="{58E283F7-869C-2141-B664-D523713ADA3B}" name="var"/>
    <tableColumn id="7" xr3:uid="{FD203DB1-35D0-E843-B0A1-C48C0D37ADB2}" name="2g-no-hash" dataDxfId="51"/>
    <tableColumn id="8" xr3:uid="{475BC975-D79D-5646-A931-D9ED7A9B0BE6}" name="3g-no-hash" dataDxfId="50"/>
    <tableColumn id="9" xr3:uid="{E50E2E90-0523-1F41-8F54-BD26A5B39F2D}" name="4g-no-hash" dataDxfId="49"/>
    <tableColumn id="10" xr3:uid="{26E09065-11BF-CB47-B5A9-48C8281B4509}" name="xsk2g-no-hash" dataDxfId="48"/>
    <tableColumn id="11" xr3:uid="{783C126E-8A5E-1845-8A89-B729BA3E3F19}" name="xsk3g-no-hash" dataDxfId="47"/>
    <tableColumn id="12" xr3:uid="{7B0115DC-42DA-0645-8419-96E978BD7B03}" name="xsk4g-no-hash" dataDxfId="46"/>
    <tableColumn id="13" xr3:uid="{E60FB9A7-C01B-6B45-9E15-870D4E2550DC}" name="2g-hash-at-both" dataDxfId="45"/>
    <tableColumn id="14" xr3:uid="{FBD5D624-0B7F-8344-B9E0-B57BADE7842F}" name="3g-hash-at-both" dataDxfId="44"/>
    <tableColumn id="15" xr3:uid="{3187D327-FEAA-3F48-BB61-F9BB2DDBB3F2}" name="4g-hash-at-both" dataDxfId="43"/>
    <tableColumn id="16" xr3:uid="{A5464651-BD9B-FE4C-979A-C0B3BB01F61E}" name="xsk2g-hash-at-both" dataDxfId="42"/>
    <tableColumn id="17" xr3:uid="{93936610-4ED3-1D4D-A80B-BA71A4408B06}" name="xsk3g-hash-at-both" dataDxfId="41"/>
    <tableColumn id="18" xr3:uid="{C54E5D3E-1D7E-C24F-8ED6-7F91A503757C}" name="xsk4g-hash-at-both" dataDxfId="40"/>
    <tableColumn id="19" xr3:uid="{5A1E1BD6-297B-AA40-8B45-B458ED10C154}" name="max" dataDxfId="39">
      <calculatedColumnFormula>_xlfn.LET(_xlpm.d,$H2:$S2,MAX(_xlpm.d))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06DB25-2133-854B-8E6C-A4B733AA2E1C}" name="Table18" displayName="Table18" ref="B22:T28" totalsRowShown="0">
  <autoFilter ref="B22:T28" xr:uid="{C706DB25-2133-854B-8E6C-A4B733AA2E1C}"/>
  <sortState xmlns:xlrd2="http://schemas.microsoft.com/office/spreadsheetml/2017/richdata2" ref="B23:T28">
    <sortCondition ref="B22:B28"/>
  </sortState>
  <tableColumns count="19">
    <tableColumn id="1" xr3:uid="{3A008DF2-8FB1-BC44-A9ED-3B2AD8847EB2}" name="attribute.index"/>
    <tableColumn id="2" xr3:uid="{711D3422-33B0-A74C-BC15-112363FA6F01}" name="attribute"/>
    <tableColumn id="3" xr3:uid="{67CA5820-920E-8042-8DB3-FE2A5D14837D}" name="supplemented"/>
    <tableColumn id="4" xr3:uid="{F2D41EB9-A6EF-2941-BCFC-917EAF5D9B97}" name="method.index"/>
    <tableColumn id="5" xr3:uid="{572889DA-9C5A-9143-B8C4-68B902B79F2E}" name="method"/>
    <tableColumn id="19" xr3:uid="{ED1F6BCC-A3C2-C345-818E-C6333D768BBA}" name="var"/>
    <tableColumn id="6" xr3:uid="{35D30BEE-EED9-9F4B-90C7-D81234B7C854}" name="2g-no-hash" dataDxfId="38">
      <calculatedColumnFormula array="1">_xlfn.LET(_xlpm.d,H$2:H$19,_xlpm.a,$C$2:$C$19=$C23,_xlpm.b,$D$2:$D$19=$D23,MAX(_xlfn._xlws.FILTER(_xlpm.d,_xlpm.a*_xlpm.b)))</calculatedColumnFormula>
    </tableColumn>
    <tableColumn id="7" xr3:uid="{CF90480C-A752-8646-9F7A-C668D21E4E3B}" name="3g-no-hash" dataDxfId="37">
      <calculatedColumnFormula array="1">_xlfn.LET(_xlpm.d,I$2:I$19,_xlpm.a,$C$2:$C$19=$C23,_xlpm.b,$D$2:$D$19=$D23,MAX(_xlfn._xlws.FILTER(_xlpm.d,_xlpm.a*_xlpm.b)))</calculatedColumnFormula>
    </tableColumn>
    <tableColumn id="8" xr3:uid="{E2568D3F-0874-4343-A2EB-FC502AC2AC22}" name="4g-no-hash" dataDxfId="36">
      <calculatedColumnFormula array="1">_xlfn.LET(_xlpm.d,J$2:J$19,_xlpm.a,$C$2:$C$19=$C23,_xlpm.b,$D$2:$D$19=$D23,MAX(_xlfn._xlws.FILTER(_xlpm.d,_xlpm.a*_xlpm.b)))</calculatedColumnFormula>
    </tableColumn>
    <tableColumn id="9" xr3:uid="{46126DF4-BCD6-C543-8E48-99FBE0ACE3A8}" name="xsk2g-no-hash" dataDxfId="35">
      <calculatedColumnFormula array="1">_xlfn.LET(_xlpm.d,K$2:K$19,_xlpm.a,$C$2:$C$19=$C23,_xlpm.b,$D$2:$D$19=$D23,MAX(_xlfn._xlws.FILTER(_xlpm.d,_xlpm.a*_xlpm.b)))</calculatedColumnFormula>
    </tableColumn>
    <tableColumn id="10" xr3:uid="{DF49FF51-89CF-A945-A93B-4F015BF4DFF1}" name="xsk3g-no-hash" dataDxfId="34">
      <calculatedColumnFormula array="1">_xlfn.LET(_xlpm.d,L$2:L$19,_xlpm.a,$C$2:$C$19=$C23,_xlpm.b,$D$2:$D$19=$D23,MAX(_xlfn._xlws.FILTER(_xlpm.d,_xlpm.a*_xlpm.b)))</calculatedColumnFormula>
    </tableColumn>
    <tableColumn id="11" xr3:uid="{64FFE066-820C-D14D-A8CE-1BDE59446492}" name="xsk4g-no-hash" dataDxfId="33">
      <calculatedColumnFormula array="1">_xlfn.LET(_xlpm.d,M$2:M$19,_xlpm.a,$C$2:$C$19=$C23,_xlpm.b,$D$2:$D$19=$D23,MAX(_xlfn._xlws.FILTER(_xlpm.d,_xlpm.a*_xlpm.b)))</calculatedColumnFormula>
    </tableColumn>
    <tableColumn id="12" xr3:uid="{790980D4-7446-354E-AFBB-591EDBFFC358}" name="2g-hash-at-both" dataDxfId="32">
      <calculatedColumnFormula array="1">_xlfn.LET(_xlpm.d,N$2:N$19,_xlpm.a,$C$2:$C$19=$C23,_xlpm.b,$D$2:$D$19=$D23,MAX(_xlfn._xlws.FILTER(_xlpm.d,_xlpm.a*_xlpm.b)))</calculatedColumnFormula>
    </tableColumn>
    <tableColumn id="13" xr3:uid="{AE5003CD-0020-BA48-AF2B-CBB0CC05F117}" name="3g-hash-at-both" dataDxfId="31">
      <calculatedColumnFormula array="1">_xlfn.LET(_xlpm.d,O$2:O$19,_xlpm.a,$C$2:$C$19=$C23,_xlpm.b,$D$2:$D$19=$D23,MAX(_xlfn._xlws.FILTER(_xlpm.d,_xlpm.a*_xlpm.b)))</calculatedColumnFormula>
    </tableColumn>
    <tableColumn id="14" xr3:uid="{FC9B84DF-A4FC-EF4D-B48B-6AD752E06777}" name="4g-hash-at-both" dataDxfId="30">
      <calculatedColumnFormula array="1">_xlfn.LET(_xlpm.d,P$2:P$19,_xlpm.a,$C$2:$C$19=$C23,_xlpm.b,$D$2:$D$19=$D23,MAX(_xlfn._xlws.FILTER(_xlpm.d,_xlpm.a*_xlpm.b)))</calculatedColumnFormula>
    </tableColumn>
    <tableColumn id="15" xr3:uid="{820294F4-BA14-1348-8C5A-598A5EF39013}" name="xsk2g-hash-at-both" dataDxfId="29">
      <calculatedColumnFormula array="1">_xlfn.LET(_xlpm.d,Q$2:Q$19,_xlpm.a,$C$2:$C$19=$C23,_xlpm.b,$D$2:$D$19=$D23,MAX(_xlfn._xlws.FILTER(_xlpm.d,_xlpm.a*_xlpm.b)))</calculatedColumnFormula>
    </tableColumn>
    <tableColumn id="16" xr3:uid="{69A51D1B-0C42-744F-A173-005211B2E839}" name="xsk3g-hash-at-both" dataDxfId="28">
      <calculatedColumnFormula array="1">_xlfn.LET(_xlpm.d,R$2:R$19,_xlpm.a,$C$2:$C$19=$C23,_xlpm.b,$D$2:$D$19=$D23,MAX(_xlfn._xlws.FILTER(_xlpm.d,_xlpm.a*_xlpm.b)))</calculatedColumnFormula>
    </tableColumn>
    <tableColumn id="17" xr3:uid="{A0C3A8FB-844B-5649-8A5C-CF79227BF7D3}" name="xsk4g-hash-at-both" dataDxfId="27">
      <calculatedColumnFormula array="1">_xlfn.LET(_xlpm.d,S$2:S$19,_xlpm.a,$C$2:$C$19=$C23,_xlpm.b,$D$2:$D$19=$D23,MAX(_xlfn._xlws.FILTER(_xlpm.d,_xlpm.a*_xlpm.b)))</calculatedColumnFormula>
    </tableColumn>
    <tableColumn id="18" xr3:uid="{8E4D382C-5F3A-624A-A5F7-7A8F22D3C2A0}" name="max" dataDxfId="26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AFAA574-3F9B-CC4A-824E-BC6456ACF526}" name="Table19" displayName="Table19" ref="A1:S19" totalsRowShown="0">
  <autoFilter ref="A1:S19" xr:uid="{BAFAA574-3F9B-CC4A-824E-BC6456ACF526}"/>
  <sortState xmlns:xlrd2="http://schemas.microsoft.com/office/spreadsheetml/2017/richdata2" ref="A2:S19">
    <sortCondition ref="B1:B19"/>
  </sortState>
  <tableColumns count="19">
    <tableColumn id="1" xr3:uid="{1E728126-3B65-C248-B06E-15BD6E7445F8}" name="lang"/>
    <tableColumn id="2" xr3:uid="{E3224E4C-CE8F-4C4C-B6A4-6C33985FCB3D}" name="attribute.index"/>
    <tableColumn id="3" xr3:uid="{1E39CC0A-9B6F-0E46-BB41-4EA3D1AC56A8}" name="attribute"/>
    <tableColumn id="4" xr3:uid="{9DE23EDC-076D-EB4F-BBB7-118995AAD3A7}" name="supplement"/>
    <tableColumn id="5" xr3:uid="{33074AB6-A86E-3A42-8CC3-987480FBEE5B}" name="method.index"/>
    <tableColumn id="6" xr3:uid="{DBB2B19A-5986-B446-90A2-898BE2DEDE7D}" name="method"/>
    <tableColumn id="7" xr3:uid="{D869CF10-62BB-D045-A269-4C8BEEFE4967}" name="2g-no-hash" dataDxfId="25"/>
    <tableColumn id="8" xr3:uid="{233FBBD3-45BB-E148-8C05-F09C9EC6DE41}" name="3g-no-hash" dataDxfId="24"/>
    <tableColumn id="9" xr3:uid="{D8FB399E-6385-544A-A41A-AAEB07B3FBF6}" name="4g-no-hash" dataDxfId="23"/>
    <tableColumn id="10" xr3:uid="{C76531E2-CF78-0449-9E8E-DE964DC187F9}" name="xsk2g-no-hash" dataDxfId="22"/>
    <tableColumn id="11" xr3:uid="{7522F3BB-7DA3-C048-92D2-27339CB30E33}" name="xsk3g-no-hash" dataDxfId="21"/>
    <tableColumn id="12" xr3:uid="{A1D97109-204F-7A42-81F9-41473032C7D3}" name="xsk4g-no-hash" dataDxfId="20"/>
    <tableColumn id="13" xr3:uid="{A7B56A3E-BC5D-CC47-9ABB-199E9DBBF2C4}" name="2g-hash-at-both" dataDxfId="19"/>
    <tableColumn id="14" xr3:uid="{DD37D780-6E5B-374A-AE0A-FB0FA005FF1E}" name="3g-hash-at-both" dataDxfId="18"/>
    <tableColumn id="15" xr3:uid="{729D656B-EC89-0F44-B4B0-47E5729C81E5}" name="4g-hash-at-both" dataDxfId="17"/>
    <tableColumn id="16" xr3:uid="{1FD651A6-7551-FE4E-A188-A11DF8BBCE17}" name="xsk2g-hash-at-both" dataDxfId="16"/>
    <tableColumn id="17" xr3:uid="{4D529158-9BAC-CC47-94BE-70C922DD1DAE}" name="xsk3g-hash-at-both" dataDxfId="15"/>
    <tableColumn id="18" xr3:uid="{17C922EB-AFE6-B044-B450-BC97E7740250}" name="xsk4g-hash-at-both" dataDxfId="14"/>
    <tableColumn id="19" xr3:uid="{3C703071-998D-F343-8209-CF1208922FF3}" name="max" dataDxfId="1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FD20741-16C3-1943-A6EB-2F7C94254467}" name="Table20" displayName="Table20" ref="B22:S28" totalsRowShown="0">
  <autoFilter ref="B22:S28" xr:uid="{AFD20741-16C3-1943-A6EB-2F7C94254467}"/>
  <tableColumns count="18">
    <tableColumn id="1" xr3:uid="{C40C9718-0BCB-8A47-A6C5-2D67EB005DD6}" name="attribute.index"/>
    <tableColumn id="2" xr3:uid="{85AF222B-257E-F746-A6DB-1646CBF265FA}" name="attribute"/>
    <tableColumn id="3" xr3:uid="{4075C83F-B4AF-824A-8DD9-0853A3E2ED4B}" name="supplemented"/>
    <tableColumn id="4" xr3:uid="{91CDA9AF-6AB9-7D42-9F2A-BC7E80469E83}" name="method.index"/>
    <tableColumn id="5" xr3:uid="{02292E59-DF9D-8D4C-A9D5-18859043F888}" name="metric"/>
    <tableColumn id="6" xr3:uid="{7D3FBAB2-FEF7-F843-9A10-620B83020F77}" name="2g-no-hash" dataDxfId="12">
      <calculatedColumnFormula array="1">_xlfn.LET(_xlpm.d,G$2:G$19,_xlpm.a,$C$2:$C$19=$C23,_xlpm.b,$D$2:$D$19=$D23,MAX(_xlfn._xlws.FILTER(_xlpm.d,_xlpm.a*_xlpm.b)))</calculatedColumnFormula>
    </tableColumn>
    <tableColumn id="7" xr3:uid="{010AFE76-CBAB-C24D-916C-3C23FE7589C9}" name="3g-no-hash" dataDxfId="11">
      <calculatedColumnFormula array="1">_xlfn.LET(_xlpm.d,H$2:H$19,_xlpm.a,$C$2:$C$19=$C23,_xlpm.b,$D$2:$D$19=$D23,MAX(_xlfn._xlws.FILTER(_xlpm.d,_xlpm.a*_xlpm.b)))</calculatedColumnFormula>
    </tableColumn>
    <tableColumn id="8" xr3:uid="{3812073A-38D4-AC4C-A8C3-D86BA5C4FE5E}" name="4g-no-hash" dataDxfId="10">
      <calculatedColumnFormula array="1">_xlfn.LET(_xlpm.d,I$2:I$19,_xlpm.a,$C$2:$C$19=$C23,_xlpm.b,$D$2:$D$19=$D23,MAX(_xlfn._xlws.FILTER(_xlpm.d,_xlpm.a*_xlpm.b)))</calculatedColumnFormula>
    </tableColumn>
    <tableColumn id="9" xr3:uid="{64F91443-E2F4-4246-A200-3DBC537A8CA6}" name="xsk2g-no-hash" dataDxfId="9">
      <calculatedColumnFormula array="1">_xlfn.LET(_xlpm.d,J$2:J$19,_xlpm.a,$C$2:$C$19=$C23,_xlpm.b,$D$2:$D$19=$D23,MAX(_xlfn._xlws.FILTER(_xlpm.d,_xlpm.a*_xlpm.b)))</calculatedColumnFormula>
    </tableColumn>
    <tableColumn id="10" xr3:uid="{BA318354-1B66-B74B-8EE7-D1EE32F348D6}" name="xsk3g-no-hash" dataDxfId="8">
      <calculatedColumnFormula array="1">_xlfn.LET(_xlpm.d,K$2:K$19,_xlpm.a,$C$2:$C$19=$C23,_xlpm.b,$D$2:$D$19=$D23,MAX(_xlfn._xlws.FILTER(_xlpm.d,_xlpm.a*_xlpm.b)))</calculatedColumnFormula>
    </tableColumn>
    <tableColumn id="11" xr3:uid="{94318FA8-5181-FD49-AFB1-4AB943BEEA4B}" name="xsk4g-no-hash" dataDxfId="7">
      <calculatedColumnFormula array="1">_xlfn.LET(_xlpm.d,L$2:L$19,_xlpm.a,$C$2:$C$19=$C23,_xlpm.b,$D$2:$D$19=$D23,MAX(_xlfn._xlws.FILTER(_xlpm.d,_xlpm.a*_xlpm.b)))</calculatedColumnFormula>
    </tableColumn>
    <tableColumn id="12" xr3:uid="{7F292DA5-9F8D-414F-9589-57F86594E2FE}" name="2g-hash-at-both" dataDxfId="6">
      <calculatedColumnFormula array="1">_xlfn.LET(_xlpm.d,M$2:M$19,_xlpm.a,$C$2:$C$19=$C23,_xlpm.b,$D$2:$D$19=$D23,MAX(_xlfn._xlws.FILTER(_xlpm.d,_xlpm.a*_xlpm.b)))</calculatedColumnFormula>
    </tableColumn>
    <tableColumn id="13" xr3:uid="{1FE0832A-192F-F542-B22A-3F8FB62C7E44}" name="3g-hash-at-both" dataDxfId="5">
      <calculatedColumnFormula array="1">_xlfn.LET(_xlpm.d,N$2:N$19,_xlpm.a,$C$2:$C$19=$C23,_xlpm.b,$D$2:$D$19=$D23,MAX(_xlfn._xlws.FILTER(_xlpm.d,_xlpm.a*_xlpm.b)))</calculatedColumnFormula>
    </tableColumn>
    <tableColumn id="14" xr3:uid="{7E96E3D0-FEC1-E146-839A-0BA77EBBCC19}" name="4g-hash-at-both" dataDxfId="4">
      <calculatedColumnFormula array="1">_xlfn.LET(_xlpm.d,O$2:O$19,_xlpm.a,$C$2:$C$19=$C23,_xlpm.b,$D$2:$D$19=$D23,MAX(_xlfn._xlws.FILTER(_xlpm.d,_xlpm.a*_xlpm.b)))</calculatedColumnFormula>
    </tableColumn>
    <tableColumn id="15" xr3:uid="{D789994A-6022-1545-A9DE-A4C8DCFAB21E}" name="xsk2g-hash-at-both" dataDxfId="3">
      <calculatedColumnFormula array="1">_xlfn.LET(_xlpm.d,P$2:P$19,_xlpm.a,$C$2:$C$19=$C23,_xlpm.b,$D$2:$D$19=$D23,MAX(_xlfn._xlws.FILTER(_xlpm.d,_xlpm.a*_xlpm.b)))</calculatedColumnFormula>
    </tableColumn>
    <tableColumn id="16" xr3:uid="{CF410C10-00AB-354D-8838-42980968148E}" name="xsk3g-hash-at-both" dataDxfId="2">
      <calculatedColumnFormula array="1">_xlfn.LET(_xlpm.d,Q$2:Q$19,_xlpm.a,$C$2:$C$19=$C23,_xlpm.b,$D$2:$D$19=$D23,MAX(_xlfn._xlws.FILTER(_xlpm.d,_xlpm.a*_xlpm.b)))</calculatedColumnFormula>
    </tableColumn>
    <tableColumn id="17" xr3:uid="{71E5DD5C-56DA-9B49-8AFD-B8BEC3F4BC1F}" name="xsk4g-hash-at-both" dataDxfId="1">
      <calculatedColumnFormula array="1">_xlfn.LET(_xlpm.d,R$2:R$19,_xlpm.a,$C$2:$C$19=$C23,_xlpm.b,$D$2:$D$19=$D23,MAX(_xlfn._xlws.FILTER(_xlpm.d,_xlpm.a*_xlpm.b)))</calculatedColumnFormula>
    </tableColumn>
    <tableColumn id="18" xr3:uid="{DEFF0C31-1117-4C48-B0CF-DB20FB4E57FF}" name="max" dataDxfId="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A365-97FB-6846-8F24-98595B9D6B0D}">
  <sheetPr codeName="Sheet6"/>
  <dimension ref="A1:X103"/>
  <sheetViews>
    <sheetView workbookViewId="0">
      <pane xSplit="9140" ySplit="5940" topLeftCell="N51" activePane="bottomLeft"/>
      <selection pane="topRight" activeCell="Y1" sqref="Y1"/>
      <selection pane="bottomLeft" activeCell="E64" sqref="E64"/>
      <selection pane="bottomRight" activeCell="X59" sqref="X59:X67"/>
    </sheetView>
  </sheetViews>
  <sheetFormatPr baseColWidth="10" defaultRowHeight="25" customHeight="1"/>
  <cols>
    <col min="1" max="1" width="6.875" customWidth="1"/>
    <col min="2" max="3" width="7.125" customWidth="1"/>
    <col min="4" max="4" width="6.125" customWidth="1"/>
    <col min="5" max="5" width="9.5" customWidth="1"/>
    <col min="6" max="6" width="9.25" customWidth="1"/>
    <col min="7" max="7" width="7.5" customWidth="1"/>
    <col min="8" max="8" width="7.375" customWidth="1"/>
    <col min="9" max="9" width="17.25" customWidth="1"/>
    <col min="10" max="20" width="8.25" customWidth="1"/>
    <col min="21" max="21" width="9.75" customWidth="1"/>
    <col min="22" max="22" width="8.75" customWidth="1"/>
    <col min="23" max="23" width="9.375" customWidth="1"/>
    <col min="24" max="24" width="9.25" customWidth="1"/>
  </cols>
  <sheetData>
    <row r="1" spans="1:24" ht="25" customHeight="1">
      <c r="A1" t="s">
        <v>34</v>
      </c>
      <c r="B1" t="s">
        <v>35</v>
      </c>
      <c r="C1" t="s">
        <v>36</v>
      </c>
      <c r="D1" t="s">
        <v>24</v>
      </c>
      <c r="E1" t="s">
        <v>1</v>
      </c>
      <c r="F1" t="s">
        <v>26</v>
      </c>
      <c r="G1" t="s">
        <v>25</v>
      </c>
      <c r="H1" t="s">
        <v>27</v>
      </c>
      <c r="I1" t="s">
        <v>37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23</v>
      </c>
      <c r="W1" t="s">
        <v>29</v>
      </c>
      <c r="X1" t="s">
        <v>39</v>
      </c>
    </row>
    <row r="2" spans="1:24" ht="25" customHeight="1">
      <c r="A2" t="s">
        <v>38</v>
      </c>
      <c r="B2">
        <v>1.2</v>
      </c>
      <c r="C2">
        <v>3</v>
      </c>
      <c r="D2">
        <v>3</v>
      </c>
      <c r="E2" t="s">
        <v>22</v>
      </c>
      <c r="F2" t="b">
        <v>0</v>
      </c>
      <c r="G2">
        <v>0</v>
      </c>
      <c r="H2" t="s">
        <v>23</v>
      </c>
      <c r="I2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cas-spl:F-mgv:3-sn:1.2k</v>
      </c>
      <c r="J2" s="1">
        <v>0.48</v>
      </c>
      <c r="K2" s="1">
        <v>0.52</v>
      </c>
      <c r="L2" s="1">
        <v>0.39</v>
      </c>
      <c r="M2" s="1">
        <v>0.39</v>
      </c>
      <c r="N2" s="1">
        <v>0.41</v>
      </c>
      <c r="O2" s="1">
        <v>0.41</v>
      </c>
      <c r="P2" s="1">
        <v>0.38</v>
      </c>
      <c r="Q2" s="1">
        <v>0.38</v>
      </c>
      <c r="R2" s="1">
        <v>0.39</v>
      </c>
      <c r="S2" s="1">
        <v>0.41</v>
      </c>
      <c r="T2" s="1">
        <v>0.45</v>
      </c>
      <c r="U2" s="1">
        <v>0.45</v>
      </c>
      <c r="V2" s="1">
        <v>0.52</v>
      </c>
      <c r="W2" s="1">
        <f t="shared" ref="W2:W33" si="0">_xlfn.LET(_xlpm.d,$J2:$U2,GEOMEAN(_xlpm.d))</f>
        <v>0.4196609081240491</v>
      </c>
      <c r="X2" s="6">
        <f t="shared" ref="X2:X33" si="1">_xlfn.LET(_xlpm.x,W2,_xlpm.r,W$2:W$55,RANK(_xlpm.x,_xlpm.r))</f>
        <v>50</v>
      </c>
    </row>
    <row r="3" spans="1:24" ht="25" customHeight="1">
      <c r="A3" t="s">
        <v>38</v>
      </c>
      <c r="B3">
        <v>2</v>
      </c>
      <c r="C3">
        <v>3</v>
      </c>
      <c r="D3">
        <v>3</v>
      </c>
      <c r="E3" t="s">
        <v>22</v>
      </c>
      <c r="F3" t="b">
        <v>0</v>
      </c>
      <c r="G3">
        <v>0</v>
      </c>
      <c r="H3" t="s">
        <v>23</v>
      </c>
      <c r="I3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cas-spl:F-mgv:3-sn:2k</v>
      </c>
      <c r="J3" s="1">
        <v>0.37</v>
      </c>
      <c r="K3" s="1">
        <v>0.46</v>
      </c>
      <c r="L3" s="1">
        <v>0.44</v>
      </c>
      <c r="M3" s="1">
        <v>0.44</v>
      </c>
      <c r="N3" s="1">
        <v>0.41</v>
      </c>
      <c r="O3" s="1">
        <v>0.44</v>
      </c>
      <c r="P3" s="1">
        <v>0.45</v>
      </c>
      <c r="Q3" s="1">
        <v>0.39</v>
      </c>
      <c r="R3" s="1">
        <v>0.42</v>
      </c>
      <c r="S3" s="1">
        <v>0.39</v>
      </c>
      <c r="T3" s="1">
        <v>0.42</v>
      </c>
      <c r="U3" s="1">
        <v>0.37</v>
      </c>
      <c r="V3" s="1">
        <v>0.46</v>
      </c>
      <c r="W3" s="1">
        <f t="shared" si="0"/>
        <v>0.41560295125744634</v>
      </c>
      <c r="X3" s="6">
        <f t="shared" si="1"/>
        <v>51</v>
      </c>
    </row>
    <row r="4" spans="1:24" ht="25" customHeight="1">
      <c r="A4" t="s">
        <v>38</v>
      </c>
      <c r="B4">
        <v>3</v>
      </c>
      <c r="C4">
        <v>3</v>
      </c>
      <c r="D4">
        <v>3</v>
      </c>
      <c r="E4" t="s">
        <v>22</v>
      </c>
      <c r="F4" t="b">
        <v>0</v>
      </c>
      <c r="G4">
        <v>1</v>
      </c>
      <c r="H4" t="s">
        <v>23</v>
      </c>
      <c r="I4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cas-spl:F-mgv:3-sn:3k</v>
      </c>
      <c r="J4" s="1">
        <v>0.46</v>
      </c>
      <c r="K4" s="1">
        <v>0.48</v>
      </c>
      <c r="L4" s="1">
        <v>0.47</v>
      </c>
      <c r="M4" s="1">
        <v>0.43</v>
      </c>
      <c r="N4" s="1">
        <v>0.45</v>
      </c>
      <c r="O4" s="1">
        <v>0.45</v>
      </c>
      <c r="P4" s="1">
        <v>0.45</v>
      </c>
      <c r="Q4" s="1">
        <v>0.48</v>
      </c>
      <c r="R4" s="1">
        <v>0.44</v>
      </c>
      <c r="S4" s="1">
        <v>0.44</v>
      </c>
      <c r="T4" s="1">
        <v>0.48</v>
      </c>
      <c r="U4" s="1">
        <v>0.43</v>
      </c>
      <c r="V4" s="1">
        <v>0.48</v>
      </c>
      <c r="W4" s="1">
        <f t="shared" si="0"/>
        <v>0.45464414298344885</v>
      </c>
      <c r="X4" s="6">
        <f t="shared" si="1"/>
        <v>48</v>
      </c>
    </row>
    <row r="5" spans="1:24" ht="25" customHeight="1">
      <c r="A5" t="s">
        <v>38</v>
      </c>
      <c r="B5">
        <v>1.2</v>
      </c>
      <c r="C5">
        <v>6</v>
      </c>
      <c r="D5">
        <v>3</v>
      </c>
      <c r="E5" t="s">
        <v>22</v>
      </c>
      <c r="F5" t="b">
        <v>0</v>
      </c>
      <c r="G5">
        <v>0</v>
      </c>
      <c r="H5" t="s">
        <v>23</v>
      </c>
      <c r="I5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cas-spl:F-mgv:6-sn:1.2k</v>
      </c>
      <c r="J5" s="1">
        <v>0.37</v>
      </c>
      <c r="K5" s="1">
        <v>0.46</v>
      </c>
      <c r="L5" s="1">
        <v>0.44</v>
      </c>
      <c r="M5" s="1">
        <v>0.44</v>
      </c>
      <c r="N5" s="1">
        <v>0.41</v>
      </c>
      <c r="O5" s="1">
        <v>0.44</v>
      </c>
      <c r="P5" s="1">
        <v>0.45</v>
      </c>
      <c r="Q5" s="1">
        <v>0.39</v>
      </c>
      <c r="R5" s="1">
        <v>0.42</v>
      </c>
      <c r="S5" s="1">
        <v>0.39</v>
      </c>
      <c r="T5" s="1">
        <v>0.42</v>
      </c>
      <c r="U5" s="1">
        <v>0.37</v>
      </c>
      <c r="V5" s="1">
        <v>0.46</v>
      </c>
      <c r="W5" s="1">
        <f t="shared" si="0"/>
        <v>0.41560295125744634</v>
      </c>
      <c r="X5" s="6">
        <f t="shared" si="1"/>
        <v>51</v>
      </c>
    </row>
    <row r="6" spans="1:24" ht="25" customHeight="1">
      <c r="A6" t="s">
        <v>38</v>
      </c>
      <c r="B6">
        <v>2</v>
      </c>
      <c r="C6">
        <v>6</v>
      </c>
      <c r="D6">
        <v>3</v>
      </c>
      <c r="E6" t="s">
        <v>22</v>
      </c>
      <c r="F6" t="b">
        <v>0</v>
      </c>
      <c r="G6">
        <v>0</v>
      </c>
      <c r="H6" t="s">
        <v>23</v>
      </c>
      <c r="I6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cas-spl:F-mgv:6-sn:2k</v>
      </c>
      <c r="J6" s="1">
        <v>0.41</v>
      </c>
      <c r="K6" s="1">
        <v>0.35</v>
      </c>
      <c r="L6" s="1">
        <v>0.47</v>
      </c>
      <c r="M6" s="1">
        <v>0.42</v>
      </c>
      <c r="N6" s="1">
        <v>0.31</v>
      </c>
      <c r="O6" s="1">
        <v>0.48</v>
      </c>
      <c r="P6" s="1">
        <v>0.4</v>
      </c>
      <c r="Q6" s="1">
        <v>0.46</v>
      </c>
      <c r="R6" s="1">
        <v>0.4</v>
      </c>
      <c r="S6" s="1">
        <v>0.36</v>
      </c>
      <c r="T6" s="1">
        <v>0.45</v>
      </c>
      <c r="U6" s="1">
        <v>0.43</v>
      </c>
      <c r="V6" s="1">
        <v>0.48</v>
      </c>
      <c r="W6" s="1">
        <f t="shared" si="0"/>
        <v>0.40852810428744502</v>
      </c>
      <c r="X6" s="6">
        <f t="shared" si="1"/>
        <v>53</v>
      </c>
    </row>
    <row r="7" spans="1:24" ht="25" customHeight="1">
      <c r="A7" t="s">
        <v>38</v>
      </c>
      <c r="B7">
        <v>3</v>
      </c>
      <c r="C7">
        <v>6</v>
      </c>
      <c r="D7">
        <v>3</v>
      </c>
      <c r="E7" t="s">
        <v>22</v>
      </c>
      <c r="F7" t="b">
        <v>0</v>
      </c>
      <c r="G7">
        <v>1</v>
      </c>
      <c r="H7" t="s">
        <v>23</v>
      </c>
      <c r="I7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cas-spl:F-mgv:6-sn:3k</v>
      </c>
      <c r="J7" s="1">
        <v>0.45</v>
      </c>
      <c r="K7" s="1">
        <v>0.48</v>
      </c>
      <c r="L7" s="1">
        <v>0.41</v>
      </c>
      <c r="M7" s="1">
        <v>0.45</v>
      </c>
      <c r="N7" s="1">
        <v>0.49</v>
      </c>
      <c r="O7" s="1">
        <v>0.49</v>
      </c>
      <c r="P7" s="1">
        <v>0.45</v>
      </c>
      <c r="Q7" s="1">
        <v>0.44</v>
      </c>
      <c r="R7" s="1">
        <v>0.43</v>
      </c>
      <c r="S7" s="1">
        <v>0.49</v>
      </c>
      <c r="T7" s="1">
        <v>0.49</v>
      </c>
      <c r="U7" s="1">
        <v>0.44</v>
      </c>
      <c r="V7" s="1">
        <v>0.49</v>
      </c>
      <c r="W7" s="1">
        <f t="shared" si="0"/>
        <v>0.45838992501420389</v>
      </c>
      <c r="X7" s="6">
        <f t="shared" si="1"/>
        <v>46</v>
      </c>
    </row>
    <row r="8" spans="1:24" ht="25" customHeight="1">
      <c r="A8" t="s">
        <v>38</v>
      </c>
      <c r="B8">
        <v>1.2</v>
      </c>
      <c r="C8">
        <v>9</v>
      </c>
      <c r="D8">
        <v>3</v>
      </c>
      <c r="E8" t="s">
        <v>22</v>
      </c>
      <c r="F8" t="b">
        <v>0</v>
      </c>
      <c r="G8">
        <v>0</v>
      </c>
      <c r="H8" t="s">
        <v>23</v>
      </c>
      <c r="I8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cas-spl:F-mgv:9-sn:1.2k</v>
      </c>
      <c r="J8" s="10">
        <v>0.41</v>
      </c>
      <c r="K8" s="10">
        <v>0.35</v>
      </c>
      <c r="L8" s="10">
        <v>0.47</v>
      </c>
      <c r="M8" s="10">
        <v>0.42</v>
      </c>
      <c r="N8" s="10">
        <v>0.31</v>
      </c>
      <c r="O8" s="10">
        <v>0.48</v>
      </c>
      <c r="P8" s="10">
        <v>0.4</v>
      </c>
      <c r="Q8" s="10">
        <v>0.46</v>
      </c>
      <c r="R8" s="10">
        <v>0.4</v>
      </c>
      <c r="S8" s="10">
        <v>0.36</v>
      </c>
      <c r="T8" s="10">
        <v>0.45</v>
      </c>
      <c r="U8" s="10">
        <v>0.43</v>
      </c>
      <c r="V8" s="10">
        <v>0.48</v>
      </c>
      <c r="W8" s="1">
        <f t="shared" si="0"/>
        <v>0.40852810428744502</v>
      </c>
      <c r="X8" s="6">
        <f t="shared" si="1"/>
        <v>53</v>
      </c>
    </row>
    <row r="9" spans="1:24" ht="25" customHeight="1">
      <c r="A9" t="s">
        <v>38</v>
      </c>
      <c r="B9">
        <v>2</v>
      </c>
      <c r="C9">
        <v>9</v>
      </c>
      <c r="D9">
        <v>3</v>
      </c>
      <c r="E9" t="s">
        <v>22</v>
      </c>
      <c r="F9" t="b">
        <v>0</v>
      </c>
      <c r="G9">
        <v>0</v>
      </c>
      <c r="H9" t="s">
        <v>23</v>
      </c>
      <c r="I9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cas-spl:F-mgv:9-sn:2k</v>
      </c>
      <c r="J9" s="10">
        <v>0.45</v>
      </c>
      <c r="K9" s="10">
        <v>0.43</v>
      </c>
      <c r="L9" s="10">
        <v>0.44</v>
      </c>
      <c r="M9" s="10">
        <v>0.39</v>
      </c>
      <c r="N9" s="10">
        <v>0.39</v>
      </c>
      <c r="O9" s="10">
        <v>0.47</v>
      </c>
      <c r="P9" s="10">
        <v>0.39</v>
      </c>
      <c r="Q9" s="10">
        <v>0.47</v>
      </c>
      <c r="R9" s="10">
        <v>0.41</v>
      </c>
      <c r="S9" s="10">
        <v>0.44</v>
      </c>
      <c r="T9" s="10">
        <v>0.42</v>
      </c>
      <c r="U9" s="10">
        <v>0.39</v>
      </c>
      <c r="V9" s="10">
        <v>0.47</v>
      </c>
      <c r="W9" s="1">
        <f t="shared" si="0"/>
        <v>0.42316148687162736</v>
      </c>
      <c r="X9" s="6">
        <f t="shared" si="1"/>
        <v>49</v>
      </c>
    </row>
    <row r="10" spans="1:24" ht="25" customHeight="1">
      <c r="A10" t="s">
        <v>38</v>
      </c>
      <c r="B10">
        <v>3</v>
      </c>
      <c r="C10">
        <v>9</v>
      </c>
      <c r="D10">
        <v>3</v>
      </c>
      <c r="E10" t="s">
        <v>22</v>
      </c>
      <c r="F10" t="b">
        <v>0</v>
      </c>
      <c r="G10">
        <v>0</v>
      </c>
      <c r="H10" t="s">
        <v>23</v>
      </c>
      <c r="I10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cas-spl:F-mgv:9-sn:3k</v>
      </c>
      <c r="J10" s="10">
        <v>0.42</v>
      </c>
      <c r="K10" s="10">
        <v>0.47</v>
      </c>
      <c r="L10" s="10">
        <v>0.42</v>
      </c>
      <c r="M10" s="10">
        <v>0.46</v>
      </c>
      <c r="N10" s="10">
        <v>0.43</v>
      </c>
      <c r="O10" s="10">
        <v>0.48</v>
      </c>
      <c r="P10" s="10">
        <v>0.48</v>
      </c>
      <c r="Q10" s="10">
        <v>0.43</v>
      </c>
      <c r="R10" s="10">
        <v>0.46</v>
      </c>
      <c r="S10" s="10">
        <v>0.46</v>
      </c>
      <c r="T10" s="10">
        <v>0.51</v>
      </c>
      <c r="U10" s="10">
        <v>0.45</v>
      </c>
      <c r="V10" s="10">
        <v>0.51</v>
      </c>
      <c r="W10" s="1">
        <f t="shared" si="0"/>
        <v>0.45508166056385807</v>
      </c>
      <c r="X10" s="6">
        <f t="shared" si="1"/>
        <v>47</v>
      </c>
    </row>
    <row r="11" spans="1:24" ht="25" customHeight="1">
      <c r="A11" t="s">
        <v>38</v>
      </c>
      <c r="B11">
        <v>1.2</v>
      </c>
      <c r="C11">
        <v>3</v>
      </c>
      <c r="D11">
        <v>3</v>
      </c>
      <c r="E11" t="s">
        <v>22</v>
      </c>
      <c r="F11" t="b">
        <v>1</v>
      </c>
      <c r="G11">
        <v>0</v>
      </c>
      <c r="H11" t="s">
        <v>23</v>
      </c>
      <c r="I11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cas-spl:T-mgv:3-sn:1.2k</v>
      </c>
      <c r="J11" s="10">
        <v>0.61</v>
      </c>
      <c r="K11" s="10">
        <v>0.62</v>
      </c>
      <c r="L11" s="10">
        <v>0.47</v>
      </c>
      <c r="M11" s="10">
        <v>0.47</v>
      </c>
      <c r="N11" s="10">
        <v>0.47</v>
      </c>
      <c r="O11" s="10">
        <v>0.44</v>
      </c>
      <c r="P11" s="10">
        <v>0.48</v>
      </c>
      <c r="Q11" s="10">
        <v>0.48</v>
      </c>
      <c r="R11" s="10">
        <v>0.57999999999999996</v>
      </c>
      <c r="S11" s="10">
        <v>0.47</v>
      </c>
      <c r="T11" s="10">
        <v>0.49</v>
      </c>
      <c r="U11" s="10">
        <v>0.42</v>
      </c>
      <c r="V11" s="10">
        <v>0.62</v>
      </c>
      <c r="W11" s="1">
        <f t="shared" si="0"/>
        <v>0.4962990637946621</v>
      </c>
      <c r="X11" s="6">
        <f t="shared" si="1"/>
        <v>43</v>
      </c>
    </row>
    <row r="12" spans="1:24" ht="25" customHeight="1">
      <c r="A12" t="s">
        <v>38</v>
      </c>
      <c r="B12">
        <v>2</v>
      </c>
      <c r="C12">
        <v>3</v>
      </c>
      <c r="D12">
        <v>3</v>
      </c>
      <c r="E12" t="s">
        <v>22</v>
      </c>
      <c r="F12" t="b">
        <v>1</v>
      </c>
      <c r="G12">
        <v>0</v>
      </c>
      <c r="H12" t="s">
        <v>23</v>
      </c>
      <c r="I12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cas-spl:T-mgv:3-sn:2k</v>
      </c>
      <c r="J12" s="1">
        <v>0.45</v>
      </c>
      <c r="K12" s="1">
        <v>0.56000000000000005</v>
      </c>
      <c r="L12" s="1">
        <v>0.47</v>
      </c>
      <c r="M12" s="1">
        <v>0.47</v>
      </c>
      <c r="N12" s="1">
        <v>0.5</v>
      </c>
      <c r="O12" s="1">
        <v>0.5</v>
      </c>
      <c r="P12" s="1">
        <v>0.47</v>
      </c>
      <c r="Q12" s="1">
        <v>0.45</v>
      </c>
      <c r="R12" s="1">
        <v>0.48</v>
      </c>
      <c r="S12" s="1">
        <v>0.45</v>
      </c>
      <c r="T12" s="1">
        <v>0.43</v>
      </c>
      <c r="U12" s="1">
        <v>0.45</v>
      </c>
      <c r="V12" s="1">
        <v>0.56000000000000005</v>
      </c>
      <c r="W12" s="1">
        <f t="shared" si="0"/>
        <v>0.4722425476292666</v>
      </c>
      <c r="X12" s="6">
        <f t="shared" si="1"/>
        <v>44</v>
      </c>
    </row>
    <row r="13" spans="1:24" ht="25" customHeight="1">
      <c r="A13" t="s">
        <v>38</v>
      </c>
      <c r="B13">
        <v>3</v>
      </c>
      <c r="C13">
        <v>3</v>
      </c>
      <c r="D13">
        <v>3</v>
      </c>
      <c r="E13" t="s">
        <v>22</v>
      </c>
      <c r="F13" t="b">
        <v>1</v>
      </c>
      <c r="G13">
        <v>0</v>
      </c>
      <c r="H13" t="s">
        <v>23</v>
      </c>
      <c r="I13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cas-spl:T-mgv:3-sn:3k</v>
      </c>
      <c r="J13" s="1">
        <v>0.55000000000000004</v>
      </c>
      <c r="K13" s="1">
        <v>0.52</v>
      </c>
      <c r="L13" s="1">
        <v>0.56999999999999995</v>
      </c>
      <c r="M13" s="1">
        <v>0.54</v>
      </c>
      <c r="N13" s="1">
        <v>0.5</v>
      </c>
      <c r="O13" s="1">
        <v>0.5</v>
      </c>
      <c r="P13" s="1">
        <v>0.56000000000000005</v>
      </c>
      <c r="Q13" s="1">
        <v>0.54</v>
      </c>
      <c r="R13" s="1">
        <v>0.56000000000000005</v>
      </c>
      <c r="S13" s="1">
        <v>0.48</v>
      </c>
      <c r="T13" s="1">
        <v>0.45</v>
      </c>
      <c r="U13" s="1">
        <v>0.52</v>
      </c>
      <c r="V13" s="1">
        <v>0.56999999999999995</v>
      </c>
      <c r="W13" s="1">
        <f t="shared" si="0"/>
        <v>0.52297805291859978</v>
      </c>
      <c r="X13" s="6">
        <f t="shared" si="1"/>
        <v>39</v>
      </c>
    </row>
    <row r="14" spans="1:24" ht="25" customHeight="1">
      <c r="A14" t="s">
        <v>38</v>
      </c>
      <c r="B14">
        <v>1.2</v>
      </c>
      <c r="C14">
        <v>6</v>
      </c>
      <c r="D14">
        <v>3</v>
      </c>
      <c r="E14" t="s">
        <v>22</v>
      </c>
      <c r="F14" t="b">
        <v>1</v>
      </c>
      <c r="G14">
        <v>0</v>
      </c>
      <c r="H14" t="s">
        <v>23</v>
      </c>
      <c r="I14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cas-spl:T-mgv:6-sn:1.2k</v>
      </c>
      <c r="J14" s="10">
        <v>0.45</v>
      </c>
      <c r="K14" s="10">
        <v>0.56000000000000005</v>
      </c>
      <c r="L14" s="10">
        <v>0.47</v>
      </c>
      <c r="M14" s="10">
        <v>0.47</v>
      </c>
      <c r="N14" s="10">
        <v>0.5</v>
      </c>
      <c r="O14" s="10">
        <v>0.5</v>
      </c>
      <c r="P14" s="10">
        <v>0.47</v>
      </c>
      <c r="Q14" s="10">
        <v>0.45</v>
      </c>
      <c r="R14" s="10">
        <v>0.48</v>
      </c>
      <c r="S14" s="10">
        <v>0.45</v>
      </c>
      <c r="T14" s="10">
        <v>0.43</v>
      </c>
      <c r="U14" s="10">
        <v>0.45</v>
      </c>
      <c r="V14" s="10">
        <v>0.56000000000000005</v>
      </c>
      <c r="W14" s="1">
        <f t="shared" si="0"/>
        <v>0.4722425476292666</v>
      </c>
      <c r="X14" s="6">
        <f t="shared" si="1"/>
        <v>44</v>
      </c>
    </row>
    <row r="15" spans="1:24" ht="27" customHeight="1">
      <c r="A15" t="s">
        <v>38</v>
      </c>
      <c r="B15">
        <v>2</v>
      </c>
      <c r="C15">
        <v>6</v>
      </c>
      <c r="D15">
        <v>3</v>
      </c>
      <c r="E15" t="s">
        <v>22</v>
      </c>
      <c r="F15" t="b">
        <v>1</v>
      </c>
      <c r="G15">
        <v>0</v>
      </c>
      <c r="H15" t="s">
        <v>23</v>
      </c>
      <c r="I15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cas-spl:T-mgv:6-sn:2k</v>
      </c>
      <c r="J15" s="10">
        <v>0.56999999999999995</v>
      </c>
      <c r="K15" s="10">
        <v>0.46</v>
      </c>
      <c r="L15" s="10">
        <v>0.62</v>
      </c>
      <c r="M15" s="10">
        <v>0.59</v>
      </c>
      <c r="N15" s="10">
        <v>0.35</v>
      </c>
      <c r="O15" s="10">
        <v>0.57999999999999996</v>
      </c>
      <c r="P15" s="10">
        <v>0.53</v>
      </c>
      <c r="Q15" s="10">
        <v>0.53</v>
      </c>
      <c r="R15" s="10">
        <v>0.53</v>
      </c>
      <c r="S15" s="10">
        <v>0.43</v>
      </c>
      <c r="T15" s="10">
        <v>0.53</v>
      </c>
      <c r="U15" s="10">
        <v>0.48</v>
      </c>
      <c r="V15" s="10">
        <v>0.62</v>
      </c>
      <c r="W15" s="1">
        <f t="shared" si="0"/>
        <v>0.51101321716908088</v>
      </c>
      <c r="X15" s="6">
        <f t="shared" si="1"/>
        <v>40</v>
      </c>
    </row>
    <row r="16" spans="1:24" ht="25" customHeight="1">
      <c r="A16" t="s">
        <v>38</v>
      </c>
      <c r="B16">
        <v>3</v>
      </c>
      <c r="C16">
        <v>6</v>
      </c>
      <c r="D16">
        <v>3</v>
      </c>
      <c r="E16" t="s">
        <v>22</v>
      </c>
      <c r="F16" t="b">
        <v>1</v>
      </c>
      <c r="G16">
        <v>1</v>
      </c>
      <c r="H16" t="s">
        <v>23</v>
      </c>
      <c r="I16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cas-spl:T-mgv:6-sn:3k</v>
      </c>
      <c r="J16" s="1">
        <v>0.57999999999999996</v>
      </c>
      <c r="K16" s="1">
        <v>0.59</v>
      </c>
      <c r="L16" s="1">
        <v>0.55000000000000004</v>
      </c>
      <c r="M16" s="1">
        <v>0.54</v>
      </c>
      <c r="N16" s="1">
        <v>0.52</v>
      </c>
      <c r="O16" s="1">
        <v>0.54</v>
      </c>
      <c r="P16" s="1">
        <v>0.56000000000000005</v>
      </c>
      <c r="Q16" s="1">
        <v>0.55000000000000004</v>
      </c>
      <c r="R16" s="1">
        <v>0.56000000000000005</v>
      </c>
      <c r="S16" s="1">
        <v>0.54</v>
      </c>
      <c r="T16" s="1">
        <v>0.5</v>
      </c>
      <c r="U16" s="1">
        <v>0.48</v>
      </c>
      <c r="V16" s="1">
        <v>0.59</v>
      </c>
      <c r="W16" s="1">
        <f t="shared" si="0"/>
        <v>0.5416658326711532</v>
      </c>
      <c r="X16" s="6">
        <f t="shared" si="1"/>
        <v>37</v>
      </c>
    </row>
    <row r="17" spans="1:24" ht="25" customHeight="1">
      <c r="A17" t="s">
        <v>38</v>
      </c>
      <c r="B17">
        <v>1.2</v>
      </c>
      <c r="C17">
        <v>9</v>
      </c>
      <c r="D17">
        <v>3</v>
      </c>
      <c r="E17" t="s">
        <v>22</v>
      </c>
      <c r="F17" t="b">
        <v>1</v>
      </c>
      <c r="G17">
        <v>0</v>
      </c>
      <c r="H17" t="s">
        <v>23</v>
      </c>
      <c r="I17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cas-spl:T-mgv:9-sn:1.2k</v>
      </c>
      <c r="J17" s="1">
        <v>0.56999999999999995</v>
      </c>
      <c r="K17" s="1">
        <v>0.46</v>
      </c>
      <c r="L17" s="1">
        <v>0.62</v>
      </c>
      <c r="M17" s="1">
        <v>0.59</v>
      </c>
      <c r="N17" s="1">
        <v>0.35</v>
      </c>
      <c r="O17" s="1">
        <v>0.57999999999999996</v>
      </c>
      <c r="P17" s="1">
        <v>0.53</v>
      </c>
      <c r="Q17" s="1">
        <v>0.53</v>
      </c>
      <c r="R17" s="1">
        <v>0.53</v>
      </c>
      <c r="S17" s="1">
        <v>0.43</v>
      </c>
      <c r="T17" s="1">
        <v>0.53</v>
      </c>
      <c r="U17" s="1">
        <v>0.48</v>
      </c>
      <c r="V17" s="1">
        <v>0.62</v>
      </c>
      <c r="W17" s="1">
        <f t="shared" si="0"/>
        <v>0.51101321716908088</v>
      </c>
      <c r="X17" s="6">
        <f t="shared" si="1"/>
        <v>40</v>
      </c>
    </row>
    <row r="18" spans="1:24" ht="25" customHeight="1">
      <c r="A18" t="s">
        <v>38</v>
      </c>
      <c r="B18">
        <v>2</v>
      </c>
      <c r="C18">
        <v>9</v>
      </c>
      <c r="D18">
        <v>3</v>
      </c>
      <c r="E18" t="s">
        <v>22</v>
      </c>
      <c r="F18" t="b">
        <v>1</v>
      </c>
      <c r="G18">
        <v>0</v>
      </c>
      <c r="H18" t="s">
        <v>23</v>
      </c>
      <c r="I18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cas-spl:T-mgv:9-sn:2k</v>
      </c>
      <c r="J18" s="10">
        <v>0.53</v>
      </c>
      <c r="K18" s="10">
        <v>0.51</v>
      </c>
      <c r="L18" s="10">
        <v>0.53</v>
      </c>
      <c r="M18" s="10">
        <v>0.53</v>
      </c>
      <c r="N18" s="10">
        <v>0.43</v>
      </c>
      <c r="O18" s="10">
        <v>0.54</v>
      </c>
      <c r="P18" s="10">
        <v>0.53</v>
      </c>
      <c r="Q18" s="10">
        <v>0.48</v>
      </c>
      <c r="R18" s="10">
        <v>0.49</v>
      </c>
      <c r="S18" s="10">
        <v>0.51</v>
      </c>
      <c r="T18" s="10">
        <v>0.51</v>
      </c>
      <c r="U18" s="10">
        <v>0.49</v>
      </c>
      <c r="V18" s="10">
        <v>0.54</v>
      </c>
      <c r="W18" s="1">
        <f t="shared" si="0"/>
        <v>0.50575765901472836</v>
      </c>
      <c r="X18" s="6">
        <f t="shared" si="1"/>
        <v>42</v>
      </c>
    </row>
    <row r="19" spans="1:24" ht="25" customHeight="1">
      <c r="A19" t="s">
        <v>38</v>
      </c>
      <c r="B19">
        <v>3</v>
      </c>
      <c r="C19">
        <v>9</v>
      </c>
      <c r="D19">
        <v>3</v>
      </c>
      <c r="E19" t="s">
        <v>22</v>
      </c>
      <c r="F19" t="b">
        <v>1</v>
      </c>
      <c r="G19">
        <v>0</v>
      </c>
      <c r="H19" t="s">
        <v>23</v>
      </c>
      <c r="I19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cas-spl:T-mgv:9-sn:3k</v>
      </c>
      <c r="J19" s="10">
        <v>0.52</v>
      </c>
      <c r="K19" s="10">
        <v>0.56000000000000005</v>
      </c>
      <c r="L19" s="10">
        <v>0.54</v>
      </c>
      <c r="M19" s="10">
        <v>0.56000000000000005</v>
      </c>
      <c r="N19" s="10">
        <v>0.52</v>
      </c>
      <c r="O19" s="10">
        <v>0.49</v>
      </c>
      <c r="P19" s="10">
        <v>0.61</v>
      </c>
      <c r="Q19" s="10">
        <v>0.51</v>
      </c>
      <c r="R19" s="10">
        <v>0.56999999999999995</v>
      </c>
      <c r="S19" s="10">
        <v>0.56000000000000005</v>
      </c>
      <c r="T19" s="10">
        <v>0.56000000000000005</v>
      </c>
      <c r="U19" s="10">
        <v>0.47</v>
      </c>
      <c r="V19" s="10">
        <v>0.61</v>
      </c>
      <c r="W19" s="1">
        <f t="shared" si="0"/>
        <v>0.53787964964664736</v>
      </c>
      <c r="X19" s="6">
        <f t="shared" si="1"/>
        <v>38</v>
      </c>
    </row>
    <row r="20" spans="1:24" ht="25" customHeight="1">
      <c r="A20" t="s">
        <v>38</v>
      </c>
      <c r="B20">
        <v>1.2</v>
      </c>
      <c r="C20">
        <v>3</v>
      </c>
      <c r="D20">
        <v>2</v>
      </c>
      <c r="E20" t="s">
        <v>33</v>
      </c>
      <c r="F20" t="b">
        <v>0</v>
      </c>
      <c r="G20">
        <v>0</v>
      </c>
      <c r="H20" t="s">
        <v>23</v>
      </c>
      <c r="I20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gen-spl:F-mgv:3-sn:1.2k</v>
      </c>
      <c r="J20" s="10">
        <v>0.65</v>
      </c>
      <c r="K20" s="10">
        <v>0.7</v>
      </c>
      <c r="L20" s="10">
        <v>0.68</v>
      </c>
      <c r="M20" s="10">
        <v>0.72</v>
      </c>
      <c r="N20" s="10">
        <v>0.69</v>
      </c>
      <c r="O20" s="10">
        <v>0.69</v>
      </c>
      <c r="P20" s="10">
        <v>0.64</v>
      </c>
      <c r="Q20" s="10">
        <v>0.69</v>
      </c>
      <c r="R20" s="10">
        <v>0.74</v>
      </c>
      <c r="S20" s="10">
        <v>0.68</v>
      </c>
      <c r="T20" s="10">
        <v>0.67</v>
      </c>
      <c r="U20" s="10">
        <v>0.67</v>
      </c>
      <c r="V20" s="10">
        <v>0.74</v>
      </c>
      <c r="W20" s="1">
        <f t="shared" si="0"/>
        <v>0.68449853686212603</v>
      </c>
      <c r="X20" s="6">
        <f t="shared" si="1"/>
        <v>34</v>
      </c>
    </row>
    <row r="21" spans="1:24" ht="25" customHeight="1">
      <c r="A21" t="s">
        <v>38</v>
      </c>
      <c r="B21">
        <v>2</v>
      </c>
      <c r="C21">
        <v>3</v>
      </c>
      <c r="D21">
        <v>2</v>
      </c>
      <c r="E21" t="s">
        <v>33</v>
      </c>
      <c r="F21" t="b">
        <v>0</v>
      </c>
      <c r="G21">
        <v>0</v>
      </c>
      <c r="H21" t="s">
        <v>23</v>
      </c>
      <c r="I21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gen-spl:F-mgv:3-sn:2k</v>
      </c>
      <c r="J21" s="10">
        <v>0.75</v>
      </c>
      <c r="K21" s="10">
        <v>0.7</v>
      </c>
      <c r="L21" s="10">
        <v>0.69</v>
      </c>
      <c r="M21" s="10">
        <v>0.68</v>
      </c>
      <c r="N21" s="10">
        <v>0.69</v>
      </c>
      <c r="O21" s="10">
        <v>0.67</v>
      </c>
      <c r="P21" s="10">
        <v>0.67</v>
      </c>
      <c r="Q21" s="10">
        <v>0.75</v>
      </c>
      <c r="R21" s="10">
        <v>0.71</v>
      </c>
      <c r="S21" s="10">
        <v>0.67</v>
      </c>
      <c r="T21" s="10">
        <v>0.69</v>
      </c>
      <c r="U21" s="10">
        <v>0.67</v>
      </c>
      <c r="V21" s="10">
        <v>0.75</v>
      </c>
      <c r="W21" s="1">
        <f t="shared" si="0"/>
        <v>0.69446899197857404</v>
      </c>
      <c r="X21" s="6">
        <f t="shared" si="1"/>
        <v>32</v>
      </c>
    </row>
    <row r="22" spans="1:24" ht="25" customHeight="1">
      <c r="A22" t="s">
        <v>38</v>
      </c>
      <c r="B22">
        <v>3</v>
      </c>
      <c r="C22">
        <v>3</v>
      </c>
      <c r="D22">
        <v>2</v>
      </c>
      <c r="E22" t="s">
        <v>33</v>
      </c>
      <c r="F22" t="b">
        <v>0</v>
      </c>
      <c r="G22">
        <v>0</v>
      </c>
      <c r="H22" t="s">
        <v>23</v>
      </c>
      <c r="I22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gen-spl:F-mgv:3-sn:3k</v>
      </c>
      <c r="J22" s="1">
        <v>0.7</v>
      </c>
      <c r="K22" s="1">
        <v>0.74</v>
      </c>
      <c r="L22" s="1">
        <v>0.7</v>
      </c>
      <c r="M22" s="1">
        <v>0.75</v>
      </c>
      <c r="N22" s="1">
        <v>0.72</v>
      </c>
      <c r="O22" s="1">
        <v>0.73</v>
      </c>
      <c r="P22" s="1">
        <v>0.71</v>
      </c>
      <c r="Q22" s="1">
        <v>0.71</v>
      </c>
      <c r="R22" s="1">
        <v>0.71</v>
      </c>
      <c r="S22" s="1">
        <v>0.73</v>
      </c>
      <c r="T22" s="1">
        <v>0.72</v>
      </c>
      <c r="U22" s="1">
        <v>0.72</v>
      </c>
      <c r="V22" s="1">
        <v>0.75</v>
      </c>
      <c r="W22" s="1">
        <f t="shared" si="0"/>
        <v>0.71985044352181327</v>
      </c>
      <c r="X22" s="6">
        <f t="shared" si="1"/>
        <v>29</v>
      </c>
    </row>
    <row r="23" spans="1:24" ht="25" customHeight="1">
      <c r="A23" t="s">
        <v>38</v>
      </c>
      <c r="B23">
        <v>1.2</v>
      </c>
      <c r="C23">
        <v>6</v>
      </c>
      <c r="D23">
        <v>2</v>
      </c>
      <c r="E23" t="s">
        <v>33</v>
      </c>
      <c r="F23" t="b">
        <v>0</v>
      </c>
      <c r="G23">
        <v>0</v>
      </c>
      <c r="H23" t="s">
        <v>23</v>
      </c>
      <c r="I23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gen-spl:F-mgv:6-sn:1.2k</v>
      </c>
      <c r="J23" s="10">
        <v>0.75</v>
      </c>
      <c r="K23" s="10">
        <v>0.7</v>
      </c>
      <c r="L23" s="10">
        <v>0.69</v>
      </c>
      <c r="M23" s="10">
        <v>0.68</v>
      </c>
      <c r="N23" s="10">
        <v>0.69</v>
      </c>
      <c r="O23" s="10">
        <v>0.67</v>
      </c>
      <c r="P23" s="10">
        <v>0.67</v>
      </c>
      <c r="Q23" s="10">
        <v>0.75</v>
      </c>
      <c r="R23" s="10">
        <v>0.71</v>
      </c>
      <c r="S23" s="10">
        <v>0.67</v>
      </c>
      <c r="T23" s="10">
        <v>0.69</v>
      </c>
      <c r="U23" s="10">
        <v>0.67</v>
      </c>
      <c r="V23" s="10">
        <v>0.75</v>
      </c>
      <c r="W23" s="1">
        <f t="shared" si="0"/>
        <v>0.69446899197857404</v>
      </c>
      <c r="X23" s="6">
        <f t="shared" si="1"/>
        <v>32</v>
      </c>
    </row>
    <row r="24" spans="1:24" ht="25" customHeight="1">
      <c r="A24" t="s">
        <v>38</v>
      </c>
      <c r="B24">
        <v>2</v>
      </c>
      <c r="C24">
        <v>6</v>
      </c>
      <c r="D24">
        <v>2</v>
      </c>
      <c r="E24" t="s">
        <v>33</v>
      </c>
      <c r="F24" t="b">
        <v>0</v>
      </c>
      <c r="G24">
        <v>0</v>
      </c>
      <c r="H24" t="s">
        <v>23</v>
      </c>
      <c r="I24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gen-spl:F-mgv:6-sn:2k</v>
      </c>
      <c r="J24" s="10">
        <v>0.68</v>
      </c>
      <c r="K24" s="10">
        <v>0.71</v>
      </c>
      <c r="L24" s="10">
        <v>0.7</v>
      </c>
      <c r="M24" s="10">
        <v>0.69</v>
      </c>
      <c r="N24" s="10">
        <v>0.62</v>
      </c>
      <c r="O24" s="10">
        <v>0.73</v>
      </c>
      <c r="P24" s="10">
        <v>0.72</v>
      </c>
      <c r="Q24" s="10">
        <v>0.64</v>
      </c>
      <c r="R24" s="10">
        <v>0.7</v>
      </c>
      <c r="S24" s="10">
        <v>0.68</v>
      </c>
      <c r="T24" s="10">
        <v>0.68</v>
      </c>
      <c r="U24" s="10">
        <v>0.63</v>
      </c>
      <c r="V24" s="10">
        <v>0.73</v>
      </c>
      <c r="W24" s="1">
        <f t="shared" si="0"/>
        <v>0.68082132781494986</v>
      </c>
      <c r="X24" s="6">
        <f t="shared" si="1"/>
        <v>35</v>
      </c>
    </row>
    <row r="25" spans="1:24" ht="25" customHeight="1">
      <c r="A25" t="s">
        <v>38</v>
      </c>
      <c r="B25">
        <v>3</v>
      </c>
      <c r="C25">
        <v>6</v>
      </c>
      <c r="D25">
        <v>2</v>
      </c>
      <c r="E25" t="s">
        <v>33</v>
      </c>
      <c r="F25" t="b">
        <v>0</v>
      </c>
      <c r="G25">
        <v>1</v>
      </c>
      <c r="H25" t="s">
        <v>23</v>
      </c>
      <c r="I25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gen-spl:F-mgv:6-sn:3k</v>
      </c>
      <c r="J25" s="10">
        <v>0.7</v>
      </c>
      <c r="K25" s="10">
        <v>0.7</v>
      </c>
      <c r="L25" s="10">
        <v>0.71</v>
      </c>
      <c r="M25" s="10">
        <v>0.71</v>
      </c>
      <c r="N25" s="10">
        <v>0.77</v>
      </c>
      <c r="O25" s="10">
        <v>0.73</v>
      </c>
      <c r="P25" s="10">
        <v>0.72</v>
      </c>
      <c r="Q25" s="10">
        <v>0.71</v>
      </c>
      <c r="R25" s="10">
        <v>0.72</v>
      </c>
      <c r="S25" s="10">
        <v>0.71</v>
      </c>
      <c r="T25" s="10">
        <v>0.71</v>
      </c>
      <c r="U25" s="10">
        <v>0.71</v>
      </c>
      <c r="V25" s="10">
        <v>0.77</v>
      </c>
      <c r="W25" s="1">
        <f t="shared" si="0"/>
        <v>0.71644918977658645</v>
      </c>
      <c r="X25" s="6">
        <f t="shared" si="1"/>
        <v>30</v>
      </c>
    </row>
    <row r="26" spans="1:24" ht="25" customHeight="1">
      <c r="A26" t="s">
        <v>38</v>
      </c>
      <c r="B26">
        <v>1.2</v>
      </c>
      <c r="C26">
        <v>9</v>
      </c>
      <c r="D26">
        <v>2</v>
      </c>
      <c r="E26" t="s">
        <v>33</v>
      </c>
      <c r="F26" t="b">
        <v>0</v>
      </c>
      <c r="G26">
        <v>0</v>
      </c>
      <c r="H26" t="s">
        <v>23</v>
      </c>
      <c r="I26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gen-spl:F-mgv:9-sn:1.2k</v>
      </c>
      <c r="J26" s="1">
        <v>0.68</v>
      </c>
      <c r="K26" s="1">
        <v>0.71</v>
      </c>
      <c r="L26" s="1">
        <v>0.7</v>
      </c>
      <c r="M26" s="1">
        <v>0.69</v>
      </c>
      <c r="N26" s="1">
        <v>0.62</v>
      </c>
      <c r="O26" s="1">
        <v>0.73</v>
      </c>
      <c r="P26" s="1">
        <v>0.72</v>
      </c>
      <c r="Q26" s="1">
        <v>0.64</v>
      </c>
      <c r="R26" s="1">
        <v>0.7</v>
      </c>
      <c r="S26" s="1">
        <v>0.68</v>
      </c>
      <c r="T26" s="1">
        <v>0.68</v>
      </c>
      <c r="U26" s="1">
        <v>0.63</v>
      </c>
      <c r="V26" s="1">
        <v>0.73</v>
      </c>
      <c r="W26" s="1">
        <f t="shared" si="0"/>
        <v>0.68082132781494986</v>
      </c>
      <c r="X26" s="6">
        <f t="shared" si="1"/>
        <v>35</v>
      </c>
    </row>
    <row r="27" spans="1:24" ht="25" customHeight="1">
      <c r="A27" t="s">
        <v>38</v>
      </c>
      <c r="B27">
        <v>2</v>
      </c>
      <c r="C27">
        <v>9</v>
      </c>
      <c r="D27">
        <v>2</v>
      </c>
      <c r="E27" t="s">
        <v>33</v>
      </c>
      <c r="F27" t="b">
        <v>0</v>
      </c>
      <c r="G27">
        <v>0</v>
      </c>
      <c r="H27" t="s">
        <v>23</v>
      </c>
      <c r="I27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gen-spl:F-mgv:9-sn:2k</v>
      </c>
      <c r="J27" s="1">
        <v>0.67</v>
      </c>
      <c r="K27" s="1">
        <v>0.74</v>
      </c>
      <c r="L27" s="1">
        <v>0.68</v>
      </c>
      <c r="M27" s="1">
        <v>0.73</v>
      </c>
      <c r="N27" s="1">
        <v>0.68</v>
      </c>
      <c r="O27" s="1">
        <v>0.69</v>
      </c>
      <c r="P27" s="1">
        <v>0.66</v>
      </c>
      <c r="Q27" s="1">
        <v>0.73</v>
      </c>
      <c r="R27" s="1">
        <v>0.73</v>
      </c>
      <c r="S27" s="1">
        <v>0.73</v>
      </c>
      <c r="T27" s="1">
        <v>0.69</v>
      </c>
      <c r="U27" s="1">
        <v>0.73</v>
      </c>
      <c r="V27" s="1">
        <v>0.74</v>
      </c>
      <c r="W27" s="1">
        <f t="shared" si="0"/>
        <v>0.70444711867902421</v>
      </c>
      <c r="X27" s="6">
        <f t="shared" si="1"/>
        <v>31</v>
      </c>
    </row>
    <row r="28" spans="1:24" ht="25" customHeight="1">
      <c r="A28" t="s">
        <v>38</v>
      </c>
      <c r="B28">
        <v>3</v>
      </c>
      <c r="C28">
        <v>9</v>
      </c>
      <c r="D28">
        <v>2</v>
      </c>
      <c r="E28" t="s">
        <v>33</v>
      </c>
      <c r="F28" t="b">
        <v>0</v>
      </c>
      <c r="G28">
        <v>0</v>
      </c>
      <c r="H28" t="s">
        <v>23</v>
      </c>
      <c r="I28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gen-spl:F-mgv:9-sn:3k</v>
      </c>
      <c r="J28" s="10">
        <v>0.77</v>
      </c>
      <c r="K28" s="10">
        <v>0.75</v>
      </c>
      <c r="L28" s="10">
        <v>0.72</v>
      </c>
      <c r="M28" s="10">
        <v>0.71</v>
      </c>
      <c r="N28" s="10">
        <v>0.77</v>
      </c>
      <c r="O28" s="10">
        <v>0.77</v>
      </c>
      <c r="P28" s="10">
        <v>0.73</v>
      </c>
      <c r="Q28" s="10">
        <v>0.78</v>
      </c>
      <c r="R28" s="10">
        <v>0.75</v>
      </c>
      <c r="S28" s="10">
        <v>0.75</v>
      </c>
      <c r="T28" s="10">
        <v>0.78</v>
      </c>
      <c r="U28" s="10">
        <v>0.75</v>
      </c>
      <c r="V28" s="10">
        <v>0.78</v>
      </c>
      <c r="W28" s="1">
        <f t="shared" si="0"/>
        <v>0.75217404790445819</v>
      </c>
      <c r="X28" s="6">
        <f t="shared" si="1"/>
        <v>28</v>
      </c>
    </row>
    <row r="29" spans="1:24" ht="25" customHeight="1">
      <c r="A29" t="s">
        <v>38</v>
      </c>
      <c r="B29">
        <v>1.2</v>
      </c>
      <c r="C29">
        <v>3</v>
      </c>
      <c r="D29">
        <v>2</v>
      </c>
      <c r="E29" t="s">
        <v>33</v>
      </c>
      <c r="F29" t="b">
        <v>1</v>
      </c>
      <c r="G29">
        <v>0</v>
      </c>
      <c r="H29" t="s">
        <v>23</v>
      </c>
      <c r="I29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gen-spl:T-mgv:3-sn:1.2k</v>
      </c>
      <c r="J29" s="10">
        <v>0.89</v>
      </c>
      <c r="K29" s="10">
        <v>0.89</v>
      </c>
      <c r="L29" s="10">
        <v>0.9</v>
      </c>
      <c r="M29" s="10">
        <v>0.92</v>
      </c>
      <c r="N29" s="10">
        <v>0.92</v>
      </c>
      <c r="O29" s="10">
        <v>0.91</v>
      </c>
      <c r="P29" s="10">
        <v>0.93</v>
      </c>
      <c r="Q29" s="10">
        <v>0.88</v>
      </c>
      <c r="R29" s="10">
        <v>0.93</v>
      </c>
      <c r="S29" s="10">
        <v>0.88</v>
      </c>
      <c r="T29" s="10">
        <v>0.94</v>
      </c>
      <c r="U29" s="10">
        <v>0.85</v>
      </c>
      <c r="V29" s="10">
        <v>0.94</v>
      </c>
      <c r="W29" s="1">
        <f t="shared" si="0"/>
        <v>0.9029765373064691</v>
      </c>
      <c r="X29" s="6">
        <f t="shared" si="1"/>
        <v>3</v>
      </c>
    </row>
    <row r="30" spans="1:24" ht="25" customHeight="1">
      <c r="A30" t="s">
        <v>38</v>
      </c>
      <c r="B30">
        <v>2</v>
      </c>
      <c r="C30">
        <v>3</v>
      </c>
      <c r="D30">
        <v>2</v>
      </c>
      <c r="E30" t="s">
        <v>33</v>
      </c>
      <c r="F30" t="b">
        <v>1</v>
      </c>
      <c r="G30">
        <v>0</v>
      </c>
      <c r="H30" t="s">
        <v>23</v>
      </c>
      <c r="I30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gen-spl:T-mgv:3-sn:2k</v>
      </c>
      <c r="J30" s="10">
        <v>0.94</v>
      </c>
      <c r="K30" s="10">
        <v>0.92</v>
      </c>
      <c r="L30" s="10">
        <v>0.91</v>
      </c>
      <c r="M30" s="10">
        <v>0.87</v>
      </c>
      <c r="N30" s="10">
        <v>0.88</v>
      </c>
      <c r="O30" s="10">
        <v>0.89</v>
      </c>
      <c r="P30" s="10">
        <v>0.93</v>
      </c>
      <c r="Q30" s="10">
        <v>0.95</v>
      </c>
      <c r="R30" s="10">
        <v>0.91</v>
      </c>
      <c r="S30" s="10">
        <v>0.86</v>
      </c>
      <c r="T30" s="10">
        <v>0.84</v>
      </c>
      <c r="U30" s="10">
        <v>0.8</v>
      </c>
      <c r="V30" s="10">
        <v>0.95</v>
      </c>
      <c r="W30" s="1">
        <f t="shared" si="0"/>
        <v>0.89064654924328934</v>
      </c>
      <c r="X30" s="6">
        <f t="shared" si="1"/>
        <v>8</v>
      </c>
    </row>
    <row r="31" spans="1:24" ht="25" customHeight="1">
      <c r="A31" t="s">
        <v>38</v>
      </c>
      <c r="B31">
        <v>3</v>
      </c>
      <c r="C31">
        <v>3</v>
      </c>
      <c r="D31">
        <v>2</v>
      </c>
      <c r="E31" t="s">
        <v>33</v>
      </c>
      <c r="F31" t="b">
        <v>1</v>
      </c>
      <c r="G31">
        <v>0</v>
      </c>
      <c r="H31" t="s">
        <v>23</v>
      </c>
      <c r="I31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gen-spl:T-mgv:3-sn:3k</v>
      </c>
      <c r="J31" s="10">
        <v>0.94</v>
      </c>
      <c r="K31" s="10">
        <v>0.92</v>
      </c>
      <c r="L31" s="10">
        <v>0.94</v>
      </c>
      <c r="M31" s="10">
        <v>0.94</v>
      </c>
      <c r="N31" s="10">
        <v>0.88</v>
      </c>
      <c r="O31" s="10">
        <v>0.82</v>
      </c>
      <c r="P31" s="10">
        <v>0.91</v>
      </c>
      <c r="Q31" s="10">
        <v>0.9</v>
      </c>
      <c r="R31" s="10">
        <v>0.91</v>
      </c>
      <c r="S31" s="10">
        <v>0.93</v>
      </c>
      <c r="T31" s="10">
        <v>0.88</v>
      </c>
      <c r="U31" s="10">
        <v>0.85</v>
      </c>
      <c r="V31" s="10">
        <v>0.94</v>
      </c>
      <c r="W31" s="1">
        <f t="shared" si="0"/>
        <v>0.90091014908058176</v>
      </c>
      <c r="X31" s="6">
        <f t="shared" si="1"/>
        <v>4</v>
      </c>
    </row>
    <row r="32" spans="1:24" ht="25" customHeight="1">
      <c r="A32" t="s">
        <v>38</v>
      </c>
      <c r="B32">
        <v>1.2</v>
      </c>
      <c r="C32">
        <v>6</v>
      </c>
      <c r="D32">
        <v>2</v>
      </c>
      <c r="E32" t="s">
        <v>33</v>
      </c>
      <c r="F32" t="b">
        <v>1</v>
      </c>
      <c r="G32">
        <v>0</v>
      </c>
      <c r="H32" t="s">
        <v>23</v>
      </c>
      <c r="I32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gen-spl:T-mgv:6-sn:1.2k</v>
      </c>
      <c r="J32" s="1">
        <v>0.94</v>
      </c>
      <c r="K32" s="1">
        <v>0.92</v>
      </c>
      <c r="L32" s="1">
        <v>0.91</v>
      </c>
      <c r="M32" s="1">
        <v>0.87</v>
      </c>
      <c r="N32" s="1">
        <v>0.88</v>
      </c>
      <c r="O32" s="1">
        <v>0.89</v>
      </c>
      <c r="P32" s="1">
        <v>0.93</v>
      </c>
      <c r="Q32" s="1">
        <v>0.95</v>
      </c>
      <c r="R32" s="1">
        <v>0.91</v>
      </c>
      <c r="S32" s="1">
        <v>0.86</v>
      </c>
      <c r="T32" s="1">
        <v>0.84</v>
      </c>
      <c r="U32" s="1">
        <v>0.8</v>
      </c>
      <c r="V32" s="1">
        <v>0.95</v>
      </c>
      <c r="W32" s="1">
        <f t="shared" si="0"/>
        <v>0.89064654924328934</v>
      </c>
      <c r="X32" s="6">
        <f t="shared" si="1"/>
        <v>8</v>
      </c>
    </row>
    <row r="33" spans="1:24" ht="25" customHeight="1">
      <c r="A33" t="s">
        <v>38</v>
      </c>
      <c r="B33">
        <v>2</v>
      </c>
      <c r="C33">
        <v>6</v>
      </c>
      <c r="D33">
        <v>2</v>
      </c>
      <c r="E33" t="s">
        <v>33</v>
      </c>
      <c r="F33" t="b">
        <v>1</v>
      </c>
      <c r="G33">
        <v>0</v>
      </c>
      <c r="H33" t="s">
        <v>23</v>
      </c>
      <c r="I33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gen-spl:T-mgv:6-sn:2k</v>
      </c>
      <c r="J33" s="10">
        <v>0.91</v>
      </c>
      <c r="K33" s="10">
        <v>0.95</v>
      </c>
      <c r="L33" s="10">
        <v>0.93</v>
      </c>
      <c r="M33" s="10">
        <v>0.93</v>
      </c>
      <c r="N33" s="10">
        <v>0.84</v>
      </c>
      <c r="O33" s="10">
        <v>0.88</v>
      </c>
      <c r="P33" s="10">
        <v>0.93</v>
      </c>
      <c r="Q33" s="10">
        <v>0.88</v>
      </c>
      <c r="R33" s="10">
        <v>0.95</v>
      </c>
      <c r="S33" s="10">
        <v>0.86</v>
      </c>
      <c r="T33" s="10">
        <v>0.81</v>
      </c>
      <c r="U33" s="10">
        <v>0.88</v>
      </c>
      <c r="V33" s="10">
        <v>0.95</v>
      </c>
      <c r="W33" s="1">
        <f t="shared" si="0"/>
        <v>0.89478910012867263</v>
      </c>
      <c r="X33" s="6">
        <f t="shared" si="1"/>
        <v>6</v>
      </c>
    </row>
    <row r="34" spans="1:24" ht="25" customHeight="1">
      <c r="A34" t="s">
        <v>38</v>
      </c>
      <c r="B34">
        <v>3</v>
      </c>
      <c r="C34">
        <v>6</v>
      </c>
      <c r="D34">
        <v>2</v>
      </c>
      <c r="E34" t="s">
        <v>33</v>
      </c>
      <c r="F34" t="b">
        <v>1</v>
      </c>
      <c r="G34">
        <v>1</v>
      </c>
      <c r="H34" t="s">
        <v>23</v>
      </c>
      <c r="I34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gen-spl:T-mgv:6-sn:3k</v>
      </c>
      <c r="J34" s="10">
        <v>0.91</v>
      </c>
      <c r="K34" s="10">
        <v>0.92</v>
      </c>
      <c r="L34" s="10">
        <v>0.93</v>
      </c>
      <c r="M34" s="10">
        <v>0.89</v>
      </c>
      <c r="N34" s="10">
        <v>0.84</v>
      </c>
      <c r="O34" s="10">
        <v>0.83</v>
      </c>
      <c r="P34" s="10">
        <v>0.91</v>
      </c>
      <c r="Q34" s="10">
        <v>0.94</v>
      </c>
      <c r="R34" s="10">
        <v>0.93</v>
      </c>
      <c r="S34" s="10">
        <v>0.91</v>
      </c>
      <c r="T34" s="10">
        <v>0.89</v>
      </c>
      <c r="U34" s="10">
        <v>0.86</v>
      </c>
      <c r="V34" s="10">
        <v>0.94</v>
      </c>
      <c r="W34" s="1">
        <f t="shared" ref="W34:W55" si="2">_xlfn.LET(_xlpm.d,$J34:$U34,GEOMEAN(_xlpm.d))</f>
        <v>0.89599062697534382</v>
      </c>
      <c r="X34" s="6">
        <f t="shared" ref="X34:X55" si="3">_xlfn.LET(_xlpm.x,W34,_xlpm.r,W$2:W$55,RANK(_xlpm.x,_xlpm.r))</f>
        <v>5</v>
      </c>
    </row>
    <row r="35" spans="1:24" ht="25" customHeight="1">
      <c r="A35" t="s">
        <v>38</v>
      </c>
      <c r="B35">
        <v>1.2</v>
      </c>
      <c r="C35">
        <v>9</v>
      </c>
      <c r="D35">
        <v>2</v>
      </c>
      <c r="E35" t="s">
        <v>33</v>
      </c>
      <c r="F35" t="b">
        <v>1</v>
      </c>
      <c r="G35">
        <v>0</v>
      </c>
      <c r="H35" t="s">
        <v>23</v>
      </c>
      <c r="I35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gen-spl:T-mgv:9-sn:1.2k</v>
      </c>
      <c r="J35" s="10">
        <v>0.91</v>
      </c>
      <c r="K35" s="10">
        <v>0.95</v>
      </c>
      <c r="L35" s="10">
        <v>0.93</v>
      </c>
      <c r="M35" s="10">
        <v>0.93</v>
      </c>
      <c r="N35" s="10">
        <v>0.84</v>
      </c>
      <c r="O35" s="10">
        <v>0.88</v>
      </c>
      <c r="P35" s="10">
        <v>0.93</v>
      </c>
      <c r="Q35" s="10">
        <v>0.88</v>
      </c>
      <c r="R35" s="10">
        <v>0.95</v>
      </c>
      <c r="S35" s="10">
        <v>0.86</v>
      </c>
      <c r="T35" s="10">
        <v>0.81</v>
      </c>
      <c r="U35" s="10">
        <v>0.88</v>
      </c>
      <c r="V35" s="10">
        <v>0.95</v>
      </c>
      <c r="W35" s="1">
        <f t="shared" si="2"/>
        <v>0.89478910012867263</v>
      </c>
      <c r="X35" s="6">
        <f t="shared" si="3"/>
        <v>6</v>
      </c>
    </row>
    <row r="36" spans="1:24" ht="25" customHeight="1">
      <c r="A36" t="s">
        <v>38</v>
      </c>
      <c r="B36">
        <v>2</v>
      </c>
      <c r="C36">
        <v>9</v>
      </c>
      <c r="D36">
        <v>2</v>
      </c>
      <c r="E36" t="s">
        <v>33</v>
      </c>
      <c r="F36" t="b">
        <v>1</v>
      </c>
      <c r="G36">
        <v>0</v>
      </c>
      <c r="H36" t="s">
        <v>23</v>
      </c>
      <c r="I36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gen-spl:T-mgv:9-sn:2k</v>
      </c>
      <c r="J36" s="1">
        <v>0.93</v>
      </c>
      <c r="K36" s="1">
        <v>0.91</v>
      </c>
      <c r="L36" s="1">
        <v>0.91</v>
      </c>
      <c r="M36" s="1">
        <v>0.94</v>
      </c>
      <c r="N36" s="1">
        <v>0.91</v>
      </c>
      <c r="O36" s="1">
        <v>0.89</v>
      </c>
      <c r="P36" s="1">
        <v>0.93</v>
      </c>
      <c r="Q36" s="1">
        <v>0.88</v>
      </c>
      <c r="R36" s="1">
        <v>0.94</v>
      </c>
      <c r="S36" s="1">
        <v>0.91</v>
      </c>
      <c r="T36" s="1">
        <v>0.91</v>
      </c>
      <c r="U36" s="1">
        <v>0.91</v>
      </c>
      <c r="V36" s="1">
        <v>0.94</v>
      </c>
      <c r="W36" s="1">
        <f t="shared" si="2"/>
        <v>0.91399794598813777</v>
      </c>
      <c r="X36" s="6">
        <f t="shared" si="3"/>
        <v>2</v>
      </c>
    </row>
    <row r="37" spans="1:24" ht="25" customHeight="1">
      <c r="A37" t="s">
        <v>38</v>
      </c>
      <c r="B37">
        <v>3</v>
      </c>
      <c r="C37">
        <v>9</v>
      </c>
      <c r="D37">
        <v>2</v>
      </c>
      <c r="E37" t="s">
        <v>33</v>
      </c>
      <c r="F37" t="b">
        <v>1</v>
      </c>
      <c r="G37">
        <v>0</v>
      </c>
      <c r="H37" t="s">
        <v>23</v>
      </c>
      <c r="I37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gen-spl:T-mgv:9-sn:3k</v>
      </c>
      <c r="J37" s="1">
        <v>0.93</v>
      </c>
      <c r="K37" s="1">
        <v>0.94</v>
      </c>
      <c r="L37" s="1">
        <v>0.94</v>
      </c>
      <c r="M37" s="1">
        <v>0.91</v>
      </c>
      <c r="N37" s="1">
        <v>0.89</v>
      </c>
      <c r="O37" s="1">
        <v>0.9</v>
      </c>
      <c r="P37" s="1">
        <v>0.94</v>
      </c>
      <c r="Q37" s="1">
        <v>0.96</v>
      </c>
      <c r="R37" s="1">
        <v>0.96</v>
      </c>
      <c r="S37" s="1">
        <v>0.91</v>
      </c>
      <c r="T37" s="1">
        <v>0.88</v>
      </c>
      <c r="U37" s="1">
        <v>0.84</v>
      </c>
      <c r="V37" s="1">
        <v>0.96</v>
      </c>
      <c r="W37" s="1">
        <f t="shared" si="2"/>
        <v>0.9160247040253281</v>
      </c>
      <c r="X37" s="6">
        <f t="shared" si="3"/>
        <v>1</v>
      </c>
    </row>
    <row r="38" spans="1:24" ht="25" customHeight="1">
      <c r="A38" t="s">
        <v>38</v>
      </c>
      <c r="B38">
        <v>1.2</v>
      </c>
      <c r="C38">
        <v>3</v>
      </c>
      <c r="D38">
        <v>1</v>
      </c>
      <c r="E38" t="s">
        <v>17</v>
      </c>
      <c r="F38" t="b">
        <v>0</v>
      </c>
      <c r="G38">
        <v>0</v>
      </c>
      <c r="H38" t="s">
        <v>23</v>
      </c>
      <c r="I38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plu-spl:F-mgv:3-sn:1.2k</v>
      </c>
      <c r="J38" s="10">
        <v>0.79</v>
      </c>
      <c r="K38" s="10">
        <v>0.78</v>
      </c>
      <c r="L38" s="10">
        <v>0.81</v>
      </c>
      <c r="M38" s="10">
        <v>0.77</v>
      </c>
      <c r="N38" s="10">
        <v>0.81</v>
      </c>
      <c r="O38" s="10">
        <v>0.84</v>
      </c>
      <c r="P38" s="10">
        <v>0.77</v>
      </c>
      <c r="Q38" s="10">
        <v>0.84</v>
      </c>
      <c r="R38" s="10">
        <v>0.81</v>
      </c>
      <c r="S38" s="10">
        <v>0.88</v>
      </c>
      <c r="T38" s="10">
        <v>0.82</v>
      </c>
      <c r="U38" s="10">
        <v>0.81</v>
      </c>
      <c r="V38" s="10">
        <v>0.88</v>
      </c>
      <c r="W38" s="1">
        <f t="shared" si="2"/>
        <v>0.81026085827699523</v>
      </c>
      <c r="X38" s="6">
        <f t="shared" si="3"/>
        <v>27</v>
      </c>
    </row>
    <row r="39" spans="1:24" ht="25" customHeight="1">
      <c r="A39" t="s">
        <v>38</v>
      </c>
      <c r="B39">
        <v>2</v>
      </c>
      <c r="C39">
        <v>3</v>
      </c>
      <c r="D39">
        <v>1</v>
      </c>
      <c r="E39" t="s">
        <v>17</v>
      </c>
      <c r="F39" t="b">
        <v>0</v>
      </c>
      <c r="G39">
        <v>0</v>
      </c>
      <c r="H39" t="s">
        <v>23</v>
      </c>
      <c r="I39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plu-spl:F-mgv:3-sn:2k</v>
      </c>
      <c r="J39" s="10">
        <v>0.81</v>
      </c>
      <c r="K39" s="10">
        <v>0.87</v>
      </c>
      <c r="L39" s="10">
        <v>0.79</v>
      </c>
      <c r="M39" s="10">
        <v>0.82</v>
      </c>
      <c r="N39" s="10">
        <v>0.86</v>
      </c>
      <c r="O39" s="10">
        <v>0.82</v>
      </c>
      <c r="P39" s="10">
        <v>0.84</v>
      </c>
      <c r="Q39" s="10">
        <v>0.83</v>
      </c>
      <c r="R39" s="10">
        <v>0.79</v>
      </c>
      <c r="S39" s="10">
        <v>0.88</v>
      </c>
      <c r="T39" s="10">
        <v>0.85</v>
      </c>
      <c r="U39" s="10">
        <v>0.82</v>
      </c>
      <c r="V39" s="10">
        <v>0.88</v>
      </c>
      <c r="W39" s="1">
        <f t="shared" si="2"/>
        <v>0.83119856842714235</v>
      </c>
      <c r="X39" s="6">
        <f t="shared" si="3"/>
        <v>23</v>
      </c>
    </row>
    <row r="40" spans="1:24" ht="25" customHeight="1">
      <c r="A40" t="s">
        <v>38</v>
      </c>
      <c r="B40">
        <v>3</v>
      </c>
      <c r="C40">
        <v>3</v>
      </c>
      <c r="D40">
        <v>1</v>
      </c>
      <c r="E40" t="s">
        <v>17</v>
      </c>
      <c r="F40" t="b">
        <v>0</v>
      </c>
      <c r="G40">
        <v>0</v>
      </c>
      <c r="H40" t="s">
        <v>23</v>
      </c>
      <c r="I40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plu-spl:F-mgv:3-sn:3k</v>
      </c>
      <c r="J40" s="10">
        <v>0.77</v>
      </c>
      <c r="K40" s="10">
        <v>0.83</v>
      </c>
      <c r="L40" s="10">
        <v>0.87</v>
      </c>
      <c r="M40" s="10">
        <v>0.92</v>
      </c>
      <c r="N40" s="10">
        <v>0.86</v>
      </c>
      <c r="O40" s="10">
        <v>0.84</v>
      </c>
      <c r="P40" s="10">
        <v>0.86</v>
      </c>
      <c r="Q40" s="10">
        <v>0.81</v>
      </c>
      <c r="R40" s="10">
        <v>0.87</v>
      </c>
      <c r="S40" s="10">
        <v>0.85</v>
      </c>
      <c r="T40" s="10">
        <v>0.9</v>
      </c>
      <c r="U40" s="10">
        <v>0.84</v>
      </c>
      <c r="V40" s="10">
        <v>0.92</v>
      </c>
      <c r="W40" s="1">
        <f t="shared" si="2"/>
        <v>0.85082731336670292</v>
      </c>
      <c r="X40" s="6">
        <f t="shared" si="3"/>
        <v>18</v>
      </c>
    </row>
    <row r="41" spans="1:24" ht="25" customHeight="1">
      <c r="A41" t="s">
        <v>38</v>
      </c>
      <c r="B41">
        <v>1.2</v>
      </c>
      <c r="C41">
        <v>6</v>
      </c>
      <c r="D41">
        <v>1</v>
      </c>
      <c r="E41" t="s">
        <v>17</v>
      </c>
      <c r="F41" t="b">
        <v>0</v>
      </c>
      <c r="G41">
        <v>0</v>
      </c>
      <c r="H41" t="s">
        <v>23</v>
      </c>
      <c r="I41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plu-spl:F-mgv:6-sn:1.2k</v>
      </c>
      <c r="J41" s="1">
        <v>0.81</v>
      </c>
      <c r="K41" s="1">
        <v>0.87</v>
      </c>
      <c r="L41" s="1">
        <v>0.79</v>
      </c>
      <c r="M41" s="1">
        <v>0.82</v>
      </c>
      <c r="N41" s="1">
        <v>0.86</v>
      </c>
      <c r="O41" s="1">
        <v>0.82</v>
      </c>
      <c r="P41" s="1">
        <v>0.84</v>
      </c>
      <c r="Q41" s="1">
        <v>0.83</v>
      </c>
      <c r="R41" s="1">
        <v>0.79</v>
      </c>
      <c r="S41" s="1">
        <v>0.88</v>
      </c>
      <c r="T41" s="1">
        <v>0.85</v>
      </c>
      <c r="U41" s="1">
        <v>0.82</v>
      </c>
      <c r="V41" s="1">
        <v>0.88</v>
      </c>
      <c r="W41" s="1">
        <f t="shared" si="2"/>
        <v>0.83119856842714235</v>
      </c>
      <c r="X41" s="6">
        <f t="shared" si="3"/>
        <v>23</v>
      </c>
    </row>
    <row r="42" spans="1:24" ht="25" customHeight="1">
      <c r="A42" t="s">
        <v>38</v>
      </c>
      <c r="B42">
        <v>2</v>
      </c>
      <c r="C42">
        <v>6</v>
      </c>
      <c r="D42">
        <v>1</v>
      </c>
      <c r="E42" t="s">
        <v>17</v>
      </c>
      <c r="F42" t="b">
        <v>0</v>
      </c>
      <c r="G42">
        <v>0</v>
      </c>
      <c r="H42" t="s">
        <v>23</v>
      </c>
      <c r="I42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plu-spl:F-mgv:6-sn:2k</v>
      </c>
      <c r="J42" s="1">
        <v>0.79</v>
      </c>
      <c r="K42" s="1">
        <v>0.81</v>
      </c>
      <c r="L42" s="1">
        <v>0.88</v>
      </c>
      <c r="M42" s="1">
        <v>0.84</v>
      </c>
      <c r="N42" s="1">
        <v>0.78</v>
      </c>
      <c r="O42" s="1">
        <v>0.78</v>
      </c>
      <c r="P42" s="1">
        <v>0.75</v>
      </c>
      <c r="Q42" s="1">
        <v>0.85</v>
      </c>
      <c r="R42" s="1">
        <v>0.82</v>
      </c>
      <c r="S42" s="1">
        <v>0.79</v>
      </c>
      <c r="T42" s="1">
        <v>0.82</v>
      </c>
      <c r="U42" s="1">
        <v>0.86</v>
      </c>
      <c r="V42" s="1">
        <v>0.88</v>
      </c>
      <c r="W42" s="1">
        <f t="shared" si="2"/>
        <v>0.8133448588644373</v>
      </c>
      <c r="X42" s="6">
        <f t="shared" si="3"/>
        <v>25</v>
      </c>
    </row>
    <row r="43" spans="1:24" ht="25" customHeight="1">
      <c r="A43" t="s">
        <v>38</v>
      </c>
      <c r="B43">
        <v>3</v>
      </c>
      <c r="C43">
        <v>6</v>
      </c>
      <c r="D43">
        <v>1</v>
      </c>
      <c r="E43" t="s">
        <v>17</v>
      </c>
      <c r="F43" t="b">
        <v>0</v>
      </c>
      <c r="G43">
        <v>1</v>
      </c>
      <c r="H43" t="s">
        <v>23</v>
      </c>
      <c r="I43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plu-spl:F-mgv:6-sn:3k</v>
      </c>
      <c r="J43" s="10">
        <v>0.85</v>
      </c>
      <c r="K43" s="10">
        <v>0.84</v>
      </c>
      <c r="L43" s="10">
        <v>0.81</v>
      </c>
      <c r="M43" s="10">
        <v>0.86</v>
      </c>
      <c r="N43" s="10">
        <v>0.85</v>
      </c>
      <c r="O43" s="10">
        <v>0.8</v>
      </c>
      <c r="P43" s="10">
        <v>0.79</v>
      </c>
      <c r="Q43" s="10">
        <v>0.83</v>
      </c>
      <c r="R43" s="10">
        <v>0.87</v>
      </c>
      <c r="S43" s="10">
        <v>0.84</v>
      </c>
      <c r="T43" s="10">
        <v>0.82</v>
      </c>
      <c r="U43" s="10">
        <v>0.87</v>
      </c>
      <c r="V43" s="10">
        <v>0.87</v>
      </c>
      <c r="W43" s="1">
        <f t="shared" si="2"/>
        <v>0.83544709228753378</v>
      </c>
      <c r="X43" s="6">
        <f t="shared" si="3"/>
        <v>21</v>
      </c>
    </row>
    <row r="44" spans="1:24" ht="25" customHeight="1">
      <c r="A44" t="s">
        <v>38</v>
      </c>
      <c r="B44">
        <v>1.2</v>
      </c>
      <c r="C44">
        <v>9</v>
      </c>
      <c r="D44">
        <v>1</v>
      </c>
      <c r="E44" t="s">
        <v>17</v>
      </c>
      <c r="F44" t="b">
        <v>0</v>
      </c>
      <c r="G44">
        <v>0</v>
      </c>
      <c r="H44" t="s">
        <v>23</v>
      </c>
      <c r="I44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plu-spl:F-mgv:9-sn:1.2k</v>
      </c>
      <c r="J44" s="10">
        <v>0.79</v>
      </c>
      <c r="K44" s="10">
        <v>0.81</v>
      </c>
      <c r="L44" s="10">
        <v>0.88</v>
      </c>
      <c r="M44" s="10">
        <v>0.84</v>
      </c>
      <c r="N44" s="10">
        <v>0.78</v>
      </c>
      <c r="O44" s="10">
        <v>0.78</v>
      </c>
      <c r="P44" s="10">
        <v>0.75</v>
      </c>
      <c r="Q44" s="10">
        <v>0.85</v>
      </c>
      <c r="R44" s="10">
        <v>0.82</v>
      </c>
      <c r="S44" s="10">
        <v>0.79</v>
      </c>
      <c r="T44" s="10">
        <v>0.82</v>
      </c>
      <c r="U44" s="10">
        <v>0.86</v>
      </c>
      <c r="V44" s="10">
        <v>0.88</v>
      </c>
      <c r="W44" s="1">
        <f t="shared" si="2"/>
        <v>0.8133448588644373</v>
      </c>
      <c r="X44" s="6">
        <f t="shared" si="3"/>
        <v>25</v>
      </c>
    </row>
    <row r="45" spans="1:24" ht="25" customHeight="1">
      <c r="A45" t="s">
        <v>38</v>
      </c>
      <c r="B45">
        <v>2</v>
      </c>
      <c r="C45">
        <v>9</v>
      </c>
      <c r="D45">
        <v>1</v>
      </c>
      <c r="E45" t="s">
        <v>17</v>
      </c>
      <c r="F45" t="b">
        <v>0</v>
      </c>
      <c r="G45">
        <v>0</v>
      </c>
      <c r="H45" t="s">
        <v>23</v>
      </c>
      <c r="I45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plu-spl:F-mgv:9-sn:2k</v>
      </c>
      <c r="J45" s="10">
        <v>0.86</v>
      </c>
      <c r="K45" s="10">
        <v>0.83</v>
      </c>
      <c r="L45" s="10">
        <v>0.81</v>
      </c>
      <c r="M45" s="10">
        <v>0.87</v>
      </c>
      <c r="N45" s="10">
        <v>0.85</v>
      </c>
      <c r="O45" s="10">
        <v>0.88</v>
      </c>
      <c r="P45" s="10">
        <v>0.84</v>
      </c>
      <c r="Q45" s="10">
        <v>0.79</v>
      </c>
      <c r="R45" s="10">
        <v>0.85</v>
      </c>
      <c r="S45" s="10">
        <v>0.81</v>
      </c>
      <c r="T45" s="10">
        <v>0.81</v>
      </c>
      <c r="U45" s="10">
        <v>0.83</v>
      </c>
      <c r="V45" s="10">
        <v>0.88</v>
      </c>
      <c r="W45" s="1">
        <f t="shared" si="2"/>
        <v>0.83541958788542181</v>
      </c>
      <c r="X45" s="6">
        <f t="shared" si="3"/>
        <v>22</v>
      </c>
    </row>
    <row r="46" spans="1:24" ht="25" customHeight="1">
      <c r="A46" t="s">
        <v>38</v>
      </c>
      <c r="B46">
        <v>3</v>
      </c>
      <c r="C46">
        <v>9</v>
      </c>
      <c r="D46">
        <v>1</v>
      </c>
      <c r="E46" t="s">
        <v>17</v>
      </c>
      <c r="F46" t="b">
        <v>0</v>
      </c>
      <c r="G46">
        <v>0</v>
      </c>
      <c r="H46" t="s">
        <v>23</v>
      </c>
      <c r="I46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plu-spl:F-mgv:9-sn:3k</v>
      </c>
      <c r="J46" s="1">
        <v>0.83</v>
      </c>
      <c r="K46" s="1">
        <v>0.87</v>
      </c>
      <c r="L46" s="1">
        <v>0.82</v>
      </c>
      <c r="M46" s="1">
        <v>0.83</v>
      </c>
      <c r="N46" s="1">
        <v>0.87</v>
      </c>
      <c r="O46" s="1">
        <v>0.86</v>
      </c>
      <c r="P46" s="1">
        <v>0.86</v>
      </c>
      <c r="Q46" s="1">
        <v>0.84</v>
      </c>
      <c r="R46" s="1">
        <v>0.79</v>
      </c>
      <c r="S46" s="1">
        <v>0.85</v>
      </c>
      <c r="T46" s="1">
        <v>0.88</v>
      </c>
      <c r="U46" s="1">
        <v>0.83</v>
      </c>
      <c r="V46" s="1">
        <v>0.88</v>
      </c>
      <c r="W46" s="1">
        <f t="shared" si="2"/>
        <v>0.84380279455735363</v>
      </c>
      <c r="X46" s="12">
        <f t="shared" si="3"/>
        <v>20</v>
      </c>
    </row>
    <row r="47" spans="1:24" ht="25" customHeight="1">
      <c r="A47" t="s">
        <v>38</v>
      </c>
      <c r="B47">
        <v>1.2</v>
      </c>
      <c r="C47">
        <v>3</v>
      </c>
      <c r="D47">
        <v>1</v>
      </c>
      <c r="E47" t="s">
        <v>17</v>
      </c>
      <c r="F47" t="b">
        <v>1</v>
      </c>
      <c r="G47">
        <v>0</v>
      </c>
      <c r="H47" t="s">
        <v>23</v>
      </c>
      <c r="I47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plu-spl:T-mgv:3-sn:1.2k</v>
      </c>
      <c r="J47" s="1">
        <v>0.85</v>
      </c>
      <c r="K47" s="1">
        <v>0.84</v>
      </c>
      <c r="L47" s="1">
        <v>0.84</v>
      </c>
      <c r="M47" s="1">
        <v>0.79</v>
      </c>
      <c r="N47" s="1">
        <v>0.81</v>
      </c>
      <c r="O47" s="1">
        <v>0.88</v>
      </c>
      <c r="P47" s="1">
        <v>0.87</v>
      </c>
      <c r="Q47" s="1">
        <v>0.85</v>
      </c>
      <c r="R47" s="1">
        <v>0.89</v>
      </c>
      <c r="S47" s="1">
        <v>0.88</v>
      </c>
      <c r="T47" s="1">
        <v>0.84</v>
      </c>
      <c r="U47" s="1">
        <v>0.8</v>
      </c>
      <c r="V47" s="1">
        <v>0.89</v>
      </c>
      <c r="W47" s="1">
        <f t="shared" si="2"/>
        <v>0.84442814663655807</v>
      </c>
      <c r="X47" s="12">
        <f t="shared" si="3"/>
        <v>19</v>
      </c>
    </row>
    <row r="48" spans="1:24" ht="25" customHeight="1">
      <c r="A48" t="s">
        <v>38</v>
      </c>
      <c r="B48">
        <v>2</v>
      </c>
      <c r="C48">
        <v>3</v>
      </c>
      <c r="D48">
        <v>1</v>
      </c>
      <c r="E48" t="s">
        <v>17</v>
      </c>
      <c r="F48" t="b">
        <v>1</v>
      </c>
      <c r="G48">
        <v>0</v>
      </c>
      <c r="H48" t="s">
        <v>23</v>
      </c>
      <c r="I48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plu-spl:T-mgv:3-sn:2k</v>
      </c>
      <c r="J48" s="10">
        <v>0.86</v>
      </c>
      <c r="K48" s="10">
        <v>0.93</v>
      </c>
      <c r="L48" s="10">
        <v>0.84</v>
      </c>
      <c r="M48" s="10">
        <v>0.82</v>
      </c>
      <c r="N48" s="10">
        <v>0.85</v>
      </c>
      <c r="O48" s="10">
        <v>0.84</v>
      </c>
      <c r="P48" s="10">
        <v>0.92</v>
      </c>
      <c r="Q48" s="10">
        <v>0.86</v>
      </c>
      <c r="R48" s="10">
        <v>0.87</v>
      </c>
      <c r="S48" s="10">
        <v>0.88</v>
      </c>
      <c r="T48" s="10">
        <v>0.87</v>
      </c>
      <c r="U48" s="10">
        <v>0.82</v>
      </c>
      <c r="V48" s="10">
        <v>0.93</v>
      </c>
      <c r="W48" s="10">
        <f t="shared" si="2"/>
        <v>0.86271266065683605</v>
      </c>
      <c r="X48" s="12">
        <f t="shared" si="3"/>
        <v>14</v>
      </c>
    </row>
    <row r="49" spans="1:24" ht="25" customHeight="1">
      <c r="A49" t="s">
        <v>38</v>
      </c>
      <c r="B49">
        <v>3</v>
      </c>
      <c r="C49">
        <v>3</v>
      </c>
      <c r="D49">
        <v>1</v>
      </c>
      <c r="E49" t="s">
        <v>17</v>
      </c>
      <c r="F49" t="b">
        <v>1</v>
      </c>
      <c r="G49">
        <v>0</v>
      </c>
      <c r="H49" t="s">
        <v>23</v>
      </c>
      <c r="I49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plu-spl:T-mgv:3-sn:3k</v>
      </c>
      <c r="J49" s="10">
        <v>0.92</v>
      </c>
      <c r="K49" s="10">
        <v>0.88</v>
      </c>
      <c r="L49" s="10">
        <v>0.91</v>
      </c>
      <c r="M49" s="10">
        <v>0.93</v>
      </c>
      <c r="N49" s="10">
        <v>0.88</v>
      </c>
      <c r="O49" s="10">
        <v>0.84</v>
      </c>
      <c r="P49" s="10">
        <v>0.94</v>
      </c>
      <c r="Q49" s="10">
        <v>0.86</v>
      </c>
      <c r="R49" s="10">
        <v>0.9</v>
      </c>
      <c r="S49" s="10">
        <v>0.88</v>
      </c>
      <c r="T49" s="10">
        <v>0.86</v>
      </c>
      <c r="U49" s="10">
        <v>0.85</v>
      </c>
      <c r="V49" s="10">
        <v>0.94</v>
      </c>
      <c r="W49" s="10">
        <f t="shared" si="2"/>
        <v>0.88695612775943811</v>
      </c>
      <c r="X49" s="12">
        <f t="shared" si="3"/>
        <v>10</v>
      </c>
    </row>
    <row r="50" spans="1:24" ht="25" customHeight="1">
      <c r="A50" t="s">
        <v>38</v>
      </c>
      <c r="B50">
        <v>1.2</v>
      </c>
      <c r="C50">
        <v>6</v>
      </c>
      <c r="D50">
        <v>1</v>
      </c>
      <c r="E50" t="s">
        <v>17</v>
      </c>
      <c r="F50" t="b">
        <v>1</v>
      </c>
      <c r="G50">
        <v>0</v>
      </c>
      <c r="H50" t="s">
        <v>23</v>
      </c>
      <c r="I50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plu-spl:T-mgv:6-sn:1.2k</v>
      </c>
      <c r="J50" s="10">
        <v>0.86</v>
      </c>
      <c r="K50" s="10">
        <v>0.93</v>
      </c>
      <c r="L50" s="10">
        <v>0.84</v>
      </c>
      <c r="M50" s="10">
        <v>0.82</v>
      </c>
      <c r="N50" s="10">
        <v>0.85</v>
      </c>
      <c r="O50" s="10">
        <v>0.84</v>
      </c>
      <c r="P50" s="10">
        <v>0.92</v>
      </c>
      <c r="Q50" s="10">
        <v>0.86</v>
      </c>
      <c r="R50" s="10">
        <v>0.87</v>
      </c>
      <c r="S50" s="10">
        <v>0.88</v>
      </c>
      <c r="T50" s="10">
        <v>0.87</v>
      </c>
      <c r="U50" s="10">
        <v>0.82</v>
      </c>
      <c r="V50" s="10">
        <v>0.93</v>
      </c>
      <c r="W50" s="10">
        <f t="shared" si="2"/>
        <v>0.86271266065683605</v>
      </c>
      <c r="X50" s="12">
        <f t="shared" si="3"/>
        <v>14</v>
      </c>
    </row>
    <row r="51" spans="1:24" ht="25" customHeight="1">
      <c r="A51" t="s">
        <v>38</v>
      </c>
      <c r="B51">
        <v>2</v>
      </c>
      <c r="C51">
        <v>6</v>
      </c>
      <c r="D51">
        <v>1</v>
      </c>
      <c r="E51" t="s">
        <v>17</v>
      </c>
      <c r="F51" t="b">
        <v>1</v>
      </c>
      <c r="G51">
        <v>0</v>
      </c>
      <c r="H51" t="s">
        <v>23</v>
      </c>
      <c r="I51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plu-spl:T-mgv:6-sn:2k</v>
      </c>
      <c r="J51" s="1">
        <v>0.83</v>
      </c>
      <c r="K51" s="1">
        <v>0.87</v>
      </c>
      <c r="L51" s="1">
        <v>0.89</v>
      </c>
      <c r="M51" s="1">
        <v>0.84</v>
      </c>
      <c r="N51" s="1">
        <v>0.79</v>
      </c>
      <c r="O51" s="1">
        <v>0.8</v>
      </c>
      <c r="P51" s="1">
        <v>0.85</v>
      </c>
      <c r="Q51" s="1">
        <v>0.88</v>
      </c>
      <c r="R51" s="1">
        <v>0.9</v>
      </c>
      <c r="S51" s="1">
        <v>0.86</v>
      </c>
      <c r="T51" s="1">
        <v>0.88</v>
      </c>
      <c r="U51" s="1">
        <v>0.87</v>
      </c>
      <c r="V51" s="1">
        <v>0.9</v>
      </c>
      <c r="W51" s="1">
        <f t="shared" si="2"/>
        <v>0.85434972362136408</v>
      </c>
      <c r="X51" s="12">
        <f t="shared" si="3"/>
        <v>16</v>
      </c>
    </row>
    <row r="52" spans="1:24" ht="25" customHeight="1">
      <c r="A52" t="s">
        <v>38</v>
      </c>
      <c r="B52">
        <v>3</v>
      </c>
      <c r="C52">
        <v>6</v>
      </c>
      <c r="D52">
        <v>1</v>
      </c>
      <c r="E52" t="s">
        <v>17</v>
      </c>
      <c r="F52" t="b">
        <v>1</v>
      </c>
      <c r="G52">
        <v>1</v>
      </c>
      <c r="H52" t="s">
        <v>23</v>
      </c>
      <c r="I52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plu-spl:T-mgv:6-sn:3k</v>
      </c>
      <c r="J52" s="1">
        <v>0.93</v>
      </c>
      <c r="K52" s="1">
        <v>0.89</v>
      </c>
      <c r="L52" s="1">
        <v>0.86</v>
      </c>
      <c r="M52" s="1">
        <v>0.89</v>
      </c>
      <c r="N52" s="1">
        <v>0.86</v>
      </c>
      <c r="O52" s="1">
        <v>0.81</v>
      </c>
      <c r="P52" s="1">
        <v>0.89</v>
      </c>
      <c r="Q52" s="1">
        <v>0.88</v>
      </c>
      <c r="R52" s="1">
        <v>0.91</v>
      </c>
      <c r="S52" s="1">
        <v>0.88</v>
      </c>
      <c r="T52" s="1">
        <v>0.84</v>
      </c>
      <c r="U52" s="1">
        <v>0.89</v>
      </c>
      <c r="V52" s="1">
        <v>0.93</v>
      </c>
      <c r="W52" s="1">
        <f t="shared" si="2"/>
        <v>0.87696900305881653</v>
      </c>
      <c r="X52" s="12">
        <f t="shared" si="3"/>
        <v>13</v>
      </c>
    </row>
    <row r="53" spans="1:24" ht="25" customHeight="1">
      <c r="A53" t="s">
        <v>38</v>
      </c>
      <c r="B53">
        <v>1.2</v>
      </c>
      <c r="C53">
        <v>9</v>
      </c>
      <c r="D53">
        <v>1</v>
      </c>
      <c r="E53" t="s">
        <v>17</v>
      </c>
      <c r="F53" t="b">
        <v>1</v>
      </c>
      <c r="G53">
        <v>0</v>
      </c>
      <c r="H53" t="s">
        <v>23</v>
      </c>
      <c r="I53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plu-spl:T-mgv:9-sn:1.2k</v>
      </c>
      <c r="J53" s="10">
        <v>0.83</v>
      </c>
      <c r="K53" s="10">
        <v>0.87</v>
      </c>
      <c r="L53" s="10">
        <v>0.89</v>
      </c>
      <c r="M53" s="10">
        <v>0.84</v>
      </c>
      <c r="N53" s="10">
        <v>0.79</v>
      </c>
      <c r="O53" s="10">
        <v>0.8</v>
      </c>
      <c r="P53" s="10">
        <v>0.85</v>
      </c>
      <c r="Q53" s="10">
        <v>0.88</v>
      </c>
      <c r="R53" s="10">
        <v>0.9</v>
      </c>
      <c r="S53" s="10">
        <v>0.86</v>
      </c>
      <c r="T53" s="10">
        <v>0.88</v>
      </c>
      <c r="U53" s="10">
        <v>0.87</v>
      </c>
      <c r="V53" s="10">
        <v>0.9</v>
      </c>
      <c r="W53" s="10">
        <f t="shared" si="2"/>
        <v>0.85434972362136408</v>
      </c>
      <c r="X53" s="12">
        <f t="shared" si="3"/>
        <v>16</v>
      </c>
    </row>
    <row r="54" spans="1:24" ht="25" customHeight="1">
      <c r="A54" t="s">
        <v>38</v>
      </c>
      <c r="B54">
        <v>2</v>
      </c>
      <c r="C54">
        <v>9</v>
      </c>
      <c r="D54">
        <v>1</v>
      </c>
      <c r="E54" t="s">
        <v>17</v>
      </c>
      <c r="F54" t="b">
        <v>1</v>
      </c>
      <c r="G54">
        <v>0</v>
      </c>
      <c r="H54" t="s">
        <v>23</v>
      </c>
      <c r="I54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plu-spl:T-mgv:9-sn:2k</v>
      </c>
      <c r="J54" s="10">
        <v>0.93</v>
      </c>
      <c r="K54" s="10">
        <v>0.88</v>
      </c>
      <c r="L54" s="10">
        <v>0.86</v>
      </c>
      <c r="M54" s="10">
        <v>0.85</v>
      </c>
      <c r="N54" s="10">
        <v>0.86</v>
      </c>
      <c r="O54" s="10">
        <v>0.91</v>
      </c>
      <c r="P54" s="10">
        <v>0.92</v>
      </c>
      <c r="Q54" s="10">
        <v>0.86</v>
      </c>
      <c r="R54" s="10">
        <v>0.91</v>
      </c>
      <c r="S54" s="10">
        <v>0.89</v>
      </c>
      <c r="T54" s="10">
        <v>0.85</v>
      </c>
      <c r="U54" s="10">
        <v>0.89</v>
      </c>
      <c r="V54" s="10">
        <v>0.93</v>
      </c>
      <c r="W54" s="10">
        <f t="shared" si="2"/>
        <v>0.88374937756911387</v>
      </c>
      <c r="X54" s="12">
        <f t="shared" si="3"/>
        <v>12</v>
      </c>
    </row>
    <row r="55" spans="1:24" ht="25" customHeight="1">
      <c r="A55" t="s">
        <v>38</v>
      </c>
      <c r="B55">
        <v>3</v>
      </c>
      <c r="C55">
        <v>9</v>
      </c>
      <c r="D55">
        <v>1</v>
      </c>
      <c r="E55" t="s">
        <v>17</v>
      </c>
      <c r="F55" t="b">
        <v>1</v>
      </c>
      <c r="G55">
        <v>0</v>
      </c>
      <c r="H55" t="s">
        <v>23</v>
      </c>
      <c r="I55" t="str">
        <f>_xlfn.LET(_xlpm.sk,_xlfn.SINGLE(Table7[skippiness]),_xlpm.sn,_xlfn.SINGLE(Table7[sample.n]),_xlpm.mgv,_xlfn.SINGLE(Table7[mgv]),_xlpm.attr,_xlfn.SINGLE(Table7[attribute]),_xlpm.spl,_xlfn.SINGLE(Table7[supplemented]),_xlfn.TEXTJOIN({"-spl:","-mgv:","-sn:",""},TRUE,LEFT(_xlpm.attr,3),LEFT(_xlpm.spl,1),_xlpm.mgv,_xlpm.sn,"k"))</f>
        <v>plu-spl:T-mgv:9-sn:3k</v>
      </c>
      <c r="J55" s="10">
        <v>0.93</v>
      </c>
      <c r="K55" s="10">
        <v>0.89</v>
      </c>
      <c r="L55" s="10">
        <v>0.88</v>
      </c>
      <c r="M55" s="10">
        <v>0.89</v>
      </c>
      <c r="N55" s="10">
        <v>0.87</v>
      </c>
      <c r="O55" s="10">
        <v>0.89</v>
      </c>
      <c r="P55" s="10">
        <v>0.91</v>
      </c>
      <c r="Q55" s="10">
        <v>0.88</v>
      </c>
      <c r="R55" s="10">
        <v>0.84</v>
      </c>
      <c r="S55" s="10">
        <v>0.89</v>
      </c>
      <c r="T55" s="10">
        <v>0.9</v>
      </c>
      <c r="U55" s="10">
        <v>0.87</v>
      </c>
      <c r="V55" s="10">
        <v>0.93</v>
      </c>
      <c r="W55" s="10">
        <f t="shared" si="2"/>
        <v>0.88640902197655058</v>
      </c>
      <c r="X55" s="12">
        <f t="shared" si="3"/>
        <v>11</v>
      </c>
    </row>
    <row r="56" spans="1:24" ht="25" customHeight="1"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6"/>
    </row>
    <row r="57" spans="1:24" ht="25" customHeight="1"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6"/>
    </row>
    <row r="58" spans="1:24" ht="25" customHeight="1">
      <c r="U58" t="s">
        <v>35</v>
      </c>
      <c r="V58" t="s">
        <v>36</v>
      </c>
      <c r="W58" t="s">
        <v>26</v>
      </c>
      <c r="X58" t="s">
        <v>40</v>
      </c>
    </row>
    <row r="59" spans="1:24" ht="25" customHeight="1">
      <c r="U59">
        <v>1.2</v>
      </c>
      <c r="V59">
        <v>3</v>
      </c>
      <c r="W59" t="b">
        <v>1</v>
      </c>
      <c r="X59" s="11" cm="1">
        <f t="array" ref="X59">_xlfn.LET(_xlpm.d,X$2:X$55,_xlpm.a,$B$2:$B$55=$U59,_xlpm.b,$C$2:$C$55=$V59,_xlpm.c,$F$2:$F$55=$W59,GEOMEAN(_xlfn._xlws.FILTER(_xlpm.d,_xlpm.a*_xlpm.b)))</f>
        <v>21.971481052003789</v>
      </c>
    </row>
    <row r="60" spans="1:24" ht="25" customHeight="1">
      <c r="U60">
        <v>1.2</v>
      </c>
      <c r="V60">
        <v>6</v>
      </c>
      <c r="W60" t="b">
        <v>1</v>
      </c>
      <c r="X60" s="11" cm="1">
        <f t="array" ref="X60">_xlfn.LET(_xlpm.d,X$2:X$55,_xlpm.a,$B$2:$B$55=$U60,_xlpm.b,$C$2:$C$55=$V60,_xlpm.c,$F$2:$F$55=$W60,GEOMEAN(_xlfn._xlws.FILTER(_xlpm.d,_xlpm.a*_xlpm.b)))</f>
        <v>23.870038249963635</v>
      </c>
    </row>
    <row r="61" spans="1:24" ht="25" customHeight="1">
      <c r="U61">
        <v>1.2</v>
      </c>
      <c r="V61">
        <v>9</v>
      </c>
      <c r="W61" t="b">
        <v>1</v>
      </c>
      <c r="X61" s="11" cm="1">
        <f t="array" ref="X61">_xlfn.LET(_xlpm.d,X$2:X$55,_xlpm.a,$B$2:$B$55=$U61,_xlpm.b,$C$2:$C$55=$V61,_xlpm.c,$F$2:$F$55=$W61,GEOMEAN(_xlfn._xlws.FILTER(_xlpm.d,_xlpm.a*_xlpm.b)))</f>
        <v>23.719335852122182</v>
      </c>
    </row>
    <row r="62" spans="1:24" ht="25" customHeight="1">
      <c r="U62">
        <v>2</v>
      </c>
      <c r="V62">
        <v>3</v>
      </c>
      <c r="W62" t="b">
        <v>1</v>
      </c>
      <c r="X62" s="11" cm="1">
        <f t="array" ref="X62">_xlfn.LET(_xlpm.d,X$2:X$55,_xlpm.a,$B$2:$B$55=$U62,_xlpm.b,$C$2:$C$55=$V62,_xlpm.c,$F$2:$F$55=$W62,GEOMEAN(_xlfn._xlws.FILTER(_xlpm.d,_xlpm.a*_xlpm.b)))</f>
        <v>23.870038249963635</v>
      </c>
    </row>
    <row r="63" spans="1:24" ht="25" customHeight="1">
      <c r="U63">
        <v>2</v>
      </c>
      <c r="V63">
        <v>6</v>
      </c>
      <c r="W63" t="b">
        <v>1</v>
      </c>
      <c r="X63" s="11" cm="1">
        <f t="array" ref="X63">_xlfn.LET(_xlpm.d,X$2:X$55,_xlpm.a,$B$2:$B$55=$U63,_xlpm.b,$C$2:$C$55=$V63,_xlpm.c,$F$2:$F$55=$W63,GEOMEAN(_xlfn._xlws.FILTER(_xlpm.d,_xlpm.a*_xlpm.b)))</f>
        <v>23.719335852122182</v>
      </c>
    </row>
    <row r="64" spans="1:24" ht="25" customHeight="1">
      <c r="U64">
        <v>2</v>
      </c>
      <c r="V64">
        <v>9</v>
      </c>
      <c r="W64" t="b">
        <v>1</v>
      </c>
      <c r="X64" s="11" cm="1">
        <f t="array" ref="X64">_xlfn.LET(_xlpm.d,X$2:X$55,_xlpm.a,$B$2:$B$55=$U64,_xlpm.b,$C$2:$C$55=$V64,_xlpm.c,$F$2:$F$55=$W64,GEOMEAN(_xlfn._xlws.FILTER(_xlpm.d,_xlpm.a*_xlpm.b)))</f>
        <v>17.971051874223264</v>
      </c>
    </row>
    <row r="65" spans="21:24" ht="25" customHeight="1">
      <c r="U65">
        <v>3</v>
      </c>
      <c r="V65">
        <v>3</v>
      </c>
      <c r="W65" t="b">
        <v>1</v>
      </c>
      <c r="X65" s="11" cm="1">
        <f t="array" ref="X65">_xlfn.LET(_xlpm.d,X$2:X$55,_xlpm.a,$B$2:$B$55=$U65,_xlpm.b,$C$2:$C$55=$V65,_xlpm.c,$F$2:$F$55=$W65,GEOMEAN(_xlfn._xlws.FILTER(_xlpm.d,_xlpm.a*_xlpm.b)))</f>
        <v>18.422110789129217</v>
      </c>
    </row>
    <row r="66" spans="21:24" ht="25" customHeight="1">
      <c r="U66">
        <v>3</v>
      </c>
      <c r="V66">
        <v>6</v>
      </c>
      <c r="W66" t="b">
        <v>1</v>
      </c>
      <c r="X66" s="11" cm="1">
        <f t="array" ref="X66">_xlfn.LET(_xlpm.d,X$2:X$55,_xlpm.a,$B$2:$B$55=$U66,_xlpm.b,$C$2:$C$55=$V66,_xlpm.c,$F$2:$F$55=$W66,GEOMEAN(_xlfn._xlws.FILTER(_xlpm.d,_xlpm.a*_xlpm.b)))</f>
        <v>20.286271971801806</v>
      </c>
    </row>
    <row r="67" spans="21:24" ht="25" customHeight="1">
      <c r="U67">
        <v>3</v>
      </c>
      <c r="V67">
        <v>9</v>
      </c>
      <c r="W67" t="b">
        <v>1</v>
      </c>
      <c r="X67" s="11" cm="1">
        <f t="array" ref="X67">_xlfn.LET(_xlpm.d,X$2:X$55,_xlpm.a,$B$2:$B$55=$U67,_xlpm.b,$C$2:$C$55=$V67,_xlpm.c,$F$2:$F$55=$W67,GEOMEAN(_xlfn._xlws.FILTER(_xlpm.d,_xlpm.a*_xlpm.b)))</f>
        <v>14.913412408015098</v>
      </c>
    </row>
    <row r="70" spans="21:24" ht="25" customHeight="1">
      <c r="U70" t="s">
        <v>35</v>
      </c>
      <c r="V70" t="s">
        <v>36</v>
      </c>
      <c r="W70" t="s">
        <v>1</v>
      </c>
      <c r="X70" t="s">
        <v>40</v>
      </c>
    </row>
    <row r="71" spans="21:24" ht="25" customHeight="1">
      <c r="U71">
        <v>1.2</v>
      </c>
      <c r="V71">
        <v>3</v>
      </c>
      <c r="W71" t="s">
        <v>33</v>
      </c>
      <c r="X71" s="11" cm="1">
        <f t="array" ref="X71">_xlfn.LET(_xlpm.d,X$2:X$55,_xlpm.a,$B$2:$B$55=$U71,_xlpm.b,$C$2:$C$55=$V71,_xlpm.c,$E$2:$E$55=$W71,GEOMEAN(_xlfn._xlws.FILTER(_xlpm.d,_xlpm.a*_xlpm.b)))</f>
        <v>21.971481052003789</v>
      </c>
    </row>
    <row r="72" spans="21:24" ht="25" customHeight="1">
      <c r="U72">
        <v>2</v>
      </c>
      <c r="V72">
        <v>3</v>
      </c>
      <c r="W72" t="s">
        <v>33</v>
      </c>
      <c r="X72" s="11" cm="1">
        <f t="array" ref="X72">_xlfn.LET(_xlpm.d,X$2:X$55,_xlpm.a,$B$2:$B$55=$U72,_xlpm.b,$C$2:$C$55=$V72,_xlpm.c,$E$2:$E$55=$W72,GEOMEAN(_xlfn._xlws.FILTER(_xlpm.d,_xlpm.a*_xlpm.b)))</f>
        <v>23.870038249963635</v>
      </c>
    </row>
    <row r="73" spans="21:24" ht="25" customHeight="1">
      <c r="U73">
        <v>3</v>
      </c>
      <c r="V73">
        <v>3</v>
      </c>
      <c r="W73" t="s">
        <v>33</v>
      </c>
      <c r="X73" s="11" cm="1">
        <f t="array" ref="X73">_xlfn.LET(_xlpm.d,X$2:X$55,_xlpm.a,$B$2:$B$55=$U73,_xlpm.b,$C$2:$C$55=$V73,_xlpm.c,$E$2:$E$55=$W73,GEOMEAN(_xlfn._xlws.FILTER(_xlpm.d,_xlpm.a*_xlpm.b)))</f>
        <v>18.422110789129217</v>
      </c>
    </row>
    <row r="74" spans="21:24" ht="25" customHeight="1">
      <c r="U74">
        <v>1.2</v>
      </c>
      <c r="V74">
        <v>6</v>
      </c>
      <c r="W74" t="s">
        <v>33</v>
      </c>
      <c r="X74" s="11" cm="1">
        <f t="array" ref="X74">_xlfn.LET(_xlpm.d,X$2:X$55,_xlpm.a,$B$2:$B$55=$U74,_xlpm.b,$C$2:$C$55=$V74,_xlpm.c,$E$2:$E$55=$W74,GEOMEAN(_xlfn._xlws.FILTER(_xlpm.d,_xlpm.a*_xlpm.b)))</f>
        <v>23.870038249963635</v>
      </c>
    </row>
    <row r="75" spans="21:24" ht="25" customHeight="1">
      <c r="U75">
        <v>2</v>
      </c>
      <c r="V75">
        <v>6</v>
      </c>
      <c r="W75" t="s">
        <v>33</v>
      </c>
      <c r="X75" s="11" cm="1">
        <f t="array" ref="X75">_xlfn.LET(_xlpm.d,X$2:X$55,_xlpm.a,$B$2:$B$55=$U75,_xlpm.b,$C$2:$C$55=$V75,_xlpm.c,$E$2:$E$55=$W75,GEOMEAN(_xlfn._xlws.FILTER(_xlpm.d,_xlpm.a*_xlpm.b)))</f>
        <v>23.719335852122182</v>
      </c>
    </row>
    <row r="76" spans="21:24" ht="25" customHeight="1">
      <c r="U76">
        <v>3</v>
      </c>
      <c r="V76">
        <v>6</v>
      </c>
      <c r="W76" t="s">
        <v>33</v>
      </c>
      <c r="X76" s="11" cm="1">
        <f t="array" ref="X76">_xlfn.LET(_xlpm.d,X$2:X$55,_xlpm.a,$B$2:$B$55=$U76,_xlpm.b,$C$2:$C$55=$V76,_xlpm.c,$E$2:$E$55=$W76,GEOMEAN(_xlfn._xlws.FILTER(_xlpm.d,_xlpm.a*_xlpm.b)))</f>
        <v>20.286271971801806</v>
      </c>
    </row>
    <row r="77" spans="21:24" ht="25" customHeight="1">
      <c r="U77">
        <v>1.2</v>
      </c>
      <c r="V77">
        <v>9</v>
      </c>
      <c r="W77" t="s">
        <v>33</v>
      </c>
      <c r="X77" s="11" cm="1">
        <f t="array" ref="X77">_xlfn.LET(_xlpm.d,X$2:X$55,_xlpm.a,$B$2:$B$55=$U77,_xlpm.b,$C$2:$C$55=$V77,_xlpm.c,$E$2:$E$55=$W77,GEOMEAN(_xlfn._xlws.FILTER(_xlpm.d,_xlpm.a*_xlpm.b)))</f>
        <v>23.719335852122182</v>
      </c>
    </row>
    <row r="78" spans="21:24" ht="25" customHeight="1">
      <c r="U78">
        <v>2</v>
      </c>
      <c r="V78">
        <v>9</v>
      </c>
      <c r="W78" t="s">
        <v>33</v>
      </c>
      <c r="X78" s="11" cm="1">
        <f t="array" ref="X78">_xlfn.LET(_xlpm.d,X$2:X$55,_xlpm.a,$B$2:$B$55=$U78,_xlpm.b,$C$2:$C$55=$V78,_xlpm.c,$E$2:$E$55=$W78,GEOMEAN(_xlfn._xlws.FILTER(_xlpm.d,_xlpm.a*_xlpm.b)))</f>
        <v>17.971051874223264</v>
      </c>
    </row>
    <row r="79" spans="21:24" ht="25" customHeight="1">
      <c r="U79">
        <v>3</v>
      </c>
      <c r="V79">
        <v>9</v>
      </c>
      <c r="W79" t="s">
        <v>33</v>
      </c>
      <c r="X79" s="11" cm="1">
        <f t="array" ref="X79">_xlfn.LET(_xlpm.d,X$2:X$55,_xlpm.a,$B$2:$B$55=$U79,_xlpm.b,$C$2:$C$55=$V79,_xlpm.c,$E$2:$E$55=$W79,GEOMEAN(_xlfn._xlws.FILTER(_xlpm.d,_xlpm.a*_xlpm.b)))</f>
        <v>14.913412408015098</v>
      </c>
    </row>
    <row r="82" spans="21:24" ht="25" customHeight="1">
      <c r="U82" t="s">
        <v>35</v>
      </c>
      <c r="V82" t="s">
        <v>36</v>
      </c>
      <c r="W82" t="s">
        <v>1</v>
      </c>
      <c r="X82" t="s">
        <v>40</v>
      </c>
    </row>
    <row r="83" spans="21:24" ht="25" customHeight="1">
      <c r="U83">
        <v>3</v>
      </c>
      <c r="V83">
        <v>9</v>
      </c>
      <c r="W83" t="s">
        <v>17</v>
      </c>
      <c r="X83" s="11" cm="1">
        <f t="array" ref="X83">_xlfn.LET(_xlpm.d,X$2:X$55,_xlpm.a,$B$2:$B$55=$U83,_xlpm.b,$C$2:$C$55=$V83,_xlpm.c,$E$2:$E$55=$W83,GEOMEAN(_xlfn._xlws.FILTER(_xlpm.d,_xlpm.a*_xlpm.b)))</f>
        <v>14.913412408015098</v>
      </c>
    </row>
    <row r="84" spans="21:24" ht="25" customHeight="1">
      <c r="U84">
        <v>2</v>
      </c>
      <c r="V84">
        <v>9</v>
      </c>
      <c r="W84" t="s">
        <v>17</v>
      </c>
      <c r="X84" s="11" cm="1">
        <f t="array" ref="X84">_xlfn.LET(_xlpm.d,X$2:X$55,_xlpm.a,$B$2:$B$55=$U84,_xlpm.b,$C$2:$C$55=$V84,_xlpm.c,$E$2:$E$55=$W84,GEOMEAN(_xlfn._xlws.FILTER(_xlpm.d,_xlpm.a*_xlpm.b)))</f>
        <v>17.971051874223264</v>
      </c>
    </row>
    <row r="85" spans="21:24" ht="25" customHeight="1">
      <c r="U85">
        <v>3</v>
      </c>
      <c r="V85">
        <v>3</v>
      </c>
      <c r="W85" t="s">
        <v>17</v>
      </c>
      <c r="X85" s="11" cm="1">
        <f t="array" ref="X85">_xlfn.LET(_xlpm.d,X$2:X$55,_xlpm.a,$B$2:$B$55=$U85,_xlpm.b,$C$2:$C$55=$V85,_xlpm.c,$E$2:$E$55=$W85,GEOMEAN(_xlfn._xlws.FILTER(_xlpm.d,_xlpm.a*_xlpm.b)))</f>
        <v>18.422110789129217</v>
      </c>
    </row>
    <row r="86" spans="21:24" ht="25" customHeight="1">
      <c r="U86">
        <v>3</v>
      </c>
      <c r="V86">
        <v>6</v>
      </c>
      <c r="W86" t="s">
        <v>17</v>
      </c>
      <c r="X86" s="11" cm="1">
        <f t="array" ref="X86">_xlfn.LET(_xlpm.d,X$2:X$55,_xlpm.a,$B$2:$B$55=$U86,_xlpm.b,$C$2:$C$55=$V86,_xlpm.c,$E$2:$E$55=$W86,GEOMEAN(_xlfn._xlws.FILTER(_xlpm.d,_xlpm.a*_xlpm.b)))</f>
        <v>20.286271971801806</v>
      </c>
    </row>
    <row r="87" spans="21:24" ht="25" customHeight="1">
      <c r="U87">
        <v>1.2</v>
      </c>
      <c r="V87">
        <v>3</v>
      </c>
      <c r="W87" t="s">
        <v>17</v>
      </c>
      <c r="X87" s="11" cm="1">
        <f t="array" ref="X87">_xlfn.LET(_xlpm.d,X$2:X$55,_xlpm.a,$B$2:$B$55=$U87,_xlpm.b,$C$2:$C$55=$V87,_xlpm.c,$E$2:$E$55=$W87,GEOMEAN(_xlfn._xlws.FILTER(_xlpm.d,_xlpm.a*_xlpm.b)))</f>
        <v>21.971481052003789</v>
      </c>
    </row>
    <row r="88" spans="21:24" ht="25" customHeight="1">
      <c r="U88">
        <v>2</v>
      </c>
      <c r="V88">
        <v>6</v>
      </c>
      <c r="W88" t="s">
        <v>17</v>
      </c>
      <c r="X88" s="11" cm="1">
        <f t="array" ref="X88">_xlfn.LET(_xlpm.d,X$2:X$55,_xlpm.a,$B$2:$B$55=$U88,_xlpm.b,$C$2:$C$55=$V88,_xlpm.c,$E$2:$E$55=$W88,GEOMEAN(_xlfn._xlws.FILTER(_xlpm.d,_xlpm.a*_xlpm.b)))</f>
        <v>23.719335852122182</v>
      </c>
    </row>
    <row r="89" spans="21:24" ht="25" customHeight="1">
      <c r="U89">
        <v>1.2</v>
      </c>
      <c r="V89">
        <v>9</v>
      </c>
      <c r="W89" t="s">
        <v>17</v>
      </c>
      <c r="X89" s="11" cm="1">
        <f t="array" ref="X89">_xlfn.LET(_xlpm.d,X$2:X$55,_xlpm.a,$B$2:$B$55=$U89,_xlpm.b,$C$2:$C$55=$V89,_xlpm.c,$E$2:$E$55=$W89,GEOMEAN(_xlfn._xlws.FILTER(_xlpm.d,_xlpm.a*_xlpm.b)))</f>
        <v>23.719335852122182</v>
      </c>
    </row>
    <row r="90" spans="21:24" ht="25" customHeight="1">
      <c r="U90">
        <v>2</v>
      </c>
      <c r="V90">
        <v>3</v>
      </c>
      <c r="W90" t="s">
        <v>17</v>
      </c>
      <c r="X90" s="11" cm="1">
        <f t="array" ref="X90">_xlfn.LET(_xlpm.d,X$2:X$55,_xlpm.a,$B$2:$B$55=$U90,_xlpm.b,$C$2:$C$55=$V90,_xlpm.c,$E$2:$E$55=$W90,GEOMEAN(_xlfn._xlws.FILTER(_xlpm.d,_xlpm.a*_xlpm.b)))</f>
        <v>23.870038249963635</v>
      </c>
    </row>
    <row r="91" spans="21:24" ht="25" customHeight="1">
      <c r="U91">
        <v>1.2</v>
      </c>
      <c r="V91">
        <v>6</v>
      </c>
      <c r="W91" t="s">
        <v>17</v>
      </c>
      <c r="X91" s="11" cm="1">
        <f t="array" ref="X91">_xlfn.LET(_xlpm.d,X$2:X$55,_xlpm.a,$B$2:$B$55=$U91,_xlpm.b,$C$2:$C$55=$V91,_xlpm.c,$E$2:$E$55=$W91,GEOMEAN(_xlfn._xlws.FILTER(_xlpm.d,_xlpm.a*_xlpm.b)))</f>
        <v>23.870038249963635</v>
      </c>
    </row>
    <row r="94" spans="21:24" ht="25" customHeight="1">
      <c r="U94" t="s">
        <v>35</v>
      </c>
      <c r="V94" t="s">
        <v>36</v>
      </c>
      <c r="W94" t="s">
        <v>1</v>
      </c>
      <c r="X94" t="s">
        <v>40</v>
      </c>
    </row>
    <row r="95" spans="21:24" ht="25" customHeight="1">
      <c r="U95">
        <v>3</v>
      </c>
      <c r="V95">
        <v>9</v>
      </c>
      <c r="W95" t="s">
        <v>22</v>
      </c>
      <c r="X95" s="11" cm="1">
        <f t="array" ref="X95">_xlfn.LET(_xlpm.d,X$2:X$55,_xlpm.a,$B$2:$B$55=$U95,_xlpm.b,$C$2:$C$55=$V95,_xlpm.c,$E$2:$E$55=$W95,GEOMEAN(_xlfn._xlws.FILTER(_xlpm.d,_xlpm.a*_xlpm.b)))</f>
        <v>14.913412408015098</v>
      </c>
    </row>
    <row r="96" spans="21:24" ht="25" customHeight="1">
      <c r="U96">
        <v>2</v>
      </c>
      <c r="V96">
        <v>9</v>
      </c>
      <c r="W96" t="s">
        <v>22</v>
      </c>
      <c r="X96" s="11" cm="1">
        <f t="array" ref="X96">_xlfn.LET(_xlpm.d,X$2:X$55,_xlpm.a,$B$2:$B$55=$U96,_xlpm.b,$C$2:$C$55=$V96,_xlpm.c,$E$2:$E$55=$W96,GEOMEAN(_xlfn._xlws.FILTER(_xlpm.d,_xlpm.a*_xlpm.b)))</f>
        <v>17.971051874223264</v>
      </c>
    </row>
    <row r="97" spans="21:24" ht="25" customHeight="1">
      <c r="U97">
        <v>3</v>
      </c>
      <c r="V97">
        <v>3</v>
      </c>
      <c r="W97" t="s">
        <v>22</v>
      </c>
      <c r="X97" s="11" cm="1">
        <f t="array" ref="X97">_xlfn.LET(_xlpm.d,X$2:X$55,_xlpm.a,$B$2:$B$55=$U97,_xlpm.b,$C$2:$C$55=$V97,_xlpm.c,$E$2:$E$55=$W97,GEOMEAN(_xlfn._xlws.FILTER(_xlpm.d,_xlpm.a*_xlpm.b)))</f>
        <v>18.422110789129217</v>
      </c>
    </row>
    <row r="98" spans="21:24" ht="25" customHeight="1">
      <c r="U98">
        <v>3</v>
      </c>
      <c r="V98">
        <v>6</v>
      </c>
      <c r="W98" t="s">
        <v>22</v>
      </c>
      <c r="X98" s="11" cm="1">
        <f t="array" ref="X98">_xlfn.LET(_xlpm.d,X$2:X$55,_xlpm.a,$B$2:$B$55=$U98,_xlpm.b,$C$2:$C$55=$V98,_xlpm.c,$E$2:$E$55=$W98,GEOMEAN(_xlfn._xlws.FILTER(_xlpm.d,_xlpm.a*_xlpm.b)))</f>
        <v>20.286271971801806</v>
      </c>
    </row>
    <row r="99" spans="21:24" ht="25" customHeight="1">
      <c r="U99">
        <v>1.2</v>
      </c>
      <c r="V99">
        <v>3</v>
      </c>
      <c r="W99" t="s">
        <v>22</v>
      </c>
      <c r="X99" s="11" cm="1">
        <f t="array" ref="X99">_xlfn.LET(_xlpm.d,X$2:X$55,_xlpm.a,$B$2:$B$55=$U99,_xlpm.b,$C$2:$C$55=$V99,_xlpm.c,$E$2:$E$55=$W99,GEOMEAN(_xlfn._xlws.FILTER(_xlpm.d,_xlpm.a*_xlpm.b)))</f>
        <v>21.971481052003789</v>
      </c>
    </row>
    <row r="100" spans="21:24" ht="25" customHeight="1">
      <c r="U100">
        <v>2</v>
      </c>
      <c r="V100">
        <v>6</v>
      </c>
      <c r="W100" t="s">
        <v>22</v>
      </c>
      <c r="X100" s="11" cm="1">
        <f t="array" ref="X100">_xlfn.LET(_xlpm.d,X$2:X$55,_xlpm.a,$B$2:$B$55=$U100,_xlpm.b,$C$2:$C$55=$V100,_xlpm.c,$E$2:$E$55=$W100,GEOMEAN(_xlfn._xlws.FILTER(_xlpm.d,_xlpm.a*_xlpm.b)))</f>
        <v>23.719335852122182</v>
      </c>
    </row>
    <row r="101" spans="21:24" ht="25" customHeight="1">
      <c r="U101">
        <v>1.2</v>
      </c>
      <c r="V101">
        <v>9</v>
      </c>
      <c r="W101" t="s">
        <v>22</v>
      </c>
      <c r="X101" s="11" cm="1">
        <f t="array" ref="X101">_xlfn.LET(_xlpm.d,X$2:X$55,_xlpm.a,$B$2:$B$55=$U101,_xlpm.b,$C$2:$C$55=$V101,_xlpm.c,$E$2:$E$55=$W101,GEOMEAN(_xlfn._xlws.FILTER(_xlpm.d,_xlpm.a*_xlpm.b)))</f>
        <v>23.719335852122182</v>
      </c>
    </row>
    <row r="102" spans="21:24" ht="25" customHeight="1">
      <c r="U102">
        <v>2</v>
      </c>
      <c r="V102">
        <v>3</v>
      </c>
      <c r="W102" t="s">
        <v>22</v>
      </c>
      <c r="X102" s="11" cm="1">
        <f t="array" ref="X102">_xlfn.LET(_xlpm.d,X$2:X$55,_xlpm.a,$B$2:$B$55=$U102,_xlpm.b,$C$2:$C$55=$V102,_xlpm.c,$E$2:$E$55=$W102,GEOMEAN(_xlfn._xlws.FILTER(_xlpm.d,_xlpm.a*_xlpm.b)))</f>
        <v>23.870038249963635</v>
      </c>
    </row>
    <row r="103" spans="21:24" ht="25" customHeight="1">
      <c r="U103">
        <v>1.2</v>
      </c>
      <c r="V103">
        <v>6</v>
      </c>
      <c r="W103" t="s">
        <v>22</v>
      </c>
      <c r="X103" s="11" cm="1">
        <f t="array" ref="X103">_xlfn.LET(_xlpm.d,X$2:X$55,_xlpm.a,$B$2:$B$55=$U103,_xlpm.b,$C$2:$C$55=$V103,_xlpm.c,$E$2:$E$55=$W103,GEOMEAN(_xlfn._xlws.FILTER(_xlpm.d,_xlpm.a*_xlpm.b)))</f>
        <v>23.870038249963635</v>
      </c>
    </row>
  </sheetData>
  <conditionalFormatting sqref="J2:W57">
    <cfRule type="colorScale" priority="7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X2:X57">
    <cfRule type="colorScale" priority="52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59:X67">
    <cfRule type="colorScale" priority="4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71:X79">
    <cfRule type="colorScale" priority="3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83:X91">
    <cfRule type="colorScale" priority="2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95:X103">
    <cfRule type="colorScale" priority="1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E489-BFD5-6847-AAD0-8D8CC1C6D5B9}">
  <sheetPr codeName="Sheet3"/>
  <dimension ref="A1:T45"/>
  <sheetViews>
    <sheetView topLeftCell="A12" workbookViewId="0">
      <pane xSplit="7700" ySplit="2600" topLeftCell="F18" activePane="bottomLeft"/>
      <selection activeCell="A12" sqref="A12"/>
      <selection pane="topRight" activeCell="F12" sqref="F12"/>
      <selection pane="bottomLeft" activeCell="B23" sqref="B23:T28"/>
      <selection pane="bottomRight" activeCell="L17" sqref="L17"/>
    </sheetView>
  </sheetViews>
  <sheetFormatPr baseColWidth="10" defaultRowHeight="27" customHeight="1"/>
  <cols>
    <col min="2" max="2" width="7.25" customWidth="1"/>
    <col min="4" max="4" width="8.875" customWidth="1"/>
    <col min="5" max="5" width="7.125" customWidth="1"/>
    <col min="6" max="6" width="9.625" customWidth="1"/>
    <col min="7" max="7" width="13.5" customWidth="1"/>
    <col min="8" max="25" width="7.5" customWidth="1"/>
  </cols>
  <sheetData>
    <row r="1" spans="1:20" ht="27" customHeight="1">
      <c r="A1" t="s">
        <v>0</v>
      </c>
      <c r="B1" t="s">
        <v>24</v>
      </c>
      <c r="C1" t="s">
        <v>1</v>
      </c>
      <c r="D1" t="s">
        <v>26</v>
      </c>
      <c r="E1" t="s">
        <v>25</v>
      </c>
      <c r="F1" t="s">
        <v>3</v>
      </c>
      <c r="G1" t="s">
        <v>37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7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8" t="str">
        <f>_xlfn.TEXTJOIN("-",TRUE,Table1[[#This Row],[attribute]],LEFT(Table1[[#This Row],[supplemented]],1),Table1[[#This Row],[method]])</f>
        <v>plurality-T-DT</v>
      </c>
      <c r="H2" s="1">
        <v>0.9</v>
      </c>
      <c r="I2" s="1">
        <v>0.87</v>
      </c>
      <c r="J2" s="1">
        <v>0.81</v>
      </c>
      <c r="K2" s="1">
        <v>0.87</v>
      </c>
      <c r="L2" s="1">
        <v>0.8</v>
      </c>
      <c r="M2" s="1">
        <v>0.88</v>
      </c>
      <c r="N2" s="1">
        <v>0.88</v>
      </c>
      <c r="O2" s="1">
        <v>0.87</v>
      </c>
      <c r="P2" s="1">
        <v>0.78</v>
      </c>
      <c r="Q2" s="1">
        <v>0.83</v>
      </c>
      <c r="R2" s="1">
        <v>0.85</v>
      </c>
      <c r="S2" s="1">
        <v>0.83</v>
      </c>
      <c r="T2" s="1">
        <f t="shared" ref="T2:T19" si="0">_xlfn.LET(_xlpm.d,$H2:$S2,MAX(_xlpm.d))</f>
        <v>0.9</v>
      </c>
    </row>
    <row r="3" spans="1:20" ht="27" customHeight="1">
      <c r="A3" t="s">
        <v>16</v>
      </c>
      <c r="B3">
        <v>1</v>
      </c>
      <c r="C3" t="s">
        <v>17</v>
      </c>
      <c r="D3" t="b">
        <v>1</v>
      </c>
      <c r="E3">
        <v>3</v>
      </c>
      <c r="F3" t="s">
        <v>18</v>
      </c>
      <c r="G3" t="str">
        <f>_xlfn.TEXTJOIN("-",TRUE,Table1[[#This Row],[attribute]],LEFT(Table1[[#This Row],[supplemented]],1),Table1[[#This Row],[method]])</f>
        <v>plurality-T-NN</v>
      </c>
      <c r="H3" s="1">
        <v>0.89</v>
      </c>
      <c r="I3" s="1">
        <v>0.89</v>
      </c>
      <c r="J3" s="1">
        <v>0.87</v>
      </c>
      <c r="K3" s="1">
        <v>0.84</v>
      </c>
      <c r="L3" s="1">
        <v>0.87</v>
      </c>
      <c r="M3" s="1">
        <v>0.87</v>
      </c>
      <c r="N3" s="1">
        <v>0.91</v>
      </c>
      <c r="O3" s="1">
        <v>0.86</v>
      </c>
      <c r="P3" s="1">
        <v>0.82</v>
      </c>
      <c r="Q3" s="1">
        <v>0.87</v>
      </c>
      <c r="R3" s="1">
        <v>0.86</v>
      </c>
      <c r="S3" s="1">
        <v>0.85</v>
      </c>
      <c r="T3" s="1">
        <f t="shared" si="0"/>
        <v>0.91</v>
      </c>
    </row>
    <row r="4" spans="1:20" ht="27" customHeight="1">
      <c r="A4" t="s">
        <v>16</v>
      </c>
      <c r="B4">
        <v>1</v>
      </c>
      <c r="C4" t="s">
        <v>17</v>
      </c>
      <c r="D4" t="b">
        <v>1</v>
      </c>
      <c r="E4">
        <v>2</v>
      </c>
      <c r="F4" t="s">
        <v>19</v>
      </c>
      <c r="G4" t="str">
        <f>_xlfn.TEXTJOIN("-",TRUE,Table1[[#This Row],[attribute]],LEFT(Table1[[#This Row],[supplemented]],1),Table1[[#This Row],[method]])</f>
        <v>plurality-T-RF</v>
      </c>
      <c r="H4" s="1">
        <v>0.93</v>
      </c>
      <c r="I4" s="1">
        <v>0.89</v>
      </c>
      <c r="J4" s="1">
        <v>0.88</v>
      </c>
      <c r="K4" s="1">
        <v>0.89</v>
      </c>
      <c r="L4" s="1">
        <v>0.85</v>
      </c>
      <c r="M4" s="1">
        <v>0.89</v>
      </c>
      <c r="N4" s="1">
        <v>0.9</v>
      </c>
      <c r="O4" s="1">
        <v>0.88</v>
      </c>
      <c r="P4" s="1">
        <v>0.84</v>
      </c>
      <c r="Q4" s="1">
        <v>0.89</v>
      </c>
      <c r="R4" s="1">
        <v>0.9</v>
      </c>
      <c r="S4" s="1">
        <v>0.87</v>
      </c>
      <c r="T4" s="1">
        <f t="shared" si="0"/>
        <v>0.93</v>
      </c>
    </row>
    <row r="5" spans="1:20" ht="27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t="str">
        <f>_xlfn.TEXTJOIN("-",TRUE,Table1[[#This Row],[attribute]],LEFT(Table1[[#This Row],[supplemented]],1),Table1[[#This Row],[method]])</f>
        <v>plurality-F-DT</v>
      </c>
      <c r="H5" s="1">
        <v>0.78</v>
      </c>
      <c r="I5" s="1">
        <v>0.85</v>
      </c>
      <c r="J5" s="1">
        <v>0.79</v>
      </c>
      <c r="K5" s="1">
        <v>0.81</v>
      </c>
      <c r="L5" s="1">
        <v>0.83</v>
      </c>
      <c r="M5" s="1">
        <v>0.86</v>
      </c>
      <c r="N5" s="1">
        <v>0.82</v>
      </c>
      <c r="O5" s="1">
        <v>0.81</v>
      </c>
      <c r="P5" s="1">
        <v>0.76</v>
      </c>
      <c r="Q5" s="1">
        <v>0.82</v>
      </c>
      <c r="R5" s="1">
        <v>0.82</v>
      </c>
      <c r="S5" s="1">
        <v>0.82</v>
      </c>
      <c r="T5" s="1">
        <f t="shared" si="0"/>
        <v>0.86</v>
      </c>
    </row>
    <row r="6" spans="1:20" ht="27" customHeight="1">
      <c r="A6" t="s">
        <v>16</v>
      </c>
      <c r="B6">
        <v>1</v>
      </c>
      <c r="C6" t="s">
        <v>17</v>
      </c>
      <c r="D6" t="b">
        <v>0</v>
      </c>
      <c r="E6">
        <v>3</v>
      </c>
      <c r="F6" t="s">
        <v>18</v>
      </c>
      <c r="G6" t="str">
        <f>_xlfn.TEXTJOIN("-",TRUE,Table1[[#This Row],[attribute]],LEFT(Table1[[#This Row],[supplemented]],1),Table1[[#This Row],[method]])</f>
        <v>plurality-F-NN</v>
      </c>
      <c r="H6" s="1">
        <v>0.82</v>
      </c>
      <c r="I6" s="1">
        <v>0.83</v>
      </c>
      <c r="J6" s="1">
        <v>0.8</v>
      </c>
      <c r="K6" s="1">
        <v>0.83</v>
      </c>
      <c r="L6" s="1">
        <v>0.87</v>
      </c>
      <c r="M6" s="1">
        <v>0.85</v>
      </c>
      <c r="N6" s="1">
        <v>0.79</v>
      </c>
      <c r="O6" s="1">
        <v>0.8</v>
      </c>
      <c r="P6" s="1">
        <v>0.78</v>
      </c>
      <c r="Q6" s="1">
        <v>0.85</v>
      </c>
      <c r="R6" s="1">
        <v>0.88</v>
      </c>
      <c r="S6" s="1">
        <v>0.83</v>
      </c>
      <c r="T6" s="1">
        <f t="shared" si="0"/>
        <v>0.88</v>
      </c>
    </row>
    <row r="7" spans="1:20" ht="27" customHeight="1">
      <c r="A7" t="s">
        <v>16</v>
      </c>
      <c r="B7">
        <v>1</v>
      </c>
      <c r="C7" t="s">
        <v>17</v>
      </c>
      <c r="D7" t="b">
        <v>0</v>
      </c>
      <c r="E7">
        <v>2</v>
      </c>
      <c r="F7" t="s">
        <v>19</v>
      </c>
      <c r="G7" t="str">
        <f>_xlfn.TEXTJOIN("-",TRUE,Table1[[#This Row],[attribute]],LEFT(Table1[[#This Row],[supplemented]],1),Table1[[#This Row],[method]])</f>
        <v>plurality-F-RF</v>
      </c>
      <c r="H7" s="1">
        <v>0.83</v>
      </c>
      <c r="I7" s="1">
        <v>0.87</v>
      </c>
      <c r="J7" s="1">
        <v>0.82</v>
      </c>
      <c r="K7" s="1">
        <v>0.83</v>
      </c>
      <c r="L7" s="1">
        <v>0.85</v>
      </c>
      <c r="M7" s="1">
        <v>0.86</v>
      </c>
      <c r="N7" s="1">
        <v>0.86</v>
      </c>
      <c r="O7" s="1">
        <v>0.84</v>
      </c>
      <c r="P7" s="1">
        <v>0.79</v>
      </c>
      <c r="Q7" s="1">
        <v>0.85</v>
      </c>
      <c r="R7" s="1">
        <v>0.87</v>
      </c>
      <c r="S7" s="1">
        <v>0.83</v>
      </c>
      <c r="T7" s="1">
        <f t="shared" si="0"/>
        <v>0.87</v>
      </c>
    </row>
    <row r="8" spans="1:20" ht="27" customHeight="1">
      <c r="A8" t="s">
        <v>16</v>
      </c>
      <c r="B8">
        <v>2</v>
      </c>
      <c r="C8" t="s">
        <v>33</v>
      </c>
      <c r="D8" t="b">
        <v>1</v>
      </c>
      <c r="E8">
        <v>1</v>
      </c>
      <c r="F8" t="s">
        <v>20</v>
      </c>
      <c r="G8" t="str">
        <f>_xlfn.TEXTJOIN("-",TRUE,Table1[[#This Row],[attribute]],LEFT(Table1[[#This Row],[supplemented]],1),Table1[[#This Row],[method]])</f>
        <v>gender2-T-DT</v>
      </c>
      <c r="H8" s="1">
        <v>0.89</v>
      </c>
      <c r="I8" s="1">
        <v>0.9</v>
      </c>
      <c r="J8" s="1">
        <v>0.76</v>
      </c>
      <c r="K8" s="1">
        <v>0.81</v>
      </c>
      <c r="L8" s="1">
        <v>0.83</v>
      </c>
      <c r="M8" s="1">
        <v>0.61</v>
      </c>
      <c r="N8" s="1">
        <v>0.92</v>
      </c>
      <c r="O8" s="1">
        <v>0.94</v>
      </c>
      <c r="P8" s="1">
        <v>0.94</v>
      </c>
      <c r="Q8" s="1">
        <v>0.71</v>
      </c>
      <c r="R8" s="1">
        <v>0.73</v>
      </c>
      <c r="S8" s="1">
        <v>0.54</v>
      </c>
      <c r="T8" s="1">
        <f t="shared" si="0"/>
        <v>0.94</v>
      </c>
    </row>
    <row r="9" spans="1:20" ht="27" customHeight="1">
      <c r="A9" t="s">
        <v>16</v>
      </c>
      <c r="B9">
        <v>2</v>
      </c>
      <c r="C9" t="s">
        <v>33</v>
      </c>
      <c r="D9" t="b">
        <v>1</v>
      </c>
      <c r="E9">
        <v>3</v>
      </c>
      <c r="F9" t="s">
        <v>18</v>
      </c>
      <c r="G9" t="str">
        <f>_xlfn.TEXTJOIN("-",TRUE,Table1[[#This Row],[attribute]],LEFT(Table1[[#This Row],[supplemented]],1),Table1[[#This Row],[method]])</f>
        <v>gender2-T-NN</v>
      </c>
      <c r="H9" s="1">
        <v>0.93</v>
      </c>
      <c r="I9" s="1">
        <v>0.94</v>
      </c>
      <c r="J9" s="1">
        <v>0.94</v>
      </c>
      <c r="K9" s="1">
        <v>0.91</v>
      </c>
      <c r="L9" s="1">
        <v>0.89</v>
      </c>
      <c r="M9" s="1">
        <v>0.9</v>
      </c>
      <c r="N9" s="1">
        <v>0.94</v>
      </c>
      <c r="O9" s="1">
        <v>0.96</v>
      </c>
      <c r="P9" s="1">
        <v>0.96</v>
      </c>
      <c r="Q9" s="1">
        <v>0.91</v>
      </c>
      <c r="R9" s="1">
        <v>0.88</v>
      </c>
      <c r="S9" s="1">
        <v>0.84</v>
      </c>
      <c r="T9" s="1">
        <f t="shared" si="0"/>
        <v>0.96</v>
      </c>
    </row>
    <row r="10" spans="1:20" ht="27" customHeight="1">
      <c r="A10" t="s">
        <v>16</v>
      </c>
      <c r="B10">
        <v>2</v>
      </c>
      <c r="C10" t="s">
        <v>33</v>
      </c>
      <c r="D10" t="b">
        <v>1</v>
      </c>
      <c r="E10">
        <v>2</v>
      </c>
      <c r="F10" t="s">
        <v>19</v>
      </c>
      <c r="G10" t="str">
        <f>_xlfn.TEXTJOIN("-",TRUE,Table1[[#This Row],[attribute]],LEFT(Table1[[#This Row],[supplemented]],1),Table1[[#This Row],[method]])</f>
        <v>gender2-T-RF</v>
      </c>
      <c r="H10" s="1">
        <v>0.93</v>
      </c>
      <c r="I10" s="1">
        <v>0.92</v>
      </c>
      <c r="J10" s="1">
        <v>0.92</v>
      </c>
      <c r="K10" s="1">
        <v>0.88</v>
      </c>
      <c r="L10" s="1">
        <v>0.86</v>
      </c>
      <c r="M10" s="1">
        <v>0.89</v>
      </c>
      <c r="N10" s="1">
        <v>0.92</v>
      </c>
      <c r="O10" s="1">
        <v>0.93</v>
      </c>
      <c r="P10" s="1">
        <v>0.91</v>
      </c>
      <c r="Q10" s="1">
        <v>0.89</v>
      </c>
      <c r="R10" s="1">
        <v>0.88</v>
      </c>
      <c r="S10" s="1">
        <v>0.84</v>
      </c>
      <c r="T10" s="1">
        <f t="shared" si="0"/>
        <v>0.93</v>
      </c>
    </row>
    <row r="11" spans="1:20" ht="27" customHeight="1">
      <c r="A11" t="s">
        <v>16</v>
      </c>
      <c r="B11">
        <v>2</v>
      </c>
      <c r="C11" t="s">
        <v>33</v>
      </c>
      <c r="D11" t="b">
        <v>0</v>
      </c>
      <c r="E11">
        <v>1</v>
      </c>
      <c r="F11" t="s">
        <v>20</v>
      </c>
      <c r="G11" t="str">
        <f>_xlfn.TEXTJOIN("-",TRUE,Table1[[#This Row],[attribute]],LEFT(Table1[[#This Row],[supplemented]],1),Table1[[#This Row],[method]])</f>
        <v>gender2-F-DT</v>
      </c>
      <c r="H11" s="1">
        <v>0.65</v>
      </c>
      <c r="I11" s="1">
        <v>0.61</v>
      </c>
      <c r="J11" s="1">
        <v>0.66</v>
      </c>
      <c r="K11" s="1">
        <v>0.59</v>
      </c>
      <c r="L11" s="1">
        <v>0.57999999999999996</v>
      </c>
      <c r="M11" s="1">
        <v>0.56999999999999995</v>
      </c>
      <c r="N11" s="1">
        <v>0.63</v>
      </c>
      <c r="O11" s="1">
        <v>0.67</v>
      </c>
      <c r="P11" s="1">
        <v>0.59</v>
      </c>
      <c r="Q11" s="1">
        <v>0.64</v>
      </c>
      <c r="R11" s="1">
        <v>0.63</v>
      </c>
      <c r="S11" s="1">
        <v>0.63</v>
      </c>
      <c r="T11" s="1">
        <f t="shared" si="0"/>
        <v>0.67</v>
      </c>
    </row>
    <row r="12" spans="1:20" ht="27" customHeight="1">
      <c r="A12" t="s">
        <v>16</v>
      </c>
      <c r="B12">
        <v>2</v>
      </c>
      <c r="C12" t="s">
        <v>33</v>
      </c>
      <c r="D12" t="b">
        <v>0</v>
      </c>
      <c r="E12">
        <v>3</v>
      </c>
      <c r="F12" t="s">
        <v>18</v>
      </c>
      <c r="G12" t="str">
        <f>_xlfn.TEXTJOIN("-",TRUE,Table1[[#This Row],[attribute]],LEFT(Table1[[#This Row],[supplemented]],1),Table1[[#This Row],[method]])</f>
        <v>gender2-F-NN</v>
      </c>
      <c r="H12" s="1">
        <v>0.77</v>
      </c>
      <c r="I12" s="1">
        <v>0.74</v>
      </c>
      <c r="J12" s="1">
        <v>0.71</v>
      </c>
      <c r="K12" s="1">
        <v>0.71</v>
      </c>
      <c r="L12" s="1">
        <v>0.77</v>
      </c>
      <c r="M12" s="1">
        <v>0.77</v>
      </c>
      <c r="N12" s="1">
        <v>0.73</v>
      </c>
      <c r="O12" s="1">
        <v>0.78</v>
      </c>
      <c r="P12" s="1">
        <v>0.75</v>
      </c>
      <c r="Q12" s="1">
        <v>0.75</v>
      </c>
      <c r="R12" s="1">
        <v>0.78</v>
      </c>
      <c r="S12" s="1">
        <v>0.75</v>
      </c>
      <c r="T12" s="1">
        <f t="shared" si="0"/>
        <v>0.78</v>
      </c>
    </row>
    <row r="13" spans="1:20" ht="27" customHeight="1">
      <c r="A13" t="s">
        <v>16</v>
      </c>
      <c r="B13">
        <v>2</v>
      </c>
      <c r="C13" t="s">
        <v>33</v>
      </c>
      <c r="D13" t="b">
        <v>0</v>
      </c>
      <c r="E13">
        <v>2</v>
      </c>
      <c r="F13" t="s">
        <v>19</v>
      </c>
      <c r="G13" t="str">
        <f>_xlfn.TEXTJOIN("-",TRUE,Table1[[#This Row],[attribute]],LEFT(Table1[[#This Row],[supplemented]],1),Table1[[#This Row],[method]])</f>
        <v>gender2-F-RF</v>
      </c>
      <c r="H13" s="1">
        <v>0.75</v>
      </c>
      <c r="I13" s="1">
        <v>0.75</v>
      </c>
      <c r="J13" s="1">
        <v>0.72</v>
      </c>
      <c r="K13" s="1">
        <v>0.69</v>
      </c>
      <c r="L13" s="1">
        <v>0.67</v>
      </c>
      <c r="M13" s="1">
        <v>0.67</v>
      </c>
      <c r="N13" s="1">
        <v>0.73</v>
      </c>
      <c r="O13" s="1">
        <v>0.73</v>
      </c>
      <c r="P13" s="1">
        <v>0.75</v>
      </c>
      <c r="Q13" s="1">
        <v>0.7</v>
      </c>
      <c r="R13" s="1">
        <v>0.69</v>
      </c>
      <c r="S13" s="1">
        <v>0.71</v>
      </c>
      <c r="T13" s="1">
        <f t="shared" si="0"/>
        <v>0.75</v>
      </c>
    </row>
    <row r="14" spans="1:20" ht="27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t="str">
        <f>_xlfn.TEXTJOIN("-",TRUE,Table1[[#This Row],[attribute]],LEFT(Table1[[#This Row],[supplemented]],1),Table1[[#This Row],[method]])</f>
        <v>case-T-DT</v>
      </c>
      <c r="H14" s="1">
        <v>0.47</v>
      </c>
      <c r="I14" s="1">
        <v>0.52</v>
      </c>
      <c r="J14" s="1">
        <v>0.44</v>
      </c>
      <c r="K14" s="1">
        <v>0.42</v>
      </c>
      <c r="L14" s="1">
        <v>0.42</v>
      </c>
      <c r="M14" s="1">
        <v>0.41</v>
      </c>
      <c r="N14" s="1">
        <v>0.59</v>
      </c>
      <c r="O14" s="1">
        <v>0.51</v>
      </c>
      <c r="P14" s="1">
        <v>0.49</v>
      </c>
      <c r="Q14" s="1">
        <v>0.43</v>
      </c>
      <c r="R14" s="1">
        <v>0.42</v>
      </c>
      <c r="S14" s="1">
        <v>0.4</v>
      </c>
      <c r="T14" s="1">
        <f t="shared" si="0"/>
        <v>0.59</v>
      </c>
    </row>
    <row r="15" spans="1:20" ht="27" customHeight="1">
      <c r="A15" t="s">
        <v>16</v>
      </c>
      <c r="B15">
        <v>3</v>
      </c>
      <c r="C15" t="s">
        <v>22</v>
      </c>
      <c r="D15" t="b">
        <v>1</v>
      </c>
      <c r="E15">
        <v>3</v>
      </c>
      <c r="F15" t="s">
        <v>18</v>
      </c>
      <c r="G15" t="str">
        <f>_xlfn.TEXTJOIN("-",TRUE,Table1[[#This Row],[attribute]],LEFT(Table1[[#This Row],[supplemented]],1),Table1[[#This Row],[method]])</f>
        <v>case-T-NN</v>
      </c>
      <c r="H15" s="1">
        <v>0.52</v>
      </c>
      <c r="I15" s="1">
        <v>0.54</v>
      </c>
      <c r="J15" s="1">
        <v>0.47</v>
      </c>
      <c r="K15" s="1">
        <v>0.42</v>
      </c>
      <c r="L15" s="1">
        <v>0.37</v>
      </c>
      <c r="M15" s="1">
        <v>0.4</v>
      </c>
      <c r="N15" s="1">
        <v>0.54</v>
      </c>
      <c r="O15" s="1">
        <v>0.46</v>
      </c>
      <c r="P15" s="1">
        <v>0.47</v>
      </c>
      <c r="Q15" s="1">
        <v>0.48</v>
      </c>
      <c r="R15" s="1">
        <v>0.43</v>
      </c>
      <c r="S15" s="1">
        <v>0.42</v>
      </c>
      <c r="T15" s="1">
        <f t="shared" si="0"/>
        <v>0.54</v>
      </c>
    </row>
    <row r="16" spans="1:20" ht="27" customHeight="1">
      <c r="A16" t="s">
        <v>16</v>
      </c>
      <c r="B16">
        <v>3</v>
      </c>
      <c r="C16" t="s">
        <v>22</v>
      </c>
      <c r="D16" t="b">
        <v>1</v>
      </c>
      <c r="E16">
        <v>2</v>
      </c>
      <c r="F16" t="s">
        <v>19</v>
      </c>
      <c r="G16" t="str">
        <f>_xlfn.TEXTJOIN("-",TRUE,Table1[[#This Row],[attribute]],LEFT(Table1[[#This Row],[supplemented]],1),Table1[[#This Row],[method]])</f>
        <v>case-T-RF</v>
      </c>
      <c r="H16" s="1">
        <v>0.5</v>
      </c>
      <c r="I16" s="1">
        <v>0.56000000000000005</v>
      </c>
      <c r="J16" s="1">
        <v>0.54</v>
      </c>
      <c r="K16" s="1">
        <v>0.56000000000000005</v>
      </c>
      <c r="L16" s="1">
        <v>0.52</v>
      </c>
      <c r="M16" s="1">
        <v>0.49</v>
      </c>
      <c r="N16" s="1">
        <v>0.61</v>
      </c>
      <c r="O16" s="1">
        <v>0.51</v>
      </c>
      <c r="P16" s="1">
        <v>0.56999999999999995</v>
      </c>
      <c r="Q16" s="1">
        <v>0.56000000000000005</v>
      </c>
      <c r="R16" s="1">
        <v>0.56000000000000005</v>
      </c>
      <c r="S16" s="1">
        <v>0.47</v>
      </c>
      <c r="T16" s="1">
        <f t="shared" si="0"/>
        <v>0.61</v>
      </c>
    </row>
    <row r="17" spans="1:20" ht="27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t="str">
        <f>_xlfn.TEXTJOIN("-",TRUE,Table1[[#This Row],[attribute]],LEFT(Table1[[#This Row],[supplemented]],1),Table1[[#This Row],[method]])</f>
        <v>case-F-DT</v>
      </c>
      <c r="H17" s="1">
        <v>0.39</v>
      </c>
      <c r="I17" s="1">
        <v>0.43</v>
      </c>
      <c r="J17" s="1">
        <v>0.41</v>
      </c>
      <c r="K17" s="1">
        <v>0.46</v>
      </c>
      <c r="L17" s="1">
        <v>0.37</v>
      </c>
      <c r="M17" s="1">
        <v>0.38</v>
      </c>
      <c r="N17" s="1">
        <v>0.44</v>
      </c>
      <c r="O17" s="1">
        <v>0.4</v>
      </c>
      <c r="P17" s="1">
        <v>0.43</v>
      </c>
      <c r="Q17" s="1">
        <v>0.33</v>
      </c>
      <c r="R17" s="1">
        <v>0.44</v>
      </c>
      <c r="S17" s="1">
        <v>0.38</v>
      </c>
      <c r="T17" s="1">
        <f t="shared" si="0"/>
        <v>0.46</v>
      </c>
    </row>
    <row r="18" spans="1:20" ht="27" customHeight="1">
      <c r="A18" t="s">
        <v>16</v>
      </c>
      <c r="B18">
        <v>3</v>
      </c>
      <c r="C18" t="s">
        <v>22</v>
      </c>
      <c r="D18" t="b">
        <v>0</v>
      </c>
      <c r="E18">
        <v>3</v>
      </c>
      <c r="F18" t="s">
        <v>18</v>
      </c>
      <c r="G18" t="str">
        <f>_xlfn.TEXTJOIN("-",TRUE,Table1[[#This Row],[attribute]],LEFT(Table1[[#This Row],[supplemented]],1),Table1[[#This Row],[method]])</f>
        <v>case-F-NN</v>
      </c>
      <c r="H18" s="1">
        <v>0.4</v>
      </c>
      <c r="I18" s="1">
        <v>0.46</v>
      </c>
      <c r="J18" s="1">
        <v>0.36</v>
      </c>
      <c r="K18" s="1">
        <v>0.4</v>
      </c>
      <c r="L18" s="1">
        <v>0.37</v>
      </c>
      <c r="M18" s="1">
        <v>0.37</v>
      </c>
      <c r="N18" s="1">
        <v>0.4</v>
      </c>
      <c r="O18" s="1">
        <v>0.4</v>
      </c>
      <c r="P18" s="1">
        <v>0.42</v>
      </c>
      <c r="Q18" s="1">
        <v>0.46</v>
      </c>
      <c r="R18" s="1">
        <v>0.45</v>
      </c>
      <c r="S18" s="1">
        <v>0.44</v>
      </c>
      <c r="T18" s="1">
        <f t="shared" si="0"/>
        <v>0.46</v>
      </c>
    </row>
    <row r="19" spans="1:20" ht="27" customHeight="1">
      <c r="A19" t="s">
        <v>16</v>
      </c>
      <c r="B19">
        <v>3</v>
      </c>
      <c r="C19" t="s">
        <v>22</v>
      </c>
      <c r="D19" t="b">
        <v>0</v>
      </c>
      <c r="E19">
        <v>2</v>
      </c>
      <c r="F19" t="s">
        <v>19</v>
      </c>
      <c r="G19" t="str">
        <f>_xlfn.TEXTJOIN("-",TRUE,Table1[[#This Row],[attribute]],LEFT(Table1[[#This Row],[supplemented]],1),Table1[[#This Row],[method]])</f>
        <v>case-F-RF</v>
      </c>
      <c r="H19" s="1">
        <v>0.42</v>
      </c>
      <c r="I19" s="1">
        <v>0.47</v>
      </c>
      <c r="J19" s="1">
        <v>0.42</v>
      </c>
      <c r="K19" s="1">
        <v>0.43</v>
      </c>
      <c r="L19" s="1">
        <v>0.43</v>
      </c>
      <c r="M19" s="1">
        <v>0.48</v>
      </c>
      <c r="N19" s="1">
        <v>0.48</v>
      </c>
      <c r="O19" s="1">
        <v>0.43</v>
      </c>
      <c r="P19" s="1">
        <v>0.46</v>
      </c>
      <c r="Q19" s="1">
        <v>0.45</v>
      </c>
      <c r="R19" s="1">
        <v>0.51</v>
      </c>
      <c r="S19" s="1">
        <v>0.45</v>
      </c>
      <c r="T19" s="1">
        <f t="shared" si="0"/>
        <v>0.51</v>
      </c>
    </row>
    <row r="22" spans="1:20" ht="27" customHeight="1">
      <c r="B22" t="s">
        <v>24</v>
      </c>
      <c r="C22" t="s">
        <v>1</v>
      </c>
      <c r="D22" t="s">
        <v>26</v>
      </c>
      <c r="E22" t="s">
        <v>25</v>
      </c>
      <c r="F22" t="s">
        <v>3</v>
      </c>
      <c r="G22" t="s">
        <v>37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7" customHeight="1">
      <c r="B23" s="6">
        <v>1</v>
      </c>
      <c r="C23" t="s">
        <v>17</v>
      </c>
      <c r="D23" t="b">
        <v>1</v>
      </c>
      <c r="E23">
        <v>0</v>
      </c>
      <c r="F23" t="s">
        <v>23</v>
      </c>
      <c r="G23" s="8" t="str">
        <f>_xlfn.TEXTJOIN("-",TRUE,Table2[[#This Row],[attribute]],LEFT(Table2[[#This Row],[supplemented]],1),Table2[[#This Row],[method]])</f>
        <v>plurality-T-max</v>
      </c>
      <c r="H23" s="1" cm="1">
        <f t="array" ref="H23">_xlfn.LET(_xlpm.d,H$2:H$19,_xlpm.a,$C$2:$C$19=$C23,_xlpm.b,$D$2:$D$19=$D23,MAX(_xlfn._xlws.FILTER(_xlpm.d,_xlpm.a*_xlpm.b)))</f>
        <v>0.93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0.88</v>
      </c>
      <c r="K23" s="1" cm="1">
        <f t="array" ref="K23">_xlfn.LET(_xlpm.d,K$2:K$19,_xlpm.a,$C$2:$C$19=$C23,_xlpm.b,$D$2:$D$19=$D23,MAX(_xlfn._xlws.FILTER(_xlpm.d,_xlpm.a*_xlpm.b)))</f>
        <v>0.89</v>
      </c>
      <c r="L23" s="1" cm="1">
        <f t="array" ref="L23">_xlfn.LET(_xlpm.d,L$2:L$19,_xlpm.a,$C$2:$C$19=$C23,_xlpm.b,$D$2:$D$19=$D23,MAX(_xlfn._xlws.FILTER(_xlpm.d,_xlpm.a*_xlpm.b)))</f>
        <v>0.87</v>
      </c>
      <c r="M23" s="1" cm="1">
        <f t="array" ref="M23">_xlfn.LET(_xlpm.d,M$2:M$19,_xlpm.a,$C$2:$C$19=$C23,_xlpm.b,$D$2:$D$19=$D23,MAX(_xlfn._xlws.FILTER(_xlpm.d,_xlpm.a*_xlpm.b)))</f>
        <v>0.89</v>
      </c>
      <c r="N23" s="1" cm="1">
        <f t="array" ref="N23">_xlfn.LET(_xlpm.d,N$2:N$19,_xlpm.a,$C$2:$C$19=$C23,_xlpm.b,$D$2:$D$19=$D23,MAX(_xlfn._xlws.FILTER(_xlpm.d,_xlpm.a*_xlpm.b)))</f>
        <v>0.91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0.89</v>
      </c>
      <c r="R23" s="1" cm="1">
        <f t="array" ref="R23">_xlfn.LET(_xlpm.d,R$2:R$19,_xlpm.a,$C$2:$C$19=$C23,_xlpm.b,$D$2:$D$19=$D23,MAX(_xlfn._xlws.FILTER(_xlpm.d,_xlpm.a*_xlpm.b)))</f>
        <v>0.9</v>
      </c>
      <c r="S23" s="1" cm="1">
        <f t="array" ref="S23">_xlfn.LET(_xlpm.d,S$2:S$19,_xlpm.a,$C$2:$C$19=$C23,_xlpm.b,$D$2:$D$19=$D23,MAX(_xlfn._xlws.FILTER(_xlpm.d,_xlpm.a*_xlpm.b)))</f>
        <v>0.87</v>
      </c>
      <c r="T23" s="1" cm="1">
        <f t="array" ref="T23">_xlfn.LET(_xlpm.d,T$2:T$19,_xlpm.a,$C$2:$C$19=$C23,_xlpm.b,$D$2:$D$19=$D23,MAX(_xlfn._xlws.FILTER(_xlpm.d,_xlpm.a*_xlpm.b)))</f>
        <v>0.93</v>
      </c>
    </row>
    <row r="24" spans="1:20" ht="27" customHeight="1">
      <c r="B24" s="6">
        <v>1</v>
      </c>
      <c r="C24" t="s">
        <v>17</v>
      </c>
      <c r="D24" t="b">
        <v>0</v>
      </c>
      <c r="E24">
        <v>0</v>
      </c>
      <c r="F24" t="s">
        <v>23</v>
      </c>
      <c r="G24" t="str">
        <f>_xlfn.TEXTJOIN("-",TRUE,Table2[[#This Row],[attribute]],LEFT(Table2[[#This Row],[supplemented]],1),Table2[[#This Row],[method]])</f>
        <v>plurality-F-max</v>
      </c>
      <c r="H24" s="1" cm="1">
        <f t="array" ref="H24">_xlfn.LET(_xlpm.d,H$2:H$19,_xlpm.a,$C$2:$C$19=$C24,_xlpm.b,$D$2:$D$19=$D24,MAX(_xlfn._xlws.FILTER(_xlpm.d,_xlpm.a*_xlpm.b)))</f>
        <v>0.83</v>
      </c>
      <c r="I24" s="1" cm="1">
        <f t="array" ref="I24">_xlfn.LET(_xlpm.d,I$2:I$19,_xlpm.a,$C$2:$C$19=$C24,_xlpm.b,$D$2:$D$19=$D24,MAX(_xlfn._xlws.FILTER(_xlpm.d,_xlpm.a*_xlpm.b)))</f>
        <v>0.87</v>
      </c>
      <c r="J24" s="1" cm="1">
        <f t="array" ref="J24">_xlfn.LET(_xlpm.d,J$2:J$19,_xlpm.a,$C$2:$C$19=$C24,_xlpm.b,$D$2:$D$19=$D24,MAX(_xlfn._xlws.FILTER(_xlpm.d,_xlpm.a*_xlpm.b)))</f>
        <v>0.82</v>
      </c>
      <c r="K24" s="1" cm="1">
        <f t="array" ref="K24">_xlfn.LET(_xlpm.d,K$2:K$19,_xlpm.a,$C$2:$C$19=$C24,_xlpm.b,$D$2:$D$19=$D24,MAX(_xlfn._xlws.FILTER(_xlpm.d,_xlpm.a*_xlpm.b)))</f>
        <v>0.83</v>
      </c>
      <c r="L24" s="1" cm="1">
        <f t="array" ref="L24">_xlfn.LET(_xlpm.d,L$2:L$19,_xlpm.a,$C$2:$C$19=$C24,_xlpm.b,$D$2:$D$19=$D24,MAX(_xlfn._xlws.FILTER(_xlpm.d,_xlpm.a*_xlpm.b)))</f>
        <v>0.87</v>
      </c>
      <c r="M24" s="1" cm="1">
        <f t="array" ref="M24">_xlfn.LET(_xlpm.d,M$2:M$19,_xlpm.a,$C$2:$C$19=$C24,_xlpm.b,$D$2:$D$19=$D24,MAX(_xlfn._xlws.FILTER(_xlpm.d,_xlpm.a*_xlpm.b)))</f>
        <v>0.86</v>
      </c>
      <c r="N24" s="1" cm="1">
        <f t="array" ref="N24">_xlfn.LET(_xlpm.d,N$2:N$19,_xlpm.a,$C$2:$C$19=$C24,_xlpm.b,$D$2:$D$19=$D24,MAX(_xlfn._xlws.FILTER(_xlpm.d,_xlpm.a*_xlpm.b)))</f>
        <v>0.86</v>
      </c>
      <c r="O24" s="1" cm="1">
        <f t="array" ref="O24">_xlfn.LET(_xlpm.d,O$2:O$19,_xlpm.a,$C$2:$C$19=$C24,_xlpm.b,$D$2:$D$19=$D24,MAX(_xlfn._xlws.FILTER(_xlpm.d,_xlpm.a*_xlpm.b)))</f>
        <v>0.84</v>
      </c>
      <c r="P24" s="1" cm="1">
        <f t="array" ref="P24">_xlfn.LET(_xlpm.d,P$2:P$19,_xlpm.a,$C$2:$C$19=$C24,_xlpm.b,$D$2:$D$19=$D24,MAX(_xlfn._xlws.FILTER(_xlpm.d,_xlpm.a*_xlpm.b)))</f>
        <v>0.79</v>
      </c>
      <c r="Q24" s="1" cm="1">
        <f t="array" ref="Q24">_xlfn.LET(_xlpm.d,Q$2:Q$19,_xlpm.a,$C$2:$C$19=$C24,_xlpm.b,$D$2:$D$19=$D24,MAX(_xlfn._xlws.FILTER(_xlpm.d,_xlpm.a*_xlpm.b)))</f>
        <v>0.85</v>
      </c>
      <c r="R24" s="1" cm="1">
        <f t="array" ref="R24">_xlfn.LET(_xlpm.d,R$2:R$19,_xlpm.a,$C$2:$C$19=$C24,_xlpm.b,$D$2:$D$19=$D24,MAX(_xlfn._xlws.FILTER(_xlpm.d,_xlpm.a*_xlpm.b)))</f>
        <v>0.88</v>
      </c>
      <c r="S24" s="1" cm="1">
        <f t="array" ref="S24">_xlfn.LET(_xlpm.d,S$2:S$19,_xlpm.a,$C$2:$C$19=$C24,_xlpm.b,$D$2:$D$19=$D24,MAX(_xlfn._xlws.FILTER(_xlpm.d,_xlpm.a*_xlpm.b)))</f>
        <v>0.83</v>
      </c>
      <c r="T24" s="1" cm="1">
        <f t="array" ref="T24">_xlfn.LET(_xlpm.d,T$2:T$19,_xlpm.a,$C$2:$C$19=$C24,_xlpm.b,$D$2:$D$19=$D24,MAX(_xlfn._xlws.FILTER(_xlpm.d,_xlpm.a*_xlpm.b)))</f>
        <v>0.88</v>
      </c>
    </row>
    <row r="25" spans="1:20" ht="27" customHeight="1">
      <c r="B25" s="6">
        <v>2</v>
      </c>
      <c r="C25" t="s">
        <v>33</v>
      </c>
      <c r="D25" t="b">
        <v>1</v>
      </c>
      <c r="E25">
        <v>0</v>
      </c>
      <c r="F25" t="s">
        <v>23</v>
      </c>
      <c r="G25" t="str">
        <f>_xlfn.TEXTJOIN("-",TRUE,Table2[[#This Row],[attribute]],LEFT(Table2[[#This Row],[supplemented]],1),Table2[[#This Row],[method]])</f>
        <v>gender2-T-max</v>
      </c>
      <c r="H25" s="1" cm="1">
        <f t="array" ref="H25">_xlfn.LET(_xlpm.d,H$2:H$19,_xlpm.a,$C$2:$C$19=$C25,_xlpm.b,$D$2:$D$19=$D25,MAX(_xlfn._xlws.FILTER(_xlpm.d,_xlpm.a*_xlpm.b)))</f>
        <v>0.93</v>
      </c>
      <c r="I25" s="1" cm="1">
        <f t="array" ref="I25">_xlfn.LET(_xlpm.d,I$2:I$19,_xlpm.a,$C$2:$C$19=$C25,_xlpm.b,$D$2:$D$19=$D25,MAX(_xlfn._xlws.FILTER(_xlpm.d,_xlpm.a*_xlpm.b)))</f>
        <v>0.94</v>
      </c>
      <c r="J25" s="1" cm="1">
        <f t="array" ref="J25">_xlfn.LET(_xlpm.d,J$2:J$19,_xlpm.a,$C$2:$C$19=$C25,_xlpm.b,$D$2:$D$19=$D25,MAX(_xlfn._xlws.FILTER(_xlpm.d,_xlpm.a*_xlpm.b)))</f>
        <v>0.94</v>
      </c>
      <c r="K25" s="1" cm="1">
        <f t="array" ref="K25">_xlfn.LET(_xlpm.d,K$2:K$19,_xlpm.a,$C$2:$C$19=$C25,_xlpm.b,$D$2:$D$19=$D25,MAX(_xlfn._xlws.FILTER(_xlpm.d,_xlpm.a*_xlpm.b)))</f>
        <v>0.91</v>
      </c>
      <c r="L25" s="1" cm="1">
        <f t="array" ref="L25">_xlfn.LET(_xlpm.d,L$2:L$19,_xlpm.a,$C$2:$C$19=$C25,_xlpm.b,$D$2:$D$19=$D25,MAX(_xlfn._xlws.FILTER(_xlpm.d,_xlpm.a*_xlpm.b)))</f>
        <v>0.89</v>
      </c>
      <c r="M25" s="1" cm="1">
        <f t="array" ref="M25">_xlfn.LET(_xlpm.d,M$2:M$19,_xlpm.a,$C$2:$C$19=$C25,_xlpm.b,$D$2:$D$19=$D25,MAX(_xlfn._xlws.FILTER(_xlpm.d,_xlpm.a*_xlpm.b)))</f>
        <v>0.9</v>
      </c>
      <c r="N25" s="1" cm="1">
        <f t="array" ref="N25">_xlfn.LET(_xlpm.d,N$2:N$19,_xlpm.a,$C$2:$C$19=$C25,_xlpm.b,$D$2:$D$19=$D25,MAX(_xlfn._xlws.FILTER(_xlpm.d,_xlpm.a*_xlpm.b)))</f>
        <v>0.94</v>
      </c>
      <c r="O25" s="1" cm="1">
        <f t="array" ref="O25">_xlfn.LET(_xlpm.d,O$2:O$19,_xlpm.a,$C$2:$C$19=$C25,_xlpm.b,$D$2:$D$19=$D25,MAX(_xlfn._xlws.FILTER(_xlpm.d,_xlpm.a*_xlpm.b)))</f>
        <v>0.96</v>
      </c>
      <c r="P25" s="1" cm="1">
        <f t="array" ref="P25">_xlfn.LET(_xlpm.d,P$2:P$19,_xlpm.a,$C$2:$C$19=$C25,_xlpm.b,$D$2:$D$19=$D25,MAX(_xlfn._xlws.FILTER(_xlpm.d,_xlpm.a*_xlpm.b)))</f>
        <v>0.96</v>
      </c>
      <c r="Q25" s="1" cm="1">
        <f t="array" ref="Q25">_xlfn.LET(_xlpm.d,Q$2:Q$19,_xlpm.a,$C$2:$C$19=$C25,_xlpm.b,$D$2:$D$19=$D25,MAX(_xlfn._xlws.FILTER(_xlpm.d,_xlpm.a*_xlpm.b)))</f>
        <v>0.91</v>
      </c>
      <c r="R25" s="1" cm="1">
        <f t="array" ref="R25">_xlfn.LET(_xlpm.d,R$2:R$19,_xlpm.a,$C$2:$C$19=$C25,_xlpm.b,$D$2:$D$19=$D25,MAX(_xlfn._xlws.FILTER(_xlpm.d,_xlpm.a*_xlpm.b)))</f>
        <v>0.88</v>
      </c>
      <c r="S25" s="1" cm="1">
        <f t="array" ref="S25">_xlfn.LET(_xlpm.d,S$2:S$19,_xlpm.a,$C$2:$C$19=$C25,_xlpm.b,$D$2:$D$19=$D25,MAX(_xlfn._xlws.FILTER(_xlpm.d,_xlpm.a*_xlpm.b)))</f>
        <v>0.84</v>
      </c>
      <c r="T25" s="1" cm="1">
        <f t="array" ref="T25">_xlfn.LET(_xlpm.d,T$2:T$19,_xlpm.a,$C$2:$C$19=$C25,_xlpm.b,$D$2:$D$19=$D25,MAX(_xlfn._xlws.FILTER(_xlpm.d,_xlpm.a*_xlpm.b)))</f>
        <v>0.96</v>
      </c>
    </row>
    <row r="26" spans="1:20" ht="27" customHeight="1">
      <c r="B26" s="6">
        <v>2</v>
      </c>
      <c r="C26" t="s">
        <v>33</v>
      </c>
      <c r="D26" t="b">
        <v>0</v>
      </c>
      <c r="E26">
        <v>0</v>
      </c>
      <c r="F26" t="s">
        <v>23</v>
      </c>
      <c r="G26" t="str">
        <f>_xlfn.TEXTJOIN("-",TRUE,Table2[[#This Row],[attribute]],LEFT(Table2[[#This Row],[supplemented]],1),Table2[[#This Row],[method]])</f>
        <v>gender2-F-max</v>
      </c>
      <c r="H26" s="1" cm="1">
        <f t="array" ref="H26">_xlfn.LET(_xlpm.d,H$2:H$19,_xlpm.a,$C$2:$C$19=$C26,_xlpm.b,$D$2:$D$19=$D26,MAX(_xlfn._xlws.FILTER(_xlpm.d,_xlpm.a*_xlpm.b)))</f>
        <v>0.77</v>
      </c>
      <c r="I26" s="1" cm="1">
        <f t="array" ref="I26">_xlfn.LET(_xlpm.d,I$2:I$19,_xlpm.a,$C$2:$C$19=$C26,_xlpm.b,$D$2:$D$19=$D26,MAX(_xlfn._xlws.FILTER(_xlpm.d,_xlpm.a*_xlpm.b)))</f>
        <v>0.75</v>
      </c>
      <c r="J26" s="1" cm="1">
        <f t="array" ref="J26">_xlfn.LET(_xlpm.d,J$2:J$19,_xlpm.a,$C$2:$C$19=$C26,_xlpm.b,$D$2:$D$19=$D26,MAX(_xlfn._xlws.FILTER(_xlpm.d,_xlpm.a*_xlpm.b)))</f>
        <v>0.72</v>
      </c>
      <c r="K26" s="1" cm="1">
        <f t="array" ref="K26">_xlfn.LET(_xlpm.d,K$2:K$19,_xlpm.a,$C$2:$C$19=$C26,_xlpm.b,$D$2:$D$19=$D26,MAX(_xlfn._xlws.FILTER(_xlpm.d,_xlpm.a*_xlpm.b)))</f>
        <v>0.71</v>
      </c>
      <c r="L26" s="1" cm="1">
        <f t="array" ref="L26">_xlfn.LET(_xlpm.d,L$2:L$19,_xlpm.a,$C$2:$C$19=$C26,_xlpm.b,$D$2:$D$19=$D26,MAX(_xlfn._xlws.FILTER(_xlpm.d,_xlpm.a*_xlpm.b)))</f>
        <v>0.77</v>
      </c>
      <c r="M26" s="1" cm="1">
        <f t="array" ref="M26">_xlfn.LET(_xlpm.d,M$2:M$19,_xlpm.a,$C$2:$C$19=$C26,_xlpm.b,$D$2:$D$19=$D26,MAX(_xlfn._xlws.FILTER(_xlpm.d,_xlpm.a*_xlpm.b)))</f>
        <v>0.77</v>
      </c>
      <c r="N26" s="1" cm="1">
        <f t="array" ref="N26">_xlfn.LET(_xlpm.d,N$2:N$19,_xlpm.a,$C$2:$C$19=$C26,_xlpm.b,$D$2:$D$19=$D26,MAX(_xlfn._xlws.FILTER(_xlpm.d,_xlpm.a*_xlpm.b)))</f>
        <v>0.73</v>
      </c>
      <c r="O26" s="1" cm="1">
        <f t="array" ref="O26">_xlfn.LET(_xlpm.d,O$2:O$19,_xlpm.a,$C$2:$C$19=$C26,_xlpm.b,$D$2:$D$19=$D26,MAX(_xlfn._xlws.FILTER(_xlpm.d,_xlpm.a*_xlpm.b)))</f>
        <v>0.78</v>
      </c>
      <c r="P26" s="1" cm="1">
        <f t="array" ref="P26">_xlfn.LET(_xlpm.d,P$2:P$19,_xlpm.a,$C$2:$C$19=$C26,_xlpm.b,$D$2:$D$19=$D26,MAX(_xlfn._xlws.FILTER(_xlpm.d,_xlpm.a*_xlpm.b)))</f>
        <v>0.75</v>
      </c>
      <c r="Q26" s="1" cm="1">
        <f t="array" ref="Q26">_xlfn.LET(_xlpm.d,Q$2:Q$19,_xlpm.a,$C$2:$C$19=$C26,_xlpm.b,$D$2:$D$19=$D26,MAX(_xlfn._xlws.FILTER(_xlpm.d,_xlpm.a*_xlpm.b)))</f>
        <v>0.75</v>
      </c>
      <c r="R26" s="1" cm="1">
        <f t="array" ref="R26">_xlfn.LET(_xlpm.d,R$2:R$19,_xlpm.a,$C$2:$C$19=$C26,_xlpm.b,$D$2:$D$19=$D26,MAX(_xlfn._xlws.FILTER(_xlpm.d,_xlpm.a*_xlpm.b)))</f>
        <v>0.78</v>
      </c>
      <c r="S26" s="1" cm="1">
        <f t="array" ref="S26">_xlfn.LET(_xlpm.d,S$2:S$19,_xlpm.a,$C$2:$C$19=$C26,_xlpm.b,$D$2:$D$19=$D26,MAX(_xlfn._xlws.FILTER(_xlpm.d,_xlpm.a*_xlpm.b)))</f>
        <v>0.75</v>
      </c>
      <c r="T26" s="1" cm="1">
        <f t="array" ref="T26">_xlfn.LET(_xlpm.d,T$2:T$19,_xlpm.a,$C$2:$C$19=$C26,_xlpm.b,$D$2:$D$19=$D26,MAX(_xlfn._xlws.FILTER(_xlpm.d,_xlpm.a*_xlpm.b)))</f>
        <v>0.78</v>
      </c>
    </row>
    <row r="27" spans="1:20" ht="27" customHeight="1">
      <c r="B27" s="6">
        <v>3</v>
      </c>
      <c r="C27" t="s">
        <v>22</v>
      </c>
      <c r="D27" t="b">
        <v>1</v>
      </c>
      <c r="E27">
        <v>0</v>
      </c>
      <c r="F27" t="s">
        <v>23</v>
      </c>
      <c r="G27" t="str">
        <f>_xlfn.TEXTJOIN("-",TRUE,Table2[[#This Row],[attribute]],LEFT(Table2[[#This Row],[supplemented]],1),Table2[[#This Row],[method]])</f>
        <v>case-T-max</v>
      </c>
      <c r="H27" s="1" cm="1">
        <f t="array" ref="H27">_xlfn.LET(_xlpm.d,H$2:H$19,_xlpm.a,$C$2:$C$19=$C27,_xlpm.b,$D$2:$D$19=$D27,MAX(_xlfn._xlws.FILTER(_xlpm.d,_xlpm.a*_xlpm.b)))</f>
        <v>0.52</v>
      </c>
      <c r="I27" s="1" cm="1">
        <f t="array" ref="I27">_xlfn.LET(_xlpm.d,I$2:I$19,_xlpm.a,$C$2:$C$19=$C27,_xlpm.b,$D$2:$D$19=$D27,MAX(_xlfn._xlws.FILTER(_xlpm.d,_xlpm.a*_xlpm.b)))</f>
        <v>0.56000000000000005</v>
      </c>
      <c r="J27" s="1" cm="1">
        <f t="array" ref="J27">_xlfn.LET(_xlpm.d,J$2:J$19,_xlpm.a,$C$2:$C$19=$C27,_xlpm.b,$D$2:$D$19=$D27,MAX(_xlfn._xlws.FILTER(_xlpm.d,_xlpm.a*_xlpm.b)))</f>
        <v>0.54</v>
      </c>
      <c r="K27" s="1" cm="1">
        <f t="array" ref="K27">_xlfn.LET(_xlpm.d,K$2:K$19,_xlpm.a,$C$2:$C$19=$C27,_xlpm.b,$D$2:$D$19=$D27,MAX(_xlfn._xlws.FILTER(_xlpm.d,_xlpm.a*_xlpm.b)))</f>
        <v>0.56000000000000005</v>
      </c>
      <c r="L27" s="1" cm="1">
        <f t="array" ref="L27">_xlfn.LET(_xlpm.d,L$2:L$19,_xlpm.a,$C$2:$C$19=$C27,_xlpm.b,$D$2:$D$19=$D27,MAX(_xlfn._xlws.FILTER(_xlpm.d,_xlpm.a*_xlpm.b)))</f>
        <v>0.52</v>
      </c>
      <c r="M27" s="1" cm="1">
        <f t="array" ref="M27">_xlfn.LET(_xlpm.d,M$2:M$19,_xlpm.a,$C$2:$C$19=$C27,_xlpm.b,$D$2:$D$19=$D27,MAX(_xlfn._xlws.FILTER(_xlpm.d,_xlpm.a*_xlpm.b)))</f>
        <v>0.49</v>
      </c>
      <c r="N27" s="1" cm="1">
        <f t="array" ref="N27">_xlfn.LET(_xlpm.d,N$2:N$19,_xlpm.a,$C$2:$C$19=$C27,_xlpm.b,$D$2:$D$19=$D27,MAX(_xlfn._xlws.FILTER(_xlpm.d,_xlpm.a*_xlpm.b)))</f>
        <v>0.61</v>
      </c>
      <c r="O27" s="1" cm="1">
        <f t="array" ref="O27">_xlfn.LET(_xlpm.d,O$2:O$19,_xlpm.a,$C$2:$C$19=$C27,_xlpm.b,$D$2:$D$19=$D27,MAX(_xlfn._xlws.FILTER(_xlpm.d,_xlpm.a*_xlpm.b)))</f>
        <v>0.51</v>
      </c>
      <c r="P27" s="1" cm="1">
        <f t="array" ref="P27">_xlfn.LET(_xlpm.d,P$2:P$19,_xlpm.a,$C$2:$C$19=$C27,_xlpm.b,$D$2:$D$19=$D27,MAX(_xlfn._xlws.FILTER(_xlpm.d,_xlpm.a*_xlpm.b)))</f>
        <v>0.56999999999999995</v>
      </c>
      <c r="Q27" s="1" cm="1">
        <f t="array" ref="Q27">_xlfn.LET(_xlpm.d,Q$2:Q$19,_xlpm.a,$C$2:$C$19=$C27,_xlpm.b,$D$2:$D$19=$D27,MAX(_xlfn._xlws.FILTER(_xlpm.d,_xlpm.a*_xlpm.b)))</f>
        <v>0.56000000000000005</v>
      </c>
      <c r="R27" s="1" cm="1">
        <f t="array" ref="R27">_xlfn.LET(_xlpm.d,R$2:R$19,_xlpm.a,$C$2:$C$19=$C27,_xlpm.b,$D$2:$D$19=$D27,MAX(_xlfn._xlws.FILTER(_xlpm.d,_xlpm.a*_xlpm.b)))</f>
        <v>0.56000000000000005</v>
      </c>
      <c r="S27" s="1" cm="1">
        <f t="array" ref="S27">_xlfn.LET(_xlpm.d,S$2:S$19,_xlpm.a,$C$2:$C$19=$C27,_xlpm.b,$D$2:$D$19=$D27,MAX(_xlfn._xlws.FILTER(_xlpm.d,_xlpm.a*_xlpm.b)))</f>
        <v>0.47</v>
      </c>
      <c r="T27" s="1" cm="1">
        <f t="array" ref="T27">_xlfn.LET(_xlpm.d,T$2:T$19,_xlpm.a,$C$2:$C$19=$C27,_xlpm.b,$D$2:$D$19=$D27,MAX(_xlfn._xlws.FILTER(_xlpm.d,_xlpm.a*_xlpm.b)))</f>
        <v>0.61</v>
      </c>
    </row>
    <row r="28" spans="1:20" ht="27" customHeight="1">
      <c r="B28" s="6">
        <v>3</v>
      </c>
      <c r="C28" t="s">
        <v>22</v>
      </c>
      <c r="D28" t="b">
        <v>0</v>
      </c>
      <c r="E28">
        <v>0</v>
      </c>
      <c r="F28" t="s">
        <v>23</v>
      </c>
      <c r="G28" t="str">
        <f>_xlfn.TEXTJOIN("-",TRUE,Table2[[#This Row],[attribute]],LEFT(Table2[[#This Row],[supplemented]],1),Table2[[#This Row],[method]])</f>
        <v>case-F-max</v>
      </c>
      <c r="H28" s="1" cm="1">
        <f t="array" ref="H28">_xlfn.LET(_xlpm.d,H$2:H$19,_xlpm.a,$C$2:$C$19=$C28,_xlpm.b,$D$2:$D$19=$D28,MAX(_xlfn._xlws.FILTER(_xlpm.d,_xlpm.a*_xlpm.b)))</f>
        <v>0.42</v>
      </c>
      <c r="I28" s="1" cm="1">
        <f t="array" ref="I28">_xlfn.LET(_xlpm.d,I$2:I$19,_xlpm.a,$C$2:$C$19=$C28,_xlpm.b,$D$2:$D$19=$D28,MAX(_xlfn._xlws.FILTER(_xlpm.d,_xlpm.a*_xlpm.b)))</f>
        <v>0.47</v>
      </c>
      <c r="J28" s="1" cm="1">
        <f t="array" ref="J28">_xlfn.LET(_xlpm.d,J$2:J$19,_xlpm.a,$C$2:$C$19=$C28,_xlpm.b,$D$2:$D$19=$D28,MAX(_xlfn._xlws.FILTER(_xlpm.d,_xlpm.a*_xlpm.b)))</f>
        <v>0.42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0.43</v>
      </c>
      <c r="M28" s="1" cm="1">
        <f t="array" ref="M28">_xlfn.LET(_xlpm.d,M$2:M$19,_xlpm.a,$C$2:$C$19=$C28,_xlpm.b,$D$2:$D$19=$D28,MAX(_xlfn._xlws.FILTER(_xlpm.d,_xlpm.a*_xlpm.b)))</f>
        <v>0.48</v>
      </c>
      <c r="N28" s="1" cm="1">
        <f t="array" ref="N28">_xlfn.LET(_xlpm.d,N$2:N$19,_xlpm.a,$C$2:$C$19=$C28,_xlpm.b,$D$2:$D$19=$D28,MAX(_xlfn._xlws.FILTER(_xlpm.d,_xlpm.a*_xlpm.b)))</f>
        <v>0.48</v>
      </c>
      <c r="O28" s="1" cm="1">
        <f t="array" ref="O28">_xlfn.LET(_xlpm.d,O$2:O$19,_xlpm.a,$C$2:$C$19=$C28,_xlpm.b,$D$2:$D$19=$D28,MAX(_xlfn._xlws.FILTER(_xlpm.d,_xlpm.a*_xlpm.b)))</f>
        <v>0.43</v>
      </c>
      <c r="P28" s="1" cm="1">
        <f t="array" ref="P28">_xlfn.LET(_xlpm.d,P$2:P$19,_xlpm.a,$C$2:$C$19=$C28,_xlpm.b,$D$2:$D$19=$D28,MAX(_xlfn._xlws.FILTER(_xlpm.d,_xlpm.a*_xlpm.b)))</f>
        <v>0.46</v>
      </c>
      <c r="Q28" s="1" cm="1">
        <f t="array" ref="Q28">_xlfn.LET(_xlpm.d,Q$2:Q$19,_xlpm.a,$C$2:$C$19=$C28,_xlpm.b,$D$2:$D$19=$D28,MAX(_xlfn._xlws.FILTER(_xlpm.d,_xlpm.a*_xlpm.b)))</f>
        <v>0.46</v>
      </c>
      <c r="R28" s="1" cm="1">
        <f t="array" ref="R28">_xlfn.LET(_xlpm.d,R$2:R$19,_xlpm.a,$C$2:$C$19=$C28,_xlpm.b,$D$2:$D$19=$D28,MAX(_xlfn._xlws.FILTER(_xlpm.d,_xlpm.a*_xlpm.b)))</f>
        <v>0.51</v>
      </c>
      <c r="S28" s="1" cm="1">
        <f t="array" ref="S28">_xlfn.LET(_xlpm.d,S$2:S$19,_xlpm.a,$C$2:$C$19=$C28,_xlpm.b,$D$2:$D$19=$D28,MAX(_xlfn._xlws.FILTER(_xlpm.d,_xlpm.a*_xlpm.b)))</f>
        <v>0.45</v>
      </c>
      <c r="T28" s="1" cm="1">
        <f t="array" ref="T28">_xlfn.LET(_xlpm.d,T$2:T$19,_xlpm.a,$C$2:$C$19=$C28,_xlpm.b,$D$2:$D$19=$D28,MAX(_xlfn._xlws.FILTER(_xlpm.d,_xlpm.a*_xlpm.b)))</f>
        <v>0.51</v>
      </c>
    </row>
    <row r="30" spans="1:20" ht="27" customHeight="1">
      <c r="E30" t="s">
        <v>23</v>
      </c>
      <c r="F30" t="s">
        <v>29</v>
      </c>
      <c r="H30" s="2" cm="1">
        <f t="array" ref="H30">_xlfn.LET(_xlpm.d,H$23:H$28,_xlpm.c,$E$23:$E$28=0,GEOMEAN(_xlfn._xlws.FILTER(_xlpm.d,_xlpm.c)))</f>
        <v>0.7030149459297208</v>
      </c>
      <c r="I30" s="2" cm="1">
        <f t="array" ref="I30">_xlfn.LET(_xlpm.d,I$23:I$28,_xlpm.c,$E$23:$E$28=0,GEOMEAN(_xlfn._xlws.FILTER(_xlpm.d,_xlpm.c)))</f>
        <v>0.72370911667157045</v>
      </c>
      <c r="J30" s="2" cm="1">
        <f t="array" ref="J30">_xlfn.LET(_xlpm.d,J$23:J$28,_xlpm.c,$E$23:$E$28=0,GEOMEAN(_xlfn._xlws.FILTER(_xlpm.d,_xlpm.c)))</f>
        <v>0.693000137525981</v>
      </c>
      <c r="K30" s="2" cm="1">
        <f t="array" ref="K30">_xlfn.LET(_xlpm.d,K$23:K$28,_xlpm.c,$E$23:$E$28=0,GEOMEAN(_xlfn._xlws.FILTER(_xlpm.d,_xlpm.c)))</f>
        <v>0.7051566671596512</v>
      </c>
      <c r="L30" s="2" cm="1">
        <f t="array" ref="L30">_xlfn.LET(_xlpm.d,L$23:L$28,_xlpm.c,$E$23:$E$28=0,GEOMEAN(_xlfn._xlws.FILTER(_xlpm.d,_xlpm.c)))</f>
        <v>0.69833719268380268</v>
      </c>
      <c r="M30" s="2" cm="1">
        <f t="array" ref="M30">_xlfn.LET(_xlpm.d,M$23:M$28,_xlpm.c,$E$23:$E$28=0,GEOMEAN(_xlfn._xlws.FILTER(_xlpm.d,_xlpm.c)))</f>
        <v>0.7068758887698211</v>
      </c>
      <c r="N30" s="2" cm="1">
        <f t="array" ref="N30">_xlfn.LET(_xlpm.d,N$23:N$28,_xlpm.c,$E$23:$E$28=0,GEOMEAN(_xlfn._xlws.FILTER(_xlpm.d,_xlpm.c)))</f>
        <v>0.73467219745480461</v>
      </c>
      <c r="O30" s="2" cm="1">
        <f t="array" ref="O30">_xlfn.LET(_xlpm.d,O$23:O$28,_xlpm.c,$E$23:$E$28=0,GEOMEAN(_xlfn._xlws.FILTER(_xlpm.d,_xlpm.c)))</f>
        <v>0.70365709484556072</v>
      </c>
      <c r="P30" s="2" cm="1">
        <f t="array" ref="P30">_xlfn.LET(_xlpm.d,P$23:P$28,_xlpm.c,$E$23:$E$28=0,GEOMEAN(_xlfn._xlws.FILTER(_xlpm.d,_xlpm.c)))</f>
        <v>0.70736775720397305</v>
      </c>
      <c r="Q30" s="2" cm="1">
        <f t="array" ref="Q30">_xlfn.LET(_xlpm.d,Q$23:Q$28,_xlpm.c,$E$23:$E$28=0,GEOMEAN(_xlfn._xlws.FILTER(_xlpm.d,_xlpm.c)))</f>
        <v>0.71445723931731187</v>
      </c>
      <c r="R30" s="2" cm="1">
        <f t="array" ref="R30">_xlfn.LET(_xlpm.d,R$23:R$28,_xlpm.c,$E$23:$E$28=0,GEOMEAN(_xlfn._xlws.FILTER(_xlpm.d,_xlpm.c)))</f>
        <v>0.73312288505394119</v>
      </c>
      <c r="S30" s="2" cm="1">
        <f t="array" ref="S30">_xlfn.LET(_xlpm.d,S$23:S$28,_xlpm.c,$E$23:$E$28=0,GEOMEAN(_xlfn._xlws.FILTER(_xlpm.d,_xlpm.c)))</f>
        <v>0.67692628444571012</v>
      </c>
      <c r="T30" s="2" cm="1">
        <f t="array" ref="T30">_xlfn.LET(_xlpm.d,T$23:T$28,_xlpm.c,$E$23:$E$28=0,GEOMEAN(_xlfn._xlws.FILTER(_xlpm.d,_xlpm.c)))</f>
        <v>0.75864496167329643</v>
      </c>
    </row>
    <row r="31" spans="1:20" ht="27" customHeight="1">
      <c r="E31" t="s">
        <v>23</v>
      </c>
      <c r="F31" t="s">
        <v>23</v>
      </c>
      <c r="H31" s="2" cm="1">
        <f t="array" ref="H31">_xlfn.LET(_xlpm.d,H$23:H$28,_xlpm.c,$E$23:$E$28=0,MAX(_xlfn._xlws.FILTER(_xlpm.d,_xlpm.c)))</f>
        <v>0.93</v>
      </c>
      <c r="I31" s="2" cm="1">
        <f t="array" ref="I31">_xlfn.LET(_xlpm.d,I$23:I$28,_xlpm.c,$E$23:$E$28=0,MAX(_xlfn._xlws.FILTER(_xlpm.d,_xlpm.c)))</f>
        <v>0.94</v>
      </c>
      <c r="J31" s="2" cm="1">
        <f t="array" ref="J31">_xlfn.LET(_xlpm.d,J$23:J$28,_xlpm.c,$E$23:$E$28=0,MAX(_xlfn._xlws.FILTER(_xlpm.d,_xlpm.c)))</f>
        <v>0.94</v>
      </c>
      <c r="K31" s="2" cm="1">
        <f t="array" ref="K31">_xlfn.LET(_xlpm.d,K$23:K$28,_xlpm.c,$E$23:$E$28=0,MAX(_xlfn._xlws.FILTER(_xlpm.d,_xlpm.c)))</f>
        <v>0.91</v>
      </c>
      <c r="L31" s="2" cm="1">
        <f t="array" ref="L31">_xlfn.LET(_xlpm.d,L$23:L$28,_xlpm.c,$E$23:$E$28=0,MAX(_xlfn._xlws.FILTER(_xlpm.d,_xlpm.c)))</f>
        <v>0.89</v>
      </c>
      <c r="M31" s="2" cm="1">
        <f t="array" ref="M31">_xlfn.LET(_xlpm.d,M$23:M$28,_xlpm.c,$E$23:$E$28=0,MAX(_xlfn._xlws.FILTER(_xlpm.d,_xlpm.c)))</f>
        <v>0.9</v>
      </c>
      <c r="N31" s="2" cm="1">
        <f t="array" ref="N31">_xlfn.LET(_xlpm.d,N$23:N$28,_xlpm.c,$E$23:$E$28=0,MAX(_xlfn._xlws.FILTER(_xlpm.d,_xlpm.c)))</f>
        <v>0.94</v>
      </c>
      <c r="O31" s="2" cm="1">
        <f t="array" ref="O31">_xlfn.LET(_xlpm.d,O$23:O$28,_xlpm.c,$E$23:$E$28=0,MAX(_xlfn._xlws.FILTER(_xlpm.d,_xlpm.c)))</f>
        <v>0.96</v>
      </c>
      <c r="P31" s="2" cm="1">
        <f t="array" ref="P31">_xlfn.LET(_xlpm.d,P$23:P$28,_xlpm.c,$E$23:$E$28=0,MAX(_xlfn._xlws.FILTER(_xlpm.d,_xlpm.c)))</f>
        <v>0.96</v>
      </c>
      <c r="Q31" s="2" cm="1">
        <f t="array" ref="Q31">_xlfn.LET(_xlpm.d,Q$23:Q$28,_xlpm.c,$E$23:$E$28=0,MAX(_xlfn._xlws.FILTER(_xlpm.d,_xlpm.c)))</f>
        <v>0.91</v>
      </c>
      <c r="R31" s="2" cm="1">
        <f t="array" ref="R31">_xlfn.LET(_xlpm.d,R$23:R$28,_xlpm.c,$E$23:$E$28=0,MAX(_xlfn._xlws.FILTER(_xlpm.d,_xlpm.c)))</f>
        <v>0.9</v>
      </c>
      <c r="S31" s="2" cm="1">
        <f t="array" ref="S31">_xlfn.LET(_xlpm.d,S$23:S$28,_xlpm.c,$E$23:$E$28=0,MAX(_xlfn._xlws.FILTER(_xlpm.d,_xlpm.c)))</f>
        <v>0.87</v>
      </c>
      <c r="T31" s="2" cm="1">
        <f t="array" ref="T31">_xlfn.LET(_xlpm.d,T$23:T$28,_xlpm.c,$E$23:$E$28=0,MAX(_xlfn._xlws.FILTER(_xlpm.d,_xlpm.c)))</f>
        <v>0.96</v>
      </c>
    </row>
    <row r="32" spans="1:20" ht="27" customHeight="1">
      <c r="E32" t="s">
        <v>23</v>
      </c>
      <c r="F32" t="s">
        <v>30</v>
      </c>
      <c r="H32" s="2" cm="1">
        <f t="array" ref="H32">_xlfn.LET(_xlpm.d,H$23:H$28,_xlpm.c,$E$23:$E$28=0,MIN(_xlfn._xlws.FILTER(_xlpm.d,_xlpm.c)))</f>
        <v>0.42</v>
      </c>
      <c r="I32" s="2" cm="1">
        <f t="array" ref="I32">_xlfn.LET(_xlpm.d,I$23:I$28,_xlpm.c,$E$23:$E$28=0,MIN(_xlfn._xlws.FILTER(_xlpm.d,_xlpm.c)))</f>
        <v>0.47</v>
      </c>
      <c r="J32" s="2" cm="1">
        <f t="array" ref="J32">_xlfn.LET(_xlpm.d,J$23:J$28,_xlpm.c,$E$23:$E$28=0,MIN(_xlfn._xlws.FILTER(_xlpm.d,_xlpm.c)))</f>
        <v>0.42</v>
      </c>
      <c r="K32" s="2" cm="1">
        <f t="array" ref="K32">_xlfn.LET(_xlpm.d,K$23:K$28,_xlpm.c,$E$23:$E$28=0,MIN(_xlfn._xlws.FILTER(_xlpm.d,_xlpm.c)))</f>
        <v>0.46</v>
      </c>
      <c r="L32" s="2" cm="1">
        <f t="array" ref="L32">_xlfn.LET(_xlpm.d,L$23:L$28,_xlpm.c,$E$23:$E$28=0,MIN(_xlfn._xlws.FILTER(_xlpm.d,_xlpm.c)))</f>
        <v>0.43</v>
      </c>
      <c r="M32" s="2" cm="1">
        <f t="array" ref="M32">_xlfn.LET(_xlpm.d,M$23:M$28,_xlpm.c,$E$23:$E$28=0,MIN(_xlfn._xlws.FILTER(_xlpm.d,_xlpm.c)))</f>
        <v>0.48</v>
      </c>
      <c r="N32" s="2" cm="1">
        <f t="array" ref="N32">_xlfn.LET(_xlpm.d,N$23:N$28,_xlpm.c,$E$23:$E$28=0,MIN(_xlfn._xlws.FILTER(_xlpm.d,_xlpm.c)))</f>
        <v>0.48</v>
      </c>
      <c r="O32" s="2" cm="1">
        <f t="array" ref="O32">_xlfn.LET(_xlpm.d,O$23:O$28,_xlpm.c,$E$23:$E$28=0,MIN(_xlfn._xlws.FILTER(_xlpm.d,_xlpm.c)))</f>
        <v>0.43</v>
      </c>
      <c r="P32" s="2" cm="1">
        <f t="array" ref="P32">_xlfn.LET(_xlpm.d,P$23:P$28,_xlpm.c,$E$23:$E$28=0,MIN(_xlfn._xlws.FILTER(_xlpm.d,_xlpm.c)))</f>
        <v>0.46</v>
      </c>
      <c r="Q32" s="2" cm="1">
        <f t="array" ref="Q32">_xlfn.LET(_xlpm.d,Q$23:Q$28,_xlpm.c,$E$23:$E$28=0,MIN(_xlfn._xlws.FILTER(_xlpm.d,_xlpm.c)))</f>
        <v>0.46</v>
      </c>
      <c r="R32" s="2" cm="1">
        <f t="array" ref="R32">_xlfn.LET(_xlpm.d,R$23:R$28,_xlpm.c,$E$23:$E$28=0,MIN(_xlfn._xlws.FILTER(_xlpm.d,_xlpm.c)))</f>
        <v>0.51</v>
      </c>
      <c r="S32" s="2" cm="1">
        <f t="array" ref="S32">_xlfn.LET(_xlpm.d,S$23:S$28,_xlpm.c,$E$23:$E$28=0,MIN(_xlfn._xlws.FILTER(_xlpm.d,_xlpm.c)))</f>
        <v>0.45</v>
      </c>
      <c r="T32" s="2" cm="1">
        <f t="array" ref="T32">_xlfn.LET(_xlpm.d,T$23:T$28,_xlpm.c,$E$23:$E$28=0,MIN(_xlfn._xlws.FILTER(_xlpm.d,_xlpm.c)))</f>
        <v>0.51</v>
      </c>
    </row>
    <row r="33" spans="2:20" ht="27" customHeight="1">
      <c r="E33" t="s">
        <v>23</v>
      </c>
      <c r="F33" t="s">
        <v>31</v>
      </c>
      <c r="H33" s="2" cm="1">
        <f t="array" ref="H33">_xlfn.LET(_xlpm.d,H$23:H$28,_xlpm.c,$E$23:$E$28=0,STDEV(_xlfn._xlws.FILTER(_xlpm.d,_xlpm.c)))</f>
        <v>0.21528275979898326</v>
      </c>
      <c r="I33" s="2" cm="1">
        <f t="array" ref="I33">_xlfn.LET(_xlpm.d,I$23:I$28,_xlpm.c,$E$23:$E$28=0,STDEV(_xlfn._xlws.FILTER(_xlpm.d,_xlpm.c)))</f>
        <v>0.19211107897949764</v>
      </c>
      <c r="J33" s="2" cm="1">
        <f t="array" ref="J33">_xlfn.LET(_xlpm.d,J$23:J$28,_xlpm.c,$E$23:$E$28=0,STDEV(_xlfn._xlws.FILTER(_xlpm.d,_xlpm.c)))</f>
        <v>0.20317480158720511</v>
      </c>
      <c r="K33" s="2" cm="1">
        <f t="array" ref="K33">_xlfn.LET(_xlpm.d,K$23:K$28,_xlpm.c,$E$23:$E$28=0,STDEV(_xlfn._xlws.FILTER(_xlpm.d,_xlpm.c)))</f>
        <v>0.18446318512555984</v>
      </c>
      <c r="L33" s="2" cm="1">
        <f t="array" ref="L33">_xlfn.LET(_xlpm.d,L$23:L$28,_xlpm.c,$E$23:$E$28=0,STDEV(_xlfn._xlws.FILTER(_xlpm.d,_xlpm.c)))</f>
        <v>0.20017492350441957</v>
      </c>
      <c r="M33" s="2" cm="1">
        <f t="array" ref="M33">_xlfn.LET(_xlpm.d,M$23:M$28,_xlpm.c,$E$23:$E$28=0,STDEV(_xlfn._xlws.FILTER(_xlpm.d,_xlpm.c)))</f>
        <v>0.19651123801621737</v>
      </c>
      <c r="N33" s="2" cm="1">
        <f t="array" ref="N33">_xlfn.LET(_xlpm.d,N$23:N$28,_xlpm.c,$E$23:$E$28=0,STDEV(_xlfn._xlws.FILTER(_xlpm.d,_xlpm.c)))</f>
        <v>0.18251027368342879</v>
      </c>
      <c r="O33" s="2" cm="1">
        <f t="array" ref="O33">_xlfn.LET(_xlpm.d,O$23:O$28,_xlpm.c,$E$23:$E$28=0,STDEV(_xlfn._xlws.FILTER(_xlpm.d,_xlpm.c)))</f>
        <v>0.21369760566432836</v>
      </c>
      <c r="P33" s="2" cm="1">
        <f t="array" ref="P33">_xlfn.LET(_xlpm.d,P$23:P$28,_xlpm.c,$E$23:$E$28=0,STDEV(_xlfn._xlws.FILTER(_xlpm.d,_xlpm.c)))</f>
        <v>0.18302094597795782</v>
      </c>
      <c r="Q33" s="2" cm="1">
        <f t="array" ref="Q33">_xlfn.LET(_xlpm.d,Q$23:Q$28,_xlpm.c,$E$23:$E$28=0,STDEV(_xlfn._xlws.FILTER(_xlpm.d,_xlpm.c)))</f>
        <v>0.18672618098881197</v>
      </c>
      <c r="R33" s="2" cm="1">
        <f t="array" ref="R33">_xlfn.LET(_xlpm.d,R$23:R$28,_xlpm.c,$E$23:$E$28=0,STDEV(_xlfn._xlws.FILTER(_xlpm.d,_xlpm.c)))</f>
        <v>0.17371432487468252</v>
      </c>
      <c r="S33" s="2" cm="1">
        <f t="array" ref="S33">_xlfn.LET(_xlpm.d,S$23:S$28,_xlpm.c,$E$23:$E$28=0,STDEV(_xlfn._xlws.FILTER(_xlpm.d,_xlpm.c)))</f>
        <v>0.19145930812229175</v>
      </c>
      <c r="T33" s="2" cm="1">
        <f t="array" ref="T33">_xlfn.LET(_xlpm.d,T$23:T$28,_xlpm.c,$E$23:$E$28=0,STDEV(_xlfn._xlws.FILTER(_xlpm.d,_xlpm.c)))</f>
        <v>0.18258331431614125</v>
      </c>
    </row>
    <row r="36" spans="2:20" ht="27" customHeight="1">
      <c r="B36" t="s">
        <v>24</v>
      </c>
      <c r="C36" t="s">
        <v>1</v>
      </c>
      <c r="D36" t="s">
        <v>26</v>
      </c>
      <c r="E36" t="s">
        <v>25</v>
      </c>
      <c r="F36" t="s">
        <v>3</v>
      </c>
      <c r="G36" t="s">
        <v>37</v>
      </c>
      <c r="H36" t="s">
        <v>4</v>
      </c>
      <c r="I36" t="s">
        <v>5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t="s">
        <v>15</v>
      </c>
    </row>
    <row r="37" spans="2:20" ht="27" customHeight="1">
      <c r="B37" s="7">
        <v>1</v>
      </c>
      <c r="C37" t="s">
        <v>17</v>
      </c>
      <c r="D37" t="b">
        <v>1</v>
      </c>
      <c r="E37">
        <v>1</v>
      </c>
      <c r="F37" t="s">
        <v>28</v>
      </c>
      <c r="G37" s="8" t="str">
        <f>_xlfn.TEXTJOIN("-",TRUE,Table4[[#This Row],[attribute]],LEFT(Table4[[#This Row],[supplemented]],1),Table4[[#This Row],[method]])</f>
        <v>plurality-T-max.rank</v>
      </c>
      <c r="H37" s="3">
        <f t="shared" ref="H37:J42" si="1">_xlfn.LET(_xlpm.d,$H23:$S23,RANK(H23,_xlpm.d))</f>
        <v>1</v>
      </c>
      <c r="I37" s="3">
        <f t="shared" si="1"/>
        <v>4</v>
      </c>
      <c r="J37" s="3">
        <f t="shared" si="1"/>
        <v>8</v>
      </c>
      <c r="K37" s="3">
        <f t="shared" ref="K37:P42" si="2">_xlfn.LET(_xlpm.d,$H23:$S23,RANK(K23,_xlpm.d))</f>
        <v>4</v>
      </c>
      <c r="L37" s="3">
        <f t="shared" si="2"/>
        <v>10</v>
      </c>
      <c r="M37" s="3">
        <f t="shared" si="2"/>
        <v>4</v>
      </c>
      <c r="N37" s="3">
        <f t="shared" si="2"/>
        <v>2</v>
      </c>
      <c r="O37" s="3">
        <f t="shared" si="2"/>
        <v>8</v>
      </c>
      <c r="P37" s="3">
        <f t="shared" si="2"/>
        <v>12</v>
      </c>
      <c r="Q37" s="3">
        <f t="shared" ref="Q37:S42" si="3">_xlfn.LET(_xlpm.d,$H23:$S23,RANK(Q23,_xlpm.d))</f>
        <v>4</v>
      </c>
      <c r="R37" s="3">
        <f t="shared" si="3"/>
        <v>3</v>
      </c>
      <c r="S37" s="3">
        <f t="shared" si="3"/>
        <v>10</v>
      </c>
    </row>
    <row r="38" spans="2:20" ht="27" customHeight="1">
      <c r="B38" s="3">
        <v>1</v>
      </c>
      <c r="C38" t="s">
        <v>17</v>
      </c>
      <c r="D38" t="b">
        <v>0</v>
      </c>
      <c r="E38">
        <v>1</v>
      </c>
      <c r="F38" t="s">
        <v>28</v>
      </c>
      <c r="G38" t="str">
        <f>_xlfn.TEXTJOIN("-",TRUE,Table4[[#This Row],[attribute]],LEFT(Table4[[#This Row],[supplemented]],1),Table4[[#This Row],[method]])</f>
        <v>plurality-F-max.rank</v>
      </c>
      <c r="H38" s="3">
        <f t="shared" si="1"/>
        <v>8</v>
      </c>
      <c r="I38" s="3">
        <f t="shared" si="1"/>
        <v>2</v>
      </c>
      <c r="J38" s="3">
        <f t="shared" si="1"/>
        <v>11</v>
      </c>
      <c r="K38" s="3">
        <f t="shared" si="2"/>
        <v>8</v>
      </c>
      <c r="L38" s="3">
        <f t="shared" si="2"/>
        <v>2</v>
      </c>
      <c r="M38" s="3">
        <f t="shared" si="2"/>
        <v>4</v>
      </c>
      <c r="N38" s="3">
        <f t="shared" si="2"/>
        <v>4</v>
      </c>
      <c r="O38" s="3">
        <f t="shared" si="2"/>
        <v>7</v>
      </c>
      <c r="P38" s="3">
        <f t="shared" si="2"/>
        <v>12</v>
      </c>
      <c r="Q38" s="3">
        <f t="shared" si="3"/>
        <v>6</v>
      </c>
      <c r="R38" s="3">
        <f t="shared" si="3"/>
        <v>1</v>
      </c>
      <c r="S38" s="3">
        <f t="shared" si="3"/>
        <v>8</v>
      </c>
    </row>
    <row r="39" spans="2:20" ht="27" customHeight="1">
      <c r="B39" s="3">
        <v>2</v>
      </c>
      <c r="C39" t="s">
        <v>21</v>
      </c>
      <c r="D39" t="b">
        <v>1</v>
      </c>
      <c r="E39">
        <v>1</v>
      </c>
      <c r="F39" t="s">
        <v>28</v>
      </c>
      <c r="G39" t="str">
        <f>_xlfn.TEXTJOIN("-",TRUE,Table4[[#This Row],[attribute]],LEFT(Table4[[#This Row],[supplemented]],1),Table4[[#This Row],[method]])</f>
        <v>gender-T-max.rank</v>
      </c>
      <c r="H39" s="3">
        <f t="shared" si="1"/>
        <v>6</v>
      </c>
      <c r="I39" s="3">
        <f t="shared" si="1"/>
        <v>3</v>
      </c>
      <c r="J39" s="3">
        <f t="shared" si="1"/>
        <v>3</v>
      </c>
      <c r="K39" s="3">
        <f t="shared" si="2"/>
        <v>7</v>
      </c>
      <c r="L39" s="3">
        <f t="shared" si="2"/>
        <v>10</v>
      </c>
      <c r="M39" s="3">
        <f t="shared" si="2"/>
        <v>9</v>
      </c>
      <c r="N39" s="3">
        <f t="shared" si="2"/>
        <v>3</v>
      </c>
      <c r="O39" s="3">
        <f t="shared" si="2"/>
        <v>1</v>
      </c>
      <c r="P39" s="3">
        <f t="shared" si="2"/>
        <v>1</v>
      </c>
      <c r="Q39" s="3">
        <f t="shared" si="3"/>
        <v>7</v>
      </c>
      <c r="R39" s="3">
        <f t="shared" si="3"/>
        <v>11</v>
      </c>
      <c r="S39" s="3">
        <f t="shared" si="3"/>
        <v>12</v>
      </c>
    </row>
    <row r="40" spans="2:20" ht="27" customHeight="1">
      <c r="B40" s="3">
        <v>2</v>
      </c>
      <c r="C40" t="s">
        <v>21</v>
      </c>
      <c r="D40" t="b">
        <v>0</v>
      </c>
      <c r="E40">
        <v>1</v>
      </c>
      <c r="F40" t="s">
        <v>28</v>
      </c>
      <c r="G40" t="str">
        <f>_xlfn.TEXTJOIN("-",TRUE,Table4[[#This Row],[attribute]],LEFT(Table4[[#This Row],[supplemented]],1),Table4[[#This Row],[method]])</f>
        <v>gender-F-max.rank</v>
      </c>
      <c r="H40" s="3">
        <f t="shared" si="1"/>
        <v>3</v>
      </c>
      <c r="I40" s="3">
        <f t="shared" si="1"/>
        <v>6</v>
      </c>
      <c r="J40" s="3">
        <f t="shared" si="1"/>
        <v>11</v>
      </c>
      <c r="K40" s="3">
        <f t="shared" si="2"/>
        <v>12</v>
      </c>
      <c r="L40" s="3">
        <f t="shared" si="2"/>
        <v>3</v>
      </c>
      <c r="M40" s="3">
        <f t="shared" si="2"/>
        <v>3</v>
      </c>
      <c r="N40" s="3">
        <f t="shared" si="2"/>
        <v>10</v>
      </c>
      <c r="O40" s="3">
        <f t="shared" si="2"/>
        <v>1</v>
      </c>
      <c r="P40" s="3">
        <f t="shared" si="2"/>
        <v>6</v>
      </c>
      <c r="Q40" s="3">
        <f t="shared" si="3"/>
        <v>6</v>
      </c>
      <c r="R40" s="3">
        <f t="shared" si="3"/>
        <v>1</v>
      </c>
      <c r="S40" s="3">
        <f t="shared" si="3"/>
        <v>6</v>
      </c>
    </row>
    <row r="41" spans="2:20" ht="27" customHeight="1">
      <c r="B41" s="3">
        <v>3</v>
      </c>
      <c r="C41" t="s">
        <v>22</v>
      </c>
      <c r="D41" t="b">
        <v>1</v>
      </c>
      <c r="E41">
        <v>1</v>
      </c>
      <c r="F41" t="s">
        <v>28</v>
      </c>
      <c r="G41" t="str">
        <f>_xlfn.TEXTJOIN("-",TRUE,Table4[[#This Row],[attribute]],LEFT(Table4[[#This Row],[supplemented]],1),Table4[[#This Row],[method]])</f>
        <v>case-T-max.rank</v>
      </c>
      <c r="H41" s="3">
        <f t="shared" si="1"/>
        <v>8</v>
      </c>
      <c r="I41" s="3">
        <f t="shared" si="1"/>
        <v>3</v>
      </c>
      <c r="J41" s="3">
        <f t="shared" si="1"/>
        <v>7</v>
      </c>
      <c r="K41" s="3">
        <f t="shared" si="2"/>
        <v>3</v>
      </c>
      <c r="L41" s="3">
        <f t="shared" si="2"/>
        <v>8</v>
      </c>
      <c r="M41" s="3">
        <f t="shared" si="2"/>
        <v>11</v>
      </c>
      <c r="N41" s="3">
        <f t="shared" si="2"/>
        <v>1</v>
      </c>
      <c r="O41" s="3">
        <f t="shared" si="2"/>
        <v>10</v>
      </c>
      <c r="P41" s="3">
        <f t="shared" si="2"/>
        <v>2</v>
      </c>
      <c r="Q41" s="3">
        <f t="shared" si="3"/>
        <v>3</v>
      </c>
      <c r="R41" s="3">
        <f t="shared" si="3"/>
        <v>3</v>
      </c>
      <c r="S41" s="3">
        <f t="shared" si="3"/>
        <v>12</v>
      </c>
    </row>
    <row r="42" spans="2:20" ht="27" customHeight="1">
      <c r="B42" s="8">
        <v>3</v>
      </c>
      <c r="C42" t="s">
        <v>22</v>
      </c>
      <c r="D42" t="b">
        <v>0</v>
      </c>
      <c r="E42">
        <v>1</v>
      </c>
      <c r="F42" t="s">
        <v>28</v>
      </c>
      <c r="G42" t="str">
        <f>_xlfn.TEXTJOIN("-",TRUE,Table4[[#This Row],[attribute]],LEFT(Table4[[#This Row],[supplemented]],1),Table4[[#This Row],[method]])</f>
        <v>case-F-max.rank</v>
      </c>
      <c r="H42" s="3">
        <f t="shared" si="1"/>
        <v>11</v>
      </c>
      <c r="I42" s="3">
        <f t="shared" si="1"/>
        <v>4</v>
      </c>
      <c r="J42" s="3">
        <f t="shared" si="1"/>
        <v>11</v>
      </c>
      <c r="K42" s="3">
        <f t="shared" si="2"/>
        <v>5</v>
      </c>
      <c r="L42" s="3">
        <f t="shared" si="2"/>
        <v>9</v>
      </c>
      <c r="M42" s="3">
        <f t="shared" si="2"/>
        <v>2</v>
      </c>
      <c r="N42" s="3">
        <f t="shared" si="2"/>
        <v>2</v>
      </c>
      <c r="O42" s="3">
        <f t="shared" si="2"/>
        <v>9</v>
      </c>
      <c r="P42" s="3">
        <f t="shared" si="2"/>
        <v>5</v>
      </c>
      <c r="Q42" s="3">
        <f t="shared" si="3"/>
        <v>5</v>
      </c>
      <c r="R42" s="3">
        <f t="shared" si="3"/>
        <v>1</v>
      </c>
      <c r="S42" s="3">
        <f t="shared" si="3"/>
        <v>8</v>
      </c>
    </row>
    <row r="44" spans="2:20" ht="27" customHeight="1">
      <c r="D44" t="b">
        <v>0</v>
      </c>
      <c r="E44" t="s">
        <v>28</v>
      </c>
      <c r="F44" t="s">
        <v>32</v>
      </c>
      <c r="H44" s="2" cm="1">
        <f t="array" ref="H44">_xlfn.LET(_xlpm.d,H$37:H$42,_xlpm.c,$D$37:$D$42=$D44,GEOMEAN(_xlfn._xlws.FILTER(_xlpm.d,_xlpm.c)))</f>
        <v>6.4150686599916531</v>
      </c>
      <c r="I44" s="2" cm="1">
        <f t="array" ref="I44">_xlfn.LET(_xlpm.d,I$37:I$42,_xlpm.c,$D$37:$D$42=$D44,GEOMEAN(_xlfn._xlws.FILTER(_xlpm.d,_xlpm.c)))</f>
        <v>3.6342411856642793</v>
      </c>
      <c r="J44" s="2" cm="1">
        <f t="array" ref="J44">_xlfn.LET(_xlpm.d,J$37:J$42,_xlpm.c,$D$37:$D$42=$D44,GEOMEAN(_xlfn._xlws.FILTER(_xlpm.d,_xlpm.c)))</f>
        <v>11</v>
      </c>
      <c r="K44" s="2" cm="1">
        <f t="array" ref="K44">_xlfn.LET(_xlpm.d,K$37:K$42,_xlpm.c,$D$37:$D$42=$D44,GEOMEAN(_xlfn._xlws.FILTER(_xlpm.d,_xlpm.c)))</f>
        <v>7.8297352823377269</v>
      </c>
      <c r="L44" s="2" cm="1">
        <f t="array" ref="L44">_xlfn.LET(_xlpm.d,L$37:L$42,_xlpm.c,$D$37:$D$42=$D44,GEOMEAN(_xlfn._xlws.FILTER(_xlpm.d,_xlpm.c)))</f>
        <v>3.7797631496846193</v>
      </c>
      <c r="M44" s="2" cm="1">
        <f t="array" ref="M44">_xlfn.LET(_xlpm.d,M$37:M$42,_xlpm.c,$D$37:$D$42=$D44,GEOMEAN(_xlfn._xlws.FILTER(_xlpm.d,_xlpm.c)))</f>
        <v>2.8844991406148166</v>
      </c>
      <c r="N44" s="2" cm="1">
        <f t="array" ref="N44">_xlfn.LET(_xlpm.d,N$37:N$42,_xlpm.c,$D$37:$D$42=$D44,GEOMEAN(_xlfn._xlws.FILTER(_xlpm.d,_xlpm.c)))</f>
        <v>4.3088693800637676</v>
      </c>
      <c r="O44" s="2" cm="1">
        <f t="array" ref="O44">_xlfn.LET(_xlpm.d,O$37:O$42,_xlpm.c,$D$37:$D$42=$D44,GEOMEAN(_xlfn._xlws.FILTER(_xlpm.d,_xlpm.c)))</f>
        <v>3.9790572078963922</v>
      </c>
      <c r="P44" s="2" cm="1">
        <f t="array" ref="P44">_xlfn.LET(_xlpm.d,P$37:P$42,_xlpm.c,$D$37:$D$42=$D44,GEOMEAN(_xlfn._xlws.FILTER(_xlpm.d,_xlpm.c)))</f>
        <v>7.113786608980126</v>
      </c>
      <c r="Q44" s="2" cm="1">
        <f t="array" ref="Q44">_xlfn.LET(_xlpm.d,Q$37:Q$42,_xlpm.c,$D$37:$D$42=$D44,GEOMEAN(_xlfn._xlws.FILTER(_xlpm.d,_xlpm.c)))</f>
        <v>5.6462161732861711</v>
      </c>
      <c r="R44" s="2" cm="1">
        <f t="array" ref="R44">_xlfn.LET(_xlpm.d,R$37:R$42,_xlpm.c,$D$37:$D$42=$D44,GEOMEAN(_xlfn._xlws.FILTER(_xlpm.d,_xlpm.c)))</f>
        <v>1</v>
      </c>
      <c r="S44" s="2" cm="1">
        <f t="array" ref="S44">_xlfn.LET(_xlpm.d,S$37:S$42,_xlpm.c,$D$37:$D$42=$D44,GEOMEAN(_xlfn._xlws.FILTER(_xlpm.d,_xlpm.c)))</f>
        <v>7.2684823713285587</v>
      </c>
    </row>
    <row r="45" spans="2:20" ht="27" customHeight="1">
      <c r="D45" t="b">
        <v>1</v>
      </c>
      <c r="E45" t="s">
        <v>28</v>
      </c>
      <c r="F45" t="s">
        <v>32</v>
      </c>
      <c r="H45" s="2" cm="1">
        <f t="array" ref="H45">_xlfn.LET(_xlpm.d,H$37:H$42,_xlpm.c,$D$37:$D$42=$D45,GEOMEAN(_xlfn._xlws.FILTER(_xlpm.d,_xlpm.c)))</f>
        <v>3.6342411856642793</v>
      </c>
      <c r="I45" s="2" cm="1">
        <f t="array" ref="I45">_xlfn.LET(_xlpm.d,I$37:I$42,_xlpm.c,$D$37:$D$42=$D45,GEOMEAN(_xlfn._xlws.FILTER(_xlpm.d,_xlpm.c)))</f>
        <v>3.3019272488946267</v>
      </c>
      <c r="J45" s="2" cm="1">
        <f t="array" ref="J45">_xlfn.LET(_xlpm.d,J$37:J$42,_xlpm.c,$D$37:$D$42=$D45,GEOMEAN(_xlfn._xlws.FILTER(_xlpm.d,_xlpm.c)))</f>
        <v>5.5178483527622415</v>
      </c>
      <c r="K45" s="2" cm="1">
        <f t="array" ref="K45">_xlfn.LET(_xlpm.d,K$37:K$42,_xlpm.c,$D$37:$D$42=$D45,GEOMEAN(_xlfn._xlws.FILTER(_xlpm.d,_xlpm.c)))</f>
        <v>4.379519139887889</v>
      </c>
      <c r="L45" s="2" cm="1">
        <f t="array" ref="L45">_xlfn.LET(_xlpm.d,L$37:L$42,_xlpm.c,$D$37:$D$42=$D45,GEOMEAN(_xlfn._xlws.FILTER(_xlpm.d,_xlpm.c)))</f>
        <v>9.2831776672255586</v>
      </c>
      <c r="M45" s="2" cm="1">
        <f t="array" ref="M45">_xlfn.LET(_xlpm.d,M$37:M$42,_xlpm.c,$D$37:$D$42=$D45,GEOMEAN(_xlfn._xlws.FILTER(_xlpm.d,_xlpm.c)))</f>
        <v>7.3434204620499619</v>
      </c>
      <c r="N45" s="2" cm="1">
        <f t="array" ref="N45">_xlfn.LET(_xlpm.d,N$37:N$42,_xlpm.c,$D$37:$D$42=$D45,GEOMEAN(_xlfn._xlws.FILTER(_xlpm.d,_xlpm.c)))</f>
        <v>1.8171205928321397</v>
      </c>
      <c r="O45" s="2" cm="1">
        <f t="array" ref="O45">_xlfn.LET(_xlpm.d,O$37:O$42,_xlpm.c,$D$37:$D$42=$D45,GEOMEAN(_xlfn._xlws.FILTER(_xlpm.d,_xlpm.c)))</f>
        <v>4.3088693800637676</v>
      </c>
      <c r="P45" s="2" cm="1">
        <f t="array" ref="P45">_xlfn.LET(_xlpm.d,P$37:P$42,_xlpm.c,$D$37:$D$42=$D45,GEOMEAN(_xlfn._xlws.FILTER(_xlpm.d,_xlpm.c)))</f>
        <v>2.8844991406148166</v>
      </c>
      <c r="Q45" s="2" cm="1">
        <f t="array" ref="Q45">_xlfn.LET(_xlpm.d,Q$37:Q$42,_xlpm.c,$D$37:$D$42=$D45,GEOMEAN(_xlfn._xlws.FILTER(_xlpm.d,_xlpm.c)))</f>
        <v>4.379519139887889</v>
      </c>
      <c r="R45" s="2" cm="1">
        <f t="array" ref="R45">_xlfn.LET(_xlpm.d,R$37:R$42,_xlpm.c,$D$37:$D$42=$D45,GEOMEAN(_xlfn._xlws.FILTER(_xlpm.d,_xlpm.c)))</f>
        <v>4.6260650091827413</v>
      </c>
      <c r="S45" s="2" cm="1">
        <f t="array" ref="S45">_xlfn.LET(_xlpm.d,S$37:S$42,_xlpm.c,$D$37:$D$42=$D45,GEOMEAN(_xlfn._xlws.FILTER(_xlpm.d,_xlpm.c)))</f>
        <v>11.292432346572342</v>
      </c>
    </row>
  </sheetData>
  <conditionalFormatting sqref="H37:S42">
    <cfRule type="colorScale" priority="10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44:S45">
    <cfRule type="colorScale" priority="1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 H23:T28 H30:T32">
    <cfRule type="colorScale" priority="7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33:T3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pageSetup paperSize="34" orientation="portrait" horizontalDpi="0" verticalDpi="0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AC97-FFEE-AC4A-BBBC-79558C46E898}">
  <dimension ref="A1:T28"/>
  <sheetViews>
    <sheetView workbookViewId="0">
      <pane xSplit="7720" ySplit="2940" topLeftCell="F17" activePane="bottomLeft"/>
      <selection activeCell="A12" sqref="A12"/>
      <selection pane="topRight" activeCell="T1" sqref="T1:T1048576"/>
      <selection pane="bottomLeft" activeCell="B23" sqref="B23:T28"/>
      <selection pane="bottomRight" activeCell="J32" sqref="J32"/>
    </sheetView>
  </sheetViews>
  <sheetFormatPr baseColWidth="10" defaultRowHeight="25" customHeight="1"/>
  <cols>
    <col min="2" max="5" width="8.5" customWidth="1"/>
    <col min="6" max="6" width="9" customWidth="1"/>
    <col min="7" max="19" width="7.5" customWidth="1"/>
    <col min="20" max="20" width="8.125" customWidth="1"/>
  </cols>
  <sheetData>
    <row r="1" spans="1:20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37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3</v>
      </c>
      <c r="F2" t="s">
        <v>18</v>
      </c>
      <c r="H2" s="1">
        <v>0.9</v>
      </c>
      <c r="I2" s="1">
        <v>0.86</v>
      </c>
      <c r="J2" s="1">
        <v>0.86</v>
      </c>
      <c r="K2" s="1">
        <v>0.85</v>
      </c>
      <c r="L2" s="1">
        <v>0.84</v>
      </c>
      <c r="M2" s="1">
        <v>0.85</v>
      </c>
      <c r="N2" s="1">
        <v>0.92</v>
      </c>
      <c r="O2" s="1">
        <v>0.86</v>
      </c>
      <c r="P2" s="1">
        <v>0.9</v>
      </c>
      <c r="Q2" s="1">
        <v>0.82</v>
      </c>
      <c r="R2" s="1">
        <v>0.83</v>
      </c>
      <c r="S2" s="1">
        <v>0.81</v>
      </c>
      <c r="T2" s="1">
        <f t="shared" ref="T2:T19" si="0">MAX($H2:$S2)</f>
        <v>0.92</v>
      </c>
    </row>
    <row r="3" spans="1:20" ht="25" customHeight="1">
      <c r="A3" t="s">
        <v>16</v>
      </c>
      <c r="B3">
        <v>1</v>
      </c>
      <c r="C3" t="s">
        <v>17</v>
      </c>
      <c r="D3" t="b">
        <v>0</v>
      </c>
      <c r="E3">
        <v>1</v>
      </c>
      <c r="F3" t="s">
        <v>20</v>
      </c>
      <c r="H3" s="1">
        <v>0.79</v>
      </c>
      <c r="I3" s="1">
        <v>0.81</v>
      </c>
      <c r="J3" s="1">
        <v>0.84</v>
      </c>
      <c r="K3" s="1">
        <v>0.85</v>
      </c>
      <c r="L3" s="1">
        <v>0.8</v>
      </c>
      <c r="M3" s="1">
        <v>0.83</v>
      </c>
      <c r="N3" s="1">
        <v>0.85</v>
      </c>
      <c r="O3" s="1">
        <v>0.8</v>
      </c>
      <c r="P3" s="1">
        <v>0.79</v>
      </c>
      <c r="Q3" s="1">
        <v>0.8</v>
      </c>
      <c r="R3" s="1">
        <v>0.81</v>
      </c>
      <c r="S3" s="1">
        <v>0.83</v>
      </c>
      <c r="T3" s="1">
        <f t="shared" si="0"/>
        <v>0.85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18</v>
      </c>
      <c r="H4" s="1">
        <v>0.79</v>
      </c>
      <c r="I4" s="1">
        <v>0.77</v>
      </c>
      <c r="J4" s="1">
        <v>0.81</v>
      </c>
      <c r="K4" s="1">
        <v>0.81</v>
      </c>
      <c r="L4" s="1">
        <v>0.85</v>
      </c>
      <c r="M4" s="1">
        <v>0.86</v>
      </c>
      <c r="N4" s="1">
        <v>0.83</v>
      </c>
      <c r="O4" s="1">
        <v>0.75</v>
      </c>
      <c r="P4" s="1">
        <v>0.82</v>
      </c>
      <c r="Q4" s="1">
        <v>0.81</v>
      </c>
      <c r="R4" s="1">
        <v>0.84</v>
      </c>
      <c r="S4" s="1">
        <v>0.81</v>
      </c>
      <c r="T4" s="1">
        <f t="shared" si="0"/>
        <v>0.86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2</v>
      </c>
      <c r="F5" t="s">
        <v>19</v>
      </c>
      <c r="H5" s="1">
        <v>0.89</v>
      </c>
      <c r="I5" s="1">
        <v>0.88</v>
      </c>
      <c r="J5" s="1">
        <v>0.88</v>
      </c>
      <c r="K5" s="1">
        <v>0.88</v>
      </c>
      <c r="L5" s="1">
        <v>0.86</v>
      </c>
      <c r="M5" s="1">
        <v>0.9</v>
      </c>
      <c r="N5" s="1">
        <v>0.89</v>
      </c>
      <c r="O5" s="1">
        <v>0.9</v>
      </c>
      <c r="P5" s="1">
        <v>0.91</v>
      </c>
      <c r="Q5" s="1">
        <v>0.88</v>
      </c>
      <c r="R5" s="1">
        <v>0.87</v>
      </c>
      <c r="S5" s="1">
        <v>0.83</v>
      </c>
      <c r="T5" s="1">
        <f t="shared" si="0"/>
        <v>0.91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H6" s="1">
        <v>0.8</v>
      </c>
      <c r="I6" s="1">
        <v>0.85</v>
      </c>
      <c r="J6" s="1">
        <v>0.85</v>
      </c>
      <c r="K6" s="1">
        <v>0.83</v>
      </c>
      <c r="L6" s="1">
        <v>0.84</v>
      </c>
      <c r="M6" s="1">
        <v>0.86</v>
      </c>
      <c r="N6" s="1">
        <v>0.85</v>
      </c>
      <c r="O6" s="1">
        <v>0.87</v>
      </c>
      <c r="P6" s="1">
        <v>0.84</v>
      </c>
      <c r="Q6" s="1">
        <v>0.85</v>
      </c>
      <c r="R6" s="1">
        <v>0.84</v>
      </c>
      <c r="S6" s="1">
        <v>0.83</v>
      </c>
      <c r="T6" s="1">
        <f t="shared" si="0"/>
        <v>0.87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1</v>
      </c>
      <c r="F7" t="s">
        <v>20</v>
      </c>
      <c r="H7" s="1">
        <v>0.82</v>
      </c>
      <c r="I7" s="1">
        <v>0.84</v>
      </c>
      <c r="J7" s="1">
        <v>0.86</v>
      </c>
      <c r="K7" s="1">
        <v>0.84</v>
      </c>
      <c r="L7" s="1">
        <v>0.82</v>
      </c>
      <c r="M7" s="1">
        <v>0.83</v>
      </c>
      <c r="N7" s="1">
        <v>0.86</v>
      </c>
      <c r="O7" s="1">
        <v>0.84</v>
      </c>
      <c r="P7" s="1">
        <v>0.87</v>
      </c>
      <c r="Q7" s="1">
        <v>0.81</v>
      </c>
      <c r="R7" s="1">
        <v>0.83</v>
      </c>
      <c r="S7" s="1">
        <v>0.79</v>
      </c>
      <c r="T7" s="1">
        <f t="shared" si="0"/>
        <v>0.87</v>
      </c>
    </row>
    <row r="8" spans="1:20" ht="25" customHeight="1">
      <c r="A8" t="s">
        <v>16</v>
      </c>
      <c r="B8">
        <v>2</v>
      </c>
      <c r="C8" t="s">
        <v>33</v>
      </c>
      <c r="D8" t="b">
        <v>0</v>
      </c>
      <c r="E8">
        <v>3</v>
      </c>
      <c r="F8" t="s">
        <v>18</v>
      </c>
      <c r="H8" s="1">
        <v>0.77</v>
      </c>
      <c r="I8" s="1">
        <v>0.73</v>
      </c>
      <c r="J8" s="1">
        <v>0.73</v>
      </c>
      <c r="K8" s="1">
        <v>0.74</v>
      </c>
      <c r="L8" s="1">
        <v>0.74</v>
      </c>
      <c r="M8" s="1">
        <v>0.76</v>
      </c>
      <c r="N8" s="1">
        <v>0.7</v>
      </c>
      <c r="O8" s="1">
        <v>0.74</v>
      </c>
      <c r="P8" s="1">
        <v>0.78</v>
      </c>
      <c r="Q8" s="1">
        <v>0.72</v>
      </c>
      <c r="R8" s="1">
        <v>0.82</v>
      </c>
      <c r="S8" s="1">
        <v>0.76</v>
      </c>
      <c r="T8" s="1">
        <f t="shared" si="0"/>
        <v>0.82</v>
      </c>
    </row>
    <row r="9" spans="1:20" ht="25" customHeight="1">
      <c r="A9" t="s">
        <v>16</v>
      </c>
      <c r="B9">
        <v>2</v>
      </c>
      <c r="C9" t="s">
        <v>33</v>
      </c>
      <c r="D9" t="b">
        <v>0</v>
      </c>
      <c r="E9">
        <v>2</v>
      </c>
      <c r="F9" t="s">
        <v>19</v>
      </c>
      <c r="H9" s="1">
        <v>0.74</v>
      </c>
      <c r="I9" s="1">
        <v>0.68</v>
      </c>
      <c r="J9" s="1">
        <v>0.7</v>
      </c>
      <c r="K9" s="1">
        <v>0.69</v>
      </c>
      <c r="L9" s="1">
        <v>0.67</v>
      </c>
      <c r="M9" s="1">
        <v>0.67</v>
      </c>
      <c r="N9" s="1">
        <v>0.7</v>
      </c>
      <c r="O9" s="1">
        <v>0.7</v>
      </c>
      <c r="P9" s="1">
        <v>0.69</v>
      </c>
      <c r="Q9" s="1">
        <v>0.65</v>
      </c>
      <c r="R9" s="1">
        <v>0.65</v>
      </c>
      <c r="S9" s="1">
        <v>0.68</v>
      </c>
      <c r="T9" s="1">
        <f t="shared" si="0"/>
        <v>0.74</v>
      </c>
    </row>
    <row r="10" spans="1:20" ht="25" customHeight="1">
      <c r="A10" t="s">
        <v>16</v>
      </c>
      <c r="B10">
        <v>2</v>
      </c>
      <c r="C10" t="s">
        <v>33</v>
      </c>
      <c r="D10" t="b">
        <v>1</v>
      </c>
      <c r="E10">
        <v>1</v>
      </c>
      <c r="F10" t="s">
        <v>20</v>
      </c>
      <c r="H10" s="1">
        <v>0.91</v>
      </c>
      <c r="I10" s="1">
        <v>0.85</v>
      </c>
      <c r="J10" s="1">
        <v>0.86</v>
      </c>
      <c r="K10" s="1">
        <v>0.66</v>
      </c>
      <c r="L10" s="1">
        <v>0.56999999999999995</v>
      </c>
      <c r="M10" s="1">
        <v>0.73</v>
      </c>
      <c r="N10" s="1">
        <v>0.91</v>
      </c>
      <c r="O10" s="1">
        <v>0.89</v>
      </c>
      <c r="P10" s="1">
        <v>0.8</v>
      </c>
      <c r="Q10" s="1">
        <v>0.8</v>
      </c>
      <c r="R10" s="1">
        <v>0.63</v>
      </c>
      <c r="S10" s="1">
        <v>0.66</v>
      </c>
      <c r="T10" s="1">
        <f t="shared" si="0"/>
        <v>0.91</v>
      </c>
    </row>
    <row r="11" spans="1:20" ht="25" customHeight="1">
      <c r="A11" t="s">
        <v>16</v>
      </c>
      <c r="B11">
        <v>2</v>
      </c>
      <c r="C11" t="s">
        <v>33</v>
      </c>
      <c r="D11" t="b">
        <v>1</v>
      </c>
      <c r="E11">
        <v>3</v>
      </c>
      <c r="F11" t="s">
        <v>18</v>
      </c>
      <c r="H11" s="1">
        <v>0.95</v>
      </c>
      <c r="I11" s="1">
        <v>0.92</v>
      </c>
      <c r="J11" s="1">
        <v>0.94</v>
      </c>
      <c r="K11" s="1">
        <v>0.91</v>
      </c>
      <c r="L11" s="1">
        <v>0.86</v>
      </c>
      <c r="M11" s="1">
        <v>0.87</v>
      </c>
      <c r="N11" s="1">
        <v>0.93</v>
      </c>
      <c r="O11" s="1">
        <v>0.94</v>
      </c>
      <c r="P11" s="1">
        <v>0.93</v>
      </c>
      <c r="Q11" s="1">
        <v>0.92</v>
      </c>
      <c r="R11" s="1">
        <v>0.91</v>
      </c>
      <c r="S11" s="1">
        <v>0.86</v>
      </c>
      <c r="T11" s="1">
        <f t="shared" si="0"/>
        <v>0.95</v>
      </c>
    </row>
    <row r="12" spans="1:20" ht="25" customHeight="1">
      <c r="A12" t="s">
        <v>16</v>
      </c>
      <c r="B12">
        <v>2</v>
      </c>
      <c r="C12" t="s">
        <v>33</v>
      </c>
      <c r="D12" t="b">
        <v>1</v>
      </c>
      <c r="E12">
        <v>2</v>
      </c>
      <c r="F12" t="s">
        <v>19</v>
      </c>
      <c r="H12" s="1">
        <v>0.93</v>
      </c>
      <c r="I12" s="1">
        <v>0.91</v>
      </c>
      <c r="J12" s="1">
        <v>0.91</v>
      </c>
      <c r="K12" s="1">
        <v>0.9</v>
      </c>
      <c r="L12" s="1">
        <v>0.84</v>
      </c>
      <c r="M12" s="1">
        <v>0.8</v>
      </c>
      <c r="N12" s="1">
        <v>0.94</v>
      </c>
      <c r="O12" s="1">
        <v>0.94</v>
      </c>
      <c r="P12" s="1">
        <v>0.91</v>
      </c>
      <c r="Q12" s="1">
        <v>0.85</v>
      </c>
      <c r="R12" s="1">
        <v>0.86</v>
      </c>
      <c r="S12" s="1">
        <v>0.85</v>
      </c>
      <c r="T12" s="1">
        <f t="shared" si="0"/>
        <v>0.94</v>
      </c>
    </row>
    <row r="13" spans="1:20" ht="25" customHeight="1">
      <c r="A13" t="s">
        <v>16</v>
      </c>
      <c r="B13">
        <v>2</v>
      </c>
      <c r="C13" t="s">
        <v>33</v>
      </c>
      <c r="D13" t="b">
        <v>0</v>
      </c>
      <c r="E13">
        <v>1</v>
      </c>
      <c r="F13" t="s">
        <v>20</v>
      </c>
      <c r="H13" s="1">
        <v>0.67</v>
      </c>
      <c r="I13" s="1">
        <v>0.61</v>
      </c>
      <c r="J13" s="1">
        <v>0.61</v>
      </c>
      <c r="K13" s="1">
        <v>0.65</v>
      </c>
      <c r="L13" s="1">
        <v>0.56000000000000005</v>
      </c>
      <c r="M13" s="1">
        <v>0.63</v>
      </c>
      <c r="N13" s="1">
        <v>0.64</v>
      </c>
      <c r="O13" s="1">
        <v>0.65</v>
      </c>
      <c r="P13" s="1">
        <v>0.68</v>
      </c>
      <c r="Q13" s="1">
        <v>0.55000000000000004</v>
      </c>
      <c r="R13" s="1">
        <v>0.61</v>
      </c>
      <c r="S13" s="1">
        <v>0.57999999999999996</v>
      </c>
      <c r="T13" s="1">
        <f t="shared" si="0"/>
        <v>0.68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2</v>
      </c>
      <c r="F14" t="s">
        <v>19</v>
      </c>
      <c r="H14" s="1">
        <v>0.45</v>
      </c>
      <c r="I14" s="1">
        <v>0.48</v>
      </c>
      <c r="J14" s="1">
        <v>0.41</v>
      </c>
      <c r="K14" s="1">
        <v>0.45</v>
      </c>
      <c r="L14" s="1">
        <v>0.49</v>
      </c>
      <c r="M14" s="1">
        <v>0.49</v>
      </c>
      <c r="N14" s="1">
        <v>0.45</v>
      </c>
      <c r="O14" s="1">
        <v>0.44</v>
      </c>
      <c r="P14" s="1">
        <v>0.43</v>
      </c>
      <c r="Q14" s="1">
        <v>0.49</v>
      </c>
      <c r="R14" s="1">
        <v>0.49</v>
      </c>
      <c r="S14" s="1">
        <v>0.44</v>
      </c>
      <c r="T14" s="1">
        <f t="shared" si="0"/>
        <v>0.49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H15" s="1">
        <v>0.57999999999999996</v>
      </c>
      <c r="I15" s="1">
        <v>0.59</v>
      </c>
      <c r="J15" s="1">
        <v>0.55000000000000004</v>
      </c>
      <c r="K15" s="1">
        <v>0.54</v>
      </c>
      <c r="L15" s="1">
        <v>0.52</v>
      </c>
      <c r="M15" s="1">
        <v>0.54</v>
      </c>
      <c r="N15" s="1">
        <v>0.56000000000000005</v>
      </c>
      <c r="O15" s="1">
        <v>0.55000000000000004</v>
      </c>
      <c r="P15" s="1">
        <v>0.56000000000000005</v>
      </c>
      <c r="Q15" s="1">
        <v>0.54</v>
      </c>
      <c r="R15" s="1">
        <v>0.5</v>
      </c>
      <c r="S15" s="1">
        <v>0.48</v>
      </c>
      <c r="T15" s="1">
        <f t="shared" si="0"/>
        <v>0.59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1</v>
      </c>
      <c r="F16" t="s">
        <v>20</v>
      </c>
      <c r="H16" s="1">
        <v>0.41</v>
      </c>
      <c r="I16" s="1">
        <v>0.38</v>
      </c>
      <c r="J16" s="1">
        <v>0.33</v>
      </c>
      <c r="K16" s="1">
        <v>0.42</v>
      </c>
      <c r="L16" s="1">
        <v>0.35</v>
      </c>
      <c r="M16" s="1">
        <v>0.4</v>
      </c>
      <c r="N16" s="1">
        <v>0.44</v>
      </c>
      <c r="O16" s="1">
        <v>0.4</v>
      </c>
      <c r="P16" s="1">
        <v>0.41</v>
      </c>
      <c r="Q16" s="1">
        <v>0.39</v>
      </c>
      <c r="R16" s="1">
        <v>0.42</v>
      </c>
      <c r="S16" s="1">
        <v>0.39</v>
      </c>
      <c r="T16" s="1">
        <f t="shared" si="0"/>
        <v>0.44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1</v>
      </c>
      <c r="F17" t="s">
        <v>20</v>
      </c>
      <c r="H17" s="1">
        <v>0.53</v>
      </c>
      <c r="I17" s="1">
        <v>0.54</v>
      </c>
      <c r="J17" s="1">
        <v>0.54</v>
      </c>
      <c r="K17" s="1">
        <v>0.41</v>
      </c>
      <c r="L17" s="1">
        <v>0.35</v>
      </c>
      <c r="M17" s="1">
        <v>0.46</v>
      </c>
      <c r="N17" s="1">
        <v>0.43</v>
      </c>
      <c r="O17" s="1">
        <v>0.49</v>
      </c>
      <c r="P17" s="1">
        <v>0.43</v>
      </c>
      <c r="Q17" s="1">
        <v>0.43</v>
      </c>
      <c r="R17" s="1">
        <v>0.36</v>
      </c>
      <c r="S17" s="1">
        <v>0.37</v>
      </c>
      <c r="T17" s="1">
        <f t="shared" si="0"/>
        <v>0.54</v>
      </c>
    </row>
    <row r="18" spans="1:20" ht="25" customHeight="1">
      <c r="A18" t="s">
        <v>16</v>
      </c>
      <c r="B18">
        <v>3</v>
      </c>
      <c r="C18" t="s">
        <v>22</v>
      </c>
      <c r="D18" t="b">
        <v>1</v>
      </c>
      <c r="E18">
        <v>3</v>
      </c>
      <c r="F18" t="s">
        <v>18</v>
      </c>
      <c r="H18" s="1">
        <v>0.54</v>
      </c>
      <c r="I18" s="1">
        <v>0.48</v>
      </c>
      <c r="J18" s="1">
        <v>0.46</v>
      </c>
      <c r="K18" s="1">
        <v>0.37</v>
      </c>
      <c r="L18" s="1">
        <v>0.4</v>
      </c>
      <c r="M18" s="1">
        <v>0.4</v>
      </c>
      <c r="N18" s="1">
        <v>0.54</v>
      </c>
      <c r="O18" s="1">
        <v>0.55000000000000004</v>
      </c>
      <c r="P18" s="1">
        <v>0.49</v>
      </c>
      <c r="Q18" s="1">
        <v>0.46</v>
      </c>
      <c r="R18" s="1">
        <v>0.47</v>
      </c>
      <c r="S18" s="1">
        <v>0.35</v>
      </c>
      <c r="T18" s="1">
        <f t="shared" si="0"/>
        <v>0.55000000000000004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H19" s="1">
        <v>0.4</v>
      </c>
      <c r="I19" s="1">
        <v>0.41</v>
      </c>
      <c r="J19" s="1">
        <v>0.4</v>
      </c>
      <c r="K19" s="1">
        <v>0.35</v>
      </c>
      <c r="L19" s="1">
        <v>0.44</v>
      </c>
      <c r="M19" s="1">
        <v>0.44</v>
      </c>
      <c r="N19" s="1">
        <v>0.44</v>
      </c>
      <c r="O19" s="1">
        <v>0.39</v>
      </c>
      <c r="P19" s="1">
        <v>0.41</v>
      </c>
      <c r="Q19" s="1">
        <v>0.45</v>
      </c>
      <c r="R19" s="1">
        <v>0.44</v>
      </c>
      <c r="S19" s="1">
        <v>0.39</v>
      </c>
      <c r="T19" s="1">
        <f t="shared" si="0"/>
        <v>0.45</v>
      </c>
    </row>
    <row r="22" spans="1:20" ht="25" customHeight="1">
      <c r="B22" t="s">
        <v>24</v>
      </c>
      <c r="C22" t="s">
        <v>1</v>
      </c>
      <c r="D22" t="s">
        <v>26</v>
      </c>
      <c r="E22" t="s">
        <v>25</v>
      </c>
      <c r="F22" t="s">
        <v>3</v>
      </c>
      <c r="G22" t="s">
        <v>37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5" customHeight="1">
      <c r="B23" s="6">
        <v>1</v>
      </c>
      <c r="C23" t="s">
        <v>17</v>
      </c>
      <c r="D23" t="b">
        <v>0</v>
      </c>
      <c r="E23">
        <v>1</v>
      </c>
      <c r="F23" t="s">
        <v>23</v>
      </c>
      <c r="H23" s="1" cm="1">
        <f t="array" ref="H23">_xlfn.LET(_xlpm.d,H$2:H$19,_xlpm.a,$C$2:$C$19=$C23,_xlpm.b,$D$2:$D$19=$D23,MAX(_xlfn._xlws.FILTER(_xlpm.d,_xlpm.a*_xlpm.b)))</f>
        <v>0.8</v>
      </c>
      <c r="I23" s="1" cm="1">
        <f t="array" ref="I23">_xlfn.LET(_xlpm.d,I$2:I$19,_xlpm.a,$C$2:$C$19=$C23,_xlpm.b,$D$2:$D$19=$D23,MAX(_xlfn._xlws.FILTER(_xlpm.d,_xlpm.a*_xlpm.b)))</f>
        <v>0.85</v>
      </c>
      <c r="J23" s="1" cm="1">
        <f t="array" ref="J23">_xlfn.LET(_xlpm.d,J$2:J$19,_xlpm.a,$C$2:$C$19=$C23,_xlpm.b,$D$2:$D$19=$D23,MAX(_xlfn._xlws.FILTER(_xlpm.d,_xlpm.a*_xlpm.b)))</f>
        <v>0.85</v>
      </c>
      <c r="K23" s="1" cm="1">
        <f t="array" ref="K23">_xlfn.LET(_xlpm.d,K$2:K$19,_xlpm.a,$C$2:$C$19=$C23,_xlpm.b,$D$2:$D$19=$D23,MAX(_xlfn._xlws.FILTER(_xlpm.d,_xlpm.a*_xlpm.b)))</f>
        <v>0.85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0.85</v>
      </c>
      <c r="O23" s="1" cm="1">
        <f t="array" ref="O23">_xlfn.LET(_xlpm.d,O$2:O$19,_xlpm.a,$C$2:$C$19=$C23,_xlpm.b,$D$2:$D$19=$D23,MAX(_xlfn._xlws.FILTER(_xlpm.d,_xlpm.a*_xlpm.b)))</f>
        <v>0.87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0.84</v>
      </c>
      <c r="S23" s="1" cm="1">
        <f t="array" ref="S23">_xlfn.LET(_xlpm.d,S$2:S$19,_xlpm.a,$C$2:$C$19=$C23,_xlpm.b,$D$2:$D$19=$D23,MAX(_xlfn._xlws.FILTER(_xlpm.d,_xlpm.a*_xlpm.b)))</f>
        <v>0.83</v>
      </c>
      <c r="T23" s="1" cm="1">
        <f t="array" ref="T23">_xlfn.LET(_xlpm.d,T$2:T$19,_xlpm.a,$C$2:$C$19=$C23,_xlpm.b,$D$2:$D$19=$D23,MAX(_xlfn._xlws.FILTER(_xlpm.d,_xlpm.a*_xlpm.b)))</f>
        <v>0.87</v>
      </c>
    </row>
    <row r="24" spans="1:20" ht="25" customHeight="1">
      <c r="B24" s="6">
        <v>1</v>
      </c>
      <c r="C24" t="s">
        <v>17</v>
      </c>
      <c r="D24" t="b">
        <v>1</v>
      </c>
      <c r="E24">
        <v>1</v>
      </c>
      <c r="F24" t="s">
        <v>23</v>
      </c>
      <c r="H24" s="1" cm="1">
        <f t="array" ref="H24">_xlfn.LET(_xlpm.d,H$2:H$19,_xlpm.a,$C$2:$C$19=$C24,_xlpm.b,$D$2:$D$19=$D24,MAX(_xlfn._xlws.FILTER(_xlpm.d,_xlpm.a*_xlpm.b)))</f>
        <v>0.9</v>
      </c>
      <c r="I24" s="1" cm="1">
        <f t="array" ref="I24">_xlfn.LET(_xlpm.d,I$2:I$19,_xlpm.a,$C$2:$C$19=$C24,_xlpm.b,$D$2:$D$19=$D24,MAX(_xlfn._xlws.FILTER(_xlpm.d,_xlpm.a*_xlpm.b)))</f>
        <v>0.88</v>
      </c>
      <c r="J24" s="1" cm="1">
        <f t="array" ref="J24">_xlfn.LET(_xlpm.d,J$2:J$19,_xlpm.a,$C$2:$C$19=$C24,_xlpm.b,$D$2:$D$19=$D24,MAX(_xlfn._xlws.FILTER(_xlpm.d,_xlpm.a*_xlpm.b)))</f>
        <v>0.88</v>
      </c>
      <c r="K24" s="1" cm="1">
        <f t="array" ref="K24">_xlfn.LET(_xlpm.d,K$2:K$19,_xlpm.a,$C$2:$C$19=$C24,_xlpm.b,$D$2:$D$19=$D24,MAX(_xlfn._xlws.FILTER(_xlpm.d,_xlpm.a*_xlpm.b)))</f>
        <v>0.88</v>
      </c>
      <c r="L24" s="1" cm="1">
        <f t="array" ref="L24">_xlfn.LET(_xlpm.d,L$2:L$19,_xlpm.a,$C$2:$C$19=$C24,_xlpm.b,$D$2:$D$19=$D24,MAX(_xlfn._xlws.FILTER(_xlpm.d,_xlpm.a*_xlpm.b)))</f>
        <v>0.86</v>
      </c>
      <c r="M24" s="1" cm="1">
        <f t="array" ref="M24">_xlfn.LET(_xlpm.d,M$2:M$19,_xlpm.a,$C$2:$C$19=$C24,_xlpm.b,$D$2:$D$19=$D24,MAX(_xlfn._xlws.FILTER(_xlpm.d,_xlpm.a*_xlpm.b)))</f>
        <v>0.9</v>
      </c>
      <c r="N24" s="1" cm="1">
        <f t="array" ref="N24">_xlfn.LET(_xlpm.d,N$2:N$19,_xlpm.a,$C$2:$C$19=$C24,_xlpm.b,$D$2:$D$19=$D24,MAX(_xlfn._xlws.FILTER(_xlpm.d,_xlpm.a*_xlpm.b)))</f>
        <v>0.92</v>
      </c>
      <c r="O24" s="1" cm="1">
        <f t="array" ref="O24">_xlfn.LET(_xlpm.d,O$2:O$19,_xlpm.a,$C$2:$C$19=$C24,_xlpm.b,$D$2:$D$19=$D24,MAX(_xlfn._xlws.FILTER(_xlpm.d,_xlpm.a*_xlpm.b)))</f>
        <v>0.9</v>
      </c>
      <c r="P24" s="1" cm="1">
        <f t="array" ref="P24">_xlfn.LET(_xlpm.d,P$2:P$19,_xlpm.a,$C$2:$C$19=$C24,_xlpm.b,$D$2:$D$19=$D24,MAX(_xlfn._xlws.FILTER(_xlpm.d,_xlpm.a*_xlpm.b)))</f>
        <v>0.91</v>
      </c>
      <c r="Q24" s="1" cm="1">
        <f t="array" ref="Q24">_xlfn.LET(_xlpm.d,Q$2:Q$19,_xlpm.a,$C$2:$C$19=$C24,_xlpm.b,$D$2:$D$19=$D24,MAX(_xlfn._xlws.FILTER(_xlpm.d,_xlpm.a*_xlpm.b)))</f>
        <v>0.88</v>
      </c>
      <c r="R24" s="1" cm="1">
        <f t="array" ref="R24">_xlfn.LET(_xlpm.d,R$2:R$19,_xlpm.a,$C$2:$C$19=$C24,_xlpm.b,$D$2:$D$19=$D24,MAX(_xlfn._xlws.FILTER(_xlpm.d,_xlpm.a*_xlpm.b)))</f>
        <v>0.87</v>
      </c>
      <c r="S24" s="1" cm="1">
        <f t="array" ref="S24">_xlfn.LET(_xlpm.d,S$2:S$19,_xlpm.a,$C$2:$C$19=$C24,_xlpm.b,$D$2:$D$19=$D24,MAX(_xlfn._xlws.FILTER(_xlpm.d,_xlpm.a*_xlpm.b)))</f>
        <v>0.83</v>
      </c>
      <c r="T24" s="1" cm="1">
        <f t="array" ref="T24">_xlfn.LET(_xlpm.d,T$2:T$19,_xlpm.a,$C$2:$C$19=$C24,_xlpm.b,$D$2:$D$19=$D24,MAX(_xlfn._xlws.FILTER(_xlpm.d,_xlpm.a*_xlpm.b)))</f>
        <v>0.92</v>
      </c>
    </row>
    <row r="25" spans="1:20" ht="25" customHeight="1">
      <c r="B25" s="6">
        <v>2</v>
      </c>
      <c r="C25" t="s">
        <v>33</v>
      </c>
      <c r="D25" t="b">
        <v>0</v>
      </c>
      <c r="E25">
        <v>1</v>
      </c>
      <c r="F25" t="s">
        <v>23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0.73</v>
      </c>
      <c r="J25" s="1" cm="1">
        <f t="array" ref="J25">_xlfn.LET(_xlpm.d,J$2:J$19,_xlpm.a,$C$2:$C$19=$C25,_xlpm.b,$D$2:$D$19=$D25,MAX(_xlfn._xlws.FILTER(_xlpm.d,_xlpm.a*_xlpm.b)))</f>
        <v>0.73</v>
      </c>
      <c r="K25" s="1" cm="1">
        <f t="array" ref="K25">_xlfn.LET(_xlpm.d,K$2:K$19,_xlpm.a,$C$2:$C$19=$C25,_xlpm.b,$D$2:$D$19=$D25,MAX(_xlfn._xlws.FILTER(_xlpm.d,_xlpm.a*_xlpm.b)))</f>
        <v>0.74</v>
      </c>
      <c r="L25" s="1" cm="1">
        <f t="array" ref="L25">_xlfn.LET(_xlpm.d,L$2:L$19,_xlpm.a,$C$2:$C$19=$C25,_xlpm.b,$D$2:$D$19=$D25,MAX(_xlfn._xlws.FILTER(_xlpm.d,_xlpm.a*_xlpm.b)))</f>
        <v>0.74</v>
      </c>
      <c r="M25" s="1" cm="1">
        <f t="array" ref="M25">_xlfn.LET(_xlpm.d,M$2:M$19,_xlpm.a,$C$2:$C$19=$C25,_xlpm.b,$D$2:$D$19=$D25,MAX(_xlfn._xlws.FILTER(_xlpm.d,_xlpm.a*_xlpm.b)))</f>
        <v>0.76</v>
      </c>
      <c r="N25" s="1" cm="1">
        <f t="array" ref="N25">_xlfn.LET(_xlpm.d,N$2:N$19,_xlpm.a,$C$2:$C$19=$C25,_xlpm.b,$D$2:$D$19=$D25,MAX(_xlfn._xlws.FILTER(_xlpm.d,_xlpm.a*_xlpm.b)))</f>
        <v>0.7</v>
      </c>
      <c r="O25" s="1" cm="1">
        <f t="array" ref="O25">_xlfn.LET(_xlpm.d,O$2:O$19,_xlpm.a,$C$2:$C$19=$C25,_xlpm.b,$D$2:$D$19=$D25,MAX(_xlfn._xlws.FILTER(_xlpm.d,_xlpm.a*_xlpm.b)))</f>
        <v>0.74</v>
      </c>
      <c r="P25" s="1" cm="1">
        <f t="array" ref="P25">_xlfn.LET(_xlpm.d,P$2:P$19,_xlpm.a,$C$2:$C$19=$C25,_xlpm.b,$D$2:$D$19=$D25,MAX(_xlfn._xlws.FILTER(_xlpm.d,_xlpm.a*_xlpm.b)))</f>
        <v>0.78</v>
      </c>
      <c r="Q25" s="1" cm="1">
        <f t="array" ref="Q25">_xlfn.LET(_xlpm.d,Q$2:Q$19,_xlpm.a,$C$2:$C$19=$C25,_xlpm.b,$D$2:$D$19=$D25,MAX(_xlfn._xlws.FILTER(_xlpm.d,_xlpm.a*_xlpm.b)))</f>
        <v>0.72</v>
      </c>
      <c r="R25" s="1" cm="1">
        <f t="array" ref="R25">_xlfn.LET(_xlpm.d,R$2:R$19,_xlpm.a,$C$2:$C$19=$C25,_xlpm.b,$D$2:$D$19=$D25,MAX(_xlfn._xlws.FILTER(_xlpm.d,_xlpm.a*_xlpm.b)))</f>
        <v>0.82</v>
      </c>
      <c r="S25" s="1" cm="1">
        <f t="array" ref="S25">_xlfn.LET(_xlpm.d,S$2:S$19,_xlpm.a,$C$2:$C$19=$C25,_xlpm.b,$D$2:$D$19=$D25,MAX(_xlfn._xlws.FILTER(_xlpm.d,_xlpm.a*_xlpm.b)))</f>
        <v>0.76</v>
      </c>
      <c r="T25" s="1" cm="1">
        <f t="array" ref="T25">_xlfn.LET(_xlpm.d,T$2:T$19,_xlpm.a,$C$2:$C$19=$C25,_xlpm.b,$D$2:$D$19=$D25,MAX(_xlfn._xlws.FILTER(_xlpm.d,_xlpm.a*_xlpm.b)))</f>
        <v>0.82</v>
      </c>
    </row>
    <row r="26" spans="1:20" ht="25" customHeight="1">
      <c r="B26" s="6">
        <v>2</v>
      </c>
      <c r="C26" t="s">
        <v>33</v>
      </c>
      <c r="D26" t="b">
        <v>1</v>
      </c>
      <c r="E26">
        <v>1</v>
      </c>
      <c r="F26" t="s">
        <v>23</v>
      </c>
      <c r="H26" s="1" cm="1">
        <f t="array" ref="H26">_xlfn.LET(_xlpm.d,H$2:H$19,_xlpm.a,$C$2:$C$19=$C26,_xlpm.b,$D$2:$D$19=$D26,MAX(_xlfn._xlws.FILTER(_xlpm.d,_xlpm.a*_xlpm.b)))</f>
        <v>0.95</v>
      </c>
      <c r="I26" s="1" cm="1">
        <f t="array" ref="I26">_xlfn.LET(_xlpm.d,I$2:I$19,_xlpm.a,$C$2:$C$19=$C26,_xlpm.b,$D$2:$D$19=$D26,MAX(_xlfn._xlws.FILTER(_xlpm.d,_xlpm.a*_xlpm.b)))</f>
        <v>0.92</v>
      </c>
      <c r="J26" s="1" cm="1">
        <f t="array" ref="J26">_xlfn.LET(_xlpm.d,J$2:J$19,_xlpm.a,$C$2:$C$19=$C26,_xlpm.b,$D$2:$D$19=$D26,MAX(_xlfn._xlws.FILTER(_xlpm.d,_xlpm.a*_xlpm.b)))</f>
        <v>0.94</v>
      </c>
      <c r="K26" s="1" cm="1">
        <f t="array" ref="K26">_xlfn.LET(_xlpm.d,K$2:K$19,_xlpm.a,$C$2:$C$19=$C26,_xlpm.b,$D$2:$D$19=$D26,MAX(_xlfn._xlws.FILTER(_xlpm.d,_xlpm.a*_xlpm.b)))</f>
        <v>0.91</v>
      </c>
      <c r="L26" s="1" cm="1">
        <f t="array" ref="L26">_xlfn.LET(_xlpm.d,L$2:L$19,_xlpm.a,$C$2:$C$19=$C26,_xlpm.b,$D$2:$D$19=$D26,MAX(_xlfn._xlws.FILTER(_xlpm.d,_xlpm.a*_xlpm.b)))</f>
        <v>0.86</v>
      </c>
      <c r="M26" s="1" cm="1">
        <f t="array" ref="M26">_xlfn.LET(_xlpm.d,M$2:M$19,_xlpm.a,$C$2:$C$19=$C26,_xlpm.b,$D$2:$D$19=$D26,MAX(_xlfn._xlws.FILTER(_xlpm.d,_xlpm.a*_xlpm.b)))</f>
        <v>0.87</v>
      </c>
      <c r="N26" s="1" cm="1">
        <f t="array" ref="N26">_xlfn.LET(_xlpm.d,N$2:N$19,_xlpm.a,$C$2:$C$19=$C26,_xlpm.b,$D$2:$D$19=$D26,MAX(_xlfn._xlws.FILTER(_xlpm.d,_xlpm.a*_xlpm.b)))</f>
        <v>0.94</v>
      </c>
      <c r="O26" s="1" cm="1">
        <f t="array" ref="O26">_xlfn.LET(_xlpm.d,O$2:O$19,_xlpm.a,$C$2:$C$19=$C26,_xlpm.b,$D$2:$D$19=$D26,MAX(_xlfn._xlws.FILTER(_xlpm.d,_xlpm.a*_xlpm.b)))</f>
        <v>0.94</v>
      </c>
      <c r="P26" s="1" cm="1">
        <f t="array" ref="P26">_xlfn.LET(_xlpm.d,P$2:P$19,_xlpm.a,$C$2:$C$19=$C26,_xlpm.b,$D$2:$D$19=$D26,MAX(_xlfn._xlws.FILTER(_xlpm.d,_xlpm.a*_xlpm.b)))</f>
        <v>0.93</v>
      </c>
      <c r="Q26" s="1" cm="1">
        <f t="array" ref="Q26">_xlfn.LET(_xlpm.d,Q$2:Q$19,_xlpm.a,$C$2:$C$19=$C26,_xlpm.b,$D$2:$D$19=$D26,MAX(_xlfn._xlws.FILTER(_xlpm.d,_xlpm.a*_xlpm.b)))</f>
        <v>0.92</v>
      </c>
      <c r="R26" s="1" cm="1">
        <f t="array" ref="R26">_xlfn.LET(_xlpm.d,R$2:R$19,_xlpm.a,$C$2:$C$19=$C26,_xlpm.b,$D$2:$D$19=$D26,MAX(_xlfn._xlws.FILTER(_xlpm.d,_xlpm.a*_xlpm.b)))</f>
        <v>0.91</v>
      </c>
      <c r="S26" s="1" cm="1">
        <f t="array" ref="S26">_xlfn.LET(_xlpm.d,S$2:S$19,_xlpm.a,$C$2:$C$19=$C26,_xlpm.b,$D$2:$D$19=$D26,MAX(_xlfn._xlws.FILTER(_xlpm.d,_xlpm.a*_xlpm.b)))</f>
        <v>0.86</v>
      </c>
      <c r="T26" s="1" cm="1">
        <f t="array" ref="T26">_xlfn.LET(_xlpm.d,T$2:T$19,_xlpm.a,$C$2:$C$19=$C26,_xlpm.b,$D$2:$D$19=$D26,MAX(_xlfn._xlws.FILTER(_xlpm.d,_xlpm.a*_xlpm.b)))</f>
        <v>0.95</v>
      </c>
    </row>
    <row r="27" spans="1:20" ht="25" customHeight="1">
      <c r="B27" s="6">
        <v>3</v>
      </c>
      <c r="C27" t="s">
        <v>22</v>
      </c>
      <c r="D27" t="b">
        <v>0</v>
      </c>
      <c r="E27">
        <v>1</v>
      </c>
      <c r="F27" t="s">
        <v>23</v>
      </c>
      <c r="H27" s="1" cm="1">
        <f t="array" ref="H27">_xlfn.LET(_xlpm.d,H$2:H$19,_xlpm.a,$C$2:$C$19=$C27,_xlpm.b,$D$2:$D$19=$D27,MAX(_xlfn._xlws.FILTER(_xlpm.d,_xlpm.a*_xlpm.b)))</f>
        <v>0.45</v>
      </c>
      <c r="I27" s="1" cm="1">
        <f t="array" ref="I27">_xlfn.LET(_xlpm.d,I$2:I$19,_xlpm.a,$C$2:$C$19=$C27,_xlpm.b,$D$2:$D$19=$D27,MAX(_xlfn._xlws.FILTER(_xlpm.d,_xlpm.a*_xlpm.b)))</f>
        <v>0.48</v>
      </c>
      <c r="J27" s="1" cm="1">
        <f t="array" ref="J27">_xlfn.LET(_xlpm.d,J$2:J$19,_xlpm.a,$C$2:$C$19=$C27,_xlpm.b,$D$2:$D$19=$D27,MAX(_xlfn._xlws.FILTER(_xlpm.d,_xlpm.a*_xlpm.b)))</f>
        <v>0.41</v>
      </c>
      <c r="K27" s="1" cm="1">
        <f t="array" ref="K27">_xlfn.LET(_xlpm.d,K$2:K$19,_xlpm.a,$C$2:$C$19=$C27,_xlpm.b,$D$2:$D$19=$D27,MAX(_xlfn._xlws.FILTER(_xlpm.d,_xlpm.a*_xlpm.b)))</f>
        <v>0.45</v>
      </c>
      <c r="L27" s="1" cm="1">
        <f t="array" ref="L27">_xlfn.LET(_xlpm.d,L$2:L$19,_xlpm.a,$C$2:$C$19=$C27,_xlpm.b,$D$2:$D$19=$D27,MAX(_xlfn._xlws.FILTER(_xlpm.d,_xlpm.a*_xlpm.b)))</f>
        <v>0.49</v>
      </c>
      <c r="M27" s="1" cm="1">
        <f t="array" ref="M27">_xlfn.LET(_xlpm.d,M$2:M$19,_xlpm.a,$C$2:$C$19=$C27,_xlpm.b,$D$2:$D$19=$D27,MAX(_xlfn._xlws.FILTER(_xlpm.d,_xlpm.a*_xlpm.b)))</f>
        <v>0.49</v>
      </c>
      <c r="N27" s="1" cm="1">
        <f t="array" ref="N27">_xlfn.LET(_xlpm.d,N$2:N$19,_xlpm.a,$C$2:$C$19=$C27,_xlpm.b,$D$2:$D$19=$D27,MAX(_xlfn._xlws.FILTER(_xlpm.d,_xlpm.a*_xlpm.b)))</f>
        <v>0.45</v>
      </c>
      <c r="O27" s="1" cm="1">
        <f t="array" ref="O27">_xlfn.LET(_xlpm.d,O$2:O$19,_xlpm.a,$C$2:$C$19=$C27,_xlpm.b,$D$2:$D$19=$D27,MAX(_xlfn._xlws.FILTER(_xlpm.d,_xlpm.a*_xlpm.b)))</f>
        <v>0.44</v>
      </c>
      <c r="P27" s="1" cm="1">
        <f t="array" ref="P27">_xlfn.LET(_xlpm.d,P$2:P$19,_xlpm.a,$C$2:$C$19=$C27,_xlpm.b,$D$2:$D$19=$D27,MAX(_xlfn._xlws.FILTER(_xlpm.d,_xlpm.a*_xlpm.b)))</f>
        <v>0.43</v>
      </c>
      <c r="Q27" s="1" cm="1">
        <f t="array" ref="Q27">_xlfn.LET(_xlpm.d,Q$2:Q$19,_xlpm.a,$C$2:$C$19=$C27,_xlpm.b,$D$2:$D$19=$D27,MAX(_xlfn._xlws.FILTER(_xlpm.d,_xlpm.a*_xlpm.b)))</f>
        <v>0.49</v>
      </c>
      <c r="R27" s="1" cm="1">
        <f t="array" ref="R27">_xlfn.LET(_xlpm.d,R$2:R$19,_xlpm.a,$C$2:$C$19=$C27,_xlpm.b,$D$2:$D$19=$D27,MAX(_xlfn._xlws.FILTER(_xlpm.d,_xlpm.a*_xlpm.b)))</f>
        <v>0.49</v>
      </c>
      <c r="S27" s="1" cm="1">
        <f t="array" ref="S27">_xlfn.LET(_xlpm.d,S$2:S$19,_xlpm.a,$C$2:$C$19=$C27,_xlpm.b,$D$2:$D$19=$D27,MAX(_xlfn._xlws.FILTER(_xlpm.d,_xlpm.a*_xlpm.b)))</f>
        <v>0.44</v>
      </c>
      <c r="T27" s="1" cm="1">
        <f t="array" ref="T27">_xlfn.LET(_xlpm.d,T$2:T$19,_xlpm.a,$C$2:$C$19=$C27,_xlpm.b,$D$2:$D$19=$D27,MAX(_xlfn._xlws.FILTER(_xlpm.d,_xlpm.a*_xlpm.b)))</f>
        <v>0.49</v>
      </c>
    </row>
    <row r="28" spans="1:20" ht="25" customHeight="1">
      <c r="B28" s="6">
        <v>3</v>
      </c>
      <c r="C28" t="s">
        <v>22</v>
      </c>
      <c r="D28" t="b">
        <v>1</v>
      </c>
      <c r="E28">
        <v>1</v>
      </c>
      <c r="F28" t="s">
        <v>23</v>
      </c>
      <c r="H28" s="1" cm="1">
        <f t="array" ref="H28">_xlfn.LET(_xlpm.d,H$2:H$19,_xlpm.a,$C$2:$C$19=$C28,_xlpm.b,$D$2:$D$19=$D28,MAX(_xlfn._xlws.FILTER(_xlpm.d,_xlpm.a*_xlpm.b)))</f>
        <v>0.57999999999999996</v>
      </c>
      <c r="I28" s="1" cm="1">
        <f t="array" ref="I28">_xlfn.LET(_xlpm.d,I$2:I$19,_xlpm.a,$C$2:$C$19=$C28,_xlpm.b,$D$2:$D$19=$D28,MAX(_xlfn._xlws.FILTER(_xlpm.d,_xlpm.a*_xlpm.b)))</f>
        <v>0.59</v>
      </c>
      <c r="J28" s="1" cm="1">
        <f t="array" ref="J28">_xlfn.LET(_xlpm.d,J$2:J$19,_xlpm.a,$C$2:$C$19=$C28,_xlpm.b,$D$2:$D$19=$D28,MAX(_xlfn._xlws.FILTER(_xlpm.d,_xlpm.a*_xlpm.b)))</f>
        <v>0.55000000000000004</v>
      </c>
      <c r="K28" s="1" cm="1">
        <f t="array" ref="K28">_xlfn.LET(_xlpm.d,K$2:K$19,_xlpm.a,$C$2:$C$19=$C28,_xlpm.b,$D$2:$D$19=$D28,MAX(_xlfn._xlws.FILTER(_xlpm.d,_xlpm.a*_xlpm.b)))</f>
        <v>0.54</v>
      </c>
      <c r="L28" s="1" cm="1">
        <f t="array" ref="L28">_xlfn.LET(_xlpm.d,L$2:L$19,_xlpm.a,$C$2:$C$19=$C28,_xlpm.b,$D$2:$D$19=$D28,MAX(_xlfn._xlws.FILTER(_xlpm.d,_xlpm.a*_xlpm.b)))</f>
        <v>0.52</v>
      </c>
      <c r="M28" s="1" cm="1">
        <f t="array" ref="M28">_xlfn.LET(_xlpm.d,M$2:M$19,_xlpm.a,$C$2:$C$19=$C28,_xlpm.b,$D$2:$D$19=$D28,MAX(_xlfn._xlws.FILTER(_xlpm.d,_xlpm.a*_xlpm.b)))</f>
        <v>0.54</v>
      </c>
      <c r="N28" s="1" cm="1">
        <f t="array" ref="N28">_xlfn.LET(_xlpm.d,N$2:N$19,_xlpm.a,$C$2:$C$19=$C28,_xlpm.b,$D$2:$D$19=$D28,MAX(_xlfn._xlws.FILTER(_xlpm.d,_xlpm.a*_xlpm.b)))</f>
        <v>0.56000000000000005</v>
      </c>
      <c r="O28" s="1" cm="1">
        <f t="array" ref="O28">_xlfn.LET(_xlpm.d,O$2:O$19,_xlpm.a,$C$2:$C$19=$C28,_xlpm.b,$D$2:$D$19=$D28,MAX(_xlfn._xlws.FILTER(_xlpm.d,_xlpm.a*_xlpm.b)))</f>
        <v>0.55000000000000004</v>
      </c>
      <c r="P28" s="1" cm="1">
        <f t="array" ref="P28">_xlfn.LET(_xlpm.d,P$2:P$19,_xlpm.a,$C$2:$C$19=$C28,_xlpm.b,$D$2:$D$19=$D28,MAX(_xlfn._xlws.FILTER(_xlpm.d,_xlpm.a*_xlpm.b)))</f>
        <v>0.56000000000000005</v>
      </c>
      <c r="Q28" s="1" cm="1">
        <f t="array" ref="Q28">_xlfn.LET(_xlpm.d,Q$2:Q$19,_xlpm.a,$C$2:$C$19=$C28,_xlpm.b,$D$2:$D$19=$D28,MAX(_xlfn._xlws.FILTER(_xlpm.d,_xlpm.a*_xlpm.b)))</f>
        <v>0.54</v>
      </c>
      <c r="R28" s="1" cm="1">
        <f t="array" ref="R28">_xlfn.LET(_xlpm.d,R$2:R$19,_xlpm.a,$C$2:$C$19=$C28,_xlpm.b,$D$2:$D$19=$D28,MAX(_xlfn._xlws.FILTER(_xlpm.d,_xlpm.a*_xlpm.b)))</f>
        <v>0.5</v>
      </c>
      <c r="S28" s="1" cm="1">
        <f t="array" ref="S28">_xlfn.LET(_xlpm.d,S$2:S$19,_xlpm.a,$C$2:$C$19=$C28,_xlpm.b,$D$2:$D$19=$D28,MAX(_xlfn._xlws.FILTER(_xlpm.d,_xlpm.a*_xlpm.b)))</f>
        <v>0.48</v>
      </c>
      <c r="T28" s="1" cm="1">
        <f t="array" ref="T28">_xlfn.LET(_xlpm.d,T$2:T$19,_xlpm.a,$C$2:$C$19=$C28,_xlpm.b,$D$2:$D$19=$D28,MAX(_xlfn._xlws.FILTER(_xlpm.d,_xlpm.a*_xlpm.b)))</f>
        <v>0.59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0A5E-6EC2-924C-8552-4FFC7AFBD6B9}">
  <dimension ref="A1:T37"/>
  <sheetViews>
    <sheetView workbookViewId="0">
      <pane xSplit="11740" ySplit="3080" topLeftCell="J20" activePane="bottomRight"/>
      <selection activeCell="G1" sqref="G1:G1048576"/>
      <selection pane="topRight" activeCell="T1" sqref="T1:T1048576"/>
      <selection pane="bottomLeft" activeCell="G31" sqref="G31:S37"/>
      <selection pane="bottomRight" activeCell="U34" sqref="U34"/>
    </sheetView>
  </sheetViews>
  <sheetFormatPr baseColWidth="10" defaultRowHeight="25" customHeight="1"/>
  <cols>
    <col min="1" max="1" width="9.5" customWidth="1"/>
    <col min="2" max="2" width="7.75" customWidth="1"/>
    <col min="3" max="3" width="8.875" customWidth="1"/>
    <col min="4" max="5" width="7.75" customWidth="1"/>
    <col min="6" max="6" width="10" customWidth="1"/>
    <col min="7" max="7" width="14.125" customWidth="1"/>
    <col min="8" max="20" width="8.875" customWidth="1"/>
  </cols>
  <sheetData>
    <row r="1" spans="1:20" ht="25" customHeight="1">
      <c r="A1" t="s">
        <v>0</v>
      </c>
      <c r="B1" t="s">
        <v>24</v>
      </c>
      <c r="C1" t="s">
        <v>1</v>
      </c>
      <c r="D1" t="s">
        <v>26</v>
      </c>
      <c r="E1" t="s">
        <v>25</v>
      </c>
      <c r="F1" t="s">
        <v>3</v>
      </c>
      <c r="G1" t="s">
        <v>37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5" customHeight="1">
      <c r="A2" t="s">
        <v>16</v>
      </c>
      <c r="B2">
        <v>1</v>
      </c>
      <c r="C2" t="s">
        <v>17</v>
      </c>
      <c r="D2" t="b">
        <v>0</v>
      </c>
      <c r="E2">
        <v>1</v>
      </c>
      <c r="F2" t="s">
        <v>20</v>
      </c>
      <c r="G2" s="8" t="str">
        <f>_xlfn.TEXTJOIN("-",TRUE,Table23[[#This Row],[attribute]],LEFT(Table23[[#This Row],[supplemented]],1),Table23[[#This Row],[method]])</f>
        <v>plurality-F-DT</v>
      </c>
      <c r="H2" s="1">
        <v>0.81</v>
      </c>
      <c r="I2" s="1">
        <v>0.85</v>
      </c>
      <c r="J2" s="1">
        <v>0.8</v>
      </c>
      <c r="K2" s="1">
        <v>0.85</v>
      </c>
      <c r="L2" s="1">
        <v>0.81</v>
      </c>
      <c r="M2" s="1">
        <v>0.83</v>
      </c>
      <c r="N2" s="1">
        <v>0.8</v>
      </c>
      <c r="O2" s="1">
        <v>0.82</v>
      </c>
      <c r="P2" s="1">
        <v>0.77</v>
      </c>
      <c r="Q2" s="1">
        <v>0.84</v>
      </c>
      <c r="R2" s="1">
        <v>0.83</v>
      </c>
      <c r="S2" s="1">
        <v>0.8</v>
      </c>
      <c r="T2" s="1">
        <f t="shared" ref="T2:T19" si="0">MAX($H2:$S2)</f>
        <v>0.85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1</v>
      </c>
      <c r="F3" t="s">
        <v>20</v>
      </c>
      <c r="G3" t="str">
        <f>_xlfn.TEXTJOIN("-",TRUE,Table23[[#This Row],[attribute]],LEFT(Table23[[#This Row],[supplemented]],1),Table23[[#This Row],[method]])</f>
        <v>plurality-T-DT</v>
      </c>
      <c r="H3" s="1">
        <v>0.91</v>
      </c>
      <c r="I3" s="1">
        <v>0.86</v>
      </c>
      <c r="J3" s="1">
        <v>0.89</v>
      </c>
      <c r="K3" s="1">
        <v>0.89</v>
      </c>
      <c r="L3" s="1">
        <v>0.8</v>
      </c>
      <c r="M3" s="1">
        <v>0.83</v>
      </c>
      <c r="N3" s="1">
        <v>0.88</v>
      </c>
      <c r="O3" s="1">
        <v>0.93</v>
      </c>
      <c r="P3" s="1">
        <v>0.85</v>
      </c>
      <c r="Q3" s="1">
        <v>0.87</v>
      </c>
      <c r="R3" s="1">
        <v>0.81</v>
      </c>
      <c r="S3" s="1">
        <v>0.79</v>
      </c>
      <c r="T3" s="1">
        <f t="shared" si="0"/>
        <v>0.93</v>
      </c>
    </row>
    <row r="4" spans="1:20" ht="25" customHeight="1">
      <c r="A4" t="s">
        <v>16</v>
      </c>
      <c r="B4">
        <v>1</v>
      </c>
      <c r="C4" t="s">
        <v>17</v>
      </c>
      <c r="D4" t="b">
        <v>0</v>
      </c>
      <c r="E4">
        <v>2</v>
      </c>
      <c r="F4" t="s">
        <v>19</v>
      </c>
      <c r="G4" t="str">
        <f>_xlfn.TEXTJOIN("-",TRUE,Table23[[#This Row],[attribute]],LEFT(Table23[[#This Row],[supplemented]],1),Table23[[#This Row],[method]])</f>
        <v>plurality-F-RF</v>
      </c>
      <c r="H4" s="1">
        <v>0.84</v>
      </c>
      <c r="I4" s="1">
        <v>0.86</v>
      </c>
      <c r="J4" s="1">
        <v>0.85</v>
      </c>
      <c r="K4" s="1">
        <v>0.9</v>
      </c>
      <c r="L4" s="1">
        <v>0.82</v>
      </c>
      <c r="M4" s="1">
        <v>0.87</v>
      </c>
      <c r="N4" s="1">
        <v>0.83</v>
      </c>
      <c r="O4" s="1">
        <v>0.83</v>
      </c>
      <c r="P4" s="1">
        <v>0.8</v>
      </c>
      <c r="Q4" s="1">
        <v>0.86</v>
      </c>
      <c r="R4" s="1">
        <v>0.85</v>
      </c>
      <c r="S4" s="1">
        <v>0.84</v>
      </c>
      <c r="T4" s="1">
        <f t="shared" si="0"/>
        <v>0.9</v>
      </c>
    </row>
    <row r="5" spans="1:20" ht="25" customHeight="1">
      <c r="A5" t="s">
        <v>16</v>
      </c>
      <c r="B5">
        <v>1</v>
      </c>
      <c r="C5" t="s">
        <v>17</v>
      </c>
      <c r="D5" t="b">
        <v>1</v>
      </c>
      <c r="E5">
        <v>2</v>
      </c>
      <c r="F5" t="s">
        <v>19</v>
      </c>
      <c r="G5" t="str">
        <f>_xlfn.TEXTJOIN("-",TRUE,Table23[[#This Row],[attribute]],LEFT(Table23[[#This Row],[supplemented]],1),Table23[[#This Row],[method]])</f>
        <v>plurality-T-RF</v>
      </c>
      <c r="H5" s="1">
        <v>0.9</v>
      </c>
      <c r="I5" s="1">
        <v>0.91</v>
      </c>
      <c r="J5" s="1">
        <v>0.89</v>
      </c>
      <c r="K5" s="1">
        <v>0.92</v>
      </c>
      <c r="L5" s="1">
        <v>0.84</v>
      </c>
      <c r="M5" s="1">
        <v>0.9</v>
      </c>
      <c r="N5" s="1">
        <v>0.9</v>
      </c>
      <c r="O5" s="1">
        <v>0.85</v>
      </c>
      <c r="P5" s="1">
        <v>0.86</v>
      </c>
      <c r="Q5" s="1">
        <v>0.88</v>
      </c>
      <c r="R5" s="1">
        <v>0.88</v>
      </c>
      <c r="S5" s="1">
        <v>0.83</v>
      </c>
      <c r="T5" s="1">
        <f t="shared" si="0"/>
        <v>0.92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3</v>
      </c>
      <c r="F6" t="s">
        <v>18</v>
      </c>
      <c r="G6" t="str">
        <f>_xlfn.TEXTJOIN("-",TRUE,Table23[[#This Row],[attribute]],LEFT(Table23[[#This Row],[supplemented]],1),Table23[[#This Row],[method]])</f>
        <v>plurality-F-NN</v>
      </c>
      <c r="H6" s="1">
        <v>0.81</v>
      </c>
      <c r="I6" s="1">
        <v>0.86</v>
      </c>
      <c r="J6" s="1">
        <v>0.77</v>
      </c>
      <c r="K6" s="1">
        <v>0.85</v>
      </c>
      <c r="L6" s="1">
        <v>0.81</v>
      </c>
      <c r="M6" s="1">
        <v>0.88</v>
      </c>
      <c r="N6" s="1">
        <v>0.82</v>
      </c>
      <c r="O6" s="1">
        <v>0.82</v>
      </c>
      <c r="P6" s="1">
        <v>0.82</v>
      </c>
      <c r="Q6" s="1">
        <v>0.84</v>
      </c>
      <c r="R6" s="1">
        <v>0.82</v>
      </c>
      <c r="S6" s="1">
        <v>0.82</v>
      </c>
      <c r="T6" s="1">
        <f t="shared" si="0"/>
        <v>0.88</v>
      </c>
    </row>
    <row r="7" spans="1:20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18</v>
      </c>
      <c r="G7" t="str">
        <f>_xlfn.TEXTJOIN("-",TRUE,Table23[[#This Row],[attribute]],LEFT(Table23[[#This Row],[supplemented]],1),Table23[[#This Row],[method]])</f>
        <v>plurality-T-NN</v>
      </c>
      <c r="H7" s="1">
        <v>0.94</v>
      </c>
      <c r="I7" s="1">
        <v>0.9</v>
      </c>
      <c r="J7" s="1">
        <v>0.87</v>
      </c>
      <c r="K7" s="1">
        <v>0.88</v>
      </c>
      <c r="L7" s="1">
        <v>0.83</v>
      </c>
      <c r="M7" s="1">
        <v>0.86</v>
      </c>
      <c r="N7" s="1">
        <v>0.88</v>
      </c>
      <c r="O7" s="1">
        <v>0.91</v>
      </c>
      <c r="P7" s="1">
        <v>0.87</v>
      </c>
      <c r="Q7" s="1">
        <v>0.85</v>
      </c>
      <c r="R7" s="1">
        <v>0.85</v>
      </c>
      <c r="S7" s="1">
        <v>0.82</v>
      </c>
      <c r="T7" s="1">
        <f t="shared" si="0"/>
        <v>0.94</v>
      </c>
    </row>
    <row r="8" spans="1:20" ht="25" customHeight="1">
      <c r="A8" t="s">
        <v>16</v>
      </c>
      <c r="B8">
        <v>2</v>
      </c>
      <c r="C8" t="s">
        <v>33</v>
      </c>
      <c r="D8" t="b">
        <v>0</v>
      </c>
      <c r="E8">
        <v>1</v>
      </c>
      <c r="F8" t="s">
        <v>20</v>
      </c>
      <c r="G8" t="str">
        <f>_xlfn.TEXTJOIN("-",TRUE,Table23[[#This Row],[attribute]],LEFT(Table23[[#This Row],[supplemented]],1),Table23[[#This Row],[method]])</f>
        <v>gender2-F-DT</v>
      </c>
      <c r="H8" s="1">
        <v>0.61</v>
      </c>
      <c r="I8" s="1">
        <v>0.59</v>
      </c>
      <c r="J8" s="1">
        <v>0.65</v>
      </c>
      <c r="K8" s="1">
        <v>0.63</v>
      </c>
      <c r="L8" s="1">
        <v>0.62</v>
      </c>
      <c r="M8" s="1">
        <v>0.62</v>
      </c>
      <c r="N8" s="1">
        <v>0.63</v>
      </c>
      <c r="O8" s="1">
        <v>0.66</v>
      </c>
      <c r="P8" s="1">
        <v>0.67</v>
      </c>
      <c r="Q8" s="1">
        <v>0.62</v>
      </c>
      <c r="R8" s="1">
        <v>0.62</v>
      </c>
      <c r="S8" s="1">
        <v>0.56999999999999995</v>
      </c>
      <c r="T8" s="1">
        <f t="shared" si="0"/>
        <v>0.67</v>
      </c>
    </row>
    <row r="9" spans="1:20" ht="25" customHeight="1">
      <c r="A9" t="s">
        <v>16</v>
      </c>
      <c r="B9">
        <v>2</v>
      </c>
      <c r="C9" t="s">
        <v>33</v>
      </c>
      <c r="D9" t="b">
        <v>1</v>
      </c>
      <c r="E9">
        <v>1</v>
      </c>
      <c r="F9" t="s">
        <v>20</v>
      </c>
      <c r="G9" t="str">
        <f>_xlfn.TEXTJOIN("-",TRUE,Table23[[#This Row],[attribute]],LEFT(Table23[[#This Row],[supplemented]],1),Table23[[#This Row],[method]])</f>
        <v>gender2-T-DT</v>
      </c>
      <c r="H9" s="1">
        <v>0.92</v>
      </c>
      <c r="I9" s="1">
        <v>0.92</v>
      </c>
      <c r="J9" s="1">
        <v>0.8</v>
      </c>
      <c r="K9" s="1">
        <v>0.8</v>
      </c>
      <c r="L9" s="1">
        <v>0.7</v>
      </c>
      <c r="M9" s="1">
        <v>0.65</v>
      </c>
      <c r="N9" s="1">
        <v>0.93</v>
      </c>
      <c r="O9" s="1">
        <v>0.89</v>
      </c>
      <c r="P9" s="1">
        <v>0.85</v>
      </c>
      <c r="Q9" s="1">
        <v>0.77</v>
      </c>
      <c r="R9" s="1">
        <v>0.64</v>
      </c>
      <c r="S9" s="1">
        <v>0.79</v>
      </c>
      <c r="T9" s="1">
        <f t="shared" si="0"/>
        <v>0.93</v>
      </c>
    </row>
    <row r="10" spans="1:20" ht="25" customHeight="1">
      <c r="A10" t="s">
        <v>16</v>
      </c>
      <c r="B10">
        <v>2</v>
      </c>
      <c r="C10" t="s">
        <v>33</v>
      </c>
      <c r="D10" t="b">
        <v>0</v>
      </c>
      <c r="E10">
        <v>2</v>
      </c>
      <c r="F10" t="s">
        <v>19</v>
      </c>
      <c r="G10" t="str">
        <f>_xlfn.TEXTJOIN("-",TRUE,Table23[[#This Row],[attribute]],LEFT(Table23[[#This Row],[supplemented]],1),Table23[[#This Row],[method]])</f>
        <v>gender2-F-RF</v>
      </c>
      <c r="H10" s="1">
        <v>0.76</v>
      </c>
      <c r="I10" s="1">
        <v>0.73</v>
      </c>
      <c r="J10" s="1">
        <v>0.71</v>
      </c>
      <c r="K10" s="1">
        <v>0.7</v>
      </c>
      <c r="L10" s="1">
        <v>0.74</v>
      </c>
      <c r="M10" s="1">
        <v>0.74</v>
      </c>
      <c r="N10" s="1">
        <v>0.71</v>
      </c>
      <c r="O10" s="1">
        <v>0.74</v>
      </c>
      <c r="P10" s="1">
        <v>0.77</v>
      </c>
      <c r="Q10" s="1">
        <v>0.73</v>
      </c>
      <c r="R10" s="1">
        <v>0.68</v>
      </c>
      <c r="S10" s="1">
        <v>0.71</v>
      </c>
      <c r="T10" s="1">
        <f t="shared" si="0"/>
        <v>0.77</v>
      </c>
    </row>
    <row r="11" spans="1:20" ht="25" customHeight="1">
      <c r="A11" t="s">
        <v>16</v>
      </c>
      <c r="B11">
        <v>2</v>
      </c>
      <c r="C11" t="s">
        <v>33</v>
      </c>
      <c r="D11" t="b">
        <v>1</v>
      </c>
      <c r="E11">
        <v>2</v>
      </c>
      <c r="F11" t="s">
        <v>19</v>
      </c>
      <c r="G11" t="str">
        <f>_xlfn.TEXTJOIN("-",TRUE,Table23[[#This Row],[attribute]],LEFT(Table23[[#This Row],[supplemented]],1),Table23[[#This Row],[method]])</f>
        <v>gender2-T-RF</v>
      </c>
      <c r="H11" s="1">
        <v>0.95</v>
      </c>
      <c r="I11" s="1">
        <v>0.93</v>
      </c>
      <c r="J11" s="1">
        <v>0.91</v>
      </c>
      <c r="K11" s="1">
        <v>0.89</v>
      </c>
      <c r="L11" s="1">
        <v>0.89</v>
      </c>
      <c r="M11" s="1">
        <v>0.91</v>
      </c>
      <c r="N11" s="1">
        <v>0.93</v>
      </c>
      <c r="O11" s="1">
        <v>0.92</v>
      </c>
      <c r="P11" s="1">
        <v>0.9</v>
      </c>
      <c r="Q11" s="1">
        <v>0.93</v>
      </c>
      <c r="R11" s="1">
        <v>0.92</v>
      </c>
      <c r="S11" s="1">
        <v>0.89</v>
      </c>
      <c r="T11" s="1">
        <f t="shared" si="0"/>
        <v>0.95</v>
      </c>
    </row>
    <row r="12" spans="1:20" ht="25" customHeight="1">
      <c r="A12" t="s">
        <v>16</v>
      </c>
      <c r="B12">
        <v>2</v>
      </c>
      <c r="C12" t="s">
        <v>33</v>
      </c>
      <c r="D12" t="b">
        <v>0</v>
      </c>
      <c r="E12">
        <v>3</v>
      </c>
      <c r="F12" t="s">
        <v>18</v>
      </c>
      <c r="G12" t="str">
        <f>_xlfn.TEXTJOIN("-",TRUE,Table23[[#This Row],[attribute]],LEFT(Table23[[#This Row],[supplemented]],1),Table23[[#This Row],[method]])</f>
        <v>gender2-F-NN</v>
      </c>
      <c r="H12" s="1">
        <v>0.76</v>
      </c>
      <c r="I12" s="1">
        <v>0.71</v>
      </c>
      <c r="J12" s="1">
        <v>0.75</v>
      </c>
      <c r="K12" s="1">
        <v>0.74</v>
      </c>
      <c r="L12" s="1">
        <v>0.76</v>
      </c>
      <c r="M12" s="1">
        <v>0.74</v>
      </c>
      <c r="N12" s="1">
        <v>0.66</v>
      </c>
      <c r="O12" s="1">
        <v>0.77</v>
      </c>
      <c r="P12" s="1">
        <v>0.77</v>
      </c>
      <c r="Q12" s="1">
        <v>0.71</v>
      </c>
      <c r="R12" s="1">
        <v>0.74</v>
      </c>
      <c r="S12" s="1">
        <v>0.7</v>
      </c>
      <c r="T12" s="1">
        <f t="shared" si="0"/>
        <v>0.77</v>
      </c>
    </row>
    <row r="13" spans="1:20" ht="25" customHeight="1">
      <c r="A13" t="s">
        <v>16</v>
      </c>
      <c r="B13">
        <v>2</v>
      </c>
      <c r="C13" t="s">
        <v>33</v>
      </c>
      <c r="D13" t="b">
        <v>1</v>
      </c>
      <c r="E13">
        <v>3</v>
      </c>
      <c r="F13" t="s">
        <v>18</v>
      </c>
      <c r="G13" t="str">
        <f>_xlfn.TEXTJOIN("-",TRUE,Table23[[#This Row],[attribute]],LEFT(Table23[[#This Row],[supplemented]],1),Table23[[#This Row],[method]])</f>
        <v>gender2-T-NN</v>
      </c>
      <c r="H13" s="1">
        <v>0.94</v>
      </c>
      <c r="I13" s="1">
        <v>0.91</v>
      </c>
      <c r="J13" s="1">
        <v>0.91</v>
      </c>
      <c r="K13" s="1">
        <v>0.91</v>
      </c>
      <c r="L13" s="1">
        <v>0.92</v>
      </c>
      <c r="M13" s="1">
        <v>0.91</v>
      </c>
      <c r="N13" s="1">
        <v>0.93</v>
      </c>
      <c r="O13" s="1">
        <v>0.92</v>
      </c>
      <c r="P13" s="1">
        <v>0.94</v>
      </c>
      <c r="Q13" s="1">
        <v>0.93</v>
      </c>
      <c r="R13" s="1">
        <v>0.92</v>
      </c>
      <c r="S13" s="1">
        <v>0.9</v>
      </c>
      <c r="T13" s="1">
        <f t="shared" si="0"/>
        <v>0.94</v>
      </c>
    </row>
    <row r="14" spans="1:20" ht="25" customHeight="1">
      <c r="A14" t="s">
        <v>16</v>
      </c>
      <c r="B14">
        <v>3</v>
      </c>
      <c r="C14" t="s">
        <v>22</v>
      </c>
      <c r="D14" t="b">
        <v>0</v>
      </c>
      <c r="E14">
        <v>1</v>
      </c>
      <c r="F14" t="s">
        <v>20</v>
      </c>
      <c r="G14" t="str">
        <f>_xlfn.TEXTJOIN("-",TRUE,Table23[[#This Row],[attribute]],LEFT(Table23[[#This Row],[supplemented]],1),Table23[[#This Row],[method]])</f>
        <v>case-F-DT</v>
      </c>
      <c r="H14" s="1">
        <v>0.41</v>
      </c>
      <c r="I14" s="1">
        <v>0.39</v>
      </c>
      <c r="J14" s="1">
        <v>0.46</v>
      </c>
      <c r="K14" s="1">
        <v>0.43</v>
      </c>
      <c r="L14" s="1">
        <v>0.32</v>
      </c>
      <c r="M14" s="1">
        <v>0.32</v>
      </c>
      <c r="N14" s="1">
        <v>0.43</v>
      </c>
      <c r="O14" s="1">
        <v>0.42</v>
      </c>
      <c r="P14" s="1">
        <v>0.43</v>
      </c>
      <c r="Q14" s="1">
        <v>0.43</v>
      </c>
      <c r="R14" s="1">
        <v>0.42</v>
      </c>
      <c r="S14" s="1">
        <v>0.32</v>
      </c>
      <c r="T14" s="1">
        <f t="shared" si="0"/>
        <v>0.46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1</v>
      </c>
      <c r="F15" t="s">
        <v>20</v>
      </c>
      <c r="G15" t="str">
        <f>_xlfn.TEXTJOIN("-",TRUE,Table23[[#This Row],[attribute]],LEFT(Table23[[#This Row],[supplemented]],1),Table23[[#This Row],[method]])</f>
        <v>case-T-DT</v>
      </c>
      <c r="H15" s="1">
        <v>0.55000000000000004</v>
      </c>
      <c r="I15" s="1">
        <v>0.54</v>
      </c>
      <c r="J15" s="1">
        <v>0.48</v>
      </c>
      <c r="K15" s="1">
        <v>0.45</v>
      </c>
      <c r="L15" s="1">
        <v>0.41</v>
      </c>
      <c r="M15" s="1">
        <v>0.45</v>
      </c>
      <c r="N15" s="1">
        <v>0.49</v>
      </c>
      <c r="O15" s="1">
        <v>0.56000000000000005</v>
      </c>
      <c r="P15" s="1">
        <v>0.52</v>
      </c>
      <c r="Q15" s="1">
        <v>0.51</v>
      </c>
      <c r="R15" s="1">
        <v>0.47</v>
      </c>
      <c r="S15" s="1">
        <v>0.42</v>
      </c>
      <c r="T15" s="1">
        <f t="shared" si="0"/>
        <v>0.56000000000000005</v>
      </c>
    </row>
    <row r="16" spans="1:20" ht="25" customHeight="1">
      <c r="A16" t="s">
        <v>16</v>
      </c>
      <c r="B16">
        <v>3</v>
      </c>
      <c r="C16" t="s">
        <v>22</v>
      </c>
      <c r="D16" t="b">
        <v>0</v>
      </c>
      <c r="E16">
        <v>2</v>
      </c>
      <c r="F16" t="s">
        <v>19</v>
      </c>
      <c r="G16" t="str">
        <f>_xlfn.TEXTJOIN("-",TRUE,Table23[[#This Row],[attribute]],LEFT(Table23[[#This Row],[supplemented]],1),Table23[[#This Row],[method]])</f>
        <v>case-F-RF</v>
      </c>
      <c r="H16" s="1">
        <v>0.45</v>
      </c>
      <c r="I16" s="1">
        <v>0.48</v>
      </c>
      <c r="J16" s="1">
        <v>0.47</v>
      </c>
      <c r="K16" s="1">
        <v>0.4</v>
      </c>
      <c r="L16" s="1">
        <v>0.45</v>
      </c>
      <c r="M16" s="1">
        <v>0.45</v>
      </c>
      <c r="N16" s="1">
        <v>0.45</v>
      </c>
      <c r="O16" s="1">
        <v>0.48</v>
      </c>
      <c r="P16" s="1">
        <v>0.44</v>
      </c>
      <c r="Q16" s="1">
        <v>0.44</v>
      </c>
      <c r="R16" s="1">
        <v>0.48</v>
      </c>
      <c r="S16" s="1">
        <v>0.43</v>
      </c>
      <c r="T16" s="1">
        <f t="shared" si="0"/>
        <v>0.48</v>
      </c>
    </row>
    <row r="17" spans="1:20" ht="25" customHeight="1">
      <c r="A17" t="s">
        <v>16</v>
      </c>
      <c r="B17">
        <v>3</v>
      </c>
      <c r="C17" t="s">
        <v>22</v>
      </c>
      <c r="D17" t="b">
        <v>1</v>
      </c>
      <c r="E17">
        <v>2</v>
      </c>
      <c r="F17" t="s">
        <v>19</v>
      </c>
      <c r="G17" t="str">
        <f>_xlfn.TEXTJOIN("-",TRUE,Table23[[#This Row],[attribute]],LEFT(Table23[[#This Row],[supplemented]],1),Table23[[#This Row],[method]])</f>
        <v>case-T-RF</v>
      </c>
      <c r="H17" s="1">
        <v>0.59</v>
      </c>
      <c r="I17" s="1">
        <v>0.56000000000000005</v>
      </c>
      <c r="J17" s="1">
        <v>0.55000000000000004</v>
      </c>
      <c r="K17" s="1">
        <v>0.56000000000000005</v>
      </c>
      <c r="L17" s="1">
        <v>0.52</v>
      </c>
      <c r="M17" s="1">
        <v>0.51</v>
      </c>
      <c r="N17" s="1">
        <v>0.52</v>
      </c>
      <c r="O17" s="1">
        <v>0.59</v>
      </c>
      <c r="P17" s="1">
        <v>0.54</v>
      </c>
      <c r="Q17" s="1">
        <v>0.49</v>
      </c>
      <c r="R17" s="1">
        <v>0.49</v>
      </c>
      <c r="S17" s="1">
        <v>0.5</v>
      </c>
      <c r="T17" s="1">
        <f t="shared" si="0"/>
        <v>0.59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3</v>
      </c>
      <c r="F18" t="s">
        <v>18</v>
      </c>
      <c r="G18" t="str">
        <f>_xlfn.TEXTJOIN("-",TRUE,Table23[[#This Row],[attribute]],LEFT(Table23[[#This Row],[supplemented]],1),Table23[[#This Row],[method]])</f>
        <v>case-F-NN</v>
      </c>
      <c r="H18" s="1">
        <v>0.46</v>
      </c>
      <c r="I18" s="1">
        <v>0.4</v>
      </c>
      <c r="J18" s="1">
        <v>0.47</v>
      </c>
      <c r="K18" s="1">
        <v>0.4</v>
      </c>
      <c r="L18" s="1">
        <v>0.36</v>
      </c>
      <c r="M18" s="1">
        <v>0.4</v>
      </c>
      <c r="N18" s="1">
        <v>0.4</v>
      </c>
      <c r="O18" s="1">
        <v>0.45</v>
      </c>
      <c r="P18" s="1">
        <v>0.39</v>
      </c>
      <c r="Q18" s="1">
        <v>0.38</v>
      </c>
      <c r="R18" s="1">
        <v>0.41</v>
      </c>
      <c r="S18" s="1">
        <v>0.39</v>
      </c>
      <c r="T18" s="1">
        <f t="shared" si="0"/>
        <v>0.47</v>
      </c>
    </row>
    <row r="19" spans="1:20" ht="25" customHeight="1">
      <c r="A19" t="s">
        <v>16</v>
      </c>
      <c r="B19">
        <v>3</v>
      </c>
      <c r="C19" t="s">
        <v>22</v>
      </c>
      <c r="D19" t="b">
        <v>1</v>
      </c>
      <c r="E19">
        <v>3</v>
      </c>
      <c r="F19" t="s">
        <v>18</v>
      </c>
      <c r="G19" t="str">
        <f>_xlfn.TEXTJOIN("-",TRUE,Table23[[#This Row],[attribute]],LEFT(Table23[[#This Row],[supplemented]],1),Table23[[#This Row],[method]])</f>
        <v>case-T-NN</v>
      </c>
      <c r="H19" s="1">
        <v>0.54</v>
      </c>
      <c r="I19" s="1">
        <v>0.49</v>
      </c>
      <c r="J19" s="1">
        <v>0.52</v>
      </c>
      <c r="K19" s="1">
        <v>0.43</v>
      </c>
      <c r="L19" s="1">
        <v>0.38</v>
      </c>
      <c r="M19" s="1">
        <v>0.41</v>
      </c>
      <c r="N19" s="1">
        <v>0.46</v>
      </c>
      <c r="O19" s="1">
        <v>0.55000000000000004</v>
      </c>
      <c r="P19" s="1">
        <v>0.51</v>
      </c>
      <c r="Q19" s="1">
        <v>0.4</v>
      </c>
      <c r="R19" s="1">
        <v>0.41</v>
      </c>
      <c r="S19" s="1">
        <v>0.39</v>
      </c>
      <c r="T19" s="1">
        <f t="shared" si="0"/>
        <v>0.55000000000000004</v>
      </c>
    </row>
    <row r="22" spans="1:20" ht="25" customHeight="1">
      <c r="B22" t="s">
        <v>24</v>
      </c>
      <c r="C22" t="s">
        <v>1</v>
      </c>
      <c r="D22" t="s">
        <v>26</v>
      </c>
      <c r="E22" t="s">
        <v>25</v>
      </c>
      <c r="F22" t="s">
        <v>3</v>
      </c>
      <c r="G22" t="s">
        <v>37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5" customHeight="1">
      <c r="B23" s="6">
        <v>1</v>
      </c>
      <c r="C23" t="s">
        <v>17</v>
      </c>
      <c r="D23" t="b">
        <v>0</v>
      </c>
      <c r="E23">
        <v>1</v>
      </c>
      <c r="F23" t="s">
        <v>23</v>
      </c>
      <c r="G23" s="8" t="str">
        <f>_xlfn.TEXTJOIN("-",TRUE,Table2122325[[#This Row],[attribute]],LEFT(Table2122325[[#This Row],[supplemented]],1),Table2122325[[#This Row],[method]])</f>
        <v>plurality-F-max</v>
      </c>
      <c r="H23" s="1" cm="1">
        <f t="array" ref="H23">_xlfn.LET(_xlpm.d,H$2:H$19,_xlpm.a,$C$2:$C$19=$C23,_xlpm.b,$D$2:$D$19=$D23,MAX(_xlfn._xlws.FILTER(_xlpm.d,_xlpm.a*_xlpm.b)))</f>
        <v>0.84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0.85</v>
      </c>
      <c r="K23" s="1" cm="1">
        <f t="array" ref="K23">_xlfn.LET(_xlpm.d,K$2:K$19,_xlpm.a,$C$2:$C$19=$C23,_xlpm.b,$D$2:$D$19=$D23,MAX(_xlfn._xlws.FILTER(_xlpm.d,_xlpm.a*_xlpm.b)))</f>
        <v>0.9</v>
      </c>
      <c r="L23" s="1" cm="1">
        <f t="array" ref="L23">_xlfn.LET(_xlpm.d,L$2:L$19,_xlpm.a,$C$2:$C$19=$C23,_xlpm.b,$D$2:$D$19=$D23,MAX(_xlfn._xlws.FILTER(_xlpm.d,_xlpm.a*_xlpm.b)))</f>
        <v>0.82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0.83</v>
      </c>
      <c r="O23" s="1" cm="1">
        <f t="array" ref="O23">_xlfn.LET(_xlpm.d,O$2:O$19,_xlpm.a,$C$2:$C$19=$C23,_xlpm.b,$D$2:$D$19=$D23,MAX(_xlfn._xlws.FILTER(_xlpm.d,_xlpm.a*_xlpm.b)))</f>
        <v>0.83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0.85</v>
      </c>
      <c r="S23" s="1" cm="1">
        <f t="array" ref="S23">_xlfn.LET(_xlpm.d,S$2:S$19,_xlpm.a,$C$2:$C$19=$C23,_xlpm.b,$D$2:$D$19=$D23,MAX(_xlfn._xlws.FILTER(_xlpm.d,_xlpm.a*_xlpm.b)))</f>
        <v>0.84</v>
      </c>
      <c r="T23" s="1" cm="1">
        <f t="array" ref="T23">_xlfn.LET(_xlpm.d,T$2:T$19,_xlpm.a,$C$2:$C$19=$C23,_xlpm.b,$D$2:$D$19=$D23,MAX(_xlfn._xlws.FILTER(_xlpm.d,_xlpm.a*_xlpm.b)))</f>
        <v>0.9</v>
      </c>
    </row>
    <row r="24" spans="1:20" ht="25" customHeight="1">
      <c r="B24" s="6">
        <v>1</v>
      </c>
      <c r="C24" t="s">
        <v>17</v>
      </c>
      <c r="D24" t="b">
        <v>1</v>
      </c>
      <c r="E24">
        <v>1</v>
      </c>
      <c r="F24" t="s">
        <v>23</v>
      </c>
      <c r="G24" t="str">
        <f>_xlfn.TEXTJOIN("-",TRUE,Table2122325[[#This Row],[attribute]],LEFT(Table2122325[[#This Row],[supplemented]],1),Table2122325[[#This Row],[method]])</f>
        <v>plurality-T-max</v>
      </c>
      <c r="H24" s="1" cm="1">
        <f t="array" ref="H24">_xlfn.LET(_xlpm.d,H$2:H$19,_xlpm.a,$C$2:$C$19=$C24,_xlpm.b,$D$2:$D$19=$D24,MAX(_xlfn._xlws.FILTER(_xlpm.d,_xlpm.a*_xlpm.b)))</f>
        <v>0.94</v>
      </c>
      <c r="I24" s="1" cm="1">
        <f t="array" ref="I24">_xlfn.LET(_xlpm.d,I$2:I$19,_xlpm.a,$C$2:$C$19=$C24,_xlpm.b,$D$2:$D$19=$D24,MAX(_xlfn._xlws.FILTER(_xlpm.d,_xlpm.a*_xlpm.b)))</f>
        <v>0.91</v>
      </c>
      <c r="J24" s="1" cm="1">
        <f t="array" ref="J24">_xlfn.LET(_xlpm.d,J$2:J$19,_xlpm.a,$C$2:$C$19=$C24,_xlpm.b,$D$2:$D$19=$D24,MAX(_xlfn._xlws.FILTER(_xlpm.d,_xlpm.a*_xlpm.b)))</f>
        <v>0.89</v>
      </c>
      <c r="K24" s="1" cm="1">
        <f t="array" ref="K24">_xlfn.LET(_xlpm.d,K$2:K$19,_xlpm.a,$C$2:$C$19=$C24,_xlpm.b,$D$2:$D$19=$D24,MAX(_xlfn._xlws.FILTER(_xlpm.d,_xlpm.a*_xlpm.b)))</f>
        <v>0.92</v>
      </c>
      <c r="L24" s="1" cm="1">
        <f t="array" ref="L24">_xlfn.LET(_xlpm.d,L$2:L$19,_xlpm.a,$C$2:$C$19=$C24,_xlpm.b,$D$2:$D$19=$D24,MAX(_xlfn._xlws.FILTER(_xlpm.d,_xlpm.a*_xlpm.b)))</f>
        <v>0.84</v>
      </c>
      <c r="M24" s="1" cm="1">
        <f t="array" ref="M24">_xlfn.LET(_xlpm.d,M$2:M$19,_xlpm.a,$C$2:$C$19=$C24,_xlpm.b,$D$2:$D$19=$D24,MAX(_xlfn._xlws.FILTER(_xlpm.d,_xlpm.a*_xlpm.b)))</f>
        <v>0.9</v>
      </c>
      <c r="N24" s="1" cm="1">
        <f t="array" ref="N24">_xlfn.LET(_xlpm.d,N$2:N$19,_xlpm.a,$C$2:$C$19=$C24,_xlpm.b,$D$2:$D$19=$D24,MAX(_xlfn._xlws.FILTER(_xlpm.d,_xlpm.a*_xlpm.b)))</f>
        <v>0.9</v>
      </c>
      <c r="O24" s="1" cm="1">
        <f t="array" ref="O24">_xlfn.LET(_xlpm.d,O$2:O$19,_xlpm.a,$C$2:$C$19=$C24,_xlpm.b,$D$2:$D$19=$D24,MAX(_xlfn._xlws.FILTER(_xlpm.d,_xlpm.a*_xlpm.b)))</f>
        <v>0.93</v>
      </c>
      <c r="P24" s="1" cm="1">
        <f t="array" ref="P24">_xlfn.LET(_xlpm.d,P$2:P$19,_xlpm.a,$C$2:$C$19=$C24,_xlpm.b,$D$2:$D$19=$D24,MAX(_xlfn._xlws.FILTER(_xlpm.d,_xlpm.a*_xlpm.b)))</f>
        <v>0.87</v>
      </c>
      <c r="Q24" s="1" cm="1">
        <f t="array" ref="Q24">_xlfn.LET(_xlpm.d,Q$2:Q$19,_xlpm.a,$C$2:$C$19=$C24,_xlpm.b,$D$2:$D$19=$D24,MAX(_xlfn._xlws.FILTER(_xlpm.d,_xlpm.a*_xlpm.b)))</f>
        <v>0.88</v>
      </c>
      <c r="R24" s="1" cm="1">
        <f t="array" ref="R24">_xlfn.LET(_xlpm.d,R$2:R$19,_xlpm.a,$C$2:$C$19=$C24,_xlpm.b,$D$2:$D$19=$D24,MAX(_xlfn._xlws.FILTER(_xlpm.d,_xlpm.a*_xlpm.b)))</f>
        <v>0.88</v>
      </c>
      <c r="S24" s="1" cm="1">
        <f t="array" ref="S24">_xlfn.LET(_xlpm.d,S$2:S$19,_xlpm.a,$C$2:$C$19=$C24,_xlpm.b,$D$2:$D$19=$D24,MAX(_xlfn._xlws.FILTER(_xlpm.d,_xlpm.a*_xlpm.b)))</f>
        <v>0.83</v>
      </c>
      <c r="T24" s="1" cm="1">
        <f t="array" ref="T24">_xlfn.LET(_xlpm.d,T$2:T$19,_xlpm.a,$C$2:$C$19=$C24,_xlpm.b,$D$2:$D$19=$D24,MAX(_xlfn._xlws.FILTER(_xlpm.d,_xlpm.a*_xlpm.b)))</f>
        <v>0.94</v>
      </c>
    </row>
    <row r="25" spans="1:20" ht="25" customHeight="1">
      <c r="B25" s="6">
        <v>2</v>
      </c>
      <c r="C25" t="s">
        <v>33</v>
      </c>
      <c r="D25" t="b">
        <v>0</v>
      </c>
      <c r="E25">
        <v>1</v>
      </c>
      <c r="F25" t="s">
        <v>23</v>
      </c>
      <c r="G25" t="str">
        <f>_xlfn.TEXTJOIN("-",TRUE,Table2122325[[#This Row],[attribute]],LEFT(Table2122325[[#This Row],[supplemented]],1),Table2122325[[#This Row],[method]])</f>
        <v>gender2-F-max</v>
      </c>
      <c r="H25" s="1" cm="1">
        <f t="array" ref="H25">_xlfn.LET(_xlpm.d,H$2:H$19,_xlpm.a,$C$2:$C$19=$C25,_xlpm.b,$D$2:$D$19=$D25,MAX(_xlfn._xlws.FILTER(_xlpm.d,_xlpm.a*_xlpm.b)))</f>
        <v>0.76</v>
      </c>
      <c r="I25" s="1" cm="1">
        <f t="array" ref="I25">_xlfn.LET(_xlpm.d,I$2:I$19,_xlpm.a,$C$2:$C$19=$C25,_xlpm.b,$D$2:$D$19=$D25,MAX(_xlfn._xlws.FILTER(_xlpm.d,_xlpm.a*_xlpm.b)))</f>
        <v>0.73</v>
      </c>
      <c r="J25" s="1" cm="1">
        <f t="array" ref="J25">_xlfn.LET(_xlpm.d,J$2:J$19,_xlpm.a,$C$2:$C$19=$C25,_xlpm.b,$D$2:$D$19=$D25,MAX(_xlfn._xlws.FILTER(_xlpm.d,_xlpm.a*_xlpm.b)))</f>
        <v>0.75</v>
      </c>
      <c r="K25" s="1" cm="1">
        <f t="array" ref="K25">_xlfn.LET(_xlpm.d,K$2:K$19,_xlpm.a,$C$2:$C$19=$C25,_xlpm.b,$D$2:$D$19=$D25,MAX(_xlfn._xlws.FILTER(_xlpm.d,_xlpm.a*_xlpm.b)))</f>
        <v>0.74</v>
      </c>
      <c r="L25" s="1" cm="1">
        <f t="array" ref="L25">_xlfn.LET(_xlpm.d,L$2:L$19,_xlpm.a,$C$2:$C$19=$C25,_xlpm.b,$D$2:$D$19=$D25,MAX(_xlfn._xlws.FILTER(_xlpm.d,_xlpm.a*_xlpm.b)))</f>
        <v>0.76</v>
      </c>
      <c r="M25" s="1" cm="1">
        <f t="array" ref="M25">_xlfn.LET(_xlpm.d,M$2:M$19,_xlpm.a,$C$2:$C$19=$C25,_xlpm.b,$D$2:$D$19=$D25,MAX(_xlfn._xlws.FILTER(_xlpm.d,_xlpm.a*_xlpm.b)))</f>
        <v>0.74</v>
      </c>
      <c r="N25" s="1" cm="1">
        <f t="array" ref="N25">_xlfn.LET(_xlpm.d,N$2:N$19,_xlpm.a,$C$2:$C$19=$C25,_xlpm.b,$D$2:$D$19=$D25,MAX(_xlfn._xlws.FILTER(_xlpm.d,_xlpm.a*_xlpm.b)))</f>
        <v>0.71</v>
      </c>
      <c r="O25" s="1" cm="1">
        <f t="array" ref="O25">_xlfn.LET(_xlpm.d,O$2:O$19,_xlpm.a,$C$2:$C$19=$C25,_xlpm.b,$D$2:$D$19=$D25,MAX(_xlfn._xlws.FILTER(_xlpm.d,_xlpm.a*_xlpm.b)))</f>
        <v>0.77</v>
      </c>
      <c r="P25" s="1" cm="1">
        <f t="array" ref="P25">_xlfn.LET(_xlpm.d,P$2:P$19,_xlpm.a,$C$2:$C$19=$C25,_xlpm.b,$D$2:$D$19=$D25,MAX(_xlfn._xlws.FILTER(_xlpm.d,_xlpm.a*_xlpm.b)))</f>
        <v>0.77</v>
      </c>
      <c r="Q25" s="1" cm="1">
        <f t="array" ref="Q25">_xlfn.LET(_xlpm.d,Q$2:Q$19,_xlpm.a,$C$2:$C$19=$C25,_xlpm.b,$D$2:$D$19=$D25,MAX(_xlfn._xlws.FILTER(_xlpm.d,_xlpm.a*_xlpm.b)))</f>
        <v>0.73</v>
      </c>
      <c r="R25" s="1" cm="1">
        <f t="array" ref="R25">_xlfn.LET(_xlpm.d,R$2:R$19,_xlpm.a,$C$2:$C$19=$C25,_xlpm.b,$D$2:$D$19=$D25,MAX(_xlfn._xlws.FILTER(_xlpm.d,_xlpm.a*_xlpm.b)))</f>
        <v>0.74</v>
      </c>
      <c r="S25" s="1" cm="1">
        <f t="array" ref="S25">_xlfn.LET(_xlpm.d,S$2:S$19,_xlpm.a,$C$2:$C$19=$C25,_xlpm.b,$D$2:$D$19=$D25,MAX(_xlfn._xlws.FILTER(_xlpm.d,_xlpm.a*_xlpm.b)))</f>
        <v>0.71</v>
      </c>
      <c r="T25" s="1" cm="1">
        <f t="array" ref="T25">_xlfn.LET(_xlpm.d,T$2:T$19,_xlpm.a,$C$2:$C$19=$C25,_xlpm.b,$D$2:$D$19=$D25,MAX(_xlfn._xlws.FILTER(_xlpm.d,_xlpm.a*_xlpm.b)))</f>
        <v>0.77</v>
      </c>
    </row>
    <row r="26" spans="1:20" ht="25" customHeight="1">
      <c r="B26" s="6">
        <v>2</v>
      </c>
      <c r="C26" t="s">
        <v>33</v>
      </c>
      <c r="D26" t="b">
        <v>1</v>
      </c>
      <c r="E26">
        <v>1</v>
      </c>
      <c r="F26" t="s">
        <v>23</v>
      </c>
      <c r="G26" t="str">
        <f>_xlfn.TEXTJOIN("-",TRUE,Table2122325[[#This Row],[attribute]],LEFT(Table2122325[[#This Row],[supplemented]],1),Table2122325[[#This Row],[method]])</f>
        <v>gender2-T-max</v>
      </c>
      <c r="H26" s="1" cm="1">
        <f t="array" ref="H26">_xlfn.LET(_xlpm.d,H$2:H$19,_xlpm.a,$C$2:$C$19=$C26,_xlpm.b,$D$2:$D$19=$D26,MAX(_xlfn._xlws.FILTER(_xlpm.d,_xlpm.a*_xlpm.b)))</f>
        <v>0.95</v>
      </c>
      <c r="I26" s="1" cm="1">
        <f t="array" ref="I26">_xlfn.LET(_xlpm.d,I$2:I$19,_xlpm.a,$C$2:$C$19=$C26,_xlpm.b,$D$2:$D$19=$D26,MAX(_xlfn._xlws.FILTER(_xlpm.d,_xlpm.a*_xlpm.b)))</f>
        <v>0.93</v>
      </c>
      <c r="J26" s="1" cm="1">
        <f t="array" ref="J26">_xlfn.LET(_xlpm.d,J$2:J$19,_xlpm.a,$C$2:$C$19=$C26,_xlpm.b,$D$2:$D$19=$D26,MAX(_xlfn._xlws.FILTER(_xlpm.d,_xlpm.a*_xlpm.b)))</f>
        <v>0.91</v>
      </c>
      <c r="K26" s="1" cm="1">
        <f t="array" ref="K26">_xlfn.LET(_xlpm.d,K$2:K$19,_xlpm.a,$C$2:$C$19=$C26,_xlpm.b,$D$2:$D$19=$D26,MAX(_xlfn._xlws.FILTER(_xlpm.d,_xlpm.a*_xlpm.b)))</f>
        <v>0.91</v>
      </c>
      <c r="L26" s="1" cm="1">
        <f t="array" ref="L26">_xlfn.LET(_xlpm.d,L$2:L$19,_xlpm.a,$C$2:$C$19=$C26,_xlpm.b,$D$2:$D$19=$D26,MAX(_xlfn._xlws.FILTER(_xlpm.d,_xlpm.a*_xlpm.b)))</f>
        <v>0.92</v>
      </c>
      <c r="M26" s="1" cm="1">
        <f t="array" ref="M26">_xlfn.LET(_xlpm.d,M$2:M$19,_xlpm.a,$C$2:$C$19=$C26,_xlpm.b,$D$2:$D$19=$D26,MAX(_xlfn._xlws.FILTER(_xlpm.d,_xlpm.a*_xlpm.b)))</f>
        <v>0.91</v>
      </c>
      <c r="N26" s="1" cm="1">
        <f t="array" ref="N26">_xlfn.LET(_xlpm.d,N$2:N$19,_xlpm.a,$C$2:$C$19=$C26,_xlpm.b,$D$2:$D$19=$D26,MAX(_xlfn._xlws.FILTER(_xlpm.d,_xlpm.a*_xlpm.b)))</f>
        <v>0.93</v>
      </c>
      <c r="O26" s="1" cm="1">
        <f t="array" ref="O26">_xlfn.LET(_xlpm.d,O$2:O$19,_xlpm.a,$C$2:$C$19=$C26,_xlpm.b,$D$2:$D$19=$D26,MAX(_xlfn._xlws.FILTER(_xlpm.d,_xlpm.a*_xlpm.b)))</f>
        <v>0.92</v>
      </c>
      <c r="P26" s="1" cm="1">
        <f t="array" ref="P26">_xlfn.LET(_xlpm.d,P$2:P$19,_xlpm.a,$C$2:$C$19=$C26,_xlpm.b,$D$2:$D$19=$D26,MAX(_xlfn._xlws.FILTER(_xlpm.d,_xlpm.a*_xlpm.b)))</f>
        <v>0.94</v>
      </c>
      <c r="Q26" s="1" cm="1">
        <f t="array" ref="Q26">_xlfn.LET(_xlpm.d,Q$2:Q$19,_xlpm.a,$C$2:$C$19=$C26,_xlpm.b,$D$2:$D$19=$D26,MAX(_xlfn._xlws.FILTER(_xlpm.d,_xlpm.a*_xlpm.b)))</f>
        <v>0.93</v>
      </c>
      <c r="R26" s="1" cm="1">
        <f t="array" ref="R26">_xlfn.LET(_xlpm.d,R$2:R$19,_xlpm.a,$C$2:$C$19=$C26,_xlpm.b,$D$2:$D$19=$D26,MAX(_xlfn._xlws.FILTER(_xlpm.d,_xlpm.a*_xlpm.b)))</f>
        <v>0.92</v>
      </c>
      <c r="S26" s="1" cm="1">
        <f t="array" ref="S26">_xlfn.LET(_xlpm.d,S$2:S$19,_xlpm.a,$C$2:$C$19=$C26,_xlpm.b,$D$2:$D$19=$D26,MAX(_xlfn._xlws.FILTER(_xlpm.d,_xlpm.a*_xlpm.b)))</f>
        <v>0.9</v>
      </c>
      <c r="T26" s="1" cm="1">
        <f t="array" ref="T26">_xlfn.LET(_xlpm.d,T$2:T$19,_xlpm.a,$C$2:$C$19=$C26,_xlpm.b,$D$2:$D$19=$D26,MAX(_xlfn._xlws.FILTER(_xlpm.d,_xlpm.a*_xlpm.b)))</f>
        <v>0.95</v>
      </c>
    </row>
    <row r="27" spans="1:20" ht="25" customHeight="1">
      <c r="B27" s="6">
        <v>3</v>
      </c>
      <c r="C27" t="s">
        <v>22</v>
      </c>
      <c r="D27" t="b">
        <v>0</v>
      </c>
      <c r="E27">
        <v>1</v>
      </c>
      <c r="F27" t="s">
        <v>23</v>
      </c>
      <c r="G27" t="str">
        <f>_xlfn.TEXTJOIN("-",TRUE,Table2122325[[#This Row],[attribute]],LEFT(Table2122325[[#This Row],[supplemented]],1),Table2122325[[#This Row],[method]])</f>
        <v>case-F-max</v>
      </c>
      <c r="H27" s="1" cm="1">
        <f t="array" ref="H27">_xlfn.LET(_xlpm.d,H$2:H$19,_xlpm.a,$C$2:$C$19=$C27,_xlpm.b,$D$2:$D$19=$D27,MAX(_xlfn._xlws.FILTER(_xlpm.d,_xlpm.a*_xlpm.b)))</f>
        <v>0.46</v>
      </c>
      <c r="I27" s="1" cm="1">
        <f t="array" ref="I27">_xlfn.LET(_xlpm.d,I$2:I$19,_xlpm.a,$C$2:$C$19=$C27,_xlpm.b,$D$2:$D$19=$D27,MAX(_xlfn._xlws.FILTER(_xlpm.d,_xlpm.a*_xlpm.b)))</f>
        <v>0.48</v>
      </c>
      <c r="J27" s="1" cm="1">
        <f t="array" ref="J27">_xlfn.LET(_xlpm.d,J$2:J$19,_xlpm.a,$C$2:$C$19=$C27,_xlpm.b,$D$2:$D$19=$D27,MAX(_xlfn._xlws.FILTER(_xlpm.d,_xlpm.a*_xlpm.b)))</f>
        <v>0.47</v>
      </c>
      <c r="K27" s="1" cm="1">
        <f t="array" ref="K27">_xlfn.LET(_xlpm.d,K$2:K$19,_xlpm.a,$C$2:$C$19=$C27,_xlpm.b,$D$2:$D$19=$D27,MAX(_xlfn._xlws.FILTER(_xlpm.d,_xlpm.a*_xlpm.b)))</f>
        <v>0.43</v>
      </c>
      <c r="L27" s="1" cm="1">
        <f t="array" ref="L27">_xlfn.LET(_xlpm.d,L$2:L$19,_xlpm.a,$C$2:$C$19=$C27,_xlpm.b,$D$2:$D$19=$D27,MAX(_xlfn._xlws.FILTER(_xlpm.d,_xlpm.a*_xlpm.b)))</f>
        <v>0.45</v>
      </c>
      <c r="M27" s="1" cm="1">
        <f t="array" ref="M27">_xlfn.LET(_xlpm.d,M$2:M$19,_xlpm.a,$C$2:$C$19=$C27,_xlpm.b,$D$2:$D$19=$D27,MAX(_xlfn._xlws.FILTER(_xlpm.d,_xlpm.a*_xlpm.b)))</f>
        <v>0.45</v>
      </c>
      <c r="N27" s="1" cm="1">
        <f t="array" ref="N27">_xlfn.LET(_xlpm.d,N$2:N$19,_xlpm.a,$C$2:$C$19=$C27,_xlpm.b,$D$2:$D$19=$D27,MAX(_xlfn._xlws.FILTER(_xlpm.d,_xlpm.a*_xlpm.b)))</f>
        <v>0.45</v>
      </c>
      <c r="O27" s="1" cm="1">
        <f t="array" ref="O27">_xlfn.LET(_xlpm.d,O$2:O$19,_xlpm.a,$C$2:$C$19=$C27,_xlpm.b,$D$2:$D$19=$D27,MAX(_xlfn._xlws.FILTER(_xlpm.d,_xlpm.a*_xlpm.b)))</f>
        <v>0.48</v>
      </c>
      <c r="P27" s="1" cm="1">
        <f t="array" ref="P27">_xlfn.LET(_xlpm.d,P$2:P$19,_xlpm.a,$C$2:$C$19=$C27,_xlpm.b,$D$2:$D$19=$D27,MAX(_xlfn._xlws.FILTER(_xlpm.d,_xlpm.a*_xlpm.b)))</f>
        <v>0.44</v>
      </c>
      <c r="Q27" s="1" cm="1">
        <f t="array" ref="Q27">_xlfn.LET(_xlpm.d,Q$2:Q$19,_xlpm.a,$C$2:$C$19=$C27,_xlpm.b,$D$2:$D$19=$D27,MAX(_xlfn._xlws.FILTER(_xlpm.d,_xlpm.a*_xlpm.b)))</f>
        <v>0.44</v>
      </c>
      <c r="R27" s="1" cm="1">
        <f t="array" ref="R27">_xlfn.LET(_xlpm.d,R$2:R$19,_xlpm.a,$C$2:$C$19=$C27,_xlpm.b,$D$2:$D$19=$D27,MAX(_xlfn._xlws.FILTER(_xlpm.d,_xlpm.a*_xlpm.b)))</f>
        <v>0.48</v>
      </c>
      <c r="S27" s="1" cm="1">
        <f t="array" ref="S27">_xlfn.LET(_xlpm.d,S$2:S$19,_xlpm.a,$C$2:$C$19=$C27,_xlpm.b,$D$2:$D$19=$D27,MAX(_xlfn._xlws.FILTER(_xlpm.d,_xlpm.a*_xlpm.b)))</f>
        <v>0.43</v>
      </c>
      <c r="T27" s="1" cm="1">
        <f t="array" ref="T27">_xlfn.LET(_xlpm.d,T$2:T$19,_xlpm.a,$C$2:$C$19=$C27,_xlpm.b,$D$2:$D$19=$D27,MAX(_xlfn._xlws.FILTER(_xlpm.d,_xlpm.a*_xlpm.b)))</f>
        <v>0.48</v>
      </c>
    </row>
    <row r="28" spans="1:20" ht="25" customHeight="1">
      <c r="B28" s="6">
        <v>3</v>
      </c>
      <c r="C28" t="s">
        <v>22</v>
      </c>
      <c r="D28" t="b">
        <v>1</v>
      </c>
      <c r="E28">
        <v>1</v>
      </c>
      <c r="F28" t="s">
        <v>23</v>
      </c>
      <c r="G28" t="str">
        <f>_xlfn.TEXTJOIN("-",TRUE,Table2122325[[#This Row],[attribute]],LEFT(Table2122325[[#This Row],[supplemented]],1),Table2122325[[#This Row],[method]])</f>
        <v>case-T-max</v>
      </c>
      <c r="H28" s="1" cm="1">
        <f t="array" ref="H28">_xlfn.LET(_xlpm.d,H$2:H$19,_xlpm.a,$C$2:$C$19=$C28,_xlpm.b,$D$2:$D$19=$D28,MAX(_xlfn._xlws.FILTER(_xlpm.d,_xlpm.a*_xlpm.b)))</f>
        <v>0.59</v>
      </c>
      <c r="I28" s="1" cm="1">
        <f t="array" ref="I28">_xlfn.LET(_xlpm.d,I$2:I$19,_xlpm.a,$C$2:$C$19=$C28,_xlpm.b,$D$2:$D$19=$D28,MAX(_xlfn._xlws.FILTER(_xlpm.d,_xlpm.a*_xlpm.b)))</f>
        <v>0.56000000000000005</v>
      </c>
      <c r="J28" s="1" cm="1">
        <f t="array" ref="J28">_xlfn.LET(_xlpm.d,J$2:J$19,_xlpm.a,$C$2:$C$19=$C28,_xlpm.b,$D$2:$D$19=$D28,MAX(_xlfn._xlws.FILTER(_xlpm.d,_xlpm.a*_xlpm.b)))</f>
        <v>0.55000000000000004</v>
      </c>
      <c r="K28" s="1" cm="1">
        <f t="array" ref="K28">_xlfn.LET(_xlpm.d,K$2:K$19,_xlpm.a,$C$2:$C$19=$C28,_xlpm.b,$D$2:$D$19=$D28,MAX(_xlfn._xlws.FILTER(_xlpm.d,_xlpm.a*_xlpm.b)))</f>
        <v>0.56000000000000005</v>
      </c>
      <c r="L28" s="1" cm="1">
        <f t="array" ref="L28">_xlfn.LET(_xlpm.d,L$2:L$19,_xlpm.a,$C$2:$C$19=$C28,_xlpm.b,$D$2:$D$19=$D28,MAX(_xlfn._xlws.FILTER(_xlpm.d,_xlpm.a*_xlpm.b)))</f>
        <v>0.52</v>
      </c>
      <c r="M28" s="1" cm="1">
        <f t="array" ref="M28">_xlfn.LET(_xlpm.d,M$2:M$19,_xlpm.a,$C$2:$C$19=$C28,_xlpm.b,$D$2:$D$19=$D28,MAX(_xlfn._xlws.FILTER(_xlpm.d,_xlpm.a*_xlpm.b)))</f>
        <v>0.51</v>
      </c>
      <c r="N28" s="1" cm="1">
        <f t="array" ref="N28">_xlfn.LET(_xlpm.d,N$2:N$19,_xlpm.a,$C$2:$C$19=$C28,_xlpm.b,$D$2:$D$19=$D28,MAX(_xlfn._xlws.FILTER(_xlpm.d,_xlpm.a*_xlpm.b)))</f>
        <v>0.52</v>
      </c>
      <c r="O28" s="1" cm="1">
        <f t="array" ref="O28">_xlfn.LET(_xlpm.d,O$2:O$19,_xlpm.a,$C$2:$C$19=$C28,_xlpm.b,$D$2:$D$19=$D28,MAX(_xlfn._xlws.FILTER(_xlpm.d,_xlpm.a*_xlpm.b)))</f>
        <v>0.59</v>
      </c>
      <c r="P28" s="1" cm="1">
        <f t="array" ref="P28">_xlfn.LET(_xlpm.d,P$2:P$19,_xlpm.a,$C$2:$C$19=$C28,_xlpm.b,$D$2:$D$19=$D28,MAX(_xlfn._xlws.FILTER(_xlpm.d,_xlpm.a*_xlpm.b)))</f>
        <v>0.54</v>
      </c>
      <c r="Q28" s="1" cm="1">
        <f t="array" ref="Q28">_xlfn.LET(_xlpm.d,Q$2:Q$19,_xlpm.a,$C$2:$C$19=$C28,_xlpm.b,$D$2:$D$19=$D28,MAX(_xlfn._xlws.FILTER(_xlpm.d,_xlpm.a*_xlpm.b)))</f>
        <v>0.51</v>
      </c>
      <c r="R28" s="1" cm="1">
        <f t="array" ref="R28">_xlfn.LET(_xlpm.d,R$2:R$19,_xlpm.a,$C$2:$C$19=$C28,_xlpm.b,$D$2:$D$19=$D28,MAX(_xlfn._xlws.FILTER(_xlpm.d,_xlpm.a*_xlpm.b)))</f>
        <v>0.49</v>
      </c>
      <c r="S28" s="1" cm="1">
        <f t="array" ref="S28">_xlfn.LET(_xlpm.d,S$2:S$19,_xlpm.a,$C$2:$C$19=$C28,_xlpm.b,$D$2:$D$19=$D28,MAX(_xlfn._xlws.FILTER(_xlpm.d,_xlpm.a*_xlpm.b)))</f>
        <v>0.5</v>
      </c>
      <c r="T28" s="1" cm="1">
        <f t="array" ref="T28">_xlfn.LET(_xlpm.d,T$2:T$19,_xlpm.a,$C$2:$C$19=$C28,_xlpm.b,$D$2:$D$19=$D28,MAX(_xlfn._xlws.FILTER(_xlpm.d,_xlpm.a*_xlpm.b)))</f>
        <v>0.59</v>
      </c>
    </row>
    <row r="31" spans="1:20" ht="25" customHeight="1">
      <c r="B31" t="s">
        <v>24</v>
      </c>
      <c r="C31" t="s">
        <v>1</v>
      </c>
      <c r="D31" t="s">
        <v>26</v>
      </c>
      <c r="E31" t="s">
        <v>25</v>
      </c>
      <c r="F31" t="s">
        <v>3</v>
      </c>
      <c r="G31" t="s">
        <v>37</v>
      </c>
      <c r="H31" t="s">
        <v>4</v>
      </c>
      <c r="I31" t="s">
        <v>5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 t="s">
        <v>15</v>
      </c>
    </row>
    <row r="32" spans="1:20" ht="25" customHeight="1">
      <c r="B32" s="7">
        <v>1</v>
      </c>
      <c r="C32" t="s">
        <v>17</v>
      </c>
      <c r="D32" t="b">
        <v>1</v>
      </c>
      <c r="E32">
        <v>1</v>
      </c>
      <c r="F32" t="s">
        <v>28</v>
      </c>
      <c r="G32" s="8" t="str">
        <f>_xlfn.TEXTJOIN("-",TRUE,Table426[[#This Row],[attribute]],LEFT(Table426[[#This Row],[supplemented]],1),Table426[[#This Row],[method]])</f>
        <v>plurality-T-max.rank</v>
      </c>
      <c r="H32" s="3">
        <f t="shared" ref="H32:S37" si="1">_xlfn.LET(_xlpm.d,$H23:$S23,RANK(H23,_xlpm.d))</f>
        <v>7</v>
      </c>
      <c r="I32" s="3">
        <f t="shared" si="1"/>
        <v>3</v>
      </c>
      <c r="J32" s="3">
        <f t="shared" si="1"/>
        <v>5</v>
      </c>
      <c r="K32" s="3">
        <f t="shared" si="1"/>
        <v>1</v>
      </c>
      <c r="L32" s="3">
        <f t="shared" si="1"/>
        <v>11</v>
      </c>
      <c r="M32" s="3">
        <f t="shared" si="1"/>
        <v>2</v>
      </c>
      <c r="N32" s="3">
        <f t="shared" si="1"/>
        <v>9</v>
      </c>
      <c r="O32" s="3">
        <f t="shared" si="1"/>
        <v>9</v>
      </c>
      <c r="P32" s="3">
        <f t="shared" si="1"/>
        <v>11</v>
      </c>
      <c r="Q32" s="3">
        <f t="shared" si="1"/>
        <v>3</v>
      </c>
      <c r="R32" s="3">
        <f t="shared" si="1"/>
        <v>5</v>
      </c>
      <c r="S32" s="3">
        <f t="shared" si="1"/>
        <v>7</v>
      </c>
    </row>
    <row r="33" spans="2:19" ht="25" customHeight="1">
      <c r="B33" s="3">
        <v>1</v>
      </c>
      <c r="C33" t="s">
        <v>17</v>
      </c>
      <c r="D33" t="b">
        <v>0</v>
      </c>
      <c r="E33">
        <v>1</v>
      </c>
      <c r="F33" t="s">
        <v>28</v>
      </c>
      <c r="G33" t="str">
        <f>_xlfn.TEXTJOIN("-",TRUE,Table426[[#This Row],[attribute]],LEFT(Table426[[#This Row],[supplemented]],1),Table426[[#This Row],[method]])</f>
        <v>plurality-F-max.rank</v>
      </c>
      <c r="H33" s="3">
        <f t="shared" si="1"/>
        <v>1</v>
      </c>
      <c r="I33" s="3">
        <f t="shared" si="1"/>
        <v>4</v>
      </c>
      <c r="J33" s="3">
        <f t="shared" si="1"/>
        <v>7</v>
      </c>
      <c r="K33" s="3">
        <f t="shared" si="1"/>
        <v>3</v>
      </c>
      <c r="L33" s="3">
        <f t="shared" si="1"/>
        <v>11</v>
      </c>
      <c r="M33" s="3">
        <f t="shared" si="1"/>
        <v>5</v>
      </c>
      <c r="N33" s="3">
        <f t="shared" si="1"/>
        <v>5</v>
      </c>
      <c r="O33" s="3">
        <f t="shared" si="1"/>
        <v>2</v>
      </c>
      <c r="P33" s="3">
        <f t="shared" si="1"/>
        <v>10</v>
      </c>
      <c r="Q33" s="3">
        <f t="shared" si="1"/>
        <v>8</v>
      </c>
      <c r="R33" s="3">
        <f t="shared" si="1"/>
        <v>8</v>
      </c>
      <c r="S33" s="3">
        <f t="shared" si="1"/>
        <v>12</v>
      </c>
    </row>
    <row r="34" spans="2:19" ht="25" customHeight="1">
      <c r="B34" s="3">
        <v>2</v>
      </c>
      <c r="C34" t="s">
        <v>33</v>
      </c>
      <c r="D34" t="b">
        <v>1</v>
      </c>
      <c r="E34">
        <v>1</v>
      </c>
      <c r="F34" t="s">
        <v>28</v>
      </c>
      <c r="G34" t="str">
        <f>_xlfn.TEXTJOIN("-",TRUE,Table426[[#This Row],[attribute]],LEFT(Table426[[#This Row],[supplemented]],1),Table426[[#This Row],[method]])</f>
        <v>gender2-T-max.rank</v>
      </c>
      <c r="H34" s="3">
        <f t="shared" si="1"/>
        <v>3</v>
      </c>
      <c r="I34" s="3">
        <f t="shared" si="1"/>
        <v>9</v>
      </c>
      <c r="J34" s="3">
        <f t="shared" si="1"/>
        <v>5</v>
      </c>
      <c r="K34" s="3">
        <f t="shared" si="1"/>
        <v>6</v>
      </c>
      <c r="L34" s="3">
        <f t="shared" si="1"/>
        <v>3</v>
      </c>
      <c r="M34" s="3">
        <f t="shared" si="1"/>
        <v>6</v>
      </c>
      <c r="N34" s="3">
        <f t="shared" si="1"/>
        <v>11</v>
      </c>
      <c r="O34" s="3">
        <f t="shared" si="1"/>
        <v>1</v>
      </c>
      <c r="P34" s="3">
        <f t="shared" si="1"/>
        <v>1</v>
      </c>
      <c r="Q34" s="3">
        <f t="shared" si="1"/>
        <v>9</v>
      </c>
      <c r="R34" s="3">
        <f t="shared" si="1"/>
        <v>6</v>
      </c>
      <c r="S34" s="3">
        <f t="shared" si="1"/>
        <v>11</v>
      </c>
    </row>
    <row r="35" spans="2:19" ht="25" customHeight="1">
      <c r="B35" s="3">
        <v>2</v>
      </c>
      <c r="C35" t="s">
        <v>33</v>
      </c>
      <c r="D35" t="b">
        <v>0</v>
      </c>
      <c r="E35">
        <v>1</v>
      </c>
      <c r="F35" t="s">
        <v>28</v>
      </c>
      <c r="G35" t="str">
        <f>_xlfn.TEXTJOIN("-",TRUE,Table426[[#This Row],[attribute]],LEFT(Table426[[#This Row],[supplemented]],1),Table426[[#This Row],[method]])</f>
        <v>gender2-F-max.rank</v>
      </c>
      <c r="H35" s="3">
        <f t="shared" si="1"/>
        <v>1</v>
      </c>
      <c r="I35" s="3">
        <f t="shared" si="1"/>
        <v>3</v>
      </c>
      <c r="J35" s="3">
        <f t="shared" si="1"/>
        <v>9</v>
      </c>
      <c r="K35" s="3">
        <f t="shared" si="1"/>
        <v>9</v>
      </c>
      <c r="L35" s="3">
        <f t="shared" si="1"/>
        <v>6</v>
      </c>
      <c r="M35" s="3">
        <f t="shared" si="1"/>
        <v>9</v>
      </c>
      <c r="N35" s="3">
        <f t="shared" si="1"/>
        <v>3</v>
      </c>
      <c r="O35" s="3">
        <f t="shared" si="1"/>
        <v>6</v>
      </c>
      <c r="P35" s="3">
        <f t="shared" si="1"/>
        <v>2</v>
      </c>
      <c r="Q35" s="3">
        <f t="shared" si="1"/>
        <v>3</v>
      </c>
      <c r="R35" s="3">
        <f t="shared" si="1"/>
        <v>6</v>
      </c>
      <c r="S35" s="3">
        <f t="shared" si="1"/>
        <v>12</v>
      </c>
    </row>
    <row r="36" spans="2:19" ht="25" customHeight="1">
      <c r="B36" s="3">
        <v>3</v>
      </c>
      <c r="C36" t="s">
        <v>22</v>
      </c>
      <c r="D36" t="b">
        <v>1</v>
      </c>
      <c r="E36">
        <v>1</v>
      </c>
      <c r="F36" t="s">
        <v>28</v>
      </c>
      <c r="G36" t="str">
        <f>_xlfn.TEXTJOIN("-",TRUE,Table426[[#This Row],[attribute]],LEFT(Table426[[#This Row],[supplemented]],1),Table426[[#This Row],[method]])</f>
        <v>case-T-max.rank</v>
      </c>
      <c r="H36" s="3">
        <f t="shared" si="1"/>
        <v>5</v>
      </c>
      <c r="I36" s="3">
        <f t="shared" si="1"/>
        <v>1</v>
      </c>
      <c r="J36" s="3">
        <f t="shared" si="1"/>
        <v>4</v>
      </c>
      <c r="K36" s="3">
        <f t="shared" si="1"/>
        <v>11</v>
      </c>
      <c r="L36" s="3">
        <f t="shared" si="1"/>
        <v>6</v>
      </c>
      <c r="M36" s="3">
        <f t="shared" si="1"/>
        <v>6</v>
      </c>
      <c r="N36" s="3">
        <f t="shared" si="1"/>
        <v>6</v>
      </c>
      <c r="O36" s="3">
        <f t="shared" si="1"/>
        <v>1</v>
      </c>
      <c r="P36" s="3">
        <f t="shared" si="1"/>
        <v>9</v>
      </c>
      <c r="Q36" s="3">
        <f t="shared" si="1"/>
        <v>9</v>
      </c>
      <c r="R36" s="3">
        <f t="shared" si="1"/>
        <v>1</v>
      </c>
      <c r="S36" s="3">
        <f t="shared" si="1"/>
        <v>11</v>
      </c>
    </row>
    <row r="37" spans="2:19" ht="25" customHeight="1">
      <c r="B37" s="8">
        <v>3</v>
      </c>
      <c r="C37" t="s">
        <v>22</v>
      </c>
      <c r="D37" t="b">
        <v>0</v>
      </c>
      <c r="E37">
        <v>1</v>
      </c>
      <c r="F37" t="s">
        <v>28</v>
      </c>
      <c r="G37" t="str">
        <f>_xlfn.TEXTJOIN("-",TRUE,Table426[[#This Row],[attribute]],LEFT(Table426[[#This Row],[supplemented]],1),Table426[[#This Row],[method]])</f>
        <v>case-F-max.rank</v>
      </c>
      <c r="H37" s="3">
        <f t="shared" si="1"/>
        <v>1</v>
      </c>
      <c r="I37" s="3">
        <f t="shared" si="1"/>
        <v>3</v>
      </c>
      <c r="J37" s="3">
        <f t="shared" si="1"/>
        <v>5</v>
      </c>
      <c r="K37" s="3">
        <f t="shared" si="1"/>
        <v>3</v>
      </c>
      <c r="L37" s="3">
        <f t="shared" si="1"/>
        <v>7</v>
      </c>
      <c r="M37" s="3">
        <f t="shared" si="1"/>
        <v>9</v>
      </c>
      <c r="N37" s="3">
        <f t="shared" si="1"/>
        <v>7</v>
      </c>
      <c r="O37" s="3">
        <f t="shared" si="1"/>
        <v>1</v>
      </c>
      <c r="P37" s="3">
        <f t="shared" si="1"/>
        <v>6</v>
      </c>
      <c r="Q37" s="3">
        <f t="shared" si="1"/>
        <v>9</v>
      </c>
      <c r="R37" s="3">
        <f t="shared" si="1"/>
        <v>12</v>
      </c>
      <c r="S37" s="3">
        <f t="shared" si="1"/>
        <v>11</v>
      </c>
    </row>
  </sheetData>
  <conditionalFormatting sqref="H32:S37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5A31-B0DF-904A-ADF3-ADC0B57577FD}">
  <sheetPr codeName="Sheet1"/>
  <dimension ref="A1:T34"/>
  <sheetViews>
    <sheetView workbookViewId="0">
      <pane xSplit="9800" ySplit="6920" topLeftCell="H19" activePane="bottomLeft"/>
      <selection activeCell="F6" sqref="F6"/>
      <selection pane="topRight" activeCell="I6" sqref="I6"/>
      <selection pane="bottomLeft" activeCell="B23" sqref="B23:T28"/>
      <selection pane="bottomRight" activeCell="U26" sqref="U26"/>
    </sheetView>
  </sheetViews>
  <sheetFormatPr baseColWidth="10" defaultRowHeight="27" customHeight="1"/>
  <cols>
    <col min="1" max="1" width="8.75" customWidth="1"/>
    <col min="2" max="2" width="7.5" customWidth="1"/>
    <col min="4" max="4" width="9.25" customWidth="1"/>
    <col min="5" max="5" width="6.5" customWidth="1"/>
    <col min="6" max="6" width="7" customWidth="1"/>
    <col min="7" max="19" width="8" customWidth="1"/>
  </cols>
  <sheetData>
    <row r="1" spans="1:20" ht="27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37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7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0.89</v>
      </c>
      <c r="I2" s="1">
        <v>0.83</v>
      </c>
      <c r="J2" s="1">
        <v>0.8</v>
      </c>
      <c r="K2" s="1">
        <v>0.87</v>
      </c>
      <c r="L2" s="1">
        <v>0.81</v>
      </c>
      <c r="M2" s="1">
        <v>0.78</v>
      </c>
      <c r="N2" s="1">
        <v>0.87</v>
      </c>
      <c r="O2" s="1">
        <v>0.83</v>
      </c>
      <c r="P2" s="1">
        <v>0.87</v>
      </c>
      <c r="Q2" s="1">
        <v>0.84</v>
      </c>
      <c r="R2" s="1">
        <v>0.82</v>
      </c>
      <c r="S2" s="1">
        <v>0.84</v>
      </c>
      <c r="T2" s="1">
        <f t="shared" ref="T2:T19" si="0">_xlfn.LET(_xlpm.d,$H2:$S2,MAX(_xlpm.d))</f>
        <v>0.89</v>
      </c>
    </row>
    <row r="3" spans="1:20" ht="27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H3" s="1">
        <v>0.93</v>
      </c>
      <c r="I3" s="1">
        <v>0.89</v>
      </c>
      <c r="J3" s="1">
        <v>0.86</v>
      </c>
      <c r="K3" s="1">
        <v>0.89</v>
      </c>
      <c r="L3" s="1">
        <v>0.86</v>
      </c>
      <c r="M3" s="1">
        <v>0.81</v>
      </c>
      <c r="N3" s="1">
        <v>0.89</v>
      </c>
      <c r="O3" s="1">
        <v>0.88</v>
      </c>
      <c r="P3" s="1">
        <v>0.91</v>
      </c>
      <c r="Q3" s="1">
        <v>0.88</v>
      </c>
      <c r="R3" s="1">
        <v>0.84</v>
      </c>
      <c r="S3" s="1">
        <v>0.89</v>
      </c>
      <c r="T3" s="1">
        <f t="shared" si="0"/>
        <v>0.93</v>
      </c>
    </row>
    <row r="4" spans="1:20" ht="27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H4" s="1">
        <v>0.87</v>
      </c>
      <c r="I4" s="1">
        <v>0.84</v>
      </c>
      <c r="J4" s="1">
        <v>0.82</v>
      </c>
      <c r="K4" s="1">
        <v>0.82</v>
      </c>
      <c r="L4" s="1">
        <v>0.83</v>
      </c>
      <c r="M4" s="1">
        <v>0.78</v>
      </c>
      <c r="N4" s="1">
        <v>0.89</v>
      </c>
      <c r="O4" s="1">
        <v>0.83</v>
      </c>
      <c r="P4" s="1">
        <v>0.85</v>
      </c>
      <c r="Q4" s="1">
        <v>0.83</v>
      </c>
      <c r="R4" s="1">
        <v>0.82</v>
      </c>
      <c r="S4" s="1">
        <v>0.82</v>
      </c>
      <c r="T4" s="1">
        <f t="shared" si="0"/>
        <v>0.89</v>
      </c>
    </row>
    <row r="5" spans="1:20" ht="27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H5" s="1">
        <v>0.82</v>
      </c>
      <c r="I5" s="1">
        <v>0.84</v>
      </c>
      <c r="J5" s="1">
        <v>0.8</v>
      </c>
      <c r="K5" s="1">
        <v>0.83</v>
      </c>
      <c r="L5" s="1">
        <v>0.81</v>
      </c>
      <c r="M5" s="1">
        <v>0.8</v>
      </c>
      <c r="N5" s="1">
        <v>0.78</v>
      </c>
      <c r="O5" s="1">
        <v>0.78</v>
      </c>
      <c r="P5" s="1">
        <v>0.87</v>
      </c>
      <c r="Q5" s="1">
        <v>0.8</v>
      </c>
      <c r="R5" s="1">
        <v>0.8</v>
      </c>
      <c r="S5" s="1">
        <v>0.82</v>
      </c>
      <c r="T5" s="1">
        <f t="shared" si="0"/>
        <v>0.87</v>
      </c>
    </row>
    <row r="6" spans="1:20" ht="27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H6" s="1">
        <v>0.85</v>
      </c>
      <c r="I6" s="1">
        <v>0.81</v>
      </c>
      <c r="J6" s="1">
        <v>0.81</v>
      </c>
      <c r="K6" s="1">
        <v>0.86</v>
      </c>
      <c r="L6" s="1">
        <v>0.85</v>
      </c>
      <c r="M6" s="1">
        <v>0.79</v>
      </c>
      <c r="N6" s="1">
        <v>0.79</v>
      </c>
      <c r="O6" s="1">
        <v>0.83</v>
      </c>
      <c r="P6" s="1">
        <v>0.86</v>
      </c>
      <c r="Q6" s="1">
        <v>0.84</v>
      </c>
      <c r="R6" s="1">
        <v>0.82</v>
      </c>
      <c r="S6" s="1">
        <v>0.87</v>
      </c>
      <c r="T6" s="1">
        <f t="shared" si="0"/>
        <v>0.87</v>
      </c>
    </row>
    <row r="7" spans="1:20" ht="27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H7" s="1">
        <v>0.83</v>
      </c>
      <c r="I7" s="1">
        <v>0.82</v>
      </c>
      <c r="J7" s="1">
        <v>0.8</v>
      </c>
      <c r="K7" s="1">
        <v>0.82</v>
      </c>
      <c r="L7" s="1">
        <v>0.84</v>
      </c>
      <c r="M7" s="1">
        <v>0.76</v>
      </c>
      <c r="N7" s="1">
        <v>0.78</v>
      </c>
      <c r="O7" s="1">
        <v>0.81</v>
      </c>
      <c r="P7" s="1">
        <v>0.81</v>
      </c>
      <c r="Q7" s="1">
        <v>0.81</v>
      </c>
      <c r="R7" s="1">
        <v>0.82</v>
      </c>
      <c r="S7" s="1">
        <v>0.8</v>
      </c>
      <c r="T7" s="1">
        <f t="shared" si="0"/>
        <v>0.84</v>
      </c>
    </row>
    <row r="8" spans="1:20" ht="27" customHeight="1">
      <c r="A8" t="s">
        <v>16</v>
      </c>
      <c r="B8">
        <v>2</v>
      </c>
      <c r="C8" t="s">
        <v>33</v>
      </c>
      <c r="D8" t="b">
        <v>1</v>
      </c>
      <c r="E8">
        <v>1</v>
      </c>
      <c r="F8" t="s">
        <v>20</v>
      </c>
      <c r="H8" s="1">
        <v>0.79</v>
      </c>
      <c r="I8" s="1">
        <v>0.83</v>
      </c>
      <c r="J8" s="1">
        <v>0.65</v>
      </c>
      <c r="K8" s="1">
        <v>0.69</v>
      </c>
      <c r="L8" s="1">
        <v>0.6</v>
      </c>
      <c r="M8" s="1">
        <v>0.54</v>
      </c>
      <c r="N8" s="1">
        <v>0.89</v>
      </c>
      <c r="O8" s="1">
        <v>0.74</v>
      </c>
      <c r="P8" s="1">
        <v>0.85</v>
      </c>
      <c r="Q8" s="1">
        <v>0.67</v>
      </c>
      <c r="R8" s="1">
        <v>0.61</v>
      </c>
      <c r="S8" s="1">
        <v>0.59</v>
      </c>
      <c r="T8" s="1">
        <f t="shared" si="0"/>
        <v>0.89</v>
      </c>
    </row>
    <row r="9" spans="1:20" ht="27" customHeight="1">
      <c r="A9" t="s">
        <v>16</v>
      </c>
      <c r="B9">
        <v>2</v>
      </c>
      <c r="C9" t="s">
        <v>33</v>
      </c>
      <c r="D9" t="b">
        <v>1</v>
      </c>
      <c r="E9">
        <v>2</v>
      </c>
      <c r="F9" t="s">
        <v>19</v>
      </c>
      <c r="H9" s="1">
        <v>0.91</v>
      </c>
      <c r="I9" s="1">
        <v>0.9</v>
      </c>
      <c r="J9" s="1">
        <v>0.9</v>
      </c>
      <c r="K9" s="1">
        <v>0.85</v>
      </c>
      <c r="L9" s="1">
        <v>0.82</v>
      </c>
      <c r="M9" s="1">
        <v>0.83</v>
      </c>
      <c r="N9" s="1">
        <v>0.89</v>
      </c>
      <c r="O9" s="1">
        <v>0.93</v>
      </c>
      <c r="P9" s="1">
        <v>0.92</v>
      </c>
      <c r="Q9" s="1">
        <v>0.88</v>
      </c>
      <c r="R9" s="1">
        <v>0.89</v>
      </c>
      <c r="S9" s="1">
        <v>0.69</v>
      </c>
      <c r="T9" s="1">
        <f t="shared" si="0"/>
        <v>0.93</v>
      </c>
    </row>
    <row r="10" spans="1:20" ht="27" customHeight="1">
      <c r="A10" t="s">
        <v>16</v>
      </c>
      <c r="B10">
        <v>2</v>
      </c>
      <c r="C10" t="s">
        <v>33</v>
      </c>
      <c r="D10" t="b">
        <v>1</v>
      </c>
      <c r="E10">
        <v>3</v>
      </c>
      <c r="F10" t="s">
        <v>18</v>
      </c>
      <c r="H10" s="1">
        <v>0.9</v>
      </c>
      <c r="I10" s="1">
        <v>0.92</v>
      </c>
      <c r="J10" s="1">
        <v>0.93</v>
      </c>
      <c r="K10" s="1">
        <v>0.89</v>
      </c>
      <c r="L10" s="1">
        <v>0.84</v>
      </c>
      <c r="M10" s="1">
        <v>0.82</v>
      </c>
      <c r="N10" s="1">
        <v>0.91</v>
      </c>
      <c r="O10" s="1">
        <v>0.94</v>
      </c>
      <c r="P10" s="1">
        <v>0.93</v>
      </c>
      <c r="Q10" s="1">
        <v>0.91</v>
      </c>
      <c r="R10" s="1">
        <v>0.88</v>
      </c>
      <c r="S10" s="1">
        <v>0.86</v>
      </c>
      <c r="T10" s="1">
        <f t="shared" si="0"/>
        <v>0.94</v>
      </c>
    </row>
    <row r="11" spans="1:20" ht="27" customHeight="1">
      <c r="A11" t="s">
        <v>16</v>
      </c>
      <c r="B11">
        <v>2</v>
      </c>
      <c r="C11" t="s">
        <v>33</v>
      </c>
      <c r="D11" t="b">
        <v>0</v>
      </c>
      <c r="E11">
        <v>1</v>
      </c>
      <c r="F11" t="s">
        <v>20</v>
      </c>
      <c r="H11" s="1">
        <v>0.59</v>
      </c>
      <c r="I11" s="1">
        <v>0.64</v>
      </c>
      <c r="J11" s="1">
        <v>0.62</v>
      </c>
      <c r="K11" s="1">
        <v>0.57999999999999996</v>
      </c>
      <c r="L11" s="1">
        <v>0.61</v>
      </c>
      <c r="M11" s="1">
        <v>0.54</v>
      </c>
      <c r="N11" s="1">
        <v>0.66</v>
      </c>
      <c r="O11" s="1">
        <v>0.62</v>
      </c>
      <c r="P11" s="1">
        <v>0.64</v>
      </c>
      <c r="Q11" s="1">
        <v>0.59</v>
      </c>
      <c r="R11" s="1">
        <v>0.59</v>
      </c>
      <c r="S11" s="1">
        <v>0.6</v>
      </c>
      <c r="T11" s="1">
        <f t="shared" si="0"/>
        <v>0.66</v>
      </c>
    </row>
    <row r="12" spans="1:20" ht="27" customHeight="1">
      <c r="A12" t="s">
        <v>16</v>
      </c>
      <c r="B12">
        <v>2</v>
      </c>
      <c r="C12" t="s">
        <v>33</v>
      </c>
      <c r="D12" t="b">
        <v>0</v>
      </c>
      <c r="E12">
        <v>2</v>
      </c>
      <c r="F12" t="s">
        <v>19</v>
      </c>
      <c r="H12" s="1">
        <v>0.7</v>
      </c>
      <c r="I12" s="1">
        <v>0.67</v>
      </c>
      <c r="J12" s="1">
        <v>0.71</v>
      </c>
      <c r="K12" s="1">
        <v>0.71</v>
      </c>
      <c r="L12" s="1">
        <v>0.67</v>
      </c>
      <c r="M12" s="1">
        <v>0.7</v>
      </c>
      <c r="N12" s="1">
        <v>0.72</v>
      </c>
      <c r="O12" s="1">
        <v>0.71</v>
      </c>
      <c r="P12" s="1">
        <v>0.72</v>
      </c>
      <c r="Q12" s="1">
        <v>0.62</v>
      </c>
      <c r="R12" s="1">
        <v>0.71</v>
      </c>
      <c r="S12" s="1">
        <v>0.66</v>
      </c>
      <c r="T12" s="1">
        <f t="shared" si="0"/>
        <v>0.72</v>
      </c>
    </row>
    <row r="13" spans="1:20" ht="27" customHeight="1">
      <c r="A13" t="s">
        <v>16</v>
      </c>
      <c r="B13">
        <v>2</v>
      </c>
      <c r="C13" t="s">
        <v>33</v>
      </c>
      <c r="D13" t="b">
        <v>0</v>
      </c>
      <c r="E13">
        <v>3</v>
      </c>
      <c r="F13" t="s">
        <v>18</v>
      </c>
      <c r="H13" s="1">
        <v>0.66</v>
      </c>
      <c r="I13" s="1">
        <v>0.7</v>
      </c>
      <c r="J13" s="1">
        <v>0.7</v>
      </c>
      <c r="K13" s="1">
        <v>0.68</v>
      </c>
      <c r="L13" s="1">
        <v>0.77</v>
      </c>
      <c r="M13" s="1">
        <v>0.73</v>
      </c>
      <c r="N13" s="1">
        <v>0.67</v>
      </c>
      <c r="O13" s="1">
        <v>0.67</v>
      </c>
      <c r="P13" s="1">
        <v>0.69</v>
      </c>
      <c r="Q13" s="1">
        <v>0.71</v>
      </c>
      <c r="R13" s="1">
        <v>0.71</v>
      </c>
      <c r="S13" s="1">
        <v>0.71</v>
      </c>
      <c r="T13" s="1">
        <f t="shared" si="0"/>
        <v>0.77</v>
      </c>
    </row>
    <row r="14" spans="1:20" ht="27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H14" s="1">
        <v>0.46</v>
      </c>
      <c r="I14" s="1">
        <v>0.51</v>
      </c>
      <c r="J14" s="1">
        <v>0.51</v>
      </c>
      <c r="K14" s="1">
        <v>0.46</v>
      </c>
      <c r="L14" s="1">
        <v>0.37</v>
      </c>
      <c r="M14" s="1">
        <v>0.38</v>
      </c>
      <c r="N14" s="1">
        <v>0.5</v>
      </c>
      <c r="O14" s="1">
        <v>0.51</v>
      </c>
      <c r="P14" s="1">
        <v>0.51</v>
      </c>
      <c r="Q14" s="1">
        <v>0.41</v>
      </c>
      <c r="R14" s="1">
        <v>0.32</v>
      </c>
      <c r="S14" s="1">
        <v>0.39</v>
      </c>
      <c r="T14" s="1">
        <f t="shared" si="0"/>
        <v>0.51</v>
      </c>
    </row>
    <row r="15" spans="1:20" ht="27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H15" s="1">
        <v>0.48</v>
      </c>
      <c r="I15" s="1">
        <v>0.56999999999999995</v>
      </c>
      <c r="J15" s="1">
        <v>0.62</v>
      </c>
      <c r="K15" s="1">
        <v>0.56000000000000005</v>
      </c>
      <c r="L15" s="1">
        <v>0.48</v>
      </c>
      <c r="M15" s="1">
        <v>0.47</v>
      </c>
      <c r="N15" s="1">
        <v>0.56000000000000005</v>
      </c>
      <c r="O15" s="1">
        <v>0.51</v>
      </c>
      <c r="P15" s="1">
        <v>0.51</v>
      </c>
      <c r="Q15" s="1">
        <v>0.6</v>
      </c>
      <c r="R15" s="1">
        <v>0.47</v>
      </c>
      <c r="S15" s="1">
        <v>0.46</v>
      </c>
      <c r="T15" s="1">
        <f t="shared" si="0"/>
        <v>0.62</v>
      </c>
    </row>
    <row r="16" spans="1:20" ht="27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H16" s="1">
        <v>0.46</v>
      </c>
      <c r="I16" s="1">
        <v>0.44</v>
      </c>
      <c r="J16" s="1">
        <v>0.4</v>
      </c>
      <c r="K16" s="1">
        <v>0.37</v>
      </c>
      <c r="L16" s="1">
        <v>0.37</v>
      </c>
      <c r="M16" s="1">
        <v>0.36</v>
      </c>
      <c r="N16" s="1">
        <v>0.51</v>
      </c>
      <c r="O16" s="1">
        <v>0.4</v>
      </c>
      <c r="P16" s="1">
        <v>0.4</v>
      </c>
      <c r="Q16" s="1">
        <v>0.41</v>
      </c>
      <c r="R16" s="1">
        <v>0.37</v>
      </c>
      <c r="S16" s="1">
        <v>0.36</v>
      </c>
      <c r="T16" s="1">
        <f t="shared" si="0"/>
        <v>0.51</v>
      </c>
    </row>
    <row r="17" spans="1:20" ht="27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H17" s="1">
        <v>0.35</v>
      </c>
      <c r="I17" s="1">
        <v>0.41</v>
      </c>
      <c r="J17" s="1">
        <v>0.39</v>
      </c>
      <c r="K17" s="1">
        <v>0.35</v>
      </c>
      <c r="L17" s="1">
        <v>0.31</v>
      </c>
      <c r="M17" s="1">
        <v>0.35</v>
      </c>
      <c r="N17" s="1">
        <v>0.47</v>
      </c>
      <c r="O17" s="1">
        <v>0.37</v>
      </c>
      <c r="P17" s="1">
        <v>0.43</v>
      </c>
      <c r="Q17" s="1">
        <v>0.43</v>
      </c>
      <c r="R17" s="1">
        <v>0.4</v>
      </c>
      <c r="S17" s="1">
        <v>0.38</v>
      </c>
      <c r="T17" s="1">
        <f t="shared" si="0"/>
        <v>0.47</v>
      </c>
    </row>
    <row r="18" spans="1:20" ht="27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H18" s="1">
        <v>0.44</v>
      </c>
      <c r="I18" s="1">
        <v>0.46</v>
      </c>
      <c r="J18" s="1">
        <v>0.39</v>
      </c>
      <c r="K18" s="1">
        <v>0.42</v>
      </c>
      <c r="L18" s="1">
        <v>0.41</v>
      </c>
      <c r="M18" s="1">
        <v>0.41</v>
      </c>
      <c r="N18" s="1">
        <v>0.43</v>
      </c>
      <c r="O18" s="1">
        <v>0.43</v>
      </c>
      <c r="P18" s="1">
        <v>0.41</v>
      </c>
      <c r="Q18" s="1">
        <v>0.53</v>
      </c>
      <c r="R18" s="1">
        <v>0.47</v>
      </c>
      <c r="S18" s="1">
        <v>0.45</v>
      </c>
      <c r="T18" s="1">
        <f t="shared" si="0"/>
        <v>0.53</v>
      </c>
    </row>
    <row r="19" spans="1:20" ht="27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H19" s="1">
        <v>0.35</v>
      </c>
      <c r="I19" s="1">
        <v>0.36</v>
      </c>
      <c r="J19" s="1">
        <v>0.39</v>
      </c>
      <c r="K19" s="1">
        <v>0.4</v>
      </c>
      <c r="L19" s="1">
        <v>0.38</v>
      </c>
      <c r="M19" s="1">
        <v>0.31</v>
      </c>
      <c r="N19" s="1">
        <v>0.4</v>
      </c>
      <c r="O19" s="1">
        <v>0.36</v>
      </c>
      <c r="P19" s="1">
        <v>0.4</v>
      </c>
      <c r="Q19" s="1">
        <v>0.42</v>
      </c>
      <c r="R19" s="1">
        <v>0.39</v>
      </c>
      <c r="S19" s="1">
        <v>0.37</v>
      </c>
      <c r="T19" s="1">
        <f t="shared" si="0"/>
        <v>0.42</v>
      </c>
    </row>
    <row r="22" spans="1:20" ht="27" customHeight="1">
      <c r="B22" t="s">
        <v>24</v>
      </c>
      <c r="C22" t="s">
        <v>1</v>
      </c>
      <c r="D22" t="s">
        <v>26</v>
      </c>
      <c r="E22" t="s">
        <v>25</v>
      </c>
      <c r="F22" t="s">
        <v>3</v>
      </c>
      <c r="G22" t="s">
        <v>37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7" customHeight="1">
      <c r="B23" s="6">
        <v>1</v>
      </c>
      <c r="C23" t="s">
        <v>17</v>
      </c>
      <c r="D23" t="b">
        <v>1</v>
      </c>
      <c r="E23">
        <v>1</v>
      </c>
      <c r="F23" t="s">
        <v>23</v>
      </c>
      <c r="H23" s="1" cm="1">
        <f t="array" ref="H23">_xlfn.LET(_xlpm.d,H$2:H$19,_xlpm.a,$C$2:$C$19=$C23,_xlpm.b,$D$2:$D$19=$D23,MAX(_xlfn._xlws.FILTER(_xlpm.d,_xlpm.a*_xlpm.b)))</f>
        <v>0.93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0.89</v>
      </c>
      <c r="L23" s="1" cm="1">
        <f t="array" ref="L23">_xlfn.LET(_xlpm.d,L$2:L$19,_xlpm.a,$C$2:$C$19=$C23,_xlpm.b,$D$2:$D$19=$D23,MAX(_xlfn._xlws.FILTER(_xlpm.d,_xlpm.a*_xlpm.b)))</f>
        <v>0.86</v>
      </c>
      <c r="M23" s="1" cm="1">
        <f t="array" ref="M23">_xlfn.LET(_xlpm.d,M$2:M$19,_xlpm.a,$C$2:$C$19=$C23,_xlpm.b,$D$2:$D$19=$D23,MAX(_xlfn._xlws.FILTER(_xlpm.d,_xlpm.a*_xlpm.b)))</f>
        <v>0.81</v>
      </c>
      <c r="N23" s="1" cm="1">
        <f t="array" ref="N23">_xlfn.LET(_xlpm.d,N$2:N$19,_xlpm.a,$C$2:$C$19=$C23,_xlpm.b,$D$2:$D$19=$D23,MAX(_xlfn._xlws.FILTER(_xlpm.d,_xlpm.a*_xlpm.b)))</f>
        <v>0.89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0.91</v>
      </c>
      <c r="Q23" s="1" cm="1">
        <f t="array" ref="Q23">_xlfn.LET(_xlpm.d,Q$2:Q$19,_xlpm.a,$C$2:$C$19=$C23,_xlpm.b,$D$2:$D$19=$D23,MAX(_xlfn._xlws.FILTER(_xlpm.d,_xlpm.a*_xlpm.b)))</f>
        <v>0.88</v>
      </c>
      <c r="R23" s="1" cm="1">
        <f t="array" ref="R23">_xlfn.LET(_xlpm.d,R$2:R$19,_xlpm.a,$C$2:$C$19=$C23,_xlpm.b,$D$2:$D$19=$D23,MAX(_xlfn._xlws.FILTER(_xlpm.d,_xlpm.a*_xlpm.b)))</f>
        <v>0.84</v>
      </c>
      <c r="S23" s="1" cm="1">
        <f t="array" ref="S23">_xlfn.LET(_xlpm.d,S$2:S$19,_xlpm.a,$C$2:$C$19=$C23,_xlpm.b,$D$2:$D$19=$D23,MAX(_xlfn._xlws.FILTER(_xlpm.d,_xlpm.a*_xlpm.b)))</f>
        <v>0.89</v>
      </c>
      <c r="T23" s="1" cm="1">
        <f t="array" ref="T23">_xlfn.LET(_xlpm.d,T$2:T$19,_xlpm.a,$C$2:$C$19=$C23,_xlpm.b,$D$2:$D$19=$D23,MAX(_xlfn._xlws.FILTER(_xlpm.d,_xlpm.a*_xlpm.b)))</f>
        <v>0.93</v>
      </c>
    </row>
    <row r="24" spans="1:20" ht="27" customHeight="1">
      <c r="B24" s="6">
        <v>1</v>
      </c>
      <c r="C24" t="s">
        <v>17</v>
      </c>
      <c r="D24" t="b">
        <v>0</v>
      </c>
      <c r="E24">
        <v>1</v>
      </c>
      <c r="F24" t="s">
        <v>23</v>
      </c>
      <c r="H24" s="1" cm="1">
        <f t="array" ref="H24">_xlfn.LET(_xlpm.d,H$2:H$19,_xlpm.a,$C$2:$C$19=$C24,_xlpm.b,$D$2:$D$19=$D24,MAX(_xlfn._xlws.FILTER(_xlpm.d,_xlpm.a*_xlpm.b)))</f>
        <v>0.85</v>
      </c>
      <c r="I24" s="1" cm="1">
        <f t="array" ref="I24">_xlfn.LET(_xlpm.d,I$2:I$19,_xlpm.a,$C$2:$C$19=$C24,_xlpm.b,$D$2:$D$19=$D24,MAX(_xlfn._xlws.FILTER(_xlpm.d,_xlpm.a*_xlpm.b)))</f>
        <v>0.84</v>
      </c>
      <c r="J24" s="1" cm="1">
        <f t="array" ref="J24">_xlfn.LET(_xlpm.d,J$2:J$19,_xlpm.a,$C$2:$C$19=$C24,_xlpm.b,$D$2:$D$19=$D24,MAX(_xlfn._xlws.FILTER(_xlpm.d,_xlpm.a*_xlpm.b)))</f>
        <v>0.81</v>
      </c>
      <c r="K24" s="1" cm="1">
        <f t="array" ref="K24">_xlfn.LET(_xlpm.d,K$2:K$19,_xlpm.a,$C$2:$C$19=$C24,_xlpm.b,$D$2:$D$19=$D24,MAX(_xlfn._xlws.FILTER(_xlpm.d,_xlpm.a*_xlpm.b)))</f>
        <v>0.86</v>
      </c>
      <c r="L24" s="1" cm="1">
        <f t="array" ref="L24">_xlfn.LET(_xlpm.d,L$2:L$19,_xlpm.a,$C$2:$C$19=$C24,_xlpm.b,$D$2:$D$19=$D24,MAX(_xlfn._xlws.FILTER(_xlpm.d,_xlpm.a*_xlpm.b)))</f>
        <v>0.85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0.79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0.87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0.82</v>
      </c>
      <c r="S24" s="1" cm="1">
        <f t="array" ref="S24">_xlfn.LET(_xlpm.d,S$2:S$19,_xlpm.a,$C$2:$C$19=$C24,_xlpm.b,$D$2:$D$19=$D24,MAX(_xlfn._xlws.FILTER(_xlpm.d,_xlpm.a*_xlpm.b)))</f>
        <v>0.87</v>
      </c>
      <c r="T24" s="1" cm="1">
        <f t="array" ref="T24">_xlfn.LET(_xlpm.d,T$2:T$19,_xlpm.a,$C$2:$C$19=$C24,_xlpm.b,$D$2:$D$19=$D24,MAX(_xlfn._xlws.FILTER(_xlpm.d,_xlpm.a*_xlpm.b)))</f>
        <v>0.87</v>
      </c>
    </row>
    <row r="25" spans="1:20" ht="27" customHeight="1">
      <c r="B25" s="6">
        <v>2</v>
      </c>
      <c r="C25" t="s">
        <v>33</v>
      </c>
      <c r="D25" t="b">
        <v>1</v>
      </c>
      <c r="E25">
        <v>1</v>
      </c>
      <c r="F25" t="s">
        <v>23</v>
      </c>
      <c r="H25" s="1" cm="1">
        <f t="array" ref="H25">_xlfn.LET(_xlpm.d,H$2:H$19,_xlpm.a,$C$2:$C$19=$C25,_xlpm.b,$D$2:$D$19=$D25,MAX(_xlfn._xlws.FILTER(_xlpm.d,_xlpm.a*_xlpm.b)))</f>
        <v>0.91</v>
      </c>
      <c r="I25" s="1" cm="1">
        <f t="array" ref="I25">_xlfn.LET(_xlpm.d,I$2:I$19,_xlpm.a,$C$2:$C$19=$C25,_xlpm.b,$D$2:$D$19=$D25,MAX(_xlfn._xlws.FILTER(_xlpm.d,_xlpm.a*_xlpm.b)))</f>
        <v>0.92</v>
      </c>
      <c r="J25" s="1" cm="1">
        <f t="array" ref="J25">_xlfn.LET(_xlpm.d,J$2:J$19,_xlpm.a,$C$2:$C$19=$C25,_xlpm.b,$D$2:$D$19=$D25,MAX(_xlfn._xlws.FILTER(_xlpm.d,_xlpm.a*_xlpm.b)))</f>
        <v>0.93</v>
      </c>
      <c r="K25" s="1" cm="1">
        <f t="array" ref="K25">_xlfn.LET(_xlpm.d,K$2:K$19,_xlpm.a,$C$2:$C$19=$C25,_xlpm.b,$D$2:$D$19=$D25,MAX(_xlfn._xlws.FILTER(_xlpm.d,_xlpm.a*_xlpm.b)))</f>
        <v>0.89</v>
      </c>
      <c r="L25" s="1" cm="1">
        <f t="array" ref="L25">_xlfn.LET(_xlpm.d,L$2:L$19,_xlpm.a,$C$2:$C$19=$C25,_xlpm.b,$D$2:$D$19=$D25,MAX(_xlfn._xlws.FILTER(_xlpm.d,_xlpm.a*_xlpm.b)))</f>
        <v>0.84</v>
      </c>
      <c r="M25" s="1" cm="1">
        <f t="array" ref="M25">_xlfn.LET(_xlpm.d,M$2:M$19,_xlpm.a,$C$2:$C$19=$C25,_xlpm.b,$D$2:$D$19=$D25,MAX(_xlfn._xlws.FILTER(_xlpm.d,_xlpm.a*_xlpm.b)))</f>
        <v>0.83</v>
      </c>
      <c r="N25" s="1" cm="1">
        <f t="array" ref="N25">_xlfn.LET(_xlpm.d,N$2:N$19,_xlpm.a,$C$2:$C$19=$C25,_xlpm.b,$D$2:$D$19=$D25,MAX(_xlfn._xlws.FILTER(_xlpm.d,_xlpm.a*_xlpm.b)))</f>
        <v>0.91</v>
      </c>
      <c r="O25" s="1" cm="1">
        <f t="array" ref="O25">_xlfn.LET(_xlpm.d,O$2:O$19,_xlpm.a,$C$2:$C$19=$C25,_xlpm.b,$D$2:$D$19=$D25,MAX(_xlfn._xlws.FILTER(_xlpm.d,_xlpm.a*_xlpm.b)))</f>
        <v>0.94</v>
      </c>
      <c r="P25" s="1" cm="1">
        <f t="array" ref="P25">_xlfn.LET(_xlpm.d,P$2:P$19,_xlpm.a,$C$2:$C$19=$C25,_xlpm.b,$D$2:$D$19=$D25,MAX(_xlfn._xlws.FILTER(_xlpm.d,_xlpm.a*_xlpm.b)))</f>
        <v>0.93</v>
      </c>
      <c r="Q25" s="1" cm="1">
        <f t="array" ref="Q25">_xlfn.LET(_xlpm.d,Q$2:Q$19,_xlpm.a,$C$2:$C$19=$C25,_xlpm.b,$D$2:$D$19=$D25,MAX(_xlfn._xlws.FILTER(_xlpm.d,_xlpm.a*_xlpm.b)))</f>
        <v>0.91</v>
      </c>
      <c r="R25" s="1" cm="1">
        <f t="array" ref="R25">_xlfn.LET(_xlpm.d,R$2:R$19,_xlpm.a,$C$2:$C$19=$C25,_xlpm.b,$D$2:$D$19=$D25,MAX(_xlfn._xlws.FILTER(_xlpm.d,_xlpm.a*_xlpm.b)))</f>
        <v>0.89</v>
      </c>
      <c r="S25" s="1" cm="1">
        <f t="array" ref="S25">_xlfn.LET(_xlpm.d,S$2:S$19,_xlpm.a,$C$2:$C$19=$C25,_xlpm.b,$D$2:$D$19=$D25,MAX(_xlfn._xlws.FILTER(_xlpm.d,_xlpm.a*_xlpm.b)))</f>
        <v>0.86</v>
      </c>
      <c r="T25" s="1" cm="1">
        <f t="array" ref="T25">_xlfn.LET(_xlpm.d,T$2:T$19,_xlpm.a,$C$2:$C$19=$C25,_xlpm.b,$D$2:$D$19=$D25,MAX(_xlfn._xlws.FILTER(_xlpm.d,_xlpm.a*_xlpm.b)))</f>
        <v>0.94</v>
      </c>
    </row>
    <row r="26" spans="1:20" ht="27" customHeight="1">
      <c r="B26" s="6">
        <v>2</v>
      </c>
      <c r="C26" t="s">
        <v>33</v>
      </c>
      <c r="D26" t="b">
        <v>0</v>
      </c>
      <c r="E26">
        <v>1</v>
      </c>
      <c r="F26" t="s">
        <v>23</v>
      </c>
      <c r="H26" s="1" cm="1">
        <f t="array" ref="H26">_xlfn.LET(_xlpm.d,H$2:H$19,_xlpm.a,$C$2:$C$19=$C26,_xlpm.b,$D$2:$D$19=$D26,MAX(_xlfn._xlws.FILTER(_xlpm.d,_xlpm.a*_xlpm.b)))</f>
        <v>0.7</v>
      </c>
      <c r="I26" s="1" cm="1">
        <f t="array" ref="I26">_xlfn.LET(_xlpm.d,I$2:I$19,_xlpm.a,$C$2:$C$19=$C26,_xlpm.b,$D$2:$D$19=$D26,MAX(_xlfn._xlws.FILTER(_xlpm.d,_xlpm.a*_xlpm.b)))</f>
        <v>0.7</v>
      </c>
      <c r="J26" s="1" cm="1">
        <f t="array" ref="J26">_xlfn.LET(_xlpm.d,J$2:J$19,_xlpm.a,$C$2:$C$19=$C26,_xlpm.b,$D$2:$D$19=$D26,MAX(_xlfn._xlws.FILTER(_xlpm.d,_xlpm.a*_xlpm.b)))</f>
        <v>0.71</v>
      </c>
      <c r="K26" s="1" cm="1">
        <f t="array" ref="K26">_xlfn.LET(_xlpm.d,K$2:K$19,_xlpm.a,$C$2:$C$19=$C26,_xlpm.b,$D$2:$D$19=$D26,MAX(_xlfn._xlws.FILTER(_xlpm.d,_xlpm.a*_xlpm.b)))</f>
        <v>0.71</v>
      </c>
      <c r="L26" s="1" cm="1">
        <f t="array" ref="L26">_xlfn.LET(_xlpm.d,L$2:L$19,_xlpm.a,$C$2:$C$19=$C26,_xlpm.b,$D$2:$D$19=$D26,MAX(_xlfn._xlws.FILTER(_xlpm.d,_xlpm.a*_xlpm.b)))</f>
        <v>0.77</v>
      </c>
      <c r="M26" s="1" cm="1">
        <f t="array" ref="M26">_xlfn.LET(_xlpm.d,M$2:M$19,_xlpm.a,$C$2:$C$19=$C26,_xlpm.b,$D$2:$D$19=$D26,MAX(_xlfn._xlws.FILTER(_xlpm.d,_xlpm.a*_xlpm.b)))</f>
        <v>0.73</v>
      </c>
      <c r="N26" s="1" cm="1">
        <f t="array" ref="N26">_xlfn.LET(_xlpm.d,N$2:N$19,_xlpm.a,$C$2:$C$19=$C26,_xlpm.b,$D$2:$D$19=$D26,MAX(_xlfn._xlws.FILTER(_xlpm.d,_xlpm.a*_xlpm.b)))</f>
        <v>0.72</v>
      </c>
      <c r="O26" s="1" cm="1">
        <f t="array" ref="O26">_xlfn.LET(_xlpm.d,O$2:O$19,_xlpm.a,$C$2:$C$19=$C26,_xlpm.b,$D$2:$D$19=$D26,MAX(_xlfn._xlws.FILTER(_xlpm.d,_xlpm.a*_xlpm.b)))</f>
        <v>0.71</v>
      </c>
      <c r="P26" s="1" cm="1">
        <f t="array" ref="P26">_xlfn.LET(_xlpm.d,P$2:P$19,_xlpm.a,$C$2:$C$19=$C26,_xlpm.b,$D$2:$D$19=$D26,MAX(_xlfn._xlws.FILTER(_xlpm.d,_xlpm.a*_xlpm.b)))</f>
        <v>0.72</v>
      </c>
      <c r="Q26" s="1" cm="1">
        <f t="array" ref="Q26">_xlfn.LET(_xlpm.d,Q$2:Q$19,_xlpm.a,$C$2:$C$19=$C26,_xlpm.b,$D$2:$D$19=$D26,MAX(_xlfn._xlws.FILTER(_xlpm.d,_xlpm.a*_xlpm.b)))</f>
        <v>0.71</v>
      </c>
      <c r="R26" s="1" cm="1">
        <f t="array" ref="R26">_xlfn.LET(_xlpm.d,R$2:R$19,_xlpm.a,$C$2:$C$19=$C26,_xlpm.b,$D$2:$D$19=$D26,MAX(_xlfn._xlws.FILTER(_xlpm.d,_xlpm.a*_xlpm.b)))</f>
        <v>0.71</v>
      </c>
      <c r="S26" s="1" cm="1">
        <f t="array" ref="S26">_xlfn.LET(_xlpm.d,S$2:S$19,_xlpm.a,$C$2:$C$19=$C26,_xlpm.b,$D$2:$D$19=$D26,MAX(_xlfn._xlws.FILTER(_xlpm.d,_xlpm.a*_xlpm.b)))</f>
        <v>0.71</v>
      </c>
      <c r="T26" s="1" cm="1">
        <f t="array" ref="T26">_xlfn.LET(_xlpm.d,T$2:T$19,_xlpm.a,$C$2:$C$19=$C26,_xlpm.b,$D$2:$D$19=$D26,MAX(_xlfn._xlws.FILTER(_xlpm.d,_xlpm.a*_xlpm.b)))</f>
        <v>0.77</v>
      </c>
    </row>
    <row r="27" spans="1:20" ht="27" customHeight="1">
      <c r="B27" s="6">
        <v>3</v>
      </c>
      <c r="C27" t="s">
        <v>22</v>
      </c>
      <c r="D27" t="b">
        <v>1</v>
      </c>
      <c r="E27">
        <v>1</v>
      </c>
      <c r="F27" t="s">
        <v>23</v>
      </c>
      <c r="H27" s="1" cm="1">
        <f t="array" ref="H27">_xlfn.LET(_xlpm.d,H$2:H$19,_xlpm.a,$C$2:$C$19=$C27,_xlpm.b,$D$2:$D$19=$D27,MAX(_xlfn._xlws.FILTER(_xlpm.d,_xlpm.a*_xlpm.b)))</f>
        <v>0.48</v>
      </c>
      <c r="I27" s="1" cm="1">
        <f t="array" ref="I27">_xlfn.LET(_xlpm.d,I$2:I$19,_xlpm.a,$C$2:$C$19=$C27,_xlpm.b,$D$2:$D$19=$D27,MAX(_xlfn._xlws.FILTER(_xlpm.d,_xlpm.a*_xlpm.b)))</f>
        <v>0.56999999999999995</v>
      </c>
      <c r="J27" s="1" cm="1">
        <f t="array" ref="J27">_xlfn.LET(_xlpm.d,J$2:J$19,_xlpm.a,$C$2:$C$19=$C27,_xlpm.b,$D$2:$D$19=$D27,MAX(_xlfn._xlws.FILTER(_xlpm.d,_xlpm.a*_xlpm.b)))</f>
        <v>0.62</v>
      </c>
      <c r="K27" s="1" cm="1">
        <f t="array" ref="K27">_xlfn.LET(_xlpm.d,K$2:K$19,_xlpm.a,$C$2:$C$19=$C27,_xlpm.b,$D$2:$D$19=$D27,MAX(_xlfn._xlws.FILTER(_xlpm.d,_xlpm.a*_xlpm.b)))</f>
        <v>0.56000000000000005</v>
      </c>
      <c r="L27" s="1" cm="1">
        <f t="array" ref="L27">_xlfn.LET(_xlpm.d,L$2:L$19,_xlpm.a,$C$2:$C$19=$C27,_xlpm.b,$D$2:$D$19=$D27,MAX(_xlfn._xlws.FILTER(_xlpm.d,_xlpm.a*_xlpm.b)))</f>
        <v>0.48</v>
      </c>
      <c r="M27" s="1" cm="1">
        <f t="array" ref="M27">_xlfn.LET(_xlpm.d,M$2:M$19,_xlpm.a,$C$2:$C$19=$C27,_xlpm.b,$D$2:$D$19=$D27,MAX(_xlfn._xlws.FILTER(_xlpm.d,_xlpm.a*_xlpm.b)))</f>
        <v>0.47</v>
      </c>
      <c r="N27" s="1" cm="1">
        <f t="array" ref="N27">_xlfn.LET(_xlpm.d,N$2:N$19,_xlpm.a,$C$2:$C$19=$C27,_xlpm.b,$D$2:$D$19=$D27,MAX(_xlfn._xlws.FILTER(_xlpm.d,_xlpm.a*_xlpm.b)))</f>
        <v>0.56000000000000005</v>
      </c>
      <c r="O27" s="1" cm="1">
        <f t="array" ref="O27">_xlfn.LET(_xlpm.d,O$2:O$19,_xlpm.a,$C$2:$C$19=$C27,_xlpm.b,$D$2:$D$19=$D27,MAX(_xlfn._xlws.FILTER(_xlpm.d,_xlpm.a*_xlpm.b)))</f>
        <v>0.51</v>
      </c>
      <c r="P27" s="1" cm="1">
        <f t="array" ref="P27">_xlfn.LET(_xlpm.d,P$2:P$19,_xlpm.a,$C$2:$C$19=$C27,_xlpm.b,$D$2:$D$19=$D27,MAX(_xlfn._xlws.FILTER(_xlpm.d,_xlpm.a*_xlpm.b)))</f>
        <v>0.51</v>
      </c>
      <c r="Q27" s="1" cm="1">
        <f t="array" ref="Q27">_xlfn.LET(_xlpm.d,Q$2:Q$19,_xlpm.a,$C$2:$C$19=$C27,_xlpm.b,$D$2:$D$19=$D27,MAX(_xlfn._xlws.FILTER(_xlpm.d,_xlpm.a*_xlpm.b)))</f>
        <v>0.6</v>
      </c>
      <c r="R27" s="1" cm="1">
        <f t="array" ref="R27">_xlfn.LET(_xlpm.d,R$2:R$19,_xlpm.a,$C$2:$C$19=$C27,_xlpm.b,$D$2:$D$19=$D27,MAX(_xlfn._xlws.FILTER(_xlpm.d,_xlpm.a*_xlpm.b)))</f>
        <v>0.47</v>
      </c>
      <c r="S27" s="1" cm="1">
        <f t="array" ref="S27">_xlfn.LET(_xlpm.d,S$2:S$19,_xlpm.a,$C$2:$C$19=$C27,_xlpm.b,$D$2:$D$19=$D27,MAX(_xlfn._xlws.FILTER(_xlpm.d,_xlpm.a*_xlpm.b)))</f>
        <v>0.46</v>
      </c>
      <c r="T27" s="1" cm="1">
        <f t="array" ref="T27">_xlfn.LET(_xlpm.d,T$2:T$19,_xlpm.a,$C$2:$C$19=$C27,_xlpm.b,$D$2:$D$19=$D27,MAX(_xlfn._xlws.FILTER(_xlpm.d,_xlpm.a*_xlpm.b)))</f>
        <v>0.62</v>
      </c>
    </row>
    <row r="28" spans="1:20" ht="27" customHeight="1">
      <c r="B28" s="6">
        <v>3</v>
      </c>
      <c r="C28" t="s">
        <v>22</v>
      </c>
      <c r="D28" t="b">
        <v>0</v>
      </c>
      <c r="E28">
        <v>1</v>
      </c>
      <c r="F28" t="s">
        <v>23</v>
      </c>
      <c r="H28" s="1" cm="1">
        <f t="array" ref="H28">_xlfn.LET(_xlpm.d,H$2:H$19,_xlpm.a,$C$2:$C$19=$C28,_xlpm.b,$D$2:$D$19=$D28,MAX(_xlfn._xlws.FILTER(_xlpm.d,_xlpm.a*_xlpm.b)))</f>
        <v>0.44</v>
      </c>
      <c r="I28" s="1" cm="1">
        <f t="array" ref="I28">_xlfn.LET(_xlpm.d,I$2:I$19,_xlpm.a,$C$2:$C$19=$C28,_xlpm.b,$D$2:$D$19=$D28,MAX(_xlfn._xlws.FILTER(_xlpm.d,_xlpm.a*_xlpm.b)))</f>
        <v>0.46</v>
      </c>
      <c r="J28" s="1" cm="1">
        <f t="array" ref="J28">_xlfn.LET(_xlpm.d,J$2:J$19,_xlpm.a,$C$2:$C$19=$C28,_xlpm.b,$D$2:$D$19=$D28,MAX(_xlfn._xlws.FILTER(_xlpm.d,_xlpm.a*_xlpm.b)))</f>
        <v>0.39</v>
      </c>
      <c r="K28" s="1" cm="1">
        <f t="array" ref="K28">_xlfn.LET(_xlpm.d,K$2:K$19,_xlpm.a,$C$2:$C$19=$C28,_xlpm.b,$D$2:$D$19=$D28,MAX(_xlfn._xlws.FILTER(_xlpm.d,_xlpm.a*_xlpm.b)))</f>
        <v>0.42</v>
      </c>
      <c r="L28" s="1" cm="1">
        <f t="array" ref="L28">_xlfn.LET(_xlpm.d,L$2:L$19,_xlpm.a,$C$2:$C$19=$C28,_xlpm.b,$D$2:$D$19=$D28,MAX(_xlfn._xlws.FILTER(_xlpm.d,_xlpm.a*_xlpm.b)))</f>
        <v>0.41</v>
      </c>
      <c r="M28" s="1" cm="1">
        <f t="array" ref="M28">_xlfn.LET(_xlpm.d,M$2:M$19,_xlpm.a,$C$2:$C$19=$C28,_xlpm.b,$D$2:$D$19=$D28,MAX(_xlfn._xlws.FILTER(_xlpm.d,_xlpm.a*_xlpm.b)))</f>
        <v>0.41</v>
      </c>
      <c r="N28" s="1" cm="1">
        <f t="array" ref="N28">_xlfn.LET(_xlpm.d,N$2:N$19,_xlpm.a,$C$2:$C$19=$C28,_xlpm.b,$D$2:$D$19=$D28,MAX(_xlfn._xlws.FILTER(_xlpm.d,_xlpm.a*_xlpm.b)))</f>
        <v>0.47</v>
      </c>
      <c r="O28" s="1" cm="1">
        <f t="array" ref="O28">_xlfn.LET(_xlpm.d,O$2:O$19,_xlpm.a,$C$2:$C$19=$C28,_xlpm.b,$D$2:$D$19=$D28,MAX(_xlfn._xlws.FILTER(_xlpm.d,_xlpm.a*_xlpm.b)))</f>
        <v>0.43</v>
      </c>
      <c r="P28" s="1" cm="1">
        <f t="array" ref="P28">_xlfn.LET(_xlpm.d,P$2:P$19,_xlpm.a,$C$2:$C$19=$C28,_xlpm.b,$D$2:$D$19=$D28,MAX(_xlfn._xlws.FILTER(_xlpm.d,_xlpm.a*_xlpm.b)))</f>
        <v>0.43</v>
      </c>
      <c r="Q28" s="1" cm="1">
        <f t="array" ref="Q28">_xlfn.LET(_xlpm.d,Q$2:Q$19,_xlpm.a,$C$2:$C$19=$C28,_xlpm.b,$D$2:$D$19=$D28,MAX(_xlfn._xlws.FILTER(_xlpm.d,_xlpm.a*_xlpm.b)))</f>
        <v>0.53</v>
      </c>
      <c r="R28" s="1" cm="1">
        <f t="array" ref="R28">_xlfn.LET(_xlpm.d,R$2:R$19,_xlpm.a,$C$2:$C$19=$C28,_xlpm.b,$D$2:$D$19=$D28,MAX(_xlfn._xlws.FILTER(_xlpm.d,_xlpm.a*_xlpm.b)))</f>
        <v>0.47</v>
      </c>
      <c r="S28" s="1" cm="1">
        <f t="array" ref="S28">_xlfn.LET(_xlpm.d,S$2:S$19,_xlpm.a,$C$2:$C$19=$C28,_xlpm.b,$D$2:$D$19=$D28,MAX(_xlfn._xlws.FILTER(_xlpm.d,_xlpm.a*_xlpm.b)))</f>
        <v>0.45</v>
      </c>
      <c r="T28" s="1" cm="1">
        <f t="array" ref="T28">_xlfn.LET(_xlpm.d,T$2:T$19,_xlpm.a,$C$2:$C$19=$C28,_xlpm.b,$D$2:$D$19=$D28,MAX(_xlfn._xlws.FILTER(_xlpm.d,_xlpm.a*_xlpm.b)))</f>
        <v>0.53</v>
      </c>
    </row>
    <row r="31" spans="1:20" ht="27" customHeight="1">
      <c r="E31" t="s">
        <v>23</v>
      </c>
      <c r="F31" t="s">
        <v>29</v>
      </c>
      <c r="G31" s="4" cm="1">
        <f t="array" ref="G31">_xlfn.LET(_xlpm.d,H$23:H$28,_xlpm.c,$E$23:$E$28=1,GEOMEAN(_xlfn._xlws.FILTER(_xlpm.d,_xlpm.c)))</f>
        <v>0.68831812140795867</v>
      </c>
      <c r="H31" s="4" cm="1">
        <f t="array" ref="H31">_xlfn.LET(_xlpm.d,I$23:I$28,_xlpm.c,$E$23:$E$28=1,GEOMEAN(_xlfn._xlws.FILTER(_xlpm.d,_xlpm.c)))</f>
        <v>0.70826857736940763</v>
      </c>
      <c r="I31" s="4" cm="1">
        <f t="array" ref="I31">_xlfn.LET(_xlpm.d,J$23:J$28,_xlpm.c,$E$23:$E$28=1,GEOMEAN(_xlfn._xlws.FILTER(_xlpm.d,_xlpm.c)))</f>
        <v>0.69347399097021734</v>
      </c>
      <c r="J31" s="4" cm="1">
        <f t="array" ref="J31">_xlfn.LET(_xlpm.d,K$23:K$28,_xlpm.c,$E$23:$E$28=1,GEOMEAN(_xlfn._xlws.FILTER(_xlpm.d,_xlpm.c)))</f>
        <v>0.69608512806290446</v>
      </c>
      <c r="K31" s="4" cm="1">
        <f t="array" ref="K31">_xlfn.LET(_xlpm.d,L$23:L$28,_xlpm.c,$E$23:$E$28=1,GEOMEAN(_xlfn._xlws.FILTER(_xlpm.d,_xlpm.c)))</f>
        <v>0.67316069020791303</v>
      </c>
      <c r="L31" s="4" cm="1">
        <f t="array" ref="L31">_xlfn.LET(_xlpm.d,M$23:M$28,_xlpm.c,$E$23:$E$28=1,GEOMEAN(_xlfn._xlws.FILTER(_xlpm.d,_xlpm.c)))</f>
        <v>0.65034371197091656</v>
      </c>
      <c r="M31" s="4" cm="1">
        <f t="array" ref="M31">_xlfn.LET(_xlpm.d,N$23:N$28,_xlpm.c,$E$23:$E$28=1,GEOMEAN(_xlfn._xlws.FILTER(_xlpm.d,_xlpm.c)))</f>
        <v>0.7035249088920108</v>
      </c>
      <c r="N31" s="4" cm="1">
        <f t="array" ref="N31">_xlfn.LET(_xlpm.d,O$23:O$28,_xlpm.c,$E$23:$E$28=1,GEOMEAN(_xlfn._xlws.FILTER(_xlpm.d,_xlpm.c)))</f>
        <v>0.68891281967261608</v>
      </c>
      <c r="O31" s="4" cm="1">
        <f t="array" ref="O31">_xlfn.LET(_xlpm.d,P$23:P$28,_xlpm.c,$E$23:$E$28=1,GEOMEAN(_xlfn._xlws.FILTER(_xlpm.d,_xlpm.c)))</f>
        <v>0.69861159097470293</v>
      </c>
      <c r="P31" s="4" cm="1">
        <f t="array" ref="P31">_xlfn.LET(_xlpm.d,Q$23:Q$28,_xlpm.c,$E$23:$E$28=1,GEOMEAN(_xlfn._xlws.FILTER(_xlpm.d,_xlpm.c)))</f>
        <v>0.7304348232506942</v>
      </c>
      <c r="Q31" s="4" cm="1">
        <f t="array" ref="Q31">_xlfn.LET(_xlpm.d,R$23:R$28,_xlpm.c,$E$23:$E$28=1,GEOMEAN(_xlfn._xlws.FILTER(_xlpm.d,_xlpm.c)))</f>
        <v>0.6768454829973326</v>
      </c>
      <c r="R31" s="4" cm="1">
        <f t="array" ref="R31">_xlfn.LET(_xlpm.d,S$23:S$28,_xlpm.c,$E$23:$E$28=1,GEOMEAN(_xlfn._xlws.FILTER(_xlpm.d,_xlpm.c)))</f>
        <v>0.67884829898816856</v>
      </c>
      <c r="S31" s="5">
        <f>_xlfn.LET(_xlpm.d,$G31:$R31,MAX(_xlpm.d))</f>
        <v>0.7304348232506942</v>
      </c>
    </row>
    <row r="32" spans="1:20" ht="27" customHeight="1">
      <c r="E32" t="s">
        <v>23</v>
      </c>
      <c r="F32" t="s">
        <v>23</v>
      </c>
      <c r="G32" s="4" cm="1">
        <f t="array" ref="G32">_xlfn.LET(_xlpm.d,G$23:G$33,_xlpm.c,$E$23:$E$33=1,MAX(_xlfn._xlws.FILTER(_xlpm.d,_xlpm.c)))</f>
        <v>0</v>
      </c>
      <c r="H32" s="4" cm="1">
        <f t="array" ref="H32">_xlfn.LET(_xlpm.d,H$23:H$33,_xlpm.c,$E$23:$E$33=1,MAX(_xlfn._xlws.FILTER(_xlpm.d,_xlpm.c)))</f>
        <v>0.93</v>
      </c>
      <c r="I32" s="4" cm="1">
        <f t="array" ref="I32">_xlfn.LET(_xlpm.d,I$23:I$33,_xlpm.c,$E$23:$E$33=1,MAX(_xlfn._xlws.FILTER(_xlpm.d,_xlpm.c)))</f>
        <v>0.92</v>
      </c>
      <c r="J32" s="4" cm="1">
        <f t="array" ref="J32">_xlfn.LET(_xlpm.d,J$23:J$33,_xlpm.c,$E$23:$E$33=1,MAX(_xlfn._xlws.FILTER(_xlpm.d,_xlpm.c)))</f>
        <v>0.93</v>
      </c>
      <c r="K32" s="4" cm="1">
        <f t="array" ref="K32">_xlfn.LET(_xlpm.d,K$23:K$33,_xlpm.c,$E$23:$E$33=1,MAX(_xlfn._xlws.FILTER(_xlpm.d,_xlpm.c)))</f>
        <v>0.89</v>
      </c>
      <c r="L32" s="4" cm="1">
        <f t="array" ref="L32">_xlfn.LET(_xlpm.d,L$23:L$33,_xlpm.c,$E$23:$E$33=1,MAX(_xlfn._xlws.FILTER(_xlpm.d,_xlpm.c)))</f>
        <v>0.86</v>
      </c>
      <c r="M32" s="4" cm="1">
        <f t="array" ref="M32">_xlfn.LET(_xlpm.d,M$23:M$33,_xlpm.c,$E$23:$E$33=1,MAX(_xlfn._xlws.FILTER(_xlpm.d,_xlpm.c)))</f>
        <v>0.83</v>
      </c>
      <c r="N32" s="4" cm="1">
        <f t="array" ref="N32">_xlfn.LET(_xlpm.d,N$23:N$33,_xlpm.c,$E$23:$E$33=1,MAX(_xlfn._xlws.FILTER(_xlpm.d,_xlpm.c)))</f>
        <v>0.91</v>
      </c>
      <c r="O32" s="4" cm="1">
        <f t="array" ref="O32">_xlfn.LET(_xlpm.d,O$23:O$33,_xlpm.c,$E$23:$E$33=1,MAX(_xlfn._xlws.FILTER(_xlpm.d,_xlpm.c)))</f>
        <v>0.94</v>
      </c>
      <c r="P32" s="4" cm="1">
        <f t="array" ref="P32">_xlfn.LET(_xlpm.d,P$23:P$33,_xlpm.c,$E$23:$E$33=1,MAX(_xlfn._xlws.FILTER(_xlpm.d,_xlpm.c)))</f>
        <v>0.93</v>
      </c>
      <c r="Q32" s="4" cm="1">
        <f t="array" ref="Q32">_xlfn.LET(_xlpm.d,Q$23:Q$33,_xlpm.c,$E$23:$E$33=1,MAX(_xlfn._xlws.FILTER(_xlpm.d,_xlpm.c)))</f>
        <v>0.91</v>
      </c>
      <c r="R32" s="4" cm="1">
        <f t="array" ref="R32">_xlfn.LET(_xlpm.d,R$23:R$33,_xlpm.c,$E$23:$E$33=1,MAX(_xlfn._xlws.FILTER(_xlpm.d,_xlpm.c)))</f>
        <v>0.89</v>
      </c>
      <c r="S32" s="5">
        <f>_xlfn.LET(_xlpm.d,$G32:$R32,MAX(_xlpm.d))</f>
        <v>0.94</v>
      </c>
    </row>
    <row r="33" spans="5:19" ht="27" customHeight="1">
      <c r="E33" t="s">
        <v>23</v>
      </c>
      <c r="F33" t="s">
        <v>30</v>
      </c>
      <c r="G33" s="4" cm="1">
        <f t="array" ref="G33">_xlfn.LET(_xlpm.d,G$23:G$33,_xlpm.c,$E$23:$E$33=1,MIN(_xlfn._xlws.FILTER(_xlpm.d,_xlpm.c)))</f>
        <v>0</v>
      </c>
      <c r="H33" s="4" cm="1">
        <f t="array" ref="H33">_xlfn.LET(_xlpm.d,H$23:H$33,_xlpm.c,$E$23:$E$33=1,MIN(_xlfn._xlws.FILTER(_xlpm.d,_xlpm.c)))</f>
        <v>0.44</v>
      </c>
      <c r="I33" s="4" cm="1">
        <f t="array" ref="I33">_xlfn.LET(_xlpm.d,I$23:I$33,_xlpm.c,$E$23:$E$33=1,MIN(_xlfn._xlws.FILTER(_xlpm.d,_xlpm.c)))</f>
        <v>0.46</v>
      </c>
      <c r="J33" s="4" cm="1">
        <f t="array" ref="J33">_xlfn.LET(_xlpm.d,J$23:J$33,_xlpm.c,$E$23:$E$33=1,MIN(_xlfn._xlws.FILTER(_xlpm.d,_xlpm.c)))</f>
        <v>0.39</v>
      </c>
      <c r="K33" s="4" cm="1">
        <f t="array" ref="K33">_xlfn.LET(_xlpm.d,K$23:K$33,_xlpm.c,$E$23:$E$33=1,MIN(_xlfn._xlws.FILTER(_xlpm.d,_xlpm.c)))</f>
        <v>0.42</v>
      </c>
      <c r="L33" s="4" cm="1">
        <f t="array" ref="L33">_xlfn.LET(_xlpm.d,L$23:L$33,_xlpm.c,$E$23:$E$33=1,MIN(_xlfn._xlws.FILTER(_xlpm.d,_xlpm.c)))</f>
        <v>0.41</v>
      </c>
      <c r="M33" s="4" cm="1">
        <f t="array" ref="M33">_xlfn.LET(_xlpm.d,M$23:M$33,_xlpm.c,$E$23:$E$33=1,MIN(_xlfn._xlws.FILTER(_xlpm.d,_xlpm.c)))</f>
        <v>0.41</v>
      </c>
      <c r="N33" s="4" cm="1">
        <f t="array" ref="N33">_xlfn.LET(_xlpm.d,N$23:N$33,_xlpm.c,$E$23:$E$33=1,MIN(_xlfn._xlws.FILTER(_xlpm.d,_xlpm.c)))</f>
        <v>0.47</v>
      </c>
      <c r="O33" s="4" cm="1">
        <f t="array" ref="O33">_xlfn.LET(_xlpm.d,O$23:O$33,_xlpm.c,$E$23:$E$33=1,MIN(_xlfn._xlws.FILTER(_xlpm.d,_xlpm.c)))</f>
        <v>0.43</v>
      </c>
      <c r="P33" s="4" cm="1">
        <f t="array" ref="P33">_xlfn.LET(_xlpm.d,P$23:P$33,_xlpm.c,$E$23:$E$33=1,MIN(_xlfn._xlws.FILTER(_xlpm.d,_xlpm.c)))</f>
        <v>0.43</v>
      </c>
      <c r="Q33" s="4" cm="1">
        <f t="array" ref="Q33">_xlfn.LET(_xlpm.d,Q$23:Q$33,_xlpm.c,$E$23:$E$33=1,MIN(_xlfn._xlws.FILTER(_xlpm.d,_xlpm.c)))</f>
        <v>0.53</v>
      </c>
      <c r="R33" s="4" cm="1">
        <f t="array" ref="R33">_xlfn.LET(_xlpm.d,R$23:R$33,_xlpm.c,$E$23:$E$33=1,MIN(_xlfn._xlws.FILTER(_xlpm.d,_xlpm.c)))</f>
        <v>0.47</v>
      </c>
      <c r="S33" s="5">
        <f>_xlfn.LET(_xlpm.d,$G33:$R33,MAX(_xlpm.d))</f>
        <v>0.53</v>
      </c>
    </row>
    <row r="34" spans="5:19" ht="27" customHeight="1">
      <c r="E34" t="s">
        <v>23</v>
      </c>
      <c r="F34" t="s">
        <v>31</v>
      </c>
      <c r="G34" t="e" cm="1">
        <f t="array" ref="G34">_xlfn.LET(_xlpm.d,G$23:G$33,_xlpm.c,$E$23:$E$33=1,STDEV(_xlfn._xlws.FILTER(_xlpm.d,_xlpm.c)))</f>
        <v>#DIV/0!</v>
      </c>
      <c r="H34" cm="1">
        <f t="array" ref="H34">_xlfn.LET(_xlpm.d,H$23:H$33,_xlpm.c,$E$23:$E$33=1,STDEV(_xlfn._xlws.FILTER(_xlpm.d,_xlpm.c)))</f>
        <v>0.21609411529855871</v>
      </c>
      <c r="I34" cm="1">
        <f t="array" ref="I34">_xlfn.LET(_xlpm.d,I$23:I$33,_xlpm.c,$E$23:$E$33=1,STDEV(_xlfn._xlws.FILTER(_xlpm.d,_xlpm.c)))</f>
        <v>0.18611824198610924</v>
      </c>
      <c r="J34" cm="1">
        <f t="array" ref="J34">_xlfn.LET(_xlpm.d,J$23:J$33,_xlpm.c,$E$23:$E$33=1,STDEV(_xlfn._xlws.FILTER(_xlpm.d,_xlpm.c)))</f>
        <v>0.19534584715319642</v>
      </c>
      <c r="K34" cm="1">
        <f t="array" ref="K34">_xlfn.LET(_xlpm.d,K$23:K$33,_xlpm.c,$E$23:$E$33=1,STDEV(_xlfn._xlws.FILTER(_xlpm.d,_xlpm.c)))</f>
        <v>0.19651123801621806</v>
      </c>
      <c r="L34" cm="1">
        <f t="array" ref="L34">_xlfn.LET(_xlpm.d,L$23:L$33,_xlpm.c,$E$23:$E$33=1,STDEV(_xlfn._xlws.FILTER(_xlpm.d,_xlpm.c)))</f>
        <v>0.2025257185314169</v>
      </c>
      <c r="M34" cm="1">
        <f t="array" ref="M34">_xlfn.LET(_xlpm.d,M$23:M$33,_xlpm.c,$E$23:$E$33=1,STDEV(_xlfn._xlws.FILTER(_xlpm.d,_xlpm.c)))</f>
        <v>0.18609137540466494</v>
      </c>
      <c r="N34" cm="1">
        <f t="array" ref="N34">_xlfn.LET(_xlpm.d,N$23:N$33,_xlpm.c,$E$23:$E$33=1,STDEV(_xlfn._xlws.FILTER(_xlpm.d,_xlpm.c)))</f>
        <v>0.17772638145944003</v>
      </c>
      <c r="O34" cm="1">
        <f t="array" ref="O34">_xlfn.LET(_xlpm.d,O$23:O$33,_xlpm.c,$E$23:$E$33=1,STDEV(_xlfn._xlws.FILTER(_xlpm.d,_xlpm.c)))</f>
        <v>0.20704266871026042</v>
      </c>
      <c r="P34" cm="1">
        <f t="array" ref="P34">_xlfn.LET(_xlpm.d,P$23:P$33,_xlpm.c,$E$23:$E$33=1,STDEV(_xlfn._xlws.FILTER(_xlpm.d,_xlpm.c)))</f>
        <v>0.21470134295496815</v>
      </c>
      <c r="Q34" cm="1">
        <f t="array" ref="Q34">_xlfn.LET(_xlpm.d,Q$23:Q$33,_xlpm.c,$E$23:$E$33=1,STDEV(_xlfn._xlws.FILTER(_xlpm.d,_xlpm.c)))</f>
        <v>0.15681198933755028</v>
      </c>
      <c r="R34" cm="1">
        <f t="array" ref="R34">_xlfn.LET(_xlpm.d,R$23:R$33,_xlpm.c,$E$23:$E$33=1,STDEV(_xlfn._xlws.FILTER(_xlpm.d,_xlpm.c)))</f>
        <v>0.18761663039293749</v>
      </c>
      <c r="S34" t="e">
        <f>_xlfn.LET(_xlpm.d,$G34:$R34,MAX(_xlpm.d))</f>
        <v>#DIV/0!</v>
      </c>
    </row>
  </sheetData>
  <conditionalFormatting sqref="G31:R3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:T19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S31:S33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8118-BE27-4C4B-9165-B0D107A5DF65}">
  <sheetPr codeName="Sheet2"/>
  <dimension ref="A1:T28"/>
  <sheetViews>
    <sheetView workbookViewId="0">
      <pane xSplit="11940" ySplit="2060" topLeftCell="K9" activePane="bottomLeft"/>
      <selection activeCell="H1" sqref="H1:T1048576"/>
      <selection pane="topRight" activeCell="H6" sqref="H6"/>
      <selection pane="bottomLeft" activeCell="B23" sqref="B23:T28"/>
      <selection pane="bottomRight" activeCell="T17" sqref="T17"/>
    </sheetView>
  </sheetViews>
  <sheetFormatPr baseColWidth="10" defaultRowHeight="27" customHeight="1"/>
  <cols>
    <col min="2" max="2" width="8.25" customWidth="1"/>
    <col min="4" max="4" width="9.625" customWidth="1"/>
    <col min="5" max="5" width="7.125" customWidth="1"/>
    <col min="6" max="6" width="7.5" customWidth="1"/>
    <col min="7" max="7" width="10" customWidth="1"/>
    <col min="8" max="20" width="7.875" customWidth="1"/>
  </cols>
  <sheetData>
    <row r="1" spans="1:20" ht="27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37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7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0.92</v>
      </c>
      <c r="I2" s="1">
        <v>0.88</v>
      </c>
      <c r="J2" s="1">
        <v>0.88</v>
      </c>
      <c r="K2" s="1">
        <v>0.88</v>
      </c>
      <c r="L2" s="1">
        <v>0.81</v>
      </c>
      <c r="M2" s="1">
        <v>0.77</v>
      </c>
      <c r="N2" s="1">
        <v>0.92</v>
      </c>
      <c r="O2" s="1">
        <v>0.86</v>
      </c>
      <c r="P2" s="1">
        <v>0.86</v>
      </c>
      <c r="Q2" s="1">
        <v>0.88</v>
      </c>
      <c r="R2" s="1">
        <v>0.85</v>
      </c>
      <c r="S2" s="1">
        <v>0.81</v>
      </c>
      <c r="T2" s="1">
        <f t="shared" ref="T2:T19" si="0">_xlfn.LET(_xlpm.d,$H2:$S2,MAX(_xlpm.d))</f>
        <v>0.92</v>
      </c>
    </row>
    <row r="3" spans="1:20" ht="27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H3" s="1">
        <v>0.87</v>
      </c>
      <c r="I3" s="1">
        <v>0.86</v>
      </c>
      <c r="J3" s="1">
        <v>0.91</v>
      </c>
      <c r="K3" s="1">
        <v>0.93</v>
      </c>
      <c r="L3" s="1">
        <v>0.88</v>
      </c>
      <c r="M3" s="1">
        <v>0.84</v>
      </c>
      <c r="N3" s="1">
        <v>0.94</v>
      </c>
      <c r="O3" s="1">
        <v>0.85</v>
      </c>
      <c r="P3" s="1">
        <v>0.9</v>
      </c>
      <c r="Q3" s="1">
        <v>0.88</v>
      </c>
      <c r="R3" s="1">
        <v>0.84</v>
      </c>
      <c r="S3" s="1">
        <v>0.85</v>
      </c>
      <c r="T3" s="1">
        <f t="shared" si="0"/>
        <v>0.94</v>
      </c>
    </row>
    <row r="4" spans="1:20" ht="27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H4" s="1">
        <v>0.85</v>
      </c>
      <c r="I4" s="1">
        <v>0.85</v>
      </c>
      <c r="J4" s="1">
        <v>0.88</v>
      </c>
      <c r="K4" s="1">
        <v>0.88</v>
      </c>
      <c r="L4" s="1">
        <v>0.83</v>
      </c>
      <c r="M4" s="1">
        <v>0.79</v>
      </c>
      <c r="N4" s="1">
        <v>0.9</v>
      </c>
      <c r="O4" s="1">
        <v>0.84</v>
      </c>
      <c r="P4" s="1">
        <v>0.85</v>
      </c>
      <c r="Q4" s="1">
        <v>0.82</v>
      </c>
      <c r="R4" s="1">
        <v>0.86</v>
      </c>
      <c r="S4" s="1">
        <v>0.81</v>
      </c>
      <c r="T4" s="1">
        <f t="shared" si="0"/>
        <v>0.9</v>
      </c>
    </row>
    <row r="5" spans="1:20" ht="27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H5" s="1">
        <v>0.73</v>
      </c>
      <c r="I5" s="1">
        <v>0.82</v>
      </c>
      <c r="J5" s="1">
        <v>0.87</v>
      </c>
      <c r="K5" s="1">
        <v>0.85</v>
      </c>
      <c r="L5" s="1">
        <v>0.81</v>
      </c>
      <c r="M5" s="1">
        <v>0.8</v>
      </c>
      <c r="N5" s="1">
        <v>0.83</v>
      </c>
      <c r="O5" s="1">
        <v>0.78</v>
      </c>
      <c r="P5" s="1">
        <v>0.87</v>
      </c>
      <c r="Q5" s="1">
        <v>0.81</v>
      </c>
      <c r="R5" s="1">
        <v>0.8</v>
      </c>
      <c r="S5" s="1">
        <v>0.84</v>
      </c>
      <c r="T5" s="1">
        <f t="shared" si="0"/>
        <v>0.87</v>
      </c>
    </row>
    <row r="6" spans="1:20" ht="27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H6" s="1">
        <v>0.75</v>
      </c>
      <c r="I6" s="1">
        <v>0.83</v>
      </c>
      <c r="J6" s="1">
        <v>0.84</v>
      </c>
      <c r="K6" s="1">
        <v>0.92</v>
      </c>
      <c r="L6" s="1">
        <v>0.86</v>
      </c>
      <c r="M6" s="1">
        <v>0.84</v>
      </c>
      <c r="N6" s="1">
        <v>0.86</v>
      </c>
      <c r="O6" s="1">
        <v>0.78</v>
      </c>
      <c r="P6" s="1">
        <v>0.82</v>
      </c>
      <c r="Q6" s="1">
        <v>0.85</v>
      </c>
      <c r="R6" s="1">
        <v>0.9</v>
      </c>
      <c r="S6" s="1">
        <v>0.84</v>
      </c>
      <c r="T6" s="1">
        <f t="shared" si="0"/>
        <v>0.92</v>
      </c>
    </row>
    <row r="7" spans="1:20" ht="27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H7" s="1">
        <v>0.77</v>
      </c>
      <c r="I7" s="1">
        <v>0.81</v>
      </c>
      <c r="J7" s="1">
        <v>0.81</v>
      </c>
      <c r="K7" s="1">
        <v>0.86</v>
      </c>
      <c r="L7" s="1">
        <v>0.82</v>
      </c>
      <c r="M7" s="1">
        <v>0.8</v>
      </c>
      <c r="N7" s="1">
        <v>0.86</v>
      </c>
      <c r="O7" s="1">
        <v>0.81</v>
      </c>
      <c r="P7" s="1">
        <v>0.83</v>
      </c>
      <c r="Q7" s="1">
        <v>0.81</v>
      </c>
      <c r="R7" s="1">
        <v>0.85</v>
      </c>
      <c r="S7" s="1">
        <v>0.83</v>
      </c>
      <c r="T7" s="1">
        <f t="shared" si="0"/>
        <v>0.86</v>
      </c>
    </row>
    <row r="8" spans="1:20" ht="27" customHeight="1">
      <c r="A8" t="s">
        <v>16</v>
      </c>
      <c r="B8">
        <v>2</v>
      </c>
      <c r="C8" t="s">
        <v>33</v>
      </c>
      <c r="D8" t="b">
        <v>1</v>
      </c>
      <c r="E8">
        <v>1</v>
      </c>
      <c r="F8" t="s">
        <v>20</v>
      </c>
      <c r="H8" s="1">
        <v>0.8</v>
      </c>
      <c r="I8" s="1">
        <v>0.87</v>
      </c>
      <c r="J8" s="1">
        <v>0.81</v>
      </c>
      <c r="K8" s="1">
        <v>0.8</v>
      </c>
      <c r="L8" s="1">
        <v>0.72</v>
      </c>
      <c r="M8" s="1">
        <v>0.56000000000000005</v>
      </c>
      <c r="N8" s="1">
        <v>0.86</v>
      </c>
      <c r="O8" s="1">
        <v>0.84</v>
      </c>
      <c r="P8" s="1">
        <v>0.86</v>
      </c>
      <c r="Q8" s="1">
        <v>0.85</v>
      </c>
      <c r="R8" s="1">
        <v>0.88</v>
      </c>
      <c r="S8" s="1">
        <v>0.56000000000000005</v>
      </c>
      <c r="T8" s="1">
        <f t="shared" si="0"/>
        <v>0.88</v>
      </c>
    </row>
    <row r="9" spans="1:20" ht="27" customHeight="1">
      <c r="A9" t="s">
        <v>16</v>
      </c>
      <c r="B9">
        <v>2</v>
      </c>
      <c r="C9" t="s">
        <v>33</v>
      </c>
      <c r="D9" t="b">
        <v>1</v>
      </c>
      <c r="E9">
        <v>2</v>
      </c>
      <c r="F9" t="s">
        <v>19</v>
      </c>
      <c r="H9" s="1">
        <v>0.94</v>
      </c>
      <c r="I9" s="1">
        <v>0.89</v>
      </c>
      <c r="J9" s="1">
        <v>0.92</v>
      </c>
      <c r="K9" s="1">
        <v>0.94</v>
      </c>
      <c r="L9" s="1">
        <v>0.88</v>
      </c>
      <c r="M9" s="1">
        <v>0.82</v>
      </c>
      <c r="N9" s="1">
        <v>0.91</v>
      </c>
      <c r="O9" s="1">
        <v>0.9</v>
      </c>
      <c r="P9" s="1">
        <v>0.88</v>
      </c>
      <c r="Q9" s="1">
        <v>0.89</v>
      </c>
      <c r="R9" s="1">
        <v>0.87</v>
      </c>
      <c r="S9" s="1">
        <v>0.85</v>
      </c>
      <c r="T9" s="1">
        <f t="shared" si="0"/>
        <v>0.94</v>
      </c>
    </row>
    <row r="10" spans="1:20" ht="27" customHeight="1">
      <c r="A10" t="s">
        <v>16</v>
      </c>
      <c r="B10">
        <v>2</v>
      </c>
      <c r="C10" t="s">
        <v>33</v>
      </c>
      <c r="D10" t="b">
        <v>1</v>
      </c>
      <c r="E10">
        <v>3</v>
      </c>
      <c r="F10" t="s">
        <v>18</v>
      </c>
      <c r="H10" s="1">
        <v>0.94</v>
      </c>
      <c r="I10" s="1">
        <v>0.92</v>
      </c>
      <c r="J10" s="1">
        <v>0.94</v>
      </c>
      <c r="K10" s="1">
        <v>0.92</v>
      </c>
      <c r="L10" s="1">
        <v>0.86</v>
      </c>
      <c r="M10" s="1">
        <v>0.82</v>
      </c>
      <c r="N10" s="1">
        <v>0.9</v>
      </c>
      <c r="O10" s="1">
        <v>0.89</v>
      </c>
      <c r="P10" s="1">
        <v>0.91</v>
      </c>
      <c r="Q10" s="1">
        <v>0.93</v>
      </c>
      <c r="R10" s="1">
        <v>0.84</v>
      </c>
      <c r="S10" s="1">
        <v>0.84</v>
      </c>
      <c r="T10" s="1">
        <f t="shared" si="0"/>
        <v>0.94</v>
      </c>
    </row>
    <row r="11" spans="1:20" ht="27" customHeight="1">
      <c r="A11" t="s">
        <v>16</v>
      </c>
      <c r="B11">
        <v>2</v>
      </c>
      <c r="C11" t="s">
        <v>33</v>
      </c>
      <c r="D11" t="b">
        <v>0</v>
      </c>
      <c r="E11">
        <v>1</v>
      </c>
      <c r="F11" t="s">
        <v>20</v>
      </c>
      <c r="H11" s="1">
        <v>0.67</v>
      </c>
      <c r="I11" s="1">
        <v>0.61</v>
      </c>
      <c r="J11" s="1">
        <v>0.64</v>
      </c>
      <c r="K11" s="1">
        <v>0.63</v>
      </c>
      <c r="L11" s="1">
        <v>0.57999999999999996</v>
      </c>
      <c r="M11" s="1">
        <v>0.59</v>
      </c>
      <c r="N11" s="1">
        <v>0.6</v>
      </c>
      <c r="O11" s="1">
        <v>0.63</v>
      </c>
      <c r="P11" s="1">
        <v>0.56000000000000005</v>
      </c>
      <c r="Q11" s="1">
        <v>0.6</v>
      </c>
      <c r="R11" s="1">
        <v>0.61</v>
      </c>
      <c r="S11" s="1">
        <v>0.6</v>
      </c>
      <c r="T11" s="1">
        <f t="shared" si="0"/>
        <v>0.67</v>
      </c>
    </row>
    <row r="12" spans="1:20" ht="27" customHeight="1">
      <c r="A12" t="s">
        <v>16</v>
      </c>
      <c r="B12">
        <v>2</v>
      </c>
      <c r="C12" t="s">
        <v>33</v>
      </c>
      <c r="D12" t="b">
        <v>0</v>
      </c>
      <c r="E12">
        <v>2</v>
      </c>
      <c r="F12" t="s">
        <v>19</v>
      </c>
      <c r="H12" s="1">
        <v>0.7</v>
      </c>
      <c r="I12" s="1">
        <v>0.69</v>
      </c>
      <c r="J12" s="1">
        <v>0.69</v>
      </c>
      <c r="K12" s="1">
        <v>0.75</v>
      </c>
      <c r="L12" s="1">
        <v>0.72</v>
      </c>
      <c r="M12" s="1">
        <v>0.65</v>
      </c>
      <c r="N12" s="1">
        <v>0.7</v>
      </c>
      <c r="O12" s="1">
        <v>0.69</v>
      </c>
      <c r="P12" s="1">
        <v>0.71</v>
      </c>
      <c r="Q12" s="1">
        <v>0.71</v>
      </c>
      <c r="R12" s="1">
        <v>0.72</v>
      </c>
      <c r="S12" s="1">
        <v>0.68</v>
      </c>
      <c r="T12" s="1">
        <f t="shared" si="0"/>
        <v>0.75</v>
      </c>
    </row>
    <row r="13" spans="1:20" ht="27" customHeight="1">
      <c r="A13" t="s">
        <v>16</v>
      </c>
      <c r="B13">
        <v>2</v>
      </c>
      <c r="C13" t="s">
        <v>33</v>
      </c>
      <c r="D13" t="b">
        <v>0</v>
      </c>
      <c r="E13">
        <v>3</v>
      </c>
      <c r="F13" t="s">
        <v>18</v>
      </c>
      <c r="H13" s="1">
        <v>0.68</v>
      </c>
      <c r="I13" s="1">
        <v>0.74</v>
      </c>
      <c r="J13" s="1">
        <v>0.7</v>
      </c>
      <c r="K13" s="1">
        <v>0.72</v>
      </c>
      <c r="L13" s="1">
        <v>0.72</v>
      </c>
      <c r="M13" s="1">
        <v>0.73</v>
      </c>
      <c r="N13" s="1">
        <v>0.71</v>
      </c>
      <c r="O13" s="1">
        <v>0.71</v>
      </c>
      <c r="P13" s="1">
        <v>0.69</v>
      </c>
      <c r="Q13" s="1">
        <v>0.73</v>
      </c>
      <c r="R13" s="1">
        <v>0.7</v>
      </c>
      <c r="S13" s="1">
        <v>0.72</v>
      </c>
      <c r="T13" s="1">
        <f t="shared" si="0"/>
        <v>0.74</v>
      </c>
    </row>
    <row r="14" spans="1:20" ht="27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H14" s="1">
        <v>0.49</v>
      </c>
      <c r="I14" s="1">
        <v>0.52</v>
      </c>
      <c r="J14" s="1">
        <v>0.51</v>
      </c>
      <c r="K14" s="1">
        <v>0.48</v>
      </c>
      <c r="L14" s="1">
        <v>0.43</v>
      </c>
      <c r="M14" s="1">
        <v>0.37</v>
      </c>
      <c r="N14" s="1">
        <v>0.54</v>
      </c>
      <c r="O14" s="1">
        <v>0.48</v>
      </c>
      <c r="P14" s="1">
        <v>0.46</v>
      </c>
      <c r="Q14" s="1">
        <v>0.48</v>
      </c>
      <c r="R14" s="1">
        <v>0.39</v>
      </c>
      <c r="S14" s="1">
        <v>0.37</v>
      </c>
      <c r="T14" s="1">
        <f t="shared" si="0"/>
        <v>0.54</v>
      </c>
    </row>
    <row r="15" spans="1:20" ht="27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H15" s="1">
        <v>0.55000000000000004</v>
      </c>
      <c r="I15" s="1">
        <v>0.49</v>
      </c>
      <c r="J15" s="1">
        <v>0.56999999999999995</v>
      </c>
      <c r="K15" s="1">
        <v>0.54</v>
      </c>
      <c r="L15" s="1">
        <v>0.5</v>
      </c>
      <c r="M15" s="1">
        <v>0.5</v>
      </c>
      <c r="N15" s="1">
        <v>0.56000000000000005</v>
      </c>
      <c r="O15" s="1">
        <v>0.54</v>
      </c>
      <c r="P15" s="1">
        <v>0.56000000000000005</v>
      </c>
      <c r="Q15" s="1">
        <v>0.45</v>
      </c>
      <c r="R15" s="1">
        <v>0.45</v>
      </c>
      <c r="S15" s="1">
        <v>0.52</v>
      </c>
      <c r="T15" s="1">
        <f t="shared" si="0"/>
        <v>0.56999999999999995</v>
      </c>
    </row>
    <row r="16" spans="1:20" ht="27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H16" s="1">
        <v>0.46</v>
      </c>
      <c r="I16" s="1">
        <v>0.39</v>
      </c>
      <c r="J16" s="1">
        <v>0.48</v>
      </c>
      <c r="K16" s="1">
        <v>0.41</v>
      </c>
      <c r="L16" s="1">
        <v>0.41</v>
      </c>
      <c r="M16" s="1">
        <v>0.39</v>
      </c>
      <c r="N16" s="1">
        <v>0.53</v>
      </c>
      <c r="O16" s="1">
        <v>0.47</v>
      </c>
      <c r="P16" s="1">
        <v>0.47</v>
      </c>
      <c r="Q16" s="1">
        <v>0.4</v>
      </c>
      <c r="R16" s="1">
        <v>0.4</v>
      </c>
      <c r="S16" s="1">
        <v>0.45</v>
      </c>
      <c r="T16" s="1">
        <f t="shared" si="0"/>
        <v>0.53</v>
      </c>
    </row>
    <row r="17" spans="1:20" ht="27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H17" s="1">
        <v>0.43</v>
      </c>
      <c r="I17" s="1">
        <v>0.39</v>
      </c>
      <c r="J17" s="1">
        <v>0.44</v>
      </c>
      <c r="K17" s="1">
        <v>0.35</v>
      </c>
      <c r="L17" s="1">
        <v>0.34</v>
      </c>
      <c r="M17" s="1">
        <v>0.41</v>
      </c>
      <c r="N17" s="1">
        <v>0.41</v>
      </c>
      <c r="O17" s="1">
        <v>0.4</v>
      </c>
      <c r="P17" s="1">
        <v>0.39</v>
      </c>
      <c r="Q17" s="1">
        <v>0.36</v>
      </c>
      <c r="R17" s="1">
        <v>0.38</v>
      </c>
      <c r="S17" s="1">
        <v>0.37</v>
      </c>
      <c r="T17" s="1">
        <f t="shared" si="0"/>
        <v>0.44</v>
      </c>
    </row>
    <row r="18" spans="1:20" ht="27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H18" s="1">
        <v>0.45</v>
      </c>
      <c r="I18" s="1">
        <v>0.42</v>
      </c>
      <c r="J18" s="1">
        <v>0.46</v>
      </c>
      <c r="K18" s="1">
        <v>0.45</v>
      </c>
      <c r="L18" s="1">
        <v>0.44</v>
      </c>
      <c r="M18" s="1">
        <v>0.44</v>
      </c>
      <c r="N18" s="1">
        <v>0.48</v>
      </c>
      <c r="O18" s="1">
        <v>0.42</v>
      </c>
      <c r="P18" s="1">
        <v>0.43</v>
      </c>
      <c r="Q18" s="1">
        <v>0.4</v>
      </c>
      <c r="R18" s="1">
        <v>0.47</v>
      </c>
      <c r="S18" s="1">
        <v>0.46</v>
      </c>
      <c r="T18" s="1">
        <f t="shared" si="0"/>
        <v>0.48</v>
      </c>
    </row>
    <row r="19" spans="1:20" ht="27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H19" s="1">
        <v>0.37</v>
      </c>
      <c r="I19" s="1">
        <v>0.44</v>
      </c>
      <c r="J19" s="1">
        <v>0.39</v>
      </c>
      <c r="K19" s="1">
        <v>0.4</v>
      </c>
      <c r="L19" s="1">
        <v>0.43</v>
      </c>
      <c r="M19" s="1">
        <v>0.37</v>
      </c>
      <c r="N19" s="1">
        <v>0.46</v>
      </c>
      <c r="O19" s="1">
        <v>0.37</v>
      </c>
      <c r="P19" s="1">
        <v>0.4</v>
      </c>
      <c r="Q19" s="1">
        <v>0.38</v>
      </c>
      <c r="R19" s="1">
        <v>0.35</v>
      </c>
      <c r="S19" s="1">
        <v>0.43</v>
      </c>
      <c r="T19" s="1">
        <f t="shared" si="0"/>
        <v>0.46</v>
      </c>
    </row>
    <row r="22" spans="1:20" ht="27" customHeight="1">
      <c r="B22" t="s">
        <v>24</v>
      </c>
      <c r="C22" t="s">
        <v>1</v>
      </c>
      <c r="D22" t="s">
        <v>26</v>
      </c>
      <c r="E22" t="s">
        <v>25</v>
      </c>
      <c r="F22" t="s">
        <v>3</v>
      </c>
      <c r="G22" t="s">
        <v>37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7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H23" s="1" cm="1">
        <f t="array" ref="H23">_xlfn.LET(_xlpm.d,H$2:H$19,_xlpm.a,$C$2:$C$19=$C23,_xlpm.b,$D$2:$D$19=$D23,MAX(_xlfn._xlws.FILTER(_xlpm.d,_xlpm.a*_xlpm.b)))</f>
        <v>0.92</v>
      </c>
      <c r="I23" s="1" cm="1">
        <f t="array" ref="I23">_xlfn.LET(_xlpm.d,I$2:I$19,_xlpm.a,$C$2:$C$19=$C23,_xlpm.b,$D$2:$D$19=$D23,MAX(_xlfn._xlws.FILTER(_xlpm.d,_xlpm.a*_xlpm.b)))</f>
        <v>0.88</v>
      </c>
      <c r="J23" s="1" cm="1">
        <f t="array" ref="J23">_xlfn.LET(_xlpm.d,J$2:J$19,_xlpm.a,$C$2:$C$19=$C23,_xlpm.b,$D$2:$D$19=$D23,MAX(_xlfn._xlws.FILTER(_xlpm.d,_xlpm.a*_xlpm.b)))</f>
        <v>0.91</v>
      </c>
      <c r="K23" s="1" cm="1">
        <f t="array" ref="K23">_xlfn.LET(_xlpm.d,K$2:K$19,_xlpm.a,$C$2:$C$19=$C23,_xlpm.b,$D$2:$D$19=$D23,MAX(_xlfn._xlws.FILTER(_xlpm.d,_xlpm.a*_xlpm.b)))</f>
        <v>0.93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0.84</v>
      </c>
      <c r="N23" s="1" cm="1">
        <f t="array" ref="N23">_xlfn.LET(_xlpm.d,N$2:N$19,_xlpm.a,$C$2:$C$19=$C23,_xlpm.b,$D$2:$D$19=$D23,MAX(_xlfn._xlws.FILTER(_xlpm.d,_xlpm.a*_xlpm.b)))</f>
        <v>0.94</v>
      </c>
      <c r="O23" s="1" cm="1">
        <f t="array" ref="O23">_xlfn.LET(_xlpm.d,O$2:O$19,_xlpm.a,$C$2:$C$19=$C23,_xlpm.b,$D$2:$D$19=$D23,MAX(_xlfn._xlws.FILTER(_xlpm.d,_xlpm.a*_xlpm.b)))</f>
        <v>0.86</v>
      </c>
      <c r="P23" s="1" cm="1">
        <f t="array" ref="P23">_xlfn.LET(_xlpm.d,P$2:P$19,_xlpm.a,$C$2:$C$19=$C23,_xlpm.b,$D$2:$D$19=$D23,MAX(_xlfn._xlws.FILTER(_xlpm.d,_xlpm.a*_xlpm.b)))</f>
        <v>0.9</v>
      </c>
      <c r="Q23" s="1" cm="1">
        <f t="array" ref="Q23">_xlfn.LET(_xlpm.d,Q$2:Q$19,_xlpm.a,$C$2:$C$19=$C23,_xlpm.b,$D$2:$D$19=$D23,MAX(_xlfn._xlws.FILTER(_xlpm.d,_xlpm.a*_xlpm.b)))</f>
        <v>0.88</v>
      </c>
      <c r="R23" s="1" cm="1">
        <f t="array" ref="R23">_xlfn.LET(_xlpm.d,R$2:R$19,_xlpm.a,$C$2:$C$19=$C23,_xlpm.b,$D$2:$D$19=$D23,MAX(_xlfn._xlws.FILTER(_xlpm.d,_xlpm.a*_xlpm.b)))</f>
        <v>0.86</v>
      </c>
      <c r="S23" s="1" cm="1">
        <f t="array" ref="S23">_xlfn.LET(_xlpm.d,S$2:S$19,_xlpm.a,$C$2:$C$19=$C23,_xlpm.b,$D$2:$D$19=$D23,MAX(_xlfn._xlws.FILTER(_xlpm.d,_xlpm.a*_xlpm.b)))</f>
        <v>0.85</v>
      </c>
      <c r="T23" s="1" cm="1">
        <f t="array" ref="T23">_xlfn.LET(_xlpm.d,T$2:T$19,_xlpm.a,$C$2:$C$19=$C23,_xlpm.b,$D$2:$D$19=$D23,MAX(_xlfn._xlws.FILTER(_xlpm.d,_xlpm.a*_xlpm.b)))</f>
        <v>0.94</v>
      </c>
    </row>
    <row r="24" spans="1:20" ht="27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H24" s="1" cm="1">
        <f t="array" ref="H24">_xlfn.LET(_xlpm.d,H$2:H$19,_xlpm.a,$C$2:$C$19=$C24,_xlpm.b,$D$2:$D$19=$D24,MAX(_xlfn._xlws.FILTER(_xlpm.d,_xlpm.a*_xlpm.b)))</f>
        <v>0.77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0.87</v>
      </c>
      <c r="K24" s="1" cm="1">
        <f t="array" ref="K24">_xlfn.LET(_xlpm.d,K$2:K$19,_xlpm.a,$C$2:$C$19=$C24,_xlpm.b,$D$2:$D$19=$D24,MAX(_xlfn._xlws.FILTER(_xlpm.d,_xlpm.a*_xlpm.b)))</f>
        <v>0.92</v>
      </c>
      <c r="L24" s="1" cm="1">
        <f t="array" ref="L24">_xlfn.LET(_xlpm.d,L$2:L$19,_xlpm.a,$C$2:$C$19=$C24,_xlpm.b,$D$2:$D$19=$D24,MAX(_xlfn._xlws.FILTER(_xlpm.d,_xlpm.a*_xlpm.b)))</f>
        <v>0.86</v>
      </c>
      <c r="M24" s="1" cm="1">
        <f t="array" ref="M24">_xlfn.LET(_xlpm.d,M$2:M$19,_xlpm.a,$C$2:$C$19=$C24,_xlpm.b,$D$2:$D$19=$D24,MAX(_xlfn._xlws.FILTER(_xlpm.d,_xlpm.a*_xlpm.b)))</f>
        <v>0.84</v>
      </c>
      <c r="N24" s="1" cm="1">
        <f t="array" ref="N24">_xlfn.LET(_xlpm.d,N$2:N$19,_xlpm.a,$C$2:$C$19=$C24,_xlpm.b,$D$2:$D$19=$D24,MAX(_xlfn._xlws.FILTER(_xlpm.d,_xlpm.a*_xlpm.b)))</f>
        <v>0.86</v>
      </c>
      <c r="O24" s="1" cm="1">
        <f t="array" ref="O24">_xlfn.LET(_xlpm.d,O$2:O$19,_xlpm.a,$C$2:$C$19=$C24,_xlpm.b,$D$2:$D$19=$D24,MAX(_xlfn._xlws.FILTER(_xlpm.d,_xlpm.a*_xlpm.b)))</f>
        <v>0.81</v>
      </c>
      <c r="P24" s="1" cm="1">
        <f t="array" ref="P24">_xlfn.LET(_xlpm.d,P$2:P$19,_xlpm.a,$C$2:$C$19=$C24,_xlpm.b,$D$2:$D$19=$D24,MAX(_xlfn._xlws.FILTER(_xlpm.d,_xlpm.a*_xlpm.b)))</f>
        <v>0.87</v>
      </c>
      <c r="Q24" s="1" cm="1">
        <f t="array" ref="Q24">_xlfn.LET(_xlpm.d,Q$2:Q$19,_xlpm.a,$C$2:$C$19=$C24,_xlpm.b,$D$2:$D$19=$D24,MAX(_xlfn._xlws.FILTER(_xlpm.d,_xlpm.a*_xlpm.b)))</f>
        <v>0.85</v>
      </c>
      <c r="R24" s="1" cm="1">
        <f t="array" ref="R24">_xlfn.LET(_xlpm.d,R$2:R$19,_xlpm.a,$C$2:$C$19=$C24,_xlpm.b,$D$2:$D$19=$D24,MAX(_xlfn._xlws.FILTER(_xlpm.d,_xlpm.a*_xlpm.b)))</f>
        <v>0.9</v>
      </c>
      <c r="S24" s="1" cm="1">
        <f t="array" ref="S24">_xlfn.LET(_xlpm.d,S$2:S$19,_xlpm.a,$C$2:$C$19=$C24,_xlpm.b,$D$2:$D$19=$D24,MAX(_xlfn._xlws.FILTER(_xlpm.d,_xlpm.a*_xlpm.b)))</f>
        <v>0.84</v>
      </c>
      <c r="T24" s="1" cm="1">
        <f t="array" ref="T24">_xlfn.LET(_xlpm.d,T$2:T$19,_xlpm.a,$C$2:$C$19=$C24,_xlpm.b,$D$2:$D$19=$D24,MAX(_xlfn._xlws.FILTER(_xlpm.d,_xlpm.a*_xlpm.b)))</f>
        <v>0.92</v>
      </c>
    </row>
    <row r="25" spans="1:20" ht="27" customHeight="1">
      <c r="B25">
        <v>2</v>
      </c>
      <c r="C25" t="s">
        <v>33</v>
      </c>
      <c r="D25" t="b">
        <v>1</v>
      </c>
      <c r="E25">
        <v>0</v>
      </c>
      <c r="F25" t="s">
        <v>23</v>
      </c>
      <c r="H25" s="1" cm="1">
        <f t="array" ref="H25">_xlfn.LET(_xlpm.d,H$2:H$19,_xlpm.a,$C$2:$C$19=$C25,_xlpm.b,$D$2:$D$19=$D25,MAX(_xlfn._xlws.FILTER(_xlpm.d,_xlpm.a*_xlpm.b)))</f>
        <v>0.94</v>
      </c>
      <c r="I25" s="1" cm="1">
        <f t="array" ref="I25">_xlfn.LET(_xlpm.d,I$2:I$19,_xlpm.a,$C$2:$C$19=$C25,_xlpm.b,$D$2:$D$19=$D25,MAX(_xlfn._xlws.FILTER(_xlpm.d,_xlpm.a*_xlpm.b)))</f>
        <v>0.92</v>
      </c>
      <c r="J25" s="1" cm="1">
        <f t="array" ref="J25">_xlfn.LET(_xlpm.d,J$2:J$19,_xlpm.a,$C$2:$C$19=$C25,_xlpm.b,$D$2:$D$19=$D25,MAX(_xlfn._xlws.FILTER(_xlpm.d,_xlpm.a*_xlpm.b)))</f>
        <v>0.94</v>
      </c>
      <c r="K25" s="1" cm="1">
        <f t="array" ref="K25">_xlfn.LET(_xlpm.d,K$2:K$19,_xlpm.a,$C$2:$C$19=$C25,_xlpm.b,$D$2:$D$19=$D25,MAX(_xlfn._xlws.FILTER(_xlpm.d,_xlpm.a*_xlpm.b)))</f>
        <v>0.94</v>
      </c>
      <c r="L25" s="1" cm="1">
        <f t="array" ref="L25">_xlfn.LET(_xlpm.d,L$2:L$19,_xlpm.a,$C$2:$C$19=$C25,_xlpm.b,$D$2:$D$19=$D25,MAX(_xlfn._xlws.FILTER(_xlpm.d,_xlpm.a*_xlpm.b)))</f>
        <v>0.88</v>
      </c>
      <c r="M25" s="1" cm="1">
        <f t="array" ref="M25">_xlfn.LET(_xlpm.d,M$2:M$19,_xlpm.a,$C$2:$C$19=$C25,_xlpm.b,$D$2:$D$19=$D25,MAX(_xlfn._xlws.FILTER(_xlpm.d,_xlpm.a*_xlpm.b)))</f>
        <v>0.82</v>
      </c>
      <c r="N25" s="1" cm="1">
        <f t="array" ref="N25">_xlfn.LET(_xlpm.d,N$2:N$19,_xlpm.a,$C$2:$C$19=$C25,_xlpm.b,$D$2:$D$19=$D25,MAX(_xlfn._xlws.FILTER(_xlpm.d,_xlpm.a*_xlpm.b)))</f>
        <v>0.91</v>
      </c>
      <c r="O25" s="1" cm="1">
        <f t="array" ref="O25">_xlfn.LET(_xlpm.d,O$2:O$19,_xlpm.a,$C$2:$C$19=$C25,_xlpm.b,$D$2:$D$19=$D25,MAX(_xlfn._xlws.FILTER(_xlpm.d,_xlpm.a*_xlpm.b)))</f>
        <v>0.9</v>
      </c>
      <c r="P25" s="1" cm="1">
        <f t="array" ref="P25">_xlfn.LET(_xlpm.d,P$2:P$19,_xlpm.a,$C$2:$C$19=$C25,_xlpm.b,$D$2:$D$19=$D25,MAX(_xlfn._xlws.FILTER(_xlpm.d,_xlpm.a*_xlpm.b)))</f>
        <v>0.91</v>
      </c>
      <c r="Q25" s="1" cm="1">
        <f t="array" ref="Q25">_xlfn.LET(_xlpm.d,Q$2:Q$19,_xlpm.a,$C$2:$C$19=$C25,_xlpm.b,$D$2:$D$19=$D25,MAX(_xlfn._xlws.FILTER(_xlpm.d,_xlpm.a*_xlpm.b)))</f>
        <v>0.93</v>
      </c>
      <c r="R25" s="1" cm="1">
        <f t="array" ref="R25">_xlfn.LET(_xlpm.d,R$2:R$19,_xlpm.a,$C$2:$C$19=$C25,_xlpm.b,$D$2:$D$19=$D25,MAX(_xlfn._xlws.FILTER(_xlpm.d,_xlpm.a*_xlpm.b)))</f>
        <v>0.88</v>
      </c>
      <c r="S25" s="1" cm="1">
        <f t="array" ref="S25">_xlfn.LET(_xlpm.d,S$2:S$19,_xlpm.a,$C$2:$C$19=$C25,_xlpm.b,$D$2:$D$19=$D25,MAX(_xlfn._xlws.FILTER(_xlpm.d,_xlpm.a*_xlpm.b)))</f>
        <v>0.85</v>
      </c>
      <c r="T25" s="1" cm="1">
        <f t="array" ref="T25">_xlfn.LET(_xlpm.d,T$2:T$19,_xlpm.a,$C$2:$C$19=$C25,_xlpm.b,$D$2:$D$19=$D25,MAX(_xlfn._xlws.FILTER(_xlpm.d,_xlpm.a*_xlpm.b)))</f>
        <v>0.94</v>
      </c>
    </row>
    <row r="26" spans="1:20" ht="27" customHeight="1">
      <c r="B26">
        <v>2</v>
      </c>
      <c r="C26" t="s">
        <v>33</v>
      </c>
      <c r="D26" t="b">
        <v>0</v>
      </c>
      <c r="E26">
        <v>0</v>
      </c>
      <c r="F26" t="s">
        <v>23</v>
      </c>
      <c r="H26" s="1" cm="1">
        <f t="array" ref="H26">_xlfn.LET(_xlpm.d,H$2:H$19,_xlpm.a,$C$2:$C$19=$C26,_xlpm.b,$D$2:$D$19=$D26,MAX(_xlfn._xlws.FILTER(_xlpm.d,_xlpm.a*_xlpm.b)))</f>
        <v>0.7</v>
      </c>
      <c r="I26" s="1" cm="1">
        <f t="array" ref="I26">_xlfn.LET(_xlpm.d,I$2:I$19,_xlpm.a,$C$2:$C$19=$C26,_xlpm.b,$D$2:$D$19=$D26,MAX(_xlfn._xlws.FILTER(_xlpm.d,_xlpm.a*_xlpm.b)))</f>
        <v>0.74</v>
      </c>
      <c r="J26" s="1" cm="1">
        <f t="array" ref="J26">_xlfn.LET(_xlpm.d,J$2:J$19,_xlpm.a,$C$2:$C$19=$C26,_xlpm.b,$D$2:$D$19=$D26,MAX(_xlfn._xlws.FILTER(_xlpm.d,_xlpm.a*_xlpm.b)))</f>
        <v>0.7</v>
      </c>
      <c r="K26" s="1" cm="1">
        <f t="array" ref="K26">_xlfn.LET(_xlpm.d,K$2:K$19,_xlpm.a,$C$2:$C$19=$C26,_xlpm.b,$D$2:$D$19=$D26,MAX(_xlfn._xlws.FILTER(_xlpm.d,_xlpm.a*_xlpm.b)))</f>
        <v>0.75</v>
      </c>
      <c r="L26" s="1" cm="1">
        <f t="array" ref="L26">_xlfn.LET(_xlpm.d,L$2:L$19,_xlpm.a,$C$2:$C$19=$C26,_xlpm.b,$D$2:$D$19=$D26,MAX(_xlfn._xlws.FILTER(_xlpm.d,_xlpm.a*_xlpm.b)))</f>
        <v>0.72</v>
      </c>
      <c r="M26" s="1" cm="1">
        <f t="array" ref="M26">_xlfn.LET(_xlpm.d,M$2:M$19,_xlpm.a,$C$2:$C$19=$C26,_xlpm.b,$D$2:$D$19=$D26,MAX(_xlfn._xlws.FILTER(_xlpm.d,_xlpm.a*_xlpm.b)))</f>
        <v>0.73</v>
      </c>
      <c r="N26" s="1" cm="1">
        <f t="array" ref="N26">_xlfn.LET(_xlpm.d,N$2:N$19,_xlpm.a,$C$2:$C$19=$C26,_xlpm.b,$D$2:$D$19=$D26,MAX(_xlfn._xlws.FILTER(_xlpm.d,_xlpm.a*_xlpm.b)))</f>
        <v>0.71</v>
      </c>
      <c r="O26" s="1" cm="1">
        <f t="array" ref="O26">_xlfn.LET(_xlpm.d,O$2:O$19,_xlpm.a,$C$2:$C$19=$C26,_xlpm.b,$D$2:$D$19=$D26,MAX(_xlfn._xlws.FILTER(_xlpm.d,_xlpm.a*_xlpm.b)))</f>
        <v>0.71</v>
      </c>
      <c r="P26" s="1" cm="1">
        <f t="array" ref="P26">_xlfn.LET(_xlpm.d,P$2:P$19,_xlpm.a,$C$2:$C$19=$C26,_xlpm.b,$D$2:$D$19=$D26,MAX(_xlfn._xlws.FILTER(_xlpm.d,_xlpm.a*_xlpm.b)))</f>
        <v>0.71</v>
      </c>
      <c r="Q26" s="1" cm="1">
        <f t="array" ref="Q26">_xlfn.LET(_xlpm.d,Q$2:Q$19,_xlpm.a,$C$2:$C$19=$C26,_xlpm.b,$D$2:$D$19=$D26,MAX(_xlfn._xlws.FILTER(_xlpm.d,_xlpm.a*_xlpm.b)))</f>
        <v>0.73</v>
      </c>
      <c r="R26" s="1" cm="1">
        <f t="array" ref="R26">_xlfn.LET(_xlpm.d,R$2:R$19,_xlpm.a,$C$2:$C$19=$C26,_xlpm.b,$D$2:$D$19=$D26,MAX(_xlfn._xlws.FILTER(_xlpm.d,_xlpm.a*_xlpm.b)))</f>
        <v>0.72</v>
      </c>
      <c r="S26" s="1" cm="1">
        <f t="array" ref="S26">_xlfn.LET(_xlpm.d,S$2:S$19,_xlpm.a,$C$2:$C$19=$C26,_xlpm.b,$D$2:$D$19=$D26,MAX(_xlfn._xlws.FILTER(_xlpm.d,_xlpm.a*_xlpm.b)))</f>
        <v>0.72</v>
      </c>
      <c r="T26" s="1" cm="1">
        <f t="array" ref="T26">_xlfn.LET(_xlpm.d,T$2:T$19,_xlpm.a,$C$2:$C$19=$C26,_xlpm.b,$D$2:$D$19=$D26,MAX(_xlfn._xlws.FILTER(_xlpm.d,_xlpm.a*_xlpm.b)))</f>
        <v>0.75</v>
      </c>
    </row>
    <row r="27" spans="1:20" ht="27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H27" s="1" cm="1">
        <f t="array" ref="H27">_xlfn.LET(_xlpm.d,H$2:H$19,_xlpm.a,$C$2:$C$19=$C27,_xlpm.b,$D$2:$D$19=$D27,MAX(_xlfn._xlws.FILTER(_xlpm.d,_xlpm.a*_xlpm.b)))</f>
        <v>0.55000000000000004</v>
      </c>
      <c r="I27" s="1" cm="1">
        <f t="array" ref="I27">_xlfn.LET(_xlpm.d,I$2:I$19,_xlpm.a,$C$2:$C$19=$C27,_xlpm.b,$D$2:$D$19=$D27,MAX(_xlfn._xlws.FILTER(_xlpm.d,_xlpm.a*_xlpm.b)))</f>
        <v>0.52</v>
      </c>
      <c r="J27" s="1" cm="1">
        <f t="array" ref="J27">_xlfn.LET(_xlpm.d,J$2:J$19,_xlpm.a,$C$2:$C$19=$C27,_xlpm.b,$D$2:$D$19=$D27,MAX(_xlfn._xlws.FILTER(_xlpm.d,_xlpm.a*_xlpm.b)))</f>
        <v>0.56999999999999995</v>
      </c>
      <c r="K27" s="1" cm="1">
        <f t="array" ref="K27">_xlfn.LET(_xlpm.d,K$2:K$19,_xlpm.a,$C$2:$C$19=$C27,_xlpm.b,$D$2:$D$19=$D27,MAX(_xlfn._xlws.FILTER(_xlpm.d,_xlpm.a*_xlpm.b)))</f>
        <v>0.54</v>
      </c>
      <c r="L27" s="1" cm="1">
        <f t="array" ref="L27">_xlfn.LET(_xlpm.d,L$2:L$19,_xlpm.a,$C$2:$C$19=$C27,_xlpm.b,$D$2:$D$19=$D27,MAX(_xlfn._xlws.FILTER(_xlpm.d,_xlpm.a*_xlpm.b)))</f>
        <v>0.5</v>
      </c>
      <c r="M27" s="1" cm="1">
        <f t="array" ref="M27">_xlfn.LET(_xlpm.d,M$2:M$19,_xlpm.a,$C$2:$C$19=$C27,_xlpm.b,$D$2:$D$19=$D27,MAX(_xlfn._xlws.FILTER(_xlpm.d,_xlpm.a*_xlpm.b)))</f>
        <v>0.5</v>
      </c>
      <c r="N27" s="1" cm="1">
        <f t="array" ref="N27">_xlfn.LET(_xlpm.d,N$2:N$19,_xlpm.a,$C$2:$C$19=$C27,_xlpm.b,$D$2:$D$19=$D27,MAX(_xlfn._xlws.FILTER(_xlpm.d,_xlpm.a*_xlpm.b)))</f>
        <v>0.56000000000000005</v>
      </c>
      <c r="O27" s="1" cm="1">
        <f t="array" ref="O27">_xlfn.LET(_xlpm.d,O$2:O$19,_xlpm.a,$C$2:$C$19=$C27,_xlpm.b,$D$2:$D$19=$D27,MAX(_xlfn._xlws.FILTER(_xlpm.d,_xlpm.a*_xlpm.b)))</f>
        <v>0.54</v>
      </c>
      <c r="P27" s="1" cm="1">
        <f t="array" ref="P27">_xlfn.LET(_xlpm.d,P$2:P$19,_xlpm.a,$C$2:$C$19=$C27,_xlpm.b,$D$2:$D$19=$D27,MAX(_xlfn._xlws.FILTER(_xlpm.d,_xlpm.a*_xlpm.b)))</f>
        <v>0.56000000000000005</v>
      </c>
      <c r="Q27" s="1" cm="1">
        <f t="array" ref="Q27">_xlfn.LET(_xlpm.d,Q$2:Q$19,_xlpm.a,$C$2:$C$19=$C27,_xlpm.b,$D$2:$D$19=$D27,MAX(_xlfn._xlws.FILTER(_xlpm.d,_xlpm.a*_xlpm.b)))</f>
        <v>0.48</v>
      </c>
      <c r="R27" s="1" cm="1">
        <f t="array" ref="R27">_xlfn.LET(_xlpm.d,R$2:R$19,_xlpm.a,$C$2:$C$19=$C27,_xlpm.b,$D$2:$D$19=$D27,MAX(_xlfn._xlws.FILTER(_xlpm.d,_xlpm.a*_xlpm.b)))</f>
        <v>0.45</v>
      </c>
      <c r="S27" s="1" cm="1">
        <f t="array" ref="S27">_xlfn.LET(_xlpm.d,S$2:S$19,_xlpm.a,$C$2:$C$19=$C27,_xlpm.b,$D$2:$D$19=$D27,MAX(_xlfn._xlws.FILTER(_xlpm.d,_xlpm.a*_xlpm.b)))</f>
        <v>0.52</v>
      </c>
      <c r="T27" s="1" cm="1">
        <f t="array" ref="T27">_xlfn.LET(_xlpm.d,T$2:T$19,_xlpm.a,$C$2:$C$19=$C27,_xlpm.b,$D$2:$D$19=$D27,MAX(_xlfn._xlws.FILTER(_xlpm.d,_xlpm.a*_xlpm.b)))</f>
        <v>0.56999999999999995</v>
      </c>
    </row>
    <row r="28" spans="1:20" ht="27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H28" s="1" cm="1">
        <f t="array" ref="H28">_xlfn.LET(_xlpm.d,H$2:H$19,_xlpm.a,$C$2:$C$19=$C28,_xlpm.b,$D$2:$D$19=$D28,MAX(_xlfn._xlws.FILTER(_xlpm.d,_xlpm.a*_xlpm.b)))</f>
        <v>0.45</v>
      </c>
      <c r="I28" s="1" cm="1">
        <f t="array" ref="I28">_xlfn.LET(_xlpm.d,I$2:I$19,_xlpm.a,$C$2:$C$19=$C28,_xlpm.b,$D$2:$D$19=$D28,MAX(_xlfn._xlws.FILTER(_xlpm.d,_xlpm.a*_xlpm.b)))</f>
        <v>0.44</v>
      </c>
      <c r="J28" s="1" cm="1">
        <f t="array" ref="J28">_xlfn.LET(_xlpm.d,J$2:J$19,_xlpm.a,$C$2:$C$19=$C28,_xlpm.b,$D$2:$D$19=$D28,MAX(_xlfn._xlws.FILTER(_xlpm.d,_xlpm.a*_xlpm.b)))</f>
        <v>0.46</v>
      </c>
      <c r="K28" s="1" cm="1">
        <f t="array" ref="K28">_xlfn.LET(_xlpm.d,K$2:K$19,_xlpm.a,$C$2:$C$19=$C28,_xlpm.b,$D$2:$D$19=$D28,MAX(_xlfn._xlws.FILTER(_xlpm.d,_xlpm.a*_xlpm.b)))</f>
        <v>0.45</v>
      </c>
      <c r="L28" s="1" cm="1">
        <f t="array" ref="L28">_xlfn.LET(_xlpm.d,L$2:L$19,_xlpm.a,$C$2:$C$19=$C28,_xlpm.b,$D$2:$D$19=$D28,MAX(_xlfn._xlws.FILTER(_xlpm.d,_xlpm.a*_xlpm.b)))</f>
        <v>0.44</v>
      </c>
      <c r="M28" s="1" cm="1">
        <f t="array" ref="M28">_xlfn.LET(_xlpm.d,M$2:M$19,_xlpm.a,$C$2:$C$19=$C28,_xlpm.b,$D$2:$D$19=$D28,MAX(_xlfn._xlws.FILTER(_xlpm.d,_xlpm.a*_xlpm.b)))</f>
        <v>0.44</v>
      </c>
      <c r="N28" s="1" cm="1">
        <f t="array" ref="N28">_xlfn.LET(_xlpm.d,N$2:N$19,_xlpm.a,$C$2:$C$19=$C28,_xlpm.b,$D$2:$D$19=$D28,MAX(_xlfn._xlws.FILTER(_xlpm.d,_xlpm.a*_xlpm.b)))</f>
        <v>0.48</v>
      </c>
      <c r="O28" s="1" cm="1">
        <f t="array" ref="O28">_xlfn.LET(_xlpm.d,O$2:O$19,_xlpm.a,$C$2:$C$19=$C28,_xlpm.b,$D$2:$D$19=$D28,MAX(_xlfn._xlws.FILTER(_xlpm.d,_xlpm.a*_xlpm.b)))</f>
        <v>0.42</v>
      </c>
      <c r="P28" s="1" cm="1">
        <f t="array" ref="P28">_xlfn.LET(_xlpm.d,P$2:P$19,_xlpm.a,$C$2:$C$19=$C28,_xlpm.b,$D$2:$D$19=$D28,MAX(_xlfn._xlws.FILTER(_xlpm.d,_xlpm.a*_xlpm.b)))</f>
        <v>0.43</v>
      </c>
      <c r="Q28" s="1" cm="1">
        <f t="array" ref="Q28">_xlfn.LET(_xlpm.d,Q$2:Q$19,_xlpm.a,$C$2:$C$19=$C28,_xlpm.b,$D$2:$D$19=$D28,MAX(_xlfn._xlws.FILTER(_xlpm.d,_xlpm.a*_xlpm.b)))</f>
        <v>0.4</v>
      </c>
      <c r="R28" s="1" cm="1">
        <f t="array" ref="R28">_xlfn.LET(_xlpm.d,R$2:R$19,_xlpm.a,$C$2:$C$19=$C28,_xlpm.b,$D$2:$D$19=$D28,MAX(_xlfn._xlws.FILTER(_xlpm.d,_xlpm.a*_xlpm.b)))</f>
        <v>0.47</v>
      </c>
      <c r="S28" s="1" cm="1">
        <f t="array" ref="S28">_xlfn.LET(_xlpm.d,S$2:S$19,_xlpm.a,$C$2:$C$19=$C28,_xlpm.b,$D$2:$D$19=$D28,MAX(_xlfn._xlws.FILTER(_xlpm.d,_xlpm.a*_xlpm.b)))</f>
        <v>0.46</v>
      </c>
      <c r="T28" s="1" cm="1">
        <f t="array" ref="T28">_xlfn.LET(_xlpm.d,T$2:T$19,_xlpm.a,$C$2:$C$19=$C28,_xlpm.b,$D$2:$D$19=$D28,MAX(_xlfn._xlws.FILTER(_xlpm.d,_xlpm.a*_xlpm.b)))</f>
        <v>0.48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688D-5E5A-C24C-A17B-AB7AACCEE5A0}">
  <sheetPr codeName="Sheet8"/>
  <dimension ref="A1:S28"/>
  <sheetViews>
    <sheetView workbookViewId="0"/>
  </sheetViews>
  <sheetFormatPr baseColWidth="10" defaultRowHeight="25" customHeight="1"/>
  <cols>
    <col min="2" max="5" width="8.625" customWidth="1"/>
    <col min="7" max="19" width="8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0.88</v>
      </c>
      <c r="H2" s="1">
        <v>0.85</v>
      </c>
      <c r="I2" s="1">
        <v>0.83</v>
      </c>
      <c r="J2" s="1">
        <v>0.84</v>
      </c>
      <c r="K2" s="1">
        <v>0.83</v>
      </c>
      <c r="L2" s="1">
        <v>0.83</v>
      </c>
      <c r="M2" s="1">
        <v>0.87</v>
      </c>
      <c r="N2" s="1">
        <v>0.83</v>
      </c>
      <c r="O2" s="1">
        <v>0.88</v>
      </c>
      <c r="P2" s="1">
        <v>0.74</v>
      </c>
      <c r="Q2" s="1">
        <v>0.8</v>
      </c>
      <c r="R2" s="1">
        <v>0.85</v>
      </c>
      <c r="S2" s="1">
        <f t="shared" ref="S2:S19" si="0">MAX($G2:$R2)</f>
        <v>0.88</v>
      </c>
    </row>
    <row r="3" spans="1:19" ht="25" customHeight="1">
      <c r="A3" t="s">
        <v>16</v>
      </c>
      <c r="B3">
        <v>1</v>
      </c>
      <c r="C3" t="s">
        <v>17</v>
      </c>
      <c r="D3" t="b">
        <v>0</v>
      </c>
      <c r="E3">
        <v>2</v>
      </c>
      <c r="F3" t="s">
        <v>19</v>
      </c>
      <c r="G3" s="1">
        <v>0.86</v>
      </c>
      <c r="H3" s="1">
        <v>0.83</v>
      </c>
      <c r="I3" s="1">
        <v>0.8</v>
      </c>
      <c r="J3" s="1">
        <v>0.87</v>
      </c>
      <c r="K3" s="1">
        <v>0.85</v>
      </c>
      <c r="L3" s="1">
        <v>0.88</v>
      </c>
      <c r="M3" s="1">
        <v>0.84</v>
      </c>
      <c r="N3" s="1">
        <v>0.79</v>
      </c>
      <c r="O3" s="1">
        <v>0.85</v>
      </c>
      <c r="P3" s="1">
        <v>0.81</v>
      </c>
      <c r="Q3" s="1">
        <v>0.81</v>
      </c>
      <c r="R3" s="1">
        <v>0.83</v>
      </c>
      <c r="S3" s="1">
        <f t="shared" si="0"/>
        <v>0.88</v>
      </c>
    </row>
    <row r="4" spans="1:19" ht="25" customHeight="1">
      <c r="A4" t="s">
        <v>16</v>
      </c>
      <c r="B4">
        <v>1</v>
      </c>
      <c r="C4" t="s">
        <v>17</v>
      </c>
      <c r="D4" t="b">
        <v>0</v>
      </c>
      <c r="E4">
        <v>3</v>
      </c>
      <c r="F4" t="s">
        <v>18</v>
      </c>
      <c r="G4" s="1">
        <v>0.81</v>
      </c>
      <c r="H4" s="1">
        <v>0.78</v>
      </c>
      <c r="I4" s="1">
        <v>0.81</v>
      </c>
      <c r="J4" s="1">
        <v>0.84</v>
      </c>
      <c r="K4" s="1">
        <v>0.83</v>
      </c>
      <c r="L4" s="1">
        <v>0.88</v>
      </c>
      <c r="M4" s="1">
        <v>0.78</v>
      </c>
      <c r="N4" s="1">
        <v>0.79</v>
      </c>
      <c r="O4" s="1">
        <v>0.8</v>
      </c>
      <c r="P4" s="1">
        <v>0.77</v>
      </c>
      <c r="Q4" s="1">
        <v>0.78</v>
      </c>
      <c r="R4" s="1">
        <v>0.8</v>
      </c>
      <c r="S4" s="1">
        <f t="shared" si="0"/>
        <v>0.88</v>
      </c>
    </row>
    <row r="5" spans="1:19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1">
        <v>0.81</v>
      </c>
      <c r="H5" s="1">
        <v>0.83</v>
      </c>
      <c r="I5" s="1">
        <v>0.81</v>
      </c>
      <c r="J5" s="1">
        <v>0.85</v>
      </c>
      <c r="K5" s="1">
        <v>0.81</v>
      </c>
      <c r="L5" s="1">
        <v>0.86</v>
      </c>
      <c r="M5" s="1">
        <v>0.82</v>
      </c>
      <c r="N5" s="1">
        <v>0.76</v>
      </c>
      <c r="O5" s="1">
        <v>0.82</v>
      </c>
      <c r="P5" s="1">
        <v>0.78</v>
      </c>
      <c r="Q5" s="1">
        <v>0.81</v>
      </c>
      <c r="R5" s="1">
        <v>0.81</v>
      </c>
      <c r="S5" s="1">
        <f t="shared" si="0"/>
        <v>0.86</v>
      </c>
    </row>
    <row r="6" spans="1:19" ht="25" customHeight="1">
      <c r="A6" t="s">
        <v>16</v>
      </c>
      <c r="B6">
        <v>1</v>
      </c>
      <c r="C6" t="s">
        <v>17</v>
      </c>
      <c r="D6" t="b">
        <v>1</v>
      </c>
      <c r="E6">
        <v>2</v>
      </c>
      <c r="F6" t="s">
        <v>19</v>
      </c>
      <c r="G6" s="1">
        <v>0.93</v>
      </c>
      <c r="H6" s="1">
        <v>0.86</v>
      </c>
      <c r="I6" s="1">
        <v>0.85</v>
      </c>
      <c r="J6" s="1">
        <v>0.85</v>
      </c>
      <c r="K6" s="1">
        <v>0.84</v>
      </c>
      <c r="L6" s="1">
        <v>0.91</v>
      </c>
      <c r="M6" s="1">
        <v>0.92</v>
      </c>
      <c r="N6" s="1">
        <v>0.86</v>
      </c>
      <c r="O6" s="1">
        <v>0.91</v>
      </c>
      <c r="P6" s="1">
        <v>0.89</v>
      </c>
      <c r="Q6" s="1">
        <v>0.85</v>
      </c>
      <c r="R6" s="1">
        <v>0.89</v>
      </c>
      <c r="S6" s="1">
        <f t="shared" si="0"/>
        <v>0.93</v>
      </c>
    </row>
    <row r="7" spans="1:19" ht="25" customHeight="1">
      <c r="A7" t="s">
        <v>16</v>
      </c>
      <c r="B7">
        <v>1</v>
      </c>
      <c r="C7" t="s">
        <v>17</v>
      </c>
      <c r="D7" t="b">
        <v>1</v>
      </c>
      <c r="E7">
        <v>3</v>
      </c>
      <c r="F7" t="s">
        <v>18</v>
      </c>
      <c r="G7" s="1">
        <v>0.92</v>
      </c>
      <c r="H7" s="1">
        <v>0.88</v>
      </c>
      <c r="I7" s="1">
        <v>0.86</v>
      </c>
      <c r="J7" s="1">
        <v>0.81</v>
      </c>
      <c r="K7" s="1">
        <v>0.86</v>
      </c>
      <c r="L7" s="1">
        <v>0.87</v>
      </c>
      <c r="M7" s="1">
        <v>0.85</v>
      </c>
      <c r="N7" s="1">
        <v>0.83</v>
      </c>
      <c r="O7" s="1">
        <v>0.87</v>
      </c>
      <c r="P7" s="1">
        <v>0.79</v>
      </c>
      <c r="Q7" s="1">
        <v>0.82</v>
      </c>
      <c r="R7" s="1">
        <v>0.8</v>
      </c>
      <c r="S7" s="1">
        <f t="shared" si="0"/>
        <v>0.92</v>
      </c>
    </row>
    <row r="8" spans="1:19" ht="25" customHeight="1">
      <c r="A8" t="s">
        <v>16</v>
      </c>
      <c r="B8">
        <v>2</v>
      </c>
      <c r="C8" t="s">
        <v>33</v>
      </c>
      <c r="D8" t="b">
        <v>1</v>
      </c>
      <c r="E8">
        <v>2</v>
      </c>
      <c r="F8" t="s">
        <v>19</v>
      </c>
      <c r="G8" s="1">
        <v>0.92</v>
      </c>
      <c r="H8" s="1">
        <v>0.89</v>
      </c>
      <c r="I8" s="1">
        <v>0.88</v>
      </c>
      <c r="J8" s="1">
        <v>0.91</v>
      </c>
      <c r="K8" s="1">
        <v>0.91</v>
      </c>
      <c r="L8" s="1">
        <v>0.89</v>
      </c>
      <c r="M8" s="1">
        <v>0.92</v>
      </c>
      <c r="N8" s="1">
        <v>0.86</v>
      </c>
      <c r="O8" s="1">
        <v>0.93</v>
      </c>
      <c r="P8" s="1">
        <v>0.9</v>
      </c>
      <c r="Q8" s="1">
        <v>0.91</v>
      </c>
      <c r="R8" s="1">
        <v>0.88</v>
      </c>
      <c r="S8" s="1">
        <f t="shared" si="0"/>
        <v>0.93</v>
      </c>
    </row>
    <row r="9" spans="1:19" ht="25" customHeight="1">
      <c r="A9" t="s">
        <v>16</v>
      </c>
      <c r="B9">
        <v>2</v>
      </c>
      <c r="C9" t="s">
        <v>33</v>
      </c>
      <c r="D9" t="b">
        <v>1</v>
      </c>
      <c r="E9">
        <v>1</v>
      </c>
      <c r="F9" t="s">
        <v>20</v>
      </c>
      <c r="G9" s="1">
        <v>0.88</v>
      </c>
      <c r="H9" s="1">
        <v>0.8</v>
      </c>
      <c r="I9" s="1">
        <v>0.86</v>
      </c>
      <c r="J9" s="1">
        <v>0.84</v>
      </c>
      <c r="K9" s="1">
        <v>0.57999999999999996</v>
      </c>
      <c r="L9" s="1">
        <v>0.82</v>
      </c>
      <c r="M9" s="1">
        <v>0.89</v>
      </c>
      <c r="N9" s="1">
        <v>0.7</v>
      </c>
      <c r="O9" s="1">
        <v>0.92</v>
      </c>
      <c r="P9" s="1">
        <v>0.85</v>
      </c>
      <c r="Q9" s="1">
        <v>0.6</v>
      </c>
      <c r="R9" s="1">
        <v>0.59</v>
      </c>
      <c r="S9" s="1">
        <f t="shared" si="0"/>
        <v>0.92</v>
      </c>
    </row>
    <row r="10" spans="1:19" ht="25" customHeight="1">
      <c r="A10" t="s">
        <v>16</v>
      </c>
      <c r="B10">
        <v>2</v>
      </c>
      <c r="C10" t="s">
        <v>33</v>
      </c>
      <c r="D10" t="b">
        <v>1</v>
      </c>
      <c r="E10">
        <v>3</v>
      </c>
      <c r="F10" t="s">
        <v>18</v>
      </c>
      <c r="G10" s="1">
        <v>0.93</v>
      </c>
      <c r="H10" s="1">
        <v>0.91</v>
      </c>
      <c r="I10" s="1">
        <v>0.91</v>
      </c>
      <c r="J10" s="1">
        <v>0.94</v>
      </c>
      <c r="K10" s="1">
        <v>0.89</v>
      </c>
      <c r="L10" s="1">
        <v>0.89</v>
      </c>
      <c r="M10" s="1">
        <v>0.93</v>
      </c>
      <c r="N10" s="1">
        <v>0.88</v>
      </c>
      <c r="O10" s="1">
        <v>0.94</v>
      </c>
      <c r="P10" s="1">
        <v>0.91</v>
      </c>
      <c r="Q10" s="1">
        <v>0.86</v>
      </c>
      <c r="R10" s="1">
        <v>0.91</v>
      </c>
      <c r="S10" s="1">
        <f t="shared" si="0"/>
        <v>0.94</v>
      </c>
    </row>
    <row r="11" spans="1:19" ht="25" customHeight="1">
      <c r="A11" t="s">
        <v>16</v>
      </c>
      <c r="B11">
        <v>2</v>
      </c>
      <c r="C11" t="s">
        <v>33</v>
      </c>
      <c r="D11" t="b">
        <v>0</v>
      </c>
      <c r="E11">
        <v>2</v>
      </c>
      <c r="F11" t="s">
        <v>19</v>
      </c>
      <c r="G11" s="1">
        <v>0.67</v>
      </c>
      <c r="H11" s="1">
        <v>0.68</v>
      </c>
      <c r="I11" s="1">
        <v>0.67</v>
      </c>
      <c r="J11" s="1">
        <v>0.69</v>
      </c>
      <c r="K11" s="1">
        <v>0.67</v>
      </c>
      <c r="L11" s="1">
        <v>0.65</v>
      </c>
      <c r="M11" s="1">
        <v>0.66</v>
      </c>
      <c r="N11" s="1">
        <v>0.64</v>
      </c>
      <c r="O11" s="1">
        <v>0.73</v>
      </c>
      <c r="P11" s="1">
        <v>0.67</v>
      </c>
      <c r="Q11" s="1">
        <v>0.69</v>
      </c>
      <c r="R11" s="1">
        <v>0.73</v>
      </c>
      <c r="S11" s="1">
        <f t="shared" si="0"/>
        <v>0.73</v>
      </c>
    </row>
    <row r="12" spans="1:19" ht="25" customHeight="1">
      <c r="A12" t="s">
        <v>16</v>
      </c>
      <c r="B12">
        <v>2</v>
      </c>
      <c r="C12" t="s">
        <v>33</v>
      </c>
      <c r="D12" t="b">
        <v>0</v>
      </c>
      <c r="E12">
        <v>3</v>
      </c>
      <c r="F12" t="s">
        <v>18</v>
      </c>
      <c r="G12" s="1">
        <v>0.65</v>
      </c>
      <c r="H12" s="1">
        <v>0.74</v>
      </c>
      <c r="I12" s="1">
        <v>0.68</v>
      </c>
      <c r="J12" s="1">
        <v>0.73</v>
      </c>
      <c r="K12" s="1">
        <v>0.68</v>
      </c>
      <c r="L12" s="1">
        <v>0.69</v>
      </c>
      <c r="M12" s="1">
        <v>0.63</v>
      </c>
      <c r="N12" s="1">
        <v>0.73</v>
      </c>
      <c r="O12" s="1">
        <v>0.71</v>
      </c>
      <c r="P12" s="1">
        <v>0.73</v>
      </c>
      <c r="Q12" s="1">
        <v>0.69</v>
      </c>
      <c r="R12" s="1">
        <v>0.72</v>
      </c>
      <c r="S12" s="1">
        <f t="shared" si="0"/>
        <v>0.74</v>
      </c>
    </row>
    <row r="13" spans="1:19" ht="25" customHeight="1">
      <c r="A13" t="s">
        <v>16</v>
      </c>
      <c r="B13">
        <v>2</v>
      </c>
      <c r="C13" t="s">
        <v>33</v>
      </c>
      <c r="D13" t="b">
        <v>0</v>
      </c>
      <c r="E13">
        <v>1</v>
      </c>
      <c r="F13" t="s">
        <v>20</v>
      </c>
      <c r="G13" s="1">
        <v>0.66</v>
      </c>
      <c r="H13" s="1">
        <v>0.64</v>
      </c>
      <c r="I13" s="1">
        <v>0.57999999999999996</v>
      </c>
      <c r="J13" s="1">
        <v>0.61</v>
      </c>
      <c r="K13" s="1">
        <v>0.59</v>
      </c>
      <c r="L13" s="1">
        <v>0.57999999999999996</v>
      </c>
      <c r="M13" s="1">
        <v>0.59</v>
      </c>
      <c r="N13" s="1">
        <v>0.57999999999999996</v>
      </c>
      <c r="O13" s="1">
        <v>0.6</v>
      </c>
      <c r="P13" s="1">
        <v>0.62</v>
      </c>
      <c r="Q13" s="1">
        <v>0.59</v>
      </c>
      <c r="R13" s="1">
        <v>0.56000000000000005</v>
      </c>
      <c r="S13" s="1">
        <f t="shared" si="0"/>
        <v>0.66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1">
        <v>0.53</v>
      </c>
      <c r="H14" s="1">
        <v>0.45</v>
      </c>
      <c r="I14" s="1">
        <v>0.48</v>
      </c>
      <c r="J14" s="1">
        <v>0.53</v>
      </c>
      <c r="K14" s="1">
        <v>0.33</v>
      </c>
      <c r="L14" s="1">
        <v>0.38</v>
      </c>
      <c r="M14" s="1">
        <v>0.48</v>
      </c>
      <c r="N14" s="1">
        <v>0.47</v>
      </c>
      <c r="O14" s="1">
        <v>0.45</v>
      </c>
      <c r="P14" s="1">
        <v>0.46</v>
      </c>
      <c r="Q14" s="1">
        <v>0.42</v>
      </c>
      <c r="R14" s="1">
        <v>0.32</v>
      </c>
      <c r="S14" s="1">
        <f t="shared" si="0"/>
        <v>0.53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3</v>
      </c>
      <c r="F15" t="s">
        <v>18</v>
      </c>
      <c r="G15" s="1">
        <v>0.43</v>
      </c>
      <c r="H15" s="1">
        <v>0.42</v>
      </c>
      <c r="I15" s="1">
        <v>0.44</v>
      </c>
      <c r="J15" s="1">
        <v>0.33</v>
      </c>
      <c r="K15" s="1">
        <v>0.37</v>
      </c>
      <c r="L15" s="1">
        <v>0.36</v>
      </c>
      <c r="M15" s="1">
        <v>0.43</v>
      </c>
      <c r="N15" s="1">
        <v>0.45</v>
      </c>
      <c r="O15" s="1">
        <v>0.41</v>
      </c>
      <c r="P15" s="1">
        <v>0.42</v>
      </c>
      <c r="Q15" s="1">
        <v>0.38</v>
      </c>
      <c r="R15" s="1">
        <v>0.33</v>
      </c>
      <c r="S15" s="1">
        <f t="shared" si="0"/>
        <v>0.45</v>
      </c>
    </row>
    <row r="16" spans="1:19" ht="25" customHeight="1">
      <c r="A16" t="s">
        <v>16</v>
      </c>
      <c r="B16">
        <v>3</v>
      </c>
      <c r="C16" t="s">
        <v>22</v>
      </c>
      <c r="D16" t="b">
        <v>0</v>
      </c>
      <c r="E16">
        <v>1</v>
      </c>
      <c r="F16" t="s">
        <v>20</v>
      </c>
      <c r="G16" s="1">
        <v>0.43</v>
      </c>
      <c r="H16" s="1">
        <v>0.4</v>
      </c>
      <c r="I16" s="1">
        <v>0.39</v>
      </c>
      <c r="J16" s="1">
        <v>0.33</v>
      </c>
      <c r="K16" s="1">
        <v>0.39</v>
      </c>
      <c r="L16" s="1">
        <v>0.36</v>
      </c>
      <c r="M16" s="1">
        <v>0.36</v>
      </c>
      <c r="N16" s="1">
        <v>0.41</v>
      </c>
      <c r="O16" s="1">
        <v>0.41</v>
      </c>
      <c r="P16" s="1">
        <v>0.38</v>
      </c>
      <c r="Q16" s="1">
        <v>0.42</v>
      </c>
      <c r="R16" s="1">
        <v>0.28999999999999998</v>
      </c>
      <c r="S16" s="1">
        <f t="shared" si="0"/>
        <v>0.43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2</v>
      </c>
      <c r="F17" t="s">
        <v>19</v>
      </c>
      <c r="G17" s="1">
        <v>0.45</v>
      </c>
      <c r="H17" s="1">
        <v>0.43</v>
      </c>
      <c r="I17" s="1">
        <v>0.42</v>
      </c>
      <c r="J17" s="1">
        <v>0.39</v>
      </c>
      <c r="K17" s="1">
        <v>0.39</v>
      </c>
      <c r="L17" s="1">
        <v>0.47</v>
      </c>
      <c r="M17" s="1">
        <v>0.39</v>
      </c>
      <c r="N17" s="1">
        <v>0.47</v>
      </c>
      <c r="O17" s="1">
        <v>0.41</v>
      </c>
      <c r="P17" s="1">
        <v>0.44</v>
      </c>
      <c r="Q17" s="1">
        <v>0.42</v>
      </c>
      <c r="R17" s="1">
        <v>0.39</v>
      </c>
      <c r="S17" s="1">
        <f t="shared" si="0"/>
        <v>0.47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3</v>
      </c>
      <c r="F18" t="s">
        <v>18</v>
      </c>
      <c r="G18" s="1">
        <v>0.31</v>
      </c>
      <c r="H18" s="1">
        <v>0.42</v>
      </c>
      <c r="I18" s="1">
        <v>0.44</v>
      </c>
      <c r="J18" s="1">
        <v>0.34</v>
      </c>
      <c r="K18" s="1">
        <v>0.34</v>
      </c>
      <c r="L18" s="1">
        <v>0.33</v>
      </c>
      <c r="M18" s="1">
        <v>0.38</v>
      </c>
      <c r="N18" s="1">
        <v>0.36</v>
      </c>
      <c r="O18" s="1">
        <v>0.34</v>
      </c>
      <c r="P18" s="1">
        <v>0.4</v>
      </c>
      <c r="Q18" s="1">
        <v>0.39</v>
      </c>
      <c r="R18" s="1">
        <v>0.32</v>
      </c>
      <c r="S18" s="1">
        <f t="shared" si="0"/>
        <v>0.44</v>
      </c>
    </row>
    <row r="19" spans="1:19" ht="25" customHeight="1">
      <c r="A19" t="s">
        <v>16</v>
      </c>
      <c r="B19">
        <v>3</v>
      </c>
      <c r="C19" t="s">
        <v>22</v>
      </c>
      <c r="D19" t="b">
        <v>1</v>
      </c>
      <c r="E19">
        <v>2</v>
      </c>
      <c r="F19" t="s">
        <v>19</v>
      </c>
      <c r="G19" s="1">
        <v>0.51</v>
      </c>
      <c r="H19" s="1">
        <v>0.51</v>
      </c>
      <c r="I19" s="1">
        <v>0.53</v>
      </c>
      <c r="J19" s="1">
        <v>0.48</v>
      </c>
      <c r="K19" s="1">
        <v>0.43</v>
      </c>
      <c r="L19" s="1">
        <v>0.54</v>
      </c>
      <c r="M19" s="1">
        <v>0.53</v>
      </c>
      <c r="N19" s="1">
        <v>0.48</v>
      </c>
      <c r="O19" s="1">
        <v>0.49</v>
      </c>
      <c r="P19" s="1">
        <v>0.51</v>
      </c>
      <c r="Q19" s="1">
        <v>0.51</v>
      </c>
      <c r="R19" s="1">
        <v>0.49</v>
      </c>
      <c r="S19" s="1">
        <f t="shared" si="0"/>
        <v>0.54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23</v>
      </c>
    </row>
    <row r="23" spans="1:19" ht="25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G23" s="1" cm="1">
        <f t="array" ref="G23">_xlfn.LET(_xlpm.d,G$2:G$19,_xlpm.a,$C$2:$C$19=$C23,_xlpm.b,$D$2:$D$19=$D23,MAX(_xlfn._xlws.FILTER(_xlpm.d,_xlpm.a*_xlpm.b)))</f>
        <v>0.93</v>
      </c>
      <c r="H23" s="1" cm="1">
        <f t="array" ref="H23">_xlfn.LET(_xlpm.d,H$2:H$19,_xlpm.a,$C$2:$C$19=$C23,_xlpm.b,$D$2:$D$19=$D23,MAX(_xlfn._xlws.FILTER(_xlpm.d,_xlpm.a*_xlpm.b)))</f>
        <v>0.88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0.85</v>
      </c>
      <c r="K23" s="1" cm="1">
        <f t="array" ref="K23">_xlfn.LET(_xlpm.d,K$2:K$19,_xlpm.a,$C$2:$C$19=$C23,_xlpm.b,$D$2:$D$19=$D23,MAX(_xlfn._xlws.FILTER(_xlpm.d,_xlpm.a*_xlpm.b)))</f>
        <v>0.86</v>
      </c>
      <c r="L23" s="1" cm="1">
        <f t="array" ref="L23">_xlfn.LET(_xlpm.d,L$2:L$19,_xlpm.a,$C$2:$C$19=$C23,_xlpm.b,$D$2:$D$19=$D23,MAX(_xlfn._xlws.FILTER(_xlpm.d,_xlpm.a*_xlpm.b)))</f>
        <v>0.91</v>
      </c>
      <c r="M23" s="1" cm="1">
        <f t="array" ref="M23">_xlfn.LET(_xlpm.d,M$2:M$19,_xlpm.a,$C$2:$C$19=$C23,_xlpm.b,$D$2:$D$19=$D23,MAX(_xlfn._xlws.FILTER(_xlpm.d,_xlpm.a*_xlpm.b)))</f>
        <v>0.92</v>
      </c>
      <c r="N23" s="1" cm="1">
        <f t="array" ref="N23">_xlfn.LET(_xlpm.d,N$2:N$19,_xlpm.a,$C$2:$C$19=$C23,_xlpm.b,$D$2:$D$19=$D23,MAX(_xlfn._xlws.FILTER(_xlpm.d,_xlpm.a*_xlpm.b)))</f>
        <v>0.86</v>
      </c>
      <c r="O23" s="1" cm="1">
        <f t="array" ref="O23">_xlfn.LET(_xlpm.d,O$2:O$19,_xlpm.a,$C$2:$C$19=$C23,_xlpm.b,$D$2:$D$19=$D23,MAX(_xlfn._xlws.FILTER(_xlpm.d,_xlpm.a*_xlpm.b)))</f>
        <v>0.91</v>
      </c>
      <c r="P23" s="1" cm="1">
        <f t="array" ref="P23">_xlfn.LET(_xlpm.d,P$2:P$19,_xlpm.a,$C$2:$C$19=$C23,_xlpm.b,$D$2:$D$19=$D23,MAX(_xlfn._xlws.FILTER(_xlpm.d,_xlpm.a*_xlpm.b)))</f>
        <v>0.89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0.89</v>
      </c>
      <c r="S23" s="1" cm="1">
        <f t="array" ref="S23">_xlfn.LET(_xlpm.d,S$2:S$19,_xlpm.a,$C$2:$C$19=$C23,_xlpm.b,$D$2:$D$19=$D23,MAX(_xlfn._xlws.FILTER(_xlpm.d,_xlpm.a*_xlpm.b)))</f>
        <v>0.93</v>
      </c>
    </row>
    <row r="24" spans="1:19" ht="25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G24" s="1" cm="1">
        <f t="array" ref="G24">_xlfn.LET(_xlpm.d,G$2:G$19,_xlpm.a,$C$2:$C$19=$C24,_xlpm.b,$D$2:$D$19=$D24,MAX(_xlfn._xlws.FILTER(_xlpm.d,_xlpm.a*_xlpm.b)))</f>
        <v>0.86</v>
      </c>
      <c r="H24" s="1" cm="1">
        <f t="array" ref="H24">_xlfn.LET(_xlpm.d,H$2:H$19,_xlpm.a,$C$2:$C$19=$C24,_xlpm.b,$D$2:$D$19=$D24,MAX(_xlfn._xlws.FILTER(_xlpm.d,_xlpm.a*_xlpm.b)))</f>
        <v>0.83</v>
      </c>
      <c r="I24" s="1" cm="1">
        <f t="array" ref="I24">_xlfn.LET(_xlpm.d,I$2:I$19,_xlpm.a,$C$2:$C$19=$C24,_xlpm.b,$D$2:$D$19=$D24,MAX(_xlfn._xlws.FILTER(_xlpm.d,_xlpm.a*_xlpm.b)))</f>
        <v>0.81</v>
      </c>
      <c r="J24" s="1" cm="1">
        <f t="array" ref="J24">_xlfn.LET(_xlpm.d,J$2:J$19,_xlpm.a,$C$2:$C$19=$C24,_xlpm.b,$D$2:$D$19=$D24,MAX(_xlfn._xlws.FILTER(_xlpm.d,_xlpm.a*_xlpm.b)))</f>
        <v>0.87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0.88</v>
      </c>
      <c r="M24" s="1" cm="1">
        <f t="array" ref="M24">_xlfn.LET(_xlpm.d,M$2:M$19,_xlpm.a,$C$2:$C$19=$C24,_xlpm.b,$D$2:$D$19=$D24,MAX(_xlfn._xlws.FILTER(_xlpm.d,_xlpm.a*_xlpm.b)))</f>
        <v>0.84</v>
      </c>
      <c r="N24" s="1" cm="1">
        <f t="array" ref="N24">_xlfn.LET(_xlpm.d,N$2:N$19,_xlpm.a,$C$2:$C$19=$C24,_xlpm.b,$D$2:$D$19=$D24,MAX(_xlfn._xlws.FILTER(_xlpm.d,_xlpm.a*_xlpm.b)))</f>
        <v>0.79</v>
      </c>
      <c r="O24" s="1" cm="1">
        <f t="array" ref="O24">_xlfn.LET(_xlpm.d,O$2:O$19,_xlpm.a,$C$2:$C$19=$C24,_xlpm.b,$D$2:$D$19=$D24,MAX(_xlfn._xlws.FILTER(_xlpm.d,_xlpm.a*_xlpm.b)))</f>
        <v>0.85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0.81</v>
      </c>
      <c r="R24" s="1" cm="1">
        <f t="array" ref="R24">_xlfn.LET(_xlpm.d,R$2:R$19,_xlpm.a,$C$2:$C$19=$C24,_xlpm.b,$D$2:$D$19=$D24,MAX(_xlfn._xlws.FILTER(_xlpm.d,_xlpm.a*_xlpm.b)))</f>
        <v>0.83</v>
      </c>
      <c r="S24" s="1" cm="1">
        <f t="array" ref="S24">_xlfn.LET(_xlpm.d,S$2:S$19,_xlpm.a,$C$2:$C$19=$C24,_xlpm.b,$D$2:$D$19=$D24,MAX(_xlfn._xlws.FILTER(_xlpm.d,_xlpm.a*_xlpm.b)))</f>
        <v>0.88</v>
      </c>
    </row>
    <row r="25" spans="1:19" ht="25" customHeight="1">
      <c r="B25">
        <v>2</v>
      </c>
      <c r="C25" t="s">
        <v>33</v>
      </c>
      <c r="D25" t="b">
        <v>1</v>
      </c>
      <c r="E25">
        <v>0</v>
      </c>
      <c r="F25" t="s">
        <v>23</v>
      </c>
      <c r="G25" s="1" cm="1">
        <f t="array" ref="G25">_xlfn.LET(_xlpm.d,G$2:G$19,_xlpm.a,$C$2:$C$19=$C25,_xlpm.b,$D$2:$D$19=$D25,MAX(_xlfn._xlws.FILTER(_xlpm.d,_xlpm.a*_xlpm.b)))</f>
        <v>0.93</v>
      </c>
      <c r="H25" s="1" cm="1">
        <f t="array" ref="H25">_xlfn.LET(_xlpm.d,H$2:H$19,_xlpm.a,$C$2:$C$19=$C25,_xlpm.b,$D$2:$D$19=$D25,MAX(_xlfn._xlws.FILTER(_xlpm.d,_xlpm.a*_xlpm.b)))</f>
        <v>0.91</v>
      </c>
      <c r="I25" s="1" cm="1">
        <f t="array" ref="I25">_xlfn.LET(_xlpm.d,I$2:I$19,_xlpm.a,$C$2:$C$19=$C25,_xlpm.b,$D$2:$D$19=$D25,MAX(_xlfn._xlws.FILTER(_xlpm.d,_xlpm.a*_xlpm.b)))</f>
        <v>0.91</v>
      </c>
      <c r="J25" s="1" cm="1">
        <f t="array" ref="J25">_xlfn.LET(_xlpm.d,J$2:J$19,_xlpm.a,$C$2:$C$19=$C25,_xlpm.b,$D$2:$D$19=$D25,MAX(_xlfn._xlws.FILTER(_xlpm.d,_xlpm.a*_xlpm.b)))</f>
        <v>0.94</v>
      </c>
      <c r="K25" s="1" cm="1">
        <f t="array" ref="K25">_xlfn.LET(_xlpm.d,K$2:K$19,_xlpm.a,$C$2:$C$19=$C25,_xlpm.b,$D$2:$D$19=$D25,MAX(_xlfn._xlws.FILTER(_xlpm.d,_xlpm.a*_xlpm.b)))</f>
        <v>0.91</v>
      </c>
      <c r="L25" s="1" cm="1">
        <f t="array" ref="L25">_xlfn.LET(_xlpm.d,L$2:L$19,_xlpm.a,$C$2:$C$19=$C25,_xlpm.b,$D$2:$D$19=$D25,MAX(_xlfn._xlws.FILTER(_xlpm.d,_xlpm.a*_xlpm.b)))</f>
        <v>0.89</v>
      </c>
      <c r="M25" s="1" cm="1">
        <f t="array" ref="M25">_xlfn.LET(_xlpm.d,M$2:M$19,_xlpm.a,$C$2:$C$19=$C25,_xlpm.b,$D$2:$D$19=$D25,MAX(_xlfn._xlws.FILTER(_xlpm.d,_xlpm.a*_xlpm.b)))</f>
        <v>0.93</v>
      </c>
      <c r="N25" s="1" cm="1">
        <f t="array" ref="N25">_xlfn.LET(_xlpm.d,N$2:N$19,_xlpm.a,$C$2:$C$19=$C25,_xlpm.b,$D$2:$D$19=$D25,MAX(_xlfn._xlws.FILTER(_xlpm.d,_xlpm.a*_xlpm.b)))</f>
        <v>0.88</v>
      </c>
      <c r="O25" s="1" cm="1">
        <f t="array" ref="O25">_xlfn.LET(_xlpm.d,O$2:O$19,_xlpm.a,$C$2:$C$19=$C25,_xlpm.b,$D$2:$D$19=$D25,MAX(_xlfn._xlws.FILTER(_xlpm.d,_xlpm.a*_xlpm.b)))</f>
        <v>0.94</v>
      </c>
      <c r="P25" s="1" cm="1">
        <f t="array" ref="P25">_xlfn.LET(_xlpm.d,P$2:P$19,_xlpm.a,$C$2:$C$19=$C25,_xlpm.b,$D$2:$D$19=$D25,MAX(_xlfn._xlws.FILTER(_xlpm.d,_xlpm.a*_xlpm.b)))</f>
        <v>0.91</v>
      </c>
      <c r="Q25" s="1" cm="1">
        <f t="array" ref="Q25">_xlfn.LET(_xlpm.d,Q$2:Q$19,_xlpm.a,$C$2:$C$19=$C25,_xlpm.b,$D$2:$D$19=$D25,MAX(_xlfn._xlws.FILTER(_xlpm.d,_xlpm.a*_xlpm.b)))</f>
        <v>0.91</v>
      </c>
      <c r="R25" s="1" cm="1">
        <f t="array" ref="R25">_xlfn.LET(_xlpm.d,R$2:R$19,_xlpm.a,$C$2:$C$19=$C25,_xlpm.b,$D$2:$D$19=$D25,MAX(_xlfn._xlws.FILTER(_xlpm.d,_xlpm.a*_xlpm.b)))</f>
        <v>0.91</v>
      </c>
      <c r="S25" s="1" cm="1">
        <f t="array" ref="S25">_xlfn.LET(_xlpm.d,S$2:S$19,_xlpm.a,$C$2:$C$19=$C25,_xlpm.b,$D$2:$D$19=$D25,MAX(_xlfn._xlws.FILTER(_xlpm.d,_xlpm.a*_xlpm.b)))</f>
        <v>0.94</v>
      </c>
    </row>
    <row r="26" spans="1:19" ht="25" customHeight="1">
      <c r="B26">
        <v>2</v>
      </c>
      <c r="C26" t="s">
        <v>33</v>
      </c>
      <c r="D26" t="b">
        <v>0</v>
      </c>
      <c r="E26">
        <v>0</v>
      </c>
      <c r="F26" t="s">
        <v>23</v>
      </c>
      <c r="G26" s="1" cm="1">
        <f t="array" ref="G26">_xlfn.LET(_xlpm.d,G$2:G$19,_xlpm.a,$C$2:$C$19=$C26,_xlpm.b,$D$2:$D$19=$D26,MAX(_xlfn._xlws.FILTER(_xlpm.d,_xlpm.a*_xlpm.b)))</f>
        <v>0.67</v>
      </c>
      <c r="H26" s="1" cm="1">
        <f t="array" ref="H26">_xlfn.LET(_xlpm.d,H$2:H$19,_xlpm.a,$C$2:$C$19=$C26,_xlpm.b,$D$2:$D$19=$D26,MAX(_xlfn._xlws.FILTER(_xlpm.d,_xlpm.a*_xlpm.b)))</f>
        <v>0.74</v>
      </c>
      <c r="I26" s="1" cm="1">
        <f t="array" ref="I26">_xlfn.LET(_xlpm.d,I$2:I$19,_xlpm.a,$C$2:$C$19=$C26,_xlpm.b,$D$2:$D$19=$D26,MAX(_xlfn._xlws.FILTER(_xlpm.d,_xlpm.a*_xlpm.b)))</f>
        <v>0.68</v>
      </c>
      <c r="J26" s="1" cm="1">
        <f t="array" ref="J26">_xlfn.LET(_xlpm.d,J$2:J$19,_xlpm.a,$C$2:$C$19=$C26,_xlpm.b,$D$2:$D$19=$D26,MAX(_xlfn._xlws.FILTER(_xlpm.d,_xlpm.a*_xlpm.b)))</f>
        <v>0.73</v>
      </c>
      <c r="K26" s="1" cm="1">
        <f t="array" ref="K26">_xlfn.LET(_xlpm.d,K$2:K$19,_xlpm.a,$C$2:$C$19=$C26,_xlpm.b,$D$2:$D$19=$D26,MAX(_xlfn._xlws.FILTER(_xlpm.d,_xlpm.a*_xlpm.b)))</f>
        <v>0.68</v>
      </c>
      <c r="L26" s="1" cm="1">
        <f t="array" ref="L26">_xlfn.LET(_xlpm.d,L$2:L$19,_xlpm.a,$C$2:$C$19=$C26,_xlpm.b,$D$2:$D$19=$D26,MAX(_xlfn._xlws.FILTER(_xlpm.d,_xlpm.a*_xlpm.b)))</f>
        <v>0.69</v>
      </c>
      <c r="M26" s="1" cm="1">
        <f t="array" ref="M26">_xlfn.LET(_xlpm.d,M$2:M$19,_xlpm.a,$C$2:$C$19=$C26,_xlpm.b,$D$2:$D$19=$D26,MAX(_xlfn._xlws.FILTER(_xlpm.d,_xlpm.a*_xlpm.b)))</f>
        <v>0.66</v>
      </c>
      <c r="N26" s="1" cm="1">
        <f t="array" ref="N26">_xlfn.LET(_xlpm.d,N$2:N$19,_xlpm.a,$C$2:$C$19=$C26,_xlpm.b,$D$2:$D$19=$D26,MAX(_xlfn._xlws.FILTER(_xlpm.d,_xlpm.a*_xlpm.b)))</f>
        <v>0.73</v>
      </c>
      <c r="O26" s="1" cm="1">
        <f t="array" ref="O26">_xlfn.LET(_xlpm.d,O$2:O$19,_xlpm.a,$C$2:$C$19=$C26,_xlpm.b,$D$2:$D$19=$D26,MAX(_xlfn._xlws.FILTER(_xlpm.d,_xlpm.a*_xlpm.b)))</f>
        <v>0.73</v>
      </c>
      <c r="P26" s="1" cm="1">
        <f t="array" ref="P26">_xlfn.LET(_xlpm.d,P$2:P$19,_xlpm.a,$C$2:$C$19=$C26,_xlpm.b,$D$2:$D$19=$D26,MAX(_xlfn._xlws.FILTER(_xlpm.d,_xlpm.a*_xlpm.b)))</f>
        <v>0.73</v>
      </c>
      <c r="Q26" s="1" cm="1">
        <f t="array" ref="Q26">_xlfn.LET(_xlpm.d,Q$2:Q$19,_xlpm.a,$C$2:$C$19=$C26,_xlpm.b,$D$2:$D$19=$D26,MAX(_xlfn._xlws.FILTER(_xlpm.d,_xlpm.a*_xlpm.b)))</f>
        <v>0.69</v>
      </c>
      <c r="R26" s="1" cm="1">
        <f t="array" ref="R26">_xlfn.LET(_xlpm.d,R$2:R$19,_xlpm.a,$C$2:$C$19=$C26,_xlpm.b,$D$2:$D$19=$D26,MAX(_xlfn._xlws.FILTER(_xlpm.d,_xlpm.a*_xlpm.b)))</f>
        <v>0.73</v>
      </c>
      <c r="S26" s="1" cm="1">
        <f t="array" ref="S26">_xlfn.LET(_xlpm.d,S$2:S$19,_xlpm.a,$C$2:$C$19=$C26,_xlpm.b,$D$2:$D$19=$D26,MAX(_xlfn._xlws.FILTER(_xlpm.d,_xlpm.a*_xlpm.b)))</f>
        <v>0.74</v>
      </c>
    </row>
    <row r="27" spans="1:19" ht="25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G27" s="1" cm="1">
        <f t="array" ref="G27">_xlfn.LET(_xlpm.d,G$2:G$19,_xlpm.a,$C$2:$C$19=$C27,_xlpm.b,$D$2:$D$19=$D27,MAX(_xlfn._xlws.FILTER(_xlpm.d,_xlpm.a*_xlpm.b)))</f>
        <v>0.53</v>
      </c>
      <c r="H27" s="1" cm="1">
        <f t="array" ref="H27">_xlfn.LET(_xlpm.d,H$2:H$19,_xlpm.a,$C$2:$C$19=$C27,_xlpm.b,$D$2:$D$19=$D27,MAX(_xlfn._xlws.FILTER(_xlpm.d,_xlpm.a*_xlpm.b)))</f>
        <v>0.51</v>
      </c>
      <c r="I27" s="1" cm="1">
        <f t="array" ref="I27">_xlfn.LET(_xlpm.d,I$2:I$19,_xlpm.a,$C$2:$C$19=$C27,_xlpm.b,$D$2:$D$19=$D27,MAX(_xlfn._xlws.FILTER(_xlpm.d,_xlpm.a*_xlpm.b)))</f>
        <v>0.53</v>
      </c>
      <c r="J27" s="1" cm="1">
        <f t="array" ref="J27">_xlfn.LET(_xlpm.d,J$2:J$19,_xlpm.a,$C$2:$C$19=$C27,_xlpm.b,$D$2:$D$19=$D27,MAX(_xlfn._xlws.FILTER(_xlpm.d,_xlpm.a*_xlpm.b)))</f>
        <v>0.53</v>
      </c>
      <c r="K27" s="1" cm="1">
        <f t="array" ref="K27">_xlfn.LET(_xlpm.d,K$2:K$19,_xlpm.a,$C$2:$C$19=$C27,_xlpm.b,$D$2:$D$19=$D27,MAX(_xlfn._xlws.FILTER(_xlpm.d,_xlpm.a*_xlpm.b)))</f>
        <v>0.43</v>
      </c>
      <c r="L27" s="1" cm="1">
        <f t="array" ref="L27">_xlfn.LET(_xlpm.d,L$2:L$19,_xlpm.a,$C$2:$C$19=$C27,_xlpm.b,$D$2:$D$19=$D27,MAX(_xlfn._xlws.FILTER(_xlpm.d,_xlpm.a*_xlpm.b)))</f>
        <v>0.54</v>
      </c>
      <c r="M27" s="1" cm="1">
        <f t="array" ref="M27">_xlfn.LET(_xlpm.d,M$2:M$19,_xlpm.a,$C$2:$C$19=$C27,_xlpm.b,$D$2:$D$19=$D27,MAX(_xlfn._xlws.FILTER(_xlpm.d,_xlpm.a*_xlpm.b)))</f>
        <v>0.53</v>
      </c>
      <c r="N27" s="1" cm="1">
        <f t="array" ref="N27">_xlfn.LET(_xlpm.d,N$2:N$19,_xlpm.a,$C$2:$C$19=$C27,_xlpm.b,$D$2:$D$19=$D27,MAX(_xlfn._xlws.FILTER(_xlpm.d,_xlpm.a*_xlpm.b)))</f>
        <v>0.48</v>
      </c>
      <c r="O27" s="1" cm="1">
        <f t="array" ref="O27">_xlfn.LET(_xlpm.d,O$2:O$19,_xlpm.a,$C$2:$C$19=$C27,_xlpm.b,$D$2:$D$19=$D27,MAX(_xlfn._xlws.FILTER(_xlpm.d,_xlpm.a*_xlpm.b)))</f>
        <v>0.49</v>
      </c>
      <c r="P27" s="1" cm="1">
        <f t="array" ref="P27">_xlfn.LET(_xlpm.d,P$2:P$19,_xlpm.a,$C$2:$C$19=$C27,_xlpm.b,$D$2:$D$19=$D27,MAX(_xlfn._xlws.FILTER(_xlpm.d,_xlpm.a*_xlpm.b)))</f>
        <v>0.51</v>
      </c>
      <c r="Q27" s="1" cm="1">
        <f t="array" ref="Q27">_xlfn.LET(_xlpm.d,Q$2:Q$19,_xlpm.a,$C$2:$C$19=$C27,_xlpm.b,$D$2:$D$19=$D27,MAX(_xlfn._xlws.FILTER(_xlpm.d,_xlpm.a*_xlpm.b)))</f>
        <v>0.51</v>
      </c>
      <c r="R27" s="1" cm="1">
        <f t="array" ref="R27">_xlfn.LET(_xlpm.d,R$2:R$19,_xlpm.a,$C$2:$C$19=$C27,_xlpm.b,$D$2:$D$19=$D27,MAX(_xlfn._xlws.FILTER(_xlpm.d,_xlpm.a*_xlpm.b)))</f>
        <v>0.49</v>
      </c>
      <c r="S27" s="1" cm="1">
        <f t="array" ref="S27">_xlfn.LET(_xlpm.d,S$2:S$19,_xlpm.a,$C$2:$C$19=$C27,_xlpm.b,$D$2:$D$19=$D27,MAX(_xlfn._xlws.FILTER(_xlpm.d,_xlpm.a*_xlpm.b)))</f>
        <v>0.54</v>
      </c>
    </row>
    <row r="28" spans="1:19" ht="25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G28" s="1" cm="1">
        <f t="array" ref="G28">_xlfn.LET(_xlpm.d,G$2:G$19,_xlpm.a,$C$2:$C$19=$C28,_xlpm.b,$D$2:$D$19=$D28,MAX(_xlfn._xlws.FILTER(_xlpm.d,_xlpm.a*_xlpm.b)))</f>
        <v>0.45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0.44</v>
      </c>
      <c r="J28" s="1" cm="1">
        <f t="array" ref="J28">_xlfn.LET(_xlpm.d,J$2:J$19,_xlpm.a,$C$2:$C$19=$C28,_xlpm.b,$D$2:$D$19=$D28,MAX(_xlfn._xlws.FILTER(_xlpm.d,_xlpm.a*_xlpm.b)))</f>
        <v>0.39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0.47</v>
      </c>
      <c r="M28" s="1" cm="1">
        <f t="array" ref="M28">_xlfn.LET(_xlpm.d,M$2:M$19,_xlpm.a,$C$2:$C$19=$C28,_xlpm.b,$D$2:$D$19=$D28,MAX(_xlfn._xlws.FILTER(_xlpm.d,_xlpm.a*_xlpm.b)))</f>
        <v>0.39</v>
      </c>
      <c r="N28" s="1" cm="1">
        <f t="array" ref="N28">_xlfn.LET(_xlpm.d,N$2:N$19,_xlpm.a,$C$2:$C$19=$C28,_xlpm.b,$D$2:$D$19=$D28,MAX(_xlfn._xlws.FILTER(_xlpm.d,_xlpm.a*_xlpm.b)))</f>
        <v>0.47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0.44</v>
      </c>
      <c r="Q28" s="1" cm="1">
        <f t="array" ref="Q28">_xlfn.LET(_xlpm.d,Q$2:Q$19,_xlpm.a,$C$2:$C$19=$C28,_xlpm.b,$D$2:$D$19=$D28,MAX(_xlfn._xlws.FILTER(_xlpm.d,_xlpm.a*_xlpm.b)))</f>
        <v>0.42</v>
      </c>
      <c r="R28" s="1" cm="1">
        <f t="array" ref="R28">_xlfn.LET(_xlpm.d,R$2:R$19,_xlpm.a,$C$2:$C$19=$C28,_xlpm.b,$D$2:$D$19=$D28,MAX(_xlfn._xlws.FILTER(_xlpm.d,_xlpm.a*_xlpm.b)))</f>
        <v>0.39</v>
      </c>
      <c r="S28" s="1" cm="1">
        <f t="array" ref="S28">_xlfn.LET(_xlpm.d,S$2:S$19,_xlpm.a,$C$2:$C$19=$C28,_xlpm.b,$D$2:$D$19=$D28,MAX(_xlfn._xlws.FILTER(_xlpm.d,_xlpm.a*_xlpm.b)))</f>
        <v>0.47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CA02-21B7-6145-B179-406F1438493F}">
  <sheetPr codeName="Sheet4"/>
  <dimension ref="A1:T28"/>
  <sheetViews>
    <sheetView workbookViewId="0">
      <pane xSplit="14900" ySplit="6440" topLeftCell="N17" activePane="bottomLeft"/>
      <selection activeCell="H1" sqref="H1:T1048576"/>
      <selection pane="topRight" activeCell="K1" sqref="K1"/>
      <selection pane="bottomLeft" activeCell="B23" sqref="B23:T28"/>
      <selection pane="bottomRight" activeCell="V24" sqref="V24"/>
    </sheetView>
  </sheetViews>
  <sheetFormatPr baseColWidth="10" defaultRowHeight="25" customHeight="1"/>
  <cols>
    <col min="2" max="2" width="7.75" customWidth="1"/>
    <col min="4" max="4" width="8.5" customWidth="1"/>
    <col min="5" max="5" width="7.625" customWidth="1"/>
    <col min="6" max="7" width="8.875" customWidth="1"/>
    <col min="8" max="20" width="9.25" customWidth="1"/>
  </cols>
  <sheetData>
    <row r="1" spans="1:20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37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0.83</v>
      </c>
      <c r="I2" s="1">
        <v>0.79</v>
      </c>
      <c r="J2" s="1">
        <v>0.87</v>
      </c>
      <c r="K2" s="1">
        <v>0.82</v>
      </c>
      <c r="L2" s="1">
        <v>0.76</v>
      </c>
      <c r="M2" s="1">
        <v>0.76</v>
      </c>
      <c r="N2" s="1">
        <v>0.78</v>
      </c>
      <c r="O2" s="1">
        <v>0.85</v>
      </c>
      <c r="P2" s="1">
        <v>0.85</v>
      </c>
      <c r="Q2" s="1">
        <v>0.8</v>
      </c>
      <c r="R2" s="1">
        <v>0.82</v>
      </c>
      <c r="S2" s="1">
        <v>0.84</v>
      </c>
      <c r="T2" s="1">
        <f t="shared" ref="T2:T19" si="0">_xlfn.LET(_xlpm.d,$H2:$S2,MAX(_xlpm.d))</f>
        <v>0.87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H3" s="1">
        <v>0.82</v>
      </c>
      <c r="I3" s="1">
        <v>0.87</v>
      </c>
      <c r="J3" s="1">
        <v>0.89</v>
      </c>
      <c r="K3" s="1">
        <v>0.84</v>
      </c>
      <c r="L3" s="1">
        <v>0.79</v>
      </c>
      <c r="M3" s="1">
        <v>0.8</v>
      </c>
      <c r="N3" s="1">
        <v>0.85</v>
      </c>
      <c r="O3" s="1">
        <v>0.88</v>
      </c>
      <c r="P3" s="1">
        <v>0.9</v>
      </c>
      <c r="Q3" s="1">
        <v>0.86</v>
      </c>
      <c r="R3" s="1">
        <v>0.88</v>
      </c>
      <c r="S3" s="1">
        <v>0.87</v>
      </c>
      <c r="T3" s="1">
        <f t="shared" si="0"/>
        <v>0.9</v>
      </c>
    </row>
    <row r="4" spans="1:20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H4" s="1">
        <v>0.82</v>
      </c>
      <c r="I4" s="1">
        <v>0.75</v>
      </c>
      <c r="J4" s="1">
        <v>0.82</v>
      </c>
      <c r="K4" s="1">
        <v>0.84</v>
      </c>
      <c r="L4" s="1">
        <v>0.74</v>
      </c>
      <c r="M4" s="1">
        <v>0.79</v>
      </c>
      <c r="N4" s="1">
        <v>0.78</v>
      </c>
      <c r="O4" s="1">
        <v>0.8</v>
      </c>
      <c r="P4" s="1">
        <v>0.79</v>
      </c>
      <c r="Q4" s="1">
        <v>0.75</v>
      </c>
      <c r="R4" s="1">
        <v>0.8</v>
      </c>
      <c r="S4" s="1">
        <v>0.82</v>
      </c>
      <c r="T4" s="1">
        <f t="shared" si="0"/>
        <v>0.84</v>
      </c>
    </row>
    <row r="5" spans="1:20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H5" s="1">
        <v>0.79</v>
      </c>
      <c r="I5" s="1">
        <v>0.78</v>
      </c>
      <c r="J5" s="1">
        <v>0.88</v>
      </c>
      <c r="K5" s="1">
        <v>0.8</v>
      </c>
      <c r="L5" s="1">
        <v>0.74</v>
      </c>
      <c r="M5" s="1">
        <v>0.78</v>
      </c>
      <c r="N5" s="1">
        <v>0.71</v>
      </c>
      <c r="O5" s="1">
        <v>0.78</v>
      </c>
      <c r="P5" s="1">
        <v>0.82</v>
      </c>
      <c r="Q5" s="1">
        <v>0.78</v>
      </c>
      <c r="R5" s="1">
        <v>0.8</v>
      </c>
      <c r="S5" s="1">
        <v>0.85</v>
      </c>
      <c r="T5" s="1">
        <f t="shared" si="0"/>
        <v>0.88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H6" s="1">
        <v>0.79</v>
      </c>
      <c r="I6" s="1">
        <v>0.81</v>
      </c>
      <c r="J6" s="1">
        <v>0.85</v>
      </c>
      <c r="K6" s="1">
        <v>0.84</v>
      </c>
      <c r="L6" s="1">
        <v>0.78</v>
      </c>
      <c r="M6" s="1">
        <v>0.77</v>
      </c>
      <c r="N6" s="1">
        <v>0.75</v>
      </c>
      <c r="O6" s="1">
        <v>0.85</v>
      </c>
      <c r="P6" s="1">
        <v>0.81</v>
      </c>
      <c r="Q6" s="1">
        <v>0.79</v>
      </c>
      <c r="R6" s="1">
        <v>0.82</v>
      </c>
      <c r="S6" s="1">
        <v>0.86</v>
      </c>
      <c r="T6" s="1">
        <f t="shared" si="0"/>
        <v>0.86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H7" s="1">
        <v>0.75</v>
      </c>
      <c r="I7" s="1">
        <v>0.74</v>
      </c>
      <c r="J7" s="1">
        <v>0.8</v>
      </c>
      <c r="K7" s="1">
        <v>0.79</v>
      </c>
      <c r="L7" s="1">
        <v>0.73</v>
      </c>
      <c r="M7" s="1">
        <v>0.68</v>
      </c>
      <c r="N7" s="1">
        <v>0.73</v>
      </c>
      <c r="O7" s="1">
        <v>0.74</v>
      </c>
      <c r="P7" s="1">
        <v>0.8</v>
      </c>
      <c r="Q7" s="1">
        <v>0.76</v>
      </c>
      <c r="R7" s="1">
        <v>0.81</v>
      </c>
      <c r="S7" s="1">
        <v>0.86</v>
      </c>
      <c r="T7" s="1">
        <f t="shared" si="0"/>
        <v>0.86</v>
      </c>
    </row>
    <row r="8" spans="1:20" ht="25" customHeight="1">
      <c r="A8" t="s">
        <v>16</v>
      </c>
      <c r="B8">
        <v>2</v>
      </c>
      <c r="C8" t="s">
        <v>33</v>
      </c>
      <c r="D8" t="b">
        <v>1</v>
      </c>
      <c r="E8">
        <v>1</v>
      </c>
      <c r="F8" t="s">
        <v>20</v>
      </c>
      <c r="H8" s="1">
        <v>0.89</v>
      </c>
      <c r="I8" s="1">
        <v>0.93</v>
      </c>
      <c r="J8" s="1">
        <v>0.93</v>
      </c>
      <c r="K8" s="1">
        <v>0.75</v>
      </c>
      <c r="L8" s="1">
        <v>0.61</v>
      </c>
      <c r="M8" s="1">
        <v>0.88</v>
      </c>
      <c r="N8" s="1">
        <v>0.87</v>
      </c>
      <c r="O8" s="1">
        <v>0.88</v>
      </c>
      <c r="P8" s="1">
        <v>0.81</v>
      </c>
      <c r="Q8" s="1">
        <v>0.82</v>
      </c>
      <c r="R8" s="1">
        <v>0.77</v>
      </c>
      <c r="S8" s="1">
        <v>0.68</v>
      </c>
      <c r="T8" s="1">
        <f t="shared" si="0"/>
        <v>0.93</v>
      </c>
    </row>
    <row r="9" spans="1:20" ht="25" customHeight="1">
      <c r="A9" t="s">
        <v>16</v>
      </c>
      <c r="B9">
        <v>2</v>
      </c>
      <c r="C9" t="s">
        <v>33</v>
      </c>
      <c r="D9" t="b">
        <v>1</v>
      </c>
      <c r="E9">
        <v>2</v>
      </c>
      <c r="F9" t="s">
        <v>19</v>
      </c>
      <c r="H9" s="1">
        <v>0.91</v>
      </c>
      <c r="I9" s="1">
        <v>0.95</v>
      </c>
      <c r="J9" s="1">
        <v>0.93</v>
      </c>
      <c r="K9" s="1">
        <v>0.93</v>
      </c>
      <c r="L9" s="1">
        <v>0.84</v>
      </c>
      <c r="M9" s="1">
        <v>0.83</v>
      </c>
      <c r="N9" s="1">
        <v>0.93</v>
      </c>
      <c r="O9" s="1">
        <v>0.86</v>
      </c>
      <c r="P9" s="1">
        <v>0.93</v>
      </c>
      <c r="Q9" s="1">
        <v>0.85</v>
      </c>
      <c r="R9" s="1">
        <v>0.81</v>
      </c>
      <c r="S9" s="1">
        <v>0.88</v>
      </c>
      <c r="T9" s="1">
        <f t="shared" si="0"/>
        <v>0.95</v>
      </c>
    </row>
    <row r="10" spans="1:20" ht="25" customHeight="1">
      <c r="A10" t="s">
        <v>16</v>
      </c>
      <c r="B10">
        <v>2</v>
      </c>
      <c r="C10" t="s">
        <v>33</v>
      </c>
      <c r="D10" t="b">
        <v>1</v>
      </c>
      <c r="E10">
        <v>3</v>
      </c>
      <c r="F10" t="s">
        <v>18</v>
      </c>
      <c r="H10" s="1">
        <v>0.91</v>
      </c>
      <c r="I10" s="1">
        <v>0.92</v>
      </c>
      <c r="J10" s="1">
        <v>0.91</v>
      </c>
      <c r="K10" s="1">
        <v>0.89</v>
      </c>
      <c r="L10" s="1">
        <v>0.77</v>
      </c>
      <c r="M10" s="1">
        <v>0.8</v>
      </c>
      <c r="N10" s="1">
        <v>0.87</v>
      </c>
      <c r="O10" s="1">
        <v>0.88</v>
      </c>
      <c r="P10" s="1">
        <v>0.95</v>
      </c>
      <c r="Q10" s="1">
        <v>0.86</v>
      </c>
      <c r="R10" s="1">
        <v>0.81</v>
      </c>
      <c r="S10" s="1">
        <v>0.82</v>
      </c>
      <c r="T10" s="1">
        <f t="shared" si="0"/>
        <v>0.95</v>
      </c>
    </row>
    <row r="11" spans="1:20" ht="25" customHeight="1">
      <c r="A11" t="s">
        <v>16</v>
      </c>
      <c r="B11">
        <v>2</v>
      </c>
      <c r="C11" t="s">
        <v>33</v>
      </c>
      <c r="D11" t="b">
        <v>0</v>
      </c>
      <c r="E11">
        <v>1</v>
      </c>
      <c r="F11" t="s">
        <v>20</v>
      </c>
      <c r="H11" s="1">
        <v>0.56999999999999995</v>
      </c>
      <c r="I11" s="1">
        <v>0.62</v>
      </c>
      <c r="J11" s="1">
        <v>0.56999999999999995</v>
      </c>
      <c r="K11" s="1">
        <v>0.62</v>
      </c>
      <c r="L11" s="1">
        <v>0.52</v>
      </c>
      <c r="M11" s="1">
        <v>0.56999999999999995</v>
      </c>
      <c r="N11" s="1">
        <v>0.67</v>
      </c>
      <c r="O11" s="1">
        <v>0.54</v>
      </c>
      <c r="P11" s="1">
        <v>0.6</v>
      </c>
      <c r="Q11" s="1">
        <v>0.51</v>
      </c>
      <c r="R11" s="1">
        <v>0.56000000000000005</v>
      </c>
      <c r="S11" s="1">
        <v>0.56999999999999995</v>
      </c>
      <c r="T11" s="1">
        <f t="shared" si="0"/>
        <v>0.67</v>
      </c>
    </row>
    <row r="12" spans="1:20" ht="25" customHeight="1">
      <c r="A12" t="s">
        <v>16</v>
      </c>
      <c r="B12">
        <v>2</v>
      </c>
      <c r="C12" t="s">
        <v>33</v>
      </c>
      <c r="D12" t="b">
        <v>0</v>
      </c>
      <c r="E12">
        <v>2</v>
      </c>
      <c r="F12" t="s">
        <v>19</v>
      </c>
      <c r="H12" s="1">
        <v>0.66</v>
      </c>
      <c r="I12" s="1">
        <v>0.63</v>
      </c>
      <c r="J12" s="1">
        <v>0.62</v>
      </c>
      <c r="K12" s="1">
        <v>0.69</v>
      </c>
      <c r="L12" s="1">
        <v>0.62</v>
      </c>
      <c r="M12" s="1">
        <v>0.69</v>
      </c>
      <c r="N12" s="1">
        <v>0.72</v>
      </c>
      <c r="O12" s="1">
        <v>0.63</v>
      </c>
      <c r="P12" s="1">
        <v>0.68</v>
      </c>
      <c r="Q12" s="1">
        <v>0.68</v>
      </c>
      <c r="R12" s="1">
        <v>0.68</v>
      </c>
      <c r="S12" s="1">
        <v>0.63</v>
      </c>
      <c r="T12" s="1">
        <f t="shared" si="0"/>
        <v>0.72</v>
      </c>
    </row>
    <row r="13" spans="1:20" ht="25" customHeight="1">
      <c r="A13" t="s">
        <v>16</v>
      </c>
      <c r="B13">
        <v>2</v>
      </c>
      <c r="C13" t="s">
        <v>33</v>
      </c>
      <c r="D13" t="b">
        <v>0</v>
      </c>
      <c r="E13">
        <v>3</v>
      </c>
      <c r="F13" t="s">
        <v>18</v>
      </c>
      <c r="H13" s="1">
        <v>0.68</v>
      </c>
      <c r="I13" s="1">
        <v>0.71</v>
      </c>
      <c r="J13" s="1">
        <v>0.7</v>
      </c>
      <c r="K13" s="1">
        <v>0.68</v>
      </c>
      <c r="L13" s="1">
        <v>0.57999999999999996</v>
      </c>
      <c r="M13" s="1">
        <v>0.73</v>
      </c>
      <c r="N13" s="1">
        <v>0.59</v>
      </c>
      <c r="O13" s="1">
        <v>0.64</v>
      </c>
      <c r="P13" s="1">
        <v>0.7</v>
      </c>
      <c r="Q13" s="1">
        <v>0.67</v>
      </c>
      <c r="R13" s="1">
        <v>0.68</v>
      </c>
      <c r="S13" s="1">
        <v>0.61</v>
      </c>
      <c r="T13" s="1">
        <f t="shared" si="0"/>
        <v>0.73</v>
      </c>
    </row>
    <row r="14" spans="1:20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H14" s="1">
        <v>0.51</v>
      </c>
      <c r="I14" s="1">
        <v>0.42</v>
      </c>
      <c r="J14" s="1">
        <v>0.52</v>
      </c>
      <c r="K14" s="1">
        <v>0.45</v>
      </c>
      <c r="L14" s="1">
        <v>0.35</v>
      </c>
      <c r="M14" s="1">
        <v>0.41</v>
      </c>
      <c r="N14" s="1">
        <v>0.53</v>
      </c>
      <c r="O14" s="1">
        <v>0.53</v>
      </c>
      <c r="P14" s="1">
        <v>0.49</v>
      </c>
      <c r="Q14" s="1">
        <v>0.43</v>
      </c>
      <c r="R14" s="1">
        <v>0.42</v>
      </c>
      <c r="S14" s="1">
        <v>0.35</v>
      </c>
      <c r="T14" s="1">
        <f t="shared" si="0"/>
        <v>0.53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H15" s="1">
        <v>0.56999999999999995</v>
      </c>
      <c r="I15" s="1">
        <v>0.46</v>
      </c>
      <c r="J15" s="1">
        <v>0.62</v>
      </c>
      <c r="K15" s="1">
        <v>0.59</v>
      </c>
      <c r="L15" s="1">
        <v>0.34</v>
      </c>
      <c r="M15" s="1">
        <v>0.57999999999999996</v>
      </c>
      <c r="N15" s="1">
        <v>0.48</v>
      </c>
      <c r="O15" s="1">
        <v>0.5</v>
      </c>
      <c r="P15" s="1">
        <v>0.53</v>
      </c>
      <c r="Q15" s="1">
        <v>0.36</v>
      </c>
      <c r="R15" s="1">
        <v>0.53</v>
      </c>
      <c r="S15" s="1">
        <v>0.48</v>
      </c>
      <c r="T15" s="1">
        <f t="shared" si="0"/>
        <v>0.62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H16" s="1">
        <v>0.43</v>
      </c>
      <c r="I16" s="1">
        <v>0.33</v>
      </c>
      <c r="J16" s="1">
        <v>0.48</v>
      </c>
      <c r="K16" s="1">
        <v>0.4</v>
      </c>
      <c r="L16" s="1">
        <v>0.28000000000000003</v>
      </c>
      <c r="M16" s="1">
        <v>0.45</v>
      </c>
      <c r="N16" s="1">
        <v>0.41</v>
      </c>
      <c r="O16" s="1">
        <v>0.42</v>
      </c>
      <c r="P16" s="1">
        <v>0.45</v>
      </c>
      <c r="Q16" s="1">
        <v>0.33</v>
      </c>
      <c r="R16" s="1">
        <v>0.42</v>
      </c>
      <c r="S16" s="1">
        <v>0.39</v>
      </c>
      <c r="T16" s="1">
        <f t="shared" si="0"/>
        <v>0.48</v>
      </c>
    </row>
    <row r="17" spans="1:20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H17" s="1">
        <v>0.39</v>
      </c>
      <c r="I17" s="1">
        <v>0.28999999999999998</v>
      </c>
      <c r="J17" s="1">
        <v>0.44</v>
      </c>
      <c r="K17" s="1">
        <v>0.36</v>
      </c>
      <c r="L17" s="1">
        <v>0.31</v>
      </c>
      <c r="M17" s="1">
        <v>0.42</v>
      </c>
      <c r="N17" s="1">
        <v>0.35</v>
      </c>
      <c r="O17" s="1">
        <v>0.39</v>
      </c>
      <c r="P17" s="1">
        <v>0.37</v>
      </c>
      <c r="Q17" s="1">
        <v>0.36</v>
      </c>
      <c r="R17" s="1">
        <v>0.33</v>
      </c>
      <c r="S17" s="1">
        <v>0.34</v>
      </c>
      <c r="T17" s="1">
        <f t="shared" si="0"/>
        <v>0.44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H18" s="1">
        <v>0.41</v>
      </c>
      <c r="I18" s="1">
        <v>0.35</v>
      </c>
      <c r="J18" s="1">
        <v>0.47</v>
      </c>
      <c r="K18" s="1">
        <v>0.42</v>
      </c>
      <c r="L18" s="1">
        <v>0.3</v>
      </c>
      <c r="M18" s="1">
        <v>0.48</v>
      </c>
      <c r="N18" s="1">
        <v>0.4</v>
      </c>
      <c r="O18" s="1">
        <v>0.46</v>
      </c>
      <c r="P18" s="1">
        <v>0.4</v>
      </c>
      <c r="Q18" s="1">
        <v>0.36</v>
      </c>
      <c r="R18" s="1">
        <v>0.45</v>
      </c>
      <c r="S18" s="1">
        <v>0.43</v>
      </c>
      <c r="T18" s="1">
        <f t="shared" si="0"/>
        <v>0.48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H19" s="1">
        <v>0.41</v>
      </c>
      <c r="I19" s="1">
        <v>0.25</v>
      </c>
      <c r="J19" s="1">
        <v>0.43</v>
      </c>
      <c r="K19" s="1">
        <v>0.35</v>
      </c>
      <c r="L19" s="1">
        <v>0.26</v>
      </c>
      <c r="M19" s="1">
        <v>0.47</v>
      </c>
      <c r="N19" s="1">
        <v>0.26</v>
      </c>
      <c r="O19" s="1">
        <v>0.37</v>
      </c>
      <c r="P19" s="1">
        <v>0.38</v>
      </c>
      <c r="Q19" s="1">
        <v>0.36</v>
      </c>
      <c r="R19" s="1">
        <v>0.43</v>
      </c>
      <c r="S19" s="1">
        <v>0.28999999999999998</v>
      </c>
      <c r="T19" s="1">
        <f t="shared" si="0"/>
        <v>0.47</v>
      </c>
    </row>
    <row r="22" spans="1:20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37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5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H23" s="1" cm="1">
        <f t="array" ref="H23">_xlfn.LET(_xlpm.d,H$2:H$19,_xlpm.a,$C$2:$C$19=$C23,_xlpm.b,$D$2:$D$19=$D23,MAX(_xlfn._xlws.FILTER(_xlpm.d,_xlpm.a*_xlpm.b)))</f>
        <v>0.83</v>
      </c>
      <c r="I23" s="1" cm="1">
        <f t="array" ref="I23">_xlfn.LET(_xlpm.d,I$2:I$19,_xlpm.a,$C$2:$C$19=$C23,_xlpm.b,$D$2:$D$19=$D23,MAX(_xlfn._xlws.FILTER(_xlpm.d,_xlpm.a*_xlpm.b)))</f>
        <v>0.87</v>
      </c>
      <c r="J23" s="1" cm="1">
        <f t="array" ref="J23">_xlfn.LET(_xlpm.d,J$2:J$19,_xlpm.a,$C$2:$C$19=$C23,_xlpm.b,$D$2:$D$19=$D23,MAX(_xlfn._xlws.FILTER(_xlpm.d,_xlpm.a*_xlpm.b)))</f>
        <v>0.89</v>
      </c>
      <c r="K23" s="1" cm="1">
        <f t="array" ref="K23">_xlfn.LET(_xlpm.d,K$2:K$19,_xlpm.a,$C$2:$C$19=$C23,_xlpm.b,$D$2:$D$19=$D23,MAX(_xlfn._xlws.FILTER(_xlpm.d,_xlpm.a*_xlpm.b)))</f>
        <v>0.84</v>
      </c>
      <c r="L23" s="1" cm="1">
        <f t="array" ref="L23">_xlfn.LET(_xlpm.d,L$2:L$19,_xlpm.a,$C$2:$C$19=$C23,_xlpm.b,$D$2:$D$19=$D23,MAX(_xlfn._xlws.FILTER(_xlpm.d,_xlpm.a*_xlpm.b)))</f>
        <v>0.79</v>
      </c>
      <c r="M23" s="1" cm="1">
        <f t="array" ref="M23">_xlfn.LET(_xlpm.d,M$2:M$19,_xlpm.a,$C$2:$C$19=$C23,_xlpm.b,$D$2:$D$19=$D23,MAX(_xlfn._xlws.FILTER(_xlpm.d,_xlpm.a*_xlpm.b)))</f>
        <v>0.8</v>
      </c>
      <c r="N23" s="1" cm="1">
        <f t="array" ref="N23">_xlfn.LET(_xlpm.d,N$2:N$19,_xlpm.a,$C$2:$C$19=$C23,_xlpm.b,$D$2:$D$19=$D23,MAX(_xlfn._xlws.FILTER(_xlpm.d,_xlpm.a*_xlpm.b)))</f>
        <v>0.85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0.9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0.88</v>
      </c>
      <c r="S23" s="1" cm="1">
        <f t="array" ref="S23">_xlfn.LET(_xlpm.d,S$2:S$19,_xlpm.a,$C$2:$C$19=$C23,_xlpm.b,$D$2:$D$19=$D23,MAX(_xlfn._xlws.FILTER(_xlpm.d,_xlpm.a*_xlpm.b)))</f>
        <v>0.87</v>
      </c>
      <c r="T23" s="1" cm="1">
        <f t="array" ref="T23">_xlfn.LET(_xlpm.d,T$2:T$19,_xlpm.a,$C$2:$C$19=$C23,_xlpm.b,$D$2:$D$19=$D23,MAX(_xlfn._xlws.FILTER(_xlpm.d,_xlpm.a*_xlpm.b)))</f>
        <v>0.9</v>
      </c>
    </row>
    <row r="24" spans="1:20" ht="25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H24" s="1" cm="1">
        <f t="array" ref="H24">_xlfn.LET(_xlpm.d,H$2:H$19,_xlpm.a,$C$2:$C$19=$C24,_xlpm.b,$D$2:$D$19=$D24,MAX(_xlfn._xlws.FILTER(_xlpm.d,_xlpm.a*_xlpm.b)))</f>
        <v>0.79</v>
      </c>
      <c r="I24" s="1" cm="1">
        <f t="array" ref="I24">_xlfn.LET(_xlpm.d,I$2:I$19,_xlpm.a,$C$2:$C$19=$C24,_xlpm.b,$D$2:$D$19=$D24,MAX(_xlfn._xlws.FILTER(_xlpm.d,_xlpm.a*_xlpm.b)))</f>
        <v>0.81</v>
      </c>
      <c r="J24" s="1" cm="1">
        <f t="array" ref="J24">_xlfn.LET(_xlpm.d,J$2:J$19,_xlpm.a,$C$2:$C$19=$C24,_xlpm.b,$D$2:$D$19=$D24,MAX(_xlfn._xlws.FILTER(_xlpm.d,_xlpm.a*_xlpm.b)))</f>
        <v>0.88</v>
      </c>
      <c r="K24" s="1" cm="1">
        <f t="array" ref="K24">_xlfn.LET(_xlpm.d,K$2:K$19,_xlpm.a,$C$2:$C$19=$C24,_xlpm.b,$D$2:$D$19=$D24,MAX(_xlfn._xlws.FILTER(_xlpm.d,_xlpm.a*_xlpm.b)))</f>
        <v>0.84</v>
      </c>
      <c r="L24" s="1" cm="1">
        <f t="array" ref="L24">_xlfn.LET(_xlpm.d,L$2:L$19,_xlpm.a,$C$2:$C$19=$C24,_xlpm.b,$D$2:$D$19=$D24,MAX(_xlfn._xlws.FILTER(_xlpm.d,_xlpm.a*_xlpm.b)))</f>
        <v>0.78</v>
      </c>
      <c r="M24" s="1" cm="1">
        <f t="array" ref="M24">_xlfn.LET(_xlpm.d,M$2:M$19,_xlpm.a,$C$2:$C$19=$C24,_xlpm.b,$D$2:$D$19=$D24,MAX(_xlfn._xlws.FILTER(_xlpm.d,_xlpm.a*_xlpm.b)))</f>
        <v>0.78</v>
      </c>
      <c r="N24" s="1" cm="1">
        <f t="array" ref="N24">_xlfn.LET(_xlpm.d,N$2:N$19,_xlpm.a,$C$2:$C$19=$C24,_xlpm.b,$D$2:$D$19=$D24,MAX(_xlfn._xlws.FILTER(_xlpm.d,_xlpm.a*_xlpm.b)))</f>
        <v>0.75</v>
      </c>
      <c r="O24" s="1" cm="1">
        <f t="array" ref="O24">_xlfn.LET(_xlpm.d,O$2:O$19,_xlpm.a,$C$2:$C$19=$C24,_xlpm.b,$D$2:$D$19=$D24,MAX(_xlfn._xlws.FILTER(_xlpm.d,_xlpm.a*_xlpm.b)))</f>
        <v>0.85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0.79</v>
      </c>
      <c r="R24" s="1" cm="1">
        <f t="array" ref="R24">_xlfn.LET(_xlpm.d,R$2:R$19,_xlpm.a,$C$2:$C$19=$C24,_xlpm.b,$D$2:$D$19=$D24,MAX(_xlfn._xlws.FILTER(_xlpm.d,_xlpm.a*_xlpm.b)))</f>
        <v>0.82</v>
      </c>
      <c r="S24" s="1" cm="1">
        <f t="array" ref="S24">_xlfn.LET(_xlpm.d,S$2:S$19,_xlpm.a,$C$2:$C$19=$C24,_xlpm.b,$D$2:$D$19=$D24,MAX(_xlfn._xlws.FILTER(_xlpm.d,_xlpm.a*_xlpm.b)))</f>
        <v>0.86</v>
      </c>
      <c r="T24" s="1" cm="1">
        <f t="array" ref="T24">_xlfn.LET(_xlpm.d,T$2:T$19,_xlpm.a,$C$2:$C$19=$C24,_xlpm.b,$D$2:$D$19=$D24,MAX(_xlfn._xlws.FILTER(_xlpm.d,_xlpm.a*_xlpm.b)))</f>
        <v>0.88</v>
      </c>
    </row>
    <row r="25" spans="1:20" ht="25" customHeight="1">
      <c r="B25">
        <v>2</v>
      </c>
      <c r="C25" t="s">
        <v>33</v>
      </c>
      <c r="D25" t="b">
        <v>1</v>
      </c>
      <c r="E25">
        <v>0</v>
      </c>
      <c r="F25" t="s">
        <v>23</v>
      </c>
      <c r="H25" s="1" cm="1">
        <f t="array" ref="H25">_xlfn.LET(_xlpm.d,H$2:H$19,_xlpm.a,$C$2:$C$19=$C25,_xlpm.b,$D$2:$D$19=$D25,MAX(_xlfn._xlws.FILTER(_xlpm.d,_xlpm.a*_xlpm.b)))</f>
        <v>0.91</v>
      </c>
      <c r="I25" s="1" cm="1">
        <f t="array" ref="I25">_xlfn.LET(_xlpm.d,I$2:I$19,_xlpm.a,$C$2:$C$19=$C25,_xlpm.b,$D$2:$D$19=$D25,MAX(_xlfn._xlws.FILTER(_xlpm.d,_xlpm.a*_xlpm.b)))</f>
        <v>0.95</v>
      </c>
      <c r="J25" s="1" cm="1">
        <f t="array" ref="J25">_xlfn.LET(_xlpm.d,J$2:J$19,_xlpm.a,$C$2:$C$19=$C25,_xlpm.b,$D$2:$D$19=$D25,MAX(_xlfn._xlws.FILTER(_xlpm.d,_xlpm.a*_xlpm.b)))</f>
        <v>0.93</v>
      </c>
      <c r="K25" s="1" cm="1">
        <f t="array" ref="K25">_xlfn.LET(_xlpm.d,K$2:K$19,_xlpm.a,$C$2:$C$19=$C25,_xlpm.b,$D$2:$D$19=$D25,MAX(_xlfn._xlws.FILTER(_xlpm.d,_xlpm.a*_xlpm.b)))</f>
        <v>0.93</v>
      </c>
      <c r="L25" s="1" cm="1">
        <f t="array" ref="L25">_xlfn.LET(_xlpm.d,L$2:L$19,_xlpm.a,$C$2:$C$19=$C25,_xlpm.b,$D$2:$D$19=$D25,MAX(_xlfn._xlws.FILTER(_xlpm.d,_xlpm.a*_xlpm.b)))</f>
        <v>0.84</v>
      </c>
      <c r="M25" s="1" cm="1">
        <f t="array" ref="M25">_xlfn.LET(_xlpm.d,M$2:M$19,_xlpm.a,$C$2:$C$19=$C25,_xlpm.b,$D$2:$D$19=$D25,MAX(_xlfn._xlws.FILTER(_xlpm.d,_xlpm.a*_xlpm.b)))</f>
        <v>0.88</v>
      </c>
      <c r="N25" s="1" cm="1">
        <f t="array" ref="N25">_xlfn.LET(_xlpm.d,N$2:N$19,_xlpm.a,$C$2:$C$19=$C25,_xlpm.b,$D$2:$D$19=$D25,MAX(_xlfn._xlws.FILTER(_xlpm.d,_xlpm.a*_xlpm.b)))</f>
        <v>0.93</v>
      </c>
      <c r="O25" s="1" cm="1">
        <f t="array" ref="O25">_xlfn.LET(_xlpm.d,O$2:O$19,_xlpm.a,$C$2:$C$19=$C25,_xlpm.b,$D$2:$D$19=$D25,MAX(_xlfn._xlws.FILTER(_xlpm.d,_xlpm.a*_xlpm.b)))</f>
        <v>0.88</v>
      </c>
      <c r="P25" s="1" cm="1">
        <f t="array" ref="P25">_xlfn.LET(_xlpm.d,P$2:P$19,_xlpm.a,$C$2:$C$19=$C25,_xlpm.b,$D$2:$D$19=$D25,MAX(_xlfn._xlws.FILTER(_xlpm.d,_xlpm.a*_xlpm.b)))</f>
        <v>0.95</v>
      </c>
      <c r="Q25" s="1" cm="1">
        <f t="array" ref="Q25">_xlfn.LET(_xlpm.d,Q$2:Q$19,_xlpm.a,$C$2:$C$19=$C25,_xlpm.b,$D$2:$D$19=$D25,MAX(_xlfn._xlws.FILTER(_xlpm.d,_xlpm.a*_xlpm.b)))</f>
        <v>0.86</v>
      </c>
      <c r="R25" s="1" cm="1">
        <f t="array" ref="R25">_xlfn.LET(_xlpm.d,R$2:R$19,_xlpm.a,$C$2:$C$19=$C25,_xlpm.b,$D$2:$D$19=$D25,MAX(_xlfn._xlws.FILTER(_xlpm.d,_xlpm.a*_xlpm.b)))</f>
        <v>0.81</v>
      </c>
      <c r="S25" s="1" cm="1">
        <f t="array" ref="S25">_xlfn.LET(_xlpm.d,S$2:S$19,_xlpm.a,$C$2:$C$19=$C25,_xlpm.b,$D$2:$D$19=$D25,MAX(_xlfn._xlws.FILTER(_xlpm.d,_xlpm.a*_xlpm.b)))</f>
        <v>0.88</v>
      </c>
      <c r="T25" s="1" cm="1">
        <f t="array" ref="T25">_xlfn.LET(_xlpm.d,T$2:T$19,_xlpm.a,$C$2:$C$19=$C25,_xlpm.b,$D$2:$D$19=$D25,MAX(_xlfn._xlws.FILTER(_xlpm.d,_xlpm.a*_xlpm.b)))</f>
        <v>0.95</v>
      </c>
    </row>
    <row r="26" spans="1:20" ht="25" customHeight="1">
      <c r="B26">
        <v>2</v>
      </c>
      <c r="C26" t="s">
        <v>33</v>
      </c>
      <c r="D26" t="b">
        <v>0</v>
      </c>
      <c r="E26">
        <v>0</v>
      </c>
      <c r="F26" t="s">
        <v>23</v>
      </c>
      <c r="H26" s="1" cm="1">
        <f t="array" ref="H26">_xlfn.LET(_xlpm.d,H$2:H$19,_xlpm.a,$C$2:$C$19=$C26,_xlpm.b,$D$2:$D$19=$D26,MAX(_xlfn._xlws.FILTER(_xlpm.d,_xlpm.a*_xlpm.b)))</f>
        <v>0.68</v>
      </c>
      <c r="I26" s="1" cm="1">
        <f t="array" ref="I26">_xlfn.LET(_xlpm.d,I$2:I$19,_xlpm.a,$C$2:$C$19=$C26,_xlpm.b,$D$2:$D$19=$D26,MAX(_xlfn._xlws.FILTER(_xlpm.d,_xlpm.a*_xlpm.b)))</f>
        <v>0.71</v>
      </c>
      <c r="J26" s="1" cm="1">
        <f t="array" ref="J26">_xlfn.LET(_xlpm.d,J$2:J$19,_xlpm.a,$C$2:$C$19=$C26,_xlpm.b,$D$2:$D$19=$D26,MAX(_xlfn._xlws.FILTER(_xlpm.d,_xlpm.a*_xlpm.b)))</f>
        <v>0.7</v>
      </c>
      <c r="K26" s="1" cm="1">
        <f t="array" ref="K26">_xlfn.LET(_xlpm.d,K$2:K$19,_xlpm.a,$C$2:$C$19=$C26,_xlpm.b,$D$2:$D$19=$D26,MAX(_xlfn._xlws.FILTER(_xlpm.d,_xlpm.a*_xlpm.b)))</f>
        <v>0.69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0.73</v>
      </c>
      <c r="N26" s="1" cm="1">
        <f t="array" ref="N26">_xlfn.LET(_xlpm.d,N$2:N$19,_xlpm.a,$C$2:$C$19=$C26,_xlpm.b,$D$2:$D$19=$D26,MAX(_xlfn._xlws.FILTER(_xlpm.d,_xlpm.a*_xlpm.b)))</f>
        <v>0.72</v>
      </c>
      <c r="O26" s="1" cm="1">
        <f t="array" ref="O26">_xlfn.LET(_xlpm.d,O$2:O$19,_xlpm.a,$C$2:$C$19=$C26,_xlpm.b,$D$2:$D$19=$D26,MAX(_xlfn._xlws.FILTER(_xlpm.d,_xlpm.a*_xlpm.b)))</f>
        <v>0.64</v>
      </c>
      <c r="P26" s="1" cm="1">
        <f t="array" ref="P26">_xlfn.LET(_xlpm.d,P$2:P$19,_xlpm.a,$C$2:$C$19=$C26,_xlpm.b,$D$2:$D$19=$D26,MAX(_xlfn._xlws.FILTER(_xlpm.d,_xlpm.a*_xlpm.b)))</f>
        <v>0.7</v>
      </c>
      <c r="Q26" s="1" cm="1">
        <f t="array" ref="Q26">_xlfn.LET(_xlpm.d,Q$2:Q$19,_xlpm.a,$C$2:$C$19=$C26,_xlpm.b,$D$2:$D$19=$D26,MAX(_xlfn._xlws.FILTER(_xlpm.d,_xlpm.a*_xlpm.b)))</f>
        <v>0.68</v>
      </c>
      <c r="R26" s="1" cm="1">
        <f t="array" ref="R26">_xlfn.LET(_xlpm.d,R$2:R$19,_xlpm.a,$C$2:$C$19=$C26,_xlpm.b,$D$2:$D$19=$D26,MAX(_xlfn._xlws.FILTER(_xlpm.d,_xlpm.a*_xlpm.b)))</f>
        <v>0.68</v>
      </c>
      <c r="S26" s="1" cm="1">
        <f t="array" ref="S26">_xlfn.LET(_xlpm.d,S$2:S$19,_xlpm.a,$C$2:$C$19=$C26,_xlpm.b,$D$2:$D$19=$D26,MAX(_xlfn._xlws.FILTER(_xlpm.d,_xlpm.a*_xlpm.b)))</f>
        <v>0.63</v>
      </c>
      <c r="T26" s="1" cm="1">
        <f t="array" ref="T26">_xlfn.LET(_xlpm.d,T$2:T$19,_xlpm.a,$C$2:$C$19=$C26,_xlpm.b,$D$2:$D$19=$D26,MAX(_xlfn._xlws.FILTER(_xlpm.d,_xlpm.a*_xlpm.b)))</f>
        <v>0.73</v>
      </c>
    </row>
    <row r="27" spans="1:20" ht="25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H27" s="1" cm="1">
        <f t="array" ref="H27">_xlfn.LET(_xlpm.d,H$2:H$19,_xlpm.a,$C$2:$C$19=$C27,_xlpm.b,$D$2:$D$19=$D27,MAX(_xlfn._xlws.FILTER(_xlpm.d,_xlpm.a*_xlpm.b)))</f>
        <v>0.56999999999999995</v>
      </c>
      <c r="I27" s="1" cm="1">
        <f t="array" ref="I27">_xlfn.LET(_xlpm.d,I$2:I$19,_xlpm.a,$C$2:$C$19=$C27,_xlpm.b,$D$2:$D$19=$D27,MAX(_xlfn._xlws.FILTER(_xlpm.d,_xlpm.a*_xlpm.b)))</f>
        <v>0.46</v>
      </c>
      <c r="J27" s="1" cm="1">
        <f t="array" ref="J27">_xlfn.LET(_xlpm.d,J$2:J$19,_xlpm.a,$C$2:$C$19=$C27,_xlpm.b,$D$2:$D$19=$D27,MAX(_xlfn._xlws.FILTER(_xlpm.d,_xlpm.a*_xlpm.b)))</f>
        <v>0.62</v>
      </c>
      <c r="K27" s="1" cm="1">
        <f t="array" ref="K27">_xlfn.LET(_xlpm.d,K$2:K$19,_xlpm.a,$C$2:$C$19=$C27,_xlpm.b,$D$2:$D$19=$D27,MAX(_xlfn._xlws.FILTER(_xlpm.d,_xlpm.a*_xlpm.b)))</f>
        <v>0.59</v>
      </c>
      <c r="L27" s="1" cm="1">
        <f t="array" ref="L27">_xlfn.LET(_xlpm.d,L$2:L$19,_xlpm.a,$C$2:$C$19=$C27,_xlpm.b,$D$2:$D$19=$D27,MAX(_xlfn._xlws.FILTER(_xlpm.d,_xlpm.a*_xlpm.b)))</f>
        <v>0.35</v>
      </c>
      <c r="M27" s="1" cm="1">
        <f t="array" ref="M27">_xlfn.LET(_xlpm.d,M$2:M$19,_xlpm.a,$C$2:$C$19=$C27,_xlpm.b,$D$2:$D$19=$D27,MAX(_xlfn._xlws.FILTER(_xlpm.d,_xlpm.a*_xlpm.b)))</f>
        <v>0.57999999999999996</v>
      </c>
      <c r="N27" s="1" cm="1">
        <f t="array" ref="N27">_xlfn.LET(_xlpm.d,N$2:N$19,_xlpm.a,$C$2:$C$19=$C27,_xlpm.b,$D$2:$D$19=$D27,MAX(_xlfn._xlws.FILTER(_xlpm.d,_xlpm.a*_xlpm.b)))</f>
        <v>0.53</v>
      </c>
      <c r="O27" s="1" cm="1">
        <f t="array" ref="O27">_xlfn.LET(_xlpm.d,O$2:O$19,_xlpm.a,$C$2:$C$19=$C27,_xlpm.b,$D$2:$D$19=$D27,MAX(_xlfn._xlws.FILTER(_xlpm.d,_xlpm.a*_xlpm.b)))</f>
        <v>0.53</v>
      </c>
      <c r="P27" s="1" cm="1">
        <f t="array" ref="P27">_xlfn.LET(_xlpm.d,P$2:P$19,_xlpm.a,$C$2:$C$19=$C27,_xlpm.b,$D$2:$D$19=$D27,MAX(_xlfn._xlws.FILTER(_xlpm.d,_xlpm.a*_xlpm.b)))</f>
        <v>0.53</v>
      </c>
      <c r="Q27" s="1" cm="1">
        <f t="array" ref="Q27">_xlfn.LET(_xlpm.d,Q$2:Q$19,_xlpm.a,$C$2:$C$19=$C27,_xlpm.b,$D$2:$D$19=$D27,MAX(_xlfn._xlws.FILTER(_xlpm.d,_xlpm.a*_xlpm.b)))</f>
        <v>0.43</v>
      </c>
      <c r="R27" s="1" cm="1">
        <f t="array" ref="R27">_xlfn.LET(_xlpm.d,R$2:R$19,_xlpm.a,$C$2:$C$19=$C27,_xlpm.b,$D$2:$D$19=$D27,MAX(_xlfn._xlws.FILTER(_xlpm.d,_xlpm.a*_xlpm.b)))</f>
        <v>0.53</v>
      </c>
      <c r="S27" s="1" cm="1">
        <f t="array" ref="S27">_xlfn.LET(_xlpm.d,S$2:S$19,_xlpm.a,$C$2:$C$19=$C27,_xlpm.b,$D$2:$D$19=$D27,MAX(_xlfn._xlws.FILTER(_xlpm.d,_xlpm.a*_xlpm.b)))</f>
        <v>0.48</v>
      </c>
      <c r="T27" s="1" cm="1">
        <f t="array" ref="T27">_xlfn.LET(_xlpm.d,T$2:T$19,_xlpm.a,$C$2:$C$19=$C27,_xlpm.b,$D$2:$D$19=$D27,MAX(_xlfn._xlws.FILTER(_xlpm.d,_xlpm.a*_xlpm.b)))</f>
        <v>0.62</v>
      </c>
    </row>
    <row r="28" spans="1:20" ht="25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H28" s="1" cm="1">
        <f t="array" ref="H28">_xlfn.LET(_xlpm.d,H$2:H$19,_xlpm.a,$C$2:$C$19=$C28,_xlpm.b,$D$2:$D$19=$D28,MAX(_xlfn._xlws.FILTER(_xlpm.d,_xlpm.a*_xlpm.b)))</f>
        <v>0.41</v>
      </c>
      <c r="I28" s="1" cm="1">
        <f t="array" ref="I28">_xlfn.LET(_xlpm.d,I$2:I$19,_xlpm.a,$C$2:$C$19=$C28,_xlpm.b,$D$2:$D$19=$D28,MAX(_xlfn._xlws.FILTER(_xlpm.d,_xlpm.a*_xlpm.b)))</f>
        <v>0.35</v>
      </c>
      <c r="J28" s="1" cm="1">
        <f t="array" ref="J28">_xlfn.LET(_xlpm.d,J$2:J$19,_xlpm.a,$C$2:$C$19=$C28,_xlpm.b,$D$2:$D$19=$D28,MAX(_xlfn._xlws.FILTER(_xlpm.d,_xlpm.a*_xlpm.b)))</f>
        <v>0.47</v>
      </c>
      <c r="K28" s="1" cm="1">
        <f t="array" ref="K28">_xlfn.LET(_xlpm.d,K$2:K$19,_xlpm.a,$C$2:$C$19=$C28,_xlpm.b,$D$2:$D$19=$D28,MAX(_xlfn._xlws.FILTER(_xlpm.d,_xlpm.a*_xlpm.b)))</f>
        <v>0.42</v>
      </c>
      <c r="L28" s="1" cm="1">
        <f t="array" ref="L28">_xlfn.LET(_xlpm.d,L$2:L$19,_xlpm.a,$C$2:$C$19=$C28,_xlpm.b,$D$2:$D$19=$D28,MAX(_xlfn._xlws.FILTER(_xlpm.d,_xlpm.a*_xlpm.b)))</f>
        <v>0.31</v>
      </c>
      <c r="M28" s="1" cm="1">
        <f t="array" ref="M28">_xlfn.LET(_xlpm.d,M$2:M$19,_xlpm.a,$C$2:$C$19=$C28,_xlpm.b,$D$2:$D$19=$D28,MAX(_xlfn._xlws.FILTER(_xlpm.d,_xlpm.a*_xlpm.b)))</f>
        <v>0.48</v>
      </c>
      <c r="N28" s="1" cm="1">
        <f t="array" ref="N28">_xlfn.LET(_xlpm.d,N$2:N$19,_xlpm.a,$C$2:$C$19=$C28,_xlpm.b,$D$2:$D$19=$D28,MAX(_xlfn._xlws.FILTER(_xlpm.d,_xlpm.a*_xlpm.b)))</f>
        <v>0.4</v>
      </c>
      <c r="O28" s="1" cm="1">
        <f t="array" ref="O28">_xlfn.LET(_xlpm.d,O$2:O$19,_xlpm.a,$C$2:$C$19=$C28,_xlpm.b,$D$2:$D$19=$D28,MAX(_xlfn._xlws.FILTER(_xlpm.d,_xlpm.a*_xlpm.b)))</f>
        <v>0.46</v>
      </c>
      <c r="P28" s="1" cm="1">
        <f t="array" ref="P28">_xlfn.LET(_xlpm.d,P$2:P$19,_xlpm.a,$C$2:$C$19=$C28,_xlpm.b,$D$2:$D$19=$D28,MAX(_xlfn._xlws.FILTER(_xlpm.d,_xlpm.a*_xlpm.b)))</f>
        <v>0.4</v>
      </c>
      <c r="Q28" s="1" cm="1">
        <f t="array" ref="Q28">_xlfn.LET(_xlpm.d,Q$2:Q$19,_xlpm.a,$C$2:$C$19=$C28,_xlpm.b,$D$2:$D$19=$D28,MAX(_xlfn._xlws.FILTER(_xlpm.d,_xlpm.a*_xlpm.b)))</f>
        <v>0.36</v>
      </c>
      <c r="R28" s="1" cm="1">
        <f t="array" ref="R28">_xlfn.LET(_xlpm.d,R$2:R$19,_xlpm.a,$C$2:$C$19=$C28,_xlpm.b,$D$2:$D$19=$D28,MAX(_xlfn._xlws.FILTER(_xlpm.d,_xlpm.a*_xlpm.b)))</f>
        <v>0.45</v>
      </c>
      <c r="S28" s="1" cm="1">
        <f t="array" ref="S28">_xlfn.LET(_xlpm.d,S$2:S$19,_xlpm.a,$C$2:$C$19=$C28,_xlpm.b,$D$2:$D$19=$D28,MAX(_xlfn._xlws.FILTER(_xlpm.d,_xlpm.a*_xlpm.b)))</f>
        <v>0.43</v>
      </c>
      <c r="T28" s="1" cm="1">
        <f t="array" ref="T28">_xlfn.LET(_xlpm.d,T$2:T$19,_xlpm.a,$C$2:$C$19=$C28,_xlpm.b,$D$2:$D$19=$D28,MAX(_xlfn._xlws.FILTER(_xlpm.d,_xlpm.a*_xlpm.b)))</f>
        <v>0.48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645A-E084-FB4B-AE3D-E466245D775C}">
  <sheetPr codeName="Sheet5"/>
  <dimension ref="A1:T28"/>
  <sheetViews>
    <sheetView tabSelected="1" workbookViewId="0">
      <pane xSplit="8320" ySplit="4440" topLeftCell="F18" activePane="bottomLeft"/>
      <selection activeCell="A4" sqref="A4"/>
      <selection pane="topRight" activeCell="H1" sqref="H1:T1048576"/>
      <selection pane="bottomLeft" activeCell="B23" sqref="B23:T28"/>
      <selection pane="bottomRight" activeCell="K27" sqref="K27"/>
    </sheetView>
  </sheetViews>
  <sheetFormatPr baseColWidth="10" defaultRowHeight="25" customHeight="1"/>
  <cols>
    <col min="2" max="2" width="8.5" customWidth="1"/>
    <col min="4" max="4" width="10.75" customWidth="1"/>
    <col min="5" max="5" width="7.875" customWidth="1"/>
    <col min="6" max="6" width="7.625" customWidth="1"/>
    <col min="7" max="7" width="8.25" customWidth="1"/>
    <col min="8" max="20" width="9" customWidth="1"/>
  </cols>
  <sheetData>
    <row r="1" spans="1:20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37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23</v>
      </c>
    </row>
    <row r="2" spans="1:20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H2" s="1">
        <v>0.85</v>
      </c>
      <c r="I2" s="1">
        <v>0.89</v>
      </c>
      <c r="J2" s="1">
        <v>0.84</v>
      </c>
      <c r="K2" s="1">
        <v>0.82</v>
      </c>
      <c r="L2" s="1">
        <v>0.76</v>
      </c>
      <c r="M2" s="1">
        <v>0.77</v>
      </c>
      <c r="N2" s="1">
        <v>0.89</v>
      </c>
      <c r="O2" s="1">
        <v>0.86</v>
      </c>
      <c r="P2" s="1">
        <v>0.82</v>
      </c>
      <c r="Q2" s="1">
        <v>0.82</v>
      </c>
      <c r="R2" s="1">
        <v>0.8</v>
      </c>
      <c r="S2" s="1">
        <v>0.78</v>
      </c>
      <c r="T2" s="1">
        <f t="shared" ref="T2:T19" si="0">_xlfn.LET(_xlpm.d,$H2:$S2,MAX(_xlpm.d))</f>
        <v>0.89</v>
      </c>
    </row>
    <row r="3" spans="1:20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H3" s="1">
        <v>0.86</v>
      </c>
      <c r="I3" s="1">
        <v>0.93</v>
      </c>
      <c r="J3" s="1">
        <v>0.81</v>
      </c>
      <c r="K3" s="1">
        <v>0.82</v>
      </c>
      <c r="L3" s="1">
        <v>0.85</v>
      </c>
      <c r="M3" s="1">
        <v>0.82</v>
      </c>
      <c r="N3" s="1">
        <v>0.92</v>
      </c>
      <c r="O3" s="1">
        <v>0.84</v>
      </c>
      <c r="P3" s="1">
        <v>0.87</v>
      </c>
      <c r="Q3" s="1">
        <v>0.88</v>
      </c>
      <c r="R3" s="1">
        <v>0.87</v>
      </c>
      <c r="S3" s="1">
        <v>0.82</v>
      </c>
      <c r="T3" s="1">
        <f t="shared" si="0"/>
        <v>0.93</v>
      </c>
    </row>
    <row r="4" spans="1:20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H4" s="1">
        <v>0.82</v>
      </c>
      <c r="I4" s="1">
        <v>0.87</v>
      </c>
      <c r="J4" s="1">
        <v>0.82</v>
      </c>
      <c r="K4" s="1">
        <v>0.82</v>
      </c>
      <c r="L4" s="1">
        <v>0.81</v>
      </c>
      <c r="M4" s="1">
        <v>0.84</v>
      </c>
      <c r="N4" s="1">
        <v>0.85</v>
      </c>
      <c r="O4" s="1">
        <v>0.83</v>
      </c>
      <c r="P4" s="1">
        <v>0.78</v>
      </c>
      <c r="Q4" s="1">
        <v>0.81</v>
      </c>
      <c r="R4" s="1">
        <v>0.78</v>
      </c>
      <c r="S4" s="1">
        <v>0.74</v>
      </c>
      <c r="T4" s="1">
        <f t="shared" si="0"/>
        <v>0.87</v>
      </c>
    </row>
    <row r="5" spans="1:20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H5" s="1">
        <v>0.8</v>
      </c>
      <c r="I5" s="1">
        <v>0.83</v>
      </c>
      <c r="J5" s="1">
        <v>0.78</v>
      </c>
      <c r="K5" s="1">
        <v>0.82</v>
      </c>
      <c r="L5" s="1">
        <v>0.77</v>
      </c>
      <c r="M5" s="1">
        <v>0.8</v>
      </c>
      <c r="N5" s="1">
        <v>0.8</v>
      </c>
      <c r="O5" s="1">
        <v>0.82</v>
      </c>
      <c r="P5" s="1">
        <v>0.77</v>
      </c>
      <c r="Q5" s="1">
        <v>0.82</v>
      </c>
      <c r="R5" s="1">
        <v>0.78</v>
      </c>
      <c r="S5" s="1">
        <v>0.73</v>
      </c>
      <c r="T5" s="1">
        <f t="shared" si="0"/>
        <v>0.83</v>
      </c>
    </row>
    <row r="6" spans="1:20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H6" s="1">
        <v>0.81</v>
      </c>
      <c r="I6" s="1">
        <v>0.87</v>
      </c>
      <c r="J6" s="1">
        <v>0.79</v>
      </c>
      <c r="K6" s="1">
        <v>0.82</v>
      </c>
      <c r="L6" s="1">
        <v>0.86</v>
      </c>
      <c r="M6" s="1">
        <v>0.82</v>
      </c>
      <c r="N6" s="1">
        <v>0.84</v>
      </c>
      <c r="O6" s="1">
        <v>0.83</v>
      </c>
      <c r="P6" s="1">
        <v>0.79</v>
      </c>
      <c r="Q6" s="1">
        <v>0.88</v>
      </c>
      <c r="R6" s="1">
        <v>0.85</v>
      </c>
      <c r="S6" s="1">
        <v>0.82</v>
      </c>
      <c r="T6" s="1">
        <f t="shared" si="0"/>
        <v>0.88</v>
      </c>
    </row>
    <row r="7" spans="1:20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H7" s="1">
        <v>0.76</v>
      </c>
      <c r="I7" s="1">
        <v>0.78</v>
      </c>
      <c r="J7" s="1">
        <v>0.78</v>
      </c>
      <c r="K7" s="1">
        <v>0.76</v>
      </c>
      <c r="L7" s="1">
        <v>0.85</v>
      </c>
      <c r="M7" s="1">
        <v>0.82</v>
      </c>
      <c r="N7" s="1">
        <v>0.78</v>
      </c>
      <c r="O7" s="1">
        <v>0.8</v>
      </c>
      <c r="P7" s="1">
        <v>0.75</v>
      </c>
      <c r="Q7" s="1">
        <v>0.79</v>
      </c>
      <c r="R7" s="1">
        <v>0.8</v>
      </c>
      <c r="S7" s="1">
        <v>0.78</v>
      </c>
      <c r="T7" s="1">
        <f t="shared" si="0"/>
        <v>0.85</v>
      </c>
    </row>
    <row r="8" spans="1:20" ht="25" customHeight="1">
      <c r="A8" t="s">
        <v>16</v>
      </c>
      <c r="B8">
        <v>2</v>
      </c>
      <c r="C8" t="s">
        <v>33</v>
      </c>
      <c r="D8" t="b">
        <v>1</v>
      </c>
      <c r="E8" s="9">
        <v>1</v>
      </c>
      <c r="F8" t="s">
        <v>20</v>
      </c>
      <c r="H8" s="1">
        <v>0.88</v>
      </c>
      <c r="I8" s="1">
        <v>0.88</v>
      </c>
      <c r="J8" s="1">
        <v>0.74</v>
      </c>
      <c r="K8" s="1">
        <v>0.75</v>
      </c>
      <c r="L8" s="1">
        <v>0.55000000000000004</v>
      </c>
      <c r="M8" s="1">
        <v>0.66</v>
      </c>
      <c r="N8" s="1">
        <v>0.91</v>
      </c>
      <c r="O8" s="1">
        <v>0.65</v>
      </c>
      <c r="P8" s="1">
        <v>0.66</v>
      </c>
      <c r="Q8" s="1">
        <v>0.75</v>
      </c>
      <c r="R8" s="1">
        <v>0.57999999999999996</v>
      </c>
      <c r="S8" s="1">
        <v>0.44</v>
      </c>
      <c r="T8" s="1">
        <f t="shared" si="0"/>
        <v>0.91</v>
      </c>
    </row>
    <row r="9" spans="1:20" ht="25" customHeight="1">
      <c r="A9" t="s">
        <v>16</v>
      </c>
      <c r="B9">
        <v>2</v>
      </c>
      <c r="C9" t="s">
        <v>33</v>
      </c>
      <c r="D9" t="b">
        <v>1</v>
      </c>
      <c r="E9" s="9">
        <v>2</v>
      </c>
      <c r="F9" t="s">
        <v>19</v>
      </c>
      <c r="H9" s="1">
        <v>0.9</v>
      </c>
      <c r="I9" s="1">
        <v>0.92</v>
      </c>
      <c r="J9" s="1">
        <v>0.91</v>
      </c>
      <c r="K9" s="1">
        <v>0.87</v>
      </c>
      <c r="L9" s="1">
        <v>0.88</v>
      </c>
      <c r="M9" s="1">
        <v>0.89</v>
      </c>
      <c r="N9" s="1">
        <v>0.93</v>
      </c>
      <c r="O9" s="1">
        <v>0.93</v>
      </c>
      <c r="P9" s="1">
        <v>0.88</v>
      </c>
      <c r="Q9" s="1">
        <v>0.84</v>
      </c>
      <c r="R9" s="1">
        <v>0.84</v>
      </c>
      <c r="S9" s="1">
        <v>0.78</v>
      </c>
      <c r="T9" s="1">
        <f t="shared" si="0"/>
        <v>0.93</v>
      </c>
    </row>
    <row r="10" spans="1:20" ht="25" customHeight="1">
      <c r="A10" t="s">
        <v>16</v>
      </c>
      <c r="B10">
        <v>2</v>
      </c>
      <c r="C10" t="s">
        <v>33</v>
      </c>
      <c r="D10" t="b">
        <v>1</v>
      </c>
      <c r="E10" s="9">
        <v>3</v>
      </c>
      <c r="F10" t="s">
        <v>18</v>
      </c>
      <c r="H10" s="1">
        <v>0.94</v>
      </c>
      <c r="I10" s="1">
        <v>0.91</v>
      </c>
      <c r="J10" s="1">
        <v>0.88</v>
      </c>
      <c r="K10" s="1">
        <v>0.84</v>
      </c>
      <c r="L10" s="1">
        <v>0.79</v>
      </c>
      <c r="M10" s="1">
        <v>0.72</v>
      </c>
      <c r="N10" s="1">
        <v>0.9</v>
      </c>
      <c r="O10" s="1">
        <v>0.95</v>
      </c>
      <c r="P10" s="1">
        <v>0.91</v>
      </c>
      <c r="Q10" s="1">
        <v>0.86</v>
      </c>
      <c r="R10" s="1">
        <v>0.84</v>
      </c>
      <c r="S10" s="1">
        <v>0.8</v>
      </c>
      <c r="T10" s="1">
        <f t="shared" si="0"/>
        <v>0.95</v>
      </c>
    </row>
    <row r="11" spans="1:20" ht="25" customHeight="1">
      <c r="A11" t="s">
        <v>16</v>
      </c>
      <c r="B11">
        <v>2</v>
      </c>
      <c r="C11" t="s">
        <v>33</v>
      </c>
      <c r="D11" t="b">
        <v>0</v>
      </c>
      <c r="E11">
        <v>1</v>
      </c>
      <c r="F11" t="s">
        <v>20</v>
      </c>
      <c r="H11" s="1">
        <v>0.63</v>
      </c>
      <c r="I11" s="1">
        <v>0.61</v>
      </c>
      <c r="J11" s="1">
        <v>0.57999999999999996</v>
      </c>
      <c r="K11" s="1">
        <v>0.56000000000000005</v>
      </c>
      <c r="L11" s="1">
        <v>0.5</v>
      </c>
      <c r="M11" s="1">
        <v>0.56999999999999995</v>
      </c>
      <c r="N11" s="1">
        <v>0.63</v>
      </c>
      <c r="O11" s="1">
        <v>0.59</v>
      </c>
      <c r="P11" s="1">
        <v>0.64</v>
      </c>
      <c r="Q11" s="1">
        <v>0.56999999999999995</v>
      </c>
      <c r="R11" s="1">
        <v>0.59</v>
      </c>
      <c r="S11" s="1">
        <v>0.52</v>
      </c>
      <c r="T11" s="1">
        <f t="shared" si="0"/>
        <v>0.64</v>
      </c>
    </row>
    <row r="12" spans="1:20" ht="25" customHeight="1">
      <c r="A12" t="s">
        <v>16</v>
      </c>
      <c r="B12">
        <v>2</v>
      </c>
      <c r="C12" t="s">
        <v>33</v>
      </c>
      <c r="D12" t="b">
        <v>0</v>
      </c>
      <c r="E12">
        <v>2</v>
      </c>
      <c r="F12" t="s">
        <v>19</v>
      </c>
      <c r="H12" s="1">
        <v>0.75</v>
      </c>
      <c r="I12" s="1">
        <v>0.7</v>
      </c>
      <c r="J12" s="1">
        <v>0.69</v>
      </c>
      <c r="K12" s="1">
        <v>0.68</v>
      </c>
      <c r="L12" s="1">
        <v>0.69</v>
      </c>
      <c r="M12" s="1">
        <v>0.63</v>
      </c>
      <c r="N12" s="1">
        <v>0.67</v>
      </c>
      <c r="O12" s="1">
        <v>0.72</v>
      </c>
      <c r="P12" s="1">
        <v>0.71</v>
      </c>
      <c r="Q12" s="1">
        <v>0.67</v>
      </c>
      <c r="R12" s="1">
        <v>0.69</v>
      </c>
      <c r="S12" s="1">
        <v>0.56999999999999995</v>
      </c>
      <c r="T12" s="1">
        <f t="shared" si="0"/>
        <v>0.75</v>
      </c>
    </row>
    <row r="13" spans="1:20" ht="25" customHeight="1">
      <c r="A13" t="s">
        <v>16</v>
      </c>
      <c r="B13">
        <v>2</v>
      </c>
      <c r="C13" t="s">
        <v>33</v>
      </c>
      <c r="D13" t="b">
        <v>0</v>
      </c>
      <c r="E13">
        <v>3</v>
      </c>
      <c r="F13" t="s">
        <v>18</v>
      </c>
      <c r="H13" s="1">
        <v>0.72</v>
      </c>
      <c r="I13" s="1">
        <v>0.61</v>
      </c>
      <c r="J13" s="1">
        <v>0.68</v>
      </c>
      <c r="K13" s="1">
        <v>0.67</v>
      </c>
      <c r="L13" s="1">
        <v>0.66</v>
      </c>
      <c r="M13" s="1">
        <v>0.67</v>
      </c>
      <c r="N13" s="1">
        <v>0.59</v>
      </c>
      <c r="O13" s="1">
        <v>0.75</v>
      </c>
      <c r="P13" s="1">
        <v>0.69</v>
      </c>
      <c r="Q13" s="1">
        <v>0.67</v>
      </c>
      <c r="R13" s="1">
        <v>0.69</v>
      </c>
      <c r="S13" s="1">
        <v>0.67</v>
      </c>
      <c r="T13" s="1">
        <f t="shared" si="0"/>
        <v>0.75</v>
      </c>
    </row>
    <row r="14" spans="1:20" ht="25" customHeight="1">
      <c r="A14" t="s">
        <v>16</v>
      </c>
      <c r="B14">
        <v>3</v>
      </c>
      <c r="C14" t="s">
        <v>22</v>
      </c>
      <c r="D14" t="b">
        <v>1</v>
      </c>
      <c r="E14" s="9">
        <v>1</v>
      </c>
      <c r="F14" t="s">
        <v>20</v>
      </c>
      <c r="H14" s="1">
        <v>0.37</v>
      </c>
      <c r="I14" s="1">
        <v>0.41</v>
      </c>
      <c r="J14" s="1">
        <v>0.41</v>
      </c>
      <c r="K14" s="1">
        <v>0.43</v>
      </c>
      <c r="L14" s="1">
        <v>0.37</v>
      </c>
      <c r="M14" s="1">
        <v>0.41</v>
      </c>
      <c r="N14" s="1">
        <v>0.47</v>
      </c>
      <c r="O14" s="1">
        <v>0.42</v>
      </c>
      <c r="P14" s="1">
        <v>0.31</v>
      </c>
      <c r="Q14" s="1">
        <v>0.4</v>
      </c>
      <c r="R14" s="1">
        <v>0.42</v>
      </c>
      <c r="S14" s="1">
        <v>0.38</v>
      </c>
      <c r="T14" s="1">
        <f t="shared" si="0"/>
        <v>0.47</v>
      </c>
    </row>
    <row r="15" spans="1:20" ht="25" customHeight="1">
      <c r="A15" t="s">
        <v>16</v>
      </c>
      <c r="B15">
        <v>3</v>
      </c>
      <c r="C15" t="s">
        <v>22</v>
      </c>
      <c r="D15" t="b">
        <v>1</v>
      </c>
      <c r="E15" s="9">
        <v>2</v>
      </c>
      <c r="F15" t="s">
        <v>19</v>
      </c>
      <c r="H15" s="1">
        <v>0.45</v>
      </c>
      <c r="I15" s="1">
        <v>0.56000000000000005</v>
      </c>
      <c r="J15" s="1">
        <v>0.47</v>
      </c>
      <c r="K15" s="1">
        <v>0.47</v>
      </c>
      <c r="L15" s="1">
        <v>0.5</v>
      </c>
      <c r="M15" s="1">
        <v>0.5</v>
      </c>
      <c r="N15" s="1">
        <v>0.46</v>
      </c>
      <c r="O15" s="1">
        <v>0.45</v>
      </c>
      <c r="P15" s="1">
        <v>0.48</v>
      </c>
      <c r="Q15" s="1">
        <v>0.45</v>
      </c>
      <c r="R15" s="1">
        <v>0.43</v>
      </c>
      <c r="S15" s="1">
        <v>0.45</v>
      </c>
      <c r="T15" s="1">
        <f t="shared" si="0"/>
        <v>0.56000000000000005</v>
      </c>
    </row>
    <row r="16" spans="1:20" ht="25" customHeight="1">
      <c r="A16" t="s">
        <v>16</v>
      </c>
      <c r="B16">
        <v>3</v>
      </c>
      <c r="C16" t="s">
        <v>22</v>
      </c>
      <c r="D16" t="b">
        <v>1</v>
      </c>
      <c r="E16" s="9">
        <v>3</v>
      </c>
      <c r="F16" t="s">
        <v>18</v>
      </c>
      <c r="H16" s="1">
        <v>0.4</v>
      </c>
      <c r="I16" s="1">
        <v>0.37</v>
      </c>
      <c r="J16" s="1">
        <v>0.39</v>
      </c>
      <c r="K16" s="1">
        <v>0.36</v>
      </c>
      <c r="L16" s="1">
        <v>0.39</v>
      </c>
      <c r="M16" s="1">
        <v>0.45</v>
      </c>
      <c r="N16" s="1">
        <v>0.44</v>
      </c>
      <c r="O16" s="1">
        <v>0.38</v>
      </c>
      <c r="P16" s="1">
        <v>0.42</v>
      </c>
      <c r="Q16" s="1">
        <v>0.42</v>
      </c>
      <c r="R16" s="1">
        <v>0.38</v>
      </c>
      <c r="S16" s="1">
        <v>0.28999999999999998</v>
      </c>
      <c r="T16" s="1">
        <f t="shared" si="0"/>
        <v>0.45</v>
      </c>
    </row>
    <row r="17" spans="1:20" ht="25" customHeight="1">
      <c r="A17" t="s">
        <v>16</v>
      </c>
      <c r="B17">
        <v>3</v>
      </c>
      <c r="C17" t="s">
        <v>22</v>
      </c>
      <c r="D17" t="b">
        <v>0</v>
      </c>
      <c r="E17" s="9">
        <v>1</v>
      </c>
      <c r="F17" t="s">
        <v>20</v>
      </c>
      <c r="H17" s="1">
        <v>0.36</v>
      </c>
      <c r="I17" s="1">
        <v>0.37</v>
      </c>
      <c r="J17" s="1">
        <v>0.44</v>
      </c>
      <c r="K17" s="1">
        <v>0.42</v>
      </c>
      <c r="L17" s="1">
        <v>0.39</v>
      </c>
      <c r="M17" s="1">
        <v>0.35</v>
      </c>
      <c r="N17" s="1">
        <v>0.38</v>
      </c>
      <c r="O17" s="1">
        <v>0.39</v>
      </c>
      <c r="P17" s="1">
        <v>0.42</v>
      </c>
      <c r="Q17" s="1">
        <v>0.36</v>
      </c>
      <c r="R17" s="1">
        <v>0.34</v>
      </c>
      <c r="S17" s="1">
        <v>0.37</v>
      </c>
      <c r="T17" s="1">
        <f t="shared" si="0"/>
        <v>0.44</v>
      </c>
    </row>
    <row r="18" spans="1:20" ht="25" customHeight="1">
      <c r="A18" t="s">
        <v>16</v>
      </c>
      <c r="B18">
        <v>3</v>
      </c>
      <c r="C18" t="s">
        <v>22</v>
      </c>
      <c r="D18" t="b">
        <v>0</v>
      </c>
      <c r="E18" s="9">
        <v>2</v>
      </c>
      <c r="F18" t="s">
        <v>19</v>
      </c>
      <c r="H18" s="1">
        <v>0.37</v>
      </c>
      <c r="I18" s="1">
        <v>0.46</v>
      </c>
      <c r="J18" s="1">
        <v>0.41</v>
      </c>
      <c r="K18" s="1">
        <v>0.44</v>
      </c>
      <c r="L18" s="1">
        <v>0.41</v>
      </c>
      <c r="M18" s="1">
        <v>0.44</v>
      </c>
      <c r="N18" s="1">
        <v>0.42</v>
      </c>
      <c r="O18" s="1">
        <v>0.36</v>
      </c>
      <c r="P18" s="1">
        <v>0.35</v>
      </c>
      <c r="Q18" s="1">
        <v>0.37</v>
      </c>
      <c r="R18" s="1">
        <v>0.42</v>
      </c>
      <c r="S18" s="1">
        <v>0.36</v>
      </c>
      <c r="T18" s="1">
        <f t="shared" si="0"/>
        <v>0.46</v>
      </c>
    </row>
    <row r="19" spans="1:20" ht="25" customHeight="1">
      <c r="A19" t="s">
        <v>16</v>
      </c>
      <c r="B19">
        <v>3</v>
      </c>
      <c r="C19" t="s">
        <v>22</v>
      </c>
      <c r="D19" t="b">
        <v>0</v>
      </c>
      <c r="E19" s="9">
        <v>3</v>
      </c>
      <c r="F19" t="s">
        <v>18</v>
      </c>
      <c r="H19" s="1">
        <v>0.36</v>
      </c>
      <c r="I19" s="1">
        <v>0.28999999999999998</v>
      </c>
      <c r="J19" s="1">
        <v>0.32</v>
      </c>
      <c r="K19" s="1">
        <v>0.36</v>
      </c>
      <c r="L19" s="1">
        <v>0.36</v>
      </c>
      <c r="M19" s="1">
        <v>0.42</v>
      </c>
      <c r="N19" s="1">
        <v>0.45</v>
      </c>
      <c r="O19" s="1">
        <v>0.36</v>
      </c>
      <c r="P19" s="1">
        <v>0.35</v>
      </c>
      <c r="Q19" s="1">
        <v>0.39</v>
      </c>
      <c r="R19" s="1">
        <v>0.36</v>
      </c>
      <c r="S19" s="1">
        <v>0.28999999999999998</v>
      </c>
      <c r="T19" s="1">
        <f t="shared" si="0"/>
        <v>0.45</v>
      </c>
    </row>
    <row r="22" spans="1:20" ht="25" customHeight="1">
      <c r="B22" t="s">
        <v>24</v>
      </c>
      <c r="C22" t="s">
        <v>1</v>
      </c>
      <c r="D22" t="s">
        <v>26</v>
      </c>
      <c r="E22" t="s">
        <v>25</v>
      </c>
      <c r="F22" t="s">
        <v>3</v>
      </c>
      <c r="G22" t="s">
        <v>37</v>
      </c>
      <c r="H22" t="s">
        <v>4</v>
      </c>
      <c r="I22" t="s">
        <v>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23</v>
      </c>
    </row>
    <row r="23" spans="1:20" ht="25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H23" s="1" cm="1">
        <f t="array" ref="H23">_xlfn.LET(_xlpm.d,H$2:H$19,_xlpm.a,$C$2:$C$19=$C23,_xlpm.b,$D$2:$D$19=$D23,MAX(_xlfn._xlws.FILTER(_xlpm.d,_xlpm.a*_xlpm.b)))</f>
        <v>0.86</v>
      </c>
      <c r="I23" s="1" cm="1">
        <f t="array" ref="I23">_xlfn.LET(_xlpm.d,I$2:I$19,_xlpm.a,$C$2:$C$19=$C23,_xlpm.b,$D$2:$D$19=$D23,MAX(_xlfn._xlws.FILTER(_xlpm.d,_xlpm.a*_xlpm.b)))</f>
        <v>0.93</v>
      </c>
      <c r="J23" s="1" cm="1">
        <f t="array" ref="J23">_xlfn.LET(_xlpm.d,J$2:J$19,_xlpm.a,$C$2:$C$19=$C23,_xlpm.b,$D$2:$D$19=$D23,MAX(_xlfn._xlws.FILTER(_xlpm.d,_xlpm.a*_xlpm.b)))</f>
        <v>0.84</v>
      </c>
      <c r="K23" s="1" cm="1">
        <f t="array" ref="K23">_xlfn.LET(_xlpm.d,K$2:K$19,_xlpm.a,$C$2:$C$19=$C23,_xlpm.b,$D$2:$D$19=$D23,MAX(_xlfn._xlws.FILTER(_xlpm.d,_xlpm.a*_xlpm.b)))</f>
        <v>0.82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0.84</v>
      </c>
      <c r="N23" s="1" cm="1">
        <f t="array" ref="N23">_xlfn.LET(_xlpm.d,N$2:N$19,_xlpm.a,$C$2:$C$19=$C23,_xlpm.b,$D$2:$D$19=$D23,MAX(_xlfn._xlws.FILTER(_xlpm.d,_xlpm.a*_xlpm.b)))</f>
        <v>0.92</v>
      </c>
      <c r="O23" s="1" cm="1">
        <f t="array" ref="O23">_xlfn.LET(_xlpm.d,O$2:O$19,_xlpm.a,$C$2:$C$19=$C23,_xlpm.b,$D$2:$D$19=$D23,MAX(_xlfn._xlws.FILTER(_xlpm.d,_xlpm.a*_xlpm.b)))</f>
        <v>0.86</v>
      </c>
      <c r="P23" s="1" cm="1">
        <f t="array" ref="P23">_xlfn.LET(_xlpm.d,P$2:P$19,_xlpm.a,$C$2:$C$19=$C23,_xlpm.b,$D$2:$D$19=$D23,MAX(_xlfn._xlws.FILTER(_xlpm.d,_xlpm.a*_xlpm.b)))</f>
        <v>0.87</v>
      </c>
      <c r="Q23" s="1" cm="1">
        <f t="array" ref="Q23">_xlfn.LET(_xlpm.d,Q$2:Q$19,_xlpm.a,$C$2:$C$19=$C23,_xlpm.b,$D$2:$D$19=$D23,MAX(_xlfn._xlws.FILTER(_xlpm.d,_xlpm.a*_xlpm.b)))</f>
        <v>0.88</v>
      </c>
      <c r="R23" s="1" cm="1">
        <f t="array" ref="R23">_xlfn.LET(_xlpm.d,R$2:R$19,_xlpm.a,$C$2:$C$19=$C23,_xlpm.b,$D$2:$D$19=$D23,MAX(_xlfn._xlws.FILTER(_xlpm.d,_xlpm.a*_xlpm.b)))</f>
        <v>0.87</v>
      </c>
      <c r="S23" s="1" cm="1">
        <f t="array" ref="S23">_xlfn.LET(_xlpm.d,S$2:S$19,_xlpm.a,$C$2:$C$19=$C23,_xlpm.b,$D$2:$D$19=$D23,MAX(_xlfn._xlws.FILTER(_xlpm.d,_xlpm.a*_xlpm.b)))</f>
        <v>0.82</v>
      </c>
      <c r="T23" s="1" cm="1">
        <f t="array" ref="T23">_xlfn.LET(_xlpm.d,T$2:T$19,_xlpm.a,$C$2:$C$19=$C23,_xlpm.b,$D$2:$D$19=$D23,MAX(_xlfn._xlws.FILTER(_xlpm.d,_xlpm.a*_xlpm.b)))</f>
        <v>0.93</v>
      </c>
    </row>
    <row r="24" spans="1:20" ht="25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0.87</v>
      </c>
      <c r="J24" s="1" cm="1">
        <f t="array" ref="J24">_xlfn.LET(_xlpm.d,J$2:J$19,_xlpm.a,$C$2:$C$19=$C24,_xlpm.b,$D$2:$D$19=$D24,MAX(_xlfn._xlws.FILTER(_xlpm.d,_xlpm.a*_xlpm.b)))</f>
        <v>0.79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0.86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0.79</v>
      </c>
      <c r="Q24" s="1" cm="1">
        <f t="array" ref="Q24">_xlfn.LET(_xlpm.d,Q$2:Q$19,_xlpm.a,$C$2:$C$19=$C24,_xlpm.b,$D$2:$D$19=$D24,MAX(_xlfn._xlws.FILTER(_xlpm.d,_xlpm.a*_xlpm.b)))</f>
        <v>0.88</v>
      </c>
      <c r="R24" s="1" cm="1">
        <f t="array" ref="R24">_xlfn.LET(_xlpm.d,R$2:R$19,_xlpm.a,$C$2:$C$19=$C24,_xlpm.b,$D$2:$D$19=$D24,MAX(_xlfn._xlws.FILTER(_xlpm.d,_xlpm.a*_xlpm.b)))</f>
        <v>0.85</v>
      </c>
      <c r="S24" s="1" cm="1">
        <f t="array" ref="S24">_xlfn.LET(_xlpm.d,S$2:S$19,_xlpm.a,$C$2:$C$19=$C24,_xlpm.b,$D$2:$D$19=$D24,MAX(_xlfn._xlws.FILTER(_xlpm.d,_xlpm.a*_xlpm.b)))</f>
        <v>0.82</v>
      </c>
      <c r="T24" s="1" cm="1">
        <f t="array" ref="T24">_xlfn.LET(_xlpm.d,T$2:T$19,_xlpm.a,$C$2:$C$19=$C24,_xlpm.b,$D$2:$D$19=$D24,MAX(_xlfn._xlws.FILTER(_xlpm.d,_xlpm.a*_xlpm.b)))</f>
        <v>0.88</v>
      </c>
    </row>
    <row r="25" spans="1:20" ht="25" customHeight="1">
      <c r="B25">
        <v>2</v>
      </c>
      <c r="C25" t="s">
        <v>33</v>
      </c>
      <c r="D25" t="b">
        <v>1</v>
      </c>
      <c r="E25">
        <v>0</v>
      </c>
      <c r="F25" t="s">
        <v>23</v>
      </c>
      <c r="H25" s="1" cm="1">
        <f t="array" ref="H25">_xlfn.LET(_xlpm.d,H$2:H$19,_xlpm.a,$C$2:$C$19=$C25,_xlpm.b,$D$2:$D$19=$D25,MAX(_xlfn._xlws.FILTER(_xlpm.d,_xlpm.a*_xlpm.b)))</f>
        <v>0.94</v>
      </c>
      <c r="I25" s="1" cm="1">
        <f t="array" ref="I25">_xlfn.LET(_xlpm.d,I$2:I$19,_xlpm.a,$C$2:$C$19=$C25,_xlpm.b,$D$2:$D$19=$D25,MAX(_xlfn._xlws.FILTER(_xlpm.d,_xlpm.a*_xlpm.b)))</f>
        <v>0.92</v>
      </c>
      <c r="J25" s="1" cm="1">
        <f t="array" ref="J25">_xlfn.LET(_xlpm.d,J$2:J$19,_xlpm.a,$C$2:$C$19=$C25,_xlpm.b,$D$2:$D$19=$D25,MAX(_xlfn._xlws.FILTER(_xlpm.d,_xlpm.a*_xlpm.b)))</f>
        <v>0.91</v>
      </c>
      <c r="K25" s="1" cm="1">
        <f t="array" ref="K25">_xlfn.LET(_xlpm.d,K$2:K$19,_xlpm.a,$C$2:$C$19=$C25,_xlpm.b,$D$2:$D$19=$D25,MAX(_xlfn._xlws.FILTER(_xlpm.d,_xlpm.a*_xlpm.b)))</f>
        <v>0.87</v>
      </c>
      <c r="L25" s="1" cm="1">
        <f t="array" ref="L25">_xlfn.LET(_xlpm.d,L$2:L$19,_xlpm.a,$C$2:$C$19=$C25,_xlpm.b,$D$2:$D$19=$D25,MAX(_xlfn._xlws.FILTER(_xlpm.d,_xlpm.a*_xlpm.b)))</f>
        <v>0.88</v>
      </c>
      <c r="M25" s="1" cm="1">
        <f t="array" ref="M25">_xlfn.LET(_xlpm.d,M$2:M$19,_xlpm.a,$C$2:$C$19=$C25,_xlpm.b,$D$2:$D$19=$D25,MAX(_xlfn._xlws.FILTER(_xlpm.d,_xlpm.a*_xlpm.b)))</f>
        <v>0.89</v>
      </c>
      <c r="N25" s="1" cm="1">
        <f t="array" ref="N25">_xlfn.LET(_xlpm.d,N$2:N$19,_xlpm.a,$C$2:$C$19=$C25,_xlpm.b,$D$2:$D$19=$D25,MAX(_xlfn._xlws.FILTER(_xlpm.d,_xlpm.a*_xlpm.b)))</f>
        <v>0.93</v>
      </c>
      <c r="O25" s="1" cm="1">
        <f t="array" ref="O25">_xlfn.LET(_xlpm.d,O$2:O$19,_xlpm.a,$C$2:$C$19=$C25,_xlpm.b,$D$2:$D$19=$D25,MAX(_xlfn._xlws.FILTER(_xlpm.d,_xlpm.a*_xlpm.b)))</f>
        <v>0.95</v>
      </c>
      <c r="P25" s="1" cm="1">
        <f t="array" ref="P25">_xlfn.LET(_xlpm.d,P$2:P$19,_xlpm.a,$C$2:$C$19=$C25,_xlpm.b,$D$2:$D$19=$D25,MAX(_xlfn._xlws.FILTER(_xlpm.d,_xlpm.a*_xlpm.b)))</f>
        <v>0.91</v>
      </c>
      <c r="Q25" s="1" cm="1">
        <f t="array" ref="Q25">_xlfn.LET(_xlpm.d,Q$2:Q$19,_xlpm.a,$C$2:$C$19=$C25,_xlpm.b,$D$2:$D$19=$D25,MAX(_xlfn._xlws.FILTER(_xlpm.d,_xlpm.a*_xlpm.b)))</f>
        <v>0.86</v>
      </c>
      <c r="R25" s="1" cm="1">
        <f t="array" ref="R25">_xlfn.LET(_xlpm.d,R$2:R$19,_xlpm.a,$C$2:$C$19=$C25,_xlpm.b,$D$2:$D$19=$D25,MAX(_xlfn._xlws.FILTER(_xlpm.d,_xlpm.a*_xlpm.b)))</f>
        <v>0.84</v>
      </c>
      <c r="S25" s="1" cm="1">
        <f t="array" ref="S25">_xlfn.LET(_xlpm.d,S$2:S$19,_xlpm.a,$C$2:$C$19=$C25,_xlpm.b,$D$2:$D$19=$D25,MAX(_xlfn._xlws.FILTER(_xlpm.d,_xlpm.a*_xlpm.b)))</f>
        <v>0.8</v>
      </c>
      <c r="T25" s="1" cm="1">
        <f t="array" ref="T25">_xlfn.LET(_xlpm.d,T$2:T$19,_xlpm.a,$C$2:$C$19=$C25,_xlpm.b,$D$2:$D$19=$D25,MAX(_xlfn._xlws.FILTER(_xlpm.d,_xlpm.a*_xlpm.b)))</f>
        <v>0.95</v>
      </c>
    </row>
    <row r="26" spans="1:20" ht="25" customHeight="1">
      <c r="B26">
        <v>2</v>
      </c>
      <c r="C26" t="s">
        <v>33</v>
      </c>
      <c r="D26" t="b">
        <v>0</v>
      </c>
      <c r="E26">
        <v>0</v>
      </c>
      <c r="F26" t="s">
        <v>23</v>
      </c>
      <c r="H26" s="1" cm="1">
        <f t="array" ref="H26">_xlfn.LET(_xlpm.d,H$2:H$19,_xlpm.a,$C$2:$C$19=$C26,_xlpm.b,$D$2:$D$19=$D26,MAX(_xlfn._xlws.FILTER(_xlpm.d,_xlpm.a*_xlpm.b)))</f>
        <v>0.75</v>
      </c>
      <c r="I26" s="1" cm="1">
        <f t="array" ref="I26">_xlfn.LET(_xlpm.d,I$2:I$19,_xlpm.a,$C$2:$C$19=$C26,_xlpm.b,$D$2:$D$19=$D26,MAX(_xlfn._xlws.FILTER(_xlpm.d,_xlpm.a*_xlpm.b)))</f>
        <v>0.7</v>
      </c>
      <c r="J26" s="1" cm="1">
        <f t="array" ref="J26">_xlfn.LET(_xlpm.d,J$2:J$19,_xlpm.a,$C$2:$C$19=$C26,_xlpm.b,$D$2:$D$19=$D26,MAX(_xlfn._xlws.FILTER(_xlpm.d,_xlpm.a*_xlpm.b)))</f>
        <v>0.69</v>
      </c>
      <c r="K26" s="1" cm="1">
        <f t="array" ref="K26">_xlfn.LET(_xlpm.d,K$2:K$19,_xlpm.a,$C$2:$C$19=$C26,_xlpm.b,$D$2:$D$19=$D26,MAX(_xlfn._xlws.FILTER(_xlpm.d,_xlpm.a*_xlpm.b)))</f>
        <v>0.68</v>
      </c>
      <c r="L26" s="1" cm="1">
        <f t="array" ref="L26">_xlfn.LET(_xlpm.d,L$2:L$19,_xlpm.a,$C$2:$C$19=$C26,_xlpm.b,$D$2:$D$19=$D26,MAX(_xlfn._xlws.FILTER(_xlpm.d,_xlpm.a*_xlpm.b)))</f>
        <v>0.69</v>
      </c>
      <c r="M26" s="1" cm="1">
        <f t="array" ref="M26">_xlfn.LET(_xlpm.d,M$2:M$19,_xlpm.a,$C$2:$C$19=$C26,_xlpm.b,$D$2:$D$19=$D26,MAX(_xlfn._xlws.FILTER(_xlpm.d,_xlpm.a*_xlpm.b)))</f>
        <v>0.67</v>
      </c>
      <c r="N26" s="1" cm="1">
        <f t="array" ref="N26">_xlfn.LET(_xlpm.d,N$2:N$19,_xlpm.a,$C$2:$C$19=$C26,_xlpm.b,$D$2:$D$19=$D26,MAX(_xlfn._xlws.FILTER(_xlpm.d,_xlpm.a*_xlpm.b)))</f>
        <v>0.67</v>
      </c>
      <c r="O26" s="1" cm="1">
        <f t="array" ref="O26">_xlfn.LET(_xlpm.d,O$2:O$19,_xlpm.a,$C$2:$C$19=$C26,_xlpm.b,$D$2:$D$19=$D26,MAX(_xlfn._xlws.FILTER(_xlpm.d,_xlpm.a*_xlpm.b)))</f>
        <v>0.75</v>
      </c>
      <c r="P26" s="1" cm="1">
        <f t="array" ref="P26">_xlfn.LET(_xlpm.d,P$2:P$19,_xlpm.a,$C$2:$C$19=$C26,_xlpm.b,$D$2:$D$19=$D26,MAX(_xlfn._xlws.FILTER(_xlpm.d,_xlpm.a*_xlpm.b)))</f>
        <v>0.71</v>
      </c>
      <c r="Q26" s="1" cm="1">
        <f t="array" ref="Q26">_xlfn.LET(_xlpm.d,Q$2:Q$19,_xlpm.a,$C$2:$C$19=$C26,_xlpm.b,$D$2:$D$19=$D26,MAX(_xlfn._xlws.FILTER(_xlpm.d,_xlpm.a*_xlpm.b)))</f>
        <v>0.67</v>
      </c>
      <c r="R26" s="1" cm="1">
        <f t="array" ref="R26">_xlfn.LET(_xlpm.d,R$2:R$19,_xlpm.a,$C$2:$C$19=$C26,_xlpm.b,$D$2:$D$19=$D26,MAX(_xlfn._xlws.FILTER(_xlpm.d,_xlpm.a*_xlpm.b)))</f>
        <v>0.69</v>
      </c>
      <c r="S26" s="1" cm="1">
        <f t="array" ref="S26">_xlfn.LET(_xlpm.d,S$2:S$19,_xlpm.a,$C$2:$C$19=$C26,_xlpm.b,$D$2:$D$19=$D26,MAX(_xlfn._xlws.FILTER(_xlpm.d,_xlpm.a*_xlpm.b)))</f>
        <v>0.67</v>
      </c>
      <c r="T26" s="1" cm="1">
        <f t="array" ref="T26">_xlfn.LET(_xlpm.d,T$2:T$19,_xlpm.a,$C$2:$C$19=$C26,_xlpm.b,$D$2:$D$19=$D26,MAX(_xlfn._xlws.FILTER(_xlpm.d,_xlpm.a*_xlpm.b)))</f>
        <v>0.75</v>
      </c>
    </row>
    <row r="27" spans="1:20" ht="25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H27" s="1" cm="1">
        <f t="array" ref="H27">_xlfn.LET(_xlpm.d,H$2:H$19,_xlpm.a,$C$2:$C$19=$C27,_xlpm.b,$D$2:$D$19=$D27,MAX(_xlfn._xlws.FILTER(_xlpm.d,_xlpm.a*_xlpm.b)))</f>
        <v>0.45</v>
      </c>
      <c r="I27" s="1" cm="1">
        <f t="array" ref="I27">_xlfn.LET(_xlpm.d,I$2:I$19,_xlpm.a,$C$2:$C$19=$C27,_xlpm.b,$D$2:$D$19=$D27,MAX(_xlfn._xlws.FILTER(_xlpm.d,_xlpm.a*_xlpm.b)))</f>
        <v>0.56000000000000005</v>
      </c>
      <c r="J27" s="1" cm="1">
        <f t="array" ref="J27">_xlfn.LET(_xlpm.d,J$2:J$19,_xlpm.a,$C$2:$C$19=$C27,_xlpm.b,$D$2:$D$19=$D27,MAX(_xlfn._xlws.FILTER(_xlpm.d,_xlpm.a*_xlpm.b)))</f>
        <v>0.47</v>
      </c>
      <c r="K27" s="1" cm="1">
        <f t="array" ref="K27">_xlfn.LET(_xlpm.d,K$2:K$19,_xlpm.a,$C$2:$C$19=$C27,_xlpm.b,$D$2:$D$19=$D27,MAX(_xlfn._xlws.FILTER(_xlpm.d,_xlpm.a*_xlpm.b)))</f>
        <v>0.47</v>
      </c>
      <c r="L27" s="1" cm="1">
        <f t="array" ref="L27">_xlfn.LET(_xlpm.d,L$2:L$19,_xlpm.a,$C$2:$C$19=$C27,_xlpm.b,$D$2:$D$19=$D27,MAX(_xlfn._xlws.FILTER(_xlpm.d,_xlpm.a*_xlpm.b)))</f>
        <v>0.5</v>
      </c>
      <c r="M27" s="1" cm="1">
        <f t="array" ref="M27">_xlfn.LET(_xlpm.d,M$2:M$19,_xlpm.a,$C$2:$C$19=$C27,_xlpm.b,$D$2:$D$19=$D27,MAX(_xlfn._xlws.FILTER(_xlpm.d,_xlpm.a*_xlpm.b)))</f>
        <v>0.5</v>
      </c>
      <c r="N27" s="1" cm="1">
        <f t="array" ref="N27">_xlfn.LET(_xlpm.d,N$2:N$19,_xlpm.a,$C$2:$C$19=$C27,_xlpm.b,$D$2:$D$19=$D27,MAX(_xlfn._xlws.FILTER(_xlpm.d,_xlpm.a*_xlpm.b)))</f>
        <v>0.47</v>
      </c>
      <c r="O27" s="1" cm="1">
        <f t="array" ref="O27">_xlfn.LET(_xlpm.d,O$2:O$19,_xlpm.a,$C$2:$C$19=$C27,_xlpm.b,$D$2:$D$19=$D27,MAX(_xlfn._xlws.FILTER(_xlpm.d,_xlpm.a*_xlpm.b)))</f>
        <v>0.45</v>
      </c>
      <c r="P27" s="1" cm="1">
        <f t="array" ref="P27">_xlfn.LET(_xlpm.d,P$2:P$19,_xlpm.a,$C$2:$C$19=$C27,_xlpm.b,$D$2:$D$19=$D27,MAX(_xlfn._xlws.FILTER(_xlpm.d,_xlpm.a*_xlpm.b)))</f>
        <v>0.48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0.43</v>
      </c>
      <c r="S27" s="1" cm="1">
        <f t="array" ref="S27">_xlfn.LET(_xlpm.d,S$2:S$19,_xlpm.a,$C$2:$C$19=$C27,_xlpm.b,$D$2:$D$19=$D27,MAX(_xlfn._xlws.FILTER(_xlpm.d,_xlpm.a*_xlpm.b)))</f>
        <v>0.45</v>
      </c>
      <c r="T27" s="1" cm="1">
        <f t="array" ref="T27">_xlfn.LET(_xlpm.d,T$2:T$19,_xlpm.a,$C$2:$C$19=$C27,_xlpm.b,$D$2:$D$19=$D27,MAX(_xlfn._xlws.FILTER(_xlpm.d,_xlpm.a*_xlpm.b)))</f>
        <v>0.56000000000000005</v>
      </c>
    </row>
    <row r="28" spans="1:20" ht="25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H28" s="1" cm="1">
        <f t="array" ref="H28">_xlfn.LET(_xlpm.d,H$2:H$19,_xlpm.a,$C$2:$C$19=$C28,_xlpm.b,$D$2:$D$19=$D28,MAX(_xlfn._xlws.FILTER(_xlpm.d,_xlpm.a*_xlpm.b)))</f>
        <v>0.37</v>
      </c>
      <c r="I28" s="1" cm="1">
        <f t="array" ref="I28">_xlfn.LET(_xlpm.d,I$2:I$19,_xlpm.a,$C$2:$C$19=$C28,_xlpm.b,$D$2:$D$19=$D28,MAX(_xlfn._xlws.FILTER(_xlpm.d,_xlpm.a*_xlpm.b)))</f>
        <v>0.46</v>
      </c>
      <c r="J28" s="1" cm="1">
        <f t="array" ref="J28">_xlfn.LET(_xlpm.d,J$2:J$19,_xlpm.a,$C$2:$C$19=$C28,_xlpm.b,$D$2:$D$19=$D28,MAX(_xlfn._xlws.FILTER(_xlpm.d,_xlpm.a*_xlpm.b)))</f>
        <v>0.44</v>
      </c>
      <c r="K28" s="1" cm="1">
        <f t="array" ref="K28">_xlfn.LET(_xlpm.d,K$2:K$19,_xlpm.a,$C$2:$C$19=$C28,_xlpm.b,$D$2:$D$19=$D28,MAX(_xlfn._xlws.FILTER(_xlpm.d,_xlpm.a*_xlpm.b)))</f>
        <v>0.44</v>
      </c>
      <c r="L28" s="1" cm="1">
        <f t="array" ref="L28">_xlfn.LET(_xlpm.d,L$2:L$19,_xlpm.a,$C$2:$C$19=$C28,_xlpm.b,$D$2:$D$19=$D28,MAX(_xlfn._xlws.FILTER(_xlpm.d,_xlpm.a*_xlpm.b)))</f>
        <v>0.41</v>
      </c>
      <c r="M28" s="1" cm="1">
        <f t="array" ref="M28">_xlfn.LET(_xlpm.d,M$2:M$19,_xlpm.a,$C$2:$C$19=$C28,_xlpm.b,$D$2:$D$19=$D28,MAX(_xlfn._xlws.FILTER(_xlpm.d,_xlpm.a*_xlpm.b)))</f>
        <v>0.44</v>
      </c>
      <c r="N28" s="1" cm="1">
        <f t="array" ref="N28">_xlfn.LET(_xlpm.d,N$2:N$19,_xlpm.a,$C$2:$C$19=$C28,_xlpm.b,$D$2:$D$19=$D28,MAX(_xlfn._xlws.FILTER(_xlpm.d,_xlpm.a*_xlpm.b)))</f>
        <v>0.45</v>
      </c>
      <c r="O28" s="1" cm="1">
        <f t="array" ref="O28">_xlfn.LET(_xlpm.d,O$2:O$19,_xlpm.a,$C$2:$C$19=$C28,_xlpm.b,$D$2:$D$19=$D28,MAX(_xlfn._xlws.FILTER(_xlpm.d,_xlpm.a*_xlpm.b)))</f>
        <v>0.39</v>
      </c>
      <c r="P28" s="1" cm="1">
        <f t="array" ref="P28">_xlfn.LET(_xlpm.d,P$2:P$19,_xlpm.a,$C$2:$C$19=$C28,_xlpm.b,$D$2:$D$19=$D28,MAX(_xlfn._xlws.FILTER(_xlpm.d,_xlpm.a*_xlpm.b)))</f>
        <v>0.42</v>
      </c>
      <c r="Q28" s="1" cm="1">
        <f t="array" ref="Q28">_xlfn.LET(_xlpm.d,Q$2:Q$19,_xlpm.a,$C$2:$C$19=$C28,_xlpm.b,$D$2:$D$19=$D28,MAX(_xlfn._xlws.FILTER(_xlpm.d,_xlpm.a*_xlpm.b)))</f>
        <v>0.39</v>
      </c>
      <c r="R28" s="1" cm="1">
        <f t="array" ref="R28">_xlfn.LET(_xlpm.d,R$2:R$19,_xlpm.a,$C$2:$C$19=$C28,_xlpm.b,$D$2:$D$19=$D28,MAX(_xlfn._xlws.FILTER(_xlpm.d,_xlpm.a*_xlpm.b)))</f>
        <v>0.42</v>
      </c>
      <c r="S28" s="1" cm="1">
        <f t="array" ref="S28">_xlfn.LET(_xlpm.d,S$2:S$19,_xlpm.a,$C$2:$C$19=$C28,_xlpm.b,$D$2:$D$19=$D28,MAX(_xlfn._xlws.FILTER(_xlpm.d,_xlpm.a*_xlpm.b)))</f>
        <v>0.37</v>
      </c>
      <c r="T28" s="1" cm="1">
        <f t="array" ref="T28">_xlfn.LET(_xlpm.d,T$2:T$19,_xlpm.a,$C$2:$C$19=$C28,_xlpm.b,$D$2:$D$19=$D28,MAX(_xlfn._xlws.FILTER(_xlpm.d,_xlpm.a*_xlpm.b)))</f>
        <v>0.46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BF44-37AB-6C4D-97FC-99218B7C5412}">
  <sheetPr codeName="Sheet7"/>
  <dimension ref="A1:S28"/>
  <sheetViews>
    <sheetView workbookViewId="0"/>
  </sheetViews>
  <sheetFormatPr baseColWidth="10" defaultRowHeight="25" customHeight="1"/>
  <cols>
    <col min="2" max="6" width="7.25" customWidth="1"/>
    <col min="7" max="19" width="7.75" customWidth="1"/>
  </cols>
  <sheetData>
    <row r="1" spans="1:19" ht="25" customHeight="1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23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0.83</v>
      </c>
      <c r="H2" s="1">
        <v>0.84</v>
      </c>
      <c r="I2" s="1">
        <v>0.84</v>
      </c>
      <c r="J2" s="1">
        <v>0.79</v>
      </c>
      <c r="K2" s="1">
        <v>0.75</v>
      </c>
      <c r="L2" s="1">
        <v>0.77</v>
      </c>
      <c r="M2" s="1">
        <v>0.87</v>
      </c>
      <c r="N2" s="1">
        <v>0.85</v>
      </c>
      <c r="O2" s="1">
        <v>0.79</v>
      </c>
      <c r="P2" s="1">
        <v>0.86</v>
      </c>
      <c r="Q2" s="1">
        <v>0.8</v>
      </c>
      <c r="R2" s="1">
        <v>0.75</v>
      </c>
      <c r="S2" s="1">
        <f t="shared" ref="S2:S19" si="0">MAX($G2:$R2)</f>
        <v>0.87</v>
      </c>
    </row>
    <row r="3" spans="1:19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19</v>
      </c>
      <c r="G3" s="1">
        <v>0.85</v>
      </c>
      <c r="H3" s="1">
        <v>0.84</v>
      </c>
      <c r="I3" s="1">
        <v>0.84</v>
      </c>
      <c r="J3" s="1">
        <v>0.77</v>
      </c>
      <c r="K3" s="1">
        <v>0.81</v>
      </c>
      <c r="L3" s="1">
        <v>0.88</v>
      </c>
      <c r="M3" s="1">
        <v>0.85</v>
      </c>
      <c r="N3" s="1">
        <v>0.84</v>
      </c>
      <c r="O3" s="1">
        <v>0.89</v>
      </c>
      <c r="P3" s="1">
        <v>0.88</v>
      </c>
      <c r="Q3" s="1">
        <v>0.84</v>
      </c>
      <c r="R3" s="1">
        <v>0.8</v>
      </c>
      <c r="S3" s="1">
        <f t="shared" si="0"/>
        <v>0.89</v>
      </c>
    </row>
    <row r="4" spans="1:19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18</v>
      </c>
      <c r="G4" s="1">
        <v>0.8</v>
      </c>
      <c r="H4" s="1">
        <v>0.8</v>
      </c>
      <c r="I4" s="1">
        <v>0.79</v>
      </c>
      <c r="J4" s="1">
        <v>0.77</v>
      </c>
      <c r="K4" s="1">
        <v>0.8</v>
      </c>
      <c r="L4" s="1">
        <v>0.81</v>
      </c>
      <c r="M4" s="1">
        <v>0.81</v>
      </c>
      <c r="N4" s="1">
        <v>0.85</v>
      </c>
      <c r="O4" s="1">
        <v>0.8</v>
      </c>
      <c r="P4" s="1">
        <v>0.88</v>
      </c>
      <c r="Q4" s="1">
        <v>0.78</v>
      </c>
      <c r="R4" s="1">
        <v>0.8</v>
      </c>
      <c r="S4" s="1">
        <f t="shared" si="0"/>
        <v>0.88</v>
      </c>
    </row>
    <row r="5" spans="1:19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1">
        <v>0.78</v>
      </c>
      <c r="H5" s="1">
        <v>0.78</v>
      </c>
      <c r="I5" s="1">
        <v>0.81</v>
      </c>
      <c r="J5" s="1">
        <v>0.77</v>
      </c>
      <c r="K5" s="1">
        <v>0.76</v>
      </c>
      <c r="L5" s="1">
        <v>0.77</v>
      </c>
      <c r="M5" s="1">
        <v>0.75</v>
      </c>
      <c r="N5" s="1">
        <v>0.84</v>
      </c>
      <c r="O5" s="1">
        <v>0.77</v>
      </c>
      <c r="P5" s="1">
        <v>0.84</v>
      </c>
      <c r="Q5" s="1">
        <v>0.8</v>
      </c>
      <c r="R5" s="1">
        <v>0.76</v>
      </c>
      <c r="S5" s="1">
        <f t="shared" si="0"/>
        <v>0.84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19</v>
      </c>
      <c r="G6" s="1">
        <v>0.79</v>
      </c>
      <c r="H6" s="1">
        <v>0.78</v>
      </c>
      <c r="I6" s="1">
        <v>0.78</v>
      </c>
      <c r="J6" s="1">
        <v>0.76</v>
      </c>
      <c r="K6" s="1">
        <v>0.78</v>
      </c>
      <c r="L6" s="1">
        <v>0.84</v>
      </c>
      <c r="M6" s="1">
        <v>0.77</v>
      </c>
      <c r="N6" s="1">
        <v>0.8</v>
      </c>
      <c r="O6" s="1">
        <v>0.81</v>
      </c>
      <c r="P6" s="1">
        <v>0.85</v>
      </c>
      <c r="Q6" s="1">
        <v>0.82</v>
      </c>
      <c r="R6" s="1">
        <v>0.81</v>
      </c>
      <c r="S6" s="1">
        <f t="shared" si="0"/>
        <v>0.85</v>
      </c>
    </row>
    <row r="7" spans="1:19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18</v>
      </c>
      <c r="G7" s="1">
        <v>0.73</v>
      </c>
      <c r="H7" s="1">
        <v>0.77</v>
      </c>
      <c r="I7" s="1">
        <v>0.8</v>
      </c>
      <c r="J7" s="1">
        <v>0.74</v>
      </c>
      <c r="K7" s="1">
        <v>0.81</v>
      </c>
      <c r="L7" s="1">
        <v>0.82</v>
      </c>
      <c r="M7" s="1">
        <v>0.77</v>
      </c>
      <c r="N7" s="1">
        <v>0.77</v>
      </c>
      <c r="O7" s="1">
        <v>0.79</v>
      </c>
      <c r="P7" s="1">
        <v>0.88</v>
      </c>
      <c r="Q7" s="1">
        <v>0.73</v>
      </c>
      <c r="R7" s="1">
        <v>0.79</v>
      </c>
      <c r="S7" s="1">
        <f t="shared" si="0"/>
        <v>0.88</v>
      </c>
    </row>
    <row r="8" spans="1:19" ht="25" customHeight="1">
      <c r="A8" t="s">
        <v>16</v>
      </c>
      <c r="B8">
        <v>2</v>
      </c>
      <c r="C8" t="s">
        <v>33</v>
      </c>
      <c r="D8" t="b">
        <v>1</v>
      </c>
      <c r="E8">
        <v>1</v>
      </c>
      <c r="F8" t="s">
        <v>20</v>
      </c>
      <c r="G8" s="1">
        <v>0.89</v>
      </c>
      <c r="H8" s="1">
        <v>0.84</v>
      </c>
      <c r="I8" s="1">
        <v>0.86</v>
      </c>
      <c r="J8" s="1">
        <v>0.78</v>
      </c>
      <c r="K8" s="1">
        <v>0.68</v>
      </c>
      <c r="L8" s="1">
        <v>0.88</v>
      </c>
      <c r="M8" s="1">
        <v>0.83</v>
      </c>
      <c r="N8" s="1">
        <v>0.88</v>
      </c>
      <c r="O8" s="1">
        <v>0.89</v>
      </c>
      <c r="P8" s="1">
        <v>0.6</v>
      </c>
      <c r="Q8" s="1">
        <v>0.79</v>
      </c>
      <c r="R8" s="1">
        <v>0.61</v>
      </c>
      <c r="S8" s="1">
        <f t="shared" si="0"/>
        <v>0.89</v>
      </c>
    </row>
    <row r="9" spans="1:19" ht="25" customHeight="1">
      <c r="A9" t="s">
        <v>16</v>
      </c>
      <c r="B9">
        <v>2</v>
      </c>
      <c r="C9" t="s">
        <v>33</v>
      </c>
      <c r="D9" t="b">
        <v>1</v>
      </c>
      <c r="E9">
        <v>2</v>
      </c>
      <c r="F9" t="s">
        <v>19</v>
      </c>
      <c r="G9" s="1">
        <v>0.89</v>
      </c>
      <c r="H9" s="1">
        <v>0.89</v>
      </c>
      <c r="I9" s="1">
        <v>0.9</v>
      </c>
      <c r="J9" s="1">
        <v>0.92</v>
      </c>
      <c r="K9" s="1">
        <v>0.92</v>
      </c>
      <c r="L9" s="1">
        <v>0.91</v>
      </c>
      <c r="M9" s="1">
        <v>0.91</v>
      </c>
      <c r="N9" s="1">
        <v>0.88</v>
      </c>
      <c r="O9" s="1">
        <v>0.93</v>
      </c>
      <c r="P9" s="1">
        <v>0.88</v>
      </c>
      <c r="Q9" s="1">
        <v>0.94</v>
      </c>
      <c r="R9" s="1">
        <v>0.85</v>
      </c>
      <c r="S9" s="1">
        <f t="shared" si="0"/>
        <v>0.94</v>
      </c>
    </row>
    <row r="10" spans="1:19" ht="25" customHeight="1">
      <c r="A10" t="s">
        <v>16</v>
      </c>
      <c r="B10">
        <v>2</v>
      </c>
      <c r="C10" t="s">
        <v>33</v>
      </c>
      <c r="D10" t="b">
        <v>1</v>
      </c>
      <c r="E10">
        <v>3</v>
      </c>
      <c r="F10" t="s">
        <v>18</v>
      </c>
      <c r="G10" s="1">
        <v>0.86</v>
      </c>
      <c r="H10" s="1">
        <v>0.89</v>
      </c>
      <c r="I10" s="1">
        <v>0.9</v>
      </c>
      <c r="J10" s="1">
        <v>0.88</v>
      </c>
      <c r="K10" s="1">
        <v>0.85</v>
      </c>
      <c r="L10" s="1">
        <v>0.88</v>
      </c>
      <c r="M10" s="1">
        <v>0.93</v>
      </c>
      <c r="N10" s="1">
        <v>0.88</v>
      </c>
      <c r="O10" s="1">
        <v>0.93</v>
      </c>
      <c r="P10" s="1">
        <v>0.88</v>
      </c>
      <c r="Q10" s="1">
        <v>0.86</v>
      </c>
      <c r="R10" s="1">
        <v>0.85</v>
      </c>
      <c r="S10" s="1">
        <f t="shared" si="0"/>
        <v>0.93</v>
      </c>
    </row>
    <row r="11" spans="1:19" ht="25" customHeight="1">
      <c r="A11" t="s">
        <v>16</v>
      </c>
      <c r="B11">
        <v>2</v>
      </c>
      <c r="C11" t="s">
        <v>33</v>
      </c>
      <c r="D11" t="b">
        <v>0</v>
      </c>
      <c r="E11">
        <v>1</v>
      </c>
      <c r="F11" t="s">
        <v>20</v>
      </c>
      <c r="G11" s="1">
        <v>0.55000000000000004</v>
      </c>
      <c r="H11" s="1">
        <v>0.63</v>
      </c>
      <c r="I11" s="1">
        <v>0.56999999999999995</v>
      </c>
      <c r="J11" s="1">
        <v>0.62</v>
      </c>
      <c r="K11" s="1">
        <v>0.56000000000000005</v>
      </c>
      <c r="L11" s="1">
        <v>0.63</v>
      </c>
      <c r="M11" s="1">
        <v>0.56999999999999995</v>
      </c>
      <c r="N11" s="1">
        <v>0.61</v>
      </c>
      <c r="O11" s="1">
        <v>0.63</v>
      </c>
      <c r="P11" s="1">
        <v>0.53</v>
      </c>
      <c r="Q11" s="1">
        <v>0.57999999999999996</v>
      </c>
      <c r="R11" s="1">
        <v>0.59</v>
      </c>
      <c r="S11" s="1">
        <f t="shared" si="0"/>
        <v>0.63</v>
      </c>
    </row>
    <row r="12" spans="1:19" ht="25" customHeight="1">
      <c r="A12" t="s">
        <v>16</v>
      </c>
      <c r="B12">
        <v>2</v>
      </c>
      <c r="C12" t="s">
        <v>33</v>
      </c>
      <c r="D12" t="b">
        <v>0</v>
      </c>
      <c r="E12">
        <v>2</v>
      </c>
      <c r="F12" t="s">
        <v>19</v>
      </c>
      <c r="G12" s="1">
        <v>0.62</v>
      </c>
      <c r="H12" s="1">
        <v>0.7</v>
      </c>
      <c r="I12" s="1">
        <v>0.68</v>
      </c>
      <c r="J12" s="1">
        <v>0.66</v>
      </c>
      <c r="K12" s="1">
        <v>0.66</v>
      </c>
      <c r="L12" s="1">
        <v>0.69</v>
      </c>
      <c r="M12" s="1">
        <v>0.62</v>
      </c>
      <c r="N12" s="1">
        <v>0.69</v>
      </c>
      <c r="O12" s="1">
        <v>0.68</v>
      </c>
      <c r="P12" s="1">
        <v>0.65</v>
      </c>
      <c r="Q12" s="1">
        <v>0.61</v>
      </c>
      <c r="R12" s="1">
        <v>0.63</v>
      </c>
      <c r="S12" s="1">
        <f t="shared" si="0"/>
        <v>0.7</v>
      </c>
    </row>
    <row r="13" spans="1:19" ht="25" customHeight="1">
      <c r="A13" t="s">
        <v>16</v>
      </c>
      <c r="B13">
        <v>2</v>
      </c>
      <c r="C13" t="s">
        <v>33</v>
      </c>
      <c r="D13" t="b">
        <v>0</v>
      </c>
      <c r="E13">
        <v>3</v>
      </c>
      <c r="F13" t="s">
        <v>18</v>
      </c>
      <c r="G13" s="1">
        <v>0.65</v>
      </c>
      <c r="H13" s="1">
        <v>0.64</v>
      </c>
      <c r="I13" s="1">
        <v>0.68</v>
      </c>
      <c r="J13" s="1">
        <v>0.72</v>
      </c>
      <c r="K13" s="1">
        <v>0.69</v>
      </c>
      <c r="L13" s="1">
        <v>0.69</v>
      </c>
      <c r="M13" s="1">
        <v>0.64</v>
      </c>
      <c r="N13" s="1">
        <v>0.69</v>
      </c>
      <c r="O13" s="1">
        <v>0.74</v>
      </c>
      <c r="P13" s="1">
        <v>0.68</v>
      </c>
      <c r="Q13" s="1">
        <v>0.67</v>
      </c>
      <c r="R13" s="1">
        <v>0.67</v>
      </c>
      <c r="S13" s="1">
        <f t="shared" si="0"/>
        <v>0.74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1">
        <v>0.57999999999999996</v>
      </c>
      <c r="H14" s="1">
        <v>0.48</v>
      </c>
      <c r="I14" s="1">
        <v>0.41</v>
      </c>
      <c r="J14" s="1">
        <v>0.35</v>
      </c>
      <c r="K14" s="1">
        <v>0.35</v>
      </c>
      <c r="L14" s="1">
        <v>0.38</v>
      </c>
      <c r="M14" s="1">
        <v>0.44</v>
      </c>
      <c r="N14" s="1">
        <v>0.4</v>
      </c>
      <c r="O14" s="1">
        <v>0.5</v>
      </c>
      <c r="P14" s="1">
        <v>0.47</v>
      </c>
      <c r="Q14" s="1">
        <v>0.37</v>
      </c>
      <c r="R14" s="1">
        <v>0.34</v>
      </c>
      <c r="S14" s="1">
        <f t="shared" si="0"/>
        <v>0.57999999999999996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19</v>
      </c>
      <c r="G15" s="1">
        <v>0.61</v>
      </c>
      <c r="H15" s="1">
        <v>0.62</v>
      </c>
      <c r="I15" s="1">
        <v>0.47</v>
      </c>
      <c r="J15" s="1">
        <v>0.47</v>
      </c>
      <c r="K15" s="1">
        <v>0.47</v>
      </c>
      <c r="L15" s="1">
        <v>0.44</v>
      </c>
      <c r="M15" s="1">
        <v>0.48</v>
      </c>
      <c r="N15" s="1">
        <v>0.48</v>
      </c>
      <c r="O15" s="1">
        <v>0.57999999999999996</v>
      </c>
      <c r="P15" s="1">
        <v>0.45</v>
      </c>
      <c r="Q15" s="1">
        <v>0.49</v>
      </c>
      <c r="R15" s="1">
        <v>0.42</v>
      </c>
      <c r="S15" s="1">
        <f t="shared" si="0"/>
        <v>0.62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18</v>
      </c>
      <c r="G16" s="1">
        <v>0.51</v>
      </c>
      <c r="H16" s="1">
        <v>0.47</v>
      </c>
      <c r="I16" s="1">
        <v>0.34</v>
      </c>
      <c r="J16" s="1">
        <v>0.3</v>
      </c>
      <c r="K16" s="1">
        <v>0.38</v>
      </c>
      <c r="L16" s="1">
        <v>0.41</v>
      </c>
      <c r="M16" s="1">
        <v>0.38</v>
      </c>
      <c r="N16" s="1">
        <v>0.38</v>
      </c>
      <c r="O16" s="1">
        <v>0.45</v>
      </c>
      <c r="P16" s="1">
        <v>0.34</v>
      </c>
      <c r="Q16" s="1">
        <v>0.38</v>
      </c>
      <c r="R16" s="1">
        <v>0.31</v>
      </c>
      <c r="S16" s="1">
        <f t="shared" si="0"/>
        <v>0.51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1">
        <v>0.42</v>
      </c>
      <c r="H17" s="1">
        <v>0.52</v>
      </c>
      <c r="I17" s="1">
        <v>0.35</v>
      </c>
      <c r="J17" s="1">
        <v>0.39</v>
      </c>
      <c r="K17" s="1">
        <v>0.39</v>
      </c>
      <c r="L17" s="1">
        <v>0.33</v>
      </c>
      <c r="M17" s="1">
        <v>0.26</v>
      </c>
      <c r="N17" s="1">
        <v>0.34</v>
      </c>
      <c r="O17" s="1">
        <v>0.33</v>
      </c>
      <c r="P17" s="1">
        <v>0.39</v>
      </c>
      <c r="Q17" s="1">
        <v>0.37</v>
      </c>
      <c r="R17" s="1">
        <v>0.28999999999999998</v>
      </c>
      <c r="S17" s="1">
        <f t="shared" si="0"/>
        <v>0.52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19</v>
      </c>
      <c r="G18" s="1">
        <v>0.48</v>
      </c>
      <c r="H18" s="1">
        <v>0.51</v>
      </c>
      <c r="I18" s="1">
        <v>0.39</v>
      </c>
      <c r="J18" s="1">
        <v>0.36</v>
      </c>
      <c r="K18" s="1">
        <v>0.41</v>
      </c>
      <c r="L18" s="1">
        <v>0.41</v>
      </c>
      <c r="M18" s="1">
        <v>0.38</v>
      </c>
      <c r="N18" s="1">
        <v>0.38</v>
      </c>
      <c r="O18" s="1">
        <v>0.39</v>
      </c>
      <c r="P18" s="1">
        <v>0.41</v>
      </c>
      <c r="Q18" s="1">
        <v>0.45</v>
      </c>
      <c r="R18" s="1">
        <v>0.45</v>
      </c>
      <c r="S18" s="1">
        <f t="shared" si="0"/>
        <v>0.51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18</v>
      </c>
      <c r="G19" s="1">
        <v>0.35</v>
      </c>
      <c r="H19" s="1">
        <v>0.31</v>
      </c>
      <c r="I19" s="1">
        <v>0.36</v>
      </c>
      <c r="J19" s="1">
        <v>0.34</v>
      </c>
      <c r="K19" s="1">
        <v>0.31</v>
      </c>
      <c r="L19" s="1">
        <v>0.3</v>
      </c>
      <c r="M19" s="1">
        <v>0.38</v>
      </c>
      <c r="N19" s="1">
        <v>0.33</v>
      </c>
      <c r="O19" s="1">
        <v>0.36</v>
      </c>
      <c r="P19" s="1">
        <v>0.36</v>
      </c>
      <c r="Q19" s="1">
        <v>0.39</v>
      </c>
      <c r="R19" s="1">
        <v>0.26</v>
      </c>
      <c r="S19" s="1">
        <f t="shared" si="0"/>
        <v>0.39</v>
      </c>
    </row>
    <row r="22" spans="1:19" ht="25" customHeight="1">
      <c r="B22" t="s">
        <v>24</v>
      </c>
      <c r="C22" t="s">
        <v>1</v>
      </c>
      <c r="D22" t="s">
        <v>26</v>
      </c>
      <c r="E22" t="s">
        <v>25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23</v>
      </c>
    </row>
    <row r="23" spans="1:19" ht="25" customHeight="1">
      <c r="B23">
        <v>1</v>
      </c>
      <c r="C23" t="s">
        <v>17</v>
      </c>
      <c r="D23" t="b">
        <v>1</v>
      </c>
      <c r="E23">
        <v>0</v>
      </c>
      <c r="F23" t="s">
        <v>23</v>
      </c>
      <c r="G23" s="1" cm="1">
        <f t="array" ref="G23">_xlfn.LET(_xlpm.d,G$2:G$19,_xlpm.a,$C$2:$C$19=$C23,_xlpm.b,$D$2:$D$19=$D23,MAX(_xlfn._xlws.FILTER(_xlpm.d,_xlpm.a*_xlpm.b)))</f>
        <v>0.85</v>
      </c>
      <c r="H23" s="1" cm="1">
        <f t="array" ref="H23">_xlfn.LET(_xlpm.d,H$2:H$19,_xlpm.a,$C$2:$C$19=$C23,_xlpm.b,$D$2:$D$19=$D23,MAX(_xlfn._xlws.FILTER(_xlpm.d,_xlpm.a*_xlpm.b)))</f>
        <v>0.84</v>
      </c>
      <c r="I23" s="1" cm="1">
        <f t="array" ref="I23">_xlfn.LET(_xlpm.d,I$2:I$19,_xlpm.a,$C$2:$C$19=$C23,_xlpm.b,$D$2:$D$19=$D23,MAX(_xlfn._xlws.FILTER(_xlpm.d,_xlpm.a*_xlpm.b)))</f>
        <v>0.84</v>
      </c>
      <c r="J23" s="1" cm="1">
        <f t="array" ref="J23">_xlfn.LET(_xlpm.d,J$2:J$19,_xlpm.a,$C$2:$C$19=$C23,_xlpm.b,$D$2:$D$19=$D23,MAX(_xlfn._xlws.FILTER(_xlpm.d,_xlpm.a*_xlpm.b)))</f>
        <v>0.79</v>
      </c>
      <c r="K23" s="1" cm="1">
        <f t="array" ref="K23">_xlfn.LET(_xlpm.d,K$2:K$19,_xlpm.a,$C$2:$C$19=$C23,_xlpm.b,$D$2:$D$19=$D23,MAX(_xlfn._xlws.FILTER(_xlpm.d,_xlpm.a*_xlpm.b)))</f>
        <v>0.81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0.87</v>
      </c>
      <c r="N23" s="1" cm="1">
        <f t="array" ref="N23">_xlfn.LET(_xlpm.d,N$2:N$19,_xlpm.a,$C$2:$C$19=$C23,_xlpm.b,$D$2:$D$19=$D23,MAX(_xlfn._xlws.FILTER(_xlpm.d,_xlpm.a*_xlpm.b)))</f>
        <v>0.85</v>
      </c>
      <c r="O23" s="1" cm="1">
        <f t="array" ref="O23">_xlfn.LET(_xlpm.d,O$2:O$19,_xlpm.a,$C$2:$C$19=$C23,_xlpm.b,$D$2:$D$19=$D23,MAX(_xlfn._xlws.FILTER(_xlpm.d,_xlpm.a*_xlpm.b)))</f>
        <v>0.89</v>
      </c>
      <c r="P23" s="1" cm="1">
        <f t="array" ref="P23">_xlfn.LET(_xlpm.d,P$2:P$19,_xlpm.a,$C$2:$C$19=$C23,_xlpm.b,$D$2:$D$19=$D23,MAX(_xlfn._xlws.FILTER(_xlpm.d,_xlpm.a*_xlpm.b)))</f>
        <v>0.88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</v>
      </c>
      <c r="S23" s="1" cm="1">
        <f t="array" ref="S23">_xlfn.LET(_xlpm.d,S$2:S$19,_xlpm.a,$C$2:$C$19=$C23,_xlpm.b,$D$2:$D$19=$D23,MAX(_xlfn._xlws.FILTER(_xlpm.d,_xlpm.a*_xlpm.b)))</f>
        <v>0.89</v>
      </c>
    </row>
    <row r="24" spans="1:19" ht="25" customHeight="1">
      <c r="B24">
        <v>1</v>
      </c>
      <c r="C24" t="s">
        <v>17</v>
      </c>
      <c r="D24" t="b">
        <v>0</v>
      </c>
      <c r="E24">
        <v>0</v>
      </c>
      <c r="F24" t="s">
        <v>23</v>
      </c>
      <c r="G24" s="1" cm="1">
        <f t="array" ref="G24">_xlfn.LET(_xlpm.d,G$2:G$19,_xlpm.a,$C$2:$C$19=$C24,_xlpm.b,$D$2:$D$19=$D24,MAX(_xlfn._xlws.FILTER(_xlpm.d,_xlpm.a*_xlpm.b)))</f>
        <v>0.79</v>
      </c>
      <c r="H24" s="1" cm="1">
        <f t="array" ref="H24">_xlfn.LET(_xlpm.d,H$2:H$19,_xlpm.a,$C$2:$C$19=$C24,_xlpm.b,$D$2:$D$19=$D24,MAX(_xlfn._xlws.FILTER(_xlpm.d,_xlpm.a*_xlpm.b)))</f>
        <v>0.78</v>
      </c>
      <c r="I24" s="1" cm="1">
        <f t="array" ref="I24">_xlfn.LET(_xlpm.d,I$2:I$19,_xlpm.a,$C$2:$C$19=$C24,_xlpm.b,$D$2:$D$19=$D24,MAX(_xlfn._xlws.FILTER(_xlpm.d,_xlpm.a*_xlpm.b)))</f>
        <v>0.81</v>
      </c>
      <c r="J24" s="1" cm="1">
        <f t="array" ref="J24">_xlfn.LET(_xlpm.d,J$2:J$19,_xlpm.a,$C$2:$C$19=$C24,_xlpm.b,$D$2:$D$19=$D24,MAX(_xlfn._xlws.FILTER(_xlpm.d,_xlpm.a*_xlpm.b)))</f>
        <v>0.77</v>
      </c>
      <c r="K24" s="1" cm="1">
        <f t="array" ref="K24">_xlfn.LET(_xlpm.d,K$2:K$19,_xlpm.a,$C$2:$C$19=$C24,_xlpm.b,$D$2:$D$19=$D24,MAX(_xlfn._xlws.FILTER(_xlpm.d,_xlpm.a*_xlpm.b)))</f>
        <v>0.81</v>
      </c>
      <c r="L24" s="1" cm="1">
        <f t="array" ref="L24">_xlfn.LET(_xlpm.d,L$2:L$19,_xlpm.a,$C$2:$C$19=$C24,_xlpm.b,$D$2:$D$19=$D24,MAX(_xlfn._xlws.FILTER(_xlpm.d,_xlpm.a*_xlpm.b)))</f>
        <v>0.84</v>
      </c>
      <c r="M24" s="1" cm="1">
        <f t="array" ref="M24">_xlfn.LET(_xlpm.d,M$2:M$19,_xlpm.a,$C$2:$C$19=$C24,_xlpm.b,$D$2:$D$19=$D24,MAX(_xlfn._xlws.FILTER(_xlpm.d,_xlpm.a*_xlpm.b)))</f>
        <v>0.77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0.81</v>
      </c>
      <c r="P24" s="1" cm="1">
        <f t="array" ref="P24">_xlfn.LET(_xlpm.d,P$2:P$19,_xlpm.a,$C$2:$C$19=$C24,_xlpm.b,$D$2:$D$19=$D24,MAX(_xlfn._xlws.FILTER(_xlpm.d,_xlpm.a*_xlpm.b)))</f>
        <v>0.88</v>
      </c>
      <c r="Q24" s="1" cm="1">
        <f t="array" ref="Q24">_xlfn.LET(_xlpm.d,Q$2:Q$19,_xlpm.a,$C$2:$C$19=$C24,_xlpm.b,$D$2:$D$19=$D24,MAX(_xlfn._xlws.FILTER(_xlpm.d,_xlpm.a*_xlpm.b)))</f>
        <v>0.82</v>
      </c>
      <c r="R24" s="1" cm="1">
        <f t="array" ref="R24">_xlfn.LET(_xlpm.d,R$2:R$19,_xlpm.a,$C$2:$C$19=$C24,_xlpm.b,$D$2:$D$19=$D24,MAX(_xlfn._xlws.FILTER(_xlpm.d,_xlpm.a*_xlpm.b)))</f>
        <v>0.81</v>
      </c>
      <c r="S24" s="1" cm="1">
        <f t="array" ref="S24">_xlfn.LET(_xlpm.d,S$2:S$19,_xlpm.a,$C$2:$C$19=$C24,_xlpm.b,$D$2:$D$19=$D24,MAX(_xlfn._xlws.FILTER(_xlpm.d,_xlpm.a*_xlpm.b)))</f>
        <v>0.88</v>
      </c>
    </row>
    <row r="25" spans="1:19" ht="25" customHeight="1">
      <c r="B25">
        <v>2</v>
      </c>
      <c r="C25" t="s">
        <v>33</v>
      </c>
      <c r="D25" t="b">
        <v>1</v>
      </c>
      <c r="E25">
        <v>0</v>
      </c>
      <c r="F25" t="s">
        <v>23</v>
      </c>
      <c r="G25" s="1" cm="1">
        <f t="array" ref="G25">_xlfn.LET(_xlpm.d,G$2:G$19,_xlpm.a,$C$2:$C$19=$C25,_xlpm.b,$D$2:$D$19=$D25,MAX(_xlfn._xlws.FILTER(_xlpm.d,_xlpm.a*_xlpm.b)))</f>
        <v>0.89</v>
      </c>
      <c r="H25" s="1" cm="1">
        <f t="array" ref="H25">_xlfn.LET(_xlpm.d,H$2:H$19,_xlpm.a,$C$2:$C$19=$C25,_xlpm.b,$D$2:$D$19=$D25,MAX(_xlfn._xlws.FILTER(_xlpm.d,_xlpm.a*_xlpm.b)))</f>
        <v>0.89</v>
      </c>
      <c r="I25" s="1" cm="1">
        <f t="array" ref="I25">_xlfn.LET(_xlpm.d,I$2:I$19,_xlpm.a,$C$2:$C$19=$C25,_xlpm.b,$D$2:$D$19=$D25,MAX(_xlfn._xlws.FILTER(_xlpm.d,_xlpm.a*_xlpm.b)))</f>
        <v>0.9</v>
      </c>
      <c r="J25" s="1" cm="1">
        <f t="array" ref="J25">_xlfn.LET(_xlpm.d,J$2:J$19,_xlpm.a,$C$2:$C$19=$C25,_xlpm.b,$D$2:$D$19=$D25,MAX(_xlfn._xlws.FILTER(_xlpm.d,_xlpm.a*_xlpm.b)))</f>
        <v>0.92</v>
      </c>
      <c r="K25" s="1" cm="1">
        <f t="array" ref="K25">_xlfn.LET(_xlpm.d,K$2:K$19,_xlpm.a,$C$2:$C$19=$C25,_xlpm.b,$D$2:$D$19=$D25,MAX(_xlfn._xlws.FILTER(_xlpm.d,_xlpm.a*_xlpm.b)))</f>
        <v>0.92</v>
      </c>
      <c r="L25" s="1" cm="1">
        <f t="array" ref="L25">_xlfn.LET(_xlpm.d,L$2:L$19,_xlpm.a,$C$2:$C$19=$C25,_xlpm.b,$D$2:$D$19=$D25,MAX(_xlfn._xlws.FILTER(_xlpm.d,_xlpm.a*_xlpm.b)))</f>
        <v>0.91</v>
      </c>
      <c r="M25" s="1" cm="1">
        <f t="array" ref="M25">_xlfn.LET(_xlpm.d,M$2:M$19,_xlpm.a,$C$2:$C$19=$C25,_xlpm.b,$D$2:$D$19=$D25,MAX(_xlfn._xlws.FILTER(_xlpm.d,_xlpm.a*_xlpm.b)))</f>
        <v>0.93</v>
      </c>
      <c r="N25" s="1" cm="1">
        <f t="array" ref="N25">_xlfn.LET(_xlpm.d,N$2:N$19,_xlpm.a,$C$2:$C$19=$C25,_xlpm.b,$D$2:$D$19=$D25,MAX(_xlfn._xlws.FILTER(_xlpm.d,_xlpm.a*_xlpm.b)))</f>
        <v>0.88</v>
      </c>
      <c r="O25" s="1" cm="1">
        <f t="array" ref="O25">_xlfn.LET(_xlpm.d,O$2:O$19,_xlpm.a,$C$2:$C$19=$C25,_xlpm.b,$D$2:$D$19=$D25,MAX(_xlfn._xlws.FILTER(_xlpm.d,_xlpm.a*_xlpm.b)))</f>
        <v>0.93</v>
      </c>
      <c r="P25" s="1" cm="1">
        <f t="array" ref="P25">_xlfn.LET(_xlpm.d,P$2:P$19,_xlpm.a,$C$2:$C$19=$C25,_xlpm.b,$D$2:$D$19=$D25,MAX(_xlfn._xlws.FILTER(_xlpm.d,_xlpm.a*_xlpm.b)))</f>
        <v>0.88</v>
      </c>
      <c r="Q25" s="1" cm="1">
        <f t="array" ref="Q25">_xlfn.LET(_xlpm.d,Q$2:Q$19,_xlpm.a,$C$2:$C$19=$C25,_xlpm.b,$D$2:$D$19=$D25,MAX(_xlfn._xlws.FILTER(_xlpm.d,_xlpm.a*_xlpm.b)))</f>
        <v>0.94</v>
      </c>
      <c r="R25" s="1" cm="1">
        <f t="array" ref="R25">_xlfn.LET(_xlpm.d,R$2:R$19,_xlpm.a,$C$2:$C$19=$C25,_xlpm.b,$D$2:$D$19=$D25,MAX(_xlfn._xlws.FILTER(_xlpm.d,_xlpm.a*_xlpm.b)))</f>
        <v>0.85</v>
      </c>
      <c r="S25" s="1" cm="1">
        <f t="array" ref="S25">_xlfn.LET(_xlpm.d,S$2:S$19,_xlpm.a,$C$2:$C$19=$C25,_xlpm.b,$D$2:$D$19=$D25,MAX(_xlfn._xlws.FILTER(_xlpm.d,_xlpm.a*_xlpm.b)))</f>
        <v>0.94</v>
      </c>
    </row>
    <row r="26" spans="1:19" ht="25" customHeight="1">
      <c r="B26">
        <v>2</v>
      </c>
      <c r="C26" t="s">
        <v>33</v>
      </c>
      <c r="D26" t="b">
        <v>0</v>
      </c>
      <c r="E26">
        <v>0</v>
      </c>
      <c r="F26" t="s">
        <v>23</v>
      </c>
      <c r="G26" s="1" cm="1">
        <f t="array" ref="G26">_xlfn.LET(_xlpm.d,G$2:G$19,_xlpm.a,$C$2:$C$19=$C26,_xlpm.b,$D$2:$D$19=$D26,MAX(_xlfn._xlws.FILTER(_xlpm.d,_xlpm.a*_xlpm.b)))</f>
        <v>0.65</v>
      </c>
      <c r="H26" s="1" cm="1">
        <f t="array" ref="H26">_xlfn.LET(_xlpm.d,H$2:H$19,_xlpm.a,$C$2:$C$19=$C26,_xlpm.b,$D$2:$D$19=$D26,MAX(_xlfn._xlws.FILTER(_xlpm.d,_xlpm.a*_xlpm.b)))</f>
        <v>0.7</v>
      </c>
      <c r="I26" s="1" cm="1">
        <f t="array" ref="I26">_xlfn.LET(_xlpm.d,I$2:I$19,_xlpm.a,$C$2:$C$19=$C26,_xlpm.b,$D$2:$D$19=$D26,MAX(_xlfn._xlws.FILTER(_xlpm.d,_xlpm.a*_xlpm.b)))</f>
        <v>0.68</v>
      </c>
      <c r="J26" s="1" cm="1">
        <f t="array" ref="J26">_xlfn.LET(_xlpm.d,J$2:J$19,_xlpm.a,$C$2:$C$19=$C26,_xlpm.b,$D$2:$D$19=$D26,MAX(_xlfn._xlws.FILTER(_xlpm.d,_xlpm.a*_xlpm.b)))</f>
        <v>0.72</v>
      </c>
      <c r="K26" s="1" cm="1">
        <f t="array" ref="K26">_xlfn.LET(_xlpm.d,K$2:K$19,_xlpm.a,$C$2:$C$19=$C26,_xlpm.b,$D$2:$D$19=$D26,MAX(_xlfn._xlws.FILTER(_xlpm.d,_xlpm.a*_xlpm.b)))</f>
        <v>0.69</v>
      </c>
      <c r="L26" s="1" cm="1">
        <f t="array" ref="L26">_xlfn.LET(_xlpm.d,L$2:L$19,_xlpm.a,$C$2:$C$19=$C26,_xlpm.b,$D$2:$D$19=$D26,MAX(_xlfn._xlws.FILTER(_xlpm.d,_xlpm.a*_xlpm.b)))</f>
        <v>0.69</v>
      </c>
      <c r="M26" s="1" cm="1">
        <f t="array" ref="M26">_xlfn.LET(_xlpm.d,M$2:M$19,_xlpm.a,$C$2:$C$19=$C26,_xlpm.b,$D$2:$D$19=$D26,MAX(_xlfn._xlws.FILTER(_xlpm.d,_xlpm.a*_xlpm.b)))</f>
        <v>0.64</v>
      </c>
      <c r="N26" s="1" cm="1">
        <f t="array" ref="N26">_xlfn.LET(_xlpm.d,N$2:N$19,_xlpm.a,$C$2:$C$19=$C26,_xlpm.b,$D$2:$D$19=$D26,MAX(_xlfn._xlws.FILTER(_xlpm.d,_xlpm.a*_xlpm.b)))</f>
        <v>0.69</v>
      </c>
      <c r="O26" s="1" cm="1">
        <f t="array" ref="O26">_xlfn.LET(_xlpm.d,O$2:O$19,_xlpm.a,$C$2:$C$19=$C26,_xlpm.b,$D$2:$D$19=$D26,MAX(_xlfn._xlws.FILTER(_xlpm.d,_xlpm.a*_xlpm.b)))</f>
        <v>0.74</v>
      </c>
      <c r="P26" s="1" cm="1">
        <f t="array" ref="P26">_xlfn.LET(_xlpm.d,P$2:P$19,_xlpm.a,$C$2:$C$19=$C26,_xlpm.b,$D$2:$D$19=$D26,MAX(_xlfn._xlws.FILTER(_xlpm.d,_xlpm.a*_xlpm.b)))</f>
        <v>0.68</v>
      </c>
      <c r="Q26" s="1" cm="1">
        <f t="array" ref="Q26">_xlfn.LET(_xlpm.d,Q$2:Q$19,_xlpm.a,$C$2:$C$19=$C26,_xlpm.b,$D$2:$D$19=$D26,MAX(_xlfn._xlws.FILTER(_xlpm.d,_xlpm.a*_xlpm.b)))</f>
        <v>0.67</v>
      </c>
      <c r="R26" s="1" cm="1">
        <f t="array" ref="R26">_xlfn.LET(_xlpm.d,R$2:R$19,_xlpm.a,$C$2:$C$19=$C26,_xlpm.b,$D$2:$D$19=$D26,MAX(_xlfn._xlws.FILTER(_xlpm.d,_xlpm.a*_xlpm.b)))</f>
        <v>0.67</v>
      </c>
      <c r="S26" s="1" cm="1">
        <f t="array" ref="S26">_xlfn.LET(_xlpm.d,S$2:S$19,_xlpm.a,$C$2:$C$19=$C26,_xlpm.b,$D$2:$D$19=$D26,MAX(_xlfn._xlws.FILTER(_xlpm.d,_xlpm.a*_xlpm.b)))</f>
        <v>0.74</v>
      </c>
    </row>
    <row r="27" spans="1:19" ht="25" customHeight="1">
      <c r="B27">
        <v>3</v>
      </c>
      <c r="C27" t="s">
        <v>22</v>
      </c>
      <c r="D27" t="b">
        <v>1</v>
      </c>
      <c r="E27">
        <v>0</v>
      </c>
      <c r="F27" t="s">
        <v>23</v>
      </c>
      <c r="G27" s="1" cm="1">
        <f t="array" ref="G27">_xlfn.LET(_xlpm.d,G$2:G$19,_xlpm.a,$C$2:$C$19=$C27,_xlpm.b,$D$2:$D$19=$D27,MAX(_xlfn._xlws.FILTER(_xlpm.d,_xlpm.a*_xlpm.b)))</f>
        <v>0.61</v>
      </c>
      <c r="H27" s="1" cm="1">
        <f t="array" ref="H27">_xlfn.LET(_xlpm.d,H$2:H$19,_xlpm.a,$C$2:$C$19=$C27,_xlpm.b,$D$2:$D$19=$D27,MAX(_xlfn._xlws.FILTER(_xlpm.d,_xlpm.a*_xlpm.b)))</f>
        <v>0.62</v>
      </c>
      <c r="I27" s="1" cm="1">
        <f t="array" ref="I27">_xlfn.LET(_xlpm.d,I$2:I$19,_xlpm.a,$C$2:$C$19=$C27,_xlpm.b,$D$2:$D$19=$D27,MAX(_xlfn._xlws.FILTER(_xlpm.d,_xlpm.a*_xlpm.b)))</f>
        <v>0.47</v>
      </c>
      <c r="J27" s="1" cm="1">
        <f t="array" ref="J27">_xlfn.LET(_xlpm.d,J$2:J$19,_xlpm.a,$C$2:$C$19=$C27,_xlpm.b,$D$2:$D$19=$D27,MAX(_xlfn._xlws.FILTER(_xlpm.d,_xlpm.a*_xlpm.b)))</f>
        <v>0.47</v>
      </c>
      <c r="K27" s="1" cm="1">
        <f t="array" ref="K27">_xlfn.LET(_xlpm.d,K$2:K$19,_xlpm.a,$C$2:$C$19=$C27,_xlpm.b,$D$2:$D$19=$D27,MAX(_xlfn._xlws.FILTER(_xlpm.d,_xlpm.a*_xlpm.b)))</f>
        <v>0.47</v>
      </c>
      <c r="L27" s="1" cm="1">
        <f t="array" ref="L27">_xlfn.LET(_xlpm.d,L$2:L$19,_xlpm.a,$C$2:$C$19=$C27,_xlpm.b,$D$2:$D$19=$D27,MAX(_xlfn._xlws.FILTER(_xlpm.d,_xlpm.a*_xlpm.b)))</f>
        <v>0.44</v>
      </c>
      <c r="M27" s="1" cm="1">
        <f t="array" ref="M27">_xlfn.LET(_xlpm.d,M$2:M$19,_xlpm.a,$C$2:$C$19=$C27,_xlpm.b,$D$2:$D$19=$D27,MAX(_xlfn._xlws.FILTER(_xlpm.d,_xlpm.a*_xlpm.b)))</f>
        <v>0.48</v>
      </c>
      <c r="N27" s="1" cm="1">
        <f t="array" ref="N27">_xlfn.LET(_xlpm.d,N$2:N$19,_xlpm.a,$C$2:$C$19=$C27,_xlpm.b,$D$2:$D$19=$D27,MAX(_xlfn._xlws.FILTER(_xlpm.d,_xlpm.a*_xlpm.b)))</f>
        <v>0.48</v>
      </c>
      <c r="O27" s="1" cm="1">
        <f t="array" ref="O27">_xlfn.LET(_xlpm.d,O$2:O$19,_xlpm.a,$C$2:$C$19=$C27,_xlpm.b,$D$2:$D$19=$D27,MAX(_xlfn._xlws.FILTER(_xlpm.d,_xlpm.a*_xlpm.b)))</f>
        <v>0.57999999999999996</v>
      </c>
      <c r="P27" s="1" cm="1">
        <f t="array" ref="P27">_xlfn.LET(_xlpm.d,P$2:P$19,_xlpm.a,$C$2:$C$19=$C27,_xlpm.b,$D$2:$D$19=$D27,MAX(_xlfn._xlws.FILTER(_xlpm.d,_xlpm.a*_xlpm.b)))</f>
        <v>0.47</v>
      </c>
      <c r="Q27" s="1" cm="1">
        <f t="array" ref="Q27">_xlfn.LET(_xlpm.d,Q$2:Q$19,_xlpm.a,$C$2:$C$19=$C27,_xlpm.b,$D$2:$D$19=$D27,MAX(_xlfn._xlws.FILTER(_xlpm.d,_xlpm.a*_xlpm.b)))</f>
        <v>0.49</v>
      </c>
      <c r="R27" s="1" cm="1">
        <f t="array" ref="R27">_xlfn.LET(_xlpm.d,R$2:R$19,_xlpm.a,$C$2:$C$19=$C27,_xlpm.b,$D$2:$D$19=$D27,MAX(_xlfn._xlws.FILTER(_xlpm.d,_xlpm.a*_xlpm.b)))</f>
        <v>0.42</v>
      </c>
      <c r="S27" s="1" cm="1">
        <f t="array" ref="S27">_xlfn.LET(_xlpm.d,S$2:S$19,_xlpm.a,$C$2:$C$19=$C27,_xlpm.b,$D$2:$D$19=$D27,MAX(_xlfn._xlws.FILTER(_xlpm.d,_xlpm.a*_xlpm.b)))</f>
        <v>0.62</v>
      </c>
    </row>
    <row r="28" spans="1:19" ht="25" customHeight="1">
      <c r="B28">
        <v>3</v>
      </c>
      <c r="C28" t="s">
        <v>22</v>
      </c>
      <c r="D28" t="b">
        <v>0</v>
      </c>
      <c r="E28">
        <v>0</v>
      </c>
      <c r="F28" t="s">
        <v>23</v>
      </c>
      <c r="G28" s="1" cm="1">
        <f t="array" ref="G28">_xlfn.LET(_xlpm.d,G$2:G$19,_xlpm.a,$C$2:$C$19=$C28,_xlpm.b,$D$2:$D$19=$D28,MAX(_xlfn._xlws.FILTER(_xlpm.d,_xlpm.a*_xlpm.b)))</f>
        <v>0.48</v>
      </c>
      <c r="H28" s="1" cm="1">
        <f t="array" ref="H28">_xlfn.LET(_xlpm.d,H$2:H$19,_xlpm.a,$C$2:$C$19=$C28,_xlpm.b,$D$2:$D$19=$D28,MAX(_xlfn._xlws.FILTER(_xlpm.d,_xlpm.a*_xlpm.b)))</f>
        <v>0.52</v>
      </c>
      <c r="I28" s="1" cm="1">
        <f t="array" ref="I28">_xlfn.LET(_xlpm.d,I$2:I$19,_xlpm.a,$C$2:$C$19=$C28,_xlpm.b,$D$2:$D$19=$D28,MAX(_xlfn._xlws.FILTER(_xlpm.d,_xlpm.a*_xlpm.b)))</f>
        <v>0.39</v>
      </c>
      <c r="J28" s="1" cm="1">
        <f t="array" ref="J28">_xlfn.LET(_xlpm.d,J$2:J$19,_xlpm.a,$C$2:$C$19=$C28,_xlpm.b,$D$2:$D$19=$D28,MAX(_xlfn._xlws.FILTER(_xlpm.d,_xlpm.a*_xlpm.b)))</f>
        <v>0.39</v>
      </c>
      <c r="K28" s="1" cm="1">
        <f t="array" ref="K28">_xlfn.LET(_xlpm.d,K$2:K$19,_xlpm.a,$C$2:$C$19=$C28,_xlpm.b,$D$2:$D$19=$D28,MAX(_xlfn._xlws.FILTER(_xlpm.d,_xlpm.a*_xlpm.b)))</f>
        <v>0.41</v>
      </c>
      <c r="L28" s="1" cm="1">
        <f t="array" ref="L28">_xlfn.LET(_xlpm.d,L$2:L$19,_xlpm.a,$C$2:$C$19=$C28,_xlpm.b,$D$2:$D$19=$D28,MAX(_xlfn._xlws.FILTER(_xlpm.d,_xlpm.a*_xlpm.b)))</f>
        <v>0.41</v>
      </c>
      <c r="M28" s="1" cm="1">
        <f t="array" ref="M28">_xlfn.LET(_xlpm.d,M$2:M$19,_xlpm.a,$C$2:$C$19=$C28,_xlpm.b,$D$2:$D$19=$D28,MAX(_xlfn._xlws.FILTER(_xlpm.d,_xlpm.a*_xlpm.b)))</f>
        <v>0.38</v>
      </c>
      <c r="N28" s="1" cm="1">
        <f t="array" ref="N28">_xlfn.LET(_xlpm.d,N$2:N$19,_xlpm.a,$C$2:$C$19=$C28,_xlpm.b,$D$2:$D$19=$D28,MAX(_xlfn._xlws.FILTER(_xlpm.d,_xlpm.a*_xlpm.b)))</f>
        <v>0.38</v>
      </c>
      <c r="O28" s="1" cm="1">
        <f t="array" ref="O28">_xlfn.LET(_xlpm.d,O$2:O$19,_xlpm.a,$C$2:$C$19=$C28,_xlpm.b,$D$2:$D$19=$D28,MAX(_xlfn._xlws.FILTER(_xlpm.d,_xlpm.a*_xlpm.b)))</f>
        <v>0.39</v>
      </c>
      <c r="P28" s="1" cm="1">
        <f t="array" ref="P28">_xlfn.LET(_xlpm.d,P$2:P$19,_xlpm.a,$C$2:$C$19=$C28,_xlpm.b,$D$2:$D$19=$D28,MAX(_xlfn._xlws.FILTER(_xlpm.d,_xlpm.a*_xlpm.b)))</f>
        <v>0.41</v>
      </c>
      <c r="Q28" s="1" cm="1">
        <f t="array" ref="Q28">_xlfn.LET(_xlpm.d,Q$2:Q$19,_xlpm.a,$C$2:$C$19=$C28,_xlpm.b,$D$2:$D$19=$D28,MAX(_xlfn._xlws.FILTER(_xlpm.d,_xlpm.a*_xlpm.b)))</f>
        <v>0.45</v>
      </c>
      <c r="R28" s="1" cm="1">
        <f t="array" ref="R28">_xlfn.LET(_xlpm.d,R$2:R$19,_xlpm.a,$C$2:$C$19=$C28,_xlpm.b,$D$2:$D$19=$D28,MAX(_xlfn._xlws.FILTER(_xlpm.d,_xlpm.a*_xlpm.b)))</f>
        <v>0.45</v>
      </c>
      <c r="S28" s="1" cm="1">
        <f t="array" ref="S28">_xlfn.LET(_xlpm.d,S$2:S$19,_xlpm.a,$C$2:$C$19=$C28,_xlpm.b,$D$2:$D$19=$D28,MAX(_xlfn._xlws.FILTER(_xlpm.d,_xlpm.a*_xlpm.b)))</f>
        <v>0.52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3k-xsk-mgv9</vt:lpstr>
      <vt:lpstr>3k-xsk-mgv6</vt:lpstr>
      <vt:lpstr>3k-xsk-mgv3</vt:lpstr>
      <vt:lpstr>2k-xsk-mgv9</vt:lpstr>
      <vt:lpstr>2k-xsk-mgv6</vt:lpstr>
      <vt:lpstr>2k-xsk-mgv3</vt:lpstr>
      <vt:lpstr>1.2k-xsk-mgv9</vt:lpstr>
      <vt:lpstr>1.2-xsk-mgv6</vt:lpstr>
      <vt:lpstr>1.2k-xsk-mgv3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2025-02-18T09:30:05Z</dcterms:created>
  <dcterms:modified xsi:type="dcterms:W3CDTF">2025-03-05T03:41:07Z</dcterms:modified>
  <cp:category/>
</cp:coreProperties>
</file>