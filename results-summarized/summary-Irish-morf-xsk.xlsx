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-summarized/"/>
    </mc:Choice>
  </mc:AlternateContent>
  <xr:revisionPtr revIDLastSave="0" documentId="13_ncr:1_{15FB0FCF-A3D2-A74A-B996-220A74D8A6E0}" xr6:coauthVersionLast="47" xr6:coauthVersionMax="47" xr10:uidLastSave="{00000000-0000-0000-0000-000000000000}"/>
  <bookViews>
    <workbookView xWindow="1400" yWindow="500" windowWidth="35340" windowHeight="19800" xr2:uid="{152E20C4-60D5-8A45-BC95-4D78F2239C2D}"/>
  </bookViews>
  <sheets>
    <sheet name="summarized" sheetId="9" r:id="rId1"/>
    <sheet name="ml3.0-2k-xsk-mgv9" sheetId="7" r:id="rId2"/>
    <sheet name="ml3.0-1.2k-xsk-mgv9" sheetId="6" r:id="rId3"/>
    <sheet name="ml2.0-2k-xsk-mgv9" sheetId="5" r:id="rId4"/>
    <sheet name="ml2.0-1.2k-xsk-mgv9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9" l="1"/>
  <c r="J10" i="9"/>
  <c r="J43" i="9"/>
  <c r="J30" i="9"/>
  <c r="J56" i="9"/>
  <c r="J57" i="9"/>
  <c r="J23" i="9"/>
  <c r="J15" i="9"/>
  <c r="J41" i="9"/>
  <c r="J32" i="9"/>
  <c r="J47" i="9"/>
  <c r="J46" i="9"/>
  <c r="J22" i="9"/>
  <c r="J13" i="9"/>
  <c r="J45" i="9"/>
  <c r="J25" i="9"/>
  <c r="J65" i="9"/>
  <c r="J64" i="9"/>
  <c r="J14" i="9"/>
  <c r="J6" i="9"/>
  <c r="J37" i="9"/>
  <c r="J24" i="9"/>
  <c r="J62" i="9"/>
  <c r="J60" i="9"/>
  <c r="J18" i="9"/>
  <c r="J8" i="9"/>
  <c r="J42" i="9"/>
  <c r="J26" i="9"/>
  <c r="J59" i="9"/>
  <c r="J58" i="9"/>
  <c r="J12" i="9"/>
  <c r="J2" i="9"/>
  <c r="J40" i="9"/>
  <c r="J29" i="9"/>
  <c r="J63" i="9"/>
  <c r="J61" i="9"/>
  <c r="J19" i="9"/>
  <c r="J7" i="9"/>
  <c r="J35" i="9"/>
  <c r="J27" i="9"/>
  <c r="J53" i="9"/>
  <c r="J49" i="9"/>
  <c r="J21" i="9"/>
  <c r="J4" i="9"/>
  <c r="J34" i="9"/>
  <c r="J28" i="9"/>
  <c r="J54" i="9"/>
  <c r="J55" i="9"/>
  <c r="J20" i="9"/>
  <c r="J9" i="9"/>
  <c r="J39" i="9"/>
  <c r="J31" i="9"/>
  <c r="J51" i="9"/>
  <c r="J48" i="9"/>
  <c r="J11" i="9"/>
  <c r="J3" i="9"/>
  <c r="J44" i="9"/>
  <c r="J33" i="9"/>
  <c r="J52" i="9"/>
  <c r="J50" i="9"/>
  <c r="J16" i="9"/>
  <c r="J5" i="9"/>
  <c r="J36" i="9"/>
  <c r="J38" i="9"/>
  <c r="J67" i="9"/>
  <c r="J66" i="9"/>
  <c r="X17" i="9" l="1"/>
  <c r="X30" i="9"/>
  <c r="X43" i="9"/>
  <c r="X57" i="9"/>
  <c r="X56" i="9"/>
  <c r="X10" i="9"/>
  <c r="X23" i="9"/>
  <c r="X32" i="9"/>
  <c r="X41" i="9"/>
  <c r="X46" i="9"/>
  <c r="X47" i="9"/>
  <c r="X15" i="9"/>
  <c r="X14" i="9"/>
  <c r="X24" i="9"/>
  <c r="X37" i="9"/>
  <c r="X60" i="9"/>
  <c r="X62" i="9"/>
  <c r="X6" i="9"/>
  <c r="X12" i="9"/>
  <c r="X29" i="9"/>
  <c r="X40" i="9"/>
  <c r="X61" i="9"/>
  <c r="X63" i="9"/>
  <c r="X2" i="9"/>
  <c r="X22" i="9"/>
  <c r="X25" i="9"/>
  <c r="X45" i="9"/>
  <c r="X64" i="9"/>
  <c r="X65" i="9"/>
  <c r="X13" i="9"/>
  <c r="X18" i="9"/>
  <c r="X26" i="9"/>
  <c r="X42" i="9"/>
  <c r="X58" i="9"/>
  <c r="X59" i="9"/>
  <c r="X8" i="9"/>
  <c r="X19" i="9"/>
  <c r="X27" i="9"/>
  <c r="X35" i="9"/>
  <c r="X49" i="9"/>
  <c r="X53" i="9"/>
  <c r="X7" i="9" l="1"/>
  <c r="X21" i="9"/>
  <c r="X28" i="9"/>
  <c r="X34" i="9"/>
  <c r="X55" i="9"/>
  <c r="X54" i="9"/>
  <c r="X4" i="9"/>
  <c r="X20" i="9"/>
  <c r="X31" i="9"/>
  <c r="X39" i="9"/>
  <c r="X48" i="9"/>
  <c r="X51" i="9"/>
  <c r="X9" i="9"/>
  <c r="X11" i="9"/>
  <c r="X33" i="9"/>
  <c r="X44" i="9"/>
  <c r="X50" i="9"/>
  <c r="X52" i="9"/>
  <c r="X3" i="9"/>
  <c r="X5" i="9"/>
  <c r="X16" i="9"/>
  <c r="X38" i="9"/>
  <c r="X36" i="9"/>
  <c r="X66" i="9"/>
  <c r="X67" i="9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T28" i="7" a="1"/>
  <c r="T28" i="7" s="1"/>
  <c r="S28" i="7"/>
  <c r="S28" i="7" a="1"/>
  <c r="R28" i="7" a="1"/>
  <c r="R28" i="7" s="1"/>
  <c r="Q28" i="7" a="1"/>
  <c r="Q28" i="7" s="1"/>
  <c r="P28" i="7" a="1"/>
  <c r="P28" i="7" s="1"/>
  <c r="O28" i="7"/>
  <c r="O28" i="7" a="1"/>
  <c r="N28" i="7" a="1"/>
  <c r="N28" i="7" s="1"/>
  <c r="M28" i="7" a="1"/>
  <c r="M28" i="7" s="1"/>
  <c r="L28" i="7" a="1"/>
  <c r="L28" i="7" s="1"/>
  <c r="K28" i="7"/>
  <c r="K28" i="7" a="1"/>
  <c r="J28" i="7" a="1"/>
  <c r="J28" i="7" s="1"/>
  <c r="I28" i="7" a="1"/>
  <c r="I28" i="7" s="1"/>
  <c r="H28" i="7" a="1"/>
  <c r="H28" i="7" s="1"/>
  <c r="G28" i="7"/>
  <c r="T27" i="7"/>
  <c r="T27" i="7" a="1"/>
  <c r="S27" i="7" a="1"/>
  <c r="S27" i="7" s="1"/>
  <c r="R27" i="7"/>
  <c r="R27" i="7" a="1"/>
  <c r="Q27" i="7" a="1"/>
  <c r="Q27" i="7" s="1"/>
  <c r="P27" i="7"/>
  <c r="P27" i="7" a="1"/>
  <c r="O27" i="7" a="1"/>
  <c r="O27" i="7" s="1"/>
  <c r="N27" i="7"/>
  <c r="N27" i="7" a="1"/>
  <c r="M27" i="7" a="1"/>
  <c r="M27" i="7" s="1"/>
  <c r="L27" i="7"/>
  <c r="L27" i="7" a="1"/>
  <c r="K27" i="7" a="1"/>
  <c r="K27" i="7" s="1"/>
  <c r="J27" i="7"/>
  <c r="J27" i="7" a="1"/>
  <c r="I27" i="7" a="1"/>
  <c r="I27" i="7" s="1"/>
  <c r="H27" i="7" a="1"/>
  <c r="H27" i="7" s="1"/>
  <c r="G27" i="7"/>
  <c r="T26" i="7" a="1"/>
  <c r="T26" i="7" s="1"/>
  <c r="S26" i="7" a="1"/>
  <c r="S26" i="7" s="1"/>
  <c r="R26" i="7"/>
  <c r="R26" i="7" a="1"/>
  <c r="Q26" i="7" a="1"/>
  <c r="Q26" i="7" s="1"/>
  <c r="P26" i="7" a="1"/>
  <c r="P26" i="7" s="1"/>
  <c r="O26" i="7" a="1"/>
  <c r="O26" i="7" s="1"/>
  <c r="N26" i="7"/>
  <c r="N26" i="7" a="1"/>
  <c r="M26" i="7" a="1"/>
  <c r="M26" i="7" s="1"/>
  <c r="L26" i="7" a="1"/>
  <c r="L26" i="7" s="1"/>
  <c r="K26" i="7" a="1"/>
  <c r="K26" i="7" s="1"/>
  <c r="J26" i="7" a="1"/>
  <c r="J26" i="7" s="1"/>
  <c r="I26" i="7" a="1"/>
  <c r="I26" i="7" s="1"/>
  <c r="H26" i="7" a="1"/>
  <c r="H26" i="7" s="1"/>
  <c r="G26" i="7"/>
  <c r="T25" i="7" a="1"/>
  <c r="T25" i="7" s="1"/>
  <c r="S25" i="7"/>
  <c r="S25" i="7" a="1"/>
  <c r="R25" i="7" a="1"/>
  <c r="R25" i="7" s="1"/>
  <c r="Q25" i="7"/>
  <c r="Q25" i="7" a="1"/>
  <c r="P25" i="7" a="1"/>
  <c r="P25" i="7" s="1"/>
  <c r="O25" i="7"/>
  <c r="O25" i="7" a="1"/>
  <c r="N25" i="7" a="1"/>
  <c r="N25" i="7" s="1"/>
  <c r="M25" i="7"/>
  <c r="M25" i="7" a="1"/>
  <c r="L25" i="7" a="1"/>
  <c r="L25" i="7" s="1"/>
  <c r="K25" i="7"/>
  <c r="K25" i="7" a="1"/>
  <c r="J25" i="7" a="1"/>
  <c r="J25" i="7" s="1"/>
  <c r="I25" i="7"/>
  <c r="I25" i="7" a="1"/>
  <c r="H25" i="7" a="1"/>
  <c r="H25" i="7" s="1"/>
  <c r="G25" i="7"/>
  <c r="T24" i="7" a="1"/>
  <c r="T24" i="7" s="1"/>
  <c r="S24" i="7" a="1"/>
  <c r="S24" i="7" s="1"/>
  <c r="R24" i="7"/>
  <c r="R24" i="7" a="1"/>
  <c r="Q24" i="7" a="1"/>
  <c r="Q24" i="7" s="1"/>
  <c r="P24" i="7" a="1"/>
  <c r="P24" i="7" s="1"/>
  <c r="O24" i="7" a="1"/>
  <c r="O24" i="7" s="1"/>
  <c r="N24" i="7" a="1"/>
  <c r="N24" i="7" s="1"/>
  <c r="M24" i="7" a="1"/>
  <c r="M24" i="7" s="1"/>
  <c r="L24" i="7" a="1"/>
  <c r="L24" i="7" s="1"/>
  <c r="K24" i="7" a="1"/>
  <c r="K24" i="7" s="1"/>
  <c r="J24" i="7" a="1"/>
  <c r="J24" i="7" s="1"/>
  <c r="I24" i="7" a="1"/>
  <c r="I24" i="7" s="1"/>
  <c r="H24" i="7" a="1"/>
  <c r="H24" i="7" s="1"/>
  <c r="G24" i="7"/>
  <c r="T23" i="7"/>
  <c r="T23" i="7" a="1"/>
  <c r="S23" i="7" a="1"/>
  <c r="S23" i="7" s="1"/>
  <c r="R23" i="7"/>
  <c r="R23" i="7" a="1"/>
  <c r="Q23" i="7" a="1"/>
  <c r="Q23" i="7" s="1"/>
  <c r="P23" i="7"/>
  <c r="P23" i="7" a="1"/>
  <c r="O23" i="7" a="1"/>
  <c r="O23" i="7" s="1"/>
  <c r="N23" i="7" a="1"/>
  <c r="N23" i="7" s="1"/>
  <c r="M23" i="7" a="1"/>
  <c r="M23" i="7" s="1"/>
  <c r="L23" i="7"/>
  <c r="L23" i="7" a="1"/>
  <c r="K23" i="7" a="1"/>
  <c r="K23" i="7" s="1"/>
  <c r="J23" i="7" a="1"/>
  <c r="J23" i="7" s="1"/>
  <c r="I23" i="7" a="1"/>
  <c r="I23" i="7" s="1"/>
  <c r="H23" i="7"/>
  <c r="H23" i="7" a="1"/>
  <c r="G23" i="7"/>
  <c r="T28" i="6" a="1"/>
  <c r="T28" i="6" s="1"/>
  <c r="S28" i="6" a="1"/>
  <c r="S28" i="6" s="1"/>
  <c r="R28" i="6"/>
  <c r="R28" i="6" a="1"/>
  <c r="Q28" i="6" a="1"/>
  <c r="Q28" i="6" s="1"/>
  <c r="P28" i="6" a="1"/>
  <c r="P28" i="6" s="1"/>
  <c r="O28" i="6" a="1"/>
  <c r="O28" i="6" s="1"/>
  <c r="N28" i="6"/>
  <c r="N28" i="6" a="1"/>
  <c r="M28" i="6" a="1"/>
  <c r="M28" i="6" s="1"/>
  <c r="L28" i="6" a="1"/>
  <c r="L28" i="6" s="1"/>
  <c r="K28" i="6" a="1"/>
  <c r="K28" i="6" s="1"/>
  <c r="J28" i="6"/>
  <c r="J28" i="6" a="1"/>
  <c r="I28" i="6" a="1"/>
  <c r="I28" i="6" s="1"/>
  <c r="H28" i="6" a="1"/>
  <c r="H28" i="6" s="1"/>
  <c r="G28" i="6"/>
  <c r="T27" i="6" a="1"/>
  <c r="T27" i="6" s="1"/>
  <c r="S27" i="6" a="1"/>
  <c r="S27" i="6" s="1"/>
  <c r="R27" i="6"/>
  <c r="R27" i="6" a="1"/>
  <c r="Q27" i="6"/>
  <c r="Q27" i="6" a="1"/>
  <c r="P27" i="6" a="1"/>
  <c r="P27" i="6" s="1"/>
  <c r="O27" i="6" a="1"/>
  <c r="O27" i="6" s="1"/>
  <c r="N27" i="6"/>
  <c r="N27" i="6" a="1"/>
  <c r="M27" i="6"/>
  <c r="M27" i="6" a="1"/>
  <c r="L27" i="6" a="1"/>
  <c r="L27" i="6" s="1"/>
  <c r="K27" i="6" a="1"/>
  <c r="K27" i="6" s="1"/>
  <c r="J27" i="6"/>
  <c r="J27" i="6" a="1"/>
  <c r="I27" i="6"/>
  <c r="I27" i="6" a="1"/>
  <c r="H27" i="6" a="1"/>
  <c r="H27" i="6" s="1"/>
  <c r="G27" i="6"/>
  <c r="T26" i="6" a="1"/>
  <c r="T26" i="6" s="1"/>
  <c r="S26" i="6" a="1"/>
  <c r="S26" i="6" s="1"/>
  <c r="R26" i="6"/>
  <c r="R26" i="6" a="1"/>
  <c r="Q26" i="6"/>
  <c r="Q26" i="6" a="1"/>
  <c r="P26" i="6" a="1"/>
  <c r="P26" i="6" s="1"/>
  <c r="O26" i="6" a="1"/>
  <c r="O26" i="6" s="1"/>
  <c r="N26" i="6"/>
  <c r="N26" i="6" a="1"/>
  <c r="M26" i="6"/>
  <c r="M26" i="6" a="1"/>
  <c r="L26" i="6" a="1"/>
  <c r="L26" i="6" s="1"/>
  <c r="K26" i="6" a="1"/>
  <c r="K26" i="6" s="1"/>
  <c r="J26" i="6"/>
  <c r="J26" i="6" a="1"/>
  <c r="I26" i="6"/>
  <c r="I26" i="6" a="1"/>
  <c r="H26" i="6" a="1"/>
  <c r="H26" i="6" s="1"/>
  <c r="G26" i="6"/>
  <c r="T25" i="6"/>
  <c r="T25" i="6" a="1"/>
  <c r="S25" i="6" a="1"/>
  <c r="S25" i="6" s="1"/>
  <c r="R25" i="6" a="1"/>
  <c r="R25" i="6" s="1"/>
  <c r="Q25" i="6"/>
  <c r="Q25" i="6" a="1"/>
  <c r="P25" i="6"/>
  <c r="P25" i="6" a="1"/>
  <c r="O25" i="6" a="1"/>
  <c r="O25" i="6" s="1"/>
  <c r="N25" i="6" a="1"/>
  <c r="N25" i="6" s="1"/>
  <c r="M25" i="6"/>
  <c r="M25" i="6" a="1"/>
  <c r="L25" i="6"/>
  <c r="L25" i="6" a="1"/>
  <c r="K25" i="6" a="1"/>
  <c r="K25" i="6" s="1"/>
  <c r="J25" i="6" a="1"/>
  <c r="J25" i="6" s="1"/>
  <c r="I25" i="6"/>
  <c r="I25" i="6" a="1"/>
  <c r="H25" i="6"/>
  <c r="H25" i="6" a="1"/>
  <c r="G25" i="6"/>
  <c r="T24" i="6"/>
  <c r="T24" i="6" a="1"/>
  <c r="S24" i="6" a="1"/>
  <c r="S24" i="6" s="1"/>
  <c r="R24" i="6" a="1"/>
  <c r="R24" i="6" s="1"/>
  <c r="Q24" i="6"/>
  <c r="Q24" i="6" a="1"/>
  <c r="P24" i="6"/>
  <c r="P24" i="6" a="1"/>
  <c r="O24" i="6" a="1"/>
  <c r="O24" i="6" s="1"/>
  <c r="N24" i="6" a="1"/>
  <c r="N24" i="6" s="1"/>
  <c r="M24" i="6"/>
  <c r="M24" i="6" a="1"/>
  <c r="L24" i="6"/>
  <c r="L24" i="6" a="1"/>
  <c r="K24" i="6" a="1"/>
  <c r="K24" i="6" s="1"/>
  <c r="J24" i="6" a="1"/>
  <c r="J24" i="6" s="1"/>
  <c r="I24" i="6"/>
  <c r="I24" i="6" a="1"/>
  <c r="H24" i="6"/>
  <c r="H24" i="6" a="1"/>
  <c r="G24" i="6"/>
  <c r="T23" i="6"/>
  <c r="T23" i="6" a="1"/>
  <c r="S23" i="6"/>
  <c r="S23" i="6" a="1"/>
  <c r="R23" i="6" a="1"/>
  <c r="R23" i="6" s="1"/>
  <c r="Q23" i="6" a="1"/>
  <c r="Q23" i="6" s="1"/>
  <c r="P23" i="6"/>
  <c r="P23" i="6" a="1"/>
  <c r="O23" i="6"/>
  <c r="O23" i="6" a="1"/>
  <c r="N23" i="6" a="1"/>
  <c r="N23" i="6" s="1"/>
  <c r="M23" i="6" a="1"/>
  <c r="M23" i="6" s="1"/>
  <c r="L23" i="6"/>
  <c r="L23" i="6" a="1"/>
  <c r="K23" i="6"/>
  <c r="K23" i="6" a="1"/>
  <c r="J23" i="6" a="1"/>
  <c r="J23" i="6" s="1"/>
  <c r="I23" i="6" a="1"/>
  <c r="I23" i="6" s="1"/>
  <c r="H23" i="6"/>
  <c r="H23" i="6" a="1"/>
  <c r="G23" i="6"/>
  <c r="T28" i="5" a="1"/>
  <c r="T28" i="5" s="1"/>
  <c r="S28" i="5" a="1"/>
  <c r="S28" i="5" s="1"/>
  <c r="R28" i="5" a="1"/>
  <c r="R28" i="5" s="1"/>
  <c r="Q28" i="5" a="1"/>
  <c r="Q28" i="5" s="1"/>
  <c r="P28" i="5" a="1"/>
  <c r="P28" i="5" s="1"/>
  <c r="O28" i="5" a="1"/>
  <c r="O28" i="5" s="1"/>
  <c r="N28" i="5" a="1"/>
  <c r="N28" i="5" s="1"/>
  <c r="M28" i="5" a="1"/>
  <c r="M28" i="5" s="1"/>
  <c r="L28" i="5" a="1"/>
  <c r="L28" i="5" s="1"/>
  <c r="K28" i="5" a="1"/>
  <c r="K28" i="5" s="1"/>
  <c r="J28" i="5" a="1"/>
  <c r="J28" i="5" s="1"/>
  <c r="I28" i="5" a="1"/>
  <c r="I28" i="5" s="1"/>
  <c r="H28" i="5" a="1"/>
  <c r="H28" i="5" s="1"/>
  <c r="G28" i="5"/>
  <c r="T27" i="5"/>
  <c r="T27" i="5" a="1"/>
  <c r="S27" i="5" a="1"/>
  <c r="S27" i="5" s="1"/>
  <c r="R27" i="5"/>
  <c r="R27" i="5" a="1"/>
  <c r="Q27" i="5" a="1"/>
  <c r="Q27" i="5" s="1"/>
  <c r="P27" i="5"/>
  <c r="P27" i="5" a="1"/>
  <c r="O27" i="5" a="1"/>
  <c r="O27" i="5" s="1"/>
  <c r="N27" i="5"/>
  <c r="N27" i="5" a="1"/>
  <c r="M27" i="5" a="1"/>
  <c r="M27" i="5" s="1"/>
  <c r="L27" i="5"/>
  <c r="L27" i="5" a="1"/>
  <c r="K27" i="5" a="1"/>
  <c r="K27" i="5" s="1"/>
  <c r="J27" i="5"/>
  <c r="J27" i="5" a="1"/>
  <c r="I27" i="5" a="1"/>
  <c r="I27" i="5" s="1"/>
  <c r="H27" i="5"/>
  <c r="H27" i="5" a="1"/>
  <c r="G27" i="5"/>
  <c r="T26" i="5" a="1"/>
  <c r="T26" i="5" s="1"/>
  <c r="S26" i="5" a="1"/>
  <c r="S26" i="5" s="1"/>
  <c r="R26" i="5" a="1"/>
  <c r="R26" i="5" s="1"/>
  <c r="Q26" i="5" a="1"/>
  <c r="Q26" i="5" s="1"/>
  <c r="P26" i="5" a="1"/>
  <c r="P26" i="5" s="1"/>
  <c r="O26" i="5" a="1"/>
  <c r="O26" i="5" s="1"/>
  <c r="N26" i="5" a="1"/>
  <c r="N26" i="5" s="1"/>
  <c r="M26" i="5" a="1"/>
  <c r="M26" i="5" s="1"/>
  <c r="L26" i="5" a="1"/>
  <c r="L26" i="5" s="1"/>
  <c r="K26" i="5" a="1"/>
  <c r="K26" i="5" s="1"/>
  <c r="J26" i="5" a="1"/>
  <c r="J26" i="5" s="1"/>
  <c r="I26" i="5" a="1"/>
  <c r="I26" i="5" s="1"/>
  <c r="H26" i="5" a="1"/>
  <c r="H26" i="5" s="1"/>
  <c r="G26" i="5"/>
  <c r="T25" i="5" a="1"/>
  <c r="T25" i="5" s="1"/>
  <c r="S25" i="5"/>
  <c r="S25" i="5" a="1"/>
  <c r="R25" i="5" a="1"/>
  <c r="R25" i="5" s="1"/>
  <c r="Q25" i="5"/>
  <c r="Q25" i="5" a="1"/>
  <c r="P25" i="5" a="1"/>
  <c r="P25" i="5" s="1"/>
  <c r="O25" i="5"/>
  <c r="O25" i="5" a="1"/>
  <c r="N25" i="5" a="1"/>
  <c r="N25" i="5" s="1"/>
  <c r="M25" i="5"/>
  <c r="M25" i="5" a="1"/>
  <c r="L25" i="5" a="1"/>
  <c r="L25" i="5" s="1"/>
  <c r="K25" i="5"/>
  <c r="K25" i="5" a="1"/>
  <c r="J25" i="5" a="1"/>
  <c r="J25" i="5" s="1"/>
  <c r="I25" i="5"/>
  <c r="I25" i="5" a="1"/>
  <c r="H25" i="5" a="1"/>
  <c r="H25" i="5" s="1"/>
  <c r="G25" i="5"/>
  <c r="T24" i="5" a="1"/>
  <c r="T24" i="5" s="1"/>
  <c r="S24" i="5" a="1"/>
  <c r="S24" i="5" s="1"/>
  <c r="R24" i="5"/>
  <c r="R24" i="5" a="1"/>
  <c r="Q24" i="5" a="1"/>
  <c r="Q24" i="5" s="1"/>
  <c r="P24" i="5" a="1"/>
  <c r="P24" i="5" s="1"/>
  <c r="O24" i="5" a="1"/>
  <c r="O24" i="5" s="1"/>
  <c r="N24" i="5"/>
  <c r="N24" i="5" a="1"/>
  <c r="M24" i="5" a="1"/>
  <c r="M24" i="5" s="1"/>
  <c r="L24" i="5" a="1"/>
  <c r="L24" i="5" s="1"/>
  <c r="K24" i="5" a="1"/>
  <c r="K24" i="5" s="1"/>
  <c r="J24" i="5" a="1"/>
  <c r="J24" i="5" s="1"/>
  <c r="I24" i="5" a="1"/>
  <c r="I24" i="5" s="1"/>
  <c r="H24" i="5" a="1"/>
  <c r="H24" i="5" s="1"/>
  <c r="G24" i="5"/>
  <c r="T23" i="5"/>
  <c r="T23" i="5" a="1"/>
  <c r="S23" i="5" a="1"/>
  <c r="S23" i="5" s="1"/>
  <c r="R23" i="5"/>
  <c r="R23" i="5" a="1"/>
  <c r="Q23" i="5" a="1"/>
  <c r="Q23" i="5" s="1"/>
  <c r="P23" i="5"/>
  <c r="P23" i="5" a="1"/>
  <c r="O23" i="5" a="1"/>
  <c r="O23" i="5" s="1"/>
  <c r="N23" i="5"/>
  <c r="N23" i="5" a="1"/>
  <c r="M23" i="5" a="1"/>
  <c r="M23" i="5" s="1"/>
  <c r="L23" i="5"/>
  <c r="L23" i="5" a="1"/>
  <c r="K23" i="5" a="1"/>
  <c r="K23" i="5" s="1"/>
  <c r="J23" i="5"/>
  <c r="J23" i="5" a="1"/>
  <c r="I23" i="5" a="1"/>
  <c r="I23" i="5" s="1"/>
  <c r="H23" i="5"/>
  <c r="H23" i="5" a="1"/>
  <c r="G23" i="5"/>
  <c r="T28" i="4" a="1"/>
  <c r="T28" i="4" s="1"/>
  <c r="S28" i="4"/>
  <c r="S28" i="4" a="1"/>
  <c r="R28" i="4" a="1"/>
  <c r="R28" i="4" s="1"/>
  <c r="Q28" i="4" a="1"/>
  <c r="Q28" i="4" s="1"/>
  <c r="P28" i="4" a="1"/>
  <c r="P28" i="4" s="1"/>
  <c r="O28" i="4" a="1"/>
  <c r="O28" i="4" s="1"/>
  <c r="N28" i="4" a="1"/>
  <c r="N28" i="4" s="1"/>
  <c r="M28" i="4" a="1"/>
  <c r="M28" i="4" s="1"/>
  <c r="L28" i="4" a="1"/>
  <c r="L28" i="4" s="1"/>
  <c r="K28" i="4" a="1"/>
  <c r="K28" i="4" s="1"/>
  <c r="J28" i="4" a="1"/>
  <c r="J28" i="4" s="1"/>
  <c r="I28" i="4" a="1"/>
  <c r="I28" i="4" s="1"/>
  <c r="H28" i="4" a="1"/>
  <c r="H28" i="4" s="1"/>
  <c r="G28" i="4"/>
  <c r="T27" i="4"/>
  <c r="T27" i="4" a="1"/>
  <c r="S27" i="4" a="1"/>
  <c r="S27" i="4" s="1"/>
  <c r="R27" i="4"/>
  <c r="R27" i="4" a="1"/>
  <c r="Q27" i="4" a="1"/>
  <c r="Q27" i="4" s="1"/>
  <c r="P27" i="4"/>
  <c r="P27" i="4" a="1"/>
  <c r="O27" i="4" a="1"/>
  <c r="O27" i="4" s="1"/>
  <c r="N27" i="4"/>
  <c r="N27" i="4" a="1"/>
  <c r="M27" i="4" a="1"/>
  <c r="M27" i="4" s="1"/>
  <c r="L27" i="4" a="1"/>
  <c r="L27" i="4" s="1"/>
  <c r="K27" i="4" a="1"/>
  <c r="K27" i="4" s="1"/>
  <c r="J27" i="4"/>
  <c r="J27" i="4" a="1"/>
  <c r="I27" i="4" a="1"/>
  <c r="I27" i="4" s="1"/>
  <c r="H27" i="4" a="1"/>
  <c r="H27" i="4" s="1"/>
  <c r="G27" i="4"/>
  <c r="T26" i="4" a="1"/>
  <c r="T26" i="4" s="1"/>
  <c r="S26" i="4" a="1"/>
  <c r="S26" i="4" s="1"/>
  <c r="R26" i="4" a="1"/>
  <c r="R26" i="4" s="1"/>
  <c r="Q26" i="4" a="1"/>
  <c r="Q26" i="4" s="1"/>
  <c r="P26" i="4" a="1"/>
  <c r="P26" i="4" s="1"/>
  <c r="O26" i="4" a="1"/>
  <c r="O26" i="4" s="1"/>
  <c r="N26" i="4" a="1"/>
  <c r="N26" i="4" s="1"/>
  <c r="M26" i="4" a="1"/>
  <c r="M26" i="4" s="1"/>
  <c r="L26" i="4" a="1"/>
  <c r="L26" i="4" s="1"/>
  <c r="K26" i="4" a="1"/>
  <c r="K26" i="4" s="1"/>
  <c r="J26" i="4" a="1"/>
  <c r="J26" i="4" s="1"/>
  <c r="I26" i="4" a="1"/>
  <c r="I26" i="4" s="1"/>
  <c r="H26" i="4" a="1"/>
  <c r="H26" i="4" s="1"/>
  <c r="G26" i="4"/>
  <c r="T25" i="4" a="1"/>
  <c r="T25" i="4" s="1"/>
  <c r="S25" i="4" a="1"/>
  <c r="S25" i="4" s="1"/>
  <c r="R25" i="4" a="1"/>
  <c r="R25" i="4" s="1"/>
  <c r="Q25" i="4"/>
  <c r="Q25" i="4" a="1"/>
  <c r="P25" i="4" a="1"/>
  <c r="P25" i="4" s="1"/>
  <c r="O25" i="4" a="1"/>
  <c r="O25" i="4" s="1"/>
  <c r="N25" i="4" a="1"/>
  <c r="N25" i="4" s="1"/>
  <c r="M25" i="4"/>
  <c r="M25" i="4" a="1"/>
  <c r="L25" i="4" a="1"/>
  <c r="L25" i="4" s="1"/>
  <c r="K25" i="4" a="1"/>
  <c r="K25" i="4" s="1"/>
  <c r="J25" i="4" a="1"/>
  <c r="J25" i="4" s="1"/>
  <c r="I25" i="4"/>
  <c r="I25" i="4" a="1"/>
  <c r="H25" i="4" a="1"/>
  <c r="H25" i="4" s="1"/>
  <c r="G25" i="4"/>
  <c r="T24" i="4" a="1"/>
  <c r="T24" i="4" s="1"/>
  <c r="S24" i="4" a="1"/>
  <c r="S24" i="4" s="1"/>
  <c r="R24" i="4" a="1"/>
  <c r="R24" i="4" s="1"/>
  <c r="Q24" i="4" a="1"/>
  <c r="Q24" i="4" s="1"/>
  <c r="P24" i="4" a="1"/>
  <c r="P24" i="4" s="1"/>
  <c r="O24" i="4" a="1"/>
  <c r="O24" i="4" s="1"/>
  <c r="N24" i="4" a="1"/>
  <c r="N24" i="4" s="1"/>
  <c r="M24" i="4" a="1"/>
  <c r="M24" i="4" s="1"/>
  <c r="L24" i="4" a="1"/>
  <c r="L24" i="4" s="1"/>
  <c r="K24" i="4" a="1"/>
  <c r="K24" i="4" s="1"/>
  <c r="J24" i="4" a="1"/>
  <c r="J24" i="4" s="1"/>
  <c r="I24" i="4" a="1"/>
  <c r="I24" i="4" s="1"/>
  <c r="H24" i="4" a="1"/>
  <c r="H24" i="4" s="1"/>
  <c r="G24" i="4"/>
  <c r="T23" i="4"/>
  <c r="T23" i="4" a="1"/>
  <c r="S23" i="4" a="1"/>
  <c r="S23" i="4" s="1"/>
  <c r="R23" i="4" a="1"/>
  <c r="R23" i="4" s="1"/>
  <c r="Q23" i="4" a="1"/>
  <c r="Q23" i="4" s="1"/>
  <c r="P23" i="4"/>
  <c r="P23" i="4" a="1"/>
  <c r="O23" i="4" a="1"/>
  <c r="O23" i="4" s="1"/>
  <c r="N23" i="4" a="1"/>
  <c r="N23" i="4" s="1"/>
  <c r="M23" i="4" a="1"/>
  <c r="M23" i="4" s="1"/>
  <c r="L23" i="4"/>
  <c r="L23" i="4" a="1"/>
  <c r="K23" i="4" a="1"/>
  <c r="K23" i="4" s="1"/>
  <c r="J23" i="4" a="1"/>
  <c r="J23" i="4" s="1"/>
  <c r="I23" i="4" a="1"/>
  <c r="I23" i="4" s="1"/>
  <c r="H23" i="4"/>
  <c r="H23" i="4" a="1"/>
  <c r="G23" i="4"/>
  <c r="Y38" i="9" l="1"/>
  <c r="Y11" i="9"/>
  <c r="Y54" i="9"/>
  <c r="Y16" i="9"/>
  <c r="Y9" i="9"/>
  <c r="Y55" i="9"/>
  <c r="Y5" i="9"/>
  <c r="Y34" i="9"/>
  <c r="Y51" i="9"/>
  <c r="Y3" i="9"/>
  <c r="Y48" i="9"/>
  <c r="Y59" i="9"/>
  <c r="Y17" i="9"/>
  <c r="Y58" i="9"/>
  <c r="Y37" i="9"/>
  <c r="Y65" i="9"/>
  <c r="Y57" i="9"/>
  <c r="Y26" i="9"/>
  <c r="Y30" i="9"/>
  <c r="Y27" i="9"/>
  <c r="Y53" i="9"/>
  <c r="Y32" i="9"/>
  <c r="Y24" i="9"/>
  <c r="Y12" i="9"/>
  <c r="Y49" i="9"/>
  <c r="Y6" i="9"/>
  <c r="Y23" i="9"/>
  <c r="Y40" i="9"/>
  <c r="Y47" i="9"/>
  <c r="Y14" i="9"/>
  <c r="Y35" i="9"/>
  <c r="Y25" i="9"/>
  <c r="Y2" i="9"/>
  <c r="Y42" i="9"/>
  <c r="Y13" i="9"/>
  <c r="Y56" i="9"/>
  <c r="Y46" i="9"/>
  <c r="Y60" i="9"/>
  <c r="Y62" i="9"/>
  <c r="Y61" i="9"/>
  <c r="Y8" i="9"/>
  <c r="Y64" i="9"/>
  <c r="Y22" i="9"/>
  <c r="Y45" i="9"/>
  <c r="Y18" i="9"/>
  <c r="Y10" i="9"/>
  <c r="Y29" i="9"/>
  <c r="Y19" i="9"/>
  <c r="Y41" i="9"/>
  <c r="Y43" i="9"/>
  <c r="Y63" i="9"/>
  <c r="Y15" i="9"/>
  <c r="Y28" i="9"/>
  <c r="Y52" i="9"/>
  <c r="Y39" i="9"/>
  <c r="Y21" i="9"/>
  <c r="Y67" i="9"/>
  <c r="Y50" i="9"/>
  <c r="Y31" i="9"/>
  <c r="Y7" i="9"/>
  <c r="Y66" i="9"/>
  <c r="Y20" i="9"/>
  <c r="Y44" i="9"/>
  <c r="Y36" i="9"/>
  <c r="Y33" i="9"/>
  <c r="Y4" i="9"/>
  <c r="T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5" i="4"/>
  <c r="T4" i="4"/>
  <c r="T2" i="4"/>
  <c r="T6" i="4"/>
  <c r="T3" i="4"/>
  <c r="T7" i="4"/>
  <c r="T8" i="4"/>
  <c r="T9" i="4"/>
  <c r="T11" i="4"/>
  <c r="T12" i="4"/>
  <c r="T13" i="4"/>
  <c r="T10" i="4"/>
  <c r="T14" i="4"/>
  <c r="T17" i="4"/>
  <c r="T19" i="4"/>
  <c r="T18" i="4"/>
  <c r="T16" i="4"/>
  <c r="T1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<sst xmlns="http://schemas.openxmlformats.org/spreadsheetml/2006/main" count="644" uniqueCount="35">
  <si>
    <t>lang</t>
  </si>
  <si>
    <t>attribute.index</t>
  </si>
  <si>
    <t>attribute</t>
  </si>
  <si>
    <t>method.index</t>
  </si>
  <si>
    <t>method</t>
  </si>
  <si>
    <t>2g-no-hash</t>
  </si>
  <si>
    <t>3g-no-hash</t>
  </si>
  <si>
    <t>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</si>
  <si>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</si>
  <si>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</si>
  <si>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</si>
  <si>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</si>
  <si>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</si>
  <si>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</si>
  <si>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xsk2g-hash-at-both</t>
  </si>
  <si>
    <t>xsk3g-hash-at-both</t>
  </si>
  <si>
    <t>xsk4g-hash-at-both</t>
  </si>
  <si>
    <t>max</t>
  </si>
  <si>
    <t>case</t>
  </si>
  <si>
    <t>DT</t>
  </si>
  <si>
    <t>RF</t>
  </si>
  <si>
    <t>NN</t>
  </si>
  <si>
    <t>gender</t>
  </si>
  <si>
    <t>plurality</t>
  </si>
  <si>
    <t>Irish</t>
  </si>
  <si>
    <t>ml</t>
  </si>
  <si>
    <t>skippiness</t>
  </si>
  <si>
    <t>sample.n</t>
  </si>
  <si>
    <t>mgv</t>
  </si>
  <si>
    <t>supplemented</t>
  </si>
  <si>
    <t>var</t>
  </si>
  <si>
    <t>geomean</t>
  </si>
  <si>
    <t>xsk</t>
  </si>
  <si>
    <t>c</t>
  </si>
  <si>
    <t>gm.rank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</si>
</sst>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3"/>
      <color theme="1"/>
      <name val="LucidaSansUnicode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Border="1"/>
    <xf numFmtId="2" fontId="0" fillId="2" borderId="1" xfId="0" applyNumberFormat="1" applyFill="1" applyBorder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32"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Irish</a:t>
            </a:r>
            <a:r>
              <a:rPr lang="ja-JP" altLang="en-US"/>
              <a:t> </a:t>
            </a:r>
            <a:r>
              <a:rPr lang="en-US" altLang="ja-JP"/>
              <a:t>Morfessor</a:t>
            </a:r>
            <a:r>
              <a:rPr lang="ja-JP" altLang="en-US"/>
              <a:t> </a:t>
            </a:r>
            <a:r>
              <a:rPr lang="en-US" altLang="ja-JP"/>
              <a:t>and</a:t>
            </a:r>
            <a:r>
              <a:rPr lang="ja-JP" altLang="en-US"/>
              <a:t> </a:t>
            </a:r>
            <a:r>
              <a:rPr lang="en-US" altLang="ja-JP"/>
              <a:t>Non-Morfessor</a:t>
            </a:r>
            <a:r>
              <a:rPr lang="ja-JP" altLang="en-US" baseline="0"/>
              <a:t> </a:t>
            </a:r>
            <a:r>
              <a:rPr lang="en-US" altLang="ja-JP" baseline="0"/>
              <a:t>xsk-based</a:t>
            </a:r>
            <a:r>
              <a:rPr lang="ja-JP" altLang="en-US" baseline="0"/>
              <a:t> </a:t>
            </a:r>
            <a:r>
              <a:rPr lang="en-US" altLang="ja-JP" baseline="0"/>
              <a:t>mixed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summarized!$J$2</c:f>
              <c:strCache>
                <c:ptCount val="1"/>
                <c:pt idx="0">
                  <c:v>ml:0-s3k-plu-spl:T-mgv6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summarized!$K$2:$V$2</c:f>
            </c:numRef>
          </c:val>
          <c:smooth val="0"/>
          <c:extLst>
            <c:ext xmlns:c16="http://schemas.microsoft.com/office/drawing/2014/chart" uri="{C3380CC4-5D6E-409C-BE32-E72D297353CC}">
              <c16:uniqueId val="{00000000-80BB-2E4C-B36D-ADCB26AB626C}"/>
            </c:ext>
          </c:extLst>
        </c:ser>
        <c:ser>
          <c:idx val="1"/>
          <c:order val="1"/>
          <c:tx>
            <c:strRef>
              <c:f>summarized!$J$3</c:f>
              <c:strCache>
                <c:ptCount val="1"/>
                <c:pt idx="0">
                  <c:v>ml:3-s1.2k-plu-spl:T-mgv9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summarized!$K$3:$V$3</c:f>
              <c:numCache>
                <c:formatCode>0.00</c:formatCode>
                <c:ptCount val="12"/>
                <c:pt idx="0">
                  <c:v>0.75</c:v>
                </c:pt>
                <c:pt idx="1">
                  <c:v>0.86</c:v>
                </c:pt>
                <c:pt idx="2">
                  <c:v>0.68</c:v>
                </c:pt>
                <c:pt idx="3">
                  <c:v>0.63</c:v>
                </c:pt>
                <c:pt idx="4">
                  <c:v>0.73</c:v>
                </c:pt>
                <c:pt idx="5">
                  <c:v>0.72</c:v>
                </c:pt>
                <c:pt idx="6">
                  <c:v>0.72</c:v>
                </c:pt>
                <c:pt idx="7">
                  <c:v>0.7</c:v>
                </c:pt>
                <c:pt idx="8">
                  <c:v>0.68</c:v>
                </c:pt>
                <c:pt idx="9">
                  <c:v>0.67</c:v>
                </c:pt>
                <c:pt idx="10">
                  <c:v>0.69</c:v>
                </c:pt>
                <c:pt idx="11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BB-2E4C-B36D-ADCB26AB626C}"/>
            </c:ext>
          </c:extLst>
        </c:ser>
        <c:ser>
          <c:idx val="2"/>
          <c:order val="2"/>
          <c:tx>
            <c:strRef>
              <c:f>summarized!$J$4</c:f>
              <c:strCache>
                <c:ptCount val="1"/>
                <c:pt idx="0">
                  <c:v>ml:2-s1.2k-plu-spl:T-mgv9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summarized!$K$4:$V$4</c:f>
              <c:numCache>
                <c:formatCode>0.00</c:formatCode>
                <c:ptCount val="12"/>
                <c:pt idx="0">
                  <c:v>0.71</c:v>
                </c:pt>
                <c:pt idx="1">
                  <c:v>0.71</c:v>
                </c:pt>
                <c:pt idx="2">
                  <c:v>0.73</c:v>
                </c:pt>
                <c:pt idx="3">
                  <c:v>0.76</c:v>
                </c:pt>
                <c:pt idx="4">
                  <c:v>0.73</c:v>
                </c:pt>
                <c:pt idx="5">
                  <c:v>0.65</c:v>
                </c:pt>
                <c:pt idx="6">
                  <c:v>0.72</c:v>
                </c:pt>
                <c:pt idx="7">
                  <c:v>0.66</c:v>
                </c:pt>
                <c:pt idx="8">
                  <c:v>0.68</c:v>
                </c:pt>
                <c:pt idx="9">
                  <c:v>0.7</c:v>
                </c:pt>
                <c:pt idx="10">
                  <c:v>0.71</c:v>
                </c:pt>
                <c:pt idx="11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BB-2E4C-B36D-ADCB26AB626C}"/>
            </c:ext>
          </c:extLst>
        </c:ser>
        <c:ser>
          <c:idx val="3"/>
          <c:order val="3"/>
          <c:tx>
            <c:strRef>
              <c:f>summarized!$J$5</c:f>
              <c:strCache>
                <c:ptCount val="1"/>
                <c:pt idx="0">
                  <c:v>ml:3-s2k-plu-spl:T-mgv9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summarized!$K$5:$V$5</c:f>
              <c:numCache>
                <c:formatCode>0.00</c:formatCode>
                <c:ptCount val="12"/>
                <c:pt idx="0">
                  <c:v>0.76</c:v>
                </c:pt>
                <c:pt idx="1">
                  <c:v>0.71</c:v>
                </c:pt>
                <c:pt idx="2">
                  <c:v>0.66</c:v>
                </c:pt>
                <c:pt idx="3">
                  <c:v>0.69</c:v>
                </c:pt>
                <c:pt idx="4">
                  <c:v>0.66</c:v>
                </c:pt>
                <c:pt idx="5">
                  <c:v>0.68</c:v>
                </c:pt>
                <c:pt idx="6">
                  <c:v>0.7</c:v>
                </c:pt>
                <c:pt idx="7">
                  <c:v>0.77</c:v>
                </c:pt>
                <c:pt idx="8">
                  <c:v>0.72</c:v>
                </c:pt>
                <c:pt idx="9">
                  <c:v>0.73</c:v>
                </c:pt>
                <c:pt idx="10">
                  <c:v>0.69</c:v>
                </c:pt>
                <c:pt idx="11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BB-2E4C-B36D-ADCB26AB626C}"/>
            </c:ext>
          </c:extLst>
        </c:ser>
        <c:ser>
          <c:idx val="4"/>
          <c:order val="4"/>
          <c:tx>
            <c:strRef>
              <c:f>summarized!$J$6</c:f>
              <c:strCache>
                <c:ptCount val="1"/>
                <c:pt idx="0">
                  <c:v>ml:0-s2k-plu-spl:T-mgv6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summarized!$K$6:$V$6</c:f>
            </c:numRef>
          </c:val>
          <c:smooth val="0"/>
          <c:extLst>
            <c:ext xmlns:c16="http://schemas.microsoft.com/office/drawing/2014/chart" uri="{C3380CC4-5D6E-409C-BE32-E72D297353CC}">
              <c16:uniqueId val="{00000004-80BB-2E4C-B36D-ADCB26AB626C}"/>
            </c:ext>
          </c:extLst>
        </c:ser>
        <c:ser>
          <c:idx val="5"/>
          <c:order val="5"/>
          <c:tx>
            <c:strRef>
              <c:f>summarized!$J$7</c:f>
              <c:strCache>
                <c:ptCount val="1"/>
                <c:pt idx="0">
                  <c:v>ml:0-s3k-plu-spl:T-mgv9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summarized!$K$7:$V$7</c:f>
              <c:numCache>
                <c:formatCode>0.00</c:formatCode>
                <c:ptCount val="12"/>
                <c:pt idx="0">
                  <c:v>0.74</c:v>
                </c:pt>
                <c:pt idx="1">
                  <c:v>0.74</c:v>
                </c:pt>
                <c:pt idx="2">
                  <c:v>0.68</c:v>
                </c:pt>
                <c:pt idx="3">
                  <c:v>0.69</c:v>
                </c:pt>
                <c:pt idx="4">
                  <c:v>0.68</c:v>
                </c:pt>
                <c:pt idx="5">
                  <c:v>0.66</c:v>
                </c:pt>
                <c:pt idx="6">
                  <c:v>0.7</c:v>
                </c:pt>
                <c:pt idx="7">
                  <c:v>0.68</c:v>
                </c:pt>
                <c:pt idx="8">
                  <c:v>0.72</c:v>
                </c:pt>
                <c:pt idx="9">
                  <c:v>0.7</c:v>
                </c:pt>
                <c:pt idx="10">
                  <c:v>0.71</c:v>
                </c:pt>
                <c:pt idx="11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BB-2E4C-B36D-ADCB26AB626C}"/>
            </c:ext>
          </c:extLst>
        </c:ser>
        <c:ser>
          <c:idx val="6"/>
          <c:order val="6"/>
          <c:tx>
            <c:strRef>
              <c:f>summarized!$J$8</c:f>
              <c:strCache>
                <c:ptCount val="1"/>
                <c:pt idx="0">
                  <c:v>ml:0-s2k-plu-spl:T-mgv9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summarized!$K$8:$V$8</c:f>
              <c:numCache>
                <c:formatCode>0.00</c:formatCode>
                <c:ptCount val="12"/>
                <c:pt idx="0">
                  <c:v>0.72</c:v>
                </c:pt>
                <c:pt idx="1">
                  <c:v>0.72</c:v>
                </c:pt>
                <c:pt idx="2">
                  <c:v>0.8</c:v>
                </c:pt>
                <c:pt idx="3">
                  <c:v>0.62</c:v>
                </c:pt>
                <c:pt idx="4">
                  <c:v>0.7</c:v>
                </c:pt>
                <c:pt idx="5">
                  <c:v>0.7</c:v>
                </c:pt>
                <c:pt idx="6">
                  <c:v>0.72</c:v>
                </c:pt>
                <c:pt idx="7">
                  <c:v>0.65</c:v>
                </c:pt>
                <c:pt idx="8">
                  <c:v>0.73</c:v>
                </c:pt>
                <c:pt idx="9">
                  <c:v>0.69</c:v>
                </c:pt>
                <c:pt idx="10">
                  <c:v>0.68</c:v>
                </c:pt>
                <c:pt idx="11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BB-2E4C-B36D-ADCB26AB626C}"/>
            </c:ext>
          </c:extLst>
        </c:ser>
        <c:ser>
          <c:idx val="7"/>
          <c:order val="7"/>
          <c:tx>
            <c:strRef>
              <c:f>summarized!$J$9</c:f>
              <c:strCache>
                <c:ptCount val="1"/>
                <c:pt idx="0">
                  <c:v>ml:2-s2k-plu-spl:T-mgv9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summarized!$K$9:$V$9</c:f>
              <c:numCache>
                <c:formatCode>0.00</c:formatCode>
                <c:ptCount val="12"/>
                <c:pt idx="0">
                  <c:v>0.74</c:v>
                </c:pt>
                <c:pt idx="1">
                  <c:v>0.74</c:v>
                </c:pt>
                <c:pt idx="2">
                  <c:v>0.72</c:v>
                </c:pt>
                <c:pt idx="3">
                  <c:v>0.67</c:v>
                </c:pt>
                <c:pt idx="4">
                  <c:v>0.66</c:v>
                </c:pt>
                <c:pt idx="5">
                  <c:v>0.72</c:v>
                </c:pt>
                <c:pt idx="6">
                  <c:v>0.73</c:v>
                </c:pt>
                <c:pt idx="7">
                  <c:v>0.65</c:v>
                </c:pt>
                <c:pt idx="8">
                  <c:v>0.72</c:v>
                </c:pt>
                <c:pt idx="9">
                  <c:v>0.72</c:v>
                </c:pt>
                <c:pt idx="10">
                  <c:v>0.6</c:v>
                </c:pt>
                <c:pt idx="11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0BB-2E4C-B36D-ADCB26AB626C}"/>
            </c:ext>
          </c:extLst>
        </c:ser>
        <c:ser>
          <c:idx val="8"/>
          <c:order val="8"/>
          <c:tx>
            <c:strRef>
              <c:f>summarized!$J$10</c:f>
              <c:strCache>
                <c:ptCount val="1"/>
                <c:pt idx="0">
                  <c:v>ml:0-s1.2k-plu-spl:T-mgv3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summarized!$K$10:$V$10</c:f>
            </c:numRef>
          </c:val>
          <c:smooth val="0"/>
          <c:extLst>
            <c:ext xmlns:c16="http://schemas.microsoft.com/office/drawing/2014/chart" uri="{C3380CC4-5D6E-409C-BE32-E72D297353CC}">
              <c16:uniqueId val="{00000008-80BB-2E4C-B36D-ADCB26AB626C}"/>
            </c:ext>
          </c:extLst>
        </c:ser>
        <c:ser>
          <c:idx val="9"/>
          <c:order val="9"/>
          <c:tx>
            <c:strRef>
              <c:f>summarized!$J$11</c:f>
              <c:strCache>
                <c:ptCount val="1"/>
                <c:pt idx="0">
                  <c:v>ml:3-s1.2k-plu-spl:F-mgv9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summarized!$K$11:$V$11</c:f>
              <c:numCache>
                <c:formatCode>0.00</c:formatCode>
                <c:ptCount val="12"/>
                <c:pt idx="0">
                  <c:v>0.73</c:v>
                </c:pt>
                <c:pt idx="1">
                  <c:v>0.81</c:v>
                </c:pt>
                <c:pt idx="2">
                  <c:v>0.67</c:v>
                </c:pt>
                <c:pt idx="3">
                  <c:v>0.63</c:v>
                </c:pt>
                <c:pt idx="4">
                  <c:v>0.71</c:v>
                </c:pt>
                <c:pt idx="5">
                  <c:v>0.69</c:v>
                </c:pt>
                <c:pt idx="6">
                  <c:v>0.72</c:v>
                </c:pt>
                <c:pt idx="7">
                  <c:v>0.66</c:v>
                </c:pt>
                <c:pt idx="8">
                  <c:v>0.66</c:v>
                </c:pt>
                <c:pt idx="9">
                  <c:v>0.66</c:v>
                </c:pt>
                <c:pt idx="10">
                  <c:v>0.68</c:v>
                </c:pt>
                <c:pt idx="1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0BB-2E4C-B36D-ADCB26AB626C}"/>
            </c:ext>
          </c:extLst>
        </c:ser>
        <c:ser>
          <c:idx val="10"/>
          <c:order val="10"/>
          <c:tx>
            <c:strRef>
              <c:f>summarized!$J$12</c:f>
              <c:strCache>
                <c:ptCount val="1"/>
                <c:pt idx="0">
                  <c:v>ml:0-s3k-plu-spl:F-mgv6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summarized!$K$12:$V$12</c:f>
            </c:numRef>
          </c:val>
          <c:smooth val="0"/>
          <c:extLst>
            <c:ext xmlns:c16="http://schemas.microsoft.com/office/drawing/2014/chart" uri="{C3380CC4-5D6E-409C-BE32-E72D297353CC}">
              <c16:uniqueId val="{0000000A-80BB-2E4C-B36D-ADCB26AB626C}"/>
            </c:ext>
          </c:extLst>
        </c:ser>
        <c:ser>
          <c:idx val="11"/>
          <c:order val="11"/>
          <c:tx>
            <c:strRef>
              <c:f>summarized!$J$13</c:f>
              <c:strCache>
                <c:ptCount val="1"/>
                <c:pt idx="0">
                  <c:v>ml:0-s1.2k-plu-spl:T-mgv9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summarized!$K$13:$V$13</c:f>
              <c:numCache>
                <c:formatCode>0.00</c:formatCode>
                <c:ptCount val="12"/>
                <c:pt idx="0">
                  <c:v>0.69</c:v>
                </c:pt>
                <c:pt idx="1">
                  <c:v>0.7</c:v>
                </c:pt>
                <c:pt idx="2">
                  <c:v>0.66</c:v>
                </c:pt>
                <c:pt idx="3">
                  <c:v>0.7</c:v>
                </c:pt>
                <c:pt idx="4">
                  <c:v>0.65</c:v>
                </c:pt>
                <c:pt idx="5">
                  <c:v>0.7</c:v>
                </c:pt>
                <c:pt idx="6">
                  <c:v>0.72</c:v>
                </c:pt>
                <c:pt idx="7">
                  <c:v>0.75</c:v>
                </c:pt>
                <c:pt idx="8">
                  <c:v>0.71</c:v>
                </c:pt>
                <c:pt idx="9">
                  <c:v>0.64</c:v>
                </c:pt>
                <c:pt idx="10">
                  <c:v>0.63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0BB-2E4C-B36D-ADCB26AB626C}"/>
            </c:ext>
          </c:extLst>
        </c:ser>
        <c:ser>
          <c:idx val="12"/>
          <c:order val="12"/>
          <c:tx>
            <c:strRef>
              <c:f>summarized!$J$14</c:f>
              <c:strCache>
                <c:ptCount val="1"/>
                <c:pt idx="0">
                  <c:v>ml:0-s2k-plu-spl:F-mgv6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summarized!$K$14:$V$14</c:f>
            </c:numRef>
          </c:val>
          <c:smooth val="0"/>
          <c:extLst>
            <c:ext xmlns:c16="http://schemas.microsoft.com/office/drawing/2014/chart" uri="{C3380CC4-5D6E-409C-BE32-E72D297353CC}">
              <c16:uniqueId val="{0000000C-80BB-2E4C-B36D-ADCB26AB626C}"/>
            </c:ext>
          </c:extLst>
        </c:ser>
        <c:ser>
          <c:idx val="13"/>
          <c:order val="13"/>
          <c:tx>
            <c:strRef>
              <c:f>summarized!$J$15</c:f>
              <c:strCache>
                <c:ptCount val="1"/>
                <c:pt idx="0">
                  <c:v>ml:0-s1.2k-plu-spl:T-mgv6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summarized!$K$15:$V$15</c:f>
            </c:numRef>
          </c:val>
          <c:smooth val="0"/>
          <c:extLst>
            <c:ext xmlns:c16="http://schemas.microsoft.com/office/drawing/2014/chart" uri="{C3380CC4-5D6E-409C-BE32-E72D297353CC}">
              <c16:uniqueId val="{0000000D-80BB-2E4C-B36D-ADCB26AB626C}"/>
            </c:ext>
          </c:extLst>
        </c:ser>
        <c:ser>
          <c:idx val="14"/>
          <c:order val="14"/>
          <c:tx>
            <c:strRef>
              <c:f>summarized!$J$16</c:f>
              <c:strCache>
                <c:ptCount val="1"/>
                <c:pt idx="0">
                  <c:v>ml:3-s2k-plu-spl:F-mgv9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summarized!$K$16:$V$16</c:f>
              <c:numCache>
                <c:formatCode>0.00</c:formatCode>
                <c:ptCount val="12"/>
                <c:pt idx="0">
                  <c:v>0.68</c:v>
                </c:pt>
                <c:pt idx="1">
                  <c:v>0.66</c:v>
                </c:pt>
                <c:pt idx="2">
                  <c:v>0.67</c:v>
                </c:pt>
                <c:pt idx="3">
                  <c:v>0.68</c:v>
                </c:pt>
                <c:pt idx="4">
                  <c:v>0.66</c:v>
                </c:pt>
                <c:pt idx="5">
                  <c:v>0.66</c:v>
                </c:pt>
                <c:pt idx="6">
                  <c:v>0.68</c:v>
                </c:pt>
                <c:pt idx="7">
                  <c:v>0.73</c:v>
                </c:pt>
                <c:pt idx="8">
                  <c:v>0.69</c:v>
                </c:pt>
                <c:pt idx="9">
                  <c:v>0.7</c:v>
                </c:pt>
                <c:pt idx="10">
                  <c:v>0.69</c:v>
                </c:pt>
                <c:pt idx="11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0BB-2E4C-B36D-ADCB26AB626C}"/>
            </c:ext>
          </c:extLst>
        </c:ser>
        <c:ser>
          <c:idx val="15"/>
          <c:order val="15"/>
          <c:tx>
            <c:strRef>
              <c:f>summarized!$J$17</c:f>
              <c:strCache>
                <c:ptCount val="1"/>
                <c:pt idx="0">
                  <c:v>ml:0-s1.2k-plu-spl:F-mgv3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summarized!$K$17:$V$17</c:f>
            </c:numRef>
          </c:val>
          <c:smooth val="0"/>
          <c:extLst>
            <c:ext xmlns:c16="http://schemas.microsoft.com/office/drawing/2014/chart" uri="{C3380CC4-5D6E-409C-BE32-E72D297353CC}">
              <c16:uniqueId val="{0000000F-80BB-2E4C-B36D-ADCB26AB626C}"/>
            </c:ext>
          </c:extLst>
        </c:ser>
        <c:ser>
          <c:idx val="16"/>
          <c:order val="16"/>
          <c:tx>
            <c:strRef>
              <c:f>summarized!$J$18</c:f>
              <c:strCache>
                <c:ptCount val="1"/>
                <c:pt idx="0">
                  <c:v>ml:0-s2k-plu-spl:F-mgv9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summarized!$K$18:$V$18</c:f>
              <c:numCache>
                <c:formatCode>0.00</c:formatCode>
                <c:ptCount val="12"/>
                <c:pt idx="0">
                  <c:v>0.66</c:v>
                </c:pt>
                <c:pt idx="1">
                  <c:v>0.69</c:v>
                </c:pt>
                <c:pt idx="2">
                  <c:v>0.79</c:v>
                </c:pt>
                <c:pt idx="3">
                  <c:v>0.6</c:v>
                </c:pt>
                <c:pt idx="4">
                  <c:v>0.69</c:v>
                </c:pt>
                <c:pt idx="5">
                  <c:v>0.71</c:v>
                </c:pt>
                <c:pt idx="6">
                  <c:v>0.69</c:v>
                </c:pt>
                <c:pt idx="7">
                  <c:v>0.65</c:v>
                </c:pt>
                <c:pt idx="8">
                  <c:v>0.69</c:v>
                </c:pt>
                <c:pt idx="9">
                  <c:v>0.66</c:v>
                </c:pt>
                <c:pt idx="10">
                  <c:v>0.65</c:v>
                </c:pt>
                <c:pt idx="11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0BB-2E4C-B36D-ADCB26AB626C}"/>
            </c:ext>
          </c:extLst>
        </c:ser>
        <c:ser>
          <c:idx val="17"/>
          <c:order val="17"/>
          <c:tx>
            <c:strRef>
              <c:f>summarized!$J$19</c:f>
              <c:strCache>
                <c:ptCount val="1"/>
                <c:pt idx="0">
                  <c:v>ml:0-s3k-plu-spl:F-mgv9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summarized!$K$19:$V$19</c:f>
              <c:numCache>
                <c:formatCode>0.00</c:formatCode>
                <c:ptCount val="12"/>
                <c:pt idx="0">
                  <c:v>0.74</c:v>
                </c:pt>
                <c:pt idx="1">
                  <c:v>0.71</c:v>
                </c:pt>
                <c:pt idx="2">
                  <c:v>0.65</c:v>
                </c:pt>
                <c:pt idx="3">
                  <c:v>0.65</c:v>
                </c:pt>
                <c:pt idx="4">
                  <c:v>0.68</c:v>
                </c:pt>
                <c:pt idx="5">
                  <c:v>0.64</c:v>
                </c:pt>
                <c:pt idx="6">
                  <c:v>0.62</c:v>
                </c:pt>
                <c:pt idx="7">
                  <c:v>0.62</c:v>
                </c:pt>
                <c:pt idx="8">
                  <c:v>0.7</c:v>
                </c:pt>
                <c:pt idx="9">
                  <c:v>0.69</c:v>
                </c:pt>
                <c:pt idx="10">
                  <c:v>0.71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0BB-2E4C-B36D-ADCB26AB626C}"/>
            </c:ext>
          </c:extLst>
        </c:ser>
        <c:ser>
          <c:idx val="18"/>
          <c:order val="18"/>
          <c:tx>
            <c:strRef>
              <c:f>summarized!$J$20</c:f>
              <c:strCache>
                <c:ptCount val="1"/>
                <c:pt idx="0">
                  <c:v>ml:2-s2k-plu-spl:F-mgv9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summarized!$K$20:$V$20</c:f>
              <c:numCache>
                <c:formatCode>0.00</c:formatCode>
                <c:ptCount val="12"/>
                <c:pt idx="0">
                  <c:v>0.74</c:v>
                </c:pt>
                <c:pt idx="1">
                  <c:v>0.68</c:v>
                </c:pt>
                <c:pt idx="2">
                  <c:v>0.65</c:v>
                </c:pt>
                <c:pt idx="3">
                  <c:v>0.66</c:v>
                </c:pt>
                <c:pt idx="4">
                  <c:v>0.65</c:v>
                </c:pt>
                <c:pt idx="5">
                  <c:v>0.69</c:v>
                </c:pt>
                <c:pt idx="6">
                  <c:v>0.66</c:v>
                </c:pt>
                <c:pt idx="7">
                  <c:v>0.64</c:v>
                </c:pt>
                <c:pt idx="8">
                  <c:v>0.69</c:v>
                </c:pt>
                <c:pt idx="9">
                  <c:v>0.69</c:v>
                </c:pt>
                <c:pt idx="10">
                  <c:v>0.61</c:v>
                </c:pt>
                <c:pt idx="11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0BB-2E4C-B36D-ADCB26AB626C}"/>
            </c:ext>
          </c:extLst>
        </c:ser>
        <c:ser>
          <c:idx val="19"/>
          <c:order val="19"/>
          <c:tx>
            <c:strRef>
              <c:f>summarized!$J$21</c:f>
              <c:strCache>
                <c:ptCount val="1"/>
                <c:pt idx="0">
                  <c:v>ml:2-s1.2k-plu-spl:F-mgv9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summarized!$K$21:$V$21</c:f>
              <c:numCache>
                <c:formatCode>0.00</c:formatCode>
                <c:ptCount val="12"/>
                <c:pt idx="0">
                  <c:v>0.63</c:v>
                </c:pt>
                <c:pt idx="1">
                  <c:v>0.69</c:v>
                </c:pt>
                <c:pt idx="2">
                  <c:v>0.65</c:v>
                </c:pt>
                <c:pt idx="3">
                  <c:v>0.73</c:v>
                </c:pt>
                <c:pt idx="4">
                  <c:v>0.71</c:v>
                </c:pt>
                <c:pt idx="5">
                  <c:v>0.66</c:v>
                </c:pt>
                <c:pt idx="6">
                  <c:v>0.69</c:v>
                </c:pt>
                <c:pt idx="7">
                  <c:v>0.66</c:v>
                </c:pt>
                <c:pt idx="8">
                  <c:v>0.63</c:v>
                </c:pt>
                <c:pt idx="9">
                  <c:v>0.67</c:v>
                </c:pt>
                <c:pt idx="10">
                  <c:v>0.68</c:v>
                </c:pt>
                <c:pt idx="11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0BB-2E4C-B36D-ADCB26AB626C}"/>
            </c:ext>
          </c:extLst>
        </c:ser>
        <c:ser>
          <c:idx val="20"/>
          <c:order val="20"/>
          <c:tx>
            <c:strRef>
              <c:f>summarized!$J$22</c:f>
              <c:strCache>
                <c:ptCount val="1"/>
                <c:pt idx="0">
                  <c:v>ml:0-s1.2k-plu-spl:F-mgv9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summarized!$K$22:$V$22</c:f>
              <c:numCache>
                <c:formatCode>0.00</c:formatCode>
                <c:ptCount val="12"/>
                <c:pt idx="0">
                  <c:v>0.63</c:v>
                </c:pt>
                <c:pt idx="1">
                  <c:v>0.66</c:v>
                </c:pt>
                <c:pt idx="2">
                  <c:v>0.66</c:v>
                </c:pt>
                <c:pt idx="3">
                  <c:v>0.63</c:v>
                </c:pt>
                <c:pt idx="4">
                  <c:v>0.65</c:v>
                </c:pt>
                <c:pt idx="5">
                  <c:v>0.66</c:v>
                </c:pt>
                <c:pt idx="6">
                  <c:v>0.67</c:v>
                </c:pt>
                <c:pt idx="7">
                  <c:v>0.72</c:v>
                </c:pt>
                <c:pt idx="8">
                  <c:v>0.71</c:v>
                </c:pt>
                <c:pt idx="9">
                  <c:v>0.65</c:v>
                </c:pt>
                <c:pt idx="10">
                  <c:v>0.63</c:v>
                </c:pt>
                <c:pt idx="11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0BB-2E4C-B36D-ADCB26AB626C}"/>
            </c:ext>
          </c:extLst>
        </c:ser>
        <c:ser>
          <c:idx val="21"/>
          <c:order val="21"/>
          <c:tx>
            <c:strRef>
              <c:f>summarized!$J$23</c:f>
              <c:strCache>
                <c:ptCount val="1"/>
                <c:pt idx="0">
                  <c:v>ml:0-s1.2k-plu-spl:F-mgv6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summarized!$K$23:$V$23</c:f>
            </c:numRef>
          </c:val>
          <c:smooth val="0"/>
          <c:extLst>
            <c:ext xmlns:c16="http://schemas.microsoft.com/office/drawing/2014/chart" uri="{C3380CC4-5D6E-409C-BE32-E72D297353CC}">
              <c16:uniqueId val="{00000015-80BB-2E4C-B36D-ADCB26AB626C}"/>
            </c:ext>
          </c:extLst>
        </c:ser>
        <c:ser>
          <c:idx val="22"/>
          <c:order val="22"/>
          <c:tx>
            <c:strRef>
              <c:f>summarized!$J$24</c:f>
              <c:strCache>
                <c:ptCount val="1"/>
                <c:pt idx="0">
                  <c:v>ml:0-s2k-gen-spl:T-mgv6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summarized!$K$24:$V$24</c:f>
            </c:numRef>
          </c:val>
          <c:smooth val="0"/>
          <c:extLst>
            <c:ext xmlns:c16="http://schemas.microsoft.com/office/drawing/2014/chart" uri="{C3380CC4-5D6E-409C-BE32-E72D297353CC}">
              <c16:uniqueId val="{00000016-80BB-2E4C-B36D-ADCB26AB626C}"/>
            </c:ext>
          </c:extLst>
        </c:ser>
        <c:ser>
          <c:idx val="23"/>
          <c:order val="23"/>
          <c:tx>
            <c:strRef>
              <c:f>summarized!$J$25</c:f>
              <c:strCache>
                <c:ptCount val="1"/>
                <c:pt idx="0">
                  <c:v>ml:0-s1.2k-gen-spl:T-mgv9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summarized!$K$25:$V$25</c:f>
              <c:numCache>
                <c:formatCode>0.00</c:formatCode>
                <c:ptCount val="12"/>
                <c:pt idx="0">
                  <c:v>0.82</c:v>
                </c:pt>
                <c:pt idx="1">
                  <c:v>0.77</c:v>
                </c:pt>
                <c:pt idx="2">
                  <c:v>0.74</c:v>
                </c:pt>
                <c:pt idx="3">
                  <c:v>0.78</c:v>
                </c:pt>
                <c:pt idx="4">
                  <c:v>0.68</c:v>
                </c:pt>
                <c:pt idx="5">
                  <c:v>0.7</c:v>
                </c:pt>
                <c:pt idx="6">
                  <c:v>0.79</c:v>
                </c:pt>
                <c:pt idx="7">
                  <c:v>0.75</c:v>
                </c:pt>
                <c:pt idx="8">
                  <c:v>0.77</c:v>
                </c:pt>
                <c:pt idx="9">
                  <c:v>0.75</c:v>
                </c:pt>
                <c:pt idx="10">
                  <c:v>0.68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0BB-2E4C-B36D-ADCB26AB626C}"/>
            </c:ext>
          </c:extLst>
        </c:ser>
        <c:ser>
          <c:idx val="24"/>
          <c:order val="24"/>
          <c:tx>
            <c:strRef>
              <c:f>summarized!$J$26</c:f>
              <c:strCache>
                <c:ptCount val="1"/>
                <c:pt idx="0">
                  <c:v>ml:0-s2k-gen-spl:T-mgv9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summarized!$K$26:$V$26</c:f>
              <c:numCache>
                <c:formatCode>0.00</c:formatCode>
                <c:ptCount val="12"/>
                <c:pt idx="0">
                  <c:v>0.77</c:v>
                </c:pt>
                <c:pt idx="1">
                  <c:v>0.73</c:v>
                </c:pt>
                <c:pt idx="2">
                  <c:v>0.79</c:v>
                </c:pt>
                <c:pt idx="3">
                  <c:v>0.77</c:v>
                </c:pt>
                <c:pt idx="4">
                  <c:v>0.74</c:v>
                </c:pt>
                <c:pt idx="5">
                  <c:v>0.73</c:v>
                </c:pt>
                <c:pt idx="6">
                  <c:v>0.83</c:v>
                </c:pt>
                <c:pt idx="7">
                  <c:v>0.79</c:v>
                </c:pt>
                <c:pt idx="8">
                  <c:v>0.8</c:v>
                </c:pt>
                <c:pt idx="9">
                  <c:v>0.78</c:v>
                </c:pt>
                <c:pt idx="10">
                  <c:v>0.77</c:v>
                </c:pt>
                <c:pt idx="11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0BB-2E4C-B36D-ADCB26AB626C}"/>
            </c:ext>
          </c:extLst>
        </c:ser>
        <c:ser>
          <c:idx val="25"/>
          <c:order val="25"/>
          <c:tx>
            <c:strRef>
              <c:f>summarized!$J$27</c:f>
              <c:strCache>
                <c:ptCount val="1"/>
                <c:pt idx="0">
                  <c:v>ml:0-s3k-gen-spl:T-mgv9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summarized!$K$27:$V$27</c:f>
              <c:numCache>
                <c:formatCode>0.00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0.81</c:v>
                </c:pt>
                <c:pt idx="4">
                  <c:v>0.78</c:v>
                </c:pt>
                <c:pt idx="5">
                  <c:v>0.76</c:v>
                </c:pt>
                <c:pt idx="6">
                  <c:v>0.8</c:v>
                </c:pt>
                <c:pt idx="7">
                  <c:v>0.77</c:v>
                </c:pt>
                <c:pt idx="8">
                  <c:v>0.8</c:v>
                </c:pt>
                <c:pt idx="9">
                  <c:v>0.77</c:v>
                </c:pt>
                <c:pt idx="10">
                  <c:v>0.8</c:v>
                </c:pt>
                <c:pt idx="1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0BB-2E4C-B36D-ADCB26AB626C}"/>
            </c:ext>
          </c:extLst>
        </c:ser>
        <c:ser>
          <c:idx val="26"/>
          <c:order val="26"/>
          <c:tx>
            <c:strRef>
              <c:f>summarized!$J$28</c:f>
              <c:strCache>
                <c:ptCount val="1"/>
                <c:pt idx="0">
                  <c:v>ml:2-s1.2k-gen-spl:T-mgv9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summarized!$K$28:$V$28</c:f>
              <c:numCache>
                <c:formatCode>0.00</c:formatCode>
                <c:ptCount val="12"/>
                <c:pt idx="0">
                  <c:v>0.78</c:v>
                </c:pt>
                <c:pt idx="1">
                  <c:v>0.85</c:v>
                </c:pt>
                <c:pt idx="2">
                  <c:v>0.81</c:v>
                </c:pt>
                <c:pt idx="3">
                  <c:v>0.81</c:v>
                </c:pt>
                <c:pt idx="4">
                  <c:v>0.72</c:v>
                </c:pt>
                <c:pt idx="5">
                  <c:v>0.78</c:v>
                </c:pt>
                <c:pt idx="6">
                  <c:v>0.71</c:v>
                </c:pt>
                <c:pt idx="7">
                  <c:v>0.79</c:v>
                </c:pt>
                <c:pt idx="8">
                  <c:v>0.79</c:v>
                </c:pt>
                <c:pt idx="9">
                  <c:v>0.79</c:v>
                </c:pt>
                <c:pt idx="10">
                  <c:v>0.72</c:v>
                </c:pt>
                <c:pt idx="11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0BB-2E4C-B36D-ADCB26AB626C}"/>
            </c:ext>
          </c:extLst>
        </c:ser>
        <c:ser>
          <c:idx val="27"/>
          <c:order val="27"/>
          <c:tx>
            <c:strRef>
              <c:f>summarized!$J$29</c:f>
              <c:strCache>
                <c:ptCount val="1"/>
                <c:pt idx="0">
                  <c:v>ml:0-s3k-gen-spl:T-mgv6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summarized!$K$29:$V$29</c:f>
            </c:numRef>
          </c:val>
          <c:smooth val="0"/>
          <c:extLst>
            <c:ext xmlns:c16="http://schemas.microsoft.com/office/drawing/2014/chart" uri="{C3380CC4-5D6E-409C-BE32-E72D297353CC}">
              <c16:uniqueId val="{0000001B-80BB-2E4C-B36D-ADCB26AB626C}"/>
            </c:ext>
          </c:extLst>
        </c:ser>
        <c:ser>
          <c:idx val="28"/>
          <c:order val="28"/>
          <c:tx>
            <c:strRef>
              <c:f>summarized!$J$30</c:f>
              <c:strCache>
                <c:ptCount val="1"/>
                <c:pt idx="0">
                  <c:v>ml:0-s1.2k-gen-spl:T-mgv3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summarized!$K$30:$V$30</c:f>
            </c:numRef>
          </c:val>
          <c:smooth val="0"/>
          <c:extLst>
            <c:ext xmlns:c16="http://schemas.microsoft.com/office/drawing/2014/chart" uri="{C3380CC4-5D6E-409C-BE32-E72D297353CC}">
              <c16:uniqueId val="{0000001C-80BB-2E4C-B36D-ADCB26AB626C}"/>
            </c:ext>
          </c:extLst>
        </c:ser>
        <c:ser>
          <c:idx val="29"/>
          <c:order val="29"/>
          <c:tx>
            <c:strRef>
              <c:f>summarized!$J$31</c:f>
              <c:strCache>
                <c:ptCount val="1"/>
                <c:pt idx="0">
                  <c:v>ml:2-s2k-gen-spl:T-mgv9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summarized!$K$31:$V$31</c:f>
              <c:numCache>
                <c:formatCode>0.00</c:formatCode>
                <c:ptCount val="12"/>
                <c:pt idx="0">
                  <c:v>0.81</c:v>
                </c:pt>
                <c:pt idx="1">
                  <c:v>0.77</c:v>
                </c:pt>
                <c:pt idx="2">
                  <c:v>0.82</c:v>
                </c:pt>
                <c:pt idx="3">
                  <c:v>0.75</c:v>
                </c:pt>
                <c:pt idx="4">
                  <c:v>0.72</c:v>
                </c:pt>
                <c:pt idx="5">
                  <c:v>0.77</c:v>
                </c:pt>
                <c:pt idx="6">
                  <c:v>0.74</c:v>
                </c:pt>
                <c:pt idx="7">
                  <c:v>0.81</c:v>
                </c:pt>
                <c:pt idx="8">
                  <c:v>0.77</c:v>
                </c:pt>
                <c:pt idx="9">
                  <c:v>0.8</c:v>
                </c:pt>
                <c:pt idx="10">
                  <c:v>0.72</c:v>
                </c:pt>
                <c:pt idx="11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0BB-2E4C-B36D-ADCB26AB626C}"/>
            </c:ext>
          </c:extLst>
        </c:ser>
        <c:ser>
          <c:idx val="30"/>
          <c:order val="30"/>
          <c:tx>
            <c:strRef>
              <c:f>summarized!$J$32</c:f>
              <c:strCache>
                <c:ptCount val="1"/>
                <c:pt idx="0">
                  <c:v>ml:0-s1.2k-gen-spl:T-mgv6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summarized!$K$32:$V$32</c:f>
            </c:numRef>
          </c:val>
          <c:smooth val="0"/>
          <c:extLst>
            <c:ext xmlns:c16="http://schemas.microsoft.com/office/drawing/2014/chart" uri="{C3380CC4-5D6E-409C-BE32-E72D297353CC}">
              <c16:uniqueId val="{0000001E-80BB-2E4C-B36D-ADCB26AB626C}"/>
            </c:ext>
          </c:extLst>
        </c:ser>
        <c:ser>
          <c:idx val="31"/>
          <c:order val="31"/>
          <c:tx>
            <c:strRef>
              <c:f>summarized!$J$33</c:f>
              <c:strCache>
                <c:ptCount val="1"/>
                <c:pt idx="0">
                  <c:v>ml:3-s1.2k-gen-spl:T-mgv9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summarized!$K$33:$V$33</c:f>
              <c:numCache>
                <c:formatCode>0.00</c:formatCode>
                <c:ptCount val="12"/>
                <c:pt idx="0">
                  <c:v>0.82</c:v>
                </c:pt>
                <c:pt idx="1">
                  <c:v>0.74</c:v>
                </c:pt>
                <c:pt idx="2">
                  <c:v>0.73</c:v>
                </c:pt>
                <c:pt idx="3">
                  <c:v>0.82</c:v>
                </c:pt>
                <c:pt idx="4">
                  <c:v>0.73</c:v>
                </c:pt>
                <c:pt idx="5">
                  <c:v>0.71</c:v>
                </c:pt>
                <c:pt idx="6">
                  <c:v>0.82</c:v>
                </c:pt>
                <c:pt idx="7">
                  <c:v>0.8</c:v>
                </c:pt>
                <c:pt idx="8">
                  <c:v>0.74</c:v>
                </c:pt>
                <c:pt idx="9">
                  <c:v>0.78</c:v>
                </c:pt>
                <c:pt idx="10">
                  <c:v>0.7</c:v>
                </c:pt>
                <c:pt idx="11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0BB-2E4C-B36D-ADCB26AB626C}"/>
            </c:ext>
          </c:extLst>
        </c:ser>
        <c:ser>
          <c:idx val="32"/>
          <c:order val="32"/>
          <c:tx>
            <c:strRef>
              <c:f>summarized!$J$34</c:f>
              <c:strCache>
                <c:ptCount val="1"/>
                <c:pt idx="0">
                  <c:v>ml:2-s1.2k-gen-spl:F-mgv9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summarized!$K$34:$V$34</c:f>
              <c:numCache>
                <c:formatCode>0.00</c:formatCode>
                <c:ptCount val="12"/>
                <c:pt idx="0">
                  <c:v>0.73</c:v>
                </c:pt>
                <c:pt idx="1">
                  <c:v>0.76</c:v>
                </c:pt>
                <c:pt idx="2">
                  <c:v>0.81</c:v>
                </c:pt>
                <c:pt idx="3">
                  <c:v>0.77</c:v>
                </c:pt>
                <c:pt idx="4">
                  <c:v>0.75</c:v>
                </c:pt>
                <c:pt idx="5">
                  <c:v>0.77</c:v>
                </c:pt>
                <c:pt idx="6">
                  <c:v>0.73</c:v>
                </c:pt>
                <c:pt idx="7">
                  <c:v>0.78</c:v>
                </c:pt>
                <c:pt idx="8">
                  <c:v>0.74</c:v>
                </c:pt>
                <c:pt idx="9">
                  <c:v>0.8</c:v>
                </c:pt>
                <c:pt idx="10">
                  <c:v>0.68</c:v>
                </c:pt>
                <c:pt idx="11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0BB-2E4C-B36D-ADCB26AB626C}"/>
            </c:ext>
          </c:extLst>
        </c:ser>
        <c:ser>
          <c:idx val="33"/>
          <c:order val="33"/>
          <c:tx>
            <c:strRef>
              <c:f>summarized!$J$35</c:f>
              <c:strCache>
                <c:ptCount val="1"/>
                <c:pt idx="0">
                  <c:v>ml:0-s3k-gen-spl:F-mgv9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summarized!$K$35:$V$35</c:f>
              <c:numCache>
                <c:formatCode>0.00</c:formatCode>
                <c:ptCount val="12"/>
                <c:pt idx="0">
                  <c:v>0.76</c:v>
                </c:pt>
                <c:pt idx="1">
                  <c:v>0.76</c:v>
                </c:pt>
                <c:pt idx="2">
                  <c:v>0.74</c:v>
                </c:pt>
                <c:pt idx="3">
                  <c:v>0.76</c:v>
                </c:pt>
                <c:pt idx="4">
                  <c:v>0.78</c:v>
                </c:pt>
                <c:pt idx="5">
                  <c:v>0.75</c:v>
                </c:pt>
                <c:pt idx="6">
                  <c:v>0.72</c:v>
                </c:pt>
                <c:pt idx="7">
                  <c:v>0.73</c:v>
                </c:pt>
                <c:pt idx="8">
                  <c:v>0.76</c:v>
                </c:pt>
                <c:pt idx="9">
                  <c:v>0.76</c:v>
                </c:pt>
                <c:pt idx="10">
                  <c:v>0.82</c:v>
                </c:pt>
                <c:pt idx="11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0BB-2E4C-B36D-ADCB26AB626C}"/>
            </c:ext>
          </c:extLst>
        </c:ser>
        <c:ser>
          <c:idx val="34"/>
          <c:order val="34"/>
          <c:tx>
            <c:strRef>
              <c:f>summarized!$J$36</c:f>
              <c:strCache>
                <c:ptCount val="1"/>
                <c:pt idx="0">
                  <c:v>ml:3-s2k-gen-spl:F-mgv9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summarized!$K$36:$V$36</c:f>
              <c:numCache>
                <c:formatCode>0.00</c:formatCode>
                <c:ptCount val="12"/>
                <c:pt idx="0">
                  <c:v>0.84</c:v>
                </c:pt>
                <c:pt idx="1">
                  <c:v>0.74</c:v>
                </c:pt>
                <c:pt idx="2">
                  <c:v>0.68</c:v>
                </c:pt>
                <c:pt idx="3">
                  <c:v>0.7</c:v>
                </c:pt>
                <c:pt idx="4">
                  <c:v>0.73</c:v>
                </c:pt>
                <c:pt idx="5">
                  <c:v>0.73</c:v>
                </c:pt>
                <c:pt idx="6">
                  <c:v>0.74</c:v>
                </c:pt>
                <c:pt idx="7">
                  <c:v>0.79</c:v>
                </c:pt>
                <c:pt idx="8">
                  <c:v>0.74</c:v>
                </c:pt>
                <c:pt idx="9">
                  <c:v>0.8</c:v>
                </c:pt>
                <c:pt idx="10">
                  <c:v>0.75</c:v>
                </c:pt>
                <c:pt idx="11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0BB-2E4C-B36D-ADCB26AB626C}"/>
            </c:ext>
          </c:extLst>
        </c:ser>
        <c:ser>
          <c:idx val="35"/>
          <c:order val="35"/>
          <c:tx>
            <c:strRef>
              <c:f>summarized!$J$37</c:f>
              <c:strCache>
                <c:ptCount val="1"/>
                <c:pt idx="0">
                  <c:v>ml:0-s2k-gen-spl:F-mgv6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summarized!$K$37:$V$37</c:f>
            </c:numRef>
          </c:val>
          <c:smooth val="0"/>
          <c:extLst>
            <c:ext xmlns:c16="http://schemas.microsoft.com/office/drawing/2014/chart" uri="{C3380CC4-5D6E-409C-BE32-E72D297353CC}">
              <c16:uniqueId val="{00000023-80BB-2E4C-B36D-ADCB26AB626C}"/>
            </c:ext>
          </c:extLst>
        </c:ser>
        <c:ser>
          <c:idx val="36"/>
          <c:order val="36"/>
          <c:tx>
            <c:strRef>
              <c:f>summarized!$J$38</c:f>
              <c:strCache>
                <c:ptCount val="1"/>
                <c:pt idx="0">
                  <c:v>ml:3-s2k-gen-spl:T-mgv9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summarized!$K$38:$V$38</c:f>
              <c:numCache>
                <c:formatCode>0.00</c:formatCode>
                <c:ptCount val="12"/>
                <c:pt idx="0">
                  <c:v>0.85</c:v>
                </c:pt>
                <c:pt idx="1">
                  <c:v>0.78</c:v>
                </c:pt>
                <c:pt idx="2">
                  <c:v>0.76</c:v>
                </c:pt>
                <c:pt idx="3">
                  <c:v>0.75</c:v>
                </c:pt>
                <c:pt idx="4">
                  <c:v>0.73</c:v>
                </c:pt>
                <c:pt idx="5">
                  <c:v>0.77</c:v>
                </c:pt>
                <c:pt idx="6">
                  <c:v>0.78</c:v>
                </c:pt>
                <c:pt idx="7">
                  <c:v>0.82</c:v>
                </c:pt>
                <c:pt idx="8">
                  <c:v>0.76</c:v>
                </c:pt>
                <c:pt idx="9">
                  <c:v>0.83</c:v>
                </c:pt>
                <c:pt idx="10">
                  <c:v>0.76</c:v>
                </c:pt>
                <c:pt idx="11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0BB-2E4C-B36D-ADCB26AB626C}"/>
            </c:ext>
          </c:extLst>
        </c:ser>
        <c:ser>
          <c:idx val="37"/>
          <c:order val="37"/>
          <c:tx>
            <c:strRef>
              <c:f>summarized!$J$39</c:f>
              <c:strCache>
                <c:ptCount val="1"/>
                <c:pt idx="0">
                  <c:v>ml:2-s2k-gen-spl:F-mgv9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summarized!$K$39:$V$39</c:f>
              <c:numCache>
                <c:formatCode>0.00</c:formatCode>
                <c:ptCount val="12"/>
                <c:pt idx="0">
                  <c:v>0.71</c:v>
                </c:pt>
                <c:pt idx="1">
                  <c:v>0.74</c:v>
                </c:pt>
                <c:pt idx="2">
                  <c:v>0.76</c:v>
                </c:pt>
                <c:pt idx="3">
                  <c:v>0.74</c:v>
                </c:pt>
                <c:pt idx="4">
                  <c:v>0.75</c:v>
                </c:pt>
                <c:pt idx="5">
                  <c:v>0.73</c:v>
                </c:pt>
                <c:pt idx="6">
                  <c:v>0.69</c:v>
                </c:pt>
                <c:pt idx="7">
                  <c:v>0.75</c:v>
                </c:pt>
                <c:pt idx="8">
                  <c:v>0.77</c:v>
                </c:pt>
                <c:pt idx="9">
                  <c:v>0.75</c:v>
                </c:pt>
                <c:pt idx="10">
                  <c:v>0.75</c:v>
                </c:pt>
                <c:pt idx="11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0BB-2E4C-B36D-ADCB26AB626C}"/>
            </c:ext>
          </c:extLst>
        </c:ser>
        <c:ser>
          <c:idx val="38"/>
          <c:order val="38"/>
          <c:tx>
            <c:strRef>
              <c:f>summarized!$J$40</c:f>
              <c:strCache>
                <c:ptCount val="1"/>
                <c:pt idx="0">
                  <c:v>ml:0-s3k-gen-spl:F-mgv6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summarized!$K$40:$V$40</c:f>
            </c:numRef>
          </c:val>
          <c:smooth val="0"/>
          <c:extLst>
            <c:ext xmlns:c16="http://schemas.microsoft.com/office/drawing/2014/chart" uri="{C3380CC4-5D6E-409C-BE32-E72D297353CC}">
              <c16:uniqueId val="{00000026-80BB-2E4C-B36D-ADCB26AB626C}"/>
            </c:ext>
          </c:extLst>
        </c:ser>
        <c:ser>
          <c:idx val="39"/>
          <c:order val="39"/>
          <c:tx>
            <c:strRef>
              <c:f>summarized!$J$41</c:f>
              <c:strCache>
                <c:ptCount val="1"/>
                <c:pt idx="0">
                  <c:v>ml:0-s1.2k-gen-spl:F-mgv6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summarized!$K$41:$V$41</c:f>
            </c:numRef>
          </c:val>
          <c:smooth val="0"/>
          <c:extLst>
            <c:ext xmlns:c16="http://schemas.microsoft.com/office/drawing/2014/chart" uri="{C3380CC4-5D6E-409C-BE32-E72D297353CC}">
              <c16:uniqueId val="{00000027-80BB-2E4C-B36D-ADCB26AB626C}"/>
            </c:ext>
          </c:extLst>
        </c:ser>
        <c:ser>
          <c:idx val="40"/>
          <c:order val="40"/>
          <c:tx>
            <c:strRef>
              <c:f>summarized!$J$42</c:f>
              <c:strCache>
                <c:ptCount val="1"/>
                <c:pt idx="0">
                  <c:v>ml:0-s2k-gen-spl:F-mgv9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summarized!$K$42:$V$42</c:f>
              <c:numCache>
                <c:formatCode>0.00</c:formatCode>
                <c:ptCount val="12"/>
                <c:pt idx="0">
                  <c:v>0.69</c:v>
                </c:pt>
                <c:pt idx="1">
                  <c:v>0.69</c:v>
                </c:pt>
                <c:pt idx="2">
                  <c:v>0.76</c:v>
                </c:pt>
                <c:pt idx="3">
                  <c:v>0.74</c:v>
                </c:pt>
                <c:pt idx="4">
                  <c:v>0.74</c:v>
                </c:pt>
                <c:pt idx="5">
                  <c:v>0.74</c:v>
                </c:pt>
                <c:pt idx="6">
                  <c:v>0.76</c:v>
                </c:pt>
                <c:pt idx="7">
                  <c:v>0.77</c:v>
                </c:pt>
                <c:pt idx="8">
                  <c:v>0.76</c:v>
                </c:pt>
                <c:pt idx="9">
                  <c:v>0.74</c:v>
                </c:pt>
                <c:pt idx="10">
                  <c:v>0.76</c:v>
                </c:pt>
                <c:pt idx="11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0BB-2E4C-B36D-ADCB26AB626C}"/>
            </c:ext>
          </c:extLst>
        </c:ser>
        <c:ser>
          <c:idx val="41"/>
          <c:order val="41"/>
          <c:tx>
            <c:strRef>
              <c:f>summarized!$J$43</c:f>
              <c:strCache>
                <c:ptCount val="1"/>
                <c:pt idx="0">
                  <c:v>ml:0-s1.2k-gen-spl:F-mgv3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summarized!$K$43:$V$43</c:f>
            </c:numRef>
          </c:val>
          <c:smooth val="0"/>
          <c:extLst>
            <c:ext xmlns:c16="http://schemas.microsoft.com/office/drawing/2014/chart" uri="{C3380CC4-5D6E-409C-BE32-E72D297353CC}">
              <c16:uniqueId val="{00000029-80BB-2E4C-B36D-ADCB26AB626C}"/>
            </c:ext>
          </c:extLst>
        </c:ser>
        <c:ser>
          <c:idx val="42"/>
          <c:order val="42"/>
          <c:tx>
            <c:strRef>
              <c:f>summarized!$J$44</c:f>
              <c:strCache>
                <c:ptCount val="1"/>
                <c:pt idx="0">
                  <c:v>ml:3-s1.2k-gen-spl:F-mgv9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summarized!$K$44:$V$44</c:f>
              <c:numCache>
                <c:formatCode>0.00</c:formatCode>
                <c:ptCount val="12"/>
                <c:pt idx="0">
                  <c:v>0.78</c:v>
                </c:pt>
                <c:pt idx="1">
                  <c:v>0.72</c:v>
                </c:pt>
                <c:pt idx="2">
                  <c:v>0.7</c:v>
                </c:pt>
                <c:pt idx="3">
                  <c:v>0.76</c:v>
                </c:pt>
                <c:pt idx="4">
                  <c:v>0.73</c:v>
                </c:pt>
                <c:pt idx="5">
                  <c:v>0.65</c:v>
                </c:pt>
                <c:pt idx="6">
                  <c:v>0.76</c:v>
                </c:pt>
                <c:pt idx="7">
                  <c:v>0.73</c:v>
                </c:pt>
                <c:pt idx="8">
                  <c:v>0.71</c:v>
                </c:pt>
                <c:pt idx="9">
                  <c:v>0.8</c:v>
                </c:pt>
                <c:pt idx="10">
                  <c:v>0.66</c:v>
                </c:pt>
                <c:pt idx="1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0BB-2E4C-B36D-ADCB26AB626C}"/>
            </c:ext>
          </c:extLst>
        </c:ser>
        <c:ser>
          <c:idx val="43"/>
          <c:order val="43"/>
          <c:tx>
            <c:strRef>
              <c:f>summarized!$J$45</c:f>
              <c:strCache>
                <c:ptCount val="1"/>
                <c:pt idx="0">
                  <c:v>ml:0-s1.2k-gen-spl:F-mgv9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summarized!$K$45:$V$45</c:f>
              <c:numCache>
                <c:formatCode>0.00</c:formatCode>
                <c:ptCount val="12"/>
                <c:pt idx="0">
                  <c:v>0.72</c:v>
                </c:pt>
                <c:pt idx="1">
                  <c:v>0.71</c:v>
                </c:pt>
                <c:pt idx="2">
                  <c:v>0.73</c:v>
                </c:pt>
                <c:pt idx="3">
                  <c:v>0.72</c:v>
                </c:pt>
                <c:pt idx="4">
                  <c:v>0.75</c:v>
                </c:pt>
                <c:pt idx="5">
                  <c:v>0.71</c:v>
                </c:pt>
                <c:pt idx="6">
                  <c:v>0.72</c:v>
                </c:pt>
                <c:pt idx="7">
                  <c:v>0.7</c:v>
                </c:pt>
                <c:pt idx="8">
                  <c:v>0.73</c:v>
                </c:pt>
                <c:pt idx="9">
                  <c:v>0.74</c:v>
                </c:pt>
                <c:pt idx="10">
                  <c:v>0.64</c:v>
                </c:pt>
                <c:pt idx="11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80BB-2E4C-B36D-ADCB26AB626C}"/>
            </c:ext>
          </c:extLst>
        </c:ser>
        <c:ser>
          <c:idx val="44"/>
          <c:order val="44"/>
          <c:tx>
            <c:strRef>
              <c:f>summarized!$J$46</c:f>
              <c:strCache>
                <c:ptCount val="1"/>
                <c:pt idx="0">
                  <c:v>ml:0-s1.2k-cas-spl:T-mgv6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summarized!$K$46:$V$46</c:f>
            </c:numRef>
          </c:val>
          <c:smooth val="0"/>
          <c:extLst>
            <c:ext xmlns:c16="http://schemas.microsoft.com/office/drawing/2014/chart" uri="{C3380CC4-5D6E-409C-BE32-E72D297353CC}">
              <c16:uniqueId val="{0000002C-80BB-2E4C-B36D-ADCB26AB626C}"/>
            </c:ext>
          </c:extLst>
        </c:ser>
        <c:ser>
          <c:idx val="45"/>
          <c:order val="45"/>
          <c:tx>
            <c:strRef>
              <c:f>summarized!$J$47</c:f>
              <c:strCache>
                <c:ptCount val="1"/>
                <c:pt idx="0">
                  <c:v>ml:0-s1.2k-cas-spl:F-mgv6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summarized!$K$47:$V$47</c:f>
            </c:numRef>
          </c:val>
          <c:smooth val="0"/>
          <c:extLst>
            <c:ext xmlns:c16="http://schemas.microsoft.com/office/drawing/2014/chart" uri="{C3380CC4-5D6E-409C-BE32-E72D297353CC}">
              <c16:uniqueId val="{0000002D-80BB-2E4C-B36D-ADCB26AB626C}"/>
            </c:ext>
          </c:extLst>
        </c:ser>
        <c:ser>
          <c:idx val="46"/>
          <c:order val="46"/>
          <c:tx>
            <c:strRef>
              <c:f>summarized!$J$48</c:f>
              <c:strCache>
                <c:ptCount val="1"/>
                <c:pt idx="0">
                  <c:v>ml:2-s2k-cas-spl:T-mgv9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summarized!$K$48:$V$48</c:f>
              <c:numCache>
                <c:formatCode>0.00</c:formatCode>
                <c:ptCount val="12"/>
                <c:pt idx="0">
                  <c:v>0.98</c:v>
                </c:pt>
                <c:pt idx="1">
                  <c:v>0.99</c:v>
                </c:pt>
                <c:pt idx="2">
                  <c:v>0.98</c:v>
                </c:pt>
                <c:pt idx="3">
                  <c:v>0.98</c:v>
                </c:pt>
                <c:pt idx="4">
                  <c:v>0.96</c:v>
                </c:pt>
                <c:pt idx="5">
                  <c:v>0.98</c:v>
                </c:pt>
                <c:pt idx="6">
                  <c:v>0.99</c:v>
                </c:pt>
                <c:pt idx="7">
                  <c:v>0.96</c:v>
                </c:pt>
                <c:pt idx="8">
                  <c:v>0.97</c:v>
                </c:pt>
                <c:pt idx="9">
                  <c:v>0.96</c:v>
                </c:pt>
                <c:pt idx="10">
                  <c:v>0.97</c:v>
                </c:pt>
                <c:pt idx="1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0BB-2E4C-B36D-ADCB26AB626C}"/>
            </c:ext>
          </c:extLst>
        </c:ser>
        <c:ser>
          <c:idx val="47"/>
          <c:order val="47"/>
          <c:tx>
            <c:strRef>
              <c:f>summarized!$J$49</c:f>
              <c:strCache>
                <c:ptCount val="1"/>
                <c:pt idx="0">
                  <c:v>ml:0-s3k-cas-spl:T-mgv9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summarized!$K$49:$V$49</c:f>
              <c:numCache>
                <c:formatCode>0.00</c:formatCode>
                <c:ptCount val="12"/>
                <c:pt idx="0">
                  <c:v>0.98</c:v>
                </c:pt>
                <c:pt idx="1">
                  <c:v>0.97</c:v>
                </c:pt>
                <c:pt idx="2">
                  <c:v>0.98</c:v>
                </c:pt>
                <c:pt idx="3">
                  <c:v>0.98</c:v>
                </c:pt>
                <c:pt idx="4">
                  <c:v>0.97</c:v>
                </c:pt>
                <c:pt idx="5">
                  <c:v>0.97</c:v>
                </c:pt>
                <c:pt idx="6">
                  <c:v>0.96</c:v>
                </c:pt>
                <c:pt idx="7">
                  <c:v>0.98</c:v>
                </c:pt>
                <c:pt idx="8">
                  <c:v>0.98</c:v>
                </c:pt>
                <c:pt idx="9">
                  <c:v>0.96</c:v>
                </c:pt>
                <c:pt idx="10">
                  <c:v>0.97</c:v>
                </c:pt>
                <c:pt idx="11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80BB-2E4C-B36D-ADCB26AB626C}"/>
            </c:ext>
          </c:extLst>
        </c:ser>
        <c:ser>
          <c:idx val="48"/>
          <c:order val="48"/>
          <c:tx>
            <c:strRef>
              <c:f>summarized!$J$50</c:f>
              <c:strCache>
                <c:ptCount val="1"/>
                <c:pt idx="0">
                  <c:v>ml:3-s1.2k-cas-spl:T-mgv9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summarized!$K$50:$V$50</c:f>
              <c:numCache>
                <c:formatCode>0.00</c:formatCode>
                <c:ptCount val="12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0.99</c:v>
                </c:pt>
                <c:pt idx="4">
                  <c:v>0.93</c:v>
                </c:pt>
                <c:pt idx="5">
                  <c:v>0.98</c:v>
                </c:pt>
                <c:pt idx="6">
                  <c:v>0.96</c:v>
                </c:pt>
                <c:pt idx="7">
                  <c:v>0.99</c:v>
                </c:pt>
                <c:pt idx="8">
                  <c:v>0.98</c:v>
                </c:pt>
                <c:pt idx="9">
                  <c:v>0.95</c:v>
                </c:pt>
                <c:pt idx="10">
                  <c:v>0.97</c:v>
                </c:pt>
                <c:pt idx="11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0BB-2E4C-B36D-ADCB26AB626C}"/>
            </c:ext>
          </c:extLst>
        </c:ser>
        <c:ser>
          <c:idx val="49"/>
          <c:order val="49"/>
          <c:tx>
            <c:strRef>
              <c:f>summarized!$J$51</c:f>
              <c:strCache>
                <c:ptCount val="1"/>
                <c:pt idx="0">
                  <c:v>ml:2-s2k-cas-spl:F-mgv9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summarized!$K$51:$V$51</c:f>
              <c:numCache>
                <c:formatCode>0.00</c:formatCode>
                <c:ptCount val="12"/>
                <c:pt idx="0">
                  <c:v>0.96</c:v>
                </c:pt>
                <c:pt idx="1">
                  <c:v>0.99</c:v>
                </c:pt>
                <c:pt idx="2">
                  <c:v>0.98</c:v>
                </c:pt>
                <c:pt idx="3">
                  <c:v>0.98</c:v>
                </c:pt>
                <c:pt idx="4">
                  <c:v>0.96</c:v>
                </c:pt>
                <c:pt idx="5">
                  <c:v>0.98</c:v>
                </c:pt>
                <c:pt idx="6">
                  <c:v>0.99</c:v>
                </c:pt>
                <c:pt idx="7">
                  <c:v>0.96</c:v>
                </c:pt>
                <c:pt idx="8">
                  <c:v>0.97</c:v>
                </c:pt>
                <c:pt idx="9">
                  <c:v>0.96</c:v>
                </c:pt>
                <c:pt idx="10">
                  <c:v>0.97</c:v>
                </c:pt>
                <c:pt idx="1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80BB-2E4C-B36D-ADCB26AB626C}"/>
            </c:ext>
          </c:extLst>
        </c:ser>
        <c:ser>
          <c:idx val="50"/>
          <c:order val="50"/>
          <c:tx>
            <c:strRef>
              <c:f>summarized!$J$52</c:f>
              <c:strCache>
                <c:ptCount val="1"/>
                <c:pt idx="0">
                  <c:v>ml:3-s1.2k-cas-spl:F-mgv9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summarized!$K$52:$V$52</c:f>
              <c:numCache>
                <c:formatCode>0.00</c:formatCode>
                <c:ptCount val="12"/>
                <c:pt idx="0">
                  <c:v>0.98</c:v>
                </c:pt>
                <c:pt idx="1">
                  <c:v>0.99</c:v>
                </c:pt>
                <c:pt idx="2">
                  <c:v>0.98</c:v>
                </c:pt>
                <c:pt idx="3">
                  <c:v>0.99</c:v>
                </c:pt>
                <c:pt idx="4">
                  <c:v>0.94</c:v>
                </c:pt>
                <c:pt idx="5">
                  <c:v>0.98</c:v>
                </c:pt>
                <c:pt idx="6">
                  <c:v>0.96</c:v>
                </c:pt>
                <c:pt idx="7">
                  <c:v>0.99</c:v>
                </c:pt>
                <c:pt idx="8">
                  <c:v>0.98</c:v>
                </c:pt>
                <c:pt idx="9">
                  <c:v>0.95</c:v>
                </c:pt>
                <c:pt idx="10">
                  <c:v>0.97</c:v>
                </c:pt>
                <c:pt idx="11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0BB-2E4C-B36D-ADCB26AB626C}"/>
            </c:ext>
          </c:extLst>
        </c:ser>
        <c:ser>
          <c:idx val="51"/>
          <c:order val="51"/>
          <c:tx>
            <c:strRef>
              <c:f>summarized!$J$53</c:f>
              <c:strCache>
                <c:ptCount val="1"/>
                <c:pt idx="0">
                  <c:v>ml:0-s3k-cas-spl:F-mgv9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summarized!$K$53:$V$53</c:f>
              <c:numCache>
                <c:formatCode>0.00</c:formatCode>
                <c:ptCount val="12"/>
                <c:pt idx="0">
                  <c:v>0.97</c:v>
                </c:pt>
                <c:pt idx="1">
                  <c:v>0.97</c:v>
                </c:pt>
                <c:pt idx="2">
                  <c:v>0.98</c:v>
                </c:pt>
                <c:pt idx="3">
                  <c:v>0.98</c:v>
                </c:pt>
                <c:pt idx="4">
                  <c:v>0.97</c:v>
                </c:pt>
                <c:pt idx="5">
                  <c:v>0.97</c:v>
                </c:pt>
                <c:pt idx="6">
                  <c:v>0.96</c:v>
                </c:pt>
                <c:pt idx="7">
                  <c:v>0.97</c:v>
                </c:pt>
                <c:pt idx="8">
                  <c:v>0.98</c:v>
                </c:pt>
                <c:pt idx="9">
                  <c:v>0.96</c:v>
                </c:pt>
                <c:pt idx="10">
                  <c:v>0.97</c:v>
                </c:pt>
                <c:pt idx="11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80BB-2E4C-B36D-ADCB26AB626C}"/>
            </c:ext>
          </c:extLst>
        </c:ser>
        <c:ser>
          <c:idx val="52"/>
          <c:order val="52"/>
          <c:tx>
            <c:strRef>
              <c:f>summarized!$J$54</c:f>
              <c:strCache>
                <c:ptCount val="1"/>
                <c:pt idx="0">
                  <c:v>ml:2-s1.2k-cas-spl:F-mgv9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summarized!$K$54:$V$54</c:f>
              <c:numCache>
                <c:formatCode>0.00</c:formatCode>
                <c:ptCount val="12"/>
                <c:pt idx="0">
                  <c:v>0.96</c:v>
                </c:pt>
                <c:pt idx="1">
                  <c:v>0.99</c:v>
                </c:pt>
                <c:pt idx="2">
                  <c:v>0.99</c:v>
                </c:pt>
                <c:pt idx="3">
                  <c:v>0.96</c:v>
                </c:pt>
                <c:pt idx="4">
                  <c:v>0.98</c:v>
                </c:pt>
                <c:pt idx="5">
                  <c:v>0.96</c:v>
                </c:pt>
                <c:pt idx="6">
                  <c:v>0.96</c:v>
                </c:pt>
                <c:pt idx="7">
                  <c:v>0.97</c:v>
                </c:pt>
                <c:pt idx="8">
                  <c:v>0.97</c:v>
                </c:pt>
                <c:pt idx="9">
                  <c:v>0.96</c:v>
                </c:pt>
                <c:pt idx="10">
                  <c:v>0.96</c:v>
                </c:pt>
                <c:pt idx="11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0BB-2E4C-B36D-ADCB26AB626C}"/>
            </c:ext>
          </c:extLst>
        </c:ser>
        <c:ser>
          <c:idx val="53"/>
          <c:order val="53"/>
          <c:tx>
            <c:strRef>
              <c:f>summarized!$J$55</c:f>
              <c:strCache>
                <c:ptCount val="1"/>
                <c:pt idx="0">
                  <c:v>ml:2-s1.2k-cas-spl:T-mgv9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summarized!$K$55:$V$55</c:f>
              <c:numCache>
                <c:formatCode>0.00</c:formatCode>
                <c:ptCount val="12"/>
                <c:pt idx="0">
                  <c:v>0.96</c:v>
                </c:pt>
                <c:pt idx="1">
                  <c:v>0.99</c:v>
                </c:pt>
                <c:pt idx="2">
                  <c:v>0.99</c:v>
                </c:pt>
                <c:pt idx="3">
                  <c:v>0.96</c:v>
                </c:pt>
                <c:pt idx="4">
                  <c:v>0.98</c:v>
                </c:pt>
                <c:pt idx="5">
                  <c:v>0.96</c:v>
                </c:pt>
                <c:pt idx="6">
                  <c:v>0.96</c:v>
                </c:pt>
                <c:pt idx="7">
                  <c:v>0.97</c:v>
                </c:pt>
                <c:pt idx="8">
                  <c:v>0.97</c:v>
                </c:pt>
                <c:pt idx="9">
                  <c:v>0.96</c:v>
                </c:pt>
                <c:pt idx="10">
                  <c:v>0.96</c:v>
                </c:pt>
                <c:pt idx="11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80BB-2E4C-B36D-ADCB26AB626C}"/>
            </c:ext>
          </c:extLst>
        </c:ser>
        <c:ser>
          <c:idx val="54"/>
          <c:order val="54"/>
          <c:tx>
            <c:strRef>
              <c:f>summarized!$J$56</c:f>
              <c:strCache>
                <c:ptCount val="1"/>
                <c:pt idx="0">
                  <c:v>ml:0-s1.2k-cas-spl:F-mgv3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summarized!$K$56:$V$56</c:f>
            </c:numRef>
          </c:val>
          <c:smooth val="0"/>
          <c:extLst>
            <c:ext xmlns:c16="http://schemas.microsoft.com/office/drawing/2014/chart" uri="{C3380CC4-5D6E-409C-BE32-E72D297353CC}">
              <c16:uniqueId val="{00000036-80BB-2E4C-B36D-ADCB26AB626C}"/>
            </c:ext>
          </c:extLst>
        </c:ser>
        <c:ser>
          <c:idx val="55"/>
          <c:order val="55"/>
          <c:tx>
            <c:strRef>
              <c:f>summarized!$J$57</c:f>
              <c:strCache>
                <c:ptCount val="1"/>
                <c:pt idx="0">
                  <c:v>ml:0-s1.2k-cas-spl:T-mgv3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summarized!$K$57:$V$57</c:f>
            </c:numRef>
          </c:val>
          <c:smooth val="0"/>
          <c:extLst>
            <c:ext xmlns:c16="http://schemas.microsoft.com/office/drawing/2014/chart" uri="{C3380CC4-5D6E-409C-BE32-E72D297353CC}">
              <c16:uniqueId val="{00000037-80BB-2E4C-B36D-ADCB26AB626C}"/>
            </c:ext>
          </c:extLst>
        </c:ser>
        <c:ser>
          <c:idx val="56"/>
          <c:order val="56"/>
          <c:tx>
            <c:strRef>
              <c:f>summarized!$J$58</c:f>
              <c:strCache>
                <c:ptCount val="1"/>
                <c:pt idx="0">
                  <c:v>ml:0-s2k-cas-spl:T-mgv9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summarized!$K$58:$V$58</c:f>
              <c:numCache>
                <c:formatCode>0.00</c:formatCode>
                <c:ptCount val="12"/>
                <c:pt idx="0">
                  <c:v>0.97</c:v>
                </c:pt>
                <c:pt idx="1">
                  <c:v>0.96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0.97</c:v>
                </c:pt>
                <c:pt idx="6">
                  <c:v>0.98</c:v>
                </c:pt>
                <c:pt idx="7">
                  <c:v>0.99</c:v>
                </c:pt>
                <c:pt idx="8">
                  <c:v>0.97</c:v>
                </c:pt>
                <c:pt idx="9">
                  <c:v>0.95</c:v>
                </c:pt>
                <c:pt idx="10">
                  <c:v>0.97</c:v>
                </c:pt>
                <c:pt idx="11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0BB-2E4C-B36D-ADCB26AB626C}"/>
            </c:ext>
          </c:extLst>
        </c:ser>
        <c:ser>
          <c:idx val="57"/>
          <c:order val="57"/>
          <c:tx>
            <c:strRef>
              <c:f>summarized!$J$59</c:f>
              <c:strCache>
                <c:ptCount val="1"/>
                <c:pt idx="0">
                  <c:v>ml:0-s2k-cas-spl:F-mgv9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summarized!$K$59:$V$59</c:f>
              <c:numCache>
                <c:formatCode>0.00</c:formatCode>
                <c:ptCount val="12"/>
                <c:pt idx="0">
                  <c:v>0.97</c:v>
                </c:pt>
                <c:pt idx="1">
                  <c:v>0.96</c:v>
                </c:pt>
                <c:pt idx="2">
                  <c:v>0.97</c:v>
                </c:pt>
                <c:pt idx="3">
                  <c:v>0.96</c:v>
                </c:pt>
                <c:pt idx="4">
                  <c:v>0.95</c:v>
                </c:pt>
                <c:pt idx="5">
                  <c:v>0.97</c:v>
                </c:pt>
                <c:pt idx="6">
                  <c:v>0.98</c:v>
                </c:pt>
                <c:pt idx="7">
                  <c:v>0.98</c:v>
                </c:pt>
                <c:pt idx="8">
                  <c:v>0.97</c:v>
                </c:pt>
                <c:pt idx="9">
                  <c:v>0.95</c:v>
                </c:pt>
                <c:pt idx="10">
                  <c:v>0.97</c:v>
                </c:pt>
                <c:pt idx="11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80BB-2E4C-B36D-ADCB26AB626C}"/>
            </c:ext>
          </c:extLst>
        </c:ser>
        <c:ser>
          <c:idx val="58"/>
          <c:order val="58"/>
          <c:tx>
            <c:strRef>
              <c:f>summarized!$J$60</c:f>
              <c:strCache>
                <c:ptCount val="1"/>
                <c:pt idx="0">
                  <c:v>ml:0-s2k-cas-spl:T-mgv6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summarized!$K$60:$V$60</c:f>
            </c:numRef>
          </c:val>
          <c:smooth val="0"/>
          <c:extLst>
            <c:ext xmlns:c16="http://schemas.microsoft.com/office/drawing/2014/chart" uri="{C3380CC4-5D6E-409C-BE32-E72D297353CC}">
              <c16:uniqueId val="{0000003A-80BB-2E4C-B36D-ADCB26AB626C}"/>
            </c:ext>
          </c:extLst>
        </c:ser>
        <c:ser>
          <c:idx val="59"/>
          <c:order val="59"/>
          <c:tx>
            <c:strRef>
              <c:f>summarized!$J$61</c:f>
              <c:strCache>
                <c:ptCount val="1"/>
                <c:pt idx="0">
                  <c:v>ml:0-s3k-cas-spl:T-mgv6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summarized!$K$61:$V$61</c:f>
            </c:numRef>
          </c:val>
          <c:smooth val="0"/>
          <c:extLst>
            <c:ext xmlns:c16="http://schemas.microsoft.com/office/drawing/2014/chart" uri="{C3380CC4-5D6E-409C-BE32-E72D297353CC}">
              <c16:uniqueId val="{0000003B-80BB-2E4C-B36D-ADCB26AB626C}"/>
            </c:ext>
          </c:extLst>
        </c:ser>
        <c:ser>
          <c:idx val="60"/>
          <c:order val="60"/>
          <c:tx>
            <c:strRef>
              <c:f>summarized!$J$62</c:f>
              <c:strCache>
                <c:ptCount val="1"/>
                <c:pt idx="0">
                  <c:v>ml:0-s2k-cas-spl:F-mgv6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summarized!$K$62:$V$62</c:f>
            </c:numRef>
          </c:val>
          <c:smooth val="0"/>
          <c:extLst>
            <c:ext xmlns:c16="http://schemas.microsoft.com/office/drawing/2014/chart" uri="{C3380CC4-5D6E-409C-BE32-E72D297353CC}">
              <c16:uniqueId val="{0000003C-80BB-2E4C-B36D-ADCB26AB626C}"/>
            </c:ext>
          </c:extLst>
        </c:ser>
        <c:ser>
          <c:idx val="61"/>
          <c:order val="61"/>
          <c:tx>
            <c:strRef>
              <c:f>summarized!$J$63</c:f>
              <c:strCache>
                <c:ptCount val="1"/>
                <c:pt idx="0">
                  <c:v>ml:0-s3k-cas-spl:F-mgv6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summarized!$K$63:$V$63</c:f>
            </c:numRef>
          </c:val>
          <c:smooth val="0"/>
          <c:extLst>
            <c:ext xmlns:c16="http://schemas.microsoft.com/office/drawing/2014/chart" uri="{C3380CC4-5D6E-409C-BE32-E72D297353CC}">
              <c16:uniqueId val="{0000003D-80BB-2E4C-B36D-ADCB26AB626C}"/>
            </c:ext>
          </c:extLst>
        </c:ser>
        <c:ser>
          <c:idx val="62"/>
          <c:order val="62"/>
          <c:tx>
            <c:strRef>
              <c:f>summarized!$J$64</c:f>
              <c:strCache>
                <c:ptCount val="1"/>
                <c:pt idx="0">
                  <c:v>ml:0-s1.2k-cas-spl:T-mgv9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summarized!$K$64:$V$64</c:f>
              <c:numCache>
                <c:formatCode>0.00</c:formatCode>
                <c:ptCount val="12"/>
                <c:pt idx="0">
                  <c:v>0.92</c:v>
                </c:pt>
                <c:pt idx="1">
                  <c:v>0.98</c:v>
                </c:pt>
                <c:pt idx="2">
                  <c:v>0.98</c:v>
                </c:pt>
                <c:pt idx="3">
                  <c:v>0.95</c:v>
                </c:pt>
                <c:pt idx="4">
                  <c:v>0.97</c:v>
                </c:pt>
                <c:pt idx="5">
                  <c:v>0.95</c:v>
                </c:pt>
                <c:pt idx="6">
                  <c:v>0.96</c:v>
                </c:pt>
                <c:pt idx="7">
                  <c:v>0.96</c:v>
                </c:pt>
                <c:pt idx="8">
                  <c:v>0.96</c:v>
                </c:pt>
                <c:pt idx="9">
                  <c:v>0.96</c:v>
                </c:pt>
                <c:pt idx="10">
                  <c:v>0.97</c:v>
                </c:pt>
                <c:pt idx="1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0BB-2E4C-B36D-ADCB26AB626C}"/>
            </c:ext>
          </c:extLst>
        </c:ser>
        <c:ser>
          <c:idx val="63"/>
          <c:order val="63"/>
          <c:tx>
            <c:strRef>
              <c:f>summarized!$J$65</c:f>
              <c:strCache>
                <c:ptCount val="1"/>
                <c:pt idx="0">
                  <c:v>ml:0-s1.2k-cas-spl:F-mgv9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summarized!$K$65:$V$65</c:f>
              <c:numCache>
                <c:formatCode>0.00</c:formatCode>
                <c:ptCount val="12"/>
                <c:pt idx="0">
                  <c:v>0.91</c:v>
                </c:pt>
                <c:pt idx="1">
                  <c:v>0.98</c:v>
                </c:pt>
                <c:pt idx="2">
                  <c:v>0.98</c:v>
                </c:pt>
                <c:pt idx="3">
                  <c:v>0.95</c:v>
                </c:pt>
                <c:pt idx="4">
                  <c:v>0.96</c:v>
                </c:pt>
                <c:pt idx="5">
                  <c:v>0.95</c:v>
                </c:pt>
                <c:pt idx="6">
                  <c:v>0.96</c:v>
                </c:pt>
                <c:pt idx="7">
                  <c:v>0.96</c:v>
                </c:pt>
                <c:pt idx="8">
                  <c:v>0.96</c:v>
                </c:pt>
                <c:pt idx="9">
                  <c:v>0.96</c:v>
                </c:pt>
                <c:pt idx="10">
                  <c:v>0.97</c:v>
                </c:pt>
                <c:pt idx="1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80BB-2E4C-B36D-ADCB26AB626C}"/>
            </c:ext>
          </c:extLst>
        </c:ser>
        <c:ser>
          <c:idx val="64"/>
          <c:order val="64"/>
          <c:tx>
            <c:strRef>
              <c:f>summarized!$J$66</c:f>
              <c:strCache>
                <c:ptCount val="1"/>
                <c:pt idx="0">
                  <c:v>ml:3-s2k-cas-spl:T-mgv9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summarized!$K$66:$V$66</c:f>
              <c:numCache>
                <c:formatCode>0.00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0.98</c:v>
                </c:pt>
                <c:pt idx="3">
                  <c:v>0.95</c:v>
                </c:pt>
                <c:pt idx="4">
                  <c:v>0.94</c:v>
                </c:pt>
                <c:pt idx="5">
                  <c:v>0.97</c:v>
                </c:pt>
                <c:pt idx="6">
                  <c:v>0.98</c:v>
                </c:pt>
                <c:pt idx="7">
                  <c:v>0.95</c:v>
                </c:pt>
                <c:pt idx="8">
                  <c:v>0.97</c:v>
                </c:pt>
                <c:pt idx="9">
                  <c:v>0.96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0BB-2E4C-B36D-ADCB26AB626C}"/>
            </c:ext>
          </c:extLst>
        </c:ser>
        <c:ser>
          <c:idx val="65"/>
          <c:order val="65"/>
          <c:tx>
            <c:strRef>
              <c:f>summarized!$J$67</c:f>
              <c:strCache>
                <c:ptCount val="1"/>
                <c:pt idx="0">
                  <c:v>ml:3-s2k-cas-spl:F-mgv9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summarized!$K$1:$V$1</c:f>
              <c:strCache>
                <c:ptCount val="12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</c:strCache>
            </c:strRef>
          </c:cat>
          <c:val>
            <c:numRef>
              <c:f>summarized!$K$67:$V$67</c:f>
              <c:numCache>
                <c:formatCode>0.00</c:formatCode>
                <c:ptCount val="12"/>
                <c:pt idx="0">
                  <c:v>0.94</c:v>
                </c:pt>
                <c:pt idx="1">
                  <c:v>0.95</c:v>
                </c:pt>
                <c:pt idx="2">
                  <c:v>0.98</c:v>
                </c:pt>
                <c:pt idx="3">
                  <c:v>0.95</c:v>
                </c:pt>
                <c:pt idx="4">
                  <c:v>0.94</c:v>
                </c:pt>
                <c:pt idx="5">
                  <c:v>0.97</c:v>
                </c:pt>
                <c:pt idx="6">
                  <c:v>0.98</c:v>
                </c:pt>
                <c:pt idx="7">
                  <c:v>0.95</c:v>
                </c:pt>
                <c:pt idx="8">
                  <c:v>0.97</c:v>
                </c:pt>
                <c:pt idx="9">
                  <c:v>0.96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80BB-2E4C-B36D-ADCB26AB6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119456"/>
        <c:axId val="1557132960"/>
      </c:lineChart>
      <c:catAx>
        <c:axId val="1557119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57132960"/>
        <c:crosses val="autoZero"/>
        <c:auto val="1"/>
        <c:lblAlgn val="ctr"/>
        <c:lblOffset val="100"/>
        <c:noMultiLvlLbl val="0"/>
      </c:catAx>
      <c:valAx>
        <c:axId val="155713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557119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533400</xdr:colOff>
      <xdr:row>1</xdr:row>
      <xdr:rowOff>0</xdr:rowOff>
    </xdr:from>
    <xdr:to>
      <xdr:col>30</xdr:col>
      <xdr:colOff>535900</xdr:colOff>
      <xdr:row>27</xdr:row>
      <xdr:rowOff>2500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881EED-6809-6232-7ADA-2A81C9F18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36890D-E9FF-0541-9DC3-9EA9C5FC479B}" name="Table10" displayName="Table10" ref="A1:Y67" totalsRowShown="0">
  <autoFilter ref="A1:Y67" xr:uid="{EB36890D-E9FF-0541-9DC3-9EA9C5FC479B}">
    <filterColumn colId="3">
      <filters>
        <filter val="9"/>
      </filters>
    </filterColumn>
  </autoFilter>
  <sortState xmlns:xlrd2="http://schemas.microsoft.com/office/spreadsheetml/2017/richdata2" ref="A25:Y38">
    <sortCondition ref="A1:A67"/>
  </sortState>
  <tableColumns count="25">
    <tableColumn id="1" xr3:uid="{B549A6B6-ED31-B642-818F-6AFF04C7E285}" name="ml"/>
    <tableColumn id="2" xr3:uid="{99667DB2-6053-1B40-A5C8-84345798361C}" name="skippiness"/>
    <tableColumn id="3" xr3:uid="{252B1CC4-E1E9-F14B-A9E1-775C28F1653F}" name="sample.n"/>
    <tableColumn id="4" xr3:uid="{B8949B1E-A216-C141-86DA-39782E7983AA}" name="mgv"/>
    <tableColumn id="5" xr3:uid="{B4D97811-DF02-D946-B90C-C80A4B4693F8}" name="attribute.index"/>
    <tableColumn id="6" xr3:uid="{1873A2C1-54A7-2A40-B6B2-2503B19D2FFD}" name="attribute"/>
    <tableColumn id="7" xr3:uid="{4DF4825C-28C6-314B-8759-E970CEB4CAD4}" name="supplemented"/>
    <tableColumn id="8" xr3:uid="{33621AA7-F171-724A-A9C3-9BF051949EB2}" name="method.index"/>
    <tableColumn id="9" xr3:uid="{FA10D699-0F32-DE48-BB94-CE37B11D93FE}" name="method"/>
    <tableColumn id="10" xr3:uid="{6AFF8DF1-CE17-4549-8240-57ED1529CE6A}" name="var" dataDxfId="131">
      <calculatedColumnFormula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calculatedColumnFormula>
    </tableColumn>
    <tableColumn id="11" xr3:uid="{2946B477-B30C-7045-AA66-E35296325F3C}" name="2g-no-hash" dataDxfId="130"/>
    <tableColumn id="12" xr3:uid="{1413BA46-C7CE-5E48-A233-42F6537E9D5C}" name="3g-no-hash" dataDxfId="129"/>
    <tableColumn id="13" xr3:uid="{76578E92-16DD-3341-A89C-5C6C2A738DE1}" name="4g-no-hash" dataDxfId="128"/>
    <tableColumn id="14" xr3:uid="{9F7B114A-FE63-D743-8058-132F88048474}" name="xsk2g-no-hash" dataDxfId="127"/>
    <tableColumn id="15" xr3:uid="{0F1E6EB1-F33F-EB43-9D77-ACA0E25FE212}" name="xsk3g-no-hash" dataDxfId="126"/>
    <tableColumn id="16" xr3:uid="{41AC8B56-0D05-5C46-888E-9261FAB17C9B}" name="xsk4g-no-hash" dataDxfId="125"/>
    <tableColumn id="17" xr3:uid="{EDB32EC9-624E-7944-A621-A96C1110D448}" name="2g-hash-at-both" dataDxfId="124"/>
    <tableColumn id="18" xr3:uid="{86F7230F-0E33-D843-B69C-EE21854F46DC}" name="3g-hash-at-both" dataDxfId="123"/>
    <tableColumn id="19" xr3:uid="{67B1E032-6102-2549-8572-690B7FC77498}" name="4g-hash-at-both" dataDxfId="122"/>
    <tableColumn id="20" xr3:uid="{A6035794-4CB6-ED4A-9777-AD0D4308C6E1}" name="xsk2g-hash-at-both" dataDxfId="121"/>
    <tableColumn id="21" xr3:uid="{36BB08A0-7291-F24E-8F1C-5C0D28E55B5B}" name="xsk3g-hash-at-both" dataDxfId="120"/>
    <tableColumn id="22" xr3:uid="{28E4FC11-7348-1F49-BF86-170C8D9428EA}" name="xsk4g-hash-at-both" dataDxfId="119"/>
    <tableColumn id="23" xr3:uid="{83613AF3-B0D1-9040-AE3C-8B84C8D42B61}" name="max" dataDxfId="118"/>
    <tableColumn id="24" xr3:uid="{F3B525BD-C134-6942-AB85-2DB7312F6E89}" name="geomean" dataDxfId="117">
      <calculatedColumnFormula>_xlfn.LET(_xlpm.d,$K2:$V2,GEOMEAN(_xlpm.d))</calculatedColumnFormula>
    </tableColumn>
    <tableColumn id="25" xr3:uid="{E8702139-A703-FC4E-AF8D-747BDCB52DEB}" name="gm.rank" dataDxfId="116">
      <calculatedColumnFormula>RANK(X2,X$2:X$67)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EDF118-4273-1F44-917B-997D27326ABB}" name="Table2" displayName="Table2" ref="A1:T19" totalsRowShown="0">
  <autoFilter ref="A1:T19" xr:uid="{E8EDF118-4273-1F44-917B-997D27326ABB}"/>
  <tableColumns count="20">
    <tableColumn id="1" xr3:uid="{CAB7C24C-8612-C644-8739-54CC3B51C8B9}" name="lang"/>
    <tableColumn id="2" xr3:uid="{EBC6BFED-3030-464A-9E49-5105F2C1B383}" name="attribute.index"/>
    <tableColumn id="3" xr3:uid="{400D3CD5-4280-2E48-ADFF-661FCB698499}" name="attribute"/>
    <tableColumn id="4" xr3:uid="{2AFF2AE7-D0B4-B446-978B-4D300CB079F3}" name="supplemented"/>
    <tableColumn id="5" xr3:uid="{C30691CA-B422-5340-94E7-865A300D83FB}" name="method.index"/>
    <tableColumn id="6" xr3:uid="{07121009-9709-D548-9191-AA49D1B71CAB}" name="method"/>
    <tableColumn id="20" xr3:uid="{EF84B8C9-B532-CD43-BD7F-FCBE9D7235A0}" name="var" dataDxfId="115">
      <calculatedColumnFormula>_xlfn.LET(_xlpm.attr,Table2[[#This Row],[attribute]],_xlpm.spl,LEFT(Table2[[#This Row],[supplemented]],1),_xlfn.TEXTJOIN("-",TRUE,_xlpm.attr,_xlpm.spl,"3k-mgv3"))</calculatedColumnFormula>
    </tableColumn>
    <tableColumn id="7" xr3:uid="{630EF1DA-945D-CA4C-A355-EC3095D1BB40}" name="2g-no-hash" dataDxfId="114"/>
    <tableColumn id="8" xr3:uid="{071DD66A-AC03-8642-A3FD-A6FD11480437}" name="3g-no-hash" dataDxfId="113"/>
    <tableColumn id="9" xr3:uid="{7EF290FB-1EC1-0441-BC16-6703E3CB2718}" name="4g-no-hash" dataDxfId="112"/>
    <tableColumn id="10" xr3:uid="{4C56D5EB-2B33-DE4E-826D-3946624D3028}" name="xsk2g-no-hash" dataDxfId="111"/>
    <tableColumn id="11" xr3:uid="{006F963D-9D32-E24E-89EC-8369C3F2FAE1}" name="xsk3g-no-hash" dataDxfId="110"/>
    <tableColumn id="12" xr3:uid="{C24F7266-C19F-BF45-B142-D5DA5D428F19}" name="xsk4g-no-hash" dataDxfId="109"/>
    <tableColumn id="13" xr3:uid="{3608483A-C944-CA41-9312-6C8432A88C02}" name="2g-hash-at-both" dataDxfId="108"/>
    <tableColumn id="14" xr3:uid="{7E2908DE-6597-FF4B-9345-F5BD095FD415}" name="3g-hash-at-both" dataDxfId="107"/>
    <tableColumn id="15" xr3:uid="{006CBE99-B7A0-A546-B116-FD104BE5D6F5}" name="4g-hash-at-both" dataDxfId="106"/>
    <tableColumn id="16" xr3:uid="{6C79B028-874A-1E42-9601-00A492DAB970}" name="xsk2g-hash-at-both" dataDxfId="105"/>
    <tableColumn id="17" xr3:uid="{1DC0584F-705F-C04B-96D4-88A9E71D8D01}" name="xsk3g-hash-at-both" dataDxfId="104"/>
    <tableColumn id="18" xr3:uid="{8C13FB65-9420-A640-A472-86DB34DCCD9A}" name="xsk4g-hash-at-both" dataDxfId="103"/>
    <tableColumn id="19" xr3:uid="{BE24F56C-9016-1A40-989B-99FE6BB02E2E}" name="max" dataDxfId="102">
      <calculatedColumnFormula>MAX($H2:$S2)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2359E5-CB4C-9C4F-8E3B-873A342C6C9F}" name="Table618810" displayName="Table618810" ref="B22:T28" totalsRowShown="0">
  <autoFilter ref="B22:T28" xr:uid="{0B2359E5-CB4C-9C4F-8E3B-873A342C6C9F}"/>
  <sortState xmlns:xlrd2="http://schemas.microsoft.com/office/spreadsheetml/2017/richdata2" ref="B23:T28">
    <sortCondition ref="B22:B28"/>
  </sortState>
  <tableColumns count="19">
    <tableColumn id="18" xr3:uid="{78A7E720-84B0-B14C-AD64-981B34BA4B13}" name="attribute.index" dataDxfId="101"/>
    <tableColumn id="1" xr3:uid="{69CFB08A-B2E6-1C48-BBB7-78415099A9F3}" name="attribute"/>
    <tableColumn id="2" xr3:uid="{7772C76F-4B12-7C49-94DE-1355E72F6C6A}" name="supplemented"/>
    <tableColumn id="3" xr3:uid="{92DF0BD8-4D8F-DC45-BD7A-479F49F1F365}" name="method.index"/>
    <tableColumn id="4" xr3:uid="{6B0D794B-6BBB-644A-9C25-88BCD189248E}" name="method"/>
    <tableColumn id="19" xr3:uid="{998CE790-803A-9D41-9B42-1310BA7D0CDA}" name="var" dataDxfId="100">
      <calculatedColumnFormula>_xlfn.LET(_xlpm.attr,Table618810[[#This Row],[attribute]],_xlpm.spl,LEFT(Table618810[[#This Row],[supplemented]],1),_xlfn.TEXTJOIN("-",TRUE,_xlpm.attr,_xlpm.spl,"3k-mgv3"))</calculatedColumnFormula>
    </tableColumn>
    <tableColumn id="5" xr3:uid="{CF487C83-AFDB-DA48-AFD8-4C42B90198D6}" name="2g-no-hash" dataDxfId="99">
      <calculatedColumnFormula array="1">_xlfn.LET(_xlpm.d,H$2:H$19,_xlpm.a,$C$2:$C$19=$C23,_xlpm.b,$D$2:$D$19=$D23,MAX(_xlfn._xlws.FILTER(_xlpm.d,_xlpm.a*_xlpm.b)))</calculatedColumnFormula>
    </tableColumn>
    <tableColumn id="6" xr3:uid="{CB106F05-AFB3-5744-90DB-50DC5EFF0A9A}" name="3g-no-hash" dataDxfId="98">
      <calculatedColumnFormula array="1">_xlfn.LET(_xlpm.d,I$2:I$19,_xlpm.a,$C$2:$C$19=$C23,_xlpm.b,$D$2:$D$19=$D23,MAX(_xlfn._xlws.FILTER(_xlpm.d,_xlpm.a*_xlpm.b)))</calculatedColumnFormula>
    </tableColumn>
    <tableColumn id="7" xr3:uid="{580500E7-1E23-B24A-8AEC-6FB72642062C}" name="4g-no-hash" dataDxfId="97">
      <calculatedColumnFormula array="1">_xlfn.LET(_xlpm.d,J$2:J$19,_xlpm.a,$C$2:$C$19=$C23,_xlpm.b,$D$2:$D$19=$D23,MAX(_xlfn._xlws.FILTER(_xlpm.d,_xlpm.a*_xlpm.b)))</calculatedColumnFormula>
    </tableColumn>
    <tableColumn id="8" xr3:uid="{4C14982B-CC17-664B-9F94-87456B20E998}" name="xsk2g-no-hash" dataDxfId="96">
      <calculatedColumnFormula array="1">_xlfn.LET(_xlpm.d,K$2:K$19,_xlpm.a,$C$2:$C$19=$C23,_xlpm.b,$D$2:$D$19=$D23,MAX(_xlfn._xlws.FILTER(_xlpm.d,_xlpm.a*_xlpm.b)))</calculatedColumnFormula>
    </tableColumn>
    <tableColumn id="9" xr3:uid="{86504520-266A-F74F-AAE8-489D953A4766}" name="xsk3g-no-hash" dataDxfId="95">
      <calculatedColumnFormula array="1">_xlfn.LET(_xlpm.d,L$2:L$19,_xlpm.a,$C$2:$C$19=$C23,_xlpm.b,$D$2:$D$19=$D23,MAX(_xlfn._xlws.FILTER(_xlpm.d,_xlpm.a*_xlpm.b)))</calculatedColumnFormula>
    </tableColumn>
    <tableColumn id="10" xr3:uid="{7F251EBE-1080-1944-A0E9-67EB4432ECF0}" name="xsk4g-no-hash" dataDxfId="94">
      <calculatedColumnFormula array="1">_xlfn.LET(_xlpm.d,M$2:M$19,_xlpm.a,$C$2:$C$19=$C23,_xlpm.b,$D$2:$D$19=$D23,MAX(_xlfn._xlws.FILTER(_xlpm.d,_xlpm.a*_xlpm.b)))</calculatedColumnFormula>
    </tableColumn>
    <tableColumn id="11" xr3:uid="{D9A679DB-55F4-174C-B71E-F299634E4D99}" name="2g-hash-at-both" dataDxfId="93">
      <calculatedColumnFormula array="1">_xlfn.LET(_xlpm.d,N$2:N$19,_xlpm.a,$C$2:$C$19=$C23,_xlpm.b,$D$2:$D$19=$D23,MAX(_xlfn._xlws.FILTER(_xlpm.d,_xlpm.a*_xlpm.b)))</calculatedColumnFormula>
    </tableColumn>
    <tableColumn id="12" xr3:uid="{EEDBAD26-5E77-554D-9ABF-E54A370B7220}" name="3g-hash-at-both" dataDxfId="92">
      <calculatedColumnFormula array="1">_xlfn.LET(_xlpm.d,O$2:O$19,_xlpm.a,$C$2:$C$19=$C23,_xlpm.b,$D$2:$D$19=$D23,MAX(_xlfn._xlws.FILTER(_xlpm.d,_xlpm.a*_xlpm.b)))</calculatedColumnFormula>
    </tableColumn>
    <tableColumn id="13" xr3:uid="{1C035930-B58B-534E-B185-EA04BF103044}" name="4g-hash-at-both" dataDxfId="91">
      <calculatedColumnFormula array="1">_xlfn.LET(_xlpm.d,P$2:P$19,_xlpm.a,$C$2:$C$19=$C23,_xlpm.b,$D$2:$D$19=$D23,MAX(_xlfn._xlws.FILTER(_xlpm.d,_xlpm.a*_xlpm.b)))</calculatedColumnFormula>
    </tableColumn>
    <tableColumn id="14" xr3:uid="{2918724C-34FE-3847-8D28-087534685EA9}" name="xsk2g-hash-at-both" dataDxfId="90">
      <calculatedColumnFormula array="1">_xlfn.LET(_xlpm.d,Q$2:Q$19,_xlpm.a,$C$2:$C$19=$C23,_xlpm.b,$D$2:$D$19=$D23,MAX(_xlfn._xlws.FILTER(_xlpm.d,_xlpm.a*_xlpm.b)))</calculatedColumnFormula>
    </tableColumn>
    <tableColumn id="15" xr3:uid="{0A75B223-CDE0-4F42-981D-1896157C5264}" name="xsk3g-hash-at-both" dataDxfId="89">
      <calculatedColumnFormula array="1">_xlfn.LET(_xlpm.d,R$2:R$19,_xlpm.a,$C$2:$C$19=$C23,_xlpm.b,$D$2:$D$19=$D23,MAX(_xlfn._xlws.FILTER(_xlpm.d,_xlpm.a*_xlpm.b)))</calculatedColumnFormula>
    </tableColumn>
    <tableColumn id="16" xr3:uid="{ED0D3A26-2816-ED43-8552-C683CD87F6AA}" name="xsk4g-hash-at-both" dataDxfId="88">
      <calculatedColumnFormula array="1">_xlfn.LET(_xlpm.d,S$2:S$19,_xlpm.a,$C$2:$C$19=$C23,_xlpm.b,$D$2:$D$19=$D23,MAX(_xlfn._xlws.FILTER(_xlpm.d,_xlpm.a*_xlpm.b)))</calculatedColumnFormula>
    </tableColumn>
    <tableColumn id="17" xr3:uid="{C997A3F3-6C7B-D94B-B772-63F20A51CB59}" name="max" dataDxfId="87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AC8AB5-4424-1D40-A85D-C2815768CB89}" name="Table3" displayName="Table3" ref="A1:T19" totalsRowShown="0">
  <autoFilter ref="A1:T19" xr:uid="{51AC8AB5-4424-1D40-A85D-C2815768CB89}"/>
  <tableColumns count="20">
    <tableColumn id="1" xr3:uid="{81B15664-B466-2F48-B452-9E444E6BCB37}" name="lang"/>
    <tableColumn id="2" xr3:uid="{7CEC0015-E4AD-0E45-9EEE-8A737FA60EA3}" name="attribute.index"/>
    <tableColumn id="3" xr3:uid="{6F593E69-1A50-A749-A919-4A7EB6DDCB1C}" name="attribute"/>
    <tableColumn id="4" xr3:uid="{153A37C8-64CD-904B-B6A9-F8D7037CD2EE}" name="supplemented"/>
    <tableColumn id="5" xr3:uid="{86352077-8C84-0849-A021-AD9ECDE69762}" name="method.index"/>
    <tableColumn id="6" xr3:uid="{2ECCFC5C-0CA5-6744-8855-F3529FA67B4D}" name="method"/>
    <tableColumn id="20" xr3:uid="{698D0E1F-7D35-BC4A-A7CA-7DD9CA9B69C8}" name="var" dataDxfId="86">
      <calculatedColumnFormula>_xlfn.LET(_xlpm.attr,Table3[[#This Row],[attribute]],_xlpm.spl,LEFT(Table3[[#This Row],[supplemented]],1),_xlfn.TEXTJOIN("-",TRUE,_xlpm.attr,_xlpm.spl,"3k-mgv3"))</calculatedColumnFormula>
    </tableColumn>
    <tableColumn id="7" xr3:uid="{542DB996-817A-AC4A-BC85-9A9DAF944E19}" name="2g-no-hash" dataDxfId="85"/>
    <tableColumn id="8" xr3:uid="{F7CB7A67-5EF0-4C43-B849-0E75CDF7FEE9}" name="3g-no-hash" dataDxfId="84"/>
    <tableColumn id="9" xr3:uid="{28F32EE3-B098-6A4C-ABB6-C82F988BEC90}" name="4g-no-hash" dataDxfId="83"/>
    <tableColumn id="10" xr3:uid="{6D726EDE-3EC0-BE44-8C1E-CFF1DAC42277}" name="xsk2g-no-hash" dataDxfId="82"/>
    <tableColumn id="11" xr3:uid="{8545F3CF-C965-854D-89EB-ECBC9F8DBF33}" name="xsk3g-no-hash" dataDxfId="81"/>
    <tableColumn id="12" xr3:uid="{1DC0D56C-A523-674B-8270-18F78523BA64}" name="xsk4g-no-hash" dataDxfId="80"/>
    <tableColumn id="13" xr3:uid="{73955608-1BB1-DB4E-BAE8-B32EA496725C}" name="2g-hash-at-both" dataDxfId="79"/>
    <tableColumn id="14" xr3:uid="{A4573D50-D686-684B-A7C6-8A2C766A34E1}" name="3g-hash-at-both" dataDxfId="78"/>
    <tableColumn id="15" xr3:uid="{E07D75A2-00D7-F74F-B3BA-0D0CF07F363F}" name="4g-hash-at-both" dataDxfId="77"/>
    <tableColumn id="16" xr3:uid="{C7EB8FD5-5D9C-964F-B17F-E12DE4D009E7}" name="xsk2g-hash-at-both" dataDxfId="76"/>
    <tableColumn id="17" xr3:uid="{A9CAB303-A76A-1541-9316-3DD3CE956DC9}" name="xsk3g-hash-at-both" dataDxfId="75"/>
    <tableColumn id="18" xr3:uid="{27950F01-8F00-9B46-B10E-687292EB369A}" name="xsk4g-hash-at-both" dataDxfId="74"/>
    <tableColumn id="19" xr3:uid="{DA1929CA-C709-0E4C-9460-8F2E773C8352}" name="max" dataDxfId="73">
      <calculatedColumnFormula>MAX($H2:$S2)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2A1463B-3A1D-0D42-BE8D-72A2E993BC66}" name="Table61889" displayName="Table61889" ref="B22:T28" totalsRowShown="0">
  <autoFilter ref="B22:T28" xr:uid="{E2A1463B-3A1D-0D42-BE8D-72A2E993BC66}"/>
  <sortState xmlns:xlrd2="http://schemas.microsoft.com/office/spreadsheetml/2017/richdata2" ref="B23:T28">
    <sortCondition ref="B22:B28"/>
  </sortState>
  <tableColumns count="19">
    <tableColumn id="18" xr3:uid="{241E68B1-BB1A-A648-8C2C-605FC6CB9424}" name="attribute.index" dataDxfId="72"/>
    <tableColumn id="1" xr3:uid="{35D07776-9125-8E43-8B9E-282B7514B0BC}" name="attribute"/>
    <tableColumn id="2" xr3:uid="{BF3AE054-F405-AF4B-9034-A793D16D6645}" name="supplemented"/>
    <tableColumn id="3" xr3:uid="{7B3F3750-82A2-1946-A7CB-565A379331EE}" name="method.index"/>
    <tableColumn id="4" xr3:uid="{36221A6B-AE14-2D4C-978E-FA48CDA1B260}" name="method"/>
    <tableColumn id="19" xr3:uid="{C8729FF7-5480-434C-B71E-7BE69260DA23}" name="var" dataDxfId="71">
      <calculatedColumnFormula>_xlfn.LET(_xlpm.attr,Table61889[[#This Row],[attribute]],_xlpm.spl,LEFT(Table61889[[#This Row],[supplemented]],1),_xlfn.TEXTJOIN("-",TRUE,_xlpm.attr,_xlpm.spl,"3k-mgv3"))</calculatedColumnFormula>
    </tableColumn>
    <tableColumn id="5" xr3:uid="{EC6B6F11-1E6A-BD40-96B3-4C5063E7609B}" name="2g-no-hash" dataDxfId="70">
      <calculatedColumnFormula array="1">_xlfn.LET(_xlpm.d,H$2:H$19,_xlpm.a,$C$2:$C$19=$C23,_xlpm.b,$D$2:$D$19=$D23,MAX(_xlfn._xlws.FILTER(_xlpm.d,_xlpm.a*_xlpm.b)))</calculatedColumnFormula>
    </tableColumn>
    <tableColumn id="6" xr3:uid="{39C93787-3AC3-1740-82E2-CA39BF43591C}" name="3g-no-hash" dataDxfId="69">
      <calculatedColumnFormula array="1">_xlfn.LET(_xlpm.d,I$2:I$19,_xlpm.a,$C$2:$C$19=$C23,_xlpm.b,$D$2:$D$19=$D23,MAX(_xlfn._xlws.FILTER(_xlpm.d,_xlpm.a*_xlpm.b)))</calculatedColumnFormula>
    </tableColumn>
    <tableColumn id="7" xr3:uid="{DEDC621B-5D10-1848-A349-0C915D1E9C42}" name="4g-no-hash" dataDxfId="68">
      <calculatedColumnFormula array="1">_xlfn.LET(_xlpm.d,J$2:J$19,_xlpm.a,$C$2:$C$19=$C23,_xlpm.b,$D$2:$D$19=$D23,MAX(_xlfn._xlws.FILTER(_xlpm.d,_xlpm.a*_xlpm.b)))</calculatedColumnFormula>
    </tableColumn>
    <tableColumn id="8" xr3:uid="{C73889FA-43F4-274D-9A9F-EBCDFE66C9A1}" name="xsk2g-no-hash" dataDxfId="67">
      <calculatedColumnFormula array="1">_xlfn.LET(_xlpm.d,K$2:K$19,_xlpm.a,$C$2:$C$19=$C23,_xlpm.b,$D$2:$D$19=$D23,MAX(_xlfn._xlws.FILTER(_xlpm.d,_xlpm.a*_xlpm.b)))</calculatedColumnFormula>
    </tableColumn>
    <tableColumn id="9" xr3:uid="{6A0C7E39-4EE8-874C-A9BF-EBC5727E8683}" name="xsk3g-no-hash" dataDxfId="66">
      <calculatedColumnFormula array="1">_xlfn.LET(_xlpm.d,L$2:L$19,_xlpm.a,$C$2:$C$19=$C23,_xlpm.b,$D$2:$D$19=$D23,MAX(_xlfn._xlws.FILTER(_xlpm.d,_xlpm.a*_xlpm.b)))</calculatedColumnFormula>
    </tableColumn>
    <tableColumn id="10" xr3:uid="{E9332FEF-B880-DB41-9C79-0B83C6F797FF}" name="xsk4g-no-hash" dataDxfId="65">
      <calculatedColumnFormula array="1">_xlfn.LET(_xlpm.d,M$2:M$19,_xlpm.a,$C$2:$C$19=$C23,_xlpm.b,$D$2:$D$19=$D23,MAX(_xlfn._xlws.FILTER(_xlpm.d,_xlpm.a*_xlpm.b)))</calculatedColumnFormula>
    </tableColumn>
    <tableColumn id="11" xr3:uid="{8E5969BC-5CDC-F94E-B1FC-0DA4EA48A25C}" name="2g-hash-at-both" dataDxfId="64">
      <calculatedColumnFormula array="1">_xlfn.LET(_xlpm.d,N$2:N$19,_xlpm.a,$C$2:$C$19=$C23,_xlpm.b,$D$2:$D$19=$D23,MAX(_xlfn._xlws.FILTER(_xlpm.d,_xlpm.a*_xlpm.b)))</calculatedColumnFormula>
    </tableColumn>
    <tableColumn id="12" xr3:uid="{86AF7FCC-0B41-494D-A521-28C44D70B9DA}" name="3g-hash-at-both" dataDxfId="63">
      <calculatedColumnFormula array="1">_xlfn.LET(_xlpm.d,O$2:O$19,_xlpm.a,$C$2:$C$19=$C23,_xlpm.b,$D$2:$D$19=$D23,MAX(_xlfn._xlws.FILTER(_xlpm.d,_xlpm.a*_xlpm.b)))</calculatedColumnFormula>
    </tableColumn>
    <tableColumn id="13" xr3:uid="{62D58BAE-378C-7647-A67A-D6DF978A1A76}" name="4g-hash-at-both" dataDxfId="62">
      <calculatedColumnFormula array="1">_xlfn.LET(_xlpm.d,P$2:P$19,_xlpm.a,$C$2:$C$19=$C23,_xlpm.b,$D$2:$D$19=$D23,MAX(_xlfn._xlws.FILTER(_xlpm.d,_xlpm.a*_xlpm.b)))</calculatedColumnFormula>
    </tableColumn>
    <tableColumn id="14" xr3:uid="{6F0D9AAC-7D36-384D-B13D-1DA9673D42D4}" name="xsk2g-hash-at-both" dataDxfId="61">
      <calculatedColumnFormula array="1">_xlfn.LET(_xlpm.d,Q$2:Q$19,_xlpm.a,$C$2:$C$19=$C23,_xlpm.b,$D$2:$D$19=$D23,MAX(_xlfn._xlws.FILTER(_xlpm.d,_xlpm.a*_xlpm.b)))</calculatedColumnFormula>
    </tableColumn>
    <tableColumn id="15" xr3:uid="{D97D776F-A48A-FF45-8FEB-34EC0A268E78}" name="xsk3g-hash-at-both" dataDxfId="60">
      <calculatedColumnFormula array="1">_xlfn.LET(_xlpm.d,R$2:R$19,_xlpm.a,$C$2:$C$19=$C23,_xlpm.b,$D$2:$D$19=$D23,MAX(_xlfn._xlws.FILTER(_xlpm.d,_xlpm.a*_xlpm.b)))</calculatedColumnFormula>
    </tableColumn>
    <tableColumn id="16" xr3:uid="{61FFC45A-BBC4-0A44-A378-34063464F611}" name="xsk4g-hash-at-both" dataDxfId="59">
      <calculatedColumnFormula array="1">_xlfn.LET(_xlpm.d,S$2:S$19,_xlpm.a,$C$2:$C$19=$C23,_xlpm.b,$D$2:$D$19=$D23,MAX(_xlfn._xlws.FILTER(_xlpm.d,_xlpm.a*_xlpm.b)))</calculatedColumnFormula>
    </tableColumn>
    <tableColumn id="17" xr3:uid="{B807E904-FC46-9A44-B592-3E9A529884FE}" name="max" dataDxfId="58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321E1A-8B52-494D-8D33-E00FE483E5C0}" name="Table4" displayName="Table4" ref="A1:T19" totalsRowShown="0">
  <autoFilter ref="A1:T19" xr:uid="{36321E1A-8B52-494D-8D33-E00FE483E5C0}"/>
  <tableColumns count="20">
    <tableColumn id="1" xr3:uid="{C8EDEA03-DDDF-8443-8136-5862FEACF6D4}" name="lang"/>
    <tableColumn id="2" xr3:uid="{3ECCA2F5-2934-1F46-9630-A970FC1A0FB6}" name="attribute.index"/>
    <tableColumn id="3" xr3:uid="{22D1CC15-2F60-474F-BC32-53FAADBFC76B}" name="attribute"/>
    <tableColumn id="4" xr3:uid="{9126EC1F-AFDD-784F-B150-5B23E953D469}" name="supplemented"/>
    <tableColumn id="5" xr3:uid="{AA297ADA-4C4C-CB4F-A3B9-E21DEB546B18}" name="method.index"/>
    <tableColumn id="6" xr3:uid="{213FE8E7-F556-9B45-BB8D-6980A82409D5}" name="method"/>
    <tableColumn id="20" xr3:uid="{2946616C-8F22-EB4A-880A-3FD16DC71829}" name="var" dataDxfId="57">
      <calculatedColumnFormula>_xlfn.LET(_xlpm.attr,Table4[[#This Row],[attribute]],_xlpm.spl,LEFT(Table4[[#This Row],[supplemented]],1),_xlfn.TEXTJOIN("-",TRUE,_xlpm.attr,_xlpm.spl,"3k-mgv3"))</calculatedColumnFormula>
    </tableColumn>
    <tableColumn id="7" xr3:uid="{74772413-BCFE-504B-95C5-E9048143A2F4}" name="2g-no-hash" dataDxfId="56"/>
    <tableColumn id="8" xr3:uid="{498525DE-2AAC-5247-8C64-89C2F352238A}" name="3g-no-hash" dataDxfId="55"/>
    <tableColumn id="9" xr3:uid="{FE54B8E0-3F46-F747-A820-8634E6388EF0}" name="4g-no-hash" dataDxfId="54"/>
    <tableColumn id="10" xr3:uid="{9DDF8A46-587F-B746-BB72-F80CFEF2A27D}" name="xsk2g-no-hash" dataDxfId="53"/>
    <tableColumn id="11" xr3:uid="{8CD36104-D772-494A-A296-BC31574AAE78}" name="xsk3g-no-hash" dataDxfId="52"/>
    <tableColumn id="12" xr3:uid="{7EE32F84-2FF8-EF48-9F50-EC15226B71B6}" name="xsk4g-no-hash" dataDxfId="51"/>
    <tableColumn id="13" xr3:uid="{FC7503E0-40FA-1F43-966C-12C0158BE580}" name="2g-hash-at-both" dataDxfId="50"/>
    <tableColumn id="14" xr3:uid="{94AD2EAC-DE28-D545-9323-0F416F4A4885}" name="3g-hash-at-both" dataDxfId="49"/>
    <tableColumn id="15" xr3:uid="{FF6A8353-88FE-3845-B3D4-D5AFB1F26A7B}" name="4g-hash-at-both" dataDxfId="48"/>
    <tableColumn id="16" xr3:uid="{06BAD96A-7D85-0E43-BFBC-C4C091F9C583}" name="xsk2g-hash-at-both" dataDxfId="47"/>
    <tableColumn id="17" xr3:uid="{018F4BB2-BCDB-F246-B222-18869E547938}" name="xsk3g-hash-at-both" dataDxfId="46"/>
    <tableColumn id="18" xr3:uid="{0A17B582-EECA-4C40-9F2A-5A570759AC6B}" name="xsk4g-hash-at-both" dataDxfId="45"/>
    <tableColumn id="19" xr3:uid="{0A6FA590-01CE-B142-8995-01E614C22035}" name="max" dataDxfId="44">
      <calculatedColumnFormula>MAX($H2:$S2)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DE776A-29DB-914C-92CB-A3C78CEDDBAE}" name="Table61888" displayName="Table61888" ref="B22:T28" totalsRowShown="0">
  <autoFilter ref="B22:T28" xr:uid="{67DE776A-29DB-914C-92CB-A3C78CEDDBAE}"/>
  <sortState xmlns:xlrd2="http://schemas.microsoft.com/office/spreadsheetml/2017/richdata2" ref="B23:T28">
    <sortCondition ref="B22:B28"/>
  </sortState>
  <tableColumns count="19">
    <tableColumn id="18" xr3:uid="{577483EB-FB0A-C641-99EA-AC0D2A721A13}" name="attribute.index" dataDxfId="43"/>
    <tableColumn id="1" xr3:uid="{9E384792-E0EB-8E46-A832-7879C7B9D752}" name="attribute"/>
    <tableColumn id="2" xr3:uid="{09A686DB-85A0-F84C-A351-8E9644F5E7F4}" name="supplemented"/>
    <tableColumn id="3" xr3:uid="{50001403-32D4-1E40-A2DE-F53CC746572A}" name="method.index"/>
    <tableColumn id="4" xr3:uid="{14A6A7EF-F68E-4E45-A8D7-9A3D0AED99E0}" name="method"/>
    <tableColumn id="19" xr3:uid="{05B77C94-1C48-0F46-9A4A-150843300441}" name="var" dataDxfId="42">
      <calculatedColumnFormula>_xlfn.LET(_xlpm.attr,Table61888[[#This Row],[attribute]],_xlpm.spl,LEFT(Table61888[[#This Row],[supplemented]],1),_xlfn.TEXTJOIN("-",TRUE,_xlpm.attr,_xlpm.spl,"3k-mgv3"))</calculatedColumnFormula>
    </tableColumn>
    <tableColumn id="5" xr3:uid="{EB596FA2-FB7B-CD48-AC8A-469513D551CC}" name="2g-no-hash" dataDxfId="41">
      <calculatedColumnFormula array="1">_xlfn.LET(_xlpm.d,H$2:H$19,_xlpm.a,$C$2:$C$19=$C23,_xlpm.b,$D$2:$D$19=$D23,MAX(_xlfn._xlws.FILTER(_xlpm.d,_xlpm.a*_xlpm.b)))</calculatedColumnFormula>
    </tableColumn>
    <tableColumn id="6" xr3:uid="{514D82AC-15FF-164C-A57E-982E62F76D7C}" name="3g-no-hash" dataDxfId="40">
      <calculatedColumnFormula array="1">_xlfn.LET(_xlpm.d,I$2:I$19,_xlpm.a,$C$2:$C$19=$C23,_xlpm.b,$D$2:$D$19=$D23,MAX(_xlfn._xlws.FILTER(_xlpm.d,_xlpm.a*_xlpm.b)))</calculatedColumnFormula>
    </tableColumn>
    <tableColumn id="7" xr3:uid="{9BD6AB18-9FDD-4348-982D-5D11516CE46D}" name="4g-no-hash" dataDxfId="39">
      <calculatedColumnFormula array="1">_xlfn.LET(_xlpm.d,J$2:J$19,_xlpm.a,$C$2:$C$19=$C23,_xlpm.b,$D$2:$D$19=$D23,MAX(_xlfn._xlws.FILTER(_xlpm.d,_xlpm.a*_xlpm.b)))</calculatedColumnFormula>
    </tableColumn>
    <tableColumn id="8" xr3:uid="{9CC50E1B-ACAC-2F45-869B-8472F39EC39D}" name="xsk2g-no-hash" dataDxfId="38">
      <calculatedColumnFormula array="1">_xlfn.LET(_xlpm.d,K$2:K$19,_xlpm.a,$C$2:$C$19=$C23,_xlpm.b,$D$2:$D$19=$D23,MAX(_xlfn._xlws.FILTER(_xlpm.d,_xlpm.a*_xlpm.b)))</calculatedColumnFormula>
    </tableColumn>
    <tableColumn id="9" xr3:uid="{26FBC7FD-8BD9-A543-AD2C-5396921ACC00}" name="xsk3g-no-hash" dataDxfId="37">
      <calculatedColumnFormula array="1">_xlfn.LET(_xlpm.d,L$2:L$19,_xlpm.a,$C$2:$C$19=$C23,_xlpm.b,$D$2:$D$19=$D23,MAX(_xlfn._xlws.FILTER(_xlpm.d,_xlpm.a*_xlpm.b)))</calculatedColumnFormula>
    </tableColumn>
    <tableColumn id="10" xr3:uid="{3BC7A1E2-2436-8349-A84B-F102A21E86F8}" name="xsk4g-no-hash" dataDxfId="36">
      <calculatedColumnFormula array="1">_xlfn.LET(_xlpm.d,M$2:M$19,_xlpm.a,$C$2:$C$19=$C23,_xlpm.b,$D$2:$D$19=$D23,MAX(_xlfn._xlws.FILTER(_xlpm.d,_xlpm.a*_xlpm.b)))</calculatedColumnFormula>
    </tableColumn>
    <tableColumn id="11" xr3:uid="{2627849E-6227-3B4A-94AA-5DB998E2E22A}" name="2g-hash-at-both" dataDxfId="35">
      <calculatedColumnFormula array="1">_xlfn.LET(_xlpm.d,N$2:N$19,_xlpm.a,$C$2:$C$19=$C23,_xlpm.b,$D$2:$D$19=$D23,MAX(_xlfn._xlws.FILTER(_xlpm.d,_xlpm.a*_xlpm.b)))</calculatedColumnFormula>
    </tableColumn>
    <tableColumn id="12" xr3:uid="{C54AB2DE-57D3-B240-AE10-407A05989552}" name="3g-hash-at-both" dataDxfId="34">
      <calculatedColumnFormula array="1">_xlfn.LET(_xlpm.d,O$2:O$19,_xlpm.a,$C$2:$C$19=$C23,_xlpm.b,$D$2:$D$19=$D23,MAX(_xlfn._xlws.FILTER(_xlpm.d,_xlpm.a*_xlpm.b)))</calculatedColumnFormula>
    </tableColumn>
    <tableColumn id="13" xr3:uid="{F2152E0C-6EC2-814D-9B8C-E2D1C7BCD91A}" name="4g-hash-at-both" dataDxfId="33">
      <calculatedColumnFormula array="1">_xlfn.LET(_xlpm.d,P$2:P$19,_xlpm.a,$C$2:$C$19=$C23,_xlpm.b,$D$2:$D$19=$D23,MAX(_xlfn._xlws.FILTER(_xlpm.d,_xlpm.a*_xlpm.b)))</calculatedColumnFormula>
    </tableColumn>
    <tableColumn id="14" xr3:uid="{350A18F8-E706-5643-918F-9A3017F47C04}" name="xsk2g-hash-at-both" dataDxfId="32">
      <calculatedColumnFormula array="1">_xlfn.LET(_xlpm.d,Q$2:Q$19,_xlpm.a,$C$2:$C$19=$C23,_xlpm.b,$D$2:$D$19=$D23,MAX(_xlfn._xlws.FILTER(_xlpm.d,_xlpm.a*_xlpm.b)))</calculatedColumnFormula>
    </tableColumn>
    <tableColumn id="15" xr3:uid="{3BD5617A-3301-434C-A6C3-4AC348F666FA}" name="xsk3g-hash-at-both" dataDxfId="31">
      <calculatedColumnFormula array="1">_xlfn.LET(_xlpm.d,R$2:R$19,_xlpm.a,$C$2:$C$19=$C23,_xlpm.b,$D$2:$D$19=$D23,MAX(_xlfn._xlws.FILTER(_xlpm.d,_xlpm.a*_xlpm.b)))</calculatedColumnFormula>
    </tableColumn>
    <tableColumn id="16" xr3:uid="{F480B322-4FE6-3B4E-9779-ED4AE6FEA768}" name="xsk4g-hash-at-both" dataDxfId="30">
      <calculatedColumnFormula array="1">_xlfn.LET(_xlpm.d,S$2:S$19,_xlpm.a,$C$2:$C$19=$C23,_xlpm.b,$D$2:$D$19=$D23,MAX(_xlfn._xlws.FILTER(_xlpm.d,_xlpm.a*_xlpm.b)))</calculatedColumnFormula>
    </tableColumn>
    <tableColumn id="17" xr3:uid="{508012B1-9F3A-4242-8618-E986642407D1}" name="max" dataDxfId="29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91716-DDEC-CE4F-83B1-E11830B2CA59}" name="Table1" displayName="Table1" ref="A1:T19" totalsRowShown="0">
  <autoFilter ref="A1:T19" xr:uid="{07391716-DDEC-CE4F-83B1-E11830B2CA59}"/>
  <sortState xmlns:xlrd2="http://schemas.microsoft.com/office/spreadsheetml/2017/richdata2" ref="A2:T19">
    <sortCondition ref="B1:B19"/>
  </sortState>
  <tableColumns count="20">
    <tableColumn id="1" xr3:uid="{562C3125-33E6-0D46-840D-30AE5EDE47F2}" name="lang"/>
    <tableColumn id="2" xr3:uid="{C664022D-9ADC-D84B-B8B4-5FDA68DAB421}" name="attribute.index"/>
    <tableColumn id="3" xr3:uid="{07B02B0F-1C4C-3C47-892D-F21C4DA42997}" name="attribute"/>
    <tableColumn id="4" xr3:uid="{BB46AE22-E25A-BB47-8F18-8F47462C8C82}" name="supplemented"/>
    <tableColumn id="5" xr3:uid="{F4575404-5551-A94E-9C26-CE41B91E2CB1}" name="method.index"/>
    <tableColumn id="6" xr3:uid="{BE66ACE7-C3E2-9A4C-AF42-CA79478E6B5A}" name="method"/>
    <tableColumn id="20" xr3:uid="{9059D89F-2A88-EF4A-B6BB-74835CB70EA3}" name="var" dataDxfId="28">
      <calculatedColumnFormula>_xlfn.LET(_xlpm.attr,Table1[[#This Row],[attribute]],_xlpm.spl,LEFT(Table1[[#This Row],[supplemented]],1),_xlfn.TEXTJOIN("-",TRUE,_xlpm.attr,_xlpm.spl,"3k-mgv3"))</calculatedColumnFormula>
    </tableColumn>
    <tableColumn id="7" xr3:uid="{4EC3AC26-BD44-DC46-97E9-D15442FB1B96}" name="2g-no-hash" dataDxfId="27"/>
    <tableColumn id="8" xr3:uid="{BEDC43AD-74A5-FC4C-83F5-02DE0FD6AA21}" name="3g-no-hash" dataDxfId="26"/>
    <tableColumn id="9" xr3:uid="{737E06B2-6A4A-9C47-8A9E-0AE99214A7B9}" name="4g-no-hash" dataDxfId="25"/>
    <tableColumn id="10" xr3:uid="{1ABFDE72-C84B-E849-85A3-2364EFA02406}" name="xsk2g-no-hash" dataDxfId="24"/>
    <tableColumn id="11" xr3:uid="{0E077D85-24E7-A649-A557-34726D8A6D92}" name="xsk3g-no-hash" dataDxfId="23"/>
    <tableColumn id="12" xr3:uid="{D5F82FCC-FE6E-BA43-9FA3-6BD498959E1D}" name="xsk4g-no-hash" dataDxfId="22"/>
    <tableColumn id="13" xr3:uid="{EEA7C018-AA5A-C941-AED4-48CC01247DF7}" name="2g-hash-at-both" dataDxfId="21"/>
    <tableColumn id="14" xr3:uid="{F6254348-0E50-244B-A2F2-E2993861B347}" name="3g-hash-at-both" dataDxfId="20"/>
    <tableColumn id="15" xr3:uid="{57D41874-2DB5-ED46-9135-2BDDAB9DA8F2}" name="4g-hash-at-both" dataDxfId="19"/>
    <tableColumn id="16" xr3:uid="{8F47C9D1-6E87-DB4B-8826-3174C889BD24}" name="xsk2g-hash-at-both" dataDxfId="18"/>
    <tableColumn id="17" xr3:uid="{DE7A8535-68D5-C342-9460-9D41B2C95AE8}" name="xsk3g-hash-at-both" dataDxfId="17"/>
    <tableColumn id="18" xr3:uid="{80C9ACD7-A8A8-674E-9B8C-98347DBDA044}" name="xsk4g-hash-at-both" dataDxfId="16"/>
    <tableColumn id="19" xr3:uid="{384558E1-0AEC-C943-BFEB-7B79565A6F7B}" name="max" dataDxfId="15">
      <calculatedColumnFormula>MAX($H2:$S2)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0E3B3B-FC53-2A4A-AED3-5DDDA040DAA7}" name="Table6188" displayName="Table6188" ref="B22:T28" totalsRowShown="0">
  <autoFilter ref="B22:T28" xr:uid="{5E0E3B3B-FC53-2A4A-AED3-5DDDA040DAA7}"/>
  <sortState xmlns:xlrd2="http://schemas.microsoft.com/office/spreadsheetml/2017/richdata2" ref="B23:T28">
    <sortCondition ref="B22:B28"/>
  </sortState>
  <tableColumns count="19">
    <tableColumn id="18" xr3:uid="{9C584835-57AB-9947-8CBE-3ADF92BD26D1}" name="attribute.index" dataDxfId="14"/>
    <tableColumn id="1" xr3:uid="{1EAA29A7-11BC-2442-A964-B99434569678}" name="attribute"/>
    <tableColumn id="2" xr3:uid="{1A93C1AD-3BE3-704A-A545-39DBBCCD9DEA}" name="supplemented"/>
    <tableColumn id="3" xr3:uid="{92E7F563-BDE8-B84B-B375-B390788B10AA}" name="method.index"/>
    <tableColumn id="4" xr3:uid="{F22145A7-26C3-434D-953F-6F1F6FCAE5A7}" name="method"/>
    <tableColumn id="19" xr3:uid="{2425D883-A1BD-0C43-969B-9F5ADECE1AE8}" name="var" dataDxfId="13">
      <calculatedColumnFormula>_xlfn.LET(_xlpm.attr,Table6188[[#This Row],[attribute]],_xlpm.spl,LEFT(Table6188[[#This Row],[supplemented]],1),_xlfn.TEXTJOIN("-",TRUE,_xlpm.attr,_xlpm.spl,"3k-mgv3"))</calculatedColumnFormula>
    </tableColumn>
    <tableColumn id="5" xr3:uid="{BA268A6D-120B-7246-8496-4B13062EC26F}" name="2g-no-hash" dataDxfId="12">
      <calculatedColumnFormula array="1">_xlfn.LET(_xlpm.d,H$2:H$19,_xlpm.a,$C$2:$C$19=$C23,_xlpm.b,$D$2:$D$19=$D23,MAX(_xlfn._xlws.FILTER(_xlpm.d,_xlpm.a*_xlpm.b)))</calculatedColumnFormula>
    </tableColumn>
    <tableColumn id="6" xr3:uid="{3D5F1BC9-50AA-8A4D-94CE-B1903D2EA559}" name="3g-no-hash" dataDxfId="11">
      <calculatedColumnFormula array="1">_xlfn.LET(_xlpm.d,I$2:I$19,_xlpm.a,$C$2:$C$19=$C23,_xlpm.b,$D$2:$D$19=$D23,MAX(_xlfn._xlws.FILTER(_xlpm.d,_xlpm.a*_xlpm.b)))</calculatedColumnFormula>
    </tableColumn>
    <tableColumn id="7" xr3:uid="{E2B17C53-5C3B-0140-953E-D2316DAE140E}" name="4g-no-hash" dataDxfId="10">
      <calculatedColumnFormula array="1">_xlfn.LET(_xlpm.d,J$2:J$19,_xlpm.a,$C$2:$C$19=$C23,_xlpm.b,$D$2:$D$19=$D23,MAX(_xlfn._xlws.FILTER(_xlpm.d,_xlpm.a*_xlpm.b)))</calculatedColumnFormula>
    </tableColumn>
    <tableColumn id="8" xr3:uid="{89DE8AC7-AAF9-B440-92B2-4129686EDFE9}" name="xsk2g-no-hash" dataDxfId="9">
      <calculatedColumnFormula array="1">_xlfn.LET(_xlpm.d,K$2:K$19,_xlpm.a,$C$2:$C$19=$C23,_xlpm.b,$D$2:$D$19=$D23,MAX(_xlfn._xlws.FILTER(_xlpm.d,_xlpm.a*_xlpm.b)))</calculatedColumnFormula>
    </tableColumn>
    <tableColumn id="9" xr3:uid="{27DF6BE1-3F64-E44F-AB9C-1E4048B1F7D4}" name="xsk3g-no-hash" dataDxfId="8">
      <calculatedColumnFormula array="1">_xlfn.LET(_xlpm.d,L$2:L$19,_xlpm.a,$C$2:$C$19=$C23,_xlpm.b,$D$2:$D$19=$D23,MAX(_xlfn._xlws.FILTER(_xlpm.d,_xlpm.a*_xlpm.b)))</calculatedColumnFormula>
    </tableColumn>
    <tableColumn id="10" xr3:uid="{5497137B-5438-5F41-A721-F2AAFAC22902}" name="xsk4g-no-hash" dataDxfId="7">
      <calculatedColumnFormula array="1">_xlfn.LET(_xlpm.d,M$2:M$19,_xlpm.a,$C$2:$C$19=$C23,_xlpm.b,$D$2:$D$19=$D23,MAX(_xlfn._xlws.FILTER(_xlpm.d,_xlpm.a*_xlpm.b)))</calculatedColumnFormula>
    </tableColumn>
    <tableColumn id="11" xr3:uid="{5D54CF33-D8F8-6340-9189-5CC38EDDF051}" name="2g-hash-at-both" dataDxfId="6">
      <calculatedColumnFormula array="1">_xlfn.LET(_xlpm.d,N$2:N$19,_xlpm.a,$C$2:$C$19=$C23,_xlpm.b,$D$2:$D$19=$D23,MAX(_xlfn._xlws.FILTER(_xlpm.d,_xlpm.a*_xlpm.b)))</calculatedColumnFormula>
    </tableColumn>
    <tableColumn id="12" xr3:uid="{9A3EF50E-19C0-8C43-B21C-1AA818519642}" name="3g-hash-at-both" dataDxfId="5">
      <calculatedColumnFormula array="1">_xlfn.LET(_xlpm.d,O$2:O$19,_xlpm.a,$C$2:$C$19=$C23,_xlpm.b,$D$2:$D$19=$D23,MAX(_xlfn._xlws.FILTER(_xlpm.d,_xlpm.a*_xlpm.b)))</calculatedColumnFormula>
    </tableColumn>
    <tableColumn id="13" xr3:uid="{9661DA81-45F2-BF42-BD66-7A6405583F71}" name="4g-hash-at-both" dataDxfId="4">
      <calculatedColumnFormula array="1">_xlfn.LET(_xlpm.d,P$2:P$19,_xlpm.a,$C$2:$C$19=$C23,_xlpm.b,$D$2:$D$19=$D23,MAX(_xlfn._xlws.FILTER(_xlpm.d,_xlpm.a*_xlpm.b)))</calculatedColumnFormula>
    </tableColumn>
    <tableColumn id="14" xr3:uid="{26EFA519-E47B-FC4C-889E-40E5884C8111}" name="xsk2g-hash-at-both" dataDxfId="3">
      <calculatedColumnFormula array="1">_xlfn.LET(_xlpm.d,Q$2:Q$19,_xlpm.a,$C$2:$C$19=$C23,_xlpm.b,$D$2:$D$19=$D23,MAX(_xlfn._xlws.FILTER(_xlpm.d,_xlpm.a*_xlpm.b)))</calculatedColumnFormula>
    </tableColumn>
    <tableColumn id="15" xr3:uid="{2888F11F-C974-4F4C-BFCC-87026D6CF8BD}" name="xsk3g-hash-at-both" dataDxfId="2">
      <calculatedColumnFormula array="1">_xlfn.LET(_xlpm.d,R$2:R$19,_xlpm.a,$C$2:$C$19=$C23,_xlpm.b,$D$2:$D$19=$D23,MAX(_xlfn._xlws.FILTER(_xlpm.d,_xlpm.a*_xlpm.b)))</calculatedColumnFormula>
    </tableColumn>
    <tableColumn id="16" xr3:uid="{E4C9CF06-7047-8A46-9C1D-A85AE1EB7545}" name="xsk4g-hash-at-both" dataDxfId="1">
      <calculatedColumnFormula array="1">_xlfn.LET(_xlpm.d,S$2:S$19,_xlpm.a,$C$2:$C$19=$C23,_xlpm.b,$D$2:$D$19=$D23,MAX(_xlfn._xlws.FILTER(_xlpm.d,_xlpm.a*_xlpm.b)))</calculatedColumnFormula>
    </tableColumn>
    <tableColumn id="17" xr3:uid="{0AB8A7EE-8D89-D14D-A774-B8D13F8A6D8C}" name="max" dataDxfId="0">
      <calculatedColumnFormula array="1">_xlfn.LET(_xlpm.d,T$2:T$19,_xlpm.a,$C$2:$C$19=$C23,_xlpm.b,$D$2:$D$19=$D23,MAX(_xlfn._xlws.FILTER(_xlpm.d,_xlpm.a*_xlpm.b)))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8D6E-69A1-6A41-AF74-966C258E5505}">
  <dimension ref="A1:Y67"/>
  <sheetViews>
    <sheetView tabSelected="1" workbookViewId="0">
      <pane xSplit="17580" ySplit="6940" topLeftCell="Y1"/>
      <selection activeCell="A27" sqref="A27"/>
      <selection pane="topRight" activeCell="AF38" sqref="AF38"/>
      <selection pane="bottomLeft" activeCell="C72" sqref="C72"/>
      <selection pane="bottomRight" activeCell="AE75" sqref="AE75"/>
    </sheetView>
  </sheetViews>
  <sheetFormatPr baseColWidth="10" defaultRowHeight="25" customHeight="1"/>
  <cols>
    <col min="1" max="5" width="7.75" customWidth="1"/>
    <col min="7" max="7" width="10.375" customWidth="1"/>
    <col min="8" max="8" width="9.125" customWidth="1"/>
    <col min="9" max="9" width="8.625" customWidth="1"/>
    <col min="10" max="10" width="15.875" customWidth="1"/>
    <col min="11" max="24" width="9.375" customWidth="1"/>
    <col min="25" max="25" width="10" customWidth="1"/>
  </cols>
  <sheetData>
    <row r="1" spans="1:25" ht="25" customHeight="1">
      <c r="A1" t="s">
        <v>25</v>
      </c>
      <c r="B1" t="s">
        <v>26</v>
      </c>
      <c r="C1" t="s">
        <v>27</v>
      </c>
      <c r="D1" t="s">
        <v>28</v>
      </c>
      <c r="E1" t="s">
        <v>1</v>
      </c>
      <c r="F1" t="s">
        <v>2</v>
      </c>
      <c r="G1" t="s">
        <v>29</v>
      </c>
      <c r="H1" t="s">
        <v>3</v>
      </c>
      <c r="I1" t="s">
        <v>4</v>
      </c>
      <c r="J1" t="s">
        <v>30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31</v>
      </c>
      <c r="Y1" t="s">
        <v>34</v>
      </c>
    </row>
    <row r="2" spans="1:25" ht="25" hidden="1" customHeight="1">
      <c r="A2">
        <v>0</v>
      </c>
      <c r="B2" t="s">
        <v>32</v>
      </c>
      <c r="C2">
        <v>3</v>
      </c>
      <c r="D2">
        <v>6</v>
      </c>
      <c r="E2">
        <v>1</v>
      </c>
      <c r="F2" t="s">
        <v>23</v>
      </c>
      <c r="G2" t="b">
        <v>1</v>
      </c>
      <c r="H2">
        <v>1</v>
      </c>
      <c r="I2" t="s">
        <v>17</v>
      </c>
      <c r="J2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ml:0-s3k-plu-spl:T-mgv6</v>
      </c>
      <c r="K2" s="1">
        <v>0.75</v>
      </c>
      <c r="L2" s="1">
        <v>0.76</v>
      </c>
      <c r="M2" s="1">
        <v>0.73</v>
      </c>
      <c r="N2" s="1">
        <v>0.7</v>
      </c>
      <c r="O2" s="1">
        <v>0.71</v>
      </c>
      <c r="P2" s="1">
        <v>0.7</v>
      </c>
      <c r="Q2" s="1">
        <v>0.76</v>
      </c>
      <c r="R2" s="1">
        <v>0.72</v>
      </c>
      <c r="S2" s="1">
        <v>0.73</v>
      </c>
      <c r="T2" s="1">
        <v>0.71</v>
      </c>
      <c r="U2" s="1">
        <v>0.66</v>
      </c>
      <c r="V2" s="1">
        <v>0.71</v>
      </c>
      <c r="W2" s="1">
        <v>0.76</v>
      </c>
      <c r="X2" s="1">
        <f t="shared" ref="X2:X33" si="0">_xlfn.LET(_xlpm.d,$K2:$V2,GEOMEAN(_xlpm.d))</f>
        <v>0.71947406565044059</v>
      </c>
      <c r="Y2" s="4">
        <f t="shared" ref="Y2:Y33" si="1">RANK(X2,X$2:X$67)</f>
        <v>44</v>
      </c>
    </row>
    <row r="3" spans="1:25" ht="25" customHeight="1">
      <c r="A3">
        <v>3</v>
      </c>
      <c r="B3" t="s">
        <v>32</v>
      </c>
      <c r="C3">
        <v>1.2</v>
      </c>
      <c r="D3">
        <v>9</v>
      </c>
      <c r="E3">
        <v>1</v>
      </c>
      <c r="F3" t="s">
        <v>23</v>
      </c>
      <c r="G3" t="b">
        <v>1</v>
      </c>
      <c r="H3">
        <v>0</v>
      </c>
      <c r="I3" t="s">
        <v>17</v>
      </c>
      <c r="J3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ml:3-s1.2k-plu-spl:T-mgv9</v>
      </c>
      <c r="K3" s="1">
        <v>0.75</v>
      </c>
      <c r="L3" s="1">
        <v>0.86</v>
      </c>
      <c r="M3" s="1">
        <v>0.68</v>
      </c>
      <c r="N3" s="1">
        <v>0.63</v>
      </c>
      <c r="O3" s="1">
        <v>0.73</v>
      </c>
      <c r="P3" s="1">
        <v>0.72</v>
      </c>
      <c r="Q3" s="1">
        <v>0.72</v>
      </c>
      <c r="R3" s="1">
        <v>0.7</v>
      </c>
      <c r="S3" s="1">
        <v>0.68</v>
      </c>
      <c r="T3" s="1">
        <v>0.67</v>
      </c>
      <c r="U3" s="1">
        <v>0.69</v>
      </c>
      <c r="V3" s="1">
        <v>0.68</v>
      </c>
      <c r="W3" s="1">
        <v>0.86</v>
      </c>
      <c r="X3" s="1">
        <f t="shared" si="0"/>
        <v>0.70719046918728912</v>
      </c>
      <c r="Y3" s="4">
        <f t="shared" si="1"/>
        <v>46</v>
      </c>
    </row>
    <row r="4" spans="1:25" ht="25" customHeight="1">
      <c r="A4">
        <v>2</v>
      </c>
      <c r="B4" t="s">
        <v>32</v>
      </c>
      <c r="C4">
        <v>1.2</v>
      </c>
      <c r="D4">
        <v>9</v>
      </c>
      <c r="E4">
        <v>1</v>
      </c>
      <c r="F4" t="s">
        <v>23</v>
      </c>
      <c r="G4" t="b">
        <v>1</v>
      </c>
      <c r="H4">
        <v>0</v>
      </c>
      <c r="I4" t="s">
        <v>17</v>
      </c>
      <c r="J4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ml:2-s1.2k-plu-spl:T-mgv9</v>
      </c>
      <c r="K4" s="1">
        <v>0.71</v>
      </c>
      <c r="L4" s="1">
        <v>0.71</v>
      </c>
      <c r="M4" s="1">
        <v>0.73</v>
      </c>
      <c r="N4" s="1">
        <v>0.76</v>
      </c>
      <c r="O4" s="1">
        <v>0.73</v>
      </c>
      <c r="P4" s="1">
        <v>0.65</v>
      </c>
      <c r="Q4" s="1">
        <v>0.72</v>
      </c>
      <c r="R4" s="1">
        <v>0.66</v>
      </c>
      <c r="S4" s="1">
        <v>0.68</v>
      </c>
      <c r="T4" s="1">
        <v>0.7</v>
      </c>
      <c r="U4" s="1">
        <v>0.71</v>
      </c>
      <c r="V4" s="1">
        <v>0.68</v>
      </c>
      <c r="W4" s="1">
        <v>0.76</v>
      </c>
      <c r="X4" s="1">
        <f t="shared" si="0"/>
        <v>0.70268659346669438</v>
      </c>
      <c r="Y4" s="4">
        <f t="shared" si="1"/>
        <v>47</v>
      </c>
    </row>
    <row r="5" spans="1:25" ht="25" customHeight="1">
      <c r="A5">
        <v>3</v>
      </c>
      <c r="B5" t="s">
        <v>32</v>
      </c>
      <c r="C5">
        <v>2</v>
      </c>
      <c r="D5">
        <v>9</v>
      </c>
      <c r="E5">
        <v>1</v>
      </c>
      <c r="F5" t="s">
        <v>23</v>
      </c>
      <c r="G5" t="b">
        <v>1</v>
      </c>
      <c r="H5">
        <v>0</v>
      </c>
      <c r="I5" t="s">
        <v>17</v>
      </c>
      <c r="J5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ml:3-s2k-plu-spl:T-mgv9</v>
      </c>
      <c r="K5" s="1">
        <v>0.76</v>
      </c>
      <c r="L5" s="1">
        <v>0.71</v>
      </c>
      <c r="M5" s="1">
        <v>0.66</v>
      </c>
      <c r="N5" s="1">
        <v>0.69</v>
      </c>
      <c r="O5" s="1">
        <v>0.66</v>
      </c>
      <c r="P5" s="1">
        <v>0.68</v>
      </c>
      <c r="Q5" s="1">
        <v>0.7</v>
      </c>
      <c r="R5" s="1">
        <v>0.77</v>
      </c>
      <c r="S5" s="1">
        <v>0.72</v>
      </c>
      <c r="T5" s="1">
        <v>0.73</v>
      </c>
      <c r="U5" s="1">
        <v>0.69</v>
      </c>
      <c r="V5" s="1">
        <v>0.66</v>
      </c>
      <c r="W5" s="1">
        <v>0.77</v>
      </c>
      <c r="X5" s="1">
        <f t="shared" si="0"/>
        <v>0.70161076993954963</v>
      </c>
      <c r="Y5" s="4">
        <f t="shared" si="1"/>
        <v>48</v>
      </c>
    </row>
    <row r="6" spans="1:25" ht="25" hidden="1" customHeight="1">
      <c r="A6">
        <v>0</v>
      </c>
      <c r="B6" t="s">
        <v>32</v>
      </c>
      <c r="C6">
        <v>2</v>
      </c>
      <c r="D6">
        <v>6</v>
      </c>
      <c r="E6">
        <v>1</v>
      </c>
      <c r="F6" t="s">
        <v>23</v>
      </c>
      <c r="G6" t="b">
        <v>1</v>
      </c>
      <c r="H6">
        <v>1</v>
      </c>
      <c r="I6" t="s">
        <v>17</v>
      </c>
      <c r="J6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ml:0-s2k-plu-spl:T-mgv6</v>
      </c>
      <c r="K6" s="1">
        <v>0.71</v>
      </c>
      <c r="L6" s="1">
        <v>0.69</v>
      </c>
      <c r="M6" s="1">
        <v>0.68</v>
      </c>
      <c r="N6" s="1">
        <v>0.76</v>
      </c>
      <c r="O6" s="1">
        <v>0.7</v>
      </c>
      <c r="P6" s="1">
        <v>0.69</v>
      </c>
      <c r="Q6" s="1">
        <v>0.71</v>
      </c>
      <c r="R6" s="1">
        <v>0.75</v>
      </c>
      <c r="S6" s="1">
        <v>0.72</v>
      </c>
      <c r="T6" s="1">
        <v>0.63</v>
      </c>
      <c r="U6" s="1">
        <v>0.7</v>
      </c>
      <c r="V6" s="1">
        <v>0.68</v>
      </c>
      <c r="W6" s="1">
        <v>0.76</v>
      </c>
      <c r="X6" s="1">
        <f t="shared" si="0"/>
        <v>0.70091398255778581</v>
      </c>
      <c r="Y6" s="4">
        <f t="shared" si="1"/>
        <v>49</v>
      </c>
    </row>
    <row r="7" spans="1:25" ht="25" customHeight="1">
      <c r="A7">
        <v>0</v>
      </c>
      <c r="B7" t="s">
        <v>32</v>
      </c>
      <c r="C7">
        <v>3</v>
      </c>
      <c r="D7">
        <v>9</v>
      </c>
      <c r="E7">
        <v>1</v>
      </c>
      <c r="F7" t="s">
        <v>23</v>
      </c>
      <c r="G7" t="b">
        <v>1</v>
      </c>
      <c r="H7">
        <v>1</v>
      </c>
      <c r="I7" t="s">
        <v>17</v>
      </c>
      <c r="J7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ml:0-s3k-plu-spl:T-mgv9</v>
      </c>
      <c r="K7" s="1">
        <v>0.74</v>
      </c>
      <c r="L7" s="1">
        <v>0.74</v>
      </c>
      <c r="M7" s="1">
        <v>0.68</v>
      </c>
      <c r="N7" s="1">
        <v>0.69</v>
      </c>
      <c r="O7" s="1">
        <v>0.68</v>
      </c>
      <c r="P7" s="1">
        <v>0.66</v>
      </c>
      <c r="Q7" s="1">
        <v>0.7</v>
      </c>
      <c r="R7" s="1">
        <v>0.68</v>
      </c>
      <c r="S7" s="1">
        <v>0.72</v>
      </c>
      <c r="T7" s="1">
        <v>0.7</v>
      </c>
      <c r="U7" s="1">
        <v>0.71</v>
      </c>
      <c r="V7" s="1">
        <v>0.71</v>
      </c>
      <c r="W7" s="1">
        <v>0.74</v>
      </c>
      <c r="X7" s="1">
        <f t="shared" si="0"/>
        <v>0.70043693637797755</v>
      </c>
      <c r="Y7" s="4">
        <f t="shared" si="1"/>
        <v>50</v>
      </c>
    </row>
    <row r="8" spans="1:25" ht="25" customHeight="1">
      <c r="A8">
        <v>0</v>
      </c>
      <c r="B8" t="s">
        <v>32</v>
      </c>
      <c r="C8">
        <v>2</v>
      </c>
      <c r="D8">
        <v>9</v>
      </c>
      <c r="E8">
        <v>1</v>
      </c>
      <c r="F8" t="s">
        <v>23</v>
      </c>
      <c r="G8" t="b">
        <v>1</v>
      </c>
      <c r="H8">
        <v>1</v>
      </c>
      <c r="I8" t="s">
        <v>17</v>
      </c>
      <c r="J8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ml:0-s2k-plu-spl:T-mgv9</v>
      </c>
      <c r="K8" s="1">
        <v>0.72</v>
      </c>
      <c r="L8" s="1">
        <v>0.72</v>
      </c>
      <c r="M8" s="1">
        <v>0.8</v>
      </c>
      <c r="N8" s="1">
        <v>0.62</v>
      </c>
      <c r="O8" s="1">
        <v>0.7</v>
      </c>
      <c r="P8" s="1">
        <v>0.7</v>
      </c>
      <c r="Q8" s="1">
        <v>0.72</v>
      </c>
      <c r="R8" s="1">
        <v>0.65</v>
      </c>
      <c r="S8" s="1">
        <v>0.73</v>
      </c>
      <c r="T8" s="1">
        <v>0.69</v>
      </c>
      <c r="U8" s="1">
        <v>0.68</v>
      </c>
      <c r="V8" s="1">
        <v>0.66</v>
      </c>
      <c r="W8" s="1">
        <v>0.8</v>
      </c>
      <c r="X8" s="1">
        <f t="shared" si="0"/>
        <v>0.69780559955381394</v>
      </c>
      <c r="Y8" s="4">
        <f t="shared" si="1"/>
        <v>51</v>
      </c>
    </row>
    <row r="9" spans="1:25" ht="25" customHeight="1">
      <c r="A9">
        <v>2</v>
      </c>
      <c r="B9" t="s">
        <v>32</v>
      </c>
      <c r="C9">
        <v>2</v>
      </c>
      <c r="D9">
        <v>9</v>
      </c>
      <c r="E9">
        <v>1</v>
      </c>
      <c r="F9" t="s">
        <v>23</v>
      </c>
      <c r="G9" t="b">
        <v>1</v>
      </c>
      <c r="H9">
        <v>0</v>
      </c>
      <c r="I9" t="s">
        <v>17</v>
      </c>
      <c r="J9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ml:2-s2k-plu-spl:T-mgv9</v>
      </c>
      <c r="K9" s="1">
        <v>0.74</v>
      </c>
      <c r="L9" s="1">
        <v>0.74</v>
      </c>
      <c r="M9" s="1">
        <v>0.72</v>
      </c>
      <c r="N9" s="1">
        <v>0.67</v>
      </c>
      <c r="O9" s="1">
        <v>0.66</v>
      </c>
      <c r="P9" s="1">
        <v>0.72</v>
      </c>
      <c r="Q9" s="1">
        <v>0.73</v>
      </c>
      <c r="R9" s="1">
        <v>0.65</v>
      </c>
      <c r="S9" s="1">
        <v>0.72</v>
      </c>
      <c r="T9" s="1">
        <v>0.72</v>
      </c>
      <c r="U9" s="1">
        <v>0.6</v>
      </c>
      <c r="V9" s="1">
        <v>0.71</v>
      </c>
      <c r="W9" s="1">
        <v>0.74</v>
      </c>
      <c r="X9" s="1">
        <f t="shared" si="0"/>
        <v>0.6970353946167267</v>
      </c>
      <c r="Y9" s="4">
        <f t="shared" si="1"/>
        <v>52</v>
      </c>
    </row>
    <row r="10" spans="1:25" ht="25" hidden="1" customHeight="1">
      <c r="A10">
        <v>0</v>
      </c>
      <c r="B10" t="s">
        <v>32</v>
      </c>
      <c r="C10">
        <v>1.2</v>
      </c>
      <c r="D10">
        <v>3</v>
      </c>
      <c r="E10">
        <v>1</v>
      </c>
      <c r="F10" t="s">
        <v>23</v>
      </c>
      <c r="G10" t="b">
        <v>1</v>
      </c>
      <c r="H10">
        <v>1</v>
      </c>
      <c r="I10" t="s">
        <v>17</v>
      </c>
      <c r="J10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ml:0-s1.2k-plu-spl:T-mgv3</v>
      </c>
      <c r="K10" s="3">
        <v>0.77</v>
      </c>
      <c r="L10" s="3">
        <v>0.72</v>
      </c>
      <c r="M10" s="3">
        <v>0.77</v>
      </c>
      <c r="N10" s="3">
        <v>0.66</v>
      </c>
      <c r="O10" s="3">
        <v>0.69</v>
      </c>
      <c r="P10" s="3">
        <v>0.69</v>
      </c>
      <c r="Q10" s="3">
        <v>0.64</v>
      </c>
      <c r="R10" s="3">
        <v>0.65</v>
      </c>
      <c r="S10" s="3">
        <v>0.76</v>
      </c>
      <c r="T10" s="3">
        <v>0.61</v>
      </c>
      <c r="U10" s="3">
        <v>0.71</v>
      </c>
      <c r="V10" s="3">
        <v>0.7</v>
      </c>
      <c r="W10" s="3">
        <v>0.77</v>
      </c>
      <c r="X10" s="3">
        <f t="shared" si="0"/>
        <v>0.69571136965847347</v>
      </c>
      <c r="Y10" s="4">
        <f t="shared" si="1"/>
        <v>53</v>
      </c>
    </row>
    <row r="11" spans="1:25" ht="25" customHeight="1">
      <c r="A11">
        <v>3</v>
      </c>
      <c r="B11" t="s">
        <v>32</v>
      </c>
      <c r="C11">
        <v>1.2</v>
      </c>
      <c r="D11">
        <v>9</v>
      </c>
      <c r="E11">
        <v>1</v>
      </c>
      <c r="F11" t="s">
        <v>23</v>
      </c>
      <c r="G11" t="b">
        <v>0</v>
      </c>
      <c r="H11">
        <v>0</v>
      </c>
      <c r="I11" t="s">
        <v>17</v>
      </c>
      <c r="J11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ml:3-s1.2k-plu-spl:F-mgv9</v>
      </c>
      <c r="K11" s="3">
        <v>0.73</v>
      </c>
      <c r="L11" s="3">
        <v>0.81</v>
      </c>
      <c r="M11" s="3">
        <v>0.67</v>
      </c>
      <c r="N11" s="3">
        <v>0.63</v>
      </c>
      <c r="O11" s="3">
        <v>0.71</v>
      </c>
      <c r="P11" s="3">
        <v>0.69</v>
      </c>
      <c r="Q11" s="3">
        <v>0.72</v>
      </c>
      <c r="R11" s="3">
        <v>0.66</v>
      </c>
      <c r="S11" s="3">
        <v>0.66</v>
      </c>
      <c r="T11" s="3">
        <v>0.66</v>
      </c>
      <c r="U11" s="3">
        <v>0.68</v>
      </c>
      <c r="V11" s="3">
        <v>0.72</v>
      </c>
      <c r="W11" s="3">
        <v>0.81</v>
      </c>
      <c r="X11" s="3">
        <f t="shared" si="0"/>
        <v>0.69357702504594343</v>
      </c>
      <c r="Y11" s="4">
        <f t="shared" si="1"/>
        <v>54</v>
      </c>
    </row>
    <row r="12" spans="1:25" ht="25" hidden="1" customHeight="1">
      <c r="A12">
        <v>0</v>
      </c>
      <c r="B12" t="s">
        <v>32</v>
      </c>
      <c r="C12">
        <v>3</v>
      </c>
      <c r="D12">
        <v>6</v>
      </c>
      <c r="E12">
        <v>1</v>
      </c>
      <c r="F12" t="s">
        <v>23</v>
      </c>
      <c r="G12" t="b">
        <v>0</v>
      </c>
      <c r="H12">
        <v>1</v>
      </c>
      <c r="I12" t="s">
        <v>17</v>
      </c>
      <c r="J12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ml:0-s3k-plu-spl:F-mgv6</v>
      </c>
      <c r="K12" s="3">
        <v>0.71</v>
      </c>
      <c r="L12" s="3">
        <v>0.71</v>
      </c>
      <c r="M12" s="3">
        <v>0.7</v>
      </c>
      <c r="N12" s="3">
        <v>0.66</v>
      </c>
      <c r="O12" s="3">
        <v>0.69</v>
      </c>
      <c r="P12" s="3">
        <v>0.67</v>
      </c>
      <c r="Q12" s="3">
        <v>0.72</v>
      </c>
      <c r="R12" s="3">
        <v>0.7</v>
      </c>
      <c r="S12" s="3">
        <v>0.69</v>
      </c>
      <c r="T12" s="3">
        <v>0.67</v>
      </c>
      <c r="U12" s="3">
        <v>0.67</v>
      </c>
      <c r="V12" s="3">
        <v>0.67</v>
      </c>
      <c r="W12" s="3">
        <v>0.72</v>
      </c>
      <c r="X12" s="3">
        <f t="shared" si="0"/>
        <v>0.68806935657372403</v>
      </c>
      <c r="Y12" s="4">
        <f t="shared" si="1"/>
        <v>55</v>
      </c>
    </row>
    <row r="13" spans="1:25" ht="25" customHeight="1">
      <c r="A13">
        <v>0</v>
      </c>
      <c r="B13" t="s">
        <v>32</v>
      </c>
      <c r="C13">
        <v>1.2</v>
      </c>
      <c r="D13">
        <v>9</v>
      </c>
      <c r="E13">
        <v>1</v>
      </c>
      <c r="F13" t="s">
        <v>23</v>
      </c>
      <c r="G13" t="b">
        <v>1</v>
      </c>
      <c r="H13">
        <v>1</v>
      </c>
      <c r="I13" t="s">
        <v>17</v>
      </c>
      <c r="J13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ml:0-s1.2k-plu-spl:T-mgv9</v>
      </c>
      <c r="K13" s="3">
        <v>0.69</v>
      </c>
      <c r="L13" s="3">
        <v>0.7</v>
      </c>
      <c r="M13" s="3">
        <v>0.66</v>
      </c>
      <c r="N13" s="3">
        <v>0.7</v>
      </c>
      <c r="O13" s="3">
        <v>0.65</v>
      </c>
      <c r="P13" s="3">
        <v>0.7</v>
      </c>
      <c r="Q13" s="3">
        <v>0.72</v>
      </c>
      <c r="R13" s="3">
        <v>0.75</v>
      </c>
      <c r="S13" s="3">
        <v>0.71</v>
      </c>
      <c r="T13" s="3">
        <v>0.64</v>
      </c>
      <c r="U13" s="3">
        <v>0.63</v>
      </c>
      <c r="V13" s="3">
        <v>0.7</v>
      </c>
      <c r="W13" s="3">
        <v>0.75</v>
      </c>
      <c r="X13" s="3">
        <f t="shared" si="0"/>
        <v>0.68665607163074571</v>
      </c>
      <c r="Y13" s="4">
        <f t="shared" si="1"/>
        <v>56</v>
      </c>
    </row>
    <row r="14" spans="1:25" ht="25" hidden="1" customHeight="1">
      <c r="A14">
        <v>0</v>
      </c>
      <c r="B14" t="s">
        <v>32</v>
      </c>
      <c r="C14">
        <v>2</v>
      </c>
      <c r="D14">
        <v>6</v>
      </c>
      <c r="E14">
        <v>1</v>
      </c>
      <c r="F14" t="s">
        <v>23</v>
      </c>
      <c r="G14" t="b">
        <v>0</v>
      </c>
      <c r="H14">
        <v>1</v>
      </c>
      <c r="I14" t="s">
        <v>17</v>
      </c>
      <c r="J14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ml:0-s2k-plu-spl:F-mgv6</v>
      </c>
      <c r="K14" s="1">
        <v>0.69</v>
      </c>
      <c r="L14" s="1">
        <v>0.67</v>
      </c>
      <c r="M14" s="1">
        <v>0.65</v>
      </c>
      <c r="N14" s="1">
        <v>0.74</v>
      </c>
      <c r="O14" s="1">
        <v>0.66</v>
      </c>
      <c r="P14" s="1">
        <v>0.67</v>
      </c>
      <c r="Q14" s="1">
        <v>0.69</v>
      </c>
      <c r="R14" s="1">
        <v>0.74</v>
      </c>
      <c r="S14" s="1">
        <v>0.7</v>
      </c>
      <c r="T14" s="1">
        <v>0.62</v>
      </c>
      <c r="U14" s="1">
        <v>0.72</v>
      </c>
      <c r="V14" s="1">
        <v>0.67</v>
      </c>
      <c r="W14" s="1">
        <v>0.74</v>
      </c>
      <c r="X14" s="1">
        <f t="shared" si="0"/>
        <v>0.68413025262746485</v>
      </c>
      <c r="Y14" s="4">
        <f t="shared" si="1"/>
        <v>57</v>
      </c>
    </row>
    <row r="15" spans="1:25" ht="25" hidden="1" customHeight="1">
      <c r="A15">
        <v>0</v>
      </c>
      <c r="B15" t="s">
        <v>32</v>
      </c>
      <c r="C15">
        <v>1.2</v>
      </c>
      <c r="D15">
        <v>6</v>
      </c>
      <c r="E15">
        <v>1</v>
      </c>
      <c r="F15" t="s">
        <v>23</v>
      </c>
      <c r="G15" t="b">
        <v>1</v>
      </c>
      <c r="H15">
        <v>1</v>
      </c>
      <c r="I15" t="s">
        <v>17</v>
      </c>
      <c r="J15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ml:0-s1.2k-plu-spl:T-mgv6</v>
      </c>
      <c r="K15" s="1">
        <v>0.72</v>
      </c>
      <c r="L15" s="1">
        <v>0.67</v>
      </c>
      <c r="M15" s="1">
        <v>0.76</v>
      </c>
      <c r="N15" s="1">
        <v>0.67</v>
      </c>
      <c r="O15" s="1">
        <v>0.73</v>
      </c>
      <c r="P15" s="1">
        <v>0.62</v>
      </c>
      <c r="Q15" s="1">
        <v>0.71</v>
      </c>
      <c r="R15" s="1">
        <v>0.68</v>
      </c>
      <c r="S15" s="1">
        <v>0.68</v>
      </c>
      <c r="T15" s="1">
        <v>0.65</v>
      </c>
      <c r="U15" s="1">
        <v>0.64</v>
      </c>
      <c r="V15" s="1">
        <v>0.66</v>
      </c>
      <c r="W15" s="1">
        <v>0.76</v>
      </c>
      <c r="X15" s="1">
        <f t="shared" si="0"/>
        <v>0.68141283089184357</v>
      </c>
      <c r="Y15" s="4">
        <f t="shared" si="1"/>
        <v>58</v>
      </c>
    </row>
    <row r="16" spans="1:25" ht="25" customHeight="1">
      <c r="A16">
        <v>3</v>
      </c>
      <c r="B16" t="s">
        <v>32</v>
      </c>
      <c r="C16">
        <v>2</v>
      </c>
      <c r="D16">
        <v>9</v>
      </c>
      <c r="E16">
        <v>1</v>
      </c>
      <c r="F16" t="s">
        <v>23</v>
      </c>
      <c r="G16" t="b">
        <v>0</v>
      </c>
      <c r="H16">
        <v>0</v>
      </c>
      <c r="I16" t="s">
        <v>17</v>
      </c>
      <c r="J16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ml:3-s2k-plu-spl:F-mgv9</v>
      </c>
      <c r="K16" s="3">
        <v>0.68</v>
      </c>
      <c r="L16" s="3">
        <v>0.66</v>
      </c>
      <c r="M16" s="3">
        <v>0.67</v>
      </c>
      <c r="N16" s="3">
        <v>0.68</v>
      </c>
      <c r="O16" s="3">
        <v>0.66</v>
      </c>
      <c r="P16" s="3">
        <v>0.66</v>
      </c>
      <c r="Q16" s="3">
        <v>0.68</v>
      </c>
      <c r="R16" s="3">
        <v>0.73</v>
      </c>
      <c r="S16" s="3">
        <v>0.69</v>
      </c>
      <c r="T16" s="3">
        <v>0.7</v>
      </c>
      <c r="U16" s="3">
        <v>0.69</v>
      </c>
      <c r="V16" s="3">
        <v>0.67</v>
      </c>
      <c r="W16" s="3">
        <v>0.73</v>
      </c>
      <c r="X16" s="3">
        <f t="shared" si="0"/>
        <v>0.68056394298884026</v>
      </c>
      <c r="Y16" s="4">
        <f t="shared" si="1"/>
        <v>59</v>
      </c>
    </row>
    <row r="17" spans="1:25" ht="25" hidden="1" customHeight="1">
      <c r="A17">
        <v>0</v>
      </c>
      <c r="B17" t="s">
        <v>32</v>
      </c>
      <c r="C17">
        <v>1.2</v>
      </c>
      <c r="D17">
        <v>3</v>
      </c>
      <c r="E17">
        <v>1</v>
      </c>
      <c r="F17" t="s">
        <v>23</v>
      </c>
      <c r="G17" t="b">
        <v>0</v>
      </c>
      <c r="H17">
        <v>1</v>
      </c>
      <c r="I17" t="s">
        <v>17</v>
      </c>
      <c r="J17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ml:0-s1.2k-plu-spl:F-mgv3</v>
      </c>
      <c r="K17" s="3">
        <v>0.77</v>
      </c>
      <c r="L17" s="3">
        <v>0.7</v>
      </c>
      <c r="M17" s="3">
        <v>0.75</v>
      </c>
      <c r="N17" s="3">
        <v>0.68</v>
      </c>
      <c r="O17" s="3">
        <v>0.68</v>
      </c>
      <c r="P17" s="3">
        <v>0.67</v>
      </c>
      <c r="Q17" s="3">
        <v>0.63</v>
      </c>
      <c r="R17" s="3">
        <v>0.67</v>
      </c>
      <c r="S17" s="3">
        <v>0.74</v>
      </c>
      <c r="T17" s="3">
        <v>0.54</v>
      </c>
      <c r="U17" s="3">
        <v>0.66</v>
      </c>
      <c r="V17" s="3">
        <v>0.69</v>
      </c>
      <c r="W17" s="3">
        <v>0.77</v>
      </c>
      <c r="X17" s="3">
        <f t="shared" si="0"/>
        <v>0.67909631871350229</v>
      </c>
      <c r="Y17" s="4">
        <f t="shared" si="1"/>
        <v>60</v>
      </c>
    </row>
    <row r="18" spans="1:25" ht="25" customHeight="1">
      <c r="A18">
        <v>0</v>
      </c>
      <c r="B18" t="s">
        <v>32</v>
      </c>
      <c r="C18">
        <v>2</v>
      </c>
      <c r="D18">
        <v>9</v>
      </c>
      <c r="E18">
        <v>1</v>
      </c>
      <c r="F18" t="s">
        <v>23</v>
      </c>
      <c r="G18" t="b">
        <v>0</v>
      </c>
      <c r="H18">
        <v>1</v>
      </c>
      <c r="I18" t="s">
        <v>17</v>
      </c>
      <c r="J18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ml:0-s2k-plu-spl:F-mgv9</v>
      </c>
      <c r="K18" s="3">
        <v>0.66</v>
      </c>
      <c r="L18" s="3">
        <v>0.69</v>
      </c>
      <c r="M18" s="3">
        <v>0.79</v>
      </c>
      <c r="N18" s="3">
        <v>0.6</v>
      </c>
      <c r="O18" s="3">
        <v>0.69</v>
      </c>
      <c r="P18" s="3">
        <v>0.71</v>
      </c>
      <c r="Q18" s="3">
        <v>0.69</v>
      </c>
      <c r="R18" s="3">
        <v>0.65</v>
      </c>
      <c r="S18" s="3">
        <v>0.69</v>
      </c>
      <c r="T18" s="3">
        <v>0.66</v>
      </c>
      <c r="U18" s="3">
        <v>0.65</v>
      </c>
      <c r="V18" s="3">
        <v>0.67</v>
      </c>
      <c r="W18" s="3">
        <v>0.79</v>
      </c>
      <c r="X18" s="3">
        <f t="shared" si="0"/>
        <v>0.67782648889683728</v>
      </c>
      <c r="Y18" s="4">
        <f t="shared" si="1"/>
        <v>61</v>
      </c>
    </row>
    <row r="19" spans="1:25" ht="25" customHeight="1">
      <c r="A19">
        <v>0</v>
      </c>
      <c r="B19" t="s">
        <v>32</v>
      </c>
      <c r="C19">
        <v>3</v>
      </c>
      <c r="D19">
        <v>9</v>
      </c>
      <c r="E19">
        <v>1</v>
      </c>
      <c r="F19" t="s">
        <v>23</v>
      </c>
      <c r="G19" t="b">
        <v>0</v>
      </c>
      <c r="H19">
        <v>1</v>
      </c>
      <c r="I19" t="s">
        <v>17</v>
      </c>
      <c r="J19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ml:0-s3k-plu-spl:F-mgv9</v>
      </c>
      <c r="K19" s="3">
        <v>0.74</v>
      </c>
      <c r="L19" s="3">
        <v>0.71</v>
      </c>
      <c r="M19" s="3">
        <v>0.65</v>
      </c>
      <c r="N19" s="3">
        <v>0.65</v>
      </c>
      <c r="O19" s="3">
        <v>0.68</v>
      </c>
      <c r="P19" s="3">
        <v>0.64</v>
      </c>
      <c r="Q19" s="3">
        <v>0.62</v>
      </c>
      <c r="R19" s="3">
        <v>0.62</v>
      </c>
      <c r="S19" s="3">
        <v>0.7</v>
      </c>
      <c r="T19" s="3">
        <v>0.69</v>
      </c>
      <c r="U19" s="3">
        <v>0.71</v>
      </c>
      <c r="V19" s="3">
        <v>0.7</v>
      </c>
      <c r="W19" s="3">
        <v>0.74</v>
      </c>
      <c r="X19" s="3">
        <f t="shared" si="0"/>
        <v>0.67479892269766317</v>
      </c>
      <c r="Y19" s="4">
        <f t="shared" si="1"/>
        <v>62</v>
      </c>
    </row>
    <row r="20" spans="1:25" ht="25" customHeight="1">
      <c r="A20">
        <v>2</v>
      </c>
      <c r="B20" t="s">
        <v>32</v>
      </c>
      <c r="C20">
        <v>2</v>
      </c>
      <c r="D20">
        <v>9</v>
      </c>
      <c r="E20">
        <v>1</v>
      </c>
      <c r="F20" t="s">
        <v>23</v>
      </c>
      <c r="G20" t="b">
        <v>0</v>
      </c>
      <c r="H20">
        <v>0</v>
      </c>
      <c r="I20" t="s">
        <v>17</v>
      </c>
      <c r="J20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ml:2-s2k-plu-spl:F-mgv9</v>
      </c>
      <c r="K20" s="1">
        <v>0.74</v>
      </c>
      <c r="L20" s="1">
        <v>0.68</v>
      </c>
      <c r="M20" s="1">
        <v>0.65</v>
      </c>
      <c r="N20" s="1">
        <v>0.66</v>
      </c>
      <c r="O20" s="1">
        <v>0.65</v>
      </c>
      <c r="P20" s="1">
        <v>0.69</v>
      </c>
      <c r="Q20" s="1">
        <v>0.66</v>
      </c>
      <c r="R20" s="1">
        <v>0.64</v>
      </c>
      <c r="S20" s="1">
        <v>0.69</v>
      </c>
      <c r="T20" s="1">
        <v>0.69</v>
      </c>
      <c r="U20" s="1">
        <v>0.61</v>
      </c>
      <c r="V20" s="1">
        <v>0.71</v>
      </c>
      <c r="W20" s="1">
        <v>0.74</v>
      </c>
      <c r="X20" s="1">
        <f t="shared" si="0"/>
        <v>0.67168278954498906</v>
      </c>
      <c r="Y20" s="4">
        <f t="shared" si="1"/>
        <v>63</v>
      </c>
    </row>
    <row r="21" spans="1:25" ht="25" customHeight="1">
      <c r="A21">
        <v>2</v>
      </c>
      <c r="B21" t="s">
        <v>32</v>
      </c>
      <c r="C21">
        <v>1.2</v>
      </c>
      <c r="D21">
        <v>9</v>
      </c>
      <c r="E21">
        <v>1</v>
      </c>
      <c r="F21" t="s">
        <v>23</v>
      </c>
      <c r="G21" t="b">
        <v>0</v>
      </c>
      <c r="H21">
        <v>0</v>
      </c>
      <c r="I21" t="s">
        <v>17</v>
      </c>
      <c r="J21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ml:2-s1.2k-plu-spl:F-mgv9</v>
      </c>
      <c r="K21" s="1">
        <v>0.63</v>
      </c>
      <c r="L21" s="1">
        <v>0.69</v>
      </c>
      <c r="M21" s="1">
        <v>0.65</v>
      </c>
      <c r="N21" s="1">
        <v>0.73</v>
      </c>
      <c r="O21" s="1">
        <v>0.71</v>
      </c>
      <c r="P21" s="1">
        <v>0.66</v>
      </c>
      <c r="Q21" s="1">
        <v>0.69</v>
      </c>
      <c r="R21" s="1">
        <v>0.66</v>
      </c>
      <c r="S21" s="1">
        <v>0.63</v>
      </c>
      <c r="T21" s="1">
        <v>0.67</v>
      </c>
      <c r="U21" s="1">
        <v>0.68</v>
      </c>
      <c r="V21" s="1">
        <v>0.66</v>
      </c>
      <c r="W21" s="1">
        <v>0.73</v>
      </c>
      <c r="X21" s="1">
        <f t="shared" si="0"/>
        <v>0.67105396583401122</v>
      </c>
      <c r="Y21" s="4">
        <f t="shared" si="1"/>
        <v>64</v>
      </c>
    </row>
    <row r="22" spans="1:25" ht="25" customHeight="1">
      <c r="A22">
        <v>0</v>
      </c>
      <c r="B22" t="s">
        <v>32</v>
      </c>
      <c r="C22">
        <v>1.2</v>
      </c>
      <c r="D22">
        <v>9</v>
      </c>
      <c r="E22">
        <v>1</v>
      </c>
      <c r="F22" t="s">
        <v>23</v>
      </c>
      <c r="G22" t="b">
        <v>0</v>
      </c>
      <c r="H22">
        <v>1</v>
      </c>
      <c r="I22" t="s">
        <v>17</v>
      </c>
      <c r="J22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ml:0-s1.2k-plu-spl:F-mgv9</v>
      </c>
      <c r="K22" s="3">
        <v>0.63</v>
      </c>
      <c r="L22" s="3">
        <v>0.66</v>
      </c>
      <c r="M22" s="3">
        <v>0.66</v>
      </c>
      <c r="N22" s="3">
        <v>0.63</v>
      </c>
      <c r="O22" s="3">
        <v>0.65</v>
      </c>
      <c r="P22" s="3">
        <v>0.66</v>
      </c>
      <c r="Q22" s="3">
        <v>0.67</v>
      </c>
      <c r="R22" s="3">
        <v>0.72</v>
      </c>
      <c r="S22" s="3">
        <v>0.71</v>
      </c>
      <c r="T22" s="3">
        <v>0.65</v>
      </c>
      <c r="U22" s="3">
        <v>0.63</v>
      </c>
      <c r="V22" s="3">
        <v>0.68</v>
      </c>
      <c r="W22" s="3">
        <v>0.72</v>
      </c>
      <c r="X22" s="3">
        <f t="shared" si="0"/>
        <v>0.66191856303065721</v>
      </c>
      <c r="Y22" s="4">
        <f t="shared" si="1"/>
        <v>65</v>
      </c>
    </row>
    <row r="23" spans="1:25" ht="25" hidden="1" customHeight="1">
      <c r="A23">
        <v>0</v>
      </c>
      <c r="B23" t="s">
        <v>32</v>
      </c>
      <c r="C23">
        <v>1.2</v>
      </c>
      <c r="D23">
        <v>6</v>
      </c>
      <c r="E23">
        <v>1</v>
      </c>
      <c r="F23" t="s">
        <v>23</v>
      </c>
      <c r="G23" t="b">
        <v>0</v>
      </c>
      <c r="H23">
        <v>1</v>
      </c>
      <c r="I23" t="s">
        <v>17</v>
      </c>
      <c r="J23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ml:0-s1.2k-plu-spl:F-mgv6</v>
      </c>
      <c r="K23" s="3">
        <v>0.66</v>
      </c>
      <c r="L23" s="3">
        <v>0.67</v>
      </c>
      <c r="M23" s="3">
        <v>0.72</v>
      </c>
      <c r="N23" s="3">
        <v>0.63</v>
      </c>
      <c r="O23" s="3">
        <v>0.73</v>
      </c>
      <c r="P23" s="3">
        <v>0.61</v>
      </c>
      <c r="Q23" s="3">
        <v>0.59</v>
      </c>
      <c r="R23" s="3">
        <v>0.7</v>
      </c>
      <c r="S23" s="3">
        <v>0.68</v>
      </c>
      <c r="T23" s="3">
        <v>0.63</v>
      </c>
      <c r="U23" s="3">
        <v>0.62</v>
      </c>
      <c r="V23" s="3">
        <v>0.62</v>
      </c>
      <c r="W23" s="3">
        <v>0.73</v>
      </c>
      <c r="X23" s="3">
        <f t="shared" si="0"/>
        <v>0.65357276686031862</v>
      </c>
      <c r="Y23" s="4">
        <f t="shared" si="1"/>
        <v>66</v>
      </c>
    </row>
    <row r="24" spans="1:25" ht="25" hidden="1" customHeight="1">
      <c r="A24">
        <v>0</v>
      </c>
      <c r="B24" t="s">
        <v>32</v>
      </c>
      <c r="C24">
        <v>2</v>
      </c>
      <c r="D24">
        <v>6</v>
      </c>
      <c r="E24">
        <v>2</v>
      </c>
      <c r="F24" t="s">
        <v>22</v>
      </c>
      <c r="G24" t="b">
        <v>1</v>
      </c>
      <c r="H24">
        <v>1</v>
      </c>
      <c r="I24" t="s">
        <v>17</v>
      </c>
      <c r="J24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ml:0-s2k-gen-spl:T-mgv6</v>
      </c>
      <c r="K24" s="3">
        <v>0.82</v>
      </c>
      <c r="L24" s="3">
        <v>0.77</v>
      </c>
      <c r="M24" s="3">
        <v>0.79</v>
      </c>
      <c r="N24" s="3">
        <v>0.76</v>
      </c>
      <c r="O24" s="3">
        <v>0.78</v>
      </c>
      <c r="P24" s="3">
        <v>0.78</v>
      </c>
      <c r="Q24" s="3">
        <v>0.75</v>
      </c>
      <c r="R24" s="3">
        <v>0.81</v>
      </c>
      <c r="S24" s="3">
        <v>0.74</v>
      </c>
      <c r="T24" s="3">
        <v>0.83</v>
      </c>
      <c r="U24" s="3">
        <v>0.74</v>
      </c>
      <c r="V24" s="3">
        <v>0.77</v>
      </c>
      <c r="W24" s="3">
        <v>0.83</v>
      </c>
      <c r="X24" s="3">
        <f t="shared" si="0"/>
        <v>0.77781458743787679</v>
      </c>
      <c r="Y24" s="4">
        <f t="shared" si="1"/>
        <v>26</v>
      </c>
    </row>
    <row r="25" spans="1:25" ht="25" customHeight="1">
      <c r="A25">
        <v>0</v>
      </c>
      <c r="B25" t="s">
        <v>32</v>
      </c>
      <c r="C25">
        <v>1.2</v>
      </c>
      <c r="D25">
        <v>9</v>
      </c>
      <c r="E25">
        <v>2</v>
      </c>
      <c r="F25" t="s">
        <v>22</v>
      </c>
      <c r="G25" t="b">
        <v>1</v>
      </c>
      <c r="H25">
        <v>1</v>
      </c>
      <c r="I25" t="s">
        <v>17</v>
      </c>
      <c r="J25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ml:0-s1.2k-gen-spl:T-mgv9</v>
      </c>
      <c r="K25" s="3">
        <v>0.82</v>
      </c>
      <c r="L25" s="3">
        <v>0.77</v>
      </c>
      <c r="M25" s="3">
        <v>0.74</v>
      </c>
      <c r="N25" s="3">
        <v>0.78</v>
      </c>
      <c r="O25" s="3">
        <v>0.68</v>
      </c>
      <c r="P25" s="3">
        <v>0.7</v>
      </c>
      <c r="Q25" s="3">
        <v>0.79</v>
      </c>
      <c r="R25" s="3">
        <v>0.75</v>
      </c>
      <c r="S25" s="3">
        <v>0.77</v>
      </c>
      <c r="T25" s="3">
        <v>0.75</v>
      </c>
      <c r="U25" s="3">
        <v>0.68</v>
      </c>
      <c r="V25" s="3">
        <v>0.7</v>
      </c>
      <c r="W25" s="3">
        <v>0.82</v>
      </c>
      <c r="X25" s="3">
        <f t="shared" si="0"/>
        <v>0.74288871709948157</v>
      </c>
      <c r="Y25" s="4">
        <f t="shared" si="1"/>
        <v>37</v>
      </c>
    </row>
    <row r="26" spans="1:25" ht="25" customHeight="1">
      <c r="A26">
        <v>0</v>
      </c>
      <c r="B26" t="s">
        <v>32</v>
      </c>
      <c r="C26">
        <v>2</v>
      </c>
      <c r="D26">
        <v>9</v>
      </c>
      <c r="E26">
        <v>2</v>
      </c>
      <c r="F26" t="s">
        <v>22</v>
      </c>
      <c r="G26" t="b">
        <v>1</v>
      </c>
      <c r="H26">
        <v>1</v>
      </c>
      <c r="I26" t="s">
        <v>17</v>
      </c>
      <c r="J26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ml:0-s2k-gen-spl:T-mgv9</v>
      </c>
      <c r="K26" s="1">
        <v>0.77</v>
      </c>
      <c r="L26" s="1">
        <v>0.73</v>
      </c>
      <c r="M26" s="1">
        <v>0.79</v>
      </c>
      <c r="N26" s="1">
        <v>0.77</v>
      </c>
      <c r="O26" s="1">
        <v>0.74</v>
      </c>
      <c r="P26" s="1">
        <v>0.73</v>
      </c>
      <c r="Q26" s="1">
        <v>0.83</v>
      </c>
      <c r="R26" s="1">
        <v>0.79</v>
      </c>
      <c r="S26" s="1">
        <v>0.8</v>
      </c>
      <c r="T26" s="1">
        <v>0.78</v>
      </c>
      <c r="U26" s="1">
        <v>0.77</v>
      </c>
      <c r="V26" s="1">
        <v>0.72</v>
      </c>
      <c r="W26" s="1">
        <v>0.83</v>
      </c>
      <c r="X26" s="1">
        <f t="shared" si="0"/>
        <v>0.76768534142629308</v>
      </c>
      <c r="Y26" s="4">
        <f t="shared" si="1"/>
        <v>30</v>
      </c>
    </row>
    <row r="27" spans="1:25" ht="25" customHeight="1">
      <c r="A27">
        <v>0</v>
      </c>
      <c r="B27" t="s">
        <v>32</v>
      </c>
      <c r="C27">
        <v>3</v>
      </c>
      <c r="D27">
        <v>9</v>
      </c>
      <c r="E27">
        <v>2</v>
      </c>
      <c r="F27" t="s">
        <v>22</v>
      </c>
      <c r="G27" t="b">
        <v>1</v>
      </c>
      <c r="H27">
        <v>1</v>
      </c>
      <c r="I27" t="s">
        <v>17</v>
      </c>
      <c r="J27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ml:0-s3k-gen-spl:T-mgv9</v>
      </c>
      <c r="K27" s="1">
        <v>0.8</v>
      </c>
      <c r="L27" s="1">
        <v>0.8</v>
      </c>
      <c r="M27" s="1">
        <v>0.8</v>
      </c>
      <c r="N27" s="1">
        <v>0.81</v>
      </c>
      <c r="O27" s="1">
        <v>0.78</v>
      </c>
      <c r="P27" s="1">
        <v>0.76</v>
      </c>
      <c r="Q27" s="1">
        <v>0.8</v>
      </c>
      <c r="R27" s="1">
        <v>0.77</v>
      </c>
      <c r="S27" s="1">
        <v>0.8</v>
      </c>
      <c r="T27" s="1">
        <v>0.77</v>
      </c>
      <c r="U27" s="1">
        <v>0.8</v>
      </c>
      <c r="V27" s="1">
        <v>0.75</v>
      </c>
      <c r="W27" s="1">
        <v>0.81</v>
      </c>
      <c r="X27" s="1">
        <f t="shared" si="0"/>
        <v>0.78643829709659874</v>
      </c>
      <c r="Y27" s="4">
        <f t="shared" si="1"/>
        <v>24</v>
      </c>
    </row>
    <row r="28" spans="1:25" ht="25" customHeight="1">
      <c r="A28">
        <v>2</v>
      </c>
      <c r="B28" t="s">
        <v>32</v>
      </c>
      <c r="C28">
        <v>1.2</v>
      </c>
      <c r="D28">
        <v>9</v>
      </c>
      <c r="E28">
        <v>2</v>
      </c>
      <c r="F28" t="s">
        <v>22</v>
      </c>
      <c r="G28" t="b">
        <v>1</v>
      </c>
      <c r="H28">
        <v>0</v>
      </c>
      <c r="I28" t="s">
        <v>17</v>
      </c>
      <c r="J28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ml:2-s1.2k-gen-spl:T-mgv9</v>
      </c>
      <c r="K28" s="3">
        <v>0.78</v>
      </c>
      <c r="L28" s="3">
        <v>0.85</v>
      </c>
      <c r="M28" s="3">
        <v>0.81</v>
      </c>
      <c r="N28" s="3">
        <v>0.81</v>
      </c>
      <c r="O28" s="3">
        <v>0.72</v>
      </c>
      <c r="P28" s="3">
        <v>0.78</v>
      </c>
      <c r="Q28" s="3">
        <v>0.71</v>
      </c>
      <c r="R28" s="3">
        <v>0.79</v>
      </c>
      <c r="S28" s="3">
        <v>0.79</v>
      </c>
      <c r="T28" s="3">
        <v>0.79</v>
      </c>
      <c r="U28" s="3">
        <v>0.72</v>
      </c>
      <c r="V28" s="3">
        <v>0.79</v>
      </c>
      <c r="W28" s="3">
        <v>0.85</v>
      </c>
      <c r="X28" s="3">
        <f t="shared" si="0"/>
        <v>0.77729192553052984</v>
      </c>
      <c r="Y28" s="4">
        <f t="shared" si="1"/>
        <v>27</v>
      </c>
    </row>
    <row r="29" spans="1:25" ht="25" hidden="1" customHeight="1">
      <c r="A29">
        <v>0</v>
      </c>
      <c r="B29" t="s">
        <v>32</v>
      </c>
      <c r="C29">
        <v>3</v>
      </c>
      <c r="D29">
        <v>6</v>
      </c>
      <c r="E29">
        <v>2</v>
      </c>
      <c r="F29" t="s">
        <v>22</v>
      </c>
      <c r="G29" t="b">
        <v>1</v>
      </c>
      <c r="H29">
        <v>1</v>
      </c>
      <c r="I29" t="s">
        <v>17</v>
      </c>
      <c r="J29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ml:0-s3k-gen-spl:T-mgv6</v>
      </c>
      <c r="K29" s="3">
        <v>0.82</v>
      </c>
      <c r="L29" s="3">
        <v>0.82</v>
      </c>
      <c r="M29" s="3">
        <v>0.81</v>
      </c>
      <c r="N29" s="3">
        <v>0.77</v>
      </c>
      <c r="O29" s="3">
        <v>0.77</v>
      </c>
      <c r="P29" s="3">
        <v>0.76</v>
      </c>
      <c r="Q29" s="3">
        <v>0.79</v>
      </c>
      <c r="R29" s="3">
        <v>0.82</v>
      </c>
      <c r="S29" s="3">
        <v>0.84</v>
      </c>
      <c r="T29" s="3">
        <v>0.78</v>
      </c>
      <c r="U29" s="3">
        <v>0.74</v>
      </c>
      <c r="V29" s="3">
        <v>0.75</v>
      </c>
      <c r="W29" s="3">
        <v>0.84</v>
      </c>
      <c r="X29" s="3">
        <f t="shared" si="0"/>
        <v>0.78855979713256041</v>
      </c>
      <c r="Y29" s="4">
        <f t="shared" si="1"/>
        <v>23</v>
      </c>
    </row>
    <row r="30" spans="1:25" ht="25" hidden="1" customHeight="1">
      <c r="A30">
        <v>0</v>
      </c>
      <c r="B30" t="s">
        <v>32</v>
      </c>
      <c r="C30">
        <v>1.2</v>
      </c>
      <c r="D30">
        <v>3</v>
      </c>
      <c r="E30">
        <v>2</v>
      </c>
      <c r="F30" t="s">
        <v>22</v>
      </c>
      <c r="G30" t="b">
        <v>1</v>
      </c>
      <c r="H30">
        <v>1</v>
      </c>
      <c r="I30" t="s">
        <v>17</v>
      </c>
      <c r="J30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ml:0-s1.2k-gen-spl:T-mgv3</v>
      </c>
      <c r="K30" s="3">
        <v>0.75</v>
      </c>
      <c r="L30" s="3">
        <v>0.77</v>
      </c>
      <c r="M30" s="3">
        <v>0.77</v>
      </c>
      <c r="N30" s="3">
        <v>0.77</v>
      </c>
      <c r="O30" s="3">
        <v>0.75</v>
      </c>
      <c r="P30" s="3">
        <v>0.71</v>
      </c>
      <c r="Q30" s="3">
        <v>0.79</v>
      </c>
      <c r="R30" s="3">
        <v>0.81</v>
      </c>
      <c r="S30" s="3">
        <v>0.82</v>
      </c>
      <c r="T30" s="3">
        <v>0.76</v>
      </c>
      <c r="U30" s="3">
        <v>0.73</v>
      </c>
      <c r="V30" s="3">
        <v>0.8</v>
      </c>
      <c r="W30" s="3">
        <v>0.82</v>
      </c>
      <c r="X30" s="3">
        <f t="shared" si="0"/>
        <v>0.7685411414917046</v>
      </c>
      <c r="Y30" s="4">
        <f t="shared" si="1"/>
        <v>29</v>
      </c>
    </row>
    <row r="31" spans="1:25" ht="25" customHeight="1">
      <c r="A31">
        <v>2</v>
      </c>
      <c r="B31" t="s">
        <v>32</v>
      </c>
      <c r="C31">
        <v>2</v>
      </c>
      <c r="D31">
        <v>9</v>
      </c>
      <c r="E31">
        <v>2</v>
      </c>
      <c r="F31" t="s">
        <v>22</v>
      </c>
      <c r="G31" t="b">
        <v>1</v>
      </c>
      <c r="H31">
        <v>0</v>
      </c>
      <c r="I31" t="s">
        <v>17</v>
      </c>
      <c r="J31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ml:2-s2k-gen-spl:T-mgv9</v>
      </c>
      <c r="K31" s="3">
        <v>0.81</v>
      </c>
      <c r="L31" s="3">
        <v>0.77</v>
      </c>
      <c r="M31" s="3">
        <v>0.82</v>
      </c>
      <c r="N31" s="3">
        <v>0.75</v>
      </c>
      <c r="O31" s="3">
        <v>0.72</v>
      </c>
      <c r="P31" s="3">
        <v>0.77</v>
      </c>
      <c r="Q31" s="3">
        <v>0.74</v>
      </c>
      <c r="R31" s="3">
        <v>0.81</v>
      </c>
      <c r="S31" s="3">
        <v>0.77</v>
      </c>
      <c r="T31" s="3">
        <v>0.8</v>
      </c>
      <c r="U31" s="3">
        <v>0.72</v>
      </c>
      <c r="V31" s="3">
        <v>0.76</v>
      </c>
      <c r="W31" s="3">
        <v>0.82</v>
      </c>
      <c r="X31" s="3">
        <f t="shared" si="0"/>
        <v>0.76929539910310241</v>
      </c>
      <c r="Y31" s="4">
        <f t="shared" si="1"/>
        <v>28</v>
      </c>
    </row>
    <row r="32" spans="1:25" ht="25" hidden="1" customHeight="1">
      <c r="A32">
        <v>0</v>
      </c>
      <c r="B32" t="s">
        <v>32</v>
      </c>
      <c r="C32">
        <v>1.2</v>
      </c>
      <c r="D32">
        <v>6</v>
      </c>
      <c r="E32">
        <v>2</v>
      </c>
      <c r="F32" t="s">
        <v>22</v>
      </c>
      <c r="G32" t="b">
        <v>1</v>
      </c>
      <c r="H32">
        <v>1</v>
      </c>
      <c r="I32" t="s">
        <v>17</v>
      </c>
      <c r="J32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ml:0-s1.2k-gen-spl:T-mgv6</v>
      </c>
      <c r="K32" s="1">
        <v>0.77</v>
      </c>
      <c r="L32" s="1">
        <v>0.75</v>
      </c>
      <c r="M32" s="1">
        <v>0.75</v>
      </c>
      <c r="N32" s="1">
        <v>0.81</v>
      </c>
      <c r="O32" s="1">
        <v>0.82</v>
      </c>
      <c r="P32" s="1">
        <v>0.72</v>
      </c>
      <c r="Q32" s="1">
        <v>0.75</v>
      </c>
      <c r="R32" s="1">
        <v>0.77</v>
      </c>
      <c r="S32" s="1">
        <v>0.81</v>
      </c>
      <c r="T32" s="1">
        <v>0.73</v>
      </c>
      <c r="U32" s="1">
        <v>0.74</v>
      </c>
      <c r="V32" s="1">
        <v>0.77</v>
      </c>
      <c r="W32" s="1">
        <v>0.82</v>
      </c>
      <c r="X32" s="1">
        <f t="shared" si="0"/>
        <v>0.76520402249372532</v>
      </c>
      <c r="Y32" s="4">
        <f t="shared" si="1"/>
        <v>31</v>
      </c>
    </row>
    <row r="33" spans="1:25" ht="25" customHeight="1">
      <c r="A33">
        <v>3</v>
      </c>
      <c r="B33" t="s">
        <v>32</v>
      </c>
      <c r="C33">
        <v>1.2</v>
      </c>
      <c r="D33">
        <v>9</v>
      </c>
      <c r="E33">
        <v>2</v>
      </c>
      <c r="F33" t="s">
        <v>22</v>
      </c>
      <c r="G33" t="b">
        <v>1</v>
      </c>
      <c r="H33">
        <v>0</v>
      </c>
      <c r="I33" t="s">
        <v>17</v>
      </c>
      <c r="J33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ml:3-s1.2k-gen-spl:T-mgv9</v>
      </c>
      <c r="K33" s="1">
        <v>0.82</v>
      </c>
      <c r="L33" s="1">
        <v>0.74</v>
      </c>
      <c r="M33" s="1">
        <v>0.73</v>
      </c>
      <c r="N33" s="1">
        <v>0.82</v>
      </c>
      <c r="O33" s="1">
        <v>0.73</v>
      </c>
      <c r="P33" s="1">
        <v>0.71</v>
      </c>
      <c r="Q33" s="1">
        <v>0.82</v>
      </c>
      <c r="R33" s="1">
        <v>0.8</v>
      </c>
      <c r="S33" s="1">
        <v>0.74</v>
      </c>
      <c r="T33" s="1">
        <v>0.78</v>
      </c>
      <c r="U33" s="1">
        <v>0.7</v>
      </c>
      <c r="V33" s="1">
        <v>0.78</v>
      </c>
      <c r="W33" s="1">
        <v>0.82</v>
      </c>
      <c r="X33" s="1">
        <f t="shared" si="0"/>
        <v>0.76298416525377621</v>
      </c>
      <c r="Y33" s="4">
        <f t="shared" si="1"/>
        <v>32</v>
      </c>
    </row>
    <row r="34" spans="1:25" ht="25" customHeight="1">
      <c r="A34">
        <v>2</v>
      </c>
      <c r="B34" t="s">
        <v>32</v>
      </c>
      <c r="C34">
        <v>1.2</v>
      </c>
      <c r="D34">
        <v>9</v>
      </c>
      <c r="E34">
        <v>2</v>
      </c>
      <c r="F34" t="s">
        <v>22</v>
      </c>
      <c r="G34" t="b">
        <v>0</v>
      </c>
      <c r="H34">
        <v>0</v>
      </c>
      <c r="I34" t="s">
        <v>17</v>
      </c>
      <c r="J34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ml:2-s1.2k-gen-spl:F-mgv9</v>
      </c>
      <c r="K34" s="3">
        <v>0.73</v>
      </c>
      <c r="L34" s="3">
        <v>0.76</v>
      </c>
      <c r="M34" s="3">
        <v>0.81</v>
      </c>
      <c r="N34" s="3">
        <v>0.77</v>
      </c>
      <c r="O34" s="3">
        <v>0.75</v>
      </c>
      <c r="P34" s="3">
        <v>0.77</v>
      </c>
      <c r="Q34" s="3">
        <v>0.73</v>
      </c>
      <c r="R34" s="3">
        <v>0.78</v>
      </c>
      <c r="S34" s="3">
        <v>0.74</v>
      </c>
      <c r="T34" s="3">
        <v>0.8</v>
      </c>
      <c r="U34" s="3">
        <v>0.68</v>
      </c>
      <c r="V34" s="3">
        <v>0.79</v>
      </c>
      <c r="W34" s="3">
        <v>0.81</v>
      </c>
      <c r="X34" s="3">
        <f t="shared" ref="X34:X67" si="2">_xlfn.LET(_xlpm.d,$K34:$V34,GEOMEAN(_xlpm.d))</f>
        <v>0.75836499757300269</v>
      </c>
      <c r="Y34" s="4">
        <f t="shared" ref="Y34:Y65" si="3">RANK(X34,X$2:X$67)</f>
        <v>33</v>
      </c>
    </row>
    <row r="35" spans="1:25" ht="25" customHeight="1">
      <c r="A35">
        <v>0</v>
      </c>
      <c r="B35" t="s">
        <v>32</v>
      </c>
      <c r="C35">
        <v>3</v>
      </c>
      <c r="D35">
        <v>9</v>
      </c>
      <c r="E35">
        <v>2</v>
      </c>
      <c r="F35" t="s">
        <v>22</v>
      </c>
      <c r="G35" t="b">
        <v>0</v>
      </c>
      <c r="H35">
        <v>1</v>
      </c>
      <c r="I35" t="s">
        <v>17</v>
      </c>
      <c r="J35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ml:0-s3k-gen-spl:F-mgv9</v>
      </c>
      <c r="K35" s="3">
        <v>0.76</v>
      </c>
      <c r="L35" s="3">
        <v>0.76</v>
      </c>
      <c r="M35" s="3">
        <v>0.74</v>
      </c>
      <c r="N35" s="3">
        <v>0.76</v>
      </c>
      <c r="O35" s="3">
        <v>0.78</v>
      </c>
      <c r="P35" s="3">
        <v>0.75</v>
      </c>
      <c r="Q35" s="3">
        <v>0.72</v>
      </c>
      <c r="R35" s="3">
        <v>0.73</v>
      </c>
      <c r="S35" s="3">
        <v>0.76</v>
      </c>
      <c r="T35" s="3">
        <v>0.76</v>
      </c>
      <c r="U35" s="3">
        <v>0.82</v>
      </c>
      <c r="V35" s="3">
        <v>0.75</v>
      </c>
      <c r="W35" s="3">
        <v>0.78</v>
      </c>
      <c r="X35" s="3">
        <f t="shared" si="2"/>
        <v>0.75712136506055683</v>
      </c>
      <c r="Y35" s="4">
        <f t="shared" si="3"/>
        <v>34</v>
      </c>
    </row>
    <row r="36" spans="1:25" ht="25" customHeight="1">
      <c r="A36">
        <v>3</v>
      </c>
      <c r="B36" t="s">
        <v>32</v>
      </c>
      <c r="C36">
        <v>2</v>
      </c>
      <c r="D36">
        <v>9</v>
      </c>
      <c r="E36">
        <v>2</v>
      </c>
      <c r="F36" t="s">
        <v>22</v>
      </c>
      <c r="G36" t="b">
        <v>0</v>
      </c>
      <c r="H36">
        <v>0</v>
      </c>
      <c r="I36" t="s">
        <v>17</v>
      </c>
      <c r="J36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ml:3-s2k-gen-spl:F-mgv9</v>
      </c>
      <c r="K36" s="3">
        <v>0.84</v>
      </c>
      <c r="L36" s="3">
        <v>0.74</v>
      </c>
      <c r="M36" s="3">
        <v>0.68</v>
      </c>
      <c r="N36" s="3">
        <v>0.7</v>
      </c>
      <c r="O36" s="3">
        <v>0.73</v>
      </c>
      <c r="P36" s="3">
        <v>0.73</v>
      </c>
      <c r="Q36" s="3">
        <v>0.74</v>
      </c>
      <c r="R36" s="3">
        <v>0.79</v>
      </c>
      <c r="S36" s="3">
        <v>0.74</v>
      </c>
      <c r="T36" s="3">
        <v>0.8</v>
      </c>
      <c r="U36" s="3">
        <v>0.75</v>
      </c>
      <c r="V36" s="3">
        <v>0.73</v>
      </c>
      <c r="W36" s="3">
        <v>0.84</v>
      </c>
      <c r="X36" s="3">
        <f t="shared" si="2"/>
        <v>0.74635255978469617</v>
      </c>
      <c r="Y36" s="4">
        <f t="shared" si="3"/>
        <v>35</v>
      </c>
    </row>
    <row r="37" spans="1:25" ht="25" hidden="1" customHeight="1">
      <c r="A37">
        <v>0</v>
      </c>
      <c r="B37" t="s">
        <v>32</v>
      </c>
      <c r="C37">
        <v>2</v>
      </c>
      <c r="D37">
        <v>6</v>
      </c>
      <c r="E37">
        <v>2</v>
      </c>
      <c r="F37" t="s">
        <v>22</v>
      </c>
      <c r="G37" t="b">
        <v>0</v>
      </c>
      <c r="H37">
        <v>1</v>
      </c>
      <c r="I37" t="s">
        <v>17</v>
      </c>
      <c r="J37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ml:0-s2k-gen-spl:F-mgv6</v>
      </c>
      <c r="K37" s="3">
        <v>0.76</v>
      </c>
      <c r="L37" s="3">
        <v>0.76</v>
      </c>
      <c r="M37" s="3">
        <v>0.75</v>
      </c>
      <c r="N37" s="3">
        <v>0.75</v>
      </c>
      <c r="O37" s="3">
        <v>0.79</v>
      </c>
      <c r="P37" s="3">
        <v>0.74</v>
      </c>
      <c r="Q37" s="3">
        <v>0.71</v>
      </c>
      <c r="R37" s="3">
        <v>0.76</v>
      </c>
      <c r="S37" s="3">
        <v>0.69</v>
      </c>
      <c r="T37" s="3">
        <v>0.77</v>
      </c>
      <c r="U37" s="3">
        <v>0.71</v>
      </c>
      <c r="V37" s="3">
        <v>0.75</v>
      </c>
      <c r="W37" s="3">
        <v>0.79</v>
      </c>
      <c r="X37" s="3">
        <f t="shared" si="2"/>
        <v>0.74449478095618793</v>
      </c>
      <c r="Y37" s="4">
        <f t="shared" si="3"/>
        <v>36</v>
      </c>
    </row>
    <row r="38" spans="1:25" ht="25" customHeight="1">
      <c r="A38">
        <v>3</v>
      </c>
      <c r="B38" t="s">
        <v>32</v>
      </c>
      <c r="C38">
        <v>2</v>
      </c>
      <c r="D38">
        <v>9</v>
      </c>
      <c r="E38">
        <v>2</v>
      </c>
      <c r="F38" t="s">
        <v>22</v>
      </c>
      <c r="G38" t="b">
        <v>1</v>
      </c>
      <c r="H38">
        <v>0</v>
      </c>
      <c r="I38" t="s">
        <v>17</v>
      </c>
      <c r="J38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ml:3-s2k-gen-spl:T-mgv9</v>
      </c>
      <c r="K38" s="1">
        <v>0.85</v>
      </c>
      <c r="L38" s="1">
        <v>0.78</v>
      </c>
      <c r="M38" s="1">
        <v>0.76</v>
      </c>
      <c r="N38" s="1">
        <v>0.75</v>
      </c>
      <c r="O38" s="1">
        <v>0.73</v>
      </c>
      <c r="P38" s="1">
        <v>0.77</v>
      </c>
      <c r="Q38" s="1">
        <v>0.78</v>
      </c>
      <c r="R38" s="1">
        <v>0.82</v>
      </c>
      <c r="S38" s="1">
        <v>0.76</v>
      </c>
      <c r="T38" s="1">
        <v>0.83</v>
      </c>
      <c r="U38" s="1">
        <v>0.76</v>
      </c>
      <c r="V38" s="1">
        <v>0.76</v>
      </c>
      <c r="W38" s="1">
        <v>0.85</v>
      </c>
      <c r="X38" s="1">
        <f t="shared" si="2"/>
        <v>0.77842918069247502</v>
      </c>
      <c r="Y38" s="4">
        <f t="shared" si="3"/>
        <v>25</v>
      </c>
    </row>
    <row r="39" spans="1:25" ht="25" customHeight="1">
      <c r="A39">
        <v>2</v>
      </c>
      <c r="B39" t="s">
        <v>32</v>
      </c>
      <c r="C39">
        <v>2</v>
      </c>
      <c r="D39">
        <v>9</v>
      </c>
      <c r="E39">
        <v>2</v>
      </c>
      <c r="F39" t="s">
        <v>22</v>
      </c>
      <c r="G39" t="b">
        <v>0</v>
      </c>
      <c r="H39">
        <v>0</v>
      </c>
      <c r="I39" t="s">
        <v>17</v>
      </c>
      <c r="J39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ml:2-s2k-gen-spl:F-mgv9</v>
      </c>
      <c r="K39" s="1">
        <v>0.71</v>
      </c>
      <c r="L39" s="1">
        <v>0.74</v>
      </c>
      <c r="M39" s="1">
        <v>0.76</v>
      </c>
      <c r="N39" s="1">
        <v>0.74</v>
      </c>
      <c r="O39" s="1">
        <v>0.75</v>
      </c>
      <c r="P39" s="1">
        <v>0.73</v>
      </c>
      <c r="Q39" s="1">
        <v>0.69</v>
      </c>
      <c r="R39" s="1">
        <v>0.75</v>
      </c>
      <c r="S39" s="1">
        <v>0.77</v>
      </c>
      <c r="T39" s="1">
        <v>0.75</v>
      </c>
      <c r="U39" s="1">
        <v>0.75</v>
      </c>
      <c r="V39" s="1">
        <v>0.76</v>
      </c>
      <c r="W39" s="1">
        <v>0.77</v>
      </c>
      <c r="X39" s="1">
        <f t="shared" si="2"/>
        <v>0.74134675660869209</v>
      </c>
      <c r="Y39" s="4">
        <f t="shared" si="3"/>
        <v>38</v>
      </c>
    </row>
    <row r="40" spans="1:25" ht="25" hidden="1" customHeight="1">
      <c r="A40">
        <v>0</v>
      </c>
      <c r="B40" t="s">
        <v>32</v>
      </c>
      <c r="C40">
        <v>3</v>
      </c>
      <c r="D40">
        <v>6</v>
      </c>
      <c r="E40">
        <v>2</v>
      </c>
      <c r="F40" t="s">
        <v>22</v>
      </c>
      <c r="G40" t="b">
        <v>0</v>
      </c>
      <c r="H40">
        <v>1</v>
      </c>
      <c r="I40" t="s">
        <v>17</v>
      </c>
      <c r="J40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ml:0-s3k-gen-spl:F-mgv6</v>
      </c>
      <c r="K40" s="3">
        <v>0.73</v>
      </c>
      <c r="L40" s="3">
        <v>0.76</v>
      </c>
      <c r="M40" s="3">
        <v>0.75</v>
      </c>
      <c r="N40" s="3">
        <v>0.77</v>
      </c>
      <c r="O40" s="3">
        <v>0.72</v>
      </c>
      <c r="P40" s="3">
        <v>0.76</v>
      </c>
      <c r="Q40" s="3">
        <v>0.68</v>
      </c>
      <c r="R40" s="3">
        <v>0.77</v>
      </c>
      <c r="S40" s="3">
        <v>0.78</v>
      </c>
      <c r="T40" s="3">
        <v>0.74</v>
      </c>
      <c r="U40" s="3">
        <v>0.71</v>
      </c>
      <c r="V40" s="3">
        <v>0.73</v>
      </c>
      <c r="W40" s="3">
        <v>0.78</v>
      </c>
      <c r="X40" s="3">
        <f t="shared" si="2"/>
        <v>0.74113127691303538</v>
      </c>
      <c r="Y40" s="4">
        <f t="shared" si="3"/>
        <v>39</v>
      </c>
    </row>
    <row r="41" spans="1:25" ht="25" hidden="1" customHeight="1">
      <c r="A41">
        <v>0</v>
      </c>
      <c r="B41" t="s">
        <v>32</v>
      </c>
      <c r="C41">
        <v>1.2</v>
      </c>
      <c r="D41">
        <v>6</v>
      </c>
      <c r="E41">
        <v>2</v>
      </c>
      <c r="F41" t="s">
        <v>22</v>
      </c>
      <c r="G41" t="b">
        <v>0</v>
      </c>
      <c r="H41">
        <v>1</v>
      </c>
      <c r="I41" t="s">
        <v>17</v>
      </c>
      <c r="J41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ml:0-s1.2k-gen-spl:F-mgv6</v>
      </c>
      <c r="K41" s="3">
        <v>0.72</v>
      </c>
      <c r="L41" s="3">
        <v>0.76</v>
      </c>
      <c r="M41" s="3">
        <v>0.71</v>
      </c>
      <c r="N41" s="3">
        <v>0.77</v>
      </c>
      <c r="O41" s="3">
        <v>0.79</v>
      </c>
      <c r="P41" s="3">
        <v>0.69</v>
      </c>
      <c r="Q41" s="3">
        <v>0.68</v>
      </c>
      <c r="R41" s="3">
        <v>0.83</v>
      </c>
      <c r="S41" s="3">
        <v>0.75</v>
      </c>
      <c r="T41" s="3">
        <v>0.68</v>
      </c>
      <c r="U41" s="3">
        <v>0.75</v>
      </c>
      <c r="V41" s="3">
        <v>0.77</v>
      </c>
      <c r="W41" s="3">
        <v>0.83</v>
      </c>
      <c r="X41" s="3">
        <f t="shared" si="2"/>
        <v>0.74032663800792753</v>
      </c>
      <c r="Y41" s="4">
        <f t="shared" si="3"/>
        <v>40</v>
      </c>
    </row>
    <row r="42" spans="1:25" ht="25" customHeight="1">
      <c r="A42">
        <v>0</v>
      </c>
      <c r="B42" t="s">
        <v>32</v>
      </c>
      <c r="C42">
        <v>2</v>
      </c>
      <c r="D42">
        <v>9</v>
      </c>
      <c r="E42">
        <v>2</v>
      </c>
      <c r="F42" t="s">
        <v>22</v>
      </c>
      <c r="G42" t="b">
        <v>0</v>
      </c>
      <c r="H42">
        <v>1</v>
      </c>
      <c r="I42" t="s">
        <v>17</v>
      </c>
      <c r="J42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ml:0-s2k-gen-spl:F-mgv9</v>
      </c>
      <c r="K42" s="3">
        <v>0.69</v>
      </c>
      <c r="L42" s="3">
        <v>0.69</v>
      </c>
      <c r="M42" s="3">
        <v>0.76</v>
      </c>
      <c r="N42" s="3">
        <v>0.74</v>
      </c>
      <c r="O42" s="3">
        <v>0.74</v>
      </c>
      <c r="P42" s="3">
        <v>0.74</v>
      </c>
      <c r="Q42" s="3">
        <v>0.76</v>
      </c>
      <c r="R42" s="3">
        <v>0.77</v>
      </c>
      <c r="S42" s="3">
        <v>0.76</v>
      </c>
      <c r="T42" s="3">
        <v>0.74</v>
      </c>
      <c r="U42" s="3">
        <v>0.76</v>
      </c>
      <c r="V42" s="3">
        <v>0.7</v>
      </c>
      <c r="W42" s="3">
        <v>0.77</v>
      </c>
      <c r="X42" s="3">
        <f t="shared" si="2"/>
        <v>0.73697996718224545</v>
      </c>
      <c r="Y42" s="4">
        <f t="shared" si="3"/>
        <v>41</v>
      </c>
    </row>
    <row r="43" spans="1:25" ht="25" hidden="1" customHeight="1">
      <c r="A43">
        <v>0</v>
      </c>
      <c r="B43" t="s">
        <v>32</v>
      </c>
      <c r="C43">
        <v>1.2</v>
      </c>
      <c r="D43">
        <v>3</v>
      </c>
      <c r="E43">
        <v>2</v>
      </c>
      <c r="F43" t="s">
        <v>22</v>
      </c>
      <c r="G43" t="b">
        <v>0</v>
      </c>
      <c r="H43">
        <v>1</v>
      </c>
      <c r="I43" t="s">
        <v>17</v>
      </c>
      <c r="J43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ml:0-s1.2k-gen-spl:F-mgv3</v>
      </c>
      <c r="K43" s="3">
        <v>0.68</v>
      </c>
      <c r="L43" s="3">
        <v>0.68</v>
      </c>
      <c r="M43" s="3">
        <v>0.75</v>
      </c>
      <c r="N43" s="3">
        <v>0.73</v>
      </c>
      <c r="O43" s="3">
        <v>0.74</v>
      </c>
      <c r="P43" s="3">
        <v>0.71</v>
      </c>
      <c r="Q43" s="3">
        <v>0.78</v>
      </c>
      <c r="R43" s="3">
        <v>0.77</v>
      </c>
      <c r="S43" s="3">
        <v>0.74</v>
      </c>
      <c r="T43" s="3">
        <v>0.72</v>
      </c>
      <c r="U43" s="3">
        <v>0.72</v>
      </c>
      <c r="V43" s="3">
        <v>0.81</v>
      </c>
      <c r="W43" s="3">
        <v>0.81</v>
      </c>
      <c r="X43" s="3">
        <f t="shared" si="2"/>
        <v>0.7349169371442692</v>
      </c>
      <c r="Y43" s="4">
        <f t="shared" si="3"/>
        <v>42</v>
      </c>
    </row>
    <row r="44" spans="1:25" ht="25" customHeight="1">
      <c r="A44">
        <v>3</v>
      </c>
      <c r="B44" t="s">
        <v>32</v>
      </c>
      <c r="C44">
        <v>1.2</v>
      </c>
      <c r="D44">
        <v>9</v>
      </c>
      <c r="E44">
        <v>2</v>
      </c>
      <c r="F44" t="s">
        <v>22</v>
      </c>
      <c r="G44" t="b">
        <v>0</v>
      </c>
      <c r="H44">
        <v>0</v>
      </c>
      <c r="I44" t="s">
        <v>17</v>
      </c>
      <c r="J44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ml:3-s1.2k-gen-spl:F-mgv9</v>
      </c>
      <c r="K44" s="1">
        <v>0.78</v>
      </c>
      <c r="L44" s="1">
        <v>0.72</v>
      </c>
      <c r="M44" s="1">
        <v>0.7</v>
      </c>
      <c r="N44" s="1">
        <v>0.76</v>
      </c>
      <c r="O44" s="1">
        <v>0.73</v>
      </c>
      <c r="P44" s="1">
        <v>0.65</v>
      </c>
      <c r="Q44" s="1">
        <v>0.76</v>
      </c>
      <c r="R44" s="1">
        <v>0.73</v>
      </c>
      <c r="S44" s="1">
        <v>0.71</v>
      </c>
      <c r="T44" s="1">
        <v>0.8</v>
      </c>
      <c r="U44" s="1">
        <v>0.66</v>
      </c>
      <c r="V44" s="1">
        <v>0.77</v>
      </c>
      <c r="W44" s="1">
        <v>0.8</v>
      </c>
      <c r="X44" s="1">
        <f t="shared" si="2"/>
        <v>0.72947072310744387</v>
      </c>
      <c r="Y44" s="4">
        <f t="shared" si="3"/>
        <v>43</v>
      </c>
    </row>
    <row r="45" spans="1:25" ht="25" customHeight="1">
      <c r="A45">
        <v>0</v>
      </c>
      <c r="B45" t="s">
        <v>32</v>
      </c>
      <c r="C45">
        <v>1.2</v>
      </c>
      <c r="D45">
        <v>9</v>
      </c>
      <c r="E45">
        <v>2</v>
      </c>
      <c r="F45" t="s">
        <v>22</v>
      </c>
      <c r="G45" t="b">
        <v>0</v>
      </c>
      <c r="H45">
        <v>1</v>
      </c>
      <c r="I45" t="s">
        <v>17</v>
      </c>
      <c r="J45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ml:0-s1.2k-gen-spl:F-mgv9</v>
      </c>
      <c r="K45" s="1">
        <v>0.72</v>
      </c>
      <c r="L45" s="1">
        <v>0.71</v>
      </c>
      <c r="M45" s="1">
        <v>0.73</v>
      </c>
      <c r="N45" s="1">
        <v>0.72</v>
      </c>
      <c r="O45" s="1">
        <v>0.75</v>
      </c>
      <c r="P45" s="1">
        <v>0.71</v>
      </c>
      <c r="Q45" s="1">
        <v>0.72</v>
      </c>
      <c r="R45" s="1">
        <v>0.7</v>
      </c>
      <c r="S45" s="1">
        <v>0.73</v>
      </c>
      <c r="T45" s="1">
        <v>0.74</v>
      </c>
      <c r="U45" s="1">
        <v>0.64</v>
      </c>
      <c r="V45" s="1">
        <v>0.71</v>
      </c>
      <c r="W45" s="1">
        <v>0.75</v>
      </c>
      <c r="X45" s="1">
        <f t="shared" si="2"/>
        <v>0.71449485264788171</v>
      </c>
      <c r="Y45" s="4">
        <f t="shared" si="3"/>
        <v>45</v>
      </c>
    </row>
    <row r="46" spans="1:25" ht="25" hidden="1" customHeight="1">
      <c r="A46">
        <v>0</v>
      </c>
      <c r="B46" t="s">
        <v>32</v>
      </c>
      <c r="C46">
        <v>1.2</v>
      </c>
      <c r="D46">
        <v>6</v>
      </c>
      <c r="E46">
        <v>3</v>
      </c>
      <c r="F46" t="s">
        <v>18</v>
      </c>
      <c r="G46" t="b">
        <v>1</v>
      </c>
      <c r="H46">
        <v>1</v>
      </c>
      <c r="I46" t="s">
        <v>17</v>
      </c>
      <c r="J46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ml:0-s1.2k-cas-spl:T-mgv6</v>
      </c>
      <c r="K46" s="3">
        <v>0.98</v>
      </c>
      <c r="L46" s="3">
        <v>0.99</v>
      </c>
      <c r="M46" s="3">
        <v>0.99</v>
      </c>
      <c r="N46" s="3">
        <v>0.99</v>
      </c>
      <c r="O46" s="3">
        <v>0.96</v>
      </c>
      <c r="P46" s="3">
        <v>0.97</v>
      </c>
      <c r="Q46" s="3">
        <v>1</v>
      </c>
      <c r="R46" s="3">
        <v>0.99</v>
      </c>
      <c r="S46" s="3">
        <v>0.96</v>
      </c>
      <c r="T46" s="3">
        <v>0.94</v>
      </c>
      <c r="U46" s="3">
        <v>0.97</v>
      </c>
      <c r="V46" s="3">
        <v>0.97</v>
      </c>
      <c r="W46" s="3">
        <v>1</v>
      </c>
      <c r="X46" s="3">
        <f t="shared" si="2"/>
        <v>0.97569189655850175</v>
      </c>
      <c r="Y46" s="4">
        <f t="shared" si="3"/>
        <v>1</v>
      </c>
    </row>
    <row r="47" spans="1:25" ht="25" hidden="1" customHeight="1">
      <c r="A47">
        <v>0</v>
      </c>
      <c r="B47" t="s">
        <v>32</v>
      </c>
      <c r="C47">
        <v>1.2</v>
      </c>
      <c r="D47">
        <v>6</v>
      </c>
      <c r="E47">
        <v>3</v>
      </c>
      <c r="F47" t="s">
        <v>18</v>
      </c>
      <c r="G47" t="b">
        <v>0</v>
      </c>
      <c r="H47">
        <v>1</v>
      </c>
      <c r="I47" t="s">
        <v>17</v>
      </c>
      <c r="J47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ml:0-s1.2k-cas-spl:F-mgv6</v>
      </c>
      <c r="K47" s="3">
        <v>0.98</v>
      </c>
      <c r="L47" s="3">
        <v>0.99</v>
      </c>
      <c r="M47" s="3">
        <v>0.99</v>
      </c>
      <c r="N47" s="3">
        <v>0.98</v>
      </c>
      <c r="O47" s="3">
        <v>0.96</v>
      </c>
      <c r="P47" s="3">
        <v>0.97</v>
      </c>
      <c r="Q47" s="3">
        <v>1</v>
      </c>
      <c r="R47" s="3">
        <v>0.99</v>
      </c>
      <c r="S47" s="3">
        <v>0.96</v>
      </c>
      <c r="T47" s="3">
        <v>0.94</v>
      </c>
      <c r="U47" s="3">
        <v>0.97</v>
      </c>
      <c r="V47" s="3">
        <v>0.97</v>
      </c>
      <c r="W47" s="3">
        <v>1</v>
      </c>
      <c r="X47" s="3">
        <f t="shared" si="2"/>
        <v>0.97486678009739391</v>
      </c>
      <c r="Y47" s="4">
        <f t="shared" si="3"/>
        <v>2</v>
      </c>
    </row>
    <row r="48" spans="1:25" ht="25" customHeight="1">
      <c r="A48">
        <v>2</v>
      </c>
      <c r="B48" t="s">
        <v>32</v>
      </c>
      <c r="C48">
        <v>2</v>
      </c>
      <c r="D48">
        <v>9</v>
      </c>
      <c r="E48">
        <v>3</v>
      </c>
      <c r="F48" t="s">
        <v>18</v>
      </c>
      <c r="G48" t="b">
        <v>1</v>
      </c>
      <c r="H48">
        <v>0</v>
      </c>
      <c r="I48" t="s">
        <v>17</v>
      </c>
      <c r="J48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ml:2-s2k-cas-spl:T-mgv9</v>
      </c>
      <c r="K48" s="3">
        <v>0.98</v>
      </c>
      <c r="L48" s="3">
        <v>0.99</v>
      </c>
      <c r="M48" s="3">
        <v>0.98</v>
      </c>
      <c r="N48" s="3">
        <v>0.98</v>
      </c>
      <c r="O48" s="3">
        <v>0.96</v>
      </c>
      <c r="P48" s="3">
        <v>0.98</v>
      </c>
      <c r="Q48" s="3">
        <v>0.99</v>
      </c>
      <c r="R48" s="3">
        <v>0.96</v>
      </c>
      <c r="S48" s="3">
        <v>0.97</v>
      </c>
      <c r="T48" s="3">
        <v>0.96</v>
      </c>
      <c r="U48" s="3">
        <v>0.97</v>
      </c>
      <c r="V48" s="3">
        <v>0.97</v>
      </c>
      <c r="W48" s="3">
        <v>0.99</v>
      </c>
      <c r="X48" s="3">
        <f t="shared" si="2"/>
        <v>0.97411141550182712</v>
      </c>
      <c r="Y48" s="4">
        <f t="shared" si="3"/>
        <v>3</v>
      </c>
    </row>
    <row r="49" spans="1:25" ht="25" customHeight="1">
      <c r="A49">
        <v>0</v>
      </c>
      <c r="B49" t="s">
        <v>32</v>
      </c>
      <c r="C49">
        <v>3</v>
      </c>
      <c r="D49">
        <v>9</v>
      </c>
      <c r="E49">
        <v>3</v>
      </c>
      <c r="F49" t="s">
        <v>18</v>
      </c>
      <c r="G49" t="b">
        <v>1</v>
      </c>
      <c r="H49">
        <v>1</v>
      </c>
      <c r="I49" t="s">
        <v>17</v>
      </c>
      <c r="J49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ml:0-s3k-cas-spl:T-mgv9</v>
      </c>
      <c r="K49" s="3">
        <v>0.98</v>
      </c>
      <c r="L49" s="3">
        <v>0.97</v>
      </c>
      <c r="M49" s="3">
        <v>0.98</v>
      </c>
      <c r="N49" s="3">
        <v>0.98</v>
      </c>
      <c r="O49" s="3">
        <v>0.97</v>
      </c>
      <c r="P49" s="3">
        <v>0.97</v>
      </c>
      <c r="Q49" s="3">
        <v>0.96</v>
      </c>
      <c r="R49" s="3">
        <v>0.98</v>
      </c>
      <c r="S49" s="3">
        <v>0.98</v>
      </c>
      <c r="T49" s="3">
        <v>0.96</v>
      </c>
      <c r="U49" s="3">
        <v>0.97</v>
      </c>
      <c r="V49" s="3">
        <v>0.98</v>
      </c>
      <c r="W49" s="3">
        <v>0.98</v>
      </c>
      <c r="X49" s="3">
        <f t="shared" si="2"/>
        <v>0.97330470200028285</v>
      </c>
      <c r="Y49" s="4">
        <f t="shared" si="3"/>
        <v>4</v>
      </c>
    </row>
    <row r="50" spans="1:25" ht="25" customHeight="1">
      <c r="A50">
        <v>3</v>
      </c>
      <c r="B50" t="s">
        <v>32</v>
      </c>
      <c r="C50">
        <v>1.2</v>
      </c>
      <c r="D50">
        <v>9</v>
      </c>
      <c r="E50">
        <v>3</v>
      </c>
      <c r="F50" t="s">
        <v>18</v>
      </c>
      <c r="G50" t="b">
        <v>1</v>
      </c>
      <c r="H50">
        <v>0</v>
      </c>
      <c r="I50" t="s">
        <v>17</v>
      </c>
      <c r="J50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ml:3-s1.2k-cas-spl:T-mgv9</v>
      </c>
      <c r="K50" s="1">
        <v>1</v>
      </c>
      <c r="L50" s="1">
        <v>0.99</v>
      </c>
      <c r="M50" s="1">
        <v>0.98</v>
      </c>
      <c r="N50" s="1">
        <v>0.99</v>
      </c>
      <c r="O50" s="1">
        <v>0.93</v>
      </c>
      <c r="P50" s="1">
        <v>0.98</v>
      </c>
      <c r="Q50" s="1">
        <v>0.96</v>
      </c>
      <c r="R50" s="1">
        <v>0.99</v>
      </c>
      <c r="S50" s="1">
        <v>0.98</v>
      </c>
      <c r="T50" s="1">
        <v>0.95</v>
      </c>
      <c r="U50" s="1">
        <v>0.97</v>
      </c>
      <c r="V50" s="1">
        <v>0.96</v>
      </c>
      <c r="W50" s="1">
        <v>1</v>
      </c>
      <c r="X50" s="1">
        <f t="shared" si="2"/>
        <v>0.97314012600486277</v>
      </c>
      <c r="Y50" s="4">
        <f t="shared" si="3"/>
        <v>5</v>
      </c>
    </row>
    <row r="51" spans="1:25" ht="25" customHeight="1">
      <c r="A51">
        <v>2</v>
      </c>
      <c r="B51" t="s">
        <v>32</v>
      </c>
      <c r="C51">
        <v>2</v>
      </c>
      <c r="D51">
        <v>9</v>
      </c>
      <c r="E51">
        <v>3</v>
      </c>
      <c r="F51" t="s">
        <v>18</v>
      </c>
      <c r="G51" t="b">
        <v>0</v>
      </c>
      <c r="H51">
        <v>0</v>
      </c>
      <c r="I51" t="s">
        <v>17</v>
      </c>
      <c r="J51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ml:2-s2k-cas-spl:F-mgv9</v>
      </c>
      <c r="K51" s="1">
        <v>0.96</v>
      </c>
      <c r="L51" s="1">
        <v>0.99</v>
      </c>
      <c r="M51" s="1">
        <v>0.98</v>
      </c>
      <c r="N51" s="1">
        <v>0.98</v>
      </c>
      <c r="O51" s="1">
        <v>0.96</v>
      </c>
      <c r="P51" s="1">
        <v>0.98</v>
      </c>
      <c r="Q51" s="1">
        <v>0.99</v>
      </c>
      <c r="R51" s="1">
        <v>0.96</v>
      </c>
      <c r="S51" s="1">
        <v>0.97</v>
      </c>
      <c r="T51" s="1">
        <v>0.96</v>
      </c>
      <c r="U51" s="1">
        <v>0.97</v>
      </c>
      <c r="V51" s="1">
        <v>0.97</v>
      </c>
      <c r="W51" s="1">
        <v>0.99</v>
      </c>
      <c r="X51" s="1">
        <f t="shared" si="2"/>
        <v>0.97243906243998646</v>
      </c>
      <c r="Y51" s="4">
        <f t="shared" si="3"/>
        <v>6</v>
      </c>
    </row>
    <row r="52" spans="1:25" ht="25" customHeight="1">
      <c r="A52">
        <v>3</v>
      </c>
      <c r="B52" t="s">
        <v>32</v>
      </c>
      <c r="C52">
        <v>1.2</v>
      </c>
      <c r="D52">
        <v>9</v>
      </c>
      <c r="E52">
        <v>3</v>
      </c>
      <c r="F52" t="s">
        <v>18</v>
      </c>
      <c r="G52" t="b">
        <v>0</v>
      </c>
      <c r="H52">
        <v>0</v>
      </c>
      <c r="I52" t="s">
        <v>17</v>
      </c>
      <c r="J52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ml:3-s1.2k-cas-spl:F-mgv9</v>
      </c>
      <c r="K52" s="3">
        <v>0.98</v>
      </c>
      <c r="L52" s="3">
        <v>0.99</v>
      </c>
      <c r="M52" s="3">
        <v>0.98</v>
      </c>
      <c r="N52" s="3">
        <v>0.99</v>
      </c>
      <c r="O52" s="3">
        <v>0.94</v>
      </c>
      <c r="P52" s="3">
        <v>0.98</v>
      </c>
      <c r="Q52" s="3">
        <v>0.96</v>
      </c>
      <c r="R52" s="3">
        <v>0.99</v>
      </c>
      <c r="S52" s="3">
        <v>0.98</v>
      </c>
      <c r="T52" s="3">
        <v>0.95</v>
      </c>
      <c r="U52" s="3">
        <v>0.97</v>
      </c>
      <c r="V52" s="3">
        <v>0.96</v>
      </c>
      <c r="W52" s="3">
        <v>0.99</v>
      </c>
      <c r="X52" s="3">
        <f t="shared" si="2"/>
        <v>0.97236942717285868</v>
      </c>
      <c r="Y52" s="4">
        <f t="shared" si="3"/>
        <v>7</v>
      </c>
    </row>
    <row r="53" spans="1:25" ht="25" customHeight="1">
      <c r="A53">
        <v>0</v>
      </c>
      <c r="B53" t="s">
        <v>32</v>
      </c>
      <c r="C53">
        <v>3</v>
      </c>
      <c r="D53">
        <v>9</v>
      </c>
      <c r="E53">
        <v>3</v>
      </c>
      <c r="F53" t="s">
        <v>18</v>
      </c>
      <c r="G53" t="b">
        <v>0</v>
      </c>
      <c r="H53">
        <v>1</v>
      </c>
      <c r="I53" t="s">
        <v>17</v>
      </c>
      <c r="J53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ml:0-s3k-cas-spl:F-mgv9</v>
      </c>
      <c r="K53" s="3">
        <v>0.97</v>
      </c>
      <c r="L53" s="3">
        <v>0.97</v>
      </c>
      <c r="M53" s="3">
        <v>0.98</v>
      </c>
      <c r="N53" s="3">
        <v>0.98</v>
      </c>
      <c r="O53" s="3">
        <v>0.97</v>
      </c>
      <c r="P53" s="3">
        <v>0.97</v>
      </c>
      <c r="Q53" s="3">
        <v>0.96</v>
      </c>
      <c r="R53" s="3">
        <v>0.97</v>
      </c>
      <c r="S53" s="3">
        <v>0.98</v>
      </c>
      <c r="T53" s="3">
        <v>0.96</v>
      </c>
      <c r="U53" s="3">
        <v>0.97</v>
      </c>
      <c r="V53" s="3">
        <v>0.98</v>
      </c>
      <c r="W53" s="3">
        <v>0.98</v>
      </c>
      <c r="X53" s="3">
        <f t="shared" si="2"/>
        <v>0.97164233993335203</v>
      </c>
      <c r="Y53" s="4">
        <f t="shared" si="3"/>
        <v>8</v>
      </c>
    </row>
    <row r="54" spans="1:25" ht="25" customHeight="1">
      <c r="A54">
        <v>2</v>
      </c>
      <c r="B54" t="s">
        <v>32</v>
      </c>
      <c r="C54">
        <v>1.2</v>
      </c>
      <c r="D54">
        <v>9</v>
      </c>
      <c r="E54">
        <v>3</v>
      </c>
      <c r="F54" t="s">
        <v>18</v>
      </c>
      <c r="G54" t="b">
        <v>0</v>
      </c>
      <c r="H54">
        <v>0</v>
      </c>
      <c r="I54" t="s">
        <v>17</v>
      </c>
      <c r="J54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ml:2-s1.2k-cas-spl:F-mgv9</v>
      </c>
      <c r="K54" s="3">
        <v>0.96</v>
      </c>
      <c r="L54" s="3">
        <v>0.99</v>
      </c>
      <c r="M54" s="3">
        <v>0.99</v>
      </c>
      <c r="N54" s="3">
        <v>0.96</v>
      </c>
      <c r="O54" s="3">
        <v>0.98</v>
      </c>
      <c r="P54" s="3">
        <v>0.96</v>
      </c>
      <c r="Q54" s="3">
        <v>0.96</v>
      </c>
      <c r="R54" s="3">
        <v>0.97</v>
      </c>
      <c r="S54" s="3">
        <v>0.97</v>
      </c>
      <c r="T54" s="3">
        <v>0.96</v>
      </c>
      <c r="U54" s="3">
        <v>0.96</v>
      </c>
      <c r="V54" s="3">
        <v>0.96</v>
      </c>
      <c r="W54" s="3">
        <v>0.99</v>
      </c>
      <c r="X54" s="3">
        <f t="shared" si="2"/>
        <v>0.96826644194537137</v>
      </c>
      <c r="Y54" s="4">
        <f t="shared" si="3"/>
        <v>9</v>
      </c>
    </row>
    <row r="55" spans="1:25" ht="25" customHeight="1">
      <c r="A55">
        <v>2</v>
      </c>
      <c r="B55" t="s">
        <v>32</v>
      </c>
      <c r="C55">
        <v>1.2</v>
      </c>
      <c r="D55">
        <v>9</v>
      </c>
      <c r="E55">
        <v>3</v>
      </c>
      <c r="F55" t="s">
        <v>18</v>
      </c>
      <c r="G55" t="b">
        <v>1</v>
      </c>
      <c r="H55">
        <v>0</v>
      </c>
      <c r="I55" t="s">
        <v>17</v>
      </c>
      <c r="J55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ml:2-s1.2k-cas-spl:T-mgv9</v>
      </c>
      <c r="K55" s="3">
        <v>0.96</v>
      </c>
      <c r="L55" s="3">
        <v>0.99</v>
      </c>
      <c r="M55" s="3">
        <v>0.99</v>
      </c>
      <c r="N55" s="3">
        <v>0.96</v>
      </c>
      <c r="O55" s="3">
        <v>0.98</v>
      </c>
      <c r="P55" s="3">
        <v>0.96</v>
      </c>
      <c r="Q55" s="3">
        <v>0.96</v>
      </c>
      <c r="R55" s="3">
        <v>0.97</v>
      </c>
      <c r="S55" s="3">
        <v>0.97</v>
      </c>
      <c r="T55" s="3">
        <v>0.96</v>
      </c>
      <c r="U55" s="3">
        <v>0.96</v>
      </c>
      <c r="V55" s="3">
        <v>0.96</v>
      </c>
      <c r="W55" s="3">
        <v>0.99</v>
      </c>
      <c r="X55" s="3">
        <f t="shared" si="2"/>
        <v>0.96826644194537137</v>
      </c>
      <c r="Y55" s="4">
        <f t="shared" si="3"/>
        <v>9</v>
      </c>
    </row>
    <row r="56" spans="1:25" ht="25" hidden="1" customHeight="1">
      <c r="A56">
        <v>0</v>
      </c>
      <c r="B56" t="s">
        <v>32</v>
      </c>
      <c r="C56">
        <v>1.2</v>
      </c>
      <c r="D56">
        <v>3</v>
      </c>
      <c r="E56">
        <v>3</v>
      </c>
      <c r="F56" t="s">
        <v>18</v>
      </c>
      <c r="G56" t="b">
        <v>0</v>
      </c>
      <c r="H56">
        <v>1</v>
      </c>
      <c r="I56" t="s">
        <v>17</v>
      </c>
      <c r="J56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ml:0-s1.2k-cas-spl:F-mgv3</v>
      </c>
      <c r="K56" s="1">
        <v>0.99</v>
      </c>
      <c r="L56" s="1">
        <v>0.97</v>
      </c>
      <c r="M56" s="1">
        <v>0.98</v>
      </c>
      <c r="N56" s="1">
        <v>0.93</v>
      </c>
      <c r="O56" s="1">
        <v>0.98</v>
      </c>
      <c r="P56" s="1">
        <v>0.97</v>
      </c>
      <c r="Q56" s="1">
        <v>0.97</v>
      </c>
      <c r="R56" s="1">
        <v>0.98</v>
      </c>
      <c r="S56" s="1">
        <v>0.95</v>
      </c>
      <c r="T56" s="1">
        <v>0.95</v>
      </c>
      <c r="U56" s="1">
        <v>0.97</v>
      </c>
      <c r="V56" s="1">
        <v>0.96</v>
      </c>
      <c r="W56" s="1">
        <v>0.99</v>
      </c>
      <c r="X56" s="1">
        <f t="shared" si="2"/>
        <v>0.966533280400106</v>
      </c>
      <c r="Y56" s="4">
        <f t="shared" si="3"/>
        <v>11</v>
      </c>
    </row>
    <row r="57" spans="1:25" ht="25" hidden="1" customHeight="1">
      <c r="A57">
        <v>0</v>
      </c>
      <c r="B57" t="s">
        <v>32</v>
      </c>
      <c r="C57">
        <v>1.2</v>
      </c>
      <c r="D57">
        <v>3</v>
      </c>
      <c r="E57">
        <v>3</v>
      </c>
      <c r="F57" t="s">
        <v>18</v>
      </c>
      <c r="G57" t="b">
        <v>1</v>
      </c>
      <c r="H57">
        <v>1</v>
      </c>
      <c r="I57" t="s">
        <v>17</v>
      </c>
      <c r="J57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ml:0-s1.2k-cas-spl:T-mgv3</v>
      </c>
      <c r="K57" s="1">
        <v>0.99</v>
      </c>
      <c r="L57" s="1">
        <v>0.97</v>
      </c>
      <c r="M57" s="1">
        <v>0.98</v>
      </c>
      <c r="N57" s="1">
        <v>0.93</v>
      </c>
      <c r="O57" s="1">
        <v>0.98</v>
      </c>
      <c r="P57" s="1">
        <v>0.97</v>
      </c>
      <c r="Q57" s="1">
        <v>0.97</v>
      </c>
      <c r="R57" s="1">
        <v>0.98</v>
      </c>
      <c r="S57" s="1">
        <v>0.95</v>
      </c>
      <c r="T57" s="1">
        <v>0.95</v>
      </c>
      <c r="U57" s="1">
        <v>0.97</v>
      </c>
      <c r="V57" s="1">
        <v>0.96</v>
      </c>
      <c r="W57" s="1">
        <v>0.99</v>
      </c>
      <c r="X57" s="1">
        <f t="shared" si="2"/>
        <v>0.966533280400106</v>
      </c>
      <c r="Y57" s="4">
        <f t="shared" si="3"/>
        <v>11</v>
      </c>
    </row>
    <row r="58" spans="1:25" ht="25" customHeight="1">
      <c r="A58">
        <v>0</v>
      </c>
      <c r="B58" t="s">
        <v>32</v>
      </c>
      <c r="C58">
        <v>2</v>
      </c>
      <c r="D58">
        <v>9</v>
      </c>
      <c r="E58">
        <v>3</v>
      </c>
      <c r="F58" t="s">
        <v>18</v>
      </c>
      <c r="G58" t="b">
        <v>1</v>
      </c>
      <c r="H58">
        <v>1</v>
      </c>
      <c r="I58" t="s">
        <v>17</v>
      </c>
      <c r="J58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ml:0-s2k-cas-spl:T-mgv9</v>
      </c>
      <c r="K58" s="3">
        <v>0.97</v>
      </c>
      <c r="L58" s="3">
        <v>0.96</v>
      </c>
      <c r="M58" s="3">
        <v>0.97</v>
      </c>
      <c r="N58" s="3">
        <v>0.96</v>
      </c>
      <c r="O58" s="3">
        <v>0.95</v>
      </c>
      <c r="P58" s="3">
        <v>0.97</v>
      </c>
      <c r="Q58" s="3">
        <v>0.98</v>
      </c>
      <c r="R58" s="3">
        <v>0.99</v>
      </c>
      <c r="S58" s="3">
        <v>0.97</v>
      </c>
      <c r="T58" s="3">
        <v>0.95</v>
      </c>
      <c r="U58" s="3">
        <v>0.97</v>
      </c>
      <c r="V58" s="3">
        <v>0.94</v>
      </c>
      <c r="W58" s="3">
        <v>0.99</v>
      </c>
      <c r="X58" s="3">
        <f t="shared" si="2"/>
        <v>0.96490921944976515</v>
      </c>
      <c r="Y58" s="4">
        <f t="shared" si="3"/>
        <v>13</v>
      </c>
    </row>
    <row r="59" spans="1:25" ht="25" customHeight="1">
      <c r="A59">
        <v>0</v>
      </c>
      <c r="B59" t="s">
        <v>32</v>
      </c>
      <c r="C59">
        <v>2</v>
      </c>
      <c r="D59">
        <v>9</v>
      </c>
      <c r="E59">
        <v>3</v>
      </c>
      <c r="F59" t="s">
        <v>18</v>
      </c>
      <c r="G59" t="b">
        <v>0</v>
      </c>
      <c r="H59">
        <v>1</v>
      </c>
      <c r="I59" t="s">
        <v>17</v>
      </c>
      <c r="J59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ml:0-s2k-cas-spl:F-mgv9</v>
      </c>
      <c r="K59" s="3">
        <v>0.97</v>
      </c>
      <c r="L59" s="3">
        <v>0.96</v>
      </c>
      <c r="M59" s="3">
        <v>0.97</v>
      </c>
      <c r="N59" s="3">
        <v>0.96</v>
      </c>
      <c r="O59" s="3">
        <v>0.95</v>
      </c>
      <c r="P59" s="3">
        <v>0.97</v>
      </c>
      <c r="Q59" s="3">
        <v>0.98</v>
      </c>
      <c r="R59" s="3">
        <v>0.98</v>
      </c>
      <c r="S59" s="3">
        <v>0.97</v>
      </c>
      <c r="T59" s="3">
        <v>0.95</v>
      </c>
      <c r="U59" s="3">
        <v>0.97</v>
      </c>
      <c r="V59" s="3">
        <v>0.94</v>
      </c>
      <c r="W59" s="3">
        <v>0.98</v>
      </c>
      <c r="X59" s="3">
        <f t="shared" si="2"/>
        <v>0.96409322160941102</v>
      </c>
      <c r="Y59" s="4">
        <f t="shared" si="3"/>
        <v>14</v>
      </c>
    </row>
    <row r="60" spans="1:25" ht="25" hidden="1" customHeight="1">
      <c r="A60">
        <v>0</v>
      </c>
      <c r="B60" t="s">
        <v>32</v>
      </c>
      <c r="C60">
        <v>2</v>
      </c>
      <c r="D60">
        <v>6</v>
      </c>
      <c r="E60">
        <v>3</v>
      </c>
      <c r="F60" t="s">
        <v>18</v>
      </c>
      <c r="G60" t="b">
        <v>1</v>
      </c>
      <c r="H60">
        <v>1</v>
      </c>
      <c r="I60" t="s">
        <v>17</v>
      </c>
      <c r="J60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ml:0-s2k-cas-spl:T-mgv6</v>
      </c>
      <c r="K60" s="3">
        <v>0.96</v>
      </c>
      <c r="L60" s="3">
        <v>0.97</v>
      </c>
      <c r="M60" s="3">
        <v>0.97</v>
      </c>
      <c r="N60" s="3">
        <v>0.98</v>
      </c>
      <c r="O60" s="3">
        <v>0.96</v>
      </c>
      <c r="P60" s="3">
        <v>0.97</v>
      </c>
      <c r="Q60" s="3">
        <v>0.96</v>
      </c>
      <c r="R60" s="3">
        <v>0.95</v>
      </c>
      <c r="S60" s="3">
        <v>0.96</v>
      </c>
      <c r="T60" s="3">
        <v>0.97</v>
      </c>
      <c r="U60" s="3">
        <v>0.95</v>
      </c>
      <c r="V60" s="3">
        <v>0.96</v>
      </c>
      <c r="W60" s="3">
        <v>0.98</v>
      </c>
      <c r="X60" s="3">
        <f t="shared" si="2"/>
        <v>0.96329587162534192</v>
      </c>
      <c r="Y60" s="4">
        <f t="shared" si="3"/>
        <v>15</v>
      </c>
    </row>
    <row r="61" spans="1:25" ht="25" hidden="1" customHeight="1">
      <c r="A61">
        <v>0</v>
      </c>
      <c r="B61" t="s">
        <v>32</v>
      </c>
      <c r="C61">
        <v>3</v>
      </c>
      <c r="D61">
        <v>6</v>
      </c>
      <c r="E61">
        <v>3</v>
      </c>
      <c r="F61" t="s">
        <v>18</v>
      </c>
      <c r="G61" t="b">
        <v>1</v>
      </c>
      <c r="H61">
        <v>1</v>
      </c>
      <c r="I61" t="s">
        <v>17</v>
      </c>
      <c r="J61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ml:0-s3k-cas-spl:T-mgv6</v>
      </c>
      <c r="K61" s="3">
        <v>0.96</v>
      </c>
      <c r="L61" s="3">
        <v>0.94</v>
      </c>
      <c r="M61" s="3">
        <v>0.95</v>
      </c>
      <c r="N61" s="3">
        <v>0.97</v>
      </c>
      <c r="O61" s="3">
        <v>0.95</v>
      </c>
      <c r="P61" s="3">
        <v>0.97</v>
      </c>
      <c r="Q61" s="3">
        <v>0.98</v>
      </c>
      <c r="R61" s="3">
        <v>0.97</v>
      </c>
      <c r="S61" s="3">
        <v>0.95</v>
      </c>
      <c r="T61" s="3">
        <v>0.96</v>
      </c>
      <c r="U61" s="3">
        <v>0.97</v>
      </c>
      <c r="V61" s="3">
        <v>0.98</v>
      </c>
      <c r="W61" s="3">
        <v>0.98</v>
      </c>
      <c r="X61" s="3">
        <f t="shared" si="2"/>
        <v>0.96242084030510444</v>
      </c>
      <c r="Y61" s="4">
        <f t="shared" si="3"/>
        <v>16</v>
      </c>
    </row>
    <row r="62" spans="1:25" ht="25" hidden="1" customHeight="1">
      <c r="A62">
        <v>0</v>
      </c>
      <c r="B62" t="s">
        <v>32</v>
      </c>
      <c r="C62">
        <v>2</v>
      </c>
      <c r="D62">
        <v>6</v>
      </c>
      <c r="E62">
        <v>3</v>
      </c>
      <c r="F62" t="s">
        <v>18</v>
      </c>
      <c r="G62" t="b">
        <v>0</v>
      </c>
      <c r="H62">
        <v>1</v>
      </c>
      <c r="I62" t="s">
        <v>17</v>
      </c>
      <c r="J62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ml:0-s2k-cas-spl:F-mgv6</v>
      </c>
      <c r="K62" s="1">
        <v>0.95</v>
      </c>
      <c r="L62" s="1">
        <v>0.97</v>
      </c>
      <c r="M62" s="1">
        <v>0.97</v>
      </c>
      <c r="N62" s="1">
        <v>0.98</v>
      </c>
      <c r="O62" s="1">
        <v>0.96</v>
      </c>
      <c r="P62" s="1">
        <v>0.97</v>
      </c>
      <c r="Q62" s="1">
        <v>0.96</v>
      </c>
      <c r="R62" s="1">
        <v>0.94</v>
      </c>
      <c r="S62" s="1">
        <v>0.96</v>
      </c>
      <c r="T62" s="1">
        <v>0.97</v>
      </c>
      <c r="U62" s="1">
        <v>0.95</v>
      </c>
      <c r="V62" s="1">
        <v>0.96</v>
      </c>
      <c r="W62" s="1">
        <v>0.98</v>
      </c>
      <c r="X62" s="1">
        <f t="shared" si="2"/>
        <v>0.96160729813767365</v>
      </c>
      <c r="Y62" s="4">
        <f t="shared" si="3"/>
        <v>17</v>
      </c>
    </row>
    <row r="63" spans="1:25" ht="25" hidden="1" customHeight="1">
      <c r="A63">
        <v>0</v>
      </c>
      <c r="B63" t="s">
        <v>32</v>
      </c>
      <c r="C63">
        <v>3</v>
      </c>
      <c r="D63">
        <v>6</v>
      </c>
      <c r="E63">
        <v>3</v>
      </c>
      <c r="F63" t="s">
        <v>18</v>
      </c>
      <c r="G63" t="b">
        <v>0</v>
      </c>
      <c r="H63">
        <v>1</v>
      </c>
      <c r="I63" t="s">
        <v>17</v>
      </c>
      <c r="J63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ml:0-s3k-cas-spl:F-mgv6</v>
      </c>
      <c r="K63" s="1">
        <v>0.96</v>
      </c>
      <c r="L63" s="1">
        <v>0.94</v>
      </c>
      <c r="M63" s="1">
        <v>0.95</v>
      </c>
      <c r="N63" s="1">
        <v>0.97</v>
      </c>
      <c r="O63" s="1">
        <v>0.95</v>
      </c>
      <c r="P63" s="1">
        <v>0.97</v>
      </c>
      <c r="Q63" s="1">
        <v>0.97</v>
      </c>
      <c r="R63" s="1">
        <v>0.97</v>
      </c>
      <c r="S63" s="1">
        <v>0.94</v>
      </c>
      <c r="T63" s="1">
        <v>0.96</v>
      </c>
      <c r="U63" s="1">
        <v>0.97</v>
      </c>
      <c r="V63" s="1">
        <v>0.98</v>
      </c>
      <c r="W63" s="1">
        <v>0.98</v>
      </c>
      <c r="X63" s="1">
        <f t="shared" si="2"/>
        <v>0.96075099793581509</v>
      </c>
      <c r="Y63" s="4">
        <f t="shared" si="3"/>
        <v>18</v>
      </c>
    </row>
    <row r="64" spans="1:25" ht="25" customHeight="1">
      <c r="A64">
        <v>0</v>
      </c>
      <c r="B64" t="s">
        <v>32</v>
      </c>
      <c r="C64">
        <v>1.2</v>
      </c>
      <c r="D64">
        <v>9</v>
      </c>
      <c r="E64">
        <v>3</v>
      </c>
      <c r="F64" t="s">
        <v>18</v>
      </c>
      <c r="G64" t="b">
        <v>1</v>
      </c>
      <c r="H64">
        <v>1</v>
      </c>
      <c r="I64" t="s">
        <v>17</v>
      </c>
      <c r="J64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ml:0-s1.2k-cas-spl:T-mgv9</v>
      </c>
      <c r="K64" s="3">
        <v>0.92</v>
      </c>
      <c r="L64" s="3">
        <v>0.98</v>
      </c>
      <c r="M64" s="3">
        <v>0.98</v>
      </c>
      <c r="N64" s="3">
        <v>0.95</v>
      </c>
      <c r="O64" s="3">
        <v>0.97</v>
      </c>
      <c r="P64" s="3">
        <v>0.95</v>
      </c>
      <c r="Q64" s="3">
        <v>0.96</v>
      </c>
      <c r="R64" s="3">
        <v>0.96</v>
      </c>
      <c r="S64" s="3">
        <v>0.96</v>
      </c>
      <c r="T64" s="3">
        <v>0.96</v>
      </c>
      <c r="U64" s="3">
        <v>0.97</v>
      </c>
      <c r="V64" s="3">
        <v>0.97</v>
      </c>
      <c r="W64" s="3">
        <v>0.98</v>
      </c>
      <c r="X64" s="3">
        <f t="shared" si="2"/>
        <v>0.9607062373580324</v>
      </c>
      <c r="Y64" s="4">
        <f t="shared" si="3"/>
        <v>19</v>
      </c>
    </row>
    <row r="65" spans="1:25" ht="25" customHeight="1">
      <c r="A65">
        <v>0</v>
      </c>
      <c r="B65" t="s">
        <v>32</v>
      </c>
      <c r="C65">
        <v>1.2</v>
      </c>
      <c r="D65">
        <v>9</v>
      </c>
      <c r="E65">
        <v>3</v>
      </c>
      <c r="F65" t="s">
        <v>18</v>
      </c>
      <c r="G65" t="b">
        <v>0</v>
      </c>
      <c r="H65">
        <v>1</v>
      </c>
      <c r="I65" t="s">
        <v>17</v>
      </c>
      <c r="J65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ml:0-s1.2k-cas-spl:F-mgv9</v>
      </c>
      <c r="K65" s="3">
        <v>0.91</v>
      </c>
      <c r="L65" s="3">
        <v>0.98</v>
      </c>
      <c r="M65" s="3">
        <v>0.98</v>
      </c>
      <c r="N65" s="3">
        <v>0.95</v>
      </c>
      <c r="O65" s="3">
        <v>0.96</v>
      </c>
      <c r="P65" s="3">
        <v>0.95</v>
      </c>
      <c r="Q65" s="3">
        <v>0.96</v>
      </c>
      <c r="R65" s="3">
        <v>0.96</v>
      </c>
      <c r="S65" s="3">
        <v>0.96</v>
      </c>
      <c r="T65" s="3">
        <v>0.96</v>
      </c>
      <c r="U65" s="3">
        <v>0.97</v>
      </c>
      <c r="V65" s="3">
        <v>0.97</v>
      </c>
      <c r="W65" s="3">
        <v>0.98</v>
      </c>
      <c r="X65" s="3">
        <f t="shared" si="2"/>
        <v>0.95900314702218747</v>
      </c>
      <c r="Y65" s="4">
        <f t="shared" si="3"/>
        <v>20</v>
      </c>
    </row>
    <row r="66" spans="1:25" ht="25" customHeight="1">
      <c r="A66">
        <v>3</v>
      </c>
      <c r="B66" t="s">
        <v>32</v>
      </c>
      <c r="C66">
        <v>2</v>
      </c>
      <c r="D66">
        <v>9</v>
      </c>
      <c r="E66">
        <v>3</v>
      </c>
      <c r="F66" t="s">
        <v>18</v>
      </c>
      <c r="G66" t="b">
        <v>1</v>
      </c>
      <c r="H66">
        <v>0</v>
      </c>
      <c r="I66" t="s">
        <v>17</v>
      </c>
      <c r="J66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ml:3-s2k-cas-spl:T-mgv9</v>
      </c>
      <c r="K66" s="3">
        <v>0.95</v>
      </c>
      <c r="L66" s="3">
        <v>0.95</v>
      </c>
      <c r="M66" s="3">
        <v>0.98</v>
      </c>
      <c r="N66" s="3">
        <v>0.95</v>
      </c>
      <c r="O66" s="3">
        <v>0.94</v>
      </c>
      <c r="P66" s="3">
        <v>0.97</v>
      </c>
      <c r="Q66" s="3">
        <v>0.98</v>
      </c>
      <c r="R66" s="3">
        <v>0.95</v>
      </c>
      <c r="S66" s="3">
        <v>0.97</v>
      </c>
      <c r="T66" s="3">
        <v>0.96</v>
      </c>
      <c r="U66" s="3">
        <v>0.95</v>
      </c>
      <c r="V66" s="3">
        <v>0.95</v>
      </c>
      <c r="W66" s="3">
        <v>0.98</v>
      </c>
      <c r="X66" s="3">
        <f t="shared" si="2"/>
        <v>0.95824823542334381</v>
      </c>
      <c r="Y66" s="4">
        <f t="shared" ref="Y66:Y97" si="4">RANK(X66,X$2:X$67)</f>
        <v>21</v>
      </c>
    </row>
    <row r="67" spans="1:25" ht="25" customHeight="1">
      <c r="A67">
        <v>3</v>
      </c>
      <c r="B67" t="s">
        <v>32</v>
      </c>
      <c r="C67">
        <v>2</v>
      </c>
      <c r="D67">
        <v>9</v>
      </c>
      <c r="E67">
        <v>3</v>
      </c>
      <c r="F67" t="s">
        <v>18</v>
      </c>
      <c r="G67" t="b">
        <v>0</v>
      </c>
      <c r="H67">
        <v>0</v>
      </c>
      <c r="I67" t="s">
        <v>17</v>
      </c>
      <c r="J67" t="str">
        <f>_xlfn.LET(_xlpm.ml,_xlfn.SINGLE(Table10[ml]),_xlpm.sn,_xlfn.SINGLE(Table10[sample.n]),_xlpm.mgv,_xlfn.SINGLE(Table10[mgv]),_xlpm.attr,LEFT(_xlfn.SINGLE(Table10[attribute]),3),_xlpm.spl,LEFT(_xlfn.SINGLE(Table10[supplemented]),1),_xlfn.TEXTJOIN({"","-s","k-","-spl:","-mgv","x"},TRUE,"ml:",_xlpm.ml,_xlpm.sn,_xlpm.attr,_xlpm.spl,_xlpm.mgv))</f>
        <v>ml:3-s2k-cas-spl:F-mgv9</v>
      </c>
      <c r="K67" s="3">
        <v>0.94</v>
      </c>
      <c r="L67" s="3">
        <v>0.95</v>
      </c>
      <c r="M67" s="3">
        <v>0.98</v>
      </c>
      <c r="N67" s="3">
        <v>0.95</v>
      </c>
      <c r="O67" s="3">
        <v>0.94</v>
      </c>
      <c r="P67" s="3">
        <v>0.97</v>
      </c>
      <c r="Q67" s="3">
        <v>0.98</v>
      </c>
      <c r="R67" s="3">
        <v>0.95</v>
      </c>
      <c r="S67" s="3">
        <v>0.97</v>
      </c>
      <c r="T67" s="3">
        <v>0.96</v>
      </c>
      <c r="U67" s="3">
        <v>0.95</v>
      </c>
      <c r="V67" s="3">
        <v>0.95</v>
      </c>
      <c r="W67" s="3">
        <v>0.98</v>
      </c>
      <c r="X67" s="3">
        <f t="shared" si="2"/>
        <v>0.95740358393675917</v>
      </c>
      <c r="Y67" s="4">
        <f t="shared" si="4"/>
        <v>22</v>
      </c>
    </row>
  </sheetData>
  <conditionalFormatting sqref="K2:X67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Y2:Y67">
    <cfRule type="colorScale" priority="1">
      <colorScale>
        <cfvo type="min"/>
        <cfvo type="percentile" val="50"/>
        <cfvo type="max"/>
        <color rgb="FFFFC000"/>
        <color theme="0"/>
        <color theme="7" tint="0.39997558519241921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10CB-1F05-2249-A5E4-98122F9F092D}">
  <dimension ref="A1:T28"/>
  <sheetViews>
    <sheetView workbookViewId="0"/>
  </sheetViews>
  <sheetFormatPr baseColWidth="10" defaultRowHeight="25" customHeight="1"/>
  <cols>
    <col min="2" max="5" width="9.625" customWidth="1"/>
    <col min="7" max="7" width="13.125" customWidth="1"/>
    <col min="8" max="19" width="9.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29</v>
      </c>
      <c r="E1" t="s">
        <v>3</v>
      </c>
      <c r="F1" t="s">
        <v>4</v>
      </c>
      <c r="G1" t="s">
        <v>30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ht="25" customHeight="1">
      <c r="A2" t="s">
        <v>24</v>
      </c>
      <c r="B2">
        <v>1</v>
      </c>
      <c r="C2" t="s">
        <v>23</v>
      </c>
      <c r="D2" t="b">
        <v>1</v>
      </c>
      <c r="E2">
        <v>1</v>
      </c>
      <c r="F2" t="s">
        <v>19</v>
      </c>
      <c r="G2" t="str">
        <f>_xlfn.LET(_xlpm.attr,Table2[[#This Row],[attribute]],_xlpm.spl,LEFT(Table2[[#This Row],[supplemented]],1),_xlfn.TEXTJOIN("-",TRUE,_xlpm.attr,_xlpm.spl,"3k-mgv3"))</f>
        <v>plurality-T-3k-mgv3</v>
      </c>
      <c r="H2" s="1">
        <v>0.71</v>
      </c>
      <c r="I2" s="1">
        <v>0.68</v>
      </c>
      <c r="J2" s="1">
        <v>0.64</v>
      </c>
      <c r="K2" s="1">
        <v>0.6</v>
      </c>
      <c r="L2" s="1">
        <v>0.61</v>
      </c>
      <c r="M2" s="1">
        <v>0.66</v>
      </c>
      <c r="N2" s="1">
        <v>0.67</v>
      </c>
      <c r="O2" s="1">
        <v>0.68</v>
      </c>
      <c r="P2" s="1">
        <v>0.63</v>
      </c>
      <c r="Q2" s="1">
        <v>0.6</v>
      </c>
      <c r="R2" s="1">
        <v>0.69</v>
      </c>
      <c r="S2" s="1">
        <v>0.64</v>
      </c>
      <c r="T2" s="1">
        <f t="shared" ref="T2:T19" si="0">MAX($H2:$S2)</f>
        <v>0.71</v>
      </c>
    </row>
    <row r="3" spans="1:20" ht="25" customHeight="1">
      <c r="A3" t="s">
        <v>24</v>
      </c>
      <c r="B3">
        <v>1</v>
      </c>
      <c r="C3" t="s">
        <v>23</v>
      </c>
      <c r="D3" t="b">
        <v>0</v>
      </c>
      <c r="E3">
        <v>3</v>
      </c>
      <c r="F3" t="s">
        <v>21</v>
      </c>
      <c r="G3" t="str">
        <f>_xlfn.LET(_xlpm.attr,Table2[[#This Row],[attribute]],_xlpm.spl,LEFT(Table2[[#This Row],[supplemented]],1),_xlfn.TEXTJOIN("-",TRUE,_xlpm.attr,_xlpm.spl,"3k-mgv3"))</f>
        <v>plurality-F-3k-mgv3</v>
      </c>
      <c r="H3" s="1">
        <v>0.56000000000000005</v>
      </c>
      <c r="I3" s="1">
        <v>0.6</v>
      </c>
      <c r="J3" s="1">
        <v>0.6</v>
      </c>
      <c r="K3" s="1">
        <v>0.61</v>
      </c>
      <c r="L3" s="1">
        <v>0.64</v>
      </c>
      <c r="M3" s="1">
        <v>0.62</v>
      </c>
      <c r="N3" s="1">
        <v>0.55000000000000004</v>
      </c>
      <c r="O3" s="1">
        <v>0.63</v>
      </c>
      <c r="P3" s="1">
        <v>0.65</v>
      </c>
      <c r="Q3" s="1">
        <v>0.68</v>
      </c>
      <c r="R3" s="1">
        <v>0.66</v>
      </c>
      <c r="S3" s="1">
        <v>0.61</v>
      </c>
      <c r="T3" s="1">
        <f t="shared" si="0"/>
        <v>0.68</v>
      </c>
    </row>
    <row r="4" spans="1:20" ht="25" customHeight="1">
      <c r="A4" t="s">
        <v>24</v>
      </c>
      <c r="B4">
        <v>1</v>
      </c>
      <c r="C4" t="s">
        <v>23</v>
      </c>
      <c r="D4" t="b">
        <v>0</v>
      </c>
      <c r="E4">
        <v>1</v>
      </c>
      <c r="F4" t="s">
        <v>19</v>
      </c>
      <c r="G4" t="str">
        <f>_xlfn.LET(_xlpm.attr,Table2[[#This Row],[attribute]],_xlpm.spl,LEFT(Table2[[#This Row],[supplemented]],1),_xlfn.TEXTJOIN("-",TRUE,_xlpm.attr,_xlpm.spl,"3k-mgv3"))</f>
        <v>plurality-F-3k-mgv3</v>
      </c>
      <c r="H4" s="1">
        <v>0.64</v>
      </c>
      <c r="I4" s="1">
        <v>0.65</v>
      </c>
      <c r="J4" s="1">
        <v>0.67</v>
      </c>
      <c r="K4" s="1">
        <v>0.65</v>
      </c>
      <c r="L4" s="1">
        <v>0.62</v>
      </c>
      <c r="M4" s="1">
        <v>0.63</v>
      </c>
      <c r="N4" s="1">
        <v>0.67</v>
      </c>
      <c r="O4" s="1">
        <v>0.72</v>
      </c>
      <c r="P4" s="1">
        <v>0.66</v>
      </c>
      <c r="Q4" s="1">
        <v>0.63</v>
      </c>
      <c r="R4" s="1">
        <v>0.63</v>
      </c>
      <c r="S4" s="1">
        <v>0.63</v>
      </c>
      <c r="T4" s="1">
        <f t="shared" si="0"/>
        <v>0.72</v>
      </c>
    </row>
    <row r="5" spans="1:20" ht="25" customHeight="1">
      <c r="A5" t="s">
        <v>24</v>
      </c>
      <c r="B5">
        <v>1</v>
      </c>
      <c r="C5" t="s">
        <v>23</v>
      </c>
      <c r="D5" t="b">
        <v>1</v>
      </c>
      <c r="E5">
        <v>2</v>
      </c>
      <c r="F5" t="s">
        <v>20</v>
      </c>
      <c r="G5" t="str">
        <f>_xlfn.LET(_xlpm.attr,Table2[[#This Row],[attribute]],_xlpm.spl,LEFT(Table2[[#This Row],[supplemented]],1),_xlfn.TEXTJOIN("-",TRUE,_xlpm.attr,_xlpm.spl,"3k-mgv3"))</f>
        <v>plurality-T-3k-mgv3</v>
      </c>
      <c r="H5" s="1">
        <v>0.76</v>
      </c>
      <c r="I5" s="1">
        <v>0.71</v>
      </c>
      <c r="J5" s="1">
        <v>0.66</v>
      </c>
      <c r="K5" s="1">
        <v>0.69</v>
      </c>
      <c r="L5" s="1">
        <v>0.66</v>
      </c>
      <c r="M5" s="1">
        <v>0.68</v>
      </c>
      <c r="N5" s="1">
        <v>0.7</v>
      </c>
      <c r="O5" s="1">
        <v>0.77</v>
      </c>
      <c r="P5" s="1">
        <v>0.72</v>
      </c>
      <c r="Q5" s="1">
        <v>0.73</v>
      </c>
      <c r="R5" s="1">
        <v>0.69</v>
      </c>
      <c r="S5" s="1">
        <v>0.66</v>
      </c>
      <c r="T5" s="1">
        <f t="shared" si="0"/>
        <v>0.77</v>
      </c>
    </row>
    <row r="6" spans="1:20" ht="25" customHeight="1">
      <c r="A6" t="s">
        <v>24</v>
      </c>
      <c r="B6">
        <v>1</v>
      </c>
      <c r="C6" t="s">
        <v>23</v>
      </c>
      <c r="D6" t="b">
        <v>0</v>
      </c>
      <c r="E6">
        <v>2</v>
      </c>
      <c r="F6" t="s">
        <v>20</v>
      </c>
      <c r="G6" t="str">
        <f>_xlfn.LET(_xlpm.attr,Table2[[#This Row],[attribute]],_xlpm.spl,LEFT(Table2[[#This Row],[supplemented]],1),_xlfn.TEXTJOIN("-",TRUE,_xlpm.attr,_xlpm.spl,"3k-mgv3"))</f>
        <v>plurality-F-3k-mgv3</v>
      </c>
      <c r="H6" s="1">
        <v>0.68</v>
      </c>
      <c r="I6" s="1">
        <v>0.66</v>
      </c>
      <c r="J6" s="1">
        <v>0.65</v>
      </c>
      <c r="K6" s="1">
        <v>0.68</v>
      </c>
      <c r="L6" s="1">
        <v>0.66</v>
      </c>
      <c r="M6" s="1">
        <v>0.66</v>
      </c>
      <c r="N6" s="1">
        <v>0.68</v>
      </c>
      <c r="O6" s="1">
        <v>0.73</v>
      </c>
      <c r="P6" s="1">
        <v>0.69</v>
      </c>
      <c r="Q6" s="1">
        <v>0.7</v>
      </c>
      <c r="R6" s="1">
        <v>0.69</v>
      </c>
      <c r="S6" s="1">
        <v>0.67</v>
      </c>
      <c r="T6" s="1">
        <f t="shared" si="0"/>
        <v>0.73</v>
      </c>
    </row>
    <row r="7" spans="1:20" ht="25" customHeight="1">
      <c r="A7" t="s">
        <v>24</v>
      </c>
      <c r="B7">
        <v>1</v>
      </c>
      <c r="C7" t="s">
        <v>23</v>
      </c>
      <c r="D7" t="b">
        <v>1</v>
      </c>
      <c r="E7">
        <v>3</v>
      </c>
      <c r="F7" t="s">
        <v>21</v>
      </c>
      <c r="G7" t="str">
        <f>_xlfn.LET(_xlpm.attr,Table2[[#This Row],[attribute]],_xlpm.spl,LEFT(Table2[[#This Row],[supplemented]],1),_xlfn.TEXTJOIN("-",TRUE,_xlpm.attr,_xlpm.spl,"3k-mgv3"))</f>
        <v>plurality-T-3k-mgv3</v>
      </c>
      <c r="H7" s="1">
        <v>0.63</v>
      </c>
      <c r="I7" s="1">
        <v>0.68</v>
      </c>
      <c r="J7" s="1">
        <v>0.65</v>
      </c>
      <c r="K7" s="1">
        <v>0.63</v>
      </c>
      <c r="L7" s="1">
        <v>0.65</v>
      </c>
      <c r="M7" s="1">
        <v>0.64</v>
      </c>
      <c r="N7" s="1">
        <v>0.62</v>
      </c>
      <c r="O7" s="1">
        <v>0.69</v>
      </c>
      <c r="P7" s="1">
        <v>0.63</v>
      </c>
      <c r="Q7" s="1">
        <v>0.69</v>
      </c>
      <c r="R7" s="1">
        <v>0.64</v>
      </c>
      <c r="S7" s="1">
        <v>0.65</v>
      </c>
      <c r="T7" s="1">
        <f t="shared" si="0"/>
        <v>0.69</v>
      </c>
    </row>
    <row r="8" spans="1:20" ht="25" customHeight="1">
      <c r="A8" t="s">
        <v>24</v>
      </c>
      <c r="B8">
        <v>2</v>
      </c>
      <c r="C8" t="s">
        <v>22</v>
      </c>
      <c r="D8" t="b">
        <v>0</v>
      </c>
      <c r="E8">
        <v>1</v>
      </c>
      <c r="F8" t="s">
        <v>19</v>
      </c>
      <c r="G8" t="str">
        <f>_xlfn.LET(_xlpm.attr,Table2[[#This Row],[attribute]],_xlpm.spl,LEFT(Table2[[#This Row],[supplemented]],1),_xlfn.TEXTJOIN("-",TRUE,_xlpm.attr,_xlpm.spl,"3k-mgv3"))</f>
        <v>gender-F-3k-mgv3</v>
      </c>
      <c r="H8" s="1">
        <v>0.77</v>
      </c>
      <c r="I8" s="1">
        <v>0.71</v>
      </c>
      <c r="J8" s="1">
        <v>0.62</v>
      </c>
      <c r="K8" s="1">
        <v>0.66</v>
      </c>
      <c r="L8" s="1">
        <v>0.68</v>
      </c>
      <c r="M8" s="1">
        <v>0.69</v>
      </c>
      <c r="N8" s="1">
        <v>0.69</v>
      </c>
      <c r="O8" s="1">
        <v>0.76</v>
      </c>
      <c r="P8" s="1">
        <v>0.74</v>
      </c>
      <c r="Q8" s="1">
        <v>0.73</v>
      </c>
      <c r="R8" s="1">
        <v>0.68</v>
      </c>
      <c r="S8" s="1">
        <v>0.65</v>
      </c>
      <c r="T8" s="1">
        <f t="shared" si="0"/>
        <v>0.77</v>
      </c>
    </row>
    <row r="9" spans="1:20" ht="25" customHeight="1">
      <c r="A9" t="s">
        <v>24</v>
      </c>
      <c r="B9">
        <v>2</v>
      </c>
      <c r="C9" t="s">
        <v>22</v>
      </c>
      <c r="D9" t="b">
        <v>0</v>
      </c>
      <c r="E9">
        <v>2</v>
      </c>
      <c r="F9" t="s">
        <v>20</v>
      </c>
      <c r="G9" t="str">
        <f>_xlfn.LET(_xlpm.attr,Table2[[#This Row],[attribute]],_xlpm.spl,LEFT(Table2[[#This Row],[supplemented]],1),_xlfn.TEXTJOIN("-",TRUE,_xlpm.attr,_xlpm.spl,"3k-mgv3"))</f>
        <v>gender-F-3k-mgv3</v>
      </c>
      <c r="H9" s="1">
        <v>0.84</v>
      </c>
      <c r="I9" s="1">
        <v>0.74</v>
      </c>
      <c r="J9" s="1">
        <v>0.66</v>
      </c>
      <c r="K9" s="1">
        <v>0.7</v>
      </c>
      <c r="L9" s="1">
        <v>0.69</v>
      </c>
      <c r="M9" s="1">
        <v>0.73</v>
      </c>
      <c r="N9" s="1">
        <v>0.74</v>
      </c>
      <c r="O9" s="1">
        <v>0.79</v>
      </c>
      <c r="P9" s="1">
        <v>0.71</v>
      </c>
      <c r="Q9" s="1">
        <v>0.78</v>
      </c>
      <c r="R9" s="1">
        <v>0.75</v>
      </c>
      <c r="S9" s="1">
        <v>0.73</v>
      </c>
      <c r="T9" s="1">
        <f t="shared" si="0"/>
        <v>0.84</v>
      </c>
    </row>
    <row r="10" spans="1:20" ht="25" customHeight="1">
      <c r="A10" t="s">
        <v>24</v>
      </c>
      <c r="B10">
        <v>2</v>
      </c>
      <c r="C10" t="s">
        <v>22</v>
      </c>
      <c r="D10" t="b">
        <v>1</v>
      </c>
      <c r="E10">
        <v>1</v>
      </c>
      <c r="F10" t="s">
        <v>19</v>
      </c>
      <c r="G10" t="str">
        <f>_xlfn.LET(_xlpm.attr,Table2[[#This Row],[attribute]],_xlpm.spl,LEFT(Table2[[#This Row],[supplemented]],1),_xlfn.TEXTJOIN("-",TRUE,_xlpm.attr,_xlpm.spl,"3k-mgv3"))</f>
        <v>gender-T-3k-mgv3</v>
      </c>
      <c r="H10" s="1">
        <v>0.85</v>
      </c>
      <c r="I10" s="1">
        <v>0.7</v>
      </c>
      <c r="J10" s="1">
        <v>0.73</v>
      </c>
      <c r="K10" s="1">
        <v>0.68</v>
      </c>
      <c r="L10" s="1">
        <v>0.68</v>
      </c>
      <c r="M10" s="1">
        <v>0.71</v>
      </c>
      <c r="N10" s="1">
        <v>0.78</v>
      </c>
      <c r="O10" s="1">
        <v>0.75</v>
      </c>
      <c r="P10" s="1">
        <v>0.76</v>
      </c>
      <c r="Q10" s="1">
        <v>0.76</v>
      </c>
      <c r="R10" s="1">
        <v>0.72</v>
      </c>
      <c r="S10" s="1">
        <v>0.71</v>
      </c>
      <c r="T10" s="1">
        <f t="shared" si="0"/>
        <v>0.85</v>
      </c>
    </row>
    <row r="11" spans="1:20" ht="25" customHeight="1">
      <c r="A11" t="s">
        <v>24</v>
      </c>
      <c r="B11">
        <v>2</v>
      </c>
      <c r="C11" t="s">
        <v>22</v>
      </c>
      <c r="D11" t="b">
        <v>1</v>
      </c>
      <c r="E11">
        <v>2</v>
      </c>
      <c r="F11" t="s">
        <v>20</v>
      </c>
      <c r="G11" t="str">
        <f>_xlfn.LET(_xlpm.attr,Table2[[#This Row],[attribute]],_xlpm.spl,LEFT(Table2[[#This Row],[supplemented]],1),_xlfn.TEXTJOIN("-",TRUE,_xlpm.attr,_xlpm.spl,"3k-mgv3"))</f>
        <v>gender-T-3k-mgv3</v>
      </c>
      <c r="H11" s="1">
        <v>0.85</v>
      </c>
      <c r="I11" s="1">
        <v>0.78</v>
      </c>
      <c r="J11" s="1">
        <v>0.76</v>
      </c>
      <c r="K11" s="1">
        <v>0.72</v>
      </c>
      <c r="L11" s="1">
        <v>0.71</v>
      </c>
      <c r="M11" s="1">
        <v>0.75</v>
      </c>
      <c r="N11" s="1">
        <v>0.78</v>
      </c>
      <c r="O11" s="1">
        <v>0.82</v>
      </c>
      <c r="P11" s="1">
        <v>0.76</v>
      </c>
      <c r="Q11" s="1">
        <v>0.83</v>
      </c>
      <c r="R11" s="1">
        <v>0.76</v>
      </c>
      <c r="S11" s="1">
        <v>0.76</v>
      </c>
      <c r="T11" s="1">
        <f t="shared" si="0"/>
        <v>0.85</v>
      </c>
    </row>
    <row r="12" spans="1:20" ht="25" customHeight="1">
      <c r="A12" t="s">
        <v>24</v>
      </c>
      <c r="B12">
        <v>2</v>
      </c>
      <c r="C12" t="s">
        <v>22</v>
      </c>
      <c r="D12" t="b">
        <v>1</v>
      </c>
      <c r="E12">
        <v>3</v>
      </c>
      <c r="F12" t="s">
        <v>21</v>
      </c>
      <c r="G12" t="str">
        <f>_xlfn.LET(_xlpm.attr,Table2[[#This Row],[attribute]],_xlpm.spl,LEFT(Table2[[#This Row],[supplemented]],1),_xlfn.TEXTJOIN("-",TRUE,_xlpm.attr,_xlpm.spl,"3k-mgv3"))</f>
        <v>gender-T-3k-mgv3</v>
      </c>
      <c r="H12" s="1">
        <v>0.84</v>
      </c>
      <c r="I12" s="1">
        <v>0.71</v>
      </c>
      <c r="J12" s="1">
        <v>0.72</v>
      </c>
      <c r="K12" s="1">
        <v>0.75</v>
      </c>
      <c r="L12" s="1">
        <v>0.73</v>
      </c>
      <c r="M12" s="1">
        <v>0.77</v>
      </c>
      <c r="N12" s="1">
        <v>0.76</v>
      </c>
      <c r="O12" s="1">
        <v>0.82</v>
      </c>
      <c r="P12" s="1">
        <v>0.69</v>
      </c>
      <c r="Q12" s="1">
        <v>0.8</v>
      </c>
      <c r="R12" s="1">
        <v>0.75</v>
      </c>
      <c r="S12" s="1">
        <v>0.71</v>
      </c>
      <c r="T12" s="1">
        <f t="shared" si="0"/>
        <v>0.84</v>
      </c>
    </row>
    <row r="13" spans="1:20" ht="25" customHeight="1">
      <c r="A13" t="s">
        <v>24</v>
      </c>
      <c r="B13">
        <v>2</v>
      </c>
      <c r="C13" t="s">
        <v>22</v>
      </c>
      <c r="D13" t="b">
        <v>0</v>
      </c>
      <c r="E13">
        <v>3</v>
      </c>
      <c r="F13" t="s">
        <v>21</v>
      </c>
      <c r="G13" t="str">
        <f>_xlfn.LET(_xlpm.attr,Table2[[#This Row],[attribute]],_xlpm.spl,LEFT(Table2[[#This Row],[supplemented]],1),_xlfn.TEXTJOIN("-",TRUE,_xlpm.attr,_xlpm.spl,"3k-mgv3"))</f>
        <v>gender-F-3k-mgv3</v>
      </c>
      <c r="H13" s="1">
        <v>0.73</v>
      </c>
      <c r="I13" s="1">
        <v>0.68</v>
      </c>
      <c r="J13" s="1">
        <v>0.68</v>
      </c>
      <c r="K13" s="1">
        <v>0.67</v>
      </c>
      <c r="L13" s="1">
        <v>0.73</v>
      </c>
      <c r="M13" s="1">
        <v>0.73</v>
      </c>
      <c r="N13" s="1">
        <v>0.7</v>
      </c>
      <c r="O13" s="1">
        <v>0.73</v>
      </c>
      <c r="P13" s="1">
        <v>0.69</v>
      </c>
      <c r="Q13" s="1">
        <v>0.8</v>
      </c>
      <c r="R13" s="1">
        <v>0.73</v>
      </c>
      <c r="S13" s="1">
        <v>0.72</v>
      </c>
      <c r="T13" s="1">
        <f t="shared" si="0"/>
        <v>0.8</v>
      </c>
    </row>
    <row r="14" spans="1:20" ht="25" customHeight="1">
      <c r="A14" t="s">
        <v>24</v>
      </c>
      <c r="B14">
        <v>3</v>
      </c>
      <c r="C14" t="s">
        <v>18</v>
      </c>
      <c r="D14" t="b">
        <v>0</v>
      </c>
      <c r="E14">
        <v>1</v>
      </c>
      <c r="F14" t="s">
        <v>19</v>
      </c>
      <c r="G14" t="str">
        <f>_xlfn.LET(_xlpm.attr,Table2[[#This Row],[attribute]],_xlpm.spl,LEFT(Table2[[#This Row],[supplemented]],1),_xlfn.TEXTJOIN("-",TRUE,_xlpm.attr,_xlpm.spl,"3k-mgv3"))</f>
        <v>case-F-3k-mgv3</v>
      </c>
      <c r="H14" s="1">
        <v>0.94</v>
      </c>
      <c r="I14" s="1">
        <v>0.95</v>
      </c>
      <c r="J14" s="1">
        <v>0.98</v>
      </c>
      <c r="K14" s="1">
        <v>0.93</v>
      </c>
      <c r="L14" s="1">
        <v>0.93</v>
      </c>
      <c r="M14" s="1">
        <v>0.95</v>
      </c>
      <c r="N14" s="1">
        <v>0.97</v>
      </c>
      <c r="O14" s="1">
        <v>0.95</v>
      </c>
      <c r="P14" s="1">
        <v>0.97</v>
      </c>
      <c r="Q14" s="1">
        <v>0.95</v>
      </c>
      <c r="R14" s="1">
        <v>0.95</v>
      </c>
      <c r="S14" s="1">
        <v>0.93</v>
      </c>
      <c r="T14" s="1">
        <f t="shared" si="0"/>
        <v>0.98</v>
      </c>
    </row>
    <row r="15" spans="1:20" ht="25" customHeight="1">
      <c r="A15" t="s">
        <v>24</v>
      </c>
      <c r="B15">
        <v>3</v>
      </c>
      <c r="C15" t="s">
        <v>18</v>
      </c>
      <c r="D15" t="b">
        <v>1</v>
      </c>
      <c r="E15">
        <v>1</v>
      </c>
      <c r="F15" t="s">
        <v>19</v>
      </c>
      <c r="G15" t="str">
        <f>_xlfn.LET(_xlpm.attr,Table2[[#This Row],[attribute]],_xlpm.spl,LEFT(Table2[[#This Row],[supplemented]],1),_xlfn.TEXTJOIN("-",TRUE,_xlpm.attr,_xlpm.spl,"3k-mgv3"))</f>
        <v>case-T-3k-mgv3</v>
      </c>
      <c r="H15" s="1">
        <v>0.95</v>
      </c>
      <c r="I15" s="1">
        <v>0.93</v>
      </c>
      <c r="J15" s="1">
        <v>0.98</v>
      </c>
      <c r="K15" s="1">
        <v>0.94</v>
      </c>
      <c r="L15" s="1">
        <v>0.94</v>
      </c>
      <c r="M15" s="1">
        <v>0.97</v>
      </c>
      <c r="N15" s="1">
        <v>0.98</v>
      </c>
      <c r="O15" s="1">
        <v>0.95</v>
      </c>
      <c r="P15" s="1">
        <v>0.95</v>
      </c>
      <c r="Q15" s="1">
        <v>0.94</v>
      </c>
      <c r="R15" s="1">
        <v>0.94</v>
      </c>
      <c r="S15" s="1">
        <v>0.95</v>
      </c>
      <c r="T15" s="1">
        <f t="shared" si="0"/>
        <v>0.98</v>
      </c>
    </row>
    <row r="16" spans="1:20" ht="25" customHeight="1">
      <c r="A16" t="s">
        <v>24</v>
      </c>
      <c r="B16">
        <v>3</v>
      </c>
      <c r="C16" t="s">
        <v>18</v>
      </c>
      <c r="D16" t="b">
        <v>1</v>
      </c>
      <c r="E16">
        <v>3</v>
      </c>
      <c r="F16" t="s">
        <v>21</v>
      </c>
      <c r="G16" t="str">
        <f>_xlfn.LET(_xlpm.attr,Table2[[#This Row],[attribute]],_xlpm.spl,LEFT(Table2[[#This Row],[supplemented]],1),_xlfn.TEXTJOIN("-",TRUE,_xlpm.attr,_xlpm.spl,"3k-mgv3"))</f>
        <v>case-T-3k-mgv3</v>
      </c>
      <c r="H16" s="1">
        <v>0.94</v>
      </c>
      <c r="I16" s="1">
        <v>0.95</v>
      </c>
      <c r="J16" s="1">
        <v>0.98</v>
      </c>
      <c r="K16" s="1">
        <v>0.95</v>
      </c>
      <c r="L16" s="1">
        <v>0.94</v>
      </c>
      <c r="M16" s="1">
        <v>0.97</v>
      </c>
      <c r="N16" s="1">
        <v>0.98</v>
      </c>
      <c r="O16" s="1">
        <v>0.95</v>
      </c>
      <c r="P16" s="1">
        <v>0.97</v>
      </c>
      <c r="Q16" s="1">
        <v>0.96</v>
      </c>
      <c r="R16" s="1">
        <v>0.95</v>
      </c>
      <c r="S16" s="1">
        <v>0.95</v>
      </c>
      <c r="T16" s="1">
        <f t="shared" si="0"/>
        <v>0.98</v>
      </c>
    </row>
    <row r="17" spans="1:20" ht="25" customHeight="1">
      <c r="A17" t="s">
        <v>24</v>
      </c>
      <c r="B17">
        <v>3</v>
      </c>
      <c r="C17" t="s">
        <v>18</v>
      </c>
      <c r="D17" t="b">
        <v>1</v>
      </c>
      <c r="E17">
        <v>2</v>
      </c>
      <c r="F17" t="s">
        <v>20</v>
      </c>
      <c r="G17" t="str">
        <f>_xlfn.LET(_xlpm.attr,Table2[[#This Row],[attribute]],_xlpm.spl,LEFT(Table2[[#This Row],[supplemented]],1),_xlfn.TEXTJOIN("-",TRUE,_xlpm.attr,_xlpm.spl,"3k-mgv3"))</f>
        <v>case-T-3k-mgv3</v>
      </c>
      <c r="H17" s="1">
        <v>0.94</v>
      </c>
      <c r="I17" s="1">
        <v>0.95</v>
      </c>
      <c r="J17" s="1">
        <v>0.98</v>
      </c>
      <c r="K17" s="1">
        <v>0.95</v>
      </c>
      <c r="L17" s="1">
        <v>0.94</v>
      </c>
      <c r="M17" s="1">
        <v>0.97</v>
      </c>
      <c r="N17" s="1">
        <v>0.98</v>
      </c>
      <c r="O17" s="1">
        <v>0.95</v>
      </c>
      <c r="P17" s="1">
        <v>0.97</v>
      </c>
      <c r="Q17" s="1">
        <v>0.96</v>
      </c>
      <c r="R17" s="1">
        <v>0.95</v>
      </c>
      <c r="S17" s="1">
        <v>0.95</v>
      </c>
      <c r="T17" s="1">
        <f t="shared" si="0"/>
        <v>0.98</v>
      </c>
    </row>
    <row r="18" spans="1:20" ht="25" customHeight="1">
      <c r="A18" t="s">
        <v>24</v>
      </c>
      <c r="B18">
        <v>3</v>
      </c>
      <c r="C18" t="s">
        <v>18</v>
      </c>
      <c r="D18" t="b">
        <v>0</v>
      </c>
      <c r="E18">
        <v>3</v>
      </c>
      <c r="F18" t="s">
        <v>21</v>
      </c>
      <c r="G18" t="str">
        <f>_xlfn.LET(_xlpm.attr,Table2[[#This Row],[attribute]],_xlpm.spl,LEFT(Table2[[#This Row],[supplemented]],1),_xlfn.TEXTJOIN("-",TRUE,_xlpm.attr,_xlpm.spl,"3k-mgv3"))</f>
        <v>case-F-3k-mgv3</v>
      </c>
      <c r="H18" s="1">
        <v>0.94</v>
      </c>
      <c r="I18" s="1">
        <v>0.95</v>
      </c>
      <c r="J18" s="1">
        <v>0.98</v>
      </c>
      <c r="K18" s="1">
        <v>0.95</v>
      </c>
      <c r="L18" s="1">
        <v>0.94</v>
      </c>
      <c r="M18" s="1">
        <v>0.97</v>
      </c>
      <c r="N18" s="1">
        <v>0.98</v>
      </c>
      <c r="O18" s="1">
        <v>0.95</v>
      </c>
      <c r="P18" s="1">
        <v>0.97</v>
      </c>
      <c r="Q18" s="1">
        <v>0.96</v>
      </c>
      <c r="R18" s="1">
        <v>0.95</v>
      </c>
      <c r="S18" s="1">
        <v>0.95</v>
      </c>
      <c r="T18" s="1">
        <f t="shared" si="0"/>
        <v>0.98</v>
      </c>
    </row>
    <row r="19" spans="1:20" ht="25" customHeight="1">
      <c r="A19" t="s">
        <v>24</v>
      </c>
      <c r="B19">
        <v>3</v>
      </c>
      <c r="C19" t="s">
        <v>18</v>
      </c>
      <c r="D19" t="b">
        <v>0</v>
      </c>
      <c r="E19">
        <v>2</v>
      </c>
      <c r="F19" t="s">
        <v>20</v>
      </c>
      <c r="G19" t="str">
        <f>_xlfn.LET(_xlpm.attr,Table2[[#This Row],[attribute]],_xlpm.spl,LEFT(Table2[[#This Row],[supplemented]],1),_xlfn.TEXTJOIN("-",TRUE,_xlpm.attr,_xlpm.spl,"3k-mgv3"))</f>
        <v>case-F-3k-mgv3</v>
      </c>
      <c r="H19" s="1">
        <v>0.94</v>
      </c>
      <c r="I19" s="1">
        <v>0.95</v>
      </c>
      <c r="J19" s="1">
        <v>0.98</v>
      </c>
      <c r="K19" s="1">
        <v>0.95</v>
      </c>
      <c r="L19" s="1">
        <v>0.94</v>
      </c>
      <c r="M19" s="1">
        <v>0.97</v>
      </c>
      <c r="N19" s="1">
        <v>0.98</v>
      </c>
      <c r="O19" s="1">
        <v>0.95</v>
      </c>
      <c r="P19" s="1">
        <v>0.96</v>
      </c>
      <c r="Q19" s="1">
        <v>0.96</v>
      </c>
      <c r="R19" s="1">
        <v>0.95</v>
      </c>
      <c r="S19" s="1">
        <v>0.95</v>
      </c>
      <c r="T19" s="1">
        <f t="shared" si="0"/>
        <v>0.98</v>
      </c>
    </row>
    <row r="22" spans="1:20" ht="25" customHeight="1">
      <c r="B22" t="s">
        <v>1</v>
      </c>
      <c r="C22" t="s">
        <v>2</v>
      </c>
      <c r="D22" t="s">
        <v>29</v>
      </c>
      <c r="E22" t="s">
        <v>3</v>
      </c>
      <c r="F22" t="s">
        <v>4</v>
      </c>
      <c r="G22" t="s">
        <v>30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</row>
    <row r="23" spans="1:20" ht="25" customHeight="1">
      <c r="B23">
        <v>1</v>
      </c>
      <c r="C23" t="s">
        <v>23</v>
      </c>
      <c r="D23" t="b">
        <v>1</v>
      </c>
      <c r="E23">
        <v>0</v>
      </c>
      <c r="F23" t="s">
        <v>17</v>
      </c>
      <c r="G23" t="str">
        <f>_xlfn.LET(_xlpm.attr,Table618810[[#This Row],[attribute]],_xlpm.spl,LEFT(Table618810[[#This Row],[supplemented]],1),_xlfn.TEXTJOIN("-",TRUE,_xlpm.attr,_xlpm.spl,"3k-mgv3"))</f>
        <v>plurality-T-3k-mgv3</v>
      </c>
      <c r="H23" s="2" cm="1">
        <f t="array" ref="H23">_xlfn.LET(_xlpm.d,H$2:H$19,_xlpm.a,$C$2:$C$19=$C23,_xlpm.b,$D$2:$D$19=$D23,MAX(_xlfn._xlws.FILTER(_xlpm.d,_xlpm.a*_xlpm.b)))</f>
        <v>0.76</v>
      </c>
      <c r="I23" s="2" cm="1">
        <f t="array" ref="I23">_xlfn.LET(_xlpm.d,I$2:I$19,_xlpm.a,$C$2:$C$19=$C23,_xlpm.b,$D$2:$D$19=$D23,MAX(_xlfn._xlws.FILTER(_xlpm.d,_xlpm.a*_xlpm.b)))</f>
        <v>0.71</v>
      </c>
      <c r="J23" s="2" cm="1">
        <f t="array" ref="J23">_xlfn.LET(_xlpm.d,J$2:J$19,_xlpm.a,$C$2:$C$19=$C23,_xlpm.b,$D$2:$D$19=$D23,MAX(_xlfn._xlws.FILTER(_xlpm.d,_xlpm.a*_xlpm.b)))</f>
        <v>0.66</v>
      </c>
      <c r="K23" s="2" cm="1">
        <f t="array" ref="K23">_xlfn.LET(_xlpm.d,K$2:K$19,_xlpm.a,$C$2:$C$19=$C23,_xlpm.b,$D$2:$D$19=$D23,MAX(_xlfn._xlws.FILTER(_xlpm.d,_xlpm.a*_xlpm.b)))</f>
        <v>0.69</v>
      </c>
      <c r="L23" s="2" cm="1">
        <f t="array" ref="L23">_xlfn.LET(_xlpm.d,L$2:L$19,_xlpm.a,$C$2:$C$19=$C23,_xlpm.b,$D$2:$D$19=$D23,MAX(_xlfn._xlws.FILTER(_xlpm.d,_xlpm.a*_xlpm.b)))</f>
        <v>0.66</v>
      </c>
      <c r="M23" s="2" cm="1">
        <f t="array" ref="M23">_xlfn.LET(_xlpm.d,M$2:M$19,_xlpm.a,$C$2:$C$19=$C23,_xlpm.b,$D$2:$D$19=$D23,MAX(_xlfn._xlws.FILTER(_xlpm.d,_xlpm.a*_xlpm.b)))</f>
        <v>0.68</v>
      </c>
      <c r="N23" s="2" cm="1">
        <f t="array" ref="N23">_xlfn.LET(_xlpm.d,N$2:N$19,_xlpm.a,$C$2:$C$19=$C23,_xlpm.b,$D$2:$D$19=$D23,MAX(_xlfn._xlws.FILTER(_xlpm.d,_xlpm.a*_xlpm.b)))</f>
        <v>0.7</v>
      </c>
      <c r="O23" s="2" cm="1">
        <f t="array" ref="O23">_xlfn.LET(_xlpm.d,O$2:O$19,_xlpm.a,$C$2:$C$19=$C23,_xlpm.b,$D$2:$D$19=$D23,MAX(_xlfn._xlws.FILTER(_xlpm.d,_xlpm.a*_xlpm.b)))</f>
        <v>0.77</v>
      </c>
      <c r="P23" s="2" cm="1">
        <f t="array" ref="P23">_xlfn.LET(_xlpm.d,P$2:P$19,_xlpm.a,$C$2:$C$19=$C23,_xlpm.b,$D$2:$D$19=$D23,MAX(_xlfn._xlws.FILTER(_xlpm.d,_xlpm.a*_xlpm.b)))</f>
        <v>0.72</v>
      </c>
      <c r="Q23" s="2" cm="1">
        <f t="array" ref="Q23">_xlfn.LET(_xlpm.d,Q$2:Q$19,_xlpm.a,$C$2:$C$19=$C23,_xlpm.b,$D$2:$D$19=$D23,MAX(_xlfn._xlws.FILTER(_xlpm.d,_xlpm.a*_xlpm.b)))</f>
        <v>0.73</v>
      </c>
      <c r="R23" s="2" cm="1">
        <f t="array" ref="R23">_xlfn.LET(_xlpm.d,R$2:R$19,_xlpm.a,$C$2:$C$19=$C23,_xlpm.b,$D$2:$D$19=$D23,MAX(_xlfn._xlws.FILTER(_xlpm.d,_xlpm.a*_xlpm.b)))</f>
        <v>0.69</v>
      </c>
      <c r="S23" s="2" cm="1">
        <f t="array" ref="S23">_xlfn.LET(_xlpm.d,S$2:S$19,_xlpm.a,$C$2:$C$19=$C23,_xlpm.b,$D$2:$D$19=$D23,MAX(_xlfn._xlws.FILTER(_xlpm.d,_xlpm.a*_xlpm.b)))</f>
        <v>0.66</v>
      </c>
      <c r="T23" s="2" cm="1">
        <f t="array" ref="T23">_xlfn.LET(_xlpm.d,T$2:T$19,_xlpm.a,$C$2:$C$19=$C23,_xlpm.b,$D$2:$D$19=$D23,MAX(_xlfn._xlws.FILTER(_xlpm.d,_xlpm.a*_xlpm.b)))</f>
        <v>0.77</v>
      </c>
    </row>
    <row r="24" spans="1:20" ht="25" customHeight="1">
      <c r="B24">
        <v>1</v>
      </c>
      <c r="C24" t="s">
        <v>23</v>
      </c>
      <c r="D24" t="b">
        <v>0</v>
      </c>
      <c r="E24">
        <v>0</v>
      </c>
      <c r="F24" t="s">
        <v>17</v>
      </c>
      <c r="G24" t="str">
        <f>_xlfn.LET(_xlpm.attr,Table618810[[#This Row],[attribute]],_xlpm.spl,LEFT(Table618810[[#This Row],[supplemented]],1),_xlfn.TEXTJOIN("-",TRUE,_xlpm.attr,_xlpm.spl,"3k-mgv3"))</f>
        <v>plurality-F-3k-mgv3</v>
      </c>
      <c r="H24" s="2" cm="1">
        <f t="array" ref="H24">_xlfn.LET(_xlpm.d,H$2:H$19,_xlpm.a,$C$2:$C$19=$C24,_xlpm.b,$D$2:$D$19=$D24,MAX(_xlfn._xlws.FILTER(_xlpm.d,_xlpm.a*_xlpm.b)))</f>
        <v>0.68</v>
      </c>
      <c r="I24" s="2" cm="1">
        <f t="array" ref="I24">_xlfn.LET(_xlpm.d,I$2:I$19,_xlpm.a,$C$2:$C$19=$C24,_xlpm.b,$D$2:$D$19=$D24,MAX(_xlfn._xlws.FILTER(_xlpm.d,_xlpm.a*_xlpm.b)))</f>
        <v>0.66</v>
      </c>
      <c r="J24" s="2" cm="1">
        <f t="array" ref="J24">_xlfn.LET(_xlpm.d,J$2:J$19,_xlpm.a,$C$2:$C$19=$C24,_xlpm.b,$D$2:$D$19=$D24,MAX(_xlfn._xlws.FILTER(_xlpm.d,_xlpm.a*_xlpm.b)))</f>
        <v>0.67</v>
      </c>
      <c r="K24" s="2" cm="1">
        <f t="array" ref="K24">_xlfn.LET(_xlpm.d,K$2:K$19,_xlpm.a,$C$2:$C$19=$C24,_xlpm.b,$D$2:$D$19=$D24,MAX(_xlfn._xlws.FILTER(_xlpm.d,_xlpm.a*_xlpm.b)))</f>
        <v>0.68</v>
      </c>
      <c r="L24" s="2" cm="1">
        <f t="array" ref="L24">_xlfn.LET(_xlpm.d,L$2:L$19,_xlpm.a,$C$2:$C$19=$C24,_xlpm.b,$D$2:$D$19=$D24,MAX(_xlfn._xlws.FILTER(_xlpm.d,_xlpm.a*_xlpm.b)))</f>
        <v>0.66</v>
      </c>
      <c r="M24" s="2" cm="1">
        <f t="array" ref="M24">_xlfn.LET(_xlpm.d,M$2:M$19,_xlpm.a,$C$2:$C$19=$C24,_xlpm.b,$D$2:$D$19=$D24,MAX(_xlfn._xlws.FILTER(_xlpm.d,_xlpm.a*_xlpm.b)))</f>
        <v>0.66</v>
      </c>
      <c r="N24" s="2" cm="1">
        <f t="array" ref="N24">_xlfn.LET(_xlpm.d,N$2:N$19,_xlpm.a,$C$2:$C$19=$C24,_xlpm.b,$D$2:$D$19=$D24,MAX(_xlfn._xlws.FILTER(_xlpm.d,_xlpm.a*_xlpm.b)))</f>
        <v>0.68</v>
      </c>
      <c r="O24" s="2" cm="1">
        <f t="array" ref="O24">_xlfn.LET(_xlpm.d,O$2:O$19,_xlpm.a,$C$2:$C$19=$C24,_xlpm.b,$D$2:$D$19=$D24,MAX(_xlfn._xlws.FILTER(_xlpm.d,_xlpm.a*_xlpm.b)))</f>
        <v>0.73</v>
      </c>
      <c r="P24" s="2" cm="1">
        <f t="array" ref="P24">_xlfn.LET(_xlpm.d,P$2:P$19,_xlpm.a,$C$2:$C$19=$C24,_xlpm.b,$D$2:$D$19=$D24,MAX(_xlfn._xlws.FILTER(_xlpm.d,_xlpm.a*_xlpm.b)))</f>
        <v>0.69</v>
      </c>
      <c r="Q24" s="2" cm="1">
        <f t="array" ref="Q24">_xlfn.LET(_xlpm.d,Q$2:Q$19,_xlpm.a,$C$2:$C$19=$C24,_xlpm.b,$D$2:$D$19=$D24,MAX(_xlfn._xlws.FILTER(_xlpm.d,_xlpm.a*_xlpm.b)))</f>
        <v>0.7</v>
      </c>
      <c r="R24" s="2" cm="1">
        <f t="array" ref="R24">_xlfn.LET(_xlpm.d,R$2:R$19,_xlpm.a,$C$2:$C$19=$C24,_xlpm.b,$D$2:$D$19=$D24,MAX(_xlfn._xlws.FILTER(_xlpm.d,_xlpm.a*_xlpm.b)))</f>
        <v>0.69</v>
      </c>
      <c r="S24" s="2" cm="1">
        <f t="array" ref="S24">_xlfn.LET(_xlpm.d,S$2:S$19,_xlpm.a,$C$2:$C$19=$C24,_xlpm.b,$D$2:$D$19=$D24,MAX(_xlfn._xlws.FILTER(_xlpm.d,_xlpm.a*_xlpm.b)))</f>
        <v>0.67</v>
      </c>
      <c r="T24" s="2" cm="1">
        <f t="array" ref="T24">_xlfn.LET(_xlpm.d,T$2:T$19,_xlpm.a,$C$2:$C$19=$C24,_xlpm.b,$D$2:$D$19=$D24,MAX(_xlfn._xlws.FILTER(_xlpm.d,_xlpm.a*_xlpm.b)))</f>
        <v>0.73</v>
      </c>
    </row>
    <row r="25" spans="1:20" ht="25" customHeight="1">
      <c r="B25">
        <v>2</v>
      </c>
      <c r="C25" t="s">
        <v>22</v>
      </c>
      <c r="D25" t="b">
        <v>1</v>
      </c>
      <c r="E25">
        <v>0</v>
      </c>
      <c r="F25" t="s">
        <v>17</v>
      </c>
      <c r="G25" t="str">
        <f>_xlfn.LET(_xlpm.attr,Table618810[[#This Row],[attribute]],_xlpm.spl,LEFT(Table618810[[#This Row],[supplemented]],1),_xlfn.TEXTJOIN("-",TRUE,_xlpm.attr,_xlpm.spl,"3k-mgv3"))</f>
        <v>gender-T-3k-mgv3</v>
      </c>
      <c r="H25" s="2" cm="1">
        <f t="array" ref="H25">_xlfn.LET(_xlpm.d,H$2:H$19,_xlpm.a,$C$2:$C$19=$C25,_xlpm.b,$D$2:$D$19=$D25,MAX(_xlfn._xlws.FILTER(_xlpm.d,_xlpm.a*_xlpm.b)))</f>
        <v>0.85</v>
      </c>
      <c r="I25" s="2" cm="1">
        <f t="array" ref="I25">_xlfn.LET(_xlpm.d,I$2:I$19,_xlpm.a,$C$2:$C$19=$C25,_xlpm.b,$D$2:$D$19=$D25,MAX(_xlfn._xlws.FILTER(_xlpm.d,_xlpm.a*_xlpm.b)))</f>
        <v>0.78</v>
      </c>
      <c r="J25" s="2" cm="1">
        <f t="array" ref="J25">_xlfn.LET(_xlpm.d,J$2:J$19,_xlpm.a,$C$2:$C$19=$C25,_xlpm.b,$D$2:$D$19=$D25,MAX(_xlfn._xlws.FILTER(_xlpm.d,_xlpm.a*_xlpm.b)))</f>
        <v>0.76</v>
      </c>
      <c r="K25" s="2" cm="1">
        <f t="array" ref="K25">_xlfn.LET(_xlpm.d,K$2:K$19,_xlpm.a,$C$2:$C$19=$C25,_xlpm.b,$D$2:$D$19=$D25,MAX(_xlfn._xlws.FILTER(_xlpm.d,_xlpm.a*_xlpm.b)))</f>
        <v>0.75</v>
      </c>
      <c r="L25" s="2" cm="1">
        <f t="array" ref="L25">_xlfn.LET(_xlpm.d,L$2:L$19,_xlpm.a,$C$2:$C$19=$C25,_xlpm.b,$D$2:$D$19=$D25,MAX(_xlfn._xlws.FILTER(_xlpm.d,_xlpm.a*_xlpm.b)))</f>
        <v>0.73</v>
      </c>
      <c r="M25" s="2" cm="1">
        <f t="array" ref="M25">_xlfn.LET(_xlpm.d,M$2:M$19,_xlpm.a,$C$2:$C$19=$C25,_xlpm.b,$D$2:$D$19=$D25,MAX(_xlfn._xlws.FILTER(_xlpm.d,_xlpm.a*_xlpm.b)))</f>
        <v>0.77</v>
      </c>
      <c r="N25" s="2" cm="1">
        <f t="array" ref="N25">_xlfn.LET(_xlpm.d,N$2:N$19,_xlpm.a,$C$2:$C$19=$C25,_xlpm.b,$D$2:$D$19=$D25,MAX(_xlfn._xlws.FILTER(_xlpm.d,_xlpm.a*_xlpm.b)))</f>
        <v>0.78</v>
      </c>
      <c r="O25" s="2" cm="1">
        <f t="array" ref="O25">_xlfn.LET(_xlpm.d,O$2:O$19,_xlpm.a,$C$2:$C$19=$C25,_xlpm.b,$D$2:$D$19=$D25,MAX(_xlfn._xlws.FILTER(_xlpm.d,_xlpm.a*_xlpm.b)))</f>
        <v>0.82</v>
      </c>
      <c r="P25" s="2" cm="1">
        <f t="array" ref="P25">_xlfn.LET(_xlpm.d,P$2:P$19,_xlpm.a,$C$2:$C$19=$C25,_xlpm.b,$D$2:$D$19=$D25,MAX(_xlfn._xlws.FILTER(_xlpm.d,_xlpm.a*_xlpm.b)))</f>
        <v>0.76</v>
      </c>
      <c r="Q25" s="2" cm="1">
        <f t="array" ref="Q25">_xlfn.LET(_xlpm.d,Q$2:Q$19,_xlpm.a,$C$2:$C$19=$C25,_xlpm.b,$D$2:$D$19=$D25,MAX(_xlfn._xlws.FILTER(_xlpm.d,_xlpm.a*_xlpm.b)))</f>
        <v>0.83</v>
      </c>
      <c r="R25" s="2" cm="1">
        <f t="array" ref="R25">_xlfn.LET(_xlpm.d,R$2:R$19,_xlpm.a,$C$2:$C$19=$C25,_xlpm.b,$D$2:$D$19=$D25,MAX(_xlfn._xlws.FILTER(_xlpm.d,_xlpm.a*_xlpm.b)))</f>
        <v>0.76</v>
      </c>
      <c r="S25" s="2" cm="1">
        <f t="array" ref="S25">_xlfn.LET(_xlpm.d,S$2:S$19,_xlpm.a,$C$2:$C$19=$C25,_xlpm.b,$D$2:$D$19=$D25,MAX(_xlfn._xlws.FILTER(_xlpm.d,_xlpm.a*_xlpm.b)))</f>
        <v>0.76</v>
      </c>
      <c r="T25" s="2" cm="1">
        <f t="array" ref="T25">_xlfn.LET(_xlpm.d,T$2:T$19,_xlpm.a,$C$2:$C$19=$C25,_xlpm.b,$D$2:$D$19=$D25,MAX(_xlfn._xlws.FILTER(_xlpm.d,_xlpm.a*_xlpm.b)))</f>
        <v>0.85</v>
      </c>
    </row>
    <row r="26" spans="1:20" ht="25" customHeight="1">
      <c r="B26">
        <v>2</v>
      </c>
      <c r="C26" t="s">
        <v>22</v>
      </c>
      <c r="D26" t="b">
        <v>0</v>
      </c>
      <c r="E26">
        <v>0</v>
      </c>
      <c r="F26" t="s">
        <v>17</v>
      </c>
      <c r="G26" t="str">
        <f>_xlfn.LET(_xlpm.attr,Table618810[[#This Row],[attribute]],_xlpm.spl,LEFT(Table618810[[#This Row],[supplemented]],1),_xlfn.TEXTJOIN("-",TRUE,_xlpm.attr,_xlpm.spl,"3k-mgv3"))</f>
        <v>gender-F-3k-mgv3</v>
      </c>
      <c r="H26" s="2" cm="1">
        <f t="array" ref="H26">_xlfn.LET(_xlpm.d,H$2:H$19,_xlpm.a,$C$2:$C$19=$C26,_xlpm.b,$D$2:$D$19=$D26,MAX(_xlfn._xlws.FILTER(_xlpm.d,_xlpm.a*_xlpm.b)))</f>
        <v>0.84</v>
      </c>
      <c r="I26" s="2" cm="1">
        <f t="array" ref="I26">_xlfn.LET(_xlpm.d,I$2:I$19,_xlpm.a,$C$2:$C$19=$C26,_xlpm.b,$D$2:$D$19=$D26,MAX(_xlfn._xlws.FILTER(_xlpm.d,_xlpm.a*_xlpm.b)))</f>
        <v>0.74</v>
      </c>
      <c r="J26" s="2" cm="1">
        <f t="array" ref="J26">_xlfn.LET(_xlpm.d,J$2:J$19,_xlpm.a,$C$2:$C$19=$C26,_xlpm.b,$D$2:$D$19=$D26,MAX(_xlfn._xlws.FILTER(_xlpm.d,_xlpm.a*_xlpm.b)))</f>
        <v>0.68</v>
      </c>
      <c r="K26" s="2" cm="1">
        <f t="array" ref="K26">_xlfn.LET(_xlpm.d,K$2:K$19,_xlpm.a,$C$2:$C$19=$C26,_xlpm.b,$D$2:$D$19=$D26,MAX(_xlfn._xlws.FILTER(_xlpm.d,_xlpm.a*_xlpm.b)))</f>
        <v>0.7</v>
      </c>
      <c r="L26" s="2" cm="1">
        <f t="array" ref="L26">_xlfn.LET(_xlpm.d,L$2:L$19,_xlpm.a,$C$2:$C$19=$C26,_xlpm.b,$D$2:$D$19=$D26,MAX(_xlfn._xlws.FILTER(_xlpm.d,_xlpm.a*_xlpm.b)))</f>
        <v>0.73</v>
      </c>
      <c r="M26" s="2" cm="1">
        <f t="array" ref="M26">_xlfn.LET(_xlpm.d,M$2:M$19,_xlpm.a,$C$2:$C$19=$C26,_xlpm.b,$D$2:$D$19=$D26,MAX(_xlfn._xlws.FILTER(_xlpm.d,_xlpm.a*_xlpm.b)))</f>
        <v>0.73</v>
      </c>
      <c r="N26" s="2" cm="1">
        <f t="array" ref="N26">_xlfn.LET(_xlpm.d,N$2:N$19,_xlpm.a,$C$2:$C$19=$C26,_xlpm.b,$D$2:$D$19=$D26,MAX(_xlfn._xlws.FILTER(_xlpm.d,_xlpm.a*_xlpm.b)))</f>
        <v>0.74</v>
      </c>
      <c r="O26" s="2" cm="1">
        <f t="array" ref="O26">_xlfn.LET(_xlpm.d,O$2:O$19,_xlpm.a,$C$2:$C$19=$C26,_xlpm.b,$D$2:$D$19=$D26,MAX(_xlfn._xlws.FILTER(_xlpm.d,_xlpm.a*_xlpm.b)))</f>
        <v>0.79</v>
      </c>
      <c r="P26" s="2" cm="1">
        <f t="array" ref="P26">_xlfn.LET(_xlpm.d,P$2:P$19,_xlpm.a,$C$2:$C$19=$C26,_xlpm.b,$D$2:$D$19=$D26,MAX(_xlfn._xlws.FILTER(_xlpm.d,_xlpm.a*_xlpm.b)))</f>
        <v>0.74</v>
      </c>
      <c r="Q26" s="2" cm="1">
        <f t="array" ref="Q26">_xlfn.LET(_xlpm.d,Q$2:Q$19,_xlpm.a,$C$2:$C$19=$C26,_xlpm.b,$D$2:$D$19=$D26,MAX(_xlfn._xlws.FILTER(_xlpm.d,_xlpm.a*_xlpm.b)))</f>
        <v>0.8</v>
      </c>
      <c r="R26" s="2" cm="1">
        <f t="array" ref="R26">_xlfn.LET(_xlpm.d,R$2:R$19,_xlpm.a,$C$2:$C$19=$C26,_xlpm.b,$D$2:$D$19=$D26,MAX(_xlfn._xlws.FILTER(_xlpm.d,_xlpm.a*_xlpm.b)))</f>
        <v>0.75</v>
      </c>
      <c r="S26" s="2" cm="1">
        <f t="array" ref="S26">_xlfn.LET(_xlpm.d,S$2:S$19,_xlpm.a,$C$2:$C$19=$C26,_xlpm.b,$D$2:$D$19=$D26,MAX(_xlfn._xlws.FILTER(_xlpm.d,_xlpm.a*_xlpm.b)))</f>
        <v>0.73</v>
      </c>
      <c r="T26" s="2" cm="1">
        <f t="array" ref="T26">_xlfn.LET(_xlpm.d,T$2:T$19,_xlpm.a,$C$2:$C$19=$C26,_xlpm.b,$D$2:$D$19=$D26,MAX(_xlfn._xlws.FILTER(_xlpm.d,_xlpm.a*_xlpm.b)))</f>
        <v>0.84</v>
      </c>
    </row>
    <row r="27" spans="1:20" ht="25" customHeight="1">
      <c r="B27">
        <v>3</v>
      </c>
      <c r="C27" t="s">
        <v>18</v>
      </c>
      <c r="D27" t="b">
        <v>1</v>
      </c>
      <c r="E27">
        <v>0</v>
      </c>
      <c r="F27" t="s">
        <v>17</v>
      </c>
      <c r="G27" t="str">
        <f>_xlfn.LET(_xlpm.attr,Table618810[[#This Row],[attribute]],_xlpm.spl,LEFT(Table618810[[#This Row],[supplemented]],1),_xlfn.TEXTJOIN("-",TRUE,_xlpm.attr,_xlpm.spl,"3k-mgv3"))</f>
        <v>case-T-3k-mgv3</v>
      </c>
      <c r="H27" s="2" cm="1">
        <f t="array" ref="H27">_xlfn.LET(_xlpm.d,H$2:H$19,_xlpm.a,$C$2:$C$19=$C27,_xlpm.b,$D$2:$D$19=$D27,MAX(_xlfn._xlws.FILTER(_xlpm.d,_xlpm.a*_xlpm.b)))</f>
        <v>0.95</v>
      </c>
      <c r="I27" s="2" cm="1">
        <f t="array" ref="I27">_xlfn.LET(_xlpm.d,I$2:I$19,_xlpm.a,$C$2:$C$19=$C27,_xlpm.b,$D$2:$D$19=$D27,MAX(_xlfn._xlws.FILTER(_xlpm.d,_xlpm.a*_xlpm.b)))</f>
        <v>0.95</v>
      </c>
      <c r="J27" s="2" cm="1">
        <f t="array" ref="J27">_xlfn.LET(_xlpm.d,J$2:J$19,_xlpm.a,$C$2:$C$19=$C27,_xlpm.b,$D$2:$D$19=$D27,MAX(_xlfn._xlws.FILTER(_xlpm.d,_xlpm.a*_xlpm.b)))</f>
        <v>0.98</v>
      </c>
      <c r="K27" s="2" cm="1">
        <f t="array" ref="K27">_xlfn.LET(_xlpm.d,K$2:K$19,_xlpm.a,$C$2:$C$19=$C27,_xlpm.b,$D$2:$D$19=$D27,MAX(_xlfn._xlws.FILTER(_xlpm.d,_xlpm.a*_xlpm.b)))</f>
        <v>0.95</v>
      </c>
      <c r="L27" s="2" cm="1">
        <f t="array" ref="L27">_xlfn.LET(_xlpm.d,L$2:L$19,_xlpm.a,$C$2:$C$19=$C27,_xlpm.b,$D$2:$D$19=$D27,MAX(_xlfn._xlws.FILTER(_xlpm.d,_xlpm.a*_xlpm.b)))</f>
        <v>0.94</v>
      </c>
      <c r="M27" s="2" cm="1">
        <f t="array" ref="M27">_xlfn.LET(_xlpm.d,M$2:M$19,_xlpm.a,$C$2:$C$19=$C27,_xlpm.b,$D$2:$D$19=$D27,MAX(_xlfn._xlws.FILTER(_xlpm.d,_xlpm.a*_xlpm.b)))</f>
        <v>0.97</v>
      </c>
      <c r="N27" s="2" cm="1">
        <f t="array" ref="N27">_xlfn.LET(_xlpm.d,N$2:N$19,_xlpm.a,$C$2:$C$19=$C27,_xlpm.b,$D$2:$D$19=$D27,MAX(_xlfn._xlws.FILTER(_xlpm.d,_xlpm.a*_xlpm.b)))</f>
        <v>0.98</v>
      </c>
      <c r="O27" s="2" cm="1">
        <f t="array" ref="O27">_xlfn.LET(_xlpm.d,O$2:O$19,_xlpm.a,$C$2:$C$19=$C27,_xlpm.b,$D$2:$D$19=$D27,MAX(_xlfn._xlws.FILTER(_xlpm.d,_xlpm.a*_xlpm.b)))</f>
        <v>0.95</v>
      </c>
      <c r="P27" s="2" cm="1">
        <f t="array" ref="P27">_xlfn.LET(_xlpm.d,P$2:P$19,_xlpm.a,$C$2:$C$19=$C27,_xlpm.b,$D$2:$D$19=$D27,MAX(_xlfn._xlws.FILTER(_xlpm.d,_xlpm.a*_xlpm.b)))</f>
        <v>0.97</v>
      </c>
      <c r="Q27" s="2" cm="1">
        <f t="array" ref="Q27">_xlfn.LET(_xlpm.d,Q$2:Q$19,_xlpm.a,$C$2:$C$19=$C27,_xlpm.b,$D$2:$D$19=$D27,MAX(_xlfn._xlws.FILTER(_xlpm.d,_xlpm.a*_xlpm.b)))</f>
        <v>0.96</v>
      </c>
      <c r="R27" s="2" cm="1">
        <f t="array" ref="R27">_xlfn.LET(_xlpm.d,R$2:R$19,_xlpm.a,$C$2:$C$19=$C27,_xlpm.b,$D$2:$D$19=$D27,MAX(_xlfn._xlws.FILTER(_xlpm.d,_xlpm.a*_xlpm.b)))</f>
        <v>0.95</v>
      </c>
      <c r="S27" s="2" cm="1">
        <f t="array" ref="S27">_xlfn.LET(_xlpm.d,S$2:S$19,_xlpm.a,$C$2:$C$19=$C27,_xlpm.b,$D$2:$D$19=$D27,MAX(_xlfn._xlws.FILTER(_xlpm.d,_xlpm.a*_xlpm.b)))</f>
        <v>0.95</v>
      </c>
      <c r="T27" s="2" cm="1">
        <f t="array" ref="T27">_xlfn.LET(_xlpm.d,T$2:T$19,_xlpm.a,$C$2:$C$19=$C27,_xlpm.b,$D$2:$D$19=$D27,MAX(_xlfn._xlws.FILTER(_xlpm.d,_xlpm.a*_xlpm.b)))</f>
        <v>0.98</v>
      </c>
    </row>
    <row r="28" spans="1:20" ht="25" customHeight="1">
      <c r="B28">
        <v>3</v>
      </c>
      <c r="C28" t="s">
        <v>18</v>
      </c>
      <c r="D28" t="b">
        <v>0</v>
      </c>
      <c r="E28">
        <v>0</v>
      </c>
      <c r="F28" t="s">
        <v>17</v>
      </c>
      <c r="G28" t="str">
        <f>_xlfn.LET(_xlpm.attr,Table618810[[#This Row],[attribute]],_xlpm.spl,LEFT(Table618810[[#This Row],[supplemented]],1),_xlfn.TEXTJOIN("-",TRUE,_xlpm.attr,_xlpm.spl,"3k-mgv3"))</f>
        <v>case-F-3k-mgv3</v>
      </c>
      <c r="H28" s="2" cm="1">
        <f t="array" ref="H28">_xlfn.LET(_xlpm.d,H$2:H$19,_xlpm.a,$C$2:$C$19=$C28,_xlpm.b,$D$2:$D$19=$D28,MAX(_xlfn._xlws.FILTER(_xlpm.d,_xlpm.a*_xlpm.b)))</f>
        <v>0.94</v>
      </c>
      <c r="I28" s="2" cm="1">
        <f t="array" ref="I28">_xlfn.LET(_xlpm.d,I$2:I$19,_xlpm.a,$C$2:$C$19=$C28,_xlpm.b,$D$2:$D$19=$D28,MAX(_xlfn._xlws.FILTER(_xlpm.d,_xlpm.a*_xlpm.b)))</f>
        <v>0.95</v>
      </c>
      <c r="J28" s="2" cm="1">
        <f t="array" ref="J28">_xlfn.LET(_xlpm.d,J$2:J$19,_xlpm.a,$C$2:$C$19=$C28,_xlpm.b,$D$2:$D$19=$D28,MAX(_xlfn._xlws.FILTER(_xlpm.d,_xlpm.a*_xlpm.b)))</f>
        <v>0.98</v>
      </c>
      <c r="K28" s="2" cm="1">
        <f t="array" ref="K28">_xlfn.LET(_xlpm.d,K$2:K$19,_xlpm.a,$C$2:$C$19=$C28,_xlpm.b,$D$2:$D$19=$D28,MAX(_xlfn._xlws.FILTER(_xlpm.d,_xlpm.a*_xlpm.b)))</f>
        <v>0.95</v>
      </c>
      <c r="L28" s="2" cm="1">
        <f t="array" ref="L28">_xlfn.LET(_xlpm.d,L$2:L$19,_xlpm.a,$C$2:$C$19=$C28,_xlpm.b,$D$2:$D$19=$D28,MAX(_xlfn._xlws.FILTER(_xlpm.d,_xlpm.a*_xlpm.b)))</f>
        <v>0.94</v>
      </c>
      <c r="M28" s="2" cm="1">
        <f t="array" ref="M28">_xlfn.LET(_xlpm.d,M$2:M$19,_xlpm.a,$C$2:$C$19=$C28,_xlpm.b,$D$2:$D$19=$D28,MAX(_xlfn._xlws.FILTER(_xlpm.d,_xlpm.a*_xlpm.b)))</f>
        <v>0.97</v>
      </c>
      <c r="N28" s="2" cm="1">
        <f t="array" ref="N28">_xlfn.LET(_xlpm.d,N$2:N$19,_xlpm.a,$C$2:$C$19=$C28,_xlpm.b,$D$2:$D$19=$D28,MAX(_xlfn._xlws.FILTER(_xlpm.d,_xlpm.a*_xlpm.b)))</f>
        <v>0.98</v>
      </c>
      <c r="O28" s="2" cm="1">
        <f t="array" ref="O28">_xlfn.LET(_xlpm.d,O$2:O$19,_xlpm.a,$C$2:$C$19=$C28,_xlpm.b,$D$2:$D$19=$D28,MAX(_xlfn._xlws.FILTER(_xlpm.d,_xlpm.a*_xlpm.b)))</f>
        <v>0.95</v>
      </c>
      <c r="P28" s="2" cm="1">
        <f t="array" ref="P28">_xlfn.LET(_xlpm.d,P$2:P$19,_xlpm.a,$C$2:$C$19=$C28,_xlpm.b,$D$2:$D$19=$D28,MAX(_xlfn._xlws.FILTER(_xlpm.d,_xlpm.a*_xlpm.b)))</f>
        <v>0.97</v>
      </c>
      <c r="Q28" s="2" cm="1">
        <f t="array" ref="Q28">_xlfn.LET(_xlpm.d,Q$2:Q$19,_xlpm.a,$C$2:$C$19=$C28,_xlpm.b,$D$2:$D$19=$D28,MAX(_xlfn._xlws.FILTER(_xlpm.d,_xlpm.a*_xlpm.b)))</f>
        <v>0.96</v>
      </c>
      <c r="R28" s="2" cm="1">
        <f t="array" ref="R28">_xlfn.LET(_xlpm.d,R$2:R$19,_xlpm.a,$C$2:$C$19=$C28,_xlpm.b,$D$2:$D$19=$D28,MAX(_xlfn._xlws.FILTER(_xlpm.d,_xlpm.a*_xlpm.b)))</f>
        <v>0.95</v>
      </c>
      <c r="S28" s="2" cm="1">
        <f t="array" ref="S28">_xlfn.LET(_xlpm.d,S$2:S$19,_xlpm.a,$C$2:$C$19=$C28,_xlpm.b,$D$2:$D$19=$D28,MAX(_xlfn._xlws.FILTER(_xlpm.d,_xlpm.a*_xlpm.b)))</f>
        <v>0.95</v>
      </c>
      <c r="T28" s="2" cm="1">
        <f t="array" ref="T28">_xlfn.LET(_xlpm.d,T$2:T$19,_xlpm.a,$C$2:$C$19=$C28,_xlpm.b,$D$2:$D$19=$D28,MAX(_xlfn._xlws.FILTER(_xlpm.d,_xlpm.a*_xlpm.b)))</f>
        <v>0.98</v>
      </c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02B4-54C7-D042-94E7-99968961B694}">
  <dimension ref="A1:T28"/>
  <sheetViews>
    <sheetView workbookViewId="0"/>
  </sheetViews>
  <sheetFormatPr baseColWidth="10" defaultRowHeight="25" customHeight="1"/>
  <cols>
    <col min="2" max="6" width="8.75" customWidth="1"/>
    <col min="7" max="19" width="9.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29</v>
      </c>
      <c r="E1" t="s">
        <v>3</v>
      </c>
      <c r="F1" t="s">
        <v>4</v>
      </c>
      <c r="G1" t="s">
        <v>30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ht="25" customHeight="1">
      <c r="A2" t="s">
        <v>24</v>
      </c>
      <c r="B2">
        <v>1</v>
      </c>
      <c r="C2" t="s">
        <v>23</v>
      </c>
      <c r="D2" t="b">
        <v>1</v>
      </c>
      <c r="E2">
        <v>1</v>
      </c>
      <c r="F2" t="s">
        <v>19</v>
      </c>
      <c r="G2" t="str">
        <f>_xlfn.LET(_xlpm.attr,Table3[[#This Row],[attribute]],_xlpm.spl,LEFT(Table3[[#This Row],[supplemented]],1),_xlfn.TEXTJOIN("-",TRUE,_xlpm.attr,_xlpm.spl,"3k-mgv3"))</f>
        <v>plurality-T-3k-mgv3</v>
      </c>
      <c r="H2" s="1">
        <v>0.68</v>
      </c>
      <c r="I2" s="1">
        <v>0.76</v>
      </c>
      <c r="J2" s="1">
        <v>0.65</v>
      </c>
      <c r="K2" s="1">
        <v>0.53</v>
      </c>
      <c r="L2" s="1">
        <v>0.66</v>
      </c>
      <c r="M2" s="1">
        <v>0.68</v>
      </c>
      <c r="N2" s="1">
        <v>0.7</v>
      </c>
      <c r="O2" s="1">
        <v>0.65</v>
      </c>
      <c r="P2" s="1">
        <v>0.57999999999999996</v>
      </c>
      <c r="Q2" s="1">
        <v>0.63</v>
      </c>
      <c r="R2" s="1">
        <v>0.63</v>
      </c>
      <c r="S2" s="1">
        <v>0.68</v>
      </c>
      <c r="T2" s="1">
        <f t="shared" ref="T2:T19" si="0">MAX($H2:$S2)</f>
        <v>0.76</v>
      </c>
    </row>
    <row r="3" spans="1:20" ht="25" customHeight="1">
      <c r="A3" t="s">
        <v>24</v>
      </c>
      <c r="B3">
        <v>1</v>
      </c>
      <c r="C3" t="s">
        <v>23</v>
      </c>
      <c r="D3" t="b">
        <v>0</v>
      </c>
      <c r="E3">
        <v>3</v>
      </c>
      <c r="F3" t="s">
        <v>21</v>
      </c>
      <c r="G3" t="str">
        <f>_xlfn.LET(_xlpm.attr,Table3[[#This Row],[attribute]],_xlpm.spl,LEFT(Table3[[#This Row],[supplemented]],1),_xlfn.TEXTJOIN("-",TRUE,_xlpm.attr,_xlpm.spl,"3k-mgv3"))</f>
        <v>plurality-F-3k-mgv3</v>
      </c>
      <c r="H3" s="1">
        <v>0.64</v>
      </c>
      <c r="I3" s="1">
        <v>0.66</v>
      </c>
      <c r="J3" s="1">
        <v>0.56999999999999995</v>
      </c>
      <c r="K3" s="1">
        <v>0.62</v>
      </c>
      <c r="L3" s="1">
        <v>0.71</v>
      </c>
      <c r="M3" s="1">
        <v>0.69</v>
      </c>
      <c r="N3" s="1">
        <v>0.59</v>
      </c>
      <c r="O3" s="1">
        <v>0.56000000000000005</v>
      </c>
      <c r="P3" s="1">
        <v>0.56999999999999995</v>
      </c>
      <c r="Q3" s="1">
        <v>0.52</v>
      </c>
      <c r="R3" s="1">
        <v>0.68</v>
      </c>
      <c r="S3" s="1">
        <v>0.63</v>
      </c>
      <c r="T3" s="1">
        <f t="shared" si="0"/>
        <v>0.71</v>
      </c>
    </row>
    <row r="4" spans="1:20" ht="25" customHeight="1">
      <c r="A4" t="s">
        <v>24</v>
      </c>
      <c r="B4">
        <v>1</v>
      </c>
      <c r="C4" t="s">
        <v>23</v>
      </c>
      <c r="D4" t="b">
        <v>0</v>
      </c>
      <c r="E4">
        <v>1</v>
      </c>
      <c r="F4" t="s">
        <v>19</v>
      </c>
      <c r="G4" t="str">
        <f>_xlfn.LET(_xlpm.attr,Table3[[#This Row],[attribute]],_xlpm.spl,LEFT(Table3[[#This Row],[supplemented]],1),_xlfn.TEXTJOIN("-",TRUE,_xlpm.attr,_xlpm.spl,"3k-mgv3"))</f>
        <v>plurality-F-3k-mgv3</v>
      </c>
      <c r="H4" s="1">
        <v>0.72</v>
      </c>
      <c r="I4" s="1">
        <v>0.76</v>
      </c>
      <c r="J4" s="1">
        <v>0.6</v>
      </c>
      <c r="K4" s="1">
        <v>0.54</v>
      </c>
      <c r="L4" s="1">
        <v>0.63</v>
      </c>
      <c r="M4" s="1">
        <v>0.61</v>
      </c>
      <c r="N4" s="1">
        <v>0.68</v>
      </c>
      <c r="O4" s="1">
        <v>0.57999999999999996</v>
      </c>
      <c r="P4" s="1">
        <v>0.61</v>
      </c>
      <c r="Q4" s="1">
        <v>0.65</v>
      </c>
      <c r="R4" s="1">
        <v>0.61</v>
      </c>
      <c r="S4" s="1">
        <v>0.68</v>
      </c>
      <c r="T4" s="1">
        <f t="shared" si="0"/>
        <v>0.76</v>
      </c>
    </row>
    <row r="5" spans="1:20" ht="25" customHeight="1">
      <c r="A5" t="s">
        <v>24</v>
      </c>
      <c r="B5">
        <v>1</v>
      </c>
      <c r="C5" t="s">
        <v>23</v>
      </c>
      <c r="D5" t="b">
        <v>1</v>
      </c>
      <c r="E5">
        <v>2</v>
      </c>
      <c r="F5" t="s">
        <v>20</v>
      </c>
      <c r="G5" t="str">
        <f>_xlfn.LET(_xlpm.attr,Table3[[#This Row],[attribute]],_xlpm.spl,LEFT(Table3[[#This Row],[supplemented]],1),_xlfn.TEXTJOIN("-",TRUE,_xlpm.attr,_xlpm.spl,"3k-mgv3"))</f>
        <v>plurality-T-3k-mgv3</v>
      </c>
      <c r="H5" s="1">
        <v>0.75</v>
      </c>
      <c r="I5" s="1">
        <v>0.86</v>
      </c>
      <c r="J5" s="1">
        <v>0.68</v>
      </c>
      <c r="K5" s="1">
        <v>0.63</v>
      </c>
      <c r="L5" s="1">
        <v>0.73</v>
      </c>
      <c r="M5" s="1">
        <v>0.72</v>
      </c>
      <c r="N5" s="1">
        <v>0.72</v>
      </c>
      <c r="O5" s="1">
        <v>0.7</v>
      </c>
      <c r="P5" s="1">
        <v>0.68</v>
      </c>
      <c r="Q5" s="1">
        <v>0.67</v>
      </c>
      <c r="R5" s="1">
        <v>0.69</v>
      </c>
      <c r="S5" s="1">
        <v>0.67</v>
      </c>
      <c r="T5" s="1">
        <f t="shared" si="0"/>
        <v>0.86</v>
      </c>
    </row>
    <row r="6" spans="1:20" ht="25" customHeight="1">
      <c r="A6" t="s">
        <v>24</v>
      </c>
      <c r="B6">
        <v>1</v>
      </c>
      <c r="C6" t="s">
        <v>23</v>
      </c>
      <c r="D6" t="b">
        <v>0</v>
      </c>
      <c r="E6">
        <v>2</v>
      </c>
      <c r="F6" t="s">
        <v>20</v>
      </c>
      <c r="G6" t="str">
        <f>_xlfn.LET(_xlpm.attr,Table3[[#This Row],[attribute]],_xlpm.spl,LEFT(Table3[[#This Row],[supplemented]],1),_xlfn.TEXTJOIN("-",TRUE,_xlpm.attr,_xlpm.spl,"3k-mgv3"))</f>
        <v>plurality-F-3k-mgv3</v>
      </c>
      <c r="H6" s="1">
        <v>0.73</v>
      </c>
      <c r="I6" s="1">
        <v>0.81</v>
      </c>
      <c r="J6" s="1">
        <v>0.67</v>
      </c>
      <c r="K6" s="1">
        <v>0.63</v>
      </c>
      <c r="L6" s="1">
        <v>0.68</v>
      </c>
      <c r="M6" s="1">
        <v>0.69</v>
      </c>
      <c r="N6" s="1">
        <v>0.72</v>
      </c>
      <c r="O6" s="1">
        <v>0.66</v>
      </c>
      <c r="P6" s="1">
        <v>0.66</v>
      </c>
      <c r="Q6" s="1">
        <v>0.66</v>
      </c>
      <c r="R6" s="1">
        <v>0.67</v>
      </c>
      <c r="S6" s="1">
        <v>0.72</v>
      </c>
      <c r="T6" s="1">
        <f t="shared" si="0"/>
        <v>0.81</v>
      </c>
    </row>
    <row r="7" spans="1:20" ht="25" customHeight="1">
      <c r="A7" t="s">
        <v>24</v>
      </c>
      <c r="B7">
        <v>1</v>
      </c>
      <c r="C7" t="s">
        <v>23</v>
      </c>
      <c r="D7" t="b">
        <v>1</v>
      </c>
      <c r="E7">
        <v>3</v>
      </c>
      <c r="F7" t="s">
        <v>21</v>
      </c>
      <c r="G7" t="str">
        <f>_xlfn.LET(_xlpm.attr,Table3[[#This Row],[attribute]],_xlpm.spl,LEFT(Table3[[#This Row],[supplemented]],1),_xlfn.TEXTJOIN("-",TRUE,_xlpm.attr,_xlpm.spl,"3k-mgv3"))</f>
        <v>plurality-T-3k-mgv3</v>
      </c>
      <c r="H7" s="1">
        <v>0.64</v>
      </c>
      <c r="I7" s="1">
        <v>0.68</v>
      </c>
      <c r="J7" s="1">
        <v>0.67</v>
      </c>
      <c r="K7" s="1">
        <v>0.63</v>
      </c>
      <c r="L7" s="1">
        <v>0.7</v>
      </c>
      <c r="M7" s="1">
        <v>0.66</v>
      </c>
      <c r="N7" s="1">
        <v>0.64</v>
      </c>
      <c r="O7" s="1">
        <v>0.61</v>
      </c>
      <c r="P7" s="1">
        <v>0.57999999999999996</v>
      </c>
      <c r="Q7" s="1">
        <v>0.54</v>
      </c>
      <c r="R7" s="1">
        <v>0.63</v>
      </c>
      <c r="S7" s="1">
        <v>0.68</v>
      </c>
      <c r="T7" s="1">
        <f t="shared" si="0"/>
        <v>0.7</v>
      </c>
    </row>
    <row r="8" spans="1:20" ht="25" customHeight="1">
      <c r="A8" t="s">
        <v>24</v>
      </c>
      <c r="B8">
        <v>2</v>
      </c>
      <c r="C8" t="s">
        <v>22</v>
      </c>
      <c r="D8" t="b">
        <v>0</v>
      </c>
      <c r="E8">
        <v>1</v>
      </c>
      <c r="F8" t="s">
        <v>19</v>
      </c>
      <c r="G8" t="str">
        <f>_xlfn.LET(_xlpm.attr,Table3[[#This Row],[attribute]],_xlpm.spl,LEFT(Table3[[#This Row],[supplemented]],1),_xlfn.TEXTJOIN("-",TRUE,_xlpm.attr,_xlpm.spl,"3k-mgv3"))</f>
        <v>gender-F-3k-mgv3</v>
      </c>
      <c r="H8" s="1">
        <v>0.68</v>
      </c>
      <c r="I8" s="1">
        <v>0.67</v>
      </c>
      <c r="J8" s="1">
        <v>0.68</v>
      </c>
      <c r="K8" s="1">
        <v>0.74</v>
      </c>
      <c r="L8" s="1">
        <v>0.65</v>
      </c>
      <c r="M8" s="1">
        <v>0.64</v>
      </c>
      <c r="N8" s="1">
        <v>0.69</v>
      </c>
      <c r="O8" s="1">
        <v>0.72</v>
      </c>
      <c r="P8" s="1">
        <v>0.71</v>
      </c>
      <c r="Q8" s="1">
        <v>0.69</v>
      </c>
      <c r="R8" s="1">
        <v>0.66</v>
      </c>
      <c r="S8" s="1">
        <v>0.77</v>
      </c>
      <c r="T8" s="1">
        <f t="shared" si="0"/>
        <v>0.77</v>
      </c>
    </row>
    <row r="9" spans="1:20" ht="25" customHeight="1">
      <c r="A9" t="s">
        <v>24</v>
      </c>
      <c r="B9">
        <v>2</v>
      </c>
      <c r="C9" t="s">
        <v>22</v>
      </c>
      <c r="D9" t="b">
        <v>0</v>
      </c>
      <c r="E9">
        <v>2</v>
      </c>
      <c r="F9" t="s">
        <v>20</v>
      </c>
      <c r="G9" t="str">
        <f>_xlfn.LET(_xlpm.attr,Table3[[#This Row],[attribute]],_xlpm.spl,LEFT(Table3[[#This Row],[supplemented]],1),_xlfn.TEXTJOIN("-",TRUE,_xlpm.attr,_xlpm.spl,"3k-mgv3"))</f>
        <v>gender-F-3k-mgv3</v>
      </c>
      <c r="H9" s="1">
        <v>0.78</v>
      </c>
      <c r="I9" s="1">
        <v>0.71</v>
      </c>
      <c r="J9" s="1">
        <v>0.7</v>
      </c>
      <c r="K9" s="1">
        <v>0.76</v>
      </c>
      <c r="L9" s="1">
        <v>0.73</v>
      </c>
      <c r="M9" s="1">
        <v>0.64</v>
      </c>
      <c r="N9" s="1">
        <v>0.75</v>
      </c>
      <c r="O9" s="1">
        <v>0.73</v>
      </c>
      <c r="P9" s="1">
        <v>0.69</v>
      </c>
      <c r="Q9" s="1">
        <v>0.8</v>
      </c>
      <c r="R9" s="1">
        <v>0.64</v>
      </c>
      <c r="S9" s="1">
        <v>0.73</v>
      </c>
      <c r="T9" s="1">
        <f t="shared" si="0"/>
        <v>0.8</v>
      </c>
    </row>
    <row r="10" spans="1:20" ht="25" customHeight="1">
      <c r="A10" t="s">
        <v>24</v>
      </c>
      <c r="B10">
        <v>2</v>
      </c>
      <c r="C10" t="s">
        <v>22</v>
      </c>
      <c r="D10" t="b">
        <v>1</v>
      </c>
      <c r="E10">
        <v>1</v>
      </c>
      <c r="F10" t="s">
        <v>19</v>
      </c>
      <c r="G10" t="str">
        <f>_xlfn.LET(_xlpm.attr,Table3[[#This Row],[attribute]],_xlpm.spl,LEFT(Table3[[#This Row],[supplemented]],1),_xlfn.TEXTJOIN("-",TRUE,_xlpm.attr,_xlpm.spl,"3k-mgv3"))</f>
        <v>gender-T-3k-mgv3</v>
      </c>
      <c r="H10" s="1">
        <v>0.72</v>
      </c>
      <c r="I10" s="1">
        <v>0.67</v>
      </c>
      <c r="J10" s="1">
        <v>0.71</v>
      </c>
      <c r="K10" s="1">
        <v>0.7</v>
      </c>
      <c r="L10" s="1">
        <v>0.68</v>
      </c>
      <c r="M10" s="1">
        <v>0.6</v>
      </c>
      <c r="N10" s="1">
        <v>0.82</v>
      </c>
      <c r="O10" s="1">
        <v>0.8</v>
      </c>
      <c r="P10" s="1">
        <v>0.74</v>
      </c>
      <c r="Q10" s="1">
        <v>0.64</v>
      </c>
      <c r="R10" s="1">
        <v>0.65</v>
      </c>
      <c r="S10" s="1">
        <v>0.72</v>
      </c>
      <c r="T10" s="1">
        <f t="shared" si="0"/>
        <v>0.82</v>
      </c>
    </row>
    <row r="11" spans="1:20" ht="25" customHeight="1">
      <c r="A11" t="s">
        <v>24</v>
      </c>
      <c r="B11">
        <v>2</v>
      </c>
      <c r="C11" t="s">
        <v>22</v>
      </c>
      <c r="D11" t="b">
        <v>1</v>
      </c>
      <c r="E11">
        <v>2</v>
      </c>
      <c r="F11" t="s">
        <v>20</v>
      </c>
      <c r="G11" t="str">
        <f>_xlfn.LET(_xlpm.attr,Table3[[#This Row],[attribute]],_xlpm.spl,LEFT(Table3[[#This Row],[supplemented]],1),_xlfn.TEXTJOIN("-",TRUE,_xlpm.attr,_xlpm.spl,"3k-mgv3"))</f>
        <v>gender-T-3k-mgv3</v>
      </c>
      <c r="H11" s="1">
        <v>0.81</v>
      </c>
      <c r="I11" s="1">
        <v>0.74</v>
      </c>
      <c r="J11" s="1">
        <v>0.72</v>
      </c>
      <c r="K11" s="1">
        <v>0.82</v>
      </c>
      <c r="L11" s="1">
        <v>0.73</v>
      </c>
      <c r="M11" s="1">
        <v>0.71</v>
      </c>
      <c r="N11" s="1">
        <v>0.79</v>
      </c>
      <c r="O11" s="1">
        <v>0.8</v>
      </c>
      <c r="P11" s="1">
        <v>0.73</v>
      </c>
      <c r="Q11" s="1">
        <v>0.78</v>
      </c>
      <c r="R11" s="1">
        <v>0.61</v>
      </c>
      <c r="S11" s="1">
        <v>0.78</v>
      </c>
      <c r="T11" s="1">
        <f t="shared" si="0"/>
        <v>0.82</v>
      </c>
    </row>
    <row r="12" spans="1:20" ht="25" customHeight="1">
      <c r="A12" t="s">
        <v>24</v>
      </c>
      <c r="B12">
        <v>2</v>
      </c>
      <c r="C12" t="s">
        <v>22</v>
      </c>
      <c r="D12" t="b">
        <v>1</v>
      </c>
      <c r="E12">
        <v>3</v>
      </c>
      <c r="F12" t="s">
        <v>21</v>
      </c>
      <c r="G12" t="str">
        <f>_xlfn.LET(_xlpm.attr,Table3[[#This Row],[attribute]],_xlpm.spl,LEFT(Table3[[#This Row],[supplemented]],1),_xlfn.TEXTJOIN("-",TRUE,_xlpm.attr,_xlpm.spl,"3k-mgv3"))</f>
        <v>gender-T-3k-mgv3</v>
      </c>
      <c r="H12" s="1">
        <v>0.82</v>
      </c>
      <c r="I12" s="1">
        <v>0.72</v>
      </c>
      <c r="J12" s="1">
        <v>0.73</v>
      </c>
      <c r="K12" s="1">
        <v>0.74</v>
      </c>
      <c r="L12" s="1">
        <v>0.66</v>
      </c>
      <c r="M12" s="1">
        <v>0.68</v>
      </c>
      <c r="N12" s="1">
        <v>0.81</v>
      </c>
      <c r="O12" s="1">
        <v>0.77</v>
      </c>
      <c r="P12" s="1">
        <v>0.7</v>
      </c>
      <c r="Q12" s="1">
        <v>0.71</v>
      </c>
      <c r="R12" s="1">
        <v>0.7</v>
      </c>
      <c r="S12" s="1">
        <v>0.73</v>
      </c>
      <c r="T12" s="1">
        <f t="shared" si="0"/>
        <v>0.82</v>
      </c>
    </row>
    <row r="13" spans="1:20" ht="25" customHeight="1">
      <c r="A13" t="s">
        <v>24</v>
      </c>
      <c r="B13">
        <v>2</v>
      </c>
      <c r="C13" t="s">
        <v>22</v>
      </c>
      <c r="D13" t="b">
        <v>0</v>
      </c>
      <c r="E13">
        <v>3</v>
      </c>
      <c r="F13" t="s">
        <v>21</v>
      </c>
      <c r="G13" t="str">
        <f>_xlfn.LET(_xlpm.attr,Table3[[#This Row],[attribute]],_xlpm.spl,LEFT(Table3[[#This Row],[supplemented]],1),_xlfn.TEXTJOIN("-",TRUE,_xlpm.attr,_xlpm.spl,"3k-mgv3"))</f>
        <v>gender-F-3k-mgv3</v>
      </c>
      <c r="H13" s="1">
        <v>0.78</v>
      </c>
      <c r="I13" s="1">
        <v>0.72</v>
      </c>
      <c r="J13" s="1">
        <v>0.68</v>
      </c>
      <c r="K13" s="1">
        <v>0.72</v>
      </c>
      <c r="L13" s="1">
        <v>0.67</v>
      </c>
      <c r="M13" s="1">
        <v>0.65</v>
      </c>
      <c r="N13" s="1">
        <v>0.76</v>
      </c>
      <c r="O13" s="1">
        <v>0.7</v>
      </c>
      <c r="P13" s="1">
        <v>0.64</v>
      </c>
      <c r="Q13" s="1">
        <v>0.75</v>
      </c>
      <c r="R13" s="1">
        <v>0.6</v>
      </c>
      <c r="S13" s="1">
        <v>0.71</v>
      </c>
      <c r="T13" s="1">
        <f t="shared" si="0"/>
        <v>0.78</v>
      </c>
    </row>
    <row r="14" spans="1:20" ht="25" customHeight="1">
      <c r="A14" t="s">
        <v>24</v>
      </c>
      <c r="B14">
        <v>3</v>
      </c>
      <c r="C14" t="s">
        <v>18</v>
      </c>
      <c r="D14" t="b">
        <v>0</v>
      </c>
      <c r="E14">
        <v>1</v>
      </c>
      <c r="F14" t="s">
        <v>19</v>
      </c>
      <c r="G14" t="str">
        <f>_xlfn.LET(_xlpm.attr,Table3[[#This Row],[attribute]],_xlpm.spl,LEFT(Table3[[#This Row],[supplemented]],1),_xlfn.TEXTJOIN("-",TRUE,_xlpm.attr,_xlpm.spl,"3k-mgv3"))</f>
        <v>case-F-3k-mgv3</v>
      </c>
      <c r="H14" s="1">
        <v>0.98</v>
      </c>
      <c r="I14" s="1">
        <v>0.99</v>
      </c>
      <c r="J14" s="1">
        <v>0.98</v>
      </c>
      <c r="K14" s="1">
        <v>0.96</v>
      </c>
      <c r="L14" s="1">
        <v>0.93</v>
      </c>
      <c r="M14" s="1">
        <v>0.97</v>
      </c>
      <c r="N14" s="1">
        <v>0.95</v>
      </c>
      <c r="O14" s="1">
        <v>0.97</v>
      </c>
      <c r="P14" s="1">
        <v>0.98</v>
      </c>
      <c r="Q14" s="1">
        <v>0.94</v>
      </c>
      <c r="R14" s="1">
        <v>0.97</v>
      </c>
      <c r="S14" s="1">
        <v>0.93</v>
      </c>
      <c r="T14" s="1">
        <f t="shared" si="0"/>
        <v>0.99</v>
      </c>
    </row>
    <row r="15" spans="1:20" ht="25" customHeight="1">
      <c r="A15" t="s">
        <v>24</v>
      </c>
      <c r="B15">
        <v>3</v>
      </c>
      <c r="C15" t="s">
        <v>18</v>
      </c>
      <c r="D15" t="b">
        <v>1</v>
      </c>
      <c r="E15">
        <v>1</v>
      </c>
      <c r="F15" t="s">
        <v>19</v>
      </c>
      <c r="G15" t="str">
        <f>_xlfn.LET(_xlpm.attr,Table3[[#This Row],[attribute]],_xlpm.spl,LEFT(Table3[[#This Row],[supplemented]],1),_xlfn.TEXTJOIN("-",TRUE,_xlpm.attr,_xlpm.spl,"3k-mgv3"))</f>
        <v>case-T-3k-mgv3</v>
      </c>
      <c r="H15" s="1">
        <v>1</v>
      </c>
      <c r="I15" s="1">
        <v>0.96</v>
      </c>
      <c r="J15" s="1">
        <v>0.98</v>
      </c>
      <c r="K15" s="1">
        <v>0.99</v>
      </c>
      <c r="L15" s="1">
        <v>0.93</v>
      </c>
      <c r="M15" s="1">
        <v>0.96</v>
      </c>
      <c r="N15" s="1">
        <v>0.94</v>
      </c>
      <c r="O15" s="1">
        <v>0.97</v>
      </c>
      <c r="P15" s="1">
        <v>0.97</v>
      </c>
      <c r="Q15" s="1">
        <v>0.95</v>
      </c>
      <c r="R15" s="1">
        <v>0.97</v>
      </c>
      <c r="S15" s="1">
        <v>0.96</v>
      </c>
      <c r="T15" s="1">
        <f t="shared" si="0"/>
        <v>1</v>
      </c>
    </row>
    <row r="16" spans="1:20" ht="25" customHeight="1">
      <c r="A16" t="s">
        <v>24</v>
      </c>
      <c r="B16">
        <v>3</v>
      </c>
      <c r="C16" t="s">
        <v>18</v>
      </c>
      <c r="D16" t="b">
        <v>1</v>
      </c>
      <c r="E16">
        <v>3</v>
      </c>
      <c r="F16" t="s">
        <v>21</v>
      </c>
      <c r="G16" t="str">
        <f>_xlfn.LET(_xlpm.attr,Table3[[#This Row],[attribute]],_xlpm.spl,LEFT(Table3[[#This Row],[supplemented]],1),_xlfn.TEXTJOIN("-",TRUE,_xlpm.attr,_xlpm.spl,"3k-mgv3"))</f>
        <v>case-T-3k-mgv3</v>
      </c>
      <c r="H16" s="1">
        <v>0.98</v>
      </c>
      <c r="I16" s="1">
        <v>0.99</v>
      </c>
      <c r="J16" s="1">
        <v>0.98</v>
      </c>
      <c r="K16" s="1">
        <v>0.99</v>
      </c>
      <c r="L16" s="1">
        <v>0.93</v>
      </c>
      <c r="M16" s="1">
        <v>0.98</v>
      </c>
      <c r="N16" s="1">
        <v>0.96</v>
      </c>
      <c r="O16" s="1">
        <v>0.99</v>
      </c>
      <c r="P16" s="1">
        <v>0.98</v>
      </c>
      <c r="Q16" s="1">
        <v>0.95</v>
      </c>
      <c r="R16" s="1">
        <v>0.97</v>
      </c>
      <c r="S16" s="1">
        <v>0.96</v>
      </c>
      <c r="T16" s="1">
        <f t="shared" si="0"/>
        <v>0.99</v>
      </c>
    </row>
    <row r="17" spans="1:20" ht="25" customHeight="1">
      <c r="A17" t="s">
        <v>24</v>
      </c>
      <c r="B17">
        <v>3</v>
      </c>
      <c r="C17" t="s">
        <v>18</v>
      </c>
      <c r="D17" t="b">
        <v>1</v>
      </c>
      <c r="E17">
        <v>2</v>
      </c>
      <c r="F17" t="s">
        <v>20</v>
      </c>
      <c r="G17" t="str">
        <f>_xlfn.LET(_xlpm.attr,Table3[[#This Row],[attribute]],_xlpm.spl,LEFT(Table3[[#This Row],[supplemented]],1),_xlfn.TEXTJOIN("-",TRUE,_xlpm.attr,_xlpm.spl,"3k-mgv3"))</f>
        <v>case-T-3k-mgv3</v>
      </c>
      <c r="H17" s="1">
        <v>0.98</v>
      </c>
      <c r="I17" s="1">
        <v>0.99</v>
      </c>
      <c r="J17" s="1">
        <v>0.98</v>
      </c>
      <c r="K17" s="1">
        <v>0.99</v>
      </c>
      <c r="L17" s="1">
        <v>0.93</v>
      </c>
      <c r="M17" s="1">
        <v>0.98</v>
      </c>
      <c r="N17" s="1">
        <v>0.96</v>
      </c>
      <c r="O17" s="1">
        <v>0.99</v>
      </c>
      <c r="P17" s="1">
        <v>0.98</v>
      </c>
      <c r="Q17" s="1">
        <v>0.95</v>
      </c>
      <c r="R17" s="1">
        <v>0.97</v>
      </c>
      <c r="S17" s="1">
        <v>0.96</v>
      </c>
      <c r="T17" s="1">
        <f t="shared" si="0"/>
        <v>0.99</v>
      </c>
    </row>
    <row r="18" spans="1:20" ht="25" customHeight="1">
      <c r="A18" t="s">
        <v>24</v>
      </c>
      <c r="B18">
        <v>3</v>
      </c>
      <c r="C18" t="s">
        <v>18</v>
      </c>
      <c r="D18" t="b">
        <v>0</v>
      </c>
      <c r="E18">
        <v>3</v>
      </c>
      <c r="F18" t="s">
        <v>21</v>
      </c>
      <c r="G18" t="str">
        <f>_xlfn.LET(_xlpm.attr,Table3[[#This Row],[attribute]],_xlpm.spl,LEFT(Table3[[#This Row],[supplemented]],1),_xlfn.TEXTJOIN("-",TRUE,_xlpm.attr,_xlpm.spl,"3k-mgv3"))</f>
        <v>case-F-3k-mgv3</v>
      </c>
      <c r="H18" s="1">
        <v>0.98</v>
      </c>
      <c r="I18" s="1">
        <v>0.99</v>
      </c>
      <c r="J18" s="1">
        <v>0.98</v>
      </c>
      <c r="K18" s="1">
        <v>0.99</v>
      </c>
      <c r="L18" s="1">
        <v>0.93</v>
      </c>
      <c r="M18" s="1">
        <v>0.98</v>
      </c>
      <c r="N18" s="1">
        <v>0.96</v>
      </c>
      <c r="O18" s="1">
        <v>0.99</v>
      </c>
      <c r="P18" s="1">
        <v>0.98</v>
      </c>
      <c r="Q18" s="1">
        <v>0.95</v>
      </c>
      <c r="R18" s="1">
        <v>0.97</v>
      </c>
      <c r="S18" s="1">
        <v>0.96</v>
      </c>
      <c r="T18" s="1">
        <f t="shared" si="0"/>
        <v>0.99</v>
      </c>
    </row>
    <row r="19" spans="1:20" ht="25" customHeight="1">
      <c r="A19" t="s">
        <v>24</v>
      </c>
      <c r="B19">
        <v>3</v>
      </c>
      <c r="C19" t="s">
        <v>18</v>
      </c>
      <c r="D19" t="b">
        <v>0</v>
      </c>
      <c r="E19">
        <v>2</v>
      </c>
      <c r="F19" t="s">
        <v>20</v>
      </c>
      <c r="G19" t="str">
        <f>_xlfn.LET(_xlpm.attr,Table3[[#This Row],[attribute]],_xlpm.spl,LEFT(Table3[[#This Row],[supplemented]],1),_xlfn.TEXTJOIN("-",TRUE,_xlpm.attr,_xlpm.spl,"3k-mgv3"))</f>
        <v>case-F-3k-mgv3</v>
      </c>
      <c r="H19" s="1">
        <v>0.98</v>
      </c>
      <c r="I19" s="1">
        <v>0.99</v>
      </c>
      <c r="J19" s="1">
        <v>0.98</v>
      </c>
      <c r="K19" s="1">
        <v>0.99</v>
      </c>
      <c r="L19" s="1">
        <v>0.94</v>
      </c>
      <c r="M19" s="1">
        <v>0.97</v>
      </c>
      <c r="N19" s="1">
        <v>0.96</v>
      </c>
      <c r="O19" s="1">
        <v>0.99</v>
      </c>
      <c r="P19" s="1">
        <v>0.98</v>
      </c>
      <c r="Q19" s="1">
        <v>0.94</v>
      </c>
      <c r="R19" s="1">
        <v>0.97</v>
      </c>
      <c r="S19" s="1">
        <v>0.96</v>
      </c>
      <c r="T19" s="1">
        <f t="shared" si="0"/>
        <v>0.99</v>
      </c>
    </row>
    <row r="22" spans="1:20" ht="25" customHeight="1">
      <c r="B22" t="s">
        <v>1</v>
      </c>
      <c r="C22" t="s">
        <v>2</v>
      </c>
      <c r="D22" t="s">
        <v>29</v>
      </c>
      <c r="E22" t="s">
        <v>3</v>
      </c>
      <c r="F22" t="s">
        <v>4</v>
      </c>
      <c r="G22" t="s">
        <v>30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</row>
    <row r="23" spans="1:20" ht="25" customHeight="1">
      <c r="B23">
        <v>1</v>
      </c>
      <c r="C23" t="s">
        <v>23</v>
      </c>
      <c r="D23" t="b">
        <v>1</v>
      </c>
      <c r="E23">
        <v>0</v>
      </c>
      <c r="F23" t="s">
        <v>17</v>
      </c>
      <c r="G23" t="str">
        <f>_xlfn.LET(_xlpm.attr,Table61889[[#This Row],[attribute]],_xlpm.spl,LEFT(Table61889[[#This Row],[supplemented]],1),_xlfn.TEXTJOIN("-",TRUE,_xlpm.attr,_xlpm.spl,"3k-mgv3"))</f>
        <v>plurality-T-3k-mgv3</v>
      </c>
      <c r="H23" s="2" cm="1">
        <f t="array" ref="H23">_xlfn.LET(_xlpm.d,H$2:H$19,_xlpm.a,$C$2:$C$19=$C23,_xlpm.b,$D$2:$D$19=$D23,MAX(_xlfn._xlws.FILTER(_xlpm.d,_xlpm.a*_xlpm.b)))</f>
        <v>0.75</v>
      </c>
      <c r="I23" s="2" cm="1">
        <f t="array" ref="I23">_xlfn.LET(_xlpm.d,I$2:I$19,_xlpm.a,$C$2:$C$19=$C23,_xlpm.b,$D$2:$D$19=$D23,MAX(_xlfn._xlws.FILTER(_xlpm.d,_xlpm.a*_xlpm.b)))</f>
        <v>0.86</v>
      </c>
      <c r="J23" s="2" cm="1">
        <f t="array" ref="J23">_xlfn.LET(_xlpm.d,J$2:J$19,_xlpm.a,$C$2:$C$19=$C23,_xlpm.b,$D$2:$D$19=$D23,MAX(_xlfn._xlws.FILTER(_xlpm.d,_xlpm.a*_xlpm.b)))</f>
        <v>0.68</v>
      </c>
      <c r="K23" s="2" cm="1">
        <f t="array" ref="K23">_xlfn.LET(_xlpm.d,K$2:K$19,_xlpm.a,$C$2:$C$19=$C23,_xlpm.b,$D$2:$D$19=$D23,MAX(_xlfn._xlws.FILTER(_xlpm.d,_xlpm.a*_xlpm.b)))</f>
        <v>0.63</v>
      </c>
      <c r="L23" s="2" cm="1">
        <f t="array" ref="L23">_xlfn.LET(_xlpm.d,L$2:L$19,_xlpm.a,$C$2:$C$19=$C23,_xlpm.b,$D$2:$D$19=$D23,MAX(_xlfn._xlws.FILTER(_xlpm.d,_xlpm.a*_xlpm.b)))</f>
        <v>0.73</v>
      </c>
      <c r="M23" s="2" cm="1">
        <f t="array" ref="M23">_xlfn.LET(_xlpm.d,M$2:M$19,_xlpm.a,$C$2:$C$19=$C23,_xlpm.b,$D$2:$D$19=$D23,MAX(_xlfn._xlws.FILTER(_xlpm.d,_xlpm.a*_xlpm.b)))</f>
        <v>0.72</v>
      </c>
      <c r="N23" s="2" cm="1">
        <f t="array" ref="N23">_xlfn.LET(_xlpm.d,N$2:N$19,_xlpm.a,$C$2:$C$19=$C23,_xlpm.b,$D$2:$D$19=$D23,MAX(_xlfn._xlws.FILTER(_xlpm.d,_xlpm.a*_xlpm.b)))</f>
        <v>0.72</v>
      </c>
      <c r="O23" s="2" cm="1">
        <f t="array" ref="O23">_xlfn.LET(_xlpm.d,O$2:O$19,_xlpm.a,$C$2:$C$19=$C23,_xlpm.b,$D$2:$D$19=$D23,MAX(_xlfn._xlws.FILTER(_xlpm.d,_xlpm.a*_xlpm.b)))</f>
        <v>0.7</v>
      </c>
      <c r="P23" s="2" cm="1">
        <f t="array" ref="P23">_xlfn.LET(_xlpm.d,P$2:P$19,_xlpm.a,$C$2:$C$19=$C23,_xlpm.b,$D$2:$D$19=$D23,MAX(_xlfn._xlws.FILTER(_xlpm.d,_xlpm.a*_xlpm.b)))</f>
        <v>0.68</v>
      </c>
      <c r="Q23" s="2" cm="1">
        <f t="array" ref="Q23">_xlfn.LET(_xlpm.d,Q$2:Q$19,_xlpm.a,$C$2:$C$19=$C23,_xlpm.b,$D$2:$D$19=$D23,MAX(_xlfn._xlws.FILTER(_xlpm.d,_xlpm.a*_xlpm.b)))</f>
        <v>0.67</v>
      </c>
      <c r="R23" s="2" cm="1">
        <f t="array" ref="R23">_xlfn.LET(_xlpm.d,R$2:R$19,_xlpm.a,$C$2:$C$19=$C23,_xlpm.b,$D$2:$D$19=$D23,MAX(_xlfn._xlws.FILTER(_xlpm.d,_xlpm.a*_xlpm.b)))</f>
        <v>0.69</v>
      </c>
      <c r="S23" s="2" cm="1">
        <f t="array" ref="S23">_xlfn.LET(_xlpm.d,S$2:S$19,_xlpm.a,$C$2:$C$19=$C23,_xlpm.b,$D$2:$D$19=$D23,MAX(_xlfn._xlws.FILTER(_xlpm.d,_xlpm.a*_xlpm.b)))</f>
        <v>0.68</v>
      </c>
      <c r="T23" s="2" cm="1">
        <f t="array" ref="T23">_xlfn.LET(_xlpm.d,T$2:T$19,_xlpm.a,$C$2:$C$19=$C23,_xlpm.b,$D$2:$D$19=$D23,MAX(_xlfn._xlws.FILTER(_xlpm.d,_xlpm.a*_xlpm.b)))</f>
        <v>0.86</v>
      </c>
    </row>
    <row r="24" spans="1:20" ht="25" customHeight="1">
      <c r="B24">
        <v>1</v>
      </c>
      <c r="C24" t="s">
        <v>23</v>
      </c>
      <c r="D24" t="b">
        <v>0</v>
      </c>
      <c r="E24">
        <v>0</v>
      </c>
      <c r="F24" t="s">
        <v>17</v>
      </c>
      <c r="G24" t="str">
        <f>_xlfn.LET(_xlpm.attr,Table61889[[#This Row],[attribute]],_xlpm.spl,LEFT(Table61889[[#This Row],[supplemented]],1),_xlfn.TEXTJOIN("-",TRUE,_xlpm.attr,_xlpm.spl,"3k-mgv3"))</f>
        <v>plurality-F-3k-mgv3</v>
      </c>
      <c r="H24" s="2" cm="1">
        <f t="array" ref="H24">_xlfn.LET(_xlpm.d,H$2:H$19,_xlpm.a,$C$2:$C$19=$C24,_xlpm.b,$D$2:$D$19=$D24,MAX(_xlfn._xlws.FILTER(_xlpm.d,_xlpm.a*_xlpm.b)))</f>
        <v>0.73</v>
      </c>
      <c r="I24" s="2" cm="1">
        <f t="array" ref="I24">_xlfn.LET(_xlpm.d,I$2:I$19,_xlpm.a,$C$2:$C$19=$C24,_xlpm.b,$D$2:$D$19=$D24,MAX(_xlfn._xlws.FILTER(_xlpm.d,_xlpm.a*_xlpm.b)))</f>
        <v>0.81</v>
      </c>
      <c r="J24" s="2" cm="1">
        <f t="array" ref="J24">_xlfn.LET(_xlpm.d,J$2:J$19,_xlpm.a,$C$2:$C$19=$C24,_xlpm.b,$D$2:$D$19=$D24,MAX(_xlfn._xlws.FILTER(_xlpm.d,_xlpm.a*_xlpm.b)))</f>
        <v>0.67</v>
      </c>
      <c r="K24" s="2" cm="1">
        <f t="array" ref="K24">_xlfn.LET(_xlpm.d,K$2:K$19,_xlpm.a,$C$2:$C$19=$C24,_xlpm.b,$D$2:$D$19=$D24,MAX(_xlfn._xlws.FILTER(_xlpm.d,_xlpm.a*_xlpm.b)))</f>
        <v>0.63</v>
      </c>
      <c r="L24" s="2" cm="1">
        <f t="array" ref="L24">_xlfn.LET(_xlpm.d,L$2:L$19,_xlpm.a,$C$2:$C$19=$C24,_xlpm.b,$D$2:$D$19=$D24,MAX(_xlfn._xlws.FILTER(_xlpm.d,_xlpm.a*_xlpm.b)))</f>
        <v>0.71</v>
      </c>
      <c r="M24" s="2" cm="1">
        <f t="array" ref="M24">_xlfn.LET(_xlpm.d,M$2:M$19,_xlpm.a,$C$2:$C$19=$C24,_xlpm.b,$D$2:$D$19=$D24,MAX(_xlfn._xlws.FILTER(_xlpm.d,_xlpm.a*_xlpm.b)))</f>
        <v>0.69</v>
      </c>
      <c r="N24" s="2" cm="1">
        <f t="array" ref="N24">_xlfn.LET(_xlpm.d,N$2:N$19,_xlpm.a,$C$2:$C$19=$C24,_xlpm.b,$D$2:$D$19=$D24,MAX(_xlfn._xlws.FILTER(_xlpm.d,_xlpm.a*_xlpm.b)))</f>
        <v>0.72</v>
      </c>
      <c r="O24" s="2" cm="1">
        <f t="array" ref="O24">_xlfn.LET(_xlpm.d,O$2:O$19,_xlpm.a,$C$2:$C$19=$C24,_xlpm.b,$D$2:$D$19=$D24,MAX(_xlfn._xlws.FILTER(_xlpm.d,_xlpm.a*_xlpm.b)))</f>
        <v>0.66</v>
      </c>
      <c r="P24" s="2" cm="1">
        <f t="array" ref="P24">_xlfn.LET(_xlpm.d,P$2:P$19,_xlpm.a,$C$2:$C$19=$C24,_xlpm.b,$D$2:$D$19=$D24,MAX(_xlfn._xlws.FILTER(_xlpm.d,_xlpm.a*_xlpm.b)))</f>
        <v>0.66</v>
      </c>
      <c r="Q24" s="2" cm="1">
        <f t="array" ref="Q24">_xlfn.LET(_xlpm.d,Q$2:Q$19,_xlpm.a,$C$2:$C$19=$C24,_xlpm.b,$D$2:$D$19=$D24,MAX(_xlfn._xlws.FILTER(_xlpm.d,_xlpm.a*_xlpm.b)))</f>
        <v>0.66</v>
      </c>
      <c r="R24" s="2" cm="1">
        <f t="array" ref="R24">_xlfn.LET(_xlpm.d,R$2:R$19,_xlpm.a,$C$2:$C$19=$C24,_xlpm.b,$D$2:$D$19=$D24,MAX(_xlfn._xlws.FILTER(_xlpm.d,_xlpm.a*_xlpm.b)))</f>
        <v>0.68</v>
      </c>
      <c r="S24" s="2" cm="1">
        <f t="array" ref="S24">_xlfn.LET(_xlpm.d,S$2:S$19,_xlpm.a,$C$2:$C$19=$C24,_xlpm.b,$D$2:$D$19=$D24,MAX(_xlfn._xlws.FILTER(_xlpm.d,_xlpm.a*_xlpm.b)))</f>
        <v>0.72</v>
      </c>
      <c r="T24" s="2" cm="1">
        <f t="array" ref="T24">_xlfn.LET(_xlpm.d,T$2:T$19,_xlpm.a,$C$2:$C$19=$C24,_xlpm.b,$D$2:$D$19=$D24,MAX(_xlfn._xlws.FILTER(_xlpm.d,_xlpm.a*_xlpm.b)))</f>
        <v>0.81</v>
      </c>
    </row>
    <row r="25" spans="1:20" ht="25" customHeight="1">
      <c r="B25">
        <v>2</v>
      </c>
      <c r="C25" t="s">
        <v>22</v>
      </c>
      <c r="D25" t="b">
        <v>1</v>
      </c>
      <c r="E25">
        <v>0</v>
      </c>
      <c r="F25" t="s">
        <v>17</v>
      </c>
      <c r="G25" t="str">
        <f>_xlfn.LET(_xlpm.attr,Table61889[[#This Row],[attribute]],_xlpm.spl,LEFT(Table61889[[#This Row],[supplemented]],1),_xlfn.TEXTJOIN("-",TRUE,_xlpm.attr,_xlpm.spl,"3k-mgv3"))</f>
        <v>gender-T-3k-mgv3</v>
      </c>
      <c r="H25" s="2" cm="1">
        <f t="array" ref="H25">_xlfn.LET(_xlpm.d,H$2:H$19,_xlpm.a,$C$2:$C$19=$C25,_xlpm.b,$D$2:$D$19=$D25,MAX(_xlfn._xlws.FILTER(_xlpm.d,_xlpm.a*_xlpm.b)))</f>
        <v>0.82</v>
      </c>
      <c r="I25" s="2" cm="1">
        <f t="array" ref="I25">_xlfn.LET(_xlpm.d,I$2:I$19,_xlpm.a,$C$2:$C$19=$C25,_xlpm.b,$D$2:$D$19=$D25,MAX(_xlfn._xlws.FILTER(_xlpm.d,_xlpm.a*_xlpm.b)))</f>
        <v>0.74</v>
      </c>
      <c r="J25" s="2" cm="1">
        <f t="array" ref="J25">_xlfn.LET(_xlpm.d,J$2:J$19,_xlpm.a,$C$2:$C$19=$C25,_xlpm.b,$D$2:$D$19=$D25,MAX(_xlfn._xlws.FILTER(_xlpm.d,_xlpm.a*_xlpm.b)))</f>
        <v>0.73</v>
      </c>
      <c r="K25" s="2" cm="1">
        <f t="array" ref="K25">_xlfn.LET(_xlpm.d,K$2:K$19,_xlpm.a,$C$2:$C$19=$C25,_xlpm.b,$D$2:$D$19=$D25,MAX(_xlfn._xlws.FILTER(_xlpm.d,_xlpm.a*_xlpm.b)))</f>
        <v>0.82</v>
      </c>
      <c r="L25" s="2" cm="1">
        <f t="array" ref="L25">_xlfn.LET(_xlpm.d,L$2:L$19,_xlpm.a,$C$2:$C$19=$C25,_xlpm.b,$D$2:$D$19=$D25,MAX(_xlfn._xlws.FILTER(_xlpm.d,_xlpm.a*_xlpm.b)))</f>
        <v>0.73</v>
      </c>
      <c r="M25" s="2" cm="1">
        <f t="array" ref="M25">_xlfn.LET(_xlpm.d,M$2:M$19,_xlpm.a,$C$2:$C$19=$C25,_xlpm.b,$D$2:$D$19=$D25,MAX(_xlfn._xlws.FILTER(_xlpm.d,_xlpm.a*_xlpm.b)))</f>
        <v>0.71</v>
      </c>
      <c r="N25" s="2" cm="1">
        <f t="array" ref="N25">_xlfn.LET(_xlpm.d,N$2:N$19,_xlpm.a,$C$2:$C$19=$C25,_xlpm.b,$D$2:$D$19=$D25,MAX(_xlfn._xlws.FILTER(_xlpm.d,_xlpm.a*_xlpm.b)))</f>
        <v>0.82</v>
      </c>
      <c r="O25" s="2" cm="1">
        <f t="array" ref="O25">_xlfn.LET(_xlpm.d,O$2:O$19,_xlpm.a,$C$2:$C$19=$C25,_xlpm.b,$D$2:$D$19=$D25,MAX(_xlfn._xlws.FILTER(_xlpm.d,_xlpm.a*_xlpm.b)))</f>
        <v>0.8</v>
      </c>
      <c r="P25" s="2" cm="1">
        <f t="array" ref="P25">_xlfn.LET(_xlpm.d,P$2:P$19,_xlpm.a,$C$2:$C$19=$C25,_xlpm.b,$D$2:$D$19=$D25,MAX(_xlfn._xlws.FILTER(_xlpm.d,_xlpm.a*_xlpm.b)))</f>
        <v>0.74</v>
      </c>
      <c r="Q25" s="2" cm="1">
        <f t="array" ref="Q25">_xlfn.LET(_xlpm.d,Q$2:Q$19,_xlpm.a,$C$2:$C$19=$C25,_xlpm.b,$D$2:$D$19=$D25,MAX(_xlfn._xlws.FILTER(_xlpm.d,_xlpm.a*_xlpm.b)))</f>
        <v>0.78</v>
      </c>
      <c r="R25" s="2" cm="1">
        <f t="array" ref="R25">_xlfn.LET(_xlpm.d,R$2:R$19,_xlpm.a,$C$2:$C$19=$C25,_xlpm.b,$D$2:$D$19=$D25,MAX(_xlfn._xlws.FILTER(_xlpm.d,_xlpm.a*_xlpm.b)))</f>
        <v>0.7</v>
      </c>
      <c r="S25" s="2" cm="1">
        <f t="array" ref="S25">_xlfn.LET(_xlpm.d,S$2:S$19,_xlpm.a,$C$2:$C$19=$C25,_xlpm.b,$D$2:$D$19=$D25,MAX(_xlfn._xlws.FILTER(_xlpm.d,_xlpm.a*_xlpm.b)))</f>
        <v>0.78</v>
      </c>
      <c r="T25" s="2" cm="1">
        <f t="array" ref="T25">_xlfn.LET(_xlpm.d,T$2:T$19,_xlpm.a,$C$2:$C$19=$C25,_xlpm.b,$D$2:$D$19=$D25,MAX(_xlfn._xlws.FILTER(_xlpm.d,_xlpm.a*_xlpm.b)))</f>
        <v>0.82</v>
      </c>
    </row>
    <row r="26" spans="1:20" ht="25" customHeight="1">
      <c r="B26">
        <v>2</v>
      </c>
      <c r="C26" t="s">
        <v>22</v>
      </c>
      <c r="D26" t="b">
        <v>0</v>
      </c>
      <c r="E26">
        <v>0</v>
      </c>
      <c r="F26" t="s">
        <v>17</v>
      </c>
      <c r="G26" t="str">
        <f>_xlfn.LET(_xlpm.attr,Table61889[[#This Row],[attribute]],_xlpm.spl,LEFT(Table61889[[#This Row],[supplemented]],1),_xlfn.TEXTJOIN("-",TRUE,_xlpm.attr,_xlpm.spl,"3k-mgv3"))</f>
        <v>gender-F-3k-mgv3</v>
      </c>
      <c r="H26" s="2" cm="1">
        <f t="array" ref="H26">_xlfn.LET(_xlpm.d,H$2:H$19,_xlpm.a,$C$2:$C$19=$C26,_xlpm.b,$D$2:$D$19=$D26,MAX(_xlfn._xlws.FILTER(_xlpm.d,_xlpm.a*_xlpm.b)))</f>
        <v>0.78</v>
      </c>
      <c r="I26" s="2" cm="1">
        <f t="array" ref="I26">_xlfn.LET(_xlpm.d,I$2:I$19,_xlpm.a,$C$2:$C$19=$C26,_xlpm.b,$D$2:$D$19=$D26,MAX(_xlfn._xlws.FILTER(_xlpm.d,_xlpm.a*_xlpm.b)))</f>
        <v>0.72</v>
      </c>
      <c r="J26" s="2" cm="1">
        <f t="array" ref="J26">_xlfn.LET(_xlpm.d,J$2:J$19,_xlpm.a,$C$2:$C$19=$C26,_xlpm.b,$D$2:$D$19=$D26,MAX(_xlfn._xlws.FILTER(_xlpm.d,_xlpm.a*_xlpm.b)))</f>
        <v>0.7</v>
      </c>
      <c r="K26" s="2" cm="1">
        <f t="array" ref="K26">_xlfn.LET(_xlpm.d,K$2:K$19,_xlpm.a,$C$2:$C$19=$C26,_xlpm.b,$D$2:$D$19=$D26,MAX(_xlfn._xlws.FILTER(_xlpm.d,_xlpm.a*_xlpm.b)))</f>
        <v>0.76</v>
      </c>
      <c r="L26" s="2" cm="1">
        <f t="array" ref="L26">_xlfn.LET(_xlpm.d,L$2:L$19,_xlpm.a,$C$2:$C$19=$C26,_xlpm.b,$D$2:$D$19=$D26,MAX(_xlfn._xlws.FILTER(_xlpm.d,_xlpm.a*_xlpm.b)))</f>
        <v>0.73</v>
      </c>
      <c r="M26" s="2" cm="1">
        <f t="array" ref="M26">_xlfn.LET(_xlpm.d,M$2:M$19,_xlpm.a,$C$2:$C$19=$C26,_xlpm.b,$D$2:$D$19=$D26,MAX(_xlfn._xlws.FILTER(_xlpm.d,_xlpm.a*_xlpm.b)))</f>
        <v>0.65</v>
      </c>
      <c r="N26" s="2" cm="1">
        <f t="array" ref="N26">_xlfn.LET(_xlpm.d,N$2:N$19,_xlpm.a,$C$2:$C$19=$C26,_xlpm.b,$D$2:$D$19=$D26,MAX(_xlfn._xlws.FILTER(_xlpm.d,_xlpm.a*_xlpm.b)))</f>
        <v>0.76</v>
      </c>
      <c r="O26" s="2" cm="1">
        <f t="array" ref="O26">_xlfn.LET(_xlpm.d,O$2:O$19,_xlpm.a,$C$2:$C$19=$C26,_xlpm.b,$D$2:$D$19=$D26,MAX(_xlfn._xlws.FILTER(_xlpm.d,_xlpm.a*_xlpm.b)))</f>
        <v>0.73</v>
      </c>
      <c r="P26" s="2" cm="1">
        <f t="array" ref="P26">_xlfn.LET(_xlpm.d,P$2:P$19,_xlpm.a,$C$2:$C$19=$C26,_xlpm.b,$D$2:$D$19=$D26,MAX(_xlfn._xlws.FILTER(_xlpm.d,_xlpm.a*_xlpm.b)))</f>
        <v>0.71</v>
      </c>
      <c r="Q26" s="2" cm="1">
        <f t="array" ref="Q26">_xlfn.LET(_xlpm.d,Q$2:Q$19,_xlpm.a,$C$2:$C$19=$C26,_xlpm.b,$D$2:$D$19=$D26,MAX(_xlfn._xlws.FILTER(_xlpm.d,_xlpm.a*_xlpm.b)))</f>
        <v>0.8</v>
      </c>
      <c r="R26" s="2" cm="1">
        <f t="array" ref="R26">_xlfn.LET(_xlpm.d,R$2:R$19,_xlpm.a,$C$2:$C$19=$C26,_xlpm.b,$D$2:$D$19=$D26,MAX(_xlfn._xlws.FILTER(_xlpm.d,_xlpm.a*_xlpm.b)))</f>
        <v>0.66</v>
      </c>
      <c r="S26" s="2" cm="1">
        <f t="array" ref="S26">_xlfn.LET(_xlpm.d,S$2:S$19,_xlpm.a,$C$2:$C$19=$C26,_xlpm.b,$D$2:$D$19=$D26,MAX(_xlfn._xlws.FILTER(_xlpm.d,_xlpm.a*_xlpm.b)))</f>
        <v>0.77</v>
      </c>
      <c r="T26" s="2" cm="1">
        <f t="array" ref="T26">_xlfn.LET(_xlpm.d,T$2:T$19,_xlpm.a,$C$2:$C$19=$C26,_xlpm.b,$D$2:$D$19=$D26,MAX(_xlfn._xlws.FILTER(_xlpm.d,_xlpm.a*_xlpm.b)))</f>
        <v>0.8</v>
      </c>
    </row>
    <row r="27" spans="1:20" ht="25" customHeight="1">
      <c r="B27">
        <v>3</v>
      </c>
      <c r="C27" t="s">
        <v>18</v>
      </c>
      <c r="D27" t="b">
        <v>1</v>
      </c>
      <c r="E27">
        <v>0</v>
      </c>
      <c r="F27" t="s">
        <v>17</v>
      </c>
      <c r="G27" t="str">
        <f>_xlfn.LET(_xlpm.attr,Table61889[[#This Row],[attribute]],_xlpm.spl,LEFT(Table61889[[#This Row],[supplemented]],1),_xlfn.TEXTJOIN("-",TRUE,_xlpm.attr,_xlpm.spl,"3k-mgv3"))</f>
        <v>case-T-3k-mgv3</v>
      </c>
      <c r="H27" s="2" cm="1">
        <f t="array" ref="H27">_xlfn.LET(_xlpm.d,H$2:H$19,_xlpm.a,$C$2:$C$19=$C27,_xlpm.b,$D$2:$D$19=$D27,MAX(_xlfn._xlws.FILTER(_xlpm.d,_xlpm.a*_xlpm.b)))</f>
        <v>1</v>
      </c>
      <c r="I27" s="2" cm="1">
        <f t="array" ref="I27">_xlfn.LET(_xlpm.d,I$2:I$19,_xlpm.a,$C$2:$C$19=$C27,_xlpm.b,$D$2:$D$19=$D27,MAX(_xlfn._xlws.FILTER(_xlpm.d,_xlpm.a*_xlpm.b)))</f>
        <v>0.99</v>
      </c>
      <c r="J27" s="2" cm="1">
        <f t="array" ref="J27">_xlfn.LET(_xlpm.d,J$2:J$19,_xlpm.a,$C$2:$C$19=$C27,_xlpm.b,$D$2:$D$19=$D27,MAX(_xlfn._xlws.FILTER(_xlpm.d,_xlpm.a*_xlpm.b)))</f>
        <v>0.98</v>
      </c>
      <c r="K27" s="2" cm="1">
        <f t="array" ref="K27">_xlfn.LET(_xlpm.d,K$2:K$19,_xlpm.a,$C$2:$C$19=$C27,_xlpm.b,$D$2:$D$19=$D27,MAX(_xlfn._xlws.FILTER(_xlpm.d,_xlpm.a*_xlpm.b)))</f>
        <v>0.99</v>
      </c>
      <c r="L27" s="2" cm="1">
        <f t="array" ref="L27">_xlfn.LET(_xlpm.d,L$2:L$19,_xlpm.a,$C$2:$C$19=$C27,_xlpm.b,$D$2:$D$19=$D27,MAX(_xlfn._xlws.FILTER(_xlpm.d,_xlpm.a*_xlpm.b)))</f>
        <v>0.93</v>
      </c>
      <c r="M27" s="2" cm="1">
        <f t="array" ref="M27">_xlfn.LET(_xlpm.d,M$2:M$19,_xlpm.a,$C$2:$C$19=$C27,_xlpm.b,$D$2:$D$19=$D27,MAX(_xlfn._xlws.FILTER(_xlpm.d,_xlpm.a*_xlpm.b)))</f>
        <v>0.98</v>
      </c>
      <c r="N27" s="2" cm="1">
        <f t="array" ref="N27">_xlfn.LET(_xlpm.d,N$2:N$19,_xlpm.a,$C$2:$C$19=$C27,_xlpm.b,$D$2:$D$19=$D27,MAX(_xlfn._xlws.FILTER(_xlpm.d,_xlpm.a*_xlpm.b)))</f>
        <v>0.96</v>
      </c>
      <c r="O27" s="2" cm="1">
        <f t="array" ref="O27">_xlfn.LET(_xlpm.d,O$2:O$19,_xlpm.a,$C$2:$C$19=$C27,_xlpm.b,$D$2:$D$19=$D27,MAX(_xlfn._xlws.FILTER(_xlpm.d,_xlpm.a*_xlpm.b)))</f>
        <v>0.99</v>
      </c>
      <c r="P27" s="2" cm="1">
        <f t="array" ref="P27">_xlfn.LET(_xlpm.d,P$2:P$19,_xlpm.a,$C$2:$C$19=$C27,_xlpm.b,$D$2:$D$19=$D27,MAX(_xlfn._xlws.FILTER(_xlpm.d,_xlpm.a*_xlpm.b)))</f>
        <v>0.98</v>
      </c>
      <c r="Q27" s="2" cm="1">
        <f t="array" ref="Q27">_xlfn.LET(_xlpm.d,Q$2:Q$19,_xlpm.a,$C$2:$C$19=$C27,_xlpm.b,$D$2:$D$19=$D27,MAX(_xlfn._xlws.FILTER(_xlpm.d,_xlpm.a*_xlpm.b)))</f>
        <v>0.95</v>
      </c>
      <c r="R27" s="2" cm="1">
        <f t="array" ref="R27">_xlfn.LET(_xlpm.d,R$2:R$19,_xlpm.a,$C$2:$C$19=$C27,_xlpm.b,$D$2:$D$19=$D27,MAX(_xlfn._xlws.FILTER(_xlpm.d,_xlpm.a*_xlpm.b)))</f>
        <v>0.97</v>
      </c>
      <c r="S27" s="2" cm="1">
        <f t="array" ref="S27">_xlfn.LET(_xlpm.d,S$2:S$19,_xlpm.a,$C$2:$C$19=$C27,_xlpm.b,$D$2:$D$19=$D27,MAX(_xlfn._xlws.FILTER(_xlpm.d,_xlpm.a*_xlpm.b)))</f>
        <v>0.96</v>
      </c>
      <c r="T27" s="2" cm="1">
        <f t="array" ref="T27">_xlfn.LET(_xlpm.d,T$2:T$19,_xlpm.a,$C$2:$C$19=$C27,_xlpm.b,$D$2:$D$19=$D27,MAX(_xlfn._xlws.FILTER(_xlpm.d,_xlpm.a*_xlpm.b)))</f>
        <v>1</v>
      </c>
    </row>
    <row r="28" spans="1:20" ht="25" customHeight="1">
      <c r="B28">
        <v>3</v>
      </c>
      <c r="C28" t="s">
        <v>18</v>
      </c>
      <c r="D28" t="b">
        <v>0</v>
      </c>
      <c r="E28">
        <v>0</v>
      </c>
      <c r="F28" t="s">
        <v>17</v>
      </c>
      <c r="G28" t="str">
        <f>_xlfn.LET(_xlpm.attr,Table61889[[#This Row],[attribute]],_xlpm.spl,LEFT(Table61889[[#This Row],[supplemented]],1),_xlfn.TEXTJOIN("-",TRUE,_xlpm.attr,_xlpm.spl,"3k-mgv3"))</f>
        <v>case-F-3k-mgv3</v>
      </c>
      <c r="H28" s="2" cm="1">
        <f t="array" ref="H28">_xlfn.LET(_xlpm.d,H$2:H$19,_xlpm.a,$C$2:$C$19=$C28,_xlpm.b,$D$2:$D$19=$D28,MAX(_xlfn._xlws.FILTER(_xlpm.d,_xlpm.a*_xlpm.b)))</f>
        <v>0.98</v>
      </c>
      <c r="I28" s="2" cm="1">
        <f t="array" ref="I28">_xlfn.LET(_xlpm.d,I$2:I$19,_xlpm.a,$C$2:$C$19=$C28,_xlpm.b,$D$2:$D$19=$D28,MAX(_xlfn._xlws.FILTER(_xlpm.d,_xlpm.a*_xlpm.b)))</f>
        <v>0.99</v>
      </c>
      <c r="J28" s="2" cm="1">
        <f t="array" ref="J28">_xlfn.LET(_xlpm.d,J$2:J$19,_xlpm.a,$C$2:$C$19=$C28,_xlpm.b,$D$2:$D$19=$D28,MAX(_xlfn._xlws.FILTER(_xlpm.d,_xlpm.a*_xlpm.b)))</f>
        <v>0.98</v>
      </c>
      <c r="K28" s="2" cm="1">
        <f t="array" ref="K28">_xlfn.LET(_xlpm.d,K$2:K$19,_xlpm.a,$C$2:$C$19=$C28,_xlpm.b,$D$2:$D$19=$D28,MAX(_xlfn._xlws.FILTER(_xlpm.d,_xlpm.a*_xlpm.b)))</f>
        <v>0.99</v>
      </c>
      <c r="L28" s="2" cm="1">
        <f t="array" ref="L28">_xlfn.LET(_xlpm.d,L$2:L$19,_xlpm.a,$C$2:$C$19=$C28,_xlpm.b,$D$2:$D$19=$D28,MAX(_xlfn._xlws.FILTER(_xlpm.d,_xlpm.a*_xlpm.b)))</f>
        <v>0.94</v>
      </c>
      <c r="M28" s="2" cm="1">
        <f t="array" ref="M28">_xlfn.LET(_xlpm.d,M$2:M$19,_xlpm.a,$C$2:$C$19=$C28,_xlpm.b,$D$2:$D$19=$D28,MAX(_xlfn._xlws.FILTER(_xlpm.d,_xlpm.a*_xlpm.b)))</f>
        <v>0.98</v>
      </c>
      <c r="N28" s="2" cm="1">
        <f t="array" ref="N28">_xlfn.LET(_xlpm.d,N$2:N$19,_xlpm.a,$C$2:$C$19=$C28,_xlpm.b,$D$2:$D$19=$D28,MAX(_xlfn._xlws.FILTER(_xlpm.d,_xlpm.a*_xlpm.b)))</f>
        <v>0.96</v>
      </c>
      <c r="O28" s="2" cm="1">
        <f t="array" ref="O28">_xlfn.LET(_xlpm.d,O$2:O$19,_xlpm.a,$C$2:$C$19=$C28,_xlpm.b,$D$2:$D$19=$D28,MAX(_xlfn._xlws.FILTER(_xlpm.d,_xlpm.a*_xlpm.b)))</f>
        <v>0.99</v>
      </c>
      <c r="P28" s="2" cm="1">
        <f t="array" ref="P28">_xlfn.LET(_xlpm.d,P$2:P$19,_xlpm.a,$C$2:$C$19=$C28,_xlpm.b,$D$2:$D$19=$D28,MAX(_xlfn._xlws.FILTER(_xlpm.d,_xlpm.a*_xlpm.b)))</f>
        <v>0.98</v>
      </c>
      <c r="Q28" s="2" cm="1">
        <f t="array" ref="Q28">_xlfn.LET(_xlpm.d,Q$2:Q$19,_xlpm.a,$C$2:$C$19=$C28,_xlpm.b,$D$2:$D$19=$D28,MAX(_xlfn._xlws.FILTER(_xlpm.d,_xlpm.a*_xlpm.b)))</f>
        <v>0.95</v>
      </c>
      <c r="R28" s="2" cm="1">
        <f t="array" ref="R28">_xlfn.LET(_xlpm.d,R$2:R$19,_xlpm.a,$C$2:$C$19=$C28,_xlpm.b,$D$2:$D$19=$D28,MAX(_xlfn._xlws.FILTER(_xlpm.d,_xlpm.a*_xlpm.b)))</f>
        <v>0.97</v>
      </c>
      <c r="S28" s="2" cm="1">
        <f t="array" ref="S28">_xlfn.LET(_xlpm.d,S$2:S$19,_xlpm.a,$C$2:$C$19=$C28,_xlpm.b,$D$2:$D$19=$D28,MAX(_xlfn._xlws.FILTER(_xlpm.d,_xlpm.a*_xlpm.b)))</f>
        <v>0.96</v>
      </c>
      <c r="T28" s="2" cm="1">
        <f t="array" ref="T28">_xlfn.LET(_xlpm.d,T$2:T$19,_xlpm.a,$C$2:$C$19=$C28,_xlpm.b,$D$2:$D$19=$D28,MAX(_xlfn._xlws.FILTER(_xlpm.d,_xlpm.a*_xlpm.b)))</f>
        <v>0.99</v>
      </c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57CF-6729-6142-B6E8-05710DEDCCAF}">
  <dimension ref="A1:T28"/>
  <sheetViews>
    <sheetView workbookViewId="0"/>
  </sheetViews>
  <sheetFormatPr baseColWidth="10" defaultRowHeight="25" customHeight="1"/>
  <cols>
    <col min="2" max="6" width="8" customWidth="1"/>
    <col min="7" max="19" width="7.7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29</v>
      </c>
      <c r="E1" t="s">
        <v>3</v>
      </c>
      <c r="F1" t="s">
        <v>4</v>
      </c>
      <c r="G1" t="s">
        <v>30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ht="25" customHeight="1">
      <c r="A2" t="s">
        <v>24</v>
      </c>
      <c r="B2">
        <v>2</v>
      </c>
      <c r="C2" t="s">
        <v>23</v>
      </c>
      <c r="D2" t="b">
        <v>1</v>
      </c>
      <c r="E2">
        <v>2</v>
      </c>
      <c r="F2" t="s">
        <v>20</v>
      </c>
      <c r="G2" t="str">
        <f>_xlfn.LET(_xlpm.attr,Table4[[#This Row],[attribute]],_xlpm.spl,LEFT(Table4[[#This Row],[supplemented]],1),_xlfn.TEXTJOIN("-",TRUE,_xlpm.attr,_xlpm.spl,"3k-mgv3"))</f>
        <v>plurality-T-3k-mgv3</v>
      </c>
      <c r="H2" s="1">
        <v>0.74</v>
      </c>
      <c r="I2" s="1">
        <v>0.74</v>
      </c>
      <c r="J2" s="1">
        <v>0.67</v>
      </c>
      <c r="K2" s="1">
        <v>0.67</v>
      </c>
      <c r="L2" s="1">
        <v>0.66</v>
      </c>
      <c r="M2" s="1">
        <v>0.72</v>
      </c>
      <c r="N2" s="1">
        <v>0.73</v>
      </c>
      <c r="O2" s="1">
        <v>0.65</v>
      </c>
      <c r="P2" s="1">
        <v>0.72</v>
      </c>
      <c r="Q2" s="1">
        <v>0.72</v>
      </c>
      <c r="R2" s="1">
        <v>0.6</v>
      </c>
      <c r="S2" s="1">
        <v>0.71</v>
      </c>
      <c r="T2" s="1">
        <f t="shared" ref="T2:T19" si="0">MAX($H2:$S2)</f>
        <v>0.74</v>
      </c>
    </row>
    <row r="3" spans="1:20" ht="25" customHeight="1">
      <c r="A3" t="s">
        <v>24</v>
      </c>
      <c r="B3">
        <v>2</v>
      </c>
      <c r="C3" t="s">
        <v>23</v>
      </c>
      <c r="D3" t="b">
        <v>1</v>
      </c>
      <c r="E3">
        <v>3</v>
      </c>
      <c r="F3" t="s">
        <v>21</v>
      </c>
      <c r="G3" t="str">
        <f>_xlfn.LET(_xlpm.attr,Table4[[#This Row],[attribute]],_xlpm.spl,LEFT(Table4[[#This Row],[supplemented]],1),_xlfn.TEXTJOIN("-",TRUE,_xlpm.attr,_xlpm.spl,"3k-mgv3"))</f>
        <v>plurality-T-3k-mgv3</v>
      </c>
      <c r="H3" s="1">
        <v>0.71</v>
      </c>
      <c r="I3" s="1">
        <v>0.68</v>
      </c>
      <c r="J3" s="1">
        <v>0.72</v>
      </c>
      <c r="K3" s="1">
        <v>0.67</v>
      </c>
      <c r="L3" s="1">
        <v>0.66</v>
      </c>
      <c r="M3" s="1">
        <v>0.68</v>
      </c>
      <c r="N3" s="1">
        <v>0.65</v>
      </c>
      <c r="O3" s="1">
        <v>0.63</v>
      </c>
      <c r="P3" s="1">
        <v>0.68</v>
      </c>
      <c r="Q3" s="1">
        <v>0.64</v>
      </c>
      <c r="R3" s="1">
        <v>0.6</v>
      </c>
      <c r="S3" s="1">
        <v>0.65</v>
      </c>
      <c r="T3" s="1">
        <f t="shared" si="0"/>
        <v>0.72</v>
      </c>
    </row>
    <row r="4" spans="1:20" ht="25" customHeight="1">
      <c r="A4" t="s">
        <v>24</v>
      </c>
      <c r="B4">
        <v>2</v>
      </c>
      <c r="C4" t="s">
        <v>23</v>
      </c>
      <c r="D4" t="b">
        <v>1</v>
      </c>
      <c r="E4">
        <v>1</v>
      </c>
      <c r="F4" t="s">
        <v>19</v>
      </c>
      <c r="G4" t="str">
        <f>_xlfn.LET(_xlpm.attr,Table4[[#This Row],[attribute]],_xlpm.spl,LEFT(Table4[[#This Row],[supplemented]],1),_xlfn.TEXTJOIN("-",TRUE,_xlpm.attr,_xlpm.spl,"3k-mgv3"))</f>
        <v>plurality-T-3k-mgv3</v>
      </c>
      <c r="H4" s="1">
        <v>0.73</v>
      </c>
      <c r="I4" s="1">
        <v>0.68</v>
      </c>
      <c r="J4" s="1">
        <v>0.65</v>
      </c>
      <c r="K4" s="1">
        <v>0.64</v>
      </c>
      <c r="L4" s="1">
        <v>0.66</v>
      </c>
      <c r="M4" s="1">
        <v>0.64</v>
      </c>
      <c r="N4" s="1">
        <v>0.66</v>
      </c>
      <c r="O4" s="1">
        <v>0.61</v>
      </c>
      <c r="P4" s="1">
        <v>0.66</v>
      </c>
      <c r="Q4" s="1">
        <v>0.67</v>
      </c>
      <c r="R4" s="1">
        <v>0.59</v>
      </c>
      <c r="S4" s="1">
        <v>0.64</v>
      </c>
      <c r="T4" s="1">
        <f t="shared" si="0"/>
        <v>0.73</v>
      </c>
    </row>
    <row r="5" spans="1:20" ht="25" customHeight="1">
      <c r="A5" t="s">
        <v>24</v>
      </c>
      <c r="B5">
        <v>2</v>
      </c>
      <c r="C5" t="s">
        <v>23</v>
      </c>
      <c r="D5" t="b">
        <v>0</v>
      </c>
      <c r="E5">
        <v>2</v>
      </c>
      <c r="F5" t="s">
        <v>20</v>
      </c>
      <c r="G5" t="str">
        <f>_xlfn.LET(_xlpm.attr,Table4[[#This Row],[attribute]],_xlpm.spl,LEFT(Table4[[#This Row],[supplemented]],1),_xlfn.TEXTJOIN("-",TRUE,_xlpm.attr,_xlpm.spl,"3k-mgv3"))</f>
        <v>plurality-F-3k-mgv3</v>
      </c>
      <c r="H5" s="1">
        <v>0.74</v>
      </c>
      <c r="I5" s="1">
        <v>0.68</v>
      </c>
      <c r="J5" s="1">
        <v>0.62</v>
      </c>
      <c r="K5" s="1">
        <v>0.64</v>
      </c>
      <c r="L5" s="1">
        <v>0.65</v>
      </c>
      <c r="M5" s="1">
        <v>0.69</v>
      </c>
      <c r="N5" s="1">
        <v>0.66</v>
      </c>
      <c r="O5" s="1">
        <v>0.64</v>
      </c>
      <c r="P5" s="1">
        <v>0.68</v>
      </c>
      <c r="Q5" s="1">
        <v>0.69</v>
      </c>
      <c r="R5" s="1">
        <v>0.61</v>
      </c>
      <c r="S5" s="1">
        <v>0.71</v>
      </c>
      <c r="T5" s="1">
        <f t="shared" si="0"/>
        <v>0.74</v>
      </c>
    </row>
    <row r="6" spans="1:20" ht="25" customHeight="1">
      <c r="A6" t="s">
        <v>24</v>
      </c>
      <c r="B6">
        <v>2</v>
      </c>
      <c r="C6" t="s">
        <v>23</v>
      </c>
      <c r="D6" t="b">
        <v>0</v>
      </c>
      <c r="E6">
        <v>3</v>
      </c>
      <c r="F6" t="s">
        <v>21</v>
      </c>
      <c r="G6" t="str">
        <f>_xlfn.LET(_xlpm.attr,Table4[[#This Row],[attribute]],_xlpm.spl,LEFT(Table4[[#This Row],[supplemented]],1),_xlfn.TEXTJOIN("-",TRUE,_xlpm.attr,_xlpm.spl,"3k-mgv3"))</f>
        <v>plurality-F-3k-mgv3</v>
      </c>
      <c r="H6" s="1">
        <v>0.65</v>
      </c>
      <c r="I6" s="1">
        <v>0.66</v>
      </c>
      <c r="J6" s="1">
        <v>0.65</v>
      </c>
      <c r="K6" s="1">
        <v>0.66</v>
      </c>
      <c r="L6" s="1">
        <v>0.62</v>
      </c>
      <c r="M6" s="1">
        <v>0.61</v>
      </c>
      <c r="N6" s="1">
        <v>0.66</v>
      </c>
      <c r="O6" s="1">
        <v>0.6</v>
      </c>
      <c r="P6" s="1">
        <v>0.66</v>
      </c>
      <c r="Q6" s="1">
        <v>0.61</v>
      </c>
      <c r="R6" s="1">
        <v>0.6</v>
      </c>
      <c r="S6" s="1">
        <v>0.64</v>
      </c>
      <c r="T6" s="1">
        <f t="shared" si="0"/>
        <v>0.66</v>
      </c>
    </row>
    <row r="7" spans="1:20" ht="25" customHeight="1">
      <c r="A7" t="s">
        <v>24</v>
      </c>
      <c r="B7">
        <v>2</v>
      </c>
      <c r="C7" t="s">
        <v>23</v>
      </c>
      <c r="D7" t="b">
        <v>0</v>
      </c>
      <c r="E7">
        <v>1</v>
      </c>
      <c r="F7" t="s">
        <v>19</v>
      </c>
      <c r="G7" t="str">
        <f>_xlfn.LET(_xlpm.attr,Table4[[#This Row],[attribute]],_xlpm.spl,LEFT(Table4[[#This Row],[supplemented]],1),_xlfn.TEXTJOIN("-",TRUE,_xlpm.attr,_xlpm.spl,"3k-mgv3"))</f>
        <v>plurality-F-3k-mgv3</v>
      </c>
      <c r="H7" s="1">
        <v>0.7</v>
      </c>
      <c r="I7" s="1">
        <v>0.63</v>
      </c>
      <c r="J7" s="1">
        <v>0.62</v>
      </c>
      <c r="K7" s="1">
        <v>0.61</v>
      </c>
      <c r="L7" s="1">
        <v>0.59</v>
      </c>
      <c r="M7" s="1">
        <v>0.66</v>
      </c>
      <c r="N7" s="1">
        <v>0.64</v>
      </c>
      <c r="O7" s="1">
        <v>0.62</v>
      </c>
      <c r="P7" s="1">
        <v>0.69</v>
      </c>
      <c r="Q7" s="1">
        <v>0.65</v>
      </c>
      <c r="R7" s="1">
        <v>0.56000000000000005</v>
      </c>
      <c r="S7" s="1">
        <v>0.67</v>
      </c>
      <c r="T7" s="1">
        <f t="shared" si="0"/>
        <v>0.7</v>
      </c>
    </row>
    <row r="8" spans="1:20" ht="25" customHeight="1">
      <c r="A8" t="s">
        <v>24</v>
      </c>
      <c r="B8">
        <v>1</v>
      </c>
      <c r="C8" t="s">
        <v>22</v>
      </c>
      <c r="D8" t="b">
        <v>1</v>
      </c>
      <c r="E8">
        <v>2</v>
      </c>
      <c r="F8" t="s">
        <v>20</v>
      </c>
      <c r="G8" t="str">
        <f>_xlfn.LET(_xlpm.attr,Table4[[#This Row],[attribute]],_xlpm.spl,LEFT(Table4[[#This Row],[supplemented]],1),_xlfn.TEXTJOIN("-",TRUE,_xlpm.attr,_xlpm.spl,"3k-mgv3"))</f>
        <v>gender-T-3k-mgv3</v>
      </c>
      <c r="H8" s="1">
        <v>0.81</v>
      </c>
      <c r="I8" s="1">
        <v>0.76</v>
      </c>
      <c r="J8" s="1">
        <v>0.82</v>
      </c>
      <c r="K8" s="1">
        <v>0.75</v>
      </c>
      <c r="L8" s="1">
        <v>0.71</v>
      </c>
      <c r="M8" s="1">
        <v>0.77</v>
      </c>
      <c r="N8" s="1">
        <v>0.72</v>
      </c>
      <c r="O8" s="1">
        <v>0.81</v>
      </c>
      <c r="P8" s="1">
        <v>0.77</v>
      </c>
      <c r="Q8" s="1">
        <v>0.8</v>
      </c>
      <c r="R8" s="1">
        <v>0.72</v>
      </c>
      <c r="S8" s="1">
        <v>0.76</v>
      </c>
      <c r="T8" s="1">
        <f t="shared" si="0"/>
        <v>0.82</v>
      </c>
    </row>
    <row r="9" spans="1:20" ht="25" customHeight="1">
      <c r="A9" t="s">
        <v>24</v>
      </c>
      <c r="B9">
        <v>1</v>
      </c>
      <c r="C9" t="s">
        <v>22</v>
      </c>
      <c r="D9" t="b">
        <v>1</v>
      </c>
      <c r="E9">
        <v>3</v>
      </c>
      <c r="F9" t="s">
        <v>21</v>
      </c>
      <c r="G9" t="str">
        <f>_xlfn.LET(_xlpm.attr,Table4[[#This Row],[attribute]],_xlpm.spl,LEFT(Table4[[#This Row],[supplemented]],1),_xlfn.TEXTJOIN("-",TRUE,_xlpm.attr,_xlpm.spl,"3k-mgv3"))</f>
        <v>gender-T-3k-mgv3</v>
      </c>
      <c r="H9" s="1">
        <v>0.75</v>
      </c>
      <c r="I9" s="1">
        <v>0.77</v>
      </c>
      <c r="J9" s="1">
        <v>0.79</v>
      </c>
      <c r="K9" s="1">
        <v>0.72</v>
      </c>
      <c r="L9" s="1">
        <v>0.72</v>
      </c>
      <c r="M9" s="1">
        <v>0.75</v>
      </c>
      <c r="N9" s="1">
        <v>0.74</v>
      </c>
      <c r="O9" s="1">
        <v>0.78</v>
      </c>
      <c r="P9" s="1">
        <v>0.76</v>
      </c>
      <c r="Q9" s="1">
        <v>0.77</v>
      </c>
      <c r="R9" s="1">
        <v>0.72</v>
      </c>
      <c r="S9" s="1">
        <v>0.73</v>
      </c>
      <c r="T9" s="1">
        <f t="shared" si="0"/>
        <v>0.79</v>
      </c>
    </row>
    <row r="10" spans="1:20" ht="25" customHeight="1">
      <c r="A10" t="s">
        <v>24</v>
      </c>
      <c r="B10">
        <v>1</v>
      </c>
      <c r="C10" t="s">
        <v>22</v>
      </c>
      <c r="D10" t="b">
        <v>1</v>
      </c>
      <c r="E10">
        <v>1</v>
      </c>
      <c r="F10" t="s">
        <v>19</v>
      </c>
      <c r="G10" t="str">
        <f>_xlfn.LET(_xlpm.attr,Table4[[#This Row],[attribute]],_xlpm.spl,LEFT(Table4[[#This Row],[supplemented]],1),_xlfn.TEXTJOIN("-",TRUE,_xlpm.attr,_xlpm.spl,"3k-mgv3"))</f>
        <v>gender-T-3k-mgv3</v>
      </c>
      <c r="H10" s="1">
        <v>0.76</v>
      </c>
      <c r="I10" s="1">
        <v>0.74</v>
      </c>
      <c r="J10" s="1">
        <v>0.78</v>
      </c>
      <c r="K10" s="1">
        <v>0.68</v>
      </c>
      <c r="L10" s="1">
        <v>0.67</v>
      </c>
      <c r="M10" s="1">
        <v>0.69</v>
      </c>
      <c r="N10" s="1">
        <v>0.71</v>
      </c>
      <c r="O10" s="1">
        <v>0.76</v>
      </c>
      <c r="P10" s="1">
        <v>0.72</v>
      </c>
      <c r="Q10" s="1">
        <v>0.75</v>
      </c>
      <c r="R10" s="1">
        <v>0.7</v>
      </c>
      <c r="S10" s="1">
        <v>0.7</v>
      </c>
      <c r="T10" s="1">
        <f t="shared" si="0"/>
        <v>0.78</v>
      </c>
    </row>
    <row r="11" spans="1:20" ht="25" customHeight="1">
      <c r="A11" t="s">
        <v>24</v>
      </c>
      <c r="B11">
        <v>1</v>
      </c>
      <c r="C11" t="s">
        <v>22</v>
      </c>
      <c r="D11" t="b">
        <v>0</v>
      </c>
      <c r="E11">
        <v>2</v>
      </c>
      <c r="F11" t="s">
        <v>20</v>
      </c>
      <c r="G11" t="str">
        <f>_xlfn.LET(_xlpm.attr,Table4[[#This Row],[attribute]],_xlpm.spl,LEFT(Table4[[#This Row],[supplemented]],1),_xlfn.TEXTJOIN("-",TRUE,_xlpm.attr,_xlpm.spl,"3k-mgv3"))</f>
        <v>gender-F-3k-mgv3</v>
      </c>
      <c r="H11" s="1">
        <v>0.71</v>
      </c>
      <c r="I11" s="1">
        <v>0.74</v>
      </c>
      <c r="J11" s="1">
        <v>0.76</v>
      </c>
      <c r="K11" s="1">
        <v>0.74</v>
      </c>
      <c r="L11" s="1">
        <v>0.7</v>
      </c>
      <c r="M11" s="1">
        <v>0.73</v>
      </c>
      <c r="N11" s="1">
        <v>0.69</v>
      </c>
      <c r="O11" s="1">
        <v>0.74</v>
      </c>
      <c r="P11" s="1">
        <v>0.77</v>
      </c>
      <c r="Q11" s="1">
        <v>0.75</v>
      </c>
      <c r="R11" s="1">
        <v>0.75</v>
      </c>
      <c r="S11" s="1">
        <v>0.76</v>
      </c>
      <c r="T11" s="1">
        <f t="shared" si="0"/>
        <v>0.77</v>
      </c>
    </row>
    <row r="12" spans="1:20" ht="25" customHeight="1">
      <c r="A12" t="s">
        <v>24</v>
      </c>
      <c r="B12">
        <v>1</v>
      </c>
      <c r="C12" t="s">
        <v>22</v>
      </c>
      <c r="D12" t="b">
        <v>0</v>
      </c>
      <c r="E12">
        <v>3</v>
      </c>
      <c r="F12" t="s">
        <v>21</v>
      </c>
      <c r="G12" t="str">
        <f>_xlfn.LET(_xlpm.attr,Table4[[#This Row],[attribute]],_xlpm.spl,LEFT(Table4[[#This Row],[supplemented]],1),_xlfn.TEXTJOIN("-",TRUE,_xlpm.attr,_xlpm.spl,"3k-mgv3"))</f>
        <v>gender-F-3k-mgv3</v>
      </c>
      <c r="H12" s="1">
        <v>0.67</v>
      </c>
      <c r="I12" s="1">
        <v>0.74</v>
      </c>
      <c r="J12" s="1">
        <v>0.74</v>
      </c>
      <c r="K12" s="1">
        <v>0.74</v>
      </c>
      <c r="L12" s="1">
        <v>0.75</v>
      </c>
      <c r="M12" s="1">
        <v>0.73</v>
      </c>
      <c r="N12" s="1">
        <v>0.59</v>
      </c>
      <c r="O12" s="1">
        <v>0.75</v>
      </c>
      <c r="P12" s="1">
        <v>0.68</v>
      </c>
      <c r="Q12" s="1">
        <v>0.72</v>
      </c>
      <c r="R12" s="1">
        <v>0.7</v>
      </c>
      <c r="S12" s="1">
        <v>0.69</v>
      </c>
      <c r="T12" s="1">
        <f t="shared" si="0"/>
        <v>0.75</v>
      </c>
    </row>
    <row r="13" spans="1:20" ht="25" customHeight="1">
      <c r="A13" t="s">
        <v>24</v>
      </c>
      <c r="B13">
        <v>1</v>
      </c>
      <c r="C13" t="s">
        <v>22</v>
      </c>
      <c r="D13" t="b">
        <v>0</v>
      </c>
      <c r="E13">
        <v>1</v>
      </c>
      <c r="F13" t="s">
        <v>19</v>
      </c>
      <c r="G13" t="str">
        <f>_xlfn.LET(_xlpm.attr,Table4[[#This Row],[attribute]],_xlpm.spl,LEFT(Table4[[#This Row],[supplemented]],1),_xlfn.TEXTJOIN("-",TRUE,_xlpm.attr,_xlpm.spl,"3k-mgv3"))</f>
        <v>gender-F-3k-mgv3</v>
      </c>
      <c r="H13" s="1">
        <v>0.7</v>
      </c>
      <c r="I13" s="1">
        <v>0.68</v>
      </c>
      <c r="J13" s="1">
        <v>0.71</v>
      </c>
      <c r="K13" s="1">
        <v>0.7</v>
      </c>
      <c r="L13" s="1">
        <v>0.68</v>
      </c>
      <c r="M13" s="1">
        <v>0.71</v>
      </c>
      <c r="N13" s="1">
        <v>0.69</v>
      </c>
      <c r="O13" s="1">
        <v>0.71</v>
      </c>
      <c r="P13" s="1">
        <v>0.75</v>
      </c>
      <c r="Q13" s="1">
        <v>0.74</v>
      </c>
      <c r="R13" s="1">
        <v>0.7</v>
      </c>
      <c r="S13" s="1">
        <v>0.71</v>
      </c>
      <c r="T13" s="1">
        <f t="shared" si="0"/>
        <v>0.75</v>
      </c>
    </row>
    <row r="14" spans="1:20" ht="25" customHeight="1">
      <c r="A14" t="s">
        <v>24</v>
      </c>
      <c r="B14">
        <v>3</v>
      </c>
      <c r="C14" t="s">
        <v>18</v>
      </c>
      <c r="D14" t="b">
        <v>1</v>
      </c>
      <c r="E14">
        <v>2</v>
      </c>
      <c r="F14" t="s">
        <v>20</v>
      </c>
      <c r="G14" t="str">
        <f>_xlfn.LET(_xlpm.attr,Table4[[#This Row],[attribute]],_xlpm.spl,LEFT(Table4[[#This Row],[supplemented]],1),_xlfn.TEXTJOIN("-",TRUE,_xlpm.attr,_xlpm.spl,"3k-mgv3"))</f>
        <v>case-T-3k-mgv3</v>
      </c>
      <c r="H14" s="1">
        <v>0.97</v>
      </c>
      <c r="I14" s="1">
        <v>0.99</v>
      </c>
      <c r="J14" s="1">
        <v>0.98</v>
      </c>
      <c r="K14" s="1">
        <v>0.98</v>
      </c>
      <c r="L14" s="1">
        <v>0.96</v>
      </c>
      <c r="M14" s="1">
        <v>0.98</v>
      </c>
      <c r="N14" s="1">
        <v>0.99</v>
      </c>
      <c r="O14" s="1">
        <v>0.96</v>
      </c>
      <c r="P14" s="1">
        <v>0.97</v>
      </c>
      <c r="Q14" s="1">
        <v>0.96</v>
      </c>
      <c r="R14" s="1">
        <v>0.97</v>
      </c>
      <c r="S14" s="1">
        <v>0.97</v>
      </c>
      <c r="T14" s="1">
        <f t="shared" si="0"/>
        <v>0.99</v>
      </c>
    </row>
    <row r="15" spans="1:20" ht="25" customHeight="1">
      <c r="A15" t="s">
        <v>24</v>
      </c>
      <c r="B15">
        <v>3</v>
      </c>
      <c r="C15" t="s">
        <v>18</v>
      </c>
      <c r="D15" t="b">
        <v>1</v>
      </c>
      <c r="E15">
        <v>3</v>
      </c>
      <c r="F15" t="s">
        <v>21</v>
      </c>
      <c r="G15" t="str">
        <f>_xlfn.LET(_xlpm.attr,Table4[[#This Row],[attribute]],_xlpm.spl,LEFT(Table4[[#This Row],[supplemented]],1),_xlfn.TEXTJOIN("-",TRUE,_xlpm.attr,_xlpm.spl,"3k-mgv3"))</f>
        <v>case-T-3k-mgv3</v>
      </c>
      <c r="H15" s="1">
        <v>0.96</v>
      </c>
      <c r="I15" s="1">
        <v>0.99</v>
      </c>
      <c r="J15" s="1">
        <v>0.98</v>
      </c>
      <c r="K15" s="1">
        <v>0.98</v>
      </c>
      <c r="L15" s="1">
        <v>0.96</v>
      </c>
      <c r="M15" s="1">
        <v>0.98</v>
      </c>
      <c r="N15" s="1">
        <v>0.99</v>
      </c>
      <c r="O15" s="1">
        <v>0.96</v>
      </c>
      <c r="P15" s="1">
        <v>0.97</v>
      </c>
      <c r="Q15" s="1">
        <v>0.96</v>
      </c>
      <c r="R15" s="1">
        <v>0.97</v>
      </c>
      <c r="S15" s="1">
        <v>0.97</v>
      </c>
      <c r="T15" s="1">
        <f t="shared" si="0"/>
        <v>0.99</v>
      </c>
    </row>
    <row r="16" spans="1:20" ht="25" customHeight="1">
      <c r="A16" t="s">
        <v>24</v>
      </c>
      <c r="B16">
        <v>3</v>
      </c>
      <c r="C16" t="s">
        <v>18</v>
      </c>
      <c r="D16" t="b">
        <v>1</v>
      </c>
      <c r="E16">
        <v>1</v>
      </c>
      <c r="F16" t="s">
        <v>19</v>
      </c>
      <c r="G16" t="str">
        <f>_xlfn.LET(_xlpm.attr,Table4[[#This Row],[attribute]],_xlpm.spl,LEFT(Table4[[#This Row],[supplemented]],1),_xlfn.TEXTJOIN("-",TRUE,_xlpm.attr,_xlpm.spl,"3k-mgv3"))</f>
        <v>case-T-3k-mgv3</v>
      </c>
      <c r="H16" s="1">
        <v>0.98</v>
      </c>
      <c r="I16" s="1">
        <v>0.98</v>
      </c>
      <c r="J16" s="1">
        <v>0.98</v>
      </c>
      <c r="K16" s="1">
        <v>0.98</v>
      </c>
      <c r="L16" s="1">
        <v>0.96</v>
      </c>
      <c r="M16" s="1">
        <v>0.98</v>
      </c>
      <c r="N16" s="1">
        <v>0.99</v>
      </c>
      <c r="O16" s="1">
        <v>0.94</v>
      </c>
      <c r="P16" s="1">
        <v>0.96</v>
      </c>
      <c r="Q16" s="1">
        <v>0.96</v>
      </c>
      <c r="R16" s="1">
        <v>0.95</v>
      </c>
      <c r="S16" s="1">
        <v>0.97</v>
      </c>
      <c r="T16" s="1">
        <f t="shared" si="0"/>
        <v>0.99</v>
      </c>
    </row>
    <row r="17" spans="1:20" ht="25" customHeight="1">
      <c r="A17" t="s">
        <v>24</v>
      </c>
      <c r="B17">
        <v>3</v>
      </c>
      <c r="C17" t="s">
        <v>18</v>
      </c>
      <c r="D17" t="b">
        <v>0</v>
      </c>
      <c r="E17">
        <v>2</v>
      </c>
      <c r="F17" t="s">
        <v>20</v>
      </c>
      <c r="G17" t="str">
        <f>_xlfn.LET(_xlpm.attr,Table4[[#This Row],[attribute]],_xlpm.spl,LEFT(Table4[[#This Row],[supplemented]],1),_xlfn.TEXTJOIN("-",TRUE,_xlpm.attr,_xlpm.spl,"3k-mgv3"))</f>
        <v>case-F-3k-mgv3</v>
      </c>
      <c r="H17" s="1">
        <v>0.96</v>
      </c>
      <c r="I17" s="1">
        <v>0.99</v>
      </c>
      <c r="J17" s="1">
        <v>0.98</v>
      </c>
      <c r="K17" s="1">
        <v>0.98</v>
      </c>
      <c r="L17" s="1">
        <v>0.96</v>
      </c>
      <c r="M17" s="1">
        <v>0.98</v>
      </c>
      <c r="N17" s="1">
        <v>0.99</v>
      </c>
      <c r="O17" s="1">
        <v>0.96</v>
      </c>
      <c r="P17" s="1">
        <v>0.97</v>
      </c>
      <c r="Q17" s="1">
        <v>0.96</v>
      </c>
      <c r="R17" s="1">
        <v>0.97</v>
      </c>
      <c r="S17" s="1">
        <v>0.97</v>
      </c>
      <c r="T17" s="1">
        <f t="shared" si="0"/>
        <v>0.99</v>
      </c>
    </row>
    <row r="18" spans="1:20" ht="25" customHeight="1">
      <c r="A18" t="s">
        <v>24</v>
      </c>
      <c r="B18">
        <v>3</v>
      </c>
      <c r="C18" t="s">
        <v>18</v>
      </c>
      <c r="D18" t="b">
        <v>0</v>
      </c>
      <c r="E18">
        <v>3</v>
      </c>
      <c r="F18" t="s">
        <v>21</v>
      </c>
      <c r="G18" t="str">
        <f>_xlfn.LET(_xlpm.attr,Table4[[#This Row],[attribute]],_xlpm.spl,LEFT(Table4[[#This Row],[supplemented]],1),_xlfn.TEXTJOIN("-",TRUE,_xlpm.attr,_xlpm.spl,"3k-mgv3"))</f>
        <v>case-F-3k-mgv3</v>
      </c>
      <c r="H18" s="1">
        <v>0.96</v>
      </c>
      <c r="I18" s="1">
        <v>0.99</v>
      </c>
      <c r="J18" s="1">
        <v>0.98</v>
      </c>
      <c r="K18" s="1">
        <v>0.98</v>
      </c>
      <c r="L18" s="1">
        <v>0.96</v>
      </c>
      <c r="M18" s="1">
        <v>0.98</v>
      </c>
      <c r="N18" s="1">
        <v>0.99</v>
      </c>
      <c r="O18" s="1">
        <v>0.96</v>
      </c>
      <c r="P18" s="1">
        <v>0.97</v>
      </c>
      <c r="Q18" s="1">
        <v>0.96</v>
      </c>
      <c r="R18" s="1">
        <v>0.97</v>
      </c>
      <c r="S18" s="1">
        <v>0.97</v>
      </c>
      <c r="T18" s="1">
        <f t="shared" si="0"/>
        <v>0.99</v>
      </c>
    </row>
    <row r="19" spans="1:20" ht="25" customHeight="1">
      <c r="A19" t="s">
        <v>24</v>
      </c>
      <c r="B19">
        <v>3</v>
      </c>
      <c r="C19" t="s">
        <v>18</v>
      </c>
      <c r="D19" t="b">
        <v>0</v>
      </c>
      <c r="E19">
        <v>1</v>
      </c>
      <c r="F19" t="s">
        <v>19</v>
      </c>
      <c r="G19" t="str">
        <f>_xlfn.LET(_xlpm.attr,Table4[[#This Row],[attribute]],_xlpm.spl,LEFT(Table4[[#This Row],[supplemented]],1),_xlfn.TEXTJOIN("-",TRUE,_xlpm.attr,_xlpm.spl,"3k-mgv3"))</f>
        <v>case-F-3k-mgv3</v>
      </c>
      <c r="H19" s="1">
        <v>0.95</v>
      </c>
      <c r="I19" s="1">
        <v>0.99</v>
      </c>
      <c r="J19" s="1">
        <v>0.94</v>
      </c>
      <c r="K19" s="1">
        <v>0.97</v>
      </c>
      <c r="L19" s="1">
        <v>0.95</v>
      </c>
      <c r="M19" s="1">
        <v>0.97</v>
      </c>
      <c r="N19" s="1">
        <v>0.98</v>
      </c>
      <c r="O19" s="1">
        <v>0.96</v>
      </c>
      <c r="P19" s="1">
        <v>0.97</v>
      </c>
      <c r="Q19" s="1">
        <v>0.96</v>
      </c>
      <c r="R19" s="1">
        <v>0.96</v>
      </c>
      <c r="S19" s="1">
        <v>0.95</v>
      </c>
      <c r="T19" s="1">
        <f t="shared" si="0"/>
        <v>0.99</v>
      </c>
    </row>
    <row r="22" spans="1:20" ht="25" customHeight="1">
      <c r="B22" t="s">
        <v>1</v>
      </c>
      <c r="C22" t="s">
        <v>2</v>
      </c>
      <c r="D22" t="s">
        <v>29</v>
      </c>
      <c r="E22" t="s">
        <v>3</v>
      </c>
      <c r="F22" t="s">
        <v>4</v>
      </c>
      <c r="G22" t="s">
        <v>30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</row>
    <row r="23" spans="1:20" ht="25" customHeight="1">
      <c r="B23" t="s">
        <v>33</v>
      </c>
      <c r="C23" t="s">
        <v>23</v>
      </c>
      <c r="D23" t="b">
        <v>1</v>
      </c>
      <c r="E23">
        <v>0</v>
      </c>
      <c r="F23" t="s">
        <v>17</v>
      </c>
      <c r="G23" t="str">
        <f>_xlfn.LET(_xlpm.attr,Table61888[[#This Row],[attribute]],_xlpm.spl,LEFT(Table61888[[#This Row],[supplemented]],1),_xlfn.TEXTJOIN("-",TRUE,_xlpm.attr,_xlpm.spl,"3k-mgv3"))</f>
        <v>plurality-T-3k-mgv3</v>
      </c>
      <c r="H23" s="2" cm="1">
        <f t="array" ref="H23">_xlfn.LET(_xlpm.d,H$2:H$19,_xlpm.a,$C$2:$C$19=$C23,_xlpm.b,$D$2:$D$19=$D23,MAX(_xlfn._xlws.FILTER(_xlpm.d,_xlpm.a*_xlpm.b)))</f>
        <v>0.74</v>
      </c>
      <c r="I23" s="2" cm="1">
        <f t="array" ref="I23">_xlfn.LET(_xlpm.d,I$2:I$19,_xlpm.a,$C$2:$C$19=$C23,_xlpm.b,$D$2:$D$19=$D23,MAX(_xlfn._xlws.FILTER(_xlpm.d,_xlpm.a*_xlpm.b)))</f>
        <v>0.74</v>
      </c>
      <c r="J23" s="2" cm="1">
        <f t="array" ref="J23">_xlfn.LET(_xlpm.d,J$2:J$19,_xlpm.a,$C$2:$C$19=$C23,_xlpm.b,$D$2:$D$19=$D23,MAX(_xlfn._xlws.FILTER(_xlpm.d,_xlpm.a*_xlpm.b)))</f>
        <v>0.72</v>
      </c>
      <c r="K23" s="2" cm="1">
        <f t="array" ref="K23">_xlfn.LET(_xlpm.d,K$2:K$19,_xlpm.a,$C$2:$C$19=$C23,_xlpm.b,$D$2:$D$19=$D23,MAX(_xlfn._xlws.FILTER(_xlpm.d,_xlpm.a*_xlpm.b)))</f>
        <v>0.67</v>
      </c>
      <c r="L23" s="2" cm="1">
        <f t="array" ref="L23">_xlfn.LET(_xlpm.d,L$2:L$19,_xlpm.a,$C$2:$C$19=$C23,_xlpm.b,$D$2:$D$19=$D23,MAX(_xlfn._xlws.FILTER(_xlpm.d,_xlpm.a*_xlpm.b)))</f>
        <v>0.66</v>
      </c>
      <c r="M23" s="2" cm="1">
        <f t="array" ref="M23">_xlfn.LET(_xlpm.d,M$2:M$19,_xlpm.a,$C$2:$C$19=$C23,_xlpm.b,$D$2:$D$19=$D23,MAX(_xlfn._xlws.FILTER(_xlpm.d,_xlpm.a*_xlpm.b)))</f>
        <v>0.72</v>
      </c>
      <c r="N23" s="2" cm="1">
        <f t="array" ref="N23">_xlfn.LET(_xlpm.d,N$2:N$19,_xlpm.a,$C$2:$C$19=$C23,_xlpm.b,$D$2:$D$19=$D23,MAX(_xlfn._xlws.FILTER(_xlpm.d,_xlpm.a*_xlpm.b)))</f>
        <v>0.73</v>
      </c>
      <c r="O23" s="2" cm="1">
        <f t="array" ref="O23">_xlfn.LET(_xlpm.d,O$2:O$19,_xlpm.a,$C$2:$C$19=$C23,_xlpm.b,$D$2:$D$19=$D23,MAX(_xlfn._xlws.FILTER(_xlpm.d,_xlpm.a*_xlpm.b)))</f>
        <v>0.65</v>
      </c>
      <c r="P23" s="2" cm="1">
        <f t="array" ref="P23">_xlfn.LET(_xlpm.d,P$2:P$19,_xlpm.a,$C$2:$C$19=$C23,_xlpm.b,$D$2:$D$19=$D23,MAX(_xlfn._xlws.FILTER(_xlpm.d,_xlpm.a*_xlpm.b)))</f>
        <v>0.72</v>
      </c>
      <c r="Q23" s="2" cm="1">
        <f t="array" ref="Q23">_xlfn.LET(_xlpm.d,Q$2:Q$19,_xlpm.a,$C$2:$C$19=$C23,_xlpm.b,$D$2:$D$19=$D23,MAX(_xlfn._xlws.FILTER(_xlpm.d,_xlpm.a*_xlpm.b)))</f>
        <v>0.72</v>
      </c>
      <c r="R23" s="2" cm="1">
        <f t="array" ref="R23">_xlfn.LET(_xlpm.d,R$2:R$19,_xlpm.a,$C$2:$C$19=$C23,_xlpm.b,$D$2:$D$19=$D23,MAX(_xlfn._xlws.FILTER(_xlpm.d,_xlpm.a*_xlpm.b)))</f>
        <v>0.6</v>
      </c>
      <c r="S23" s="2" cm="1">
        <f t="array" ref="S23">_xlfn.LET(_xlpm.d,S$2:S$19,_xlpm.a,$C$2:$C$19=$C23,_xlpm.b,$D$2:$D$19=$D23,MAX(_xlfn._xlws.FILTER(_xlpm.d,_xlpm.a*_xlpm.b)))</f>
        <v>0.71</v>
      </c>
      <c r="T23" s="2" cm="1">
        <f t="array" ref="T23">_xlfn.LET(_xlpm.d,T$2:T$19,_xlpm.a,$C$2:$C$19=$C23,_xlpm.b,$D$2:$D$19=$D23,MAX(_xlfn._xlws.FILTER(_xlpm.d,_xlpm.a*_xlpm.b)))</f>
        <v>0.74</v>
      </c>
    </row>
    <row r="24" spans="1:20" ht="25" customHeight="1">
      <c r="B24">
        <v>1</v>
      </c>
      <c r="C24" t="s">
        <v>23</v>
      </c>
      <c r="D24" t="b">
        <v>0</v>
      </c>
      <c r="E24">
        <v>0</v>
      </c>
      <c r="F24" t="s">
        <v>17</v>
      </c>
      <c r="G24" t="str">
        <f>_xlfn.LET(_xlpm.attr,Table61888[[#This Row],[attribute]],_xlpm.spl,LEFT(Table61888[[#This Row],[supplemented]],1),_xlfn.TEXTJOIN("-",TRUE,_xlpm.attr,_xlpm.spl,"3k-mgv3"))</f>
        <v>plurality-F-3k-mgv3</v>
      </c>
      <c r="H24" s="2" cm="1">
        <f t="array" ref="H24">_xlfn.LET(_xlpm.d,H$2:H$19,_xlpm.a,$C$2:$C$19=$C24,_xlpm.b,$D$2:$D$19=$D24,MAX(_xlfn._xlws.FILTER(_xlpm.d,_xlpm.a*_xlpm.b)))</f>
        <v>0.74</v>
      </c>
      <c r="I24" s="2" cm="1">
        <f t="array" ref="I24">_xlfn.LET(_xlpm.d,I$2:I$19,_xlpm.a,$C$2:$C$19=$C24,_xlpm.b,$D$2:$D$19=$D24,MAX(_xlfn._xlws.FILTER(_xlpm.d,_xlpm.a*_xlpm.b)))</f>
        <v>0.68</v>
      </c>
      <c r="J24" s="2" cm="1">
        <f t="array" ref="J24">_xlfn.LET(_xlpm.d,J$2:J$19,_xlpm.a,$C$2:$C$19=$C24,_xlpm.b,$D$2:$D$19=$D24,MAX(_xlfn._xlws.FILTER(_xlpm.d,_xlpm.a*_xlpm.b)))</f>
        <v>0.65</v>
      </c>
      <c r="K24" s="2" cm="1">
        <f t="array" ref="K24">_xlfn.LET(_xlpm.d,K$2:K$19,_xlpm.a,$C$2:$C$19=$C24,_xlpm.b,$D$2:$D$19=$D24,MAX(_xlfn._xlws.FILTER(_xlpm.d,_xlpm.a*_xlpm.b)))</f>
        <v>0.66</v>
      </c>
      <c r="L24" s="2" cm="1">
        <f t="array" ref="L24">_xlfn.LET(_xlpm.d,L$2:L$19,_xlpm.a,$C$2:$C$19=$C24,_xlpm.b,$D$2:$D$19=$D24,MAX(_xlfn._xlws.FILTER(_xlpm.d,_xlpm.a*_xlpm.b)))</f>
        <v>0.65</v>
      </c>
      <c r="M24" s="2" cm="1">
        <f t="array" ref="M24">_xlfn.LET(_xlpm.d,M$2:M$19,_xlpm.a,$C$2:$C$19=$C24,_xlpm.b,$D$2:$D$19=$D24,MAX(_xlfn._xlws.FILTER(_xlpm.d,_xlpm.a*_xlpm.b)))</f>
        <v>0.69</v>
      </c>
      <c r="N24" s="2" cm="1">
        <f t="array" ref="N24">_xlfn.LET(_xlpm.d,N$2:N$19,_xlpm.a,$C$2:$C$19=$C24,_xlpm.b,$D$2:$D$19=$D24,MAX(_xlfn._xlws.FILTER(_xlpm.d,_xlpm.a*_xlpm.b)))</f>
        <v>0.66</v>
      </c>
      <c r="O24" s="2" cm="1">
        <f t="array" ref="O24">_xlfn.LET(_xlpm.d,O$2:O$19,_xlpm.a,$C$2:$C$19=$C24,_xlpm.b,$D$2:$D$19=$D24,MAX(_xlfn._xlws.FILTER(_xlpm.d,_xlpm.a*_xlpm.b)))</f>
        <v>0.64</v>
      </c>
      <c r="P24" s="2" cm="1">
        <f t="array" ref="P24">_xlfn.LET(_xlpm.d,P$2:P$19,_xlpm.a,$C$2:$C$19=$C24,_xlpm.b,$D$2:$D$19=$D24,MAX(_xlfn._xlws.FILTER(_xlpm.d,_xlpm.a*_xlpm.b)))</f>
        <v>0.69</v>
      </c>
      <c r="Q24" s="2" cm="1">
        <f t="array" ref="Q24">_xlfn.LET(_xlpm.d,Q$2:Q$19,_xlpm.a,$C$2:$C$19=$C24,_xlpm.b,$D$2:$D$19=$D24,MAX(_xlfn._xlws.FILTER(_xlpm.d,_xlpm.a*_xlpm.b)))</f>
        <v>0.69</v>
      </c>
      <c r="R24" s="2" cm="1">
        <f t="array" ref="R24">_xlfn.LET(_xlpm.d,R$2:R$19,_xlpm.a,$C$2:$C$19=$C24,_xlpm.b,$D$2:$D$19=$D24,MAX(_xlfn._xlws.FILTER(_xlpm.d,_xlpm.a*_xlpm.b)))</f>
        <v>0.61</v>
      </c>
      <c r="S24" s="2" cm="1">
        <f t="array" ref="S24">_xlfn.LET(_xlpm.d,S$2:S$19,_xlpm.a,$C$2:$C$19=$C24,_xlpm.b,$D$2:$D$19=$D24,MAX(_xlfn._xlws.FILTER(_xlpm.d,_xlpm.a*_xlpm.b)))</f>
        <v>0.71</v>
      </c>
      <c r="T24" s="2" cm="1">
        <f t="array" ref="T24">_xlfn.LET(_xlpm.d,T$2:T$19,_xlpm.a,$C$2:$C$19=$C24,_xlpm.b,$D$2:$D$19=$D24,MAX(_xlfn._xlws.FILTER(_xlpm.d,_xlpm.a*_xlpm.b)))</f>
        <v>0.74</v>
      </c>
    </row>
    <row r="25" spans="1:20" ht="25" customHeight="1">
      <c r="B25">
        <v>2</v>
      </c>
      <c r="C25" t="s">
        <v>22</v>
      </c>
      <c r="D25" t="b">
        <v>1</v>
      </c>
      <c r="E25">
        <v>0</v>
      </c>
      <c r="F25" t="s">
        <v>17</v>
      </c>
      <c r="G25" t="str">
        <f>_xlfn.LET(_xlpm.attr,Table61888[[#This Row],[attribute]],_xlpm.spl,LEFT(Table61888[[#This Row],[supplemented]],1),_xlfn.TEXTJOIN("-",TRUE,_xlpm.attr,_xlpm.spl,"3k-mgv3"))</f>
        <v>gender-T-3k-mgv3</v>
      </c>
      <c r="H25" s="2" cm="1">
        <f t="array" ref="H25">_xlfn.LET(_xlpm.d,H$2:H$19,_xlpm.a,$C$2:$C$19=$C25,_xlpm.b,$D$2:$D$19=$D25,MAX(_xlfn._xlws.FILTER(_xlpm.d,_xlpm.a*_xlpm.b)))</f>
        <v>0.81</v>
      </c>
      <c r="I25" s="2" cm="1">
        <f t="array" ref="I25">_xlfn.LET(_xlpm.d,I$2:I$19,_xlpm.a,$C$2:$C$19=$C25,_xlpm.b,$D$2:$D$19=$D25,MAX(_xlfn._xlws.FILTER(_xlpm.d,_xlpm.a*_xlpm.b)))</f>
        <v>0.77</v>
      </c>
      <c r="J25" s="2" cm="1">
        <f t="array" ref="J25">_xlfn.LET(_xlpm.d,J$2:J$19,_xlpm.a,$C$2:$C$19=$C25,_xlpm.b,$D$2:$D$19=$D25,MAX(_xlfn._xlws.FILTER(_xlpm.d,_xlpm.a*_xlpm.b)))</f>
        <v>0.82</v>
      </c>
      <c r="K25" s="2" cm="1">
        <f t="array" ref="K25">_xlfn.LET(_xlpm.d,K$2:K$19,_xlpm.a,$C$2:$C$19=$C25,_xlpm.b,$D$2:$D$19=$D25,MAX(_xlfn._xlws.FILTER(_xlpm.d,_xlpm.a*_xlpm.b)))</f>
        <v>0.75</v>
      </c>
      <c r="L25" s="2" cm="1">
        <f t="array" ref="L25">_xlfn.LET(_xlpm.d,L$2:L$19,_xlpm.a,$C$2:$C$19=$C25,_xlpm.b,$D$2:$D$19=$D25,MAX(_xlfn._xlws.FILTER(_xlpm.d,_xlpm.a*_xlpm.b)))</f>
        <v>0.72</v>
      </c>
      <c r="M25" s="2" cm="1">
        <f t="array" ref="M25">_xlfn.LET(_xlpm.d,M$2:M$19,_xlpm.a,$C$2:$C$19=$C25,_xlpm.b,$D$2:$D$19=$D25,MAX(_xlfn._xlws.FILTER(_xlpm.d,_xlpm.a*_xlpm.b)))</f>
        <v>0.77</v>
      </c>
      <c r="N25" s="2" cm="1">
        <f t="array" ref="N25">_xlfn.LET(_xlpm.d,N$2:N$19,_xlpm.a,$C$2:$C$19=$C25,_xlpm.b,$D$2:$D$19=$D25,MAX(_xlfn._xlws.FILTER(_xlpm.d,_xlpm.a*_xlpm.b)))</f>
        <v>0.74</v>
      </c>
      <c r="O25" s="2" cm="1">
        <f t="array" ref="O25">_xlfn.LET(_xlpm.d,O$2:O$19,_xlpm.a,$C$2:$C$19=$C25,_xlpm.b,$D$2:$D$19=$D25,MAX(_xlfn._xlws.FILTER(_xlpm.d,_xlpm.a*_xlpm.b)))</f>
        <v>0.81</v>
      </c>
      <c r="P25" s="2" cm="1">
        <f t="array" ref="P25">_xlfn.LET(_xlpm.d,P$2:P$19,_xlpm.a,$C$2:$C$19=$C25,_xlpm.b,$D$2:$D$19=$D25,MAX(_xlfn._xlws.FILTER(_xlpm.d,_xlpm.a*_xlpm.b)))</f>
        <v>0.77</v>
      </c>
      <c r="Q25" s="2" cm="1">
        <f t="array" ref="Q25">_xlfn.LET(_xlpm.d,Q$2:Q$19,_xlpm.a,$C$2:$C$19=$C25,_xlpm.b,$D$2:$D$19=$D25,MAX(_xlfn._xlws.FILTER(_xlpm.d,_xlpm.a*_xlpm.b)))</f>
        <v>0.8</v>
      </c>
      <c r="R25" s="2" cm="1">
        <f t="array" ref="R25">_xlfn.LET(_xlpm.d,R$2:R$19,_xlpm.a,$C$2:$C$19=$C25,_xlpm.b,$D$2:$D$19=$D25,MAX(_xlfn._xlws.FILTER(_xlpm.d,_xlpm.a*_xlpm.b)))</f>
        <v>0.72</v>
      </c>
      <c r="S25" s="2" cm="1">
        <f t="array" ref="S25">_xlfn.LET(_xlpm.d,S$2:S$19,_xlpm.a,$C$2:$C$19=$C25,_xlpm.b,$D$2:$D$19=$D25,MAX(_xlfn._xlws.FILTER(_xlpm.d,_xlpm.a*_xlpm.b)))</f>
        <v>0.76</v>
      </c>
      <c r="T25" s="2" cm="1">
        <f t="array" ref="T25">_xlfn.LET(_xlpm.d,T$2:T$19,_xlpm.a,$C$2:$C$19=$C25,_xlpm.b,$D$2:$D$19=$D25,MAX(_xlfn._xlws.FILTER(_xlpm.d,_xlpm.a*_xlpm.b)))</f>
        <v>0.82</v>
      </c>
    </row>
    <row r="26" spans="1:20" ht="25" customHeight="1">
      <c r="B26">
        <v>2</v>
      </c>
      <c r="C26" t="s">
        <v>22</v>
      </c>
      <c r="D26" t="b">
        <v>0</v>
      </c>
      <c r="E26">
        <v>0</v>
      </c>
      <c r="F26" t="s">
        <v>17</v>
      </c>
      <c r="G26" t="str">
        <f>_xlfn.LET(_xlpm.attr,Table61888[[#This Row],[attribute]],_xlpm.spl,LEFT(Table61888[[#This Row],[supplemented]],1),_xlfn.TEXTJOIN("-",TRUE,_xlpm.attr,_xlpm.spl,"3k-mgv3"))</f>
        <v>gender-F-3k-mgv3</v>
      </c>
      <c r="H26" s="2" cm="1">
        <f t="array" ref="H26">_xlfn.LET(_xlpm.d,H$2:H$19,_xlpm.a,$C$2:$C$19=$C26,_xlpm.b,$D$2:$D$19=$D26,MAX(_xlfn._xlws.FILTER(_xlpm.d,_xlpm.a*_xlpm.b)))</f>
        <v>0.71</v>
      </c>
      <c r="I26" s="2" cm="1">
        <f t="array" ref="I26">_xlfn.LET(_xlpm.d,I$2:I$19,_xlpm.a,$C$2:$C$19=$C26,_xlpm.b,$D$2:$D$19=$D26,MAX(_xlfn._xlws.FILTER(_xlpm.d,_xlpm.a*_xlpm.b)))</f>
        <v>0.74</v>
      </c>
      <c r="J26" s="2" cm="1">
        <f t="array" ref="J26">_xlfn.LET(_xlpm.d,J$2:J$19,_xlpm.a,$C$2:$C$19=$C26,_xlpm.b,$D$2:$D$19=$D26,MAX(_xlfn._xlws.FILTER(_xlpm.d,_xlpm.a*_xlpm.b)))</f>
        <v>0.76</v>
      </c>
      <c r="K26" s="2" cm="1">
        <f t="array" ref="K26">_xlfn.LET(_xlpm.d,K$2:K$19,_xlpm.a,$C$2:$C$19=$C26,_xlpm.b,$D$2:$D$19=$D26,MAX(_xlfn._xlws.FILTER(_xlpm.d,_xlpm.a*_xlpm.b)))</f>
        <v>0.74</v>
      </c>
      <c r="L26" s="2" cm="1">
        <f t="array" ref="L26">_xlfn.LET(_xlpm.d,L$2:L$19,_xlpm.a,$C$2:$C$19=$C26,_xlpm.b,$D$2:$D$19=$D26,MAX(_xlfn._xlws.FILTER(_xlpm.d,_xlpm.a*_xlpm.b)))</f>
        <v>0.75</v>
      </c>
      <c r="M26" s="2" cm="1">
        <f t="array" ref="M26">_xlfn.LET(_xlpm.d,M$2:M$19,_xlpm.a,$C$2:$C$19=$C26,_xlpm.b,$D$2:$D$19=$D26,MAX(_xlfn._xlws.FILTER(_xlpm.d,_xlpm.a*_xlpm.b)))</f>
        <v>0.73</v>
      </c>
      <c r="N26" s="2" cm="1">
        <f t="array" ref="N26">_xlfn.LET(_xlpm.d,N$2:N$19,_xlpm.a,$C$2:$C$19=$C26,_xlpm.b,$D$2:$D$19=$D26,MAX(_xlfn._xlws.FILTER(_xlpm.d,_xlpm.a*_xlpm.b)))</f>
        <v>0.69</v>
      </c>
      <c r="O26" s="2" cm="1">
        <f t="array" ref="O26">_xlfn.LET(_xlpm.d,O$2:O$19,_xlpm.a,$C$2:$C$19=$C26,_xlpm.b,$D$2:$D$19=$D26,MAX(_xlfn._xlws.FILTER(_xlpm.d,_xlpm.a*_xlpm.b)))</f>
        <v>0.75</v>
      </c>
      <c r="P26" s="2" cm="1">
        <f t="array" ref="P26">_xlfn.LET(_xlpm.d,P$2:P$19,_xlpm.a,$C$2:$C$19=$C26,_xlpm.b,$D$2:$D$19=$D26,MAX(_xlfn._xlws.FILTER(_xlpm.d,_xlpm.a*_xlpm.b)))</f>
        <v>0.77</v>
      </c>
      <c r="Q26" s="2" cm="1">
        <f t="array" ref="Q26">_xlfn.LET(_xlpm.d,Q$2:Q$19,_xlpm.a,$C$2:$C$19=$C26,_xlpm.b,$D$2:$D$19=$D26,MAX(_xlfn._xlws.FILTER(_xlpm.d,_xlpm.a*_xlpm.b)))</f>
        <v>0.75</v>
      </c>
      <c r="R26" s="2" cm="1">
        <f t="array" ref="R26">_xlfn.LET(_xlpm.d,R$2:R$19,_xlpm.a,$C$2:$C$19=$C26,_xlpm.b,$D$2:$D$19=$D26,MAX(_xlfn._xlws.FILTER(_xlpm.d,_xlpm.a*_xlpm.b)))</f>
        <v>0.75</v>
      </c>
      <c r="S26" s="2" cm="1">
        <f t="array" ref="S26">_xlfn.LET(_xlpm.d,S$2:S$19,_xlpm.a,$C$2:$C$19=$C26,_xlpm.b,$D$2:$D$19=$D26,MAX(_xlfn._xlws.FILTER(_xlpm.d,_xlpm.a*_xlpm.b)))</f>
        <v>0.76</v>
      </c>
      <c r="T26" s="2" cm="1">
        <f t="array" ref="T26">_xlfn.LET(_xlpm.d,T$2:T$19,_xlpm.a,$C$2:$C$19=$C26,_xlpm.b,$D$2:$D$19=$D26,MAX(_xlfn._xlws.FILTER(_xlpm.d,_xlpm.a*_xlpm.b)))</f>
        <v>0.77</v>
      </c>
    </row>
    <row r="27" spans="1:20" ht="25" customHeight="1">
      <c r="B27">
        <v>3</v>
      </c>
      <c r="C27" t="s">
        <v>18</v>
      </c>
      <c r="D27" t="b">
        <v>1</v>
      </c>
      <c r="E27">
        <v>0</v>
      </c>
      <c r="F27" t="s">
        <v>17</v>
      </c>
      <c r="G27" t="str">
        <f>_xlfn.LET(_xlpm.attr,Table61888[[#This Row],[attribute]],_xlpm.spl,LEFT(Table61888[[#This Row],[supplemented]],1),_xlfn.TEXTJOIN("-",TRUE,_xlpm.attr,_xlpm.spl,"3k-mgv3"))</f>
        <v>case-T-3k-mgv3</v>
      </c>
      <c r="H27" s="2" cm="1">
        <f t="array" ref="H27">_xlfn.LET(_xlpm.d,H$2:H$19,_xlpm.a,$C$2:$C$19=$C27,_xlpm.b,$D$2:$D$19=$D27,MAX(_xlfn._xlws.FILTER(_xlpm.d,_xlpm.a*_xlpm.b)))</f>
        <v>0.98</v>
      </c>
      <c r="I27" s="2" cm="1">
        <f t="array" ref="I27">_xlfn.LET(_xlpm.d,I$2:I$19,_xlpm.a,$C$2:$C$19=$C27,_xlpm.b,$D$2:$D$19=$D27,MAX(_xlfn._xlws.FILTER(_xlpm.d,_xlpm.a*_xlpm.b)))</f>
        <v>0.99</v>
      </c>
      <c r="J27" s="2" cm="1">
        <f t="array" ref="J27">_xlfn.LET(_xlpm.d,J$2:J$19,_xlpm.a,$C$2:$C$19=$C27,_xlpm.b,$D$2:$D$19=$D27,MAX(_xlfn._xlws.FILTER(_xlpm.d,_xlpm.a*_xlpm.b)))</f>
        <v>0.98</v>
      </c>
      <c r="K27" s="2" cm="1">
        <f t="array" ref="K27">_xlfn.LET(_xlpm.d,K$2:K$19,_xlpm.a,$C$2:$C$19=$C27,_xlpm.b,$D$2:$D$19=$D27,MAX(_xlfn._xlws.FILTER(_xlpm.d,_xlpm.a*_xlpm.b)))</f>
        <v>0.98</v>
      </c>
      <c r="L27" s="2" cm="1">
        <f t="array" ref="L27">_xlfn.LET(_xlpm.d,L$2:L$19,_xlpm.a,$C$2:$C$19=$C27,_xlpm.b,$D$2:$D$19=$D27,MAX(_xlfn._xlws.FILTER(_xlpm.d,_xlpm.a*_xlpm.b)))</f>
        <v>0.96</v>
      </c>
      <c r="M27" s="2" cm="1">
        <f t="array" ref="M27">_xlfn.LET(_xlpm.d,M$2:M$19,_xlpm.a,$C$2:$C$19=$C27,_xlpm.b,$D$2:$D$19=$D27,MAX(_xlfn._xlws.FILTER(_xlpm.d,_xlpm.a*_xlpm.b)))</f>
        <v>0.98</v>
      </c>
      <c r="N27" s="2" cm="1">
        <f t="array" ref="N27">_xlfn.LET(_xlpm.d,N$2:N$19,_xlpm.a,$C$2:$C$19=$C27,_xlpm.b,$D$2:$D$19=$D27,MAX(_xlfn._xlws.FILTER(_xlpm.d,_xlpm.a*_xlpm.b)))</f>
        <v>0.99</v>
      </c>
      <c r="O27" s="2" cm="1">
        <f t="array" ref="O27">_xlfn.LET(_xlpm.d,O$2:O$19,_xlpm.a,$C$2:$C$19=$C27,_xlpm.b,$D$2:$D$19=$D27,MAX(_xlfn._xlws.FILTER(_xlpm.d,_xlpm.a*_xlpm.b)))</f>
        <v>0.96</v>
      </c>
      <c r="P27" s="2" cm="1">
        <f t="array" ref="P27">_xlfn.LET(_xlpm.d,P$2:P$19,_xlpm.a,$C$2:$C$19=$C27,_xlpm.b,$D$2:$D$19=$D27,MAX(_xlfn._xlws.FILTER(_xlpm.d,_xlpm.a*_xlpm.b)))</f>
        <v>0.97</v>
      </c>
      <c r="Q27" s="2" cm="1">
        <f t="array" ref="Q27">_xlfn.LET(_xlpm.d,Q$2:Q$19,_xlpm.a,$C$2:$C$19=$C27,_xlpm.b,$D$2:$D$19=$D27,MAX(_xlfn._xlws.FILTER(_xlpm.d,_xlpm.a*_xlpm.b)))</f>
        <v>0.96</v>
      </c>
      <c r="R27" s="2" cm="1">
        <f t="array" ref="R27">_xlfn.LET(_xlpm.d,R$2:R$19,_xlpm.a,$C$2:$C$19=$C27,_xlpm.b,$D$2:$D$19=$D27,MAX(_xlfn._xlws.FILTER(_xlpm.d,_xlpm.a*_xlpm.b)))</f>
        <v>0.97</v>
      </c>
      <c r="S27" s="2" cm="1">
        <f t="array" ref="S27">_xlfn.LET(_xlpm.d,S$2:S$19,_xlpm.a,$C$2:$C$19=$C27,_xlpm.b,$D$2:$D$19=$D27,MAX(_xlfn._xlws.FILTER(_xlpm.d,_xlpm.a*_xlpm.b)))</f>
        <v>0.97</v>
      </c>
      <c r="T27" s="2" cm="1">
        <f t="array" ref="T27">_xlfn.LET(_xlpm.d,T$2:T$19,_xlpm.a,$C$2:$C$19=$C27,_xlpm.b,$D$2:$D$19=$D27,MAX(_xlfn._xlws.FILTER(_xlpm.d,_xlpm.a*_xlpm.b)))</f>
        <v>0.99</v>
      </c>
    </row>
    <row r="28" spans="1:20" ht="25" customHeight="1">
      <c r="B28">
        <v>3</v>
      </c>
      <c r="C28" t="s">
        <v>18</v>
      </c>
      <c r="D28" t="b">
        <v>0</v>
      </c>
      <c r="E28">
        <v>0</v>
      </c>
      <c r="F28" t="s">
        <v>17</v>
      </c>
      <c r="G28" t="str">
        <f>_xlfn.LET(_xlpm.attr,Table61888[[#This Row],[attribute]],_xlpm.spl,LEFT(Table61888[[#This Row],[supplemented]],1),_xlfn.TEXTJOIN("-",TRUE,_xlpm.attr,_xlpm.spl,"3k-mgv3"))</f>
        <v>case-F-3k-mgv3</v>
      </c>
      <c r="H28" s="2" cm="1">
        <f t="array" ref="H28">_xlfn.LET(_xlpm.d,H$2:H$19,_xlpm.a,$C$2:$C$19=$C28,_xlpm.b,$D$2:$D$19=$D28,MAX(_xlfn._xlws.FILTER(_xlpm.d,_xlpm.a*_xlpm.b)))</f>
        <v>0.96</v>
      </c>
      <c r="I28" s="2" cm="1">
        <f t="array" ref="I28">_xlfn.LET(_xlpm.d,I$2:I$19,_xlpm.a,$C$2:$C$19=$C28,_xlpm.b,$D$2:$D$19=$D28,MAX(_xlfn._xlws.FILTER(_xlpm.d,_xlpm.a*_xlpm.b)))</f>
        <v>0.99</v>
      </c>
      <c r="J28" s="2" cm="1">
        <f t="array" ref="J28">_xlfn.LET(_xlpm.d,J$2:J$19,_xlpm.a,$C$2:$C$19=$C28,_xlpm.b,$D$2:$D$19=$D28,MAX(_xlfn._xlws.FILTER(_xlpm.d,_xlpm.a*_xlpm.b)))</f>
        <v>0.98</v>
      </c>
      <c r="K28" s="2" cm="1">
        <f t="array" ref="K28">_xlfn.LET(_xlpm.d,K$2:K$19,_xlpm.a,$C$2:$C$19=$C28,_xlpm.b,$D$2:$D$19=$D28,MAX(_xlfn._xlws.FILTER(_xlpm.d,_xlpm.a*_xlpm.b)))</f>
        <v>0.98</v>
      </c>
      <c r="L28" s="2" cm="1">
        <f t="array" ref="L28">_xlfn.LET(_xlpm.d,L$2:L$19,_xlpm.a,$C$2:$C$19=$C28,_xlpm.b,$D$2:$D$19=$D28,MAX(_xlfn._xlws.FILTER(_xlpm.d,_xlpm.a*_xlpm.b)))</f>
        <v>0.96</v>
      </c>
      <c r="M28" s="2" cm="1">
        <f t="array" ref="M28">_xlfn.LET(_xlpm.d,M$2:M$19,_xlpm.a,$C$2:$C$19=$C28,_xlpm.b,$D$2:$D$19=$D28,MAX(_xlfn._xlws.FILTER(_xlpm.d,_xlpm.a*_xlpm.b)))</f>
        <v>0.98</v>
      </c>
      <c r="N28" s="2" cm="1">
        <f t="array" ref="N28">_xlfn.LET(_xlpm.d,N$2:N$19,_xlpm.a,$C$2:$C$19=$C28,_xlpm.b,$D$2:$D$19=$D28,MAX(_xlfn._xlws.FILTER(_xlpm.d,_xlpm.a*_xlpm.b)))</f>
        <v>0.99</v>
      </c>
      <c r="O28" s="2" cm="1">
        <f t="array" ref="O28">_xlfn.LET(_xlpm.d,O$2:O$19,_xlpm.a,$C$2:$C$19=$C28,_xlpm.b,$D$2:$D$19=$D28,MAX(_xlfn._xlws.FILTER(_xlpm.d,_xlpm.a*_xlpm.b)))</f>
        <v>0.96</v>
      </c>
      <c r="P28" s="2" cm="1">
        <f t="array" ref="P28">_xlfn.LET(_xlpm.d,P$2:P$19,_xlpm.a,$C$2:$C$19=$C28,_xlpm.b,$D$2:$D$19=$D28,MAX(_xlfn._xlws.FILTER(_xlpm.d,_xlpm.a*_xlpm.b)))</f>
        <v>0.97</v>
      </c>
      <c r="Q28" s="2" cm="1">
        <f t="array" ref="Q28">_xlfn.LET(_xlpm.d,Q$2:Q$19,_xlpm.a,$C$2:$C$19=$C28,_xlpm.b,$D$2:$D$19=$D28,MAX(_xlfn._xlws.FILTER(_xlpm.d,_xlpm.a*_xlpm.b)))</f>
        <v>0.96</v>
      </c>
      <c r="R28" s="2" cm="1">
        <f t="array" ref="R28">_xlfn.LET(_xlpm.d,R$2:R$19,_xlpm.a,$C$2:$C$19=$C28,_xlpm.b,$D$2:$D$19=$D28,MAX(_xlfn._xlws.FILTER(_xlpm.d,_xlpm.a*_xlpm.b)))</f>
        <v>0.97</v>
      </c>
      <c r="S28" s="2" cm="1">
        <f t="array" ref="S28">_xlfn.LET(_xlpm.d,S$2:S$19,_xlpm.a,$C$2:$C$19=$C28,_xlpm.b,$D$2:$D$19=$D28,MAX(_xlfn._xlws.FILTER(_xlpm.d,_xlpm.a*_xlpm.b)))</f>
        <v>0.97</v>
      </c>
      <c r="T28" s="2" cm="1">
        <f t="array" ref="T28">_xlfn.LET(_xlpm.d,T$2:T$19,_xlpm.a,$C$2:$C$19=$C28,_xlpm.b,$D$2:$D$19=$D28,MAX(_xlfn._xlws.FILTER(_xlpm.d,_xlpm.a*_xlpm.b)))</f>
        <v>0.99</v>
      </c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1104-B8F3-424A-9FD0-476108E0AEFF}">
  <dimension ref="A1:T28"/>
  <sheetViews>
    <sheetView workbookViewId="0"/>
  </sheetViews>
  <sheetFormatPr baseColWidth="10" defaultRowHeight="25" customHeight="1"/>
  <cols>
    <col min="2" max="2" width="7.75" customWidth="1"/>
    <col min="3" max="3" width="9.5" customWidth="1"/>
    <col min="4" max="6" width="7.75" customWidth="1"/>
    <col min="7" max="7" width="9.5" customWidth="1"/>
    <col min="8" max="19" width="8.125" customWidth="1"/>
  </cols>
  <sheetData>
    <row r="1" spans="1:20" ht="25" customHeight="1">
      <c r="A1" t="s">
        <v>0</v>
      </c>
      <c r="B1" t="s">
        <v>1</v>
      </c>
      <c r="C1" t="s">
        <v>2</v>
      </c>
      <c r="D1" t="s">
        <v>29</v>
      </c>
      <c r="E1" t="s">
        <v>3</v>
      </c>
      <c r="F1" t="s">
        <v>4</v>
      </c>
      <c r="G1" t="s">
        <v>30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ht="25" customHeight="1">
      <c r="A2" t="s">
        <v>24</v>
      </c>
      <c r="B2">
        <v>1</v>
      </c>
      <c r="C2" t="s">
        <v>23</v>
      </c>
      <c r="D2" t="b">
        <v>0</v>
      </c>
      <c r="E2">
        <v>1</v>
      </c>
      <c r="F2" t="s">
        <v>19</v>
      </c>
      <c r="G2" t="str">
        <f>_xlfn.LET(_xlpm.attr,Table1[[#This Row],[attribute]],_xlpm.spl,LEFT(Table1[[#This Row],[supplemented]],1),_xlfn.TEXTJOIN("-",TRUE,_xlpm.attr,_xlpm.spl,"3k-mgv3"))</f>
        <v>plurality-F-3k-mgv3</v>
      </c>
      <c r="H2" s="1">
        <v>0.6</v>
      </c>
      <c r="I2" s="1">
        <v>0.66</v>
      </c>
      <c r="J2" s="1">
        <v>0.63</v>
      </c>
      <c r="K2" s="1">
        <v>0.68</v>
      </c>
      <c r="L2" s="1">
        <v>0.68</v>
      </c>
      <c r="M2" s="1">
        <v>0.63</v>
      </c>
      <c r="N2" s="1">
        <v>0.69</v>
      </c>
      <c r="O2" s="1">
        <v>0.64</v>
      </c>
      <c r="P2" s="1">
        <v>0.61</v>
      </c>
      <c r="Q2" s="1">
        <v>0.61</v>
      </c>
      <c r="R2" s="1">
        <v>0.66</v>
      </c>
      <c r="S2" s="1">
        <v>0.63</v>
      </c>
      <c r="T2" s="1">
        <f t="shared" ref="T2:T19" si="0">MAX($H2:$S2)</f>
        <v>0.69</v>
      </c>
    </row>
    <row r="3" spans="1:20" ht="25" customHeight="1">
      <c r="A3" t="s">
        <v>24</v>
      </c>
      <c r="B3">
        <v>1</v>
      </c>
      <c r="C3" t="s">
        <v>23</v>
      </c>
      <c r="D3" t="b">
        <v>0</v>
      </c>
      <c r="E3">
        <v>2</v>
      </c>
      <c r="F3" t="s">
        <v>20</v>
      </c>
      <c r="G3" t="str">
        <f>_xlfn.LET(_xlpm.attr,Table1[[#This Row],[attribute]],_xlpm.spl,LEFT(Table1[[#This Row],[supplemented]],1),_xlfn.TEXTJOIN("-",TRUE,_xlpm.attr,_xlpm.spl,"3k-mgv3"))</f>
        <v>plurality-F-3k-mgv3</v>
      </c>
      <c r="H3" s="1">
        <v>0.63</v>
      </c>
      <c r="I3" s="1">
        <v>0.69</v>
      </c>
      <c r="J3" s="1">
        <v>0.65</v>
      </c>
      <c r="K3" s="1">
        <v>0.73</v>
      </c>
      <c r="L3" s="1">
        <v>0.71</v>
      </c>
      <c r="M3" s="1">
        <v>0.66</v>
      </c>
      <c r="N3" s="1">
        <v>0.69</v>
      </c>
      <c r="O3" s="1">
        <v>0.66</v>
      </c>
      <c r="P3" s="1">
        <v>0.63</v>
      </c>
      <c r="Q3" s="1">
        <v>0.67</v>
      </c>
      <c r="R3" s="1">
        <v>0.68</v>
      </c>
      <c r="S3" s="1">
        <v>0.66</v>
      </c>
      <c r="T3" s="1">
        <f t="shared" si="0"/>
        <v>0.73</v>
      </c>
    </row>
    <row r="4" spans="1:20" ht="25" customHeight="1">
      <c r="A4" t="s">
        <v>24</v>
      </c>
      <c r="B4">
        <v>1</v>
      </c>
      <c r="C4" t="s">
        <v>23</v>
      </c>
      <c r="D4" t="b">
        <v>0</v>
      </c>
      <c r="E4">
        <v>3</v>
      </c>
      <c r="F4" t="s">
        <v>21</v>
      </c>
      <c r="G4" t="str">
        <f>_xlfn.LET(_xlpm.attr,Table1[[#This Row],[attribute]],_xlpm.spl,LEFT(Table1[[#This Row],[supplemented]],1),_xlfn.TEXTJOIN("-",TRUE,_xlpm.attr,_xlpm.spl,"3k-mgv3"))</f>
        <v>plurality-F-3k-mgv3</v>
      </c>
      <c r="H4" s="1">
        <v>0.57999999999999996</v>
      </c>
      <c r="I4" s="1">
        <v>0.56000000000000005</v>
      </c>
      <c r="J4" s="1">
        <v>0.62</v>
      </c>
      <c r="K4" s="1">
        <v>0.62</v>
      </c>
      <c r="L4" s="1">
        <v>0.67</v>
      </c>
      <c r="M4" s="1">
        <v>0.64</v>
      </c>
      <c r="N4" s="1">
        <v>0.6</v>
      </c>
      <c r="O4" s="1">
        <v>0.48</v>
      </c>
      <c r="P4" s="1">
        <v>0.5</v>
      </c>
      <c r="Q4" s="1">
        <v>0.56999999999999995</v>
      </c>
      <c r="R4" s="1">
        <v>0.67</v>
      </c>
      <c r="S4" s="1">
        <v>0.64</v>
      </c>
      <c r="T4" s="1">
        <f t="shared" si="0"/>
        <v>0.67</v>
      </c>
    </row>
    <row r="5" spans="1:20" ht="25" customHeight="1">
      <c r="A5" t="s">
        <v>24</v>
      </c>
      <c r="B5">
        <v>1</v>
      </c>
      <c r="C5" t="s">
        <v>23</v>
      </c>
      <c r="D5" t="b">
        <v>1</v>
      </c>
      <c r="E5">
        <v>1</v>
      </c>
      <c r="F5" t="s">
        <v>19</v>
      </c>
      <c r="G5" t="str">
        <f>_xlfn.LET(_xlpm.attr,Table1[[#This Row],[attribute]],_xlpm.spl,LEFT(Table1[[#This Row],[supplemented]],1),_xlfn.TEXTJOIN("-",TRUE,_xlpm.attr,_xlpm.spl,"3k-mgv3"))</f>
        <v>plurality-T-3k-mgv3</v>
      </c>
      <c r="H5" s="1">
        <v>0.71</v>
      </c>
      <c r="I5" s="1">
        <v>0.66</v>
      </c>
      <c r="J5" s="1">
        <v>0.73</v>
      </c>
      <c r="K5" s="1">
        <v>0.66</v>
      </c>
      <c r="L5" s="1">
        <v>0.68</v>
      </c>
      <c r="M5" s="1">
        <v>0.63</v>
      </c>
      <c r="N5" s="1">
        <v>0.68</v>
      </c>
      <c r="O5" s="1">
        <v>0.66</v>
      </c>
      <c r="P5" s="1">
        <v>0.68</v>
      </c>
      <c r="Q5" s="1">
        <v>0.64</v>
      </c>
      <c r="R5" s="1">
        <v>0.63</v>
      </c>
      <c r="S5" s="1">
        <v>0.65</v>
      </c>
      <c r="T5" s="1">
        <f t="shared" si="0"/>
        <v>0.73</v>
      </c>
    </row>
    <row r="6" spans="1:20" ht="25" customHeight="1">
      <c r="A6" t="s">
        <v>24</v>
      </c>
      <c r="B6">
        <v>1</v>
      </c>
      <c r="C6" t="s">
        <v>23</v>
      </c>
      <c r="D6" t="b">
        <v>1</v>
      </c>
      <c r="E6">
        <v>2</v>
      </c>
      <c r="F6" t="s">
        <v>20</v>
      </c>
      <c r="G6" t="str">
        <f>_xlfn.LET(_xlpm.attr,Table1[[#This Row],[attribute]],_xlpm.spl,LEFT(Table1[[#This Row],[supplemented]],1),_xlfn.TEXTJOIN("-",TRUE,_xlpm.attr,_xlpm.spl,"3k-mgv3"))</f>
        <v>plurality-T-3k-mgv3</v>
      </c>
      <c r="H6" s="1">
        <v>0.63</v>
      </c>
      <c r="I6" s="1">
        <v>0.71</v>
      </c>
      <c r="J6" s="1">
        <v>0.68</v>
      </c>
      <c r="K6" s="1">
        <v>0.76</v>
      </c>
      <c r="L6" s="1">
        <v>0.73</v>
      </c>
      <c r="M6" s="1">
        <v>0.65</v>
      </c>
      <c r="N6" s="1">
        <v>0.72</v>
      </c>
      <c r="O6" s="1">
        <v>0.66</v>
      </c>
      <c r="P6" s="1">
        <v>0.63</v>
      </c>
      <c r="Q6" s="1">
        <v>0.7</v>
      </c>
      <c r="R6" s="1">
        <v>0.71</v>
      </c>
      <c r="S6" s="1">
        <v>0.68</v>
      </c>
      <c r="T6" s="1">
        <f t="shared" si="0"/>
        <v>0.76</v>
      </c>
    </row>
    <row r="7" spans="1:20" ht="25" customHeight="1">
      <c r="A7" t="s">
        <v>24</v>
      </c>
      <c r="B7">
        <v>1</v>
      </c>
      <c r="C7" t="s">
        <v>23</v>
      </c>
      <c r="D7" t="b">
        <v>1</v>
      </c>
      <c r="E7">
        <v>3</v>
      </c>
      <c r="F7" t="s">
        <v>21</v>
      </c>
      <c r="G7" t="str">
        <f>_xlfn.LET(_xlpm.attr,Table1[[#This Row],[attribute]],_xlpm.spl,LEFT(Table1[[#This Row],[supplemented]],1),_xlfn.TEXTJOIN("-",TRUE,_xlpm.attr,_xlpm.spl,"3k-mgv3"))</f>
        <v>plurality-T-3k-mgv3</v>
      </c>
      <c r="H7" s="1">
        <v>0.61</v>
      </c>
      <c r="I7" s="1">
        <v>0.63</v>
      </c>
      <c r="J7" s="1">
        <v>0.62</v>
      </c>
      <c r="K7" s="1">
        <v>0.63</v>
      </c>
      <c r="L7" s="1">
        <v>0.7</v>
      </c>
      <c r="M7" s="1">
        <v>0.63</v>
      </c>
      <c r="N7" s="1">
        <v>0.66</v>
      </c>
      <c r="O7" s="1">
        <v>0.57999999999999996</v>
      </c>
      <c r="P7" s="1">
        <v>0.61</v>
      </c>
      <c r="Q7" s="1">
        <v>0.57999999999999996</v>
      </c>
      <c r="R7" s="1">
        <v>0.64</v>
      </c>
      <c r="S7" s="1">
        <v>0.63</v>
      </c>
      <c r="T7" s="1">
        <f t="shared" si="0"/>
        <v>0.7</v>
      </c>
    </row>
    <row r="8" spans="1:20" ht="25" customHeight="1">
      <c r="A8" t="s">
        <v>24</v>
      </c>
      <c r="B8">
        <v>2</v>
      </c>
      <c r="C8" t="s">
        <v>22</v>
      </c>
      <c r="D8" t="b">
        <v>0</v>
      </c>
      <c r="E8">
        <v>1</v>
      </c>
      <c r="F8" t="s">
        <v>19</v>
      </c>
      <c r="G8" t="str">
        <f>_xlfn.LET(_xlpm.attr,Table1[[#This Row],[attribute]],_xlpm.spl,LEFT(Table1[[#This Row],[supplemented]],1),_xlfn.TEXTJOIN("-",TRUE,_xlpm.attr,_xlpm.spl,"3k-mgv3"))</f>
        <v>gender-F-3k-mgv3</v>
      </c>
      <c r="H8" s="1">
        <v>0.65</v>
      </c>
      <c r="I8" s="1">
        <v>0.7</v>
      </c>
      <c r="J8" s="1">
        <v>0.75</v>
      </c>
      <c r="K8" s="1">
        <v>0.66</v>
      </c>
      <c r="L8" s="1">
        <v>0.65</v>
      </c>
      <c r="M8" s="1">
        <v>0.68</v>
      </c>
      <c r="N8" s="1">
        <v>0.67</v>
      </c>
      <c r="O8" s="1">
        <v>0.75</v>
      </c>
      <c r="P8" s="1">
        <v>0.72</v>
      </c>
      <c r="Q8" s="1">
        <v>0.77</v>
      </c>
      <c r="R8" s="1">
        <v>0.62</v>
      </c>
      <c r="S8" s="1">
        <v>0.79</v>
      </c>
      <c r="T8" s="1">
        <f t="shared" si="0"/>
        <v>0.79</v>
      </c>
    </row>
    <row r="9" spans="1:20" ht="25" customHeight="1">
      <c r="A9" t="s">
        <v>24</v>
      </c>
      <c r="B9">
        <v>2</v>
      </c>
      <c r="C9" t="s">
        <v>22</v>
      </c>
      <c r="D9" t="b">
        <v>0</v>
      </c>
      <c r="E9">
        <v>2</v>
      </c>
      <c r="F9" t="s">
        <v>20</v>
      </c>
      <c r="G9" t="str">
        <f>_xlfn.LET(_xlpm.attr,Table1[[#This Row],[attribute]],_xlpm.spl,LEFT(Table1[[#This Row],[supplemented]],1),_xlfn.TEXTJOIN("-",TRUE,_xlpm.attr,_xlpm.spl,"3k-mgv3"))</f>
        <v>gender-F-3k-mgv3</v>
      </c>
      <c r="H9" s="1">
        <v>0.7</v>
      </c>
      <c r="I9" s="1">
        <v>0.76</v>
      </c>
      <c r="J9" s="1">
        <v>0.81</v>
      </c>
      <c r="K9" s="1">
        <v>0.77</v>
      </c>
      <c r="L9" s="1">
        <v>0.65</v>
      </c>
      <c r="M9" s="1">
        <v>0.75</v>
      </c>
      <c r="N9" s="1">
        <v>0.73</v>
      </c>
      <c r="O9" s="1">
        <v>0.78</v>
      </c>
      <c r="P9" s="1">
        <v>0.74</v>
      </c>
      <c r="Q9" s="1">
        <v>0.8</v>
      </c>
      <c r="R9" s="1">
        <v>0.68</v>
      </c>
      <c r="S9" s="1">
        <v>0.77</v>
      </c>
      <c r="T9" s="1">
        <f t="shared" si="0"/>
        <v>0.81</v>
      </c>
    </row>
    <row r="10" spans="1:20" ht="25" customHeight="1">
      <c r="A10" t="s">
        <v>24</v>
      </c>
      <c r="B10">
        <v>2</v>
      </c>
      <c r="C10" t="s">
        <v>22</v>
      </c>
      <c r="D10" t="b">
        <v>0</v>
      </c>
      <c r="E10">
        <v>3</v>
      </c>
      <c r="F10" t="s">
        <v>21</v>
      </c>
      <c r="G10" t="str">
        <f>_xlfn.LET(_xlpm.attr,Table1[[#This Row],[attribute]],_xlpm.spl,LEFT(Table1[[#This Row],[supplemented]],1),_xlfn.TEXTJOIN("-",TRUE,_xlpm.attr,_xlpm.spl,"3k-mgv3"))</f>
        <v>gender-F-3k-mgv3</v>
      </c>
      <c r="H10" s="1">
        <v>0.73</v>
      </c>
      <c r="I10" s="1">
        <v>0.72</v>
      </c>
      <c r="J10" s="1">
        <v>0.73</v>
      </c>
      <c r="K10" s="1">
        <v>0.7</v>
      </c>
      <c r="L10" s="1">
        <v>0.75</v>
      </c>
      <c r="M10" s="1">
        <v>0.77</v>
      </c>
      <c r="N10" s="1">
        <v>0.66</v>
      </c>
      <c r="O10" s="1">
        <v>0.68</v>
      </c>
      <c r="P10" s="1">
        <v>0.74</v>
      </c>
      <c r="Q10" s="1">
        <v>0.75</v>
      </c>
      <c r="R10" s="1">
        <v>0.67</v>
      </c>
      <c r="S10" s="1">
        <v>0.74</v>
      </c>
      <c r="T10" s="1">
        <f t="shared" si="0"/>
        <v>0.77</v>
      </c>
    </row>
    <row r="11" spans="1:20" ht="25" customHeight="1">
      <c r="A11" t="s">
        <v>24</v>
      </c>
      <c r="B11">
        <v>2</v>
      </c>
      <c r="C11" t="s">
        <v>22</v>
      </c>
      <c r="D11" t="b">
        <v>1</v>
      </c>
      <c r="E11">
        <v>1</v>
      </c>
      <c r="F11" t="s">
        <v>19</v>
      </c>
      <c r="G11" t="str">
        <f>_xlfn.LET(_xlpm.attr,Table1[[#This Row],[attribute]],_xlpm.spl,LEFT(Table1[[#This Row],[supplemented]],1),_xlfn.TEXTJOIN("-",TRUE,_xlpm.attr,_xlpm.spl,"3k-mgv3"))</f>
        <v>gender-T-3k-mgv3</v>
      </c>
      <c r="H11" s="1">
        <v>0.73</v>
      </c>
      <c r="I11" s="1">
        <v>0.8</v>
      </c>
      <c r="J11" s="1">
        <v>0.73</v>
      </c>
      <c r="K11" s="1">
        <v>0.72</v>
      </c>
      <c r="L11" s="1">
        <v>0.62</v>
      </c>
      <c r="M11" s="1">
        <v>0.66</v>
      </c>
      <c r="N11" s="1">
        <v>0.69</v>
      </c>
      <c r="O11" s="1">
        <v>0.69</v>
      </c>
      <c r="P11" s="1">
        <v>0.77</v>
      </c>
      <c r="Q11" s="1">
        <v>0.7</v>
      </c>
      <c r="R11" s="1">
        <v>0.65</v>
      </c>
      <c r="S11" s="1">
        <v>0.74</v>
      </c>
      <c r="T11" s="1">
        <f t="shared" si="0"/>
        <v>0.8</v>
      </c>
    </row>
    <row r="12" spans="1:20" ht="25" customHeight="1">
      <c r="A12" t="s">
        <v>24</v>
      </c>
      <c r="B12">
        <v>2</v>
      </c>
      <c r="C12" t="s">
        <v>22</v>
      </c>
      <c r="D12" t="b">
        <v>1</v>
      </c>
      <c r="E12">
        <v>2</v>
      </c>
      <c r="F12" t="s">
        <v>20</v>
      </c>
      <c r="G12" t="str">
        <f>_xlfn.LET(_xlpm.attr,Table1[[#This Row],[attribute]],_xlpm.spl,LEFT(Table1[[#This Row],[supplemented]],1),_xlfn.TEXTJOIN("-",TRUE,_xlpm.attr,_xlpm.spl,"3k-mgv3"))</f>
        <v>gender-T-3k-mgv3</v>
      </c>
      <c r="H12" s="1">
        <v>0.73</v>
      </c>
      <c r="I12" s="1">
        <v>0.85</v>
      </c>
      <c r="J12" s="1">
        <v>0.81</v>
      </c>
      <c r="K12" s="1">
        <v>0.81</v>
      </c>
      <c r="L12" s="1">
        <v>0.69</v>
      </c>
      <c r="M12" s="1">
        <v>0.74</v>
      </c>
      <c r="N12" s="1">
        <v>0.71</v>
      </c>
      <c r="O12" s="1">
        <v>0.79</v>
      </c>
      <c r="P12" s="1">
        <v>0.79</v>
      </c>
      <c r="Q12" s="1">
        <v>0.79</v>
      </c>
      <c r="R12" s="1">
        <v>0.72</v>
      </c>
      <c r="S12" s="1">
        <v>0.79</v>
      </c>
      <c r="T12" s="1">
        <f t="shared" si="0"/>
        <v>0.85</v>
      </c>
    </row>
    <row r="13" spans="1:20" ht="25" customHeight="1">
      <c r="A13" t="s">
        <v>24</v>
      </c>
      <c r="B13">
        <v>2</v>
      </c>
      <c r="C13" t="s">
        <v>22</v>
      </c>
      <c r="D13" t="b">
        <v>1</v>
      </c>
      <c r="E13">
        <v>3</v>
      </c>
      <c r="F13" t="s">
        <v>21</v>
      </c>
      <c r="G13" t="str">
        <f>_xlfn.LET(_xlpm.attr,Table1[[#This Row],[attribute]],_xlpm.spl,LEFT(Table1[[#This Row],[supplemented]],1),_xlfn.TEXTJOIN("-",TRUE,_xlpm.attr,_xlpm.spl,"3k-mgv3"))</f>
        <v>gender-T-3k-mgv3</v>
      </c>
      <c r="H13" s="1">
        <v>0.78</v>
      </c>
      <c r="I13" s="1">
        <v>0.72</v>
      </c>
      <c r="J13" s="1">
        <v>0.66</v>
      </c>
      <c r="K13" s="1">
        <v>0.75</v>
      </c>
      <c r="L13" s="1">
        <v>0.72</v>
      </c>
      <c r="M13" s="1">
        <v>0.78</v>
      </c>
      <c r="N13" s="1">
        <v>0.7</v>
      </c>
      <c r="O13" s="1">
        <v>0.73</v>
      </c>
      <c r="P13" s="1">
        <v>0.78</v>
      </c>
      <c r="Q13" s="1">
        <v>0.74</v>
      </c>
      <c r="R13" s="1">
        <v>0.62</v>
      </c>
      <c r="S13" s="1">
        <v>0.76</v>
      </c>
      <c r="T13" s="1">
        <f t="shared" si="0"/>
        <v>0.78</v>
      </c>
    </row>
    <row r="14" spans="1:20" ht="25" customHeight="1">
      <c r="A14" t="s">
        <v>24</v>
      </c>
      <c r="B14">
        <v>3</v>
      </c>
      <c r="C14" t="s">
        <v>18</v>
      </c>
      <c r="D14" t="b">
        <v>0</v>
      </c>
      <c r="E14">
        <v>1</v>
      </c>
      <c r="F14" t="s">
        <v>19</v>
      </c>
      <c r="G14" t="str">
        <f>_xlfn.LET(_xlpm.attr,Table1[[#This Row],[attribute]],_xlpm.spl,LEFT(Table1[[#This Row],[supplemented]],1),_xlfn.TEXTJOIN("-",TRUE,_xlpm.attr,_xlpm.spl,"3k-mgv3"))</f>
        <v>case-F-3k-mgv3</v>
      </c>
      <c r="H14" s="1">
        <v>0.95</v>
      </c>
      <c r="I14" s="1">
        <v>0.92</v>
      </c>
      <c r="J14" s="1">
        <v>0.96</v>
      </c>
      <c r="K14" s="1">
        <v>0.96</v>
      </c>
      <c r="L14" s="1">
        <v>0.98</v>
      </c>
      <c r="M14" s="1">
        <v>0.95</v>
      </c>
      <c r="N14" s="1">
        <v>0.96</v>
      </c>
      <c r="O14" s="1">
        <v>0.94</v>
      </c>
      <c r="P14" s="1">
        <v>0.97</v>
      </c>
      <c r="Q14" s="1">
        <v>0.96</v>
      </c>
      <c r="R14" s="1">
        <v>0.95</v>
      </c>
      <c r="S14" s="1">
        <v>0.93</v>
      </c>
      <c r="T14" s="1">
        <f t="shared" si="0"/>
        <v>0.98</v>
      </c>
    </row>
    <row r="15" spans="1:20" ht="25" customHeight="1">
      <c r="A15" t="s">
        <v>24</v>
      </c>
      <c r="B15">
        <v>3</v>
      </c>
      <c r="C15" t="s">
        <v>18</v>
      </c>
      <c r="D15" t="b">
        <v>0</v>
      </c>
      <c r="E15">
        <v>2</v>
      </c>
      <c r="F15" t="s">
        <v>20</v>
      </c>
      <c r="G15" t="str">
        <f>_xlfn.LET(_xlpm.attr,Table1[[#This Row],[attribute]],_xlpm.spl,LEFT(Table1[[#This Row],[supplemented]],1),_xlfn.TEXTJOIN("-",TRUE,_xlpm.attr,_xlpm.spl,"3k-mgv3"))</f>
        <v>case-F-3k-mgv3</v>
      </c>
      <c r="H15" s="1">
        <v>0.96</v>
      </c>
      <c r="I15" s="1">
        <v>0.97</v>
      </c>
      <c r="J15" s="1">
        <v>0.98</v>
      </c>
      <c r="K15" s="1">
        <v>0.95</v>
      </c>
      <c r="L15" s="1">
        <v>0.98</v>
      </c>
      <c r="M15" s="1">
        <v>0.96</v>
      </c>
      <c r="N15" s="1">
        <v>0.96</v>
      </c>
      <c r="O15" s="1">
        <v>0.97</v>
      </c>
      <c r="P15" s="1">
        <v>0.97</v>
      </c>
      <c r="Q15" s="1">
        <v>0.96</v>
      </c>
      <c r="R15" s="1">
        <v>0.96</v>
      </c>
      <c r="S15" s="1">
        <v>0.96</v>
      </c>
      <c r="T15" s="1">
        <f t="shared" si="0"/>
        <v>0.98</v>
      </c>
    </row>
    <row r="16" spans="1:20" ht="25" customHeight="1">
      <c r="A16" t="s">
        <v>24</v>
      </c>
      <c r="B16">
        <v>3</v>
      </c>
      <c r="C16" t="s">
        <v>18</v>
      </c>
      <c r="D16" t="b">
        <v>0</v>
      </c>
      <c r="E16">
        <v>3</v>
      </c>
      <c r="F16" t="s">
        <v>21</v>
      </c>
      <c r="G16" t="str">
        <f>_xlfn.LET(_xlpm.attr,Table1[[#This Row],[attribute]],_xlpm.spl,LEFT(Table1[[#This Row],[supplemented]],1),_xlfn.TEXTJOIN("-",TRUE,_xlpm.attr,_xlpm.spl,"3k-mgv3"))</f>
        <v>case-F-3k-mgv3</v>
      </c>
      <c r="H16" s="1">
        <v>0.96</v>
      </c>
      <c r="I16" s="1">
        <v>0.99</v>
      </c>
      <c r="J16" s="1">
        <v>0.99</v>
      </c>
      <c r="K16" s="1">
        <v>0.96</v>
      </c>
      <c r="L16" s="1">
        <v>0.98</v>
      </c>
      <c r="M16" s="1">
        <v>0.95</v>
      </c>
      <c r="N16" s="1">
        <v>0.96</v>
      </c>
      <c r="O16" s="1">
        <v>0.97</v>
      </c>
      <c r="P16" s="1">
        <v>0.97</v>
      </c>
      <c r="Q16" s="1">
        <v>0.96</v>
      </c>
      <c r="R16" s="1">
        <v>0.96</v>
      </c>
      <c r="S16" s="1">
        <v>0.95</v>
      </c>
      <c r="T16" s="1">
        <f t="shared" si="0"/>
        <v>0.99</v>
      </c>
    </row>
    <row r="17" spans="1:20" ht="25" customHeight="1">
      <c r="A17" t="s">
        <v>24</v>
      </c>
      <c r="B17">
        <v>3</v>
      </c>
      <c r="C17" t="s">
        <v>18</v>
      </c>
      <c r="D17" t="b">
        <v>1</v>
      </c>
      <c r="E17">
        <v>1</v>
      </c>
      <c r="F17" t="s">
        <v>19</v>
      </c>
      <c r="G17" t="str">
        <f>_xlfn.LET(_xlpm.attr,Table1[[#This Row],[attribute]],_xlpm.spl,LEFT(Table1[[#This Row],[supplemented]],1),_xlfn.TEXTJOIN("-",TRUE,_xlpm.attr,_xlpm.spl,"3k-mgv3"))</f>
        <v>case-T-3k-mgv3</v>
      </c>
      <c r="H17" s="1">
        <v>0.96</v>
      </c>
      <c r="I17" s="1">
        <v>0.97</v>
      </c>
      <c r="J17" s="1">
        <v>0.99</v>
      </c>
      <c r="K17" s="1">
        <v>0.96</v>
      </c>
      <c r="L17" s="1">
        <v>0.98</v>
      </c>
      <c r="M17" s="1">
        <v>0.93</v>
      </c>
      <c r="N17" s="1">
        <v>0.95</v>
      </c>
      <c r="O17" s="1">
        <v>0.97</v>
      </c>
      <c r="P17" s="1">
        <v>0.97</v>
      </c>
      <c r="Q17" s="1">
        <v>0.96</v>
      </c>
      <c r="R17" s="1">
        <v>0.95</v>
      </c>
      <c r="S17" s="1">
        <v>0.96</v>
      </c>
      <c r="T17" s="1">
        <f t="shared" si="0"/>
        <v>0.99</v>
      </c>
    </row>
    <row r="18" spans="1:20" ht="25" customHeight="1">
      <c r="A18" t="s">
        <v>24</v>
      </c>
      <c r="B18">
        <v>3</v>
      </c>
      <c r="C18" t="s">
        <v>18</v>
      </c>
      <c r="D18" t="b">
        <v>1</v>
      </c>
      <c r="E18">
        <v>2</v>
      </c>
      <c r="F18" t="s">
        <v>20</v>
      </c>
      <c r="G18" t="str">
        <f>_xlfn.LET(_xlpm.attr,Table1[[#This Row],[attribute]],_xlpm.spl,LEFT(Table1[[#This Row],[supplemented]],1),_xlfn.TEXTJOIN("-",TRUE,_xlpm.attr,_xlpm.spl,"3k-mgv3"))</f>
        <v>case-T-3k-mgv3</v>
      </c>
      <c r="H18" s="1">
        <v>0.96</v>
      </c>
      <c r="I18" s="1">
        <v>0.99</v>
      </c>
      <c r="J18" s="1">
        <v>0.99</v>
      </c>
      <c r="K18" s="1">
        <v>0.96</v>
      </c>
      <c r="L18" s="1">
        <v>0.98</v>
      </c>
      <c r="M18" s="1">
        <v>0.96</v>
      </c>
      <c r="N18" s="1">
        <v>0.96</v>
      </c>
      <c r="O18" s="1">
        <v>0.97</v>
      </c>
      <c r="P18" s="1">
        <v>0.97</v>
      </c>
      <c r="Q18" s="1">
        <v>0.96</v>
      </c>
      <c r="R18" s="1">
        <v>0.96</v>
      </c>
      <c r="S18" s="1">
        <v>0.96</v>
      </c>
      <c r="T18" s="1">
        <f t="shared" si="0"/>
        <v>0.99</v>
      </c>
    </row>
    <row r="19" spans="1:20" ht="25" customHeight="1">
      <c r="A19" t="s">
        <v>24</v>
      </c>
      <c r="B19">
        <v>3</v>
      </c>
      <c r="C19" t="s">
        <v>18</v>
      </c>
      <c r="D19" t="b">
        <v>1</v>
      </c>
      <c r="E19">
        <v>3</v>
      </c>
      <c r="F19" t="s">
        <v>21</v>
      </c>
      <c r="G19" t="str">
        <f>_xlfn.LET(_xlpm.attr,Table1[[#This Row],[attribute]],_xlpm.spl,LEFT(Table1[[#This Row],[supplemented]],1),_xlfn.TEXTJOIN("-",TRUE,_xlpm.attr,_xlpm.spl,"3k-mgv3"))</f>
        <v>case-T-3k-mgv3</v>
      </c>
      <c r="H19" s="1">
        <v>0.96</v>
      </c>
      <c r="I19" s="1">
        <v>0.99</v>
      </c>
      <c r="J19" s="1">
        <v>0.99</v>
      </c>
      <c r="K19" s="1">
        <v>0.96</v>
      </c>
      <c r="L19" s="1">
        <v>0.98</v>
      </c>
      <c r="M19" s="1">
        <v>0.95</v>
      </c>
      <c r="N19" s="1">
        <v>0.96</v>
      </c>
      <c r="O19" s="1">
        <v>0.97</v>
      </c>
      <c r="P19" s="1">
        <v>0.97</v>
      </c>
      <c r="Q19" s="1">
        <v>0.96</v>
      </c>
      <c r="R19" s="1">
        <v>0.96</v>
      </c>
      <c r="S19" s="1">
        <v>0.96</v>
      </c>
      <c r="T19" s="1">
        <f t="shared" si="0"/>
        <v>0.99</v>
      </c>
    </row>
    <row r="22" spans="1:20" ht="25" customHeight="1">
      <c r="B22" t="s">
        <v>1</v>
      </c>
      <c r="C22" t="s">
        <v>2</v>
      </c>
      <c r="D22" t="s">
        <v>29</v>
      </c>
      <c r="E22" t="s">
        <v>3</v>
      </c>
      <c r="F22" t="s">
        <v>4</v>
      </c>
      <c r="G22" t="s">
        <v>30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</row>
    <row r="23" spans="1:20" ht="25" customHeight="1">
      <c r="B23">
        <v>1</v>
      </c>
      <c r="C23" t="s">
        <v>23</v>
      </c>
      <c r="D23" t="b">
        <v>1</v>
      </c>
      <c r="E23">
        <v>0</v>
      </c>
      <c r="F23" t="s">
        <v>17</v>
      </c>
      <c r="G23" t="str">
        <f>_xlfn.LET(_xlpm.attr,Table6188[[#This Row],[attribute]],_xlpm.spl,LEFT(Table6188[[#This Row],[supplemented]],1),_xlfn.TEXTJOIN("-",TRUE,_xlpm.attr,_xlpm.spl,"3k-mgv3"))</f>
        <v>plurality-T-3k-mgv3</v>
      </c>
      <c r="H23" s="2" cm="1">
        <f t="array" ref="H23">_xlfn.LET(_xlpm.d,H$2:H$19,_xlpm.a,$C$2:$C$19=$C23,_xlpm.b,$D$2:$D$19=$D23,MAX(_xlfn._xlws.FILTER(_xlpm.d,_xlpm.a*_xlpm.b)))</f>
        <v>0.71</v>
      </c>
      <c r="I23" s="2" cm="1">
        <f t="array" ref="I23">_xlfn.LET(_xlpm.d,I$2:I$19,_xlpm.a,$C$2:$C$19=$C23,_xlpm.b,$D$2:$D$19=$D23,MAX(_xlfn._xlws.FILTER(_xlpm.d,_xlpm.a*_xlpm.b)))</f>
        <v>0.71</v>
      </c>
      <c r="J23" s="2" cm="1">
        <f t="array" ref="J23">_xlfn.LET(_xlpm.d,J$2:J$19,_xlpm.a,$C$2:$C$19=$C23,_xlpm.b,$D$2:$D$19=$D23,MAX(_xlfn._xlws.FILTER(_xlpm.d,_xlpm.a*_xlpm.b)))</f>
        <v>0.73</v>
      </c>
      <c r="K23" s="2" cm="1">
        <f t="array" ref="K23">_xlfn.LET(_xlpm.d,K$2:K$19,_xlpm.a,$C$2:$C$19=$C23,_xlpm.b,$D$2:$D$19=$D23,MAX(_xlfn._xlws.FILTER(_xlpm.d,_xlpm.a*_xlpm.b)))</f>
        <v>0.76</v>
      </c>
      <c r="L23" s="2" cm="1">
        <f t="array" ref="L23">_xlfn.LET(_xlpm.d,L$2:L$19,_xlpm.a,$C$2:$C$19=$C23,_xlpm.b,$D$2:$D$19=$D23,MAX(_xlfn._xlws.FILTER(_xlpm.d,_xlpm.a*_xlpm.b)))</f>
        <v>0.73</v>
      </c>
      <c r="M23" s="2" cm="1">
        <f t="array" ref="M23">_xlfn.LET(_xlpm.d,M$2:M$19,_xlpm.a,$C$2:$C$19=$C23,_xlpm.b,$D$2:$D$19=$D23,MAX(_xlfn._xlws.FILTER(_xlpm.d,_xlpm.a*_xlpm.b)))</f>
        <v>0.65</v>
      </c>
      <c r="N23" s="2" cm="1">
        <f t="array" ref="N23">_xlfn.LET(_xlpm.d,N$2:N$19,_xlpm.a,$C$2:$C$19=$C23,_xlpm.b,$D$2:$D$19=$D23,MAX(_xlfn._xlws.FILTER(_xlpm.d,_xlpm.a*_xlpm.b)))</f>
        <v>0.72</v>
      </c>
      <c r="O23" s="2" cm="1">
        <f t="array" ref="O23">_xlfn.LET(_xlpm.d,O$2:O$19,_xlpm.a,$C$2:$C$19=$C23,_xlpm.b,$D$2:$D$19=$D23,MAX(_xlfn._xlws.FILTER(_xlpm.d,_xlpm.a*_xlpm.b)))</f>
        <v>0.66</v>
      </c>
      <c r="P23" s="2" cm="1">
        <f t="array" ref="P23">_xlfn.LET(_xlpm.d,P$2:P$19,_xlpm.a,$C$2:$C$19=$C23,_xlpm.b,$D$2:$D$19=$D23,MAX(_xlfn._xlws.FILTER(_xlpm.d,_xlpm.a*_xlpm.b)))</f>
        <v>0.68</v>
      </c>
      <c r="Q23" s="2" cm="1">
        <f t="array" ref="Q23">_xlfn.LET(_xlpm.d,Q$2:Q$19,_xlpm.a,$C$2:$C$19=$C23,_xlpm.b,$D$2:$D$19=$D23,MAX(_xlfn._xlws.FILTER(_xlpm.d,_xlpm.a*_xlpm.b)))</f>
        <v>0.7</v>
      </c>
      <c r="R23" s="2" cm="1">
        <f t="array" ref="R23">_xlfn.LET(_xlpm.d,R$2:R$19,_xlpm.a,$C$2:$C$19=$C23,_xlpm.b,$D$2:$D$19=$D23,MAX(_xlfn._xlws.FILTER(_xlpm.d,_xlpm.a*_xlpm.b)))</f>
        <v>0.71</v>
      </c>
      <c r="S23" s="2" cm="1">
        <f t="array" ref="S23">_xlfn.LET(_xlpm.d,S$2:S$19,_xlpm.a,$C$2:$C$19=$C23,_xlpm.b,$D$2:$D$19=$D23,MAX(_xlfn._xlws.FILTER(_xlpm.d,_xlpm.a*_xlpm.b)))</f>
        <v>0.68</v>
      </c>
      <c r="T23" s="2" cm="1">
        <f t="array" ref="T23">_xlfn.LET(_xlpm.d,T$2:T$19,_xlpm.a,$C$2:$C$19=$C23,_xlpm.b,$D$2:$D$19=$D23,MAX(_xlfn._xlws.FILTER(_xlpm.d,_xlpm.a*_xlpm.b)))</f>
        <v>0.76</v>
      </c>
    </row>
    <row r="24" spans="1:20" ht="25" customHeight="1">
      <c r="B24">
        <v>1</v>
      </c>
      <c r="C24" t="s">
        <v>23</v>
      </c>
      <c r="D24" t="b">
        <v>0</v>
      </c>
      <c r="E24">
        <v>0</v>
      </c>
      <c r="F24" t="s">
        <v>17</v>
      </c>
      <c r="G24" t="str">
        <f>_xlfn.LET(_xlpm.attr,Table6188[[#This Row],[attribute]],_xlpm.spl,LEFT(Table6188[[#This Row],[supplemented]],1),_xlfn.TEXTJOIN("-",TRUE,_xlpm.attr,_xlpm.spl,"3k-mgv3"))</f>
        <v>plurality-F-3k-mgv3</v>
      </c>
      <c r="H24" s="2" cm="1">
        <f t="array" ref="H24">_xlfn.LET(_xlpm.d,H$2:H$19,_xlpm.a,$C$2:$C$19=$C24,_xlpm.b,$D$2:$D$19=$D24,MAX(_xlfn._xlws.FILTER(_xlpm.d,_xlpm.a*_xlpm.b)))</f>
        <v>0.63</v>
      </c>
      <c r="I24" s="2" cm="1">
        <f t="array" ref="I24">_xlfn.LET(_xlpm.d,I$2:I$19,_xlpm.a,$C$2:$C$19=$C24,_xlpm.b,$D$2:$D$19=$D24,MAX(_xlfn._xlws.FILTER(_xlpm.d,_xlpm.a*_xlpm.b)))</f>
        <v>0.69</v>
      </c>
      <c r="J24" s="2" cm="1">
        <f t="array" ref="J24">_xlfn.LET(_xlpm.d,J$2:J$19,_xlpm.a,$C$2:$C$19=$C24,_xlpm.b,$D$2:$D$19=$D24,MAX(_xlfn._xlws.FILTER(_xlpm.d,_xlpm.a*_xlpm.b)))</f>
        <v>0.65</v>
      </c>
      <c r="K24" s="2" cm="1">
        <f t="array" ref="K24">_xlfn.LET(_xlpm.d,K$2:K$19,_xlpm.a,$C$2:$C$19=$C24,_xlpm.b,$D$2:$D$19=$D24,MAX(_xlfn._xlws.FILTER(_xlpm.d,_xlpm.a*_xlpm.b)))</f>
        <v>0.73</v>
      </c>
      <c r="L24" s="2" cm="1">
        <f t="array" ref="L24">_xlfn.LET(_xlpm.d,L$2:L$19,_xlpm.a,$C$2:$C$19=$C24,_xlpm.b,$D$2:$D$19=$D24,MAX(_xlfn._xlws.FILTER(_xlpm.d,_xlpm.a*_xlpm.b)))</f>
        <v>0.71</v>
      </c>
      <c r="M24" s="2" cm="1">
        <f t="array" ref="M24">_xlfn.LET(_xlpm.d,M$2:M$19,_xlpm.a,$C$2:$C$19=$C24,_xlpm.b,$D$2:$D$19=$D24,MAX(_xlfn._xlws.FILTER(_xlpm.d,_xlpm.a*_xlpm.b)))</f>
        <v>0.66</v>
      </c>
      <c r="N24" s="2" cm="1">
        <f t="array" ref="N24">_xlfn.LET(_xlpm.d,N$2:N$19,_xlpm.a,$C$2:$C$19=$C24,_xlpm.b,$D$2:$D$19=$D24,MAX(_xlfn._xlws.FILTER(_xlpm.d,_xlpm.a*_xlpm.b)))</f>
        <v>0.69</v>
      </c>
      <c r="O24" s="2" cm="1">
        <f t="array" ref="O24">_xlfn.LET(_xlpm.d,O$2:O$19,_xlpm.a,$C$2:$C$19=$C24,_xlpm.b,$D$2:$D$19=$D24,MAX(_xlfn._xlws.FILTER(_xlpm.d,_xlpm.a*_xlpm.b)))</f>
        <v>0.66</v>
      </c>
      <c r="P24" s="2" cm="1">
        <f t="array" ref="P24">_xlfn.LET(_xlpm.d,P$2:P$19,_xlpm.a,$C$2:$C$19=$C24,_xlpm.b,$D$2:$D$19=$D24,MAX(_xlfn._xlws.FILTER(_xlpm.d,_xlpm.a*_xlpm.b)))</f>
        <v>0.63</v>
      </c>
      <c r="Q24" s="2" cm="1">
        <f t="array" ref="Q24">_xlfn.LET(_xlpm.d,Q$2:Q$19,_xlpm.a,$C$2:$C$19=$C24,_xlpm.b,$D$2:$D$19=$D24,MAX(_xlfn._xlws.FILTER(_xlpm.d,_xlpm.a*_xlpm.b)))</f>
        <v>0.67</v>
      </c>
      <c r="R24" s="2" cm="1">
        <f t="array" ref="R24">_xlfn.LET(_xlpm.d,R$2:R$19,_xlpm.a,$C$2:$C$19=$C24,_xlpm.b,$D$2:$D$19=$D24,MAX(_xlfn._xlws.FILTER(_xlpm.d,_xlpm.a*_xlpm.b)))</f>
        <v>0.68</v>
      </c>
      <c r="S24" s="2" cm="1">
        <f t="array" ref="S24">_xlfn.LET(_xlpm.d,S$2:S$19,_xlpm.a,$C$2:$C$19=$C24,_xlpm.b,$D$2:$D$19=$D24,MAX(_xlfn._xlws.FILTER(_xlpm.d,_xlpm.a*_xlpm.b)))</f>
        <v>0.66</v>
      </c>
      <c r="T24" s="2" cm="1">
        <f t="array" ref="T24">_xlfn.LET(_xlpm.d,T$2:T$19,_xlpm.a,$C$2:$C$19=$C24,_xlpm.b,$D$2:$D$19=$D24,MAX(_xlfn._xlws.FILTER(_xlpm.d,_xlpm.a*_xlpm.b)))</f>
        <v>0.73</v>
      </c>
    </row>
    <row r="25" spans="1:20" ht="25" customHeight="1">
      <c r="B25">
        <v>2</v>
      </c>
      <c r="C25" t="s">
        <v>22</v>
      </c>
      <c r="D25" t="b">
        <v>1</v>
      </c>
      <c r="E25">
        <v>0</v>
      </c>
      <c r="F25" t="s">
        <v>17</v>
      </c>
      <c r="G25" t="str">
        <f>_xlfn.LET(_xlpm.attr,Table6188[[#This Row],[attribute]],_xlpm.spl,LEFT(Table6188[[#This Row],[supplemented]],1),_xlfn.TEXTJOIN("-",TRUE,_xlpm.attr,_xlpm.spl,"3k-mgv3"))</f>
        <v>gender-T-3k-mgv3</v>
      </c>
      <c r="H25" s="2" cm="1">
        <f t="array" ref="H25">_xlfn.LET(_xlpm.d,H$2:H$19,_xlpm.a,$C$2:$C$19=$C25,_xlpm.b,$D$2:$D$19=$D25,MAX(_xlfn._xlws.FILTER(_xlpm.d,_xlpm.a*_xlpm.b)))</f>
        <v>0.78</v>
      </c>
      <c r="I25" s="2" cm="1">
        <f t="array" ref="I25">_xlfn.LET(_xlpm.d,I$2:I$19,_xlpm.a,$C$2:$C$19=$C25,_xlpm.b,$D$2:$D$19=$D25,MAX(_xlfn._xlws.FILTER(_xlpm.d,_xlpm.a*_xlpm.b)))</f>
        <v>0.85</v>
      </c>
      <c r="J25" s="2" cm="1">
        <f t="array" ref="J25">_xlfn.LET(_xlpm.d,J$2:J$19,_xlpm.a,$C$2:$C$19=$C25,_xlpm.b,$D$2:$D$19=$D25,MAX(_xlfn._xlws.FILTER(_xlpm.d,_xlpm.a*_xlpm.b)))</f>
        <v>0.81</v>
      </c>
      <c r="K25" s="2" cm="1">
        <f t="array" ref="K25">_xlfn.LET(_xlpm.d,K$2:K$19,_xlpm.a,$C$2:$C$19=$C25,_xlpm.b,$D$2:$D$19=$D25,MAX(_xlfn._xlws.FILTER(_xlpm.d,_xlpm.a*_xlpm.b)))</f>
        <v>0.81</v>
      </c>
      <c r="L25" s="2" cm="1">
        <f t="array" ref="L25">_xlfn.LET(_xlpm.d,L$2:L$19,_xlpm.a,$C$2:$C$19=$C25,_xlpm.b,$D$2:$D$19=$D25,MAX(_xlfn._xlws.FILTER(_xlpm.d,_xlpm.a*_xlpm.b)))</f>
        <v>0.72</v>
      </c>
      <c r="M25" s="2" cm="1">
        <f t="array" ref="M25">_xlfn.LET(_xlpm.d,M$2:M$19,_xlpm.a,$C$2:$C$19=$C25,_xlpm.b,$D$2:$D$19=$D25,MAX(_xlfn._xlws.FILTER(_xlpm.d,_xlpm.a*_xlpm.b)))</f>
        <v>0.78</v>
      </c>
      <c r="N25" s="2" cm="1">
        <f t="array" ref="N25">_xlfn.LET(_xlpm.d,N$2:N$19,_xlpm.a,$C$2:$C$19=$C25,_xlpm.b,$D$2:$D$19=$D25,MAX(_xlfn._xlws.FILTER(_xlpm.d,_xlpm.a*_xlpm.b)))</f>
        <v>0.71</v>
      </c>
      <c r="O25" s="2" cm="1">
        <f t="array" ref="O25">_xlfn.LET(_xlpm.d,O$2:O$19,_xlpm.a,$C$2:$C$19=$C25,_xlpm.b,$D$2:$D$19=$D25,MAX(_xlfn._xlws.FILTER(_xlpm.d,_xlpm.a*_xlpm.b)))</f>
        <v>0.79</v>
      </c>
      <c r="P25" s="2" cm="1">
        <f t="array" ref="P25">_xlfn.LET(_xlpm.d,P$2:P$19,_xlpm.a,$C$2:$C$19=$C25,_xlpm.b,$D$2:$D$19=$D25,MAX(_xlfn._xlws.FILTER(_xlpm.d,_xlpm.a*_xlpm.b)))</f>
        <v>0.79</v>
      </c>
      <c r="Q25" s="2" cm="1">
        <f t="array" ref="Q25">_xlfn.LET(_xlpm.d,Q$2:Q$19,_xlpm.a,$C$2:$C$19=$C25,_xlpm.b,$D$2:$D$19=$D25,MAX(_xlfn._xlws.FILTER(_xlpm.d,_xlpm.a*_xlpm.b)))</f>
        <v>0.79</v>
      </c>
      <c r="R25" s="2" cm="1">
        <f t="array" ref="R25">_xlfn.LET(_xlpm.d,R$2:R$19,_xlpm.a,$C$2:$C$19=$C25,_xlpm.b,$D$2:$D$19=$D25,MAX(_xlfn._xlws.FILTER(_xlpm.d,_xlpm.a*_xlpm.b)))</f>
        <v>0.72</v>
      </c>
      <c r="S25" s="2" cm="1">
        <f t="array" ref="S25">_xlfn.LET(_xlpm.d,S$2:S$19,_xlpm.a,$C$2:$C$19=$C25,_xlpm.b,$D$2:$D$19=$D25,MAX(_xlfn._xlws.FILTER(_xlpm.d,_xlpm.a*_xlpm.b)))</f>
        <v>0.79</v>
      </c>
      <c r="T25" s="2" cm="1">
        <f t="array" ref="T25">_xlfn.LET(_xlpm.d,T$2:T$19,_xlpm.a,$C$2:$C$19=$C25,_xlpm.b,$D$2:$D$19=$D25,MAX(_xlfn._xlws.FILTER(_xlpm.d,_xlpm.a*_xlpm.b)))</f>
        <v>0.85</v>
      </c>
    </row>
    <row r="26" spans="1:20" ht="25" customHeight="1">
      <c r="B26">
        <v>2</v>
      </c>
      <c r="C26" t="s">
        <v>22</v>
      </c>
      <c r="D26" t="b">
        <v>0</v>
      </c>
      <c r="E26">
        <v>0</v>
      </c>
      <c r="F26" t="s">
        <v>17</v>
      </c>
      <c r="G26" t="str">
        <f>_xlfn.LET(_xlpm.attr,Table6188[[#This Row],[attribute]],_xlpm.spl,LEFT(Table6188[[#This Row],[supplemented]],1),_xlfn.TEXTJOIN("-",TRUE,_xlpm.attr,_xlpm.spl,"3k-mgv3"))</f>
        <v>gender-F-3k-mgv3</v>
      </c>
      <c r="H26" s="2" cm="1">
        <f t="array" ref="H26">_xlfn.LET(_xlpm.d,H$2:H$19,_xlpm.a,$C$2:$C$19=$C26,_xlpm.b,$D$2:$D$19=$D26,MAX(_xlfn._xlws.FILTER(_xlpm.d,_xlpm.a*_xlpm.b)))</f>
        <v>0.73</v>
      </c>
      <c r="I26" s="2" cm="1">
        <f t="array" ref="I26">_xlfn.LET(_xlpm.d,I$2:I$19,_xlpm.a,$C$2:$C$19=$C26,_xlpm.b,$D$2:$D$19=$D26,MAX(_xlfn._xlws.FILTER(_xlpm.d,_xlpm.a*_xlpm.b)))</f>
        <v>0.76</v>
      </c>
      <c r="J26" s="2" cm="1">
        <f t="array" ref="J26">_xlfn.LET(_xlpm.d,J$2:J$19,_xlpm.a,$C$2:$C$19=$C26,_xlpm.b,$D$2:$D$19=$D26,MAX(_xlfn._xlws.FILTER(_xlpm.d,_xlpm.a*_xlpm.b)))</f>
        <v>0.81</v>
      </c>
      <c r="K26" s="2" cm="1">
        <f t="array" ref="K26">_xlfn.LET(_xlpm.d,K$2:K$19,_xlpm.a,$C$2:$C$19=$C26,_xlpm.b,$D$2:$D$19=$D26,MAX(_xlfn._xlws.FILTER(_xlpm.d,_xlpm.a*_xlpm.b)))</f>
        <v>0.77</v>
      </c>
      <c r="L26" s="2" cm="1">
        <f t="array" ref="L26">_xlfn.LET(_xlpm.d,L$2:L$19,_xlpm.a,$C$2:$C$19=$C26,_xlpm.b,$D$2:$D$19=$D26,MAX(_xlfn._xlws.FILTER(_xlpm.d,_xlpm.a*_xlpm.b)))</f>
        <v>0.75</v>
      </c>
      <c r="M26" s="2" cm="1">
        <f t="array" ref="M26">_xlfn.LET(_xlpm.d,M$2:M$19,_xlpm.a,$C$2:$C$19=$C26,_xlpm.b,$D$2:$D$19=$D26,MAX(_xlfn._xlws.FILTER(_xlpm.d,_xlpm.a*_xlpm.b)))</f>
        <v>0.77</v>
      </c>
      <c r="N26" s="2" cm="1">
        <f t="array" ref="N26">_xlfn.LET(_xlpm.d,N$2:N$19,_xlpm.a,$C$2:$C$19=$C26,_xlpm.b,$D$2:$D$19=$D26,MAX(_xlfn._xlws.FILTER(_xlpm.d,_xlpm.a*_xlpm.b)))</f>
        <v>0.73</v>
      </c>
      <c r="O26" s="2" cm="1">
        <f t="array" ref="O26">_xlfn.LET(_xlpm.d,O$2:O$19,_xlpm.a,$C$2:$C$19=$C26,_xlpm.b,$D$2:$D$19=$D26,MAX(_xlfn._xlws.FILTER(_xlpm.d,_xlpm.a*_xlpm.b)))</f>
        <v>0.78</v>
      </c>
      <c r="P26" s="2" cm="1">
        <f t="array" ref="P26">_xlfn.LET(_xlpm.d,P$2:P$19,_xlpm.a,$C$2:$C$19=$C26,_xlpm.b,$D$2:$D$19=$D26,MAX(_xlfn._xlws.FILTER(_xlpm.d,_xlpm.a*_xlpm.b)))</f>
        <v>0.74</v>
      </c>
      <c r="Q26" s="2" cm="1">
        <f t="array" ref="Q26">_xlfn.LET(_xlpm.d,Q$2:Q$19,_xlpm.a,$C$2:$C$19=$C26,_xlpm.b,$D$2:$D$19=$D26,MAX(_xlfn._xlws.FILTER(_xlpm.d,_xlpm.a*_xlpm.b)))</f>
        <v>0.8</v>
      </c>
      <c r="R26" s="2" cm="1">
        <f t="array" ref="R26">_xlfn.LET(_xlpm.d,R$2:R$19,_xlpm.a,$C$2:$C$19=$C26,_xlpm.b,$D$2:$D$19=$D26,MAX(_xlfn._xlws.FILTER(_xlpm.d,_xlpm.a*_xlpm.b)))</f>
        <v>0.68</v>
      </c>
      <c r="S26" s="2" cm="1">
        <f t="array" ref="S26">_xlfn.LET(_xlpm.d,S$2:S$19,_xlpm.a,$C$2:$C$19=$C26,_xlpm.b,$D$2:$D$19=$D26,MAX(_xlfn._xlws.FILTER(_xlpm.d,_xlpm.a*_xlpm.b)))</f>
        <v>0.79</v>
      </c>
      <c r="T26" s="2" cm="1">
        <f t="array" ref="T26">_xlfn.LET(_xlpm.d,T$2:T$19,_xlpm.a,$C$2:$C$19=$C26,_xlpm.b,$D$2:$D$19=$D26,MAX(_xlfn._xlws.FILTER(_xlpm.d,_xlpm.a*_xlpm.b)))</f>
        <v>0.81</v>
      </c>
    </row>
    <row r="27" spans="1:20" ht="25" customHeight="1">
      <c r="B27">
        <v>3</v>
      </c>
      <c r="C27" t="s">
        <v>18</v>
      </c>
      <c r="D27" t="b">
        <v>1</v>
      </c>
      <c r="E27">
        <v>0</v>
      </c>
      <c r="F27" t="s">
        <v>17</v>
      </c>
      <c r="G27" t="str">
        <f>_xlfn.LET(_xlpm.attr,Table6188[[#This Row],[attribute]],_xlpm.spl,LEFT(Table6188[[#This Row],[supplemented]],1),_xlfn.TEXTJOIN("-",TRUE,_xlpm.attr,_xlpm.spl,"3k-mgv3"))</f>
        <v>case-T-3k-mgv3</v>
      </c>
      <c r="H27" s="2" cm="1">
        <f t="array" ref="H27">_xlfn.LET(_xlpm.d,H$2:H$19,_xlpm.a,$C$2:$C$19=$C27,_xlpm.b,$D$2:$D$19=$D27,MAX(_xlfn._xlws.FILTER(_xlpm.d,_xlpm.a*_xlpm.b)))</f>
        <v>0.96</v>
      </c>
      <c r="I27" s="2" cm="1">
        <f t="array" ref="I27">_xlfn.LET(_xlpm.d,I$2:I$19,_xlpm.a,$C$2:$C$19=$C27,_xlpm.b,$D$2:$D$19=$D27,MAX(_xlfn._xlws.FILTER(_xlpm.d,_xlpm.a*_xlpm.b)))</f>
        <v>0.99</v>
      </c>
      <c r="J27" s="2" cm="1">
        <f t="array" ref="J27">_xlfn.LET(_xlpm.d,J$2:J$19,_xlpm.a,$C$2:$C$19=$C27,_xlpm.b,$D$2:$D$19=$D27,MAX(_xlfn._xlws.FILTER(_xlpm.d,_xlpm.a*_xlpm.b)))</f>
        <v>0.99</v>
      </c>
      <c r="K27" s="2" cm="1">
        <f t="array" ref="K27">_xlfn.LET(_xlpm.d,K$2:K$19,_xlpm.a,$C$2:$C$19=$C27,_xlpm.b,$D$2:$D$19=$D27,MAX(_xlfn._xlws.FILTER(_xlpm.d,_xlpm.a*_xlpm.b)))</f>
        <v>0.96</v>
      </c>
      <c r="L27" s="2" cm="1">
        <f t="array" ref="L27">_xlfn.LET(_xlpm.d,L$2:L$19,_xlpm.a,$C$2:$C$19=$C27,_xlpm.b,$D$2:$D$19=$D27,MAX(_xlfn._xlws.FILTER(_xlpm.d,_xlpm.a*_xlpm.b)))</f>
        <v>0.98</v>
      </c>
      <c r="M27" s="2" cm="1">
        <f t="array" ref="M27">_xlfn.LET(_xlpm.d,M$2:M$19,_xlpm.a,$C$2:$C$19=$C27,_xlpm.b,$D$2:$D$19=$D27,MAX(_xlfn._xlws.FILTER(_xlpm.d,_xlpm.a*_xlpm.b)))</f>
        <v>0.96</v>
      </c>
      <c r="N27" s="2" cm="1">
        <f t="array" ref="N27">_xlfn.LET(_xlpm.d,N$2:N$19,_xlpm.a,$C$2:$C$19=$C27,_xlpm.b,$D$2:$D$19=$D27,MAX(_xlfn._xlws.FILTER(_xlpm.d,_xlpm.a*_xlpm.b)))</f>
        <v>0.96</v>
      </c>
      <c r="O27" s="2" cm="1">
        <f t="array" ref="O27">_xlfn.LET(_xlpm.d,O$2:O$19,_xlpm.a,$C$2:$C$19=$C27,_xlpm.b,$D$2:$D$19=$D27,MAX(_xlfn._xlws.FILTER(_xlpm.d,_xlpm.a*_xlpm.b)))</f>
        <v>0.97</v>
      </c>
      <c r="P27" s="2" cm="1">
        <f t="array" ref="P27">_xlfn.LET(_xlpm.d,P$2:P$19,_xlpm.a,$C$2:$C$19=$C27,_xlpm.b,$D$2:$D$19=$D27,MAX(_xlfn._xlws.FILTER(_xlpm.d,_xlpm.a*_xlpm.b)))</f>
        <v>0.97</v>
      </c>
      <c r="Q27" s="2" cm="1">
        <f t="array" ref="Q27">_xlfn.LET(_xlpm.d,Q$2:Q$19,_xlpm.a,$C$2:$C$19=$C27,_xlpm.b,$D$2:$D$19=$D27,MAX(_xlfn._xlws.FILTER(_xlpm.d,_xlpm.a*_xlpm.b)))</f>
        <v>0.96</v>
      </c>
      <c r="R27" s="2" cm="1">
        <f t="array" ref="R27">_xlfn.LET(_xlpm.d,R$2:R$19,_xlpm.a,$C$2:$C$19=$C27,_xlpm.b,$D$2:$D$19=$D27,MAX(_xlfn._xlws.FILTER(_xlpm.d,_xlpm.a*_xlpm.b)))</f>
        <v>0.96</v>
      </c>
      <c r="S27" s="2" cm="1">
        <f t="array" ref="S27">_xlfn.LET(_xlpm.d,S$2:S$19,_xlpm.a,$C$2:$C$19=$C27,_xlpm.b,$D$2:$D$19=$D27,MAX(_xlfn._xlws.FILTER(_xlpm.d,_xlpm.a*_xlpm.b)))</f>
        <v>0.96</v>
      </c>
      <c r="T27" s="2" cm="1">
        <f t="array" ref="T27">_xlfn.LET(_xlpm.d,T$2:T$19,_xlpm.a,$C$2:$C$19=$C27,_xlpm.b,$D$2:$D$19=$D27,MAX(_xlfn._xlws.FILTER(_xlpm.d,_xlpm.a*_xlpm.b)))</f>
        <v>0.99</v>
      </c>
    </row>
    <row r="28" spans="1:20" ht="25" customHeight="1">
      <c r="B28">
        <v>3</v>
      </c>
      <c r="C28" t="s">
        <v>18</v>
      </c>
      <c r="D28" t="b">
        <v>0</v>
      </c>
      <c r="E28">
        <v>0</v>
      </c>
      <c r="F28" t="s">
        <v>17</v>
      </c>
      <c r="G28" t="str">
        <f>_xlfn.LET(_xlpm.attr,Table6188[[#This Row],[attribute]],_xlpm.spl,LEFT(Table6188[[#This Row],[supplemented]],1),_xlfn.TEXTJOIN("-",TRUE,_xlpm.attr,_xlpm.spl,"3k-mgv3"))</f>
        <v>case-F-3k-mgv3</v>
      </c>
      <c r="H28" s="2" cm="1">
        <f t="array" ref="H28">_xlfn.LET(_xlpm.d,H$2:H$19,_xlpm.a,$C$2:$C$19=$C28,_xlpm.b,$D$2:$D$19=$D28,MAX(_xlfn._xlws.FILTER(_xlpm.d,_xlpm.a*_xlpm.b)))</f>
        <v>0.96</v>
      </c>
      <c r="I28" s="2" cm="1">
        <f t="array" ref="I28">_xlfn.LET(_xlpm.d,I$2:I$19,_xlpm.a,$C$2:$C$19=$C28,_xlpm.b,$D$2:$D$19=$D28,MAX(_xlfn._xlws.FILTER(_xlpm.d,_xlpm.a*_xlpm.b)))</f>
        <v>0.99</v>
      </c>
      <c r="J28" s="2" cm="1">
        <f t="array" ref="J28">_xlfn.LET(_xlpm.d,J$2:J$19,_xlpm.a,$C$2:$C$19=$C28,_xlpm.b,$D$2:$D$19=$D28,MAX(_xlfn._xlws.FILTER(_xlpm.d,_xlpm.a*_xlpm.b)))</f>
        <v>0.99</v>
      </c>
      <c r="K28" s="2" cm="1">
        <f t="array" ref="K28">_xlfn.LET(_xlpm.d,K$2:K$19,_xlpm.a,$C$2:$C$19=$C28,_xlpm.b,$D$2:$D$19=$D28,MAX(_xlfn._xlws.FILTER(_xlpm.d,_xlpm.a*_xlpm.b)))</f>
        <v>0.96</v>
      </c>
      <c r="L28" s="2" cm="1">
        <f t="array" ref="L28">_xlfn.LET(_xlpm.d,L$2:L$19,_xlpm.a,$C$2:$C$19=$C28,_xlpm.b,$D$2:$D$19=$D28,MAX(_xlfn._xlws.FILTER(_xlpm.d,_xlpm.a*_xlpm.b)))</f>
        <v>0.98</v>
      </c>
      <c r="M28" s="2" cm="1">
        <f t="array" ref="M28">_xlfn.LET(_xlpm.d,M$2:M$19,_xlpm.a,$C$2:$C$19=$C28,_xlpm.b,$D$2:$D$19=$D28,MAX(_xlfn._xlws.FILTER(_xlpm.d,_xlpm.a*_xlpm.b)))</f>
        <v>0.96</v>
      </c>
      <c r="N28" s="2" cm="1">
        <f t="array" ref="N28">_xlfn.LET(_xlpm.d,N$2:N$19,_xlpm.a,$C$2:$C$19=$C28,_xlpm.b,$D$2:$D$19=$D28,MAX(_xlfn._xlws.FILTER(_xlpm.d,_xlpm.a*_xlpm.b)))</f>
        <v>0.96</v>
      </c>
      <c r="O28" s="2" cm="1">
        <f t="array" ref="O28">_xlfn.LET(_xlpm.d,O$2:O$19,_xlpm.a,$C$2:$C$19=$C28,_xlpm.b,$D$2:$D$19=$D28,MAX(_xlfn._xlws.FILTER(_xlpm.d,_xlpm.a*_xlpm.b)))</f>
        <v>0.97</v>
      </c>
      <c r="P28" s="2" cm="1">
        <f t="array" ref="P28">_xlfn.LET(_xlpm.d,P$2:P$19,_xlpm.a,$C$2:$C$19=$C28,_xlpm.b,$D$2:$D$19=$D28,MAX(_xlfn._xlws.FILTER(_xlpm.d,_xlpm.a*_xlpm.b)))</f>
        <v>0.97</v>
      </c>
      <c r="Q28" s="2" cm="1">
        <f t="array" ref="Q28">_xlfn.LET(_xlpm.d,Q$2:Q$19,_xlpm.a,$C$2:$C$19=$C28,_xlpm.b,$D$2:$D$19=$D28,MAX(_xlfn._xlws.FILTER(_xlpm.d,_xlpm.a*_xlpm.b)))</f>
        <v>0.96</v>
      </c>
      <c r="R28" s="2" cm="1">
        <f t="array" ref="R28">_xlfn.LET(_xlpm.d,R$2:R$19,_xlpm.a,$C$2:$C$19=$C28,_xlpm.b,$D$2:$D$19=$D28,MAX(_xlfn._xlws.FILTER(_xlpm.d,_xlpm.a*_xlpm.b)))</f>
        <v>0.96</v>
      </c>
      <c r="S28" s="2" cm="1">
        <f t="array" ref="S28">_xlfn.LET(_xlpm.d,S$2:S$19,_xlpm.a,$C$2:$C$19=$C28,_xlpm.b,$D$2:$D$19=$D28,MAX(_xlfn._xlws.FILTER(_xlpm.d,_xlpm.a*_xlpm.b)))</f>
        <v>0.96</v>
      </c>
      <c r="T28" s="2" cm="1">
        <f t="array" ref="T28">_xlfn.LET(_xlpm.d,T$2:T$19,_xlpm.a,$C$2:$C$19=$C28,_xlpm.b,$D$2:$D$19=$D28,MAX(_xlfn._xlws.FILTER(_xlpm.d,_xlpm.a*_xlpm.b)))</f>
        <v>0.99</v>
      </c>
    </row>
  </sheetData>
  <conditionalFormatting sqref="H2:T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H23:T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summarized</vt:lpstr>
      <vt:lpstr>ml3.0-2k-xsk-mgv9</vt:lpstr>
      <vt:lpstr>ml3.0-1.2k-xsk-mgv9</vt:lpstr>
      <vt:lpstr>ml2.0-2k-xsk-mgv9</vt:lpstr>
      <vt:lpstr>ml2.0-1.2k-xsk-mgv9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2025-02-25T03:28:35Z</dcterms:created>
  <dcterms:modified xsi:type="dcterms:W3CDTF">2025-03-05T04:57:22Z</dcterms:modified>
  <cp:category/>
</cp:coreProperties>
</file>