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owk/Dropbox/GitHub/ngram-based-noun-classification/results-Morfessor/"/>
    </mc:Choice>
  </mc:AlternateContent>
  <xr:revisionPtr revIDLastSave="0" documentId="13_ncr:1_{4BB5F27A-F5B4-3A49-B027-E482159FCC2A}" xr6:coauthVersionLast="47" xr6:coauthVersionMax="47" xr10:uidLastSave="{00000000-0000-0000-0000-000000000000}"/>
  <bookViews>
    <workbookView xWindow="9380" yWindow="3600" windowWidth="27760" windowHeight="16940" activeTab="2" xr2:uid="{F93E9898-A028-3840-BE37-DF8ADAD35830}"/>
  </bookViews>
  <sheets>
    <sheet name="ml3.0-1.2k-xsk-mgv9" sheetId="3" r:id="rId1"/>
    <sheet name="ml2.0-2k-xsk-mgv9" sheetId="2" r:id="rId2"/>
    <sheet name="ml2.0-1.2k-xsk-mgv9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" i="3" l="1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17" i="1"/>
  <c r="S19" i="1"/>
  <c r="S18" i="1"/>
  <c r="S14" i="1"/>
  <c r="S16" i="1"/>
  <c r="S15" i="1"/>
  <c r="S11" i="1"/>
  <c r="S13" i="1"/>
  <c r="S12" i="1"/>
  <c r="S8" i="1"/>
  <c r="S10" i="1"/>
  <c r="S9" i="1"/>
  <c r="S5" i="1"/>
  <c r="S7" i="1"/>
  <c r="S6" i="1"/>
  <c r="S2" i="1"/>
  <c r="S4" i="1"/>
  <c r="S3" i="1"/>
  <c r="S3" i="2" l="1"/>
  <c r="S4" i="2"/>
  <c r="S2" i="2"/>
  <c r="S12" i="2"/>
  <c r="S13" i="2"/>
  <c r="S11" i="2"/>
  <c r="S6" i="2"/>
  <c r="S7" i="2"/>
  <c r="S5" i="2"/>
  <c r="S15" i="2"/>
  <c r="S16" i="2"/>
  <c r="S14" i="2"/>
  <c r="S9" i="2"/>
  <c r="S10" i="2"/>
  <c r="S8" i="2"/>
  <c r="S18" i="2"/>
  <c r="S19" i="2"/>
  <c r="S17" i="2"/>
</calcChain>
</file>

<file path=xl/sharedStrings.xml><?xml version="1.0" encoding="utf-8"?>
<sst xmlns="http://schemas.openxmlformats.org/spreadsheetml/2006/main" count="219" uniqueCount="26">
  <si>
    <t>lang</t>
  </si>
  <si>
    <t>attribute.index</t>
  </si>
  <si>
    <t>attribute</t>
  </si>
  <si>
    <t>supplement</t>
  </si>
  <si>
    <t>method.index</t>
  </si>
  <si>
    <t>method</t>
  </si>
  <si>
    <t>2g-no-hash</t>
  </si>
  <si>
    <t>3g-no-hash</t>
  </si>
  <si>
    <t>4g-no-hash</t>
  </si>
  <si>
    <t>xsk2g-no-hash</t>
  </si>
  <si>
    <t>xsk3g-no-hash</t>
  </si>
  <si>
    <t>xsk4g-no-hash</t>
  </si>
  <si>
    <t>2g-hash-at-both</t>
  </si>
  <si>
    <t>3g-hash-at-both</t>
  </si>
  <si>
    <t>4g-hash-at-both</t>
  </si>
  <si>
    <t>xsk2g-hash-at-both</t>
  </si>
  <si>
    <t>xsk3g-hash-at-both</t>
  </si>
  <si>
    <t>xsk4g-hash-at-both</t>
  </si>
  <si>
    <t>max</t>
  </si>
  <si>
    <t>German</t>
  </si>
  <si>
    <t>case</t>
  </si>
  <si>
    <t>DT</t>
  </si>
  <si>
    <t>RF</t>
  </si>
  <si>
    <t>NN</t>
  </si>
  <si>
    <t>gender</t>
  </si>
  <si>
    <t>plurality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</si>
</sst>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3"/>
      <color theme="1"/>
      <name val="LucidaSansUnicode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1" xfId="0" applyNumberFormat="1" applyBorder="1"/>
  </cellXfs>
  <cellStyles count="1">
    <cellStyle name="Normal" xfId="0" builtinId="0"/>
  </cellStyles>
  <dxfs count="39"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576EF89-0CA6-7344-BB85-02797435D798}" name="Table14" displayName="Table14" ref="A1:S19" totalsRowShown="0">
  <autoFilter ref="A1:S19" xr:uid="{132E0591-8840-5C4B-B591-F58F79EF0D6B}"/>
  <sortState xmlns:xlrd2="http://schemas.microsoft.com/office/spreadsheetml/2017/richdata2" ref="A2:S19">
    <sortCondition ref="B1:B19"/>
  </sortState>
  <tableColumns count="19">
    <tableColumn id="1" xr3:uid="{4F83E959-B018-7D42-A2DE-58A5564073D4}" name="lang"/>
    <tableColumn id="2" xr3:uid="{89391B97-EDC0-824A-A119-67A26FD83A3C}" name="attribute.index"/>
    <tableColumn id="3" xr3:uid="{EFC418A4-9A9C-AF49-8B6D-5A8B39978D31}" name="attribute"/>
    <tableColumn id="4" xr3:uid="{E7B8D70A-B4FF-A547-B085-741A994BC2BD}" name="supplement"/>
    <tableColumn id="5" xr3:uid="{8DB362B6-EB94-B341-AA10-FBA09ABD6B0F}" name="method.index"/>
    <tableColumn id="6" xr3:uid="{DAC7915C-5ECB-F643-A39B-A0C408342339}" name="method"/>
    <tableColumn id="7" xr3:uid="{5E39C039-FE9E-A746-AFD2-44C96DB937AB}" name="2g-no-hash" dataDxfId="12"/>
    <tableColumn id="8" xr3:uid="{10FB2760-E65A-5E49-8D29-2E77148DF3E3}" name="3g-no-hash" dataDxfId="11"/>
    <tableColumn id="9" xr3:uid="{98051170-0B6C-A14A-93BB-811605B46A29}" name="4g-no-hash" dataDxfId="10"/>
    <tableColumn id="10" xr3:uid="{4E54B8D2-7749-1840-91B2-12E99A87EEC2}" name="xsk2g-no-hash" dataDxfId="9"/>
    <tableColumn id="11" xr3:uid="{2DB7A2A0-4A8A-BB49-91C3-AF214BB917BE}" name="xsk3g-no-hash" dataDxfId="8"/>
    <tableColumn id="12" xr3:uid="{03627177-987E-DD4E-8593-3DD28F3E9BF2}" name="xsk4g-no-hash" dataDxfId="7"/>
    <tableColumn id="13" xr3:uid="{4A2BD6BB-64E7-FF4E-951A-8EA66CED81AE}" name="2g-hash-at-both" dataDxfId="6"/>
    <tableColumn id="14" xr3:uid="{FC6107AC-FC8E-064D-9977-998693F0C809}" name="3g-hash-at-both" dataDxfId="5"/>
    <tableColumn id="15" xr3:uid="{67E68EEE-29F1-BA4F-BB86-A8FE37CE6DAD}" name="4g-hash-at-both" dataDxfId="4"/>
    <tableColumn id="16" xr3:uid="{173A5701-3EA6-3641-A131-8D92CB5F9915}" name="xsk2g-hash-at-both" dataDxfId="3"/>
    <tableColumn id="17" xr3:uid="{4F6E2D77-D60D-714D-AFA8-D12A53D2D267}" name="xsk3g-hash-at-both" dataDxfId="2"/>
    <tableColumn id="18" xr3:uid="{5EE8D748-6B5A-8849-8E53-E0582A9F349B}" name="xsk4g-hash-at-both" dataDxfId="1"/>
    <tableColumn id="19" xr3:uid="{7421AA29-86EA-1B4F-9DFE-3676302B4C9C}" name="max" dataDxfId="0">
      <calculatedColumnFormula>_xlfn.LET(_xlpm.d,$G2:$R2,MAX(_xlpm.d))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BB357D5-83D2-3540-83BE-0127A3203AE6}" name="Table2" displayName="Table2" ref="A1:S19" totalsRowShown="0">
  <autoFilter ref="A1:S19" xr:uid="{BBB357D5-83D2-3540-83BE-0127A3203AE6}"/>
  <sortState xmlns:xlrd2="http://schemas.microsoft.com/office/spreadsheetml/2017/richdata2" ref="A2:S19">
    <sortCondition descending="1" ref="D1:D19"/>
  </sortState>
  <tableColumns count="19">
    <tableColumn id="1" xr3:uid="{ECD0B760-B521-8C40-B219-F417381757FA}" name="lang"/>
    <tableColumn id="2" xr3:uid="{7A4C3597-6654-B741-AF13-A960412B57CC}" name="attribute.index"/>
    <tableColumn id="3" xr3:uid="{C10B70C9-DDD9-144A-8437-3CF9096D8D40}" name="attribute"/>
    <tableColumn id="4" xr3:uid="{756E6CA3-6654-D94A-926D-6A6B6831DBD0}" name="supplement"/>
    <tableColumn id="5" xr3:uid="{3E8006E2-D288-2649-8DE6-97D57C45FF1B}" name="method.index"/>
    <tableColumn id="6" xr3:uid="{C8150BE9-6235-1E42-A058-7AB4FF2EB138}" name="method"/>
    <tableColumn id="7" xr3:uid="{84BBED25-0DC4-694E-A28F-E1CF399629C2}" name="2g-no-hash" dataDxfId="38"/>
    <tableColumn id="8" xr3:uid="{F91B00E0-7554-1F43-93E7-5FDAC7FA158E}" name="3g-no-hash" dataDxfId="37"/>
    <tableColumn id="9" xr3:uid="{48A75C87-A9B9-1E44-A8A9-7BAF7D066006}" name="4g-no-hash" dataDxfId="36"/>
    <tableColumn id="10" xr3:uid="{CAF4FE18-7CCD-2544-BCB7-E96C91B476B1}" name="xsk2g-no-hash" dataDxfId="35"/>
    <tableColumn id="11" xr3:uid="{3CC5B448-380A-0F44-9495-6DDAF483BC27}" name="xsk3g-no-hash" dataDxfId="34"/>
    <tableColumn id="12" xr3:uid="{F64B7CF5-D18E-E54C-8DD7-065817C79032}" name="xsk4g-no-hash" dataDxfId="33"/>
    <tableColumn id="13" xr3:uid="{78867420-4CFA-AC45-8B5E-A45C9A994783}" name="2g-hash-at-both" dataDxfId="32"/>
    <tableColumn id="14" xr3:uid="{EF557C24-EE98-1648-91D9-5E356CD6102C}" name="3g-hash-at-both" dataDxfId="31"/>
    <tableColumn id="15" xr3:uid="{7D1E89C1-140B-D44B-AB9B-941C9BF0BCD7}" name="4g-hash-at-both" dataDxfId="30"/>
    <tableColumn id="16" xr3:uid="{A9DDB75E-5175-7946-9161-5B6CFC923ECD}" name="xsk2g-hash-at-both" dataDxfId="29"/>
    <tableColumn id="17" xr3:uid="{C66CF032-D531-544E-BA61-D4F341F4009B}" name="xsk3g-hash-at-both" dataDxfId="28"/>
    <tableColumn id="18" xr3:uid="{72A1BE43-270D-F847-8EC9-8C9D9FFB6E7F}" name="xsk4g-hash-at-both" dataDxfId="27"/>
    <tableColumn id="19" xr3:uid="{F33E61AD-3835-2644-AEE9-E16C2B932AA8}" name="max" dataDxfId="26">
      <calculatedColumnFormula>_xlfn.LET(_xlpm.d,$G2:$R2,MAX(_xlpm.d))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2541A8-EDFF-FE4E-95D9-AC89C810B30C}" name="Table1" displayName="Table1" ref="A1:S19" totalsRowShown="0">
  <autoFilter ref="A1:S19" xr:uid="{F92541A8-EDFF-FE4E-95D9-AC89C810B30C}"/>
  <sortState xmlns:xlrd2="http://schemas.microsoft.com/office/spreadsheetml/2017/richdata2" ref="A2:S19">
    <sortCondition ref="B1:B19"/>
  </sortState>
  <tableColumns count="19">
    <tableColumn id="1" xr3:uid="{01E8D09F-0A0F-854C-A660-DBB788A2979D}" name="lang"/>
    <tableColumn id="2" xr3:uid="{2A927A5D-EE5E-9948-8A5C-A31AD9EADEC7}" name="attribute.index"/>
    <tableColumn id="3" xr3:uid="{AFADB59F-2650-824E-A7AC-405A3FD6ADA1}" name="attribute"/>
    <tableColumn id="4" xr3:uid="{B564F7CC-3187-0C40-B592-1CA80641D01E}" name="supplement"/>
    <tableColumn id="5" xr3:uid="{DA6370CB-A600-974C-A7AC-D4778AFBF359}" name="method.index"/>
    <tableColumn id="6" xr3:uid="{D5E967F9-BEE3-BA43-89AD-0523EBB019E2}" name="method"/>
    <tableColumn id="7" xr3:uid="{FC6A734B-B65B-494B-8C8B-83D95F24F8F2}" name="2g-no-hash" dataDxfId="25"/>
    <tableColumn id="8" xr3:uid="{1D1B5E33-48A9-B840-9CC8-3F37F19A44D5}" name="3g-no-hash" dataDxfId="24"/>
    <tableColumn id="9" xr3:uid="{4F0A5DF2-289B-FE47-8558-4B67AD514B36}" name="4g-no-hash" dataDxfId="23"/>
    <tableColumn id="10" xr3:uid="{ED7AABAA-40C9-5B4E-9092-FC664D22E07F}" name="xsk2g-no-hash" dataDxfId="22"/>
    <tableColumn id="11" xr3:uid="{3AC615BB-1992-EE4A-8200-C5717683E96D}" name="xsk3g-no-hash" dataDxfId="21"/>
    <tableColumn id="12" xr3:uid="{9E9AC34C-3684-FE4A-BCE7-14CBBA35F99A}" name="xsk4g-no-hash" dataDxfId="20"/>
    <tableColumn id="13" xr3:uid="{92BBF4EC-4635-3A47-9BF7-8D069E8B2D51}" name="2g-hash-at-both" dataDxfId="19"/>
    <tableColumn id="14" xr3:uid="{2E415A74-B8CD-1A41-99FF-BE03BCDB8F90}" name="3g-hash-at-both" dataDxfId="18"/>
    <tableColumn id="15" xr3:uid="{15F1ED87-78A8-3740-9938-76BB9E0F4681}" name="4g-hash-at-both" dataDxfId="17"/>
    <tableColumn id="16" xr3:uid="{D84B5D58-04F9-244B-83F5-202E1D2BA535}" name="xsk2g-hash-at-both" dataDxfId="16"/>
    <tableColumn id="17" xr3:uid="{07C6F814-42D7-7140-9CA4-D5865EC618BF}" name="xsk3g-hash-at-both" dataDxfId="15"/>
    <tableColumn id="18" xr3:uid="{162BB310-2433-B840-9DB2-E364AC4B68A0}" name="xsk4g-hash-at-both" dataDxfId="14"/>
    <tableColumn id="19" xr3:uid="{74F83393-C967-6745-BE74-42EF22975FF1}" name="max" dataDxfId="13">
      <calculatedColumnFormula>_xlfn.LET(_xlpm.d,$G2:$R2,MAX(_xlpm.d))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4ED6F-0CB9-CA40-BC06-97B071E4C941}">
  <dimension ref="A1:S19"/>
  <sheetViews>
    <sheetView workbookViewId="0">
      <pane xSplit="22680" ySplit="2640" topLeftCell="S6"/>
      <selection activeCell="E1" sqref="E1:E1048576"/>
      <selection pane="topRight" activeCell="S2" sqref="S2:S19"/>
      <selection pane="bottomLeft" activeCell="E14" sqref="E14"/>
      <selection pane="bottomRight" activeCell="S10" sqref="S10"/>
    </sheetView>
  </sheetViews>
  <sheetFormatPr baseColWidth="10" defaultRowHeight="22"/>
  <cols>
    <col min="2" max="2" width="8.75" customWidth="1"/>
    <col min="4" max="4" width="11.875" customWidth="1"/>
    <col min="5" max="5" width="9.625" customWidth="1"/>
    <col min="7" max="9" width="12.375" customWidth="1"/>
    <col min="10" max="12" width="15.25" customWidth="1"/>
    <col min="13" max="15" width="16.5" customWidth="1"/>
    <col min="16" max="18" width="19.375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 t="s">
        <v>19</v>
      </c>
      <c r="B2">
        <v>1</v>
      </c>
      <c r="C2" t="s">
        <v>25</v>
      </c>
      <c r="D2" t="b">
        <v>1</v>
      </c>
      <c r="E2">
        <v>1</v>
      </c>
      <c r="F2" t="s">
        <v>21</v>
      </c>
      <c r="G2" s="1">
        <v>0.79</v>
      </c>
      <c r="H2" s="1">
        <v>0.83</v>
      </c>
      <c r="I2" s="1">
        <v>0.77</v>
      </c>
      <c r="J2" s="1">
        <v>0.65</v>
      </c>
      <c r="K2" s="1">
        <v>0.74</v>
      </c>
      <c r="L2" s="1">
        <v>0.7</v>
      </c>
      <c r="M2" s="1">
        <v>0.86</v>
      </c>
      <c r="N2" s="1">
        <v>0.83</v>
      </c>
      <c r="O2" s="1">
        <v>0.82</v>
      </c>
      <c r="P2" s="1">
        <v>0.74</v>
      </c>
      <c r="Q2" s="1">
        <v>0.81</v>
      </c>
      <c r="R2" s="1">
        <v>0.79</v>
      </c>
      <c r="S2" s="1">
        <f>_xlfn.LET(_xlpm.d,$G2:$R2,MAX(_xlpm.d))</f>
        <v>0.86</v>
      </c>
    </row>
    <row r="3" spans="1:19">
      <c r="A3" t="s">
        <v>19</v>
      </c>
      <c r="B3">
        <v>1</v>
      </c>
      <c r="C3" t="s">
        <v>25</v>
      </c>
      <c r="D3" t="b">
        <v>1</v>
      </c>
      <c r="E3">
        <v>2</v>
      </c>
      <c r="F3" t="s">
        <v>22</v>
      </c>
      <c r="G3" s="1">
        <v>0.79</v>
      </c>
      <c r="H3" s="1">
        <v>0.82</v>
      </c>
      <c r="I3" s="1">
        <v>0.82</v>
      </c>
      <c r="J3" s="1">
        <v>0.8</v>
      </c>
      <c r="K3" s="1">
        <v>0.8</v>
      </c>
      <c r="L3" s="1">
        <v>0.8</v>
      </c>
      <c r="M3" s="1">
        <v>0.92</v>
      </c>
      <c r="N3" s="1">
        <v>0.87</v>
      </c>
      <c r="O3" s="1">
        <v>0.83</v>
      </c>
      <c r="P3" s="1">
        <v>0.78</v>
      </c>
      <c r="Q3" s="1">
        <v>0.83</v>
      </c>
      <c r="R3" s="1">
        <v>0.83</v>
      </c>
      <c r="S3" s="1">
        <f>_xlfn.LET(_xlpm.d,$G3:$R3,MAX(_xlpm.d))</f>
        <v>0.92</v>
      </c>
    </row>
    <row r="4" spans="1:19">
      <c r="A4" t="s">
        <v>19</v>
      </c>
      <c r="B4">
        <v>1</v>
      </c>
      <c r="C4" t="s">
        <v>25</v>
      </c>
      <c r="D4" t="b">
        <v>1</v>
      </c>
      <c r="E4">
        <v>3</v>
      </c>
      <c r="F4" t="s">
        <v>23</v>
      </c>
      <c r="G4" s="1">
        <v>0.73</v>
      </c>
      <c r="H4" s="1">
        <v>0.81</v>
      </c>
      <c r="I4" s="1">
        <v>0.8</v>
      </c>
      <c r="J4" s="1">
        <v>0.72</v>
      </c>
      <c r="K4" s="1">
        <v>0.79</v>
      </c>
      <c r="L4" s="1">
        <v>0.76</v>
      </c>
      <c r="M4" s="1">
        <v>0.83</v>
      </c>
      <c r="N4" s="1">
        <v>0.82</v>
      </c>
      <c r="O4" s="1">
        <v>0.78</v>
      </c>
      <c r="P4" s="1">
        <v>0.72</v>
      </c>
      <c r="Q4" s="1">
        <v>0.83</v>
      </c>
      <c r="R4" s="1">
        <v>0.82</v>
      </c>
      <c r="S4" s="1">
        <f>_xlfn.LET(_xlpm.d,$G4:$R4,MAX(_xlpm.d))</f>
        <v>0.83</v>
      </c>
    </row>
    <row r="5" spans="1:19">
      <c r="A5" t="s">
        <v>19</v>
      </c>
      <c r="B5">
        <v>1</v>
      </c>
      <c r="C5" t="s">
        <v>25</v>
      </c>
      <c r="D5" t="b">
        <v>0</v>
      </c>
      <c r="E5">
        <v>1</v>
      </c>
      <c r="F5" t="s">
        <v>21</v>
      </c>
      <c r="G5" s="1">
        <v>0.72</v>
      </c>
      <c r="H5" s="1">
        <v>0.76</v>
      </c>
      <c r="I5" s="1">
        <v>0.72</v>
      </c>
      <c r="J5" s="1">
        <v>0.67</v>
      </c>
      <c r="K5" s="1">
        <v>0.8</v>
      </c>
      <c r="L5" s="1">
        <v>0.77</v>
      </c>
      <c r="M5" s="1">
        <v>0.85</v>
      </c>
      <c r="N5" s="1">
        <v>0.79</v>
      </c>
      <c r="O5" s="1">
        <v>0.82</v>
      </c>
      <c r="P5" s="1">
        <v>0.67</v>
      </c>
      <c r="Q5" s="1">
        <v>0.82</v>
      </c>
      <c r="R5" s="1">
        <v>0.77</v>
      </c>
      <c r="S5" s="1">
        <f>_xlfn.LET(_xlpm.d,$G5:$R5,MAX(_xlpm.d))</f>
        <v>0.85</v>
      </c>
    </row>
    <row r="6" spans="1:19">
      <c r="A6" t="s">
        <v>19</v>
      </c>
      <c r="B6">
        <v>1</v>
      </c>
      <c r="C6" t="s">
        <v>25</v>
      </c>
      <c r="D6" t="b">
        <v>0</v>
      </c>
      <c r="E6">
        <v>2</v>
      </c>
      <c r="F6" t="s">
        <v>22</v>
      </c>
      <c r="G6" s="1">
        <v>0.72</v>
      </c>
      <c r="H6" s="1">
        <v>0.77</v>
      </c>
      <c r="I6" s="1">
        <v>0.78</v>
      </c>
      <c r="J6" s="1">
        <v>0.78</v>
      </c>
      <c r="K6" s="1">
        <v>0.82</v>
      </c>
      <c r="L6" s="1">
        <v>0.79</v>
      </c>
      <c r="M6" s="1">
        <v>0.88</v>
      </c>
      <c r="N6" s="1">
        <v>0.82</v>
      </c>
      <c r="O6" s="1">
        <v>0.8</v>
      </c>
      <c r="P6" s="1">
        <v>0.7</v>
      </c>
      <c r="Q6" s="1">
        <v>0.84</v>
      </c>
      <c r="R6" s="1">
        <v>0.84</v>
      </c>
      <c r="S6" s="1">
        <f>_xlfn.LET(_xlpm.d,$G6:$R6,MAX(_xlpm.d))</f>
        <v>0.88</v>
      </c>
    </row>
    <row r="7" spans="1:19">
      <c r="A7" t="s">
        <v>19</v>
      </c>
      <c r="B7">
        <v>1</v>
      </c>
      <c r="C7" t="s">
        <v>25</v>
      </c>
      <c r="D7" t="b">
        <v>0</v>
      </c>
      <c r="E7">
        <v>3</v>
      </c>
      <c r="F7" t="s">
        <v>23</v>
      </c>
      <c r="G7" s="1">
        <v>0.71</v>
      </c>
      <c r="H7" s="1">
        <v>0.75</v>
      </c>
      <c r="I7" s="1">
        <v>0.78</v>
      </c>
      <c r="J7" s="1">
        <v>0.66</v>
      </c>
      <c r="K7" s="1">
        <v>0.78</v>
      </c>
      <c r="L7" s="1">
        <v>0.76</v>
      </c>
      <c r="M7" s="1">
        <v>0.82</v>
      </c>
      <c r="N7" s="1">
        <v>0.77</v>
      </c>
      <c r="O7" s="1">
        <v>0.75</v>
      </c>
      <c r="P7" s="1">
        <v>0.64</v>
      </c>
      <c r="Q7" s="1">
        <v>0.84</v>
      </c>
      <c r="R7" s="1">
        <v>0.85</v>
      </c>
      <c r="S7" s="1">
        <f>_xlfn.LET(_xlpm.d,$G7:$R7,MAX(_xlpm.d))</f>
        <v>0.85</v>
      </c>
    </row>
    <row r="8" spans="1:19">
      <c r="A8" t="s">
        <v>19</v>
      </c>
      <c r="B8">
        <v>2</v>
      </c>
      <c r="C8" t="s">
        <v>24</v>
      </c>
      <c r="D8" t="b">
        <v>1</v>
      </c>
      <c r="E8">
        <v>1</v>
      </c>
      <c r="F8" t="s">
        <v>21</v>
      </c>
      <c r="G8" s="1">
        <v>0.5</v>
      </c>
      <c r="H8" s="1">
        <v>0.43</v>
      </c>
      <c r="I8" s="1">
        <v>0.47</v>
      </c>
      <c r="J8" s="1">
        <v>0.53</v>
      </c>
      <c r="K8" s="1">
        <v>0.52</v>
      </c>
      <c r="L8" s="1">
        <v>0.5</v>
      </c>
      <c r="M8" s="1">
        <v>0.47</v>
      </c>
      <c r="N8" s="1">
        <v>0.5</v>
      </c>
      <c r="O8" s="1">
        <v>0.44</v>
      </c>
      <c r="P8" s="1">
        <v>0.48</v>
      </c>
      <c r="Q8" s="1">
        <v>0.5</v>
      </c>
      <c r="R8" s="1">
        <v>0.41</v>
      </c>
      <c r="S8" s="1">
        <f>_xlfn.LET(_xlpm.d,$G8:$R8,MAX(_xlpm.d))</f>
        <v>0.53</v>
      </c>
    </row>
    <row r="9" spans="1:19">
      <c r="A9" t="s">
        <v>19</v>
      </c>
      <c r="B9">
        <v>2</v>
      </c>
      <c r="C9" t="s">
        <v>24</v>
      </c>
      <c r="D9" t="b">
        <v>1</v>
      </c>
      <c r="E9">
        <v>2</v>
      </c>
      <c r="F9" t="s">
        <v>22</v>
      </c>
      <c r="G9" s="1">
        <v>0.64</v>
      </c>
      <c r="H9" s="1">
        <v>0.55000000000000004</v>
      </c>
      <c r="I9" s="1">
        <v>0.54</v>
      </c>
      <c r="J9" s="1">
        <v>0.56999999999999995</v>
      </c>
      <c r="K9" s="1">
        <v>0.56000000000000005</v>
      </c>
      <c r="L9" s="1">
        <v>0.55000000000000004</v>
      </c>
      <c r="M9" s="1">
        <v>0.5</v>
      </c>
      <c r="N9" s="1">
        <v>0.55000000000000004</v>
      </c>
      <c r="O9" s="1">
        <v>0.51</v>
      </c>
      <c r="P9" s="1">
        <v>0.55000000000000004</v>
      </c>
      <c r="Q9" s="1">
        <v>0.6</v>
      </c>
      <c r="R9" s="1">
        <v>0.5</v>
      </c>
      <c r="S9" s="1">
        <f>_xlfn.LET(_xlpm.d,$G9:$R9,MAX(_xlpm.d))</f>
        <v>0.64</v>
      </c>
    </row>
    <row r="10" spans="1:19">
      <c r="A10" t="s">
        <v>19</v>
      </c>
      <c r="B10">
        <v>2</v>
      </c>
      <c r="C10" t="s">
        <v>24</v>
      </c>
      <c r="D10" t="b">
        <v>1</v>
      </c>
      <c r="E10">
        <v>3</v>
      </c>
      <c r="F10" t="s">
        <v>23</v>
      </c>
      <c r="G10" s="1">
        <v>0.55000000000000004</v>
      </c>
      <c r="H10" s="1">
        <v>0.52</v>
      </c>
      <c r="I10" s="1">
        <v>0.53</v>
      </c>
      <c r="J10" s="1">
        <v>0.5</v>
      </c>
      <c r="K10" s="1">
        <v>0.57999999999999996</v>
      </c>
      <c r="L10" s="1">
        <v>0.54</v>
      </c>
      <c r="M10" s="1">
        <v>0.52</v>
      </c>
      <c r="N10" s="1">
        <v>0.51</v>
      </c>
      <c r="O10" s="1">
        <v>0.55000000000000004</v>
      </c>
      <c r="P10" s="1">
        <v>0.54</v>
      </c>
      <c r="Q10" s="1">
        <v>0.59</v>
      </c>
      <c r="R10" s="1">
        <v>0.49</v>
      </c>
      <c r="S10" s="1">
        <f>_xlfn.LET(_xlpm.d,$G10:$R10,MAX(_xlpm.d))</f>
        <v>0.59</v>
      </c>
    </row>
    <row r="11" spans="1:19">
      <c r="A11" t="s">
        <v>19</v>
      </c>
      <c r="B11">
        <v>2</v>
      </c>
      <c r="C11" t="s">
        <v>24</v>
      </c>
      <c r="D11" t="b">
        <v>0</v>
      </c>
      <c r="E11">
        <v>1</v>
      </c>
      <c r="F11" t="s">
        <v>21</v>
      </c>
      <c r="G11" s="1">
        <v>0.44</v>
      </c>
      <c r="H11" s="1">
        <v>0.5</v>
      </c>
      <c r="I11" s="1">
        <v>0.48</v>
      </c>
      <c r="J11" s="1">
        <v>0.53</v>
      </c>
      <c r="K11" s="1">
        <v>0.44</v>
      </c>
      <c r="L11" s="1">
        <v>0.51</v>
      </c>
      <c r="M11" s="1">
        <v>0.44</v>
      </c>
      <c r="N11" s="1">
        <v>0.44</v>
      </c>
      <c r="O11" s="1">
        <v>0.42</v>
      </c>
      <c r="P11" s="1">
        <v>0.53</v>
      </c>
      <c r="Q11" s="1">
        <v>0.47</v>
      </c>
      <c r="R11" s="1">
        <v>0.47</v>
      </c>
      <c r="S11" s="1">
        <f>_xlfn.LET(_xlpm.d,$G11:$R11,MAX(_xlpm.d))</f>
        <v>0.53</v>
      </c>
    </row>
    <row r="12" spans="1:19">
      <c r="A12" t="s">
        <v>19</v>
      </c>
      <c r="B12">
        <v>2</v>
      </c>
      <c r="C12" t="s">
        <v>24</v>
      </c>
      <c r="D12" t="b">
        <v>0</v>
      </c>
      <c r="E12">
        <v>2</v>
      </c>
      <c r="F12" t="s">
        <v>22</v>
      </c>
      <c r="G12" s="1">
        <v>0.56000000000000005</v>
      </c>
      <c r="H12" s="1">
        <v>0.56000000000000005</v>
      </c>
      <c r="I12" s="1">
        <v>0.52</v>
      </c>
      <c r="J12" s="1">
        <v>0.6</v>
      </c>
      <c r="K12" s="1">
        <v>0.55000000000000004</v>
      </c>
      <c r="L12" s="1">
        <v>0.56999999999999995</v>
      </c>
      <c r="M12" s="1">
        <v>0.5</v>
      </c>
      <c r="N12" s="1">
        <v>0.52</v>
      </c>
      <c r="O12" s="1">
        <v>0.48</v>
      </c>
      <c r="P12" s="1">
        <v>0.61</v>
      </c>
      <c r="Q12" s="1">
        <v>0.54</v>
      </c>
      <c r="R12" s="1">
        <v>0.48</v>
      </c>
      <c r="S12" s="1">
        <f>_xlfn.LET(_xlpm.d,$G12:$R12,MAX(_xlpm.d))</f>
        <v>0.61</v>
      </c>
    </row>
    <row r="13" spans="1:19">
      <c r="A13" t="s">
        <v>19</v>
      </c>
      <c r="B13">
        <v>2</v>
      </c>
      <c r="C13" t="s">
        <v>24</v>
      </c>
      <c r="D13" t="b">
        <v>0</v>
      </c>
      <c r="E13">
        <v>3</v>
      </c>
      <c r="F13" t="s">
        <v>23</v>
      </c>
      <c r="G13" s="1">
        <v>0.57999999999999996</v>
      </c>
      <c r="H13" s="1">
        <v>0.5</v>
      </c>
      <c r="I13" s="1">
        <v>0.48</v>
      </c>
      <c r="J13" s="1">
        <v>0.53</v>
      </c>
      <c r="K13" s="1">
        <v>0.51</v>
      </c>
      <c r="L13" s="1">
        <v>0.5</v>
      </c>
      <c r="M13" s="1">
        <v>0.5</v>
      </c>
      <c r="N13" s="1">
        <v>0.51</v>
      </c>
      <c r="O13" s="1">
        <v>0.47</v>
      </c>
      <c r="P13" s="1">
        <v>0.51</v>
      </c>
      <c r="Q13" s="1">
        <v>0.56000000000000005</v>
      </c>
      <c r="R13" s="1">
        <v>0.52</v>
      </c>
      <c r="S13" s="1">
        <f>_xlfn.LET(_xlpm.d,$G13:$R13,MAX(_xlpm.d))</f>
        <v>0.57999999999999996</v>
      </c>
    </row>
    <row r="14" spans="1:19">
      <c r="A14" t="s">
        <v>19</v>
      </c>
      <c r="B14">
        <v>3</v>
      </c>
      <c r="C14" t="s">
        <v>20</v>
      </c>
      <c r="D14" t="b">
        <v>1</v>
      </c>
      <c r="E14">
        <v>1</v>
      </c>
      <c r="F14" t="s">
        <v>21</v>
      </c>
      <c r="G14" s="1">
        <v>0.38</v>
      </c>
      <c r="H14" s="1">
        <v>0.34</v>
      </c>
      <c r="I14" s="1">
        <v>0.41</v>
      </c>
      <c r="J14" s="1">
        <v>0.39</v>
      </c>
      <c r="K14" s="1">
        <v>0.39</v>
      </c>
      <c r="L14" s="1">
        <v>0.36</v>
      </c>
      <c r="M14" s="1">
        <v>0.38</v>
      </c>
      <c r="N14" s="1">
        <v>0.39</v>
      </c>
      <c r="O14" s="1">
        <v>0.45</v>
      </c>
      <c r="P14" s="1">
        <v>0.31</v>
      </c>
      <c r="Q14" s="1">
        <v>0.42</v>
      </c>
      <c r="R14" s="1">
        <v>0.28999999999999998</v>
      </c>
      <c r="S14" s="1">
        <f>_xlfn.LET(_xlpm.d,$G14:$R14,MAX(_xlpm.d))</f>
        <v>0.45</v>
      </c>
    </row>
    <row r="15" spans="1:19">
      <c r="A15" t="s">
        <v>19</v>
      </c>
      <c r="B15">
        <v>3</v>
      </c>
      <c r="C15" t="s">
        <v>20</v>
      </c>
      <c r="D15" t="b">
        <v>1</v>
      </c>
      <c r="E15">
        <v>2</v>
      </c>
      <c r="F15" t="s">
        <v>22</v>
      </c>
      <c r="G15" s="1">
        <v>0.38</v>
      </c>
      <c r="H15" s="1">
        <v>0.4</v>
      </c>
      <c r="I15" s="1">
        <v>0.34</v>
      </c>
      <c r="J15" s="1">
        <v>0.41</v>
      </c>
      <c r="K15" s="1">
        <v>0.42</v>
      </c>
      <c r="L15" s="1">
        <v>0.42</v>
      </c>
      <c r="M15" s="1">
        <v>0.4</v>
      </c>
      <c r="N15" s="1">
        <v>0.35</v>
      </c>
      <c r="O15" s="1">
        <v>0.43</v>
      </c>
      <c r="P15" s="1">
        <v>0.33</v>
      </c>
      <c r="Q15" s="1">
        <v>0.42</v>
      </c>
      <c r="R15" s="1">
        <v>0.38</v>
      </c>
      <c r="S15" s="1">
        <f>_xlfn.LET(_xlpm.d,$G15:$R15,MAX(_xlpm.d))</f>
        <v>0.43</v>
      </c>
    </row>
    <row r="16" spans="1:19">
      <c r="A16" t="s">
        <v>19</v>
      </c>
      <c r="B16">
        <v>3</v>
      </c>
      <c r="C16" t="s">
        <v>20</v>
      </c>
      <c r="D16" t="b">
        <v>1</v>
      </c>
      <c r="E16">
        <v>3</v>
      </c>
      <c r="F16" t="s">
        <v>23</v>
      </c>
      <c r="G16" s="1">
        <v>0.32</v>
      </c>
      <c r="H16" s="1">
        <v>0.33</v>
      </c>
      <c r="I16" s="1">
        <v>0.42</v>
      </c>
      <c r="J16" s="1">
        <v>0.28999999999999998</v>
      </c>
      <c r="K16" s="1">
        <v>0.33</v>
      </c>
      <c r="L16" s="1">
        <v>0.43</v>
      </c>
      <c r="M16" s="1">
        <v>0.37</v>
      </c>
      <c r="N16" s="1">
        <v>0.34</v>
      </c>
      <c r="O16" s="1">
        <v>0.39</v>
      </c>
      <c r="P16" s="1">
        <v>0.33</v>
      </c>
      <c r="Q16" s="1">
        <v>0.35</v>
      </c>
      <c r="R16" s="1">
        <v>0.38</v>
      </c>
      <c r="S16" s="1">
        <f>_xlfn.LET(_xlpm.d,$G16:$R16,MAX(_xlpm.d))</f>
        <v>0.43</v>
      </c>
    </row>
    <row r="17" spans="1:19">
      <c r="A17" t="s">
        <v>19</v>
      </c>
      <c r="B17">
        <v>3</v>
      </c>
      <c r="C17" t="s">
        <v>20</v>
      </c>
      <c r="D17" t="b">
        <v>0</v>
      </c>
      <c r="E17">
        <v>1</v>
      </c>
      <c r="F17" t="s">
        <v>21</v>
      </c>
      <c r="G17" s="1">
        <v>0.38</v>
      </c>
      <c r="H17" s="1">
        <v>0.39</v>
      </c>
      <c r="I17" s="1">
        <v>0.28000000000000003</v>
      </c>
      <c r="J17" s="1">
        <v>0.34</v>
      </c>
      <c r="K17" s="1">
        <v>0.36</v>
      </c>
      <c r="L17" s="1">
        <v>0.37</v>
      </c>
      <c r="M17" s="1">
        <v>0.42</v>
      </c>
      <c r="N17" s="1">
        <v>0.38</v>
      </c>
      <c r="O17" s="1">
        <v>0.43</v>
      </c>
      <c r="P17" s="1">
        <v>0.44</v>
      </c>
      <c r="Q17" s="1">
        <v>0.37</v>
      </c>
      <c r="R17" s="1">
        <v>0.41</v>
      </c>
      <c r="S17" s="1">
        <f>_xlfn.LET(_xlpm.d,$G17:$R17,MAX(_xlpm.d))</f>
        <v>0.44</v>
      </c>
    </row>
    <row r="18" spans="1:19">
      <c r="A18" t="s">
        <v>19</v>
      </c>
      <c r="B18">
        <v>3</v>
      </c>
      <c r="C18" t="s">
        <v>20</v>
      </c>
      <c r="D18" t="b">
        <v>0</v>
      </c>
      <c r="E18">
        <v>2</v>
      </c>
      <c r="F18" t="s">
        <v>22</v>
      </c>
      <c r="G18" s="1">
        <v>0.36</v>
      </c>
      <c r="H18" s="1">
        <v>0.38</v>
      </c>
      <c r="I18" s="1">
        <v>0.36</v>
      </c>
      <c r="J18" s="1">
        <v>0.42</v>
      </c>
      <c r="K18" s="1">
        <v>0.4</v>
      </c>
      <c r="L18" s="1">
        <v>0.4</v>
      </c>
      <c r="M18" s="1">
        <v>0.42</v>
      </c>
      <c r="N18" s="1">
        <v>0.39</v>
      </c>
      <c r="O18" s="1">
        <v>0.46</v>
      </c>
      <c r="P18" s="1">
        <v>0.38</v>
      </c>
      <c r="Q18" s="1">
        <v>0.37</v>
      </c>
      <c r="R18" s="1">
        <v>0.38</v>
      </c>
      <c r="S18" s="1">
        <f>_xlfn.LET(_xlpm.d,$G18:$R18,MAX(_xlpm.d))</f>
        <v>0.46</v>
      </c>
    </row>
    <row r="19" spans="1:19">
      <c r="A19" t="s">
        <v>19</v>
      </c>
      <c r="B19">
        <v>3</v>
      </c>
      <c r="C19" t="s">
        <v>20</v>
      </c>
      <c r="D19" t="b">
        <v>0</v>
      </c>
      <c r="E19">
        <v>3</v>
      </c>
      <c r="F19" t="s">
        <v>23</v>
      </c>
      <c r="G19" s="1">
        <v>0.31</v>
      </c>
      <c r="H19" s="1">
        <v>0.32</v>
      </c>
      <c r="I19" s="1">
        <v>0.32</v>
      </c>
      <c r="J19" s="1">
        <v>0.33</v>
      </c>
      <c r="K19" s="1">
        <v>0.39</v>
      </c>
      <c r="L19" s="1">
        <v>0.4</v>
      </c>
      <c r="M19" s="1">
        <v>0.3</v>
      </c>
      <c r="N19" s="1">
        <v>0.28000000000000003</v>
      </c>
      <c r="O19" s="1">
        <v>0.33</v>
      </c>
      <c r="P19" s="1">
        <v>0.27</v>
      </c>
      <c r="Q19" s="1">
        <v>0.4</v>
      </c>
      <c r="R19" s="1">
        <v>0.33</v>
      </c>
      <c r="S19" s="1">
        <f>_xlfn.LET(_xlpm.d,$G19:$R19,MAX(_xlpm.d))</f>
        <v>0.4</v>
      </c>
    </row>
  </sheetData>
  <conditionalFormatting sqref="G2:S19">
    <cfRule type="colorScale" priority="1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13E53-359D-2E41-B25B-C90583A6245B}">
  <dimension ref="A1:S19"/>
  <sheetViews>
    <sheetView workbookViewId="0">
      <pane xSplit="12480" ySplit="4400" activePane="bottomLeft"/>
      <selection activeCell="E1" sqref="E1:E1048576"/>
      <selection pane="topRight" activeCell="G7" sqref="G7"/>
      <selection pane="bottomLeft" activeCell="B8" sqref="B8"/>
      <selection pane="bottomRight" activeCell="U19" sqref="U19"/>
    </sheetView>
  </sheetViews>
  <sheetFormatPr baseColWidth="10" defaultRowHeight="22"/>
  <cols>
    <col min="2" max="2" width="9.125" customWidth="1"/>
    <col min="4" max="4" width="11.875" customWidth="1"/>
    <col min="5" max="5" width="9" customWidth="1"/>
    <col min="7" max="9" width="12.375" customWidth="1"/>
    <col min="10" max="12" width="15.25" customWidth="1"/>
    <col min="13" max="15" width="16.5" customWidth="1"/>
    <col min="16" max="18" width="19.375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 t="s">
        <v>19</v>
      </c>
      <c r="B2">
        <v>1</v>
      </c>
      <c r="C2" t="s">
        <v>25</v>
      </c>
      <c r="D2" t="b">
        <v>1</v>
      </c>
      <c r="E2">
        <v>1</v>
      </c>
      <c r="F2" t="s">
        <v>21</v>
      </c>
      <c r="G2" s="1">
        <v>0.79</v>
      </c>
      <c r="H2" s="1">
        <v>0.87</v>
      </c>
      <c r="I2" s="1">
        <v>0.74</v>
      </c>
      <c r="J2" s="1">
        <v>0.78</v>
      </c>
      <c r="K2" s="1">
        <v>0.77</v>
      </c>
      <c r="L2" s="1">
        <v>0.74</v>
      </c>
      <c r="M2" s="1">
        <v>0.81</v>
      </c>
      <c r="N2" s="1">
        <v>0.72</v>
      </c>
      <c r="O2" s="1">
        <v>0.82</v>
      </c>
      <c r="P2" s="1">
        <v>0.76</v>
      </c>
      <c r="Q2" s="1">
        <v>0.79</v>
      </c>
      <c r="R2" s="1">
        <v>0.75</v>
      </c>
      <c r="S2" s="1">
        <f t="shared" ref="S2:S19" si="0">_xlfn.LET(_xlpm.d,$G2:$R2,MAX(_xlpm.d))</f>
        <v>0.87</v>
      </c>
    </row>
    <row r="3" spans="1:19">
      <c r="A3" t="s">
        <v>19</v>
      </c>
      <c r="B3">
        <v>1</v>
      </c>
      <c r="C3" t="s">
        <v>25</v>
      </c>
      <c r="D3" t="b">
        <v>1</v>
      </c>
      <c r="E3">
        <v>2</v>
      </c>
      <c r="F3" t="s">
        <v>22</v>
      </c>
      <c r="G3" s="1">
        <v>0.83</v>
      </c>
      <c r="H3" s="1">
        <v>0.85</v>
      </c>
      <c r="I3" s="1">
        <v>0.81</v>
      </c>
      <c r="J3" s="1">
        <v>0.81</v>
      </c>
      <c r="K3" s="1">
        <v>0.81</v>
      </c>
      <c r="L3" s="1">
        <v>0.8</v>
      </c>
      <c r="M3" s="1">
        <v>0.83</v>
      </c>
      <c r="N3" s="1">
        <v>0.83</v>
      </c>
      <c r="O3" s="1">
        <v>0.86</v>
      </c>
      <c r="P3" s="1">
        <v>0.79</v>
      </c>
      <c r="Q3" s="1">
        <v>0.86</v>
      </c>
      <c r="R3" s="1">
        <v>0.84</v>
      </c>
      <c r="S3" s="1">
        <f t="shared" si="0"/>
        <v>0.86</v>
      </c>
    </row>
    <row r="4" spans="1:19">
      <c r="A4" t="s">
        <v>19</v>
      </c>
      <c r="B4">
        <v>1</v>
      </c>
      <c r="C4" t="s">
        <v>25</v>
      </c>
      <c r="D4" t="b">
        <v>1</v>
      </c>
      <c r="E4">
        <v>3</v>
      </c>
      <c r="F4" t="s">
        <v>23</v>
      </c>
      <c r="G4" s="1">
        <v>0.8</v>
      </c>
      <c r="H4" s="1">
        <v>0.81</v>
      </c>
      <c r="I4" s="1">
        <v>0.8</v>
      </c>
      <c r="J4" s="1">
        <v>0.81</v>
      </c>
      <c r="K4" s="1">
        <v>0.79</v>
      </c>
      <c r="L4" s="1">
        <v>0.78</v>
      </c>
      <c r="M4" s="1">
        <v>0.73</v>
      </c>
      <c r="N4" s="1">
        <v>0.78</v>
      </c>
      <c r="O4" s="1">
        <v>0.78</v>
      </c>
      <c r="P4" s="1">
        <v>0.81</v>
      </c>
      <c r="Q4" s="1">
        <v>0.77</v>
      </c>
      <c r="R4" s="1">
        <v>0.79</v>
      </c>
      <c r="S4" s="1">
        <f t="shared" si="0"/>
        <v>0.81</v>
      </c>
    </row>
    <row r="5" spans="1:19">
      <c r="A5" t="s">
        <v>19</v>
      </c>
      <c r="B5">
        <v>2</v>
      </c>
      <c r="C5" t="s">
        <v>24</v>
      </c>
      <c r="D5" t="b">
        <v>1</v>
      </c>
      <c r="E5">
        <v>1</v>
      </c>
      <c r="F5" t="s">
        <v>21</v>
      </c>
      <c r="G5" s="1">
        <v>0.54</v>
      </c>
      <c r="H5" s="1">
        <v>0.55000000000000004</v>
      </c>
      <c r="I5" s="1">
        <v>0.56000000000000005</v>
      </c>
      <c r="J5" s="1">
        <v>0.45</v>
      </c>
      <c r="K5" s="1">
        <v>0.52</v>
      </c>
      <c r="L5" s="1">
        <v>0.5</v>
      </c>
      <c r="M5" s="1">
        <v>0.52</v>
      </c>
      <c r="N5" s="1">
        <v>0.56000000000000005</v>
      </c>
      <c r="O5" s="1">
        <v>0.55000000000000004</v>
      </c>
      <c r="P5" s="1">
        <v>0.49</v>
      </c>
      <c r="Q5" s="1">
        <v>0.45</v>
      </c>
      <c r="R5" s="1">
        <v>0.49</v>
      </c>
      <c r="S5" s="1">
        <f t="shared" si="0"/>
        <v>0.56000000000000005</v>
      </c>
    </row>
    <row r="6" spans="1:19">
      <c r="A6" t="s">
        <v>19</v>
      </c>
      <c r="B6">
        <v>2</v>
      </c>
      <c r="C6" t="s">
        <v>24</v>
      </c>
      <c r="D6" t="b">
        <v>1</v>
      </c>
      <c r="E6">
        <v>2</v>
      </c>
      <c r="F6" t="s">
        <v>22</v>
      </c>
      <c r="G6" s="1">
        <v>0.61</v>
      </c>
      <c r="H6" s="1">
        <v>0.57999999999999996</v>
      </c>
      <c r="I6" s="1">
        <v>0.63</v>
      </c>
      <c r="J6" s="1">
        <v>0.54</v>
      </c>
      <c r="K6" s="1">
        <v>0.62</v>
      </c>
      <c r="L6" s="1">
        <v>0.57999999999999996</v>
      </c>
      <c r="M6" s="1">
        <v>0.56999999999999995</v>
      </c>
      <c r="N6" s="1">
        <v>0.6</v>
      </c>
      <c r="O6" s="1">
        <v>0.6</v>
      </c>
      <c r="P6" s="1">
        <v>0.56000000000000005</v>
      </c>
      <c r="Q6" s="1">
        <v>0.56999999999999995</v>
      </c>
      <c r="R6" s="1">
        <v>0.56999999999999995</v>
      </c>
      <c r="S6" s="1">
        <f t="shared" si="0"/>
        <v>0.63</v>
      </c>
    </row>
    <row r="7" spans="1:19">
      <c r="A7" t="s">
        <v>19</v>
      </c>
      <c r="B7">
        <v>2</v>
      </c>
      <c r="C7" t="s">
        <v>24</v>
      </c>
      <c r="D7" t="b">
        <v>1</v>
      </c>
      <c r="E7">
        <v>3</v>
      </c>
      <c r="F7" t="s">
        <v>23</v>
      </c>
      <c r="G7" s="1">
        <v>0.53</v>
      </c>
      <c r="H7" s="1">
        <v>0.6</v>
      </c>
      <c r="I7" s="1">
        <v>0.63</v>
      </c>
      <c r="J7" s="1">
        <v>0.59</v>
      </c>
      <c r="K7" s="1">
        <v>0.56000000000000005</v>
      </c>
      <c r="L7" s="1">
        <v>0.61</v>
      </c>
      <c r="M7" s="1">
        <v>0.56000000000000005</v>
      </c>
      <c r="N7" s="1">
        <v>0.52</v>
      </c>
      <c r="O7" s="1">
        <v>0.56000000000000005</v>
      </c>
      <c r="P7" s="1">
        <v>0.56000000000000005</v>
      </c>
      <c r="Q7" s="1">
        <v>0.6</v>
      </c>
      <c r="R7" s="1">
        <v>0.52</v>
      </c>
      <c r="S7" s="1">
        <f t="shared" si="0"/>
        <v>0.63</v>
      </c>
    </row>
    <row r="8" spans="1:19">
      <c r="A8" t="s">
        <v>19</v>
      </c>
      <c r="B8">
        <v>3</v>
      </c>
      <c r="C8" t="s">
        <v>20</v>
      </c>
      <c r="D8" t="b">
        <v>1</v>
      </c>
      <c r="E8">
        <v>1</v>
      </c>
      <c r="F8" t="s">
        <v>21</v>
      </c>
      <c r="G8" s="1">
        <v>0.39</v>
      </c>
      <c r="H8" s="1">
        <v>0.37</v>
      </c>
      <c r="I8" s="1">
        <v>0.36</v>
      </c>
      <c r="J8" s="1">
        <v>0.36</v>
      </c>
      <c r="K8" s="1">
        <v>0.4</v>
      </c>
      <c r="L8" s="1">
        <v>0.36</v>
      </c>
      <c r="M8" s="1">
        <v>0.28999999999999998</v>
      </c>
      <c r="N8" s="1">
        <v>0.38</v>
      </c>
      <c r="O8" s="1">
        <v>0.42</v>
      </c>
      <c r="P8" s="1">
        <v>0.38</v>
      </c>
      <c r="Q8" s="1">
        <v>0.33</v>
      </c>
      <c r="R8" s="1">
        <v>0.35</v>
      </c>
      <c r="S8" s="1">
        <f t="shared" si="0"/>
        <v>0.42</v>
      </c>
    </row>
    <row r="9" spans="1:19">
      <c r="A9" t="s">
        <v>19</v>
      </c>
      <c r="B9">
        <v>3</v>
      </c>
      <c r="C9" t="s">
        <v>20</v>
      </c>
      <c r="D9" t="b">
        <v>1</v>
      </c>
      <c r="E9">
        <v>2</v>
      </c>
      <c r="F9" t="s">
        <v>22</v>
      </c>
      <c r="G9" s="1">
        <v>0.42</v>
      </c>
      <c r="H9" s="1">
        <v>0.44</v>
      </c>
      <c r="I9" s="1">
        <v>0.41</v>
      </c>
      <c r="J9" s="1">
        <v>0.46</v>
      </c>
      <c r="K9" s="1">
        <v>0.43</v>
      </c>
      <c r="L9" s="1">
        <v>0.35</v>
      </c>
      <c r="M9" s="1">
        <v>0.39</v>
      </c>
      <c r="N9" s="1">
        <v>0.43</v>
      </c>
      <c r="O9" s="1">
        <v>0.49</v>
      </c>
      <c r="P9" s="1">
        <v>0.41</v>
      </c>
      <c r="Q9" s="1">
        <v>0.36</v>
      </c>
      <c r="R9" s="1">
        <v>0.41</v>
      </c>
      <c r="S9" s="1">
        <f t="shared" si="0"/>
        <v>0.49</v>
      </c>
    </row>
    <row r="10" spans="1:19">
      <c r="A10" t="s">
        <v>19</v>
      </c>
      <c r="B10">
        <v>3</v>
      </c>
      <c r="C10" t="s">
        <v>20</v>
      </c>
      <c r="D10" t="b">
        <v>1</v>
      </c>
      <c r="E10">
        <v>3</v>
      </c>
      <c r="F10" t="s">
        <v>23</v>
      </c>
      <c r="G10" s="1">
        <v>0.36</v>
      </c>
      <c r="H10" s="1">
        <v>0.4</v>
      </c>
      <c r="I10" s="1">
        <v>0.33</v>
      </c>
      <c r="J10" s="1">
        <v>0.38</v>
      </c>
      <c r="K10" s="1">
        <v>0.33</v>
      </c>
      <c r="L10" s="1">
        <v>0.35</v>
      </c>
      <c r="M10" s="1">
        <v>0.36</v>
      </c>
      <c r="N10" s="1">
        <v>0.36</v>
      </c>
      <c r="O10" s="1">
        <v>0.35</v>
      </c>
      <c r="P10" s="1">
        <v>0.38</v>
      </c>
      <c r="Q10" s="1">
        <v>0.37</v>
      </c>
      <c r="R10" s="1">
        <v>0.34</v>
      </c>
      <c r="S10" s="1">
        <f t="shared" si="0"/>
        <v>0.4</v>
      </c>
    </row>
    <row r="11" spans="1:19">
      <c r="A11" t="s">
        <v>19</v>
      </c>
      <c r="B11">
        <v>1</v>
      </c>
      <c r="C11" t="s">
        <v>25</v>
      </c>
      <c r="D11" t="b">
        <v>0</v>
      </c>
      <c r="E11">
        <v>1</v>
      </c>
      <c r="F11" t="s">
        <v>21</v>
      </c>
      <c r="G11" s="1">
        <v>0.76</v>
      </c>
      <c r="H11" s="1">
        <v>0.82</v>
      </c>
      <c r="I11" s="1">
        <v>0.76</v>
      </c>
      <c r="J11" s="1">
        <v>0.7</v>
      </c>
      <c r="K11" s="1">
        <v>0.78</v>
      </c>
      <c r="L11" s="1">
        <v>0.7</v>
      </c>
      <c r="M11" s="1">
        <v>0.8</v>
      </c>
      <c r="N11" s="1">
        <v>0.78</v>
      </c>
      <c r="O11" s="1">
        <v>0.74</v>
      </c>
      <c r="P11" s="1">
        <v>0.74</v>
      </c>
      <c r="Q11" s="1">
        <v>0.77</v>
      </c>
      <c r="R11" s="1">
        <v>0.78</v>
      </c>
      <c r="S11" s="1">
        <f t="shared" si="0"/>
        <v>0.82</v>
      </c>
    </row>
    <row r="12" spans="1:19">
      <c r="A12" t="s">
        <v>19</v>
      </c>
      <c r="B12">
        <v>1</v>
      </c>
      <c r="C12" t="s">
        <v>25</v>
      </c>
      <c r="D12" t="b">
        <v>0</v>
      </c>
      <c r="E12">
        <v>2</v>
      </c>
      <c r="F12" t="s">
        <v>22</v>
      </c>
      <c r="G12" s="1">
        <v>0.78</v>
      </c>
      <c r="H12" s="1">
        <v>0.84</v>
      </c>
      <c r="I12" s="1">
        <v>0.76</v>
      </c>
      <c r="J12" s="1">
        <v>0.81</v>
      </c>
      <c r="K12" s="1">
        <v>0.81</v>
      </c>
      <c r="L12" s="1">
        <v>0.81</v>
      </c>
      <c r="M12" s="1">
        <v>0.76</v>
      </c>
      <c r="N12" s="1">
        <v>0.81</v>
      </c>
      <c r="O12" s="1">
        <v>0.81</v>
      </c>
      <c r="P12" s="1">
        <v>0.76</v>
      </c>
      <c r="Q12" s="1">
        <v>0.82</v>
      </c>
      <c r="R12" s="1">
        <v>0.82</v>
      </c>
      <c r="S12" s="1">
        <f t="shared" si="0"/>
        <v>0.84</v>
      </c>
    </row>
    <row r="13" spans="1:19">
      <c r="A13" t="s">
        <v>19</v>
      </c>
      <c r="B13">
        <v>1</v>
      </c>
      <c r="C13" t="s">
        <v>25</v>
      </c>
      <c r="D13" t="b">
        <v>0</v>
      </c>
      <c r="E13">
        <v>3</v>
      </c>
      <c r="F13" t="s">
        <v>23</v>
      </c>
      <c r="G13" s="1">
        <v>0.77</v>
      </c>
      <c r="H13" s="1">
        <v>0.8</v>
      </c>
      <c r="I13" s="1">
        <v>0.74</v>
      </c>
      <c r="J13" s="1">
        <v>0.77</v>
      </c>
      <c r="K13" s="1">
        <v>0.79</v>
      </c>
      <c r="L13" s="1">
        <v>0.76</v>
      </c>
      <c r="M13" s="1">
        <v>0.76</v>
      </c>
      <c r="N13" s="1">
        <v>0.79</v>
      </c>
      <c r="O13" s="1">
        <v>0.72</v>
      </c>
      <c r="P13" s="1">
        <v>0.75</v>
      </c>
      <c r="Q13" s="1">
        <v>0.82</v>
      </c>
      <c r="R13" s="1">
        <v>0.76</v>
      </c>
      <c r="S13" s="1">
        <f t="shared" si="0"/>
        <v>0.82</v>
      </c>
    </row>
    <row r="14" spans="1:19">
      <c r="A14" t="s">
        <v>19</v>
      </c>
      <c r="B14">
        <v>2</v>
      </c>
      <c r="C14" t="s">
        <v>24</v>
      </c>
      <c r="D14" t="b">
        <v>0</v>
      </c>
      <c r="E14">
        <v>1</v>
      </c>
      <c r="F14" t="s">
        <v>21</v>
      </c>
      <c r="G14" s="1">
        <v>0.55000000000000004</v>
      </c>
      <c r="H14" s="1">
        <v>0.52</v>
      </c>
      <c r="I14" s="1">
        <v>0.57999999999999996</v>
      </c>
      <c r="J14" s="1">
        <v>0.51</v>
      </c>
      <c r="K14" s="1">
        <v>0.55000000000000004</v>
      </c>
      <c r="L14" s="1">
        <v>0.47</v>
      </c>
      <c r="M14" s="1">
        <v>0.55000000000000004</v>
      </c>
      <c r="N14" s="1">
        <v>0.56000000000000005</v>
      </c>
      <c r="O14" s="1">
        <v>0.56000000000000005</v>
      </c>
      <c r="P14" s="1">
        <v>0.45</v>
      </c>
      <c r="Q14" s="1">
        <v>0.52</v>
      </c>
      <c r="R14" s="1">
        <v>0.52</v>
      </c>
      <c r="S14" s="1">
        <f t="shared" si="0"/>
        <v>0.57999999999999996</v>
      </c>
    </row>
    <row r="15" spans="1:19">
      <c r="A15" t="s">
        <v>19</v>
      </c>
      <c r="B15">
        <v>2</v>
      </c>
      <c r="C15" t="s">
        <v>24</v>
      </c>
      <c r="D15" t="b">
        <v>0</v>
      </c>
      <c r="E15">
        <v>2</v>
      </c>
      <c r="F15" t="s">
        <v>22</v>
      </c>
      <c r="G15" s="1">
        <v>0.59</v>
      </c>
      <c r="H15" s="1">
        <v>0.63</v>
      </c>
      <c r="I15" s="1">
        <v>0.59</v>
      </c>
      <c r="J15" s="1">
        <v>0.52</v>
      </c>
      <c r="K15" s="1">
        <v>0.61</v>
      </c>
      <c r="L15" s="1">
        <v>0.57999999999999996</v>
      </c>
      <c r="M15" s="1">
        <v>0.57999999999999996</v>
      </c>
      <c r="N15" s="1">
        <v>0.55000000000000004</v>
      </c>
      <c r="O15" s="1">
        <v>0.64</v>
      </c>
      <c r="P15" s="1">
        <v>0.55000000000000004</v>
      </c>
      <c r="Q15" s="1">
        <v>0.55000000000000004</v>
      </c>
      <c r="R15" s="1">
        <v>0.6</v>
      </c>
      <c r="S15" s="1">
        <f t="shared" si="0"/>
        <v>0.64</v>
      </c>
    </row>
    <row r="16" spans="1:19">
      <c r="A16" t="s">
        <v>19</v>
      </c>
      <c r="B16">
        <v>2</v>
      </c>
      <c r="C16" t="s">
        <v>24</v>
      </c>
      <c r="D16" t="b">
        <v>0</v>
      </c>
      <c r="E16">
        <v>3</v>
      </c>
      <c r="F16" t="s">
        <v>23</v>
      </c>
      <c r="G16" s="1">
        <v>0.56000000000000005</v>
      </c>
      <c r="H16" s="1">
        <v>0.56999999999999995</v>
      </c>
      <c r="I16" s="1">
        <v>0.61</v>
      </c>
      <c r="J16" s="1">
        <v>0.54</v>
      </c>
      <c r="K16" s="1">
        <v>0.56999999999999995</v>
      </c>
      <c r="L16" s="1">
        <v>0.56000000000000005</v>
      </c>
      <c r="M16" s="1">
        <v>0.51</v>
      </c>
      <c r="N16" s="1">
        <v>0.52</v>
      </c>
      <c r="O16" s="1">
        <v>0.57999999999999996</v>
      </c>
      <c r="P16" s="1">
        <v>0.53</v>
      </c>
      <c r="Q16" s="1">
        <v>0.56000000000000005</v>
      </c>
      <c r="R16" s="1">
        <v>0.56000000000000005</v>
      </c>
      <c r="S16" s="1">
        <f t="shared" si="0"/>
        <v>0.61</v>
      </c>
    </row>
    <row r="17" spans="1:19">
      <c r="A17" t="s">
        <v>19</v>
      </c>
      <c r="B17">
        <v>3</v>
      </c>
      <c r="C17" t="s">
        <v>20</v>
      </c>
      <c r="D17" t="b">
        <v>0</v>
      </c>
      <c r="E17">
        <v>1</v>
      </c>
      <c r="F17" t="s">
        <v>21</v>
      </c>
      <c r="G17" s="1">
        <v>0.41</v>
      </c>
      <c r="H17" s="1">
        <v>0.33</v>
      </c>
      <c r="I17" s="1">
        <v>0.34</v>
      </c>
      <c r="J17" s="1">
        <v>0.35</v>
      </c>
      <c r="K17" s="1">
        <v>0.37</v>
      </c>
      <c r="L17" s="1">
        <v>0.28999999999999998</v>
      </c>
      <c r="M17" s="1">
        <v>0.35</v>
      </c>
      <c r="N17" s="1">
        <v>0.37</v>
      </c>
      <c r="O17" s="1">
        <v>0.39</v>
      </c>
      <c r="P17" s="1">
        <v>0.4</v>
      </c>
      <c r="Q17" s="1">
        <v>0.34</v>
      </c>
      <c r="R17" s="1">
        <v>0.35</v>
      </c>
      <c r="S17" s="1">
        <f t="shared" si="0"/>
        <v>0.41</v>
      </c>
    </row>
    <row r="18" spans="1:19">
      <c r="A18" t="s">
        <v>19</v>
      </c>
      <c r="B18">
        <v>3</v>
      </c>
      <c r="C18" t="s">
        <v>20</v>
      </c>
      <c r="D18" t="b">
        <v>0</v>
      </c>
      <c r="E18">
        <v>2</v>
      </c>
      <c r="F18" t="s">
        <v>22</v>
      </c>
      <c r="G18" s="1">
        <v>0.42</v>
      </c>
      <c r="H18" s="1">
        <v>0.35</v>
      </c>
      <c r="I18" s="1">
        <v>0.38</v>
      </c>
      <c r="J18" s="1">
        <v>0.45</v>
      </c>
      <c r="K18" s="1">
        <v>0.44</v>
      </c>
      <c r="L18" s="1">
        <v>0.34</v>
      </c>
      <c r="M18" s="1">
        <v>0.28000000000000003</v>
      </c>
      <c r="N18" s="1">
        <v>0.42</v>
      </c>
      <c r="O18" s="1">
        <v>0.4</v>
      </c>
      <c r="P18" s="1">
        <v>0.45</v>
      </c>
      <c r="Q18" s="1">
        <v>0.36</v>
      </c>
      <c r="R18" s="1">
        <v>0.4</v>
      </c>
      <c r="S18" s="1">
        <f t="shared" si="0"/>
        <v>0.45</v>
      </c>
    </row>
    <row r="19" spans="1:19">
      <c r="A19" t="s">
        <v>19</v>
      </c>
      <c r="B19">
        <v>3</v>
      </c>
      <c r="C19" t="s">
        <v>20</v>
      </c>
      <c r="D19" t="b">
        <v>0</v>
      </c>
      <c r="E19">
        <v>3</v>
      </c>
      <c r="F19" t="s">
        <v>23</v>
      </c>
      <c r="G19" s="1">
        <v>0.33</v>
      </c>
      <c r="H19" s="1">
        <v>0.43</v>
      </c>
      <c r="I19" s="1">
        <v>0.33</v>
      </c>
      <c r="J19" s="1">
        <v>0.35</v>
      </c>
      <c r="K19" s="1">
        <v>0.36</v>
      </c>
      <c r="L19" s="1">
        <v>0.34</v>
      </c>
      <c r="M19" s="1">
        <v>0.38</v>
      </c>
      <c r="N19" s="1">
        <v>0.36</v>
      </c>
      <c r="O19" s="1">
        <v>0.35</v>
      </c>
      <c r="P19" s="1">
        <v>0.34</v>
      </c>
      <c r="Q19" s="1">
        <v>0.32</v>
      </c>
      <c r="R19" s="1">
        <v>0.35</v>
      </c>
      <c r="S19" s="1">
        <f t="shared" si="0"/>
        <v>0.43</v>
      </c>
    </row>
  </sheetData>
  <conditionalFormatting sqref="G2:S19">
    <cfRule type="colorScale" priority="1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103C0-D440-C245-A80E-896E48E3B00E}">
  <dimension ref="A1:S19"/>
  <sheetViews>
    <sheetView tabSelected="1" workbookViewId="0">
      <pane xSplit="12480" ySplit="3520" topLeftCell="Q14" activePane="bottomLeft"/>
      <selection activeCell="G2" sqref="G2:S19"/>
      <selection pane="topRight" activeCell="Q3" sqref="Q3"/>
      <selection pane="bottomLeft" activeCell="B27" sqref="B27"/>
      <selection pane="bottomRight" activeCell="P25" sqref="P25"/>
    </sheetView>
  </sheetViews>
  <sheetFormatPr baseColWidth="10" defaultRowHeight="22"/>
  <cols>
    <col min="2" max="2" width="9.625" customWidth="1"/>
    <col min="4" max="4" width="11.875" customWidth="1"/>
    <col min="5" max="5" width="8" customWidth="1"/>
    <col min="7" max="9" width="12.375" customWidth="1"/>
    <col min="10" max="12" width="15.25" customWidth="1"/>
    <col min="13" max="15" width="16.5" customWidth="1"/>
    <col min="16" max="18" width="19.375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 t="s">
        <v>19</v>
      </c>
      <c r="B2">
        <v>1</v>
      </c>
      <c r="C2" t="s">
        <v>25</v>
      </c>
      <c r="D2" t="b">
        <v>1</v>
      </c>
      <c r="E2">
        <v>1</v>
      </c>
      <c r="F2" t="s">
        <v>21</v>
      </c>
      <c r="G2" s="1">
        <v>0.78</v>
      </c>
      <c r="H2" s="1">
        <v>0.78</v>
      </c>
      <c r="I2" s="1">
        <v>0.73</v>
      </c>
      <c r="J2" s="1">
        <v>0.73</v>
      </c>
      <c r="K2" s="1">
        <v>0.72</v>
      </c>
      <c r="L2" s="1">
        <v>0.79</v>
      </c>
      <c r="M2" s="1">
        <v>0.8</v>
      </c>
      <c r="N2" s="1">
        <v>0.82</v>
      </c>
      <c r="O2" s="1">
        <v>0.82</v>
      </c>
      <c r="P2" s="1">
        <v>0.8</v>
      </c>
      <c r="Q2" s="1">
        <v>0.82</v>
      </c>
      <c r="R2" s="1">
        <v>0.74</v>
      </c>
      <c r="S2" s="1">
        <f t="shared" ref="S2:S19" si="0">_xlfn.LET(_xlpm.d,$G2:$R2,MAX(_xlpm.d))</f>
        <v>0.82</v>
      </c>
    </row>
    <row r="3" spans="1:19">
      <c r="A3" t="s">
        <v>19</v>
      </c>
      <c r="B3">
        <v>1</v>
      </c>
      <c r="C3" t="s">
        <v>25</v>
      </c>
      <c r="D3" t="b">
        <v>1</v>
      </c>
      <c r="E3">
        <v>2</v>
      </c>
      <c r="F3" t="s">
        <v>22</v>
      </c>
      <c r="G3" s="1">
        <v>0.83</v>
      </c>
      <c r="H3" s="1">
        <v>0.82</v>
      </c>
      <c r="I3" s="1">
        <v>0.85</v>
      </c>
      <c r="J3" s="1">
        <v>0.8</v>
      </c>
      <c r="K3" s="1">
        <v>0.79</v>
      </c>
      <c r="L3" s="1">
        <v>0.81</v>
      </c>
      <c r="M3" s="1">
        <v>0.87</v>
      </c>
      <c r="N3" s="1">
        <v>0.91</v>
      </c>
      <c r="O3" s="1">
        <v>0.84</v>
      </c>
      <c r="P3" s="1">
        <v>0.79</v>
      </c>
      <c r="Q3" s="1">
        <v>0.87</v>
      </c>
      <c r="R3" s="1">
        <v>0.78</v>
      </c>
      <c r="S3" s="1">
        <f t="shared" si="0"/>
        <v>0.91</v>
      </c>
    </row>
    <row r="4" spans="1:19">
      <c r="A4" t="s">
        <v>19</v>
      </c>
      <c r="B4">
        <v>1</v>
      </c>
      <c r="C4" t="s">
        <v>25</v>
      </c>
      <c r="D4" t="b">
        <v>1</v>
      </c>
      <c r="E4">
        <v>3</v>
      </c>
      <c r="F4" t="s">
        <v>23</v>
      </c>
      <c r="G4" s="1">
        <v>0.79</v>
      </c>
      <c r="H4" s="1">
        <v>0.81</v>
      </c>
      <c r="I4" s="1">
        <v>0.83</v>
      </c>
      <c r="J4" s="1">
        <v>0.77</v>
      </c>
      <c r="K4" s="1">
        <v>0.77</v>
      </c>
      <c r="L4" s="1">
        <v>0.72</v>
      </c>
      <c r="M4" s="1">
        <v>0.78</v>
      </c>
      <c r="N4" s="1">
        <v>0.83</v>
      </c>
      <c r="O4" s="1">
        <v>0.82</v>
      </c>
      <c r="P4" s="1">
        <v>0.77</v>
      </c>
      <c r="Q4" s="1">
        <v>0.88</v>
      </c>
      <c r="R4" s="1">
        <v>0.77</v>
      </c>
      <c r="S4" s="1">
        <f t="shared" si="0"/>
        <v>0.88</v>
      </c>
    </row>
    <row r="5" spans="1:19">
      <c r="A5" t="s">
        <v>19</v>
      </c>
      <c r="B5">
        <v>1</v>
      </c>
      <c r="C5" t="s">
        <v>25</v>
      </c>
      <c r="D5" t="b">
        <v>0</v>
      </c>
      <c r="E5">
        <v>1</v>
      </c>
      <c r="F5" t="s">
        <v>21</v>
      </c>
      <c r="G5" s="1">
        <v>0.77</v>
      </c>
      <c r="H5" s="1">
        <v>0.78</v>
      </c>
      <c r="I5" s="1">
        <v>0.76</v>
      </c>
      <c r="J5" s="1">
        <v>0.72</v>
      </c>
      <c r="K5" s="1">
        <v>0.72</v>
      </c>
      <c r="L5" s="1">
        <v>0.73</v>
      </c>
      <c r="M5" s="1">
        <v>0.82</v>
      </c>
      <c r="N5" s="1">
        <v>0.82</v>
      </c>
      <c r="O5" s="1">
        <v>0.78</v>
      </c>
      <c r="P5" s="1">
        <v>0.83</v>
      </c>
      <c r="Q5" s="1">
        <v>0.79</v>
      </c>
      <c r="R5" s="1">
        <v>0.74</v>
      </c>
      <c r="S5" s="1">
        <f t="shared" si="0"/>
        <v>0.83</v>
      </c>
    </row>
    <row r="6" spans="1:19">
      <c r="A6" t="s">
        <v>19</v>
      </c>
      <c r="B6">
        <v>1</v>
      </c>
      <c r="C6" t="s">
        <v>25</v>
      </c>
      <c r="D6" t="b">
        <v>0</v>
      </c>
      <c r="E6">
        <v>2</v>
      </c>
      <c r="F6" t="s">
        <v>22</v>
      </c>
      <c r="G6" s="1">
        <v>0.79</v>
      </c>
      <c r="H6" s="1">
        <v>0.81</v>
      </c>
      <c r="I6" s="1">
        <v>0.82</v>
      </c>
      <c r="J6" s="1">
        <v>0.78</v>
      </c>
      <c r="K6" s="1">
        <v>0.78</v>
      </c>
      <c r="L6" s="1">
        <v>0.75</v>
      </c>
      <c r="M6" s="1">
        <v>0.84</v>
      </c>
      <c r="N6" s="1">
        <v>0.86</v>
      </c>
      <c r="O6" s="1">
        <v>0.77</v>
      </c>
      <c r="P6" s="1">
        <v>0.75</v>
      </c>
      <c r="Q6" s="1">
        <v>0.83</v>
      </c>
      <c r="R6" s="1">
        <v>0.78</v>
      </c>
      <c r="S6" s="1">
        <f t="shared" si="0"/>
        <v>0.86</v>
      </c>
    </row>
    <row r="7" spans="1:19">
      <c r="A7" t="s">
        <v>19</v>
      </c>
      <c r="B7">
        <v>1</v>
      </c>
      <c r="C7" t="s">
        <v>25</v>
      </c>
      <c r="D7" t="b">
        <v>0</v>
      </c>
      <c r="E7">
        <v>3</v>
      </c>
      <c r="F7" t="s">
        <v>23</v>
      </c>
      <c r="G7" s="1">
        <v>0.75</v>
      </c>
      <c r="H7" s="1">
        <v>0.79</v>
      </c>
      <c r="I7" s="1">
        <v>0.78</v>
      </c>
      <c r="J7" s="1">
        <v>0.72</v>
      </c>
      <c r="K7" s="1">
        <v>0.75</v>
      </c>
      <c r="L7" s="1">
        <v>0.77</v>
      </c>
      <c r="M7" s="1">
        <v>0.78</v>
      </c>
      <c r="N7" s="1">
        <v>0.78</v>
      </c>
      <c r="O7" s="1">
        <v>0.78</v>
      </c>
      <c r="P7" s="1">
        <v>0.76</v>
      </c>
      <c r="Q7" s="1">
        <v>0.83</v>
      </c>
      <c r="R7" s="1">
        <v>0.76</v>
      </c>
      <c r="S7" s="1">
        <f t="shared" si="0"/>
        <v>0.83</v>
      </c>
    </row>
    <row r="8" spans="1:19">
      <c r="A8" t="s">
        <v>19</v>
      </c>
      <c r="B8">
        <v>2</v>
      </c>
      <c r="C8" t="s">
        <v>24</v>
      </c>
      <c r="D8" t="b">
        <v>1</v>
      </c>
      <c r="E8">
        <v>1</v>
      </c>
      <c r="F8" t="s">
        <v>21</v>
      </c>
      <c r="G8" s="1">
        <v>0.44</v>
      </c>
      <c r="H8" s="1">
        <v>0.52</v>
      </c>
      <c r="I8" s="1">
        <v>0.54</v>
      </c>
      <c r="J8" s="1">
        <v>0.52</v>
      </c>
      <c r="K8" s="1">
        <v>0.53</v>
      </c>
      <c r="L8" s="1">
        <v>0.41</v>
      </c>
      <c r="M8" s="1">
        <v>0.46</v>
      </c>
      <c r="N8" s="1">
        <v>0.53</v>
      </c>
      <c r="O8" s="1">
        <v>0.56000000000000005</v>
      </c>
      <c r="P8" s="1">
        <v>0.36</v>
      </c>
      <c r="Q8" s="1">
        <v>0.41</v>
      </c>
      <c r="R8" s="1">
        <v>0.5</v>
      </c>
      <c r="S8" s="1">
        <f t="shared" si="0"/>
        <v>0.56000000000000005</v>
      </c>
    </row>
    <row r="9" spans="1:19">
      <c r="A9" t="s">
        <v>19</v>
      </c>
      <c r="B9">
        <v>2</v>
      </c>
      <c r="C9" t="s">
        <v>24</v>
      </c>
      <c r="D9" t="b">
        <v>1</v>
      </c>
      <c r="E9">
        <v>2</v>
      </c>
      <c r="F9" t="s">
        <v>22</v>
      </c>
      <c r="G9" s="1">
        <v>0.5</v>
      </c>
      <c r="H9" s="1">
        <v>0.61</v>
      </c>
      <c r="I9" s="1">
        <v>0.55000000000000004</v>
      </c>
      <c r="J9" s="1">
        <v>0.62</v>
      </c>
      <c r="K9" s="1">
        <v>0.55000000000000004</v>
      </c>
      <c r="L9" s="1">
        <v>0.62</v>
      </c>
      <c r="M9" s="1">
        <v>0.59</v>
      </c>
      <c r="N9" s="1">
        <v>0.52</v>
      </c>
      <c r="O9" s="1">
        <v>0.59</v>
      </c>
      <c r="P9" s="1">
        <v>0.47</v>
      </c>
      <c r="Q9" s="1">
        <v>0.5</v>
      </c>
      <c r="R9" s="1">
        <v>0.55000000000000004</v>
      </c>
      <c r="S9" s="1">
        <f t="shared" si="0"/>
        <v>0.62</v>
      </c>
    </row>
    <row r="10" spans="1:19">
      <c r="A10" t="s">
        <v>19</v>
      </c>
      <c r="B10">
        <v>2</v>
      </c>
      <c r="C10" t="s">
        <v>24</v>
      </c>
      <c r="D10" t="b">
        <v>1</v>
      </c>
      <c r="E10">
        <v>3</v>
      </c>
      <c r="F10" t="s">
        <v>23</v>
      </c>
      <c r="G10" s="1">
        <v>0.47</v>
      </c>
      <c r="H10" s="1">
        <v>0.63</v>
      </c>
      <c r="I10" s="1">
        <v>0.52</v>
      </c>
      <c r="J10" s="1">
        <v>0.55000000000000004</v>
      </c>
      <c r="K10" s="1">
        <v>0.54</v>
      </c>
      <c r="L10" s="1">
        <v>0.56000000000000005</v>
      </c>
      <c r="M10" s="1">
        <v>0.59</v>
      </c>
      <c r="N10" s="1">
        <v>0.56000000000000005</v>
      </c>
      <c r="O10" s="1">
        <v>0.55000000000000004</v>
      </c>
      <c r="P10" s="1">
        <v>0.52</v>
      </c>
      <c r="Q10" s="1">
        <v>0.5</v>
      </c>
      <c r="R10" s="1">
        <v>0.47</v>
      </c>
      <c r="S10" s="1">
        <f t="shared" si="0"/>
        <v>0.63</v>
      </c>
    </row>
    <row r="11" spans="1:19">
      <c r="A11" t="s">
        <v>19</v>
      </c>
      <c r="B11">
        <v>2</v>
      </c>
      <c r="C11" t="s">
        <v>24</v>
      </c>
      <c r="D11" t="b">
        <v>0</v>
      </c>
      <c r="E11">
        <v>1</v>
      </c>
      <c r="F11" t="s">
        <v>21</v>
      </c>
      <c r="G11" s="1">
        <v>0.45</v>
      </c>
      <c r="H11" s="1">
        <v>0.55000000000000004</v>
      </c>
      <c r="I11" s="1">
        <v>0.45</v>
      </c>
      <c r="J11" s="1">
        <v>0.5</v>
      </c>
      <c r="K11" s="1">
        <v>0.5</v>
      </c>
      <c r="L11" s="1">
        <v>0.52</v>
      </c>
      <c r="M11" s="1">
        <v>0.53</v>
      </c>
      <c r="N11" s="1">
        <v>0.45</v>
      </c>
      <c r="O11" s="1">
        <v>0.5</v>
      </c>
      <c r="P11" s="1">
        <v>0.46</v>
      </c>
      <c r="Q11" s="1">
        <v>0.38</v>
      </c>
      <c r="R11" s="1">
        <v>0.53</v>
      </c>
      <c r="S11" s="1">
        <f t="shared" si="0"/>
        <v>0.55000000000000004</v>
      </c>
    </row>
    <row r="12" spans="1:19">
      <c r="A12" t="s">
        <v>19</v>
      </c>
      <c r="B12">
        <v>2</v>
      </c>
      <c r="C12" t="s">
        <v>24</v>
      </c>
      <c r="D12" t="b">
        <v>0</v>
      </c>
      <c r="E12">
        <v>2</v>
      </c>
      <c r="F12" t="s">
        <v>22</v>
      </c>
      <c r="G12" s="1">
        <v>0.5</v>
      </c>
      <c r="H12" s="1">
        <v>0.61</v>
      </c>
      <c r="I12" s="1">
        <v>0.51</v>
      </c>
      <c r="J12" s="1">
        <v>0.55000000000000004</v>
      </c>
      <c r="K12" s="1">
        <v>0.53</v>
      </c>
      <c r="L12" s="1">
        <v>0.62</v>
      </c>
      <c r="M12" s="1">
        <v>0.56999999999999995</v>
      </c>
      <c r="N12" s="1">
        <v>0.46</v>
      </c>
      <c r="O12" s="1">
        <v>0.6</v>
      </c>
      <c r="P12" s="1">
        <v>0.47</v>
      </c>
      <c r="Q12" s="1">
        <v>0.44</v>
      </c>
      <c r="R12" s="1">
        <v>0.62</v>
      </c>
      <c r="S12" s="1">
        <f t="shared" si="0"/>
        <v>0.62</v>
      </c>
    </row>
    <row r="13" spans="1:19">
      <c r="A13" t="s">
        <v>19</v>
      </c>
      <c r="B13">
        <v>2</v>
      </c>
      <c r="C13" t="s">
        <v>24</v>
      </c>
      <c r="D13" t="b">
        <v>0</v>
      </c>
      <c r="E13">
        <v>3</v>
      </c>
      <c r="F13" t="s">
        <v>23</v>
      </c>
      <c r="G13" s="1">
        <v>0.45</v>
      </c>
      <c r="H13" s="1">
        <v>0.66</v>
      </c>
      <c r="I13" s="1">
        <v>0.51</v>
      </c>
      <c r="J13" s="1">
        <v>0.56000000000000005</v>
      </c>
      <c r="K13" s="1">
        <v>0.5</v>
      </c>
      <c r="L13" s="1">
        <v>0.61</v>
      </c>
      <c r="M13" s="1">
        <v>0.48</v>
      </c>
      <c r="N13" s="1">
        <v>0.53</v>
      </c>
      <c r="O13" s="1">
        <v>0.54</v>
      </c>
      <c r="P13" s="1">
        <v>0.51</v>
      </c>
      <c r="Q13" s="1">
        <v>0.54</v>
      </c>
      <c r="R13" s="1">
        <v>0.54</v>
      </c>
      <c r="S13" s="1">
        <f t="shared" si="0"/>
        <v>0.66</v>
      </c>
    </row>
    <row r="14" spans="1:19">
      <c r="A14" t="s">
        <v>19</v>
      </c>
      <c r="B14">
        <v>3</v>
      </c>
      <c r="C14" t="s">
        <v>20</v>
      </c>
      <c r="D14" t="b">
        <v>1</v>
      </c>
      <c r="E14">
        <v>1</v>
      </c>
      <c r="F14" t="s">
        <v>21</v>
      </c>
      <c r="G14" s="1">
        <v>0.35</v>
      </c>
      <c r="H14" s="1">
        <v>0.47</v>
      </c>
      <c r="I14" s="1">
        <v>0.37</v>
      </c>
      <c r="J14" s="1">
        <v>0.44</v>
      </c>
      <c r="K14" s="1">
        <v>0.33</v>
      </c>
      <c r="L14" s="1">
        <v>0.43</v>
      </c>
      <c r="M14" s="1">
        <v>0.35</v>
      </c>
      <c r="N14" s="1">
        <v>0.43</v>
      </c>
      <c r="O14" s="1">
        <v>0.33</v>
      </c>
      <c r="P14" s="1">
        <v>0.28999999999999998</v>
      </c>
      <c r="Q14" s="1">
        <v>0.33</v>
      </c>
      <c r="R14" s="1">
        <v>0.33</v>
      </c>
      <c r="S14" s="1">
        <f t="shared" si="0"/>
        <v>0.47</v>
      </c>
    </row>
    <row r="15" spans="1:19">
      <c r="A15" t="s">
        <v>19</v>
      </c>
      <c r="B15">
        <v>3</v>
      </c>
      <c r="C15" t="s">
        <v>20</v>
      </c>
      <c r="D15" t="b">
        <v>1</v>
      </c>
      <c r="E15">
        <v>2</v>
      </c>
      <c r="F15" t="s">
        <v>22</v>
      </c>
      <c r="G15" s="1">
        <v>0.45</v>
      </c>
      <c r="H15" s="1">
        <v>0.43</v>
      </c>
      <c r="I15" s="1">
        <v>0.38</v>
      </c>
      <c r="J15" s="1">
        <v>0.43</v>
      </c>
      <c r="K15" s="1">
        <v>0.34</v>
      </c>
      <c r="L15" s="1">
        <v>0.42</v>
      </c>
      <c r="M15" s="1">
        <v>0.34</v>
      </c>
      <c r="N15" s="1">
        <v>0.38</v>
      </c>
      <c r="O15" s="1">
        <v>0.4</v>
      </c>
      <c r="P15" s="1">
        <v>0.39</v>
      </c>
      <c r="Q15" s="1">
        <v>0.38</v>
      </c>
      <c r="R15" s="1">
        <v>0.42</v>
      </c>
      <c r="S15" s="1">
        <f t="shared" si="0"/>
        <v>0.45</v>
      </c>
    </row>
    <row r="16" spans="1:19">
      <c r="A16" t="s">
        <v>19</v>
      </c>
      <c r="B16">
        <v>3</v>
      </c>
      <c r="C16" t="s">
        <v>20</v>
      </c>
      <c r="D16" t="b">
        <v>1</v>
      </c>
      <c r="E16">
        <v>3</v>
      </c>
      <c r="F16" t="s">
        <v>23</v>
      </c>
      <c r="G16" s="1">
        <v>0.36</v>
      </c>
      <c r="H16" s="1">
        <v>0.27</v>
      </c>
      <c r="I16" s="1">
        <v>0.23</v>
      </c>
      <c r="J16" s="1">
        <v>0.4</v>
      </c>
      <c r="K16" s="1">
        <v>0.34</v>
      </c>
      <c r="L16" s="1">
        <v>0.33</v>
      </c>
      <c r="M16" s="1">
        <v>0.37</v>
      </c>
      <c r="N16" s="1">
        <v>0.34</v>
      </c>
      <c r="O16" s="1">
        <v>0.3</v>
      </c>
      <c r="P16" s="1">
        <v>0.38</v>
      </c>
      <c r="Q16" s="1">
        <v>0.32</v>
      </c>
      <c r="R16" s="1">
        <v>0.39</v>
      </c>
      <c r="S16" s="1">
        <f t="shared" si="0"/>
        <v>0.4</v>
      </c>
    </row>
    <row r="17" spans="1:19">
      <c r="A17" t="s">
        <v>19</v>
      </c>
      <c r="B17">
        <v>3</v>
      </c>
      <c r="C17" t="s">
        <v>20</v>
      </c>
      <c r="D17" t="b">
        <v>0</v>
      </c>
      <c r="E17">
        <v>1</v>
      </c>
      <c r="F17" t="s">
        <v>21</v>
      </c>
      <c r="G17" s="1">
        <v>0.41</v>
      </c>
      <c r="H17" s="1">
        <v>0.47</v>
      </c>
      <c r="I17" s="1">
        <v>0.32</v>
      </c>
      <c r="J17" s="1">
        <v>0.33</v>
      </c>
      <c r="K17" s="1">
        <v>0.33</v>
      </c>
      <c r="L17" s="1">
        <v>0.38</v>
      </c>
      <c r="M17" s="1">
        <v>0.35</v>
      </c>
      <c r="N17" s="1">
        <v>0.28000000000000003</v>
      </c>
      <c r="O17" s="1">
        <v>0.28000000000000003</v>
      </c>
      <c r="P17" s="1">
        <v>0.39</v>
      </c>
      <c r="Q17" s="1">
        <v>0.34</v>
      </c>
      <c r="R17" s="1">
        <v>0.35</v>
      </c>
      <c r="S17" s="1">
        <f t="shared" si="0"/>
        <v>0.47</v>
      </c>
    </row>
    <row r="18" spans="1:19">
      <c r="A18" t="s">
        <v>19</v>
      </c>
      <c r="B18">
        <v>3</v>
      </c>
      <c r="C18" t="s">
        <v>20</v>
      </c>
      <c r="D18" t="b">
        <v>0</v>
      </c>
      <c r="E18">
        <v>2</v>
      </c>
      <c r="F18" t="s">
        <v>22</v>
      </c>
      <c r="G18" s="1">
        <v>0.41</v>
      </c>
      <c r="H18" s="1">
        <v>0.45</v>
      </c>
      <c r="I18" s="1">
        <v>0.34</v>
      </c>
      <c r="J18" s="1">
        <v>0.53</v>
      </c>
      <c r="K18" s="1">
        <v>0.39</v>
      </c>
      <c r="L18" s="1">
        <v>0.36</v>
      </c>
      <c r="M18" s="1">
        <v>0.35</v>
      </c>
      <c r="N18" s="1">
        <v>0.42</v>
      </c>
      <c r="O18" s="1">
        <v>0.34</v>
      </c>
      <c r="P18" s="1">
        <v>0.42</v>
      </c>
      <c r="Q18" s="1">
        <v>0.41</v>
      </c>
      <c r="R18" s="1">
        <v>0.43</v>
      </c>
      <c r="S18" s="1">
        <f t="shared" si="0"/>
        <v>0.53</v>
      </c>
    </row>
    <row r="19" spans="1:19">
      <c r="A19" t="s">
        <v>19</v>
      </c>
      <c r="B19">
        <v>3</v>
      </c>
      <c r="C19" t="s">
        <v>20</v>
      </c>
      <c r="D19" t="b">
        <v>0</v>
      </c>
      <c r="E19">
        <v>3</v>
      </c>
      <c r="F19" t="s">
        <v>23</v>
      </c>
      <c r="G19" s="1">
        <v>0.34</v>
      </c>
      <c r="H19" s="1">
        <v>0.27</v>
      </c>
      <c r="I19" s="1">
        <v>0.27</v>
      </c>
      <c r="J19" s="1">
        <v>0.35</v>
      </c>
      <c r="K19" s="1">
        <v>0.32</v>
      </c>
      <c r="L19" s="1">
        <v>0.38</v>
      </c>
      <c r="M19" s="1">
        <v>0.3</v>
      </c>
      <c r="N19" s="1">
        <v>0.38</v>
      </c>
      <c r="O19" s="1">
        <v>0.31</v>
      </c>
      <c r="P19" s="1">
        <v>0.33</v>
      </c>
      <c r="Q19" s="1">
        <v>0.38</v>
      </c>
      <c r="R19" s="1">
        <v>0.31</v>
      </c>
      <c r="S19" s="1">
        <f t="shared" si="0"/>
        <v>0.38</v>
      </c>
    </row>
  </sheetData>
  <conditionalFormatting sqref="G3:S19 G2:R2">
    <cfRule type="colorScale" priority="2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S2:S19">
    <cfRule type="colorScale" priority="1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ml3.0-1.2k-xsk-mgv9</vt:lpstr>
      <vt:lpstr>ml2.0-2k-xsk-mgv9</vt:lpstr>
      <vt:lpstr>ml2.0-1.2k-xsk-mgv9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Kuroda, Kow</dc:creator>
  <cp:keywords/>
  <dc:description/>
  <cp:lastModifiedBy>Kuroda, Kow</cp:lastModifiedBy>
  <dcterms:created xsi:type="dcterms:W3CDTF">2025-02-25T03:28:35Z</dcterms:created>
  <dcterms:modified xsi:type="dcterms:W3CDTF">2025-02-25T03:57:05Z</dcterms:modified>
  <cp:category/>
</cp:coreProperties>
</file>