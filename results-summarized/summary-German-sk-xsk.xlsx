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829E052E-C4FE-D74A-925F-D3FDEDD44384}" xr6:coauthVersionLast="47" xr6:coauthVersionMax="47" xr10:uidLastSave="{00000000-0000-0000-0000-000000000000}"/>
  <bookViews>
    <workbookView xWindow="980" yWindow="500" windowWidth="27360" windowHeight="16440" xr2:uid="{56B74B01-8F3C-8A49-A8B3-BD2D789368AC}"/>
  </bookViews>
  <sheets>
    <sheet name="sk-xsk-3k-xsk-mgv9-alt" sheetId="2" r:id="rId1"/>
    <sheet name="sk-xsk-3k-mgv9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8" i="2" l="1" a="1"/>
  <c r="X28" i="2" s="1"/>
  <c r="W28" i="2" a="1"/>
  <c r="W28" i="2" s="1"/>
  <c r="V28" i="2" a="1"/>
  <c r="V28" i="2" s="1"/>
  <c r="U28" i="2" a="1"/>
  <c r="U28" i="2" s="1"/>
  <c r="T28" i="2" a="1"/>
  <c r="T28" i="2" s="1"/>
  <c r="S28" i="2" a="1"/>
  <c r="S28" i="2" s="1"/>
  <c r="R28" i="2"/>
  <c r="R28" i="2" a="1"/>
  <c r="Q28" i="2" a="1"/>
  <c r="Q28" i="2" s="1"/>
  <c r="P28" i="2" a="1"/>
  <c r="P28" i="2" s="1"/>
  <c r="O28" i="2" a="1"/>
  <c r="O28" i="2" s="1"/>
  <c r="N28" i="2"/>
  <c r="N28" i="2" a="1"/>
  <c r="M28" i="2" a="1"/>
  <c r="M28" i="2" s="1"/>
  <c r="L28" i="2" a="1"/>
  <c r="L28" i="2" s="1"/>
  <c r="K28" i="2" a="1"/>
  <c r="K28" i="2" s="1"/>
  <c r="J28" i="2"/>
  <c r="J28" i="2" a="1"/>
  <c r="I28" i="2" a="1"/>
  <c r="I28" i="2" s="1"/>
  <c r="H28" i="2" a="1"/>
  <c r="H28" i="2" s="1"/>
  <c r="G28" i="2" a="1"/>
  <c r="G28" i="2" s="1"/>
  <c r="X27" i="2" a="1"/>
  <c r="X27" i="2" s="1"/>
  <c r="W27" i="2" a="1"/>
  <c r="W27" i="2" s="1"/>
  <c r="V27" i="2" a="1"/>
  <c r="V27" i="2" s="1"/>
  <c r="U27" i="2"/>
  <c r="U27" i="2" a="1"/>
  <c r="T27" i="2" a="1"/>
  <c r="T27" i="2" s="1"/>
  <c r="S27" i="2" a="1"/>
  <c r="S27" i="2" s="1"/>
  <c r="R27" i="2" a="1"/>
  <c r="R27" i="2" s="1"/>
  <c r="Q27" i="2"/>
  <c r="Q27" i="2" a="1"/>
  <c r="P27" i="2" a="1"/>
  <c r="P27" i="2" s="1"/>
  <c r="O27" i="2" a="1"/>
  <c r="O27" i="2" s="1"/>
  <c r="N27" i="2" a="1"/>
  <c r="N27" i="2" s="1"/>
  <c r="M27" i="2"/>
  <c r="M27" i="2" a="1"/>
  <c r="L27" i="2" a="1"/>
  <c r="L27" i="2" s="1"/>
  <c r="K27" i="2" a="1"/>
  <c r="K27" i="2" s="1"/>
  <c r="J27" i="2" a="1"/>
  <c r="J27" i="2" s="1"/>
  <c r="I27" i="2"/>
  <c r="I27" i="2" a="1"/>
  <c r="H27" i="2" a="1"/>
  <c r="H27" i="2" s="1"/>
  <c r="G27" i="2" a="1"/>
  <c r="G27" i="2" s="1"/>
  <c r="X26" i="2"/>
  <c r="X26" i="2" a="1"/>
  <c r="W26" i="2" a="1"/>
  <c r="W26" i="2" s="1"/>
  <c r="V26" i="2" a="1"/>
  <c r="V26" i="2" s="1"/>
  <c r="U26" i="2" a="1"/>
  <c r="U26" i="2" s="1"/>
  <c r="T26" i="2"/>
  <c r="T26" i="2" a="1"/>
  <c r="S26" i="2" a="1"/>
  <c r="S26" i="2" s="1"/>
  <c r="R26" i="2" a="1"/>
  <c r="R26" i="2" s="1"/>
  <c r="Q26" i="2" a="1"/>
  <c r="Q26" i="2" s="1"/>
  <c r="P26" i="2"/>
  <c r="P26" i="2" a="1"/>
  <c r="O26" i="2" a="1"/>
  <c r="O26" i="2" s="1"/>
  <c r="N26" i="2" a="1"/>
  <c r="N26" i="2" s="1"/>
  <c r="M26" i="2" a="1"/>
  <c r="M26" i="2" s="1"/>
  <c r="L26" i="2"/>
  <c r="L26" i="2" a="1"/>
  <c r="K26" i="2" a="1"/>
  <c r="K26" i="2" s="1"/>
  <c r="J26" i="2" a="1"/>
  <c r="J26" i="2" s="1"/>
  <c r="I26" i="2" a="1"/>
  <c r="I26" i="2" s="1"/>
  <c r="H26" i="2"/>
  <c r="H26" i="2" a="1"/>
  <c r="G26" i="2" a="1"/>
  <c r="G26" i="2" s="1"/>
  <c r="X25" i="2" a="1"/>
  <c r="X25" i="2" s="1"/>
  <c r="W25" i="2"/>
  <c r="W25" i="2" a="1"/>
  <c r="V25" i="2" a="1"/>
  <c r="V25" i="2" s="1"/>
  <c r="U25" i="2" a="1"/>
  <c r="U25" i="2" s="1"/>
  <c r="T25" i="2" a="1"/>
  <c r="T25" i="2" s="1"/>
  <c r="S25" i="2"/>
  <c r="S25" i="2" a="1"/>
  <c r="R25" i="2" a="1"/>
  <c r="R25" i="2" s="1"/>
  <c r="Q25" i="2" a="1"/>
  <c r="Q25" i="2" s="1"/>
  <c r="P25" i="2" a="1"/>
  <c r="P25" i="2" s="1"/>
  <c r="O25" i="2"/>
  <c r="O25" i="2" a="1"/>
  <c r="N25" i="2" a="1"/>
  <c r="N25" i="2" s="1"/>
  <c r="M25" i="2" a="1"/>
  <c r="M25" i="2" s="1"/>
  <c r="L25" i="2" a="1"/>
  <c r="L25" i="2" s="1"/>
  <c r="K25" i="2"/>
  <c r="K25" i="2" a="1"/>
  <c r="J25" i="2" a="1"/>
  <c r="J25" i="2" s="1"/>
  <c r="I25" i="2" a="1"/>
  <c r="I25" i="2" s="1"/>
  <c r="H25" i="2" a="1"/>
  <c r="H25" i="2" s="1"/>
  <c r="G25" i="2"/>
  <c r="G25" i="2" a="1"/>
  <c r="X24" i="2" a="1"/>
  <c r="X24" i="2" s="1"/>
  <c r="W24" i="2" a="1"/>
  <c r="W24" i="2" s="1"/>
  <c r="V24" i="2"/>
  <c r="V24" i="2" a="1"/>
  <c r="U24" i="2" a="1"/>
  <c r="U24" i="2" s="1"/>
  <c r="T24" i="2" a="1"/>
  <c r="T24" i="2" s="1"/>
  <c r="S24" i="2" a="1"/>
  <c r="S24" i="2" s="1"/>
  <c r="R24" i="2"/>
  <c r="R24" i="2" a="1"/>
  <c r="Q24" i="2" a="1"/>
  <c r="Q24" i="2" s="1"/>
  <c r="P24" i="2" a="1"/>
  <c r="P24" i="2" s="1"/>
  <c r="O24" i="2" a="1"/>
  <c r="O24" i="2" s="1"/>
  <c r="N24" i="2"/>
  <c r="N24" i="2" a="1"/>
  <c r="M24" i="2" a="1"/>
  <c r="M24" i="2" s="1"/>
  <c r="L24" i="2" a="1"/>
  <c r="L24" i="2" s="1"/>
  <c r="K24" i="2" a="1"/>
  <c r="K24" i="2" s="1"/>
  <c r="J24" i="2"/>
  <c r="J24" i="2" a="1"/>
  <c r="I24" i="2" a="1"/>
  <c r="I24" i="2" s="1"/>
  <c r="H24" i="2" a="1"/>
  <c r="H24" i="2" s="1"/>
  <c r="G24" i="2" a="1"/>
  <c r="G24" i="2" s="1"/>
  <c r="X23" i="2" a="1"/>
  <c r="X23" i="2" s="1"/>
  <c r="W23" i="2" a="1"/>
  <c r="W23" i="2" s="1"/>
  <c r="V23" i="2" a="1"/>
  <c r="V23" i="2" s="1"/>
  <c r="U23" i="2"/>
  <c r="U23" i="2" a="1"/>
  <c r="T23" i="2" a="1"/>
  <c r="T23" i="2" s="1"/>
  <c r="S23" i="2" a="1"/>
  <c r="S23" i="2" s="1"/>
  <c r="R23" i="2" a="1"/>
  <c r="R23" i="2" s="1"/>
  <c r="Q23" i="2"/>
  <c r="Q23" i="2" a="1"/>
  <c r="P23" i="2" a="1"/>
  <c r="P23" i="2" s="1"/>
  <c r="O23" i="2" a="1"/>
  <c r="O23" i="2" s="1"/>
  <c r="N23" i="2" a="1"/>
  <c r="N23" i="2" s="1"/>
  <c r="M23" i="2"/>
  <c r="M23" i="2" a="1"/>
  <c r="L23" i="2" a="1"/>
  <c r="L23" i="2" s="1"/>
  <c r="K23" i="2" a="1"/>
  <c r="K23" i="2" s="1"/>
  <c r="J23" i="2" a="1"/>
  <c r="J23" i="2" s="1"/>
  <c r="I23" i="2"/>
  <c r="I23" i="2" a="1"/>
  <c r="H23" i="2" a="1"/>
  <c r="H23" i="2" s="1"/>
  <c r="G23" i="2" a="1"/>
  <c r="G23" i="2" s="1"/>
  <c r="Y19" i="2"/>
  <c r="Y18" i="2"/>
  <c r="Y17" i="2"/>
  <c r="Y28" i="2" s="1" a="1"/>
  <c r="Y28" i="2" s="1"/>
  <c r="Y16" i="2"/>
  <c r="Y15" i="2"/>
  <c r="Y14" i="2"/>
  <c r="Y27" i="2" s="1" a="1"/>
  <c r="Y27" i="2" s="1"/>
  <c r="Y13" i="2"/>
  <c r="Y12" i="2"/>
  <c r="Y25" i="2" s="1" a="1"/>
  <c r="Y25" i="2" s="1"/>
  <c r="Y11" i="2"/>
  <c r="Y10" i="2"/>
  <c r="Y9" i="2"/>
  <c r="Y8" i="2"/>
  <c r="Y26" i="2" s="1" a="1"/>
  <c r="Y26" i="2" s="1"/>
  <c r="Y7" i="2"/>
  <c r="Y6" i="2"/>
  <c r="Y5" i="2"/>
  <c r="Y4" i="2"/>
  <c r="Y24" i="2" s="1" a="1"/>
  <c r="Y24" i="2" s="1"/>
  <c r="Y3" i="2"/>
  <c r="Y2" i="2"/>
  <c r="Y23" i="2" s="1" a="1"/>
  <c r="Y23" i="2" s="1"/>
  <c r="X28" i="1" a="1"/>
  <c r="X28" i="1" s="1"/>
  <c r="W28" i="1" a="1"/>
  <c r="W28" i="1" s="1"/>
  <c r="V28" i="1" a="1"/>
  <c r="V28" i="1" s="1"/>
  <c r="U28" i="1" a="1"/>
  <c r="U28" i="1" s="1"/>
  <c r="T28" i="1" a="1"/>
  <c r="T28" i="1" s="1"/>
  <c r="S28" i="1" a="1"/>
  <c r="S28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G28" i="1" a="1"/>
  <c r="G28" i="1" s="1"/>
  <c r="X27" i="1" a="1"/>
  <c r="X27" i="1" s="1"/>
  <c r="W27" i="1" a="1"/>
  <c r="W27" i="1" s="1"/>
  <c r="V27" i="1" a="1"/>
  <c r="V27" i="1" s="1"/>
  <c r="U27" i="1" a="1"/>
  <c r="U27" i="1" s="1"/>
  <c r="T27" i="1" a="1"/>
  <c r="T27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G27" i="1" a="1"/>
  <c r="G27" i="1" s="1"/>
  <c r="X26" i="1" a="1"/>
  <c r="X26" i="1" s="1"/>
  <c r="W26" i="1" a="1"/>
  <c r="W26" i="1" s="1"/>
  <c r="V26" i="1" a="1"/>
  <c r="V26" i="1" s="1"/>
  <c r="U26" i="1" a="1"/>
  <c r="U26" i="1" s="1"/>
  <c r="T26" i="1" a="1"/>
  <c r="T26" i="1" s="1"/>
  <c r="S26" i="1" a="1"/>
  <c r="S26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X25" i="1" a="1"/>
  <c r="X25" i="1" s="1"/>
  <c r="W25" i="1" a="1"/>
  <c r="W25" i="1" s="1"/>
  <c r="V25" i="1" a="1"/>
  <c r="V25" i="1" s="1"/>
  <c r="U25" i="1" a="1"/>
  <c r="U25" i="1" s="1"/>
  <c r="T25" i="1" a="1"/>
  <c r="T25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X24" i="1" a="1"/>
  <c r="X24" i="1" s="1"/>
  <c r="W24" i="1" a="1"/>
  <c r="W24" i="1" s="1"/>
  <c r="V24" i="1" a="1"/>
  <c r="V24" i="1" s="1"/>
  <c r="U24" i="1" a="1"/>
  <c r="U24" i="1" s="1"/>
  <c r="T24" i="1" a="1"/>
  <c r="T24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X23" i="1" a="1"/>
  <c r="X23" i="1" s="1"/>
  <c r="W23" i="1" a="1"/>
  <c r="W23" i="1" s="1"/>
  <c r="V23" i="1" a="1"/>
  <c r="V23" i="1" s="1"/>
  <c r="U23" i="1" a="1"/>
  <c r="U23" i="1" s="1"/>
  <c r="T23" i="1" a="1"/>
  <c r="T23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Y19" i="1"/>
  <c r="Y18" i="1"/>
  <c r="Y17" i="1"/>
  <c r="Y28" i="1" s="1" a="1"/>
  <c r="Y28" i="1" s="1"/>
  <c r="Y16" i="1"/>
  <c r="Y15" i="1"/>
  <c r="Y14" i="1"/>
  <c r="Y27" i="1" s="1" a="1"/>
  <c r="Y27" i="1" s="1"/>
  <c r="Y13" i="1"/>
  <c r="Y12" i="1"/>
  <c r="Y11" i="1"/>
  <c r="Y26" i="1" s="1" a="1"/>
  <c r="Y26" i="1" s="1"/>
  <c r="Y10" i="1"/>
  <c r="Y9" i="1"/>
  <c r="Y8" i="1"/>
  <c r="Y25" i="1" s="1" a="1"/>
  <c r="Y25" i="1" s="1"/>
  <c r="Y7" i="1"/>
  <c r="Y6" i="1"/>
  <c r="Y5" i="1"/>
  <c r="Y4" i="1"/>
  <c r="Y3" i="1"/>
  <c r="Y2" i="1"/>
  <c r="Y24" i="1" l="1" a="1"/>
  <c r="Y24" i="1" s="1"/>
  <c r="Y23" i="1" a="1"/>
  <c r="Y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<sst xmlns="http://schemas.openxmlformats.org/spreadsheetml/2006/main" count="230" uniqueCount="34">
  <si>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</si>
  <si>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</si>
  <si>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</si>
  <si>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</si>
  <si>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</si>
  <si>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</si>
  <si>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</si>
  <si>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</si>
  <si>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</si>
  <si>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sk2g-no-hash</t>
  </si>
  <si>
    <t>sk3g-no-hash</t>
  </si>
  <si>
    <t>sk4g-no-hash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</si>
  <si>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</si>
  <si>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</si>
  <si>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</si>
  <si>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</si>
  <si>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</si>
  <si>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</si>
  <si>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</si>
  <si>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</si>
  <si>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</si>
  <si>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xsk2g-hash-at-both</t>
  </si>
  <si>
    <t>xsk3g-hash-at-both</t>
  </si>
  <si>
    <t>xsk4g-hash-at-both</t>
  </si>
  <si>
    <t>max</t>
  </si>
  <si>
    <t>German</t>
  </si>
  <si>
    <t>plurality</t>
  </si>
  <si>
    <t>DT</t>
  </si>
  <si>
    <t>RF</t>
  </si>
  <si>
    <t>NN</t>
  </si>
  <si>
    <t>gender</t>
  </si>
  <si>
    <t>case</t>
  </si>
  <si>
    <t>supplemented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</si>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</sst>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76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58B908-6B00-6948-85F8-E147A7A1208B}" name="Table14" displayName="Table14" ref="A1:Y19" totalsRowShown="0">
  <autoFilter ref="A1:Y19" xr:uid="{E292F0B0-6B0F-4847-A48F-C75681558AC1}"/>
  <tableColumns count="25">
    <tableColumn id="1" xr3:uid="{51E45C51-D6F1-A843-82A6-B6F35FCB6CF2}" name="lang"/>
    <tableColumn id="2" xr3:uid="{7B241A34-802F-C246-9D13-1A4460EFD25B}" name="attribute.index"/>
    <tableColumn id="3" xr3:uid="{2207AEC4-FCAB-3345-8BF9-8B6243B95E17}" name="attribute"/>
    <tableColumn id="4" xr3:uid="{121AA643-CC4B-BE44-BC30-96308A39F26C}" name="supplement"/>
    <tableColumn id="5" xr3:uid="{8B2B37DD-5BDD-9B4A-B5BC-D85E6922C86C}" name="method.index"/>
    <tableColumn id="6" xr3:uid="{87DB2A9A-A45B-4540-962D-E52298C58475}" name="method"/>
    <tableColumn id="7" xr3:uid="{304EE231-1C05-5040-8997-92D2F0A7EA00}" name="2g-no-hash" dataDxfId="75"/>
    <tableColumn id="8" xr3:uid="{BAB8AD65-0C89-7447-B028-B91635A31172}" name="3g-no-hash" dataDxfId="74"/>
    <tableColumn id="9" xr3:uid="{C29CE402-A0AF-C74A-9783-E958B98DE3B5}" name="4g-no-hash" dataDxfId="73"/>
    <tableColumn id="10" xr3:uid="{42BA1ECC-BBC3-964A-8197-FEC057026AC3}" name="sk2g-no-hash" dataDxfId="72"/>
    <tableColumn id="11" xr3:uid="{5BF00488-658D-A240-A975-FFFF560A2ADC}" name="sk3g-no-hash" dataDxfId="71"/>
    <tableColumn id="12" xr3:uid="{F7F4307E-0D18-9540-BFAE-E5E07FEF8F11}" name="sk4g-no-hash" dataDxfId="70"/>
    <tableColumn id="13" xr3:uid="{FDA06F74-7533-9749-B30A-8B7959531E61}" name="xsk2g-no-hash" dataDxfId="69"/>
    <tableColumn id="14" xr3:uid="{182A6DA5-7219-9E4A-B8B5-9F10442C189A}" name="xsk3g-no-hash" dataDxfId="68"/>
    <tableColumn id="15" xr3:uid="{25606C88-5CA4-F345-876B-A84A4957E128}" name="xsk4g-no-hash" dataDxfId="67"/>
    <tableColumn id="16" xr3:uid="{26F2292C-0D6F-5847-A080-955DCB41BE07}" name="2g-hash-at-both" dataDxfId="66"/>
    <tableColumn id="17" xr3:uid="{367BB653-9504-184E-B046-C79E872FF3AF}" name="3g-hash-at-both" dataDxfId="65"/>
    <tableColumn id="18" xr3:uid="{F8120C56-322B-9E4D-AB5E-3038A47A0E7F}" name="4g-hash-at-both" dataDxfId="64"/>
    <tableColumn id="19" xr3:uid="{178927A9-E56B-F842-B240-C49C9070C312}" name="sk2g-hash-at-both" dataDxfId="63"/>
    <tableColumn id="20" xr3:uid="{1BB76074-496D-C54B-B881-84B384D4A381}" name="sk3g-hash-at-both" dataDxfId="62"/>
    <tableColumn id="21" xr3:uid="{1DCDA9D5-952E-884D-BB6F-F3A4419831A8}" name="sk4g-hash-at-both" dataDxfId="61"/>
    <tableColumn id="22" xr3:uid="{5E7FD5C4-8268-744A-95A7-9D0D7CDCE90C}" name="xsk2g-hash-at-both" dataDxfId="60"/>
    <tableColumn id="23" xr3:uid="{A19D5179-A595-1D40-8C29-895E30AC8A4F}" name="xsk3g-hash-at-both" dataDxfId="59"/>
    <tableColumn id="24" xr3:uid="{9E79035D-634F-AC45-832D-BE4871598174}" name="xsk4g-hash-at-both" dataDxfId="58"/>
    <tableColumn id="25" xr3:uid="{C18C8B6A-C2AF-A64D-8FB1-6E684B6FDA40}" name="max" dataDxfId="57">
      <calculatedColumnFormula>MAX($G2:$X2)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90B765-C46E-224B-AC68-685E1649DDEE}" name="Table25" displayName="Table25" ref="B22:Y28" totalsRowShown="0">
  <autoFilter ref="B22:Y28" xr:uid="{A4547D2F-67B7-F342-9A22-185BDCD1B948}"/>
  <tableColumns count="24">
    <tableColumn id="1" xr3:uid="{8C04323E-8A58-044B-BB46-28397A91686A}" name="attribute.index"/>
    <tableColumn id="2" xr3:uid="{AAAC13F3-6DF9-F843-B44F-90773280C099}" name="attribute"/>
    <tableColumn id="3" xr3:uid="{FB75B571-A0ED-724F-A4C9-F1BCB60C7C9A}" name="supplemented"/>
    <tableColumn id="4" xr3:uid="{755D834A-8EB4-9844-B8C6-C6E5DB644466}" name="method.index"/>
    <tableColumn id="5" xr3:uid="{394925E1-17FA-B648-91FB-6ED2C7220AA0}" name="metric"/>
    <tableColumn id="6" xr3:uid="{B06BC3C0-4ED7-C042-A8DF-27DF28C5CEE4}" name="2g-no-hash" dataDxfId="56">
      <calculatedColumnFormula array="1">_xlfn.LET(_xlpm.d,G$2:G$19,_xlpm.a,$C$2:$C$19=$C23,_xlpm.b,$D$2:$D$19=$D23,MAX(_xlfn._xlws.FILTER(_xlpm.d,_xlpm.a*_xlpm.b)))</calculatedColumnFormula>
    </tableColumn>
    <tableColumn id="7" xr3:uid="{FEF9417D-DC86-7043-901C-C66391107236}" name="3g-no-hash" dataDxfId="55">
      <calculatedColumnFormula array="1">_xlfn.LET(_xlpm.d,H$2:H$19,_xlpm.a,$C$2:$C$19=$C23,_xlpm.b,$D$2:$D$19=$D23,MAX(_xlfn._xlws.FILTER(_xlpm.d,_xlpm.a*_xlpm.b)))</calculatedColumnFormula>
    </tableColumn>
    <tableColumn id="8" xr3:uid="{9C6822F0-E453-344D-BD0C-AF34F02396EF}" name="4g-no-hash" dataDxfId="54">
      <calculatedColumnFormula array="1">_xlfn.LET(_xlpm.d,I$2:I$19,_xlpm.a,$C$2:$C$19=$C23,_xlpm.b,$D$2:$D$19=$D23,MAX(_xlfn._xlws.FILTER(_xlpm.d,_xlpm.a*_xlpm.b)))</calculatedColumnFormula>
    </tableColumn>
    <tableColumn id="9" xr3:uid="{5F5B4542-5F5A-B547-A2E8-D6FA3B7C3795}" name="sk2g-no-hash" dataDxfId="53">
      <calculatedColumnFormula array="1">_xlfn.LET(_xlpm.d,J$2:J$19,_xlpm.a,$C$2:$C$19=$C23,_xlpm.b,$D$2:$D$19=$D23,MAX(_xlfn._xlws.FILTER(_xlpm.d,_xlpm.a*_xlpm.b)))</calculatedColumnFormula>
    </tableColumn>
    <tableColumn id="10" xr3:uid="{DECBB6B0-93C0-CE47-8315-DBF67EF639A6}" name="sk3g-no-hash" dataDxfId="52">
      <calculatedColumnFormula array="1">_xlfn.LET(_xlpm.d,K$2:K$19,_xlpm.a,$C$2:$C$19=$C23,_xlpm.b,$D$2:$D$19=$D23,MAX(_xlfn._xlws.FILTER(_xlpm.d,_xlpm.a*_xlpm.b)))</calculatedColumnFormula>
    </tableColumn>
    <tableColumn id="11" xr3:uid="{6FFA6026-86A5-8041-8F9B-2BB65CA758E1}" name="sk4g-no-hash" dataDxfId="51">
      <calculatedColumnFormula array="1">_xlfn.LET(_xlpm.d,L$2:L$19,_xlpm.a,$C$2:$C$19=$C23,_xlpm.b,$D$2:$D$19=$D23,MAX(_xlfn._xlws.FILTER(_xlpm.d,_xlpm.a*_xlpm.b)))</calculatedColumnFormula>
    </tableColumn>
    <tableColumn id="12" xr3:uid="{4A4C0F68-4C34-8E4C-A181-61BA9A761DE9}" name="xsk2g-no-hash" dataDxfId="50">
      <calculatedColumnFormula array="1">_xlfn.LET(_xlpm.d,M$2:M$19,_xlpm.a,$C$2:$C$19=$C23,_xlpm.b,$D$2:$D$19=$D23,MAX(_xlfn._xlws.FILTER(_xlpm.d,_xlpm.a*_xlpm.b)))</calculatedColumnFormula>
    </tableColumn>
    <tableColumn id="13" xr3:uid="{F2FBDA66-260A-F540-AB0B-336714303128}" name="xsk3g-no-hash" dataDxfId="49">
      <calculatedColumnFormula array="1">_xlfn.LET(_xlpm.d,N$2:N$19,_xlpm.a,$C$2:$C$19=$C23,_xlpm.b,$D$2:$D$19=$D23,MAX(_xlfn._xlws.FILTER(_xlpm.d,_xlpm.a*_xlpm.b)))</calculatedColumnFormula>
    </tableColumn>
    <tableColumn id="14" xr3:uid="{29915E91-A899-194B-86ED-0AC190A50B88}" name="xsk4g-no-hash" dataDxfId="48">
      <calculatedColumnFormula array="1">_xlfn.LET(_xlpm.d,O$2:O$19,_xlpm.a,$C$2:$C$19=$C23,_xlpm.b,$D$2:$D$19=$D23,MAX(_xlfn._xlws.FILTER(_xlpm.d,_xlpm.a*_xlpm.b)))</calculatedColumnFormula>
    </tableColumn>
    <tableColumn id="15" xr3:uid="{D4B41B1B-E7F4-1F44-8465-CE594F54FF10}" name="2g-hash-at-both" dataDxfId="47">
      <calculatedColumnFormula array="1">_xlfn.LET(_xlpm.d,P$2:P$19,_xlpm.a,$C$2:$C$19=$C23,_xlpm.b,$D$2:$D$19=$D23,MAX(_xlfn._xlws.FILTER(_xlpm.d,_xlpm.a*_xlpm.b)))</calculatedColumnFormula>
    </tableColumn>
    <tableColumn id="16" xr3:uid="{27E7B7FA-DE6E-1742-9D35-0B49132C3ACC}" name="3g-hash-at-both" dataDxfId="46">
      <calculatedColumnFormula array="1">_xlfn.LET(_xlpm.d,Q$2:Q$19,_xlpm.a,$C$2:$C$19=$C23,_xlpm.b,$D$2:$D$19=$D23,MAX(_xlfn._xlws.FILTER(_xlpm.d,_xlpm.a*_xlpm.b)))</calculatedColumnFormula>
    </tableColumn>
    <tableColumn id="17" xr3:uid="{101E90BB-1834-1143-88D3-2C620CDC2978}" name="4g-hash-at-both" dataDxfId="45">
      <calculatedColumnFormula array="1">_xlfn.LET(_xlpm.d,R$2:R$19,_xlpm.a,$C$2:$C$19=$C23,_xlpm.b,$D$2:$D$19=$D23,MAX(_xlfn._xlws.FILTER(_xlpm.d,_xlpm.a*_xlpm.b)))</calculatedColumnFormula>
    </tableColumn>
    <tableColumn id="18" xr3:uid="{C20B9FFB-0465-5B40-9645-5D40EA4E70F7}" name="sk2g-hash-at-both" dataDxfId="44">
      <calculatedColumnFormula array="1">_xlfn.LET(_xlpm.d,S$2:S$19,_xlpm.a,$C$2:$C$19=$C23,_xlpm.b,$D$2:$D$19=$D23,MAX(_xlfn._xlws.FILTER(_xlpm.d,_xlpm.a*_xlpm.b)))</calculatedColumnFormula>
    </tableColumn>
    <tableColumn id="19" xr3:uid="{C52C2B92-E87E-8E4D-B9AC-5B5E2A01551F}" name="sk3g-hash-at-both" dataDxfId="43">
      <calculatedColumnFormula array="1">_xlfn.LET(_xlpm.d,T$2:T$19,_xlpm.a,$C$2:$C$19=$C23,_xlpm.b,$D$2:$D$19=$D23,MAX(_xlfn._xlws.FILTER(_xlpm.d,_xlpm.a*_xlpm.b)))</calculatedColumnFormula>
    </tableColumn>
    <tableColumn id="20" xr3:uid="{4C5B07C6-6275-9746-AEF9-B73476BCB157}" name="sk4g-hash-at-both" dataDxfId="42">
      <calculatedColumnFormula array="1">_xlfn.LET(_xlpm.d,U$2:U$19,_xlpm.a,$C$2:$C$19=$C23,_xlpm.b,$D$2:$D$19=$D23,MAX(_xlfn._xlws.FILTER(_xlpm.d,_xlpm.a*_xlpm.b)))</calculatedColumnFormula>
    </tableColumn>
    <tableColumn id="21" xr3:uid="{35E8643B-47A1-FA48-9C0B-EB8337EA7CF3}" name="xsk2g-hash-at-both" dataDxfId="41">
      <calculatedColumnFormula array="1">_xlfn.LET(_xlpm.d,V$2:V$19,_xlpm.a,$C$2:$C$19=$C23,_xlpm.b,$D$2:$D$19=$D23,MAX(_xlfn._xlws.FILTER(_xlpm.d,_xlpm.a*_xlpm.b)))</calculatedColumnFormula>
    </tableColumn>
    <tableColumn id="22" xr3:uid="{0A11D0B1-E97B-E34A-9484-B5BD2B6E675C}" name="xsk3g-hash-at-both" dataDxfId="40">
      <calculatedColumnFormula array="1">_xlfn.LET(_xlpm.d,W$2:W$19,_xlpm.a,$C$2:$C$19=$C23,_xlpm.b,$D$2:$D$19=$D23,MAX(_xlfn._xlws.FILTER(_xlpm.d,_xlpm.a*_xlpm.b)))</calculatedColumnFormula>
    </tableColumn>
    <tableColumn id="23" xr3:uid="{F5E853D6-6BA7-5345-A1CA-55226429A99A}" name="xsk4g-hash-at-both" dataDxfId="39">
      <calculatedColumnFormula array="1">_xlfn.LET(_xlpm.d,X$2:X$19,_xlpm.a,$C$2:$C$19=$C23,_xlpm.b,$D$2:$D$19=$D23,MAX(_xlfn._xlws.FILTER(_xlpm.d,_xlpm.a*_xlpm.b)))</calculatedColumnFormula>
    </tableColumn>
    <tableColumn id="24" xr3:uid="{1A3FC533-DBA1-FB43-B049-9DBF405C5C10}" name="max" dataDxfId="38">
      <calculatedColumnFormula array="1">_xlfn.LET(_xlpm.d,Y$2:Y$19,_xlpm.a,$C$2:$C$19=$C23,_xlpm.b,$D$2:$D$19=$D23,MAX(_xlfn._xlws.FILTER(_xlpm.d,_xlpm.a*_xlpm.b)))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EFF24-D798-7C4A-A5BA-74097670F0F6}" name="Table1" displayName="Table1" ref="A1:Y19" totalsRowShown="0">
  <autoFilter ref="A1:Y19" xr:uid="{E292F0B0-6B0F-4847-A48F-C75681558AC1}"/>
  <sortState xmlns:xlrd2="http://schemas.microsoft.com/office/spreadsheetml/2017/richdata2" ref="A2:Y19">
    <sortCondition ref="B1:B19"/>
  </sortState>
  <tableColumns count="25">
    <tableColumn id="1" xr3:uid="{710DAF7D-120B-974F-9F97-A851B1F22BC0}" name="lang"/>
    <tableColumn id="2" xr3:uid="{7D75A2AC-6995-6941-BC7D-FA807BC957A5}" name="attribute.index"/>
    <tableColumn id="3" xr3:uid="{AE51884B-2712-F242-9152-0539A32E2220}" name="attribute"/>
    <tableColumn id="4" xr3:uid="{2F7BEEC0-E1CE-7547-B6AF-2AFC25B9014C}" name="supplement"/>
    <tableColumn id="5" xr3:uid="{700F7A69-F18C-C548-AD7A-2B455CCD9F7B}" name="method.index"/>
    <tableColumn id="6" xr3:uid="{5F802D4B-F3FF-6943-8EBC-7BCC5CE731B1}" name="method"/>
    <tableColumn id="7" xr3:uid="{1D3C7622-25F4-444D-B32B-030E92661ECC}" name="2g-no-hash" dataDxfId="37"/>
    <tableColumn id="8" xr3:uid="{201731C7-0304-F747-9C72-BA7D9F9FE392}" name="3g-no-hash" dataDxfId="36"/>
    <tableColumn id="9" xr3:uid="{18C34F2F-E410-294E-B7DC-5A64A7AC0D95}" name="4g-no-hash" dataDxfId="35"/>
    <tableColumn id="10" xr3:uid="{7A2F80CD-1789-B54F-9920-490B6550DA8A}" name="sk2g-no-hash" dataDxfId="34"/>
    <tableColumn id="11" xr3:uid="{89F7C1F2-22D5-5B40-A297-3761EB4DFABF}" name="sk3g-no-hash" dataDxfId="33"/>
    <tableColumn id="12" xr3:uid="{FD5462EA-EA34-8C4E-9AB7-012A9DB8491F}" name="sk4g-no-hash" dataDxfId="32"/>
    <tableColumn id="13" xr3:uid="{E933E8DB-7557-1540-A979-33057DCED0D2}" name="xsk2g-no-hash" dataDxfId="31"/>
    <tableColumn id="14" xr3:uid="{784C2F8C-6A9E-0B4F-9617-F03BC16792E3}" name="xsk3g-no-hash" dataDxfId="30"/>
    <tableColumn id="15" xr3:uid="{7FC99483-E93E-7E4B-A103-473AEE0ED8CF}" name="xsk4g-no-hash" dataDxfId="29"/>
    <tableColumn id="16" xr3:uid="{A74F2E8A-B167-374B-8B2C-C07F9261B000}" name="2g-hash-at-both" dataDxfId="28"/>
    <tableColumn id="17" xr3:uid="{CF17D693-9E8C-B944-89AA-63DEEA2121EB}" name="3g-hash-at-both" dataDxfId="27"/>
    <tableColumn id="18" xr3:uid="{D84E337C-7386-DD46-87C8-042987055702}" name="4g-hash-at-both" dataDxfId="26"/>
    <tableColumn id="19" xr3:uid="{1D904A7A-B689-7449-990D-197ED67FBC31}" name="sk2g-hash-at-both" dataDxfId="25"/>
    <tableColumn id="20" xr3:uid="{9363325F-5677-B845-BB8F-66CFFEE060D1}" name="sk3g-hash-at-both" dataDxfId="24"/>
    <tableColumn id="21" xr3:uid="{A5A433CB-0972-2C48-8DD3-0832F15F0D61}" name="sk4g-hash-at-both" dataDxfId="23"/>
    <tableColumn id="22" xr3:uid="{CDC6CED6-4DCA-8E4B-BDC5-50488961EE12}" name="xsk2g-hash-at-both" dataDxfId="22"/>
    <tableColumn id="23" xr3:uid="{0C42B906-978B-2044-AB62-28BA134E9923}" name="xsk3g-hash-at-both" dataDxfId="21"/>
    <tableColumn id="24" xr3:uid="{640E7BC3-9A2A-BA4F-9F59-DC80DBAEA86E}" name="xsk4g-hash-at-both" dataDxfId="20"/>
    <tableColumn id="25" xr3:uid="{177D1B84-DADA-E947-8329-69ADB9D761FE}" name="max" dataDxfId="19">
      <calculatedColumnFormula>MAX($G2:$X2)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D76732-6C33-C649-AF1D-A76627A42B74}" name="Table2" displayName="Table2" ref="B22:Y28" totalsRowShown="0">
  <autoFilter ref="B22:Y28" xr:uid="{A4547D2F-67B7-F342-9A22-185BDCD1B948}"/>
  <tableColumns count="24">
    <tableColumn id="1" xr3:uid="{244456EB-097C-114A-A029-173840ADEEF0}" name="attribute.index"/>
    <tableColumn id="2" xr3:uid="{855EDA00-896B-1046-98BC-BD17B8B2932C}" name="attribute"/>
    <tableColumn id="3" xr3:uid="{6B4E3C74-C472-FD40-BA24-4BDEBE2258A4}" name="supplemented"/>
    <tableColumn id="4" xr3:uid="{63A0ED0E-2FE3-7D49-9609-2F51417361E2}" name="method.index"/>
    <tableColumn id="5" xr3:uid="{19765BF6-C4E5-F347-B4D4-F82DA62D51DD}" name="metric"/>
    <tableColumn id="6" xr3:uid="{57E997B5-D0CF-A347-B4FB-0AFCAC40C95C}" name="2g-no-hash" dataDxfId="18">
      <calculatedColumnFormula array="1">_xlfn.LET(_xlpm.d,G$2:G$19,_xlpm.a,$C$2:$C$19=$C23,_xlpm.b,$D$2:$D$19=$D23,MAX(_xlfn._xlws.FILTER(_xlpm.d,_xlpm.a*_xlpm.b)))</calculatedColumnFormula>
    </tableColumn>
    <tableColumn id="7" xr3:uid="{45273692-FC25-C449-906D-0288C5C20FC9}" name="3g-no-hash" dataDxfId="17">
      <calculatedColumnFormula array="1">_xlfn.LET(_xlpm.d,H$2:H$19,_xlpm.a,$C$2:$C$19=$C23,_xlpm.b,$D$2:$D$19=$D23,MAX(_xlfn._xlws.FILTER(_xlpm.d,_xlpm.a*_xlpm.b)))</calculatedColumnFormula>
    </tableColumn>
    <tableColumn id="8" xr3:uid="{914AF949-3D3F-3E4F-85EA-CFBDDD66DA42}" name="4g-no-hash" dataDxfId="16">
      <calculatedColumnFormula array="1">_xlfn.LET(_xlpm.d,I$2:I$19,_xlpm.a,$C$2:$C$19=$C23,_xlpm.b,$D$2:$D$19=$D23,MAX(_xlfn._xlws.FILTER(_xlpm.d,_xlpm.a*_xlpm.b)))</calculatedColumnFormula>
    </tableColumn>
    <tableColumn id="9" xr3:uid="{1D057803-8971-004E-98B3-5A3E6A3B8AC5}" name="sk2g-no-hash" dataDxfId="15">
      <calculatedColumnFormula array="1">_xlfn.LET(_xlpm.d,J$2:J$19,_xlpm.a,$C$2:$C$19=$C23,_xlpm.b,$D$2:$D$19=$D23,MAX(_xlfn._xlws.FILTER(_xlpm.d,_xlpm.a*_xlpm.b)))</calculatedColumnFormula>
    </tableColumn>
    <tableColumn id="10" xr3:uid="{B33592EA-B07A-2646-8C2E-A888B0E8C503}" name="sk3g-no-hash" dataDxfId="14">
      <calculatedColumnFormula array="1">_xlfn.LET(_xlpm.d,K$2:K$19,_xlpm.a,$C$2:$C$19=$C23,_xlpm.b,$D$2:$D$19=$D23,MAX(_xlfn._xlws.FILTER(_xlpm.d,_xlpm.a*_xlpm.b)))</calculatedColumnFormula>
    </tableColumn>
    <tableColumn id="11" xr3:uid="{26865FFA-DA83-0441-89FF-939D49F6D14B}" name="sk4g-no-hash" dataDxfId="13">
      <calculatedColumnFormula array="1">_xlfn.LET(_xlpm.d,L$2:L$19,_xlpm.a,$C$2:$C$19=$C23,_xlpm.b,$D$2:$D$19=$D23,MAX(_xlfn._xlws.FILTER(_xlpm.d,_xlpm.a*_xlpm.b)))</calculatedColumnFormula>
    </tableColumn>
    <tableColumn id="12" xr3:uid="{7E5EEA02-24E4-8248-9FF5-5257DB3D0B46}" name="xsk2g-no-hash" dataDxfId="12">
      <calculatedColumnFormula array="1">_xlfn.LET(_xlpm.d,M$2:M$19,_xlpm.a,$C$2:$C$19=$C23,_xlpm.b,$D$2:$D$19=$D23,MAX(_xlfn._xlws.FILTER(_xlpm.d,_xlpm.a*_xlpm.b)))</calculatedColumnFormula>
    </tableColumn>
    <tableColumn id="13" xr3:uid="{BC7C59C6-4D1A-E348-B020-C99AF8485448}" name="xsk3g-no-hash" dataDxfId="11">
      <calculatedColumnFormula array="1">_xlfn.LET(_xlpm.d,N$2:N$19,_xlpm.a,$C$2:$C$19=$C23,_xlpm.b,$D$2:$D$19=$D23,MAX(_xlfn._xlws.FILTER(_xlpm.d,_xlpm.a*_xlpm.b)))</calculatedColumnFormula>
    </tableColumn>
    <tableColumn id="14" xr3:uid="{2827754A-F033-594A-B455-884E014E4246}" name="xsk4g-no-hash" dataDxfId="10">
      <calculatedColumnFormula array="1">_xlfn.LET(_xlpm.d,O$2:O$19,_xlpm.a,$C$2:$C$19=$C23,_xlpm.b,$D$2:$D$19=$D23,MAX(_xlfn._xlws.FILTER(_xlpm.d,_xlpm.a*_xlpm.b)))</calculatedColumnFormula>
    </tableColumn>
    <tableColumn id="15" xr3:uid="{67F28223-1D6D-D844-B190-F13F87C3A5F7}" name="2g-hash-at-both" dataDxfId="9">
      <calculatedColumnFormula array="1">_xlfn.LET(_xlpm.d,P$2:P$19,_xlpm.a,$C$2:$C$19=$C23,_xlpm.b,$D$2:$D$19=$D23,MAX(_xlfn._xlws.FILTER(_xlpm.d,_xlpm.a*_xlpm.b)))</calculatedColumnFormula>
    </tableColumn>
    <tableColumn id="16" xr3:uid="{C64CECB6-F00A-2841-A295-F19BA70C8705}" name="3g-hash-at-both" dataDxfId="8">
      <calculatedColumnFormula array="1">_xlfn.LET(_xlpm.d,Q$2:Q$19,_xlpm.a,$C$2:$C$19=$C23,_xlpm.b,$D$2:$D$19=$D23,MAX(_xlfn._xlws.FILTER(_xlpm.d,_xlpm.a*_xlpm.b)))</calculatedColumnFormula>
    </tableColumn>
    <tableColumn id="17" xr3:uid="{123E863C-0874-A449-B758-0D9FA3C06E76}" name="4g-hash-at-both" dataDxfId="7">
      <calculatedColumnFormula array="1">_xlfn.LET(_xlpm.d,R$2:R$19,_xlpm.a,$C$2:$C$19=$C23,_xlpm.b,$D$2:$D$19=$D23,MAX(_xlfn._xlws.FILTER(_xlpm.d,_xlpm.a*_xlpm.b)))</calculatedColumnFormula>
    </tableColumn>
    <tableColumn id="18" xr3:uid="{4DA342D3-8B66-7540-BEC0-A49E2C428013}" name="sk2g-hash-at-both" dataDxfId="6">
      <calculatedColumnFormula array="1">_xlfn.LET(_xlpm.d,S$2:S$19,_xlpm.a,$C$2:$C$19=$C23,_xlpm.b,$D$2:$D$19=$D23,MAX(_xlfn._xlws.FILTER(_xlpm.d,_xlpm.a*_xlpm.b)))</calculatedColumnFormula>
    </tableColumn>
    <tableColumn id="19" xr3:uid="{1D7B7F65-2CE4-EE42-8635-C723BD764C7E}" name="sk3g-hash-at-both" dataDxfId="5">
      <calculatedColumnFormula array="1">_xlfn.LET(_xlpm.d,T$2:T$19,_xlpm.a,$C$2:$C$19=$C23,_xlpm.b,$D$2:$D$19=$D23,MAX(_xlfn._xlws.FILTER(_xlpm.d,_xlpm.a*_xlpm.b)))</calculatedColumnFormula>
    </tableColumn>
    <tableColumn id="20" xr3:uid="{91FDD243-6A10-9446-B1DF-BBD8F218419C}" name="sk4g-hash-at-both" dataDxfId="4">
      <calculatedColumnFormula array="1">_xlfn.LET(_xlpm.d,U$2:U$19,_xlpm.a,$C$2:$C$19=$C23,_xlpm.b,$D$2:$D$19=$D23,MAX(_xlfn._xlws.FILTER(_xlpm.d,_xlpm.a*_xlpm.b)))</calculatedColumnFormula>
    </tableColumn>
    <tableColumn id="21" xr3:uid="{D9C1E447-EFF4-7742-93EC-9C0C6DFA4799}" name="xsk2g-hash-at-both" dataDxfId="3">
      <calculatedColumnFormula array="1">_xlfn.LET(_xlpm.d,V$2:V$19,_xlpm.a,$C$2:$C$19=$C23,_xlpm.b,$D$2:$D$19=$D23,MAX(_xlfn._xlws.FILTER(_xlpm.d,_xlpm.a*_xlpm.b)))</calculatedColumnFormula>
    </tableColumn>
    <tableColumn id="22" xr3:uid="{482A7CE8-AD8D-0D47-BD50-F646F442868F}" name="xsk3g-hash-at-both" dataDxfId="2">
      <calculatedColumnFormula array="1">_xlfn.LET(_xlpm.d,W$2:W$19,_xlpm.a,$C$2:$C$19=$C23,_xlpm.b,$D$2:$D$19=$D23,MAX(_xlfn._xlws.FILTER(_xlpm.d,_xlpm.a*_xlpm.b)))</calculatedColumnFormula>
    </tableColumn>
    <tableColumn id="23" xr3:uid="{EC6EF5AA-D730-4D47-A86E-4120347C25E9}" name="xsk4g-hash-at-both" dataDxfId="1">
      <calculatedColumnFormula array="1">_xlfn.LET(_xlpm.d,X$2:X$19,_xlpm.a,$C$2:$C$19=$C23,_xlpm.b,$D$2:$D$19=$D23,MAX(_xlfn._xlws.FILTER(_xlpm.d,_xlpm.a*_xlpm.b)))</calculatedColumnFormula>
    </tableColumn>
    <tableColumn id="24" xr3:uid="{5BFE799E-3856-0C46-953E-A776418D2794}" name="max" dataDxfId="0">
      <calculatedColumnFormula array="1">_xlfn.LET(_xlpm.d,Y$2:Y$19,_xlpm.a,$C$2:$C$19=$C23,_xlpm.b,$D$2:$D$19=$D23,MAX(_xlfn._xlws.FILTER(_xlpm.d,_xlpm.a*_xlpm.b)))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29AD-1B75-5146-B560-E6EA31C8A420}">
  <dimension ref="A1:Y28"/>
  <sheetViews>
    <sheetView tabSelected="1" topLeftCell="B1" workbookViewId="0">
      <pane xSplit="9080" ySplit="3520" topLeftCell="U18"/>
      <selection activeCell="D1" sqref="D1:D1048576"/>
      <selection pane="topRight" activeCell="V3" sqref="V3"/>
      <selection pane="bottomLeft" activeCell="B22" sqref="B22:Y22"/>
      <selection pane="bottomRight" activeCell="V29" sqref="V29"/>
    </sheetView>
  </sheetViews>
  <sheetFormatPr baseColWidth="10" defaultRowHeight="25" customHeight="1"/>
  <cols>
    <col min="2" max="2" width="7.375" customWidth="1"/>
    <col min="4" max="4" width="9.625" customWidth="1"/>
    <col min="5" max="5" width="7.375" customWidth="1"/>
    <col min="6" max="6" width="6.25" customWidth="1"/>
    <col min="7" max="25" width="9.125" customWidth="1"/>
  </cols>
  <sheetData>
    <row r="1" spans="1:25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0.82</v>
      </c>
      <c r="H2" s="1">
        <v>0.83</v>
      </c>
      <c r="I2" s="1">
        <v>0.82</v>
      </c>
      <c r="J2" s="1">
        <v>0.79</v>
      </c>
      <c r="K2" s="1">
        <v>0.76</v>
      </c>
      <c r="L2" s="1">
        <v>0.78</v>
      </c>
      <c r="M2" s="1">
        <v>0.73</v>
      </c>
      <c r="N2" s="1">
        <v>0.76</v>
      </c>
      <c r="O2" s="1">
        <v>0.78</v>
      </c>
      <c r="P2" s="1">
        <v>0.84</v>
      </c>
      <c r="Q2" s="1">
        <v>0.82</v>
      </c>
      <c r="R2" s="1">
        <v>0.82</v>
      </c>
      <c r="S2" s="1">
        <v>0.79</v>
      </c>
      <c r="T2" s="1">
        <v>0.77</v>
      </c>
      <c r="U2" s="1">
        <v>0.75</v>
      </c>
      <c r="V2" s="1">
        <v>0.78</v>
      </c>
      <c r="W2" s="1">
        <v>0.77</v>
      </c>
      <c r="X2" s="1">
        <v>0.76</v>
      </c>
      <c r="Y2" s="1">
        <f t="shared" ref="Y2:Y19" si="0">MAX($G2:$X2)</f>
        <v>0.84</v>
      </c>
    </row>
    <row r="3" spans="1:25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0.8</v>
      </c>
      <c r="H3" s="1">
        <v>0.77</v>
      </c>
      <c r="I3" s="1">
        <v>0.78</v>
      </c>
      <c r="J3" s="1">
        <v>0.83</v>
      </c>
      <c r="K3" s="1">
        <v>0.78</v>
      </c>
      <c r="L3" s="1">
        <v>0.74</v>
      </c>
      <c r="M3" s="1">
        <v>0.76</v>
      </c>
      <c r="N3" s="1">
        <v>0.78</v>
      </c>
      <c r="O3" s="1">
        <v>0.76</v>
      </c>
      <c r="P3" s="1">
        <v>0.76</v>
      </c>
      <c r="Q3" s="1">
        <v>0.82</v>
      </c>
      <c r="R3" s="1">
        <v>0.78</v>
      </c>
      <c r="S3" s="1">
        <v>0.76</v>
      </c>
      <c r="T3" s="1">
        <v>0.78</v>
      </c>
      <c r="U3" s="1">
        <v>0.77</v>
      </c>
      <c r="V3" s="1">
        <v>0.75</v>
      </c>
      <c r="W3" s="1">
        <v>0.77</v>
      </c>
      <c r="X3" s="1">
        <v>0.77</v>
      </c>
      <c r="Y3" s="1">
        <f t="shared" si="0"/>
        <v>0.83</v>
      </c>
    </row>
    <row r="4" spans="1:25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0.84</v>
      </c>
      <c r="H4" s="1">
        <v>0.83</v>
      </c>
      <c r="I4" s="1">
        <v>0.83</v>
      </c>
      <c r="J4" s="1">
        <v>0.81</v>
      </c>
      <c r="K4" s="1">
        <v>0.85</v>
      </c>
      <c r="L4" s="1">
        <v>0.79</v>
      </c>
      <c r="M4" s="1">
        <v>0.8</v>
      </c>
      <c r="N4" s="1">
        <v>0.8</v>
      </c>
      <c r="O4" s="1">
        <v>0.8</v>
      </c>
      <c r="P4" s="1">
        <v>0.85</v>
      </c>
      <c r="Q4" s="1">
        <v>0.86</v>
      </c>
      <c r="R4" s="1">
        <v>0.81</v>
      </c>
      <c r="S4" s="1">
        <v>0.82</v>
      </c>
      <c r="T4" s="1">
        <v>0.81</v>
      </c>
      <c r="U4" s="1">
        <v>0.81</v>
      </c>
      <c r="V4" s="1">
        <v>0.84</v>
      </c>
      <c r="W4" s="1">
        <v>0.8</v>
      </c>
      <c r="X4" s="1">
        <v>0.83</v>
      </c>
      <c r="Y4" s="1">
        <f t="shared" si="0"/>
        <v>0.86</v>
      </c>
    </row>
    <row r="5" spans="1:25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0.87</v>
      </c>
      <c r="H5" s="1">
        <v>0.84</v>
      </c>
      <c r="I5" s="1">
        <v>0.88</v>
      </c>
      <c r="J5" s="1">
        <v>0.86</v>
      </c>
      <c r="K5" s="1">
        <v>0.87</v>
      </c>
      <c r="L5" s="1">
        <v>0.83</v>
      </c>
      <c r="M5" s="1">
        <v>0.85</v>
      </c>
      <c r="N5" s="1">
        <v>0.82</v>
      </c>
      <c r="O5" s="1">
        <v>0.81</v>
      </c>
      <c r="P5" s="1">
        <v>0.87</v>
      </c>
      <c r="Q5" s="1">
        <v>0.89</v>
      </c>
      <c r="R5" s="1">
        <v>0.82</v>
      </c>
      <c r="S5" s="1">
        <v>0.85</v>
      </c>
      <c r="T5" s="1">
        <v>0.85</v>
      </c>
      <c r="U5" s="1">
        <v>0.83</v>
      </c>
      <c r="V5" s="1">
        <v>0.79</v>
      </c>
      <c r="W5" s="1">
        <v>0.8</v>
      </c>
      <c r="X5" s="1">
        <v>0.83</v>
      </c>
      <c r="Y5" s="1">
        <f t="shared" si="0"/>
        <v>0.89</v>
      </c>
    </row>
    <row r="6" spans="1:25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0.82</v>
      </c>
      <c r="H6" s="1">
        <v>0.82</v>
      </c>
      <c r="I6" s="1">
        <v>0.82</v>
      </c>
      <c r="J6" s="1">
        <v>0.81</v>
      </c>
      <c r="K6" s="1">
        <v>0.82</v>
      </c>
      <c r="L6" s="1">
        <v>0.79</v>
      </c>
      <c r="M6" s="1">
        <v>0.8</v>
      </c>
      <c r="N6" s="1">
        <v>0.78</v>
      </c>
      <c r="O6" s="1">
        <v>0.78</v>
      </c>
      <c r="P6" s="1">
        <v>0.81</v>
      </c>
      <c r="Q6" s="1">
        <v>0.8</v>
      </c>
      <c r="R6" s="1">
        <v>0.77</v>
      </c>
      <c r="S6" s="1">
        <v>0.79</v>
      </c>
      <c r="T6" s="1">
        <v>0.77</v>
      </c>
      <c r="U6" s="1">
        <v>0.8</v>
      </c>
      <c r="V6" s="1">
        <v>0.8</v>
      </c>
      <c r="W6" s="1">
        <v>0.78</v>
      </c>
      <c r="X6" s="1">
        <v>0.8</v>
      </c>
      <c r="Y6" s="1">
        <f t="shared" si="0"/>
        <v>0.82</v>
      </c>
    </row>
    <row r="7" spans="1:25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0.86</v>
      </c>
      <c r="H7" s="1">
        <v>0.83</v>
      </c>
      <c r="I7" s="1">
        <v>0.84</v>
      </c>
      <c r="J7" s="1">
        <v>0.83</v>
      </c>
      <c r="K7" s="1">
        <v>0.84</v>
      </c>
      <c r="L7" s="1">
        <v>0.79</v>
      </c>
      <c r="M7" s="1">
        <v>0.82</v>
      </c>
      <c r="N7" s="1">
        <v>0.78</v>
      </c>
      <c r="O7" s="1">
        <v>0.8</v>
      </c>
      <c r="P7" s="1">
        <v>0.83</v>
      </c>
      <c r="Q7" s="1">
        <v>0.84</v>
      </c>
      <c r="R7" s="1">
        <v>0.8</v>
      </c>
      <c r="S7" s="1">
        <v>0.84</v>
      </c>
      <c r="T7" s="1">
        <v>0.79</v>
      </c>
      <c r="U7" s="1">
        <v>0.81</v>
      </c>
      <c r="V7" s="1">
        <v>0.86</v>
      </c>
      <c r="W7" s="1">
        <v>0.77</v>
      </c>
      <c r="X7" s="1">
        <v>0.78</v>
      </c>
      <c r="Y7" s="1">
        <f t="shared" si="0"/>
        <v>0.86</v>
      </c>
    </row>
    <row r="8" spans="1:25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0.51</v>
      </c>
      <c r="H8" s="1">
        <v>0.49</v>
      </c>
      <c r="I8" s="1">
        <v>0.54</v>
      </c>
      <c r="J8" s="1">
        <v>0.51</v>
      </c>
      <c r="K8" s="1">
        <v>0.56000000000000005</v>
      </c>
      <c r="L8" s="1">
        <v>0.54</v>
      </c>
      <c r="M8" s="1">
        <v>0.49</v>
      </c>
      <c r="N8" s="1">
        <v>0.48</v>
      </c>
      <c r="O8" s="1">
        <v>0.49</v>
      </c>
      <c r="P8" s="1">
        <v>0.47</v>
      </c>
      <c r="Q8" s="1">
        <v>0.56000000000000005</v>
      </c>
      <c r="R8" s="1">
        <v>0.53</v>
      </c>
      <c r="S8" s="1">
        <v>0.49</v>
      </c>
      <c r="T8" s="1">
        <v>0.5</v>
      </c>
      <c r="U8" s="1">
        <v>0.53</v>
      </c>
      <c r="V8" s="1">
        <v>0.51</v>
      </c>
      <c r="W8" s="1">
        <v>0.47</v>
      </c>
      <c r="X8" s="1">
        <v>0.45</v>
      </c>
      <c r="Y8" s="1">
        <f t="shared" si="0"/>
        <v>0.56000000000000005</v>
      </c>
    </row>
    <row r="9" spans="1:25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0.55000000000000004</v>
      </c>
      <c r="H9" s="1">
        <v>0.62</v>
      </c>
      <c r="I9" s="1">
        <v>0.55000000000000004</v>
      </c>
      <c r="J9" s="1">
        <v>0.59</v>
      </c>
      <c r="K9" s="1">
        <v>0.6</v>
      </c>
      <c r="L9" s="1">
        <v>0.56000000000000005</v>
      </c>
      <c r="M9" s="1">
        <v>0.56999999999999995</v>
      </c>
      <c r="N9" s="1">
        <v>0.55000000000000004</v>
      </c>
      <c r="O9" s="1">
        <v>0.55000000000000004</v>
      </c>
      <c r="P9" s="1">
        <v>0.56000000000000005</v>
      </c>
      <c r="Q9" s="1">
        <v>0.62</v>
      </c>
      <c r="R9" s="1">
        <v>0.6</v>
      </c>
      <c r="S9" s="1">
        <v>0.56000000000000005</v>
      </c>
      <c r="T9" s="1">
        <v>0.55000000000000004</v>
      </c>
      <c r="U9" s="1">
        <v>0.64</v>
      </c>
      <c r="V9" s="1">
        <v>0.56000000000000005</v>
      </c>
      <c r="W9" s="1">
        <v>0.56999999999999995</v>
      </c>
      <c r="X9" s="1">
        <v>0.52</v>
      </c>
      <c r="Y9" s="1">
        <f t="shared" si="0"/>
        <v>0.64</v>
      </c>
    </row>
    <row r="10" spans="1:25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0.56000000000000005</v>
      </c>
      <c r="H10" s="1">
        <v>0.59</v>
      </c>
      <c r="I10" s="1">
        <v>0.63</v>
      </c>
      <c r="J10" s="1">
        <v>0.56999999999999995</v>
      </c>
      <c r="K10" s="1">
        <v>0.59</v>
      </c>
      <c r="L10" s="1">
        <v>0.62</v>
      </c>
      <c r="M10" s="1">
        <v>0.56000000000000005</v>
      </c>
      <c r="N10" s="1">
        <v>0.59</v>
      </c>
      <c r="O10" s="1">
        <v>0.56999999999999995</v>
      </c>
      <c r="P10" s="1">
        <v>0.55000000000000004</v>
      </c>
      <c r="Q10" s="1">
        <v>0.61</v>
      </c>
      <c r="R10" s="1">
        <v>0.59</v>
      </c>
      <c r="S10" s="1">
        <v>0.59</v>
      </c>
      <c r="T10" s="1">
        <v>0.55000000000000004</v>
      </c>
      <c r="U10" s="1">
        <v>0.65</v>
      </c>
      <c r="V10" s="1">
        <v>0.55000000000000004</v>
      </c>
      <c r="W10" s="1">
        <v>0.6</v>
      </c>
      <c r="X10" s="1">
        <v>0.65</v>
      </c>
      <c r="Y10" s="1">
        <f t="shared" si="0"/>
        <v>0.65</v>
      </c>
    </row>
    <row r="11" spans="1:25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0.62</v>
      </c>
      <c r="H11" s="1">
        <v>0.56999999999999995</v>
      </c>
      <c r="I11" s="1">
        <v>0.6</v>
      </c>
      <c r="J11" s="1">
        <v>0.64</v>
      </c>
      <c r="K11" s="1">
        <v>0.63</v>
      </c>
      <c r="L11" s="1">
        <v>0.56000000000000005</v>
      </c>
      <c r="M11" s="1">
        <v>0.63</v>
      </c>
      <c r="N11" s="1">
        <v>0.59</v>
      </c>
      <c r="O11" s="1">
        <v>0.55000000000000004</v>
      </c>
      <c r="P11" s="1">
        <v>0.56000000000000005</v>
      </c>
      <c r="Q11" s="1">
        <v>0.63</v>
      </c>
      <c r="R11" s="1">
        <v>0.57999999999999996</v>
      </c>
      <c r="S11" s="1">
        <v>0.6</v>
      </c>
      <c r="T11" s="1">
        <v>0.56000000000000005</v>
      </c>
      <c r="U11" s="1">
        <v>0.66</v>
      </c>
      <c r="V11" s="1">
        <v>0.59</v>
      </c>
      <c r="W11" s="1">
        <v>0.59</v>
      </c>
      <c r="X11" s="1">
        <v>0.53</v>
      </c>
      <c r="Y11" s="1">
        <f t="shared" si="0"/>
        <v>0.66</v>
      </c>
    </row>
    <row r="12" spans="1:25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0.56999999999999995</v>
      </c>
      <c r="H12" s="1">
        <v>0.62</v>
      </c>
      <c r="I12" s="1">
        <v>0.6</v>
      </c>
      <c r="J12" s="1">
        <v>0.62</v>
      </c>
      <c r="K12" s="1">
        <v>0.61</v>
      </c>
      <c r="L12" s="1">
        <v>0.59</v>
      </c>
      <c r="M12" s="1">
        <v>0.59</v>
      </c>
      <c r="N12" s="1">
        <v>0.56999999999999995</v>
      </c>
      <c r="O12" s="1">
        <v>0.55000000000000004</v>
      </c>
      <c r="P12" s="1">
        <v>0.56000000000000005</v>
      </c>
      <c r="Q12" s="1">
        <v>0.59</v>
      </c>
      <c r="R12" s="1">
        <v>0.59</v>
      </c>
      <c r="S12" s="1">
        <v>0.6</v>
      </c>
      <c r="T12" s="1">
        <v>0.56999999999999995</v>
      </c>
      <c r="U12" s="1">
        <v>0.64</v>
      </c>
      <c r="V12" s="1">
        <v>0.56999999999999995</v>
      </c>
      <c r="W12" s="1">
        <v>0.59</v>
      </c>
      <c r="X12" s="1">
        <v>0.59</v>
      </c>
      <c r="Y12" s="1">
        <f t="shared" si="0"/>
        <v>0.64</v>
      </c>
    </row>
    <row r="13" spans="1:25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0.53</v>
      </c>
      <c r="H13" s="1">
        <v>0.52</v>
      </c>
      <c r="I13" s="1">
        <v>0.5</v>
      </c>
      <c r="J13" s="1">
        <v>0.53</v>
      </c>
      <c r="K13" s="1">
        <v>0.52</v>
      </c>
      <c r="L13" s="1">
        <v>0.53</v>
      </c>
      <c r="M13" s="1">
        <v>0.55000000000000004</v>
      </c>
      <c r="N13" s="1">
        <v>0.53</v>
      </c>
      <c r="O13" s="1">
        <v>0.48</v>
      </c>
      <c r="P13" s="1">
        <v>0.51</v>
      </c>
      <c r="Q13" s="1">
        <v>0.55000000000000004</v>
      </c>
      <c r="R13" s="1">
        <v>0.48</v>
      </c>
      <c r="S13" s="1">
        <v>0.49</v>
      </c>
      <c r="T13" s="1">
        <v>0.45</v>
      </c>
      <c r="U13" s="1">
        <v>0.6</v>
      </c>
      <c r="V13" s="1">
        <v>0.51</v>
      </c>
      <c r="W13" s="1">
        <v>0.51</v>
      </c>
      <c r="X13" s="1">
        <v>0.49</v>
      </c>
      <c r="Y13" s="1">
        <f t="shared" si="0"/>
        <v>0.6</v>
      </c>
    </row>
    <row r="14" spans="1:25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0.37</v>
      </c>
      <c r="H14" s="1">
        <v>0.36</v>
      </c>
      <c r="I14" s="1">
        <v>0.4</v>
      </c>
      <c r="J14" s="1">
        <v>0.35</v>
      </c>
      <c r="K14" s="1">
        <v>0.43</v>
      </c>
      <c r="L14" s="1">
        <v>0.44</v>
      </c>
      <c r="M14" s="1">
        <v>0.35</v>
      </c>
      <c r="N14" s="1">
        <v>0.3</v>
      </c>
      <c r="O14" s="1">
        <v>0.35</v>
      </c>
      <c r="P14" s="1">
        <v>0.4</v>
      </c>
      <c r="Q14" s="1">
        <v>0.35</v>
      </c>
      <c r="R14" s="1">
        <v>0.32</v>
      </c>
      <c r="S14" s="1">
        <v>0.39</v>
      </c>
      <c r="T14" s="1">
        <v>0.35</v>
      </c>
      <c r="U14" s="1">
        <v>0.41</v>
      </c>
      <c r="V14" s="1">
        <v>0.39</v>
      </c>
      <c r="W14" s="1">
        <v>0.34</v>
      </c>
      <c r="X14" s="1">
        <v>0.38</v>
      </c>
      <c r="Y14" s="1">
        <f t="shared" si="0"/>
        <v>0.44</v>
      </c>
    </row>
    <row r="15" spans="1:25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0.38</v>
      </c>
      <c r="H15" s="1">
        <v>0.4</v>
      </c>
      <c r="I15" s="1">
        <v>0.4</v>
      </c>
      <c r="J15" s="1">
        <v>0.37</v>
      </c>
      <c r="K15" s="1">
        <v>0.4</v>
      </c>
      <c r="L15" s="1">
        <v>0.35</v>
      </c>
      <c r="M15" s="1">
        <v>0.4</v>
      </c>
      <c r="N15" s="1">
        <v>0.36</v>
      </c>
      <c r="O15" s="1">
        <v>0.4</v>
      </c>
      <c r="P15" s="1">
        <v>0.41</v>
      </c>
      <c r="Q15" s="1">
        <v>0.38</v>
      </c>
      <c r="R15" s="1">
        <v>0.37</v>
      </c>
      <c r="S15" s="1">
        <v>0.41</v>
      </c>
      <c r="T15" s="1">
        <v>0.37</v>
      </c>
      <c r="U15" s="1">
        <v>0.38</v>
      </c>
      <c r="V15" s="1">
        <v>0.4</v>
      </c>
      <c r="W15" s="1">
        <v>0.37</v>
      </c>
      <c r="X15" s="1">
        <v>0.38</v>
      </c>
      <c r="Y15" s="1">
        <f t="shared" si="0"/>
        <v>0.41</v>
      </c>
    </row>
    <row r="16" spans="1:25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0.39</v>
      </c>
      <c r="H16" s="1">
        <v>0.44</v>
      </c>
      <c r="I16" s="1">
        <v>0.42</v>
      </c>
      <c r="J16" s="1">
        <v>0.43</v>
      </c>
      <c r="K16" s="1">
        <v>0.5</v>
      </c>
      <c r="L16" s="1">
        <v>0.37</v>
      </c>
      <c r="M16" s="1">
        <v>0.46</v>
      </c>
      <c r="N16" s="1">
        <v>0.38</v>
      </c>
      <c r="O16" s="1">
        <v>0.44</v>
      </c>
      <c r="P16" s="1">
        <v>0.39</v>
      </c>
      <c r="Q16" s="1">
        <v>0.45</v>
      </c>
      <c r="R16" s="1">
        <v>0.4</v>
      </c>
      <c r="S16" s="1">
        <v>0.44</v>
      </c>
      <c r="T16" s="1">
        <v>0.42</v>
      </c>
      <c r="U16" s="1">
        <v>0.44</v>
      </c>
      <c r="V16" s="1">
        <v>0.44</v>
      </c>
      <c r="W16" s="1">
        <v>0.43</v>
      </c>
      <c r="X16" s="1">
        <v>0.42</v>
      </c>
      <c r="Y16" s="1">
        <f t="shared" si="0"/>
        <v>0.5</v>
      </c>
    </row>
    <row r="17" spans="1:25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0.37</v>
      </c>
      <c r="H17" s="1">
        <v>0.43</v>
      </c>
      <c r="I17" s="1">
        <v>0.39</v>
      </c>
      <c r="J17" s="1">
        <v>0.45</v>
      </c>
      <c r="K17" s="1">
        <v>0.5</v>
      </c>
      <c r="L17" s="1">
        <v>0.41</v>
      </c>
      <c r="M17" s="1">
        <v>0.42</v>
      </c>
      <c r="N17" s="1">
        <v>0.37</v>
      </c>
      <c r="O17" s="1">
        <v>0.42</v>
      </c>
      <c r="P17" s="1">
        <v>0.36</v>
      </c>
      <c r="Q17" s="1">
        <v>0.41</v>
      </c>
      <c r="R17" s="1">
        <v>0.42</v>
      </c>
      <c r="S17" s="1">
        <v>0.43</v>
      </c>
      <c r="T17" s="1">
        <v>0.42</v>
      </c>
      <c r="U17" s="1">
        <v>0.42</v>
      </c>
      <c r="V17" s="1">
        <v>0.46</v>
      </c>
      <c r="W17" s="1">
        <v>0.41</v>
      </c>
      <c r="X17" s="1">
        <v>0.42</v>
      </c>
      <c r="Y17" s="1">
        <f t="shared" si="0"/>
        <v>0.5</v>
      </c>
    </row>
    <row r="18" spans="1:25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0.36</v>
      </c>
      <c r="H18" s="1">
        <v>0.35</v>
      </c>
      <c r="I18" s="1">
        <v>0.4</v>
      </c>
      <c r="J18" s="1">
        <v>0.32</v>
      </c>
      <c r="K18" s="1">
        <v>0.34</v>
      </c>
      <c r="L18" s="1">
        <v>0.35</v>
      </c>
      <c r="M18" s="1">
        <v>0.35</v>
      </c>
      <c r="N18" s="1">
        <v>0.35</v>
      </c>
      <c r="O18" s="1">
        <v>0.4</v>
      </c>
      <c r="P18" s="1">
        <v>0.36</v>
      </c>
      <c r="Q18" s="1">
        <v>0.4</v>
      </c>
      <c r="R18" s="1">
        <v>0.34</v>
      </c>
      <c r="S18" s="1">
        <v>0.34</v>
      </c>
      <c r="T18" s="1">
        <v>0.37</v>
      </c>
      <c r="U18" s="1">
        <v>0.36</v>
      </c>
      <c r="V18" s="1">
        <v>0.38</v>
      </c>
      <c r="W18" s="1">
        <v>0.36</v>
      </c>
      <c r="X18" s="1">
        <v>0.37</v>
      </c>
      <c r="Y18" s="1">
        <f t="shared" si="0"/>
        <v>0.4</v>
      </c>
    </row>
    <row r="19" spans="1:25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0.38</v>
      </c>
      <c r="H19" s="1">
        <v>0.33</v>
      </c>
      <c r="I19" s="1">
        <v>0.37</v>
      </c>
      <c r="J19" s="1">
        <v>0.37</v>
      </c>
      <c r="K19" s="1">
        <v>0.4</v>
      </c>
      <c r="L19" s="1">
        <v>0.38</v>
      </c>
      <c r="M19" s="1">
        <v>0.37</v>
      </c>
      <c r="N19" s="1">
        <v>0.3</v>
      </c>
      <c r="O19" s="1">
        <v>0.35</v>
      </c>
      <c r="P19" s="1">
        <v>0.32</v>
      </c>
      <c r="Q19" s="1">
        <v>0.39</v>
      </c>
      <c r="R19" s="1">
        <v>0.38</v>
      </c>
      <c r="S19" s="1">
        <v>0.42</v>
      </c>
      <c r="T19" s="1">
        <v>0.36</v>
      </c>
      <c r="U19" s="1">
        <v>0.41</v>
      </c>
      <c r="V19" s="1">
        <v>0.4</v>
      </c>
      <c r="W19" s="1">
        <v>0.37</v>
      </c>
      <c r="X19" s="1">
        <v>0.39</v>
      </c>
      <c r="Y19" s="1">
        <f t="shared" si="0"/>
        <v>0.42</v>
      </c>
    </row>
    <row r="22" spans="1:25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</row>
    <row r="23" spans="1:25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0.87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0.87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0.85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0.81</v>
      </c>
      <c r="P23" s="1" cm="1">
        <f t="array" ref="P23">_xlfn.LET(_xlpm.d,P$2:P$19,_xlpm.a,$C$2:$C$19=$C23,_xlpm.b,$D$2:$D$19=$D23,MAX(_xlfn._xlws.FILTER(_xlpm.d,_xlpm.a*_xlpm.b)))</f>
        <v>0.87</v>
      </c>
      <c r="Q23" s="1" cm="1">
        <f t="array" ref="Q23">_xlfn.LET(_xlpm.d,Q$2:Q$19,_xlpm.a,$C$2:$C$19=$C23,_xlpm.b,$D$2:$D$19=$D23,MAX(_xlfn._xlws.FILTER(_xlpm.d,_xlpm.a*_xlpm.b)))</f>
        <v>0.89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0.85</v>
      </c>
      <c r="T23" s="1" cm="1">
        <f t="array" ref="T23">_xlfn.LET(_xlpm.d,T$2:T$19,_xlpm.a,$C$2:$C$19=$C23,_xlpm.b,$D$2:$D$19=$D23,MAX(_xlfn._xlws.FILTER(_xlpm.d,_xlpm.a*_xlpm.b)))</f>
        <v>0.85</v>
      </c>
      <c r="U23" s="1" cm="1">
        <f t="array" ref="U23">_xlfn.LET(_xlpm.d,U$2:U$19,_xlpm.a,$C$2:$C$19=$C23,_xlpm.b,$D$2:$D$19=$D23,MAX(_xlfn._xlws.FILTER(_xlpm.d,_xlpm.a*_xlpm.b)))</f>
        <v>0.83</v>
      </c>
      <c r="V23" s="1" cm="1">
        <f t="array" ref="V23">_xlfn.LET(_xlpm.d,V$2:V$19,_xlpm.a,$C$2:$C$19=$C23,_xlpm.b,$D$2:$D$19=$D23,MAX(_xlfn._xlws.FILTER(_xlpm.d,_xlpm.a*_xlpm.b)))</f>
        <v>0.86</v>
      </c>
      <c r="W23" s="1" cm="1">
        <f t="array" ref="W23">_xlfn.LET(_xlpm.d,W$2:W$19,_xlpm.a,$C$2:$C$19=$C23,_xlpm.b,$D$2:$D$19=$D23,MAX(_xlfn._xlws.FILTER(_xlpm.d,_xlpm.a*_xlpm.b)))</f>
        <v>0.8</v>
      </c>
      <c r="X23" s="1" cm="1">
        <f t="array" ref="X23">_xlfn.LET(_xlpm.d,X$2:X$19,_xlpm.a,$C$2:$C$19=$C23,_xlpm.b,$D$2:$D$19=$D23,MAX(_xlfn._xlws.FILTER(_xlpm.d,_xlpm.a*_xlpm.b)))</f>
        <v>0.83</v>
      </c>
      <c r="Y23" s="1" cm="1">
        <f t="array" ref="Y23">_xlfn.LET(_xlpm.d,Y$2:Y$19,_xlpm.a,$C$2:$C$19=$C23,_xlpm.b,$D$2:$D$19=$D23,MAX(_xlfn._xlws.FILTER(_xlpm.d,_xlpm.a*_xlpm.b)))</f>
        <v>0.89</v>
      </c>
    </row>
    <row r="24" spans="1:25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0.84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0.79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0.8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0.85</v>
      </c>
      <c r="Q24" s="1" cm="1">
        <f t="array" ref="Q24">_xlfn.LET(_xlpm.d,Q$2:Q$19,_xlpm.a,$C$2:$C$19=$C24,_xlpm.b,$D$2:$D$19=$D24,MAX(_xlfn._xlws.FILTER(_xlpm.d,_xlpm.a*_xlpm.b)))</f>
        <v>0.86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0.82</v>
      </c>
      <c r="T24" s="1" cm="1">
        <f t="array" ref="T24">_xlfn.LET(_xlpm.d,T$2:T$19,_xlpm.a,$C$2:$C$19=$C24,_xlpm.b,$D$2:$D$19=$D24,MAX(_xlfn._xlws.FILTER(_xlpm.d,_xlpm.a*_xlpm.b)))</f>
        <v>0.81</v>
      </c>
      <c r="U24" s="1" cm="1">
        <f t="array" ref="U24">_xlfn.LET(_xlpm.d,U$2:U$19,_xlpm.a,$C$2:$C$19=$C24,_xlpm.b,$D$2:$D$19=$D24,MAX(_xlfn._xlws.FILTER(_xlpm.d,_xlpm.a*_xlpm.b)))</f>
        <v>0.81</v>
      </c>
      <c r="V24" s="1" cm="1">
        <f t="array" ref="V24">_xlfn.LET(_xlpm.d,V$2:V$19,_xlpm.a,$C$2:$C$19=$C24,_xlpm.b,$D$2:$D$19=$D24,MAX(_xlfn._xlws.FILTER(_xlpm.d,_xlpm.a*_xlpm.b)))</f>
        <v>0.84</v>
      </c>
      <c r="W24" s="1" cm="1">
        <f t="array" ref="W24">_xlfn.LET(_xlpm.d,W$2:W$19,_xlpm.a,$C$2:$C$19=$C24,_xlpm.b,$D$2:$D$19=$D24,MAX(_xlfn._xlws.FILTER(_xlpm.d,_xlpm.a*_xlpm.b)))</f>
        <v>0.8</v>
      </c>
      <c r="X24" s="1" cm="1">
        <f t="array" ref="X24">_xlfn.LET(_xlpm.d,X$2:X$19,_xlpm.a,$C$2:$C$19=$C24,_xlpm.b,$D$2:$D$19=$D24,MAX(_xlfn._xlws.FILTER(_xlpm.d,_xlpm.a*_xlpm.b)))</f>
        <v>0.83</v>
      </c>
      <c r="Y24" s="1" cm="1">
        <f t="array" ref="Y24">_xlfn.LET(_xlpm.d,Y$2:Y$19,_xlpm.a,$C$2:$C$19=$C24,_xlpm.b,$D$2:$D$19=$D24,MAX(_xlfn._xlws.FILTER(_xlpm.d,_xlpm.a*_xlpm.b)))</f>
        <v>0.86</v>
      </c>
    </row>
    <row r="25" spans="1:25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0.62</v>
      </c>
      <c r="H25" s="1" cm="1">
        <f t="array" ref="H25">_xlfn.LET(_xlpm.d,H$2:H$19,_xlpm.a,$C$2:$C$19=$C25,_xlpm.b,$D$2:$D$19=$D25,MAX(_xlfn._xlws.FILTER(_xlpm.d,_xlpm.a*_xlpm.b)))</f>
        <v>0.62</v>
      </c>
      <c r="I25" s="1" cm="1">
        <f t="array" ref="I25">_xlfn.LET(_xlpm.d,I$2:I$19,_xlpm.a,$C$2:$C$19=$C25,_xlpm.b,$D$2:$D$19=$D25,MAX(_xlfn._xlws.FILTER(_xlpm.d,_xlpm.a*_xlpm.b)))</f>
        <v>0.6</v>
      </c>
      <c r="J25" s="1" cm="1">
        <f t="array" ref="J25">_xlfn.LET(_xlpm.d,J$2:J$19,_xlpm.a,$C$2:$C$19=$C25,_xlpm.b,$D$2:$D$19=$D25,MAX(_xlfn._xlws.FILTER(_xlpm.d,_xlpm.a*_xlpm.b)))</f>
        <v>0.64</v>
      </c>
      <c r="K25" s="1" cm="1">
        <f t="array" ref="K25">_xlfn.LET(_xlpm.d,K$2:K$19,_xlpm.a,$C$2:$C$19=$C25,_xlpm.b,$D$2:$D$19=$D25,MAX(_xlfn._xlws.FILTER(_xlpm.d,_xlpm.a*_xlpm.b)))</f>
        <v>0.63</v>
      </c>
      <c r="L25" s="1" cm="1">
        <f t="array" ref="L25">_xlfn.LET(_xlpm.d,L$2:L$19,_xlpm.a,$C$2:$C$19=$C25,_xlpm.b,$D$2:$D$19=$D25,MAX(_xlfn._xlws.FILTER(_xlpm.d,_xlpm.a*_xlpm.b)))</f>
        <v>0.59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0.59</v>
      </c>
      <c r="O25" s="1" cm="1">
        <f t="array" ref="O25">_xlfn.LET(_xlpm.d,O$2:O$19,_xlpm.a,$C$2:$C$19=$C25,_xlpm.b,$D$2:$D$19=$D25,MAX(_xlfn._xlws.FILTER(_xlpm.d,_xlpm.a*_xlpm.b)))</f>
        <v>0.55000000000000004</v>
      </c>
      <c r="P25" s="1" cm="1">
        <f t="array" ref="P25">_xlfn.LET(_xlpm.d,P$2:P$19,_xlpm.a,$C$2:$C$19=$C25,_xlpm.b,$D$2:$D$19=$D25,MAX(_xlfn._xlws.FILTER(_xlpm.d,_xlpm.a*_xlpm.b)))</f>
        <v>0.56000000000000005</v>
      </c>
      <c r="Q25" s="1" cm="1">
        <f t="array" ref="Q25">_xlfn.LET(_xlpm.d,Q$2:Q$19,_xlpm.a,$C$2:$C$19=$C25,_xlpm.b,$D$2:$D$19=$D25,MAX(_xlfn._xlws.FILTER(_xlpm.d,_xlpm.a*_xlpm.b)))</f>
        <v>0.63</v>
      </c>
      <c r="R25" s="1" cm="1">
        <f t="array" ref="R25">_xlfn.LET(_xlpm.d,R$2:R$19,_xlpm.a,$C$2:$C$19=$C25,_xlpm.b,$D$2:$D$19=$D25,MAX(_xlfn._xlws.FILTER(_xlpm.d,_xlpm.a*_xlpm.b)))</f>
        <v>0.59</v>
      </c>
      <c r="S25" s="1" cm="1">
        <f t="array" ref="S25">_xlfn.LET(_xlpm.d,S$2:S$19,_xlpm.a,$C$2:$C$19=$C25,_xlpm.b,$D$2:$D$19=$D25,MAX(_xlfn._xlws.FILTER(_xlpm.d,_xlpm.a*_xlpm.b)))</f>
        <v>0.6</v>
      </c>
      <c r="T25" s="1" cm="1">
        <f t="array" ref="T25">_xlfn.LET(_xlpm.d,T$2:T$19,_xlpm.a,$C$2:$C$19=$C25,_xlpm.b,$D$2:$D$19=$D25,MAX(_xlfn._xlws.FILTER(_xlpm.d,_xlpm.a*_xlpm.b)))</f>
        <v>0.56999999999999995</v>
      </c>
      <c r="U25" s="1" cm="1">
        <f t="array" ref="U25">_xlfn.LET(_xlpm.d,U$2:U$19,_xlpm.a,$C$2:$C$19=$C25,_xlpm.b,$D$2:$D$19=$D25,MAX(_xlfn._xlws.FILTER(_xlpm.d,_xlpm.a*_xlpm.b)))</f>
        <v>0.66</v>
      </c>
      <c r="V25" s="1" cm="1">
        <f t="array" ref="V25">_xlfn.LET(_xlpm.d,V$2:V$19,_xlpm.a,$C$2:$C$19=$C25,_xlpm.b,$D$2:$D$19=$D25,MAX(_xlfn._xlws.FILTER(_xlpm.d,_xlpm.a*_xlpm.b)))</f>
        <v>0.59</v>
      </c>
      <c r="W25" s="1" cm="1">
        <f t="array" ref="W25">_xlfn.LET(_xlpm.d,W$2:W$19,_xlpm.a,$C$2:$C$19=$C25,_xlpm.b,$D$2:$D$19=$D25,MAX(_xlfn._xlws.FILTER(_xlpm.d,_xlpm.a*_xlpm.b)))</f>
        <v>0.59</v>
      </c>
      <c r="X25" s="1" cm="1">
        <f t="array" ref="X25">_xlfn.LET(_xlpm.d,X$2:X$19,_xlpm.a,$C$2:$C$19=$C25,_xlpm.b,$D$2:$D$19=$D25,MAX(_xlfn._xlws.FILTER(_xlpm.d,_xlpm.a*_xlpm.b)))</f>
        <v>0.59</v>
      </c>
      <c r="Y25" s="1" cm="1">
        <f t="array" ref="Y25">_xlfn.LET(_xlpm.d,Y$2:Y$19,_xlpm.a,$C$2:$C$19=$C25,_xlpm.b,$D$2:$D$19=$D25,MAX(_xlfn._xlws.FILTER(_xlpm.d,_xlpm.a*_xlpm.b)))</f>
        <v>0.66</v>
      </c>
    </row>
    <row r="26" spans="1:25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0.62</v>
      </c>
      <c r="I26" s="1" cm="1">
        <f t="array" ref="I26">_xlfn.LET(_xlpm.d,I$2:I$19,_xlpm.a,$C$2:$C$19=$C26,_xlpm.b,$D$2:$D$19=$D26,MAX(_xlfn._xlws.FILTER(_xlpm.d,_xlpm.a*_xlpm.b)))</f>
        <v>0.63</v>
      </c>
      <c r="J26" s="1" cm="1">
        <f t="array" ref="J26">_xlfn.LET(_xlpm.d,J$2:J$19,_xlpm.a,$C$2:$C$19=$C26,_xlpm.b,$D$2:$D$19=$D26,MAX(_xlfn._xlws.FILTER(_xlpm.d,_xlpm.a*_xlpm.b)))</f>
        <v>0.59</v>
      </c>
      <c r="K26" s="1" cm="1">
        <f t="array" ref="K26">_xlfn.LET(_xlpm.d,K$2:K$19,_xlpm.a,$C$2:$C$19=$C26,_xlpm.b,$D$2:$D$19=$D26,MAX(_xlfn._xlws.FILTER(_xlpm.d,_xlpm.a*_xlpm.b)))</f>
        <v>0.6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0.56999999999999995</v>
      </c>
      <c r="N26" s="1" cm="1">
        <f t="array" ref="N26">_xlfn.LET(_xlpm.d,N$2:N$19,_xlpm.a,$C$2:$C$19=$C26,_xlpm.b,$D$2:$D$19=$D26,MAX(_xlfn._xlws.FILTER(_xlpm.d,_xlpm.a*_xlpm.b)))</f>
        <v>0.59</v>
      </c>
      <c r="O26" s="1" cm="1">
        <f t="array" ref="O26">_xlfn.LET(_xlpm.d,O$2:O$19,_xlpm.a,$C$2:$C$19=$C26,_xlpm.b,$D$2:$D$19=$D26,MAX(_xlfn._xlws.FILTER(_xlpm.d,_xlpm.a*_xlpm.b)))</f>
        <v>0.56999999999999995</v>
      </c>
      <c r="P26" s="1" cm="1">
        <f t="array" ref="P26">_xlfn.LET(_xlpm.d,P$2:P$19,_xlpm.a,$C$2:$C$19=$C26,_xlpm.b,$D$2:$D$19=$D26,MAX(_xlfn._xlws.FILTER(_xlpm.d,_xlpm.a*_xlpm.b)))</f>
        <v>0.56000000000000005</v>
      </c>
      <c r="Q26" s="1" cm="1">
        <f t="array" ref="Q26">_xlfn.LET(_xlpm.d,Q$2:Q$19,_xlpm.a,$C$2:$C$19=$C26,_xlpm.b,$D$2:$D$19=$D26,MAX(_xlfn._xlws.FILTER(_xlpm.d,_xlpm.a*_xlpm.b)))</f>
        <v>0.62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0.59</v>
      </c>
      <c r="T26" s="1" cm="1">
        <f t="array" ref="T26">_xlfn.LET(_xlpm.d,T$2:T$19,_xlpm.a,$C$2:$C$19=$C26,_xlpm.b,$D$2:$D$19=$D26,MAX(_xlfn._xlws.FILTER(_xlpm.d,_xlpm.a*_xlpm.b)))</f>
        <v>0.55000000000000004</v>
      </c>
      <c r="U26" s="1" cm="1">
        <f t="array" ref="U26">_xlfn.LET(_xlpm.d,U$2:U$19,_xlpm.a,$C$2:$C$19=$C26,_xlpm.b,$D$2:$D$19=$D26,MAX(_xlfn._xlws.FILTER(_xlpm.d,_xlpm.a*_xlpm.b)))</f>
        <v>0.65</v>
      </c>
      <c r="V26" s="1" cm="1">
        <f t="array" ref="V26">_xlfn.LET(_xlpm.d,V$2:V$19,_xlpm.a,$C$2:$C$19=$C26,_xlpm.b,$D$2:$D$19=$D26,MAX(_xlfn._xlws.FILTER(_xlpm.d,_xlpm.a*_xlpm.b)))</f>
        <v>0.56000000000000005</v>
      </c>
      <c r="W26" s="1" cm="1">
        <f t="array" ref="W26">_xlfn.LET(_xlpm.d,W$2:W$19,_xlpm.a,$C$2:$C$19=$C26,_xlpm.b,$D$2:$D$19=$D26,MAX(_xlfn._xlws.FILTER(_xlpm.d,_xlpm.a*_xlpm.b)))</f>
        <v>0.6</v>
      </c>
      <c r="X26" s="1" cm="1">
        <f t="array" ref="X26">_xlfn.LET(_xlpm.d,X$2:X$19,_xlpm.a,$C$2:$C$19=$C26,_xlpm.b,$D$2:$D$19=$D26,MAX(_xlfn._xlws.FILTER(_xlpm.d,_xlpm.a*_xlpm.b)))</f>
        <v>0.65</v>
      </c>
      <c r="Y26" s="1" cm="1">
        <f t="array" ref="Y26">_xlfn.LET(_xlpm.d,Y$2:Y$19,_xlpm.a,$C$2:$C$19=$C26,_xlpm.b,$D$2:$D$19=$D26,MAX(_xlfn._xlws.FILTER(_xlpm.d,_xlpm.a*_xlpm.b)))</f>
        <v>0.65</v>
      </c>
    </row>
    <row r="27" spans="1:25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0.39</v>
      </c>
      <c r="H27" s="1" cm="1">
        <f t="array" ref="H27">_xlfn.LET(_xlpm.d,H$2:H$19,_xlpm.a,$C$2:$C$19=$C27,_xlpm.b,$D$2:$D$19=$D27,MAX(_xlfn._xlws.FILTER(_xlpm.d,_xlpm.a*_xlpm.b)))</f>
        <v>0.44</v>
      </c>
      <c r="I27" s="1" cm="1">
        <f t="array" ref="I27">_xlfn.LET(_xlpm.d,I$2:I$19,_xlpm.a,$C$2:$C$19=$C27,_xlpm.b,$D$2:$D$19=$D27,MAX(_xlfn._xlws.FILTER(_xlpm.d,_xlpm.a*_xlpm.b)))</f>
        <v>0.42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0.5</v>
      </c>
      <c r="L27" s="1" cm="1">
        <f t="array" ref="L27">_xlfn.LET(_xlpm.d,L$2:L$19,_xlpm.a,$C$2:$C$19=$C27,_xlpm.b,$D$2:$D$19=$D27,MAX(_xlfn._xlws.FILTER(_xlpm.d,_xlpm.a*_xlpm.b)))</f>
        <v>0.44</v>
      </c>
      <c r="M27" s="1" cm="1">
        <f t="array" ref="M27">_xlfn.LET(_xlpm.d,M$2:M$19,_xlpm.a,$C$2:$C$19=$C27,_xlpm.b,$D$2:$D$19=$D27,MAX(_xlfn._xlws.FILTER(_xlpm.d,_xlpm.a*_xlpm.b)))</f>
        <v>0.46</v>
      </c>
      <c r="N27" s="1" cm="1">
        <f t="array" ref="N27">_xlfn.LET(_xlpm.d,N$2:N$19,_xlpm.a,$C$2:$C$19=$C27,_xlpm.b,$D$2:$D$19=$D27,MAX(_xlfn._xlws.FILTER(_xlpm.d,_xlpm.a*_xlpm.b)))</f>
        <v>0.38</v>
      </c>
      <c r="O27" s="1" cm="1">
        <f t="array" ref="O27">_xlfn.LET(_xlpm.d,O$2:O$19,_xlpm.a,$C$2:$C$19=$C27,_xlpm.b,$D$2:$D$19=$D27,MAX(_xlfn._xlws.FILTER(_xlpm.d,_xlpm.a*_xlpm.b)))</f>
        <v>0.44</v>
      </c>
      <c r="P27" s="1" cm="1">
        <f t="array" ref="P27">_xlfn.LET(_xlpm.d,P$2:P$19,_xlpm.a,$C$2:$C$19=$C27,_xlpm.b,$D$2:$D$19=$D27,MAX(_xlfn._xlws.FILTER(_xlpm.d,_xlpm.a*_xlpm.b)))</f>
        <v>0.41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</v>
      </c>
      <c r="S27" s="1" cm="1">
        <f t="array" ref="S27">_xlfn.LET(_xlpm.d,S$2:S$19,_xlpm.a,$C$2:$C$19=$C27,_xlpm.b,$D$2:$D$19=$D27,MAX(_xlfn._xlws.FILTER(_xlpm.d,_xlpm.a*_xlpm.b)))</f>
        <v>0.44</v>
      </c>
      <c r="T27" s="1" cm="1">
        <f t="array" ref="T27">_xlfn.LET(_xlpm.d,T$2:T$19,_xlpm.a,$C$2:$C$19=$C27,_xlpm.b,$D$2:$D$19=$D27,MAX(_xlfn._xlws.FILTER(_xlpm.d,_xlpm.a*_xlpm.b)))</f>
        <v>0.42</v>
      </c>
      <c r="U27" s="1" cm="1">
        <f t="array" ref="U27">_xlfn.LET(_xlpm.d,U$2:U$19,_xlpm.a,$C$2:$C$19=$C27,_xlpm.b,$D$2:$D$19=$D27,MAX(_xlfn._xlws.FILTER(_xlpm.d,_xlpm.a*_xlpm.b)))</f>
        <v>0.44</v>
      </c>
      <c r="V27" s="1" cm="1">
        <f t="array" ref="V27">_xlfn.LET(_xlpm.d,V$2:V$19,_xlpm.a,$C$2:$C$19=$C27,_xlpm.b,$D$2:$D$19=$D27,MAX(_xlfn._xlws.FILTER(_xlpm.d,_xlpm.a*_xlpm.b)))</f>
        <v>0.44</v>
      </c>
      <c r="W27" s="1" cm="1">
        <f t="array" ref="W27">_xlfn.LET(_xlpm.d,W$2:W$19,_xlpm.a,$C$2:$C$19=$C27,_xlpm.b,$D$2:$D$19=$D27,MAX(_xlfn._xlws.FILTER(_xlpm.d,_xlpm.a*_xlpm.b)))</f>
        <v>0.43</v>
      </c>
      <c r="X27" s="1" cm="1">
        <f t="array" ref="X27">_xlfn.LET(_xlpm.d,X$2:X$19,_xlpm.a,$C$2:$C$19=$C27,_xlpm.b,$D$2:$D$19=$D27,MAX(_xlfn._xlws.FILTER(_xlpm.d,_xlpm.a*_xlpm.b)))</f>
        <v>0.42</v>
      </c>
      <c r="Y27" s="1" cm="1">
        <f t="array" ref="Y27">_xlfn.LET(_xlpm.d,Y$2:Y$19,_xlpm.a,$C$2:$C$19=$C27,_xlpm.b,$D$2:$D$19=$D27,MAX(_xlfn._xlws.FILTER(_xlpm.d,_xlpm.a*_xlpm.b)))</f>
        <v>0.5</v>
      </c>
    </row>
    <row r="28" spans="1:25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0.38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0.45</v>
      </c>
      <c r="K28" s="1" cm="1">
        <f t="array" ref="K28">_xlfn.LET(_xlpm.d,K$2:K$19,_xlpm.a,$C$2:$C$19=$C28,_xlpm.b,$D$2:$D$19=$D28,MAX(_xlfn._xlws.FILTER(_xlpm.d,_xlpm.a*_xlpm.b)))</f>
        <v>0.5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0.37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0.36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0.43</v>
      </c>
      <c r="T28" s="1" cm="1">
        <f t="array" ref="T28">_xlfn.LET(_xlpm.d,T$2:T$19,_xlpm.a,$C$2:$C$19=$C28,_xlpm.b,$D$2:$D$19=$D28,MAX(_xlfn._xlws.FILTER(_xlpm.d,_xlpm.a*_xlpm.b)))</f>
        <v>0.42</v>
      </c>
      <c r="U28" s="1" cm="1">
        <f t="array" ref="U28">_xlfn.LET(_xlpm.d,U$2:U$19,_xlpm.a,$C$2:$C$19=$C28,_xlpm.b,$D$2:$D$19=$D28,MAX(_xlfn._xlws.FILTER(_xlpm.d,_xlpm.a*_xlpm.b)))</f>
        <v>0.42</v>
      </c>
      <c r="V28" s="1" cm="1">
        <f t="array" ref="V28">_xlfn.LET(_xlpm.d,V$2:V$19,_xlpm.a,$C$2:$C$19=$C28,_xlpm.b,$D$2:$D$19=$D28,MAX(_xlfn._xlws.FILTER(_xlpm.d,_xlpm.a*_xlpm.b)))</f>
        <v>0.46</v>
      </c>
      <c r="W28" s="1" cm="1">
        <f t="array" ref="W28">_xlfn.LET(_xlpm.d,W$2:W$19,_xlpm.a,$C$2:$C$19=$C28,_xlpm.b,$D$2:$D$19=$D28,MAX(_xlfn._xlws.FILTER(_xlpm.d,_xlpm.a*_xlpm.b)))</f>
        <v>0.41</v>
      </c>
      <c r="X28" s="1" cm="1">
        <f t="array" ref="X28">_xlfn.LET(_xlpm.d,X$2:X$19,_xlpm.a,$C$2:$C$19=$C28,_xlpm.b,$D$2:$D$19=$D28,MAX(_xlfn._xlws.FILTER(_xlpm.d,_xlpm.a*_xlpm.b)))</f>
        <v>0.42</v>
      </c>
      <c r="Y28" s="1" cm="1">
        <f t="array" ref="Y28">_xlfn.LET(_xlpm.d,Y$2:Y$19,_xlpm.a,$C$2:$C$19=$C28,_xlpm.b,$D$2:$D$19=$D28,MAX(_xlfn._xlws.FILTER(_xlpm.d,_xlpm.a*_xlpm.b)))</f>
        <v>0.5</v>
      </c>
    </row>
  </sheetData>
  <conditionalFormatting sqref="G2:Y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Y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C359-F61C-FF4F-89F6-54E77F51FA44}">
  <dimension ref="A1:Y28"/>
  <sheetViews>
    <sheetView workbookViewId="0">
      <pane xSplit="14860" ySplit="1940" topLeftCell="S4" activePane="topRight"/>
      <selection pane="topRight" activeCell="Z3" sqref="Z3"/>
      <selection pane="bottomLeft" activeCell="A4" sqref="A4"/>
      <selection pane="bottomRight" activeCell="K4" sqref="K4"/>
    </sheetView>
  </sheetViews>
  <sheetFormatPr baseColWidth="10" defaultRowHeight="25" customHeight="1"/>
  <cols>
    <col min="2" max="2" width="7.375" customWidth="1"/>
    <col min="4" max="4" width="10.5" customWidth="1"/>
    <col min="5" max="5" width="7.375" customWidth="1"/>
    <col min="6" max="6" width="6.25" customWidth="1"/>
    <col min="7" max="25" width="9.125" customWidth="1"/>
  </cols>
  <sheetData>
    <row r="1" spans="1:25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0.82</v>
      </c>
      <c r="H2" s="1">
        <v>0.83</v>
      </c>
      <c r="I2" s="1">
        <v>0.82</v>
      </c>
      <c r="J2" s="1">
        <v>0.79</v>
      </c>
      <c r="K2" s="1">
        <v>0.76</v>
      </c>
      <c r="L2" s="1">
        <v>0.78</v>
      </c>
      <c r="M2" s="1">
        <v>0.73</v>
      </c>
      <c r="N2" s="1">
        <v>0.76</v>
      </c>
      <c r="O2" s="1">
        <v>0.78</v>
      </c>
      <c r="P2" s="1">
        <v>0.84</v>
      </c>
      <c r="Q2" s="1">
        <v>0.82</v>
      </c>
      <c r="R2" s="1">
        <v>0.82</v>
      </c>
      <c r="S2" s="1">
        <v>0.79</v>
      </c>
      <c r="T2" s="1">
        <v>0.77</v>
      </c>
      <c r="U2" s="1">
        <v>0.75</v>
      </c>
      <c r="V2" s="1">
        <v>0.78</v>
      </c>
      <c r="W2" s="1">
        <v>0.77</v>
      </c>
      <c r="X2" s="1">
        <v>0.76</v>
      </c>
      <c r="Y2" s="1">
        <f t="shared" ref="Y2:Y19" si="0">MAX($G2:$X2)</f>
        <v>0.84</v>
      </c>
    </row>
    <row r="3" spans="1:25" ht="25" customHeight="1">
      <c r="A3" t="s">
        <v>25</v>
      </c>
      <c r="B3">
        <v>1</v>
      </c>
      <c r="C3" t="s">
        <v>26</v>
      </c>
      <c r="D3" t="b">
        <v>1</v>
      </c>
      <c r="E3">
        <v>2</v>
      </c>
      <c r="F3" t="s">
        <v>28</v>
      </c>
      <c r="G3" s="1">
        <v>0.87</v>
      </c>
      <c r="H3" s="1">
        <v>0.84</v>
      </c>
      <c r="I3" s="1">
        <v>0.88</v>
      </c>
      <c r="J3" s="1">
        <v>0.86</v>
      </c>
      <c r="K3" s="1">
        <v>0.87</v>
      </c>
      <c r="L3" s="1">
        <v>0.83</v>
      </c>
      <c r="M3" s="1">
        <v>0.85</v>
      </c>
      <c r="N3" s="1">
        <v>0.82</v>
      </c>
      <c r="O3" s="1">
        <v>0.81</v>
      </c>
      <c r="P3" s="1">
        <v>0.87</v>
      </c>
      <c r="Q3" s="1">
        <v>0.89</v>
      </c>
      <c r="R3" s="1">
        <v>0.82</v>
      </c>
      <c r="S3" s="1">
        <v>0.85</v>
      </c>
      <c r="T3" s="1">
        <v>0.85</v>
      </c>
      <c r="U3" s="1">
        <v>0.83</v>
      </c>
      <c r="V3" s="1">
        <v>0.79</v>
      </c>
      <c r="W3" s="1">
        <v>0.8</v>
      </c>
      <c r="X3" s="1">
        <v>0.83</v>
      </c>
      <c r="Y3" s="1">
        <f t="shared" si="0"/>
        <v>0.89</v>
      </c>
    </row>
    <row r="4" spans="1:25" ht="25" customHeight="1">
      <c r="A4" t="s">
        <v>25</v>
      </c>
      <c r="B4">
        <v>1</v>
      </c>
      <c r="C4" t="s">
        <v>26</v>
      </c>
      <c r="D4" t="b">
        <v>1</v>
      </c>
      <c r="E4">
        <v>3</v>
      </c>
      <c r="F4" t="s">
        <v>29</v>
      </c>
      <c r="G4" s="1">
        <v>0.86</v>
      </c>
      <c r="H4" s="1">
        <v>0.83</v>
      </c>
      <c r="I4" s="1">
        <v>0.84</v>
      </c>
      <c r="J4" s="1">
        <v>0.83</v>
      </c>
      <c r="K4" s="1">
        <v>0.84</v>
      </c>
      <c r="L4" s="1">
        <v>0.79</v>
      </c>
      <c r="M4" s="1">
        <v>0.82</v>
      </c>
      <c r="N4" s="1">
        <v>0.78</v>
      </c>
      <c r="O4" s="1">
        <v>0.8</v>
      </c>
      <c r="P4" s="1">
        <v>0.83</v>
      </c>
      <c r="Q4" s="1">
        <v>0.84</v>
      </c>
      <c r="R4" s="1">
        <v>0.8</v>
      </c>
      <c r="S4" s="1">
        <v>0.84</v>
      </c>
      <c r="T4" s="1">
        <v>0.79</v>
      </c>
      <c r="U4" s="1">
        <v>0.81</v>
      </c>
      <c r="V4" s="1">
        <v>0.86</v>
      </c>
      <c r="W4" s="1">
        <v>0.77</v>
      </c>
      <c r="X4" s="1">
        <v>0.78</v>
      </c>
      <c r="Y4" s="1">
        <f t="shared" si="0"/>
        <v>0.86</v>
      </c>
    </row>
    <row r="5" spans="1:25" ht="25" customHeight="1">
      <c r="A5" t="s">
        <v>25</v>
      </c>
      <c r="B5">
        <v>1</v>
      </c>
      <c r="C5" t="s">
        <v>26</v>
      </c>
      <c r="D5" t="b">
        <v>0</v>
      </c>
      <c r="E5">
        <v>1</v>
      </c>
      <c r="F5" t="s">
        <v>27</v>
      </c>
      <c r="G5" s="1">
        <v>0.8</v>
      </c>
      <c r="H5" s="1">
        <v>0.77</v>
      </c>
      <c r="I5" s="1">
        <v>0.78</v>
      </c>
      <c r="J5" s="1">
        <v>0.83</v>
      </c>
      <c r="K5" s="1">
        <v>0.78</v>
      </c>
      <c r="L5" s="1">
        <v>0.74</v>
      </c>
      <c r="M5" s="1">
        <v>0.76</v>
      </c>
      <c r="N5" s="1">
        <v>0.78</v>
      </c>
      <c r="O5" s="1">
        <v>0.76</v>
      </c>
      <c r="P5" s="1">
        <v>0.76</v>
      </c>
      <c r="Q5" s="1">
        <v>0.82</v>
      </c>
      <c r="R5" s="1">
        <v>0.78</v>
      </c>
      <c r="S5" s="1">
        <v>0.76</v>
      </c>
      <c r="T5" s="1">
        <v>0.78</v>
      </c>
      <c r="U5" s="1">
        <v>0.77</v>
      </c>
      <c r="V5" s="1">
        <v>0.75</v>
      </c>
      <c r="W5" s="1">
        <v>0.77</v>
      </c>
      <c r="X5" s="1">
        <v>0.77</v>
      </c>
      <c r="Y5" s="1">
        <f t="shared" si="0"/>
        <v>0.83</v>
      </c>
    </row>
    <row r="6" spans="1:25" ht="25" customHeight="1">
      <c r="A6" t="s">
        <v>25</v>
      </c>
      <c r="B6">
        <v>1</v>
      </c>
      <c r="C6" t="s">
        <v>26</v>
      </c>
      <c r="D6" t="b">
        <v>0</v>
      </c>
      <c r="E6">
        <v>2</v>
      </c>
      <c r="F6" t="s">
        <v>28</v>
      </c>
      <c r="G6" s="1">
        <v>0.84</v>
      </c>
      <c r="H6" s="1">
        <v>0.83</v>
      </c>
      <c r="I6" s="1">
        <v>0.83</v>
      </c>
      <c r="J6" s="1">
        <v>0.81</v>
      </c>
      <c r="K6" s="1">
        <v>0.85</v>
      </c>
      <c r="L6" s="1">
        <v>0.79</v>
      </c>
      <c r="M6" s="1">
        <v>0.8</v>
      </c>
      <c r="N6" s="1">
        <v>0.8</v>
      </c>
      <c r="O6" s="1">
        <v>0.8</v>
      </c>
      <c r="P6" s="1">
        <v>0.85</v>
      </c>
      <c r="Q6" s="1">
        <v>0.86</v>
      </c>
      <c r="R6" s="1">
        <v>0.81</v>
      </c>
      <c r="S6" s="1">
        <v>0.82</v>
      </c>
      <c r="T6" s="1">
        <v>0.81</v>
      </c>
      <c r="U6" s="1">
        <v>0.81</v>
      </c>
      <c r="V6" s="1">
        <v>0.84</v>
      </c>
      <c r="W6" s="1">
        <v>0.8</v>
      </c>
      <c r="X6" s="1">
        <v>0.83</v>
      </c>
      <c r="Y6" s="1">
        <f t="shared" si="0"/>
        <v>0.86</v>
      </c>
    </row>
    <row r="7" spans="1:25" ht="25" customHeight="1">
      <c r="A7" t="s">
        <v>25</v>
      </c>
      <c r="B7">
        <v>1</v>
      </c>
      <c r="C7" t="s">
        <v>26</v>
      </c>
      <c r="D7" t="b">
        <v>0</v>
      </c>
      <c r="E7">
        <v>3</v>
      </c>
      <c r="F7" t="s">
        <v>29</v>
      </c>
      <c r="G7" s="1">
        <v>0.82</v>
      </c>
      <c r="H7" s="1">
        <v>0.82</v>
      </c>
      <c r="I7" s="1">
        <v>0.82</v>
      </c>
      <c r="J7" s="1">
        <v>0.81</v>
      </c>
      <c r="K7" s="1">
        <v>0.82</v>
      </c>
      <c r="L7" s="1">
        <v>0.79</v>
      </c>
      <c r="M7" s="1">
        <v>0.8</v>
      </c>
      <c r="N7" s="1">
        <v>0.78</v>
      </c>
      <c r="O7" s="1">
        <v>0.78</v>
      </c>
      <c r="P7" s="1">
        <v>0.81</v>
      </c>
      <c r="Q7" s="1">
        <v>0.8</v>
      </c>
      <c r="R7" s="1">
        <v>0.77</v>
      </c>
      <c r="S7" s="1">
        <v>0.79</v>
      </c>
      <c r="T7" s="1">
        <v>0.77</v>
      </c>
      <c r="U7" s="1">
        <v>0.8</v>
      </c>
      <c r="V7" s="1">
        <v>0.8</v>
      </c>
      <c r="W7" s="1">
        <v>0.78</v>
      </c>
      <c r="X7" s="1">
        <v>0.8</v>
      </c>
      <c r="Y7" s="1">
        <f t="shared" si="0"/>
        <v>0.82</v>
      </c>
    </row>
    <row r="8" spans="1:25" ht="25" customHeight="1">
      <c r="A8" t="s">
        <v>25</v>
      </c>
      <c r="B8">
        <v>2</v>
      </c>
      <c r="C8" t="s">
        <v>30</v>
      </c>
      <c r="D8" t="b">
        <v>1</v>
      </c>
      <c r="E8">
        <v>1</v>
      </c>
      <c r="F8" t="s">
        <v>27</v>
      </c>
      <c r="G8" s="1">
        <v>0.53</v>
      </c>
      <c r="H8" s="1">
        <v>0.52</v>
      </c>
      <c r="I8" s="1">
        <v>0.5</v>
      </c>
      <c r="J8" s="1">
        <v>0.53</v>
      </c>
      <c r="K8" s="1">
        <v>0.52</v>
      </c>
      <c r="L8" s="1">
        <v>0.53</v>
      </c>
      <c r="M8" s="1">
        <v>0.55000000000000004</v>
      </c>
      <c r="N8" s="1">
        <v>0.53</v>
      </c>
      <c r="O8" s="1">
        <v>0.48</v>
      </c>
      <c r="P8" s="1">
        <v>0.51</v>
      </c>
      <c r="Q8" s="1">
        <v>0.55000000000000004</v>
      </c>
      <c r="R8" s="1">
        <v>0.48</v>
      </c>
      <c r="S8" s="1">
        <v>0.49</v>
      </c>
      <c r="T8" s="1">
        <v>0.45</v>
      </c>
      <c r="U8" s="1">
        <v>0.6</v>
      </c>
      <c r="V8" s="1">
        <v>0.51</v>
      </c>
      <c r="W8" s="1">
        <v>0.51</v>
      </c>
      <c r="X8" s="1">
        <v>0.49</v>
      </c>
      <c r="Y8" s="1">
        <f t="shared" si="0"/>
        <v>0.6</v>
      </c>
    </row>
    <row r="9" spans="1:25" ht="25" customHeight="1">
      <c r="A9" t="s">
        <v>25</v>
      </c>
      <c r="B9">
        <v>2</v>
      </c>
      <c r="C9" t="s">
        <v>30</v>
      </c>
      <c r="D9" t="b">
        <v>1</v>
      </c>
      <c r="E9">
        <v>2</v>
      </c>
      <c r="F9" t="s">
        <v>28</v>
      </c>
      <c r="G9" s="1">
        <v>0.62</v>
      </c>
      <c r="H9" s="1">
        <v>0.56999999999999995</v>
      </c>
      <c r="I9" s="1">
        <v>0.6</v>
      </c>
      <c r="J9" s="1">
        <v>0.64</v>
      </c>
      <c r="K9" s="1">
        <v>0.63</v>
      </c>
      <c r="L9" s="1">
        <v>0.56000000000000005</v>
      </c>
      <c r="M9" s="1">
        <v>0.63</v>
      </c>
      <c r="N9" s="1">
        <v>0.59</v>
      </c>
      <c r="O9" s="1">
        <v>0.55000000000000004</v>
      </c>
      <c r="P9" s="1">
        <v>0.56000000000000005</v>
      </c>
      <c r="Q9" s="1">
        <v>0.63</v>
      </c>
      <c r="R9" s="1">
        <v>0.57999999999999996</v>
      </c>
      <c r="S9" s="1">
        <v>0.6</v>
      </c>
      <c r="T9" s="1">
        <v>0.56000000000000005</v>
      </c>
      <c r="U9" s="1">
        <v>0.66</v>
      </c>
      <c r="V9" s="1">
        <v>0.59</v>
      </c>
      <c r="W9" s="1">
        <v>0.59</v>
      </c>
      <c r="X9" s="1">
        <v>0.53</v>
      </c>
      <c r="Y9" s="1">
        <f t="shared" si="0"/>
        <v>0.66</v>
      </c>
    </row>
    <row r="10" spans="1:25" ht="25" customHeight="1">
      <c r="A10" t="s">
        <v>25</v>
      </c>
      <c r="B10">
        <v>2</v>
      </c>
      <c r="C10" t="s">
        <v>30</v>
      </c>
      <c r="D10" t="b">
        <v>1</v>
      </c>
      <c r="E10">
        <v>3</v>
      </c>
      <c r="F10" t="s">
        <v>29</v>
      </c>
      <c r="G10" s="1">
        <v>0.56999999999999995</v>
      </c>
      <c r="H10" s="1">
        <v>0.62</v>
      </c>
      <c r="I10" s="1">
        <v>0.6</v>
      </c>
      <c r="J10" s="1">
        <v>0.62</v>
      </c>
      <c r="K10" s="1">
        <v>0.61</v>
      </c>
      <c r="L10" s="1">
        <v>0.59</v>
      </c>
      <c r="M10" s="1">
        <v>0.59</v>
      </c>
      <c r="N10" s="1">
        <v>0.56999999999999995</v>
      </c>
      <c r="O10" s="1">
        <v>0.55000000000000004</v>
      </c>
      <c r="P10" s="1">
        <v>0.56000000000000005</v>
      </c>
      <c r="Q10" s="1">
        <v>0.59</v>
      </c>
      <c r="R10" s="1">
        <v>0.59</v>
      </c>
      <c r="S10" s="1">
        <v>0.6</v>
      </c>
      <c r="T10" s="1">
        <v>0.56999999999999995</v>
      </c>
      <c r="U10" s="1">
        <v>0.64</v>
      </c>
      <c r="V10" s="1">
        <v>0.56999999999999995</v>
      </c>
      <c r="W10" s="1">
        <v>0.59</v>
      </c>
      <c r="X10" s="1">
        <v>0.59</v>
      </c>
      <c r="Y10" s="1">
        <f t="shared" si="0"/>
        <v>0.64</v>
      </c>
    </row>
    <row r="11" spans="1:25" ht="25" customHeight="1">
      <c r="A11" t="s">
        <v>25</v>
      </c>
      <c r="B11">
        <v>2</v>
      </c>
      <c r="C11" t="s">
        <v>30</v>
      </c>
      <c r="D11" t="b">
        <v>0</v>
      </c>
      <c r="E11">
        <v>1</v>
      </c>
      <c r="F11" t="s">
        <v>27</v>
      </c>
      <c r="G11" s="1">
        <v>0.51</v>
      </c>
      <c r="H11" s="1">
        <v>0.49</v>
      </c>
      <c r="I11" s="1">
        <v>0.54</v>
      </c>
      <c r="J11" s="1">
        <v>0.51</v>
      </c>
      <c r="K11" s="1">
        <v>0.56000000000000005</v>
      </c>
      <c r="L11" s="1">
        <v>0.54</v>
      </c>
      <c r="M11" s="1">
        <v>0.49</v>
      </c>
      <c r="N11" s="1">
        <v>0.48</v>
      </c>
      <c r="O11" s="1">
        <v>0.49</v>
      </c>
      <c r="P11" s="1">
        <v>0.47</v>
      </c>
      <c r="Q11" s="1">
        <v>0.56000000000000005</v>
      </c>
      <c r="R11" s="1">
        <v>0.53</v>
      </c>
      <c r="S11" s="1">
        <v>0.49</v>
      </c>
      <c r="T11" s="1">
        <v>0.5</v>
      </c>
      <c r="U11" s="1">
        <v>0.53</v>
      </c>
      <c r="V11" s="1">
        <v>0.51</v>
      </c>
      <c r="W11" s="1">
        <v>0.47</v>
      </c>
      <c r="X11" s="1">
        <v>0.45</v>
      </c>
      <c r="Y11" s="1">
        <f t="shared" si="0"/>
        <v>0.56000000000000005</v>
      </c>
    </row>
    <row r="12" spans="1:25" ht="25" customHeight="1">
      <c r="A12" t="s">
        <v>25</v>
      </c>
      <c r="B12">
        <v>2</v>
      </c>
      <c r="C12" t="s">
        <v>30</v>
      </c>
      <c r="D12" t="b">
        <v>0</v>
      </c>
      <c r="E12">
        <v>2</v>
      </c>
      <c r="F12" t="s">
        <v>28</v>
      </c>
      <c r="G12" s="1">
        <v>0.55000000000000004</v>
      </c>
      <c r="H12" s="1">
        <v>0.62</v>
      </c>
      <c r="I12" s="1">
        <v>0.55000000000000004</v>
      </c>
      <c r="J12" s="1">
        <v>0.59</v>
      </c>
      <c r="K12" s="1">
        <v>0.6</v>
      </c>
      <c r="L12" s="1">
        <v>0.56000000000000005</v>
      </c>
      <c r="M12" s="1">
        <v>0.56999999999999995</v>
      </c>
      <c r="N12" s="1">
        <v>0.55000000000000004</v>
      </c>
      <c r="O12" s="1">
        <v>0.55000000000000004</v>
      </c>
      <c r="P12" s="1">
        <v>0.56000000000000005</v>
      </c>
      <c r="Q12" s="1">
        <v>0.62</v>
      </c>
      <c r="R12" s="1">
        <v>0.6</v>
      </c>
      <c r="S12" s="1">
        <v>0.56000000000000005</v>
      </c>
      <c r="T12" s="1">
        <v>0.55000000000000004</v>
      </c>
      <c r="U12" s="1">
        <v>0.64</v>
      </c>
      <c r="V12" s="1">
        <v>0.56000000000000005</v>
      </c>
      <c r="W12" s="1">
        <v>0.56999999999999995</v>
      </c>
      <c r="X12" s="1">
        <v>0.52</v>
      </c>
      <c r="Y12" s="1">
        <f t="shared" si="0"/>
        <v>0.64</v>
      </c>
    </row>
    <row r="13" spans="1:25" ht="25" customHeight="1">
      <c r="A13" t="s">
        <v>25</v>
      </c>
      <c r="B13">
        <v>2</v>
      </c>
      <c r="C13" t="s">
        <v>30</v>
      </c>
      <c r="D13" t="b">
        <v>0</v>
      </c>
      <c r="E13">
        <v>3</v>
      </c>
      <c r="F13" t="s">
        <v>29</v>
      </c>
      <c r="G13" s="1">
        <v>0.56000000000000005</v>
      </c>
      <c r="H13" s="1">
        <v>0.59</v>
      </c>
      <c r="I13" s="1">
        <v>0.63</v>
      </c>
      <c r="J13" s="1">
        <v>0.56999999999999995</v>
      </c>
      <c r="K13" s="1">
        <v>0.59</v>
      </c>
      <c r="L13" s="1">
        <v>0.62</v>
      </c>
      <c r="M13" s="1">
        <v>0.56000000000000005</v>
      </c>
      <c r="N13" s="1">
        <v>0.59</v>
      </c>
      <c r="O13" s="1">
        <v>0.56999999999999995</v>
      </c>
      <c r="P13" s="1">
        <v>0.55000000000000004</v>
      </c>
      <c r="Q13" s="1">
        <v>0.61</v>
      </c>
      <c r="R13" s="1">
        <v>0.59</v>
      </c>
      <c r="S13" s="1">
        <v>0.59</v>
      </c>
      <c r="T13" s="1">
        <v>0.55000000000000004</v>
      </c>
      <c r="U13" s="1">
        <v>0.65</v>
      </c>
      <c r="V13" s="1">
        <v>0.55000000000000004</v>
      </c>
      <c r="W13" s="1">
        <v>0.6</v>
      </c>
      <c r="X13" s="1">
        <v>0.65</v>
      </c>
      <c r="Y13" s="1">
        <f t="shared" si="0"/>
        <v>0.65</v>
      </c>
    </row>
    <row r="14" spans="1:25" ht="25" customHeight="1">
      <c r="A14" t="s">
        <v>25</v>
      </c>
      <c r="B14">
        <v>3</v>
      </c>
      <c r="C14" t="s">
        <v>31</v>
      </c>
      <c r="D14" t="b">
        <v>1</v>
      </c>
      <c r="E14">
        <v>1</v>
      </c>
      <c r="F14" t="s">
        <v>27</v>
      </c>
      <c r="G14" s="1">
        <v>0.38</v>
      </c>
      <c r="H14" s="1">
        <v>0.4</v>
      </c>
      <c r="I14" s="1">
        <v>0.4</v>
      </c>
      <c r="J14" s="1">
        <v>0.37</v>
      </c>
      <c r="K14" s="1">
        <v>0.4</v>
      </c>
      <c r="L14" s="1">
        <v>0.35</v>
      </c>
      <c r="M14" s="1">
        <v>0.4</v>
      </c>
      <c r="N14" s="1">
        <v>0.36</v>
      </c>
      <c r="O14" s="1">
        <v>0.4</v>
      </c>
      <c r="P14" s="1">
        <v>0.41</v>
      </c>
      <c r="Q14" s="1">
        <v>0.38</v>
      </c>
      <c r="R14" s="1">
        <v>0.37</v>
      </c>
      <c r="S14" s="1">
        <v>0.41</v>
      </c>
      <c r="T14" s="1">
        <v>0.37</v>
      </c>
      <c r="U14" s="1">
        <v>0.38</v>
      </c>
      <c r="V14" s="1">
        <v>0.4</v>
      </c>
      <c r="W14" s="1">
        <v>0.37</v>
      </c>
      <c r="X14" s="1">
        <v>0.38</v>
      </c>
      <c r="Y14" s="1">
        <f t="shared" si="0"/>
        <v>0.41</v>
      </c>
    </row>
    <row r="15" spans="1:25" ht="25" customHeight="1">
      <c r="A15" t="s">
        <v>25</v>
      </c>
      <c r="B15">
        <v>3</v>
      </c>
      <c r="C15" t="s">
        <v>31</v>
      </c>
      <c r="D15" t="b">
        <v>1</v>
      </c>
      <c r="E15">
        <v>2</v>
      </c>
      <c r="F15" t="s">
        <v>28</v>
      </c>
      <c r="G15" s="1">
        <v>0.39</v>
      </c>
      <c r="H15" s="1">
        <v>0.44</v>
      </c>
      <c r="I15" s="1">
        <v>0.42</v>
      </c>
      <c r="J15" s="1">
        <v>0.43</v>
      </c>
      <c r="K15" s="1">
        <v>0.5</v>
      </c>
      <c r="L15" s="1">
        <v>0.37</v>
      </c>
      <c r="M15" s="1">
        <v>0.46</v>
      </c>
      <c r="N15" s="1">
        <v>0.38</v>
      </c>
      <c r="O15" s="1">
        <v>0.44</v>
      </c>
      <c r="P15" s="1">
        <v>0.39</v>
      </c>
      <c r="Q15" s="1">
        <v>0.45</v>
      </c>
      <c r="R15" s="1">
        <v>0.4</v>
      </c>
      <c r="S15" s="1">
        <v>0.44</v>
      </c>
      <c r="T15" s="1">
        <v>0.42</v>
      </c>
      <c r="U15" s="1">
        <v>0.44</v>
      </c>
      <c r="V15" s="1">
        <v>0.44</v>
      </c>
      <c r="W15" s="1">
        <v>0.43</v>
      </c>
      <c r="X15" s="1">
        <v>0.42</v>
      </c>
      <c r="Y15" s="1">
        <f t="shared" si="0"/>
        <v>0.5</v>
      </c>
    </row>
    <row r="16" spans="1:25" ht="25" customHeight="1">
      <c r="A16" t="s">
        <v>25</v>
      </c>
      <c r="B16">
        <v>3</v>
      </c>
      <c r="C16" t="s">
        <v>31</v>
      </c>
      <c r="D16" t="b">
        <v>1</v>
      </c>
      <c r="E16">
        <v>3</v>
      </c>
      <c r="F16" t="s">
        <v>29</v>
      </c>
      <c r="G16" s="1">
        <v>0.37</v>
      </c>
      <c r="H16" s="1">
        <v>0.36</v>
      </c>
      <c r="I16" s="1">
        <v>0.4</v>
      </c>
      <c r="J16" s="1">
        <v>0.35</v>
      </c>
      <c r="K16" s="1">
        <v>0.43</v>
      </c>
      <c r="L16" s="1">
        <v>0.44</v>
      </c>
      <c r="M16" s="1">
        <v>0.35</v>
      </c>
      <c r="N16" s="1">
        <v>0.3</v>
      </c>
      <c r="O16" s="1">
        <v>0.35</v>
      </c>
      <c r="P16" s="1">
        <v>0.4</v>
      </c>
      <c r="Q16" s="1">
        <v>0.35</v>
      </c>
      <c r="R16" s="1">
        <v>0.32</v>
      </c>
      <c r="S16" s="1">
        <v>0.39</v>
      </c>
      <c r="T16" s="1">
        <v>0.35</v>
      </c>
      <c r="U16" s="1">
        <v>0.41</v>
      </c>
      <c r="V16" s="1">
        <v>0.39</v>
      </c>
      <c r="W16" s="1">
        <v>0.34</v>
      </c>
      <c r="X16" s="1">
        <v>0.38</v>
      </c>
      <c r="Y16" s="1">
        <f t="shared" si="0"/>
        <v>0.44</v>
      </c>
    </row>
    <row r="17" spans="1:25" ht="25" customHeight="1">
      <c r="A17" t="s">
        <v>25</v>
      </c>
      <c r="B17">
        <v>3</v>
      </c>
      <c r="C17" t="s">
        <v>31</v>
      </c>
      <c r="D17" t="b">
        <v>0</v>
      </c>
      <c r="E17">
        <v>1</v>
      </c>
      <c r="F17" t="s">
        <v>27</v>
      </c>
      <c r="G17" s="1">
        <v>0.36</v>
      </c>
      <c r="H17" s="1">
        <v>0.35</v>
      </c>
      <c r="I17" s="1">
        <v>0.4</v>
      </c>
      <c r="J17" s="1">
        <v>0.32</v>
      </c>
      <c r="K17" s="1">
        <v>0.34</v>
      </c>
      <c r="L17" s="1">
        <v>0.35</v>
      </c>
      <c r="M17" s="1">
        <v>0.35</v>
      </c>
      <c r="N17" s="1">
        <v>0.35</v>
      </c>
      <c r="O17" s="1">
        <v>0.4</v>
      </c>
      <c r="P17" s="1">
        <v>0.36</v>
      </c>
      <c r="Q17" s="1">
        <v>0.4</v>
      </c>
      <c r="R17" s="1">
        <v>0.34</v>
      </c>
      <c r="S17" s="1">
        <v>0.34</v>
      </c>
      <c r="T17" s="1">
        <v>0.37</v>
      </c>
      <c r="U17" s="1">
        <v>0.36</v>
      </c>
      <c r="V17" s="1">
        <v>0.38</v>
      </c>
      <c r="W17" s="1">
        <v>0.36</v>
      </c>
      <c r="X17" s="1">
        <v>0.37</v>
      </c>
      <c r="Y17" s="1">
        <f t="shared" si="0"/>
        <v>0.4</v>
      </c>
    </row>
    <row r="18" spans="1:25" ht="25" customHeight="1">
      <c r="A18" t="s">
        <v>25</v>
      </c>
      <c r="B18">
        <v>3</v>
      </c>
      <c r="C18" t="s">
        <v>31</v>
      </c>
      <c r="D18" t="b">
        <v>0</v>
      </c>
      <c r="E18">
        <v>2</v>
      </c>
      <c r="F18" t="s">
        <v>28</v>
      </c>
      <c r="G18" s="1">
        <v>0.37</v>
      </c>
      <c r="H18" s="1">
        <v>0.43</v>
      </c>
      <c r="I18" s="1">
        <v>0.39</v>
      </c>
      <c r="J18" s="1">
        <v>0.45</v>
      </c>
      <c r="K18" s="1">
        <v>0.5</v>
      </c>
      <c r="L18" s="1">
        <v>0.41</v>
      </c>
      <c r="M18" s="1">
        <v>0.42</v>
      </c>
      <c r="N18" s="1">
        <v>0.37</v>
      </c>
      <c r="O18" s="1">
        <v>0.42</v>
      </c>
      <c r="P18" s="1">
        <v>0.36</v>
      </c>
      <c r="Q18" s="1">
        <v>0.41</v>
      </c>
      <c r="R18" s="1">
        <v>0.42</v>
      </c>
      <c r="S18" s="1">
        <v>0.43</v>
      </c>
      <c r="T18" s="1">
        <v>0.42</v>
      </c>
      <c r="U18" s="1">
        <v>0.42</v>
      </c>
      <c r="V18" s="1">
        <v>0.46</v>
      </c>
      <c r="W18" s="1">
        <v>0.41</v>
      </c>
      <c r="X18" s="1">
        <v>0.42</v>
      </c>
      <c r="Y18" s="1">
        <f t="shared" si="0"/>
        <v>0.5</v>
      </c>
    </row>
    <row r="19" spans="1:25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0.38</v>
      </c>
      <c r="H19" s="1">
        <v>0.33</v>
      </c>
      <c r="I19" s="1">
        <v>0.37</v>
      </c>
      <c r="J19" s="1">
        <v>0.37</v>
      </c>
      <c r="K19" s="1">
        <v>0.4</v>
      </c>
      <c r="L19" s="1">
        <v>0.38</v>
      </c>
      <c r="M19" s="1">
        <v>0.37</v>
      </c>
      <c r="N19" s="1">
        <v>0.3</v>
      </c>
      <c r="O19" s="1">
        <v>0.35</v>
      </c>
      <c r="P19" s="1">
        <v>0.32</v>
      </c>
      <c r="Q19" s="1">
        <v>0.39</v>
      </c>
      <c r="R19" s="1">
        <v>0.38</v>
      </c>
      <c r="S19" s="1">
        <v>0.42</v>
      </c>
      <c r="T19" s="1">
        <v>0.36</v>
      </c>
      <c r="U19" s="1">
        <v>0.41</v>
      </c>
      <c r="V19" s="1">
        <v>0.4</v>
      </c>
      <c r="W19" s="1">
        <v>0.37</v>
      </c>
      <c r="X19" s="1">
        <v>0.39</v>
      </c>
      <c r="Y19" s="1">
        <f t="shared" si="0"/>
        <v>0.42</v>
      </c>
    </row>
    <row r="22" spans="1:25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</row>
    <row r="23" spans="1:25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0.87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0.87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0.85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0.81</v>
      </c>
      <c r="P23" s="1" cm="1">
        <f t="array" ref="P23">_xlfn.LET(_xlpm.d,P$2:P$19,_xlpm.a,$C$2:$C$19=$C23,_xlpm.b,$D$2:$D$19=$D23,MAX(_xlfn._xlws.FILTER(_xlpm.d,_xlpm.a*_xlpm.b)))</f>
        <v>0.87</v>
      </c>
      <c r="Q23" s="1" cm="1">
        <f t="array" ref="Q23">_xlfn.LET(_xlpm.d,Q$2:Q$19,_xlpm.a,$C$2:$C$19=$C23,_xlpm.b,$D$2:$D$19=$D23,MAX(_xlfn._xlws.FILTER(_xlpm.d,_xlpm.a*_xlpm.b)))</f>
        <v>0.89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0.85</v>
      </c>
      <c r="T23" s="1" cm="1">
        <f t="array" ref="T23">_xlfn.LET(_xlpm.d,T$2:T$19,_xlpm.a,$C$2:$C$19=$C23,_xlpm.b,$D$2:$D$19=$D23,MAX(_xlfn._xlws.FILTER(_xlpm.d,_xlpm.a*_xlpm.b)))</f>
        <v>0.85</v>
      </c>
      <c r="U23" s="1" cm="1">
        <f t="array" ref="U23">_xlfn.LET(_xlpm.d,U$2:U$19,_xlpm.a,$C$2:$C$19=$C23,_xlpm.b,$D$2:$D$19=$D23,MAX(_xlfn._xlws.FILTER(_xlpm.d,_xlpm.a*_xlpm.b)))</f>
        <v>0.83</v>
      </c>
      <c r="V23" s="1" cm="1">
        <f t="array" ref="V23">_xlfn.LET(_xlpm.d,V$2:V$19,_xlpm.a,$C$2:$C$19=$C23,_xlpm.b,$D$2:$D$19=$D23,MAX(_xlfn._xlws.FILTER(_xlpm.d,_xlpm.a*_xlpm.b)))</f>
        <v>0.86</v>
      </c>
      <c r="W23" s="1" cm="1">
        <f t="array" ref="W23">_xlfn.LET(_xlpm.d,W$2:W$19,_xlpm.a,$C$2:$C$19=$C23,_xlpm.b,$D$2:$D$19=$D23,MAX(_xlfn._xlws.FILTER(_xlpm.d,_xlpm.a*_xlpm.b)))</f>
        <v>0.8</v>
      </c>
      <c r="X23" s="1" cm="1">
        <f t="array" ref="X23">_xlfn.LET(_xlpm.d,X$2:X$19,_xlpm.a,$C$2:$C$19=$C23,_xlpm.b,$D$2:$D$19=$D23,MAX(_xlfn._xlws.FILTER(_xlpm.d,_xlpm.a*_xlpm.b)))</f>
        <v>0.83</v>
      </c>
      <c r="Y23" s="1" cm="1">
        <f t="array" ref="Y23">_xlfn.LET(_xlpm.d,Y$2:Y$19,_xlpm.a,$C$2:$C$19=$C23,_xlpm.b,$D$2:$D$19=$D23,MAX(_xlfn._xlws.FILTER(_xlpm.d,_xlpm.a*_xlpm.b)))</f>
        <v>0.89</v>
      </c>
    </row>
    <row r="24" spans="1:25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0.84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0.79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0.8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0.85</v>
      </c>
      <c r="Q24" s="1" cm="1">
        <f t="array" ref="Q24">_xlfn.LET(_xlpm.d,Q$2:Q$19,_xlpm.a,$C$2:$C$19=$C24,_xlpm.b,$D$2:$D$19=$D24,MAX(_xlfn._xlws.FILTER(_xlpm.d,_xlpm.a*_xlpm.b)))</f>
        <v>0.86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0.82</v>
      </c>
      <c r="T24" s="1" cm="1">
        <f t="array" ref="T24">_xlfn.LET(_xlpm.d,T$2:T$19,_xlpm.a,$C$2:$C$19=$C24,_xlpm.b,$D$2:$D$19=$D24,MAX(_xlfn._xlws.FILTER(_xlpm.d,_xlpm.a*_xlpm.b)))</f>
        <v>0.81</v>
      </c>
      <c r="U24" s="1" cm="1">
        <f t="array" ref="U24">_xlfn.LET(_xlpm.d,U$2:U$19,_xlpm.a,$C$2:$C$19=$C24,_xlpm.b,$D$2:$D$19=$D24,MAX(_xlfn._xlws.FILTER(_xlpm.d,_xlpm.a*_xlpm.b)))</f>
        <v>0.81</v>
      </c>
      <c r="V24" s="1" cm="1">
        <f t="array" ref="V24">_xlfn.LET(_xlpm.d,V$2:V$19,_xlpm.a,$C$2:$C$19=$C24,_xlpm.b,$D$2:$D$19=$D24,MAX(_xlfn._xlws.FILTER(_xlpm.d,_xlpm.a*_xlpm.b)))</f>
        <v>0.84</v>
      </c>
      <c r="W24" s="1" cm="1">
        <f t="array" ref="W24">_xlfn.LET(_xlpm.d,W$2:W$19,_xlpm.a,$C$2:$C$19=$C24,_xlpm.b,$D$2:$D$19=$D24,MAX(_xlfn._xlws.FILTER(_xlpm.d,_xlpm.a*_xlpm.b)))</f>
        <v>0.8</v>
      </c>
      <c r="X24" s="1" cm="1">
        <f t="array" ref="X24">_xlfn.LET(_xlpm.d,X$2:X$19,_xlpm.a,$C$2:$C$19=$C24,_xlpm.b,$D$2:$D$19=$D24,MAX(_xlfn._xlws.FILTER(_xlpm.d,_xlpm.a*_xlpm.b)))</f>
        <v>0.83</v>
      </c>
      <c r="Y24" s="1" cm="1">
        <f t="array" ref="Y24">_xlfn.LET(_xlpm.d,Y$2:Y$19,_xlpm.a,$C$2:$C$19=$C24,_xlpm.b,$D$2:$D$19=$D24,MAX(_xlfn._xlws.FILTER(_xlpm.d,_xlpm.a*_xlpm.b)))</f>
        <v>0.86</v>
      </c>
    </row>
    <row r="25" spans="1:25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0.62</v>
      </c>
      <c r="H25" s="1" cm="1">
        <f t="array" ref="H25">_xlfn.LET(_xlpm.d,H$2:H$19,_xlpm.a,$C$2:$C$19=$C25,_xlpm.b,$D$2:$D$19=$D25,MAX(_xlfn._xlws.FILTER(_xlpm.d,_xlpm.a*_xlpm.b)))</f>
        <v>0.62</v>
      </c>
      <c r="I25" s="1" cm="1">
        <f t="array" ref="I25">_xlfn.LET(_xlpm.d,I$2:I$19,_xlpm.a,$C$2:$C$19=$C25,_xlpm.b,$D$2:$D$19=$D25,MAX(_xlfn._xlws.FILTER(_xlpm.d,_xlpm.a*_xlpm.b)))</f>
        <v>0.6</v>
      </c>
      <c r="J25" s="1" cm="1">
        <f t="array" ref="J25">_xlfn.LET(_xlpm.d,J$2:J$19,_xlpm.a,$C$2:$C$19=$C25,_xlpm.b,$D$2:$D$19=$D25,MAX(_xlfn._xlws.FILTER(_xlpm.d,_xlpm.a*_xlpm.b)))</f>
        <v>0.64</v>
      </c>
      <c r="K25" s="1" cm="1">
        <f t="array" ref="K25">_xlfn.LET(_xlpm.d,K$2:K$19,_xlpm.a,$C$2:$C$19=$C25,_xlpm.b,$D$2:$D$19=$D25,MAX(_xlfn._xlws.FILTER(_xlpm.d,_xlpm.a*_xlpm.b)))</f>
        <v>0.63</v>
      </c>
      <c r="L25" s="1" cm="1">
        <f t="array" ref="L25">_xlfn.LET(_xlpm.d,L$2:L$19,_xlpm.a,$C$2:$C$19=$C25,_xlpm.b,$D$2:$D$19=$D25,MAX(_xlfn._xlws.FILTER(_xlpm.d,_xlpm.a*_xlpm.b)))</f>
        <v>0.59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0.59</v>
      </c>
      <c r="O25" s="1" cm="1">
        <f t="array" ref="O25">_xlfn.LET(_xlpm.d,O$2:O$19,_xlpm.a,$C$2:$C$19=$C25,_xlpm.b,$D$2:$D$19=$D25,MAX(_xlfn._xlws.FILTER(_xlpm.d,_xlpm.a*_xlpm.b)))</f>
        <v>0.55000000000000004</v>
      </c>
      <c r="P25" s="1" cm="1">
        <f t="array" ref="P25">_xlfn.LET(_xlpm.d,P$2:P$19,_xlpm.a,$C$2:$C$19=$C25,_xlpm.b,$D$2:$D$19=$D25,MAX(_xlfn._xlws.FILTER(_xlpm.d,_xlpm.a*_xlpm.b)))</f>
        <v>0.56000000000000005</v>
      </c>
      <c r="Q25" s="1" cm="1">
        <f t="array" ref="Q25">_xlfn.LET(_xlpm.d,Q$2:Q$19,_xlpm.a,$C$2:$C$19=$C25,_xlpm.b,$D$2:$D$19=$D25,MAX(_xlfn._xlws.FILTER(_xlpm.d,_xlpm.a*_xlpm.b)))</f>
        <v>0.63</v>
      </c>
      <c r="R25" s="1" cm="1">
        <f t="array" ref="R25">_xlfn.LET(_xlpm.d,R$2:R$19,_xlpm.a,$C$2:$C$19=$C25,_xlpm.b,$D$2:$D$19=$D25,MAX(_xlfn._xlws.FILTER(_xlpm.d,_xlpm.a*_xlpm.b)))</f>
        <v>0.59</v>
      </c>
      <c r="S25" s="1" cm="1">
        <f t="array" ref="S25">_xlfn.LET(_xlpm.d,S$2:S$19,_xlpm.a,$C$2:$C$19=$C25,_xlpm.b,$D$2:$D$19=$D25,MAX(_xlfn._xlws.FILTER(_xlpm.d,_xlpm.a*_xlpm.b)))</f>
        <v>0.6</v>
      </c>
      <c r="T25" s="1" cm="1">
        <f t="array" ref="T25">_xlfn.LET(_xlpm.d,T$2:T$19,_xlpm.a,$C$2:$C$19=$C25,_xlpm.b,$D$2:$D$19=$D25,MAX(_xlfn._xlws.FILTER(_xlpm.d,_xlpm.a*_xlpm.b)))</f>
        <v>0.56999999999999995</v>
      </c>
      <c r="U25" s="1" cm="1">
        <f t="array" ref="U25">_xlfn.LET(_xlpm.d,U$2:U$19,_xlpm.a,$C$2:$C$19=$C25,_xlpm.b,$D$2:$D$19=$D25,MAX(_xlfn._xlws.FILTER(_xlpm.d,_xlpm.a*_xlpm.b)))</f>
        <v>0.66</v>
      </c>
      <c r="V25" s="1" cm="1">
        <f t="array" ref="V25">_xlfn.LET(_xlpm.d,V$2:V$19,_xlpm.a,$C$2:$C$19=$C25,_xlpm.b,$D$2:$D$19=$D25,MAX(_xlfn._xlws.FILTER(_xlpm.d,_xlpm.a*_xlpm.b)))</f>
        <v>0.59</v>
      </c>
      <c r="W25" s="1" cm="1">
        <f t="array" ref="W25">_xlfn.LET(_xlpm.d,W$2:W$19,_xlpm.a,$C$2:$C$19=$C25,_xlpm.b,$D$2:$D$19=$D25,MAX(_xlfn._xlws.FILTER(_xlpm.d,_xlpm.a*_xlpm.b)))</f>
        <v>0.59</v>
      </c>
      <c r="X25" s="1" cm="1">
        <f t="array" ref="X25">_xlfn.LET(_xlpm.d,X$2:X$19,_xlpm.a,$C$2:$C$19=$C25,_xlpm.b,$D$2:$D$19=$D25,MAX(_xlfn._xlws.FILTER(_xlpm.d,_xlpm.a*_xlpm.b)))</f>
        <v>0.59</v>
      </c>
      <c r="Y25" s="1" cm="1">
        <f t="array" ref="Y25">_xlfn.LET(_xlpm.d,Y$2:Y$19,_xlpm.a,$C$2:$C$19=$C25,_xlpm.b,$D$2:$D$19=$D25,MAX(_xlfn._xlws.FILTER(_xlpm.d,_xlpm.a*_xlpm.b)))</f>
        <v>0.66</v>
      </c>
    </row>
    <row r="26" spans="1:25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0.62</v>
      </c>
      <c r="I26" s="1" cm="1">
        <f t="array" ref="I26">_xlfn.LET(_xlpm.d,I$2:I$19,_xlpm.a,$C$2:$C$19=$C26,_xlpm.b,$D$2:$D$19=$D26,MAX(_xlfn._xlws.FILTER(_xlpm.d,_xlpm.a*_xlpm.b)))</f>
        <v>0.63</v>
      </c>
      <c r="J26" s="1" cm="1">
        <f t="array" ref="J26">_xlfn.LET(_xlpm.d,J$2:J$19,_xlpm.a,$C$2:$C$19=$C26,_xlpm.b,$D$2:$D$19=$D26,MAX(_xlfn._xlws.FILTER(_xlpm.d,_xlpm.a*_xlpm.b)))</f>
        <v>0.59</v>
      </c>
      <c r="K26" s="1" cm="1">
        <f t="array" ref="K26">_xlfn.LET(_xlpm.d,K$2:K$19,_xlpm.a,$C$2:$C$19=$C26,_xlpm.b,$D$2:$D$19=$D26,MAX(_xlfn._xlws.FILTER(_xlpm.d,_xlpm.a*_xlpm.b)))</f>
        <v>0.6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0.56999999999999995</v>
      </c>
      <c r="N26" s="1" cm="1">
        <f t="array" ref="N26">_xlfn.LET(_xlpm.d,N$2:N$19,_xlpm.a,$C$2:$C$19=$C26,_xlpm.b,$D$2:$D$19=$D26,MAX(_xlfn._xlws.FILTER(_xlpm.d,_xlpm.a*_xlpm.b)))</f>
        <v>0.59</v>
      </c>
      <c r="O26" s="1" cm="1">
        <f t="array" ref="O26">_xlfn.LET(_xlpm.d,O$2:O$19,_xlpm.a,$C$2:$C$19=$C26,_xlpm.b,$D$2:$D$19=$D26,MAX(_xlfn._xlws.FILTER(_xlpm.d,_xlpm.a*_xlpm.b)))</f>
        <v>0.56999999999999995</v>
      </c>
      <c r="P26" s="1" cm="1">
        <f t="array" ref="P26">_xlfn.LET(_xlpm.d,P$2:P$19,_xlpm.a,$C$2:$C$19=$C26,_xlpm.b,$D$2:$D$19=$D26,MAX(_xlfn._xlws.FILTER(_xlpm.d,_xlpm.a*_xlpm.b)))</f>
        <v>0.56000000000000005</v>
      </c>
      <c r="Q26" s="1" cm="1">
        <f t="array" ref="Q26">_xlfn.LET(_xlpm.d,Q$2:Q$19,_xlpm.a,$C$2:$C$19=$C26,_xlpm.b,$D$2:$D$19=$D26,MAX(_xlfn._xlws.FILTER(_xlpm.d,_xlpm.a*_xlpm.b)))</f>
        <v>0.62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0.59</v>
      </c>
      <c r="T26" s="1" cm="1">
        <f t="array" ref="T26">_xlfn.LET(_xlpm.d,T$2:T$19,_xlpm.a,$C$2:$C$19=$C26,_xlpm.b,$D$2:$D$19=$D26,MAX(_xlfn._xlws.FILTER(_xlpm.d,_xlpm.a*_xlpm.b)))</f>
        <v>0.55000000000000004</v>
      </c>
      <c r="U26" s="1" cm="1">
        <f t="array" ref="U26">_xlfn.LET(_xlpm.d,U$2:U$19,_xlpm.a,$C$2:$C$19=$C26,_xlpm.b,$D$2:$D$19=$D26,MAX(_xlfn._xlws.FILTER(_xlpm.d,_xlpm.a*_xlpm.b)))</f>
        <v>0.65</v>
      </c>
      <c r="V26" s="1" cm="1">
        <f t="array" ref="V26">_xlfn.LET(_xlpm.d,V$2:V$19,_xlpm.a,$C$2:$C$19=$C26,_xlpm.b,$D$2:$D$19=$D26,MAX(_xlfn._xlws.FILTER(_xlpm.d,_xlpm.a*_xlpm.b)))</f>
        <v>0.56000000000000005</v>
      </c>
      <c r="W26" s="1" cm="1">
        <f t="array" ref="W26">_xlfn.LET(_xlpm.d,W$2:W$19,_xlpm.a,$C$2:$C$19=$C26,_xlpm.b,$D$2:$D$19=$D26,MAX(_xlfn._xlws.FILTER(_xlpm.d,_xlpm.a*_xlpm.b)))</f>
        <v>0.6</v>
      </c>
      <c r="X26" s="1" cm="1">
        <f t="array" ref="X26">_xlfn.LET(_xlpm.d,X$2:X$19,_xlpm.a,$C$2:$C$19=$C26,_xlpm.b,$D$2:$D$19=$D26,MAX(_xlfn._xlws.FILTER(_xlpm.d,_xlpm.a*_xlpm.b)))</f>
        <v>0.65</v>
      </c>
      <c r="Y26" s="1" cm="1">
        <f t="array" ref="Y26">_xlfn.LET(_xlpm.d,Y$2:Y$19,_xlpm.a,$C$2:$C$19=$C26,_xlpm.b,$D$2:$D$19=$D26,MAX(_xlfn._xlws.FILTER(_xlpm.d,_xlpm.a*_xlpm.b)))</f>
        <v>0.65</v>
      </c>
    </row>
    <row r="27" spans="1:25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0.39</v>
      </c>
      <c r="H27" s="1" cm="1">
        <f t="array" ref="H27">_xlfn.LET(_xlpm.d,H$2:H$19,_xlpm.a,$C$2:$C$19=$C27,_xlpm.b,$D$2:$D$19=$D27,MAX(_xlfn._xlws.FILTER(_xlpm.d,_xlpm.a*_xlpm.b)))</f>
        <v>0.44</v>
      </c>
      <c r="I27" s="1" cm="1">
        <f t="array" ref="I27">_xlfn.LET(_xlpm.d,I$2:I$19,_xlpm.a,$C$2:$C$19=$C27,_xlpm.b,$D$2:$D$19=$D27,MAX(_xlfn._xlws.FILTER(_xlpm.d,_xlpm.a*_xlpm.b)))</f>
        <v>0.42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0.5</v>
      </c>
      <c r="L27" s="1" cm="1">
        <f t="array" ref="L27">_xlfn.LET(_xlpm.d,L$2:L$19,_xlpm.a,$C$2:$C$19=$C27,_xlpm.b,$D$2:$D$19=$D27,MAX(_xlfn._xlws.FILTER(_xlpm.d,_xlpm.a*_xlpm.b)))</f>
        <v>0.44</v>
      </c>
      <c r="M27" s="1" cm="1">
        <f t="array" ref="M27">_xlfn.LET(_xlpm.d,M$2:M$19,_xlpm.a,$C$2:$C$19=$C27,_xlpm.b,$D$2:$D$19=$D27,MAX(_xlfn._xlws.FILTER(_xlpm.d,_xlpm.a*_xlpm.b)))</f>
        <v>0.46</v>
      </c>
      <c r="N27" s="1" cm="1">
        <f t="array" ref="N27">_xlfn.LET(_xlpm.d,N$2:N$19,_xlpm.a,$C$2:$C$19=$C27,_xlpm.b,$D$2:$D$19=$D27,MAX(_xlfn._xlws.FILTER(_xlpm.d,_xlpm.a*_xlpm.b)))</f>
        <v>0.38</v>
      </c>
      <c r="O27" s="1" cm="1">
        <f t="array" ref="O27">_xlfn.LET(_xlpm.d,O$2:O$19,_xlpm.a,$C$2:$C$19=$C27,_xlpm.b,$D$2:$D$19=$D27,MAX(_xlfn._xlws.FILTER(_xlpm.d,_xlpm.a*_xlpm.b)))</f>
        <v>0.44</v>
      </c>
      <c r="P27" s="1" cm="1">
        <f t="array" ref="P27">_xlfn.LET(_xlpm.d,P$2:P$19,_xlpm.a,$C$2:$C$19=$C27,_xlpm.b,$D$2:$D$19=$D27,MAX(_xlfn._xlws.FILTER(_xlpm.d,_xlpm.a*_xlpm.b)))</f>
        <v>0.41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</v>
      </c>
      <c r="S27" s="1" cm="1">
        <f t="array" ref="S27">_xlfn.LET(_xlpm.d,S$2:S$19,_xlpm.a,$C$2:$C$19=$C27,_xlpm.b,$D$2:$D$19=$D27,MAX(_xlfn._xlws.FILTER(_xlpm.d,_xlpm.a*_xlpm.b)))</f>
        <v>0.44</v>
      </c>
      <c r="T27" s="1" cm="1">
        <f t="array" ref="T27">_xlfn.LET(_xlpm.d,T$2:T$19,_xlpm.a,$C$2:$C$19=$C27,_xlpm.b,$D$2:$D$19=$D27,MAX(_xlfn._xlws.FILTER(_xlpm.d,_xlpm.a*_xlpm.b)))</f>
        <v>0.42</v>
      </c>
      <c r="U27" s="1" cm="1">
        <f t="array" ref="U27">_xlfn.LET(_xlpm.d,U$2:U$19,_xlpm.a,$C$2:$C$19=$C27,_xlpm.b,$D$2:$D$19=$D27,MAX(_xlfn._xlws.FILTER(_xlpm.d,_xlpm.a*_xlpm.b)))</f>
        <v>0.44</v>
      </c>
      <c r="V27" s="1" cm="1">
        <f t="array" ref="V27">_xlfn.LET(_xlpm.d,V$2:V$19,_xlpm.a,$C$2:$C$19=$C27,_xlpm.b,$D$2:$D$19=$D27,MAX(_xlfn._xlws.FILTER(_xlpm.d,_xlpm.a*_xlpm.b)))</f>
        <v>0.44</v>
      </c>
      <c r="W27" s="1" cm="1">
        <f t="array" ref="W27">_xlfn.LET(_xlpm.d,W$2:W$19,_xlpm.a,$C$2:$C$19=$C27,_xlpm.b,$D$2:$D$19=$D27,MAX(_xlfn._xlws.FILTER(_xlpm.d,_xlpm.a*_xlpm.b)))</f>
        <v>0.43</v>
      </c>
      <c r="X27" s="1" cm="1">
        <f t="array" ref="X27">_xlfn.LET(_xlpm.d,X$2:X$19,_xlpm.a,$C$2:$C$19=$C27,_xlpm.b,$D$2:$D$19=$D27,MAX(_xlfn._xlws.FILTER(_xlpm.d,_xlpm.a*_xlpm.b)))</f>
        <v>0.42</v>
      </c>
      <c r="Y27" s="1" cm="1">
        <f t="array" ref="Y27">_xlfn.LET(_xlpm.d,Y$2:Y$19,_xlpm.a,$C$2:$C$19=$C27,_xlpm.b,$D$2:$D$19=$D27,MAX(_xlfn._xlws.FILTER(_xlpm.d,_xlpm.a*_xlpm.b)))</f>
        <v>0.5</v>
      </c>
    </row>
    <row r="28" spans="1:25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0.38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0.45</v>
      </c>
      <c r="K28" s="1" cm="1">
        <f t="array" ref="K28">_xlfn.LET(_xlpm.d,K$2:K$19,_xlpm.a,$C$2:$C$19=$C28,_xlpm.b,$D$2:$D$19=$D28,MAX(_xlfn._xlws.FILTER(_xlpm.d,_xlpm.a*_xlpm.b)))</f>
        <v>0.5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0.37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0.36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0.43</v>
      </c>
      <c r="T28" s="1" cm="1">
        <f t="array" ref="T28">_xlfn.LET(_xlpm.d,T$2:T$19,_xlpm.a,$C$2:$C$19=$C28,_xlpm.b,$D$2:$D$19=$D28,MAX(_xlfn._xlws.FILTER(_xlpm.d,_xlpm.a*_xlpm.b)))</f>
        <v>0.42</v>
      </c>
      <c r="U28" s="1" cm="1">
        <f t="array" ref="U28">_xlfn.LET(_xlpm.d,U$2:U$19,_xlpm.a,$C$2:$C$19=$C28,_xlpm.b,$D$2:$D$19=$D28,MAX(_xlfn._xlws.FILTER(_xlpm.d,_xlpm.a*_xlpm.b)))</f>
        <v>0.42</v>
      </c>
      <c r="V28" s="1" cm="1">
        <f t="array" ref="V28">_xlfn.LET(_xlpm.d,V$2:V$19,_xlpm.a,$C$2:$C$19=$C28,_xlpm.b,$D$2:$D$19=$D28,MAX(_xlfn._xlws.FILTER(_xlpm.d,_xlpm.a*_xlpm.b)))</f>
        <v>0.46</v>
      </c>
      <c r="W28" s="1" cm="1">
        <f t="array" ref="W28">_xlfn.LET(_xlpm.d,W$2:W$19,_xlpm.a,$C$2:$C$19=$C28,_xlpm.b,$D$2:$D$19=$D28,MAX(_xlfn._xlws.FILTER(_xlpm.d,_xlpm.a*_xlpm.b)))</f>
        <v>0.41</v>
      </c>
      <c r="X28" s="1" cm="1">
        <f t="array" ref="X28">_xlfn.LET(_xlpm.d,X$2:X$19,_xlpm.a,$C$2:$C$19=$C28,_xlpm.b,$D$2:$D$19=$D28,MAX(_xlfn._xlws.FILTER(_xlpm.d,_xlpm.a*_xlpm.b)))</f>
        <v>0.42</v>
      </c>
      <c r="Y28" s="1" cm="1">
        <f t="array" ref="Y28">_xlfn.LET(_xlpm.d,Y$2:Y$19,_xlpm.a,$C$2:$C$19=$C28,_xlpm.b,$D$2:$D$19=$D28,MAX(_xlfn._xlws.FILTER(_xlpm.d,_xlpm.a*_xlpm.b)))</f>
        <v>0.5</v>
      </c>
    </row>
  </sheetData>
  <conditionalFormatting sqref="G2:Y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Y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sk-xsk-3k-xsk-mgv9-alt</vt:lpstr>
      <vt:lpstr>sk-xsk-3k-mgv9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2025-02-27T07:37:13Z</dcterms:created>
  <dcterms:modified xsi:type="dcterms:W3CDTF">2025-02-28T03:14:59Z</dcterms:modified>
  <cp:category/>
</cp:coreProperties>
</file>