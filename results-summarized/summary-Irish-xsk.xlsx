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summarized/"/>
    </mc:Choice>
  </mc:AlternateContent>
  <xr:revisionPtr revIDLastSave="0" documentId="13_ncr:1_{548BFCB8-ED49-F345-81D1-B827DF8ABC2D}" xr6:coauthVersionLast="47" xr6:coauthVersionMax="47" xr10:uidLastSave="{00000000-0000-0000-0000-000000000000}"/>
  <bookViews>
    <workbookView xWindow="9200" yWindow="1040" windowWidth="25940" windowHeight="17700" activeTab="9" xr2:uid="{71B4F2C9-6E63-8A4B-9DCD-9E067D82C8E5}"/>
  </bookViews>
  <sheets>
    <sheet name="summarized" sheetId="21" r:id="rId1"/>
    <sheet name="xsk-3k-mgv9" sheetId="20" r:id="rId2"/>
    <sheet name="xsk-3k-mgv6" sheetId="19" r:id="rId3"/>
    <sheet name="xsk-3k-mgv3" sheetId="18" r:id="rId4"/>
    <sheet name="xsk-2k-mgv9" sheetId="17" r:id="rId5"/>
    <sheet name="xsk-2k-mgv6" sheetId="16" r:id="rId6"/>
    <sheet name="xsk-2k-mgv3" sheetId="25" r:id="rId7"/>
    <sheet name="xsk-1.2k-mgv9" sheetId="24" r:id="rId8"/>
    <sheet name="xsk-1.2k-mgv6" sheetId="22" r:id="rId9"/>
    <sheet name="xsk-1.2k-mgv3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8" l="1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S32" i="18"/>
  <c r="R32" i="18"/>
  <c r="Q32" i="18"/>
  <c r="P32" i="18"/>
  <c r="O32" i="18"/>
  <c r="N32" i="18"/>
  <c r="M32" i="18"/>
  <c r="L32" i="18"/>
  <c r="K32" i="18"/>
  <c r="J32" i="18"/>
  <c r="I32" i="18"/>
  <c r="G32" i="18"/>
  <c r="G33" i="20" l="1"/>
  <c r="G32" i="20"/>
  <c r="G35" i="20"/>
  <c r="G34" i="20"/>
  <c r="G37" i="20"/>
  <c r="G36" i="20"/>
  <c r="G23" i="18"/>
  <c r="G24" i="18"/>
  <c r="G25" i="18"/>
  <c r="G26" i="18"/>
  <c r="G27" i="18"/>
  <c r="G28" i="18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3" i="20"/>
  <c r="G24" i="20"/>
  <c r="G25" i="20"/>
  <c r="G26" i="20"/>
  <c r="G27" i="20"/>
  <c r="G28" i="20"/>
  <c r="G2" i="20"/>
  <c r="G3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X103" i="21" a="1"/>
  <c r="X103" i="21" s="1"/>
  <c r="X102" i="21" a="1"/>
  <c r="X102" i="21" s="1"/>
  <c r="X101" i="21" a="1"/>
  <c r="X101" i="21" s="1"/>
  <c r="X100" i="21" a="1"/>
  <c r="X100" i="21" s="1"/>
  <c r="X99" i="21" a="1"/>
  <c r="X99" i="21" s="1"/>
  <c r="X98" i="21" a="1"/>
  <c r="X98" i="21" s="1"/>
  <c r="X97" i="21" a="1"/>
  <c r="X97" i="21" s="1"/>
  <c r="X96" i="21" a="1"/>
  <c r="X96" i="21" s="1"/>
  <c r="X95" i="21" a="1"/>
  <c r="X95" i="21" s="1"/>
  <c r="X83" i="21" a="1"/>
  <c r="X83" i="21" s="1"/>
  <c r="X91" i="21" a="1"/>
  <c r="X91" i="21" s="1"/>
  <c r="X90" i="21" a="1"/>
  <c r="X90" i="21" s="1"/>
  <c r="X89" i="21" a="1"/>
  <c r="X89" i="21" s="1"/>
  <c r="X88" i="21" a="1"/>
  <c r="X88" i="21" s="1"/>
  <c r="X87" i="21" a="1"/>
  <c r="X87" i="21" s="1"/>
  <c r="X86" i="21" a="1"/>
  <c r="X86" i="21" s="1"/>
  <c r="X85" i="21" a="1"/>
  <c r="X85" i="21" s="1"/>
  <c r="X84" i="21" a="1"/>
  <c r="X84" i="21" s="1"/>
  <c r="X79" i="21" a="1"/>
  <c r="X79" i="21" s="1"/>
  <c r="X74" i="21" a="1"/>
  <c r="X74" i="21" s="1"/>
  <c r="X73" i="21" a="1"/>
  <c r="X73" i="21" s="1"/>
  <c r="X72" i="21" a="1"/>
  <c r="X72" i="21" s="1"/>
  <c r="X71" i="21" a="1"/>
  <c r="X71" i="21" s="1"/>
  <c r="X76" i="21" a="1"/>
  <c r="X76" i="21" s="1"/>
  <c r="X75" i="21" a="1"/>
  <c r="X75" i="21" s="1"/>
  <c r="X78" i="21" a="1"/>
  <c r="X78" i="21" s="1"/>
  <c r="X77" i="21" a="1"/>
  <c r="X77" i="21" s="1"/>
  <c r="X60" i="21" a="1"/>
  <c r="X60" i="21" s="1"/>
  <c r="X62" i="21" a="1"/>
  <c r="X62" i="21" s="1"/>
  <c r="X59" i="21" a="1"/>
  <c r="X59" i="21" s="1"/>
  <c r="X65" i="21" a="1"/>
  <c r="X65" i="21" s="1"/>
  <c r="X67" i="21" a="1"/>
  <c r="X67" i="21" s="1"/>
  <c r="X63" i="21" a="1"/>
  <c r="X63" i="21" s="1"/>
  <c r="X64" i="21" a="1"/>
  <c r="X64" i="21" s="1"/>
  <c r="X61" i="21" a="1"/>
  <c r="X61" i="21" s="1"/>
  <c r="X66" i="21" a="1"/>
  <c r="X66" i="21" s="1"/>
  <c r="W2" i="21"/>
  <c r="W3" i="21"/>
  <c r="W4" i="21"/>
  <c r="W5" i="21"/>
  <c r="X4" i="21" s="1"/>
  <c r="W6" i="21"/>
  <c r="X23" i="21" s="1"/>
  <c r="W7" i="21"/>
  <c r="W8" i="21"/>
  <c r="W9" i="21"/>
  <c r="X9" i="21" s="1"/>
  <c r="W10" i="21"/>
  <c r="W11" i="21"/>
  <c r="W12" i="21"/>
  <c r="W13" i="21"/>
  <c r="X13" i="21" s="1"/>
  <c r="W14" i="21"/>
  <c r="X14" i="21" s="1"/>
  <c r="W15" i="21"/>
  <c r="W16" i="21"/>
  <c r="W17" i="21"/>
  <c r="X17" i="21" s="1"/>
  <c r="W18" i="21"/>
  <c r="W19" i="21"/>
  <c r="W20" i="21"/>
  <c r="W21" i="21"/>
  <c r="X21" i="21" s="1"/>
  <c r="W22" i="21"/>
  <c r="X22" i="21" s="1"/>
  <c r="W23" i="21"/>
  <c r="W24" i="21"/>
  <c r="W25" i="21"/>
  <c r="X25" i="21" s="1"/>
  <c r="W26" i="21"/>
  <c r="W27" i="21"/>
  <c r="W28" i="21"/>
  <c r="W29" i="21"/>
  <c r="X29" i="21" s="1"/>
  <c r="W30" i="21"/>
  <c r="X30" i="21" s="1"/>
  <c r="W31" i="21"/>
  <c r="W32" i="21"/>
  <c r="W33" i="21"/>
  <c r="X33" i="21" s="1"/>
  <c r="W34" i="21"/>
  <c r="W35" i="21"/>
  <c r="W36" i="21"/>
  <c r="W37" i="21"/>
  <c r="X37" i="21" s="1"/>
  <c r="W38" i="21"/>
  <c r="X38" i="21" s="1"/>
  <c r="W39" i="21"/>
  <c r="W40" i="21"/>
  <c r="W41" i="21"/>
  <c r="X41" i="21" s="1"/>
  <c r="W42" i="21"/>
  <c r="W43" i="21"/>
  <c r="W44" i="21"/>
  <c r="W45" i="21"/>
  <c r="X45" i="21" s="1"/>
  <c r="W46" i="21"/>
  <c r="X46" i="21" s="1"/>
  <c r="W47" i="21"/>
  <c r="W48" i="21"/>
  <c r="W49" i="21"/>
  <c r="X49" i="21" s="1"/>
  <c r="W50" i="21"/>
  <c r="W51" i="21"/>
  <c r="W52" i="21"/>
  <c r="W53" i="21"/>
  <c r="X53" i="21" s="1"/>
  <c r="W54" i="21"/>
  <c r="X54" i="21" s="1"/>
  <c r="W55" i="21"/>
  <c r="X3" i="21"/>
  <c r="X11" i="21"/>
  <c r="X19" i="21"/>
  <c r="X27" i="21"/>
  <c r="X35" i="21"/>
  <c r="X43" i="21"/>
  <c r="X51" i="21"/>
  <c r="I2" i="21"/>
  <c r="I20" i="21"/>
  <c r="I4" i="21"/>
  <c r="I5" i="21"/>
  <c r="I6" i="21"/>
  <c r="I7" i="21"/>
  <c r="I38" i="21"/>
  <c r="I8" i="21"/>
  <c r="I10" i="21"/>
  <c r="I11" i="21"/>
  <c r="I12" i="21"/>
  <c r="I13" i="21"/>
  <c r="I26" i="21"/>
  <c r="I44" i="21"/>
  <c r="I16" i="21"/>
  <c r="I17" i="21"/>
  <c r="I18" i="21"/>
  <c r="I19" i="21"/>
  <c r="I14" i="21"/>
  <c r="I32" i="21"/>
  <c r="I22" i="21"/>
  <c r="I23" i="21"/>
  <c r="I24" i="21"/>
  <c r="I25" i="21"/>
  <c r="I50" i="21"/>
  <c r="I3" i="21"/>
  <c r="I28" i="21"/>
  <c r="I29" i="21"/>
  <c r="I30" i="21"/>
  <c r="I31" i="21"/>
  <c r="I21" i="21"/>
  <c r="I39" i="21"/>
  <c r="I34" i="21"/>
  <c r="I35" i="21"/>
  <c r="I36" i="21"/>
  <c r="I37" i="21"/>
  <c r="I9" i="21"/>
  <c r="I27" i="21"/>
  <c r="I40" i="21"/>
  <c r="I41" i="21"/>
  <c r="I42" i="21"/>
  <c r="I43" i="21"/>
  <c r="I45" i="21"/>
  <c r="I15" i="21"/>
  <c r="I46" i="21"/>
  <c r="I47" i="21"/>
  <c r="I48" i="21"/>
  <c r="I49" i="21"/>
  <c r="I33" i="21"/>
  <c r="I51" i="21"/>
  <c r="I52" i="21"/>
  <c r="I53" i="21"/>
  <c r="I54" i="21"/>
  <c r="I55" i="21"/>
  <c r="R28" i="25" a="1"/>
  <c r="R28" i="25" s="1"/>
  <c r="Q28" i="25" a="1"/>
  <c r="Q28" i="25" s="1"/>
  <c r="P28" i="25" a="1"/>
  <c r="P28" i="25" s="1"/>
  <c r="O28" i="25" a="1"/>
  <c r="O28" i="25" s="1"/>
  <c r="N28" i="25" a="1"/>
  <c r="N28" i="25" s="1"/>
  <c r="M28" i="25" a="1"/>
  <c r="M28" i="25" s="1"/>
  <c r="L28" i="25" a="1"/>
  <c r="L28" i="25" s="1"/>
  <c r="K28" i="25" a="1"/>
  <c r="K28" i="25" s="1"/>
  <c r="J28" i="25" a="1"/>
  <c r="J28" i="25" s="1"/>
  <c r="I28" i="25" a="1"/>
  <c r="I28" i="25" s="1"/>
  <c r="H28" i="25" a="1"/>
  <c r="H28" i="25" s="1"/>
  <c r="G28" i="25" a="1"/>
  <c r="G28" i="25" s="1"/>
  <c r="R27" i="25" a="1"/>
  <c r="R27" i="25" s="1"/>
  <c r="Q27" i="25" a="1"/>
  <c r="Q27" i="25" s="1"/>
  <c r="P27" i="25" a="1"/>
  <c r="P27" i="25" s="1"/>
  <c r="O27" i="25" a="1"/>
  <c r="O27" i="25" s="1"/>
  <c r="N27" i="25" a="1"/>
  <c r="N27" i="25" s="1"/>
  <c r="M27" i="25" a="1"/>
  <c r="M27" i="25" s="1"/>
  <c r="L27" i="25" a="1"/>
  <c r="L27" i="25" s="1"/>
  <c r="K27" i="25" a="1"/>
  <c r="K27" i="25" s="1"/>
  <c r="J27" i="25" a="1"/>
  <c r="J27" i="25" s="1"/>
  <c r="I27" i="25" a="1"/>
  <c r="I27" i="25" s="1"/>
  <c r="H27" i="25" a="1"/>
  <c r="H27" i="25" s="1"/>
  <c r="G27" i="25" a="1"/>
  <c r="G27" i="25" s="1"/>
  <c r="R26" i="25" a="1"/>
  <c r="R26" i="25" s="1"/>
  <c r="Q26" i="25" a="1"/>
  <c r="Q26" i="25" s="1"/>
  <c r="P26" i="25" a="1"/>
  <c r="P26" i="25" s="1"/>
  <c r="O26" i="25" a="1"/>
  <c r="O26" i="25" s="1"/>
  <c r="N26" i="25" a="1"/>
  <c r="N26" i="25" s="1"/>
  <c r="M26" i="25" a="1"/>
  <c r="M26" i="25" s="1"/>
  <c r="L26" i="25" a="1"/>
  <c r="L26" i="25" s="1"/>
  <c r="K26" i="25" a="1"/>
  <c r="K26" i="25" s="1"/>
  <c r="J26" i="25" a="1"/>
  <c r="J26" i="25" s="1"/>
  <c r="I26" i="25" a="1"/>
  <c r="I26" i="25" s="1"/>
  <c r="H26" i="25" a="1"/>
  <c r="H26" i="25" s="1"/>
  <c r="G26" i="25" a="1"/>
  <c r="G26" i="25" s="1"/>
  <c r="R25" i="25" a="1"/>
  <c r="R25" i="25" s="1"/>
  <c r="Q25" i="25" a="1"/>
  <c r="Q25" i="25" s="1"/>
  <c r="P25" i="25" a="1"/>
  <c r="P25" i="25" s="1"/>
  <c r="O25" i="25" a="1"/>
  <c r="O25" i="25" s="1"/>
  <c r="N25" i="25" a="1"/>
  <c r="N25" i="25" s="1"/>
  <c r="M25" i="25" a="1"/>
  <c r="M25" i="25" s="1"/>
  <c r="L25" i="25" a="1"/>
  <c r="L25" i="25" s="1"/>
  <c r="K25" i="25" a="1"/>
  <c r="K25" i="25" s="1"/>
  <c r="J25" i="25" a="1"/>
  <c r="J25" i="25" s="1"/>
  <c r="I25" i="25" a="1"/>
  <c r="I25" i="25" s="1"/>
  <c r="H25" i="25" a="1"/>
  <c r="H25" i="25" s="1"/>
  <c r="G25" i="25" a="1"/>
  <c r="G25" i="25" s="1"/>
  <c r="R24" i="25" a="1"/>
  <c r="R24" i="25" s="1"/>
  <c r="Q24" i="25" a="1"/>
  <c r="Q24" i="25" s="1"/>
  <c r="P24" i="25" a="1"/>
  <c r="P24" i="25" s="1"/>
  <c r="O24" i="25" a="1"/>
  <c r="O24" i="25" s="1"/>
  <c r="N24" i="25" a="1"/>
  <c r="N24" i="25" s="1"/>
  <c r="M24" i="25" a="1"/>
  <c r="M24" i="25" s="1"/>
  <c r="L24" i="25" a="1"/>
  <c r="L24" i="25" s="1"/>
  <c r="K24" i="25" a="1"/>
  <c r="K24" i="25" s="1"/>
  <c r="J24" i="25" a="1"/>
  <c r="J24" i="25" s="1"/>
  <c r="I24" i="25" a="1"/>
  <c r="I24" i="25" s="1"/>
  <c r="H24" i="25" a="1"/>
  <c r="H24" i="25" s="1"/>
  <c r="G24" i="25" a="1"/>
  <c r="G24" i="25" s="1"/>
  <c r="R23" i="25" a="1"/>
  <c r="R23" i="25" s="1"/>
  <c r="Q23" i="25" a="1"/>
  <c r="Q23" i="25" s="1"/>
  <c r="P23" i="25" a="1"/>
  <c r="P23" i="25" s="1"/>
  <c r="O23" i="25" a="1"/>
  <c r="O23" i="25" s="1"/>
  <c r="N23" i="25" a="1"/>
  <c r="N23" i="25" s="1"/>
  <c r="M23" i="25" a="1"/>
  <c r="M23" i="25" s="1"/>
  <c r="L23" i="25" a="1"/>
  <c r="L23" i="25" s="1"/>
  <c r="K23" i="25" a="1"/>
  <c r="K23" i="25" s="1"/>
  <c r="J23" i="25" a="1"/>
  <c r="J23" i="25" s="1"/>
  <c r="I23" i="25" a="1"/>
  <c r="I23" i="25" s="1"/>
  <c r="H23" i="25" a="1"/>
  <c r="H23" i="25" s="1"/>
  <c r="G23" i="25" a="1"/>
  <c r="G23" i="25" s="1"/>
  <c r="S2" i="25"/>
  <c r="S23" i="25" s="1" a="1"/>
  <c r="S23" i="25" s="1"/>
  <c r="S5" i="25"/>
  <c r="S24" i="25" s="1" a="1"/>
  <c r="S24" i="25" s="1"/>
  <c r="S6" i="25"/>
  <c r="S7" i="25"/>
  <c r="S3" i="25"/>
  <c r="S4" i="25"/>
  <c r="S8" i="25"/>
  <c r="S25" i="25" s="1" a="1"/>
  <c r="S25" i="25" s="1"/>
  <c r="S9" i="25"/>
  <c r="S10" i="25"/>
  <c r="S11" i="25"/>
  <c r="S26" i="25" s="1" a="1"/>
  <c r="S26" i="25" s="1"/>
  <c r="S12" i="25"/>
  <c r="S13" i="25"/>
  <c r="S14" i="25"/>
  <c r="S15" i="25"/>
  <c r="S27" i="25" s="1" a="1"/>
  <c r="S27" i="25" s="1"/>
  <c r="S17" i="25"/>
  <c r="S28" i="25" s="1" a="1"/>
  <c r="S28" i="25" s="1"/>
  <c r="S18" i="25"/>
  <c r="S19" i="25"/>
  <c r="S16" i="25"/>
  <c r="S28" i="24" a="1"/>
  <c r="S28" i="24" s="1"/>
  <c r="R28" i="24" a="1"/>
  <c r="R28" i="24" s="1"/>
  <c r="Q28" i="24" a="1"/>
  <c r="Q28" i="24" s="1"/>
  <c r="P28" i="24" a="1"/>
  <c r="P28" i="24" s="1"/>
  <c r="O28" i="24" a="1"/>
  <c r="O28" i="24" s="1"/>
  <c r="N28" i="24" a="1"/>
  <c r="N28" i="24" s="1"/>
  <c r="M28" i="24" a="1"/>
  <c r="M28" i="24" s="1"/>
  <c r="L28" i="24" a="1"/>
  <c r="L28" i="24" s="1"/>
  <c r="K28" i="24" a="1"/>
  <c r="K28" i="24" s="1"/>
  <c r="J28" i="24" a="1"/>
  <c r="J28" i="24" s="1"/>
  <c r="I28" i="24" a="1"/>
  <c r="I28" i="24" s="1"/>
  <c r="H28" i="24" a="1"/>
  <c r="H28" i="24" s="1"/>
  <c r="S27" i="24" a="1"/>
  <c r="S27" i="24" s="1"/>
  <c r="R27" i="24" a="1"/>
  <c r="R27" i="24" s="1"/>
  <c r="Q27" i="24" a="1"/>
  <c r="Q27" i="24" s="1"/>
  <c r="P27" i="24" a="1"/>
  <c r="P27" i="24" s="1"/>
  <c r="O27" i="24" a="1"/>
  <c r="O27" i="24" s="1"/>
  <c r="N27" i="24" a="1"/>
  <c r="N27" i="24" s="1"/>
  <c r="M27" i="24" a="1"/>
  <c r="M27" i="24" s="1"/>
  <c r="L27" i="24" a="1"/>
  <c r="L27" i="24" s="1"/>
  <c r="K27" i="24" a="1"/>
  <c r="K27" i="24" s="1"/>
  <c r="J27" i="24" a="1"/>
  <c r="J27" i="24" s="1"/>
  <c r="I27" i="24" a="1"/>
  <c r="I27" i="24" s="1"/>
  <c r="H27" i="24" a="1"/>
  <c r="H27" i="24" s="1"/>
  <c r="S26" i="24" a="1"/>
  <c r="S26" i="24" s="1"/>
  <c r="R26" i="24" a="1"/>
  <c r="R26" i="24" s="1"/>
  <c r="Q26" i="24" a="1"/>
  <c r="Q26" i="24" s="1"/>
  <c r="P26" i="24" a="1"/>
  <c r="P26" i="24" s="1"/>
  <c r="O26" i="24" a="1"/>
  <c r="O26" i="24" s="1"/>
  <c r="N26" i="24" a="1"/>
  <c r="N26" i="24" s="1"/>
  <c r="M26" i="24" a="1"/>
  <c r="M26" i="24" s="1"/>
  <c r="L26" i="24" a="1"/>
  <c r="L26" i="24" s="1"/>
  <c r="K26" i="24" a="1"/>
  <c r="K26" i="24" s="1"/>
  <c r="J26" i="24" a="1"/>
  <c r="J26" i="24" s="1"/>
  <c r="I26" i="24" a="1"/>
  <c r="I26" i="24" s="1"/>
  <c r="H26" i="24" a="1"/>
  <c r="H26" i="24" s="1"/>
  <c r="S25" i="24" a="1"/>
  <c r="S25" i="24" s="1"/>
  <c r="R25" i="24" a="1"/>
  <c r="R25" i="24" s="1"/>
  <c r="Q25" i="24" a="1"/>
  <c r="Q25" i="24" s="1"/>
  <c r="P25" i="24" a="1"/>
  <c r="P25" i="24" s="1"/>
  <c r="O25" i="24" a="1"/>
  <c r="O25" i="24" s="1"/>
  <c r="N25" i="24" a="1"/>
  <c r="N25" i="24" s="1"/>
  <c r="M25" i="24" a="1"/>
  <c r="M25" i="24" s="1"/>
  <c r="L25" i="24" a="1"/>
  <c r="L25" i="24" s="1"/>
  <c r="K25" i="24" a="1"/>
  <c r="K25" i="24" s="1"/>
  <c r="J25" i="24" a="1"/>
  <c r="J25" i="24" s="1"/>
  <c r="I25" i="24" a="1"/>
  <c r="I25" i="24" s="1"/>
  <c r="H25" i="24" a="1"/>
  <c r="H25" i="24" s="1"/>
  <c r="S24" i="24" a="1"/>
  <c r="S24" i="24" s="1"/>
  <c r="R24" i="24" a="1"/>
  <c r="R24" i="24" s="1"/>
  <c r="Q24" i="24" a="1"/>
  <c r="Q24" i="24" s="1"/>
  <c r="P24" i="24" a="1"/>
  <c r="P24" i="24" s="1"/>
  <c r="O24" i="24" a="1"/>
  <c r="O24" i="24" s="1"/>
  <c r="N24" i="24" a="1"/>
  <c r="N24" i="24" s="1"/>
  <c r="M24" i="24" a="1"/>
  <c r="M24" i="24" s="1"/>
  <c r="L24" i="24" a="1"/>
  <c r="L24" i="24" s="1"/>
  <c r="K24" i="24" a="1"/>
  <c r="K24" i="24" s="1"/>
  <c r="J24" i="24" a="1"/>
  <c r="J24" i="24" s="1"/>
  <c r="I24" i="24" a="1"/>
  <c r="I24" i="24" s="1"/>
  <c r="H24" i="24" a="1"/>
  <c r="H24" i="24" s="1"/>
  <c r="S23" i="24" a="1"/>
  <c r="S23" i="24" s="1"/>
  <c r="R23" i="24" a="1"/>
  <c r="R23" i="24" s="1"/>
  <c r="Q23" i="24" a="1"/>
  <c r="Q23" i="24" s="1"/>
  <c r="P23" i="24" a="1"/>
  <c r="P23" i="24" s="1"/>
  <c r="O23" i="24" a="1"/>
  <c r="O23" i="24" s="1"/>
  <c r="N23" i="24" a="1"/>
  <c r="N23" i="24" s="1"/>
  <c r="M23" i="24" a="1"/>
  <c r="M23" i="24" s="1"/>
  <c r="L23" i="24" a="1"/>
  <c r="L23" i="24" s="1"/>
  <c r="K23" i="24" a="1"/>
  <c r="K23" i="24" s="1"/>
  <c r="J23" i="24" a="1"/>
  <c r="J23" i="24" s="1"/>
  <c r="I23" i="24" a="1"/>
  <c r="I23" i="24" s="1"/>
  <c r="H23" i="24" a="1"/>
  <c r="H23" i="24" s="1"/>
  <c r="T2" i="24"/>
  <c r="T5" i="24"/>
  <c r="T6" i="24"/>
  <c r="T3" i="24"/>
  <c r="T7" i="24"/>
  <c r="T4" i="24"/>
  <c r="T11" i="24"/>
  <c r="T12" i="24"/>
  <c r="T13" i="24"/>
  <c r="T9" i="24"/>
  <c r="T10" i="24"/>
  <c r="T8" i="24"/>
  <c r="T16" i="24"/>
  <c r="T14" i="24"/>
  <c r="T15" i="24"/>
  <c r="T18" i="24"/>
  <c r="T17" i="24"/>
  <c r="T19" i="24"/>
  <c r="S28" i="22" a="1"/>
  <c r="S28" i="22" s="1"/>
  <c r="R28" i="22" a="1"/>
  <c r="R28" i="22" s="1"/>
  <c r="Q28" i="22" a="1"/>
  <c r="Q28" i="22" s="1"/>
  <c r="P28" i="22" a="1"/>
  <c r="P28" i="22" s="1"/>
  <c r="O28" i="22" a="1"/>
  <c r="O28" i="22" s="1"/>
  <c r="N28" i="22" a="1"/>
  <c r="N28" i="22" s="1"/>
  <c r="M28" i="22" a="1"/>
  <c r="M28" i="22" s="1"/>
  <c r="L28" i="22" a="1"/>
  <c r="L28" i="22" s="1"/>
  <c r="K28" i="22" a="1"/>
  <c r="K28" i="22" s="1"/>
  <c r="J28" i="22" a="1"/>
  <c r="J28" i="22" s="1"/>
  <c r="I28" i="22" a="1"/>
  <c r="I28" i="22" s="1"/>
  <c r="H28" i="22" a="1"/>
  <c r="H28" i="22" s="1"/>
  <c r="S27" i="22" a="1"/>
  <c r="S27" i="22" s="1"/>
  <c r="R27" i="22" a="1"/>
  <c r="R27" i="22" s="1"/>
  <c r="Q27" i="22" a="1"/>
  <c r="Q27" i="22" s="1"/>
  <c r="P27" i="22" a="1"/>
  <c r="P27" i="22" s="1"/>
  <c r="O27" i="22" a="1"/>
  <c r="O27" i="22" s="1"/>
  <c r="N27" i="22" a="1"/>
  <c r="N27" i="22" s="1"/>
  <c r="M27" i="22" a="1"/>
  <c r="M27" i="22" s="1"/>
  <c r="L27" i="22" a="1"/>
  <c r="L27" i="22" s="1"/>
  <c r="K27" i="22" a="1"/>
  <c r="K27" i="22" s="1"/>
  <c r="J27" i="22" a="1"/>
  <c r="J27" i="22" s="1"/>
  <c r="I27" i="22" a="1"/>
  <c r="I27" i="22" s="1"/>
  <c r="H27" i="22" a="1"/>
  <c r="H27" i="22" s="1"/>
  <c r="S26" i="22" a="1"/>
  <c r="S26" i="22" s="1"/>
  <c r="R26" i="22" a="1"/>
  <c r="R26" i="22" s="1"/>
  <c r="Q26" i="22" a="1"/>
  <c r="Q26" i="22" s="1"/>
  <c r="P26" i="22" a="1"/>
  <c r="P26" i="22" s="1"/>
  <c r="O26" i="22" a="1"/>
  <c r="O26" i="22" s="1"/>
  <c r="N26" i="22" a="1"/>
  <c r="N26" i="22" s="1"/>
  <c r="M26" i="22" a="1"/>
  <c r="M26" i="22" s="1"/>
  <c r="L26" i="22" a="1"/>
  <c r="L26" i="22" s="1"/>
  <c r="K26" i="22" a="1"/>
  <c r="K26" i="22" s="1"/>
  <c r="J26" i="22" a="1"/>
  <c r="J26" i="22" s="1"/>
  <c r="I26" i="22" a="1"/>
  <c r="I26" i="22" s="1"/>
  <c r="H26" i="22" a="1"/>
  <c r="H26" i="22" s="1"/>
  <c r="S25" i="22" a="1"/>
  <c r="S25" i="22" s="1"/>
  <c r="R25" i="22" a="1"/>
  <c r="R25" i="22" s="1"/>
  <c r="Q25" i="22" a="1"/>
  <c r="Q25" i="22" s="1"/>
  <c r="P25" i="22" a="1"/>
  <c r="P25" i="22" s="1"/>
  <c r="O25" i="22" a="1"/>
  <c r="O25" i="22" s="1"/>
  <c r="N25" i="22" a="1"/>
  <c r="N25" i="22" s="1"/>
  <c r="M25" i="22" a="1"/>
  <c r="M25" i="22" s="1"/>
  <c r="L25" i="22" a="1"/>
  <c r="L25" i="22" s="1"/>
  <c r="K25" i="22" a="1"/>
  <c r="K25" i="22" s="1"/>
  <c r="J25" i="22" a="1"/>
  <c r="J25" i="22" s="1"/>
  <c r="I25" i="22" a="1"/>
  <c r="I25" i="22" s="1"/>
  <c r="H25" i="22" a="1"/>
  <c r="H25" i="22" s="1"/>
  <c r="S24" i="22" a="1"/>
  <c r="S24" i="22" s="1"/>
  <c r="R24" i="22" a="1"/>
  <c r="R24" i="22" s="1"/>
  <c r="Q24" i="22" a="1"/>
  <c r="Q24" i="22" s="1"/>
  <c r="P24" i="22" a="1"/>
  <c r="P24" i="22" s="1"/>
  <c r="O24" i="22" a="1"/>
  <c r="O24" i="22" s="1"/>
  <c r="N24" i="22" a="1"/>
  <c r="N24" i="22" s="1"/>
  <c r="M24" i="22" a="1"/>
  <c r="M24" i="22" s="1"/>
  <c r="L24" i="22" a="1"/>
  <c r="L24" i="22" s="1"/>
  <c r="K24" i="22" a="1"/>
  <c r="K24" i="22" s="1"/>
  <c r="J24" i="22" a="1"/>
  <c r="J24" i="22" s="1"/>
  <c r="I24" i="22" a="1"/>
  <c r="I24" i="22" s="1"/>
  <c r="H24" i="22" a="1"/>
  <c r="H24" i="22" s="1"/>
  <c r="S23" i="22" a="1"/>
  <c r="S23" i="22" s="1"/>
  <c r="R23" i="22" a="1"/>
  <c r="R23" i="22" s="1"/>
  <c r="Q23" i="22" a="1"/>
  <c r="Q23" i="22" s="1"/>
  <c r="P23" i="22" a="1"/>
  <c r="P23" i="22" s="1"/>
  <c r="O23" i="22" a="1"/>
  <c r="O23" i="22" s="1"/>
  <c r="N23" i="22" a="1"/>
  <c r="N23" i="22" s="1"/>
  <c r="M23" i="22" a="1"/>
  <c r="M23" i="22" s="1"/>
  <c r="L23" i="22" a="1"/>
  <c r="L23" i="22" s="1"/>
  <c r="K23" i="22" a="1"/>
  <c r="K23" i="22" s="1"/>
  <c r="J23" i="22" a="1"/>
  <c r="J23" i="22" s="1"/>
  <c r="I23" i="22" a="1"/>
  <c r="I23" i="22" s="1"/>
  <c r="H23" i="22" a="1"/>
  <c r="H23" i="22" s="1"/>
  <c r="T2" i="22"/>
  <c r="T5" i="22"/>
  <c r="T6" i="22"/>
  <c r="T3" i="22"/>
  <c r="T7" i="22"/>
  <c r="T4" i="22"/>
  <c r="T11" i="22"/>
  <c r="T12" i="22"/>
  <c r="T13" i="22"/>
  <c r="T9" i="22"/>
  <c r="T10" i="22"/>
  <c r="T8" i="22"/>
  <c r="T16" i="22"/>
  <c r="T14" i="22"/>
  <c r="T15" i="22"/>
  <c r="T18" i="22"/>
  <c r="T17" i="22"/>
  <c r="T19" i="22"/>
  <c r="X50" i="21" l="1"/>
  <c r="X42" i="21"/>
  <c r="X34" i="21"/>
  <c r="X26" i="21"/>
  <c r="X18" i="21"/>
  <c r="X10" i="21"/>
  <c r="X2" i="21"/>
  <c r="X48" i="21"/>
  <c r="X16" i="21"/>
  <c r="X39" i="21"/>
  <c r="X15" i="21"/>
  <c r="X6" i="21"/>
  <c r="X32" i="21"/>
  <c r="X24" i="21"/>
  <c r="X47" i="21"/>
  <c r="X7" i="21"/>
  <c r="X5" i="21"/>
  <c r="X40" i="21"/>
  <c r="X8" i="21"/>
  <c r="X55" i="21"/>
  <c r="X31" i="21"/>
  <c r="X52" i="21"/>
  <c r="X44" i="21"/>
  <c r="X36" i="21"/>
  <c r="X28" i="21"/>
  <c r="X20" i="21"/>
  <c r="X12" i="21"/>
  <c r="T23" i="24" a="1"/>
  <c r="T23" i="24" s="1"/>
  <c r="T24" i="24" a="1"/>
  <c r="T24" i="24" s="1"/>
  <c r="T25" i="24" a="1"/>
  <c r="T25" i="24" s="1"/>
  <c r="T28" i="24" a="1"/>
  <c r="T28" i="24" s="1"/>
  <c r="T26" i="24" a="1"/>
  <c r="T26" i="24" s="1"/>
  <c r="T27" i="24" a="1"/>
  <c r="T27" i="24" s="1"/>
  <c r="T23" i="22" a="1"/>
  <c r="T23" i="22" s="1"/>
  <c r="T26" i="22" a="1"/>
  <c r="T26" i="22" s="1"/>
  <c r="T25" i="22" a="1"/>
  <c r="T25" i="22" s="1"/>
  <c r="T24" i="22" a="1"/>
  <c r="T24" i="22" s="1"/>
  <c r="T27" i="22" a="1"/>
  <c r="T27" i="22" s="1"/>
  <c r="T28" i="22" a="1"/>
  <c r="T28" i="22" s="1"/>
  <c r="S28" i="20" a="1"/>
  <c r="S28" i="20" s="1"/>
  <c r="S36" i="20" s="1"/>
  <c r="R28" i="20" a="1"/>
  <c r="R28" i="20" s="1"/>
  <c r="Q28" i="20" a="1"/>
  <c r="Q28" i="20" s="1"/>
  <c r="P28" i="20" a="1"/>
  <c r="P28" i="20" s="1"/>
  <c r="O28" i="20" a="1"/>
  <c r="O28" i="20" s="1"/>
  <c r="N28" i="20" a="1"/>
  <c r="N28" i="20" s="1"/>
  <c r="M28" i="20" a="1"/>
  <c r="M28" i="20" s="1"/>
  <c r="L28" i="20" a="1"/>
  <c r="L28" i="20" s="1"/>
  <c r="K28" i="20" a="1"/>
  <c r="K28" i="20" s="1"/>
  <c r="K36" i="20" s="1"/>
  <c r="J28" i="20" a="1"/>
  <c r="J28" i="20" s="1"/>
  <c r="I28" i="20" a="1"/>
  <c r="I28" i="20" s="1"/>
  <c r="H28" i="20" a="1"/>
  <c r="H28" i="20" s="1"/>
  <c r="S27" i="20" a="1"/>
  <c r="S27" i="20" s="1"/>
  <c r="R27" i="20" a="1"/>
  <c r="R27" i="20" s="1"/>
  <c r="Q27" i="20" a="1"/>
  <c r="Q27" i="20" s="1"/>
  <c r="P27" i="20" a="1"/>
  <c r="P27" i="20" s="1"/>
  <c r="O27" i="20" a="1"/>
  <c r="O27" i="20" s="1"/>
  <c r="O37" i="20" s="1"/>
  <c r="N27" i="20" a="1"/>
  <c r="N27" i="20" s="1"/>
  <c r="M27" i="20" a="1"/>
  <c r="M27" i="20" s="1"/>
  <c r="L27" i="20" a="1"/>
  <c r="L27" i="20" s="1"/>
  <c r="K27" i="20" a="1"/>
  <c r="K27" i="20" s="1"/>
  <c r="J27" i="20" a="1"/>
  <c r="J27" i="20" s="1"/>
  <c r="I27" i="20" a="1"/>
  <c r="I27" i="20" s="1"/>
  <c r="H27" i="20" a="1"/>
  <c r="H27" i="20" s="1"/>
  <c r="S26" i="20" a="1"/>
  <c r="S26" i="20" s="1"/>
  <c r="R26" i="20" a="1"/>
  <c r="R26" i="20" s="1"/>
  <c r="Q26" i="20" a="1"/>
  <c r="Q26" i="20" s="1"/>
  <c r="P26" i="20" a="1"/>
  <c r="P26" i="20" s="1"/>
  <c r="O26" i="20" a="1"/>
  <c r="O26" i="20" s="1"/>
  <c r="N26" i="20" a="1"/>
  <c r="N26" i="20" s="1"/>
  <c r="M26" i="20" a="1"/>
  <c r="M26" i="20" s="1"/>
  <c r="L26" i="20" a="1"/>
  <c r="L26" i="20" s="1"/>
  <c r="K26" i="20" a="1"/>
  <c r="K26" i="20" s="1"/>
  <c r="K34" i="20" s="1"/>
  <c r="J26" i="20" a="1"/>
  <c r="J26" i="20" s="1"/>
  <c r="I26" i="20" a="1"/>
  <c r="I26" i="20" s="1"/>
  <c r="H26" i="20" a="1"/>
  <c r="H26" i="20" s="1"/>
  <c r="S25" i="20" a="1"/>
  <c r="S25" i="20" s="1"/>
  <c r="R25" i="20" a="1"/>
  <c r="R25" i="20" s="1"/>
  <c r="Q25" i="20" a="1"/>
  <c r="Q25" i="20" s="1"/>
  <c r="P25" i="20" a="1"/>
  <c r="P25" i="20" s="1"/>
  <c r="O25" i="20" a="1"/>
  <c r="O25" i="20" s="1"/>
  <c r="O35" i="20" s="1"/>
  <c r="N25" i="20" a="1"/>
  <c r="N25" i="20" s="1"/>
  <c r="M25" i="20" a="1"/>
  <c r="M25" i="20" s="1"/>
  <c r="L25" i="20" a="1"/>
  <c r="L25" i="20" s="1"/>
  <c r="K25" i="20" a="1"/>
  <c r="K25" i="20" s="1"/>
  <c r="J25" i="20" a="1"/>
  <c r="J25" i="20" s="1"/>
  <c r="I25" i="20" a="1"/>
  <c r="I25" i="20" s="1"/>
  <c r="H25" i="20" a="1"/>
  <c r="H25" i="20" s="1"/>
  <c r="S24" i="20" a="1"/>
  <c r="S24" i="20" s="1"/>
  <c r="S32" i="20" s="1"/>
  <c r="R24" i="20" a="1"/>
  <c r="R24" i="20" s="1"/>
  <c r="Q24" i="20" a="1"/>
  <c r="Q24" i="20" s="1"/>
  <c r="P24" i="20" a="1"/>
  <c r="P24" i="20" s="1"/>
  <c r="O24" i="20" a="1"/>
  <c r="O24" i="20" s="1"/>
  <c r="N24" i="20" a="1"/>
  <c r="N24" i="20" s="1"/>
  <c r="M24" i="20" a="1"/>
  <c r="M24" i="20" s="1"/>
  <c r="L24" i="20" a="1"/>
  <c r="L24" i="20" s="1"/>
  <c r="K24" i="20" a="1"/>
  <c r="K24" i="20" s="1"/>
  <c r="K32" i="20" s="1"/>
  <c r="J24" i="20" a="1"/>
  <c r="J24" i="20" s="1"/>
  <c r="I24" i="20" a="1"/>
  <c r="I24" i="20" s="1"/>
  <c r="H24" i="20" a="1"/>
  <c r="H24" i="20" s="1"/>
  <c r="S23" i="20" a="1"/>
  <c r="S23" i="20" s="1"/>
  <c r="R23" i="20" a="1"/>
  <c r="R23" i="20" s="1"/>
  <c r="Q23" i="20" a="1"/>
  <c r="Q23" i="20" s="1"/>
  <c r="P23" i="20" a="1"/>
  <c r="P23" i="20" s="1"/>
  <c r="O23" i="20" a="1"/>
  <c r="O23" i="20" s="1"/>
  <c r="O33" i="20" s="1"/>
  <c r="N23" i="20" a="1"/>
  <c r="N23" i="20" s="1"/>
  <c r="M23" i="20" a="1"/>
  <c r="M23" i="20" s="1"/>
  <c r="L23" i="20" a="1"/>
  <c r="L23" i="20" s="1"/>
  <c r="K23" i="20" a="1"/>
  <c r="K23" i="20" s="1"/>
  <c r="J23" i="20" a="1"/>
  <c r="J23" i="20" s="1"/>
  <c r="I23" i="20" a="1"/>
  <c r="I23" i="20" s="1"/>
  <c r="H23" i="20" a="1"/>
  <c r="H23" i="20" s="1"/>
  <c r="T2" i="20"/>
  <c r="T5" i="20"/>
  <c r="T3" i="20"/>
  <c r="T6" i="20"/>
  <c r="T4" i="20"/>
  <c r="T7" i="20"/>
  <c r="T8" i="20"/>
  <c r="T11" i="20"/>
  <c r="T9" i="20"/>
  <c r="T12" i="20"/>
  <c r="T10" i="20"/>
  <c r="T13" i="20"/>
  <c r="T14" i="20"/>
  <c r="T17" i="20"/>
  <c r="T15" i="20"/>
  <c r="T18" i="20"/>
  <c r="T16" i="20"/>
  <c r="T19" i="20"/>
  <c r="R28" i="19" a="1"/>
  <c r="R28" i="19" s="1"/>
  <c r="Q28" i="19" a="1"/>
  <c r="Q28" i="19" s="1"/>
  <c r="P28" i="19" a="1"/>
  <c r="P28" i="19" s="1"/>
  <c r="O28" i="19" a="1"/>
  <c r="O28" i="19" s="1"/>
  <c r="N28" i="19" a="1"/>
  <c r="N28" i="19" s="1"/>
  <c r="M28" i="19" a="1"/>
  <c r="M28" i="19" s="1"/>
  <c r="L28" i="19" a="1"/>
  <c r="L28" i="19" s="1"/>
  <c r="K28" i="19" a="1"/>
  <c r="K28" i="19" s="1"/>
  <c r="J28" i="19" a="1"/>
  <c r="J28" i="19" s="1"/>
  <c r="I28" i="19" a="1"/>
  <c r="I28" i="19" s="1"/>
  <c r="H28" i="19" a="1"/>
  <c r="H28" i="19" s="1"/>
  <c r="G28" i="19" a="1"/>
  <c r="G28" i="19" s="1"/>
  <c r="R27" i="19" a="1"/>
  <c r="R27" i="19" s="1"/>
  <c r="Q27" i="19" a="1"/>
  <c r="Q27" i="19" s="1"/>
  <c r="P27" i="19" a="1"/>
  <c r="P27" i="19" s="1"/>
  <c r="O27" i="19" a="1"/>
  <c r="O27" i="19" s="1"/>
  <c r="N27" i="19" a="1"/>
  <c r="N27" i="19" s="1"/>
  <c r="M27" i="19" a="1"/>
  <c r="M27" i="19" s="1"/>
  <c r="L27" i="19" a="1"/>
  <c r="L27" i="19" s="1"/>
  <c r="K27" i="19" a="1"/>
  <c r="K27" i="19" s="1"/>
  <c r="J27" i="19" a="1"/>
  <c r="J27" i="19" s="1"/>
  <c r="I27" i="19" a="1"/>
  <c r="I27" i="19" s="1"/>
  <c r="H27" i="19" a="1"/>
  <c r="H27" i="19" s="1"/>
  <c r="G27" i="19" a="1"/>
  <c r="G27" i="19" s="1"/>
  <c r="R26" i="19" a="1"/>
  <c r="R26" i="19" s="1"/>
  <c r="Q26" i="19" a="1"/>
  <c r="Q26" i="19" s="1"/>
  <c r="P26" i="19" a="1"/>
  <c r="P26" i="19" s="1"/>
  <c r="O26" i="19" a="1"/>
  <c r="O26" i="19" s="1"/>
  <c r="N26" i="19" a="1"/>
  <c r="N26" i="19" s="1"/>
  <c r="M26" i="19" a="1"/>
  <c r="M26" i="19" s="1"/>
  <c r="L26" i="19" a="1"/>
  <c r="L26" i="19" s="1"/>
  <c r="K26" i="19" a="1"/>
  <c r="K26" i="19" s="1"/>
  <c r="J26" i="19" a="1"/>
  <c r="J26" i="19" s="1"/>
  <c r="I26" i="19" a="1"/>
  <c r="I26" i="19" s="1"/>
  <c r="H26" i="19" a="1"/>
  <c r="H26" i="19" s="1"/>
  <c r="G26" i="19" a="1"/>
  <c r="G26" i="19" s="1"/>
  <c r="R25" i="19" a="1"/>
  <c r="R25" i="19" s="1"/>
  <c r="Q25" i="19" a="1"/>
  <c r="Q25" i="19" s="1"/>
  <c r="P25" i="19" a="1"/>
  <c r="P25" i="19" s="1"/>
  <c r="O25" i="19" a="1"/>
  <c r="O25" i="19" s="1"/>
  <c r="N25" i="19" a="1"/>
  <c r="N25" i="19" s="1"/>
  <c r="M25" i="19" a="1"/>
  <c r="M25" i="19" s="1"/>
  <c r="L25" i="19" a="1"/>
  <c r="L25" i="19" s="1"/>
  <c r="K25" i="19" a="1"/>
  <c r="K25" i="19" s="1"/>
  <c r="J25" i="19" a="1"/>
  <c r="J25" i="19" s="1"/>
  <c r="I25" i="19" a="1"/>
  <c r="I25" i="19" s="1"/>
  <c r="H25" i="19" a="1"/>
  <c r="H25" i="19" s="1"/>
  <c r="G25" i="19" a="1"/>
  <c r="G25" i="19" s="1"/>
  <c r="S24" i="19" a="1"/>
  <c r="S24" i="19" s="1"/>
  <c r="R24" i="19" a="1"/>
  <c r="R24" i="19" s="1"/>
  <c r="Q24" i="19" a="1"/>
  <c r="Q24" i="19" s="1"/>
  <c r="P24" i="19" a="1"/>
  <c r="P24" i="19" s="1"/>
  <c r="O24" i="19" a="1"/>
  <c r="O24" i="19" s="1"/>
  <c r="N24" i="19" a="1"/>
  <c r="N24" i="19" s="1"/>
  <c r="M24" i="19" a="1"/>
  <c r="M24" i="19" s="1"/>
  <c r="L24" i="19" a="1"/>
  <c r="L24" i="19" s="1"/>
  <c r="K24" i="19" a="1"/>
  <c r="K24" i="19" s="1"/>
  <c r="J24" i="19" a="1"/>
  <c r="J24" i="19" s="1"/>
  <c r="I24" i="19" a="1"/>
  <c r="I24" i="19" s="1"/>
  <c r="H24" i="19" a="1"/>
  <c r="H24" i="19" s="1"/>
  <c r="G24" i="19" a="1"/>
  <c r="G24" i="19" s="1"/>
  <c r="R23" i="19" a="1"/>
  <c r="R23" i="19" s="1"/>
  <c r="Q23" i="19" a="1"/>
  <c r="Q23" i="19" s="1"/>
  <c r="P23" i="19" a="1"/>
  <c r="P23" i="19" s="1"/>
  <c r="O23" i="19" a="1"/>
  <c r="O23" i="19" s="1"/>
  <c r="N23" i="19" a="1"/>
  <c r="N23" i="19" s="1"/>
  <c r="M23" i="19" a="1"/>
  <c r="M23" i="19" s="1"/>
  <c r="L23" i="19" a="1"/>
  <c r="L23" i="19" s="1"/>
  <c r="K23" i="19" a="1"/>
  <c r="K23" i="19" s="1"/>
  <c r="J23" i="19" a="1"/>
  <c r="J23" i="19" s="1"/>
  <c r="I23" i="19" a="1"/>
  <c r="I23" i="19" s="1"/>
  <c r="H23" i="19" a="1"/>
  <c r="H23" i="19" s="1"/>
  <c r="G23" i="19" a="1"/>
  <c r="G23" i="19" s="1"/>
  <c r="S2" i="19"/>
  <c r="S23" i="19" s="1" a="1"/>
  <c r="S23" i="19" s="1"/>
  <c r="S5" i="19"/>
  <c r="S3" i="19"/>
  <c r="S6" i="19"/>
  <c r="S4" i="19"/>
  <c r="S7" i="19"/>
  <c r="S8" i="19"/>
  <c r="S25" i="19" s="1" a="1"/>
  <c r="S25" i="19" s="1"/>
  <c r="S11" i="19"/>
  <c r="S26" i="19" s="1" a="1"/>
  <c r="S26" i="19" s="1"/>
  <c r="S9" i="19"/>
  <c r="S12" i="19"/>
  <c r="S10" i="19"/>
  <c r="S13" i="19"/>
  <c r="S14" i="19"/>
  <c r="S27" i="19" s="1" a="1"/>
  <c r="S27" i="19" s="1"/>
  <c r="S17" i="19"/>
  <c r="S28" i="19" s="1" a="1"/>
  <c r="S28" i="19" s="1"/>
  <c r="S15" i="19"/>
  <c r="S18" i="19"/>
  <c r="S16" i="19"/>
  <c r="S19" i="19"/>
  <c r="S28" i="18" a="1"/>
  <c r="S28" i="18" s="1"/>
  <c r="R28" i="18" a="1"/>
  <c r="R28" i="18" s="1"/>
  <c r="Q28" i="18" a="1"/>
  <c r="Q28" i="18" s="1"/>
  <c r="P28" i="18" a="1"/>
  <c r="P28" i="18" s="1"/>
  <c r="O28" i="18" a="1"/>
  <c r="O28" i="18" s="1"/>
  <c r="N28" i="18" a="1"/>
  <c r="N28" i="18" s="1"/>
  <c r="M28" i="18" a="1"/>
  <c r="M28" i="18" s="1"/>
  <c r="L28" i="18" a="1"/>
  <c r="L28" i="18" s="1"/>
  <c r="K28" i="18" a="1"/>
  <c r="K28" i="18" s="1"/>
  <c r="J28" i="18" a="1"/>
  <c r="J28" i="18" s="1"/>
  <c r="I28" i="18" a="1"/>
  <c r="I28" i="18" s="1"/>
  <c r="H28" i="18" a="1"/>
  <c r="H28" i="18" s="1"/>
  <c r="S27" i="18" a="1"/>
  <c r="S27" i="18" s="1"/>
  <c r="R27" i="18" a="1"/>
  <c r="R27" i="18" s="1"/>
  <c r="Q27" i="18" a="1"/>
  <c r="Q27" i="18" s="1"/>
  <c r="P27" i="18" a="1"/>
  <c r="P27" i="18" s="1"/>
  <c r="O27" i="18" a="1"/>
  <c r="O27" i="18" s="1"/>
  <c r="N27" i="18" a="1"/>
  <c r="N27" i="18" s="1"/>
  <c r="M27" i="18" a="1"/>
  <c r="M27" i="18" s="1"/>
  <c r="L27" i="18" a="1"/>
  <c r="L27" i="18" s="1"/>
  <c r="K27" i="18" a="1"/>
  <c r="K27" i="18" s="1"/>
  <c r="J27" i="18" a="1"/>
  <c r="J27" i="18" s="1"/>
  <c r="I27" i="18" a="1"/>
  <c r="I27" i="18" s="1"/>
  <c r="H27" i="18" a="1"/>
  <c r="H27" i="18" s="1"/>
  <c r="S26" i="18" a="1"/>
  <c r="S26" i="18" s="1"/>
  <c r="R26" i="18" a="1"/>
  <c r="R26" i="18" s="1"/>
  <c r="Q26" i="18" a="1"/>
  <c r="Q26" i="18" s="1"/>
  <c r="P26" i="18" a="1"/>
  <c r="P26" i="18" s="1"/>
  <c r="O26" i="18" a="1"/>
  <c r="O26" i="18" s="1"/>
  <c r="N26" i="18" a="1"/>
  <c r="N26" i="18" s="1"/>
  <c r="M26" i="18" a="1"/>
  <c r="M26" i="18" s="1"/>
  <c r="L26" i="18" a="1"/>
  <c r="L26" i="18" s="1"/>
  <c r="K26" i="18" a="1"/>
  <c r="K26" i="18" s="1"/>
  <c r="J26" i="18" a="1"/>
  <c r="J26" i="18" s="1"/>
  <c r="I26" i="18" a="1"/>
  <c r="I26" i="18" s="1"/>
  <c r="H26" i="18" a="1"/>
  <c r="H26" i="18" s="1"/>
  <c r="S25" i="18" a="1"/>
  <c r="S25" i="18" s="1"/>
  <c r="R25" i="18" a="1"/>
  <c r="R25" i="18" s="1"/>
  <c r="Q25" i="18" a="1"/>
  <c r="Q25" i="18" s="1"/>
  <c r="P25" i="18" a="1"/>
  <c r="P25" i="18" s="1"/>
  <c r="O25" i="18" a="1"/>
  <c r="O25" i="18" s="1"/>
  <c r="N25" i="18" a="1"/>
  <c r="N25" i="18" s="1"/>
  <c r="M25" i="18" a="1"/>
  <c r="M25" i="18" s="1"/>
  <c r="L25" i="18" a="1"/>
  <c r="L25" i="18" s="1"/>
  <c r="K25" i="18" a="1"/>
  <c r="K25" i="18" s="1"/>
  <c r="J25" i="18" a="1"/>
  <c r="J25" i="18" s="1"/>
  <c r="I25" i="18" a="1"/>
  <c r="I25" i="18" s="1"/>
  <c r="H25" i="18" a="1"/>
  <c r="H25" i="18" s="1"/>
  <c r="S24" i="18" a="1"/>
  <c r="S24" i="18" s="1"/>
  <c r="R24" i="18" a="1"/>
  <c r="R24" i="18" s="1"/>
  <c r="Q24" i="18" a="1"/>
  <c r="Q24" i="18" s="1"/>
  <c r="P24" i="18" a="1"/>
  <c r="P24" i="18" s="1"/>
  <c r="O24" i="18" a="1"/>
  <c r="O24" i="18" s="1"/>
  <c r="N24" i="18" a="1"/>
  <c r="N24" i="18" s="1"/>
  <c r="M24" i="18" a="1"/>
  <c r="M24" i="18" s="1"/>
  <c r="L24" i="18" a="1"/>
  <c r="L24" i="18" s="1"/>
  <c r="K24" i="18" a="1"/>
  <c r="K24" i="18" s="1"/>
  <c r="J24" i="18" a="1"/>
  <c r="J24" i="18" s="1"/>
  <c r="I24" i="18" a="1"/>
  <c r="I24" i="18" s="1"/>
  <c r="H24" i="18" a="1"/>
  <c r="H24" i="18" s="1"/>
  <c r="S23" i="18" a="1"/>
  <c r="S23" i="18" s="1"/>
  <c r="R23" i="18" a="1"/>
  <c r="R23" i="18" s="1"/>
  <c r="Q23" i="18" a="1"/>
  <c r="Q23" i="18" s="1"/>
  <c r="P23" i="18" a="1"/>
  <c r="P23" i="18" s="1"/>
  <c r="O23" i="18" a="1"/>
  <c r="O23" i="18" s="1"/>
  <c r="N23" i="18" a="1"/>
  <c r="N23" i="18" s="1"/>
  <c r="M23" i="18" a="1"/>
  <c r="M23" i="18" s="1"/>
  <c r="L23" i="18" a="1"/>
  <c r="L23" i="18" s="1"/>
  <c r="K23" i="18" a="1"/>
  <c r="K23" i="18" s="1"/>
  <c r="J23" i="18" a="1"/>
  <c r="J23" i="18" s="1"/>
  <c r="I23" i="18" a="1"/>
  <c r="I23" i="18" s="1"/>
  <c r="H23" i="18" a="1"/>
  <c r="H23" i="18" s="1"/>
  <c r="T2" i="18"/>
  <c r="T5" i="18"/>
  <c r="T3" i="18"/>
  <c r="T6" i="18"/>
  <c r="T4" i="18"/>
  <c r="T7" i="18"/>
  <c r="T8" i="18"/>
  <c r="T11" i="18"/>
  <c r="T9" i="18"/>
  <c r="T12" i="18"/>
  <c r="T10" i="18"/>
  <c r="T13" i="18"/>
  <c r="T14" i="18"/>
  <c r="T17" i="18"/>
  <c r="T15" i="18"/>
  <c r="T18" i="18"/>
  <c r="T16" i="18"/>
  <c r="T19" i="18"/>
  <c r="S28" i="17" a="1"/>
  <c r="S28" i="17" s="1"/>
  <c r="R28" i="17" a="1"/>
  <c r="R28" i="17" s="1"/>
  <c r="Q28" i="17" a="1"/>
  <c r="Q28" i="17" s="1"/>
  <c r="P28" i="17" a="1"/>
  <c r="P28" i="17" s="1"/>
  <c r="O28" i="17" a="1"/>
  <c r="O28" i="17" s="1"/>
  <c r="N28" i="17" a="1"/>
  <c r="N28" i="17" s="1"/>
  <c r="M28" i="17" a="1"/>
  <c r="M28" i="17" s="1"/>
  <c r="L28" i="17" a="1"/>
  <c r="L28" i="17" s="1"/>
  <c r="K28" i="17" a="1"/>
  <c r="K28" i="17" s="1"/>
  <c r="J28" i="17" a="1"/>
  <c r="J28" i="17" s="1"/>
  <c r="I28" i="17" a="1"/>
  <c r="I28" i="17" s="1"/>
  <c r="H28" i="17" a="1"/>
  <c r="H28" i="17" s="1"/>
  <c r="S27" i="17" a="1"/>
  <c r="S27" i="17" s="1"/>
  <c r="R27" i="17" a="1"/>
  <c r="R27" i="17" s="1"/>
  <c r="Q27" i="17" a="1"/>
  <c r="Q27" i="17" s="1"/>
  <c r="P27" i="17" a="1"/>
  <c r="P27" i="17" s="1"/>
  <c r="O27" i="17" a="1"/>
  <c r="O27" i="17" s="1"/>
  <c r="N27" i="17" a="1"/>
  <c r="N27" i="17" s="1"/>
  <c r="M27" i="17" a="1"/>
  <c r="M27" i="17" s="1"/>
  <c r="L27" i="17" a="1"/>
  <c r="L27" i="17" s="1"/>
  <c r="K27" i="17" a="1"/>
  <c r="K27" i="17" s="1"/>
  <c r="J27" i="17" a="1"/>
  <c r="J27" i="17" s="1"/>
  <c r="I27" i="17" a="1"/>
  <c r="I27" i="17" s="1"/>
  <c r="H27" i="17" a="1"/>
  <c r="H27" i="17" s="1"/>
  <c r="S26" i="17" a="1"/>
  <c r="S26" i="17" s="1"/>
  <c r="R26" i="17" a="1"/>
  <c r="R26" i="17" s="1"/>
  <c r="Q26" i="17" a="1"/>
  <c r="Q26" i="17" s="1"/>
  <c r="P26" i="17" a="1"/>
  <c r="P26" i="17" s="1"/>
  <c r="O26" i="17" a="1"/>
  <c r="O26" i="17" s="1"/>
  <c r="N26" i="17" a="1"/>
  <c r="N26" i="17" s="1"/>
  <c r="M26" i="17" a="1"/>
  <c r="M26" i="17" s="1"/>
  <c r="L26" i="17" a="1"/>
  <c r="L26" i="17" s="1"/>
  <c r="K26" i="17" a="1"/>
  <c r="K26" i="17" s="1"/>
  <c r="J26" i="17" a="1"/>
  <c r="J26" i="17" s="1"/>
  <c r="I26" i="17" a="1"/>
  <c r="I26" i="17" s="1"/>
  <c r="H26" i="17" a="1"/>
  <c r="H26" i="17" s="1"/>
  <c r="S25" i="17" a="1"/>
  <c r="S25" i="17" s="1"/>
  <c r="R25" i="17" a="1"/>
  <c r="R25" i="17" s="1"/>
  <c r="Q25" i="17" a="1"/>
  <c r="Q25" i="17" s="1"/>
  <c r="P25" i="17" a="1"/>
  <c r="P25" i="17" s="1"/>
  <c r="O25" i="17" a="1"/>
  <c r="O25" i="17" s="1"/>
  <c r="N25" i="17" a="1"/>
  <c r="N25" i="17" s="1"/>
  <c r="M25" i="17" a="1"/>
  <c r="M25" i="17" s="1"/>
  <c r="L25" i="17" a="1"/>
  <c r="L25" i="17" s="1"/>
  <c r="K25" i="17" a="1"/>
  <c r="K25" i="17" s="1"/>
  <c r="J25" i="17" a="1"/>
  <c r="J25" i="17" s="1"/>
  <c r="I25" i="17" a="1"/>
  <c r="I25" i="17" s="1"/>
  <c r="H25" i="17" a="1"/>
  <c r="H25" i="17" s="1"/>
  <c r="S24" i="17" a="1"/>
  <c r="S24" i="17" s="1"/>
  <c r="R24" i="17" a="1"/>
  <c r="R24" i="17" s="1"/>
  <c r="Q24" i="17" a="1"/>
  <c r="Q24" i="17" s="1"/>
  <c r="P24" i="17" a="1"/>
  <c r="P24" i="17" s="1"/>
  <c r="O24" i="17" a="1"/>
  <c r="O24" i="17" s="1"/>
  <c r="N24" i="17" a="1"/>
  <c r="N24" i="17" s="1"/>
  <c r="M24" i="17" a="1"/>
  <c r="M24" i="17" s="1"/>
  <c r="L24" i="17" a="1"/>
  <c r="L24" i="17" s="1"/>
  <c r="K24" i="17" a="1"/>
  <c r="K24" i="17" s="1"/>
  <c r="J24" i="17" a="1"/>
  <c r="J24" i="17" s="1"/>
  <c r="I24" i="17" a="1"/>
  <c r="I24" i="17" s="1"/>
  <c r="H24" i="17" a="1"/>
  <c r="H24" i="17" s="1"/>
  <c r="S23" i="17" a="1"/>
  <c r="S23" i="17" s="1"/>
  <c r="R23" i="17" a="1"/>
  <c r="R23" i="17" s="1"/>
  <c r="Q23" i="17" a="1"/>
  <c r="Q23" i="17" s="1"/>
  <c r="P23" i="17" a="1"/>
  <c r="P23" i="17" s="1"/>
  <c r="O23" i="17" a="1"/>
  <c r="O23" i="17" s="1"/>
  <c r="N23" i="17" a="1"/>
  <c r="N23" i="17" s="1"/>
  <c r="M23" i="17" a="1"/>
  <c r="M23" i="17" s="1"/>
  <c r="L23" i="17" a="1"/>
  <c r="L23" i="17" s="1"/>
  <c r="K23" i="17" a="1"/>
  <c r="K23" i="17" s="1"/>
  <c r="J23" i="17" a="1"/>
  <c r="J23" i="17" s="1"/>
  <c r="I23" i="17" a="1"/>
  <c r="I23" i="17" s="1"/>
  <c r="H23" i="17" a="1"/>
  <c r="H23" i="17" s="1"/>
  <c r="T2" i="17"/>
  <c r="T5" i="17"/>
  <c r="T6" i="17"/>
  <c r="T3" i="17"/>
  <c r="T7" i="17"/>
  <c r="T4" i="17"/>
  <c r="T11" i="17"/>
  <c r="T12" i="17"/>
  <c r="T13" i="17"/>
  <c r="T9" i="17"/>
  <c r="T10" i="17"/>
  <c r="T8" i="17"/>
  <c r="T16" i="17"/>
  <c r="T14" i="17"/>
  <c r="T15" i="17"/>
  <c r="T18" i="17"/>
  <c r="T17" i="17"/>
  <c r="T19" i="17"/>
  <c r="H35" i="20" l="1"/>
  <c r="P35" i="20"/>
  <c r="L34" i="20"/>
  <c r="H37" i="20"/>
  <c r="P37" i="20"/>
  <c r="L36" i="20"/>
  <c r="P33" i="20"/>
  <c r="I33" i="20"/>
  <c r="Q35" i="20"/>
  <c r="Q37" i="20"/>
  <c r="R33" i="20"/>
  <c r="R35" i="20"/>
  <c r="J37" i="20"/>
  <c r="S35" i="20"/>
  <c r="S34" i="20"/>
  <c r="I35" i="20"/>
  <c r="N32" i="20"/>
  <c r="P32" i="20"/>
  <c r="H33" i="20"/>
  <c r="Q33" i="20"/>
  <c r="M34" i="20"/>
  <c r="J33" i="20"/>
  <c r="N36" i="20"/>
  <c r="K33" i="20"/>
  <c r="O32" i="20"/>
  <c r="O34" i="20"/>
  <c r="O36" i="20"/>
  <c r="L33" i="20"/>
  <c r="L35" i="20"/>
  <c r="H36" i="20"/>
  <c r="M33" i="20"/>
  <c r="I32" i="20"/>
  <c r="Q32" i="20"/>
  <c r="M35" i="20"/>
  <c r="I34" i="20"/>
  <c r="Q34" i="20"/>
  <c r="M37" i="20"/>
  <c r="I36" i="20"/>
  <c r="Q36" i="20"/>
  <c r="L32" i="20"/>
  <c r="M32" i="20"/>
  <c r="I37" i="20"/>
  <c r="M36" i="20"/>
  <c r="J35" i="20"/>
  <c r="N34" i="20"/>
  <c r="R37" i="20"/>
  <c r="S33" i="20"/>
  <c r="K35" i="20"/>
  <c r="K37" i="20"/>
  <c r="S37" i="20"/>
  <c r="H32" i="20"/>
  <c r="H34" i="20"/>
  <c r="P34" i="20"/>
  <c r="L37" i="20"/>
  <c r="P36" i="20"/>
  <c r="N33" i="20"/>
  <c r="J32" i="20"/>
  <c r="R32" i="20"/>
  <c r="N35" i="20"/>
  <c r="J34" i="20"/>
  <c r="R34" i="20"/>
  <c r="N37" i="20"/>
  <c r="J36" i="20"/>
  <c r="R36" i="20"/>
  <c r="T25" i="20" a="1"/>
  <c r="T25" i="20" s="1"/>
  <c r="T23" i="20" a="1"/>
  <c r="T23" i="20" s="1"/>
  <c r="T26" i="20" a="1"/>
  <c r="T26" i="20" s="1"/>
  <c r="T28" i="20" a="1"/>
  <c r="T28" i="20" s="1"/>
  <c r="T24" i="20" a="1"/>
  <c r="T24" i="20" s="1"/>
  <c r="T27" i="20" a="1"/>
  <c r="T27" i="20" s="1"/>
  <c r="T27" i="18" a="1"/>
  <c r="T27" i="18" s="1"/>
  <c r="T25" i="18" a="1"/>
  <c r="T25" i="18" s="1"/>
  <c r="T28" i="18" a="1"/>
  <c r="T28" i="18" s="1"/>
  <c r="T24" i="18" a="1"/>
  <c r="T24" i="18" s="1"/>
  <c r="T26" i="18" a="1"/>
  <c r="T26" i="18" s="1"/>
  <c r="T23" i="18" a="1"/>
  <c r="T23" i="18" s="1"/>
  <c r="T27" i="17" a="1"/>
  <c r="T27" i="17" s="1"/>
  <c r="T25" i="17" a="1"/>
  <c r="T25" i="17" s="1"/>
  <c r="T24" i="17" a="1"/>
  <c r="T24" i="17" s="1"/>
  <c r="T23" i="17" a="1"/>
  <c r="T23" i="17" s="1"/>
  <c r="T28" i="17" a="1"/>
  <c r="T28" i="17" s="1"/>
  <c r="T26" i="17" a="1"/>
  <c r="T26" i="17" s="1"/>
  <c r="S2" i="16"/>
  <c r="S5" i="16"/>
  <c r="S6" i="16"/>
  <c r="S3" i="16"/>
  <c r="S7" i="16"/>
  <c r="S4" i="16"/>
  <c r="S11" i="16"/>
  <c r="S12" i="16"/>
  <c r="S13" i="16"/>
  <c r="S9" i="16"/>
  <c r="S10" i="16"/>
  <c r="S8" i="16"/>
  <c r="S16" i="16"/>
  <c r="S14" i="16"/>
  <c r="S15" i="16"/>
  <c r="S18" i="16"/>
  <c r="S28" i="16" s="1" a="1"/>
  <c r="S28" i="16" s="1"/>
  <c r="S17" i="16"/>
  <c r="S19" i="16"/>
  <c r="R28" i="16" a="1"/>
  <c r="R28" i="16" s="1"/>
  <c r="Q28" i="16" a="1"/>
  <c r="Q28" i="16" s="1"/>
  <c r="P28" i="16" a="1"/>
  <c r="P28" i="16" s="1"/>
  <c r="O28" i="16" a="1"/>
  <c r="O28" i="16" s="1"/>
  <c r="N28" i="16" a="1"/>
  <c r="N28" i="16" s="1"/>
  <c r="M28" i="16" a="1"/>
  <c r="M28" i="16" s="1"/>
  <c r="L28" i="16" a="1"/>
  <c r="L28" i="16" s="1"/>
  <c r="K28" i="16" a="1"/>
  <c r="K28" i="16" s="1"/>
  <c r="J28" i="16" a="1"/>
  <c r="J28" i="16" s="1"/>
  <c r="I28" i="16" a="1"/>
  <c r="I28" i="16" s="1"/>
  <c r="H28" i="16" a="1"/>
  <c r="H28" i="16" s="1"/>
  <c r="G28" i="16" a="1"/>
  <c r="G28" i="16" s="1"/>
  <c r="R27" i="16" a="1"/>
  <c r="R27" i="16" s="1"/>
  <c r="Q27" i="16" a="1"/>
  <c r="Q27" i="16" s="1"/>
  <c r="P27" i="16" a="1"/>
  <c r="P27" i="16" s="1"/>
  <c r="O27" i="16" a="1"/>
  <c r="O27" i="16" s="1"/>
  <c r="N27" i="16" a="1"/>
  <c r="N27" i="16" s="1"/>
  <c r="M27" i="16" a="1"/>
  <c r="M27" i="16" s="1"/>
  <c r="L27" i="16" a="1"/>
  <c r="L27" i="16" s="1"/>
  <c r="K27" i="16" a="1"/>
  <c r="K27" i="16" s="1"/>
  <c r="J27" i="16" a="1"/>
  <c r="J27" i="16" s="1"/>
  <c r="I27" i="16" a="1"/>
  <c r="I27" i="16" s="1"/>
  <c r="H27" i="16" a="1"/>
  <c r="H27" i="16" s="1"/>
  <c r="G27" i="16" a="1"/>
  <c r="G27" i="16" s="1"/>
  <c r="R26" i="16" a="1"/>
  <c r="R26" i="16" s="1"/>
  <c r="Q26" i="16" a="1"/>
  <c r="Q26" i="16" s="1"/>
  <c r="P26" i="16" a="1"/>
  <c r="P26" i="16" s="1"/>
  <c r="O26" i="16" a="1"/>
  <c r="O26" i="16" s="1"/>
  <c r="N26" i="16" a="1"/>
  <c r="N26" i="16" s="1"/>
  <c r="M26" i="16" a="1"/>
  <c r="M26" i="16" s="1"/>
  <c r="L26" i="16" a="1"/>
  <c r="L26" i="16" s="1"/>
  <c r="K26" i="16" a="1"/>
  <c r="K26" i="16" s="1"/>
  <c r="J26" i="16" a="1"/>
  <c r="J26" i="16" s="1"/>
  <c r="I26" i="16" a="1"/>
  <c r="I26" i="16" s="1"/>
  <c r="H26" i="16" a="1"/>
  <c r="H26" i="16" s="1"/>
  <c r="G26" i="16" a="1"/>
  <c r="G26" i="16" s="1"/>
  <c r="R25" i="16" a="1"/>
  <c r="R25" i="16" s="1"/>
  <c r="Q25" i="16" a="1"/>
  <c r="Q25" i="16" s="1"/>
  <c r="P25" i="16" a="1"/>
  <c r="P25" i="16" s="1"/>
  <c r="O25" i="16" a="1"/>
  <c r="O25" i="16" s="1"/>
  <c r="N25" i="16" a="1"/>
  <c r="N25" i="16" s="1"/>
  <c r="M25" i="16" a="1"/>
  <c r="M25" i="16" s="1"/>
  <c r="L25" i="16" a="1"/>
  <c r="L25" i="16" s="1"/>
  <c r="K25" i="16" a="1"/>
  <c r="K25" i="16" s="1"/>
  <c r="J25" i="16" a="1"/>
  <c r="J25" i="16" s="1"/>
  <c r="I25" i="16" a="1"/>
  <c r="I25" i="16" s="1"/>
  <c r="H25" i="16" a="1"/>
  <c r="H25" i="16" s="1"/>
  <c r="G25" i="16" a="1"/>
  <c r="G25" i="16" s="1"/>
  <c r="R24" i="16" a="1"/>
  <c r="R24" i="16" s="1"/>
  <c r="Q24" i="16" a="1"/>
  <c r="Q24" i="16" s="1"/>
  <c r="P24" i="16" a="1"/>
  <c r="P24" i="16" s="1"/>
  <c r="O24" i="16" a="1"/>
  <c r="O24" i="16" s="1"/>
  <c r="N24" i="16" a="1"/>
  <c r="N24" i="16" s="1"/>
  <c r="M24" i="16" a="1"/>
  <c r="M24" i="16" s="1"/>
  <c r="L24" i="16" a="1"/>
  <c r="L24" i="16" s="1"/>
  <c r="K24" i="16" a="1"/>
  <c r="K24" i="16" s="1"/>
  <c r="J24" i="16" a="1"/>
  <c r="J24" i="16" s="1"/>
  <c r="I24" i="16" a="1"/>
  <c r="I24" i="16" s="1"/>
  <c r="H24" i="16" a="1"/>
  <c r="H24" i="16" s="1"/>
  <c r="G24" i="16" a="1"/>
  <c r="G24" i="16" s="1"/>
  <c r="R23" i="16" a="1"/>
  <c r="R23" i="16" s="1"/>
  <c r="Q23" i="16" a="1"/>
  <c r="Q23" i="16" s="1"/>
  <c r="P23" i="16" a="1"/>
  <c r="P23" i="16" s="1"/>
  <c r="O23" i="16" a="1"/>
  <c r="O23" i="16" s="1"/>
  <c r="N23" i="16" a="1"/>
  <c r="N23" i="16" s="1"/>
  <c r="M23" i="16" a="1"/>
  <c r="M23" i="16" s="1"/>
  <c r="L23" i="16" a="1"/>
  <c r="L23" i="16" s="1"/>
  <c r="K23" i="16" a="1"/>
  <c r="K23" i="16" s="1"/>
  <c r="J23" i="16" a="1"/>
  <c r="J23" i="16" s="1"/>
  <c r="I23" i="16" a="1"/>
  <c r="I23" i="16" s="1"/>
  <c r="H23" i="16" a="1"/>
  <c r="H23" i="16" s="1"/>
  <c r="G23" i="16" a="1"/>
  <c r="G23" i="16" s="1"/>
  <c r="S2" i="14"/>
  <c r="S5" i="14"/>
  <c r="S6" i="14"/>
  <c r="S3" i="14"/>
  <c r="S7" i="14"/>
  <c r="S4" i="14"/>
  <c r="S11" i="14"/>
  <c r="S12" i="14"/>
  <c r="S26" i="14" s="1" a="1"/>
  <c r="S26" i="14" s="1"/>
  <c r="S13" i="14"/>
  <c r="S9" i="14"/>
  <c r="S10" i="14"/>
  <c r="S8" i="14"/>
  <c r="S16" i="14"/>
  <c r="S14" i="14"/>
  <c r="S15" i="14"/>
  <c r="S18" i="14"/>
  <c r="S17" i="14"/>
  <c r="S19" i="14"/>
  <c r="R28" i="14" a="1"/>
  <c r="R28" i="14" s="1"/>
  <c r="Q28" i="14" a="1"/>
  <c r="Q28" i="14" s="1"/>
  <c r="P28" i="14" a="1"/>
  <c r="P28" i="14" s="1"/>
  <c r="O28" i="14" a="1"/>
  <c r="O28" i="14" s="1"/>
  <c r="N28" i="14" a="1"/>
  <c r="N28" i="14" s="1"/>
  <c r="M28" i="14" a="1"/>
  <c r="M28" i="14" s="1"/>
  <c r="L28" i="14" a="1"/>
  <c r="L28" i="14" s="1"/>
  <c r="K28" i="14" a="1"/>
  <c r="K28" i="14" s="1"/>
  <c r="J28" i="14" a="1"/>
  <c r="J28" i="14" s="1"/>
  <c r="I28" i="14" a="1"/>
  <c r="I28" i="14" s="1"/>
  <c r="H28" i="14" a="1"/>
  <c r="H28" i="14" s="1"/>
  <c r="G28" i="14" a="1"/>
  <c r="G28" i="14" s="1"/>
  <c r="R27" i="14" a="1"/>
  <c r="R27" i="14" s="1"/>
  <c r="Q27" i="14" a="1"/>
  <c r="Q27" i="14" s="1"/>
  <c r="P27" i="14" a="1"/>
  <c r="P27" i="14" s="1"/>
  <c r="O27" i="14" a="1"/>
  <c r="O27" i="14" s="1"/>
  <c r="N27" i="14" a="1"/>
  <c r="N27" i="14" s="1"/>
  <c r="M27" i="14" a="1"/>
  <c r="M27" i="14" s="1"/>
  <c r="L27" i="14" a="1"/>
  <c r="L27" i="14" s="1"/>
  <c r="K27" i="14" a="1"/>
  <c r="K27" i="14" s="1"/>
  <c r="J27" i="14" a="1"/>
  <c r="J27" i="14" s="1"/>
  <c r="I27" i="14" a="1"/>
  <c r="I27" i="14" s="1"/>
  <c r="H27" i="14" a="1"/>
  <c r="H27" i="14" s="1"/>
  <c r="G27" i="14" a="1"/>
  <c r="G27" i="14" s="1"/>
  <c r="R26" i="14" a="1"/>
  <c r="R26" i="14" s="1"/>
  <c r="Q26" i="14" a="1"/>
  <c r="Q26" i="14" s="1"/>
  <c r="P26" i="14" a="1"/>
  <c r="P26" i="14" s="1"/>
  <c r="O26" i="14" a="1"/>
  <c r="O26" i="14" s="1"/>
  <c r="N26" i="14" a="1"/>
  <c r="N26" i="14" s="1"/>
  <c r="M26" i="14" a="1"/>
  <c r="M26" i="14" s="1"/>
  <c r="L26" i="14" a="1"/>
  <c r="L26" i="14" s="1"/>
  <c r="K26" i="14" a="1"/>
  <c r="K26" i="14" s="1"/>
  <c r="J26" i="14" a="1"/>
  <c r="J26" i="14" s="1"/>
  <c r="I26" i="14" a="1"/>
  <c r="I26" i="14" s="1"/>
  <c r="H26" i="14" a="1"/>
  <c r="H26" i="14" s="1"/>
  <c r="G26" i="14" a="1"/>
  <c r="G26" i="14" s="1"/>
  <c r="R25" i="14" a="1"/>
  <c r="R25" i="14" s="1"/>
  <c r="Q25" i="14" a="1"/>
  <c r="Q25" i="14" s="1"/>
  <c r="P25" i="14" a="1"/>
  <c r="P25" i="14" s="1"/>
  <c r="O25" i="14" a="1"/>
  <c r="O25" i="14" s="1"/>
  <c r="N25" i="14" a="1"/>
  <c r="N25" i="14" s="1"/>
  <c r="M25" i="14" a="1"/>
  <c r="M25" i="14" s="1"/>
  <c r="L25" i="14" a="1"/>
  <c r="L25" i="14" s="1"/>
  <c r="K25" i="14" a="1"/>
  <c r="K25" i="14" s="1"/>
  <c r="J25" i="14" a="1"/>
  <c r="J25" i="14" s="1"/>
  <c r="I25" i="14" a="1"/>
  <c r="I25" i="14" s="1"/>
  <c r="H25" i="14" a="1"/>
  <c r="H25" i="14" s="1"/>
  <c r="G25" i="14" a="1"/>
  <c r="G25" i="14" s="1"/>
  <c r="R24" i="14" a="1"/>
  <c r="R24" i="14" s="1"/>
  <c r="Q24" i="14" a="1"/>
  <c r="Q24" i="14" s="1"/>
  <c r="P24" i="14" a="1"/>
  <c r="P24" i="14" s="1"/>
  <c r="O24" i="14" a="1"/>
  <c r="O24" i="14" s="1"/>
  <c r="N24" i="14" a="1"/>
  <c r="N24" i="14" s="1"/>
  <c r="M24" i="14" a="1"/>
  <c r="M24" i="14" s="1"/>
  <c r="L24" i="14" a="1"/>
  <c r="L24" i="14" s="1"/>
  <c r="K24" i="14" a="1"/>
  <c r="K24" i="14" s="1"/>
  <c r="J24" i="14" a="1"/>
  <c r="J24" i="14" s="1"/>
  <c r="I24" i="14" a="1"/>
  <c r="I24" i="14" s="1"/>
  <c r="H24" i="14" a="1"/>
  <c r="H24" i="14" s="1"/>
  <c r="G24" i="14" a="1"/>
  <c r="G24" i="14" s="1"/>
  <c r="R23" i="14" a="1"/>
  <c r="R23" i="14" s="1"/>
  <c r="Q23" i="14" a="1"/>
  <c r="Q23" i="14" s="1"/>
  <c r="P23" i="14" a="1"/>
  <c r="P23" i="14" s="1"/>
  <c r="O23" i="14" a="1"/>
  <c r="O23" i="14" s="1"/>
  <c r="N23" i="14" a="1"/>
  <c r="N23" i="14" s="1"/>
  <c r="M23" i="14" a="1"/>
  <c r="M23" i="14" s="1"/>
  <c r="L23" i="14" a="1"/>
  <c r="L23" i="14" s="1"/>
  <c r="K23" i="14" a="1"/>
  <c r="K23" i="14" s="1"/>
  <c r="J23" i="14" a="1"/>
  <c r="J23" i="14" s="1"/>
  <c r="I23" i="14" a="1"/>
  <c r="I23" i="14" s="1"/>
  <c r="H23" i="14" a="1"/>
  <c r="H23" i="14" s="1"/>
  <c r="G23" i="14" a="1"/>
  <c r="G23" i="14" s="1"/>
  <c r="S23" i="16" l="1" a="1"/>
  <c r="S23" i="16" s="1"/>
  <c r="S26" i="16" a="1"/>
  <c r="S26" i="16" s="1"/>
  <c r="S27" i="16" a="1"/>
  <c r="S27" i="16" s="1"/>
  <c r="S25" i="16" a="1"/>
  <c r="S25" i="16" s="1"/>
  <c r="S24" i="16" a="1"/>
  <c r="S24" i="16" s="1"/>
  <c r="S28" i="14" a="1"/>
  <c r="S28" i="14" s="1"/>
  <c r="S23" i="14" a="1"/>
  <c r="S23" i="14" s="1"/>
  <c r="S24" i="14" a="1"/>
  <c r="S24" i="14" s="1"/>
  <c r="S25" i="14" a="1"/>
  <c r="S25" i="14" s="1"/>
  <c r="S27" i="14" a="1"/>
  <c r="S27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<sst xmlns="http://schemas.openxmlformats.org/spreadsheetml/2006/main" count="1227" uniqueCount="44">
  <si>
    <t>lang</t>
  </si>
  <si>
    <t>attribute.index</t>
  </si>
  <si>
    <t>attribute</t>
  </si>
  <si>
    <t>supplement</t>
  </si>
  <si>
    <t>method.index</t>
  </si>
  <si>
    <t>method</t>
  </si>
  <si>
    <t>2g-no-hash</t>
  </si>
  <si>
    <t>3g-no-hash</t>
  </si>
  <si>
    <t>4g-no-hash</t>
  </si>
  <si>
    <t>sk2g-no-hash</t>
  </si>
  <si>
    <t>sk3g-no-hash</t>
  </si>
  <si>
    <t>sk4g-no-hash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</si>
  <si>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</si>
  <si>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</si>
  <si>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</si>
  <si>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</si>
  <si>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</si>
  <si>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</si>
  <si>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sk2g-hash-at-both</t>
  </si>
  <si>
    <t>sk3g-hash-at-both</t>
  </si>
  <si>
    <t>sk4g-hash-at-both</t>
  </si>
  <si>
    <t>xsk2g-hash-at-both</t>
  </si>
  <si>
    <t>xsk3g-hash-at-both</t>
  </si>
  <si>
    <t>xsk4g-hash-at-both</t>
  </si>
  <si>
    <t>max</t>
  </si>
  <si>
    <t>plurality</t>
  </si>
  <si>
    <t>DT</t>
  </si>
  <si>
    <t>RF</t>
  </si>
  <si>
    <t>NN</t>
  </si>
  <si>
    <t>gender</t>
  </si>
  <si>
    <t>case</t>
  </si>
  <si>
    <t>supplemented</t>
  </si>
  <si>
    <t>metric</t>
  </si>
  <si>
    <t>Irish</t>
  </si>
  <si>
    <t>sample.n</t>
  </si>
  <si>
    <t>mgv</t>
  </si>
  <si>
    <t>var</t>
  </si>
  <si>
    <t>xsk</t>
  </si>
  <si>
    <t>xxsk</t>
  </si>
  <si>
    <t>skippiness</t>
  </si>
  <si>
    <t>geomean</t>
  </si>
  <si>
    <t>rank</t>
  </si>
  <si>
    <t>rank.average</t>
  </si>
  <si>
    <t>attrib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</si>
</sst>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3"/>
      <color theme="1"/>
      <name val="LucidaSansUnicode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65"/>
        <bgColor auto="1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Border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2" xfId="0" applyFill="1" applyBorder="1"/>
  </cellXfs>
  <cellStyles count="1">
    <cellStyle name="Normal" xfId="0" builtinId="0"/>
  </cellStyles>
  <dxfs count="284"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Irish</a:t>
            </a:r>
            <a:r>
              <a:rPr lang="ja-JP" altLang="en-US"/>
              <a:t> </a:t>
            </a:r>
            <a:r>
              <a:rPr lang="en-US" altLang="ja-JP"/>
              <a:t>xsk-based</a:t>
            </a:r>
            <a:r>
              <a:rPr lang="ja-JP" altLang="en-US"/>
              <a:t> </a:t>
            </a:r>
            <a:r>
              <a:rPr lang="en-US" altLang="ja-JP"/>
              <a:t>max</a:t>
            </a:r>
            <a:r>
              <a:rPr lang="ja-JP" altLang="en-US"/>
              <a:t> </a:t>
            </a:r>
            <a:r>
              <a:rPr lang="en-US" altLang="ja-JP"/>
              <a:t>accuracy</a:t>
            </a:r>
            <a:r>
              <a:rPr lang="ja-JP" altLang="en-US"/>
              <a:t> </a:t>
            </a:r>
            <a:r>
              <a:rPr lang="en-US" altLang="ja-JP"/>
              <a:t>distributions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summarized!$J$1</c:f>
              <c:strCache>
                <c:ptCount val="1"/>
                <c:pt idx="0">
                  <c:v>2g-no-hash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plu-spl:F-mgv:6-sn:1.2k</c:v>
                </c:pt>
                <c:pt idx="1">
                  <c:v>plu-spl:T-mgv:6-sn:1.2k</c:v>
                </c:pt>
                <c:pt idx="2">
                  <c:v>gen-spl:F-mgv:6-sn:1.2k</c:v>
                </c:pt>
                <c:pt idx="3">
                  <c:v>gen-spl:T-mgv:6-sn:1.2k</c:v>
                </c:pt>
                <c:pt idx="4">
                  <c:v>cas-spl:F-mgv:6-sn:1.2k</c:v>
                </c:pt>
                <c:pt idx="5">
                  <c:v>cas-spl:T-mgv:6-sn:1.2k</c:v>
                </c:pt>
                <c:pt idx="6">
                  <c:v>plu-spl:F-mgv:6-sn:2k</c:v>
                </c:pt>
                <c:pt idx="7">
                  <c:v>plu-spl:T-mgv:6-sn:2k</c:v>
                </c:pt>
                <c:pt idx="8">
                  <c:v>gen-spl:F-mgv:6-sn:2k</c:v>
                </c:pt>
                <c:pt idx="9">
                  <c:v>gen-spl:T-mgv:6-sn:2k</c:v>
                </c:pt>
                <c:pt idx="10">
                  <c:v>cas-spl:F-mgv:6-sn:2k</c:v>
                </c:pt>
                <c:pt idx="11">
                  <c:v>cas-spl:T-mgv:6-sn:2k</c:v>
                </c:pt>
                <c:pt idx="12">
                  <c:v>plu-spl:F-mgv:6-sn:3k</c:v>
                </c:pt>
                <c:pt idx="13">
                  <c:v>plu-spl:T-mgv:6-sn:3k</c:v>
                </c:pt>
                <c:pt idx="14">
                  <c:v>gen-spl:F-mgv:6-sn:3k</c:v>
                </c:pt>
                <c:pt idx="15">
                  <c:v>gen-spl:T-mgv:6-sn:3k</c:v>
                </c:pt>
                <c:pt idx="16">
                  <c:v>cas-spl:F-mgv:6-sn:3k</c:v>
                </c:pt>
                <c:pt idx="17">
                  <c:v>cas-spl:T-mgv:6-sn:3k</c:v>
                </c:pt>
              </c:strCache>
            </c:strRef>
          </c:cat>
          <c:val>
            <c:numRef>
              <c:f>summarized!$J$2:$J$55</c:f>
              <c:numCache>
                <c:formatCode>0.00</c:formatCode>
                <c:ptCount val="18"/>
                <c:pt idx="0">
                  <c:v>0.66</c:v>
                </c:pt>
                <c:pt idx="1">
                  <c:v>0.72</c:v>
                </c:pt>
                <c:pt idx="2">
                  <c:v>0.72</c:v>
                </c:pt>
                <c:pt idx="3">
                  <c:v>0.77</c:v>
                </c:pt>
                <c:pt idx="4">
                  <c:v>0.98</c:v>
                </c:pt>
                <c:pt idx="5">
                  <c:v>0.98</c:v>
                </c:pt>
                <c:pt idx="6">
                  <c:v>0.69</c:v>
                </c:pt>
                <c:pt idx="7">
                  <c:v>0.71</c:v>
                </c:pt>
                <c:pt idx="8">
                  <c:v>0.76</c:v>
                </c:pt>
                <c:pt idx="9">
                  <c:v>0.82</c:v>
                </c:pt>
                <c:pt idx="10">
                  <c:v>0.95</c:v>
                </c:pt>
                <c:pt idx="11">
                  <c:v>0.96</c:v>
                </c:pt>
                <c:pt idx="12">
                  <c:v>0.71</c:v>
                </c:pt>
                <c:pt idx="13">
                  <c:v>0.75</c:v>
                </c:pt>
                <c:pt idx="14">
                  <c:v>0.73</c:v>
                </c:pt>
                <c:pt idx="15">
                  <c:v>0.82</c:v>
                </c:pt>
                <c:pt idx="16">
                  <c:v>0.96</c:v>
                </c:pt>
                <c:pt idx="17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D-D640-8EE8-0264BF62F556}"/>
            </c:ext>
          </c:extLst>
        </c:ser>
        <c:ser>
          <c:idx val="1"/>
          <c:order val="1"/>
          <c:tx>
            <c:strRef>
              <c:f>summarized!$K$1</c:f>
              <c:strCache>
                <c:ptCount val="1"/>
                <c:pt idx="0">
                  <c:v>3g-no-hash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plu-spl:F-mgv:6-sn:1.2k</c:v>
                </c:pt>
                <c:pt idx="1">
                  <c:v>plu-spl:T-mgv:6-sn:1.2k</c:v>
                </c:pt>
                <c:pt idx="2">
                  <c:v>gen-spl:F-mgv:6-sn:1.2k</c:v>
                </c:pt>
                <c:pt idx="3">
                  <c:v>gen-spl:T-mgv:6-sn:1.2k</c:v>
                </c:pt>
                <c:pt idx="4">
                  <c:v>cas-spl:F-mgv:6-sn:1.2k</c:v>
                </c:pt>
                <c:pt idx="5">
                  <c:v>cas-spl:T-mgv:6-sn:1.2k</c:v>
                </c:pt>
                <c:pt idx="6">
                  <c:v>plu-spl:F-mgv:6-sn:2k</c:v>
                </c:pt>
                <c:pt idx="7">
                  <c:v>plu-spl:T-mgv:6-sn:2k</c:v>
                </c:pt>
                <c:pt idx="8">
                  <c:v>gen-spl:F-mgv:6-sn:2k</c:v>
                </c:pt>
                <c:pt idx="9">
                  <c:v>gen-spl:T-mgv:6-sn:2k</c:v>
                </c:pt>
                <c:pt idx="10">
                  <c:v>cas-spl:F-mgv:6-sn:2k</c:v>
                </c:pt>
                <c:pt idx="11">
                  <c:v>cas-spl:T-mgv:6-sn:2k</c:v>
                </c:pt>
                <c:pt idx="12">
                  <c:v>plu-spl:F-mgv:6-sn:3k</c:v>
                </c:pt>
                <c:pt idx="13">
                  <c:v>plu-spl:T-mgv:6-sn:3k</c:v>
                </c:pt>
                <c:pt idx="14">
                  <c:v>gen-spl:F-mgv:6-sn:3k</c:v>
                </c:pt>
                <c:pt idx="15">
                  <c:v>gen-spl:T-mgv:6-sn:3k</c:v>
                </c:pt>
                <c:pt idx="16">
                  <c:v>cas-spl:F-mgv:6-sn:3k</c:v>
                </c:pt>
                <c:pt idx="17">
                  <c:v>cas-spl:T-mgv:6-sn:3k</c:v>
                </c:pt>
              </c:strCache>
            </c:strRef>
          </c:cat>
          <c:val>
            <c:numRef>
              <c:f>summarized!$K$2:$K$55</c:f>
              <c:numCache>
                <c:formatCode>0.00</c:formatCode>
                <c:ptCount val="18"/>
                <c:pt idx="0">
                  <c:v>0.67</c:v>
                </c:pt>
                <c:pt idx="1">
                  <c:v>0.67</c:v>
                </c:pt>
                <c:pt idx="2">
                  <c:v>0.76</c:v>
                </c:pt>
                <c:pt idx="3">
                  <c:v>0.75</c:v>
                </c:pt>
                <c:pt idx="4">
                  <c:v>0.99</c:v>
                </c:pt>
                <c:pt idx="5">
                  <c:v>0.99</c:v>
                </c:pt>
                <c:pt idx="6">
                  <c:v>0.67</c:v>
                </c:pt>
                <c:pt idx="7">
                  <c:v>0.69</c:v>
                </c:pt>
                <c:pt idx="8">
                  <c:v>0.76</c:v>
                </c:pt>
                <c:pt idx="9">
                  <c:v>0.77</c:v>
                </c:pt>
                <c:pt idx="10">
                  <c:v>0.97</c:v>
                </c:pt>
                <c:pt idx="11">
                  <c:v>0.97</c:v>
                </c:pt>
                <c:pt idx="12">
                  <c:v>0.71</c:v>
                </c:pt>
                <c:pt idx="13">
                  <c:v>0.76</c:v>
                </c:pt>
                <c:pt idx="14">
                  <c:v>0.76</c:v>
                </c:pt>
                <c:pt idx="15">
                  <c:v>0.82</c:v>
                </c:pt>
                <c:pt idx="16">
                  <c:v>0.94</c:v>
                </c:pt>
                <c:pt idx="17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2D-D640-8EE8-0264BF62F556}"/>
            </c:ext>
          </c:extLst>
        </c:ser>
        <c:ser>
          <c:idx val="2"/>
          <c:order val="2"/>
          <c:tx>
            <c:strRef>
              <c:f>summarized!$L$1</c:f>
              <c:strCache>
                <c:ptCount val="1"/>
                <c:pt idx="0">
                  <c:v>4g-no-hash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plu-spl:F-mgv:6-sn:1.2k</c:v>
                </c:pt>
                <c:pt idx="1">
                  <c:v>plu-spl:T-mgv:6-sn:1.2k</c:v>
                </c:pt>
                <c:pt idx="2">
                  <c:v>gen-spl:F-mgv:6-sn:1.2k</c:v>
                </c:pt>
                <c:pt idx="3">
                  <c:v>gen-spl:T-mgv:6-sn:1.2k</c:v>
                </c:pt>
                <c:pt idx="4">
                  <c:v>cas-spl:F-mgv:6-sn:1.2k</c:v>
                </c:pt>
                <c:pt idx="5">
                  <c:v>cas-spl:T-mgv:6-sn:1.2k</c:v>
                </c:pt>
                <c:pt idx="6">
                  <c:v>plu-spl:F-mgv:6-sn:2k</c:v>
                </c:pt>
                <c:pt idx="7">
                  <c:v>plu-spl:T-mgv:6-sn:2k</c:v>
                </c:pt>
                <c:pt idx="8">
                  <c:v>gen-spl:F-mgv:6-sn:2k</c:v>
                </c:pt>
                <c:pt idx="9">
                  <c:v>gen-spl:T-mgv:6-sn:2k</c:v>
                </c:pt>
                <c:pt idx="10">
                  <c:v>cas-spl:F-mgv:6-sn:2k</c:v>
                </c:pt>
                <c:pt idx="11">
                  <c:v>cas-spl:T-mgv:6-sn:2k</c:v>
                </c:pt>
                <c:pt idx="12">
                  <c:v>plu-spl:F-mgv:6-sn:3k</c:v>
                </c:pt>
                <c:pt idx="13">
                  <c:v>plu-spl:T-mgv:6-sn:3k</c:v>
                </c:pt>
                <c:pt idx="14">
                  <c:v>gen-spl:F-mgv:6-sn:3k</c:v>
                </c:pt>
                <c:pt idx="15">
                  <c:v>gen-spl:T-mgv:6-sn:3k</c:v>
                </c:pt>
                <c:pt idx="16">
                  <c:v>cas-spl:F-mgv:6-sn:3k</c:v>
                </c:pt>
                <c:pt idx="17">
                  <c:v>cas-spl:T-mgv:6-sn:3k</c:v>
                </c:pt>
              </c:strCache>
            </c:strRef>
          </c:cat>
          <c:val>
            <c:numRef>
              <c:f>summarized!$L$2:$L$55</c:f>
              <c:numCache>
                <c:formatCode>0.00</c:formatCode>
                <c:ptCount val="18"/>
                <c:pt idx="0">
                  <c:v>0.72</c:v>
                </c:pt>
                <c:pt idx="1">
                  <c:v>0.76</c:v>
                </c:pt>
                <c:pt idx="2">
                  <c:v>0.71</c:v>
                </c:pt>
                <c:pt idx="3">
                  <c:v>0.75</c:v>
                </c:pt>
                <c:pt idx="4">
                  <c:v>0.99</c:v>
                </c:pt>
                <c:pt idx="5">
                  <c:v>0.99</c:v>
                </c:pt>
                <c:pt idx="6">
                  <c:v>0.65</c:v>
                </c:pt>
                <c:pt idx="7">
                  <c:v>0.68</c:v>
                </c:pt>
                <c:pt idx="8">
                  <c:v>0.75</c:v>
                </c:pt>
                <c:pt idx="9">
                  <c:v>0.79</c:v>
                </c:pt>
                <c:pt idx="10">
                  <c:v>0.97</c:v>
                </c:pt>
                <c:pt idx="11">
                  <c:v>0.97</c:v>
                </c:pt>
                <c:pt idx="12">
                  <c:v>0.7</c:v>
                </c:pt>
                <c:pt idx="13">
                  <c:v>0.73</c:v>
                </c:pt>
                <c:pt idx="14">
                  <c:v>0.75</c:v>
                </c:pt>
                <c:pt idx="15">
                  <c:v>0.81</c:v>
                </c:pt>
                <c:pt idx="16">
                  <c:v>0.95</c:v>
                </c:pt>
                <c:pt idx="17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2D-D640-8EE8-0264BF62F556}"/>
            </c:ext>
          </c:extLst>
        </c:ser>
        <c:ser>
          <c:idx val="3"/>
          <c:order val="3"/>
          <c:tx>
            <c:strRef>
              <c:f>summarized!$M$1</c:f>
              <c:strCache>
                <c:ptCount val="1"/>
                <c:pt idx="0">
                  <c:v>xsk2g-no-hash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plu-spl:F-mgv:6-sn:1.2k</c:v>
                </c:pt>
                <c:pt idx="1">
                  <c:v>plu-spl:T-mgv:6-sn:1.2k</c:v>
                </c:pt>
                <c:pt idx="2">
                  <c:v>gen-spl:F-mgv:6-sn:1.2k</c:v>
                </c:pt>
                <c:pt idx="3">
                  <c:v>gen-spl:T-mgv:6-sn:1.2k</c:v>
                </c:pt>
                <c:pt idx="4">
                  <c:v>cas-spl:F-mgv:6-sn:1.2k</c:v>
                </c:pt>
                <c:pt idx="5">
                  <c:v>cas-spl:T-mgv:6-sn:1.2k</c:v>
                </c:pt>
                <c:pt idx="6">
                  <c:v>plu-spl:F-mgv:6-sn:2k</c:v>
                </c:pt>
                <c:pt idx="7">
                  <c:v>plu-spl:T-mgv:6-sn:2k</c:v>
                </c:pt>
                <c:pt idx="8">
                  <c:v>gen-spl:F-mgv:6-sn:2k</c:v>
                </c:pt>
                <c:pt idx="9">
                  <c:v>gen-spl:T-mgv:6-sn:2k</c:v>
                </c:pt>
                <c:pt idx="10">
                  <c:v>cas-spl:F-mgv:6-sn:2k</c:v>
                </c:pt>
                <c:pt idx="11">
                  <c:v>cas-spl:T-mgv:6-sn:2k</c:v>
                </c:pt>
                <c:pt idx="12">
                  <c:v>plu-spl:F-mgv:6-sn:3k</c:v>
                </c:pt>
                <c:pt idx="13">
                  <c:v>plu-spl:T-mgv:6-sn:3k</c:v>
                </c:pt>
                <c:pt idx="14">
                  <c:v>gen-spl:F-mgv:6-sn:3k</c:v>
                </c:pt>
                <c:pt idx="15">
                  <c:v>gen-spl:T-mgv:6-sn:3k</c:v>
                </c:pt>
                <c:pt idx="16">
                  <c:v>cas-spl:F-mgv:6-sn:3k</c:v>
                </c:pt>
                <c:pt idx="17">
                  <c:v>cas-spl:T-mgv:6-sn:3k</c:v>
                </c:pt>
              </c:strCache>
            </c:strRef>
          </c:cat>
          <c:val>
            <c:numRef>
              <c:f>summarized!$M$2:$M$55</c:f>
              <c:numCache>
                <c:formatCode>0.00</c:formatCode>
                <c:ptCount val="18"/>
                <c:pt idx="0">
                  <c:v>0.63</c:v>
                </c:pt>
                <c:pt idx="1">
                  <c:v>0.67</c:v>
                </c:pt>
                <c:pt idx="2">
                  <c:v>0.77</c:v>
                </c:pt>
                <c:pt idx="3">
                  <c:v>0.81</c:v>
                </c:pt>
                <c:pt idx="4">
                  <c:v>0.98</c:v>
                </c:pt>
                <c:pt idx="5">
                  <c:v>0.99</c:v>
                </c:pt>
                <c:pt idx="6">
                  <c:v>0.74</c:v>
                </c:pt>
                <c:pt idx="7">
                  <c:v>0.76</c:v>
                </c:pt>
                <c:pt idx="8">
                  <c:v>0.75</c:v>
                </c:pt>
                <c:pt idx="9">
                  <c:v>0.76</c:v>
                </c:pt>
                <c:pt idx="10">
                  <c:v>0.98</c:v>
                </c:pt>
                <c:pt idx="11">
                  <c:v>0.98</c:v>
                </c:pt>
                <c:pt idx="12">
                  <c:v>0.66</c:v>
                </c:pt>
                <c:pt idx="13">
                  <c:v>0.7</c:v>
                </c:pt>
                <c:pt idx="14">
                  <c:v>0.77</c:v>
                </c:pt>
                <c:pt idx="15">
                  <c:v>0.77</c:v>
                </c:pt>
                <c:pt idx="16">
                  <c:v>0.97</c:v>
                </c:pt>
                <c:pt idx="17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2D-D640-8EE8-0264BF62F556}"/>
            </c:ext>
          </c:extLst>
        </c:ser>
        <c:ser>
          <c:idx val="4"/>
          <c:order val="4"/>
          <c:tx>
            <c:strRef>
              <c:f>summarized!$N$1</c:f>
              <c:strCache>
                <c:ptCount val="1"/>
                <c:pt idx="0">
                  <c:v>xsk3g-no-hash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plu-spl:F-mgv:6-sn:1.2k</c:v>
                </c:pt>
                <c:pt idx="1">
                  <c:v>plu-spl:T-mgv:6-sn:1.2k</c:v>
                </c:pt>
                <c:pt idx="2">
                  <c:v>gen-spl:F-mgv:6-sn:1.2k</c:v>
                </c:pt>
                <c:pt idx="3">
                  <c:v>gen-spl:T-mgv:6-sn:1.2k</c:v>
                </c:pt>
                <c:pt idx="4">
                  <c:v>cas-spl:F-mgv:6-sn:1.2k</c:v>
                </c:pt>
                <c:pt idx="5">
                  <c:v>cas-spl:T-mgv:6-sn:1.2k</c:v>
                </c:pt>
                <c:pt idx="6">
                  <c:v>plu-spl:F-mgv:6-sn:2k</c:v>
                </c:pt>
                <c:pt idx="7">
                  <c:v>plu-spl:T-mgv:6-sn:2k</c:v>
                </c:pt>
                <c:pt idx="8">
                  <c:v>gen-spl:F-mgv:6-sn:2k</c:v>
                </c:pt>
                <c:pt idx="9">
                  <c:v>gen-spl:T-mgv:6-sn:2k</c:v>
                </c:pt>
                <c:pt idx="10">
                  <c:v>cas-spl:F-mgv:6-sn:2k</c:v>
                </c:pt>
                <c:pt idx="11">
                  <c:v>cas-spl:T-mgv:6-sn:2k</c:v>
                </c:pt>
                <c:pt idx="12">
                  <c:v>plu-spl:F-mgv:6-sn:3k</c:v>
                </c:pt>
                <c:pt idx="13">
                  <c:v>plu-spl:T-mgv:6-sn:3k</c:v>
                </c:pt>
                <c:pt idx="14">
                  <c:v>gen-spl:F-mgv:6-sn:3k</c:v>
                </c:pt>
                <c:pt idx="15">
                  <c:v>gen-spl:T-mgv:6-sn:3k</c:v>
                </c:pt>
                <c:pt idx="16">
                  <c:v>cas-spl:F-mgv:6-sn:3k</c:v>
                </c:pt>
                <c:pt idx="17">
                  <c:v>cas-spl:T-mgv:6-sn:3k</c:v>
                </c:pt>
              </c:strCache>
            </c:strRef>
          </c:cat>
          <c:val>
            <c:numRef>
              <c:f>summarized!$N$2:$N$55</c:f>
              <c:numCache>
                <c:formatCode>0.00</c:formatCode>
                <c:ptCount val="18"/>
                <c:pt idx="0">
                  <c:v>0.73</c:v>
                </c:pt>
                <c:pt idx="1">
                  <c:v>0.73</c:v>
                </c:pt>
                <c:pt idx="2">
                  <c:v>0.79</c:v>
                </c:pt>
                <c:pt idx="3">
                  <c:v>0.82</c:v>
                </c:pt>
                <c:pt idx="4">
                  <c:v>0.96</c:v>
                </c:pt>
                <c:pt idx="5">
                  <c:v>0.96</c:v>
                </c:pt>
                <c:pt idx="6">
                  <c:v>0.66</c:v>
                </c:pt>
                <c:pt idx="7">
                  <c:v>0.7</c:v>
                </c:pt>
                <c:pt idx="8">
                  <c:v>0.79</c:v>
                </c:pt>
                <c:pt idx="9">
                  <c:v>0.78</c:v>
                </c:pt>
                <c:pt idx="10">
                  <c:v>0.96</c:v>
                </c:pt>
                <c:pt idx="11">
                  <c:v>0.96</c:v>
                </c:pt>
                <c:pt idx="12">
                  <c:v>0.69</c:v>
                </c:pt>
                <c:pt idx="13">
                  <c:v>0.71</c:v>
                </c:pt>
                <c:pt idx="14">
                  <c:v>0.72</c:v>
                </c:pt>
                <c:pt idx="15">
                  <c:v>0.77</c:v>
                </c:pt>
                <c:pt idx="16">
                  <c:v>0.95</c:v>
                </c:pt>
                <c:pt idx="17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2D-D640-8EE8-0264BF62F556}"/>
            </c:ext>
          </c:extLst>
        </c:ser>
        <c:ser>
          <c:idx val="5"/>
          <c:order val="5"/>
          <c:tx>
            <c:strRef>
              <c:f>summarized!$O$1</c:f>
              <c:strCache>
                <c:ptCount val="1"/>
                <c:pt idx="0">
                  <c:v>xsk4g-no-hash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plu-spl:F-mgv:6-sn:1.2k</c:v>
                </c:pt>
                <c:pt idx="1">
                  <c:v>plu-spl:T-mgv:6-sn:1.2k</c:v>
                </c:pt>
                <c:pt idx="2">
                  <c:v>gen-spl:F-mgv:6-sn:1.2k</c:v>
                </c:pt>
                <c:pt idx="3">
                  <c:v>gen-spl:T-mgv:6-sn:1.2k</c:v>
                </c:pt>
                <c:pt idx="4">
                  <c:v>cas-spl:F-mgv:6-sn:1.2k</c:v>
                </c:pt>
                <c:pt idx="5">
                  <c:v>cas-spl:T-mgv:6-sn:1.2k</c:v>
                </c:pt>
                <c:pt idx="6">
                  <c:v>plu-spl:F-mgv:6-sn:2k</c:v>
                </c:pt>
                <c:pt idx="7">
                  <c:v>plu-spl:T-mgv:6-sn:2k</c:v>
                </c:pt>
                <c:pt idx="8">
                  <c:v>gen-spl:F-mgv:6-sn:2k</c:v>
                </c:pt>
                <c:pt idx="9">
                  <c:v>gen-spl:T-mgv:6-sn:2k</c:v>
                </c:pt>
                <c:pt idx="10">
                  <c:v>cas-spl:F-mgv:6-sn:2k</c:v>
                </c:pt>
                <c:pt idx="11">
                  <c:v>cas-spl:T-mgv:6-sn:2k</c:v>
                </c:pt>
                <c:pt idx="12">
                  <c:v>plu-spl:F-mgv:6-sn:3k</c:v>
                </c:pt>
                <c:pt idx="13">
                  <c:v>plu-spl:T-mgv:6-sn:3k</c:v>
                </c:pt>
                <c:pt idx="14">
                  <c:v>gen-spl:F-mgv:6-sn:3k</c:v>
                </c:pt>
                <c:pt idx="15">
                  <c:v>gen-spl:T-mgv:6-sn:3k</c:v>
                </c:pt>
                <c:pt idx="16">
                  <c:v>cas-spl:F-mgv:6-sn:3k</c:v>
                </c:pt>
                <c:pt idx="17">
                  <c:v>cas-spl:T-mgv:6-sn:3k</c:v>
                </c:pt>
              </c:strCache>
            </c:strRef>
          </c:cat>
          <c:val>
            <c:numRef>
              <c:f>summarized!$O$2:$O$55</c:f>
              <c:numCache>
                <c:formatCode>0.00</c:formatCode>
                <c:ptCount val="18"/>
                <c:pt idx="0">
                  <c:v>0.61</c:v>
                </c:pt>
                <c:pt idx="1">
                  <c:v>0.62</c:v>
                </c:pt>
                <c:pt idx="2">
                  <c:v>0.69</c:v>
                </c:pt>
                <c:pt idx="3">
                  <c:v>0.72</c:v>
                </c:pt>
                <c:pt idx="4">
                  <c:v>0.97</c:v>
                </c:pt>
                <c:pt idx="5">
                  <c:v>0.97</c:v>
                </c:pt>
                <c:pt idx="6">
                  <c:v>0.67</c:v>
                </c:pt>
                <c:pt idx="7">
                  <c:v>0.69</c:v>
                </c:pt>
                <c:pt idx="8">
                  <c:v>0.74</c:v>
                </c:pt>
                <c:pt idx="9">
                  <c:v>0.78</c:v>
                </c:pt>
                <c:pt idx="10">
                  <c:v>0.97</c:v>
                </c:pt>
                <c:pt idx="11">
                  <c:v>0.97</c:v>
                </c:pt>
                <c:pt idx="12">
                  <c:v>0.67</c:v>
                </c:pt>
                <c:pt idx="13">
                  <c:v>0.7</c:v>
                </c:pt>
                <c:pt idx="14">
                  <c:v>0.76</c:v>
                </c:pt>
                <c:pt idx="15">
                  <c:v>0.76</c:v>
                </c:pt>
                <c:pt idx="16">
                  <c:v>0.97</c:v>
                </c:pt>
                <c:pt idx="17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2D-D640-8EE8-0264BF62F556}"/>
            </c:ext>
          </c:extLst>
        </c:ser>
        <c:ser>
          <c:idx val="6"/>
          <c:order val="6"/>
          <c:tx>
            <c:strRef>
              <c:f>summarized!$P$1</c:f>
              <c:strCache>
                <c:ptCount val="1"/>
                <c:pt idx="0">
                  <c:v>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plu-spl:F-mgv:6-sn:1.2k</c:v>
                </c:pt>
                <c:pt idx="1">
                  <c:v>plu-spl:T-mgv:6-sn:1.2k</c:v>
                </c:pt>
                <c:pt idx="2">
                  <c:v>gen-spl:F-mgv:6-sn:1.2k</c:v>
                </c:pt>
                <c:pt idx="3">
                  <c:v>gen-spl:T-mgv:6-sn:1.2k</c:v>
                </c:pt>
                <c:pt idx="4">
                  <c:v>cas-spl:F-mgv:6-sn:1.2k</c:v>
                </c:pt>
                <c:pt idx="5">
                  <c:v>cas-spl:T-mgv:6-sn:1.2k</c:v>
                </c:pt>
                <c:pt idx="6">
                  <c:v>plu-spl:F-mgv:6-sn:2k</c:v>
                </c:pt>
                <c:pt idx="7">
                  <c:v>plu-spl:T-mgv:6-sn:2k</c:v>
                </c:pt>
                <c:pt idx="8">
                  <c:v>gen-spl:F-mgv:6-sn:2k</c:v>
                </c:pt>
                <c:pt idx="9">
                  <c:v>gen-spl:T-mgv:6-sn:2k</c:v>
                </c:pt>
                <c:pt idx="10">
                  <c:v>cas-spl:F-mgv:6-sn:2k</c:v>
                </c:pt>
                <c:pt idx="11">
                  <c:v>cas-spl:T-mgv:6-sn:2k</c:v>
                </c:pt>
                <c:pt idx="12">
                  <c:v>plu-spl:F-mgv:6-sn:3k</c:v>
                </c:pt>
                <c:pt idx="13">
                  <c:v>plu-spl:T-mgv:6-sn:3k</c:v>
                </c:pt>
                <c:pt idx="14">
                  <c:v>gen-spl:F-mgv:6-sn:3k</c:v>
                </c:pt>
                <c:pt idx="15">
                  <c:v>gen-spl:T-mgv:6-sn:3k</c:v>
                </c:pt>
                <c:pt idx="16">
                  <c:v>cas-spl:F-mgv:6-sn:3k</c:v>
                </c:pt>
                <c:pt idx="17">
                  <c:v>cas-spl:T-mgv:6-sn:3k</c:v>
                </c:pt>
              </c:strCache>
            </c:strRef>
          </c:cat>
          <c:val>
            <c:numRef>
              <c:f>summarized!$P$2:$P$55</c:f>
              <c:numCache>
                <c:formatCode>0.00</c:formatCode>
                <c:ptCount val="18"/>
                <c:pt idx="0">
                  <c:v>0.59</c:v>
                </c:pt>
                <c:pt idx="1">
                  <c:v>0.71</c:v>
                </c:pt>
                <c:pt idx="2">
                  <c:v>0.68</c:v>
                </c:pt>
                <c:pt idx="3">
                  <c:v>0.75</c:v>
                </c:pt>
                <c:pt idx="4">
                  <c:v>1</c:v>
                </c:pt>
                <c:pt idx="5">
                  <c:v>1</c:v>
                </c:pt>
                <c:pt idx="6">
                  <c:v>0.69</c:v>
                </c:pt>
                <c:pt idx="7">
                  <c:v>0.71</c:v>
                </c:pt>
                <c:pt idx="8">
                  <c:v>0.71</c:v>
                </c:pt>
                <c:pt idx="9">
                  <c:v>0.75</c:v>
                </c:pt>
                <c:pt idx="10">
                  <c:v>0.96</c:v>
                </c:pt>
                <c:pt idx="11">
                  <c:v>0.96</c:v>
                </c:pt>
                <c:pt idx="12">
                  <c:v>0.72</c:v>
                </c:pt>
                <c:pt idx="13">
                  <c:v>0.76</c:v>
                </c:pt>
                <c:pt idx="14">
                  <c:v>0.68</c:v>
                </c:pt>
                <c:pt idx="15">
                  <c:v>0.79</c:v>
                </c:pt>
                <c:pt idx="16">
                  <c:v>0.97</c:v>
                </c:pt>
                <c:pt idx="17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2D-D640-8EE8-0264BF62F556}"/>
            </c:ext>
          </c:extLst>
        </c:ser>
        <c:ser>
          <c:idx val="7"/>
          <c:order val="7"/>
          <c:tx>
            <c:strRef>
              <c:f>summarized!$Q$1</c:f>
              <c:strCache>
                <c:ptCount val="1"/>
                <c:pt idx="0">
                  <c:v>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plu-spl:F-mgv:6-sn:1.2k</c:v>
                </c:pt>
                <c:pt idx="1">
                  <c:v>plu-spl:T-mgv:6-sn:1.2k</c:v>
                </c:pt>
                <c:pt idx="2">
                  <c:v>gen-spl:F-mgv:6-sn:1.2k</c:v>
                </c:pt>
                <c:pt idx="3">
                  <c:v>gen-spl:T-mgv:6-sn:1.2k</c:v>
                </c:pt>
                <c:pt idx="4">
                  <c:v>cas-spl:F-mgv:6-sn:1.2k</c:v>
                </c:pt>
                <c:pt idx="5">
                  <c:v>cas-spl:T-mgv:6-sn:1.2k</c:v>
                </c:pt>
                <c:pt idx="6">
                  <c:v>plu-spl:F-mgv:6-sn:2k</c:v>
                </c:pt>
                <c:pt idx="7">
                  <c:v>plu-spl:T-mgv:6-sn:2k</c:v>
                </c:pt>
                <c:pt idx="8">
                  <c:v>gen-spl:F-mgv:6-sn:2k</c:v>
                </c:pt>
                <c:pt idx="9">
                  <c:v>gen-spl:T-mgv:6-sn:2k</c:v>
                </c:pt>
                <c:pt idx="10">
                  <c:v>cas-spl:F-mgv:6-sn:2k</c:v>
                </c:pt>
                <c:pt idx="11">
                  <c:v>cas-spl:T-mgv:6-sn:2k</c:v>
                </c:pt>
                <c:pt idx="12">
                  <c:v>plu-spl:F-mgv:6-sn:3k</c:v>
                </c:pt>
                <c:pt idx="13">
                  <c:v>plu-spl:T-mgv:6-sn:3k</c:v>
                </c:pt>
                <c:pt idx="14">
                  <c:v>gen-spl:F-mgv:6-sn:3k</c:v>
                </c:pt>
                <c:pt idx="15">
                  <c:v>gen-spl:T-mgv:6-sn:3k</c:v>
                </c:pt>
                <c:pt idx="16">
                  <c:v>cas-spl:F-mgv:6-sn:3k</c:v>
                </c:pt>
                <c:pt idx="17">
                  <c:v>cas-spl:T-mgv:6-sn:3k</c:v>
                </c:pt>
              </c:strCache>
            </c:strRef>
          </c:cat>
          <c:val>
            <c:numRef>
              <c:f>summarized!$Q$2:$Q$55</c:f>
              <c:numCache>
                <c:formatCode>0.00</c:formatCode>
                <c:ptCount val="18"/>
                <c:pt idx="0">
                  <c:v>0.7</c:v>
                </c:pt>
                <c:pt idx="1">
                  <c:v>0.68</c:v>
                </c:pt>
                <c:pt idx="2">
                  <c:v>0.83</c:v>
                </c:pt>
                <c:pt idx="3">
                  <c:v>0.77</c:v>
                </c:pt>
                <c:pt idx="4">
                  <c:v>0.99</c:v>
                </c:pt>
                <c:pt idx="5">
                  <c:v>0.99</c:v>
                </c:pt>
                <c:pt idx="6">
                  <c:v>0.74</c:v>
                </c:pt>
                <c:pt idx="7">
                  <c:v>0.75</c:v>
                </c:pt>
                <c:pt idx="8">
                  <c:v>0.76</c:v>
                </c:pt>
                <c:pt idx="9">
                  <c:v>0.81</c:v>
                </c:pt>
                <c:pt idx="10">
                  <c:v>0.94</c:v>
                </c:pt>
                <c:pt idx="11">
                  <c:v>0.95</c:v>
                </c:pt>
                <c:pt idx="12">
                  <c:v>0.7</c:v>
                </c:pt>
                <c:pt idx="13">
                  <c:v>0.72</c:v>
                </c:pt>
                <c:pt idx="14">
                  <c:v>0.77</c:v>
                </c:pt>
                <c:pt idx="15">
                  <c:v>0.82</c:v>
                </c:pt>
                <c:pt idx="16">
                  <c:v>0.97</c:v>
                </c:pt>
                <c:pt idx="17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A2D-D640-8EE8-0264BF62F556}"/>
            </c:ext>
          </c:extLst>
        </c:ser>
        <c:ser>
          <c:idx val="8"/>
          <c:order val="8"/>
          <c:tx>
            <c:strRef>
              <c:f>summarized!$R$1</c:f>
              <c:strCache>
                <c:ptCount val="1"/>
                <c:pt idx="0">
                  <c:v>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plu-spl:F-mgv:6-sn:1.2k</c:v>
                </c:pt>
                <c:pt idx="1">
                  <c:v>plu-spl:T-mgv:6-sn:1.2k</c:v>
                </c:pt>
                <c:pt idx="2">
                  <c:v>gen-spl:F-mgv:6-sn:1.2k</c:v>
                </c:pt>
                <c:pt idx="3">
                  <c:v>gen-spl:T-mgv:6-sn:1.2k</c:v>
                </c:pt>
                <c:pt idx="4">
                  <c:v>cas-spl:F-mgv:6-sn:1.2k</c:v>
                </c:pt>
                <c:pt idx="5">
                  <c:v>cas-spl:T-mgv:6-sn:1.2k</c:v>
                </c:pt>
                <c:pt idx="6">
                  <c:v>plu-spl:F-mgv:6-sn:2k</c:v>
                </c:pt>
                <c:pt idx="7">
                  <c:v>plu-spl:T-mgv:6-sn:2k</c:v>
                </c:pt>
                <c:pt idx="8">
                  <c:v>gen-spl:F-mgv:6-sn:2k</c:v>
                </c:pt>
                <c:pt idx="9">
                  <c:v>gen-spl:T-mgv:6-sn:2k</c:v>
                </c:pt>
                <c:pt idx="10">
                  <c:v>cas-spl:F-mgv:6-sn:2k</c:v>
                </c:pt>
                <c:pt idx="11">
                  <c:v>cas-spl:T-mgv:6-sn:2k</c:v>
                </c:pt>
                <c:pt idx="12">
                  <c:v>plu-spl:F-mgv:6-sn:3k</c:v>
                </c:pt>
                <c:pt idx="13">
                  <c:v>plu-spl:T-mgv:6-sn:3k</c:v>
                </c:pt>
                <c:pt idx="14">
                  <c:v>gen-spl:F-mgv:6-sn:3k</c:v>
                </c:pt>
                <c:pt idx="15">
                  <c:v>gen-spl:T-mgv:6-sn:3k</c:v>
                </c:pt>
                <c:pt idx="16">
                  <c:v>cas-spl:F-mgv:6-sn:3k</c:v>
                </c:pt>
                <c:pt idx="17">
                  <c:v>cas-spl:T-mgv:6-sn:3k</c:v>
                </c:pt>
              </c:strCache>
            </c:strRef>
          </c:cat>
          <c:val>
            <c:numRef>
              <c:f>summarized!$R$2:$R$55</c:f>
              <c:numCache>
                <c:formatCode>0.00</c:formatCode>
                <c:ptCount val="18"/>
                <c:pt idx="0">
                  <c:v>0.68</c:v>
                </c:pt>
                <c:pt idx="1">
                  <c:v>0.68</c:v>
                </c:pt>
                <c:pt idx="2">
                  <c:v>0.75</c:v>
                </c:pt>
                <c:pt idx="3">
                  <c:v>0.81</c:v>
                </c:pt>
                <c:pt idx="4">
                  <c:v>0.96</c:v>
                </c:pt>
                <c:pt idx="5">
                  <c:v>0.96</c:v>
                </c:pt>
                <c:pt idx="6">
                  <c:v>0.7</c:v>
                </c:pt>
                <c:pt idx="7">
                  <c:v>0.72</c:v>
                </c:pt>
                <c:pt idx="8">
                  <c:v>0.69</c:v>
                </c:pt>
                <c:pt idx="9">
                  <c:v>0.74</c:v>
                </c:pt>
                <c:pt idx="10">
                  <c:v>0.96</c:v>
                </c:pt>
                <c:pt idx="11">
                  <c:v>0.96</c:v>
                </c:pt>
                <c:pt idx="12">
                  <c:v>0.69</c:v>
                </c:pt>
                <c:pt idx="13">
                  <c:v>0.73</c:v>
                </c:pt>
                <c:pt idx="14">
                  <c:v>0.78</c:v>
                </c:pt>
                <c:pt idx="15">
                  <c:v>0.84</c:v>
                </c:pt>
                <c:pt idx="16">
                  <c:v>0.94</c:v>
                </c:pt>
                <c:pt idx="17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2D-D640-8EE8-0264BF62F556}"/>
            </c:ext>
          </c:extLst>
        </c:ser>
        <c:ser>
          <c:idx val="9"/>
          <c:order val="9"/>
          <c:tx>
            <c:strRef>
              <c:f>summarized!$S$1</c:f>
              <c:strCache>
                <c:ptCount val="1"/>
                <c:pt idx="0">
                  <c:v>xsk2g-hash-at-both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plu-spl:F-mgv:6-sn:1.2k</c:v>
                </c:pt>
                <c:pt idx="1">
                  <c:v>plu-spl:T-mgv:6-sn:1.2k</c:v>
                </c:pt>
                <c:pt idx="2">
                  <c:v>gen-spl:F-mgv:6-sn:1.2k</c:v>
                </c:pt>
                <c:pt idx="3">
                  <c:v>gen-spl:T-mgv:6-sn:1.2k</c:v>
                </c:pt>
                <c:pt idx="4">
                  <c:v>cas-spl:F-mgv:6-sn:1.2k</c:v>
                </c:pt>
                <c:pt idx="5">
                  <c:v>cas-spl:T-mgv:6-sn:1.2k</c:v>
                </c:pt>
                <c:pt idx="6">
                  <c:v>plu-spl:F-mgv:6-sn:2k</c:v>
                </c:pt>
                <c:pt idx="7">
                  <c:v>plu-spl:T-mgv:6-sn:2k</c:v>
                </c:pt>
                <c:pt idx="8">
                  <c:v>gen-spl:F-mgv:6-sn:2k</c:v>
                </c:pt>
                <c:pt idx="9">
                  <c:v>gen-spl:T-mgv:6-sn:2k</c:v>
                </c:pt>
                <c:pt idx="10">
                  <c:v>cas-spl:F-mgv:6-sn:2k</c:v>
                </c:pt>
                <c:pt idx="11">
                  <c:v>cas-spl:T-mgv:6-sn:2k</c:v>
                </c:pt>
                <c:pt idx="12">
                  <c:v>plu-spl:F-mgv:6-sn:3k</c:v>
                </c:pt>
                <c:pt idx="13">
                  <c:v>plu-spl:T-mgv:6-sn:3k</c:v>
                </c:pt>
                <c:pt idx="14">
                  <c:v>gen-spl:F-mgv:6-sn:3k</c:v>
                </c:pt>
                <c:pt idx="15">
                  <c:v>gen-spl:T-mgv:6-sn:3k</c:v>
                </c:pt>
                <c:pt idx="16">
                  <c:v>cas-spl:F-mgv:6-sn:3k</c:v>
                </c:pt>
                <c:pt idx="17">
                  <c:v>cas-spl:T-mgv:6-sn:3k</c:v>
                </c:pt>
              </c:strCache>
            </c:strRef>
          </c:cat>
          <c:val>
            <c:numRef>
              <c:f>summarized!$S$2:$S$55</c:f>
              <c:numCache>
                <c:formatCode>0.00</c:formatCode>
                <c:ptCount val="18"/>
                <c:pt idx="0">
                  <c:v>0.63</c:v>
                </c:pt>
                <c:pt idx="1">
                  <c:v>0.65</c:v>
                </c:pt>
                <c:pt idx="2">
                  <c:v>0.68</c:v>
                </c:pt>
                <c:pt idx="3">
                  <c:v>0.73</c:v>
                </c:pt>
                <c:pt idx="4">
                  <c:v>0.94</c:v>
                </c:pt>
                <c:pt idx="5">
                  <c:v>0.94</c:v>
                </c:pt>
                <c:pt idx="6">
                  <c:v>0.62</c:v>
                </c:pt>
                <c:pt idx="7">
                  <c:v>0.63</c:v>
                </c:pt>
                <c:pt idx="8">
                  <c:v>0.77</c:v>
                </c:pt>
                <c:pt idx="9">
                  <c:v>0.83</c:v>
                </c:pt>
                <c:pt idx="10">
                  <c:v>0.97</c:v>
                </c:pt>
                <c:pt idx="11">
                  <c:v>0.97</c:v>
                </c:pt>
                <c:pt idx="12">
                  <c:v>0.67</c:v>
                </c:pt>
                <c:pt idx="13">
                  <c:v>0.71</c:v>
                </c:pt>
                <c:pt idx="14">
                  <c:v>0.74</c:v>
                </c:pt>
                <c:pt idx="15">
                  <c:v>0.78</c:v>
                </c:pt>
                <c:pt idx="16">
                  <c:v>0.96</c:v>
                </c:pt>
                <c:pt idx="17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A2D-D640-8EE8-0264BF62F556}"/>
            </c:ext>
          </c:extLst>
        </c:ser>
        <c:ser>
          <c:idx val="10"/>
          <c:order val="10"/>
          <c:tx>
            <c:strRef>
              <c:f>summarized!$T$1</c:f>
              <c:strCache>
                <c:ptCount val="1"/>
                <c:pt idx="0">
                  <c:v>xsk3g-hash-at-both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plu-spl:F-mgv:6-sn:1.2k</c:v>
                </c:pt>
                <c:pt idx="1">
                  <c:v>plu-spl:T-mgv:6-sn:1.2k</c:v>
                </c:pt>
                <c:pt idx="2">
                  <c:v>gen-spl:F-mgv:6-sn:1.2k</c:v>
                </c:pt>
                <c:pt idx="3">
                  <c:v>gen-spl:T-mgv:6-sn:1.2k</c:v>
                </c:pt>
                <c:pt idx="4">
                  <c:v>cas-spl:F-mgv:6-sn:1.2k</c:v>
                </c:pt>
                <c:pt idx="5">
                  <c:v>cas-spl:T-mgv:6-sn:1.2k</c:v>
                </c:pt>
                <c:pt idx="6">
                  <c:v>plu-spl:F-mgv:6-sn:2k</c:v>
                </c:pt>
                <c:pt idx="7">
                  <c:v>plu-spl:T-mgv:6-sn:2k</c:v>
                </c:pt>
                <c:pt idx="8">
                  <c:v>gen-spl:F-mgv:6-sn:2k</c:v>
                </c:pt>
                <c:pt idx="9">
                  <c:v>gen-spl:T-mgv:6-sn:2k</c:v>
                </c:pt>
                <c:pt idx="10">
                  <c:v>cas-spl:F-mgv:6-sn:2k</c:v>
                </c:pt>
                <c:pt idx="11">
                  <c:v>cas-spl:T-mgv:6-sn:2k</c:v>
                </c:pt>
                <c:pt idx="12">
                  <c:v>plu-spl:F-mgv:6-sn:3k</c:v>
                </c:pt>
                <c:pt idx="13">
                  <c:v>plu-spl:T-mgv:6-sn:3k</c:v>
                </c:pt>
                <c:pt idx="14">
                  <c:v>gen-spl:F-mgv:6-sn:3k</c:v>
                </c:pt>
                <c:pt idx="15">
                  <c:v>gen-spl:T-mgv:6-sn:3k</c:v>
                </c:pt>
                <c:pt idx="16">
                  <c:v>cas-spl:F-mgv:6-sn:3k</c:v>
                </c:pt>
                <c:pt idx="17">
                  <c:v>cas-spl:T-mgv:6-sn:3k</c:v>
                </c:pt>
              </c:strCache>
            </c:strRef>
          </c:cat>
          <c:val>
            <c:numRef>
              <c:f>summarized!$T$2:$T$55</c:f>
              <c:numCache>
                <c:formatCode>0.00</c:formatCode>
                <c:ptCount val="18"/>
                <c:pt idx="0">
                  <c:v>0.62</c:v>
                </c:pt>
                <c:pt idx="1">
                  <c:v>0.64</c:v>
                </c:pt>
                <c:pt idx="2">
                  <c:v>0.75</c:v>
                </c:pt>
                <c:pt idx="3">
                  <c:v>0.74</c:v>
                </c:pt>
                <c:pt idx="4">
                  <c:v>0.97</c:v>
                </c:pt>
                <c:pt idx="5">
                  <c:v>0.97</c:v>
                </c:pt>
                <c:pt idx="6">
                  <c:v>0.72</c:v>
                </c:pt>
                <c:pt idx="7">
                  <c:v>0.7</c:v>
                </c:pt>
                <c:pt idx="8">
                  <c:v>0.71</c:v>
                </c:pt>
                <c:pt idx="9">
                  <c:v>0.74</c:v>
                </c:pt>
                <c:pt idx="10">
                  <c:v>0.95</c:v>
                </c:pt>
                <c:pt idx="11">
                  <c:v>0.95</c:v>
                </c:pt>
                <c:pt idx="12">
                  <c:v>0.67</c:v>
                </c:pt>
                <c:pt idx="13">
                  <c:v>0.66</c:v>
                </c:pt>
                <c:pt idx="14">
                  <c:v>0.71</c:v>
                </c:pt>
                <c:pt idx="15">
                  <c:v>0.74</c:v>
                </c:pt>
                <c:pt idx="16">
                  <c:v>0.97</c:v>
                </c:pt>
                <c:pt idx="17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2D-D640-8EE8-0264BF62F556}"/>
            </c:ext>
          </c:extLst>
        </c:ser>
        <c:ser>
          <c:idx val="11"/>
          <c:order val="11"/>
          <c:tx>
            <c:strRef>
              <c:f>summarized!$U$1</c:f>
              <c:strCache>
                <c:ptCount val="1"/>
                <c:pt idx="0">
                  <c:v>xsk4g-hash-at-both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plu-spl:F-mgv:6-sn:1.2k</c:v>
                </c:pt>
                <c:pt idx="1">
                  <c:v>plu-spl:T-mgv:6-sn:1.2k</c:v>
                </c:pt>
                <c:pt idx="2">
                  <c:v>gen-spl:F-mgv:6-sn:1.2k</c:v>
                </c:pt>
                <c:pt idx="3">
                  <c:v>gen-spl:T-mgv:6-sn:1.2k</c:v>
                </c:pt>
                <c:pt idx="4">
                  <c:v>cas-spl:F-mgv:6-sn:1.2k</c:v>
                </c:pt>
                <c:pt idx="5">
                  <c:v>cas-spl:T-mgv:6-sn:1.2k</c:v>
                </c:pt>
                <c:pt idx="6">
                  <c:v>plu-spl:F-mgv:6-sn:2k</c:v>
                </c:pt>
                <c:pt idx="7">
                  <c:v>plu-spl:T-mgv:6-sn:2k</c:v>
                </c:pt>
                <c:pt idx="8">
                  <c:v>gen-spl:F-mgv:6-sn:2k</c:v>
                </c:pt>
                <c:pt idx="9">
                  <c:v>gen-spl:T-mgv:6-sn:2k</c:v>
                </c:pt>
                <c:pt idx="10">
                  <c:v>cas-spl:F-mgv:6-sn:2k</c:v>
                </c:pt>
                <c:pt idx="11">
                  <c:v>cas-spl:T-mgv:6-sn:2k</c:v>
                </c:pt>
                <c:pt idx="12">
                  <c:v>plu-spl:F-mgv:6-sn:3k</c:v>
                </c:pt>
                <c:pt idx="13">
                  <c:v>plu-spl:T-mgv:6-sn:3k</c:v>
                </c:pt>
                <c:pt idx="14">
                  <c:v>gen-spl:F-mgv:6-sn:3k</c:v>
                </c:pt>
                <c:pt idx="15">
                  <c:v>gen-spl:T-mgv:6-sn:3k</c:v>
                </c:pt>
                <c:pt idx="16">
                  <c:v>cas-spl:F-mgv:6-sn:3k</c:v>
                </c:pt>
                <c:pt idx="17">
                  <c:v>cas-spl:T-mgv:6-sn:3k</c:v>
                </c:pt>
              </c:strCache>
            </c:strRef>
          </c:cat>
          <c:val>
            <c:numRef>
              <c:f>summarized!$U$2:$U$55</c:f>
              <c:numCache>
                <c:formatCode>0.00</c:formatCode>
                <c:ptCount val="18"/>
                <c:pt idx="0">
                  <c:v>0.62</c:v>
                </c:pt>
                <c:pt idx="1">
                  <c:v>0.66</c:v>
                </c:pt>
                <c:pt idx="2">
                  <c:v>0.77</c:v>
                </c:pt>
                <c:pt idx="3">
                  <c:v>0.77</c:v>
                </c:pt>
                <c:pt idx="4">
                  <c:v>0.97</c:v>
                </c:pt>
                <c:pt idx="5">
                  <c:v>0.97</c:v>
                </c:pt>
                <c:pt idx="6">
                  <c:v>0.67</c:v>
                </c:pt>
                <c:pt idx="7">
                  <c:v>0.68</c:v>
                </c:pt>
                <c:pt idx="8">
                  <c:v>0.75</c:v>
                </c:pt>
                <c:pt idx="9">
                  <c:v>0.77</c:v>
                </c:pt>
                <c:pt idx="10">
                  <c:v>0.96</c:v>
                </c:pt>
                <c:pt idx="11">
                  <c:v>0.96</c:v>
                </c:pt>
                <c:pt idx="12">
                  <c:v>0.67</c:v>
                </c:pt>
                <c:pt idx="13">
                  <c:v>0.71</c:v>
                </c:pt>
                <c:pt idx="14">
                  <c:v>0.73</c:v>
                </c:pt>
                <c:pt idx="15">
                  <c:v>0.75</c:v>
                </c:pt>
                <c:pt idx="16">
                  <c:v>0.98</c:v>
                </c:pt>
                <c:pt idx="17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A2D-D640-8EE8-0264BF62F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732496"/>
        <c:axId val="930492416"/>
      </c:lineChart>
      <c:catAx>
        <c:axId val="64673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30492416"/>
        <c:crosses val="autoZero"/>
        <c:auto val="1"/>
        <c:lblAlgn val="ctr"/>
        <c:lblOffset val="100"/>
        <c:noMultiLvlLbl val="0"/>
      </c:catAx>
      <c:valAx>
        <c:axId val="93049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64673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Irish</a:t>
            </a:r>
            <a:r>
              <a:rPr lang="ja-JP" altLang="en-US"/>
              <a:t> </a:t>
            </a:r>
            <a:r>
              <a:rPr lang="en-US" altLang="ja-JP"/>
              <a:t>xsk-based</a:t>
            </a:r>
            <a:r>
              <a:rPr lang="ja-JP" altLang="en-US"/>
              <a:t> </a:t>
            </a:r>
            <a:r>
              <a:rPr lang="en-US" altLang="ja-JP"/>
              <a:t>sample</a:t>
            </a:r>
            <a:r>
              <a:rPr lang="ja-JP" altLang="en-US"/>
              <a:t> </a:t>
            </a:r>
            <a:r>
              <a:rPr lang="en-US" altLang="ja-JP"/>
              <a:t>3k,</a:t>
            </a:r>
            <a:r>
              <a:rPr lang="ja-JP" altLang="en-US" baseline="0"/>
              <a:t> </a:t>
            </a:r>
            <a:r>
              <a:rPr lang="en-US" altLang="ja-JP" baseline="0"/>
              <a:t>mgv</a:t>
            </a:r>
            <a:r>
              <a:rPr lang="ja-JP" altLang="en-US" baseline="0"/>
              <a:t> </a:t>
            </a:r>
            <a:r>
              <a:rPr lang="en-US" altLang="ja-JP" baseline="0"/>
              <a:t>=</a:t>
            </a:r>
            <a:r>
              <a:rPr lang="ja-JP" altLang="en-US" baseline="0"/>
              <a:t> </a:t>
            </a:r>
            <a:r>
              <a:rPr lang="en-US" altLang="ja-JP" baseline="0"/>
              <a:t>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'xsk-3k-mgv9'!$G$23</c:f>
              <c:strCache>
                <c:ptCount val="1"/>
                <c:pt idx="0">
                  <c:v>plurality-TRUE-max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'xsk-3k-mgv9'!$H$22:$S$22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'xsk-3k-mgv9'!$H$23:$S$23</c:f>
              <c:numCache>
                <c:formatCode>0.00</c:formatCode>
                <c:ptCount val="12"/>
                <c:pt idx="0">
                  <c:v>0.74</c:v>
                </c:pt>
                <c:pt idx="1">
                  <c:v>0.74</c:v>
                </c:pt>
                <c:pt idx="2">
                  <c:v>0.68</c:v>
                </c:pt>
                <c:pt idx="3">
                  <c:v>0.69</c:v>
                </c:pt>
                <c:pt idx="4">
                  <c:v>0.68</c:v>
                </c:pt>
                <c:pt idx="5">
                  <c:v>0.66</c:v>
                </c:pt>
                <c:pt idx="6">
                  <c:v>0.7</c:v>
                </c:pt>
                <c:pt idx="7">
                  <c:v>0.68</c:v>
                </c:pt>
                <c:pt idx="8">
                  <c:v>0.72</c:v>
                </c:pt>
                <c:pt idx="9">
                  <c:v>0.7</c:v>
                </c:pt>
                <c:pt idx="10">
                  <c:v>0.71</c:v>
                </c:pt>
                <c:pt idx="11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12-7741-B2C5-D669729D738E}"/>
            </c:ext>
          </c:extLst>
        </c:ser>
        <c:ser>
          <c:idx val="1"/>
          <c:order val="1"/>
          <c:tx>
            <c:strRef>
              <c:f>'xsk-3k-mgv9'!$G$24</c:f>
              <c:strCache>
                <c:ptCount val="1"/>
                <c:pt idx="0">
                  <c:v>plurality-FALSE-max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'xsk-3k-mgv9'!$H$22:$S$22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'xsk-3k-mgv9'!$H$24:$S$24</c:f>
              <c:numCache>
                <c:formatCode>0.00</c:formatCode>
                <c:ptCount val="12"/>
                <c:pt idx="0">
                  <c:v>0.74</c:v>
                </c:pt>
                <c:pt idx="1">
                  <c:v>0.71</c:v>
                </c:pt>
                <c:pt idx="2">
                  <c:v>0.65</c:v>
                </c:pt>
                <c:pt idx="3">
                  <c:v>0.65</c:v>
                </c:pt>
                <c:pt idx="4">
                  <c:v>0.68</c:v>
                </c:pt>
                <c:pt idx="5">
                  <c:v>0.64</c:v>
                </c:pt>
                <c:pt idx="6">
                  <c:v>0.62</c:v>
                </c:pt>
                <c:pt idx="7">
                  <c:v>0.62</c:v>
                </c:pt>
                <c:pt idx="8">
                  <c:v>0.7</c:v>
                </c:pt>
                <c:pt idx="9">
                  <c:v>0.69</c:v>
                </c:pt>
                <c:pt idx="10">
                  <c:v>0.71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12-7741-B2C5-D669729D738E}"/>
            </c:ext>
          </c:extLst>
        </c:ser>
        <c:ser>
          <c:idx val="2"/>
          <c:order val="2"/>
          <c:tx>
            <c:strRef>
              <c:f>'xsk-3k-mgv9'!$G$25</c:f>
              <c:strCache>
                <c:ptCount val="1"/>
                <c:pt idx="0">
                  <c:v>gender-TRUE-max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'xsk-3k-mgv9'!$H$22:$S$22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'xsk-3k-mgv9'!$H$25:$S$25</c:f>
              <c:numCache>
                <c:formatCode>0.00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0.81</c:v>
                </c:pt>
                <c:pt idx="4">
                  <c:v>0.78</c:v>
                </c:pt>
                <c:pt idx="5">
                  <c:v>0.76</c:v>
                </c:pt>
                <c:pt idx="6">
                  <c:v>0.8</c:v>
                </c:pt>
                <c:pt idx="7">
                  <c:v>0.77</c:v>
                </c:pt>
                <c:pt idx="8">
                  <c:v>0.8</c:v>
                </c:pt>
                <c:pt idx="9">
                  <c:v>0.77</c:v>
                </c:pt>
                <c:pt idx="10">
                  <c:v>0.8</c:v>
                </c:pt>
                <c:pt idx="1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12-7741-B2C5-D669729D738E}"/>
            </c:ext>
          </c:extLst>
        </c:ser>
        <c:ser>
          <c:idx val="3"/>
          <c:order val="3"/>
          <c:tx>
            <c:strRef>
              <c:f>'xsk-3k-mgv9'!$G$26</c:f>
              <c:strCache>
                <c:ptCount val="1"/>
                <c:pt idx="0">
                  <c:v>gender-FALSE-max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'xsk-3k-mgv9'!$H$26:$S$26</c:f>
              <c:numCache>
                <c:formatCode>0.00</c:formatCode>
                <c:ptCount val="12"/>
                <c:pt idx="0">
                  <c:v>0.76</c:v>
                </c:pt>
                <c:pt idx="1">
                  <c:v>0.76</c:v>
                </c:pt>
                <c:pt idx="2">
                  <c:v>0.74</c:v>
                </c:pt>
                <c:pt idx="3">
                  <c:v>0.76</c:v>
                </c:pt>
                <c:pt idx="4">
                  <c:v>0.78</c:v>
                </c:pt>
                <c:pt idx="5">
                  <c:v>0.75</c:v>
                </c:pt>
                <c:pt idx="6">
                  <c:v>0.72</c:v>
                </c:pt>
                <c:pt idx="7">
                  <c:v>0.73</c:v>
                </c:pt>
                <c:pt idx="8">
                  <c:v>0.76</c:v>
                </c:pt>
                <c:pt idx="9">
                  <c:v>0.76</c:v>
                </c:pt>
                <c:pt idx="10">
                  <c:v>0.82</c:v>
                </c:pt>
                <c:pt idx="1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12-7741-B2C5-D669729D738E}"/>
            </c:ext>
          </c:extLst>
        </c:ser>
        <c:ser>
          <c:idx val="4"/>
          <c:order val="4"/>
          <c:tx>
            <c:strRef>
              <c:f>'xsk-3k-mgv9'!$G$27</c:f>
              <c:strCache>
                <c:ptCount val="1"/>
                <c:pt idx="0">
                  <c:v>case-TRUE-max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'xsk-3k-mgv9'!$H$27:$S$27</c:f>
              <c:numCache>
                <c:formatCode>0.00</c:formatCode>
                <c:ptCount val="12"/>
                <c:pt idx="0">
                  <c:v>0.98</c:v>
                </c:pt>
                <c:pt idx="1">
                  <c:v>0.97</c:v>
                </c:pt>
                <c:pt idx="2">
                  <c:v>0.98</c:v>
                </c:pt>
                <c:pt idx="3">
                  <c:v>0.98</c:v>
                </c:pt>
                <c:pt idx="4">
                  <c:v>0.97</c:v>
                </c:pt>
                <c:pt idx="5">
                  <c:v>0.97</c:v>
                </c:pt>
                <c:pt idx="6">
                  <c:v>0.96</c:v>
                </c:pt>
                <c:pt idx="7">
                  <c:v>0.98</c:v>
                </c:pt>
                <c:pt idx="8">
                  <c:v>0.98</c:v>
                </c:pt>
                <c:pt idx="9">
                  <c:v>0.96</c:v>
                </c:pt>
                <c:pt idx="10">
                  <c:v>0.97</c:v>
                </c:pt>
                <c:pt idx="1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12-7741-B2C5-D669729D738E}"/>
            </c:ext>
          </c:extLst>
        </c:ser>
        <c:ser>
          <c:idx val="5"/>
          <c:order val="5"/>
          <c:tx>
            <c:strRef>
              <c:f>'xsk-3k-mgv9'!$G$28</c:f>
              <c:strCache>
                <c:ptCount val="1"/>
                <c:pt idx="0">
                  <c:v>case-FALSE-max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'xsk-3k-mgv9'!$H$22:$S$22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'xsk-3k-mgv9'!$H$28:$S$28</c:f>
              <c:numCache>
                <c:formatCode>0.00</c:formatCode>
                <c:ptCount val="12"/>
                <c:pt idx="0">
                  <c:v>0.97</c:v>
                </c:pt>
                <c:pt idx="1">
                  <c:v>0.97</c:v>
                </c:pt>
                <c:pt idx="2">
                  <c:v>0.98</c:v>
                </c:pt>
                <c:pt idx="3">
                  <c:v>0.98</c:v>
                </c:pt>
                <c:pt idx="4">
                  <c:v>0.97</c:v>
                </c:pt>
                <c:pt idx="5">
                  <c:v>0.97</c:v>
                </c:pt>
                <c:pt idx="6">
                  <c:v>0.96</c:v>
                </c:pt>
                <c:pt idx="7">
                  <c:v>0.97</c:v>
                </c:pt>
                <c:pt idx="8">
                  <c:v>0.98</c:v>
                </c:pt>
                <c:pt idx="9">
                  <c:v>0.96</c:v>
                </c:pt>
                <c:pt idx="10">
                  <c:v>0.97</c:v>
                </c:pt>
                <c:pt idx="1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12-7741-B2C5-D669729D7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916320"/>
        <c:axId val="510422736"/>
      </c:lineChart>
      <c:catAx>
        <c:axId val="989916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510422736"/>
        <c:crosses val="autoZero"/>
        <c:auto val="1"/>
        <c:lblAlgn val="ctr"/>
        <c:lblOffset val="100"/>
        <c:noMultiLvlLbl val="0"/>
      </c:catAx>
      <c:valAx>
        <c:axId val="51042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899163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Irish</a:t>
            </a:r>
            <a:r>
              <a:rPr lang="ja-JP" altLang="en-US"/>
              <a:t> </a:t>
            </a:r>
            <a:r>
              <a:rPr lang="en-US" altLang="ja-JP"/>
              <a:t>xsk-based</a:t>
            </a:r>
            <a:r>
              <a:rPr lang="ja-JP" altLang="en-US"/>
              <a:t> </a:t>
            </a:r>
            <a:r>
              <a:rPr lang="en-US" altLang="ja-JP"/>
              <a:t>sample</a:t>
            </a:r>
            <a:r>
              <a:rPr lang="ja-JP" altLang="en-US"/>
              <a:t> </a:t>
            </a:r>
            <a:r>
              <a:rPr lang="en-US" altLang="ja-JP"/>
              <a:t>3k,</a:t>
            </a:r>
            <a:r>
              <a:rPr lang="ja-JP" altLang="en-US" baseline="0"/>
              <a:t> </a:t>
            </a:r>
            <a:r>
              <a:rPr lang="en-US" altLang="ja-JP" baseline="0"/>
              <a:t>mgv</a:t>
            </a:r>
            <a:r>
              <a:rPr lang="ja-JP" altLang="en-US" baseline="0"/>
              <a:t> </a:t>
            </a:r>
            <a:r>
              <a:rPr lang="en-US" altLang="ja-JP" baseline="0"/>
              <a:t>=</a:t>
            </a:r>
            <a:r>
              <a:rPr lang="ja-JP" altLang="en-US" baseline="0"/>
              <a:t> </a:t>
            </a:r>
            <a:r>
              <a:rPr lang="en-US" altLang="ja-JP" baseline="0"/>
              <a:t>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'xsk-3k-mgv3'!$G$23</c:f>
              <c:strCache>
                <c:ptCount val="1"/>
                <c:pt idx="0">
                  <c:v>plurality-TRUE-max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'xsk-3k-mgv3'!$H$22:$S$22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'xsk-3k-mgv3'!$H$23:$S$23</c:f>
              <c:numCache>
                <c:formatCode>0.00</c:formatCode>
                <c:ptCount val="12"/>
                <c:pt idx="0">
                  <c:v>0.74</c:v>
                </c:pt>
                <c:pt idx="1">
                  <c:v>0.7</c:v>
                </c:pt>
                <c:pt idx="2">
                  <c:v>0.72</c:v>
                </c:pt>
                <c:pt idx="3">
                  <c:v>0.73</c:v>
                </c:pt>
                <c:pt idx="4">
                  <c:v>0.71</c:v>
                </c:pt>
                <c:pt idx="5">
                  <c:v>0.68</c:v>
                </c:pt>
                <c:pt idx="6">
                  <c:v>0.73</c:v>
                </c:pt>
                <c:pt idx="7">
                  <c:v>0.69</c:v>
                </c:pt>
                <c:pt idx="8">
                  <c:v>0.72</c:v>
                </c:pt>
                <c:pt idx="9">
                  <c:v>0.75</c:v>
                </c:pt>
                <c:pt idx="10">
                  <c:v>0.68</c:v>
                </c:pt>
                <c:pt idx="1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D-274B-BF7E-652631462CCA}"/>
            </c:ext>
          </c:extLst>
        </c:ser>
        <c:ser>
          <c:idx val="1"/>
          <c:order val="1"/>
          <c:tx>
            <c:strRef>
              <c:f>'xsk-3k-mgv3'!$G$24</c:f>
              <c:strCache>
                <c:ptCount val="1"/>
                <c:pt idx="0">
                  <c:v>plurality-FALSE-max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'xsk-3k-mgv3'!$H$22:$S$22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'xsk-3k-mgv3'!$H$24:$S$24</c:f>
              <c:numCache>
                <c:formatCode>0.00</c:formatCode>
                <c:ptCount val="12"/>
                <c:pt idx="0">
                  <c:v>0.67</c:v>
                </c:pt>
                <c:pt idx="1">
                  <c:v>0.67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0.68</c:v>
                </c:pt>
                <c:pt idx="6">
                  <c:v>0.65</c:v>
                </c:pt>
                <c:pt idx="7">
                  <c:v>0.65</c:v>
                </c:pt>
                <c:pt idx="8">
                  <c:v>0.68</c:v>
                </c:pt>
                <c:pt idx="9">
                  <c:v>0.67</c:v>
                </c:pt>
                <c:pt idx="10">
                  <c:v>0.69</c:v>
                </c:pt>
                <c:pt idx="11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D-274B-BF7E-652631462CCA}"/>
            </c:ext>
          </c:extLst>
        </c:ser>
        <c:ser>
          <c:idx val="2"/>
          <c:order val="2"/>
          <c:tx>
            <c:strRef>
              <c:f>'xsk-3k-mgv3'!$G$25</c:f>
              <c:strCache>
                <c:ptCount val="1"/>
                <c:pt idx="0">
                  <c:v>gender-TRUE-max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'xsk-3k-mgv3'!$H$22:$S$22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'xsk-3k-mgv3'!$H$25:$S$25</c:f>
              <c:numCache>
                <c:formatCode>0.00</c:formatCode>
                <c:ptCount val="12"/>
                <c:pt idx="0">
                  <c:v>0.84</c:v>
                </c:pt>
                <c:pt idx="1">
                  <c:v>0.75</c:v>
                </c:pt>
                <c:pt idx="2">
                  <c:v>0.81</c:v>
                </c:pt>
                <c:pt idx="3">
                  <c:v>0.77</c:v>
                </c:pt>
                <c:pt idx="4">
                  <c:v>0.77</c:v>
                </c:pt>
                <c:pt idx="5">
                  <c:v>0.8</c:v>
                </c:pt>
                <c:pt idx="6">
                  <c:v>0.8</c:v>
                </c:pt>
                <c:pt idx="7">
                  <c:v>0.78</c:v>
                </c:pt>
                <c:pt idx="8">
                  <c:v>0.78</c:v>
                </c:pt>
                <c:pt idx="9">
                  <c:v>0.77</c:v>
                </c:pt>
                <c:pt idx="10">
                  <c:v>0.8</c:v>
                </c:pt>
                <c:pt idx="1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2D-274B-BF7E-652631462CCA}"/>
            </c:ext>
          </c:extLst>
        </c:ser>
        <c:ser>
          <c:idx val="3"/>
          <c:order val="3"/>
          <c:tx>
            <c:strRef>
              <c:f>'xsk-3k-mgv3'!$G$26</c:f>
              <c:strCache>
                <c:ptCount val="1"/>
                <c:pt idx="0">
                  <c:v>gender-FALSE-max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'xsk-3k-mgv3'!$H$26:$S$26</c:f>
              <c:numCache>
                <c:formatCode>0.00</c:formatCode>
                <c:ptCount val="12"/>
                <c:pt idx="0">
                  <c:v>0.74</c:v>
                </c:pt>
                <c:pt idx="1">
                  <c:v>0.73</c:v>
                </c:pt>
                <c:pt idx="2">
                  <c:v>0.77</c:v>
                </c:pt>
                <c:pt idx="3">
                  <c:v>0.76</c:v>
                </c:pt>
                <c:pt idx="4">
                  <c:v>0.76</c:v>
                </c:pt>
                <c:pt idx="5">
                  <c:v>0.78</c:v>
                </c:pt>
                <c:pt idx="6">
                  <c:v>0.74</c:v>
                </c:pt>
                <c:pt idx="7">
                  <c:v>0.75</c:v>
                </c:pt>
                <c:pt idx="8">
                  <c:v>0.77</c:v>
                </c:pt>
                <c:pt idx="9">
                  <c:v>0.76</c:v>
                </c:pt>
                <c:pt idx="10">
                  <c:v>0.74</c:v>
                </c:pt>
                <c:pt idx="1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2D-274B-BF7E-652631462CCA}"/>
            </c:ext>
          </c:extLst>
        </c:ser>
        <c:ser>
          <c:idx val="4"/>
          <c:order val="4"/>
          <c:tx>
            <c:strRef>
              <c:f>'xsk-3k-mgv3'!$G$27</c:f>
              <c:strCache>
                <c:ptCount val="1"/>
                <c:pt idx="0">
                  <c:v>case-TRUE-max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'xsk-3k-mgv3'!$H$27:$S$27</c:f>
              <c:numCache>
                <c:formatCode>0.00</c:formatCode>
                <c:ptCount val="12"/>
                <c:pt idx="0">
                  <c:v>0.96</c:v>
                </c:pt>
                <c:pt idx="1">
                  <c:v>0.96</c:v>
                </c:pt>
                <c:pt idx="2">
                  <c:v>0.96</c:v>
                </c:pt>
                <c:pt idx="3">
                  <c:v>0.97</c:v>
                </c:pt>
                <c:pt idx="4">
                  <c:v>0.95</c:v>
                </c:pt>
                <c:pt idx="5">
                  <c:v>0.98</c:v>
                </c:pt>
                <c:pt idx="6">
                  <c:v>0.97</c:v>
                </c:pt>
                <c:pt idx="7">
                  <c:v>0.97</c:v>
                </c:pt>
                <c:pt idx="8">
                  <c:v>0.96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2D-274B-BF7E-652631462CCA}"/>
            </c:ext>
          </c:extLst>
        </c:ser>
        <c:ser>
          <c:idx val="5"/>
          <c:order val="5"/>
          <c:tx>
            <c:strRef>
              <c:f>'xsk-3k-mgv3'!$G$28</c:f>
              <c:strCache>
                <c:ptCount val="1"/>
                <c:pt idx="0">
                  <c:v>case-FALSE-max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'xsk-3k-mgv3'!$H$22:$S$22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'xsk-3k-mgv3'!$H$28:$S$28</c:f>
              <c:numCache>
                <c:formatCode>0.00</c:formatCode>
                <c:ptCount val="12"/>
                <c:pt idx="0">
                  <c:v>0.95</c:v>
                </c:pt>
                <c:pt idx="1">
                  <c:v>0.96</c:v>
                </c:pt>
                <c:pt idx="2">
                  <c:v>0.96</c:v>
                </c:pt>
                <c:pt idx="3">
                  <c:v>0.97</c:v>
                </c:pt>
                <c:pt idx="4">
                  <c:v>0.95</c:v>
                </c:pt>
                <c:pt idx="5">
                  <c:v>0.98</c:v>
                </c:pt>
                <c:pt idx="6">
                  <c:v>0.97</c:v>
                </c:pt>
                <c:pt idx="7">
                  <c:v>0.96</c:v>
                </c:pt>
                <c:pt idx="8">
                  <c:v>0.96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2D-274B-BF7E-652631462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814976"/>
        <c:axId val="1329354591"/>
      </c:lineChart>
      <c:catAx>
        <c:axId val="17768149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329354591"/>
        <c:crosses val="autoZero"/>
        <c:auto val="1"/>
        <c:lblAlgn val="ctr"/>
        <c:lblOffset val="100"/>
        <c:noMultiLvlLbl val="0"/>
      </c:catAx>
      <c:valAx>
        <c:axId val="132935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76814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368300</xdr:colOff>
      <xdr:row>7</xdr:row>
      <xdr:rowOff>12700</xdr:rowOff>
    </xdr:from>
    <xdr:to>
      <xdr:col>29</xdr:col>
      <xdr:colOff>730300</xdr:colOff>
      <xdr:row>46</xdr:row>
      <xdr:rowOff>290200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25C822-D54D-5DD4-86B4-C85672296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666750</xdr:colOff>
      <xdr:row>21</xdr:row>
      <xdr:rowOff>190497</xdr:rowOff>
    </xdr:from>
    <xdr:to>
      <xdr:col>25</xdr:col>
      <xdr:colOff>669250</xdr:colOff>
      <xdr:row>35</xdr:row>
      <xdr:rowOff>65497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2B522-4E0A-7850-A79B-162732DC0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1047750</xdr:colOff>
      <xdr:row>19</xdr:row>
      <xdr:rowOff>146047</xdr:rowOff>
    </xdr:from>
    <xdr:to>
      <xdr:col>25</xdr:col>
      <xdr:colOff>1050250</xdr:colOff>
      <xdr:row>33</xdr:row>
      <xdr:rowOff>21047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64C633-335D-1ED9-5EA0-B16358D3F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9EE0ABB-7D59-1940-A83B-5F0F76285079}" name="Table18" displayName="Table18" ref="A1:X55" totalsRowShown="0">
  <autoFilter ref="A1:X55" xr:uid="{F9EE0ABB-7D59-1940-A83B-5F0F76285079}">
    <filterColumn colId="2">
      <filters>
        <filter val="6"/>
      </filters>
    </filterColumn>
  </autoFilter>
  <sortState xmlns:xlrd2="http://schemas.microsoft.com/office/spreadsheetml/2017/richdata2" ref="A2:V55">
    <sortCondition ref="B1:B55"/>
  </sortState>
  <tableColumns count="24">
    <tableColumn id="1" xr3:uid="{EE2DACB6-C137-5349-B960-1C431C2A331A}" name="skippiness"/>
    <tableColumn id="2" xr3:uid="{DEA2F74D-824E-9849-BAEB-858F9A665CC6}" name="sample.n"/>
    <tableColumn id="3" xr3:uid="{FA704E1F-0B70-314B-99C7-EA33FCEF30A7}" name="mgv"/>
    <tableColumn id="4" xr3:uid="{0FD1C77B-BF07-C14B-9AC4-9B71A35FE093}" name="attribute.index"/>
    <tableColumn id="5" xr3:uid="{3DAD8DEB-D0D1-9C4E-B355-375241C901AB}" name="attribute"/>
    <tableColumn id="6" xr3:uid="{15D8EEA6-86BE-F14E-8419-99AC9CD41959}" name="supplemented"/>
    <tableColumn id="7" xr3:uid="{F746E061-B218-934D-8379-A926EC9F7E76}" name="method.index"/>
    <tableColumn id="8" xr3:uid="{FEC93110-F532-0F40-96BA-7274D424100C}" name="metric"/>
    <tableColumn id="22" xr3:uid="{7DC7A4AC-B255-2548-AFF6-2FF934D835B6}" name="var" dataDxfId="283">
      <calculatedColumnFormula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calculatedColumnFormula>
    </tableColumn>
    <tableColumn id="9" xr3:uid="{2BAD2819-89A1-D948-B0E5-4A5A0A3DE961}" name="2g-no-hash" dataDxfId="282"/>
    <tableColumn id="10" xr3:uid="{D3FEF93C-5F26-2F49-8477-753FB279B5DD}" name="3g-no-hash" dataDxfId="281"/>
    <tableColumn id="11" xr3:uid="{BDB09556-B69A-CE40-A5AA-E284B81E9700}" name="4g-no-hash" dataDxfId="280"/>
    <tableColumn id="12" xr3:uid="{771A090D-648E-A148-9F80-CB1B0480ADC0}" name="xsk2g-no-hash" dataDxfId="279"/>
    <tableColumn id="13" xr3:uid="{D91BCADB-B3AF-D042-B997-ED03DE9E7595}" name="xsk3g-no-hash" dataDxfId="278"/>
    <tableColumn id="14" xr3:uid="{7668F372-EEC3-5E41-B35E-315537ACF8B1}" name="xsk4g-no-hash" dataDxfId="277"/>
    <tableColumn id="15" xr3:uid="{B16D9556-5CE9-C644-BBE6-C6D20E6DACC5}" name="2g-hash-at-both" dataDxfId="276"/>
    <tableColumn id="16" xr3:uid="{7F428929-877D-6D4E-A80D-B9CF860DEBC6}" name="3g-hash-at-both" dataDxfId="275"/>
    <tableColumn id="17" xr3:uid="{F0CA5A57-EA64-F542-93FD-BAFBDA094F9F}" name="4g-hash-at-both" dataDxfId="274"/>
    <tableColumn id="18" xr3:uid="{307E7DE2-1758-C349-A3E0-DE7665AC07B6}" name="xsk2g-hash-at-both" dataDxfId="273"/>
    <tableColumn id="19" xr3:uid="{542B00B9-0803-3142-BEB9-7E3EB8F24286}" name="xsk3g-hash-at-both" dataDxfId="272"/>
    <tableColumn id="20" xr3:uid="{1A63C0EC-A0F6-B14D-9B74-44DBECABD266}" name="xsk4g-hash-at-both" dataDxfId="271"/>
    <tableColumn id="21" xr3:uid="{173051B8-0F78-0F4C-B9F0-85F73375158D}" name="max" dataDxfId="270"/>
    <tableColumn id="23" xr3:uid="{4605421D-3D2A-2F45-829E-409401C1F532}" name="geomean" dataDxfId="269">
      <calculatedColumnFormula>_xlfn.LET(_xlpm.d,$J2:$U2,GEOMEAN(_xlpm.d))</calculatedColumnFormula>
    </tableColumn>
    <tableColumn id="24" xr3:uid="{A5B08178-5702-D04E-8E7F-69A49247982B}" name="rank" dataDxfId="268">
      <calculatedColumnFormula>_xlfn.LET(_xlpm.x,W2,_xlpm.r,W$2:W$55,RANK(_xlpm.x,_xlpm.r))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996CE3-ED75-3F42-BB21-748D2D216155}" name="Table8" displayName="Table8" ref="U58:X67" totalsRowShown="0">
  <autoFilter ref="U58:X67" xr:uid="{5E996CE3-ED75-3F42-BB21-748D2D216155}"/>
  <sortState xmlns:xlrd2="http://schemas.microsoft.com/office/spreadsheetml/2017/richdata2" ref="U59:X67">
    <sortCondition ref="X58:X67"/>
  </sortState>
  <tableColumns count="4">
    <tableColumn id="1" xr3:uid="{12CD4D3C-840D-F943-A123-F0BF03CFC1F2}" name="sample.n"/>
    <tableColumn id="2" xr3:uid="{348EC7B0-E58C-BE41-A2F0-6C52DC5A5E22}" name="mgv"/>
    <tableColumn id="3" xr3:uid="{EF1683BC-D376-934C-BB9C-284343822686}" name="supplemented"/>
    <tableColumn id="4" xr3:uid="{E645C2B9-7120-054D-9B38-FBCB2B149F9A}" name="rank.average" dataDxfId="267">
      <calculatedColumnFormula array="1">_xlfn.LET(_xlpm.d,X$2:X$55,_xlpm.a,$B$2:$B$55=$U59,_xlpm.b,$C$2:$C$55=$V59,_xlpm.c,$F$2:$F$55=$W59,GEOMEAN(_xlfn._xlws.FILTER(_xlpm.d,_xlpm.a*_xlpm.b)))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124140-0F4D-8C44-9639-E35F727B595C}" name="Table6" displayName="Table6" ref="U70:X79" totalsRowShown="0">
  <autoFilter ref="U70:X79" xr:uid="{4E124140-0F4D-8C44-9639-E35F727B595C}"/>
  <sortState xmlns:xlrd2="http://schemas.microsoft.com/office/spreadsheetml/2017/richdata2" ref="U71:X79">
    <sortCondition ref="V70:V79"/>
  </sortState>
  <tableColumns count="4">
    <tableColumn id="1" xr3:uid="{E771CBC0-5296-BF4F-B9D8-836EBC29D095}" name="sample.n"/>
    <tableColumn id="2" xr3:uid="{878BB3B5-A5A7-EE49-BAAB-AA3741F98893}" name="mgv"/>
    <tableColumn id="3" xr3:uid="{50800799-653C-0343-9887-D0431CCB225E}" name="attrib"/>
    <tableColumn id="4" xr3:uid="{E152A5ED-1FF7-A94B-BE1B-1B866D98F554}" name="rank.average" dataDxfId="266">
      <calculatedColumnFormula array="1">_xlfn.LET(_xlpm.d,X$2:X$55,_xlpm.a,$B$2:$B$55=$U71,_xlpm.b,$C$2:$C$55=$V71,_xlpm.c,$E$2:$E$55=$W71,GEOMEAN(_xlfn._xlws.FILTER(_xlpm.d,_xlpm.a*_xlpm.b)))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CA5D3CD-4D50-9B4D-8E36-FA05BDCBB069}" name="Table16" displayName="Table16" ref="U82:X91" totalsRowShown="0">
  <autoFilter ref="U82:X91" xr:uid="{5CA5D3CD-4D50-9B4D-8E36-FA05BDCBB069}"/>
  <tableColumns count="4">
    <tableColumn id="1" xr3:uid="{5B9CAB2D-ACB3-A54B-9355-D524A9E86517}" name="sample.n"/>
    <tableColumn id="2" xr3:uid="{ED155725-64AA-DD4B-91B8-C6737694AA43}" name="mgv"/>
    <tableColumn id="3" xr3:uid="{3E65D7CB-5013-2049-9BFB-333060196728}" name="attrib"/>
    <tableColumn id="4" xr3:uid="{46046859-E9C1-7944-980A-DEF06AEB6DEE}" name="rank.average" dataDxfId="265">
      <calculatedColumnFormula array="1">_xlfn.LET(_xlpm.d,X$2:X$55,_xlpm.a,$B$2:$B$55=$U83,_xlpm.b,$C$2:$C$55=$V83,_xlpm.c,$E$2:$E$55=$W83,GEOMEAN(_xlfn._xlws.FILTER(_xlpm.d,_xlpm.a*_xlpm.b)))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A045AC7-6328-7640-98C3-927B2B29CFF8}" name="Table23" displayName="Table23" ref="U94:X103" totalsRowShown="0">
  <autoFilter ref="U94:X103" xr:uid="{CA045AC7-6328-7640-98C3-927B2B29CFF8}"/>
  <tableColumns count="4">
    <tableColumn id="1" xr3:uid="{8FDE6ACB-4C9E-7F4E-842B-A9B06A2A233D}" name="sample.n"/>
    <tableColumn id="2" xr3:uid="{6E94EB80-E40F-9E43-9A8C-E17979791623}" name="mgv"/>
    <tableColumn id="3" xr3:uid="{5A06084D-2ABB-2C48-A289-7F253A5F1EE3}" name="attrib"/>
    <tableColumn id="4" xr3:uid="{422FE7E1-B85D-8C4B-8797-7FBC9D3FF4B7}" name="rank.average" dataDxfId="264">
      <calculatedColumnFormula array="1">_xlfn.LET(_xlpm.d,X$2:X$55,_xlpm.a,$B$2:$B$55=$U95,_xlpm.b,$C$2:$C$55=$V95,_xlpm.c,$E$2:$E$55=$W95,GEOMEAN(_xlfn._xlws.FILTER(_xlpm.d,_xlpm.a*_xlpm.b)))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79B925E-49C9-1E48-89E5-4DECDA3867EF}" name="Table15" displayName="Table15" ref="A1:T19" totalsRowShown="0">
  <autoFilter ref="A1:T19" xr:uid="{D79B925E-49C9-1E48-89E5-4DECDA3867EF}"/>
  <sortState xmlns:xlrd2="http://schemas.microsoft.com/office/spreadsheetml/2017/richdata2" ref="A2:T19">
    <sortCondition ref="B1:B19"/>
  </sortState>
  <tableColumns count="20">
    <tableColumn id="1" xr3:uid="{DB10F8E8-43A1-5E4D-806F-B25C6D0B8A76}" name="lang"/>
    <tableColumn id="2" xr3:uid="{14CC1FBF-F60F-384B-868D-FAF8051D63AB}" name="attribute.index"/>
    <tableColumn id="3" xr3:uid="{D048D1AE-710E-1C49-8426-826EDB07A788}" name="attribute"/>
    <tableColumn id="4" xr3:uid="{DEE7F6AB-8FDE-1B47-968E-0D2416049EB3}" name="supplemented"/>
    <tableColumn id="5" xr3:uid="{61AFF2F6-7DA9-5948-B916-90841819A2C6}" name="method.index"/>
    <tableColumn id="6" xr3:uid="{B9D5C34E-FD90-4C4A-879A-90FBEEDDF5A7}" name="method"/>
    <tableColumn id="10" xr3:uid="{4C3A8C88-8AC8-B340-B7FA-DF5FB53BE057}" name="var" dataDxfId="263">
      <calculatedColumnFormula>_xlfn.TEXTJOIN("-",TRUE,Table15[[#This Row],[attribute]],Table15[[#This Row],[supplemented]],Table15[[#This Row],[method]])</calculatedColumnFormula>
    </tableColumn>
    <tableColumn id="7" xr3:uid="{17A6B63E-B15B-DB40-AF66-98AB75758893}" name="2g-no-hash" dataDxfId="262"/>
    <tableColumn id="8" xr3:uid="{A4C531FA-B8E6-B441-B526-41F6AF9D3DEE}" name="3g-no-hash" dataDxfId="261"/>
    <tableColumn id="9" xr3:uid="{E7B1A992-D6D0-8648-93F6-1F917C061FD2}" name="4g-no-hash" dataDxfId="260"/>
    <tableColumn id="13" xr3:uid="{7F7EDC5C-4268-6D4A-8D20-19275802088D}" name="xsk2g-no-hash" dataDxfId="259"/>
    <tableColumn id="14" xr3:uid="{67BA002B-00BB-7743-B03E-B4094E269431}" name="xsk3g-no-hash" dataDxfId="258"/>
    <tableColumn id="15" xr3:uid="{A15AB2A8-31C9-4149-9A61-E89C116C2E16}" name="xsk4g-no-hash" dataDxfId="257"/>
    <tableColumn id="16" xr3:uid="{B22B14CC-4A22-D145-9B67-558A0C62D3C5}" name="2g-hash-at-both" dataDxfId="256"/>
    <tableColumn id="17" xr3:uid="{8C74E1FC-931C-9E4D-B587-8BCFC4067406}" name="3g-hash-at-both" dataDxfId="255"/>
    <tableColumn id="18" xr3:uid="{9EF28B65-8DBC-1D4D-B2F4-F26A913BDEE1}" name="4g-hash-at-both" dataDxfId="254"/>
    <tableColumn id="22" xr3:uid="{7820E0B9-05B1-EA4A-BEEC-C817B48219E4}" name="xsk2g-hash-at-both" dataDxfId="253"/>
    <tableColumn id="23" xr3:uid="{661DD039-E2F1-4B4A-A37B-EE403047AABF}" name="xsk3g-hash-at-both" dataDxfId="252"/>
    <tableColumn id="24" xr3:uid="{C55A0BAE-3D22-D24E-ABF9-56EECAA7DDF6}" name="xsk4g-hash-at-both" dataDxfId="251"/>
    <tableColumn id="25" xr3:uid="{7C1E477E-115D-4D4B-8E46-19627EBDE7D9}" name="max" dataDxfId="250">
      <calculatedColumnFormula>MAX($H2:$P2)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0F99130-48E5-C34A-872F-6F463F267A80}" name="Table618" displayName="Table618" ref="B22:T28" totalsRowShown="0">
  <autoFilter ref="B22:T28" xr:uid="{50F99130-48E5-C34A-872F-6F463F267A80}"/>
  <tableColumns count="19">
    <tableColumn id="1" xr3:uid="{B32A90A9-C901-954D-8420-6C0DB91BBC43}" name="attribute.index"/>
    <tableColumn id="2" xr3:uid="{7A674AEA-05E8-584C-8271-D2054920DFD4}" name="attribute"/>
    <tableColumn id="3" xr3:uid="{851F6F5C-59EE-124F-9E11-E916C2E3B412}" name="supplemented"/>
    <tableColumn id="4" xr3:uid="{69042FC1-6E7C-BD4B-BE3B-E97C71121FBE}" name="method.index"/>
    <tableColumn id="5" xr3:uid="{6A178842-E9FD-F94F-A24F-B733C6CB4237}" name="method"/>
    <tableColumn id="19" xr3:uid="{CE626AA1-C5B8-F844-AF88-95E3CBC1E1A4}" name="var" dataDxfId="249">
      <calculatedColumnFormula>_xlfn.TEXTJOIN("-",TRUE,Table618[[#This Row],[attribute]],Table618[[#This Row],[supplemented]],Table618[[#This Row],[method]])</calculatedColumnFormula>
    </tableColumn>
    <tableColumn id="6" xr3:uid="{9D671FCD-1FE5-BA40-B52C-948B5796FAA2}" name="2g-no-hash" dataDxfId="248">
      <calculatedColumnFormula array="1">_xlfn.LET(_xlpm.d,H$2:H$19,_xlpm.a,$C$2:$C$19=$C23,_xlpm.b,$D$2:$D$19=$D23,MAX(_xlfn._xlws.FILTER(_xlpm.d,_xlpm.a*_xlpm.b)))</calculatedColumnFormula>
    </tableColumn>
    <tableColumn id="7" xr3:uid="{849DB330-1A26-C747-B8A8-9C183F3B832B}" name="3g-no-hash" dataDxfId="247">
      <calculatedColumnFormula array="1">_xlfn.LET(_xlpm.d,I$2:I$19,_xlpm.a,$C$2:$C$19=$C23,_xlpm.b,$D$2:$D$19=$D23,MAX(_xlfn._xlws.FILTER(_xlpm.d,_xlpm.a*_xlpm.b)))</calculatedColumnFormula>
    </tableColumn>
    <tableColumn id="8" xr3:uid="{2D981AA8-3F55-0842-AF3C-8FDF0FB322BB}" name="4g-no-hash" dataDxfId="246">
      <calculatedColumnFormula array="1">_xlfn.LET(_xlpm.d,J$2:J$19,_xlpm.a,$C$2:$C$19=$C23,_xlpm.b,$D$2:$D$19=$D23,MAX(_xlfn._xlws.FILTER(_xlpm.d,_xlpm.a*_xlpm.b)))</calculatedColumnFormula>
    </tableColumn>
    <tableColumn id="9" xr3:uid="{9A695669-DFAD-3B49-B8D0-18C6A252DAEE}" name="xsk2g-no-hash" dataDxfId="245">
      <calculatedColumnFormula array="1">_xlfn.LET(_xlpm.d,K$2:K$19,_xlpm.a,$C$2:$C$19=$C23,_xlpm.b,$D$2:$D$19=$D23,MAX(_xlfn._xlws.FILTER(_xlpm.d,_xlpm.a*_xlpm.b)))</calculatedColumnFormula>
    </tableColumn>
    <tableColumn id="10" xr3:uid="{50546F02-0838-294D-81A8-B7964DCCE0C0}" name="xsk3g-no-hash" dataDxfId="244">
      <calculatedColumnFormula array="1">_xlfn.LET(_xlpm.d,L$2:L$19,_xlpm.a,$C$2:$C$19=$C23,_xlpm.b,$D$2:$D$19=$D23,MAX(_xlfn._xlws.FILTER(_xlpm.d,_xlpm.a*_xlpm.b)))</calculatedColumnFormula>
    </tableColumn>
    <tableColumn id="11" xr3:uid="{F503E5B1-0F8B-E04A-8D1B-6F6FB1103716}" name="xsk4g-no-hash" dataDxfId="243">
      <calculatedColumnFormula array="1">_xlfn.LET(_xlpm.d,M$2:M$19,_xlpm.a,$C$2:$C$19=$C23,_xlpm.b,$D$2:$D$19=$D23,MAX(_xlfn._xlws.FILTER(_xlpm.d,_xlpm.a*_xlpm.b)))</calculatedColumnFormula>
    </tableColumn>
    <tableColumn id="12" xr3:uid="{F1414506-84D5-CF4B-AA5B-0A8E0D61952A}" name="2g-hash-at-both" dataDxfId="242">
      <calculatedColumnFormula array="1">_xlfn.LET(_xlpm.d,N$2:N$19,_xlpm.a,$C$2:$C$19=$C23,_xlpm.b,$D$2:$D$19=$D23,MAX(_xlfn._xlws.FILTER(_xlpm.d,_xlpm.a*_xlpm.b)))</calculatedColumnFormula>
    </tableColumn>
    <tableColumn id="13" xr3:uid="{CA75DE8F-106F-1D46-81FD-EDF2233EA9B4}" name="3g-hash-at-both" dataDxfId="241">
      <calculatedColumnFormula array="1">_xlfn.LET(_xlpm.d,O$2:O$19,_xlpm.a,$C$2:$C$19=$C23,_xlpm.b,$D$2:$D$19=$D23,MAX(_xlfn._xlws.FILTER(_xlpm.d,_xlpm.a*_xlpm.b)))</calculatedColumnFormula>
    </tableColumn>
    <tableColumn id="14" xr3:uid="{467A4B15-7BA2-2048-955E-E24ABB630D82}" name="4g-hash-at-both" dataDxfId="240">
      <calculatedColumnFormula array="1">_xlfn.LET(_xlpm.d,P$2:P$19,_xlpm.a,$C$2:$C$19=$C23,_xlpm.b,$D$2:$D$19=$D23,MAX(_xlfn._xlws.FILTER(_xlpm.d,_xlpm.a*_xlpm.b)))</calculatedColumnFormula>
    </tableColumn>
    <tableColumn id="15" xr3:uid="{FFC97788-1F8C-164D-93B0-BBE2FFA655D0}" name="xsk2g-hash-at-both" dataDxfId="239">
      <calculatedColumnFormula array="1">_xlfn.LET(_xlpm.d,Q$2:Q$19,_xlpm.a,$C$2:$C$19=$C23,_xlpm.b,$D$2:$D$19=$D23,MAX(_xlfn._xlws.FILTER(_xlpm.d,_xlpm.a*_xlpm.b)))</calculatedColumnFormula>
    </tableColumn>
    <tableColumn id="16" xr3:uid="{834C7201-E84C-BE4C-AA59-EE4CFCEAE287}" name="xsk3g-hash-at-both" dataDxfId="238">
      <calculatedColumnFormula array="1">_xlfn.LET(_xlpm.d,R$2:R$19,_xlpm.a,$C$2:$C$19=$C23,_xlpm.b,$D$2:$D$19=$D23,MAX(_xlfn._xlws.FILTER(_xlpm.d,_xlpm.a*_xlpm.b)))</calculatedColumnFormula>
    </tableColumn>
    <tableColumn id="17" xr3:uid="{A6A85BC4-913F-5547-A763-3C0E66B6AB17}" name="xsk4g-hash-at-both" dataDxfId="237">
      <calculatedColumnFormula array="1">_xlfn.LET(_xlpm.d,S$2:S$19,_xlpm.a,$C$2:$C$19=$C23,_xlpm.b,$D$2:$D$19=$D23,MAX(_xlfn._xlws.FILTER(_xlpm.d,_xlpm.a*_xlpm.b)))</calculatedColumnFormula>
    </tableColumn>
    <tableColumn id="18" xr3:uid="{52C64803-4B34-4D4A-A0F1-9AD8C485F9E5}" name="max" dataDxfId="236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C499D06-A38E-DD4D-B6C4-473761CED4B9}" name="Table25" displayName="Table25" ref="B31:S37" totalsRowShown="0">
  <autoFilter ref="B31:S37" xr:uid="{5C499D06-A38E-DD4D-B6C4-473761CED4B9}"/>
  <sortState xmlns:xlrd2="http://schemas.microsoft.com/office/spreadsheetml/2017/richdata2" ref="B32:S37">
    <sortCondition ref="B31:B37"/>
  </sortState>
  <tableColumns count="18">
    <tableColumn id="1" xr3:uid="{42A8217B-9982-4041-9B6E-7FAD59D3ECBF}" name="attribute.index"/>
    <tableColumn id="2" xr3:uid="{98D80FE4-2DBB-7D4A-A81F-0BE0C6CA920C}" name="attribute"/>
    <tableColumn id="3" xr3:uid="{B6AF974B-4970-5A4C-BB72-00F17A3200EA}" name="supplemented"/>
    <tableColumn id="4" xr3:uid="{EEDBD5D4-0C75-CB43-9359-1E1033B80A2F}" name="method.index"/>
    <tableColumn id="5" xr3:uid="{4EF1DAD2-A5D9-8D47-8CB4-E2D9EEAD979C}" name="method"/>
    <tableColumn id="6" xr3:uid="{C418D8C5-DD21-A446-8269-261A360D0E8B}" name="var" dataDxfId="235">
      <calculatedColumnFormula>_xlfn.TEXTJOIN("-",TRUE,Table25[[#This Row],[attribute]],Table25[[#This Row],[supplemented]],Table25[[#This Row],[method]])</calculatedColumnFormula>
    </tableColumn>
    <tableColumn id="7" xr3:uid="{F1679132-1D2D-C846-AC4F-A3128322667C}" name="2g-no-hash" dataDxfId="234">
      <calculatedColumnFormula>_xlfn.LET(_xlpm.d,$H23:$S23,RANK(H23,_xlpm.d))</calculatedColumnFormula>
    </tableColumn>
    <tableColumn id="8" xr3:uid="{D440BEB6-7FD5-9946-898B-AB5AE644AD5E}" name="3g-no-hash" dataDxfId="233">
      <calculatedColumnFormula>_xlfn.LET(_xlpm.d,$H23:$S23,RANK(I23,_xlpm.d))</calculatedColumnFormula>
    </tableColumn>
    <tableColumn id="9" xr3:uid="{11FCEDE4-B9D5-B846-A667-EB9F3CFC3BA6}" name="4g-no-hash" dataDxfId="232">
      <calculatedColumnFormula>_xlfn.LET(_xlpm.d,$H23:$S23,RANK(J23,_xlpm.d))</calculatedColumnFormula>
    </tableColumn>
    <tableColumn id="10" xr3:uid="{AE48485D-6525-0042-AE26-B9FE9768F59C}" name="xsk2g-no-hash" dataDxfId="231">
      <calculatedColumnFormula>_xlfn.LET(_xlpm.d,$H23:$S23,RANK(K23,_xlpm.d))</calculatedColumnFormula>
    </tableColumn>
    <tableColumn id="11" xr3:uid="{0CAA96A4-2153-7844-82B4-BA02D3368AF3}" name="xsk3g-no-hash" dataDxfId="230">
      <calculatedColumnFormula>_xlfn.LET(_xlpm.d,$H23:$S23,RANK(L23,_xlpm.d))</calculatedColumnFormula>
    </tableColumn>
    <tableColumn id="12" xr3:uid="{A0B0C047-5C89-7B47-84C4-E74E968499D6}" name="xsk4g-no-hash" dataDxfId="229">
      <calculatedColumnFormula>_xlfn.LET(_xlpm.d,$H23:$S23,RANK(M23,_xlpm.d))</calculatedColumnFormula>
    </tableColumn>
    <tableColumn id="13" xr3:uid="{71A1C68E-D349-2B42-9CF9-71FB485AD6C1}" name="2g-hash-at-both" dataDxfId="228">
      <calculatedColumnFormula>_xlfn.LET(_xlpm.d,$H23:$S23,RANK(N23,_xlpm.d))</calculatedColumnFormula>
    </tableColumn>
    <tableColumn id="14" xr3:uid="{A6E38E31-C3C4-0D42-ADE9-4DBEC789BF3A}" name="3g-hash-at-both" dataDxfId="227">
      <calculatedColumnFormula>_xlfn.LET(_xlpm.d,$H23:$S23,RANK(O23,_xlpm.d))</calculatedColumnFormula>
    </tableColumn>
    <tableColumn id="15" xr3:uid="{F372BF4F-1675-A047-A6DD-361CEA43A561}" name="4g-hash-at-both" dataDxfId="226">
      <calculatedColumnFormula>_xlfn.LET(_xlpm.d,$H23:$S23,RANK(P23,_xlpm.d))</calculatedColumnFormula>
    </tableColumn>
    <tableColumn id="16" xr3:uid="{3E8FC0DA-B2C6-3546-9946-7314088D7975}" name="xsk2g-hash-at-both" dataDxfId="225">
      <calculatedColumnFormula>_xlfn.LET(_xlpm.d,$H23:$S23,RANK(Q23,_xlpm.d))</calculatedColumnFormula>
    </tableColumn>
    <tableColumn id="17" xr3:uid="{20CA4395-601E-BB4D-A642-48611B86B224}" name="xsk3g-hash-at-both" dataDxfId="224">
      <calculatedColumnFormula>_xlfn.LET(_xlpm.d,$H23:$S23,RANK(R23,_xlpm.d))</calculatedColumnFormula>
    </tableColumn>
    <tableColumn id="18" xr3:uid="{0480C6D7-08F3-684E-B6EE-765EDF6549E2}" name="xsk4g-hash-at-both" dataDxfId="223">
      <calculatedColumnFormula>_xlfn.LET(_xlpm.d,$H23:$S23,RANK(S23,_xlpm.d))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856E357-D370-9344-B42C-F058AC76874B}" name="Table13" displayName="Table13" ref="A1:S19" totalsRowShown="0">
  <autoFilter ref="A1:S19" xr:uid="{1856E357-D370-9344-B42C-F058AC76874B}"/>
  <sortState xmlns:xlrd2="http://schemas.microsoft.com/office/spreadsheetml/2017/richdata2" ref="A2:S19">
    <sortCondition ref="B1:B19"/>
  </sortState>
  <tableColumns count="19">
    <tableColumn id="1" xr3:uid="{BAA19B12-A817-8D4C-9C2D-670AB518AD66}" name="lang"/>
    <tableColumn id="2" xr3:uid="{8553A5F2-299F-D94D-B080-099B89C75FF0}" name="attribute.index"/>
    <tableColumn id="3" xr3:uid="{70825CD7-637B-A249-BE6E-8194E192588A}" name="attribute"/>
    <tableColumn id="4" xr3:uid="{62314466-2505-BD48-B59D-30BA9982D196}" name="supplement"/>
    <tableColumn id="5" xr3:uid="{7BF81A94-8153-C24D-BB9B-382EC6B21D38}" name="method.index"/>
    <tableColumn id="6" xr3:uid="{9DCAA5EC-628F-FB44-81F2-C59A2C4C9DCF}" name="method"/>
    <tableColumn id="7" xr3:uid="{59F966F4-CEC4-334F-A75E-40EA901B4ABB}" name="2g-no-hash" dataDxfId="222"/>
    <tableColumn id="8" xr3:uid="{2FD6F607-E1EB-694D-B478-3830D1351179}" name="3g-no-hash" dataDxfId="221"/>
    <tableColumn id="9" xr3:uid="{85B95F44-5F81-CB4D-AAEB-D3DA92933A6B}" name="4g-no-hash" dataDxfId="220"/>
    <tableColumn id="10" xr3:uid="{8A5F68E9-D283-B649-9CCF-6B74F7CFA983}" name="xsk2g-no-hash" dataDxfId="219"/>
    <tableColumn id="11" xr3:uid="{13627375-184D-AC41-8C91-817B32F2FAA9}" name="xsk3g-no-hash" dataDxfId="218"/>
    <tableColumn id="12" xr3:uid="{CD8F5355-2A89-6D4E-B9CE-07B3ECA33C1B}" name="xsk4g-no-hash" dataDxfId="217"/>
    <tableColumn id="13" xr3:uid="{473CCFFC-2A7D-0B46-B1BD-3D892A45B82A}" name="2g-hash-at-both" dataDxfId="216"/>
    <tableColumn id="14" xr3:uid="{87AAAACE-F2AD-DA45-8974-2376AEFCABCF}" name="3g-hash-at-both" dataDxfId="215"/>
    <tableColumn id="15" xr3:uid="{6FF8ED55-D1F3-5A49-8B52-E4DF163815C8}" name="4g-hash-at-both" dataDxfId="214"/>
    <tableColumn id="16" xr3:uid="{6C5FB932-2296-9F43-B048-276B066FD18E}" name="xsk2g-hash-at-both" dataDxfId="213"/>
    <tableColumn id="17" xr3:uid="{F22ECEF3-6A70-2443-94B8-B3FB86AF11D6}" name="xsk3g-hash-at-both" dataDxfId="212"/>
    <tableColumn id="18" xr3:uid="{5EFED299-232D-8A4A-9262-63CD418B684F}" name="xsk4g-hash-at-both" dataDxfId="211"/>
    <tableColumn id="19" xr3:uid="{AA7A905D-8B11-A84C-91FD-BCCB447CD4FA}" name="max" dataDxfId="210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1DC98EC-E514-C442-999B-6ABA8D106552}" name="Table615" displayName="Table615" ref="B22:S28" totalsRowShown="0">
  <autoFilter ref="B22:S28" xr:uid="{21DC98EC-E514-C442-999B-6ABA8D106552}"/>
  <tableColumns count="18">
    <tableColumn id="1" xr3:uid="{5F44C559-A82A-6E4D-961F-FE0E203575D5}" name="attribute.index"/>
    <tableColumn id="2" xr3:uid="{A3824ECA-2A1D-8741-83E5-6290AC873E2A}" name="attribute"/>
    <tableColumn id="3" xr3:uid="{7BBD7B86-2074-B645-8524-238F50D3DE6D}" name="supplemented"/>
    <tableColumn id="4" xr3:uid="{9E10590C-C913-EA4E-9E98-7156913BCA27}" name="method.index"/>
    <tableColumn id="5" xr3:uid="{6F9F18C4-B256-C148-98D4-4B29EB1D2433}" name="method"/>
    <tableColumn id="6" xr3:uid="{2515FB97-A4BC-3249-B81F-D2ED8E7B8984}" name="2g-no-hash" dataDxfId="209">
      <calculatedColumnFormula array="1">_xlfn.LET(_xlpm.d,G$2:G$19,_xlpm.a,$C$2:$C$19=$C23,_xlpm.b,$D$2:$D$19=$D23,MAX(_xlfn._xlws.FILTER(_xlpm.d,_xlpm.a*_xlpm.b)))</calculatedColumnFormula>
    </tableColumn>
    <tableColumn id="7" xr3:uid="{6B11D245-781D-C849-BBD8-B9BB8984AE86}" name="3g-no-hash" dataDxfId="208">
      <calculatedColumnFormula array="1">_xlfn.LET(_xlpm.d,H$2:H$19,_xlpm.a,$C$2:$C$19=$C23,_xlpm.b,$D$2:$D$19=$D23,MAX(_xlfn._xlws.FILTER(_xlpm.d,_xlpm.a*_xlpm.b)))</calculatedColumnFormula>
    </tableColumn>
    <tableColumn id="8" xr3:uid="{BF06EFF3-A6D5-3746-BE22-9B0C0020A042}" name="4g-no-hash" dataDxfId="207">
      <calculatedColumnFormula array="1">_xlfn.LET(_xlpm.d,I$2:I$19,_xlpm.a,$C$2:$C$19=$C23,_xlpm.b,$D$2:$D$19=$D23,MAX(_xlfn._xlws.FILTER(_xlpm.d,_xlpm.a*_xlpm.b)))</calculatedColumnFormula>
    </tableColumn>
    <tableColumn id="9" xr3:uid="{E6279974-C796-E04C-A957-6873A0F32E9E}" name="xsk2g-no-hash" dataDxfId="206">
      <calculatedColumnFormula array="1">_xlfn.LET(_xlpm.d,J$2:J$19,_xlpm.a,$C$2:$C$19=$C23,_xlpm.b,$D$2:$D$19=$D23,MAX(_xlfn._xlws.FILTER(_xlpm.d,_xlpm.a*_xlpm.b)))</calculatedColumnFormula>
    </tableColumn>
    <tableColumn id="10" xr3:uid="{1DF5D2D4-FF4D-1845-92E4-08FBDCA18AD9}" name="xsk3g-no-hash" dataDxfId="205">
      <calculatedColumnFormula array="1">_xlfn.LET(_xlpm.d,K$2:K$19,_xlpm.a,$C$2:$C$19=$C23,_xlpm.b,$D$2:$D$19=$D23,MAX(_xlfn._xlws.FILTER(_xlpm.d,_xlpm.a*_xlpm.b)))</calculatedColumnFormula>
    </tableColumn>
    <tableColumn id="11" xr3:uid="{7338AD92-85A4-C943-9A0A-32D582B214DF}" name="xsk4g-no-hash" dataDxfId="204">
      <calculatedColumnFormula array="1">_xlfn.LET(_xlpm.d,L$2:L$19,_xlpm.a,$C$2:$C$19=$C23,_xlpm.b,$D$2:$D$19=$D23,MAX(_xlfn._xlws.FILTER(_xlpm.d,_xlpm.a*_xlpm.b)))</calculatedColumnFormula>
    </tableColumn>
    <tableColumn id="12" xr3:uid="{DD1EA833-738B-5E42-A4F2-DE554AED5D2F}" name="2g-hash-at-both" dataDxfId="203">
      <calculatedColumnFormula array="1">_xlfn.LET(_xlpm.d,M$2:M$19,_xlpm.a,$C$2:$C$19=$C23,_xlpm.b,$D$2:$D$19=$D23,MAX(_xlfn._xlws.FILTER(_xlpm.d,_xlpm.a*_xlpm.b)))</calculatedColumnFormula>
    </tableColumn>
    <tableColumn id="13" xr3:uid="{BCC56ECB-9234-374F-A008-8317EAD8A76A}" name="3g-hash-at-both" dataDxfId="202">
      <calculatedColumnFormula array="1">_xlfn.LET(_xlpm.d,N$2:N$19,_xlpm.a,$C$2:$C$19=$C23,_xlpm.b,$D$2:$D$19=$D23,MAX(_xlfn._xlws.FILTER(_xlpm.d,_xlpm.a*_xlpm.b)))</calculatedColumnFormula>
    </tableColumn>
    <tableColumn id="14" xr3:uid="{EBBEA207-16A9-D34C-8F05-96ECE2D453A1}" name="4g-hash-at-both" dataDxfId="201">
      <calculatedColumnFormula array="1">_xlfn.LET(_xlpm.d,O$2:O$19,_xlpm.a,$C$2:$C$19=$C23,_xlpm.b,$D$2:$D$19=$D23,MAX(_xlfn._xlws.FILTER(_xlpm.d,_xlpm.a*_xlpm.b)))</calculatedColumnFormula>
    </tableColumn>
    <tableColumn id="15" xr3:uid="{F005E3FA-6C51-2C45-98C5-7AC9E17AB742}" name="xsk2g-hash-at-both" dataDxfId="200">
      <calculatedColumnFormula array="1">_xlfn.LET(_xlpm.d,P$2:P$19,_xlpm.a,$C$2:$C$19=$C23,_xlpm.b,$D$2:$D$19=$D23,MAX(_xlfn._xlws.FILTER(_xlpm.d,_xlpm.a*_xlpm.b)))</calculatedColumnFormula>
    </tableColumn>
    <tableColumn id="16" xr3:uid="{3E79AC66-DEFB-9D44-B1B3-FCBC64FDFCCF}" name="xsk3g-hash-at-both" dataDxfId="199">
      <calculatedColumnFormula array="1">_xlfn.LET(_xlpm.d,Q$2:Q$19,_xlpm.a,$C$2:$C$19=$C23,_xlpm.b,$D$2:$D$19=$D23,MAX(_xlfn._xlws.FILTER(_xlpm.d,_xlpm.a*_xlpm.b)))</calculatedColumnFormula>
    </tableColumn>
    <tableColumn id="17" xr3:uid="{E0967B62-280C-A744-A27A-2209AD45B151}" name="xsk4g-hash-at-both" dataDxfId="198">
      <calculatedColumnFormula array="1">_xlfn.LET(_xlpm.d,R$2:R$19,_xlpm.a,$C$2:$C$19=$C23,_xlpm.b,$D$2:$D$19=$D23,MAX(_xlfn._xlws.FILTER(_xlpm.d,_xlpm.a*_xlpm.b)))</calculatedColumnFormula>
    </tableColumn>
    <tableColumn id="18" xr3:uid="{63738494-02C8-F54A-8393-006F35BE977A}" name="max" dataDxfId="197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7D91412-5347-6649-AF5C-A25EACB1D8C5}" name="Table11" displayName="Table11" ref="A1:T19" totalsRowShown="0">
  <autoFilter ref="A1:T19" xr:uid="{F7D91412-5347-6649-AF5C-A25EACB1D8C5}"/>
  <sortState xmlns:xlrd2="http://schemas.microsoft.com/office/spreadsheetml/2017/richdata2" ref="A2:T19">
    <sortCondition ref="B1:B19"/>
  </sortState>
  <tableColumns count="20">
    <tableColumn id="1" xr3:uid="{15638C86-5638-F446-A8B0-6330D0EE648D}" name="lang"/>
    <tableColumn id="2" xr3:uid="{22CA2BD6-5F72-E74B-8E52-D7452DEF8A84}" name="attribute.index"/>
    <tableColumn id="3" xr3:uid="{AB3AB076-20DE-A44B-8B43-0A1D5331FAD7}" name="attribute"/>
    <tableColumn id="4" xr3:uid="{492FD7DB-0DCF-EF4E-8497-D9CFDBF64E2A}" name="supplemented"/>
    <tableColumn id="5" xr3:uid="{49214145-E742-B24E-870F-8EEF7E282540}" name="method.index"/>
    <tableColumn id="6" xr3:uid="{40ECADF1-5A1A-5D40-972C-FB953952D77E}" name="method"/>
    <tableColumn id="20" xr3:uid="{D0FC485C-4A63-3941-95F4-6BBC0B1A563A}" name="var" dataDxfId="196">
      <calculatedColumnFormula>_xlfn.TEXTJOIN("-",TRUE,Table11[[#This Row],[attribute]],Table11[[#This Row],[supplemented]],Table11[[#This Row],[method]])</calculatedColumnFormula>
    </tableColumn>
    <tableColumn id="7" xr3:uid="{5FB15408-35BF-F046-B237-CB634A39E830}" name="2g-no-hash" dataDxfId="195"/>
    <tableColumn id="8" xr3:uid="{C684BD9C-FAF0-8D49-B6B7-C794FAB34774}" name="3g-no-hash" dataDxfId="194"/>
    <tableColumn id="9" xr3:uid="{2CFC433C-0EB0-9045-ACC3-1740D63C4779}" name="4g-no-hash" dataDxfId="193"/>
    <tableColumn id="10" xr3:uid="{FECFCE45-339C-8046-9F98-8E11717CFD1F}" name="xsk2g-no-hash" dataDxfId="192"/>
    <tableColumn id="11" xr3:uid="{8F13A2F6-564F-8649-8EA1-49B4EABE2CE5}" name="xsk3g-no-hash" dataDxfId="191"/>
    <tableColumn id="12" xr3:uid="{F96C371F-A7F0-5442-9123-E49368FC9017}" name="xsk4g-no-hash" dataDxfId="190"/>
    <tableColumn id="13" xr3:uid="{8C1B03BF-173F-A444-9D5C-6CD30A519386}" name="2g-hash-at-both" dataDxfId="189"/>
    <tableColumn id="14" xr3:uid="{24CC59BC-9055-5244-ABF9-6D8043E0EECF}" name="3g-hash-at-both" dataDxfId="188"/>
    <tableColumn id="15" xr3:uid="{F3F967A0-7D80-9A46-8DD3-A940CDA57719}" name="4g-hash-at-both" dataDxfId="187"/>
    <tableColumn id="16" xr3:uid="{5289FA46-8A54-094F-BAAA-198CC7BAADC9}" name="xsk2g-hash-at-both" dataDxfId="186"/>
    <tableColumn id="17" xr3:uid="{600C0C55-EE28-244A-9730-4E5CA100AEE4}" name="xsk3g-hash-at-both" dataDxfId="185"/>
    <tableColumn id="18" xr3:uid="{EF7261CF-2845-E24E-81C7-E82FAC2125D9}" name="xsk4g-hash-at-both" dataDxfId="184"/>
    <tableColumn id="19" xr3:uid="{B9421527-1A63-CB45-886E-6FA101298DB0}" name="max" dataDxfId="183">
      <calculatedColumnFormula>MAX($H2:$S2)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2BDC7FA-F59A-7941-88FC-A1599B904C1F}" name="Table613" displayName="Table613" ref="B22:T28" totalsRowShown="0">
  <autoFilter ref="B22:T28" xr:uid="{F2BDC7FA-F59A-7941-88FC-A1599B904C1F}"/>
  <sortState xmlns:xlrd2="http://schemas.microsoft.com/office/spreadsheetml/2017/richdata2" ref="B23:T28">
    <sortCondition ref="B22:B28"/>
  </sortState>
  <tableColumns count="19">
    <tableColumn id="1" xr3:uid="{E583CCAF-8C0E-0145-8D71-36D77A7B9D75}" name="attribute.index"/>
    <tableColumn id="2" xr3:uid="{F3F61FC2-DE3B-7545-BB2C-FDD98D7FD278}" name="attribute"/>
    <tableColumn id="3" xr3:uid="{A99ECDFA-8285-244D-AAAA-77E6704C65DF}" name="supplemented"/>
    <tableColumn id="4" xr3:uid="{98E9D8F8-638E-A443-9FC2-9BE3228E6B44}" name="method.index"/>
    <tableColumn id="5" xr3:uid="{BA6B7C26-6412-CD43-94DC-BE2733D9FBA3}" name="method"/>
    <tableColumn id="19" xr3:uid="{935B02FA-5D1C-734F-81FF-079B341D6B1D}" name="var" dataDxfId="182">
      <calculatedColumnFormula>_xlfn.TEXTJOIN("-",TRUE,Table613[[#This Row],[attribute]],Table613[[#This Row],[supplemented]],Table613[[#This Row],[method]])</calculatedColumnFormula>
    </tableColumn>
    <tableColumn id="6" xr3:uid="{BA2E0821-C749-DA46-A8D3-8FBA1C72B9E0}" name="2g-no-hash" dataDxfId="181">
      <calculatedColumnFormula array="1">_xlfn.LET(_xlpm.d,H$2:H$19,_xlpm.a,$C$2:$C$19=$C23,_xlpm.b,$D$2:$D$19=$D23,MAX(_xlfn._xlws.FILTER(_xlpm.d,_xlpm.a*_xlpm.b)))</calculatedColumnFormula>
    </tableColumn>
    <tableColumn id="7" xr3:uid="{8EA91A8E-A1EA-3342-AA6A-F196CA23E9F9}" name="3g-no-hash" dataDxfId="180">
      <calculatedColumnFormula array="1">_xlfn.LET(_xlpm.d,I$2:I$19,_xlpm.a,$C$2:$C$19=$C23,_xlpm.b,$D$2:$D$19=$D23,MAX(_xlfn._xlws.FILTER(_xlpm.d,_xlpm.a*_xlpm.b)))</calculatedColumnFormula>
    </tableColumn>
    <tableColumn id="8" xr3:uid="{8B6DE6B8-5DDB-254A-B3C7-EFB54210F6A5}" name="4g-no-hash" dataDxfId="179">
      <calculatedColumnFormula array="1">_xlfn.LET(_xlpm.d,J$2:J$19,_xlpm.a,$C$2:$C$19=$C23,_xlpm.b,$D$2:$D$19=$D23,MAX(_xlfn._xlws.FILTER(_xlpm.d,_xlpm.a*_xlpm.b)))</calculatedColumnFormula>
    </tableColumn>
    <tableColumn id="9" xr3:uid="{946DC1F2-BF15-564C-A855-46FAE02A710D}" name="xsk2g-no-hash" dataDxfId="178">
      <calculatedColumnFormula array="1">_xlfn.LET(_xlpm.d,K$2:K$19,_xlpm.a,$C$2:$C$19=$C23,_xlpm.b,$D$2:$D$19=$D23,MAX(_xlfn._xlws.FILTER(_xlpm.d,_xlpm.a*_xlpm.b)))</calculatedColumnFormula>
    </tableColumn>
    <tableColumn id="10" xr3:uid="{F2F15DBD-18AE-964F-BDB1-AC185DC55DF9}" name="xsk3g-no-hash" dataDxfId="177">
      <calculatedColumnFormula array="1">_xlfn.LET(_xlpm.d,L$2:L$19,_xlpm.a,$C$2:$C$19=$C23,_xlpm.b,$D$2:$D$19=$D23,MAX(_xlfn._xlws.FILTER(_xlpm.d,_xlpm.a*_xlpm.b)))</calculatedColumnFormula>
    </tableColumn>
    <tableColumn id="11" xr3:uid="{46B75854-3A05-F349-B1E8-16882DF2366C}" name="xsk4g-no-hash" dataDxfId="176">
      <calculatedColumnFormula array="1">_xlfn.LET(_xlpm.d,M$2:M$19,_xlpm.a,$C$2:$C$19=$C23,_xlpm.b,$D$2:$D$19=$D23,MAX(_xlfn._xlws.FILTER(_xlpm.d,_xlpm.a*_xlpm.b)))</calculatedColumnFormula>
    </tableColumn>
    <tableColumn id="12" xr3:uid="{9370BDD2-6103-F54D-8321-B333AC723A62}" name="2g-hash-at-both" dataDxfId="175">
      <calculatedColumnFormula array="1">_xlfn.LET(_xlpm.d,N$2:N$19,_xlpm.a,$C$2:$C$19=$C23,_xlpm.b,$D$2:$D$19=$D23,MAX(_xlfn._xlws.FILTER(_xlpm.d,_xlpm.a*_xlpm.b)))</calculatedColumnFormula>
    </tableColumn>
    <tableColumn id="13" xr3:uid="{AE5DF974-D641-D847-BBD4-8F020FFC84E9}" name="3g-hash-at-both" dataDxfId="174">
      <calculatedColumnFormula array="1">_xlfn.LET(_xlpm.d,O$2:O$19,_xlpm.a,$C$2:$C$19=$C23,_xlpm.b,$D$2:$D$19=$D23,MAX(_xlfn._xlws.FILTER(_xlpm.d,_xlpm.a*_xlpm.b)))</calculatedColumnFormula>
    </tableColumn>
    <tableColumn id="14" xr3:uid="{9F95777B-3823-334E-95F5-A6C2B7789C30}" name="4g-hash-at-both" dataDxfId="173">
      <calculatedColumnFormula array="1">_xlfn.LET(_xlpm.d,P$2:P$19,_xlpm.a,$C$2:$C$19=$C23,_xlpm.b,$D$2:$D$19=$D23,MAX(_xlfn._xlws.FILTER(_xlpm.d,_xlpm.a*_xlpm.b)))</calculatedColumnFormula>
    </tableColumn>
    <tableColumn id="15" xr3:uid="{F82A4C72-E083-A54A-BF08-66523DBA4FE4}" name="xsk2g-hash-at-both" dataDxfId="172">
      <calculatedColumnFormula array="1">_xlfn.LET(_xlpm.d,Q$2:Q$19,_xlpm.a,$C$2:$C$19=$C23,_xlpm.b,$D$2:$D$19=$D23,MAX(_xlfn._xlws.FILTER(_xlpm.d,_xlpm.a*_xlpm.b)))</calculatedColumnFormula>
    </tableColumn>
    <tableColumn id="16" xr3:uid="{269FE025-D177-9C43-8871-0B7B47F2C6FC}" name="xsk3g-hash-at-both" dataDxfId="171">
      <calculatedColumnFormula array="1">_xlfn.LET(_xlpm.d,R$2:R$19,_xlpm.a,$C$2:$C$19=$C23,_xlpm.b,$D$2:$D$19=$D23,MAX(_xlfn._xlws.FILTER(_xlpm.d,_xlpm.a*_xlpm.b)))</calculatedColumnFormula>
    </tableColumn>
    <tableColumn id="17" xr3:uid="{6244C192-0FC8-5A42-82BE-797E6AA3EC25}" name="xsk4g-hash-at-both" dataDxfId="170">
      <calculatedColumnFormula array="1">_xlfn.LET(_xlpm.d,S$2:S$19,_xlpm.a,$C$2:$C$19=$C23,_xlpm.b,$D$2:$D$19=$D23,MAX(_xlfn._xlws.FILTER(_xlpm.d,_xlpm.a*_xlpm.b)))</calculatedColumnFormula>
    </tableColumn>
    <tableColumn id="18" xr3:uid="{AA108724-85FE-ED45-8351-581F90F31F0F}" name="max" dataDxfId="169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6D73F69-CD23-E44B-93CF-A427746A3845}" name="Table2527" displayName="Table2527" ref="B31:S37" totalsRowShown="0">
  <autoFilter ref="B31:S37" xr:uid="{E6D73F69-CD23-E44B-93CF-A427746A3845}"/>
  <sortState xmlns:xlrd2="http://schemas.microsoft.com/office/spreadsheetml/2017/richdata2" ref="B32:S37">
    <sortCondition ref="B31:B37"/>
  </sortState>
  <tableColumns count="18">
    <tableColumn id="1" xr3:uid="{146410BD-2BE8-2B48-AF67-6DFCAF54244D}" name="attribute.index"/>
    <tableColumn id="2" xr3:uid="{2355569E-6A52-6149-8C27-C4E87A9EBB8F}" name="attribute"/>
    <tableColumn id="3" xr3:uid="{DE81D01A-6C75-5A46-8227-0ADC04296D84}" name="supplemented"/>
    <tableColumn id="4" xr3:uid="{F8AE1CF7-D725-004B-AE25-1DF9F65088C8}" name="method.index"/>
    <tableColumn id="5" xr3:uid="{50CD2A64-4CAB-B044-8A74-E52D79EE8F7C}" name="method"/>
    <tableColumn id="6" xr3:uid="{15EC52FB-329C-1F42-B3E5-7B3E8F3D98EE}" name="var" dataDxfId="168">
      <calculatedColumnFormula>_xlfn.TEXTJOIN("-",TRUE,Table2527[[#This Row],[attribute]],Table2527[[#This Row],[supplemented]],Table2527[[#This Row],[method]])</calculatedColumnFormula>
    </tableColumn>
    <tableColumn id="7" xr3:uid="{6B1000F3-ED2C-F14B-A59C-E35F6BF421FD}" name="2g-no-hash" dataDxfId="167">
      <calculatedColumnFormula>_xlfn.LET(_xlpm.d,$H23:$S23,RANK(H23,_xlpm.d))</calculatedColumnFormula>
    </tableColumn>
    <tableColumn id="8" xr3:uid="{D07ACB8D-0F18-F540-A40E-292C4CC9C053}" name="3g-no-hash" dataDxfId="166">
      <calculatedColumnFormula>_xlfn.LET(_xlpm.d,$H23:$S23,RANK(I23,_xlpm.d))</calculatedColumnFormula>
    </tableColumn>
    <tableColumn id="9" xr3:uid="{7A3206F9-D443-3948-9A55-DD82CB1633CD}" name="4g-no-hash" dataDxfId="165">
      <calculatedColumnFormula>_xlfn.LET(_xlpm.d,$H23:$S23,RANK(J23,_xlpm.d))</calculatedColumnFormula>
    </tableColumn>
    <tableColumn id="10" xr3:uid="{91D46616-C2A0-F244-876F-F71E1FAC5758}" name="xsk2g-no-hash" dataDxfId="164">
      <calculatedColumnFormula>_xlfn.LET(_xlpm.d,$H23:$S23,RANK(K23,_xlpm.d))</calculatedColumnFormula>
    </tableColumn>
    <tableColumn id="11" xr3:uid="{2A98C05B-067F-C04A-A3C2-35E6EB6A66AF}" name="xsk3g-no-hash" dataDxfId="163">
      <calculatedColumnFormula>_xlfn.LET(_xlpm.d,$H23:$S23,RANK(L23,_xlpm.d))</calculatedColumnFormula>
    </tableColumn>
    <tableColumn id="12" xr3:uid="{36BD8E86-5D85-334B-BB4B-9FF86C1A39CB}" name="xsk4g-no-hash" dataDxfId="162">
      <calculatedColumnFormula>_xlfn.LET(_xlpm.d,$H23:$S23,RANK(M23,_xlpm.d))</calculatedColumnFormula>
    </tableColumn>
    <tableColumn id="13" xr3:uid="{1021B628-02C5-6847-81F8-CE28072E9E98}" name="2g-hash-at-both" dataDxfId="161">
      <calculatedColumnFormula>_xlfn.LET(_xlpm.d,$H23:$S23,RANK(N23,_xlpm.d))</calculatedColumnFormula>
    </tableColumn>
    <tableColumn id="14" xr3:uid="{9419BF7F-FC78-0446-934E-C677A1519B81}" name="3g-hash-at-both" dataDxfId="160">
      <calculatedColumnFormula>_xlfn.LET(_xlpm.d,$H23:$S23,RANK(O23,_xlpm.d))</calculatedColumnFormula>
    </tableColumn>
    <tableColumn id="15" xr3:uid="{B6434938-827A-BC4E-B620-316B2DD7106B}" name="4g-hash-at-both" dataDxfId="159">
      <calculatedColumnFormula>_xlfn.LET(_xlpm.d,$H23:$S23,RANK(P23,_xlpm.d))</calculatedColumnFormula>
    </tableColumn>
    <tableColumn id="16" xr3:uid="{2F5A915A-C628-594E-8606-70474F25C21F}" name="xsk2g-hash-at-both" dataDxfId="158">
      <calculatedColumnFormula>_xlfn.LET(_xlpm.d,$H23:$S23,RANK(Q23,_xlpm.d))</calculatedColumnFormula>
    </tableColumn>
    <tableColumn id="17" xr3:uid="{3CD3AAB5-7A56-814C-8A61-1B1A1167B1F5}" name="xsk3g-hash-at-both" dataDxfId="157">
      <calculatedColumnFormula>_xlfn.LET(_xlpm.d,$H23:$S23,RANK(R23,_xlpm.d))</calculatedColumnFormula>
    </tableColumn>
    <tableColumn id="18" xr3:uid="{388F0702-50C6-C04F-84A5-2D045577D201}" name="xsk4g-hash-at-both" dataDxfId="156">
      <calculatedColumnFormula>_xlfn.LET(_xlpm.d,$H23:$S23,RANK(S23,_xlpm.d))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E48912A-7CC9-DF4C-BA51-9A5971D3A22B}" name="Table9" displayName="Table9" ref="A1:T19" totalsRowShown="0">
  <autoFilter ref="A1:T19" xr:uid="{5E48912A-7CC9-DF4C-BA51-9A5971D3A22B}"/>
  <sortState xmlns:xlrd2="http://schemas.microsoft.com/office/spreadsheetml/2017/richdata2" ref="A2:T19">
    <sortCondition ref="B1:B19"/>
  </sortState>
  <tableColumns count="20">
    <tableColumn id="1" xr3:uid="{6C03FD0A-DD42-4D45-ACB4-A477BEF1C07A}" name="lang"/>
    <tableColumn id="2" xr3:uid="{D817D229-DC9F-134E-8928-BBF977BCE971}" name="attribute.index"/>
    <tableColumn id="3" xr3:uid="{A4A64A1C-37F5-2148-860E-AB14E6C29D96}" name="attribute"/>
    <tableColumn id="4" xr3:uid="{DF526215-4A60-9E47-BB3B-DBEF86408162}" name="supplement"/>
    <tableColumn id="5" xr3:uid="{3013F12A-D0CE-8741-A18C-EEC129C05A97}" name="method.index"/>
    <tableColumn id="6" xr3:uid="{1C06CC11-EB29-E246-BDE3-21AD20ED8A9C}" name="method"/>
    <tableColumn id="20" xr3:uid="{CF3FD2B8-AB0B-A741-BEE2-069A3CF97611}" name="var"/>
    <tableColumn id="7" xr3:uid="{2D030BEB-FF4A-8240-A854-AF30F1BE183F}" name="2g-no-hash" dataDxfId="155"/>
    <tableColumn id="8" xr3:uid="{525D4CD1-24DA-9C48-94E4-0B1ABC9BF6BD}" name="3g-no-hash" dataDxfId="154"/>
    <tableColumn id="9" xr3:uid="{A01B788D-8235-DA4F-8392-5F740710EF90}" name="4g-no-hash" dataDxfId="153"/>
    <tableColumn id="10" xr3:uid="{27067FF2-AC8D-4243-BD4F-E5F0832022CE}" name="xsk2g-no-hash" dataDxfId="152"/>
    <tableColumn id="11" xr3:uid="{72993EAD-3282-E64A-A287-0891D89EF2DF}" name="xsk3g-no-hash" dataDxfId="151"/>
    <tableColumn id="12" xr3:uid="{681CAF7B-CD34-994D-9352-7374D222F8C3}" name="xsk4g-no-hash" dataDxfId="150"/>
    <tableColumn id="13" xr3:uid="{1BE92E2E-C579-CF47-BEE1-A29A40E8B6AA}" name="2g-hash-at-both" dataDxfId="149"/>
    <tableColumn id="14" xr3:uid="{F721849B-581D-2F41-8831-BE27FCF97677}" name="3g-hash-at-both" dataDxfId="148"/>
    <tableColumn id="15" xr3:uid="{7DEAAA98-301B-364B-A700-6031EAE96E9E}" name="4g-hash-at-both" dataDxfId="147"/>
    <tableColumn id="16" xr3:uid="{FD70FF9C-C821-D34D-8192-E2D1C5E31408}" name="xsk2g-hash-at-both" dataDxfId="146"/>
    <tableColumn id="17" xr3:uid="{282CFDBF-A0E8-6D4D-818A-3335D50FF33B}" name="xsk3g-hash-at-both" dataDxfId="145"/>
    <tableColumn id="18" xr3:uid="{8835329B-2D79-3B46-9E73-48D728F2B87F}" name="xsk4g-hash-at-both" dataDxfId="144"/>
    <tableColumn id="19" xr3:uid="{1B41A665-73E4-2C41-8ABA-61C4859A6634}" name="max" dataDxfId="143">
      <calculatedColumnFormula>MAX($H2:$S2)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DFF999A-7635-A047-BDFC-D157F9312BD9}" name="Table611" displayName="Table611" ref="B22:T28" totalsRowShown="0">
  <autoFilter ref="B22:T28" xr:uid="{FDFF999A-7635-A047-BDFC-D157F9312BD9}"/>
  <tableColumns count="19">
    <tableColumn id="1" xr3:uid="{0A40F905-960F-B043-A2CA-CAF5BFE33ED7}" name="attribute.index"/>
    <tableColumn id="2" xr3:uid="{9ED09634-2354-E647-B48F-B53810D0F367}" name="attribute"/>
    <tableColumn id="3" xr3:uid="{A18358F4-43EE-B544-8713-C747FFEC9592}" name="supplemented"/>
    <tableColumn id="4" xr3:uid="{8A419190-E2E2-6345-A784-646A9249877E}" name="method.index"/>
    <tableColumn id="5" xr3:uid="{CA38F21C-B15B-E74E-8578-3E8C4273773E}" name="method"/>
    <tableColumn id="19" xr3:uid="{233B9A09-46F6-E64C-AF30-BC4F086AEEA6}" name="var"/>
    <tableColumn id="6" xr3:uid="{8517EA3B-862F-1D47-8999-4C0059CB0E38}" name="2g-no-hash" dataDxfId="142">
      <calculatedColumnFormula array="1">_xlfn.LET(_xlpm.d,H$2:H$19,_xlpm.a,$C$2:$C$19=$C23,_xlpm.b,$D$2:$D$19=$D23,MAX(_xlfn._xlws.FILTER(_xlpm.d,_xlpm.a*_xlpm.b)))</calculatedColumnFormula>
    </tableColumn>
    <tableColumn id="7" xr3:uid="{903471C2-4783-0A40-9202-544F77D59C65}" name="3g-no-hash" dataDxfId="141">
      <calculatedColumnFormula array="1">_xlfn.LET(_xlpm.d,I$2:I$19,_xlpm.a,$C$2:$C$19=$C23,_xlpm.b,$D$2:$D$19=$D23,MAX(_xlfn._xlws.FILTER(_xlpm.d,_xlpm.a*_xlpm.b)))</calculatedColumnFormula>
    </tableColumn>
    <tableColumn id="8" xr3:uid="{A4C98190-859D-1248-8DEC-B7AA1F54313A}" name="4g-no-hash" dataDxfId="140">
      <calculatedColumnFormula array="1">_xlfn.LET(_xlpm.d,J$2:J$19,_xlpm.a,$C$2:$C$19=$C23,_xlpm.b,$D$2:$D$19=$D23,MAX(_xlfn._xlws.FILTER(_xlpm.d,_xlpm.a*_xlpm.b)))</calculatedColumnFormula>
    </tableColumn>
    <tableColumn id="9" xr3:uid="{26778D2F-829B-A44E-B99E-12406DBFEDFC}" name="sk2g-no-hash" dataDxfId="139">
      <calculatedColumnFormula array="1">_xlfn.LET(_xlpm.d,K$2:K$19,_xlpm.a,$C$2:$C$19=$C23,_xlpm.b,$D$2:$D$19=$D23,MAX(_xlfn._xlws.FILTER(_xlpm.d,_xlpm.a*_xlpm.b)))</calculatedColumnFormula>
    </tableColumn>
    <tableColumn id="10" xr3:uid="{AE07F32D-E181-8A4E-8F38-45B5127A6A98}" name="sk3g-no-hash" dataDxfId="138">
      <calculatedColumnFormula array="1">_xlfn.LET(_xlpm.d,L$2:L$19,_xlpm.a,$C$2:$C$19=$C23,_xlpm.b,$D$2:$D$19=$D23,MAX(_xlfn._xlws.FILTER(_xlpm.d,_xlpm.a*_xlpm.b)))</calculatedColumnFormula>
    </tableColumn>
    <tableColumn id="11" xr3:uid="{6C847397-02F9-9F41-8B34-9AEB3E33CFC1}" name="sk4g-no-hash" dataDxfId="137">
      <calculatedColumnFormula array="1">_xlfn.LET(_xlpm.d,M$2:M$19,_xlpm.a,$C$2:$C$19=$C23,_xlpm.b,$D$2:$D$19=$D23,MAX(_xlfn._xlws.FILTER(_xlpm.d,_xlpm.a*_xlpm.b)))</calculatedColumnFormula>
    </tableColumn>
    <tableColumn id="12" xr3:uid="{ACAB7089-F2D2-A144-B006-3268C4BCB30B}" name="2g-hash-at-both" dataDxfId="136">
      <calculatedColumnFormula array="1">_xlfn.LET(_xlpm.d,N$2:N$19,_xlpm.a,$C$2:$C$19=$C23,_xlpm.b,$D$2:$D$19=$D23,MAX(_xlfn._xlws.FILTER(_xlpm.d,_xlpm.a*_xlpm.b)))</calculatedColumnFormula>
    </tableColumn>
    <tableColumn id="13" xr3:uid="{54164F9C-ED2C-5747-B55A-5657A8461F4C}" name="3g-hash-at-both" dataDxfId="135">
      <calculatedColumnFormula array="1">_xlfn.LET(_xlpm.d,O$2:O$19,_xlpm.a,$C$2:$C$19=$C23,_xlpm.b,$D$2:$D$19=$D23,MAX(_xlfn._xlws.FILTER(_xlpm.d,_xlpm.a*_xlpm.b)))</calculatedColumnFormula>
    </tableColumn>
    <tableColumn id="14" xr3:uid="{02AE129B-70F7-CA4E-AF8F-329898E4D0EC}" name="4g-hash-at-both" dataDxfId="134">
      <calculatedColumnFormula array="1">_xlfn.LET(_xlpm.d,P$2:P$19,_xlpm.a,$C$2:$C$19=$C23,_xlpm.b,$D$2:$D$19=$D23,MAX(_xlfn._xlws.FILTER(_xlpm.d,_xlpm.a*_xlpm.b)))</calculatedColumnFormula>
    </tableColumn>
    <tableColumn id="15" xr3:uid="{5C53EE3C-5042-3D41-84B0-05FDF5A21F5E}" name="sk2g-hash-at-both" dataDxfId="133">
      <calculatedColumnFormula array="1">_xlfn.LET(_xlpm.d,Q$2:Q$19,_xlpm.a,$C$2:$C$19=$C23,_xlpm.b,$D$2:$D$19=$D23,MAX(_xlfn._xlws.FILTER(_xlpm.d,_xlpm.a*_xlpm.b)))</calculatedColumnFormula>
    </tableColumn>
    <tableColumn id="16" xr3:uid="{6B758EE9-E2A5-FA40-8450-9EB7C7826937}" name="sk3g-hash-at-both" dataDxfId="132">
      <calculatedColumnFormula array="1">_xlfn.LET(_xlpm.d,R$2:R$19,_xlpm.a,$C$2:$C$19=$C23,_xlpm.b,$D$2:$D$19=$D23,MAX(_xlfn._xlws.FILTER(_xlpm.d,_xlpm.a*_xlpm.b)))</calculatedColumnFormula>
    </tableColumn>
    <tableColumn id="17" xr3:uid="{E77023D9-A51A-6E48-A8AA-16CBCBB0966C}" name="sk4g-hash-at-both" dataDxfId="131">
      <calculatedColumnFormula array="1">_xlfn.LET(_xlpm.d,S$2:S$19,_xlpm.a,$C$2:$C$19=$C23,_xlpm.b,$D$2:$D$19=$D23,MAX(_xlfn._xlws.FILTER(_xlpm.d,_xlpm.a*_xlpm.b)))</calculatedColumnFormula>
    </tableColumn>
    <tableColumn id="18" xr3:uid="{6E60272A-AB1A-B047-8CA3-9AFCE6B4776F}" name="max" dataDxfId="130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B3D87D-C209-9E4A-91D6-C11390A4FB18}" name="Table7" displayName="Table7" ref="A1:S19" totalsRowShown="0">
  <autoFilter ref="A1:S19" xr:uid="{16B3D87D-C209-9E4A-91D6-C11390A4FB18}"/>
  <sortState xmlns:xlrd2="http://schemas.microsoft.com/office/spreadsheetml/2017/richdata2" ref="A2:S19">
    <sortCondition ref="B1:B19"/>
  </sortState>
  <tableColumns count="19">
    <tableColumn id="1" xr3:uid="{D1778543-CDF7-6743-BE15-CEAB6B8A7D9A}" name="lang"/>
    <tableColumn id="2" xr3:uid="{C05B2EB7-963D-D249-8E11-AFE85DB88334}" name="attribute.index"/>
    <tableColumn id="3" xr3:uid="{17CD777D-3B0E-AF49-985E-2D4AE8D7DB42}" name="attribute"/>
    <tableColumn id="4" xr3:uid="{B4A10969-0E96-E54A-91F1-BA08839EFDB3}" name="supplement"/>
    <tableColumn id="5" xr3:uid="{0D39778D-DAC1-034E-83C0-9AEF2FA0F084}" name="method.index"/>
    <tableColumn id="6" xr3:uid="{6B28AFD7-9DCE-7147-A65B-342952BE7C6B}" name="method"/>
    <tableColumn id="7" xr3:uid="{46E10E51-21C5-8245-B99C-21E7F2434470}" name="2g-no-hash" dataDxfId="129"/>
    <tableColumn id="8" xr3:uid="{48C9D1B1-8CC1-E64A-BDC3-135BF12F0936}" name="3g-no-hash" dataDxfId="128"/>
    <tableColumn id="9" xr3:uid="{722C760A-7674-C049-9542-05E421B1A076}" name="4g-no-hash" dataDxfId="127"/>
    <tableColumn id="10" xr3:uid="{1BEA57F3-286E-1C4B-80AA-4F659F9E0F65}" name="xsk2g-no-hash" dataDxfId="126"/>
    <tableColumn id="11" xr3:uid="{2E2DC133-F51E-3E44-9A04-6DC4F0345B1C}" name="xsk3g-no-hash" dataDxfId="125"/>
    <tableColumn id="12" xr3:uid="{69BEFE67-1CAD-0048-9E34-63C12CE9EDB9}" name="xsk4g-no-hash" dataDxfId="124"/>
    <tableColumn id="13" xr3:uid="{0551B740-584E-B440-BFB8-5BFFDE05508E}" name="2g-hash-at-both" dataDxfId="123"/>
    <tableColumn id="14" xr3:uid="{0983ECFA-54A5-3F47-B52B-EE936F79D4C9}" name="3g-hash-at-both" dataDxfId="122"/>
    <tableColumn id="15" xr3:uid="{CEFA0CAB-85D6-AE40-A66E-13886D53CA63}" name="4g-hash-at-both" dataDxfId="121"/>
    <tableColumn id="16" xr3:uid="{9B0E201D-30D9-9542-8D55-8B3FD097F3DA}" name="xsk2g-hash-at-both" dataDxfId="120"/>
    <tableColumn id="17" xr3:uid="{391EAC8B-CBEA-8643-AE90-4CFD03C454A0}" name="xsk3g-hash-at-both" dataDxfId="119"/>
    <tableColumn id="18" xr3:uid="{73BF682F-BD3F-8542-9420-7270DBBB973E}" name="xsk4g-hash-at-both" dataDxfId="118"/>
    <tableColumn id="19" xr3:uid="{2E3A36C0-0B1E-3D40-9361-A4AB5C223936}" name="max" dataDxfId="117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40AA67-549D-3046-A6DE-C3CD03828BFC}" name="Table69" displayName="Table69" ref="B22:S28" totalsRowShown="0">
  <autoFilter ref="B22:S28" xr:uid="{C140AA67-549D-3046-A6DE-C3CD03828BFC}"/>
  <tableColumns count="18">
    <tableColumn id="1" xr3:uid="{6AAB0594-3898-904C-97F2-B37261F640A0}" name="attribute.index"/>
    <tableColumn id="2" xr3:uid="{16D72E46-7740-F34E-BA6A-7CDFD600CC02}" name="attribute"/>
    <tableColumn id="3" xr3:uid="{1873A61C-6728-F349-B7C0-27DF172E4D56}" name="supplemented"/>
    <tableColumn id="4" xr3:uid="{FD5DD7A1-560D-0448-AEFD-BFC9E1755B71}" name="method.index"/>
    <tableColumn id="5" xr3:uid="{DD4863BE-0A81-D24D-A593-FDCE9CC6BA6D}" name="method"/>
    <tableColumn id="6" xr3:uid="{C1D49DF9-37D6-9B49-99ED-DF4CA8EBB479}" name="2g-no-hash" dataDxfId="116">
      <calculatedColumnFormula array="1">_xlfn.LET(_xlpm.d,G$2:G$19,_xlpm.a,$C$2:$C$19=$C23,_xlpm.b,$D$2:$D$19=$D23,MAX(_xlfn._xlws.FILTER(_xlpm.d,_xlpm.a*_xlpm.b)))</calculatedColumnFormula>
    </tableColumn>
    <tableColumn id="7" xr3:uid="{62509720-9B8A-1744-BE27-CAB8950EDF3C}" name="3g-no-hash" dataDxfId="115">
      <calculatedColumnFormula array="1">_xlfn.LET(_xlpm.d,H$2:H$19,_xlpm.a,$C$2:$C$19=$C23,_xlpm.b,$D$2:$D$19=$D23,MAX(_xlfn._xlws.FILTER(_xlpm.d,_xlpm.a*_xlpm.b)))</calculatedColumnFormula>
    </tableColumn>
    <tableColumn id="8" xr3:uid="{1CFD285C-052D-BA4B-A56D-1A458789959C}" name="4g-no-hash" dataDxfId="114">
      <calculatedColumnFormula array="1">_xlfn.LET(_xlpm.d,I$2:I$19,_xlpm.a,$C$2:$C$19=$C23,_xlpm.b,$D$2:$D$19=$D23,MAX(_xlfn._xlws.FILTER(_xlpm.d,_xlpm.a*_xlpm.b)))</calculatedColumnFormula>
    </tableColumn>
    <tableColumn id="9" xr3:uid="{BAE72652-B606-324A-A80D-719030747844}" name="xsk2g-no-hash" dataDxfId="113">
      <calculatedColumnFormula array="1">_xlfn.LET(_xlpm.d,J$2:J$19,_xlpm.a,$C$2:$C$19=$C23,_xlpm.b,$D$2:$D$19=$D23,MAX(_xlfn._xlws.FILTER(_xlpm.d,_xlpm.a*_xlpm.b)))</calculatedColumnFormula>
    </tableColumn>
    <tableColumn id="10" xr3:uid="{36548689-0A23-454E-A44C-A51787F462AA}" name="xsk3g-no-hash" dataDxfId="112">
      <calculatedColumnFormula array="1">_xlfn.LET(_xlpm.d,K$2:K$19,_xlpm.a,$C$2:$C$19=$C23,_xlpm.b,$D$2:$D$19=$D23,MAX(_xlfn._xlws.FILTER(_xlpm.d,_xlpm.a*_xlpm.b)))</calculatedColumnFormula>
    </tableColumn>
    <tableColumn id="11" xr3:uid="{B6EDE545-F125-7043-AD98-2B2B4E39B478}" name="xsk4g-no-hash" dataDxfId="111">
      <calculatedColumnFormula array="1">_xlfn.LET(_xlpm.d,L$2:L$19,_xlpm.a,$C$2:$C$19=$C23,_xlpm.b,$D$2:$D$19=$D23,MAX(_xlfn._xlws.FILTER(_xlpm.d,_xlpm.a*_xlpm.b)))</calculatedColumnFormula>
    </tableColumn>
    <tableColumn id="12" xr3:uid="{FBB36B98-ECB3-3A45-949D-E255C4D97C2F}" name="2g-hash-at-both" dataDxfId="110">
      <calculatedColumnFormula array="1">_xlfn.LET(_xlpm.d,M$2:M$19,_xlpm.a,$C$2:$C$19=$C23,_xlpm.b,$D$2:$D$19=$D23,MAX(_xlfn._xlws.FILTER(_xlpm.d,_xlpm.a*_xlpm.b)))</calculatedColumnFormula>
    </tableColumn>
    <tableColumn id="13" xr3:uid="{75A0C1E7-E3E1-FA44-9159-4B015CAB691B}" name="3g-hash-at-both" dataDxfId="109">
      <calculatedColumnFormula array="1">_xlfn.LET(_xlpm.d,N$2:N$19,_xlpm.a,$C$2:$C$19=$C23,_xlpm.b,$D$2:$D$19=$D23,MAX(_xlfn._xlws.FILTER(_xlpm.d,_xlpm.a*_xlpm.b)))</calculatedColumnFormula>
    </tableColumn>
    <tableColumn id="14" xr3:uid="{F58226ED-5E9E-124A-A401-80A5296BBCCC}" name="4g-hash-at-both" dataDxfId="108">
      <calculatedColumnFormula array="1">_xlfn.LET(_xlpm.d,O$2:O$19,_xlpm.a,$C$2:$C$19=$C23,_xlpm.b,$D$2:$D$19=$D23,MAX(_xlfn._xlws.FILTER(_xlpm.d,_xlpm.a*_xlpm.b)))</calculatedColumnFormula>
    </tableColumn>
    <tableColumn id="15" xr3:uid="{E4D8744B-CF9E-3641-A700-45963B7FC6BB}" name="xsk2g-hash-at-both" dataDxfId="107">
      <calculatedColumnFormula array="1">_xlfn.LET(_xlpm.d,P$2:P$19,_xlpm.a,$C$2:$C$19=$C23,_xlpm.b,$D$2:$D$19=$D23,MAX(_xlfn._xlws.FILTER(_xlpm.d,_xlpm.a*_xlpm.b)))</calculatedColumnFormula>
    </tableColumn>
    <tableColumn id="16" xr3:uid="{70D0CBE6-E514-CA41-AE23-032FB352D69B}" name="xsk3g-hash-at-both" dataDxfId="106">
      <calculatedColumnFormula array="1">_xlfn.LET(_xlpm.d,Q$2:Q$19,_xlpm.a,$C$2:$C$19=$C23,_xlpm.b,$D$2:$D$19=$D23,MAX(_xlfn._xlws.FILTER(_xlpm.d,_xlpm.a*_xlpm.b)))</calculatedColumnFormula>
    </tableColumn>
    <tableColumn id="17" xr3:uid="{DC7C1F7E-9ED3-A14F-9413-C36363C6465F}" name="xsk4g-hash-at-both" dataDxfId="105">
      <calculatedColumnFormula array="1">_xlfn.LET(_xlpm.d,R$2:R$19,_xlpm.a,$C$2:$C$19=$C23,_xlpm.b,$D$2:$D$19=$D23,MAX(_xlfn._xlws.FILTER(_xlpm.d,_xlpm.a*_xlpm.b)))</calculatedColumnFormula>
    </tableColumn>
    <tableColumn id="18" xr3:uid="{F21A0CC1-0A84-7141-A181-F59F73082974}" name="max" dataDxfId="104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12128B-0DE5-8C42-A0AC-52B79A98B927}" name="Table1" displayName="Table1" ref="A1:S19" totalsRowShown="0">
  <autoFilter ref="A1:S19" xr:uid="{F312128B-0DE5-8C42-A0AC-52B79A98B927}"/>
  <sortState xmlns:xlrd2="http://schemas.microsoft.com/office/spreadsheetml/2017/richdata2" ref="A2:S19">
    <sortCondition ref="B1:B19"/>
  </sortState>
  <tableColumns count="19">
    <tableColumn id="1" xr3:uid="{3CB690FC-BD83-F44B-8B2E-0DA578491A75}" name="lang"/>
    <tableColumn id="2" xr3:uid="{61E194BD-419E-B744-B0D6-CE8983E88051}" name="attribute.index"/>
    <tableColumn id="3" xr3:uid="{73031356-6F4C-104A-961C-1FA1AA816B5A}" name="attribute"/>
    <tableColumn id="4" xr3:uid="{F1CE506A-44EE-DA4F-BC40-6EB252D59125}" name="supplement"/>
    <tableColumn id="5" xr3:uid="{D9A54733-CF2B-D74E-B369-184302C1EBDD}" name="method.index"/>
    <tableColumn id="6" xr3:uid="{5FF8B1E0-99E9-9A4E-8C16-FB54E2B433C7}" name="method"/>
    <tableColumn id="7" xr3:uid="{52744EB9-7B4A-F04C-B032-7A8834E2D10C}" name="2g-no-hash" dataDxfId="103"/>
    <tableColumn id="8" xr3:uid="{ECD9EAE1-E6A7-7F41-9A78-D10EFC7BA5B1}" name="3g-no-hash" dataDxfId="102"/>
    <tableColumn id="9" xr3:uid="{45A4F152-8C56-F444-B058-14E4D50975E4}" name="4g-no-hash" dataDxfId="101"/>
    <tableColumn id="10" xr3:uid="{03E9E586-553D-F14F-A3DA-2EBE59376311}" name="xsk2g-no-hash" dataDxfId="100"/>
    <tableColumn id="11" xr3:uid="{9C714BF1-1759-2246-B8A0-85969F6A1C59}" name="xsk3g-no-hash" dataDxfId="99"/>
    <tableColumn id="12" xr3:uid="{2E6DDD73-919F-2941-9D93-1B453A4916A4}" name="xsk4g-no-hash" dataDxfId="98"/>
    <tableColumn id="13" xr3:uid="{465FF15F-D14D-6F46-9015-3311CFA0646D}" name="2g-hash-at-both" dataDxfId="97"/>
    <tableColumn id="14" xr3:uid="{B09421FB-6AFE-E341-B860-35959450A912}" name="3g-hash-at-both" dataDxfId="96"/>
    <tableColumn id="15" xr3:uid="{7FCAE28E-FE2F-394C-A233-374ACD0FC789}" name="4g-hash-at-both" dataDxfId="95"/>
    <tableColumn id="16" xr3:uid="{71F0A942-E6D0-F04B-9743-C12FCF1142D3}" name="xsk2g-hash-at-both" dataDxfId="94"/>
    <tableColumn id="17" xr3:uid="{BFEA2077-4155-5E42-B6C9-71F728881EC2}" name="xsk3g-hash-at-both" dataDxfId="93"/>
    <tableColumn id="18" xr3:uid="{552B0480-B488-3C49-B94E-15B8831C3DD0}" name="xsk4g-hash-at-both" dataDxfId="92"/>
    <tableColumn id="19" xr3:uid="{C2753B52-BB49-4B49-8A70-5FFC55A7AB9D}" name="max" dataDxfId="91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DCA539-F1B2-E54D-A21A-F352A062E3FC}" name="Table696" displayName="Table696" ref="B22:S28" totalsRowShown="0">
  <autoFilter ref="B22:S28" xr:uid="{79DCA539-F1B2-E54D-A21A-F352A062E3FC}"/>
  <tableColumns count="18">
    <tableColumn id="1" xr3:uid="{E2A60D8D-A047-7F40-9CA4-3B6E18D1B901}" name="attribute.index"/>
    <tableColumn id="2" xr3:uid="{36B3C356-3935-7F44-A2E6-166CBFDAFA8D}" name="attribute"/>
    <tableColumn id="3" xr3:uid="{19F26803-DE93-1847-8ABB-B568FF269A5A}" name="supplemented"/>
    <tableColumn id="4" xr3:uid="{E8038C3E-9120-8948-8113-24EF0FF09128}" name="method.index"/>
    <tableColumn id="5" xr3:uid="{DE5228A8-4D92-E54B-8C95-FD8B616974C5}" name="method"/>
    <tableColumn id="6" xr3:uid="{5003594A-4035-9B48-A6D1-DDF757E59514}" name="2g-no-hash" dataDxfId="90">
      <calculatedColumnFormula array="1">_xlfn.LET(_xlpm.d,G$2:G$19,_xlpm.a,$C$2:$C$19=$C23,_xlpm.b,$D$2:$D$19=$D23,MAX(_xlfn._xlws.FILTER(_xlpm.d,_xlpm.a*_xlpm.b)))</calculatedColumnFormula>
    </tableColumn>
    <tableColumn id="7" xr3:uid="{662C942E-6A3D-404C-B287-3F36A5F1959A}" name="3g-no-hash" dataDxfId="89">
      <calculatedColumnFormula array="1">_xlfn.LET(_xlpm.d,H$2:H$19,_xlpm.a,$C$2:$C$19=$C23,_xlpm.b,$D$2:$D$19=$D23,MAX(_xlfn._xlws.FILTER(_xlpm.d,_xlpm.a*_xlpm.b)))</calculatedColumnFormula>
    </tableColumn>
    <tableColumn id="8" xr3:uid="{7757976C-D4E5-B74C-B65E-A5BE302BD68B}" name="4g-no-hash" dataDxfId="88">
      <calculatedColumnFormula array="1">_xlfn.LET(_xlpm.d,I$2:I$19,_xlpm.a,$C$2:$C$19=$C23,_xlpm.b,$D$2:$D$19=$D23,MAX(_xlfn._xlws.FILTER(_xlpm.d,_xlpm.a*_xlpm.b)))</calculatedColumnFormula>
    </tableColumn>
    <tableColumn id="9" xr3:uid="{C3603690-39A1-C94E-B80E-006321CBF399}" name="xsk2g-no-hash" dataDxfId="87">
      <calculatedColumnFormula array="1">_xlfn.LET(_xlpm.d,J$2:J$19,_xlpm.a,$C$2:$C$19=$C23,_xlpm.b,$D$2:$D$19=$D23,MAX(_xlfn._xlws.FILTER(_xlpm.d,_xlpm.a*_xlpm.b)))</calculatedColumnFormula>
    </tableColumn>
    <tableColumn id="10" xr3:uid="{AAD51C56-1F92-B14C-91B5-73A34A779C4C}" name="xsk3g-no-hash" dataDxfId="86">
      <calculatedColumnFormula array="1">_xlfn.LET(_xlpm.d,K$2:K$19,_xlpm.a,$C$2:$C$19=$C23,_xlpm.b,$D$2:$D$19=$D23,MAX(_xlfn._xlws.FILTER(_xlpm.d,_xlpm.a*_xlpm.b)))</calculatedColumnFormula>
    </tableColumn>
    <tableColumn id="11" xr3:uid="{2783DA72-CE58-5641-91F0-F85B109A8CAC}" name="xsk4g-no-hash" dataDxfId="85">
      <calculatedColumnFormula array="1">_xlfn.LET(_xlpm.d,L$2:L$19,_xlpm.a,$C$2:$C$19=$C23,_xlpm.b,$D$2:$D$19=$D23,MAX(_xlfn._xlws.FILTER(_xlpm.d,_xlpm.a*_xlpm.b)))</calculatedColumnFormula>
    </tableColumn>
    <tableColumn id="12" xr3:uid="{1AF98CAB-618A-4842-AB1F-862B58892751}" name="2g-hash-at-both" dataDxfId="84">
      <calculatedColumnFormula array="1">_xlfn.LET(_xlpm.d,M$2:M$19,_xlpm.a,$C$2:$C$19=$C23,_xlpm.b,$D$2:$D$19=$D23,MAX(_xlfn._xlws.FILTER(_xlpm.d,_xlpm.a*_xlpm.b)))</calculatedColumnFormula>
    </tableColumn>
    <tableColumn id="13" xr3:uid="{E4AA3633-087B-964F-8A5E-AFA9C141322D}" name="3g-hash-at-both" dataDxfId="83">
      <calculatedColumnFormula array="1">_xlfn.LET(_xlpm.d,N$2:N$19,_xlpm.a,$C$2:$C$19=$C23,_xlpm.b,$D$2:$D$19=$D23,MAX(_xlfn._xlws.FILTER(_xlpm.d,_xlpm.a*_xlpm.b)))</calculatedColumnFormula>
    </tableColumn>
    <tableColumn id="14" xr3:uid="{51BC32DF-8170-F14B-8F32-51D15ED5A0B6}" name="4g-hash-at-both" dataDxfId="82">
      <calculatedColumnFormula array="1">_xlfn.LET(_xlpm.d,O$2:O$19,_xlpm.a,$C$2:$C$19=$C23,_xlpm.b,$D$2:$D$19=$D23,MAX(_xlfn._xlws.FILTER(_xlpm.d,_xlpm.a*_xlpm.b)))</calculatedColumnFormula>
    </tableColumn>
    <tableColumn id="15" xr3:uid="{8D4BFFB8-EB53-C843-A47D-80B485E5805D}" name="xsk2g-hash-at-both" dataDxfId="81">
      <calculatedColumnFormula array="1">_xlfn.LET(_xlpm.d,P$2:P$19,_xlpm.a,$C$2:$C$19=$C23,_xlpm.b,$D$2:$D$19=$D23,MAX(_xlfn._xlws.FILTER(_xlpm.d,_xlpm.a*_xlpm.b)))</calculatedColumnFormula>
    </tableColumn>
    <tableColumn id="16" xr3:uid="{63C9B37D-51B6-614F-8B58-332DECD69784}" name="xsk3g-hash-at-both" dataDxfId="80">
      <calculatedColumnFormula array="1">_xlfn.LET(_xlpm.d,Q$2:Q$19,_xlpm.a,$C$2:$C$19=$C23,_xlpm.b,$D$2:$D$19=$D23,MAX(_xlfn._xlws.FILTER(_xlpm.d,_xlpm.a*_xlpm.b)))</calculatedColumnFormula>
    </tableColumn>
    <tableColumn id="17" xr3:uid="{F2CB0EE9-16DC-DF4C-A16E-74460EE881E5}" name="xsk4g-hash-at-both" dataDxfId="79">
      <calculatedColumnFormula array="1">_xlfn.LET(_xlpm.d,R$2:R$19,_xlpm.a,$C$2:$C$19=$C23,_xlpm.b,$D$2:$D$19=$D23,MAX(_xlfn._xlws.FILTER(_xlpm.d,_xlpm.a*_xlpm.b)))</calculatedColumnFormula>
    </tableColumn>
    <tableColumn id="18" xr3:uid="{6A5315E2-1D07-864E-A339-3DE779B1BFCF}" name="max" dataDxfId="78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7CC56E2-3597-8248-BD5F-D93F4622F12F}" name="Table21" displayName="Table21" ref="A1:T19" totalsRowShown="0">
  <autoFilter ref="A1:T19" xr:uid="{47CC56E2-3597-8248-BD5F-D93F4622F12F}"/>
  <sortState xmlns:xlrd2="http://schemas.microsoft.com/office/spreadsheetml/2017/richdata2" ref="A2:T19">
    <sortCondition ref="B1:B19"/>
  </sortState>
  <tableColumns count="20">
    <tableColumn id="1" xr3:uid="{EAFF58FB-C5C1-5040-B33C-48F14F31B35F}" name="lang"/>
    <tableColumn id="2" xr3:uid="{ED68D77A-3068-F549-B836-7B015B607604}" name="attribute.index"/>
    <tableColumn id="3" xr3:uid="{C74B6E78-FDC4-724E-8A32-936F62BB252D}" name="attribute"/>
    <tableColumn id="4" xr3:uid="{C865FCE8-EC7E-E547-85E3-CA79AEC67C51}" name="supplement"/>
    <tableColumn id="5" xr3:uid="{CA761ECA-86F0-FA4F-BE41-3CFF3C7CB699}" name="method.index"/>
    <tableColumn id="6" xr3:uid="{682E7AF5-6860-C149-996F-993134127EA7}" name="method"/>
    <tableColumn id="20" xr3:uid="{7C2D4493-3676-9845-A38B-B6E3CAB06915}" name="var"/>
    <tableColumn id="7" xr3:uid="{051FE646-E2D0-FB46-ACF0-EB7515978BD0}" name="2g-no-hash" dataDxfId="77"/>
    <tableColumn id="8" xr3:uid="{34E694F7-0ECB-3445-AA62-8FF973AB75CE}" name="3g-no-hash" dataDxfId="76"/>
    <tableColumn id="9" xr3:uid="{27636680-8B60-294E-A9DC-E25BBF3E9B4B}" name="4g-no-hash" dataDxfId="75"/>
    <tableColumn id="10" xr3:uid="{00232ABB-2DC2-6343-B1A8-8A714E40D0B0}" name="xsk2g-no-hash" dataDxfId="74"/>
    <tableColumn id="11" xr3:uid="{901DED6D-A3FD-A344-A8ED-7268B0AA2728}" name="xsk3g-no-hash" dataDxfId="73"/>
    <tableColumn id="12" xr3:uid="{BA336317-8597-F945-8080-5D8F3FADB791}" name="xsk4g-no-hash" dataDxfId="72"/>
    <tableColumn id="13" xr3:uid="{D4A4C4DD-69A1-1E46-AA40-CABD9327822A}" name="2g-hash-at-both" dataDxfId="71"/>
    <tableColumn id="14" xr3:uid="{67BEFDE3-03BF-8F47-B138-A035A8890270}" name="3g-hash-at-both" dataDxfId="70"/>
    <tableColumn id="15" xr3:uid="{BB221D89-7C73-F443-8ED3-AF48385F1B90}" name="4g-hash-at-both" dataDxfId="69"/>
    <tableColumn id="16" xr3:uid="{446E773B-BA79-CC4A-B2B0-D2C2C7404CBF}" name="xsk2g-hash-at-both" dataDxfId="68"/>
    <tableColumn id="17" xr3:uid="{83A29C06-C0BD-FF4E-BA92-452D3883A049}" name="xsk3g-hash-at-both" dataDxfId="67"/>
    <tableColumn id="18" xr3:uid="{7B88A0F0-C1DC-7D46-9EEB-B801747DB5E4}" name="xsk4g-hash-at-both" dataDxfId="66"/>
    <tableColumn id="19" xr3:uid="{D55F462A-D507-8F49-9BB7-9676996448E0}" name="max" dataDxfId="65">
      <calculatedColumnFormula>MAX($H2:$S2)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FEC8141-C2E7-9B49-A300-75F37CA12603}" name="Table623" displayName="Table623" ref="B22:T28" totalsRowShown="0">
  <autoFilter ref="B22:T28" xr:uid="{DFEC8141-C2E7-9B49-A300-75F37CA12603}"/>
  <tableColumns count="19">
    <tableColumn id="1" xr3:uid="{4D07919E-A1E2-AD41-9613-AB70B51BA9AF}" name="attribute.index"/>
    <tableColumn id="2" xr3:uid="{FFED1251-0751-D040-8FA9-E61DAF1E5324}" name="attribute"/>
    <tableColumn id="3" xr3:uid="{437993F4-3538-7045-9AB9-ABD6F4F85391}" name="supplemented"/>
    <tableColumn id="4" xr3:uid="{22FF023C-B9FF-E242-8000-0FF1041496B6}" name="method.index"/>
    <tableColumn id="5" xr3:uid="{E0F1DF98-7130-1642-9F71-55870FF746C1}" name="method"/>
    <tableColumn id="19" xr3:uid="{7F5D5191-FD6E-FF4A-98C5-D3A0111804E1}" name="var"/>
    <tableColumn id="6" xr3:uid="{5C1B5263-D601-1B47-A206-D3F7169EF4A0}" name="2g-no-hash" dataDxfId="64">
      <calculatedColumnFormula array="1">_xlfn.LET(_xlpm.d,H$2:H$19,_xlpm.a,$C$2:$C$19=$C23,_xlpm.b,$D$2:$D$19=$D23,MAX(_xlfn._xlws.FILTER(_xlpm.d,_xlpm.a*_xlpm.b)))</calculatedColumnFormula>
    </tableColumn>
    <tableColumn id="7" xr3:uid="{31A4296F-94CE-844B-956C-B4854E44A495}" name="3g-no-hash" dataDxfId="63">
      <calculatedColumnFormula array="1">_xlfn.LET(_xlpm.d,I$2:I$19,_xlpm.a,$C$2:$C$19=$C23,_xlpm.b,$D$2:$D$19=$D23,MAX(_xlfn._xlws.FILTER(_xlpm.d,_xlpm.a*_xlpm.b)))</calculatedColumnFormula>
    </tableColumn>
    <tableColumn id="8" xr3:uid="{407686B7-19EB-3745-8F5B-C47EBC966B14}" name="4g-no-hash" dataDxfId="62">
      <calculatedColumnFormula array="1">_xlfn.LET(_xlpm.d,J$2:J$19,_xlpm.a,$C$2:$C$19=$C23,_xlpm.b,$D$2:$D$19=$D23,MAX(_xlfn._xlws.FILTER(_xlpm.d,_xlpm.a*_xlpm.b)))</calculatedColumnFormula>
    </tableColumn>
    <tableColumn id="9" xr3:uid="{2EC56FE5-DBE6-6146-A9CE-30C29211A697}" name="xsk2g-no-hash" dataDxfId="61">
      <calculatedColumnFormula array="1">_xlfn.LET(_xlpm.d,K$2:K$19,_xlpm.a,$C$2:$C$19=$C23,_xlpm.b,$D$2:$D$19=$D23,MAX(_xlfn._xlws.FILTER(_xlpm.d,_xlpm.a*_xlpm.b)))</calculatedColumnFormula>
    </tableColumn>
    <tableColumn id="10" xr3:uid="{0905E48D-6635-5F46-8574-41E552E87128}" name="xsk3g-no-hash" dataDxfId="60">
      <calculatedColumnFormula array="1">_xlfn.LET(_xlpm.d,L$2:L$19,_xlpm.a,$C$2:$C$19=$C23,_xlpm.b,$D$2:$D$19=$D23,MAX(_xlfn._xlws.FILTER(_xlpm.d,_xlpm.a*_xlpm.b)))</calculatedColumnFormula>
    </tableColumn>
    <tableColumn id="11" xr3:uid="{5A2344C8-CCB5-A94E-B5E4-DE203A1DAAE2}" name="xsk4g-no-hash" dataDxfId="59">
      <calculatedColumnFormula array="1">_xlfn.LET(_xlpm.d,M$2:M$19,_xlpm.a,$C$2:$C$19=$C23,_xlpm.b,$D$2:$D$19=$D23,MAX(_xlfn._xlws.FILTER(_xlpm.d,_xlpm.a*_xlpm.b)))</calculatedColumnFormula>
    </tableColumn>
    <tableColumn id="12" xr3:uid="{1562E203-798E-7046-8FEE-80F3995713BE}" name="2g-hash-at-both" dataDxfId="58">
      <calculatedColumnFormula array="1">_xlfn.LET(_xlpm.d,N$2:N$19,_xlpm.a,$C$2:$C$19=$C23,_xlpm.b,$D$2:$D$19=$D23,MAX(_xlfn._xlws.FILTER(_xlpm.d,_xlpm.a*_xlpm.b)))</calculatedColumnFormula>
    </tableColumn>
    <tableColumn id="13" xr3:uid="{A13D5250-1DD8-814B-953A-30E9C4DC9F7F}" name="3g-hash-at-both" dataDxfId="57">
      <calculatedColumnFormula array="1">_xlfn.LET(_xlpm.d,O$2:O$19,_xlpm.a,$C$2:$C$19=$C23,_xlpm.b,$D$2:$D$19=$D23,MAX(_xlfn._xlws.FILTER(_xlpm.d,_xlpm.a*_xlpm.b)))</calculatedColumnFormula>
    </tableColumn>
    <tableColumn id="14" xr3:uid="{E3BA6312-99A5-AB43-92A7-756C25CB6C1D}" name="4g-hash-at-both" dataDxfId="56">
      <calculatedColumnFormula array="1">_xlfn.LET(_xlpm.d,P$2:P$19,_xlpm.a,$C$2:$C$19=$C23,_xlpm.b,$D$2:$D$19=$D23,MAX(_xlfn._xlws.FILTER(_xlpm.d,_xlpm.a*_xlpm.b)))</calculatedColumnFormula>
    </tableColumn>
    <tableColumn id="15" xr3:uid="{E9A1BEEB-787C-754C-BE97-DF419E8B97B9}" name="xsk2g-hash-at-both" dataDxfId="55">
      <calculatedColumnFormula array="1">_xlfn.LET(_xlpm.d,Q$2:Q$19,_xlpm.a,$C$2:$C$19=$C23,_xlpm.b,$D$2:$D$19=$D23,MAX(_xlfn._xlws.FILTER(_xlpm.d,_xlpm.a*_xlpm.b)))</calculatedColumnFormula>
    </tableColumn>
    <tableColumn id="16" xr3:uid="{3A68B200-CE9B-D840-B7A1-EDC4A92B3FA2}" name="xsk3g-hash-at-both" dataDxfId="54">
      <calculatedColumnFormula array="1">_xlfn.LET(_xlpm.d,R$2:R$19,_xlpm.a,$C$2:$C$19=$C23,_xlpm.b,$D$2:$D$19=$D23,MAX(_xlfn._xlws.FILTER(_xlpm.d,_xlpm.a*_xlpm.b)))</calculatedColumnFormula>
    </tableColumn>
    <tableColumn id="17" xr3:uid="{0DF08543-1A83-134C-9AB2-67114811C8CB}" name="xsk4g-hash-at-both" dataDxfId="53">
      <calculatedColumnFormula array="1">_xlfn.LET(_xlpm.d,S$2:S$19,_xlpm.a,$C$2:$C$19=$C23,_xlpm.b,$D$2:$D$19=$D23,MAX(_xlfn._xlws.FILTER(_xlpm.d,_xlpm.a*_xlpm.b)))</calculatedColumnFormula>
    </tableColumn>
    <tableColumn id="18" xr3:uid="{BB3CD15E-ACB4-AC45-81A7-03AF2E61E81E}" name="max" dataDxfId="52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D7BD748-4EF8-9943-A972-3647D50ECC03}" name="Table19" displayName="Table19" ref="A1:T19" totalsRowShown="0">
  <autoFilter ref="A1:T19" xr:uid="{BD7BD748-4EF8-9943-A972-3647D50ECC03}"/>
  <sortState xmlns:xlrd2="http://schemas.microsoft.com/office/spreadsheetml/2017/richdata2" ref="A2:T19">
    <sortCondition ref="B1:B19"/>
  </sortState>
  <tableColumns count="20">
    <tableColumn id="1" xr3:uid="{01554D7B-3FE8-9C49-95E7-28C65C973255}" name="lang"/>
    <tableColumn id="2" xr3:uid="{DDF13E5E-3ABD-994F-8398-5E3C3A702CA4}" name="attribute.index"/>
    <tableColumn id="3" xr3:uid="{3AD787FA-628D-9949-A749-003323038F4A}" name="attribute"/>
    <tableColumn id="4" xr3:uid="{F54ED1E3-1A3A-F94C-A99B-5BE1CBDB9B03}" name="supplement"/>
    <tableColumn id="5" xr3:uid="{D89B121F-E717-AE4D-A9FE-912764C5667C}" name="method.index"/>
    <tableColumn id="6" xr3:uid="{4E940863-2176-0941-ACA0-6D49F033DC06}" name="method"/>
    <tableColumn id="20" xr3:uid="{78EB4DD1-801A-3942-8EF4-C623EF8B60EA}" name="var"/>
    <tableColumn id="7" xr3:uid="{6D919B25-B8FE-2544-BF4A-57C7D2E82624}" name="2g-no-hash" dataDxfId="51"/>
    <tableColumn id="8" xr3:uid="{1F6EC33F-9E07-9946-B520-CDAF7F096865}" name="3g-no-hash" dataDxfId="50"/>
    <tableColumn id="9" xr3:uid="{599FF272-DD8C-524E-A507-7C2E8B413884}" name="4g-no-hash" dataDxfId="49"/>
    <tableColumn id="10" xr3:uid="{E32C668D-B60C-E044-B691-EB4DE86F8584}" name="xsk2g-no-hash" dataDxfId="48"/>
    <tableColumn id="11" xr3:uid="{D354CCB9-3696-2344-9EDA-C7B7428A96CC}" name="xsk3g-no-hash" dataDxfId="47"/>
    <tableColumn id="12" xr3:uid="{342225D8-E0EF-4C4C-A0CE-130503A4B34A}" name="xsk4g-no-hash" dataDxfId="46"/>
    <tableColumn id="13" xr3:uid="{1B916DF3-ED2E-434C-8ADE-583940DF45C6}" name="2g-hash-at-both" dataDxfId="45"/>
    <tableColumn id="14" xr3:uid="{61938554-21ED-2644-8DDF-745029C5D35D}" name="3g-hash-at-both" dataDxfId="44"/>
    <tableColumn id="15" xr3:uid="{C5CBDAB7-610E-AA4D-B5B0-7A426DF1FAAD}" name="4g-hash-at-both" dataDxfId="43"/>
    <tableColumn id="16" xr3:uid="{60C32F10-50A5-E749-8FE7-8E862FFFFFA3}" name="xsk2g-hash-at-both" dataDxfId="42"/>
    <tableColumn id="17" xr3:uid="{1DE3F9F6-49FE-E745-B980-F71EBCA09E63}" name="xsk3g-hash-at-both" dataDxfId="41"/>
    <tableColumn id="18" xr3:uid="{AD278835-2793-7B43-A293-DFE7C251B4BB}" name="xsk4g-hash-at-both" dataDxfId="40"/>
    <tableColumn id="19" xr3:uid="{5A4E1F64-BE12-884C-8123-919AF261BBFF}" name="max" dataDxfId="39">
      <calculatedColumnFormula>MAX($H2:$S2)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E76FDD7-8736-8647-866D-A5E823752812}" name="Table221" displayName="Table221" ref="B22:T28" totalsRowShown="0">
  <autoFilter ref="B22:T28" xr:uid="{8E76FDD7-8736-8647-866D-A5E823752812}"/>
  <tableColumns count="19">
    <tableColumn id="1" xr3:uid="{8FCD49D5-1753-F444-917C-2DB16EC7E772}" name="attribute.index"/>
    <tableColumn id="2" xr3:uid="{F04AC2F4-107D-A141-B38F-DAC2E4F34D1F}" name="attribute"/>
    <tableColumn id="3" xr3:uid="{0FFF0EC7-91B9-5349-A453-4A11F32861E7}" name="supplemented"/>
    <tableColumn id="4" xr3:uid="{4F4CE2D4-6EA5-8743-875D-4B39826CE09A}" name="method.index"/>
    <tableColumn id="5" xr3:uid="{A350A7AC-CAD0-DF4F-B6DE-6B81F706CB9F}" name="method"/>
    <tableColumn id="19" xr3:uid="{01330342-F500-F34F-85C1-5C9E319B9FB7}" name="var"/>
    <tableColumn id="6" xr3:uid="{2E4FEEA9-0BEE-6E40-88AA-00103CAC27A3}" name="2g-no-hash" dataDxfId="38">
      <calculatedColumnFormula array="1">_xlfn.LET(_xlpm.d,H$2:H$19,_xlpm.a,$C$2:$C$19=$C23,_xlpm.b,$D$2:$D$19=$D23,MAX(_xlfn._xlws.FILTER(_xlpm.d,_xlpm.a*_xlpm.b)))</calculatedColumnFormula>
    </tableColumn>
    <tableColumn id="7" xr3:uid="{160BDA44-F69D-D947-B86E-47D851D37960}" name="3g-no-hash" dataDxfId="37">
      <calculatedColumnFormula array="1">_xlfn.LET(_xlpm.d,I$2:I$19,_xlpm.a,$C$2:$C$19=$C23,_xlpm.b,$D$2:$D$19=$D23,MAX(_xlfn._xlws.FILTER(_xlpm.d,_xlpm.a*_xlpm.b)))</calculatedColumnFormula>
    </tableColumn>
    <tableColumn id="8" xr3:uid="{F15B1771-D901-574D-82B8-9AC3840CE29E}" name="4g-no-hash" dataDxfId="36">
      <calculatedColumnFormula array="1">_xlfn.LET(_xlpm.d,J$2:J$19,_xlpm.a,$C$2:$C$19=$C23,_xlpm.b,$D$2:$D$19=$D23,MAX(_xlfn._xlws.FILTER(_xlpm.d,_xlpm.a*_xlpm.b)))</calculatedColumnFormula>
    </tableColumn>
    <tableColumn id="9" xr3:uid="{53977FF0-27DA-8A47-A6EF-A6BD72B0EDCB}" name="xsk2g-no-hash" dataDxfId="35">
      <calculatedColumnFormula array="1">_xlfn.LET(_xlpm.d,K$2:K$19,_xlpm.a,$C$2:$C$19=$C23,_xlpm.b,$D$2:$D$19=$D23,MAX(_xlfn._xlws.FILTER(_xlpm.d,_xlpm.a*_xlpm.b)))</calculatedColumnFormula>
    </tableColumn>
    <tableColumn id="10" xr3:uid="{A6219C7C-F7C2-014F-AA0B-1EB06E91A7C9}" name="xsk3g-no-hash" dataDxfId="34">
      <calculatedColumnFormula array="1">_xlfn.LET(_xlpm.d,L$2:L$19,_xlpm.a,$C$2:$C$19=$C23,_xlpm.b,$D$2:$D$19=$D23,MAX(_xlfn._xlws.FILTER(_xlpm.d,_xlpm.a*_xlpm.b)))</calculatedColumnFormula>
    </tableColumn>
    <tableColumn id="11" xr3:uid="{EC476079-B8A2-AB49-AA9B-21AB2CB75D47}" name="xsk4g-no-hash" dataDxfId="33">
      <calculatedColumnFormula array="1">_xlfn.LET(_xlpm.d,M$2:M$19,_xlpm.a,$C$2:$C$19=$C23,_xlpm.b,$D$2:$D$19=$D23,MAX(_xlfn._xlws.FILTER(_xlpm.d,_xlpm.a*_xlpm.b)))</calculatedColumnFormula>
    </tableColumn>
    <tableColumn id="12" xr3:uid="{67C0BD80-4381-8D48-BB5A-227F3AD5B85D}" name="2g-hash-at-both" dataDxfId="32">
      <calculatedColumnFormula array="1">_xlfn.LET(_xlpm.d,N$2:N$19,_xlpm.a,$C$2:$C$19=$C23,_xlpm.b,$D$2:$D$19=$D23,MAX(_xlfn._xlws.FILTER(_xlpm.d,_xlpm.a*_xlpm.b)))</calculatedColumnFormula>
    </tableColumn>
    <tableColumn id="13" xr3:uid="{51F4FDD8-A65B-F846-82B1-1BBFBE6C2071}" name="3g-hash-at-both" dataDxfId="31">
      <calculatedColumnFormula array="1">_xlfn.LET(_xlpm.d,O$2:O$19,_xlpm.a,$C$2:$C$19=$C23,_xlpm.b,$D$2:$D$19=$D23,MAX(_xlfn._xlws.FILTER(_xlpm.d,_xlpm.a*_xlpm.b)))</calculatedColumnFormula>
    </tableColumn>
    <tableColumn id="14" xr3:uid="{25A3DE42-A03F-1449-8EA9-9C2AEF49C047}" name="4g-hash-at-both" dataDxfId="30">
      <calculatedColumnFormula array="1">_xlfn.LET(_xlpm.d,P$2:P$19,_xlpm.a,$C$2:$C$19=$C23,_xlpm.b,$D$2:$D$19=$D23,MAX(_xlfn._xlws.FILTER(_xlpm.d,_xlpm.a*_xlpm.b)))</calculatedColumnFormula>
    </tableColumn>
    <tableColumn id="15" xr3:uid="{0E9B26A1-9475-514D-9A18-49CB9953C29F}" name="xsk2g-hash-at-both" dataDxfId="29">
      <calculatedColumnFormula array="1">_xlfn.LET(_xlpm.d,Q$2:Q$19,_xlpm.a,$C$2:$C$19=$C23,_xlpm.b,$D$2:$D$19=$D23,MAX(_xlfn._xlws.FILTER(_xlpm.d,_xlpm.a*_xlpm.b)))</calculatedColumnFormula>
    </tableColumn>
    <tableColumn id="16" xr3:uid="{29971F65-188B-3B4D-A422-38E04002774F}" name="xsk3g-hash-at-both" dataDxfId="28">
      <calculatedColumnFormula array="1">_xlfn.LET(_xlpm.d,R$2:R$19,_xlpm.a,$C$2:$C$19=$C23,_xlpm.b,$D$2:$D$19=$D23,MAX(_xlfn._xlws.FILTER(_xlpm.d,_xlpm.a*_xlpm.b)))</calculatedColumnFormula>
    </tableColumn>
    <tableColumn id="17" xr3:uid="{E93940FB-A186-F842-B24D-34547FBB4AE6}" name="xsk4g-hash-at-both" dataDxfId="27">
      <calculatedColumnFormula array="1">_xlfn.LET(_xlpm.d,S$2:S$19,_xlpm.a,$C$2:$C$19=$C23,_xlpm.b,$D$2:$D$19=$D23,MAX(_xlfn._xlws.FILTER(_xlpm.d,_xlpm.a*_xlpm.b)))</calculatedColumnFormula>
    </tableColumn>
    <tableColumn id="18" xr3:uid="{7519F29A-C8B6-0F4F-A86E-EE62F266F1D4}" name="max" dataDxfId="26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B5330C-DE46-0949-8D0E-0729AA70634E}" name="Table3" displayName="Table3" ref="A1:S19" totalsRowShown="0">
  <autoFilter ref="A1:S19" xr:uid="{E8B5330C-DE46-0949-8D0E-0729AA70634E}"/>
  <sortState xmlns:xlrd2="http://schemas.microsoft.com/office/spreadsheetml/2017/richdata2" ref="A2:S19">
    <sortCondition ref="B1:B19"/>
  </sortState>
  <tableColumns count="19">
    <tableColumn id="1" xr3:uid="{031C64BB-9267-C84C-B699-0DD411302ACE}" name="lang"/>
    <tableColumn id="2" xr3:uid="{7EF04B24-6F41-E349-88A1-F5DAFB5E05C4}" name="attribute.index"/>
    <tableColumn id="3" xr3:uid="{287771DA-0B6F-4B4A-8EB8-4946E494F049}" name="attribute"/>
    <tableColumn id="4" xr3:uid="{EF625147-5D3D-3043-8665-E58DD966AEA2}" name="supplement"/>
    <tableColumn id="5" xr3:uid="{64C7AAEA-FFA3-A84F-9010-9E9FB2A4CAF5}" name="method.index"/>
    <tableColumn id="6" xr3:uid="{BB7E3696-976E-6D43-92B2-A5F98F7D15DD}" name="method"/>
    <tableColumn id="7" xr3:uid="{577D1FCA-1633-E941-9B63-0C44CBE68FC4}" name="2g-no-hash" dataDxfId="25"/>
    <tableColumn id="8" xr3:uid="{704AF3CC-CE4B-2F43-BFED-7837BA1311BE}" name="3g-no-hash" dataDxfId="24"/>
    <tableColumn id="9" xr3:uid="{0730C83B-C97E-DB4B-853D-DEC04A3B8D2C}" name="4g-no-hash" dataDxfId="23"/>
    <tableColumn id="10" xr3:uid="{7B12DC48-9662-DD40-9CAD-539B5719D745}" name="xsk2g-no-hash" dataDxfId="22"/>
    <tableColumn id="11" xr3:uid="{36F82DD2-708A-724B-B2BE-ABFB4728DF46}" name="xsk3g-no-hash" dataDxfId="21"/>
    <tableColumn id="12" xr3:uid="{EAD662E8-BA98-7D44-8382-9EEB578AF5E6}" name="xsk4g-no-hash" dataDxfId="20"/>
    <tableColumn id="13" xr3:uid="{DA7E0D78-B9C2-1A4E-943D-2943A1B69CA9}" name="2g-hash-at-both" dataDxfId="19"/>
    <tableColumn id="14" xr3:uid="{6A06C6DB-A237-6249-B4D0-BD54D07DB37C}" name="3g-hash-at-both" dataDxfId="18"/>
    <tableColumn id="15" xr3:uid="{27C0727D-4F62-7243-8B2B-94E61DB4C195}" name="4g-hash-at-both" dataDxfId="17"/>
    <tableColumn id="16" xr3:uid="{3E4B26F6-1FAA-2349-9F3F-0336369E0BE3}" name="xsk2g-hash-at-both" dataDxfId="16"/>
    <tableColumn id="17" xr3:uid="{7F64A0FA-9D41-1A4B-BA46-92B12777F548}" name="xsk3g-hash-at-both" dataDxfId="15"/>
    <tableColumn id="18" xr3:uid="{74568B2A-E8A6-E640-8344-3F198AD24F0C}" name="xsk4g-hash-at-both" dataDxfId="14"/>
    <tableColumn id="19" xr3:uid="{76B52755-0882-E54B-9556-36FCECDDCDAF}" name="max" dataDxfId="13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C11016-4AE7-8942-A727-0ED51C0727BD}" name="Table65" displayName="Table65" ref="B22:S28" totalsRowShown="0">
  <autoFilter ref="B22:S28" xr:uid="{CDC11016-4AE7-8942-A727-0ED51C0727BD}"/>
  <tableColumns count="18">
    <tableColumn id="1" xr3:uid="{53753C5B-20ED-3A48-9DAF-68CEB640D38D}" name="attribute.index"/>
    <tableColumn id="2" xr3:uid="{EEC53F9C-0442-5747-992F-203761E147F3}" name="attribute"/>
    <tableColumn id="3" xr3:uid="{4182FF18-ECC4-0348-A274-5BAD7C30762D}" name="supplemented"/>
    <tableColumn id="4" xr3:uid="{B74ACBF3-4D7D-E940-8071-1EBF75F4E7D4}" name="method.index"/>
    <tableColumn id="5" xr3:uid="{16AFB1BC-DAEA-7C4B-8CA4-6FD139B24446}" name="method"/>
    <tableColumn id="6" xr3:uid="{A1BA3681-996C-0A4E-862B-ABEC8C34C9C0}" name="2g-no-hash" dataDxfId="12">
      <calculatedColumnFormula array="1">_xlfn.LET(_xlpm.d,G$2:G$19,_xlpm.a,$C$2:$C$19=$C23,_xlpm.b,$D$2:$D$19=$D23,MAX(_xlfn._xlws.FILTER(_xlpm.d,_xlpm.a*_xlpm.b)))</calculatedColumnFormula>
    </tableColumn>
    <tableColumn id="7" xr3:uid="{36E9E601-121F-F94C-A272-079D29C28EC2}" name="3g-no-hash" dataDxfId="11">
      <calculatedColumnFormula array="1">_xlfn.LET(_xlpm.d,H$2:H$19,_xlpm.a,$C$2:$C$19=$C23,_xlpm.b,$D$2:$D$19=$D23,MAX(_xlfn._xlws.FILTER(_xlpm.d,_xlpm.a*_xlpm.b)))</calculatedColumnFormula>
    </tableColumn>
    <tableColumn id="8" xr3:uid="{6F5EB4F0-0771-A947-8CEF-566947F4F4F1}" name="4g-no-hash" dataDxfId="10">
      <calculatedColumnFormula array="1">_xlfn.LET(_xlpm.d,I$2:I$19,_xlpm.a,$C$2:$C$19=$C23,_xlpm.b,$D$2:$D$19=$D23,MAX(_xlfn._xlws.FILTER(_xlpm.d,_xlpm.a*_xlpm.b)))</calculatedColumnFormula>
    </tableColumn>
    <tableColumn id="9" xr3:uid="{743222F1-2383-F646-8C22-448B3DCEA9F5}" name="xsk2g-no-hash" dataDxfId="9">
      <calculatedColumnFormula array="1">_xlfn.LET(_xlpm.d,J$2:J$19,_xlpm.a,$C$2:$C$19=$C23,_xlpm.b,$D$2:$D$19=$D23,MAX(_xlfn._xlws.FILTER(_xlpm.d,_xlpm.a*_xlpm.b)))</calculatedColumnFormula>
    </tableColumn>
    <tableColumn id="10" xr3:uid="{F7440AC9-FE08-AB4E-AA91-515B70CC2447}" name="xsk3g-no-hash" dataDxfId="8">
      <calculatedColumnFormula array="1">_xlfn.LET(_xlpm.d,K$2:K$19,_xlpm.a,$C$2:$C$19=$C23,_xlpm.b,$D$2:$D$19=$D23,MAX(_xlfn._xlws.FILTER(_xlpm.d,_xlpm.a*_xlpm.b)))</calculatedColumnFormula>
    </tableColumn>
    <tableColumn id="11" xr3:uid="{94E2DBDC-7008-4243-B6AA-D56560FBE929}" name="xsk4g-no-hash" dataDxfId="7">
      <calculatedColumnFormula array="1">_xlfn.LET(_xlpm.d,L$2:L$19,_xlpm.a,$C$2:$C$19=$C23,_xlpm.b,$D$2:$D$19=$D23,MAX(_xlfn._xlws.FILTER(_xlpm.d,_xlpm.a*_xlpm.b)))</calculatedColumnFormula>
    </tableColumn>
    <tableColumn id="12" xr3:uid="{874D2491-E066-5D48-8106-1E8A0FA536C8}" name="2g-hash-at-both" dataDxfId="6">
      <calculatedColumnFormula array="1">_xlfn.LET(_xlpm.d,M$2:M$19,_xlpm.a,$C$2:$C$19=$C23,_xlpm.b,$D$2:$D$19=$D23,MAX(_xlfn._xlws.FILTER(_xlpm.d,_xlpm.a*_xlpm.b)))</calculatedColumnFormula>
    </tableColumn>
    <tableColumn id="13" xr3:uid="{FA3C122F-E2E5-5042-8403-D78B756D5DD2}" name="3g-hash-at-both" dataDxfId="5">
      <calculatedColumnFormula array="1">_xlfn.LET(_xlpm.d,N$2:N$19,_xlpm.a,$C$2:$C$19=$C23,_xlpm.b,$D$2:$D$19=$D23,MAX(_xlfn._xlws.FILTER(_xlpm.d,_xlpm.a*_xlpm.b)))</calculatedColumnFormula>
    </tableColumn>
    <tableColumn id="14" xr3:uid="{2BA49692-9D3D-C743-BA78-469DE6BC5FB1}" name="4g-hash-at-both" dataDxfId="4">
      <calculatedColumnFormula array="1">_xlfn.LET(_xlpm.d,O$2:O$19,_xlpm.a,$C$2:$C$19=$C23,_xlpm.b,$D$2:$D$19=$D23,MAX(_xlfn._xlws.FILTER(_xlpm.d,_xlpm.a*_xlpm.b)))</calculatedColumnFormula>
    </tableColumn>
    <tableColumn id="15" xr3:uid="{0AD20B9B-569B-5044-9AD2-6D5E43919BD8}" name="xsk2g-hash-at-both" dataDxfId="3">
      <calculatedColumnFormula array="1">_xlfn.LET(_xlpm.d,P$2:P$19,_xlpm.a,$C$2:$C$19=$C23,_xlpm.b,$D$2:$D$19=$D23,MAX(_xlfn._xlws.FILTER(_xlpm.d,_xlpm.a*_xlpm.b)))</calculatedColumnFormula>
    </tableColumn>
    <tableColumn id="16" xr3:uid="{A85D2541-BCDA-F741-8A72-13EBC7838EC4}" name="xsk3g-hash-at-both" dataDxfId="2">
      <calculatedColumnFormula array="1">_xlfn.LET(_xlpm.d,Q$2:Q$19,_xlpm.a,$C$2:$C$19=$C23,_xlpm.b,$D$2:$D$19=$D23,MAX(_xlfn._xlws.FILTER(_xlpm.d,_xlpm.a*_xlpm.b)))</calculatedColumnFormula>
    </tableColumn>
    <tableColumn id="17" xr3:uid="{1E18D9FF-63D4-C34F-BEC9-784708BE81F8}" name="xsk4g-hash-at-both" dataDxfId="1">
      <calculatedColumnFormula array="1">_xlfn.LET(_xlpm.d,R$2:R$19,_xlpm.a,$C$2:$C$19=$C23,_xlpm.b,$D$2:$D$19=$D23,MAX(_xlfn._xlws.FILTER(_xlpm.d,_xlpm.a*_xlpm.b)))</calculatedColumnFormula>
    </tableColumn>
    <tableColumn id="18" xr3:uid="{D876E914-AC73-FC4A-92CF-82E858641540}" name="max" dataDxfId="0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Relationship Id="rId4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1671-7B2F-B140-8B8D-2AA765C546E4}">
  <dimension ref="A1:X103"/>
  <sheetViews>
    <sheetView workbookViewId="0">
      <pane xSplit="10980" ySplit="3440" topLeftCell="O58" activePane="bottomRight"/>
      <selection activeCell="I8" sqref="I8"/>
      <selection pane="topRight" activeCell="X1" sqref="X1:X1048576"/>
      <selection pane="bottomLeft" activeCell="A75" sqref="A75"/>
      <selection pane="bottomRight" activeCell="Q99" sqref="Q99"/>
    </sheetView>
  </sheetViews>
  <sheetFormatPr baseColWidth="10" defaultRowHeight="25" customHeight="1"/>
  <cols>
    <col min="1" max="1" width="6.375" customWidth="1"/>
    <col min="2" max="2" width="6.5" customWidth="1"/>
    <col min="3" max="3" width="7.375" customWidth="1"/>
    <col min="4" max="4" width="7.125" customWidth="1"/>
    <col min="6" max="6" width="8" customWidth="1"/>
    <col min="7" max="7" width="7.375" customWidth="1"/>
    <col min="8" max="8" width="8.5" customWidth="1"/>
    <col min="9" max="9" width="18.375" customWidth="1"/>
    <col min="10" max="20" width="8.125" customWidth="1"/>
    <col min="21" max="21" width="9.75" customWidth="1"/>
    <col min="22" max="22" width="8.125" customWidth="1"/>
    <col min="23" max="23" width="8.25" customWidth="1"/>
    <col min="24" max="24" width="12.625" customWidth="1"/>
  </cols>
  <sheetData>
    <row r="1" spans="1:24" ht="25" customHeight="1">
      <c r="A1" t="s">
        <v>39</v>
      </c>
      <c r="B1" t="s">
        <v>34</v>
      </c>
      <c r="C1" t="s">
        <v>35</v>
      </c>
      <c r="D1" t="s">
        <v>1</v>
      </c>
      <c r="E1" t="s">
        <v>2</v>
      </c>
      <c r="F1" t="s">
        <v>31</v>
      </c>
      <c r="G1" t="s">
        <v>4</v>
      </c>
      <c r="H1" t="s">
        <v>32</v>
      </c>
      <c r="I1" t="s">
        <v>36</v>
      </c>
      <c r="J1" t="s">
        <v>6</v>
      </c>
      <c r="K1" t="s">
        <v>7</v>
      </c>
      <c r="L1" t="s">
        <v>8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21</v>
      </c>
      <c r="T1" t="s">
        <v>22</v>
      </c>
      <c r="U1" t="s">
        <v>23</v>
      </c>
      <c r="V1" t="s">
        <v>24</v>
      </c>
      <c r="W1" t="s">
        <v>40</v>
      </c>
      <c r="X1" t="s">
        <v>41</v>
      </c>
    </row>
    <row r="2" spans="1:24" ht="25" hidden="1" customHeight="1">
      <c r="A2" t="s">
        <v>37</v>
      </c>
      <c r="B2">
        <v>1.2</v>
      </c>
      <c r="C2">
        <v>3</v>
      </c>
      <c r="D2">
        <v>1</v>
      </c>
      <c r="E2" t="s">
        <v>25</v>
      </c>
      <c r="F2" t="b">
        <v>0</v>
      </c>
      <c r="G2">
        <v>1</v>
      </c>
      <c r="H2" t="s">
        <v>24</v>
      </c>
      <c r="I2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plu-spl:F-mgv:3-sn:1.2k</v>
      </c>
      <c r="J2" s="1">
        <v>0.77</v>
      </c>
      <c r="K2" s="1">
        <v>0.7</v>
      </c>
      <c r="L2" s="1">
        <v>0.75</v>
      </c>
      <c r="M2" s="1">
        <v>0.68</v>
      </c>
      <c r="N2" s="1">
        <v>0.68</v>
      </c>
      <c r="O2" s="1">
        <v>0.67</v>
      </c>
      <c r="P2" s="1">
        <v>0.63</v>
      </c>
      <c r="Q2" s="1">
        <v>0.67</v>
      </c>
      <c r="R2" s="1">
        <v>0.74</v>
      </c>
      <c r="S2" s="1">
        <v>0.54</v>
      </c>
      <c r="T2" s="1">
        <v>0.66</v>
      </c>
      <c r="U2" s="1">
        <v>0.69</v>
      </c>
      <c r="V2" s="1">
        <v>0.77</v>
      </c>
      <c r="W2" s="2">
        <f t="shared" ref="W2:W33" si="0">_xlfn.LET(_xlpm.d,$J2:$U2,GEOMEAN(_xlpm.d))</f>
        <v>0.67909631871350229</v>
      </c>
      <c r="X2" s="2">
        <f t="shared" ref="X2:X33" si="1">_xlfn.LET(_xlpm.x,W2,_xlpm.r,W$2:W$55,RANK(_xlpm.x,_xlpm.r))</f>
        <v>49</v>
      </c>
    </row>
    <row r="3" spans="1:24" ht="25" hidden="1" customHeight="1">
      <c r="A3" t="s">
        <v>38</v>
      </c>
      <c r="B3">
        <v>1.2</v>
      </c>
      <c r="C3">
        <v>3</v>
      </c>
      <c r="D3">
        <v>1</v>
      </c>
      <c r="E3" t="s">
        <v>25</v>
      </c>
      <c r="F3" t="b">
        <v>1</v>
      </c>
      <c r="G3">
        <v>1</v>
      </c>
      <c r="H3" t="s">
        <v>24</v>
      </c>
      <c r="I3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plu-spl:T-mgv:3-sn:1.2k</v>
      </c>
      <c r="J3" s="1">
        <v>0.77</v>
      </c>
      <c r="K3" s="1">
        <v>0.72</v>
      </c>
      <c r="L3" s="1">
        <v>0.77</v>
      </c>
      <c r="M3" s="1">
        <v>0.66</v>
      </c>
      <c r="N3" s="1">
        <v>0.69</v>
      </c>
      <c r="O3" s="1">
        <v>0.69</v>
      </c>
      <c r="P3" s="1">
        <v>0.64</v>
      </c>
      <c r="Q3" s="1">
        <v>0.65</v>
      </c>
      <c r="R3" s="1">
        <v>0.76</v>
      </c>
      <c r="S3" s="1">
        <v>0.61</v>
      </c>
      <c r="T3" s="1">
        <v>0.71</v>
      </c>
      <c r="U3" s="1">
        <v>0.7</v>
      </c>
      <c r="V3" s="1">
        <v>0.77</v>
      </c>
      <c r="W3" s="2">
        <f t="shared" si="0"/>
        <v>0.69571136965847347</v>
      </c>
      <c r="X3" s="2">
        <f t="shared" si="1"/>
        <v>43</v>
      </c>
    </row>
    <row r="4" spans="1:24" ht="25" hidden="1" customHeight="1">
      <c r="A4" t="s">
        <v>37</v>
      </c>
      <c r="B4">
        <v>1.2</v>
      </c>
      <c r="C4">
        <v>3</v>
      </c>
      <c r="D4">
        <v>2</v>
      </c>
      <c r="E4" t="s">
        <v>29</v>
      </c>
      <c r="F4" t="b">
        <v>0</v>
      </c>
      <c r="G4">
        <v>1</v>
      </c>
      <c r="H4" t="s">
        <v>24</v>
      </c>
      <c r="I4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gen-spl:F-mgv:3-sn:1.2k</v>
      </c>
      <c r="J4" s="1">
        <v>0.68</v>
      </c>
      <c r="K4" s="1">
        <v>0.68</v>
      </c>
      <c r="L4" s="1">
        <v>0.75</v>
      </c>
      <c r="M4" s="1">
        <v>0.73</v>
      </c>
      <c r="N4" s="1">
        <v>0.74</v>
      </c>
      <c r="O4" s="1">
        <v>0.71</v>
      </c>
      <c r="P4" s="1">
        <v>0.78</v>
      </c>
      <c r="Q4" s="1">
        <v>0.77</v>
      </c>
      <c r="R4" s="1">
        <v>0.74</v>
      </c>
      <c r="S4" s="1">
        <v>0.72</v>
      </c>
      <c r="T4" s="1">
        <v>0.72</v>
      </c>
      <c r="U4" s="1">
        <v>0.81</v>
      </c>
      <c r="V4" s="1">
        <v>0.81</v>
      </c>
      <c r="W4" s="2">
        <f t="shared" si="0"/>
        <v>0.7349169371442692</v>
      </c>
      <c r="X4" s="2">
        <f t="shared" si="1"/>
        <v>35</v>
      </c>
    </row>
    <row r="5" spans="1:24" ht="25" hidden="1" customHeight="1">
      <c r="A5" t="s">
        <v>37</v>
      </c>
      <c r="B5">
        <v>1.2</v>
      </c>
      <c r="C5">
        <v>3</v>
      </c>
      <c r="D5">
        <v>2</v>
      </c>
      <c r="E5" t="s">
        <v>29</v>
      </c>
      <c r="F5" t="b">
        <v>1</v>
      </c>
      <c r="G5">
        <v>1</v>
      </c>
      <c r="H5" t="s">
        <v>24</v>
      </c>
      <c r="I5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gen-spl:T-mgv:3-sn:1.2k</v>
      </c>
      <c r="J5" s="1">
        <v>0.75</v>
      </c>
      <c r="K5" s="1">
        <v>0.77</v>
      </c>
      <c r="L5" s="1">
        <v>0.77</v>
      </c>
      <c r="M5" s="1">
        <v>0.77</v>
      </c>
      <c r="N5" s="1">
        <v>0.75</v>
      </c>
      <c r="O5" s="1">
        <v>0.71</v>
      </c>
      <c r="P5" s="1">
        <v>0.79</v>
      </c>
      <c r="Q5" s="1">
        <v>0.81</v>
      </c>
      <c r="R5" s="1">
        <v>0.82</v>
      </c>
      <c r="S5" s="1">
        <v>0.76</v>
      </c>
      <c r="T5" s="1">
        <v>0.73</v>
      </c>
      <c r="U5" s="1">
        <v>0.8</v>
      </c>
      <c r="V5" s="1">
        <v>0.82</v>
      </c>
      <c r="W5" s="2">
        <f t="shared" si="0"/>
        <v>0.7685411414917046</v>
      </c>
      <c r="X5" s="2">
        <f t="shared" si="1"/>
        <v>24</v>
      </c>
    </row>
    <row r="6" spans="1:24" ht="25" hidden="1" customHeight="1">
      <c r="A6" t="s">
        <v>37</v>
      </c>
      <c r="B6">
        <v>1.2</v>
      </c>
      <c r="C6">
        <v>3</v>
      </c>
      <c r="D6">
        <v>3</v>
      </c>
      <c r="E6" t="s">
        <v>30</v>
      </c>
      <c r="F6" t="b">
        <v>0</v>
      </c>
      <c r="G6">
        <v>1</v>
      </c>
      <c r="H6" t="s">
        <v>24</v>
      </c>
      <c r="I6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cas-spl:F-mgv:3-sn:1.2k</v>
      </c>
      <c r="J6" s="1">
        <v>0.99</v>
      </c>
      <c r="K6" s="1">
        <v>0.97</v>
      </c>
      <c r="L6" s="1">
        <v>0.98</v>
      </c>
      <c r="M6" s="1">
        <v>0.93</v>
      </c>
      <c r="N6" s="1">
        <v>0.98</v>
      </c>
      <c r="O6" s="1">
        <v>0.97</v>
      </c>
      <c r="P6" s="1">
        <v>0.97</v>
      </c>
      <c r="Q6" s="1">
        <v>0.98</v>
      </c>
      <c r="R6" s="1">
        <v>0.95</v>
      </c>
      <c r="S6" s="1">
        <v>0.95</v>
      </c>
      <c r="T6" s="1">
        <v>0.97</v>
      </c>
      <c r="U6" s="1">
        <v>0.96</v>
      </c>
      <c r="V6" s="1">
        <v>0.99</v>
      </c>
      <c r="W6" s="2">
        <f t="shared" si="0"/>
        <v>0.966533280400106</v>
      </c>
      <c r="X6" s="2">
        <f t="shared" si="1"/>
        <v>8</v>
      </c>
    </row>
    <row r="7" spans="1:24" ht="25" hidden="1" customHeight="1">
      <c r="A7" t="s">
        <v>37</v>
      </c>
      <c r="B7">
        <v>1.2</v>
      </c>
      <c r="C7">
        <v>3</v>
      </c>
      <c r="D7">
        <v>3</v>
      </c>
      <c r="E7" t="s">
        <v>30</v>
      </c>
      <c r="F7" t="b">
        <v>1</v>
      </c>
      <c r="G7">
        <v>1</v>
      </c>
      <c r="H7" t="s">
        <v>24</v>
      </c>
      <c r="I7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cas-spl:T-mgv:3-sn:1.2k</v>
      </c>
      <c r="J7" s="1">
        <v>0.99</v>
      </c>
      <c r="K7" s="1">
        <v>0.97</v>
      </c>
      <c r="L7" s="1">
        <v>0.98</v>
      </c>
      <c r="M7" s="1">
        <v>0.93</v>
      </c>
      <c r="N7" s="1">
        <v>0.98</v>
      </c>
      <c r="O7" s="1">
        <v>0.97</v>
      </c>
      <c r="P7" s="1">
        <v>0.97</v>
      </c>
      <c r="Q7" s="1">
        <v>0.98</v>
      </c>
      <c r="R7" s="1">
        <v>0.95</v>
      </c>
      <c r="S7" s="1">
        <v>0.95</v>
      </c>
      <c r="T7" s="1">
        <v>0.97</v>
      </c>
      <c r="U7" s="1">
        <v>0.96</v>
      </c>
      <c r="V7" s="1">
        <v>0.99</v>
      </c>
      <c r="W7" s="2">
        <f t="shared" si="0"/>
        <v>0.966533280400106</v>
      </c>
      <c r="X7" s="2">
        <f t="shared" si="1"/>
        <v>8</v>
      </c>
    </row>
    <row r="8" spans="1:24" ht="25" customHeight="1">
      <c r="A8" t="s">
        <v>37</v>
      </c>
      <c r="B8">
        <v>1.2</v>
      </c>
      <c r="C8">
        <v>6</v>
      </c>
      <c r="D8">
        <v>1</v>
      </c>
      <c r="E8" t="s">
        <v>25</v>
      </c>
      <c r="F8" t="b">
        <v>0</v>
      </c>
      <c r="G8">
        <v>1</v>
      </c>
      <c r="H8" t="s">
        <v>24</v>
      </c>
      <c r="I8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plu-spl:F-mgv:6-sn:1.2k</v>
      </c>
      <c r="J8" s="1">
        <v>0.66</v>
      </c>
      <c r="K8" s="1">
        <v>0.67</v>
      </c>
      <c r="L8" s="1">
        <v>0.72</v>
      </c>
      <c r="M8" s="1">
        <v>0.63</v>
      </c>
      <c r="N8" s="1">
        <v>0.73</v>
      </c>
      <c r="O8" s="1">
        <v>0.61</v>
      </c>
      <c r="P8" s="1">
        <v>0.59</v>
      </c>
      <c r="Q8" s="1">
        <v>0.7</v>
      </c>
      <c r="R8" s="1">
        <v>0.68</v>
      </c>
      <c r="S8" s="1">
        <v>0.63</v>
      </c>
      <c r="T8" s="1">
        <v>0.62</v>
      </c>
      <c r="U8" s="1">
        <v>0.62</v>
      </c>
      <c r="V8" s="1">
        <v>0.73</v>
      </c>
      <c r="W8" s="1">
        <f t="shared" si="0"/>
        <v>0.65357276686031862</v>
      </c>
      <c r="X8" s="3">
        <f t="shared" si="1"/>
        <v>54</v>
      </c>
    </row>
    <row r="9" spans="1:24" ht="25" customHeight="1">
      <c r="A9" t="s">
        <v>37</v>
      </c>
      <c r="B9">
        <v>1.2</v>
      </c>
      <c r="C9">
        <v>6</v>
      </c>
      <c r="D9">
        <v>1</v>
      </c>
      <c r="E9" t="s">
        <v>25</v>
      </c>
      <c r="F9" t="b">
        <v>1</v>
      </c>
      <c r="G9">
        <v>1</v>
      </c>
      <c r="H9" t="s">
        <v>24</v>
      </c>
      <c r="I9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plu-spl:T-mgv:6-sn:1.2k</v>
      </c>
      <c r="J9" s="1">
        <v>0.72</v>
      </c>
      <c r="K9" s="1">
        <v>0.67</v>
      </c>
      <c r="L9" s="1">
        <v>0.76</v>
      </c>
      <c r="M9" s="1">
        <v>0.67</v>
      </c>
      <c r="N9" s="1">
        <v>0.73</v>
      </c>
      <c r="O9" s="1">
        <v>0.62</v>
      </c>
      <c r="P9" s="1">
        <v>0.71</v>
      </c>
      <c r="Q9" s="1">
        <v>0.68</v>
      </c>
      <c r="R9" s="1">
        <v>0.68</v>
      </c>
      <c r="S9" s="1">
        <v>0.65</v>
      </c>
      <c r="T9" s="1">
        <v>0.64</v>
      </c>
      <c r="U9" s="1">
        <v>0.66</v>
      </c>
      <c r="V9" s="1">
        <v>0.76</v>
      </c>
      <c r="W9" s="1">
        <f t="shared" si="0"/>
        <v>0.68141283089184357</v>
      </c>
      <c r="X9" s="3">
        <f t="shared" si="1"/>
        <v>47</v>
      </c>
    </row>
    <row r="10" spans="1:24" ht="25" customHeight="1">
      <c r="A10" t="s">
        <v>37</v>
      </c>
      <c r="B10">
        <v>1.2</v>
      </c>
      <c r="C10">
        <v>6</v>
      </c>
      <c r="D10">
        <v>2</v>
      </c>
      <c r="E10" t="s">
        <v>29</v>
      </c>
      <c r="F10" t="b">
        <v>0</v>
      </c>
      <c r="G10">
        <v>1</v>
      </c>
      <c r="H10" t="s">
        <v>24</v>
      </c>
      <c r="I10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gen-spl:F-mgv:6-sn:1.2k</v>
      </c>
      <c r="J10" s="1">
        <v>0.72</v>
      </c>
      <c r="K10" s="1">
        <v>0.76</v>
      </c>
      <c r="L10" s="1">
        <v>0.71</v>
      </c>
      <c r="M10" s="1">
        <v>0.77</v>
      </c>
      <c r="N10" s="1">
        <v>0.79</v>
      </c>
      <c r="O10" s="1">
        <v>0.69</v>
      </c>
      <c r="P10" s="1">
        <v>0.68</v>
      </c>
      <c r="Q10" s="1">
        <v>0.83</v>
      </c>
      <c r="R10" s="1">
        <v>0.75</v>
      </c>
      <c r="S10" s="1">
        <v>0.68</v>
      </c>
      <c r="T10" s="1">
        <v>0.75</v>
      </c>
      <c r="U10" s="1">
        <v>0.77</v>
      </c>
      <c r="V10" s="1">
        <v>0.83</v>
      </c>
      <c r="W10" s="1">
        <f t="shared" si="0"/>
        <v>0.74032663800792753</v>
      </c>
      <c r="X10" s="3">
        <f t="shared" si="1"/>
        <v>32</v>
      </c>
    </row>
    <row r="11" spans="1:24" ht="25" customHeight="1">
      <c r="A11" t="s">
        <v>37</v>
      </c>
      <c r="B11">
        <v>1.2</v>
      </c>
      <c r="C11">
        <v>6</v>
      </c>
      <c r="D11">
        <v>2</v>
      </c>
      <c r="E11" t="s">
        <v>29</v>
      </c>
      <c r="F11" t="b">
        <v>1</v>
      </c>
      <c r="G11">
        <v>1</v>
      </c>
      <c r="H11" t="s">
        <v>24</v>
      </c>
      <c r="I11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gen-spl:T-mgv:6-sn:1.2k</v>
      </c>
      <c r="J11" s="1">
        <v>0.77</v>
      </c>
      <c r="K11" s="1">
        <v>0.75</v>
      </c>
      <c r="L11" s="1">
        <v>0.75</v>
      </c>
      <c r="M11" s="1">
        <v>0.81</v>
      </c>
      <c r="N11" s="1">
        <v>0.82</v>
      </c>
      <c r="O11" s="1">
        <v>0.72</v>
      </c>
      <c r="P11" s="1">
        <v>0.75</v>
      </c>
      <c r="Q11" s="1">
        <v>0.77</v>
      </c>
      <c r="R11" s="1">
        <v>0.81</v>
      </c>
      <c r="S11" s="1">
        <v>0.73</v>
      </c>
      <c r="T11" s="1">
        <v>0.74</v>
      </c>
      <c r="U11" s="1">
        <v>0.77</v>
      </c>
      <c r="V11" s="1">
        <v>0.82</v>
      </c>
      <c r="W11" s="1">
        <f t="shared" si="0"/>
        <v>0.76520402249372532</v>
      </c>
      <c r="X11" s="3">
        <f t="shared" si="1"/>
        <v>26</v>
      </c>
    </row>
    <row r="12" spans="1:24" ht="25" customHeight="1">
      <c r="A12" t="s">
        <v>37</v>
      </c>
      <c r="B12">
        <v>1.2</v>
      </c>
      <c r="C12">
        <v>6</v>
      </c>
      <c r="D12">
        <v>3</v>
      </c>
      <c r="E12" t="s">
        <v>30</v>
      </c>
      <c r="F12" t="b">
        <v>0</v>
      </c>
      <c r="G12">
        <v>1</v>
      </c>
      <c r="H12" t="s">
        <v>24</v>
      </c>
      <c r="I12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cas-spl:F-mgv:6-sn:1.2k</v>
      </c>
      <c r="J12" s="1">
        <v>0.98</v>
      </c>
      <c r="K12" s="1">
        <v>0.99</v>
      </c>
      <c r="L12" s="1">
        <v>0.99</v>
      </c>
      <c r="M12" s="1">
        <v>0.98</v>
      </c>
      <c r="N12" s="1">
        <v>0.96</v>
      </c>
      <c r="O12" s="1">
        <v>0.97</v>
      </c>
      <c r="P12" s="1">
        <v>1</v>
      </c>
      <c r="Q12" s="1">
        <v>0.99</v>
      </c>
      <c r="R12" s="1">
        <v>0.96</v>
      </c>
      <c r="S12" s="1">
        <v>0.94</v>
      </c>
      <c r="T12" s="1">
        <v>0.97</v>
      </c>
      <c r="U12" s="1">
        <v>0.97</v>
      </c>
      <c r="V12" s="1">
        <v>1</v>
      </c>
      <c r="W12" s="1">
        <f t="shared" si="0"/>
        <v>0.97486678009739391</v>
      </c>
      <c r="X12" s="3">
        <f t="shared" si="1"/>
        <v>2</v>
      </c>
    </row>
    <row r="13" spans="1:24" ht="25" customHeight="1">
      <c r="A13" t="s">
        <v>37</v>
      </c>
      <c r="B13">
        <v>1.2</v>
      </c>
      <c r="C13">
        <v>6</v>
      </c>
      <c r="D13">
        <v>3</v>
      </c>
      <c r="E13" t="s">
        <v>30</v>
      </c>
      <c r="F13" t="b">
        <v>1</v>
      </c>
      <c r="G13">
        <v>1</v>
      </c>
      <c r="H13" t="s">
        <v>24</v>
      </c>
      <c r="I13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cas-spl:T-mgv:6-sn:1.2k</v>
      </c>
      <c r="J13" s="1">
        <v>0.98</v>
      </c>
      <c r="K13" s="1">
        <v>0.99</v>
      </c>
      <c r="L13" s="1">
        <v>0.99</v>
      </c>
      <c r="M13" s="1">
        <v>0.99</v>
      </c>
      <c r="N13" s="1">
        <v>0.96</v>
      </c>
      <c r="O13" s="1">
        <v>0.97</v>
      </c>
      <c r="P13" s="1">
        <v>1</v>
      </c>
      <c r="Q13" s="1">
        <v>0.99</v>
      </c>
      <c r="R13" s="1">
        <v>0.96</v>
      </c>
      <c r="S13" s="1">
        <v>0.94</v>
      </c>
      <c r="T13" s="1">
        <v>0.97</v>
      </c>
      <c r="U13" s="1">
        <v>0.97</v>
      </c>
      <c r="V13" s="1">
        <v>1</v>
      </c>
      <c r="W13" s="1">
        <f t="shared" si="0"/>
        <v>0.97569189655850175</v>
      </c>
      <c r="X13" s="3">
        <f t="shared" si="1"/>
        <v>1</v>
      </c>
    </row>
    <row r="14" spans="1:24" ht="25" hidden="1" customHeight="1">
      <c r="A14" t="s">
        <v>37</v>
      </c>
      <c r="B14">
        <v>1.2</v>
      </c>
      <c r="C14">
        <v>9</v>
      </c>
      <c r="D14">
        <v>1</v>
      </c>
      <c r="E14" t="s">
        <v>25</v>
      </c>
      <c r="F14" t="b">
        <v>0</v>
      </c>
      <c r="G14">
        <v>1</v>
      </c>
      <c r="H14" t="s">
        <v>24</v>
      </c>
      <c r="I14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plu-spl:F-mgv:9-sn:1.2k</v>
      </c>
      <c r="J14" s="1">
        <v>0.63</v>
      </c>
      <c r="K14" s="1">
        <v>0.66</v>
      </c>
      <c r="L14" s="1">
        <v>0.66</v>
      </c>
      <c r="M14" s="1">
        <v>0.63</v>
      </c>
      <c r="N14" s="1">
        <v>0.65</v>
      </c>
      <c r="O14" s="1">
        <v>0.66</v>
      </c>
      <c r="P14" s="1">
        <v>0.67</v>
      </c>
      <c r="Q14" s="1">
        <v>0.72</v>
      </c>
      <c r="R14" s="1">
        <v>0.71</v>
      </c>
      <c r="S14" s="1">
        <v>0.65</v>
      </c>
      <c r="T14" s="1">
        <v>0.63</v>
      </c>
      <c r="U14" s="1">
        <v>0.68</v>
      </c>
      <c r="V14" s="1">
        <v>0.72</v>
      </c>
      <c r="W14" s="1">
        <f t="shared" si="0"/>
        <v>0.66191856303065721</v>
      </c>
      <c r="X14" s="3">
        <f t="shared" si="1"/>
        <v>53</v>
      </c>
    </row>
    <row r="15" spans="1:24" ht="25" hidden="1" customHeight="1">
      <c r="A15" t="s">
        <v>37</v>
      </c>
      <c r="B15">
        <v>1.2</v>
      </c>
      <c r="C15">
        <v>9</v>
      </c>
      <c r="D15">
        <v>1</v>
      </c>
      <c r="E15" t="s">
        <v>25</v>
      </c>
      <c r="F15" t="b">
        <v>1</v>
      </c>
      <c r="G15">
        <v>1</v>
      </c>
      <c r="H15" t="s">
        <v>24</v>
      </c>
      <c r="I15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plu-spl:T-mgv:9-sn:1.2k</v>
      </c>
      <c r="J15" s="1">
        <v>0.69</v>
      </c>
      <c r="K15" s="1">
        <v>0.7</v>
      </c>
      <c r="L15" s="1">
        <v>0.66</v>
      </c>
      <c r="M15" s="1">
        <v>0.7</v>
      </c>
      <c r="N15" s="1">
        <v>0.65</v>
      </c>
      <c r="O15" s="1">
        <v>0.7</v>
      </c>
      <c r="P15" s="1">
        <v>0.72</v>
      </c>
      <c r="Q15" s="1">
        <v>0.75</v>
      </c>
      <c r="R15" s="1">
        <v>0.71</v>
      </c>
      <c r="S15" s="1">
        <v>0.64</v>
      </c>
      <c r="T15" s="1">
        <v>0.63</v>
      </c>
      <c r="U15" s="1">
        <v>0.7</v>
      </c>
      <c r="V15" s="1">
        <v>0.75</v>
      </c>
      <c r="W15" s="1">
        <f t="shared" si="0"/>
        <v>0.68665607163074571</v>
      </c>
      <c r="X15" s="3">
        <f t="shared" si="1"/>
        <v>45</v>
      </c>
    </row>
    <row r="16" spans="1:24" ht="25" hidden="1" customHeight="1">
      <c r="A16" t="s">
        <v>37</v>
      </c>
      <c r="B16">
        <v>1.2</v>
      </c>
      <c r="C16">
        <v>9</v>
      </c>
      <c r="D16">
        <v>2</v>
      </c>
      <c r="E16" t="s">
        <v>29</v>
      </c>
      <c r="F16" t="b">
        <v>0</v>
      </c>
      <c r="G16">
        <v>1</v>
      </c>
      <c r="H16" t="s">
        <v>24</v>
      </c>
      <c r="I16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gen-spl:F-mgv:9-sn:1.2k</v>
      </c>
      <c r="J16" s="1">
        <v>0.72</v>
      </c>
      <c r="K16" s="1">
        <v>0.71</v>
      </c>
      <c r="L16" s="1">
        <v>0.73</v>
      </c>
      <c r="M16" s="1">
        <v>0.72</v>
      </c>
      <c r="N16" s="1">
        <v>0.75</v>
      </c>
      <c r="O16" s="1">
        <v>0.71</v>
      </c>
      <c r="P16" s="1">
        <v>0.72</v>
      </c>
      <c r="Q16" s="1">
        <v>0.7</v>
      </c>
      <c r="R16" s="1">
        <v>0.73</v>
      </c>
      <c r="S16" s="1">
        <v>0.74</v>
      </c>
      <c r="T16" s="1">
        <v>0.64</v>
      </c>
      <c r="U16" s="1">
        <v>0.71</v>
      </c>
      <c r="V16" s="1">
        <v>0.75</v>
      </c>
      <c r="W16" s="1">
        <f t="shared" si="0"/>
        <v>0.71449485264788171</v>
      </c>
      <c r="X16" s="3">
        <f t="shared" si="1"/>
        <v>38</v>
      </c>
    </row>
    <row r="17" spans="1:24" ht="25" hidden="1" customHeight="1">
      <c r="A17" t="s">
        <v>37</v>
      </c>
      <c r="B17">
        <v>1.2</v>
      </c>
      <c r="C17">
        <v>9</v>
      </c>
      <c r="D17">
        <v>2</v>
      </c>
      <c r="E17" t="s">
        <v>29</v>
      </c>
      <c r="F17" t="b">
        <v>1</v>
      </c>
      <c r="G17">
        <v>1</v>
      </c>
      <c r="H17" t="s">
        <v>24</v>
      </c>
      <c r="I17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gen-spl:T-mgv:9-sn:1.2k</v>
      </c>
      <c r="J17" s="1">
        <v>0.82</v>
      </c>
      <c r="K17" s="1">
        <v>0.77</v>
      </c>
      <c r="L17" s="1">
        <v>0.74</v>
      </c>
      <c r="M17" s="1">
        <v>0.78</v>
      </c>
      <c r="N17" s="1">
        <v>0.68</v>
      </c>
      <c r="O17" s="1">
        <v>0.7</v>
      </c>
      <c r="P17" s="1">
        <v>0.79</v>
      </c>
      <c r="Q17" s="1">
        <v>0.75</v>
      </c>
      <c r="R17" s="1">
        <v>0.77</v>
      </c>
      <c r="S17" s="1">
        <v>0.75</v>
      </c>
      <c r="T17" s="1">
        <v>0.68</v>
      </c>
      <c r="U17" s="1">
        <v>0.7</v>
      </c>
      <c r="V17" s="1">
        <v>0.82</v>
      </c>
      <c r="W17" s="1">
        <f t="shared" si="0"/>
        <v>0.74288871709948157</v>
      </c>
      <c r="X17" s="3">
        <f t="shared" si="1"/>
        <v>30</v>
      </c>
    </row>
    <row r="18" spans="1:24" ht="25" hidden="1" customHeight="1">
      <c r="A18" t="s">
        <v>37</v>
      </c>
      <c r="B18">
        <v>1.2</v>
      </c>
      <c r="C18">
        <v>9</v>
      </c>
      <c r="D18">
        <v>3</v>
      </c>
      <c r="E18" t="s">
        <v>30</v>
      </c>
      <c r="F18" t="b">
        <v>0</v>
      </c>
      <c r="G18">
        <v>1</v>
      </c>
      <c r="H18" t="s">
        <v>24</v>
      </c>
      <c r="I18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cas-spl:F-mgv:9-sn:1.2k</v>
      </c>
      <c r="J18" s="1">
        <v>0.91</v>
      </c>
      <c r="K18" s="1">
        <v>0.98</v>
      </c>
      <c r="L18" s="1">
        <v>0.98</v>
      </c>
      <c r="M18" s="1">
        <v>0.95</v>
      </c>
      <c r="N18" s="1">
        <v>0.96</v>
      </c>
      <c r="O18" s="1">
        <v>0.95</v>
      </c>
      <c r="P18" s="1">
        <v>0.96</v>
      </c>
      <c r="Q18" s="1">
        <v>0.96</v>
      </c>
      <c r="R18" s="1">
        <v>0.96</v>
      </c>
      <c r="S18" s="1">
        <v>0.96</v>
      </c>
      <c r="T18" s="1">
        <v>0.97</v>
      </c>
      <c r="U18" s="1">
        <v>0.97</v>
      </c>
      <c r="V18" s="1">
        <v>0.98</v>
      </c>
      <c r="W18" s="1">
        <f t="shared" si="0"/>
        <v>0.95900314702218747</v>
      </c>
      <c r="X18" s="3">
        <f t="shared" si="1"/>
        <v>18</v>
      </c>
    </row>
    <row r="19" spans="1:24" ht="25" hidden="1" customHeight="1">
      <c r="A19" t="s">
        <v>37</v>
      </c>
      <c r="B19">
        <v>1.2</v>
      </c>
      <c r="C19">
        <v>9</v>
      </c>
      <c r="D19">
        <v>3</v>
      </c>
      <c r="E19" t="s">
        <v>30</v>
      </c>
      <c r="F19" t="b">
        <v>1</v>
      </c>
      <c r="G19">
        <v>1</v>
      </c>
      <c r="H19" t="s">
        <v>24</v>
      </c>
      <c r="I19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cas-spl:T-mgv:9-sn:1.2k</v>
      </c>
      <c r="J19" s="1">
        <v>0.92</v>
      </c>
      <c r="K19" s="1">
        <v>0.98</v>
      </c>
      <c r="L19" s="1">
        <v>0.98</v>
      </c>
      <c r="M19" s="1">
        <v>0.95</v>
      </c>
      <c r="N19" s="1">
        <v>0.97</v>
      </c>
      <c r="O19" s="1">
        <v>0.95</v>
      </c>
      <c r="P19" s="1">
        <v>0.96</v>
      </c>
      <c r="Q19" s="1">
        <v>0.96</v>
      </c>
      <c r="R19" s="1">
        <v>0.96</v>
      </c>
      <c r="S19" s="1">
        <v>0.96</v>
      </c>
      <c r="T19" s="1">
        <v>0.97</v>
      </c>
      <c r="U19" s="1">
        <v>0.97</v>
      </c>
      <c r="V19" s="1">
        <v>0.98</v>
      </c>
      <c r="W19" s="1">
        <f t="shared" si="0"/>
        <v>0.9607062373580324</v>
      </c>
      <c r="X19" s="3">
        <f t="shared" si="1"/>
        <v>17</v>
      </c>
    </row>
    <row r="20" spans="1:24" ht="25" hidden="1" customHeight="1">
      <c r="A20" t="s">
        <v>37</v>
      </c>
      <c r="B20">
        <v>2</v>
      </c>
      <c r="C20">
        <v>3</v>
      </c>
      <c r="D20">
        <v>1</v>
      </c>
      <c r="E20" t="s">
        <v>25</v>
      </c>
      <c r="F20" t="b">
        <v>0</v>
      </c>
      <c r="G20">
        <v>1</v>
      </c>
      <c r="H20" t="s">
        <v>24</v>
      </c>
      <c r="I20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plu-spl:F-mgv:3-sn:2k</v>
      </c>
      <c r="J20" s="1">
        <v>0.62</v>
      </c>
      <c r="K20" s="1">
        <v>0.7</v>
      </c>
      <c r="L20" s="1">
        <v>0.67</v>
      </c>
      <c r="M20" s="1">
        <v>0.71</v>
      </c>
      <c r="N20" s="1">
        <v>0.7</v>
      </c>
      <c r="O20" s="1">
        <v>0.65</v>
      </c>
      <c r="P20" s="1">
        <v>0.7</v>
      </c>
      <c r="Q20" s="1">
        <v>0.67</v>
      </c>
      <c r="R20" s="1">
        <v>0.71</v>
      </c>
      <c r="S20" s="1">
        <v>0.65</v>
      </c>
      <c r="T20" s="1">
        <v>0.69</v>
      </c>
      <c r="U20" s="1">
        <v>0.66</v>
      </c>
      <c r="V20" s="1">
        <v>0.71</v>
      </c>
      <c r="W20" s="1">
        <f t="shared" si="0"/>
        <v>0.6769360677850893</v>
      </c>
      <c r="X20" s="3">
        <f t="shared" si="1"/>
        <v>51</v>
      </c>
    </row>
    <row r="21" spans="1:24" ht="25" hidden="1" customHeight="1">
      <c r="A21" t="s">
        <v>37</v>
      </c>
      <c r="B21">
        <v>2</v>
      </c>
      <c r="C21">
        <v>3</v>
      </c>
      <c r="D21">
        <v>1</v>
      </c>
      <c r="E21" t="s">
        <v>25</v>
      </c>
      <c r="F21" t="b">
        <v>1</v>
      </c>
      <c r="G21">
        <v>1</v>
      </c>
      <c r="H21" t="s">
        <v>24</v>
      </c>
      <c r="I21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plu-spl:T-mgv:3-sn:2k</v>
      </c>
      <c r="J21" s="1">
        <v>0.72</v>
      </c>
      <c r="K21" s="1">
        <v>0.73</v>
      </c>
      <c r="L21" s="1">
        <v>0.69</v>
      </c>
      <c r="M21" s="1">
        <v>0.72</v>
      </c>
      <c r="N21" s="1">
        <v>0.7</v>
      </c>
      <c r="O21" s="1">
        <v>0.66</v>
      </c>
      <c r="P21" s="1">
        <v>0.73</v>
      </c>
      <c r="Q21" s="1">
        <v>0.69</v>
      </c>
      <c r="R21" s="1">
        <v>0.76</v>
      </c>
      <c r="S21" s="1">
        <v>0.7</v>
      </c>
      <c r="T21" s="1">
        <v>0.7</v>
      </c>
      <c r="U21" s="1">
        <v>0.69</v>
      </c>
      <c r="V21" s="1">
        <v>0.76</v>
      </c>
      <c r="W21" s="1">
        <f t="shared" si="0"/>
        <v>0.70706466799069112</v>
      </c>
      <c r="X21" s="3">
        <f t="shared" si="1"/>
        <v>39</v>
      </c>
    </row>
    <row r="22" spans="1:24" ht="25" hidden="1" customHeight="1">
      <c r="A22" t="s">
        <v>37</v>
      </c>
      <c r="B22">
        <v>2</v>
      </c>
      <c r="C22">
        <v>3</v>
      </c>
      <c r="D22">
        <v>2</v>
      </c>
      <c r="E22" t="s">
        <v>29</v>
      </c>
      <c r="F22" t="b">
        <v>0</v>
      </c>
      <c r="G22">
        <v>1</v>
      </c>
      <c r="H22" t="s">
        <v>24</v>
      </c>
      <c r="I22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gen-spl:F-mgv:3-sn:2k</v>
      </c>
      <c r="J22" s="1">
        <v>0.78</v>
      </c>
      <c r="K22" s="1">
        <v>0.72</v>
      </c>
      <c r="L22" s="1">
        <v>0.76</v>
      </c>
      <c r="M22" s="1">
        <v>0.76</v>
      </c>
      <c r="N22" s="1">
        <v>0.71</v>
      </c>
      <c r="O22" s="1">
        <v>0.73</v>
      </c>
      <c r="P22" s="1">
        <v>0.74</v>
      </c>
      <c r="Q22" s="1">
        <v>0.73</v>
      </c>
      <c r="R22" s="1">
        <v>0.69</v>
      </c>
      <c r="S22" s="1">
        <v>0.8</v>
      </c>
      <c r="T22" s="1">
        <v>0.7</v>
      </c>
      <c r="U22" s="1">
        <v>0.76</v>
      </c>
      <c r="V22" s="1">
        <v>0.8</v>
      </c>
      <c r="W22" s="1">
        <f t="shared" si="0"/>
        <v>0.73932728101830181</v>
      </c>
      <c r="X22" s="3">
        <f t="shared" si="1"/>
        <v>33</v>
      </c>
    </row>
    <row r="23" spans="1:24" ht="25" hidden="1" customHeight="1">
      <c r="A23" t="s">
        <v>37</v>
      </c>
      <c r="B23">
        <v>2</v>
      </c>
      <c r="C23">
        <v>3</v>
      </c>
      <c r="D23">
        <v>2</v>
      </c>
      <c r="E23" t="s">
        <v>29</v>
      </c>
      <c r="F23" t="b">
        <v>1</v>
      </c>
      <c r="G23">
        <v>1</v>
      </c>
      <c r="H23" t="s">
        <v>24</v>
      </c>
      <c r="I23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gen-spl:T-mgv:3-sn:2k</v>
      </c>
      <c r="J23" s="1">
        <v>0.86</v>
      </c>
      <c r="K23" s="1">
        <v>0.77</v>
      </c>
      <c r="L23" s="1">
        <v>0.79</v>
      </c>
      <c r="M23" s="1">
        <v>0.8</v>
      </c>
      <c r="N23" s="1">
        <v>0.73</v>
      </c>
      <c r="O23" s="1">
        <v>0.77</v>
      </c>
      <c r="P23" s="1">
        <v>0.79</v>
      </c>
      <c r="Q23" s="1">
        <v>0.77</v>
      </c>
      <c r="R23" s="1">
        <v>0.73</v>
      </c>
      <c r="S23" s="1">
        <v>0.79</v>
      </c>
      <c r="T23" s="1">
        <v>0.7</v>
      </c>
      <c r="U23" s="1">
        <v>0.78</v>
      </c>
      <c r="V23" s="1">
        <v>0.86</v>
      </c>
      <c r="W23" s="1">
        <f t="shared" si="0"/>
        <v>0.77235154720722476</v>
      </c>
      <c r="X23" s="3">
        <f t="shared" si="1"/>
        <v>23</v>
      </c>
    </row>
    <row r="24" spans="1:24" ht="25" hidden="1" customHeight="1">
      <c r="A24" t="s">
        <v>37</v>
      </c>
      <c r="B24">
        <v>2</v>
      </c>
      <c r="C24">
        <v>3</v>
      </c>
      <c r="D24">
        <v>3</v>
      </c>
      <c r="E24" t="s">
        <v>30</v>
      </c>
      <c r="F24" t="b">
        <v>0</v>
      </c>
      <c r="G24">
        <v>1</v>
      </c>
      <c r="H24" t="s">
        <v>24</v>
      </c>
      <c r="I24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cas-spl:F-mgv:3-sn:2k</v>
      </c>
      <c r="J24" s="1">
        <v>0.95</v>
      </c>
      <c r="K24" s="1">
        <v>0.97</v>
      </c>
      <c r="L24" s="1">
        <v>0.98</v>
      </c>
      <c r="M24" s="1">
        <v>0.98</v>
      </c>
      <c r="N24" s="1">
        <v>0.95</v>
      </c>
      <c r="O24" s="1">
        <v>0.95</v>
      </c>
      <c r="P24" s="1">
        <v>0.96</v>
      </c>
      <c r="Q24" s="1">
        <v>0.97</v>
      </c>
      <c r="R24" s="1">
        <v>0.96</v>
      </c>
      <c r="S24" s="1">
        <v>0.96</v>
      </c>
      <c r="T24" s="1">
        <v>0.97</v>
      </c>
      <c r="U24" s="1">
        <v>0.98</v>
      </c>
      <c r="V24" s="1">
        <v>0.98</v>
      </c>
      <c r="W24" s="1">
        <f t="shared" si="0"/>
        <v>0.96493522820446731</v>
      </c>
      <c r="X24" s="3">
        <f t="shared" si="1"/>
        <v>10</v>
      </c>
    </row>
    <row r="25" spans="1:24" ht="25" hidden="1" customHeight="1">
      <c r="A25" t="s">
        <v>37</v>
      </c>
      <c r="B25">
        <v>2</v>
      </c>
      <c r="C25">
        <v>3</v>
      </c>
      <c r="D25">
        <v>3</v>
      </c>
      <c r="E25" t="s">
        <v>30</v>
      </c>
      <c r="F25" t="b">
        <v>1</v>
      </c>
      <c r="G25">
        <v>1</v>
      </c>
      <c r="H25" t="s">
        <v>24</v>
      </c>
      <c r="I25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cas-spl:T-mgv:3-sn:2k</v>
      </c>
      <c r="J25" s="1">
        <v>0.96</v>
      </c>
      <c r="K25" s="1">
        <v>0.97</v>
      </c>
      <c r="L25" s="1">
        <v>0.98</v>
      </c>
      <c r="M25" s="1">
        <v>0.98</v>
      </c>
      <c r="N25" s="1">
        <v>0.95</v>
      </c>
      <c r="O25" s="1">
        <v>0.95</v>
      </c>
      <c r="P25" s="1">
        <v>0.97</v>
      </c>
      <c r="Q25" s="1">
        <v>0.97</v>
      </c>
      <c r="R25" s="1">
        <v>0.96</v>
      </c>
      <c r="S25" s="1">
        <v>0.96</v>
      </c>
      <c r="T25" s="1">
        <v>0.97</v>
      </c>
      <c r="U25" s="1">
        <v>0.98</v>
      </c>
      <c r="V25" s="1">
        <v>0.98</v>
      </c>
      <c r="W25" s="1">
        <f t="shared" si="0"/>
        <v>0.96661197871519433</v>
      </c>
      <c r="X25" s="3">
        <f t="shared" si="1"/>
        <v>6</v>
      </c>
    </row>
    <row r="26" spans="1:24" ht="25" customHeight="1">
      <c r="A26" t="s">
        <v>37</v>
      </c>
      <c r="B26">
        <v>2</v>
      </c>
      <c r="C26">
        <v>6</v>
      </c>
      <c r="D26">
        <v>1</v>
      </c>
      <c r="E26" t="s">
        <v>25</v>
      </c>
      <c r="F26" t="b">
        <v>0</v>
      </c>
      <c r="G26">
        <v>1</v>
      </c>
      <c r="H26" t="s">
        <v>24</v>
      </c>
      <c r="I26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plu-spl:F-mgv:6-sn:2k</v>
      </c>
      <c r="J26" s="1">
        <v>0.69</v>
      </c>
      <c r="K26" s="1">
        <v>0.67</v>
      </c>
      <c r="L26" s="1">
        <v>0.65</v>
      </c>
      <c r="M26" s="1">
        <v>0.74</v>
      </c>
      <c r="N26" s="1">
        <v>0.66</v>
      </c>
      <c r="O26" s="1">
        <v>0.67</v>
      </c>
      <c r="P26" s="1">
        <v>0.69</v>
      </c>
      <c r="Q26" s="1">
        <v>0.74</v>
      </c>
      <c r="R26" s="1">
        <v>0.7</v>
      </c>
      <c r="S26" s="1">
        <v>0.62</v>
      </c>
      <c r="T26" s="1">
        <v>0.72</v>
      </c>
      <c r="U26" s="1">
        <v>0.67</v>
      </c>
      <c r="V26" s="1">
        <v>0.74</v>
      </c>
      <c r="W26" s="1">
        <f t="shared" si="0"/>
        <v>0.68413025262746485</v>
      </c>
      <c r="X26" s="3">
        <f t="shared" si="1"/>
        <v>46</v>
      </c>
    </row>
    <row r="27" spans="1:24" ht="25" customHeight="1">
      <c r="A27" t="s">
        <v>37</v>
      </c>
      <c r="B27">
        <v>2</v>
      </c>
      <c r="C27">
        <v>6</v>
      </c>
      <c r="D27">
        <v>1</v>
      </c>
      <c r="E27" t="s">
        <v>25</v>
      </c>
      <c r="F27" t="b">
        <v>1</v>
      </c>
      <c r="G27">
        <v>1</v>
      </c>
      <c r="H27" t="s">
        <v>24</v>
      </c>
      <c r="I27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plu-spl:T-mgv:6-sn:2k</v>
      </c>
      <c r="J27" s="1">
        <v>0.71</v>
      </c>
      <c r="K27" s="1">
        <v>0.69</v>
      </c>
      <c r="L27" s="1">
        <v>0.68</v>
      </c>
      <c r="M27" s="1">
        <v>0.76</v>
      </c>
      <c r="N27" s="1">
        <v>0.7</v>
      </c>
      <c r="O27" s="1">
        <v>0.69</v>
      </c>
      <c r="P27" s="1">
        <v>0.71</v>
      </c>
      <c r="Q27" s="1">
        <v>0.75</v>
      </c>
      <c r="R27" s="1">
        <v>0.72</v>
      </c>
      <c r="S27" s="1">
        <v>0.63</v>
      </c>
      <c r="T27" s="1">
        <v>0.7</v>
      </c>
      <c r="U27" s="1">
        <v>0.68</v>
      </c>
      <c r="V27" s="1">
        <v>0.76</v>
      </c>
      <c r="W27" s="1">
        <f t="shared" si="0"/>
        <v>0.70091398255778581</v>
      </c>
      <c r="X27" s="3">
        <f t="shared" si="1"/>
        <v>40</v>
      </c>
    </row>
    <row r="28" spans="1:24" ht="25" customHeight="1">
      <c r="A28" t="s">
        <v>37</v>
      </c>
      <c r="B28">
        <v>2</v>
      </c>
      <c r="C28">
        <v>6</v>
      </c>
      <c r="D28">
        <v>2</v>
      </c>
      <c r="E28" t="s">
        <v>29</v>
      </c>
      <c r="F28" t="b">
        <v>0</v>
      </c>
      <c r="G28">
        <v>1</v>
      </c>
      <c r="H28" t="s">
        <v>24</v>
      </c>
      <c r="I28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gen-spl:F-mgv:6-sn:2k</v>
      </c>
      <c r="J28" s="1">
        <v>0.76</v>
      </c>
      <c r="K28" s="1">
        <v>0.76</v>
      </c>
      <c r="L28" s="1">
        <v>0.75</v>
      </c>
      <c r="M28" s="1">
        <v>0.75</v>
      </c>
      <c r="N28" s="1">
        <v>0.79</v>
      </c>
      <c r="O28" s="1">
        <v>0.74</v>
      </c>
      <c r="P28" s="1">
        <v>0.71</v>
      </c>
      <c r="Q28" s="1">
        <v>0.76</v>
      </c>
      <c r="R28" s="1">
        <v>0.69</v>
      </c>
      <c r="S28" s="1">
        <v>0.77</v>
      </c>
      <c r="T28" s="1">
        <v>0.71</v>
      </c>
      <c r="U28" s="1">
        <v>0.75</v>
      </c>
      <c r="V28" s="1">
        <v>0.79</v>
      </c>
      <c r="W28" s="1">
        <f t="shared" si="0"/>
        <v>0.74449478095618793</v>
      </c>
      <c r="X28" s="3">
        <f t="shared" si="1"/>
        <v>29</v>
      </c>
    </row>
    <row r="29" spans="1:24" ht="25" customHeight="1">
      <c r="A29" t="s">
        <v>37</v>
      </c>
      <c r="B29">
        <v>2</v>
      </c>
      <c r="C29">
        <v>6</v>
      </c>
      <c r="D29">
        <v>2</v>
      </c>
      <c r="E29" t="s">
        <v>29</v>
      </c>
      <c r="F29" t="b">
        <v>1</v>
      </c>
      <c r="G29">
        <v>1</v>
      </c>
      <c r="H29" t="s">
        <v>24</v>
      </c>
      <c r="I29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gen-spl:T-mgv:6-sn:2k</v>
      </c>
      <c r="J29" s="1">
        <v>0.82</v>
      </c>
      <c r="K29" s="1">
        <v>0.77</v>
      </c>
      <c r="L29" s="1">
        <v>0.79</v>
      </c>
      <c r="M29" s="1">
        <v>0.76</v>
      </c>
      <c r="N29" s="1">
        <v>0.78</v>
      </c>
      <c r="O29" s="1">
        <v>0.78</v>
      </c>
      <c r="P29" s="1">
        <v>0.75</v>
      </c>
      <c r="Q29" s="1">
        <v>0.81</v>
      </c>
      <c r="R29" s="1">
        <v>0.74</v>
      </c>
      <c r="S29" s="1">
        <v>0.83</v>
      </c>
      <c r="T29" s="1">
        <v>0.74</v>
      </c>
      <c r="U29" s="1">
        <v>0.77</v>
      </c>
      <c r="V29" s="1">
        <v>0.83</v>
      </c>
      <c r="W29" s="1">
        <f t="shared" si="0"/>
        <v>0.77781458743787679</v>
      </c>
      <c r="X29" s="3">
        <f t="shared" si="1"/>
        <v>22</v>
      </c>
    </row>
    <row r="30" spans="1:24" ht="25" customHeight="1">
      <c r="A30" t="s">
        <v>37</v>
      </c>
      <c r="B30">
        <v>2</v>
      </c>
      <c r="C30">
        <v>6</v>
      </c>
      <c r="D30">
        <v>3</v>
      </c>
      <c r="E30" t="s">
        <v>30</v>
      </c>
      <c r="F30" t="b">
        <v>0</v>
      </c>
      <c r="G30">
        <v>1</v>
      </c>
      <c r="H30" t="s">
        <v>24</v>
      </c>
      <c r="I30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cas-spl:F-mgv:6-sn:2k</v>
      </c>
      <c r="J30" s="1">
        <v>0.95</v>
      </c>
      <c r="K30" s="1">
        <v>0.97</v>
      </c>
      <c r="L30" s="1">
        <v>0.97</v>
      </c>
      <c r="M30" s="1">
        <v>0.98</v>
      </c>
      <c r="N30" s="1">
        <v>0.96</v>
      </c>
      <c r="O30" s="1">
        <v>0.97</v>
      </c>
      <c r="P30" s="1">
        <v>0.96</v>
      </c>
      <c r="Q30" s="1">
        <v>0.94</v>
      </c>
      <c r="R30" s="1">
        <v>0.96</v>
      </c>
      <c r="S30" s="1">
        <v>0.97</v>
      </c>
      <c r="T30" s="1">
        <v>0.95</v>
      </c>
      <c r="U30" s="1">
        <v>0.96</v>
      </c>
      <c r="V30" s="1">
        <v>0.98</v>
      </c>
      <c r="W30" s="1">
        <f t="shared" si="0"/>
        <v>0.96160729813767365</v>
      </c>
      <c r="X30" s="3">
        <f t="shared" si="1"/>
        <v>15</v>
      </c>
    </row>
    <row r="31" spans="1:24" ht="25" customHeight="1">
      <c r="A31" t="s">
        <v>37</v>
      </c>
      <c r="B31">
        <v>2</v>
      </c>
      <c r="C31">
        <v>6</v>
      </c>
      <c r="D31">
        <v>3</v>
      </c>
      <c r="E31" t="s">
        <v>30</v>
      </c>
      <c r="F31" t="b">
        <v>1</v>
      </c>
      <c r="G31">
        <v>1</v>
      </c>
      <c r="H31" t="s">
        <v>24</v>
      </c>
      <c r="I31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cas-spl:T-mgv:6-sn:2k</v>
      </c>
      <c r="J31" s="1">
        <v>0.96</v>
      </c>
      <c r="K31" s="1">
        <v>0.97</v>
      </c>
      <c r="L31" s="1">
        <v>0.97</v>
      </c>
      <c r="M31" s="1">
        <v>0.98</v>
      </c>
      <c r="N31" s="1">
        <v>0.96</v>
      </c>
      <c r="O31" s="1">
        <v>0.97</v>
      </c>
      <c r="P31" s="1">
        <v>0.96</v>
      </c>
      <c r="Q31" s="1">
        <v>0.95</v>
      </c>
      <c r="R31" s="1">
        <v>0.96</v>
      </c>
      <c r="S31" s="1">
        <v>0.97</v>
      </c>
      <c r="T31" s="1">
        <v>0.95</v>
      </c>
      <c r="U31" s="1">
        <v>0.96</v>
      </c>
      <c r="V31" s="1">
        <v>0.98</v>
      </c>
      <c r="W31" s="1">
        <f t="shared" si="0"/>
        <v>0.96329587162534192</v>
      </c>
      <c r="X31" s="3">
        <f t="shared" si="1"/>
        <v>13</v>
      </c>
    </row>
    <row r="32" spans="1:24" ht="25" hidden="1" customHeight="1">
      <c r="A32" t="s">
        <v>37</v>
      </c>
      <c r="B32">
        <v>2</v>
      </c>
      <c r="C32">
        <v>9</v>
      </c>
      <c r="D32">
        <v>1</v>
      </c>
      <c r="E32" t="s">
        <v>25</v>
      </c>
      <c r="F32" t="b">
        <v>0</v>
      </c>
      <c r="G32">
        <v>1</v>
      </c>
      <c r="H32" t="s">
        <v>24</v>
      </c>
      <c r="I32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plu-spl:F-mgv:9-sn:2k</v>
      </c>
      <c r="J32" s="1">
        <v>0.66</v>
      </c>
      <c r="K32" s="1">
        <v>0.69</v>
      </c>
      <c r="L32" s="1">
        <v>0.79</v>
      </c>
      <c r="M32" s="1">
        <v>0.6</v>
      </c>
      <c r="N32" s="1">
        <v>0.69</v>
      </c>
      <c r="O32" s="1">
        <v>0.71</v>
      </c>
      <c r="P32" s="1">
        <v>0.69</v>
      </c>
      <c r="Q32" s="1">
        <v>0.65</v>
      </c>
      <c r="R32" s="1">
        <v>0.69</v>
      </c>
      <c r="S32" s="1">
        <v>0.66</v>
      </c>
      <c r="T32" s="1">
        <v>0.65</v>
      </c>
      <c r="U32" s="1">
        <v>0.67</v>
      </c>
      <c r="V32" s="1">
        <v>0.79</v>
      </c>
      <c r="W32" s="1">
        <f t="shared" si="0"/>
        <v>0.67782648889683728</v>
      </c>
      <c r="X32" s="3">
        <f t="shared" si="1"/>
        <v>50</v>
      </c>
    </row>
    <row r="33" spans="1:24" ht="25" hidden="1" customHeight="1">
      <c r="A33" t="s">
        <v>37</v>
      </c>
      <c r="B33">
        <v>2</v>
      </c>
      <c r="C33">
        <v>9</v>
      </c>
      <c r="D33">
        <v>1</v>
      </c>
      <c r="E33" t="s">
        <v>25</v>
      </c>
      <c r="F33" t="b">
        <v>1</v>
      </c>
      <c r="G33">
        <v>1</v>
      </c>
      <c r="H33" t="s">
        <v>24</v>
      </c>
      <c r="I33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plu-spl:T-mgv:9-sn:2k</v>
      </c>
      <c r="J33" s="1">
        <v>0.72</v>
      </c>
      <c r="K33" s="1">
        <v>0.72</v>
      </c>
      <c r="L33" s="1">
        <v>0.8</v>
      </c>
      <c r="M33" s="1">
        <v>0.62</v>
      </c>
      <c r="N33" s="1">
        <v>0.7</v>
      </c>
      <c r="O33" s="1">
        <v>0.7</v>
      </c>
      <c r="P33" s="1">
        <v>0.72</v>
      </c>
      <c r="Q33" s="1">
        <v>0.65</v>
      </c>
      <c r="R33" s="1">
        <v>0.73</v>
      </c>
      <c r="S33" s="1">
        <v>0.69</v>
      </c>
      <c r="T33" s="1">
        <v>0.68</v>
      </c>
      <c r="U33" s="1">
        <v>0.66</v>
      </c>
      <c r="V33" s="1">
        <v>0.8</v>
      </c>
      <c r="W33" s="1">
        <f t="shared" si="0"/>
        <v>0.69780559955381394</v>
      </c>
      <c r="X33" s="3">
        <f t="shared" si="1"/>
        <v>42</v>
      </c>
    </row>
    <row r="34" spans="1:24" ht="25" hidden="1" customHeight="1">
      <c r="A34" t="s">
        <v>37</v>
      </c>
      <c r="B34">
        <v>2</v>
      </c>
      <c r="C34">
        <v>9</v>
      </c>
      <c r="D34">
        <v>2</v>
      </c>
      <c r="E34" t="s">
        <v>29</v>
      </c>
      <c r="F34" t="b">
        <v>0</v>
      </c>
      <c r="G34">
        <v>1</v>
      </c>
      <c r="H34" t="s">
        <v>24</v>
      </c>
      <c r="I34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gen-spl:F-mgv:9-sn:2k</v>
      </c>
      <c r="J34" s="1">
        <v>0.69</v>
      </c>
      <c r="K34" s="1">
        <v>0.69</v>
      </c>
      <c r="L34" s="1">
        <v>0.76</v>
      </c>
      <c r="M34" s="1">
        <v>0.74</v>
      </c>
      <c r="N34" s="1">
        <v>0.74</v>
      </c>
      <c r="O34" s="1">
        <v>0.74</v>
      </c>
      <c r="P34" s="1">
        <v>0.76</v>
      </c>
      <c r="Q34" s="1">
        <v>0.77</v>
      </c>
      <c r="R34" s="1">
        <v>0.76</v>
      </c>
      <c r="S34" s="1">
        <v>0.74</v>
      </c>
      <c r="T34" s="1">
        <v>0.76</v>
      </c>
      <c r="U34" s="1">
        <v>0.7</v>
      </c>
      <c r="V34" s="1">
        <v>0.77</v>
      </c>
      <c r="W34" s="1">
        <f t="shared" ref="W34:W55" si="2">_xlfn.LET(_xlpm.d,$J34:$U34,GEOMEAN(_xlpm.d))</f>
        <v>0.73697996718224545</v>
      </c>
      <c r="X34" s="3">
        <f t="shared" ref="X34:X55" si="3">_xlfn.LET(_xlpm.x,W34,_xlpm.r,W$2:W$55,RANK(_xlpm.x,_xlpm.r))</f>
        <v>34</v>
      </c>
    </row>
    <row r="35" spans="1:24" ht="25" hidden="1" customHeight="1">
      <c r="A35" t="s">
        <v>37</v>
      </c>
      <c r="B35">
        <v>2</v>
      </c>
      <c r="C35">
        <v>9</v>
      </c>
      <c r="D35">
        <v>2</v>
      </c>
      <c r="E35" t="s">
        <v>29</v>
      </c>
      <c r="F35" t="b">
        <v>1</v>
      </c>
      <c r="G35">
        <v>1</v>
      </c>
      <c r="H35" t="s">
        <v>24</v>
      </c>
      <c r="I35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gen-spl:T-mgv:9-sn:2k</v>
      </c>
      <c r="J35" s="1">
        <v>0.77</v>
      </c>
      <c r="K35" s="1">
        <v>0.73</v>
      </c>
      <c r="L35" s="1">
        <v>0.79</v>
      </c>
      <c r="M35" s="1">
        <v>0.77</v>
      </c>
      <c r="N35" s="1">
        <v>0.74</v>
      </c>
      <c r="O35" s="1">
        <v>0.73</v>
      </c>
      <c r="P35" s="1">
        <v>0.83</v>
      </c>
      <c r="Q35" s="1">
        <v>0.79</v>
      </c>
      <c r="R35" s="1">
        <v>0.8</v>
      </c>
      <c r="S35" s="1">
        <v>0.78</v>
      </c>
      <c r="T35" s="1">
        <v>0.77</v>
      </c>
      <c r="U35" s="1">
        <v>0.72</v>
      </c>
      <c r="V35" s="1">
        <v>0.83</v>
      </c>
      <c r="W35" s="1">
        <f t="shared" si="2"/>
        <v>0.76768534142629308</v>
      </c>
      <c r="X35" s="3">
        <f t="shared" si="3"/>
        <v>25</v>
      </c>
    </row>
    <row r="36" spans="1:24" ht="25" hidden="1" customHeight="1">
      <c r="A36" t="s">
        <v>37</v>
      </c>
      <c r="B36">
        <v>2</v>
      </c>
      <c r="C36">
        <v>9</v>
      </c>
      <c r="D36">
        <v>3</v>
      </c>
      <c r="E36" t="s">
        <v>30</v>
      </c>
      <c r="F36" t="b">
        <v>0</v>
      </c>
      <c r="G36">
        <v>1</v>
      </c>
      <c r="H36" t="s">
        <v>24</v>
      </c>
      <c r="I36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cas-spl:F-mgv:9-sn:2k</v>
      </c>
      <c r="J36" s="1">
        <v>0.97</v>
      </c>
      <c r="K36" s="1">
        <v>0.96</v>
      </c>
      <c r="L36" s="1">
        <v>0.97</v>
      </c>
      <c r="M36" s="1">
        <v>0.96</v>
      </c>
      <c r="N36" s="1">
        <v>0.95</v>
      </c>
      <c r="O36" s="1">
        <v>0.97</v>
      </c>
      <c r="P36" s="1">
        <v>0.98</v>
      </c>
      <c r="Q36" s="1">
        <v>0.98</v>
      </c>
      <c r="R36" s="1">
        <v>0.97</v>
      </c>
      <c r="S36" s="1">
        <v>0.95</v>
      </c>
      <c r="T36" s="1">
        <v>0.97</v>
      </c>
      <c r="U36" s="1">
        <v>0.94</v>
      </c>
      <c r="V36" s="1">
        <v>0.98</v>
      </c>
      <c r="W36" s="1">
        <f t="shared" si="2"/>
        <v>0.96409322160941102</v>
      </c>
      <c r="X36" s="3">
        <f t="shared" si="3"/>
        <v>12</v>
      </c>
    </row>
    <row r="37" spans="1:24" ht="25" hidden="1" customHeight="1">
      <c r="A37" t="s">
        <v>37</v>
      </c>
      <c r="B37">
        <v>2</v>
      </c>
      <c r="C37">
        <v>9</v>
      </c>
      <c r="D37">
        <v>3</v>
      </c>
      <c r="E37" t="s">
        <v>30</v>
      </c>
      <c r="F37" t="b">
        <v>1</v>
      </c>
      <c r="G37">
        <v>1</v>
      </c>
      <c r="H37" t="s">
        <v>24</v>
      </c>
      <c r="I37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cas-spl:T-mgv:9-sn:2k</v>
      </c>
      <c r="J37" s="1">
        <v>0.97</v>
      </c>
      <c r="K37" s="1">
        <v>0.96</v>
      </c>
      <c r="L37" s="1">
        <v>0.97</v>
      </c>
      <c r="M37" s="1">
        <v>0.96</v>
      </c>
      <c r="N37" s="1">
        <v>0.95</v>
      </c>
      <c r="O37" s="1">
        <v>0.97</v>
      </c>
      <c r="P37" s="1">
        <v>0.98</v>
      </c>
      <c r="Q37" s="1">
        <v>0.99</v>
      </c>
      <c r="R37" s="1">
        <v>0.97</v>
      </c>
      <c r="S37" s="1">
        <v>0.95</v>
      </c>
      <c r="T37" s="1">
        <v>0.97</v>
      </c>
      <c r="U37" s="1">
        <v>0.94</v>
      </c>
      <c r="V37" s="1">
        <v>0.99</v>
      </c>
      <c r="W37" s="1">
        <f t="shared" si="2"/>
        <v>0.96490921944976515</v>
      </c>
      <c r="X37" s="3">
        <f t="shared" si="3"/>
        <v>11</v>
      </c>
    </row>
    <row r="38" spans="1:24" ht="25" hidden="1" customHeight="1">
      <c r="A38" t="s">
        <v>37</v>
      </c>
      <c r="B38">
        <v>3</v>
      </c>
      <c r="C38">
        <v>3</v>
      </c>
      <c r="D38">
        <v>1</v>
      </c>
      <c r="E38" t="s">
        <v>25</v>
      </c>
      <c r="F38" t="b">
        <v>0</v>
      </c>
      <c r="G38">
        <v>1</v>
      </c>
      <c r="H38" t="s">
        <v>24</v>
      </c>
      <c r="I38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plu-spl:F-mgv:3-sn:3k</v>
      </c>
      <c r="J38" s="1">
        <v>0.67</v>
      </c>
      <c r="K38" s="1">
        <v>0.67</v>
      </c>
      <c r="L38" s="1">
        <v>0.7</v>
      </c>
      <c r="M38" s="1">
        <v>0.7</v>
      </c>
      <c r="N38" s="1">
        <v>0.7</v>
      </c>
      <c r="O38" s="1">
        <v>0.68</v>
      </c>
      <c r="P38" s="1">
        <v>0.65</v>
      </c>
      <c r="Q38" s="1">
        <v>0.65</v>
      </c>
      <c r="R38" s="1">
        <v>0.68</v>
      </c>
      <c r="S38" s="1">
        <v>0.67</v>
      </c>
      <c r="T38" s="1">
        <v>0.69</v>
      </c>
      <c r="U38" s="1">
        <v>0.71</v>
      </c>
      <c r="V38" s="1">
        <v>0.71</v>
      </c>
      <c r="W38" s="1">
        <f t="shared" si="2"/>
        <v>0.68056959414993567</v>
      </c>
      <c r="X38" s="3">
        <f t="shared" si="3"/>
        <v>48</v>
      </c>
    </row>
    <row r="39" spans="1:24" ht="25" hidden="1" customHeight="1">
      <c r="A39" t="s">
        <v>37</v>
      </c>
      <c r="B39">
        <v>3</v>
      </c>
      <c r="C39">
        <v>3</v>
      </c>
      <c r="D39">
        <v>1</v>
      </c>
      <c r="E39" t="s">
        <v>25</v>
      </c>
      <c r="F39" t="b">
        <v>1</v>
      </c>
      <c r="G39">
        <v>1</v>
      </c>
      <c r="H39" t="s">
        <v>24</v>
      </c>
      <c r="I39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plu-spl:T-mgv:3-sn:3k</v>
      </c>
      <c r="J39" s="1">
        <v>0.74</v>
      </c>
      <c r="K39" s="1">
        <v>0.7</v>
      </c>
      <c r="L39" s="1">
        <v>0.72</v>
      </c>
      <c r="M39" s="1">
        <v>0.73</v>
      </c>
      <c r="N39" s="1">
        <v>0.71</v>
      </c>
      <c r="O39" s="1">
        <v>0.68</v>
      </c>
      <c r="P39" s="1">
        <v>0.73</v>
      </c>
      <c r="Q39" s="1">
        <v>0.69</v>
      </c>
      <c r="R39" s="1">
        <v>0.72</v>
      </c>
      <c r="S39" s="1">
        <v>0.75</v>
      </c>
      <c r="T39" s="1">
        <v>0.68</v>
      </c>
      <c r="U39" s="1">
        <v>0.73</v>
      </c>
      <c r="V39" s="1">
        <v>0.75</v>
      </c>
      <c r="W39" s="1">
        <f t="shared" si="2"/>
        <v>0.71465398834920246</v>
      </c>
      <c r="X39" s="3">
        <f t="shared" si="3"/>
        <v>37</v>
      </c>
    </row>
    <row r="40" spans="1:24" ht="25" hidden="1" customHeight="1">
      <c r="A40" t="s">
        <v>37</v>
      </c>
      <c r="B40">
        <v>3</v>
      </c>
      <c r="C40">
        <v>3</v>
      </c>
      <c r="D40">
        <v>2</v>
      </c>
      <c r="E40" t="s">
        <v>29</v>
      </c>
      <c r="F40" t="b">
        <v>0</v>
      </c>
      <c r="G40">
        <v>1</v>
      </c>
      <c r="H40" t="s">
        <v>24</v>
      </c>
      <c r="I40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gen-spl:F-mgv:3-sn:3k</v>
      </c>
      <c r="J40" s="1">
        <v>0.74</v>
      </c>
      <c r="K40" s="1">
        <v>0.73</v>
      </c>
      <c r="L40" s="1">
        <v>0.77</v>
      </c>
      <c r="M40" s="1">
        <v>0.76</v>
      </c>
      <c r="N40" s="1">
        <v>0.76</v>
      </c>
      <c r="O40" s="1">
        <v>0.78</v>
      </c>
      <c r="P40" s="1">
        <v>0.74</v>
      </c>
      <c r="Q40" s="1">
        <v>0.75</v>
      </c>
      <c r="R40" s="1">
        <v>0.77</v>
      </c>
      <c r="S40" s="1">
        <v>0.76</v>
      </c>
      <c r="T40" s="1">
        <v>0.74</v>
      </c>
      <c r="U40" s="1">
        <v>0.77</v>
      </c>
      <c r="V40" s="1">
        <v>0.78</v>
      </c>
      <c r="W40" s="1">
        <f t="shared" si="2"/>
        <v>0.75568459640997832</v>
      </c>
      <c r="X40" s="3">
        <f t="shared" si="3"/>
        <v>28</v>
      </c>
    </row>
    <row r="41" spans="1:24" ht="25" hidden="1" customHeight="1">
      <c r="A41" t="s">
        <v>37</v>
      </c>
      <c r="B41">
        <v>3</v>
      </c>
      <c r="C41">
        <v>3</v>
      </c>
      <c r="D41">
        <v>2</v>
      </c>
      <c r="E41" t="s">
        <v>29</v>
      </c>
      <c r="F41" t="b">
        <v>1</v>
      </c>
      <c r="G41">
        <v>1</v>
      </c>
      <c r="H41" t="s">
        <v>24</v>
      </c>
      <c r="I41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gen-spl:T-mgv:3-sn:3k</v>
      </c>
      <c r="J41" s="1">
        <v>0.84</v>
      </c>
      <c r="K41" s="1">
        <v>0.75</v>
      </c>
      <c r="L41" s="1">
        <v>0.81</v>
      </c>
      <c r="M41" s="1">
        <v>0.77</v>
      </c>
      <c r="N41" s="1">
        <v>0.77</v>
      </c>
      <c r="O41" s="1">
        <v>0.8</v>
      </c>
      <c r="P41" s="1">
        <v>0.8</v>
      </c>
      <c r="Q41" s="1">
        <v>0.78</v>
      </c>
      <c r="R41" s="1">
        <v>0.78</v>
      </c>
      <c r="S41" s="1">
        <v>0.77</v>
      </c>
      <c r="T41" s="1">
        <v>0.8</v>
      </c>
      <c r="U41" s="1">
        <v>0.77</v>
      </c>
      <c r="V41" s="1">
        <v>0.84</v>
      </c>
      <c r="W41" s="1">
        <f t="shared" si="2"/>
        <v>0.78632841476303761</v>
      </c>
      <c r="X41" s="3">
        <f t="shared" si="3"/>
        <v>21</v>
      </c>
    </row>
    <row r="42" spans="1:24" ht="25" hidden="1" customHeight="1">
      <c r="A42" t="s">
        <v>37</v>
      </c>
      <c r="B42">
        <v>3</v>
      </c>
      <c r="C42">
        <v>3</v>
      </c>
      <c r="D42">
        <v>3</v>
      </c>
      <c r="E42" t="s">
        <v>30</v>
      </c>
      <c r="F42" t="b">
        <v>0</v>
      </c>
      <c r="G42">
        <v>1</v>
      </c>
      <c r="H42" t="s">
        <v>24</v>
      </c>
      <c r="I42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cas-spl:F-mgv:3-sn:3k</v>
      </c>
      <c r="J42" s="1">
        <v>0.95</v>
      </c>
      <c r="K42" s="1">
        <v>0.96</v>
      </c>
      <c r="L42" s="1">
        <v>0.96</v>
      </c>
      <c r="M42" s="1">
        <v>0.97</v>
      </c>
      <c r="N42" s="1">
        <v>0.95</v>
      </c>
      <c r="O42" s="1">
        <v>0.98</v>
      </c>
      <c r="P42" s="1">
        <v>0.97</v>
      </c>
      <c r="Q42" s="1">
        <v>0.96</v>
      </c>
      <c r="R42" s="1">
        <v>0.96</v>
      </c>
      <c r="S42" s="1">
        <v>0.98</v>
      </c>
      <c r="T42" s="1">
        <v>0.98</v>
      </c>
      <c r="U42" s="1">
        <v>0.98</v>
      </c>
      <c r="V42" s="1">
        <v>0.98</v>
      </c>
      <c r="W42" s="1">
        <f t="shared" si="2"/>
        <v>0.96660341723976539</v>
      </c>
      <c r="X42" s="3">
        <f t="shared" si="3"/>
        <v>7</v>
      </c>
    </row>
    <row r="43" spans="1:24" ht="25" hidden="1" customHeight="1">
      <c r="A43" t="s">
        <v>37</v>
      </c>
      <c r="B43">
        <v>3</v>
      </c>
      <c r="C43">
        <v>3</v>
      </c>
      <c r="D43">
        <v>3</v>
      </c>
      <c r="E43" t="s">
        <v>30</v>
      </c>
      <c r="F43" t="b">
        <v>1</v>
      </c>
      <c r="G43">
        <v>1</v>
      </c>
      <c r="H43" t="s">
        <v>24</v>
      </c>
      <c r="I43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cas-spl:T-mgv:3-sn:3k</v>
      </c>
      <c r="J43" s="1">
        <v>0.96</v>
      </c>
      <c r="K43" s="1">
        <v>0.96</v>
      </c>
      <c r="L43" s="1">
        <v>0.96</v>
      </c>
      <c r="M43" s="1">
        <v>0.97</v>
      </c>
      <c r="N43" s="1">
        <v>0.95</v>
      </c>
      <c r="O43" s="1">
        <v>0.98</v>
      </c>
      <c r="P43" s="1">
        <v>0.97</v>
      </c>
      <c r="Q43" s="1">
        <v>0.97</v>
      </c>
      <c r="R43" s="1">
        <v>0.96</v>
      </c>
      <c r="S43" s="1">
        <v>0.98</v>
      </c>
      <c r="T43" s="1">
        <v>0.98</v>
      </c>
      <c r="U43" s="1">
        <v>0.98</v>
      </c>
      <c r="V43" s="1">
        <v>0.98</v>
      </c>
      <c r="W43" s="1">
        <f t="shared" si="2"/>
        <v>0.96828306653243679</v>
      </c>
      <c r="X43" s="3">
        <f t="shared" si="3"/>
        <v>5</v>
      </c>
    </row>
    <row r="44" spans="1:24" ht="25" customHeight="1">
      <c r="A44" t="s">
        <v>37</v>
      </c>
      <c r="B44">
        <v>3</v>
      </c>
      <c r="C44">
        <v>6</v>
      </c>
      <c r="D44">
        <v>1</v>
      </c>
      <c r="E44" t="s">
        <v>25</v>
      </c>
      <c r="F44" t="b">
        <v>0</v>
      </c>
      <c r="G44">
        <v>1</v>
      </c>
      <c r="H44" t="s">
        <v>24</v>
      </c>
      <c r="I44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plu-spl:F-mgv:6-sn:3k</v>
      </c>
      <c r="J44" s="1">
        <v>0.71</v>
      </c>
      <c r="K44" s="1">
        <v>0.71</v>
      </c>
      <c r="L44" s="1">
        <v>0.7</v>
      </c>
      <c r="M44" s="1">
        <v>0.66</v>
      </c>
      <c r="N44" s="1">
        <v>0.69</v>
      </c>
      <c r="O44" s="1">
        <v>0.67</v>
      </c>
      <c r="P44" s="1">
        <v>0.72</v>
      </c>
      <c r="Q44" s="1">
        <v>0.7</v>
      </c>
      <c r="R44" s="1">
        <v>0.69</v>
      </c>
      <c r="S44" s="1">
        <v>0.67</v>
      </c>
      <c r="T44" s="1">
        <v>0.67</v>
      </c>
      <c r="U44" s="1">
        <v>0.67</v>
      </c>
      <c r="V44" s="1">
        <v>0.72</v>
      </c>
      <c r="W44" s="1">
        <f t="shared" si="2"/>
        <v>0.68806935657372403</v>
      </c>
      <c r="X44" s="3">
        <f t="shared" si="3"/>
        <v>44</v>
      </c>
    </row>
    <row r="45" spans="1:24" ht="25" customHeight="1">
      <c r="A45" t="s">
        <v>37</v>
      </c>
      <c r="B45">
        <v>3</v>
      </c>
      <c r="C45">
        <v>6</v>
      </c>
      <c r="D45">
        <v>1</v>
      </c>
      <c r="E45" t="s">
        <v>25</v>
      </c>
      <c r="F45" t="b">
        <v>1</v>
      </c>
      <c r="G45">
        <v>1</v>
      </c>
      <c r="H45" t="s">
        <v>24</v>
      </c>
      <c r="I45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plu-spl:T-mgv:6-sn:3k</v>
      </c>
      <c r="J45" s="1">
        <v>0.75</v>
      </c>
      <c r="K45" s="1">
        <v>0.76</v>
      </c>
      <c r="L45" s="1">
        <v>0.73</v>
      </c>
      <c r="M45" s="1">
        <v>0.7</v>
      </c>
      <c r="N45" s="1">
        <v>0.71</v>
      </c>
      <c r="O45" s="1">
        <v>0.7</v>
      </c>
      <c r="P45" s="1">
        <v>0.76</v>
      </c>
      <c r="Q45" s="1">
        <v>0.72</v>
      </c>
      <c r="R45" s="1">
        <v>0.73</v>
      </c>
      <c r="S45" s="1">
        <v>0.71</v>
      </c>
      <c r="T45" s="1">
        <v>0.66</v>
      </c>
      <c r="U45" s="1">
        <v>0.71</v>
      </c>
      <c r="V45" s="1">
        <v>0.76</v>
      </c>
      <c r="W45" s="1">
        <f t="shared" si="2"/>
        <v>0.71947406565044059</v>
      </c>
      <c r="X45" s="3">
        <f t="shared" si="3"/>
        <v>36</v>
      </c>
    </row>
    <row r="46" spans="1:24" ht="25" customHeight="1">
      <c r="A46" t="s">
        <v>37</v>
      </c>
      <c r="B46">
        <v>3</v>
      </c>
      <c r="C46">
        <v>6</v>
      </c>
      <c r="D46">
        <v>2</v>
      </c>
      <c r="E46" t="s">
        <v>29</v>
      </c>
      <c r="F46" t="b">
        <v>0</v>
      </c>
      <c r="G46">
        <v>1</v>
      </c>
      <c r="H46" t="s">
        <v>24</v>
      </c>
      <c r="I46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gen-spl:F-mgv:6-sn:3k</v>
      </c>
      <c r="J46" s="1">
        <v>0.73</v>
      </c>
      <c r="K46" s="1">
        <v>0.76</v>
      </c>
      <c r="L46" s="1">
        <v>0.75</v>
      </c>
      <c r="M46" s="1">
        <v>0.77</v>
      </c>
      <c r="N46" s="1">
        <v>0.72</v>
      </c>
      <c r="O46" s="1">
        <v>0.76</v>
      </c>
      <c r="P46" s="1">
        <v>0.68</v>
      </c>
      <c r="Q46" s="1">
        <v>0.77</v>
      </c>
      <c r="R46" s="1">
        <v>0.78</v>
      </c>
      <c r="S46" s="1">
        <v>0.74</v>
      </c>
      <c r="T46" s="1">
        <v>0.71</v>
      </c>
      <c r="U46" s="1">
        <v>0.73</v>
      </c>
      <c r="V46" s="1">
        <v>0.78</v>
      </c>
      <c r="W46" s="1">
        <f t="shared" si="2"/>
        <v>0.74113127691303538</v>
      </c>
      <c r="X46" s="3">
        <f t="shared" si="3"/>
        <v>31</v>
      </c>
    </row>
    <row r="47" spans="1:24" ht="25" customHeight="1">
      <c r="A47" t="s">
        <v>37</v>
      </c>
      <c r="B47">
        <v>3</v>
      </c>
      <c r="C47">
        <v>6</v>
      </c>
      <c r="D47">
        <v>2</v>
      </c>
      <c r="E47" t="s">
        <v>29</v>
      </c>
      <c r="F47" t="b">
        <v>1</v>
      </c>
      <c r="G47">
        <v>1</v>
      </c>
      <c r="H47" t="s">
        <v>24</v>
      </c>
      <c r="I47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gen-spl:T-mgv:6-sn:3k</v>
      </c>
      <c r="J47" s="1">
        <v>0.82</v>
      </c>
      <c r="K47" s="1">
        <v>0.82</v>
      </c>
      <c r="L47" s="1">
        <v>0.81</v>
      </c>
      <c r="M47" s="1">
        <v>0.77</v>
      </c>
      <c r="N47" s="1">
        <v>0.77</v>
      </c>
      <c r="O47" s="1">
        <v>0.76</v>
      </c>
      <c r="P47" s="1">
        <v>0.79</v>
      </c>
      <c r="Q47" s="1">
        <v>0.82</v>
      </c>
      <c r="R47" s="1">
        <v>0.84</v>
      </c>
      <c r="S47" s="1">
        <v>0.78</v>
      </c>
      <c r="T47" s="1">
        <v>0.74</v>
      </c>
      <c r="U47" s="1">
        <v>0.75</v>
      </c>
      <c r="V47" s="1">
        <v>0.84</v>
      </c>
      <c r="W47" s="1">
        <f t="shared" si="2"/>
        <v>0.78855979713256041</v>
      </c>
      <c r="X47" s="3">
        <f t="shared" si="3"/>
        <v>19</v>
      </c>
    </row>
    <row r="48" spans="1:24" ht="25" customHeight="1">
      <c r="A48" t="s">
        <v>37</v>
      </c>
      <c r="B48">
        <v>3</v>
      </c>
      <c r="C48">
        <v>6</v>
      </c>
      <c r="D48">
        <v>3</v>
      </c>
      <c r="E48" t="s">
        <v>30</v>
      </c>
      <c r="F48" t="b">
        <v>0</v>
      </c>
      <c r="G48">
        <v>1</v>
      </c>
      <c r="H48" t="s">
        <v>24</v>
      </c>
      <c r="I48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cas-spl:F-mgv:6-sn:3k</v>
      </c>
      <c r="J48" s="1">
        <v>0.96</v>
      </c>
      <c r="K48" s="1">
        <v>0.94</v>
      </c>
      <c r="L48" s="1">
        <v>0.95</v>
      </c>
      <c r="M48" s="1">
        <v>0.97</v>
      </c>
      <c r="N48" s="1">
        <v>0.95</v>
      </c>
      <c r="O48" s="1">
        <v>0.97</v>
      </c>
      <c r="P48" s="1">
        <v>0.97</v>
      </c>
      <c r="Q48" s="1">
        <v>0.97</v>
      </c>
      <c r="R48" s="1">
        <v>0.94</v>
      </c>
      <c r="S48" s="1">
        <v>0.96</v>
      </c>
      <c r="T48" s="1">
        <v>0.97</v>
      </c>
      <c r="U48" s="1">
        <v>0.98</v>
      </c>
      <c r="V48" s="1">
        <v>0.98</v>
      </c>
      <c r="W48" s="1">
        <f t="shared" si="2"/>
        <v>0.96075099793581509</v>
      </c>
      <c r="X48" s="3">
        <f t="shared" si="3"/>
        <v>16</v>
      </c>
    </row>
    <row r="49" spans="1:24" ht="25" customHeight="1">
      <c r="A49" t="s">
        <v>37</v>
      </c>
      <c r="B49">
        <v>3</v>
      </c>
      <c r="C49">
        <v>6</v>
      </c>
      <c r="D49">
        <v>3</v>
      </c>
      <c r="E49" t="s">
        <v>30</v>
      </c>
      <c r="F49" t="b">
        <v>1</v>
      </c>
      <c r="G49">
        <v>1</v>
      </c>
      <c r="H49" t="s">
        <v>24</v>
      </c>
      <c r="I49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cas-spl:T-mgv:6-sn:3k</v>
      </c>
      <c r="J49" s="1">
        <v>0.96</v>
      </c>
      <c r="K49" s="1">
        <v>0.94</v>
      </c>
      <c r="L49" s="1">
        <v>0.95</v>
      </c>
      <c r="M49" s="1">
        <v>0.97</v>
      </c>
      <c r="N49" s="1">
        <v>0.95</v>
      </c>
      <c r="O49" s="1">
        <v>0.97</v>
      </c>
      <c r="P49" s="1">
        <v>0.98</v>
      </c>
      <c r="Q49" s="1">
        <v>0.97</v>
      </c>
      <c r="R49" s="1">
        <v>0.95</v>
      </c>
      <c r="S49" s="1">
        <v>0.96</v>
      </c>
      <c r="T49" s="1">
        <v>0.97</v>
      </c>
      <c r="U49" s="1">
        <v>0.98</v>
      </c>
      <c r="V49" s="1">
        <v>0.98</v>
      </c>
      <c r="W49" s="1">
        <f t="shared" si="2"/>
        <v>0.96242084030510444</v>
      </c>
      <c r="X49" s="3">
        <f t="shared" si="3"/>
        <v>14</v>
      </c>
    </row>
    <row r="50" spans="1:24" ht="25" hidden="1" customHeight="1">
      <c r="A50" t="s">
        <v>37</v>
      </c>
      <c r="B50">
        <v>3</v>
      </c>
      <c r="C50">
        <v>9</v>
      </c>
      <c r="D50">
        <v>1</v>
      </c>
      <c r="E50" t="s">
        <v>25</v>
      </c>
      <c r="F50" t="b">
        <v>0</v>
      </c>
      <c r="G50">
        <v>1</v>
      </c>
      <c r="H50" t="s">
        <v>24</v>
      </c>
      <c r="I50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plu-spl:F-mgv:9-sn:3k</v>
      </c>
      <c r="J50" s="1">
        <v>0.74</v>
      </c>
      <c r="K50" s="1">
        <v>0.71</v>
      </c>
      <c r="L50" s="1">
        <v>0.65</v>
      </c>
      <c r="M50" s="1">
        <v>0.65</v>
      </c>
      <c r="N50" s="1">
        <v>0.68</v>
      </c>
      <c r="O50" s="1">
        <v>0.64</v>
      </c>
      <c r="P50" s="1">
        <v>0.62</v>
      </c>
      <c r="Q50" s="1">
        <v>0.62</v>
      </c>
      <c r="R50" s="1">
        <v>0.7</v>
      </c>
      <c r="S50" s="1">
        <v>0.69</v>
      </c>
      <c r="T50" s="1">
        <v>0.71</v>
      </c>
      <c r="U50" s="1">
        <v>0.7</v>
      </c>
      <c r="V50" s="1">
        <v>0.74</v>
      </c>
      <c r="W50" s="2">
        <f t="shared" si="2"/>
        <v>0.67479892269766317</v>
      </c>
      <c r="X50" s="2">
        <f t="shared" si="3"/>
        <v>52</v>
      </c>
    </row>
    <row r="51" spans="1:24" ht="25" hidden="1" customHeight="1">
      <c r="A51" t="s">
        <v>37</v>
      </c>
      <c r="B51">
        <v>3</v>
      </c>
      <c r="C51">
        <v>9</v>
      </c>
      <c r="D51">
        <v>1</v>
      </c>
      <c r="E51" t="s">
        <v>25</v>
      </c>
      <c r="F51" t="b">
        <v>1</v>
      </c>
      <c r="G51">
        <v>1</v>
      </c>
      <c r="H51" t="s">
        <v>24</v>
      </c>
      <c r="I51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plu-spl:T-mgv:9-sn:3k</v>
      </c>
      <c r="J51" s="1">
        <v>0.74</v>
      </c>
      <c r="K51" s="1">
        <v>0.74</v>
      </c>
      <c r="L51" s="1">
        <v>0.68</v>
      </c>
      <c r="M51" s="1">
        <v>0.69</v>
      </c>
      <c r="N51" s="1">
        <v>0.68</v>
      </c>
      <c r="O51" s="1">
        <v>0.66</v>
      </c>
      <c r="P51" s="1">
        <v>0.7</v>
      </c>
      <c r="Q51" s="1">
        <v>0.68</v>
      </c>
      <c r="R51" s="1">
        <v>0.72</v>
      </c>
      <c r="S51" s="1">
        <v>0.7</v>
      </c>
      <c r="T51" s="1">
        <v>0.71</v>
      </c>
      <c r="U51" s="1">
        <v>0.71</v>
      </c>
      <c r="V51" s="1">
        <v>0.74</v>
      </c>
      <c r="W51" s="2">
        <f t="shared" si="2"/>
        <v>0.70043693637797755</v>
      </c>
      <c r="X51" s="2">
        <f t="shared" si="3"/>
        <v>41</v>
      </c>
    </row>
    <row r="52" spans="1:24" ht="25" hidden="1" customHeight="1">
      <c r="A52" t="s">
        <v>37</v>
      </c>
      <c r="B52">
        <v>3</v>
      </c>
      <c r="C52">
        <v>9</v>
      </c>
      <c r="D52">
        <v>2</v>
      </c>
      <c r="E52" t="s">
        <v>29</v>
      </c>
      <c r="F52" t="b">
        <v>0</v>
      </c>
      <c r="G52">
        <v>1</v>
      </c>
      <c r="H52" t="s">
        <v>24</v>
      </c>
      <c r="I52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gen-spl:F-mgv:9-sn:3k</v>
      </c>
      <c r="J52" s="2">
        <v>0.76</v>
      </c>
      <c r="K52" s="2">
        <v>0.76</v>
      </c>
      <c r="L52" s="2">
        <v>0.74</v>
      </c>
      <c r="M52" s="2">
        <v>0.76</v>
      </c>
      <c r="N52" s="2">
        <v>0.78</v>
      </c>
      <c r="O52" s="2">
        <v>0.75</v>
      </c>
      <c r="P52" s="2">
        <v>0.72</v>
      </c>
      <c r="Q52" s="2">
        <v>0.73</v>
      </c>
      <c r="R52" s="2">
        <v>0.76</v>
      </c>
      <c r="S52" s="2">
        <v>0.76</v>
      </c>
      <c r="T52" s="2">
        <v>0.82</v>
      </c>
      <c r="U52" s="2">
        <v>0.75</v>
      </c>
      <c r="V52" s="2">
        <v>0.78</v>
      </c>
      <c r="W52" s="2">
        <f t="shared" si="2"/>
        <v>0.75712136506055683</v>
      </c>
      <c r="X52" s="2">
        <f t="shared" si="3"/>
        <v>27</v>
      </c>
    </row>
    <row r="53" spans="1:24" ht="25" hidden="1" customHeight="1">
      <c r="A53" t="s">
        <v>37</v>
      </c>
      <c r="B53">
        <v>3</v>
      </c>
      <c r="C53">
        <v>9</v>
      </c>
      <c r="D53">
        <v>2</v>
      </c>
      <c r="E53" t="s">
        <v>29</v>
      </c>
      <c r="F53" t="b">
        <v>1</v>
      </c>
      <c r="G53">
        <v>1</v>
      </c>
      <c r="H53" t="s">
        <v>24</v>
      </c>
      <c r="I53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gen-spl:T-mgv:9-sn:3k</v>
      </c>
      <c r="J53" s="2">
        <v>0.8</v>
      </c>
      <c r="K53" s="2">
        <v>0.8</v>
      </c>
      <c r="L53" s="2">
        <v>0.8</v>
      </c>
      <c r="M53" s="2">
        <v>0.81</v>
      </c>
      <c r="N53" s="2">
        <v>0.78</v>
      </c>
      <c r="O53" s="2">
        <v>0.76</v>
      </c>
      <c r="P53" s="2">
        <v>0.8</v>
      </c>
      <c r="Q53" s="2">
        <v>0.77</v>
      </c>
      <c r="R53" s="2">
        <v>0.8</v>
      </c>
      <c r="S53" s="2">
        <v>0.77</v>
      </c>
      <c r="T53" s="2">
        <v>0.8</v>
      </c>
      <c r="U53" s="2">
        <v>0.75</v>
      </c>
      <c r="V53" s="2">
        <v>0.81</v>
      </c>
      <c r="W53" s="2">
        <f t="shared" si="2"/>
        <v>0.78643829709659874</v>
      </c>
      <c r="X53" s="2">
        <f t="shared" si="3"/>
        <v>20</v>
      </c>
    </row>
    <row r="54" spans="1:24" ht="25" hidden="1" customHeight="1">
      <c r="A54" t="s">
        <v>37</v>
      </c>
      <c r="B54">
        <v>3</v>
      </c>
      <c r="C54">
        <v>9</v>
      </c>
      <c r="D54">
        <v>3</v>
      </c>
      <c r="E54" t="s">
        <v>30</v>
      </c>
      <c r="F54" t="b">
        <v>0</v>
      </c>
      <c r="G54">
        <v>1</v>
      </c>
      <c r="H54" t="s">
        <v>24</v>
      </c>
      <c r="I54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cas-spl:F-mgv:9-sn:3k</v>
      </c>
      <c r="J54" s="2">
        <v>0.97</v>
      </c>
      <c r="K54" s="2">
        <v>0.97</v>
      </c>
      <c r="L54" s="2">
        <v>0.98</v>
      </c>
      <c r="M54" s="2">
        <v>0.98</v>
      </c>
      <c r="N54" s="2">
        <v>0.97</v>
      </c>
      <c r="O54" s="2">
        <v>0.97</v>
      </c>
      <c r="P54" s="2">
        <v>0.96</v>
      </c>
      <c r="Q54" s="2">
        <v>0.97</v>
      </c>
      <c r="R54" s="2">
        <v>0.98</v>
      </c>
      <c r="S54" s="2">
        <v>0.96</v>
      </c>
      <c r="T54" s="2">
        <v>0.97</v>
      </c>
      <c r="U54" s="2">
        <v>0.98</v>
      </c>
      <c r="V54" s="2">
        <v>0.98</v>
      </c>
      <c r="W54" s="2">
        <f t="shared" si="2"/>
        <v>0.97164233993335203</v>
      </c>
      <c r="X54" s="2">
        <f t="shared" si="3"/>
        <v>4</v>
      </c>
    </row>
    <row r="55" spans="1:24" ht="25" hidden="1" customHeight="1">
      <c r="A55" t="s">
        <v>37</v>
      </c>
      <c r="B55">
        <v>3</v>
      </c>
      <c r="C55">
        <v>9</v>
      </c>
      <c r="D55">
        <v>3</v>
      </c>
      <c r="E55" t="s">
        <v>30</v>
      </c>
      <c r="F55" t="b">
        <v>1</v>
      </c>
      <c r="G55">
        <v>1</v>
      </c>
      <c r="H55" t="s">
        <v>24</v>
      </c>
      <c r="I55" t="str">
        <f>_xlfn.LET(_xlpm.sk,_xlfn.SINGLE(Table18[skippiness]),_xlpm.sn,_xlfn.SINGLE(Table18[sample.n]),_xlpm.mgv,_xlfn.SINGLE(Table18[mgv]),_xlpm.attr,_xlfn.SINGLE(Table18[attribute]),_xlpm.spl,_xlfn.SINGLE(Table18[supplemented]),_xlfn.TEXTJOIN({"-spl:","-mgv:","-sn:",""},TRUE,LEFT(_xlpm.attr,3),LEFT(_xlpm.spl,1),_xlpm.mgv,_xlpm.sn,"k"))</f>
        <v>cas-spl:T-mgv:9-sn:3k</v>
      </c>
      <c r="J55" s="2">
        <v>0.98</v>
      </c>
      <c r="K55" s="2">
        <v>0.97</v>
      </c>
      <c r="L55" s="2">
        <v>0.98</v>
      </c>
      <c r="M55" s="2">
        <v>0.98</v>
      </c>
      <c r="N55" s="2">
        <v>0.97</v>
      </c>
      <c r="O55" s="2">
        <v>0.97</v>
      </c>
      <c r="P55" s="2">
        <v>0.96</v>
      </c>
      <c r="Q55" s="2">
        <v>0.98</v>
      </c>
      <c r="R55" s="2">
        <v>0.98</v>
      </c>
      <c r="S55" s="2">
        <v>0.96</v>
      </c>
      <c r="T55" s="2">
        <v>0.97</v>
      </c>
      <c r="U55" s="2">
        <v>0.98</v>
      </c>
      <c r="V55" s="2">
        <v>0.98</v>
      </c>
      <c r="W55" s="2">
        <f t="shared" si="2"/>
        <v>0.97330470200028285</v>
      </c>
      <c r="X55" s="2">
        <f t="shared" si="3"/>
        <v>3</v>
      </c>
    </row>
    <row r="58" spans="1:24" ht="25" customHeight="1">
      <c r="U58" t="s">
        <v>34</v>
      </c>
      <c r="V58" t="s">
        <v>35</v>
      </c>
      <c r="W58" t="s">
        <v>31</v>
      </c>
      <c r="X58" t="s">
        <v>42</v>
      </c>
    </row>
    <row r="59" spans="1:24" ht="25" customHeight="1">
      <c r="U59">
        <v>1.2</v>
      </c>
      <c r="V59">
        <v>6</v>
      </c>
      <c r="W59" t="b">
        <v>1</v>
      </c>
      <c r="X59" s="4" cm="1">
        <f t="array" ref="X59">_xlfn.LET(_xlpm.d,X$2:X$55,_xlpm.a,$B$2:$B$55=$U59,_xlpm.b,$C$2:$C$55=$V59,_xlpm.c,$F$2:$F$55=$W59,GEOMEAN(_xlfn._xlws.FILTER(_xlpm.d,_xlpm.a*_xlpm.b)))</f>
        <v>12.71376432397458</v>
      </c>
    </row>
    <row r="60" spans="1:24" ht="25" customHeight="1">
      <c r="U60">
        <v>3</v>
      </c>
      <c r="V60">
        <v>9</v>
      </c>
      <c r="W60" t="b">
        <v>1</v>
      </c>
      <c r="X60" s="4" cm="1">
        <f t="array" ref="X60">_xlfn.LET(_xlpm.d,X$2:X$55,_xlpm.a,$B$2:$B$55=$U60,_xlpm.b,$C$2:$C$55=$V60,_xlpm.c,$F$2:$F$55=$W60,GEOMEAN(_xlfn._xlws.FILTER(_xlpm.d,_xlpm.a*_xlpm.b)))</f>
        <v>15.490319221362578</v>
      </c>
    </row>
    <row r="61" spans="1:24" ht="25" customHeight="1">
      <c r="U61">
        <v>3</v>
      </c>
      <c r="V61">
        <v>3</v>
      </c>
      <c r="W61" t="b">
        <v>1</v>
      </c>
      <c r="X61" s="4" cm="1">
        <f t="array" ref="X61">_xlfn.LET(_xlpm.d,X$2:X$55,_xlpm.a,$B$2:$B$55=$U61,_xlpm.b,$C$2:$C$55=$V61,_xlpm.c,$F$2:$F$55=$W61,GEOMEAN(_xlfn._xlws.FILTER(_xlpm.d,_xlpm.a*_xlpm.b)))</f>
        <v>18.21719003055793</v>
      </c>
    </row>
    <row r="62" spans="1:24" ht="25" customHeight="1">
      <c r="U62">
        <v>2</v>
      </c>
      <c r="V62">
        <v>3</v>
      </c>
      <c r="W62" t="b">
        <v>1</v>
      </c>
      <c r="X62" s="4" cm="1">
        <f t="array" ref="X62">_xlfn.LET(_xlpm.d,X$2:X$55,_xlpm.a,$B$2:$B$55=$U62,_xlpm.b,$C$2:$C$55=$V62,_xlpm.c,$F$2:$F$55=$W62,GEOMEAN(_xlfn._xlws.FILTER(_xlpm.d,_xlpm.a*_xlpm.b)))</f>
        <v>21.191968588721998</v>
      </c>
    </row>
    <row r="63" spans="1:24" ht="25" customHeight="1">
      <c r="U63">
        <v>1.2</v>
      </c>
      <c r="V63">
        <v>3</v>
      </c>
      <c r="W63" t="b">
        <v>1</v>
      </c>
      <c r="X63" s="4" cm="1">
        <f t="array" ref="X63">_xlfn.LET(_xlpm.d,X$2:X$55,_xlpm.a,$B$2:$B$55=$U63,_xlpm.b,$C$2:$C$55=$V63,_xlpm.c,$F$2:$F$55=$W63,GEOMEAN(_xlfn._xlws.FILTER(_xlpm.d,_xlpm.a*_xlpm.b)))</f>
        <v>21.996519394482721</v>
      </c>
    </row>
    <row r="64" spans="1:24" ht="25" customHeight="1">
      <c r="U64">
        <v>3</v>
      </c>
      <c r="V64">
        <v>6</v>
      </c>
      <c r="W64" t="b">
        <v>1</v>
      </c>
      <c r="X64" s="4" cm="1">
        <f t="array" ref="X64">_xlfn.LET(_xlpm.d,X$2:X$55,_xlpm.a,$B$2:$B$55=$U64,_xlpm.b,$C$2:$C$55=$V64,_xlpm.c,$F$2:$F$55=$W64,GEOMEAN(_xlfn._xlws.FILTER(_xlpm.d,_xlpm.a*_xlpm.b)))</f>
        <v>24.360512177757414</v>
      </c>
    </row>
    <row r="65" spans="21:24" ht="25" customHeight="1">
      <c r="U65">
        <v>2</v>
      </c>
      <c r="V65">
        <v>6</v>
      </c>
      <c r="W65" t="b">
        <v>1</v>
      </c>
      <c r="X65" s="4" cm="1">
        <f t="array" ref="X65">_xlfn.LET(_xlpm.d,X$2:X$55,_xlpm.a,$B$2:$B$55=$U65,_xlpm.b,$C$2:$C$55=$V65,_xlpm.c,$F$2:$F$55=$W65,GEOMEAN(_xlfn._xlws.FILTER(_xlpm.d,_xlpm.a*_xlpm.b)))</f>
        <v>24.733117014403312</v>
      </c>
    </row>
    <row r="66" spans="21:24" ht="25" customHeight="1">
      <c r="U66">
        <v>2</v>
      </c>
      <c r="V66">
        <v>9</v>
      </c>
      <c r="W66" t="b">
        <v>1</v>
      </c>
      <c r="X66" s="4" cm="1">
        <f t="array" ref="X66">_xlfn.LET(_xlpm.d,X$2:X$55,_xlpm.a,$B$2:$B$55=$U66,_xlpm.b,$C$2:$C$55=$V66,_xlpm.c,$F$2:$F$55=$W66,GEOMEAN(_xlfn._xlws.FILTER(_xlpm.d,_xlpm.a*_xlpm.b)))</f>
        <v>24.85242042721589</v>
      </c>
    </row>
    <row r="67" spans="21:24" ht="25" customHeight="1">
      <c r="U67">
        <v>1.2</v>
      </c>
      <c r="V67">
        <v>9</v>
      </c>
      <c r="W67" t="b">
        <v>1</v>
      </c>
      <c r="X67" s="4" cm="1">
        <f t="array" ref="X67">_xlfn.LET(_xlpm.d,X$2:X$55,_xlpm.a,$B$2:$B$55=$U67,_xlpm.b,$C$2:$C$55=$V67,_xlpm.c,$F$2:$F$55=$W67,GEOMEAN(_xlfn._xlws.FILTER(_xlpm.d,_xlpm.a*_xlpm.b)))</f>
        <v>30.668022758135645</v>
      </c>
    </row>
    <row r="70" spans="21:24" ht="25" customHeight="1">
      <c r="U70" t="s">
        <v>34</v>
      </c>
      <c r="V70" t="s">
        <v>35</v>
      </c>
      <c r="W70" t="s">
        <v>43</v>
      </c>
      <c r="X70" t="s">
        <v>42</v>
      </c>
    </row>
    <row r="71" spans="21:24" ht="25" customHeight="1">
      <c r="U71">
        <v>1.2</v>
      </c>
      <c r="V71">
        <v>3</v>
      </c>
      <c r="W71" t="s">
        <v>29</v>
      </c>
      <c r="X71" s="4" cm="1">
        <f t="array" ref="X71">_xlfn.LET(_xlpm.d,X$2:X$55,_xlpm.a,$B$2:$B$55=$U71,_xlpm.b,$C$2:$C$55=$V71,_xlpm.c,$E$2:$E$55=$W71,GEOMEAN(_xlfn._xlws.FILTER(_xlpm.d,_xlpm.a*_xlpm.b)))</f>
        <v>21.996519394482721</v>
      </c>
    </row>
    <row r="72" spans="21:24" ht="25" customHeight="1">
      <c r="U72">
        <v>2</v>
      </c>
      <c r="V72">
        <v>3</v>
      </c>
      <c r="W72" t="s">
        <v>29</v>
      </c>
      <c r="X72" s="4" cm="1">
        <f t="array" ref="X72">_xlfn.LET(_xlpm.d,X$2:X$55,_xlpm.a,$B$2:$B$55=$U72,_xlpm.b,$C$2:$C$55=$V72,_xlpm.c,$E$2:$E$55=$W72,GEOMEAN(_xlfn._xlws.FILTER(_xlpm.d,_xlpm.a*_xlpm.b)))</f>
        <v>21.191968588721998</v>
      </c>
    </row>
    <row r="73" spans="21:24" ht="25" customHeight="1">
      <c r="U73">
        <v>3</v>
      </c>
      <c r="V73">
        <v>3</v>
      </c>
      <c r="W73" t="s">
        <v>29</v>
      </c>
      <c r="X73" s="4" cm="1">
        <f t="array" ref="X73">_xlfn.LET(_xlpm.d,X$2:X$55,_xlpm.a,$B$2:$B$55=$U73,_xlpm.b,$C$2:$C$55=$V73,_xlpm.c,$E$2:$E$55=$W73,GEOMEAN(_xlfn._xlws.FILTER(_xlpm.d,_xlpm.a*_xlpm.b)))</f>
        <v>18.21719003055793</v>
      </c>
    </row>
    <row r="74" spans="21:24" ht="25" customHeight="1">
      <c r="U74">
        <v>1.2</v>
      </c>
      <c r="V74">
        <v>6</v>
      </c>
      <c r="W74" t="s">
        <v>29</v>
      </c>
      <c r="X74" s="4" cm="1">
        <f t="array" ref="X74">_xlfn.LET(_xlpm.d,X$2:X$55,_xlpm.a,$B$2:$B$55=$U74,_xlpm.b,$C$2:$C$55=$V74,_xlpm.c,$E$2:$E$55=$W74,GEOMEAN(_xlfn._xlws.FILTER(_xlpm.d,_xlpm.a*_xlpm.b)))</f>
        <v>12.71376432397458</v>
      </c>
    </row>
    <row r="75" spans="21:24" ht="25" customHeight="1">
      <c r="U75">
        <v>2</v>
      </c>
      <c r="V75">
        <v>6</v>
      </c>
      <c r="W75" t="s">
        <v>29</v>
      </c>
      <c r="X75" s="4" cm="1">
        <f t="array" ref="X75">_xlfn.LET(_xlpm.d,X$2:X$55,_xlpm.a,$B$2:$B$55=$U75,_xlpm.b,$C$2:$C$55=$V75,_xlpm.c,$E$2:$E$55=$W75,GEOMEAN(_xlfn._xlws.FILTER(_xlpm.d,_xlpm.a*_xlpm.b)))</f>
        <v>24.733117014403312</v>
      </c>
    </row>
    <row r="76" spans="21:24" ht="25" customHeight="1">
      <c r="U76">
        <v>3</v>
      </c>
      <c r="V76">
        <v>6</v>
      </c>
      <c r="W76" t="s">
        <v>29</v>
      </c>
      <c r="X76" s="4" cm="1">
        <f t="array" ref="X76">_xlfn.LET(_xlpm.d,X$2:X$55,_xlpm.a,$B$2:$B$55=$U76,_xlpm.b,$C$2:$C$55=$V76,_xlpm.c,$E$2:$E$55=$W76,GEOMEAN(_xlfn._xlws.FILTER(_xlpm.d,_xlpm.a*_xlpm.b)))</f>
        <v>24.360512177757414</v>
      </c>
    </row>
    <row r="77" spans="21:24" ht="25" customHeight="1">
      <c r="U77">
        <v>1.2</v>
      </c>
      <c r="V77">
        <v>9</v>
      </c>
      <c r="W77" t="s">
        <v>29</v>
      </c>
      <c r="X77" s="4" cm="1">
        <f t="array" ref="X77">_xlfn.LET(_xlpm.d,X$2:X$55,_xlpm.a,$B$2:$B$55=$U77,_xlpm.b,$C$2:$C$55=$V77,_xlpm.c,$E$2:$E$55=$W77,GEOMEAN(_xlfn._xlws.FILTER(_xlpm.d,_xlpm.a*_xlpm.b)))</f>
        <v>30.668022758135645</v>
      </c>
    </row>
    <row r="78" spans="21:24" ht="25" customHeight="1">
      <c r="U78">
        <v>2</v>
      </c>
      <c r="V78">
        <v>9</v>
      </c>
      <c r="W78" t="s">
        <v>29</v>
      </c>
      <c r="X78" s="4" cm="1">
        <f t="array" ref="X78">_xlfn.LET(_xlpm.d,X$2:X$55,_xlpm.a,$B$2:$B$55=$U78,_xlpm.b,$C$2:$C$55=$V78,_xlpm.c,$E$2:$E$55=$W78,GEOMEAN(_xlfn._xlws.FILTER(_xlpm.d,_xlpm.a*_xlpm.b)))</f>
        <v>24.85242042721589</v>
      </c>
    </row>
    <row r="79" spans="21:24" ht="25" customHeight="1">
      <c r="U79">
        <v>3</v>
      </c>
      <c r="V79">
        <v>9</v>
      </c>
      <c r="W79" t="s">
        <v>29</v>
      </c>
      <c r="X79" s="4" cm="1">
        <f t="array" ref="X79">_xlfn.LET(_xlpm.d,X$2:X$55,_xlpm.a,$B$2:$B$55=$U79,_xlpm.b,$C$2:$C$55=$V79,_xlpm.c,$E$2:$E$55=$W79,GEOMEAN(_xlfn._xlws.FILTER(_xlpm.d,_xlpm.a*_xlpm.b)))</f>
        <v>15.490319221362578</v>
      </c>
    </row>
    <row r="82" spans="21:24" ht="25" customHeight="1">
      <c r="U82" t="s">
        <v>34</v>
      </c>
      <c r="V82" t="s">
        <v>35</v>
      </c>
      <c r="W82" t="s">
        <v>43</v>
      </c>
      <c r="X82" t="s">
        <v>42</v>
      </c>
    </row>
    <row r="83" spans="21:24" ht="25" customHeight="1">
      <c r="U83">
        <v>1.2</v>
      </c>
      <c r="V83">
        <v>3</v>
      </c>
      <c r="W83" t="s">
        <v>25</v>
      </c>
      <c r="X83" s="4" cm="1">
        <f t="array" ref="X83">_xlfn.LET(_xlpm.d,X$2:X$55,_xlpm.a,$B$2:$B$55=$U83,_xlpm.b,$C$2:$C$55=$V83,_xlpm.c,$E$2:$E$55=$W83,GEOMEAN(_xlfn._xlws.FILTER(_xlpm.d,_xlpm.a*_xlpm.b)))</f>
        <v>21.996519394482721</v>
      </c>
    </row>
    <row r="84" spans="21:24" ht="25" customHeight="1">
      <c r="U84">
        <v>2</v>
      </c>
      <c r="V84">
        <v>3</v>
      </c>
      <c r="W84" t="s">
        <v>25</v>
      </c>
      <c r="X84" s="4" cm="1">
        <f t="array" ref="X84">_xlfn.LET(_xlpm.d,X$2:X$55,_xlpm.a,$B$2:$B$55=$U84,_xlpm.b,$C$2:$C$55=$V84,_xlpm.c,$E$2:$E$55=$W84,GEOMEAN(_xlfn._xlws.FILTER(_xlpm.d,_xlpm.a*_xlpm.b)))</f>
        <v>21.191968588721998</v>
      </c>
    </row>
    <row r="85" spans="21:24" ht="25" customHeight="1">
      <c r="U85">
        <v>3</v>
      </c>
      <c r="V85">
        <v>3</v>
      </c>
      <c r="W85" t="s">
        <v>25</v>
      </c>
      <c r="X85" s="4" cm="1">
        <f t="array" ref="X85">_xlfn.LET(_xlpm.d,X$2:X$55,_xlpm.a,$B$2:$B$55=$U85,_xlpm.b,$C$2:$C$55=$V85,_xlpm.c,$E$2:$E$55=$W85,GEOMEAN(_xlfn._xlws.FILTER(_xlpm.d,_xlpm.a*_xlpm.b)))</f>
        <v>18.21719003055793</v>
      </c>
    </row>
    <row r="86" spans="21:24" ht="25" customHeight="1">
      <c r="U86">
        <v>1.2</v>
      </c>
      <c r="V86">
        <v>6</v>
      </c>
      <c r="W86" t="s">
        <v>25</v>
      </c>
      <c r="X86" s="4" cm="1">
        <f t="array" ref="X86">_xlfn.LET(_xlpm.d,X$2:X$55,_xlpm.a,$B$2:$B$55=$U86,_xlpm.b,$C$2:$C$55=$V86,_xlpm.c,$E$2:$E$55=$W86,GEOMEAN(_xlfn._xlws.FILTER(_xlpm.d,_xlpm.a*_xlpm.b)))</f>
        <v>12.71376432397458</v>
      </c>
    </row>
    <row r="87" spans="21:24" ht="25" customHeight="1">
      <c r="U87">
        <v>2</v>
      </c>
      <c r="V87">
        <v>6</v>
      </c>
      <c r="W87" t="s">
        <v>25</v>
      </c>
      <c r="X87" s="4" cm="1">
        <f t="array" ref="X87">_xlfn.LET(_xlpm.d,X$2:X$55,_xlpm.a,$B$2:$B$55=$U87,_xlpm.b,$C$2:$C$55=$V87,_xlpm.c,$E$2:$E$55=$W87,GEOMEAN(_xlfn._xlws.FILTER(_xlpm.d,_xlpm.a*_xlpm.b)))</f>
        <v>24.733117014403312</v>
      </c>
    </row>
    <row r="88" spans="21:24" ht="25" customHeight="1">
      <c r="U88">
        <v>3</v>
      </c>
      <c r="V88">
        <v>6</v>
      </c>
      <c r="W88" t="s">
        <v>25</v>
      </c>
      <c r="X88" s="4" cm="1">
        <f t="array" ref="X88">_xlfn.LET(_xlpm.d,X$2:X$55,_xlpm.a,$B$2:$B$55=$U88,_xlpm.b,$C$2:$C$55=$V88,_xlpm.c,$E$2:$E$55=$W88,GEOMEAN(_xlfn._xlws.FILTER(_xlpm.d,_xlpm.a*_xlpm.b)))</f>
        <v>24.360512177757414</v>
      </c>
    </row>
    <row r="89" spans="21:24" ht="25" customHeight="1">
      <c r="U89">
        <v>1.2</v>
      </c>
      <c r="V89">
        <v>9</v>
      </c>
      <c r="W89" t="s">
        <v>25</v>
      </c>
      <c r="X89" s="4" cm="1">
        <f t="array" ref="X89">_xlfn.LET(_xlpm.d,X$2:X$55,_xlpm.a,$B$2:$B$55=$U89,_xlpm.b,$C$2:$C$55=$V89,_xlpm.c,$E$2:$E$55=$W89,GEOMEAN(_xlfn._xlws.FILTER(_xlpm.d,_xlpm.a*_xlpm.b)))</f>
        <v>30.668022758135645</v>
      </c>
    </row>
    <row r="90" spans="21:24" ht="25" customHeight="1">
      <c r="U90">
        <v>2</v>
      </c>
      <c r="V90">
        <v>9</v>
      </c>
      <c r="W90" t="s">
        <v>25</v>
      </c>
      <c r="X90" s="4" cm="1">
        <f t="array" ref="X90">_xlfn.LET(_xlpm.d,X$2:X$55,_xlpm.a,$B$2:$B$55=$U90,_xlpm.b,$C$2:$C$55=$V90,_xlpm.c,$E$2:$E$55=$W90,GEOMEAN(_xlfn._xlws.FILTER(_xlpm.d,_xlpm.a*_xlpm.b)))</f>
        <v>24.85242042721589</v>
      </c>
    </row>
    <row r="91" spans="21:24" ht="25" customHeight="1">
      <c r="U91">
        <v>3</v>
      </c>
      <c r="V91">
        <v>9</v>
      </c>
      <c r="W91" t="s">
        <v>25</v>
      </c>
      <c r="X91" s="4" cm="1">
        <f t="array" ref="X91">_xlfn.LET(_xlpm.d,X$2:X$55,_xlpm.a,$B$2:$B$55=$U91,_xlpm.b,$C$2:$C$55=$V91,_xlpm.c,$E$2:$E$55=$W91,GEOMEAN(_xlfn._xlws.FILTER(_xlpm.d,_xlpm.a*_xlpm.b)))</f>
        <v>15.490319221362578</v>
      </c>
    </row>
    <row r="94" spans="21:24" ht="25" customHeight="1">
      <c r="U94" t="s">
        <v>34</v>
      </c>
      <c r="V94" t="s">
        <v>35</v>
      </c>
      <c r="W94" t="s">
        <v>43</v>
      </c>
      <c r="X94" t="s">
        <v>42</v>
      </c>
    </row>
    <row r="95" spans="21:24" ht="25" customHeight="1">
      <c r="U95">
        <v>1.2</v>
      </c>
      <c r="V95">
        <v>3</v>
      </c>
      <c r="W95" t="s">
        <v>30</v>
      </c>
      <c r="X95" s="4" cm="1">
        <f t="array" ref="X95">_xlfn.LET(_xlpm.d,X$2:X$55,_xlpm.a,$B$2:$B$55=$U95,_xlpm.b,$C$2:$C$55=$V95,_xlpm.c,$E$2:$E$55=$W95,GEOMEAN(_xlfn._xlws.FILTER(_xlpm.d,_xlpm.a*_xlpm.b)))</f>
        <v>21.996519394482721</v>
      </c>
    </row>
    <row r="96" spans="21:24" ht="25" customHeight="1">
      <c r="U96">
        <v>2</v>
      </c>
      <c r="V96">
        <v>3</v>
      </c>
      <c r="W96" t="s">
        <v>30</v>
      </c>
      <c r="X96" s="4" cm="1">
        <f t="array" ref="X96">_xlfn.LET(_xlpm.d,X$2:X$55,_xlpm.a,$B$2:$B$55=$U96,_xlpm.b,$C$2:$C$55=$V96,_xlpm.c,$E$2:$E$55=$W96,GEOMEAN(_xlfn._xlws.FILTER(_xlpm.d,_xlpm.a*_xlpm.b)))</f>
        <v>21.191968588721998</v>
      </c>
    </row>
    <row r="97" spans="21:24" ht="25" customHeight="1">
      <c r="U97">
        <v>3</v>
      </c>
      <c r="V97">
        <v>3</v>
      </c>
      <c r="W97" t="s">
        <v>30</v>
      </c>
      <c r="X97" s="4" cm="1">
        <f t="array" ref="X97">_xlfn.LET(_xlpm.d,X$2:X$55,_xlpm.a,$B$2:$B$55=$U97,_xlpm.b,$C$2:$C$55=$V97,_xlpm.c,$E$2:$E$55=$W97,GEOMEAN(_xlfn._xlws.FILTER(_xlpm.d,_xlpm.a*_xlpm.b)))</f>
        <v>18.21719003055793</v>
      </c>
    </row>
    <row r="98" spans="21:24" ht="25" customHeight="1">
      <c r="U98">
        <v>1.2</v>
      </c>
      <c r="V98">
        <v>6</v>
      </c>
      <c r="W98" t="s">
        <v>30</v>
      </c>
      <c r="X98" s="4" cm="1">
        <f t="array" ref="X98">_xlfn.LET(_xlpm.d,X$2:X$55,_xlpm.a,$B$2:$B$55=$U98,_xlpm.b,$C$2:$C$55=$V98,_xlpm.c,$E$2:$E$55=$W98,GEOMEAN(_xlfn._xlws.FILTER(_xlpm.d,_xlpm.a*_xlpm.b)))</f>
        <v>12.71376432397458</v>
      </c>
    </row>
    <row r="99" spans="21:24" ht="25" customHeight="1">
      <c r="U99">
        <v>2</v>
      </c>
      <c r="V99">
        <v>6</v>
      </c>
      <c r="W99" t="s">
        <v>30</v>
      </c>
      <c r="X99" s="4" cm="1">
        <f t="array" ref="X99">_xlfn.LET(_xlpm.d,X$2:X$55,_xlpm.a,$B$2:$B$55=$U99,_xlpm.b,$C$2:$C$55=$V99,_xlpm.c,$E$2:$E$55=$W99,GEOMEAN(_xlfn._xlws.FILTER(_xlpm.d,_xlpm.a*_xlpm.b)))</f>
        <v>24.733117014403312</v>
      </c>
    </row>
    <row r="100" spans="21:24" ht="25" customHeight="1">
      <c r="U100">
        <v>3</v>
      </c>
      <c r="V100">
        <v>6</v>
      </c>
      <c r="W100" t="s">
        <v>30</v>
      </c>
      <c r="X100" s="4" cm="1">
        <f t="array" ref="X100">_xlfn.LET(_xlpm.d,X$2:X$55,_xlpm.a,$B$2:$B$55=$U100,_xlpm.b,$C$2:$C$55=$V100,_xlpm.c,$E$2:$E$55=$W100,GEOMEAN(_xlfn._xlws.FILTER(_xlpm.d,_xlpm.a*_xlpm.b)))</f>
        <v>24.360512177757414</v>
      </c>
    </row>
    <row r="101" spans="21:24" ht="25" customHeight="1">
      <c r="U101">
        <v>1.2</v>
      </c>
      <c r="V101">
        <v>9</v>
      </c>
      <c r="W101" t="s">
        <v>30</v>
      </c>
      <c r="X101" s="4" cm="1">
        <f t="array" ref="X101">_xlfn.LET(_xlpm.d,X$2:X$55,_xlpm.a,$B$2:$B$55=$U101,_xlpm.b,$C$2:$C$55=$V101,_xlpm.c,$E$2:$E$55=$W101,GEOMEAN(_xlfn._xlws.FILTER(_xlpm.d,_xlpm.a*_xlpm.b)))</f>
        <v>30.668022758135645</v>
      </c>
    </row>
    <row r="102" spans="21:24" ht="25" customHeight="1">
      <c r="U102">
        <v>2</v>
      </c>
      <c r="V102">
        <v>9</v>
      </c>
      <c r="W102" t="s">
        <v>30</v>
      </c>
      <c r="X102" s="4" cm="1">
        <f t="array" ref="X102">_xlfn.LET(_xlpm.d,X$2:X$55,_xlpm.a,$B$2:$B$55=$U102,_xlpm.b,$C$2:$C$55=$V102,_xlpm.c,$E$2:$E$55=$W102,GEOMEAN(_xlfn._xlws.FILTER(_xlpm.d,_xlpm.a*_xlpm.b)))</f>
        <v>24.85242042721589</v>
      </c>
    </row>
    <row r="103" spans="21:24" ht="25" customHeight="1">
      <c r="U103">
        <v>3</v>
      </c>
      <c r="V103">
        <v>9</v>
      </c>
      <c r="W103" t="s">
        <v>30</v>
      </c>
      <c r="X103" s="4" cm="1">
        <f t="array" ref="X103">_xlfn.LET(_xlpm.d,X$2:X$55,_xlpm.a,$B$2:$B$55=$U103,_xlpm.b,$C$2:$C$55=$V103,_xlpm.c,$E$2:$E$55=$W103,GEOMEAN(_xlfn._xlws.FILTER(_xlpm.d,_xlpm.a*_xlpm.b)))</f>
        <v>15.490319221362578</v>
      </c>
    </row>
  </sheetData>
  <conditionalFormatting sqref="J2:V55">
    <cfRule type="colorScale" priority="9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W8:W49">
    <cfRule type="colorScale" priority="6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X8:X49">
    <cfRule type="colorScale" priority="5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59:X67">
    <cfRule type="colorScale" priority="4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71:X79">
    <cfRule type="colorScale" priority="3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83:X91">
    <cfRule type="colorScale" priority="2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conditionalFormatting sqref="X95:X103">
    <cfRule type="colorScale" priority="1">
      <colorScale>
        <cfvo type="min"/>
        <cfvo type="percentile" val="50"/>
        <cfvo type="max"/>
        <color rgb="FFFFC000"/>
        <color theme="0"/>
        <color theme="7" tint="0.59999389629810485"/>
      </colorScale>
    </cfRule>
  </conditionalFormatting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FE3D-7C5E-9A4E-94DC-E5AC5D6AE2CF}">
  <dimension ref="A1:T40"/>
  <sheetViews>
    <sheetView workbookViewId="0">
      <pane xSplit="15880" ySplit="3080" topLeftCell="L15" activePane="bottomLeft"/>
      <selection activeCell="H1" sqref="H1:H1048576"/>
      <selection pane="topRight" activeCell="S4" sqref="S4"/>
      <selection pane="bottomLeft" activeCell="B23" sqref="B23:T28"/>
      <selection pane="bottomRight" activeCell="Q29" sqref="Q29"/>
    </sheetView>
  </sheetViews>
  <sheetFormatPr baseColWidth="10" defaultRowHeight="25" customHeight="1"/>
  <cols>
    <col min="2" max="5" width="7.375" customWidth="1"/>
    <col min="6" max="6" width="8.625" customWidth="1"/>
    <col min="7" max="7" width="13.25" customWidth="1"/>
    <col min="8" max="8" width="6.625" customWidth="1"/>
    <col min="9" max="20" width="6.1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31</v>
      </c>
      <c r="E1" t="s">
        <v>4</v>
      </c>
      <c r="F1" t="s">
        <v>5</v>
      </c>
      <c r="G1" t="s">
        <v>36</v>
      </c>
      <c r="H1" t="s">
        <v>6</v>
      </c>
      <c r="I1" t="s">
        <v>7</v>
      </c>
      <c r="J1" t="s">
        <v>8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21</v>
      </c>
      <c r="R1" t="s">
        <v>22</v>
      </c>
      <c r="S1" t="s">
        <v>23</v>
      </c>
      <c r="T1" t="s">
        <v>24</v>
      </c>
    </row>
    <row r="2" spans="1:20" ht="25" customHeight="1">
      <c r="A2" t="s">
        <v>33</v>
      </c>
      <c r="B2">
        <v>1</v>
      </c>
      <c r="C2" t="s">
        <v>25</v>
      </c>
      <c r="D2" t="b">
        <v>1</v>
      </c>
      <c r="E2">
        <v>1</v>
      </c>
      <c r="F2" t="s">
        <v>26</v>
      </c>
      <c r="G2" s="5" t="str">
        <f>_xlfn.TEXTJOIN("-",TRUE,Table15[[#This Row],[attribute]],Table15[[#This Row],[supplemented]],Table15[[#This Row],[method]])</f>
        <v>plurality-TRUE-DT</v>
      </c>
      <c r="H2" s="1">
        <v>0.72</v>
      </c>
      <c r="I2" s="1">
        <v>0.68</v>
      </c>
      <c r="J2" s="1">
        <v>0.66</v>
      </c>
      <c r="K2" s="1">
        <v>0.6</v>
      </c>
      <c r="L2" s="1">
        <v>0.61</v>
      </c>
      <c r="M2" s="1">
        <v>0.62</v>
      </c>
      <c r="N2" s="1">
        <v>0.7</v>
      </c>
      <c r="O2" s="1">
        <v>0.68</v>
      </c>
      <c r="P2" s="1">
        <v>0.72</v>
      </c>
      <c r="Q2" s="1">
        <v>0.67</v>
      </c>
      <c r="R2" s="1">
        <v>0.68</v>
      </c>
      <c r="S2" s="1">
        <v>0.69</v>
      </c>
      <c r="T2" s="1">
        <f t="shared" ref="T2:T19" si="0">MAX($H2:$P2)</f>
        <v>0.72</v>
      </c>
    </row>
    <row r="3" spans="1:20" ht="25" customHeight="1">
      <c r="A3" t="s">
        <v>33</v>
      </c>
      <c r="B3">
        <v>1</v>
      </c>
      <c r="C3" t="s">
        <v>25</v>
      </c>
      <c r="D3" t="b">
        <v>1</v>
      </c>
      <c r="E3">
        <v>2</v>
      </c>
      <c r="F3" t="s">
        <v>27</v>
      </c>
      <c r="G3" t="str">
        <f>_xlfn.TEXTJOIN("-",TRUE,Table15[[#This Row],[attribute]],Table15[[#This Row],[supplemented]],Table15[[#This Row],[method]])</f>
        <v>plurality-TRUE-RF</v>
      </c>
      <c r="H3" s="1">
        <v>0.74</v>
      </c>
      <c r="I3" s="1">
        <v>0.74</v>
      </c>
      <c r="J3" s="1">
        <v>0.68</v>
      </c>
      <c r="K3" s="1">
        <v>0.69</v>
      </c>
      <c r="L3" s="1">
        <v>0.68</v>
      </c>
      <c r="M3" s="1">
        <v>0.66</v>
      </c>
      <c r="N3" s="1">
        <v>0.68</v>
      </c>
      <c r="O3" s="1">
        <v>0.66</v>
      </c>
      <c r="P3" s="1">
        <v>0.72</v>
      </c>
      <c r="Q3" s="1">
        <v>0.7</v>
      </c>
      <c r="R3" s="1">
        <v>0.71</v>
      </c>
      <c r="S3" s="1">
        <v>0.71</v>
      </c>
      <c r="T3" s="1">
        <f t="shared" si="0"/>
        <v>0.74</v>
      </c>
    </row>
    <row r="4" spans="1:20" ht="25" customHeight="1">
      <c r="A4" t="s">
        <v>33</v>
      </c>
      <c r="B4">
        <v>1</v>
      </c>
      <c r="C4" t="s">
        <v>25</v>
      </c>
      <c r="D4" t="b">
        <v>1</v>
      </c>
      <c r="E4">
        <v>3</v>
      </c>
      <c r="F4" t="s">
        <v>28</v>
      </c>
      <c r="G4" t="str">
        <f>_xlfn.TEXTJOIN("-",TRUE,Table15[[#This Row],[attribute]],Table15[[#This Row],[supplemented]],Table15[[#This Row],[method]])</f>
        <v>plurality-TRUE-NN</v>
      </c>
      <c r="H4" s="1">
        <v>0.71</v>
      </c>
      <c r="I4" s="1">
        <v>0.69</v>
      </c>
      <c r="J4" s="1">
        <v>0.63</v>
      </c>
      <c r="K4" s="1">
        <v>0.65</v>
      </c>
      <c r="L4" s="1">
        <v>0.63</v>
      </c>
      <c r="M4" s="1">
        <v>0.61</v>
      </c>
      <c r="N4" s="1">
        <v>0.67</v>
      </c>
      <c r="O4" s="1">
        <v>0.68</v>
      </c>
      <c r="P4" s="1">
        <v>0.7</v>
      </c>
      <c r="Q4" s="1">
        <v>0.69</v>
      </c>
      <c r="R4" s="1">
        <v>0.64</v>
      </c>
      <c r="S4" s="1">
        <v>0.67</v>
      </c>
      <c r="T4" s="1">
        <f t="shared" si="0"/>
        <v>0.71</v>
      </c>
    </row>
    <row r="5" spans="1:20" ht="25" customHeight="1">
      <c r="A5" t="s">
        <v>33</v>
      </c>
      <c r="B5">
        <v>1</v>
      </c>
      <c r="C5" t="s">
        <v>25</v>
      </c>
      <c r="D5" t="b">
        <v>0</v>
      </c>
      <c r="E5">
        <v>1</v>
      </c>
      <c r="F5" t="s">
        <v>26</v>
      </c>
      <c r="G5" t="str">
        <f>_xlfn.TEXTJOIN("-",TRUE,Table15[[#This Row],[attribute]],Table15[[#This Row],[supplemented]],Table15[[#This Row],[method]])</f>
        <v>plurality-FALSE-DT</v>
      </c>
      <c r="H5" s="1">
        <v>0.67</v>
      </c>
      <c r="I5" s="1">
        <v>0.71</v>
      </c>
      <c r="J5" s="1">
        <v>0.65</v>
      </c>
      <c r="K5" s="1">
        <v>0.62</v>
      </c>
      <c r="L5" s="1">
        <v>0.61</v>
      </c>
      <c r="M5" s="1">
        <v>0.61</v>
      </c>
      <c r="N5" s="1">
        <v>0.62</v>
      </c>
      <c r="O5" s="1">
        <v>0.61</v>
      </c>
      <c r="P5" s="1">
        <v>0.66</v>
      </c>
      <c r="Q5" s="1">
        <v>0.67</v>
      </c>
      <c r="R5" s="1">
        <v>0.66</v>
      </c>
      <c r="S5" s="1">
        <v>0.7</v>
      </c>
      <c r="T5" s="1">
        <f t="shared" si="0"/>
        <v>0.71</v>
      </c>
    </row>
    <row r="6" spans="1:20" ht="25" customHeight="1">
      <c r="A6" t="s">
        <v>33</v>
      </c>
      <c r="B6">
        <v>1</v>
      </c>
      <c r="C6" t="s">
        <v>25</v>
      </c>
      <c r="D6" t="b">
        <v>0</v>
      </c>
      <c r="E6">
        <v>2</v>
      </c>
      <c r="F6" t="s">
        <v>27</v>
      </c>
      <c r="G6" t="str">
        <f>_xlfn.TEXTJOIN("-",TRUE,Table15[[#This Row],[attribute]],Table15[[#This Row],[supplemented]],Table15[[#This Row],[method]])</f>
        <v>plurality-FALSE-RF</v>
      </c>
      <c r="H6" s="1">
        <v>0.74</v>
      </c>
      <c r="I6" s="1">
        <v>0.71</v>
      </c>
      <c r="J6" s="1">
        <v>0.65</v>
      </c>
      <c r="K6" s="1">
        <v>0.65</v>
      </c>
      <c r="L6" s="1">
        <v>0.68</v>
      </c>
      <c r="M6" s="1">
        <v>0.64</v>
      </c>
      <c r="N6" s="1">
        <v>0.62</v>
      </c>
      <c r="O6" s="1">
        <v>0.62</v>
      </c>
      <c r="P6" s="1">
        <v>0.7</v>
      </c>
      <c r="Q6" s="1">
        <v>0.69</v>
      </c>
      <c r="R6" s="1">
        <v>0.71</v>
      </c>
      <c r="S6" s="1">
        <v>0.7</v>
      </c>
      <c r="T6" s="1">
        <f t="shared" si="0"/>
        <v>0.74</v>
      </c>
    </row>
    <row r="7" spans="1:20" ht="25" customHeight="1">
      <c r="A7" t="s">
        <v>33</v>
      </c>
      <c r="B7">
        <v>1</v>
      </c>
      <c r="C7" t="s">
        <v>25</v>
      </c>
      <c r="D7" t="b">
        <v>0</v>
      </c>
      <c r="E7">
        <v>3</v>
      </c>
      <c r="F7" t="s">
        <v>28</v>
      </c>
      <c r="G7" t="str">
        <f>_xlfn.TEXTJOIN("-",TRUE,Table15[[#This Row],[attribute]],Table15[[#This Row],[supplemented]],Table15[[#This Row],[method]])</f>
        <v>plurality-FALSE-NN</v>
      </c>
      <c r="H7" s="1">
        <v>0.66</v>
      </c>
      <c r="I7" s="1">
        <v>0.66</v>
      </c>
      <c r="J7" s="1">
        <v>0.56000000000000005</v>
      </c>
      <c r="K7" s="1">
        <v>0.65</v>
      </c>
      <c r="L7" s="1">
        <v>0.62</v>
      </c>
      <c r="M7" s="1">
        <v>0.63</v>
      </c>
      <c r="N7" s="1">
        <v>0.56999999999999995</v>
      </c>
      <c r="O7" s="1">
        <v>0.59</v>
      </c>
      <c r="P7" s="1">
        <v>0.62</v>
      </c>
      <c r="Q7" s="1">
        <v>0.63</v>
      </c>
      <c r="R7" s="1">
        <v>0.6</v>
      </c>
      <c r="S7" s="1">
        <v>0.67</v>
      </c>
      <c r="T7" s="1">
        <f t="shared" si="0"/>
        <v>0.66</v>
      </c>
    </row>
    <row r="8" spans="1:20" ht="25" customHeight="1">
      <c r="A8" t="s">
        <v>33</v>
      </c>
      <c r="B8">
        <v>2</v>
      </c>
      <c r="C8" t="s">
        <v>29</v>
      </c>
      <c r="D8" t="b">
        <v>1</v>
      </c>
      <c r="E8">
        <v>1</v>
      </c>
      <c r="F8" t="s">
        <v>26</v>
      </c>
      <c r="G8" t="str">
        <f>_xlfn.TEXTJOIN("-",TRUE,Table15[[#This Row],[attribute]],Table15[[#This Row],[supplemented]],Table15[[#This Row],[method]])</f>
        <v>gender-TRUE-DT</v>
      </c>
      <c r="H8" s="1">
        <v>0.77</v>
      </c>
      <c r="I8" s="1">
        <v>0.75</v>
      </c>
      <c r="J8" s="1">
        <v>0.8</v>
      </c>
      <c r="K8" s="1">
        <v>0.71</v>
      </c>
      <c r="L8" s="1">
        <v>0.71</v>
      </c>
      <c r="M8" s="1">
        <v>0.71</v>
      </c>
      <c r="N8" s="1">
        <v>0.74</v>
      </c>
      <c r="O8" s="1">
        <v>0.7</v>
      </c>
      <c r="P8" s="1">
        <v>0.74</v>
      </c>
      <c r="Q8" s="1">
        <v>0.73</v>
      </c>
      <c r="R8" s="1">
        <v>0.74</v>
      </c>
      <c r="S8" s="1">
        <v>0.68</v>
      </c>
      <c r="T8" s="1">
        <f t="shared" si="0"/>
        <v>0.8</v>
      </c>
    </row>
    <row r="9" spans="1:20" ht="25" customHeight="1">
      <c r="A9" t="s">
        <v>33</v>
      </c>
      <c r="B9">
        <v>2</v>
      </c>
      <c r="C9" t="s">
        <v>29</v>
      </c>
      <c r="D9" t="b">
        <v>1</v>
      </c>
      <c r="E9">
        <v>2</v>
      </c>
      <c r="F9" t="s">
        <v>27</v>
      </c>
      <c r="G9" t="str">
        <f>_xlfn.TEXTJOIN("-",TRUE,Table15[[#This Row],[attribute]],Table15[[#This Row],[supplemented]],Table15[[#This Row],[method]])</f>
        <v>gender-TRUE-RF</v>
      </c>
      <c r="H9" s="1">
        <v>0.8</v>
      </c>
      <c r="I9" s="1">
        <v>0.8</v>
      </c>
      <c r="J9" s="1">
        <v>0.78</v>
      </c>
      <c r="K9" s="1">
        <v>0.81</v>
      </c>
      <c r="L9" s="1">
        <v>0.77</v>
      </c>
      <c r="M9" s="1">
        <v>0.76</v>
      </c>
      <c r="N9" s="1">
        <v>0.8</v>
      </c>
      <c r="O9" s="1">
        <v>0.77</v>
      </c>
      <c r="P9" s="1">
        <v>0.8</v>
      </c>
      <c r="Q9" s="1">
        <v>0.77</v>
      </c>
      <c r="R9" s="1">
        <v>0.8</v>
      </c>
      <c r="S9" s="1">
        <v>0.75</v>
      </c>
      <c r="T9" s="1">
        <f t="shared" si="0"/>
        <v>0.81</v>
      </c>
    </row>
    <row r="10" spans="1:20" ht="25" customHeight="1">
      <c r="A10" t="s">
        <v>33</v>
      </c>
      <c r="B10">
        <v>2</v>
      </c>
      <c r="C10" t="s">
        <v>29</v>
      </c>
      <c r="D10" t="b">
        <v>1</v>
      </c>
      <c r="E10">
        <v>3</v>
      </c>
      <c r="F10" t="s">
        <v>28</v>
      </c>
      <c r="G10" t="str">
        <f>_xlfn.TEXTJOIN("-",TRUE,Table15[[#This Row],[attribute]],Table15[[#This Row],[supplemented]],Table15[[#This Row],[method]])</f>
        <v>gender-TRUE-NN</v>
      </c>
      <c r="H10" s="1">
        <v>0.76</v>
      </c>
      <c r="I10" s="1">
        <v>0.78</v>
      </c>
      <c r="J10" s="1">
        <v>0.79</v>
      </c>
      <c r="K10" s="1">
        <v>0.77</v>
      </c>
      <c r="L10" s="1">
        <v>0.78</v>
      </c>
      <c r="M10" s="1">
        <v>0.76</v>
      </c>
      <c r="N10" s="1">
        <v>0.76</v>
      </c>
      <c r="O10" s="1">
        <v>0.74</v>
      </c>
      <c r="P10" s="1">
        <v>0.76</v>
      </c>
      <c r="Q10" s="1">
        <v>0.77</v>
      </c>
      <c r="R10" s="1">
        <v>0.74</v>
      </c>
      <c r="S10" s="1">
        <v>0.75</v>
      </c>
      <c r="T10" s="1">
        <f t="shared" si="0"/>
        <v>0.79</v>
      </c>
    </row>
    <row r="11" spans="1:20" ht="25" customHeight="1">
      <c r="A11" t="s">
        <v>33</v>
      </c>
      <c r="B11">
        <v>2</v>
      </c>
      <c r="C11" t="s">
        <v>29</v>
      </c>
      <c r="D11" t="b">
        <v>0</v>
      </c>
      <c r="E11">
        <v>1</v>
      </c>
      <c r="F11" t="s">
        <v>26</v>
      </c>
      <c r="G11" t="str">
        <f>_xlfn.TEXTJOIN("-",TRUE,Table15[[#This Row],[attribute]],Table15[[#This Row],[supplemented]],Table15[[#This Row],[method]])</f>
        <v>gender-FALSE-DT</v>
      </c>
      <c r="H11" s="1">
        <v>0.69</v>
      </c>
      <c r="I11" s="1">
        <v>0.73</v>
      </c>
      <c r="J11" s="1">
        <v>0.66</v>
      </c>
      <c r="K11" s="1">
        <v>0.7</v>
      </c>
      <c r="L11" s="1">
        <v>0.71</v>
      </c>
      <c r="M11" s="1">
        <v>0.7</v>
      </c>
      <c r="N11" s="1">
        <v>0.72</v>
      </c>
      <c r="O11" s="1">
        <v>0.65</v>
      </c>
      <c r="P11" s="1">
        <v>0.73</v>
      </c>
      <c r="Q11" s="1">
        <v>0.7</v>
      </c>
      <c r="R11" s="1">
        <v>0.76</v>
      </c>
      <c r="S11" s="1">
        <v>0.66</v>
      </c>
      <c r="T11" s="1">
        <f t="shared" si="0"/>
        <v>0.73</v>
      </c>
    </row>
    <row r="12" spans="1:20" ht="25" customHeight="1">
      <c r="A12" t="s">
        <v>33</v>
      </c>
      <c r="B12">
        <v>2</v>
      </c>
      <c r="C12" t="s">
        <v>29</v>
      </c>
      <c r="D12" t="b">
        <v>0</v>
      </c>
      <c r="E12">
        <v>2</v>
      </c>
      <c r="F12" t="s">
        <v>27</v>
      </c>
      <c r="G12" t="str">
        <f>_xlfn.TEXTJOIN("-",TRUE,Table15[[#This Row],[attribute]],Table15[[#This Row],[supplemented]],Table15[[#This Row],[method]])</f>
        <v>gender-FALSE-RF</v>
      </c>
      <c r="H12" s="1">
        <v>0.76</v>
      </c>
      <c r="I12" s="1">
        <v>0.76</v>
      </c>
      <c r="J12" s="1">
        <v>0.71</v>
      </c>
      <c r="K12" s="1">
        <v>0.76</v>
      </c>
      <c r="L12" s="1">
        <v>0.78</v>
      </c>
      <c r="M12" s="1">
        <v>0.75</v>
      </c>
      <c r="N12" s="1">
        <v>0.7</v>
      </c>
      <c r="O12" s="1">
        <v>0.73</v>
      </c>
      <c r="P12" s="1">
        <v>0.76</v>
      </c>
      <c r="Q12" s="1">
        <v>0.74</v>
      </c>
      <c r="R12" s="1">
        <v>0.82</v>
      </c>
      <c r="S12" s="1">
        <v>0.73</v>
      </c>
      <c r="T12" s="1">
        <f t="shared" si="0"/>
        <v>0.78</v>
      </c>
    </row>
    <row r="13" spans="1:20" ht="25" customHeight="1">
      <c r="A13" t="s">
        <v>33</v>
      </c>
      <c r="B13">
        <v>2</v>
      </c>
      <c r="C13" t="s">
        <v>29</v>
      </c>
      <c r="D13" t="b">
        <v>0</v>
      </c>
      <c r="E13">
        <v>3</v>
      </c>
      <c r="F13" t="s">
        <v>28</v>
      </c>
      <c r="G13" t="str">
        <f>_xlfn.TEXTJOIN("-",TRUE,Table15[[#This Row],[attribute]],Table15[[#This Row],[supplemented]],Table15[[#This Row],[method]])</f>
        <v>gender-FALSE-NN</v>
      </c>
      <c r="H13" s="1">
        <v>0.72</v>
      </c>
      <c r="I13" s="1">
        <v>0.76</v>
      </c>
      <c r="J13" s="1">
        <v>0.74</v>
      </c>
      <c r="K13" s="1">
        <v>0.74</v>
      </c>
      <c r="L13" s="1">
        <v>0.74</v>
      </c>
      <c r="M13" s="1">
        <v>0.73</v>
      </c>
      <c r="N13" s="1">
        <v>0.7</v>
      </c>
      <c r="O13" s="1">
        <v>0.7</v>
      </c>
      <c r="P13" s="1">
        <v>0.73</v>
      </c>
      <c r="Q13" s="1">
        <v>0.76</v>
      </c>
      <c r="R13" s="1">
        <v>0.75</v>
      </c>
      <c r="S13" s="1">
        <v>0.75</v>
      </c>
      <c r="T13" s="1">
        <f t="shared" si="0"/>
        <v>0.76</v>
      </c>
    </row>
    <row r="14" spans="1:20" ht="25" customHeight="1">
      <c r="A14" t="s">
        <v>33</v>
      </c>
      <c r="B14">
        <v>3</v>
      </c>
      <c r="C14" t="s">
        <v>30</v>
      </c>
      <c r="D14" t="b">
        <v>1</v>
      </c>
      <c r="E14">
        <v>1</v>
      </c>
      <c r="F14" t="s">
        <v>26</v>
      </c>
      <c r="G14" t="str">
        <f>_xlfn.TEXTJOIN("-",TRUE,Table15[[#This Row],[attribute]],Table15[[#This Row],[supplemented]],Table15[[#This Row],[method]])</f>
        <v>case-TRUE-DT</v>
      </c>
      <c r="H14" s="1">
        <v>0.97</v>
      </c>
      <c r="I14" s="1">
        <v>0.96</v>
      </c>
      <c r="J14" s="1">
        <v>0.96</v>
      </c>
      <c r="K14" s="1">
        <v>0.97</v>
      </c>
      <c r="L14" s="1">
        <v>0.97</v>
      </c>
      <c r="M14" s="1">
        <v>0.97</v>
      </c>
      <c r="N14" s="1">
        <v>0.96</v>
      </c>
      <c r="O14" s="1">
        <v>0.98</v>
      </c>
      <c r="P14" s="1">
        <v>0.98</v>
      </c>
      <c r="Q14" s="1">
        <v>0.95</v>
      </c>
      <c r="R14" s="1">
        <v>0.96</v>
      </c>
      <c r="S14" s="1">
        <v>0.96</v>
      </c>
      <c r="T14" s="1">
        <f t="shared" si="0"/>
        <v>0.98</v>
      </c>
    </row>
    <row r="15" spans="1:20" ht="25" customHeight="1">
      <c r="A15" t="s">
        <v>33</v>
      </c>
      <c r="B15">
        <v>3</v>
      </c>
      <c r="C15" t="s">
        <v>30</v>
      </c>
      <c r="D15" t="b">
        <v>1</v>
      </c>
      <c r="E15">
        <v>2</v>
      </c>
      <c r="F15" t="s">
        <v>27</v>
      </c>
      <c r="G15" t="str">
        <f>_xlfn.TEXTJOIN("-",TRUE,Table15[[#This Row],[attribute]],Table15[[#This Row],[supplemented]],Table15[[#This Row],[method]])</f>
        <v>case-TRUE-RF</v>
      </c>
      <c r="H15" s="1">
        <v>0.98</v>
      </c>
      <c r="I15" s="1">
        <v>0.97</v>
      </c>
      <c r="J15" s="1">
        <v>0.98</v>
      </c>
      <c r="K15" s="1">
        <v>0.98</v>
      </c>
      <c r="L15" s="1">
        <v>0.97</v>
      </c>
      <c r="M15" s="1">
        <v>0.97</v>
      </c>
      <c r="N15" s="1">
        <v>0.96</v>
      </c>
      <c r="O15" s="1">
        <v>0.97</v>
      </c>
      <c r="P15" s="1">
        <v>0.98</v>
      </c>
      <c r="Q15" s="1">
        <v>0.96</v>
      </c>
      <c r="R15" s="1">
        <v>0.97</v>
      </c>
      <c r="S15" s="1">
        <v>0.98</v>
      </c>
      <c r="T15" s="1">
        <f t="shared" si="0"/>
        <v>0.98</v>
      </c>
    </row>
    <row r="16" spans="1:20" ht="25" customHeight="1">
      <c r="A16" t="s">
        <v>33</v>
      </c>
      <c r="B16">
        <v>3</v>
      </c>
      <c r="C16" t="s">
        <v>30</v>
      </c>
      <c r="D16" t="b">
        <v>1</v>
      </c>
      <c r="E16">
        <v>3</v>
      </c>
      <c r="F16" t="s">
        <v>28</v>
      </c>
      <c r="G16" t="str">
        <f>_xlfn.TEXTJOIN("-",TRUE,Table15[[#This Row],[attribute]],Table15[[#This Row],[supplemented]],Table15[[#This Row],[method]])</f>
        <v>case-TRUE-NN</v>
      </c>
      <c r="H16" s="1">
        <v>0.97</v>
      </c>
      <c r="I16" s="1">
        <v>0.97</v>
      </c>
      <c r="J16" s="1">
        <v>0.98</v>
      </c>
      <c r="K16" s="1">
        <v>0.98</v>
      </c>
      <c r="L16" s="1">
        <v>0.97</v>
      </c>
      <c r="M16" s="1">
        <v>0.97</v>
      </c>
      <c r="N16" s="1">
        <v>0.96</v>
      </c>
      <c r="O16" s="1">
        <v>0.97</v>
      </c>
      <c r="P16" s="1">
        <v>0.98</v>
      </c>
      <c r="Q16" s="1">
        <v>0.96</v>
      </c>
      <c r="R16" s="1">
        <v>0.97</v>
      </c>
      <c r="S16" s="1">
        <v>0.98</v>
      </c>
      <c r="T16" s="1">
        <f t="shared" si="0"/>
        <v>0.98</v>
      </c>
    </row>
    <row r="17" spans="1:20" ht="25" customHeight="1">
      <c r="A17" t="s">
        <v>33</v>
      </c>
      <c r="B17">
        <v>3</v>
      </c>
      <c r="C17" t="s">
        <v>30</v>
      </c>
      <c r="D17" t="b">
        <v>0</v>
      </c>
      <c r="E17">
        <v>1</v>
      </c>
      <c r="F17" t="s">
        <v>26</v>
      </c>
      <c r="G17" t="str">
        <f>_xlfn.TEXTJOIN("-",TRUE,Table15[[#This Row],[attribute]],Table15[[#This Row],[supplemented]],Table15[[#This Row],[method]])</f>
        <v>case-FALSE-DT</v>
      </c>
      <c r="H17" s="1">
        <v>0.95</v>
      </c>
      <c r="I17" s="1">
        <v>0.97</v>
      </c>
      <c r="J17" s="1">
        <v>0.96</v>
      </c>
      <c r="K17" s="1">
        <v>0.96</v>
      </c>
      <c r="L17" s="1">
        <v>0.96</v>
      </c>
      <c r="M17" s="1">
        <v>0.97</v>
      </c>
      <c r="N17" s="1">
        <v>0.96</v>
      </c>
      <c r="O17" s="1">
        <v>0.96</v>
      </c>
      <c r="P17" s="1">
        <v>0.98</v>
      </c>
      <c r="Q17" s="1">
        <v>0.95</v>
      </c>
      <c r="R17" s="1">
        <v>0.96</v>
      </c>
      <c r="S17" s="1">
        <v>0.96</v>
      </c>
      <c r="T17" s="1">
        <f t="shared" si="0"/>
        <v>0.98</v>
      </c>
    </row>
    <row r="18" spans="1:20" ht="25" customHeight="1">
      <c r="A18" t="s">
        <v>33</v>
      </c>
      <c r="B18">
        <v>3</v>
      </c>
      <c r="C18" t="s">
        <v>30</v>
      </c>
      <c r="D18" t="b">
        <v>0</v>
      </c>
      <c r="E18">
        <v>2</v>
      </c>
      <c r="F18" t="s">
        <v>27</v>
      </c>
      <c r="G18" t="str">
        <f>_xlfn.TEXTJOIN("-",TRUE,Table15[[#This Row],[attribute]],Table15[[#This Row],[supplemented]],Table15[[#This Row],[method]])</f>
        <v>case-FALSE-RF</v>
      </c>
      <c r="H18" s="1">
        <v>0.97</v>
      </c>
      <c r="I18" s="1">
        <v>0.97</v>
      </c>
      <c r="J18" s="1">
        <v>0.98</v>
      </c>
      <c r="K18" s="1">
        <v>0.98</v>
      </c>
      <c r="L18" s="1">
        <v>0.97</v>
      </c>
      <c r="M18" s="1">
        <v>0.97</v>
      </c>
      <c r="N18" s="1">
        <v>0.96</v>
      </c>
      <c r="O18" s="1">
        <v>0.97</v>
      </c>
      <c r="P18" s="1">
        <v>0.98</v>
      </c>
      <c r="Q18" s="1">
        <v>0.96</v>
      </c>
      <c r="R18" s="1">
        <v>0.97</v>
      </c>
      <c r="S18" s="1">
        <v>0.98</v>
      </c>
      <c r="T18" s="1">
        <f t="shared" si="0"/>
        <v>0.98</v>
      </c>
    </row>
    <row r="19" spans="1:20" ht="25" customHeight="1">
      <c r="A19" t="s">
        <v>33</v>
      </c>
      <c r="B19">
        <v>3</v>
      </c>
      <c r="C19" t="s">
        <v>30</v>
      </c>
      <c r="D19" t="b">
        <v>0</v>
      </c>
      <c r="E19">
        <v>3</v>
      </c>
      <c r="F19" t="s">
        <v>28</v>
      </c>
      <c r="G19" t="str">
        <f>_xlfn.TEXTJOIN("-",TRUE,Table15[[#This Row],[attribute]],Table15[[#This Row],[supplemented]],Table15[[#This Row],[method]])</f>
        <v>case-FALSE-NN</v>
      </c>
      <c r="H19" s="1">
        <v>0.97</v>
      </c>
      <c r="I19" s="1">
        <v>0.97</v>
      </c>
      <c r="J19" s="1">
        <v>0.98</v>
      </c>
      <c r="K19" s="1">
        <v>0.98</v>
      </c>
      <c r="L19" s="1">
        <v>0.97</v>
      </c>
      <c r="M19" s="1">
        <v>0.97</v>
      </c>
      <c r="N19" s="1">
        <v>0.96</v>
      </c>
      <c r="O19" s="1">
        <v>0.97</v>
      </c>
      <c r="P19" s="1">
        <v>0.98</v>
      </c>
      <c r="Q19" s="1">
        <v>0.96</v>
      </c>
      <c r="R19" s="1">
        <v>0.97</v>
      </c>
      <c r="S19" s="1">
        <v>0.98</v>
      </c>
      <c r="T19" s="1">
        <f t="shared" si="0"/>
        <v>0.98</v>
      </c>
    </row>
    <row r="22" spans="1:20" ht="25" customHeight="1">
      <c r="B22" t="s">
        <v>1</v>
      </c>
      <c r="C22" t="s">
        <v>2</v>
      </c>
      <c r="D22" t="s">
        <v>31</v>
      </c>
      <c r="E22" t="s">
        <v>4</v>
      </c>
      <c r="F22" t="s">
        <v>5</v>
      </c>
      <c r="G22" t="s">
        <v>36</v>
      </c>
      <c r="H22" t="s">
        <v>6</v>
      </c>
      <c r="I22" t="s">
        <v>7</v>
      </c>
      <c r="J22" t="s">
        <v>8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21</v>
      </c>
      <c r="R22" t="s">
        <v>22</v>
      </c>
      <c r="S22" t="s">
        <v>23</v>
      </c>
      <c r="T22" t="s">
        <v>24</v>
      </c>
    </row>
    <row r="23" spans="1:20" ht="25" customHeight="1">
      <c r="B23">
        <v>1</v>
      </c>
      <c r="C23" t="s">
        <v>25</v>
      </c>
      <c r="D23" t="b">
        <v>1</v>
      </c>
      <c r="E23">
        <v>1</v>
      </c>
      <c r="F23" t="s">
        <v>24</v>
      </c>
      <c r="G23" s="5" t="str">
        <f>_xlfn.TEXTJOIN("-",TRUE,Table618[[#This Row],[attribute]],Table618[[#This Row],[supplemented]],Table618[[#This Row],[method]])</f>
        <v>plurality-TRUE-max</v>
      </c>
      <c r="H23" s="1" cm="1">
        <f t="array" ref="H23">_xlfn.LET(_xlpm.d,H$2:H$19,_xlpm.a,$C$2:$C$19=$C23,_xlpm.b,$D$2:$D$19=$D23,MAX(_xlfn._xlws.FILTER(_xlpm.d,_xlpm.a*_xlpm.b)))</f>
        <v>0.74</v>
      </c>
      <c r="I23" s="1" cm="1">
        <f t="array" ref="I23">_xlfn.LET(_xlpm.d,I$2:I$19,_xlpm.a,$C$2:$C$19=$C23,_xlpm.b,$D$2:$D$19=$D23,MAX(_xlfn._xlws.FILTER(_xlpm.d,_xlpm.a*_xlpm.b)))</f>
        <v>0.74</v>
      </c>
      <c r="J23" s="1" cm="1">
        <f t="array" ref="J23">_xlfn.LET(_xlpm.d,J$2:J$19,_xlpm.a,$C$2:$C$19=$C23,_xlpm.b,$D$2:$D$19=$D23,MAX(_xlfn._xlws.FILTER(_xlpm.d,_xlpm.a*_xlpm.b)))</f>
        <v>0.68</v>
      </c>
      <c r="K23" s="1" cm="1">
        <f t="array" ref="K23">_xlfn.LET(_xlpm.d,K$2:K$19,_xlpm.a,$C$2:$C$19=$C23,_xlpm.b,$D$2:$D$19=$D23,MAX(_xlfn._xlws.FILTER(_xlpm.d,_xlpm.a*_xlpm.b)))</f>
        <v>0.69</v>
      </c>
      <c r="L23" s="1" cm="1">
        <f t="array" ref="L23">_xlfn.LET(_xlpm.d,L$2:L$19,_xlpm.a,$C$2:$C$19=$C23,_xlpm.b,$D$2:$D$19=$D23,MAX(_xlfn._xlws.FILTER(_xlpm.d,_xlpm.a*_xlpm.b)))</f>
        <v>0.68</v>
      </c>
      <c r="M23" s="1" cm="1">
        <f t="array" ref="M23">_xlfn.LET(_xlpm.d,M$2:M$19,_xlpm.a,$C$2:$C$19=$C23,_xlpm.b,$D$2:$D$19=$D23,MAX(_xlfn._xlws.FILTER(_xlpm.d,_xlpm.a*_xlpm.b)))</f>
        <v>0.66</v>
      </c>
      <c r="N23" s="1" cm="1">
        <f t="array" ref="N23">_xlfn.LET(_xlpm.d,N$2:N$19,_xlpm.a,$C$2:$C$19=$C23,_xlpm.b,$D$2:$D$19=$D23,MAX(_xlfn._xlws.FILTER(_xlpm.d,_xlpm.a*_xlpm.b)))</f>
        <v>0.7</v>
      </c>
      <c r="O23" s="1" cm="1">
        <f t="array" ref="O23">_xlfn.LET(_xlpm.d,O$2:O$19,_xlpm.a,$C$2:$C$19=$C23,_xlpm.b,$D$2:$D$19=$D23,MAX(_xlfn._xlws.FILTER(_xlpm.d,_xlpm.a*_xlpm.b)))</f>
        <v>0.68</v>
      </c>
      <c r="P23" s="1" cm="1">
        <f t="array" ref="P23">_xlfn.LET(_xlpm.d,P$2:P$19,_xlpm.a,$C$2:$C$19=$C23,_xlpm.b,$D$2:$D$19=$D23,MAX(_xlfn._xlws.FILTER(_xlpm.d,_xlpm.a*_xlpm.b)))</f>
        <v>0.72</v>
      </c>
      <c r="Q23" s="1" cm="1">
        <f t="array" ref="Q23">_xlfn.LET(_xlpm.d,Q$2:Q$19,_xlpm.a,$C$2:$C$19=$C23,_xlpm.b,$D$2:$D$19=$D23,MAX(_xlfn._xlws.FILTER(_xlpm.d,_xlpm.a*_xlpm.b)))</f>
        <v>0.7</v>
      </c>
      <c r="R23" s="1" cm="1">
        <f t="array" ref="R23">_xlfn.LET(_xlpm.d,R$2:R$19,_xlpm.a,$C$2:$C$19=$C23,_xlpm.b,$D$2:$D$19=$D23,MAX(_xlfn._xlws.FILTER(_xlpm.d,_xlpm.a*_xlpm.b)))</f>
        <v>0.71</v>
      </c>
      <c r="S23" s="1" cm="1">
        <f t="array" ref="S23">_xlfn.LET(_xlpm.d,S$2:S$19,_xlpm.a,$C$2:$C$19=$C23,_xlpm.b,$D$2:$D$19=$D23,MAX(_xlfn._xlws.FILTER(_xlpm.d,_xlpm.a*_xlpm.b)))</f>
        <v>0.71</v>
      </c>
      <c r="T23" s="1" cm="1">
        <f t="array" ref="T23">_xlfn.LET(_xlpm.d,T$2:T$19,_xlpm.a,$C$2:$C$19=$C23,_xlpm.b,$D$2:$D$19=$D23,MAX(_xlfn._xlws.FILTER(_xlpm.d,_xlpm.a*_xlpm.b)))</f>
        <v>0.74</v>
      </c>
    </row>
    <row r="24" spans="1:20" ht="25" customHeight="1">
      <c r="B24">
        <v>1</v>
      </c>
      <c r="C24" t="s">
        <v>25</v>
      </c>
      <c r="D24" t="b">
        <v>0</v>
      </c>
      <c r="E24">
        <v>1</v>
      </c>
      <c r="F24" t="s">
        <v>24</v>
      </c>
      <c r="G24" t="str">
        <f>_xlfn.TEXTJOIN("-",TRUE,Table618[[#This Row],[attribute]],Table618[[#This Row],[supplemented]],Table618[[#This Row],[method]])</f>
        <v>plurality-FALSE-max</v>
      </c>
      <c r="H24" s="1" cm="1">
        <f t="array" ref="H24">_xlfn.LET(_xlpm.d,H$2:H$19,_xlpm.a,$C$2:$C$19=$C24,_xlpm.b,$D$2:$D$19=$D24,MAX(_xlfn._xlws.FILTER(_xlpm.d,_xlpm.a*_xlpm.b)))</f>
        <v>0.74</v>
      </c>
      <c r="I24" s="1" cm="1">
        <f t="array" ref="I24">_xlfn.LET(_xlpm.d,I$2:I$19,_xlpm.a,$C$2:$C$19=$C24,_xlpm.b,$D$2:$D$19=$D24,MAX(_xlfn._xlws.FILTER(_xlpm.d,_xlpm.a*_xlpm.b)))</f>
        <v>0.71</v>
      </c>
      <c r="J24" s="1" cm="1">
        <f t="array" ref="J24">_xlfn.LET(_xlpm.d,J$2:J$19,_xlpm.a,$C$2:$C$19=$C24,_xlpm.b,$D$2:$D$19=$D24,MAX(_xlfn._xlws.FILTER(_xlpm.d,_xlpm.a*_xlpm.b)))</f>
        <v>0.65</v>
      </c>
      <c r="K24" s="1" cm="1">
        <f t="array" ref="K24">_xlfn.LET(_xlpm.d,K$2:K$19,_xlpm.a,$C$2:$C$19=$C24,_xlpm.b,$D$2:$D$19=$D24,MAX(_xlfn._xlws.FILTER(_xlpm.d,_xlpm.a*_xlpm.b)))</f>
        <v>0.65</v>
      </c>
      <c r="L24" s="1" cm="1">
        <f t="array" ref="L24">_xlfn.LET(_xlpm.d,L$2:L$19,_xlpm.a,$C$2:$C$19=$C24,_xlpm.b,$D$2:$D$19=$D24,MAX(_xlfn._xlws.FILTER(_xlpm.d,_xlpm.a*_xlpm.b)))</f>
        <v>0.68</v>
      </c>
      <c r="M24" s="1" cm="1">
        <f t="array" ref="M24">_xlfn.LET(_xlpm.d,M$2:M$19,_xlpm.a,$C$2:$C$19=$C24,_xlpm.b,$D$2:$D$19=$D24,MAX(_xlfn._xlws.FILTER(_xlpm.d,_xlpm.a*_xlpm.b)))</f>
        <v>0.64</v>
      </c>
      <c r="N24" s="1" cm="1">
        <f t="array" ref="N24">_xlfn.LET(_xlpm.d,N$2:N$19,_xlpm.a,$C$2:$C$19=$C24,_xlpm.b,$D$2:$D$19=$D24,MAX(_xlfn._xlws.FILTER(_xlpm.d,_xlpm.a*_xlpm.b)))</f>
        <v>0.62</v>
      </c>
      <c r="O24" s="1" cm="1">
        <f t="array" ref="O24">_xlfn.LET(_xlpm.d,O$2:O$19,_xlpm.a,$C$2:$C$19=$C24,_xlpm.b,$D$2:$D$19=$D24,MAX(_xlfn._xlws.FILTER(_xlpm.d,_xlpm.a*_xlpm.b)))</f>
        <v>0.62</v>
      </c>
      <c r="P24" s="1" cm="1">
        <f t="array" ref="P24">_xlfn.LET(_xlpm.d,P$2:P$19,_xlpm.a,$C$2:$C$19=$C24,_xlpm.b,$D$2:$D$19=$D24,MAX(_xlfn._xlws.FILTER(_xlpm.d,_xlpm.a*_xlpm.b)))</f>
        <v>0.7</v>
      </c>
      <c r="Q24" s="1" cm="1">
        <f t="array" ref="Q24">_xlfn.LET(_xlpm.d,Q$2:Q$19,_xlpm.a,$C$2:$C$19=$C24,_xlpm.b,$D$2:$D$19=$D24,MAX(_xlfn._xlws.FILTER(_xlpm.d,_xlpm.a*_xlpm.b)))</f>
        <v>0.69</v>
      </c>
      <c r="R24" s="1" cm="1">
        <f t="array" ref="R24">_xlfn.LET(_xlpm.d,R$2:R$19,_xlpm.a,$C$2:$C$19=$C24,_xlpm.b,$D$2:$D$19=$D24,MAX(_xlfn._xlws.FILTER(_xlpm.d,_xlpm.a*_xlpm.b)))</f>
        <v>0.71</v>
      </c>
      <c r="S24" s="1" cm="1">
        <f t="array" ref="S24">_xlfn.LET(_xlpm.d,S$2:S$19,_xlpm.a,$C$2:$C$19=$C24,_xlpm.b,$D$2:$D$19=$D24,MAX(_xlfn._xlws.FILTER(_xlpm.d,_xlpm.a*_xlpm.b)))</f>
        <v>0.7</v>
      </c>
      <c r="T24" s="1" cm="1">
        <f t="array" ref="T24">_xlfn.LET(_xlpm.d,T$2:T$19,_xlpm.a,$C$2:$C$19=$C24,_xlpm.b,$D$2:$D$19=$D24,MAX(_xlfn._xlws.FILTER(_xlpm.d,_xlpm.a*_xlpm.b)))</f>
        <v>0.74</v>
      </c>
    </row>
    <row r="25" spans="1:20" ht="25" customHeight="1">
      <c r="B25">
        <v>2</v>
      </c>
      <c r="C25" t="s">
        <v>29</v>
      </c>
      <c r="D25" t="b">
        <v>1</v>
      </c>
      <c r="E25">
        <v>1</v>
      </c>
      <c r="F25" t="s">
        <v>24</v>
      </c>
      <c r="G25" t="str">
        <f>_xlfn.TEXTJOIN("-",TRUE,Table618[[#This Row],[attribute]],Table618[[#This Row],[supplemented]],Table618[[#This Row],[method]])</f>
        <v>gender-TRUE-max</v>
      </c>
      <c r="H25" s="1" cm="1">
        <f t="array" ref="H25">_xlfn.LET(_xlpm.d,H$2:H$19,_xlpm.a,$C$2:$C$19=$C25,_xlpm.b,$D$2:$D$19=$D25,MAX(_xlfn._xlws.FILTER(_xlpm.d,_xlpm.a*_xlpm.b)))</f>
        <v>0.8</v>
      </c>
      <c r="I25" s="1" cm="1">
        <f t="array" ref="I25">_xlfn.LET(_xlpm.d,I$2:I$19,_xlpm.a,$C$2:$C$19=$C25,_xlpm.b,$D$2:$D$19=$D25,MAX(_xlfn._xlws.FILTER(_xlpm.d,_xlpm.a*_xlpm.b)))</f>
        <v>0.8</v>
      </c>
      <c r="J25" s="1" cm="1">
        <f t="array" ref="J25">_xlfn.LET(_xlpm.d,J$2:J$19,_xlpm.a,$C$2:$C$19=$C25,_xlpm.b,$D$2:$D$19=$D25,MAX(_xlfn._xlws.FILTER(_xlpm.d,_xlpm.a*_xlpm.b)))</f>
        <v>0.8</v>
      </c>
      <c r="K25" s="1" cm="1">
        <f t="array" ref="K25">_xlfn.LET(_xlpm.d,K$2:K$19,_xlpm.a,$C$2:$C$19=$C25,_xlpm.b,$D$2:$D$19=$D25,MAX(_xlfn._xlws.FILTER(_xlpm.d,_xlpm.a*_xlpm.b)))</f>
        <v>0.81</v>
      </c>
      <c r="L25" s="1" cm="1">
        <f t="array" ref="L25">_xlfn.LET(_xlpm.d,L$2:L$19,_xlpm.a,$C$2:$C$19=$C25,_xlpm.b,$D$2:$D$19=$D25,MAX(_xlfn._xlws.FILTER(_xlpm.d,_xlpm.a*_xlpm.b)))</f>
        <v>0.78</v>
      </c>
      <c r="M25" s="1" cm="1">
        <f t="array" ref="M25">_xlfn.LET(_xlpm.d,M$2:M$19,_xlpm.a,$C$2:$C$19=$C25,_xlpm.b,$D$2:$D$19=$D25,MAX(_xlfn._xlws.FILTER(_xlpm.d,_xlpm.a*_xlpm.b)))</f>
        <v>0.76</v>
      </c>
      <c r="N25" s="1" cm="1">
        <f t="array" ref="N25">_xlfn.LET(_xlpm.d,N$2:N$19,_xlpm.a,$C$2:$C$19=$C25,_xlpm.b,$D$2:$D$19=$D25,MAX(_xlfn._xlws.FILTER(_xlpm.d,_xlpm.a*_xlpm.b)))</f>
        <v>0.8</v>
      </c>
      <c r="O25" s="1" cm="1">
        <f t="array" ref="O25">_xlfn.LET(_xlpm.d,O$2:O$19,_xlpm.a,$C$2:$C$19=$C25,_xlpm.b,$D$2:$D$19=$D25,MAX(_xlfn._xlws.FILTER(_xlpm.d,_xlpm.a*_xlpm.b)))</f>
        <v>0.77</v>
      </c>
      <c r="P25" s="1" cm="1">
        <f t="array" ref="P25">_xlfn.LET(_xlpm.d,P$2:P$19,_xlpm.a,$C$2:$C$19=$C25,_xlpm.b,$D$2:$D$19=$D25,MAX(_xlfn._xlws.FILTER(_xlpm.d,_xlpm.a*_xlpm.b)))</f>
        <v>0.8</v>
      </c>
      <c r="Q25" s="1" cm="1">
        <f t="array" ref="Q25">_xlfn.LET(_xlpm.d,Q$2:Q$19,_xlpm.a,$C$2:$C$19=$C25,_xlpm.b,$D$2:$D$19=$D25,MAX(_xlfn._xlws.FILTER(_xlpm.d,_xlpm.a*_xlpm.b)))</f>
        <v>0.77</v>
      </c>
      <c r="R25" s="1" cm="1">
        <f t="array" ref="R25">_xlfn.LET(_xlpm.d,R$2:R$19,_xlpm.a,$C$2:$C$19=$C25,_xlpm.b,$D$2:$D$19=$D25,MAX(_xlfn._xlws.FILTER(_xlpm.d,_xlpm.a*_xlpm.b)))</f>
        <v>0.8</v>
      </c>
      <c r="S25" s="1" cm="1">
        <f t="array" ref="S25">_xlfn.LET(_xlpm.d,S$2:S$19,_xlpm.a,$C$2:$C$19=$C25,_xlpm.b,$D$2:$D$19=$D25,MAX(_xlfn._xlws.FILTER(_xlpm.d,_xlpm.a*_xlpm.b)))</f>
        <v>0.75</v>
      </c>
      <c r="T25" s="1" cm="1">
        <f t="array" ref="T25">_xlfn.LET(_xlpm.d,T$2:T$19,_xlpm.a,$C$2:$C$19=$C25,_xlpm.b,$D$2:$D$19=$D25,MAX(_xlfn._xlws.FILTER(_xlpm.d,_xlpm.a*_xlpm.b)))</f>
        <v>0.81</v>
      </c>
    </row>
    <row r="26" spans="1:20" ht="25" customHeight="1">
      <c r="B26">
        <v>2</v>
      </c>
      <c r="C26" t="s">
        <v>29</v>
      </c>
      <c r="D26" t="b">
        <v>0</v>
      </c>
      <c r="E26">
        <v>1</v>
      </c>
      <c r="F26" t="s">
        <v>24</v>
      </c>
      <c r="G26" t="str">
        <f>_xlfn.TEXTJOIN("-",TRUE,Table618[[#This Row],[attribute]],Table618[[#This Row],[supplemented]],Table618[[#This Row],[method]])</f>
        <v>gender-FALSE-max</v>
      </c>
      <c r="H26" s="1" cm="1">
        <f t="array" ref="H26">_xlfn.LET(_xlpm.d,H$2:H$19,_xlpm.a,$C$2:$C$19=$C26,_xlpm.b,$D$2:$D$19=$D26,MAX(_xlfn._xlws.FILTER(_xlpm.d,_xlpm.a*_xlpm.b)))</f>
        <v>0.76</v>
      </c>
      <c r="I26" s="1" cm="1">
        <f t="array" ref="I26">_xlfn.LET(_xlpm.d,I$2:I$19,_xlpm.a,$C$2:$C$19=$C26,_xlpm.b,$D$2:$D$19=$D26,MAX(_xlfn._xlws.FILTER(_xlpm.d,_xlpm.a*_xlpm.b)))</f>
        <v>0.76</v>
      </c>
      <c r="J26" s="1" cm="1">
        <f t="array" ref="J26">_xlfn.LET(_xlpm.d,J$2:J$19,_xlpm.a,$C$2:$C$19=$C26,_xlpm.b,$D$2:$D$19=$D26,MAX(_xlfn._xlws.FILTER(_xlpm.d,_xlpm.a*_xlpm.b)))</f>
        <v>0.74</v>
      </c>
      <c r="K26" s="1" cm="1">
        <f t="array" ref="K26">_xlfn.LET(_xlpm.d,K$2:K$19,_xlpm.a,$C$2:$C$19=$C26,_xlpm.b,$D$2:$D$19=$D26,MAX(_xlfn._xlws.FILTER(_xlpm.d,_xlpm.a*_xlpm.b)))</f>
        <v>0.76</v>
      </c>
      <c r="L26" s="1" cm="1">
        <f t="array" ref="L26">_xlfn.LET(_xlpm.d,L$2:L$19,_xlpm.a,$C$2:$C$19=$C26,_xlpm.b,$D$2:$D$19=$D26,MAX(_xlfn._xlws.FILTER(_xlpm.d,_xlpm.a*_xlpm.b)))</f>
        <v>0.78</v>
      </c>
      <c r="M26" s="1" cm="1">
        <f t="array" ref="M26">_xlfn.LET(_xlpm.d,M$2:M$19,_xlpm.a,$C$2:$C$19=$C26,_xlpm.b,$D$2:$D$19=$D26,MAX(_xlfn._xlws.FILTER(_xlpm.d,_xlpm.a*_xlpm.b)))</f>
        <v>0.75</v>
      </c>
      <c r="N26" s="1" cm="1">
        <f t="array" ref="N26">_xlfn.LET(_xlpm.d,N$2:N$19,_xlpm.a,$C$2:$C$19=$C26,_xlpm.b,$D$2:$D$19=$D26,MAX(_xlfn._xlws.FILTER(_xlpm.d,_xlpm.a*_xlpm.b)))</f>
        <v>0.72</v>
      </c>
      <c r="O26" s="1" cm="1">
        <f t="array" ref="O26">_xlfn.LET(_xlpm.d,O$2:O$19,_xlpm.a,$C$2:$C$19=$C26,_xlpm.b,$D$2:$D$19=$D26,MAX(_xlfn._xlws.FILTER(_xlpm.d,_xlpm.a*_xlpm.b)))</f>
        <v>0.73</v>
      </c>
      <c r="P26" s="1" cm="1">
        <f t="array" ref="P26">_xlfn.LET(_xlpm.d,P$2:P$19,_xlpm.a,$C$2:$C$19=$C26,_xlpm.b,$D$2:$D$19=$D26,MAX(_xlfn._xlws.FILTER(_xlpm.d,_xlpm.a*_xlpm.b)))</f>
        <v>0.76</v>
      </c>
      <c r="Q26" s="1" cm="1">
        <f t="array" ref="Q26">_xlfn.LET(_xlpm.d,Q$2:Q$19,_xlpm.a,$C$2:$C$19=$C26,_xlpm.b,$D$2:$D$19=$D26,MAX(_xlfn._xlws.FILTER(_xlpm.d,_xlpm.a*_xlpm.b)))</f>
        <v>0.76</v>
      </c>
      <c r="R26" s="1" cm="1">
        <f t="array" ref="R26">_xlfn.LET(_xlpm.d,R$2:R$19,_xlpm.a,$C$2:$C$19=$C26,_xlpm.b,$D$2:$D$19=$D26,MAX(_xlfn._xlws.FILTER(_xlpm.d,_xlpm.a*_xlpm.b)))</f>
        <v>0.82</v>
      </c>
      <c r="S26" s="1" cm="1">
        <f t="array" ref="S26">_xlfn.LET(_xlpm.d,S$2:S$19,_xlpm.a,$C$2:$C$19=$C26,_xlpm.b,$D$2:$D$19=$D26,MAX(_xlfn._xlws.FILTER(_xlpm.d,_xlpm.a*_xlpm.b)))</f>
        <v>0.75</v>
      </c>
      <c r="T26" s="1" cm="1">
        <f t="array" ref="T26">_xlfn.LET(_xlpm.d,T$2:T$19,_xlpm.a,$C$2:$C$19=$C26,_xlpm.b,$D$2:$D$19=$D26,MAX(_xlfn._xlws.FILTER(_xlpm.d,_xlpm.a*_xlpm.b)))</f>
        <v>0.78</v>
      </c>
    </row>
    <row r="27" spans="1:20" ht="25" customHeight="1">
      <c r="B27">
        <v>3</v>
      </c>
      <c r="C27" t="s">
        <v>30</v>
      </c>
      <c r="D27" t="b">
        <v>1</v>
      </c>
      <c r="E27">
        <v>1</v>
      </c>
      <c r="F27" t="s">
        <v>24</v>
      </c>
      <c r="G27" t="str">
        <f>_xlfn.TEXTJOIN("-",TRUE,Table618[[#This Row],[attribute]],Table618[[#This Row],[supplemented]],Table618[[#This Row],[method]])</f>
        <v>case-TRUE-max</v>
      </c>
      <c r="H27" s="1" cm="1">
        <f t="array" ref="H27">_xlfn.LET(_xlpm.d,H$2:H$19,_xlpm.a,$C$2:$C$19=$C27,_xlpm.b,$D$2:$D$19=$D27,MAX(_xlfn._xlws.FILTER(_xlpm.d,_xlpm.a*_xlpm.b)))</f>
        <v>0.98</v>
      </c>
      <c r="I27" s="1" cm="1">
        <f t="array" ref="I27">_xlfn.LET(_xlpm.d,I$2:I$19,_xlpm.a,$C$2:$C$19=$C27,_xlpm.b,$D$2:$D$19=$D27,MAX(_xlfn._xlws.FILTER(_xlpm.d,_xlpm.a*_xlpm.b)))</f>
        <v>0.97</v>
      </c>
      <c r="J27" s="1" cm="1">
        <f t="array" ref="J27">_xlfn.LET(_xlpm.d,J$2:J$19,_xlpm.a,$C$2:$C$19=$C27,_xlpm.b,$D$2:$D$19=$D27,MAX(_xlfn._xlws.FILTER(_xlpm.d,_xlpm.a*_xlpm.b)))</f>
        <v>0.98</v>
      </c>
      <c r="K27" s="1" cm="1">
        <f t="array" ref="K27">_xlfn.LET(_xlpm.d,K$2:K$19,_xlpm.a,$C$2:$C$19=$C27,_xlpm.b,$D$2:$D$19=$D27,MAX(_xlfn._xlws.FILTER(_xlpm.d,_xlpm.a*_xlpm.b)))</f>
        <v>0.98</v>
      </c>
      <c r="L27" s="1" cm="1">
        <f t="array" ref="L27">_xlfn.LET(_xlpm.d,L$2:L$19,_xlpm.a,$C$2:$C$19=$C27,_xlpm.b,$D$2:$D$19=$D27,MAX(_xlfn._xlws.FILTER(_xlpm.d,_xlpm.a*_xlpm.b)))</f>
        <v>0.97</v>
      </c>
      <c r="M27" s="1" cm="1">
        <f t="array" ref="M27">_xlfn.LET(_xlpm.d,M$2:M$19,_xlpm.a,$C$2:$C$19=$C27,_xlpm.b,$D$2:$D$19=$D27,MAX(_xlfn._xlws.FILTER(_xlpm.d,_xlpm.a*_xlpm.b)))</f>
        <v>0.97</v>
      </c>
      <c r="N27" s="1" cm="1">
        <f t="array" ref="N27">_xlfn.LET(_xlpm.d,N$2:N$19,_xlpm.a,$C$2:$C$19=$C27,_xlpm.b,$D$2:$D$19=$D27,MAX(_xlfn._xlws.FILTER(_xlpm.d,_xlpm.a*_xlpm.b)))</f>
        <v>0.96</v>
      </c>
      <c r="O27" s="1" cm="1">
        <f t="array" ref="O27">_xlfn.LET(_xlpm.d,O$2:O$19,_xlpm.a,$C$2:$C$19=$C27,_xlpm.b,$D$2:$D$19=$D27,MAX(_xlfn._xlws.FILTER(_xlpm.d,_xlpm.a*_xlpm.b)))</f>
        <v>0.98</v>
      </c>
      <c r="P27" s="1" cm="1">
        <f t="array" ref="P27">_xlfn.LET(_xlpm.d,P$2:P$19,_xlpm.a,$C$2:$C$19=$C27,_xlpm.b,$D$2:$D$19=$D27,MAX(_xlfn._xlws.FILTER(_xlpm.d,_xlpm.a*_xlpm.b)))</f>
        <v>0.98</v>
      </c>
      <c r="Q27" s="1" cm="1">
        <f t="array" ref="Q27">_xlfn.LET(_xlpm.d,Q$2:Q$19,_xlpm.a,$C$2:$C$19=$C27,_xlpm.b,$D$2:$D$19=$D27,MAX(_xlfn._xlws.FILTER(_xlpm.d,_xlpm.a*_xlpm.b)))</f>
        <v>0.96</v>
      </c>
      <c r="R27" s="1" cm="1">
        <f t="array" ref="R27">_xlfn.LET(_xlpm.d,R$2:R$19,_xlpm.a,$C$2:$C$19=$C27,_xlpm.b,$D$2:$D$19=$D27,MAX(_xlfn._xlws.FILTER(_xlpm.d,_xlpm.a*_xlpm.b)))</f>
        <v>0.97</v>
      </c>
      <c r="S27" s="1" cm="1">
        <f t="array" ref="S27">_xlfn.LET(_xlpm.d,S$2:S$19,_xlpm.a,$C$2:$C$19=$C27,_xlpm.b,$D$2:$D$19=$D27,MAX(_xlfn._xlws.FILTER(_xlpm.d,_xlpm.a*_xlpm.b)))</f>
        <v>0.98</v>
      </c>
      <c r="T27" s="1" cm="1">
        <f t="array" ref="T27">_xlfn.LET(_xlpm.d,T$2:T$19,_xlpm.a,$C$2:$C$19=$C27,_xlpm.b,$D$2:$D$19=$D27,MAX(_xlfn._xlws.FILTER(_xlpm.d,_xlpm.a*_xlpm.b)))</f>
        <v>0.98</v>
      </c>
    </row>
    <row r="28" spans="1:20" ht="25" customHeight="1">
      <c r="B28">
        <v>3</v>
      </c>
      <c r="C28" t="s">
        <v>30</v>
      </c>
      <c r="D28" t="b">
        <v>0</v>
      </c>
      <c r="E28">
        <v>1</v>
      </c>
      <c r="F28" t="s">
        <v>24</v>
      </c>
      <c r="G28" t="str">
        <f>_xlfn.TEXTJOIN("-",TRUE,Table618[[#This Row],[attribute]],Table618[[#This Row],[supplemented]],Table618[[#This Row],[method]])</f>
        <v>case-FALSE-max</v>
      </c>
      <c r="H28" s="1" cm="1">
        <f t="array" ref="H28">_xlfn.LET(_xlpm.d,H$2:H$19,_xlpm.a,$C$2:$C$19=$C28,_xlpm.b,$D$2:$D$19=$D28,MAX(_xlfn._xlws.FILTER(_xlpm.d,_xlpm.a*_xlpm.b)))</f>
        <v>0.97</v>
      </c>
      <c r="I28" s="1" cm="1">
        <f t="array" ref="I28">_xlfn.LET(_xlpm.d,I$2:I$19,_xlpm.a,$C$2:$C$19=$C28,_xlpm.b,$D$2:$D$19=$D28,MAX(_xlfn._xlws.FILTER(_xlpm.d,_xlpm.a*_xlpm.b)))</f>
        <v>0.97</v>
      </c>
      <c r="J28" s="1" cm="1">
        <f t="array" ref="J28">_xlfn.LET(_xlpm.d,J$2:J$19,_xlpm.a,$C$2:$C$19=$C28,_xlpm.b,$D$2:$D$19=$D28,MAX(_xlfn._xlws.FILTER(_xlpm.d,_xlpm.a*_xlpm.b)))</f>
        <v>0.98</v>
      </c>
      <c r="K28" s="1" cm="1">
        <f t="array" ref="K28">_xlfn.LET(_xlpm.d,K$2:K$19,_xlpm.a,$C$2:$C$19=$C28,_xlpm.b,$D$2:$D$19=$D28,MAX(_xlfn._xlws.FILTER(_xlpm.d,_xlpm.a*_xlpm.b)))</f>
        <v>0.98</v>
      </c>
      <c r="L28" s="1" cm="1">
        <f t="array" ref="L28">_xlfn.LET(_xlpm.d,L$2:L$19,_xlpm.a,$C$2:$C$19=$C28,_xlpm.b,$D$2:$D$19=$D28,MAX(_xlfn._xlws.FILTER(_xlpm.d,_xlpm.a*_xlpm.b)))</f>
        <v>0.97</v>
      </c>
      <c r="M28" s="1" cm="1">
        <f t="array" ref="M28">_xlfn.LET(_xlpm.d,M$2:M$19,_xlpm.a,$C$2:$C$19=$C28,_xlpm.b,$D$2:$D$19=$D28,MAX(_xlfn._xlws.FILTER(_xlpm.d,_xlpm.a*_xlpm.b)))</f>
        <v>0.97</v>
      </c>
      <c r="N28" s="1" cm="1">
        <f t="array" ref="N28">_xlfn.LET(_xlpm.d,N$2:N$19,_xlpm.a,$C$2:$C$19=$C28,_xlpm.b,$D$2:$D$19=$D28,MAX(_xlfn._xlws.FILTER(_xlpm.d,_xlpm.a*_xlpm.b)))</f>
        <v>0.96</v>
      </c>
      <c r="O28" s="1" cm="1">
        <f t="array" ref="O28">_xlfn.LET(_xlpm.d,O$2:O$19,_xlpm.a,$C$2:$C$19=$C28,_xlpm.b,$D$2:$D$19=$D28,MAX(_xlfn._xlws.FILTER(_xlpm.d,_xlpm.a*_xlpm.b)))</f>
        <v>0.97</v>
      </c>
      <c r="P28" s="1" cm="1">
        <f t="array" ref="P28">_xlfn.LET(_xlpm.d,P$2:P$19,_xlpm.a,$C$2:$C$19=$C28,_xlpm.b,$D$2:$D$19=$D28,MAX(_xlfn._xlws.FILTER(_xlpm.d,_xlpm.a*_xlpm.b)))</f>
        <v>0.98</v>
      </c>
      <c r="Q28" s="1" cm="1">
        <f t="array" ref="Q28">_xlfn.LET(_xlpm.d,Q$2:Q$19,_xlpm.a,$C$2:$C$19=$C28,_xlpm.b,$D$2:$D$19=$D28,MAX(_xlfn._xlws.FILTER(_xlpm.d,_xlpm.a*_xlpm.b)))</f>
        <v>0.96</v>
      </c>
      <c r="R28" s="1" cm="1">
        <f t="array" ref="R28">_xlfn.LET(_xlpm.d,R$2:R$19,_xlpm.a,$C$2:$C$19=$C28,_xlpm.b,$D$2:$D$19=$D28,MAX(_xlfn._xlws.FILTER(_xlpm.d,_xlpm.a*_xlpm.b)))</f>
        <v>0.97</v>
      </c>
      <c r="S28" s="1" cm="1">
        <f t="array" ref="S28">_xlfn.LET(_xlpm.d,S$2:S$19,_xlpm.a,$C$2:$C$19=$C28,_xlpm.b,$D$2:$D$19=$D28,MAX(_xlfn._xlws.FILTER(_xlpm.d,_xlpm.a*_xlpm.b)))</f>
        <v>0.98</v>
      </c>
      <c r="T28" s="1" cm="1">
        <f t="array" ref="T28">_xlfn.LET(_xlpm.d,T$2:T$19,_xlpm.a,$C$2:$C$19=$C28,_xlpm.b,$D$2:$D$19=$D28,MAX(_xlfn._xlws.FILTER(_xlpm.d,_xlpm.a*_xlpm.b)))</f>
        <v>0.98</v>
      </c>
    </row>
    <row r="31" spans="1:20" ht="25" customHeight="1">
      <c r="B31" t="s">
        <v>1</v>
      </c>
      <c r="C31" t="s">
        <v>2</v>
      </c>
      <c r="D31" t="s">
        <v>31</v>
      </c>
      <c r="E31" t="s">
        <v>4</v>
      </c>
      <c r="F31" t="s">
        <v>5</v>
      </c>
      <c r="G31" t="s">
        <v>36</v>
      </c>
      <c r="H31" t="s">
        <v>6</v>
      </c>
      <c r="I31" t="s">
        <v>7</v>
      </c>
      <c r="J31" t="s">
        <v>8</v>
      </c>
      <c r="K31" t="s">
        <v>12</v>
      </c>
      <c r="L31" t="s">
        <v>13</v>
      </c>
      <c r="M31" t="s">
        <v>14</v>
      </c>
      <c r="N31" t="s">
        <v>15</v>
      </c>
      <c r="O31" t="s">
        <v>16</v>
      </c>
      <c r="P31" t="s">
        <v>17</v>
      </c>
      <c r="Q31" t="s">
        <v>21</v>
      </c>
      <c r="R31" t="s">
        <v>22</v>
      </c>
      <c r="S31" t="s">
        <v>23</v>
      </c>
    </row>
    <row r="32" spans="1:20" ht="25" customHeight="1">
      <c r="B32">
        <v>1</v>
      </c>
      <c r="C32" t="s">
        <v>25</v>
      </c>
      <c r="D32" t="b">
        <v>0</v>
      </c>
      <c r="E32">
        <v>1</v>
      </c>
      <c r="F32" t="s">
        <v>24</v>
      </c>
      <c r="G32" t="str">
        <f>_xlfn.TEXTJOIN("-",TRUE,Table25[[#This Row],[attribute]],Table25[[#This Row],[supplemented]],Table25[[#This Row],[method]])</f>
        <v>plurality-FALSE-max</v>
      </c>
      <c r="H32" s="7">
        <f t="shared" ref="H32:S32" si="1">_xlfn.LET(_xlpm.d,$H23:$S23,RANK(H23,_xlpm.d))</f>
        <v>1</v>
      </c>
      <c r="I32" s="7">
        <f t="shared" si="1"/>
        <v>1</v>
      </c>
      <c r="J32" s="7">
        <f t="shared" si="1"/>
        <v>9</v>
      </c>
      <c r="K32" s="7">
        <f t="shared" si="1"/>
        <v>8</v>
      </c>
      <c r="L32" s="7">
        <f t="shared" si="1"/>
        <v>9</v>
      </c>
      <c r="M32" s="7">
        <f t="shared" si="1"/>
        <v>12</v>
      </c>
      <c r="N32" s="7">
        <f t="shared" si="1"/>
        <v>6</v>
      </c>
      <c r="O32" s="7">
        <f t="shared" si="1"/>
        <v>9</v>
      </c>
      <c r="P32" s="7">
        <f t="shared" si="1"/>
        <v>3</v>
      </c>
      <c r="Q32" s="7">
        <f t="shared" si="1"/>
        <v>6</v>
      </c>
      <c r="R32" s="7">
        <f t="shared" si="1"/>
        <v>4</v>
      </c>
      <c r="S32" s="7">
        <f t="shared" si="1"/>
        <v>4</v>
      </c>
    </row>
    <row r="33" spans="2:19" ht="25" customHeight="1">
      <c r="B33">
        <v>1</v>
      </c>
      <c r="C33" t="s">
        <v>25</v>
      </c>
      <c r="D33" t="b">
        <v>1</v>
      </c>
      <c r="E33">
        <v>1</v>
      </c>
      <c r="F33" t="s">
        <v>24</v>
      </c>
      <c r="G33" t="str">
        <f>_xlfn.TEXTJOIN("-",TRUE,Table25[[#This Row],[attribute]],Table25[[#This Row],[supplemented]],Table25[[#This Row],[method]])</f>
        <v>plurality-TRUE-max</v>
      </c>
      <c r="H33" s="7">
        <f t="shared" ref="H33:S33" si="2">_xlfn.LET(_xlpm.d,$H24:$S24,RANK(H24,_xlpm.d))</f>
        <v>1</v>
      </c>
      <c r="I33" s="7">
        <f t="shared" si="2"/>
        <v>2</v>
      </c>
      <c r="J33" s="7">
        <f t="shared" si="2"/>
        <v>8</v>
      </c>
      <c r="K33" s="7">
        <f t="shared" si="2"/>
        <v>8</v>
      </c>
      <c r="L33" s="7">
        <f t="shared" si="2"/>
        <v>7</v>
      </c>
      <c r="M33" s="7">
        <f t="shared" si="2"/>
        <v>10</v>
      </c>
      <c r="N33" s="7">
        <f t="shared" si="2"/>
        <v>11</v>
      </c>
      <c r="O33" s="7">
        <f t="shared" si="2"/>
        <v>11</v>
      </c>
      <c r="P33" s="7">
        <f t="shared" si="2"/>
        <v>4</v>
      </c>
      <c r="Q33" s="7">
        <f t="shared" si="2"/>
        <v>6</v>
      </c>
      <c r="R33" s="7">
        <f t="shared" si="2"/>
        <v>2</v>
      </c>
      <c r="S33" s="7">
        <f t="shared" si="2"/>
        <v>4</v>
      </c>
    </row>
    <row r="34" spans="2:19" ht="25" customHeight="1">
      <c r="B34">
        <v>2</v>
      </c>
      <c r="C34" t="s">
        <v>29</v>
      </c>
      <c r="D34" t="b">
        <v>0</v>
      </c>
      <c r="E34">
        <v>1</v>
      </c>
      <c r="F34" t="s">
        <v>24</v>
      </c>
      <c r="G34" t="str">
        <f>_xlfn.TEXTJOIN("-",TRUE,Table25[[#This Row],[attribute]],Table25[[#This Row],[supplemented]],Table25[[#This Row],[method]])</f>
        <v>gender-FALSE-max</v>
      </c>
      <c r="H34" s="7">
        <f t="shared" ref="H34:S34" si="3">_xlfn.LET(_xlpm.d,$H25:$S25,RANK(H25,_xlpm.d))</f>
        <v>2</v>
      </c>
      <c r="I34" s="7">
        <f t="shared" si="3"/>
        <v>2</v>
      </c>
      <c r="J34" s="7">
        <f t="shared" si="3"/>
        <v>2</v>
      </c>
      <c r="K34" s="7">
        <f t="shared" si="3"/>
        <v>1</v>
      </c>
      <c r="L34" s="7">
        <f t="shared" si="3"/>
        <v>8</v>
      </c>
      <c r="M34" s="7">
        <f t="shared" si="3"/>
        <v>11</v>
      </c>
      <c r="N34" s="7">
        <f t="shared" si="3"/>
        <v>2</v>
      </c>
      <c r="O34" s="7">
        <f t="shared" si="3"/>
        <v>9</v>
      </c>
      <c r="P34" s="7">
        <f t="shared" si="3"/>
        <v>2</v>
      </c>
      <c r="Q34" s="7">
        <f t="shared" si="3"/>
        <v>9</v>
      </c>
      <c r="R34" s="7">
        <f t="shared" si="3"/>
        <v>2</v>
      </c>
      <c r="S34" s="7">
        <f t="shared" si="3"/>
        <v>12</v>
      </c>
    </row>
    <row r="35" spans="2:19" ht="25" customHeight="1">
      <c r="B35">
        <v>2</v>
      </c>
      <c r="C35" t="s">
        <v>29</v>
      </c>
      <c r="D35" t="b">
        <v>1</v>
      </c>
      <c r="E35">
        <v>1</v>
      </c>
      <c r="F35" t="s">
        <v>24</v>
      </c>
      <c r="G35" t="str">
        <f>_xlfn.TEXTJOIN("-",TRUE,Table25[[#This Row],[attribute]],Table25[[#This Row],[supplemented]],Table25[[#This Row],[method]])</f>
        <v>gender-TRUE-max</v>
      </c>
      <c r="H35" s="7">
        <f t="shared" ref="H35:S35" si="4">_xlfn.LET(_xlpm.d,$H26:$S26,RANK(H26,_xlpm.d))</f>
        <v>3</v>
      </c>
      <c r="I35" s="7">
        <f t="shared" si="4"/>
        <v>3</v>
      </c>
      <c r="J35" s="7">
        <f t="shared" si="4"/>
        <v>10</v>
      </c>
      <c r="K35" s="7">
        <f t="shared" si="4"/>
        <v>3</v>
      </c>
      <c r="L35" s="7">
        <f t="shared" si="4"/>
        <v>2</v>
      </c>
      <c r="M35" s="7">
        <f t="shared" si="4"/>
        <v>8</v>
      </c>
      <c r="N35" s="7">
        <f t="shared" si="4"/>
        <v>12</v>
      </c>
      <c r="O35" s="7">
        <f t="shared" si="4"/>
        <v>11</v>
      </c>
      <c r="P35" s="7">
        <f t="shared" si="4"/>
        <v>3</v>
      </c>
      <c r="Q35" s="7">
        <f t="shared" si="4"/>
        <v>3</v>
      </c>
      <c r="R35" s="7">
        <f t="shared" si="4"/>
        <v>1</v>
      </c>
      <c r="S35" s="7">
        <f t="shared" si="4"/>
        <v>8</v>
      </c>
    </row>
    <row r="36" spans="2:19" ht="25" customHeight="1">
      <c r="B36">
        <v>3</v>
      </c>
      <c r="C36" t="s">
        <v>30</v>
      </c>
      <c r="D36" t="b">
        <v>0</v>
      </c>
      <c r="E36">
        <v>1</v>
      </c>
      <c r="F36" t="s">
        <v>24</v>
      </c>
      <c r="G36" t="str">
        <f>_xlfn.TEXTJOIN("-",TRUE,Table25[[#This Row],[attribute]],Table25[[#This Row],[supplemented]],Table25[[#This Row],[method]])</f>
        <v>case-FALSE-max</v>
      </c>
      <c r="H36" s="7">
        <f t="shared" ref="H36:S36" si="5">_xlfn.LET(_xlpm.d,$H27:$S27,RANK(H27,_xlpm.d))</f>
        <v>1</v>
      </c>
      <c r="I36" s="7">
        <f t="shared" si="5"/>
        <v>7</v>
      </c>
      <c r="J36" s="7">
        <f t="shared" si="5"/>
        <v>1</v>
      </c>
      <c r="K36" s="7">
        <f t="shared" si="5"/>
        <v>1</v>
      </c>
      <c r="L36" s="7">
        <f t="shared" si="5"/>
        <v>7</v>
      </c>
      <c r="M36" s="7">
        <f t="shared" si="5"/>
        <v>7</v>
      </c>
      <c r="N36" s="7">
        <f t="shared" si="5"/>
        <v>11</v>
      </c>
      <c r="O36" s="7">
        <f t="shared" si="5"/>
        <v>1</v>
      </c>
      <c r="P36" s="7">
        <f t="shared" si="5"/>
        <v>1</v>
      </c>
      <c r="Q36" s="7">
        <f t="shared" si="5"/>
        <v>11</v>
      </c>
      <c r="R36" s="7">
        <f t="shared" si="5"/>
        <v>7</v>
      </c>
      <c r="S36" s="7">
        <f t="shared" si="5"/>
        <v>1</v>
      </c>
    </row>
    <row r="37" spans="2:19" ht="25" customHeight="1">
      <c r="B37">
        <v>3</v>
      </c>
      <c r="C37" t="s">
        <v>30</v>
      </c>
      <c r="D37" t="b">
        <v>1</v>
      </c>
      <c r="E37">
        <v>1</v>
      </c>
      <c r="F37" t="s">
        <v>24</v>
      </c>
      <c r="G37" t="str">
        <f>_xlfn.TEXTJOIN("-",TRUE,Table25[[#This Row],[attribute]],Table25[[#This Row],[supplemented]],Table25[[#This Row],[method]])</f>
        <v>case-TRUE-max</v>
      </c>
      <c r="H37" s="7">
        <f t="shared" ref="H37:S37" si="6">_xlfn.LET(_xlpm.d,$H28:$S28,RANK(H28,_xlpm.d))</f>
        <v>5</v>
      </c>
      <c r="I37" s="7">
        <f t="shared" si="6"/>
        <v>5</v>
      </c>
      <c r="J37" s="7">
        <f t="shared" si="6"/>
        <v>1</v>
      </c>
      <c r="K37" s="7">
        <f t="shared" si="6"/>
        <v>1</v>
      </c>
      <c r="L37" s="7">
        <f t="shared" si="6"/>
        <v>5</v>
      </c>
      <c r="M37" s="7">
        <f t="shared" si="6"/>
        <v>5</v>
      </c>
      <c r="N37" s="7">
        <f t="shared" si="6"/>
        <v>11</v>
      </c>
      <c r="O37" s="7">
        <f t="shared" si="6"/>
        <v>5</v>
      </c>
      <c r="P37" s="7">
        <f t="shared" si="6"/>
        <v>1</v>
      </c>
      <c r="Q37" s="7">
        <f t="shared" si="6"/>
        <v>11</v>
      </c>
      <c r="R37" s="7">
        <f t="shared" si="6"/>
        <v>5</v>
      </c>
      <c r="S37" s="7">
        <f t="shared" si="6"/>
        <v>1</v>
      </c>
    </row>
    <row r="40" spans="2:19" ht="25" customHeight="1">
      <c r="C40" t="s">
        <v>25</v>
      </c>
      <c r="H40" s="6"/>
    </row>
  </sheetData>
  <conditionalFormatting sqref="H32:S37">
    <cfRule type="colorScale" priority="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E627-ABD6-DC41-BD94-0684A9B2D9B2}">
  <dimension ref="A1:S28"/>
  <sheetViews>
    <sheetView workbookViewId="0">
      <pane xSplit="17580" ySplit="2640" topLeftCell="Q15" activePane="bottomLeft"/>
      <selection activeCell="J3" sqref="J3"/>
      <selection pane="topRight" activeCell="S3" sqref="S3"/>
      <selection pane="bottomLeft" activeCell="G23" sqref="G23:S28"/>
      <selection pane="bottomRight" activeCell="T10" sqref="T10"/>
    </sheetView>
  </sheetViews>
  <sheetFormatPr baseColWidth="10" defaultRowHeight="25" customHeight="1"/>
  <cols>
    <col min="2" max="2" width="8.125" customWidth="1"/>
    <col min="4" max="4" width="8.5" customWidth="1"/>
    <col min="5" max="5" width="7.875" customWidth="1"/>
    <col min="7" max="19" width="7.7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22</v>
      </c>
      <c r="R1" t="s">
        <v>23</v>
      </c>
      <c r="S1" t="s">
        <v>24</v>
      </c>
    </row>
    <row r="2" spans="1:19" ht="25" customHeight="1">
      <c r="A2" t="s">
        <v>33</v>
      </c>
      <c r="B2">
        <v>1</v>
      </c>
      <c r="C2" t="s">
        <v>25</v>
      </c>
      <c r="D2" t="b">
        <v>1</v>
      </c>
      <c r="E2">
        <v>1</v>
      </c>
      <c r="F2" t="s">
        <v>26</v>
      </c>
      <c r="G2" s="1">
        <v>0.71</v>
      </c>
      <c r="H2" s="1">
        <v>0.7</v>
      </c>
      <c r="I2" s="1">
        <v>0.7</v>
      </c>
      <c r="J2" s="1">
        <v>0.68</v>
      </c>
      <c r="K2" s="1">
        <v>0.64</v>
      </c>
      <c r="L2" s="1">
        <v>0.67</v>
      </c>
      <c r="M2" s="1">
        <v>0.71</v>
      </c>
      <c r="N2" s="1">
        <v>0.69</v>
      </c>
      <c r="O2" s="1">
        <v>0.73</v>
      </c>
      <c r="P2" s="1">
        <v>0.71</v>
      </c>
      <c r="Q2" s="1">
        <v>0.65</v>
      </c>
      <c r="R2" s="1">
        <v>0.64</v>
      </c>
      <c r="S2" s="1">
        <f t="shared" ref="S2:S19" si="0">MAX($G2:$R2)</f>
        <v>0.73</v>
      </c>
    </row>
    <row r="3" spans="1:19" ht="25" customHeight="1">
      <c r="A3" t="s">
        <v>33</v>
      </c>
      <c r="B3">
        <v>1</v>
      </c>
      <c r="C3" t="s">
        <v>25</v>
      </c>
      <c r="D3" t="b">
        <v>1</v>
      </c>
      <c r="E3">
        <v>2</v>
      </c>
      <c r="F3" t="s">
        <v>27</v>
      </c>
      <c r="G3" s="1">
        <v>0.75</v>
      </c>
      <c r="H3" s="1">
        <v>0.76</v>
      </c>
      <c r="I3" s="1">
        <v>0.73</v>
      </c>
      <c r="J3" s="1">
        <v>0.7</v>
      </c>
      <c r="K3" s="1">
        <v>0.7</v>
      </c>
      <c r="L3" s="1">
        <v>0.7</v>
      </c>
      <c r="M3" s="1">
        <v>0.76</v>
      </c>
      <c r="N3" s="1">
        <v>0.72</v>
      </c>
      <c r="O3" s="1">
        <v>0.71</v>
      </c>
      <c r="P3" s="1">
        <v>0.69</v>
      </c>
      <c r="Q3" s="1">
        <v>0.66</v>
      </c>
      <c r="R3" s="1">
        <v>0.71</v>
      </c>
      <c r="S3" s="1">
        <f t="shared" si="0"/>
        <v>0.76</v>
      </c>
    </row>
    <row r="4" spans="1:19" ht="25" customHeight="1">
      <c r="A4" t="s">
        <v>33</v>
      </c>
      <c r="B4">
        <v>1</v>
      </c>
      <c r="C4" t="s">
        <v>25</v>
      </c>
      <c r="D4" t="b">
        <v>1</v>
      </c>
      <c r="E4">
        <v>3</v>
      </c>
      <c r="F4" t="s">
        <v>28</v>
      </c>
      <c r="G4" s="1">
        <v>0.7</v>
      </c>
      <c r="H4" s="1">
        <v>0.67</v>
      </c>
      <c r="I4" s="1">
        <v>0.69</v>
      </c>
      <c r="J4" s="1">
        <v>0.69</v>
      </c>
      <c r="K4" s="1">
        <v>0.71</v>
      </c>
      <c r="L4" s="1">
        <v>0.68</v>
      </c>
      <c r="M4" s="1">
        <v>0.72</v>
      </c>
      <c r="N4" s="1">
        <v>0.68</v>
      </c>
      <c r="O4" s="1">
        <v>0.69</v>
      </c>
      <c r="P4" s="1">
        <v>0.68</v>
      </c>
      <c r="Q4" s="1">
        <v>0.66</v>
      </c>
      <c r="R4" s="1">
        <v>0.66</v>
      </c>
      <c r="S4" s="1">
        <f t="shared" si="0"/>
        <v>0.72</v>
      </c>
    </row>
    <row r="5" spans="1:19" ht="25" customHeight="1">
      <c r="A5" t="s">
        <v>33</v>
      </c>
      <c r="B5">
        <v>1</v>
      </c>
      <c r="C5" t="s">
        <v>25</v>
      </c>
      <c r="D5" t="b">
        <v>0</v>
      </c>
      <c r="E5">
        <v>1</v>
      </c>
      <c r="F5" t="s">
        <v>26</v>
      </c>
      <c r="G5" s="1">
        <v>0.7</v>
      </c>
      <c r="H5" s="1">
        <v>0.69</v>
      </c>
      <c r="I5" s="1">
        <v>0.7</v>
      </c>
      <c r="J5" s="1">
        <v>0.65</v>
      </c>
      <c r="K5" s="1">
        <v>0.65</v>
      </c>
      <c r="L5" s="1">
        <v>0.66</v>
      </c>
      <c r="M5" s="1">
        <v>0.66</v>
      </c>
      <c r="N5" s="1">
        <v>0.68</v>
      </c>
      <c r="O5" s="1">
        <v>0.66</v>
      </c>
      <c r="P5" s="1">
        <v>0.62</v>
      </c>
      <c r="Q5" s="1">
        <v>0.66</v>
      </c>
      <c r="R5" s="1">
        <v>0.63</v>
      </c>
      <c r="S5" s="1">
        <f t="shared" si="0"/>
        <v>0.7</v>
      </c>
    </row>
    <row r="6" spans="1:19" ht="25" customHeight="1">
      <c r="A6" t="s">
        <v>33</v>
      </c>
      <c r="B6">
        <v>1</v>
      </c>
      <c r="C6" t="s">
        <v>25</v>
      </c>
      <c r="D6" t="b">
        <v>0</v>
      </c>
      <c r="E6">
        <v>2</v>
      </c>
      <c r="F6" t="s">
        <v>27</v>
      </c>
      <c r="G6" s="1">
        <v>0.71</v>
      </c>
      <c r="H6" s="1">
        <v>0.71</v>
      </c>
      <c r="I6" s="1">
        <v>0.7</v>
      </c>
      <c r="J6" s="1">
        <v>0.66</v>
      </c>
      <c r="K6" s="1">
        <v>0.69</v>
      </c>
      <c r="L6" s="1">
        <v>0.67</v>
      </c>
      <c r="M6" s="1">
        <v>0.72</v>
      </c>
      <c r="N6" s="1">
        <v>0.7</v>
      </c>
      <c r="O6" s="1">
        <v>0.69</v>
      </c>
      <c r="P6" s="1">
        <v>0.65</v>
      </c>
      <c r="Q6" s="1">
        <v>0.67</v>
      </c>
      <c r="R6" s="1">
        <v>0.67</v>
      </c>
      <c r="S6" s="1">
        <f t="shared" si="0"/>
        <v>0.72</v>
      </c>
    </row>
    <row r="7" spans="1:19" ht="25" customHeight="1">
      <c r="A7" t="s">
        <v>33</v>
      </c>
      <c r="B7">
        <v>1</v>
      </c>
      <c r="C7" t="s">
        <v>25</v>
      </c>
      <c r="D7" t="b">
        <v>0</v>
      </c>
      <c r="E7">
        <v>3</v>
      </c>
      <c r="F7" t="s">
        <v>28</v>
      </c>
      <c r="G7" s="1">
        <v>0.63</v>
      </c>
      <c r="H7" s="1">
        <v>0.63</v>
      </c>
      <c r="I7" s="1">
        <v>0.63</v>
      </c>
      <c r="J7" s="1">
        <v>0.63</v>
      </c>
      <c r="K7" s="1">
        <v>0.66</v>
      </c>
      <c r="L7" s="1">
        <v>0.65</v>
      </c>
      <c r="M7" s="1">
        <v>0.64</v>
      </c>
      <c r="N7" s="1">
        <v>0.61</v>
      </c>
      <c r="O7" s="1">
        <v>0.61</v>
      </c>
      <c r="P7" s="1">
        <v>0.67</v>
      </c>
      <c r="Q7" s="1">
        <v>0.65</v>
      </c>
      <c r="R7" s="1">
        <v>0.67</v>
      </c>
      <c r="S7" s="1">
        <f t="shared" si="0"/>
        <v>0.67</v>
      </c>
    </row>
    <row r="8" spans="1:19" ht="25" customHeight="1">
      <c r="A8" t="s">
        <v>33</v>
      </c>
      <c r="B8">
        <v>2</v>
      </c>
      <c r="C8" t="s">
        <v>29</v>
      </c>
      <c r="D8" t="b">
        <v>1</v>
      </c>
      <c r="E8">
        <v>1</v>
      </c>
      <c r="F8" t="s">
        <v>26</v>
      </c>
      <c r="G8" s="1">
        <v>0.75</v>
      </c>
      <c r="H8" s="1">
        <v>0.76</v>
      </c>
      <c r="I8" s="1">
        <v>0.81</v>
      </c>
      <c r="J8" s="1">
        <v>0.74</v>
      </c>
      <c r="K8" s="1">
        <v>0.68</v>
      </c>
      <c r="L8" s="1">
        <v>0.7</v>
      </c>
      <c r="M8" s="1">
        <v>0.74</v>
      </c>
      <c r="N8" s="1">
        <v>0.8</v>
      </c>
      <c r="O8" s="1">
        <v>0.79</v>
      </c>
      <c r="P8" s="1">
        <v>0.73</v>
      </c>
      <c r="Q8" s="1">
        <v>0.71</v>
      </c>
      <c r="R8" s="1">
        <v>0.65</v>
      </c>
      <c r="S8" s="1">
        <f t="shared" si="0"/>
        <v>0.81</v>
      </c>
    </row>
    <row r="9" spans="1:19" ht="25" customHeight="1">
      <c r="A9" t="s">
        <v>33</v>
      </c>
      <c r="B9">
        <v>2</v>
      </c>
      <c r="C9" t="s">
        <v>29</v>
      </c>
      <c r="D9" t="b">
        <v>1</v>
      </c>
      <c r="E9">
        <v>2</v>
      </c>
      <c r="F9" t="s">
        <v>27</v>
      </c>
      <c r="G9" s="1">
        <v>0.82</v>
      </c>
      <c r="H9" s="1">
        <v>0.82</v>
      </c>
      <c r="I9" s="1">
        <v>0.79</v>
      </c>
      <c r="J9" s="1">
        <v>0.77</v>
      </c>
      <c r="K9" s="1">
        <v>0.77</v>
      </c>
      <c r="L9" s="1">
        <v>0.73</v>
      </c>
      <c r="M9" s="1">
        <v>0.79</v>
      </c>
      <c r="N9" s="1">
        <v>0.82</v>
      </c>
      <c r="O9" s="1">
        <v>0.84</v>
      </c>
      <c r="P9" s="1">
        <v>0.78</v>
      </c>
      <c r="Q9" s="1">
        <v>0.74</v>
      </c>
      <c r="R9" s="1">
        <v>0.74</v>
      </c>
      <c r="S9" s="1">
        <f t="shared" si="0"/>
        <v>0.84</v>
      </c>
    </row>
    <row r="10" spans="1:19" ht="25" customHeight="1">
      <c r="A10" t="s">
        <v>33</v>
      </c>
      <c r="B10">
        <v>2</v>
      </c>
      <c r="C10" t="s">
        <v>29</v>
      </c>
      <c r="D10" t="b">
        <v>1</v>
      </c>
      <c r="E10">
        <v>3</v>
      </c>
      <c r="F10" t="s">
        <v>28</v>
      </c>
      <c r="G10" s="1">
        <v>0.77</v>
      </c>
      <c r="H10" s="1">
        <v>0.78</v>
      </c>
      <c r="I10" s="1">
        <v>0.79</v>
      </c>
      <c r="J10" s="1">
        <v>0.76</v>
      </c>
      <c r="K10" s="1">
        <v>0.74</v>
      </c>
      <c r="L10" s="1">
        <v>0.76</v>
      </c>
      <c r="M10" s="1">
        <v>0.73</v>
      </c>
      <c r="N10" s="1">
        <v>0.81</v>
      </c>
      <c r="O10" s="1">
        <v>0.79</v>
      </c>
      <c r="P10" s="1">
        <v>0.74</v>
      </c>
      <c r="Q10" s="1">
        <v>0.72</v>
      </c>
      <c r="R10" s="1">
        <v>0.75</v>
      </c>
      <c r="S10" s="1">
        <f t="shared" si="0"/>
        <v>0.81</v>
      </c>
    </row>
    <row r="11" spans="1:19" ht="25" customHeight="1">
      <c r="A11" t="s">
        <v>33</v>
      </c>
      <c r="B11">
        <v>2</v>
      </c>
      <c r="C11" t="s">
        <v>29</v>
      </c>
      <c r="D11" t="b">
        <v>0</v>
      </c>
      <c r="E11">
        <v>1</v>
      </c>
      <c r="F11" t="s">
        <v>26</v>
      </c>
      <c r="G11" s="1">
        <v>0.68</v>
      </c>
      <c r="H11" s="1">
        <v>0.71</v>
      </c>
      <c r="I11" s="1">
        <v>0.71</v>
      </c>
      <c r="J11" s="1">
        <v>0.73</v>
      </c>
      <c r="K11" s="1">
        <v>0.67</v>
      </c>
      <c r="L11" s="1">
        <v>0.69</v>
      </c>
      <c r="M11" s="1">
        <v>0.68</v>
      </c>
      <c r="N11" s="1">
        <v>0.72</v>
      </c>
      <c r="O11" s="1">
        <v>0.74</v>
      </c>
      <c r="P11" s="1">
        <v>0.68</v>
      </c>
      <c r="Q11" s="1">
        <v>0.67</v>
      </c>
      <c r="R11" s="1">
        <v>0.7</v>
      </c>
      <c r="S11" s="1">
        <f t="shared" si="0"/>
        <v>0.74</v>
      </c>
    </row>
    <row r="12" spans="1:19" ht="25" customHeight="1">
      <c r="A12" t="s">
        <v>33</v>
      </c>
      <c r="B12">
        <v>2</v>
      </c>
      <c r="C12" t="s">
        <v>29</v>
      </c>
      <c r="D12" t="b">
        <v>0</v>
      </c>
      <c r="E12">
        <v>2</v>
      </c>
      <c r="F12" t="s">
        <v>27</v>
      </c>
      <c r="G12" s="1">
        <v>0.73</v>
      </c>
      <c r="H12" s="1">
        <v>0.73</v>
      </c>
      <c r="I12" s="1">
        <v>0.75</v>
      </c>
      <c r="J12" s="1">
        <v>0.74</v>
      </c>
      <c r="K12" s="1">
        <v>0.72</v>
      </c>
      <c r="L12" s="1">
        <v>0.74</v>
      </c>
      <c r="M12" s="1">
        <v>0.67</v>
      </c>
      <c r="N12" s="1">
        <v>0.77</v>
      </c>
      <c r="O12" s="1">
        <v>0.78</v>
      </c>
      <c r="P12" s="1">
        <v>0.74</v>
      </c>
      <c r="Q12" s="1">
        <v>0.71</v>
      </c>
      <c r="R12" s="1">
        <v>0.69</v>
      </c>
      <c r="S12" s="1">
        <f t="shared" si="0"/>
        <v>0.78</v>
      </c>
    </row>
    <row r="13" spans="1:19" ht="25" customHeight="1">
      <c r="A13" t="s">
        <v>33</v>
      </c>
      <c r="B13">
        <v>2</v>
      </c>
      <c r="C13" t="s">
        <v>29</v>
      </c>
      <c r="D13" t="b">
        <v>0</v>
      </c>
      <c r="E13">
        <v>3</v>
      </c>
      <c r="F13" t="s">
        <v>28</v>
      </c>
      <c r="G13" s="1">
        <v>0.73</v>
      </c>
      <c r="H13" s="1">
        <v>0.76</v>
      </c>
      <c r="I13" s="1">
        <v>0.73</v>
      </c>
      <c r="J13" s="1">
        <v>0.77</v>
      </c>
      <c r="K13" s="1">
        <v>0.69</v>
      </c>
      <c r="L13" s="1">
        <v>0.76</v>
      </c>
      <c r="M13" s="1">
        <v>0.65</v>
      </c>
      <c r="N13" s="1">
        <v>0.72</v>
      </c>
      <c r="O13" s="1">
        <v>0.73</v>
      </c>
      <c r="P13" s="1">
        <v>0.71</v>
      </c>
      <c r="Q13" s="1">
        <v>0.69</v>
      </c>
      <c r="R13" s="1">
        <v>0.73</v>
      </c>
      <c r="S13" s="1">
        <f t="shared" si="0"/>
        <v>0.77</v>
      </c>
    </row>
    <row r="14" spans="1:19" ht="25" customHeight="1">
      <c r="A14" t="s">
        <v>33</v>
      </c>
      <c r="B14">
        <v>3</v>
      </c>
      <c r="C14" t="s">
        <v>30</v>
      </c>
      <c r="D14" t="b">
        <v>1</v>
      </c>
      <c r="E14">
        <v>1</v>
      </c>
      <c r="F14" t="s">
        <v>26</v>
      </c>
      <c r="G14" s="1">
        <v>0.96</v>
      </c>
      <c r="H14" s="1">
        <v>0.94</v>
      </c>
      <c r="I14" s="1">
        <v>0.95</v>
      </c>
      <c r="J14" s="1">
        <v>0.97</v>
      </c>
      <c r="K14" s="1">
        <v>0.94</v>
      </c>
      <c r="L14" s="1">
        <v>0.97</v>
      </c>
      <c r="M14" s="1">
        <v>0.98</v>
      </c>
      <c r="N14" s="1">
        <v>0.97</v>
      </c>
      <c r="O14" s="1">
        <v>0.94</v>
      </c>
      <c r="P14" s="1">
        <v>0.96</v>
      </c>
      <c r="Q14" s="1">
        <v>0.96</v>
      </c>
      <c r="R14" s="1">
        <v>0.96</v>
      </c>
      <c r="S14" s="1">
        <f t="shared" si="0"/>
        <v>0.98</v>
      </c>
    </row>
    <row r="15" spans="1:19" ht="25" customHeight="1">
      <c r="A15" t="s">
        <v>33</v>
      </c>
      <c r="B15">
        <v>3</v>
      </c>
      <c r="C15" t="s">
        <v>30</v>
      </c>
      <c r="D15" t="b">
        <v>1</v>
      </c>
      <c r="E15">
        <v>2</v>
      </c>
      <c r="F15" t="s">
        <v>27</v>
      </c>
      <c r="G15" s="1">
        <v>0.96</v>
      </c>
      <c r="H15" s="1">
        <v>0.94</v>
      </c>
      <c r="I15" s="1">
        <v>0.95</v>
      </c>
      <c r="J15" s="1">
        <v>0.97</v>
      </c>
      <c r="K15" s="1">
        <v>0.95</v>
      </c>
      <c r="L15" s="1">
        <v>0.97</v>
      </c>
      <c r="M15" s="1">
        <v>0.96</v>
      </c>
      <c r="N15" s="1">
        <v>0.97</v>
      </c>
      <c r="O15" s="1">
        <v>0.95</v>
      </c>
      <c r="P15" s="1">
        <v>0.96</v>
      </c>
      <c r="Q15" s="1">
        <v>0.97</v>
      </c>
      <c r="R15" s="1">
        <v>0.98</v>
      </c>
      <c r="S15" s="1">
        <f t="shared" si="0"/>
        <v>0.98</v>
      </c>
    </row>
    <row r="16" spans="1:19" ht="25" customHeight="1">
      <c r="A16" t="s">
        <v>33</v>
      </c>
      <c r="B16">
        <v>3</v>
      </c>
      <c r="C16" t="s">
        <v>30</v>
      </c>
      <c r="D16" t="b">
        <v>1</v>
      </c>
      <c r="E16">
        <v>3</v>
      </c>
      <c r="F16" t="s">
        <v>28</v>
      </c>
      <c r="G16" s="1">
        <v>0.96</v>
      </c>
      <c r="H16" s="1">
        <v>0.94</v>
      </c>
      <c r="I16" s="1">
        <v>0.95</v>
      </c>
      <c r="J16" s="1">
        <v>0.97</v>
      </c>
      <c r="K16" s="1">
        <v>0.95</v>
      </c>
      <c r="L16" s="1">
        <v>0.97</v>
      </c>
      <c r="M16" s="1">
        <v>0.97</v>
      </c>
      <c r="N16" s="1">
        <v>0.97</v>
      </c>
      <c r="O16" s="1">
        <v>0.94</v>
      </c>
      <c r="P16" s="1">
        <v>0.96</v>
      </c>
      <c r="Q16" s="1">
        <v>0.97</v>
      </c>
      <c r="R16" s="1">
        <v>0.98</v>
      </c>
      <c r="S16" s="1">
        <f t="shared" si="0"/>
        <v>0.98</v>
      </c>
    </row>
    <row r="17" spans="1:19" ht="25" customHeight="1">
      <c r="A17" t="s">
        <v>33</v>
      </c>
      <c r="B17">
        <v>3</v>
      </c>
      <c r="C17" t="s">
        <v>30</v>
      </c>
      <c r="D17" t="b">
        <v>0</v>
      </c>
      <c r="E17">
        <v>1</v>
      </c>
      <c r="F17" t="s">
        <v>26</v>
      </c>
      <c r="G17" s="1">
        <v>0.95</v>
      </c>
      <c r="H17" s="1">
        <v>0.94</v>
      </c>
      <c r="I17" s="1">
        <v>0.95</v>
      </c>
      <c r="J17" s="1">
        <v>0.97</v>
      </c>
      <c r="K17" s="1">
        <v>0.95</v>
      </c>
      <c r="L17" s="1">
        <v>0.97</v>
      </c>
      <c r="M17" s="1">
        <v>0.97</v>
      </c>
      <c r="N17" s="1">
        <v>0.96</v>
      </c>
      <c r="O17" s="1">
        <v>0.94</v>
      </c>
      <c r="P17" s="1">
        <v>0.96</v>
      </c>
      <c r="Q17" s="1">
        <v>0.96</v>
      </c>
      <c r="R17" s="1">
        <v>0.97</v>
      </c>
      <c r="S17" s="1">
        <f t="shared" si="0"/>
        <v>0.97</v>
      </c>
    </row>
    <row r="18" spans="1:19" ht="25" customHeight="1">
      <c r="A18" t="s">
        <v>33</v>
      </c>
      <c r="B18">
        <v>3</v>
      </c>
      <c r="C18" t="s">
        <v>30</v>
      </c>
      <c r="D18" t="b">
        <v>0</v>
      </c>
      <c r="E18">
        <v>2</v>
      </c>
      <c r="F18" t="s">
        <v>27</v>
      </c>
      <c r="G18" s="1">
        <v>0.96</v>
      </c>
      <c r="H18" s="1">
        <v>0.94</v>
      </c>
      <c r="I18" s="1">
        <v>0.95</v>
      </c>
      <c r="J18" s="1">
        <v>0.97</v>
      </c>
      <c r="K18" s="1">
        <v>0.95</v>
      </c>
      <c r="L18" s="1">
        <v>0.97</v>
      </c>
      <c r="M18" s="1">
        <v>0.97</v>
      </c>
      <c r="N18" s="1">
        <v>0.97</v>
      </c>
      <c r="O18" s="1">
        <v>0.94</v>
      </c>
      <c r="P18" s="1">
        <v>0.96</v>
      </c>
      <c r="Q18" s="1">
        <v>0.97</v>
      </c>
      <c r="R18" s="1">
        <v>0.98</v>
      </c>
      <c r="S18" s="1">
        <f t="shared" si="0"/>
        <v>0.98</v>
      </c>
    </row>
    <row r="19" spans="1:19" ht="25" customHeight="1">
      <c r="A19" t="s">
        <v>33</v>
      </c>
      <c r="B19">
        <v>3</v>
      </c>
      <c r="C19" t="s">
        <v>30</v>
      </c>
      <c r="D19" t="b">
        <v>0</v>
      </c>
      <c r="E19">
        <v>3</v>
      </c>
      <c r="F19" t="s">
        <v>28</v>
      </c>
      <c r="G19" s="1">
        <v>0.96</v>
      </c>
      <c r="H19" s="1">
        <v>0.94</v>
      </c>
      <c r="I19" s="1">
        <v>0.95</v>
      </c>
      <c r="J19" s="1">
        <v>0.97</v>
      </c>
      <c r="K19" s="1">
        <v>0.95</v>
      </c>
      <c r="L19" s="1">
        <v>0.97</v>
      </c>
      <c r="M19" s="1">
        <v>0.97</v>
      </c>
      <c r="N19" s="1">
        <v>0.97</v>
      </c>
      <c r="O19" s="1">
        <v>0.94</v>
      </c>
      <c r="P19" s="1">
        <v>0.96</v>
      </c>
      <c r="Q19" s="1">
        <v>0.97</v>
      </c>
      <c r="R19" s="1">
        <v>0.98</v>
      </c>
      <c r="S19" s="1">
        <f t="shared" si="0"/>
        <v>0.98</v>
      </c>
    </row>
    <row r="22" spans="1:19" ht="25" customHeight="1">
      <c r="B22" t="s">
        <v>1</v>
      </c>
      <c r="C22" t="s">
        <v>2</v>
      </c>
      <c r="D22" t="s">
        <v>31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21</v>
      </c>
      <c r="Q22" t="s">
        <v>22</v>
      </c>
      <c r="R22" t="s">
        <v>23</v>
      </c>
      <c r="S22" t="s">
        <v>24</v>
      </c>
    </row>
    <row r="23" spans="1:19" ht="25" customHeight="1">
      <c r="B23">
        <v>1</v>
      </c>
      <c r="C23" t="s">
        <v>25</v>
      </c>
      <c r="D23" t="b">
        <v>1</v>
      </c>
      <c r="E23">
        <v>1</v>
      </c>
      <c r="F23" t="s">
        <v>24</v>
      </c>
      <c r="G23" s="1" cm="1">
        <f t="array" ref="G23">_xlfn.LET(_xlpm.d,G$2:G$19,_xlpm.a,$C$2:$C$19=$C23,_xlpm.b,$D$2:$D$19=$D23,MAX(_xlfn._xlws.FILTER(_xlpm.d,_xlpm.a*_xlpm.b)))</f>
        <v>0.75</v>
      </c>
      <c r="H23" s="1" cm="1">
        <f t="array" ref="H23">_xlfn.LET(_xlpm.d,H$2:H$19,_xlpm.a,$C$2:$C$19=$C23,_xlpm.b,$D$2:$D$19=$D23,MAX(_xlfn._xlws.FILTER(_xlpm.d,_xlpm.a*_xlpm.b)))</f>
        <v>0.76</v>
      </c>
      <c r="I23" s="1" cm="1">
        <f t="array" ref="I23">_xlfn.LET(_xlpm.d,I$2:I$19,_xlpm.a,$C$2:$C$19=$C23,_xlpm.b,$D$2:$D$19=$D23,MAX(_xlfn._xlws.FILTER(_xlpm.d,_xlpm.a*_xlpm.b)))</f>
        <v>0.73</v>
      </c>
      <c r="J23" s="1" cm="1">
        <f t="array" ref="J23">_xlfn.LET(_xlpm.d,J$2:J$19,_xlpm.a,$C$2:$C$19=$C23,_xlpm.b,$D$2:$D$19=$D23,MAX(_xlfn._xlws.FILTER(_xlpm.d,_xlpm.a*_xlpm.b)))</f>
        <v>0.7</v>
      </c>
      <c r="K23" s="1" cm="1">
        <f t="array" ref="K23">_xlfn.LET(_xlpm.d,K$2:K$19,_xlpm.a,$C$2:$C$19=$C23,_xlpm.b,$D$2:$D$19=$D23,MAX(_xlfn._xlws.FILTER(_xlpm.d,_xlpm.a*_xlpm.b)))</f>
        <v>0.71</v>
      </c>
      <c r="L23" s="1" cm="1">
        <f t="array" ref="L23">_xlfn.LET(_xlpm.d,L$2:L$19,_xlpm.a,$C$2:$C$19=$C23,_xlpm.b,$D$2:$D$19=$D23,MAX(_xlfn._xlws.FILTER(_xlpm.d,_xlpm.a*_xlpm.b)))</f>
        <v>0.7</v>
      </c>
      <c r="M23" s="1" cm="1">
        <f t="array" ref="M23">_xlfn.LET(_xlpm.d,M$2:M$19,_xlpm.a,$C$2:$C$19=$C23,_xlpm.b,$D$2:$D$19=$D23,MAX(_xlfn._xlws.FILTER(_xlpm.d,_xlpm.a*_xlpm.b)))</f>
        <v>0.76</v>
      </c>
      <c r="N23" s="1" cm="1">
        <f t="array" ref="N23">_xlfn.LET(_xlpm.d,N$2:N$19,_xlpm.a,$C$2:$C$19=$C23,_xlpm.b,$D$2:$D$19=$D23,MAX(_xlfn._xlws.FILTER(_xlpm.d,_xlpm.a*_xlpm.b)))</f>
        <v>0.72</v>
      </c>
      <c r="O23" s="1" cm="1">
        <f t="array" ref="O23">_xlfn.LET(_xlpm.d,O$2:O$19,_xlpm.a,$C$2:$C$19=$C23,_xlpm.b,$D$2:$D$19=$D23,MAX(_xlfn._xlws.FILTER(_xlpm.d,_xlpm.a*_xlpm.b)))</f>
        <v>0.73</v>
      </c>
      <c r="P23" s="1" cm="1">
        <f t="array" ref="P23">_xlfn.LET(_xlpm.d,P$2:P$19,_xlpm.a,$C$2:$C$19=$C23,_xlpm.b,$D$2:$D$19=$D23,MAX(_xlfn._xlws.FILTER(_xlpm.d,_xlpm.a*_xlpm.b)))</f>
        <v>0.71</v>
      </c>
      <c r="Q23" s="1" cm="1">
        <f t="array" ref="Q23">_xlfn.LET(_xlpm.d,Q$2:Q$19,_xlpm.a,$C$2:$C$19=$C23,_xlpm.b,$D$2:$D$19=$D23,MAX(_xlfn._xlws.FILTER(_xlpm.d,_xlpm.a*_xlpm.b)))</f>
        <v>0.66</v>
      </c>
      <c r="R23" s="1" cm="1">
        <f t="array" ref="R23">_xlfn.LET(_xlpm.d,R$2:R$19,_xlpm.a,$C$2:$C$19=$C23,_xlpm.b,$D$2:$D$19=$D23,MAX(_xlfn._xlws.FILTER(_xlpm.d,_xlpm.a*_xlpm.b)))</f>
        <v>0.71</v>
      </c>
      <c r="S23" s="1" cm="1">
        <f t="array" ref="S23">_xlfn.LET(_xlpm.d,S$2:S$19,_xlpm.a,$C$2:$C$19=$C23,_xlpm.b,$D$2:$D$19=$D23,MAX(_xlfn._xlws.FILTER(_xlpm.d,_xlpm.a*_xlpm.b)))</f>
        <v>0.76</v>
      </c>
    </row>
    <row r="24" spans="1:19" ht="25" customHeight="1">
      <c r="B24">
        <v>1</v>
      </c>
      <c r="C24" t="s">
        <v>25</v>
      </c>
      <c r="D24" t="b">
        <v>0</v>
      </c>
      <c r="E24">
        <v>1</v>
      </c>
      <c r="F24" t="s">
        <v>24</v>
      </c>
      <c r="G24" s="1" cm="1">
        <f t="array" ref="G24">_xlfn.LET(_xlpm.d,G$2:G$19,_xlpm.a,$C$2:$C$19=$C24,_xlpm.b,$D$2:$D$19=$D24,MAX(_xlfn._xlws.FILTER(_xlpm.d,_xlpm.a*_xlpm.b)))</f>
        <v>0.71</v>
      </c>
      <c r="H24" s="1" cm="1">
        <f t="array" ref="H24">_xlfn.LET(_xlpm.d,H$2:H$19,_xlpm.a,$C$2:$C$19=$C24,_xlpm.b,$D$2:$D$19=$D24,MAX(_xlfn._xlws.FILTER(_xlpm.d,_xlpm.a*_xlpm.b)))</f>
        <v>0.71</v>
      </c>
      <c r="I24" s="1" cm="1">
        <f t="array" ref="I24">_xlfn.LET(_xlpm.d,I$2:I$19,_xlpm.a,$C$2:$C$19=$C24,_xlpm.b,$D$2:$D$19=$D24,MAX(_xlfn._xlws.FILTER(_xlpm.d,_xlpm.a*_xlpm.b)))</f>
        <v>0.7</v>
      </c>
      <c r="J24" s="1" cm="1">
        <f t="array" ref="J24">_xlfn.LET(_xlpm.d,J$2:J$19,_xlpm.a,$C$2:$C$19=$C24,_xlpm.b,$D$2:$D$19=$D24,MAX(_xlfn._xlws.FILTER(_xlpm.d,_xlpm.a*_xlpm.b)))</f>
        <v>0.66</v>
      </c>
      <c r="K24" s="1" cm="1">
        <f t="array" ref="K24">_xlfn.LET(_xlpm.d,K$2:K$19,_xlpm.a,$C$2:$C$19=$C24,_xlpm.b,$D$2:$D$19=$D24,MAX(_xlfn._xlws.FILTER(_xlpm.d,_xlpm.a*_xlpm.b)))</f>
        <v>0.69</v>
      </c>
      <c r="L24" s="1" cm="1">
        <f t="array" ref="L24">_xlfn.LET(_xlpm.d,L$2:L$19,_xlpm.a,$C$2:$C$19=$C24,_xlpm.b,$D$2:$D$19=$D24,MAX(_xlfn._xlws.FILTER(_xlpm.d,_xlpm.a*_xlpm.b)))</f>
        <v>0.67</v>
      </c>
      <c r="M24" s="1" cm="1">
        <f t="array" ref="M24">_xlfn.LET(_xlpm.d,M$2:M$19,_xlpm.a,$C$2:$C$19=$C24,_xlpm.b,$D$2:$D$19=$D24,MAX(_xlfn._xlws.FILTER(_xlpm.d,_xlpm.a*_xlpm.b)))</f>
        <v>0.72</v>
      </c>
      <c r="N24" s="1" cm="1">
        <f t="array" ref="N24">_xlfn.LET(_xlpm.d,N$2:N$19,_xlpm.a,$C$2:$C$19=$C24,_xlpm.b,$D$2:$D$19=$D24,MAX(_xlfn._xlws.FILTER(_xlpm.d,_xlpm.a*_xlpm.b)))</f>
        <v>0.7</v>
      </c>
      <c r="O24" s="1" cm="1">
        <f t="array" ref="O24">_xlfn.LET(_xlpm.d,O$2:O$19,_xlpm.a,$C$2:$C$19=$C24,_xlpm.b,$D$2:$D$19=$D24,MAX(_xlfn._xlws.FILTER(_xlpm.d,_xlpm.a*_xlpm.b)))</f>
        <v>0.69</v>
      </c>
      <c r="P24" s="1" cm="1">
        <f t="array" ref="P24">_xlfn.LET(_xlpm.d,P$2:P$19,_xlpm.a,$C$2:$C$19=$C24,_xlpm.b,$D$2:$D$19=$D24,MAX(_xlfn._xlws.FILTER(_xlpm.d,_xlpm.a*_xlpm.b)))</f>
        <v>0.67</v>
      </c>
      <c r="Q24" s="1" cm="1">
        <f t="array" ref="Q24">_xlfn.LET(_xlpm.d,Q$2:Q$19,_xlpm.a,$C$2:$C$19=$C24,_xlpm.b,$D$2:$D$19=$D24,MAX(_xlfn._xlws.FILTER(_xlpm.d,_xlpm.a*_xlpm.b)))</f>
        <v>0.67</v>
      </c>
      <c r="R24" s="1" cm="1">
        <f t="array" ref="R24">_xlfn.LET(_xlpm.d,R$2:R$19,_xlpm.a,$C$2:$C$19=$C24,_xlpm.b,$D$2:$D$19=$D24,MAX(_xlfn._xlws.FILTER(_xlpm.d,_xlpm.a*_xlpm.b)))</f>
        <v>0.67</v>
      </c>
      <c r="S24" s="1" cm="1">
        <f t="array" ref="S24">_xlfn.LET(_xlpm.d,S$2:S$19,_xlpm.a,$C$2:$C$19=$C24,_xlpm.b,$D$2:$D$19=$D24,MAX(_xlfn._xlws.FILTER(_xlpm.d,_xlpm.a*_xlpm.b)))</f>
        <v>0.72</v>
      </c>
    </row>
    <row r="25" spans="1:19" ht="25" customHeight="1">
      <c r="B25">
        <v>2</v>
      </c>
      <c r="C25" t="s">
        <v>29</v>
      </c>
      <c r="D25" t="b">
        <v>1</v>
      </c>
      <c r="E25">
        <v>1</v>
      </c>
      <c r="F25" t="s">
        <v>24</v>
      </c>
      <c r="G25" s="1" cm="1">
        <f t="array" ref="G25">_xlfn.LET(_xlpm.d,G$2:G$19,_xlpm.a,$C$2:$C$19=$C25,_xlpm.b,$D$2:$D$19=$D25,MAX(_xlfn._xlws.FILTER(_xlpm.d,_xlpm.a*_xlpm.b)))</f>
        <v>0.82</v>
      </c>
      <c r="H25" s="1" cm="1">
        <f t="array" ref="H25">_xlfn.LET(_xlpm.d,H$2:H$19,_xlpm.a,$C$2:$C$19=$C25,_xlpm.b,$D$2:$D$19=$D25,MAX(_xlfn._xlws.FILTER(_xlpm.d,_xlpm.a*_xlpm.b)))</f>
        <v>0.82</v>
      </c>
      <c r="I25" s="1" cm="1">
        <f t="array" ref="I25">_xlfn.LET(_xlpm.d,I$2:I$19,_xlpm.a,$C$2:$C$19=$C25,_xlpm.b,$D$2:$D$19=$D25,MAX(_xlfn._xlws.FILTER(_xlpm.d,_xlpm.a*_xlpm.b)))</f>
        <v>0.81</v>
      </c>
      <c r="J25" s="1" cm="1">
        <f t="array" ref="J25">_xlfn.LET(_xlpm.d,J$2:J$19,_xlpm.a,$C$2:$C$19=$C25,_xlpm.b,$D$2:$D$19=$D25,MAX(_xlfn._xlws.FILTER(_xlpm.d,_xlpm.a*_xlpm.b)))</f>
        <v>0.77</v>
      </c>
      <c r="K25" s="1" cm="1">
        <f t="array" ref="K25">_xlfn.LET(_xlpm.d,K$2:K$19,_xlpm.a,$C$2:$C$19=$C25,_xlpm.b,$D$2:$D$19=$D25,MAX(_xlfn._xlws.FILTER(_xlpm.d,_xlpm.a*_xlpm.b)))</f>
        <v>0.77</v>
      </c>
      <c r="L25" s="1" cm="1">
        <f t="array" ref="L25">_xlfn.LET(_xlpm.d,L$2:L$19,_xlpm.a,$C$2:$C$19=$C25,_xlpm.b,$D$2:$D$19=$D25,MAX(_xlfn._xlws.FILTER(_xlpm.d,_xlpm.a*_xlpm.b)))</f>
        <v>0.76</v>
      </c>
      <c r="M25" s="1" cm="1">
        <f t="array" ref="M25">_xlfn.LET(_xlpm.d,M$2:M$19,_xlpm.a,$C$2:$C$19=$C25,_xlpm.b,$D$2:$D$19=$D25,MAX(_xlfn._xlws.FILTER(_xlpm.d,_xlpm.a*_xlpm.b)))</f>
        <v>0.79</v>
      </c>
      <c r="N25" s="1" cm="1">
        <f t="array" ref="N25">_xlfn.LET(_xlpm.d,N$2:N$19,_xlpm.a,$C$2:$C$19=$C25,_xlpm.b,$D$2:$D$19=$D25,MAX(_xlfn._xlws.FILTER(_xlpm.d,_xlpm.a*_xlpm.b)))</f>
        <v>0.82</v>
      </c>
      <c r="O25" s="1" cm="1">
        <f t="array" ref="O25">_xlfn.LET(_xlpm.d,O$2:O$19,_xlpm.a,$C$2:$C$19=$C25,_xlpm.b,$D$2:$D$19=$D25,MAX(_xlfn._xlws.FILTER(_xlpm.d,_xlpm.a*_xlpm.b)))</f>
        <v>0.84</v>
      </c>
      <c r="P25" s="1" cm="1">
        <f t="array" ref="P25">_xlfn.LET(_xlpm.d,P$2:P$19,_xlpm.a,$C$2:$C$19=$C25,_xlpm.b,$D$2:$D$19=$D25,MAX(_xlfn._xlws.FILTER(_xlpm.d,_xlpm.a*_xlpm.b)))</f>
        <v>0.78</v>
      </c>
      <c r="Q25" s="1" cm="1">
        <f t="array" ref="Q25">_xlfn.LET(_xlpm.d,Q$2:Q$19,_xlpm.a,$C$2:$C$19=$C25,_xlpm.b,$D$2:$D$19=$D25,MAX(_xlfn._xlws.FILTER(_xlpm.d,_xlpm.a*_xlpm.b)))</f>
        <v>0.74</v>
      </c>
      <c r="R25" s="1" cm="1">
        <f t="array" ref="R25">_xlfn.LET(_xlpm.d,R$2:R$19,_xlpm.a,$C$2:$C$19=$C25,_xlpm.b,$D$2:$D$19=$D25,MAX(_xlfn._xlws.FILTER(_xlpm.d,_xlpm.a*_xlpm.b)))</f>
        <v>0.75</v>
      </c>
      <c r="S25" s="1" cm="1">
        <f t="array" ref="S25">_xlfn.LET(_xlpm.d,S$2:S$19,_xlpm.a,$C$2:$C$19=$C25,_xlpm.b,$D$2:$D$19=$D25,MAX(_xlfn._xlws.FILTER(_xlpm.d,_xlpm.a*_xlpm.b)))</f>
        <v>0.84</v>
      </c>
    </row>
    <row r="26" spans="1:19" ht="25" customHeight="1">
      <c r="B26">
        <v>2</v>
      </c>
      <c r="C26" t="s">
        <v>29</v>
      </c>
      <c r="D26" t="b">
        <v>0</v>
      </c>
      <c r="E26">
        <v>1</v>
      </c>
      <c r="F26" t="s">
        <v>24</v>
      </c>
      <c r="G26" s="1" cm="1">
        <f t="array" ref="G26">_xlfn.LET(_xlpm.d,G$2:G$19,_xlpm.a,$C$2:$C$19=$C26,_xlpm.b,$D$2:$D$19=$D26,MAX(_xlfn._xlws.FILTER(_xlpm.d,_xlpm.a*_xlpm.b)))</f>
        <v>0.73</v>
      </c>
      <c r="H26" s="1" cm="1">
        <f t="array" ref="H26">_xlfn.LET(_xlpm.d,H$2:H$19,_xlpm.a,$C$2:$C$19=$C26,_xlpm.b,$D$2:$D$19=$D26,MAX(_xlfn._xlws.FILTER(_xlpm.d,_xlpm.a*_xlpm.b)))</f>
        <v>0.76</v>
      </c>
      <c r="I26" s="1" cm="1">
        <f t="array" ref="I26">_xlfn.LET(_xlpm.d,I$2:I$19,_xlpm.a,$C$2:$C$19=$C26,_xlpm.b,$D$2:$D$19=$D26,MAX(_xlfn._xlws.FILTER(_xlpm.d,_xlpm.a*_xlpm.b)))</f>
        <v>0.75</v>
      </c>
      <c r="J26" s="1" cm="1">
        <f t="array" ref="J26">_xlfn.LET(_xlpm.d,J$2:J$19,_xlpm.a,$C$2:$C$19=$C26,_xlpm.b,$D$2:$D$19=$D26,MAX(_xlfn._xlws.FILTER(_xlpm.d,_xlpm.a*_xlpm.b)))</f>
        <v>0.77</v>
      </c>
      <c r="K26" s="1" cm="1">
        <f t="array" ref="K26">_xlfn.LET(_xlpm.d,K$2:K$19,_xlpm.a,$C$2:$C$19=$C26,_xlpm.b,$D$2:$D$19=$D26,MAX(_xlfn._xlws.FILTER(_xlpm.d,_xlpm.a*_xlpm.b)))</f>
        <v>0.72</v>
      </c>
      <c r="L26" s="1" cm="1">
        <f t="array" ref="L26">_xlfn.LET(_xlpm.d,L$2:L$19,_xlpm.a,$C$2:$C$19=$C26,_xlpm.b,$D$2:$D$19=$D26,MAX(_xlfn._xlws.FILTER(_xlpm.d,_xlpm.a*_xlpm.b)))</f>
        <v>0.76</v>
      </c>
      <c r="M26" s="1" cm="1">
        <f t="array" ref="M26">_xlfn.LET(_xlpm.d,M$2:M$19,_xlpm.a,$C$2:$C$19=$C26,_xlpm.b,$D$2:$D$19=$D26,MAX(_xlfn._xlws.FILTER(_xlpm.d,_xlpm.a*_xlpm.b)))</f>
        <v>0.68</v>
      </c>
      <c r="N26" s="1" cm="1">
        <f t="array" ref="N26">_xlfn.LET(_xlpm.d,N$2:N$19,_xlpm.a,$C$2:$C$19=$C26,_xlpm.b,$D$2:$D$19=$D26,MAX(_xlfn._xlws.FILTER(_xlpm.d,_xlpm.a*_xlpm.b)))</f>
        <v>0.77</v>
      </c>
      <c r="O26" s="1" cm="1">
        <f t="array" ref="O26">_xlfn.LET(_xlpm.d,O$2:O$19,_xlpm.a,$C$2:$C$19=$C26,_xlpm.b,$D$2:$D$19=$D26,MAX(_xlfn._xlws.FILTER(_xlpm.d,_xlpm.a*_xlpm.b)))</f>
        <v>0.78</v>
      </c>
      <c r="P26" s="1" cm="1">
        <f t="array" ref="P26">_xlfn.LET(_xlpm.d,P$2:P$19,_xlpm.a,$C$2:$C$19=$C26,_xlpm.b,$D$2:$D$19=$D26,MAX(_xlfn._xlws.FILTER(_xlpm.d,_xlpm.a*_xlpm.b)))</f>
        <v>0.74</v>
      </c>
      <c r="Q26" s="1" cm="1">
        <f t="array" ref="Q26">_xlfn.LET(_xlpm.d,Q$2:Q$19,_xlpm.a,$C$2:$C$19=$C26,_xlpm.b,$D$2:$D$19=$D26,MAX(_xlfn._xlws.FILTER(_xlpm.d,_xlpm.a*_xlpm.b)))</f>
        <v>0.71</v>
      </c>
      <c r="R26" s="1" cm="1">
        <f t="array" ref="R26">_xlfn.LET(_xlpm.d,R$2:R$19,_xlpm.a,$C$2:$C$19=$C26,_xlpm.b,$D$2:$D$19=$D26,MAX(_xlfn._xlws.FILTER(_xlpm.d,_xlpm.a*_xlpm.b)))</f>
        <v>0.73</v>
      </c>
      <c r="S26" s="1" cm="1">
        <f t="array" ref="S26">_xlfn.LET(_xlpm.d,S$2:S$19,_xlpm.a,$C$2:$C$19=$C26,_xlpm.b,$D$2:$D$19=$D26,MAX(_xlfn._xlws.FILTER(_xlpm.d,_xlpm.a*_xlpm.b)))</f>
        <v>0.78</v>
      </c>
    </row>
    <row r="27" spans="1:19" ht="25" customHeight="1">
      <c r="B27">
        <v>3</v>
      </c>
      <c r="C27" t="s">
        <v>30</v>
      </c>
      <c r="D27" t="b">
        <v>1</v>
      </c>
      <c r="E27">
        <v>1</v>
      </c>
      <c r="F27" t="s">
        <v>24</v>
      </c>
      <c r="G27" s="1" cm="1">
        <f t="array" ref="G27">_xlfn.LET(_xlpm.d,G$2:G$19,_xlpm.a,$C$2:$C$19=$C27,_xlpm.b,$D$2:$D$19=$D27,MAX(_xlfn._xlws.FILTER(_xlpm.d,_xlpm.a*_xlpm.b)))</f>
        <v>0.96</v>
      </c>
      <c r="H27" s="1" cm="1">
        <f t="array" ref="H27">_xlfn.LET(_xlpm.d,H$2:H$19,_xlpm.a,$C$2:$C$19=$C27,_xlpm.b,$D$2:$D$19=$D27,MAX(_xlfn._xlws.FILTER(_xlpm.d,_xlpm.a*_xlpm.b)))</f>
        <v>0.94</v>
      </c>
      <c r="I27" s="1" cm="1">
        <f t="array" ref="I27">_xlfn.LET(_xlpm.d,I$2:I$19,_xlpm.a,$C$2:$C$19=$C27,_xlpm.b,$D$2:$D$19=$D27,MAX(_xlfn._xlws.FILTER(_xlpm.d,_xlpm.a*_xlpm.b)))</f>
        <v>0.95</v>
      </c>
      <c r="J27" s="1" cm="1">
        <f t="array" ref="J27">_xlfn.LET(_xlpm.d,J$2:J$19,_xlpm.a,$C$2:$C$19=$C27,_xlpm.b,$D$2:$D$19=$D27,MAX(_xlfn._xlws.FILTER(_xlpm.d,_xlpm.a*_xlpm.b)))</f>
        <v>0.97</v>
      </c>
      <c r="K27" s="1" cm="1">
        <f t="array" ref="K27">_xlfn.LET(_xlpm.d,K$2:K$19,_xlpm.a,$C$2:$C$19=$C27,_xlpm.b,$D$2:$D$19=$D27,MAX(_xlfn._xlws.FILTER(_xlpm.d,_xlpm.a*_xlpm.b)))</f>
        <v>0.95</v>
      </c>
      <c r="L27" s="1" cm="1">
        <f t="array" ref="L27">_xlfn.LET(_xlpm.d,L$2:L$19,_xlpm.a,$C$2:$C$19=$C27,_xlpm.b,$D$2:$D$19=$D27,MAX(_xlfn._xlws.FILTER(_xlpm.d,_xlpm.a*_xlpm.b)))</f>
        <v>0.97</v>
      </c>
      <c r="M27" s="1" cm="1">
        <f t="array" ref="M27">_xlfn.LET(_xlpm.d,M$2:M$19,_xlpm.a,$C$2:$C$19=$C27,_xlpm.b,$D$2:$D$19=$D27,MAX(_xlfn._xlws.FILTER(_xlpm.d,_xlpm.a*_xlpm.b)))</f>
        <v>0.98</v>
      </c>
      <c r="N27" s="1" cm="1">
        <f t="array" ref="N27">_xlfn.LET(_xlpm.d,N$2:N$19,_xlpm.a,$C$2:$C$19=$C27,_xlpm.b,$D$2:$D$19=$D27,MAX(_xlfn._xlws.FILTER(_xlpm.d,_xlpm.a*_xlpm.b)))</f>
        <v>0.97</v>
      </c>
      <c r="O27" s="1" cm="1">
        <f t="array" ref="O27">_xlfn.LET(_xlpm.d,O$2:O$19,_xlpm.a,$C$2:$C$19=$C27,_xlpm.b,$D$2:$D$19=$D27,MAX(_xlfn._xlws.FILTER(_xlpm.d,_xlpm.a*_xlpm.b)))</f>
        <v>0.95</v>
      </c>
      <c r="P27" s="1" cm="1">
        <f t="array" ref="P27">_xlfn.LET(_xlpm.d,P$2:P$19,_xlpm.a,$C$2:$C$19=$C27,_xlpm.b,$D$2:$D$19=$D27,MAX(_xlfn._xlws.FILTER(_xlpm.d,_xlpm.a*_xlpm.b)))</f>
        <v>0.96</v>
      </c>
      <c r="Q27" s="1" cm="1">
        <f t="array" ref="Q27">_xlfn.LET(_xlpm.d,Q$2:Q$19,_xlpm.a,$C$2:$C$19=$C27,_xlpm.b,$D$2:$D$19=$D27,MAX(_xlfn._xlws.FILTER(_xlpm.d,_xlpm.a*_xlpm.b)))</f>
        <v>0.97</v>
      </c>
      <c r="R27" s="1" cm="1">
        <f t="array" ref="R27">_xlfn.LET(_xlpm.d,R$2:R$19,_xlpm.a,$C$2:$C$19=$C27,_xlpm.b,$D$2:$D$19=$D27,MAX(_xlfn._xlws.FILTER(_xlpm.d,_xlpm.a*_xlpm.b)))</f>
        <v>0.98</v>
      </c>
      <c r="S27" s="1" cm="1">
        <f t="array" ref="S27">_xlfn.LET(_xlpm.d,S$2:S$19,_xlpm.a,$C$2:$C$19=$C27,_xlpm.b,$D$2:$D$19=$D27,MAX(_xlfn._xlws.FILTER(_xlpm.d,_xlpm.a*_xlpm.b)))</f>
        <v>0.98</v>
      </c>
    </row>
    <row r="28" spans="1:19" ht="25" customHeight="1">
      <c r="B28">
        <v>3</v>
      </c>
      <c r="C28" t="s">
        <v>30</v>
      </c>
      <c r="D28" t="b">
        <v>0</v>
      </c>
      <c r="E28">
        <v>1</v>
      </c>
      <c r="F28" t="s">
        <v>24</v>
      </c>
      <c r="G28" s="1" cm="1">
        <f t="array" ref="G28">_xlfn.LET(_xlpm.d,G$2:G$19,_xlpm.a,$C$2:$C$19=$C28,_xlpm.b,$D$2:$D$19=$D28,MAX(_xlfn._xlws.FILTER(_xlpm.d,_xlpm.a*_xlpm.b)))</f>
        <v>0.96</v>
      </c>
      <c r="H28" s="1" cm="1">
        <f t="array" ref="H28">_xlfn.LET(_xlpm.d,H$2:H$19,_xlpm.a,$C$2:$C$19=$C28,_xlpm.b,$D$2:$D$19=$D28,MAX(_xlfn._xlws.FILTER(_xlpm.d,_xlpm.a*_xlpm.b)))</f>
        <v>0.94</v>
      </c>
      <c r="I28" s="1" cm="1">
        <f t="array" ref="I28">_xlfn.LET(_xlpm.d,I$2:I$19,_xlpm.a,$C$2:$C$19=$C28,_xlpm.b,$D$2:$D$19=$D28,MAX(_xlfn._xlws.FILTER(_xlpm.d,_xlpm.a*_xlpm.b)))</f>
        <v>0.95</v>
      </c>
      <c r="J28" s="1" cm="1">
        <f t="array" ref="J28">_xlfn.LET(_xlpm.d,J$2:J$19,_xlpm.a,$C$2:$C$19=$C28,_xlpm.b,$D$2:$D$19=$D28,MAX(_xlfn._xlws.FILTER(_xlpm.d,_xlpm.a*_xlpm.b)))</f>
        <v>0.97</v>
      </c>
      <c r="K28" s="1" cm="1">
        <f t="array" ref="K28">_xlfn.LET(_xlpm.d,K$2:K$19,_xlpm.a,$C$2:$C$19=$C28,_xlpm.b,$D$2:$D$19=$D28,MAX(_xlfn._xlws.FILTER(_xlpm.d,_xlpm.a*_xlpm.b)))</f>
        <v>0.95</v>
      </c>
      <c r="L28" s="1" cm="1">
        <f t="array" ref="L28">_xlfn.LET(_xlpm.d,L$2:L$19,_xlpm.a,$C$2:$C$19=$C28,_xlpm.b,$D$2:$D$19=$D28,MAX(_xlfn._xlws.FILTER(_xlpm.d,_xlpm.a*_xlpm.b)))</f>
        <v>0.97</v>
      </c>
      <c r="M28" s="1" cm="1">
        <f t="array" ref="M28">_xlfn.LET(_xlpm.d,M$2:M$19,_xlpm.a,$C$2:$C$19=$C28,_xlpm.b,$D$2:$D$19=$D28,MAX(_xlfn._xlws.FILTER(_xlpm.d,_xlpm.a*_xlpm.b)))</f>
        <v>0.97</v>
      </c>
      <c r="N28" s="1" cm="1">
        <f t="array" ref="N28">_xlfn.LET(_xlpm.d,N$2:N$19,_xlpm.a,$C$2:$C$19=$C28,_xlpm.b,$D$2:$D$19=$D28,MAX(_xlfn._xlws.FILTER(_xlpm.d,_xlpm.a*_xlpm.b)))</f>
        <v>0.97</v>
      </c>
      <c r="O28" s="1" cm="1">
        <f t="array" ref="O28">_xlfn.LET(_xlpm.d,O$2:O$19,_xlpm.a,$C$2:$C$19=$C28,_xlpm.b,$D$2:$D$19=$D28,MAX(_xlfn._xlws.FILTER(_xlpm.d,_xlpm.a*_xlpm.b)))</f>
        <v>0.94</v>
      </c>
      <c r="P28" s="1" cm="1">
        <f t="array" ref="P28">_xlfn.LET(_xlpm.d,P$2:P$19,_xlpm.a,$C$2:$C$19=$C28,_xlpm.b,$D$2:$D$19=$D28,MAX(_xlfn._xlws.FILTER(_xlpm.d,_xlpm.a*_xlpm.b)))</f>
        <v>0.96</v>
      </c>
      <c r="Q28" s="1" cm="1">
        <f t="array" ref="Q28">_xlfn.LET(_xlpm.d,Q$2:Q$19,_xlpm.a,$C$2:$C$19=$C28,_xlpm.b,$D$2:$D$19=$D28,MAX(_xlfn._xlws.FILTER(_xlpm.d,_xlpm.a*_xlpm.b)))</f>
        <v>0.97</v>
      </c>
      <c r="R28" s="1" cm="1">
        <f t="array" ref="R28">_xlfn.LET(_xlpm.d,R$2:R$19,_xlpm.a,$C$2:$C$19=$C28,_xlpm.b,$D$2:$D$19=$D28,MAX(_xlfn._xlws.FILTER(_xlpm.d,_xlpm.a*_xlpm.b)))</f>
        <v>0.98</v>
      </c>
      <c r="S28" s="1" cm="1">
        <f t="array" ref="S28">_xlfn.LET(_xlpm.d,S$2:S$19,_xlpm.a,$C$2:$C$19=$C28,_xlpm.b,$D$2:$D$19=$D28,MAX(_xlfn._xlws.FILTER(_xlpm.d,_xlpm.a*_xlpm.b)))</f>
        <v>0.98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73E2-8A7B-E04B-917A-28D74701FE92}">
  <dimension ref="A1:T37"/>
  <sheetViews>
    <sheetView workbookViewId="0">
      <pane xSplit="14180" ySplit="2200" topLeftCell="E23" activePane="bottomLeft"/>
      <selection activeCell="H1" sqref="H1:T1"/>
      <selection pane="topRight" activeCell="G1" sqref="G1:G1048576"/>
      <selection pane="bottomLeft" activeCell="G41" sqref="G41"/>
      <selection pane="bottomRight" activeCell="I30" sqref="I30"/>
    </sheetView>
  </sheetViews>
  <sheetFormatPr baseColWidth="10" defaultRowHeight="25" customHeight="1"/>
  <cols>
    <col min="2" max="2" width="6.75" customWidth="1"/>
    <col min="4" max="4" width="9.375" customWidth="1"/>
    <col min="5" max="5" width="7.75" customWidth="1"/>
    <col min="6" max="6" width="8.375" customWidth="1"/>
    <col min="7" max="7" width="10.875" customWidth="1"/>
    <col min="8" max="19" width="8.5" customWidth="1"/>
    <col min="20" max="20" width="8.37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31</v>
      </c>
      <c r="E1" t="s">
        <v>4</v>
      </c>
      <c r="F1" t="s">
        <v>5</v>
      </c>
      <c r="G1" t="s">
        <v>36</v>
      </c>
      <c r="H1" t="s">
        <v>6</v>
      </c>
      <c r="I1" t="s">
        <v>7</v>
      </c>
      <c r="J1" t="s">
        <v>8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21</v>
      </c>
      <c r="R1" t="s">
        <v>22</v>
      </c>
      <c r="S1" t="s">
        <v>23</v>
      </c>
      <c r="T1" t="s">
        <v>24</v>
      </c>
    </row>
    <row r="2" spans="1:20" ht="25" customHeight="1">
      <c r="A2" t="s">
        <v>33</v>
      </c>
      <c r="B2">
        <v>1</v>
      </c>
      <c r="C2" t="s">
        <v>25</v>
      </c>
      <c r="D2" t="b">
        <v>1</v>
      </c>
      <c r="E2">
        <v>1</v>
      </c>
      <c r="F2" t="s">
        <v>26</v>
      </c>
      <c r="G2" s="5" t="str">
        <f>_xlfn.TEXTJOIN("-",TRUE,Table11[[#This Row],[attribute]],Table11[[#This Row],[supplemented]],Table11[[#This Row],[method]])</f>
        <v>plurality-TRUE-DT</v>
      </c>
      <c r="H2" s="1">
        <v>0.74</v>
      </c>
      <c r="I2" s="1">
        <v>0.7</v>
      </c>
      <c r="J2" s="1">
        <v>0.69</v>
      </c>
      <c r="K2" s="1">
        <v>0.69</v>
      </c>
      <c r="L2" s="1">
        <v>0.68</v>
      </c>
      <c r="M2" s="1">
        <v>0.68</v>
      </c>
      <c r="N2" s="1">
        <v>0.71</v>
      </c>
      <c r="O2" s="1">
        <v>0.67</v>
      </c>
      <c r="P2" s="1">
        <v>0.66</v>
      </c>
      <c r="Q2" s="1">
        <v>0.66</v>
      </c>
      <c r="R2" s="1">
        <v>0.64</v>
      </c>
      <c r="S2" s="1">
        <v>0.67</v>
      </c>
      <c r="T2" s="1">
        <f t="shared" ref="T2:T19" si="0">MAX($H2:$S2)</f>
        <v>0.74</v>
      </c>
    </row>
    <row r="3" spans="1:20" ht="25" customHeight="1">
      <c r="A3" t="s">
        <v>33</v>
      </c>
      <c r="B3">
        <v>1</v>
      </c>
      <c r="C3" t="s">
        <v>25</v>
      </c>
      <c r="D3" t="b">
        <v>1</v>
      </c>
      <c r="E3">
        <v>2</v>
      </c>
      <c r="F3" t="s">
        <v>27</v>
      </c>
      <c r="G3" t="str">
        <f>_xlfn.TEXTJOIN("-",TRUE,Table11[[#This Row],[attribute]],Table11[[#This Row],[supplemented]],Table11[[#This Row],[method]])</f>
        <v>plurality-TRUE-RF</v>
      </c>
      <c r="H3" s="1">
        <v>0.73</v>
      </c>
      <c r="I3" s="1">
        <v>0.7</v>
      </c>
      <c r="J3" s="1">
        <v>0.69</v>
      </c>
      <c r="K3" s="1">
        <v>0.72</v>
      </c>
      <c r="L3" s="1">
        <v>0.71</v>
      </c>
      <c r="M3" s="1">
        <v>0.68</v>
      </c>
      <c r="N3" s="1">
        <v>0.73</v>
      </c>
      <c r="O3" s="1">
        <v>0.69</v>
      </c>
      <c r="P3" s="1">
        <v>0.72</v>
      </c>
      <c r="Q3" s="1">
        <v>0.75</v>
      </c>
      <c r="R3" s="1">
        <v>0.68</v>
      </c>
      <c r="S3" s="1">
        <v>0.73</v>
      </c>
      <c r="T3" s="1">
        <f t="shared" si="0"/>
        <v>0.75</v>
      </c>
    </row>
    <row r="4" spans="1:20" ht="25" customHeight="1">
      <c r="A4" t="s">
        <v>33</v>
      </c>
      <c r="B4">
        <v>1</v>
      </c>
      <c r="C4" t="s">
        <v>25</v>
      </c>
      <c r="D4" t="b">
        <v>1</v>
      </c>
      <c r="E4">
        <v>3</v>
      </c>
      <c r="F4" t="s">
        <v>28</v>
      </c>
      <c r="G4" t="str">
        <f>_xlfn.TEXTJOIN("-",TRUE,Table11[[#This Row],[attribute]],Table11[[#This Row],[supplemented]],Table11[[#This Row],[method]])</f>
        <v>plurality-TRUE-NN</v>
      </c>
      <c r="H4" s="1">
        <v>0.68</v>
      </c>
      <c r="I4" s="1">
        <v>0.69</v>
      </c>
      <c r="J4" s="1">
        <v>0.72</v>
      </c>
      <c r="K4" s="1">
        <v>0.73</v>
      </c>
      <c r="L4" s="1">
        <v>0.68</v>
      </c>
      <c r="M4" s="1">
        <v>0.64</v>
      </c>
      <c r="N4" s="1">
        <v>0.65</v>
      </c>
      <c r="O4" s="1">
        <v>0.67</v>
      </c>
      <c r="P4" s="1">
        <v>0.68</v>
      </c>
      <c r="Q4" s="1">
        <v>0.66</v>
      </c>
      <c r="R4" s="1">
        <v>0.64</v>
      </c>
      <c r="S4" s="1">
        <v>0.66</v>
      </c>
      <c r="T4" s="1">
        <f t="shared" si="0"/>
        <v>0.73</v>
      </c>
    </row>
    <row r="5" spans="1:20" ht="25" customHeight="1">
      <c r="A5" t="s">
        <v>33</v>
      </c>
      <c r="B5">
        <v>1</v>
      </c>
      <c r="C5" t="s">
        <v>25</v>
      </c>
      <c r="D5" t="b">
        <v>0</v>
      </c>
      <c r="E5">
        <v>1</v>
      </c>
      <c r="F5" t="s">
        <v>26</v>
      </c>
      <c r="G5" t="str">
        <f>_xlfn.TEXTJOIN("-",TRUE,Table11[[#This Row],[attribute]],Table11[[#This Row],[supplemented]],Table11[[#This Row],[method]])</f>
        <v>plurality-FALSE-DT</v>
      </c>
      <c r="H5" s="1">
        <v>0.63</v>
      </c>
      <c r="I5" s="1">
        <v>0.63</v>
      </c>
      <c r="J5" s="1">
        <v>0.66</v>
      </c>
      <c r="K5" s="1">
        <v>0.69</v>
      </c>
      <c r="L5" s="1">
        <v>0.62</v>
      </c>
      <c r="M5" s="1">
        <v>0.66</v>
      </c>
      <c r="N5" s="1">
        <v>0.63</v>
      </c>
      <c r="O5" s="1">
        <v>0.63</v>
      </c>
      <c r="P5" s="1">
        <v>0.64</v>
      </c>
      <c r="Q5" s="1">
        <v>0.62</v>
      </c>
      <c r="R5" s="1">
        <v>0.66</v>
      </c>
      <c r="S5" s="1">
        <v>0.7</v>
      </c>
      <c r="T5" s="1">
        <f t="shared" si="0"/>
        <v>0.7</v>
      </c>
    </row>
    <row r="6" spans="1:20" ht="25" customHeight="1">
      <c r="A6" t="s">
        <v>33</v>
      </c>
      <c r="B6">
        <v>1</v>
      </c>
      <c r="C6" t="s">
        <v>25</v>
      </c>
      <c r="D6" t="b">
        <v>0</v>
      </c>
      <c r="E6">
        <v>2</v>
      </c>
      <c r="F6" t="s">
        <v>27</v>
      </c>
      <c r="G6" t="str">
        <f>_xlfn.TEXTJOIN("-",TRUE,Table11[[#This Row],[attribute]],Table11[[#This Row],[supplemented]],Table11[[#This Row],[method]])</f>
        <v>plurality-FALSE-RF</v>
      </c>
      <c r="H6" s="1">
        <v>0.67</v>
      </c>
      <c r="I6" s="1">
        <v>0.67</v>
      </c>
      <c r="J6" s="1">
        <v>0.7</v>
      </c>
      <c r="K6" s="1">
        <v>0.7</v>
      </c>
      <c r="L6" s="1">
        <v>0.7</v>
      </c>
      <c r="M6" s="1">
        <v>0.68</v>
      </c>
      <c r="N6" s="1">
        <v>0.65</v>
      </c>
      <c r="O6" s="1">
        <v>0.65</v>
      </c>
      <c r="P6" s="1">
        <v>0.68</v>
      </c>
      <c r="Q6" s="1">
        <v>0.67</v>
      </c>
      <c r="R6" s="1">
        <v>0.69</v>
      </c>
      <c r="S6" s="1">
        <v>0.71</v>
      </c>
      <c r="T6" s="1">
        <f t="shared" si="0"/>
        <v>0.71</v>
      </c>
    </row>
    <row r="7" spans="1:20" ht="25" customHeight="1">
      <c r="A7" t="s">
        <v>33</v>
      </c>
      <c r="B7">
        <v>1</v>
      </c>
      <c r="C7" t="s">
        <v>25</v>
      </c>
      <c r="D7" t="b">
        <v>0</v>
      </c>
      <c r="E7">
        <v>3</v>
      </c>
      <c r="F7" t="s">
        <v>28</v>
      </c>
      <c r="G7" t="str">
        <f>_xlfn.TEXTJOIN("-",TRUE,Table11[[#This Row],[attribute]],Table11[[#This Row],[supplemented]],Table11[[#This Row],[method]])</f>
        <v>plurality-FALSE-NN</v>
      </c>
      <c r="H7" s="1">
        <v>0.64</v>
      </c>
      <c r="I7" s="1">
        <v>0.62</v>
      </c>
      <c r="J7" s="1">
        <v>0.64</v>
      </c>
      <c r="K7" s="1">
        <v>0.7</v>
      </c>
      <c r="L7" s="1">
        <v>0.66</v>
      </c>
      <c r="M7" s="1">
        <v>0.63</v>
      </c>
      <c r="N7" s="1">
        <v>0.59</v>
      </c>
      <c r="O7" s="1">
        <v>0.57999999999999996</v>
      </c>
      <c r="P7" s="1">
        <v>0.62</v>
      </c>
      <c r="Q7" s="1">
        <v>0.65</v>
      </c>
      <c r="R7" s="1">
        <v>0.62</v>
      </c>
      <c r="S7" s="1">
        <v>0.65</v>
      </c>
      <c r="T7" s="1">
        <f t="shared" si="0"/>
        <v>0.7</v>
      </c>
    </row>
    <row r="8" spans="1:20" ht="25" customHeight="1">
      <c r="A8" t="s">
        <v>33</v>
      </c>
      <c r="B8">
        <v>2</v>
      </c>
      <c r="C8" t="s">
        <v>29</v>
      </c>
      <c r="D8" t="b">
        <v>1</v>
      </c>
      <c r="E8">
        <v>1</v>
      </c>
      <c r="F8" t="s">
        <v>26</v>
      </c>
      <c r="G8" t="str">
        <f>_xlfn.TEXTJOIN("-",TRUE,Table11[[#This Row],[attribute]],Table11[[#This Row],[supplemented]],Table11[[#This Row],[method]])</f>
        <v>gender-TRUE-DT</v>
      </c>
      <c r="H8" s="1">
        <v>0.81</v>
      </c>
      <c r="I8" s="1">
        <v>0.75</v>
      </c>
      <c r="J8" s="1">
        <v>0.76</v>
      </c>
      <c r="K8" s="1">
        <v>0.73</v>
      </c>
      <c r="L8" s="1">
        <v>0.7</v>
      </c>
      <c r="M8" s="1">
        <v>0.74</v>
      </c>
      <c r="N8" s="1">
        <v>0.77</v>
      </c>
      <c r="O8" s="1">
        <v>0.75</v>
      </c>
      <c r="P8" s="1">
        <v>0.78</v>
      </c>
      <c r="Q8" s="1">
        <v>0.7</v>
      </c>
      <c r="R8" s="1">
        <v>0.7</v>
      </c>
      <c r="S8" s="1">
        <v>0.69</v>
      </c>
      <c r="T8" s="1">
        <f t="shared" si="0"/>
        <v>0.81</v>
      </c>
    </row>
    <row r="9" spans="1:20" ht="25" customHeight="1">
      <c r="A9" t="s">
        <v>33</v>
      </c>
      <c r="B9">
        <v>2</v>
      </c>
      <c r="C9" t="s">
        <v>29</v>
      </c>
      <c r="D9" t="b">
        <v>1</v>
      </c>
      <c r="E9">
        <v>2</v>
      </c>
      <c r="F9" t="s">
        <v>27</v>
      </c>
      <c r="G9" t="str">
        <f>_xlfn.TEXTJOIN("-",TRUE,Table11[[#This Row],[attribute]],Table11[[#This Row],[supplemented]],Table11[[#This Row],[method]])</f>
        <v>gender-TRUE-RF</v>
      </c>
      <c r="H9" s="1">
        <v>0.84</v>
      </c>
      <c r="I9" s="1">
        <v>0.75</v>
      </c>
      <c r="J9" s="1">
        <v>0.81</v>
      </c>
      <c r="K9" s="1">
        <v>0.73</v>
      </c>
      <c r="L9" s="1">
        <v>0.76</v>
      </c>
      <c r="M9" s="1">
        <v>0.8</v>
      </c>
      <c r="N9" s="1">
        <v>0.8</v>
      </c>
      <c r="O9" s="1">
        <v>0.78</v>
      </c>
      <c r="P9" s="1">
        <v>0.75</v>
      </c>
      <c r="Q9" s="1">
        <v>0.77</v>
      </c>
      <c r="R9" s="1">
        <v>0.73</v>
      </c>
      <c r="S9" s="1">
        <v>0.75</v>
      </c>
      <c r="T9" s="1">
        <f t="shared" si="0"/>
        <v>0.84</v>
      </c>
    </row>
    <row r="10" spans="1:20" ht="25" customHeight="1">
      <c r="A10" t="s">
        <v>33</v>
      </c>
      <c r="B10">
        <v>2</v>
      </c>
      <c r="C10" t="s">
        <v>29</v>
      </c>
      <c r="D10" t="b">
        <v>1</v>
      </c>
      <c r="E10">
        <v>3</v>
      </c>
      <c r="F10" t="s">
        <v>28</v>
      </c>
      <c r="G10" t="str">
        <f>_xlfn.TEXTJOIN("-",TRUE,Table11[[#This Row],[attribute]],Table11[[#This Row],[supplemented]],Table11[[#This Row],[method]])</f>
        <v>gender-TRUE-NN</v>
      </c>
      <c r="H10" s="1">
        <v>0.78</v>
      </c>
      <c r="I10" s="1">
        <v>0.74</v>
      </c>
      <c r="J10" s="1">
        <v>0.78</v>
      </c>
      <c r="K10" s="1">
        <v>0.77</v>
      </c>
      <c r="L10" s="1">
        <v>0.77</v>
      </c>
      <c r="M10" s="1">
        <v>0.77</v>
      </c>
      <c r="N10" s="1">
        <v>0.78</v>
      </c>
      <c r="O10" s="1">
        <v>0.77</v>
      </c>
      <c r="P10" s="1">
        <v>0.78</v>
      </c>
      <c r="Q10" s="1">
        <v>0.76</v>
      </c>
      <c r="R10" s="1">
        <v>0.8</v>
      </c>
      <c r="S10" s="1">
        <v>0.77</v>
      </c>
      <c r="T10" s="1">
        <f t="shared" si="0"/>
        <v>0.8</v>
      </c>
    </row>
    <row r="11" spans="1:20" ht="25" customHeight="1">
      <c r="A11" t="s">
        <v>33</v>
      </c>
      <c r="B11">
        <v>2</v>
      </c>
      <c r="C11" t="s">
        <v>29</v>
      </c>
      <c r="D11" t="b">
        <v>0</v>
      </c>
      <c r="E11">
        <v>1</v>
      </c>
      <c r="F11" t="s">
        <v>26</v>
      </c>
      <c r="G11" t="str">
        <f>_xlfn.TEXTJOIN("-",TRUE,Table11[[#This Row],[attribute]],Table11[[#This Row],[supplemented]],Table11[[#This Row],[method]])</f>
        <v>gender-FALSE-DT</v>
      </c>
      <c r="H11" s="1">
        <v>0.67</v>
      </c>
      <c r="I11" s="1">
        <v>0.69</v>
      </c>
      <c r="J11" s="1">
        <v>0.75</v>
      </c>
      <c r="K11" s="1">
        <v>0.71</v>
      </c>
      <c r="L11" s="1">
        <v>0.69</v>
      </c>
      <c r="M11" s="1">
        <v>0.73</v>
      </c>
      <c r="N11" s="1">
        <v>0.7</v>
      </c>
      <c r="O11" s="1">
        <v>0.7</v>
      </c>
      <c r="P11" s="1">
        <v>0.65</v>
      </c>
      <c r="Q11" s="1">
        <v>0.68</v>
      </c>
      <c r="R11" s="1">
        <v>0.71</v>
      </c>
      <c r="S11" s="1">
        <v>0.72</v>
      </c>
      <c r="T11" s="1">
        <f t="shared" si="0"/>
        <v>0.75</v>
      </c>
    </row>
    <row r="12" spans="1:20" ht="25" customHeight="1">
      <c r="A12" t="s">
        <v>33</v>
      </c>
      <c r="B12">
        <v>2</v>
      </c>
      <c r="C12" t="s">
        <v>29</v>
      </c>
      <c r="D12" t="b">
        <v>0</v>
      </c>
      <c r="E12">
        <v>2</v>
      </c>
      <c r="F12" t="s">
        <v>27</v>
      </c>
      <c r="G12" t="str">
        <f>_xlfn.TEXTJOIN("-",TRUE,Table11[[#This Row],[attribute]],Table11[[#This Row],[supplemented]],Table11[[#This Row],[method]])</f>
        <v>gender-FALSE-RF</v>
      </c>
      <c r="H12" s="1">
        <v>0.74</v>
      </c>
      <c r="I12" s="1">
        <v>0.73</v>
      </c>
      <c r="J12" s="1">
        <v>0.74</v>
      </c>
      <c r="K12" s="1">
        <v>0.76</v>
      </c>
      <c r="L12" s="1">
        <v>0.76</v>
      </c>
      <c r="M12" s="1">
        <v>0.78</v>
      </c>
      <c r="N12" s="1">
        <v>0.74</v>
      </c>
      <c r="O12" s="1">
        <v>0.75</v>
      </c>
      <c r="P12" s="1">
        <v>0.76</v>
      </c>
      <c r="Q12" s="1">
        <v>0.76</v>
      </c>
      <c r="R12" s="1">
        <v>0.73</v>
      </c>
      <c r="S12" s="1">
        <v>0.75</v>
      </c>
      <c r="T12" s="1">
        <f t="shared" si="0"/>
        <v>0.78</v>
      </c>
    </row>
    <row r="13" spans="1:20" ht="25" customHeight="1">
      <c r="A13" t="s">
        <v>33</v>
      </c>
      <c r="B13">
        <v>2</v>
      </c>
      <c r="C13" t="s">
        <v>29</v>
      </c>
      <c r="D13" t="b">
        <v>0</v>
      </c>
      <c r="E13">
        <v>3</v>
      </c>
      <c r="F13" t="s">
        <v>28</v>
      </c>
      <c r="G13" t="str">
        <f>_xlfn.TEXTJOIN("-",TRUE,Table11[[#This Row],[attribute]],Table11[[#This Row],[supplemented]],Table11[[#This Row],[method]])</f>
        <v>gender-FALSE-NN</v>
      </c>
      <c r="H13" s="1">
        <v>0.72</v>
      </c>
      <c r="I13" s="1">
        <v>0.71</v>
      </c>
      <c r="J13" s="1">
        <v>0.77</v>
      </c>
      <c r="K13" s="1">
        <v>0.76</v>
      </c>
      <c r="L13" s="1">
        <v>0.71</v>
      </c>
      <c r="M13" s="1">
        <v>0.76</v>
      </c>
      <c r="N13" s="1">
        <v>0.73</v>
      </c>
      <c r="O13" s="1">
        <v>0.68</v>
      </c>
      <c r="P13" s="1">
        <v>0.77</v>
      </c>
      <c r="Q13" s="1">
        <v>0.73</v>
      </c>
      <c r="R13" s="1">
        <v>0.74</v>
      </c>
      <c r="S13" s="1">
        <v>0.77</v>
      </c>
      <c r="T13" s="1">
        <f t="shared" si="0"/>
        <v>0.77</v>
      </c>
    </row>
    <row r="14" spans="1:20" ht="25" customHeight="1">
      <c r="A14" t="s">
        <v>33</v>
      </c>
      <c r="B14">
        <v>3</v>
      </c>
      <c r="C14" t="s">
        <v>30</v>
      </c>
      <c r="D14" t="b">
        <v>1</v>
      </c>
      <c r="E14">
        <v>1</v>
      </c>
      <c r="F14" t="s">
        <v>26</v>
      </c>
      <c r="G14" t="str">
        <f>_xlfn.TEXTJOIN("-",TRUE,Table11[[#This Row],[attribute]],Table11[[#This Row],[supplemented]],Table11[[#This Row],[method]])</f>
        <v>case-TRUE-DT</v>
      </c>
      <c r="H14" s="1">
        <v>0.96</v>
      </c>
      <c r="I14" s="1">
        <v>0.96</v>
      </c>
      <c r="J14" s="1">
        <v>0.96</v>
      </c>
      <c r="K14" s="1">
        <v>0.97</v>
      </c>
      <c r="L14" s="1">
        <v>0.95</v>
      </c>
      <c r="M14" s="1">
        <v>0.97</v>
      </c>
      <c r="N14" s="1">
        <v>0.97</v>
      </c>
      <c r="O14" s="1">
        <v>0.97</v>
      </c>
      <c r="P14" s="1">
        <v>0.95</v>
      </c>
      <c r="Q14" s="1">
        <v>0.96</v>
      </c>
      <c r="R14" s="1">
        <v>0.97</v>
      </c>
      <c r="S14" s="1">
        <v>0.97</v>
      </c>
      <c r="T14" s="1">
        <f t="shared" si="0"/>
        <v>0.97</v>
      </c>
    </row>
    <row r="15" spans="1:20" ht="25" customHeight="1">
      <c r="A15" t="s">
        <v>33</v>
      </c>
      <c r="B15">
        <v>3</v>
      </c>
      <c r="C15" t="s">
        <v>30</v>
      </c>
      <c r="D15" t="b">
        <v>1</v>
      </c>
      <c r="E15">
        <v>2</v>
      </c>
      <c r="F15" t="s">
        <v>27</v>
      </c>
      <c r="G15" t="str">
        <f>_xlfn.TEXTJOIN("-",TRUE,Table11[[#This Row],[attribute]],Table11[[#This Row],[supplemented]],Table11[[#This Row],[method]])</f>
        <v>case-TRUE-RF</v>
      </c>
      <c r="H15" s="1">
        <v>0.96</v>
      </c>
      <c r="I15" s="1">
        <v>0.96</v>
      </c>
      <c r="J15" s="1">
        <v>0.96</v>
      </c>
      <c r="K15" s="1">
        <v>0.97</v>
      </c>
      <c r="L15" s="1">
        <v>0.95</v>
      </c>
      <c r="M15" s="1">
        <v>0.98</v>
      </c>
      <c r="N15" s="1">
        <v>0.97</v>
      </c>
      <c r="O15" s="1">
        <v>0.96</v>
      </c>
      <c r="P15" s="1">
        <v>0.96</v>
      </c>
      <c r="Q15" s="1">
        <v>0.98</v>
      </c>
      <c r="R15" s="1">
        <v>0.98</v>
      </c>
      <c r="S15" s="1">
        <v>0.98</v>
      </c>
      <c r="T15" s="1">
        <f t="shared" si="0"/>
        <v>0.98</v>
      </c>
    </row>
    <row r="16" spans="1:20" ht="25" customHeight="1">
      <c r="A16" t="s">
        <v>33</v>
      </c>
      <c r="B16">
        <v>3</v>
      </c>
      <c r="C16" t="s">
        <v>30</v>
      </c>
      <c r="D16" t="b">
        <v>1</v>
      </c>
      <c r="E16">
        <v>3</v>
      </c>
      <c r="F16" t="s">
        <v>28</v>
      </c>
      <c r="G16" t="str">
        <f>_xlfn.TEXTJOIN("-",TRUE,Table11[[#This Row],[attribute]],Table11[[#This Row],[supplemented]],Table11[[#This Row],[method]])</f>
        <v>case-TRUE-NN</v>
      </c>
      <c r="H16" s="1">
        <v>0.95</v>
      </c>
      <c r="I16" s="1">
        <v>0.96</v>
      </c>
      <c r="J16" s="1">
        <v>0.96</v>
      </c>
      <c r="K16" s="1">
        <v>0.97</v>
      </c>
      <c r="L16" s="1">
        <v>0.95</v>
      </c>
      <c r="M16" s="1">
        <v>0.98</v>
      </c>
      <c r="N16" s="1">
        <v>0.97</v>
      </c>
      <c r="O16" s="1">
        <v>0.96</v>
      </c>
      <c r="P16" s="1">
        <v>0.96</v>
      </c>
      <c r="Q16" s="1">
        <v>0.98</v>
      </c>
      <c r="R16" s="1">
        <v>0.98</v>
      </c>
      <c r="S16" s="1">
        <v>0.98</v>
      </c>
      <c r="T16" s="1">
        <f t="shared" si="0"/>
        <v>0.98</v>
      </c>
    </row>
    <row r="17" spans="1:20" ht="25" customHeight="1">
      <c r="A17" t="s">
        <v>33</v>
      </c>
      <c r="B17">
        <v>3</v>
      </c>
      <c r="C17" t="s">
        <v>30</v>
      </c>
      <c r="D17" t="b">
        <v>0</v>
      </c>
      <c r="E17">
        <v>1</v>
      </c>
      <c r="F17" t="s">
        <v>26</v>
      </c>
      <c r="G17" t="str">
        <f>_xlfn.TEXTJOIN("-",TRUE,Table11[[#This Row],[attribute]],Table11[[#This Row],[supplemented]],Table11[[#This Row],[method]])</f>
        <v>case-FALSE-DT</v>
      </c>
      <c r="H17" s="1">
        <v>0.95</v>
      </c>
      <c r="I17" s="1">
        <v>0.95</v>
      </c>
      <c r="J17" s="1">
        <v>0.95</v>
      </c>
      <c r="K17" s="1">
        <v>0.96</v>
      </c>
      <c r="L17" s="1">
        <v>0.94</v>
      </c>
      <c r="M17" s="1">
        <v>0.98</v>
      </c>
      <c r="N17" s="1">
        <v>0.96</v>
      </c>
      <c r="O17" s="1">
        <v>0.96</v>
      </c>
      <c r="P17" s="1">
        <v>0.96</v>
      </c>
      <c r="Q17" s="1">
        <v>0.98</v>
      </c>
      <c r="R17" s="1">
        <v>0.98</v>
      </c>
      <c r="S17" s="1">
        <v>0.97</v>
      </c>
      <c r="T17" s="1">
        <f t="shared" si="0"/>
        <v>0.98</v>
      </c>
    </row>
    <row r="18" spans="1:20" ht="25" customHeight="1">
      <c r="A18" t="s">
        <v>33</v>
      </c>
      <c r="B18">
        <v>3</v>
      </c>
      <c r="C18" t="s">
        <v>30</v>
      </c>
      <c r="D18" t="b">
        <v>0</v>
      </c>
      <c r="E18">
        <v>2</v>
      </c>
      <c r="F18" t="s">
        <v>27</v>
      </c>
      <c r="G18" t="str">
        <f>_xlfn.TEXTJOIN("-",TRUE,Table11[[#This Row],[attribute]],Table11[[#This Row],[supplemented]],Table11[[#This Row],[method]])</f>
        <v>case-FALSE-RF</v>
      </c>
      <c r="H18" s="1">
        <v>0.95</v>
      </c>
      <c r="I18" s="1">
        <v>0.96</v>
      </c>
      <c r="J18" s="1">
        <v>0.96</v>
      </c>
      <c r="K18" s="1">
        <v>0.97</v>
      </c>
      <c r="L18" s="1">
        <v>0.95</v>
      </c>
      <c r="M18" s="1">
        <v>0.98</v>
      </c>
      <c r="N18" s="1">
        <v>0.97</v>
      </c>
      <c r="O18" s="1">
        <v>0.96</v>
      </c>
      <c r="P18" s="1">
        <v>0.95</v>
      </c>
      <c r="Q18" s="1">
        <v>0.98</v>
      </c>
      <c r="R18" s="1">
        <v>0.98</v>
      </c>
      <c r="S18" s="1">
        <v>0.98</v>
      </c>
      <c r="T18" s="1">
        <f t="shared" si="0"/>
        <v>0.98</v>
      </c>
    </row>
    <row r="19" spans="1:20" ht="25" customHeight="1">
      <c r="A19" t="s">
        <v>33</v>
      </c>
      <c r="B19">
        <v>3</v>
      </c>
      <c r="C19" t="s">
        <v>30</v>
      </c>
      <c r="D19" t="b">
        <v>0</v>
      </c>
      <c r="E19">
        <v>3</v>
      </c>
      <c r="F19" t="s">
        <v>28</v>
      </c>
      <c r="G19" t="str">
        <f>_xlfn.TEXTJOIN("-",TRUE,Table11[[#This Row],[attribute]],Table11[[#This Row],[supplemented]],Table11[[#This Row],[method]])</f>
        <v>case-FALSE-NN</v>
      </c>
      <c r="H19" s="1">
        <v>0.95</v>
      </c>
      <c r="I19" s="1">
        <v>0.96</v>
      </c>
      <c r="J19" s="1">
        <v>0.96</v>
      </c>
      <c r="K19" s="1">
        <v>0.97</v>
      </c>
      <c r="L19" s="1">
        <v>0.95</v>
      </c>
      <c r="M19" s="1">
        <v>0.98</v>
      </c>
      <c r="N19" s="1">
        <v>0.97</v>
      </c>
      <c r="O19" s="1">
        <v>0.96</v>
      </c>
      <c r="P19" s="1">
        <v>0.96</v>
      </c>
      <c r="Q19" s="1">
        <v>0.98</v>
      </c>
      <c r="R19" s="1">
        <v>0.98</v>
      </c>
      <c r="S19" s="1">
        <v>0.98</v>
      </c>
      <c r="T19" s="1">
        <f t="shared" si="0"/>
        <v>0.98</v>
      </c>
    </row>
    <row r="22" spans="1:20" ht="25" customHeight="1">
      <c r="B22" t="s">
        <v>1</v>
      </c>
      <c r="C22" t="s">
        <v>2</v>
      </c>
      <c r="D22" t="s">
        <v>31</v>
      </c>
      <c r="E22" t="s">
        <v>4</v>
      </c>
      <c r="F22" t="s">
        <v>5</v>
      </c>
      <c r="G22" t="s">
        <v>36</v>
      </c>
      <c r="H22" t="s">
        <v>6</v>
      </c>
      <c r="I22" t="s">
        <v>7</v>
      </c>
      <c r="J22" t="s">
        <v>8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21</v>
      </c>
      <c r="R22" t="s">
        <v>22</v>
      </c>
      <c r="S22" t="s">
        <v>23</v>
      </c>
      <c r="T22" t="s">
        <v>24</v>
      </c>
    </row>
    <row r="23" spans="1:20" ht="25" customHeight="1">
      <c r="B23">
        <v>1</v>
      </c>
      <c r="C23" t="s">
        <v>25</v>
      </c>
      <c r="D23" t="b">
        <v>1</v>
      </c>
      <c r="E23">
        <v>1</v>
      </c>
      <c r="F23" t="s">
        <v>24</v>
      </c>
      <c r="G23" s="5" t="str">
        <f>_xlfn.TEXTJOIN("-",TRUE,Table613[[#This Row],[attribute]],Table613[[#This Row],[supplemented]],Table613[[#This Row],[method]])</f>
        <v>plurality-TRUE-max</v>
      </c>
      <c r="H23" s="1" cm="1">
        <f t="array" ref="H23">_xlfn.LET(_xlpm.d,H$2:H$19,_xlpm.a,$C$2:$C$19=$C23,_xlpm.b,$D$2:$D$19=$D23,MAX(_xlfn._xlws.FILTER(_xlpm.d,_xlpm.a*_xlpm.b)))</f>
        <v>0.74</v>
      </c>
      <c r="I23" s="1" cm="1">
        <f t="array" ref="I23">_xlfn.LET(_xlpm.d,I$2:I$19,_xlpm.a,$C$2:$C$19=$C23,_xlpm.b,$D$2:$D$19=$D23,MAX(_xlfn._xlws.FILTER(_xlpm.d,_xlpm.a*_xlpm.b)))</f>
        <v>0.7</v>
      </c>
      <c r="J23" s="1" cm="1">
        <f t="array" ref="J23">_xlfn.LET(_xlpm.d,J$2:J$19,_xlpm.a,$C$2:$C$19=$C23,_xlpm.b,$D$2:$D$19=$D23,MAX(_xlfn._xlws.FILTER(_xlpm.d,_xlpm.a*_xlpm.b)))</f>
        <v>0.72</v>
      </c>
      <c r="K23" s="1" cm="1">
        <f t="array" ref="K23">_xlfn.LET(_xlpm.d,K$2:K$19,_xlpm.a,$C$2:$C$19=$C23,_xlpm.b,$D$2:$D$19=$D23,MAX(_xlfn._xlws.FILTER(_xlpm.d,_xlpm.a*_xlpm.b)))</f>
        <v>0.73</v>
      </c>
      <c r="L23" s="1" cm="1">
        <f t="array" ref="L23">_xlfn.LET(_xlpm.d,L$2:L$19,_xlpm.a,$C$2:$C$19=$C23,_xlpm.b,$D$2:$D$19=$D23,MAX(_xlfn._xlws.FILTER(_xlpm.d,_xlpm.a*_xlpm.b)))</f>
        <v>0.71</v>
      </c>
      <c r="M23" s="1" cm="1">
        <f t="array" ref="M23">_xlfn.LET(_xlpm.d,M$2:M$19,_xlpm.a,$C$2:$C$19=$C23,_xlpm.b,$D$2:$D$19=$D23,MAX(_xlfn._xlws.FILTER(_xlpm.d,_xlpm.a*_xlpm.b)))</f>
        <v>0.68</v>
      </c>
      <c r="N23" s="1" cm="1">
        <f t="array" ref="N23">_xlfn.LET(_xlpm.d,N$2:N$19,_xlpm.a,$C$2:$C$19=$C23,_xlpm.b,$D$2:$D$19=$D23,MAX(_xlfn._xlws.FILTER(_xlpm.d,_xlpm.a*_xlpm.b)))</f>
        <v>0.73</v>
      </c>
      <c r="O23" s="1" cm="1">
        <f t="array" ref="O23">_xlfn.LET(_xlpm.d,O$2:O$19,_xlpm.a,$C$2:$C$19=$C23,_xlpm.b,$D$2:$D$19=$D23,MAX(_xlfn._xlws.FILTER(_xlpm.d,_xlpm.a*_xlpm.b)))</f>
        <v>0.69</v>
      </c>
      <c r="P23" s="1" cm="1">
        <f t="array" ref="P23">_xlfn.LET(_xlpm.d,P$2:P$19,_xlpm.a,$C$2:$C$19=$C23,_xlpm.b,$D$2:$D$19=$D23,MAX(_xlfn._xlws.FILTER(_xlpm.d,_xlpm.a*_xlpm.b)))</f>
        <v>0.72</v>
      </c>
      <c r="Q23" s="1" cm="1">
        <f t="array" ref="Q23">_xlfn.LET(_xlpm.d,Q$2:Q$19,_xlpm.a,$C$2:$C$19=$C23,_xlpm.b,$D$2:$D$19=$D23,MAX(_xlfn._xlws.FILTER(_xlpm.d,_xlpm.a*_xlpm.b)))</f>
        <v>0.75</v>
      </c>
      <c r="R23" s="1" cm="1">
        <f t="array" ref="R23">_xlfn.LET(_xlpm.d,R$2:R$19,_xlpm.a,$C$2:$C$19=$C23,_xlpm.b,$D$2:$D$19=$D23,MAX(_xlfn._xlws.FILTER(_xlpm.d,_xlpm.a*_xlpm.b)))</f>
        <v>0.68</v>
      </c>
      <c r="S23" s="1" cm="1">
        <f t="array" ref="S23">_xlfn.LET(_xlpm.d,S$2:S$19,_xlpm.a,$C$2:$C$19=$C23,_xlpm.b,$D$2:$D$19=$D23,MAX(_xlfn._xlws.FILTER(_xlpm.d,_xlpm.a*_xlpm.b)))</f>
        <v>0.73</v>
      </c>
      <c r="T23" s="1" cm="1">
        <f t="array" ref="T23">_xlfn.LET(_xlpm.d,T$2:T$19,_xlpm.a,$C$2:$C$19=$C23,_xlpm.b,$D$2:$D$19=$D23,MAX(_xlfn._xlws.FILTER(_xlpm.d,_xlpm.a*_xlpm.b)))</f>
        <v>0.75</v>
      </c>
    </row>
    <row r="24" spans="1:20" ht="25" customHeight="1">
      <c r="B24">
        <v>1</v>
      </c>
      <c r="C24" t="s">
        <v>25</v>
      </c>
      <c r="D24" t="b">
        <v>0</v>
      </c>
      <c r="E24">
        <v>1</v>
      </c>
      <c r="F24" t="s">
        <v>24</v>
      </c>
      <c r="G24" t="str">
        <f>_xlfn.TEXTJOIN("-",TRUE,Table613[[#This Row],[attribute]],Table613[[#This Row],[supplemented]],Table613[[#This Row],[method]])</f>
        <v>plurality-FALSE-max</v>
      </c>
      <c r="H24" s="1" cm="1">
        <f t="array" ref="H24">_xlfn.LET(_xlpm.d,H$2:H$19,_xlpm.a,$C$2:$C$19=$C24,_xlpm.b,$D$2:$D$19=$D24,MAX(_xlfn._xlws.FILTER(_xlpm.d,_xlpm.a*_xlpm.b)))</f>
        <v>0.67</v>
      </c>
      <c r="I24" s="1" cm="1">
        <f t="array" ref="I24">_xlfn.LET(_xlpm.d,I$2:I$19,_xlpm.a,$C$2:$C$19=$C24,_xlpm.b,$D$2:$D$19=$D24,MAX(_xlfn._xlws.FILTER(_xlpm.d,_xlpm.a*_xlpm.b)))</f>
        <v>0.67</v>
      </c>
      <c r="J24" s="1" cm="1">
        <f t="array" ref="J24">_xlfn.LET(_xlpm.d,J$2:J$19,_xlpm.a,$C$2:$C$19=$C24,_xlpm.b,$D$2:$D$19=$D24,MAX(_xlfn._xlws.FILTER(_xlpm.d,_xlpm.a*_xlpm.b)))</f>
        <v>0.7</v>
      </c>
      <c r="K24" s="1" cm="1">
        <f t="array" ref="K24">_xlfn.LET(_xlpm.d,K$2:K$19,_xlpm.a,$C$2:$C$19=$C24,_xlpm.b,$D$2:$D$19=$D24,MAX(_xlfn._xlws.FILTER(_xlpm.d,_xlpm.a*_xlpm.b)))</f>
        <v>0.7</v>
      </c>
      <c r="L24" s="1" cm="1">
        <f t="array" ref="L24">_xlfn.LET(_xlpm.d,L$2:L$19,_xlpm.a,$C$2:$C$19=$C24,_xlpm.b,$D$2:$D$19=$D24,MAX(_xlfn._xlws.FILTER(_xlpm.d,_xlpm.a*_xlpm.b)))</f>
        <v>0.7</v>
      </c>
      <c r="M24" s="1" cm="1">
        <f t="array" ref="M24">_xlfn.LET(_xlpm.d,M$2:M$19,_xlpm.a,$C$2:$C$19=$C24,_xlpm.b,$D$2:$D$19=$D24,MAX(_xlfn._xlws.FILTER(_xlpm.d,_xlpm.a*_xlpm.b)))</f>
        <v>0.68</v>
      </c>
      <c r="N24" s="1" cm="1">
        <f t="array" ref="N24">_xlfn.LET(_xlpm.d,N$2:N$19,_xlpm.a,$C$2:$C$19=$C24,_xlpm.b,$D$2:$D$19=$D24,MAX(_xlfn._xlws.FILTER(_xlpm.d,_xlpm.a*_xlpm.b)))</f>
        <v>0.65</v>
      </c>
      <c r="O24" s="1" cm="1">
        <f t="array" ref="O24">_xlfn.LET(_xlpm.d,O$2:O$19,_xlpm.a,$C$2:$C$19=$C24,_xlpm.b,$D$2:$D$19=$D24,MAX(_xlfn._xlws.FILTER(_xlpm.d,_xlpm.a*_xlpm.b)))</f>
        <v>0.65</v>
      </c>
      <c r="P24" s="1" cm="1">
        <f t="array" ref="P24">_xlfn.LET(_xlpm.d,P$2:P$19,_xlpm.a,$C$2:$C$19=$C24,_xlpm.b,$D$2:$D$19=$D24,MAX(_xlfn._xlws.FILTER(_xlpm.d,_xlpm.a*_xlpm.b)))</f>
        <v>0.68</v>
      </c>
      <c r="Q24" s="1" cm="1">
        <f t="array" ref="Q24">_xlfn.LET(_xlpm.d,Q$2:Q$19,_xlpm.a,$C$2:$C$19=$C24,_xlpm.b,$D$2:$D$19=$D24,MAX(_xlfn._xlws.FILTER(_xlpm.d,_xlpm.a*_xlpm.b)))</f>
        <v>0.67</v>
      </c>
      <c r="R24" s="1" cm="1">
        <f t="array" ref="R24">_xlfn.LET(_xlpm.d,R$2:R$19,_xlpm.a,$C$2:$C$19=$C24,_xlpm.b,$D$2:$D$19=$D24,MAX(_xlfn._xlws.FILTER(_xlpm.d,_xlpm.a*_xlpm.b)))</f>
        <v>0.69</v>
      </c>
      <c r="S24" s="1" cm="1">
        <f t="array" ref="S24">_xlfn.LET(_xlpm.d,S$2:S$19,_xlpm.a,$C$2:$C$19=$C24,_xlpm.b,$D$2:$D$19=$D24,MAX(_xlfn._xlws.FILTER(_xlpm.d,_xlpm.a*_xlpm.b)))</f>
        <v>0.71</v>
      </c>
      <c r="T24" s="1" cm="1">
        <f t="array" ref="T24">_xlfn.LET(_xlpm.d,T$2:T$19,_xlpm.a,$C$2:$C$19=$C24,_xlpm.b,$D$2:$D$19=$D24,MAX(_xlfn._xlws.FILTER(_xlpm.d,_xlpm.a*_xlpm.b)))</f>
        <v>0.71</v>
      </c>
    </row>
    <row r="25" spans="1:20" ht="25" customHeight="1">
      <c r="B25">
        <v>2</v>
      </c>
      <c r="C25" t="s">
        <v>29</v>
      </c>
      <c r="D25" t="b">
        <v>1</v>
      </c>
      <c r="E25">
        <v>1</v>
      </c>
      <c r="F25" t="s">
        <v>24</v>
      </c>
      <c r="G25" t="str">
        <f>_xlfn.TEXTJOIN("-",TRUE,Table613[[#This Row],[attribute]],Table613[[#This Row],[supplemented]],Table613[[#This Row],[method]])</f>
        <v>gender-TRUE-max</v>
      </c>
      <c r="H25" s="1" cm="1">
        <f t="array" ref="H25">_xlfn.LET(_xlpm.d,H$2:H$19,_xlpm.a,$C$2:$C$19=$C25,_xlpm.b,$D$2:$D$19=$D25,MAX(_xlfn._xlws.FILTER(_xlpm.d,_xlpm.a*_xlpm.b)))</f>
        <v>0.84</v>
      </c>
      <c r="I25" s="1" cm="1">
        <f t="array" ref="I25">_xlfn.LET(_xlpm.d,I$2:I$19,_xlpm.a,$C$2:$C$19=$C25,_xlpm.b,$D$2:$D$19=$D25,MAX(_xlfn._xlws.FILTER(_xlpm.d,_xlpm.a*_xlpm.b)))</f>
        <v>0.75</v>
      </c>
      <c r="J25" s="1" cm="1">
        <f t="array" ref="J25">_xlfn.LET(_xlpm.d,J$2:J$19,_xlpm.a,$C$2:$C$19=$C25,_xlpm.b,$D$2:$D$19=$D25,MAX(_xlfn._xlws.FILTER(_xlpm.d,_xlpm.a*_xlpm.b)))</f>
        <v>0.81</v>
      </c>
      <c r="K25" s="1" cm="1">
        <f t="array" ref="K25">_xlfn.LET(_xlpm.d,K$2:K$19,_xlpm.a,$C$2:$C$19=$C25,_xlpm.b,$D$2:$D$19=$D25,MAX(_xlfn._xlws.FILTER(_xlpm.d,_xlpm.a*_xlpm.b)))</f>
        <v>0.77</v>
      </c>
      <c r="L25" s="1" cm="1">
        <f t="array" ref="L25">_xlfn.LET(_xlpm.d,L$2:L$19,_xlpm.a,$C$2:$C$19=$C25,_xlpm.b,$D$2:$D$19=$D25,MAX(_xlfn._xlws.FILTER(_xlpm.d,_xlpm.a*_xlpm.b)))</f>
        <v>0.77</v>
      </c>
      <c r="M25" s="1" cm="1">
        <f t="array" ref="M25">_xlfn.LET(_xlpm.d,M$2:M$19,_xlpm.a,$C$2:$C$19=$C25,_xlpm.b,$D$2:$D$19=$D25,MAX(_xlfn._xlws.FILTER(_xlpm.d,_xlpm.a*_xlpm.b)))</f>
        <v>0.8</v>
      </c>
      <c r="N25" s="1" cm="1">
        <f t="array" ref="N25">_xlfn.LET(_xlpm.d,N$2:N$19,_xlpm.a,$C$2:$C$19=$C25,_xlpm.b,$D$2:$D$19=$D25,MAX(_xlfn._xlws.FILTER(_xlpm.d,_xlpm.a*_xlpm.b)))</f>
        <v>0.8</v>
      </c>
      <c r="O25" s="1" cm="1">
        <f t="array" ref="O25">_xlfn.LET(_xlpm.d,O$2:O$19,_xlpm.a,$C$2:$C$19=$C25,_xlpm.b,$D$2:$D$19=$D25,MAX(_xlfn._xlws.FILTER(_xlpm.d,_xlpm.a*_xlpm.b)))</f>
        <v>0.78</v>
      </c>
      <c r="P25" s="1" cm="1">
        <f t="array" ref="P25">_xlfn.LET(_xlpm.d,P$2:P$19,_xlpm.a,$C$2:$C$19=$C25,_xlpm.b,$D$2:$D$19=$D25,MAX(_xlfn._xlws.FILTER(_xlpm.d,_xlpm.a*_xlpm.b)))</f>
        <v>0.78</v>
      </c>
      <c r="Q25" s="1" cm="1">
        <f t="array" ref="Q25">_xlfn.LET(_xlpm.d,Q$2:Q$19,_xlpm.a,$C$2:$C$19=$C25,_xlpm.b,$D$2:$D$19=$D25,MAX(_xlfn._xlws.FILTER(_xlpm.d,_xlpm.a*_xlpm.b)))</f>
        <v>0.77</v>
      </c>
      <c r="R25" s="1" cm="1">
        <f t="array" ref="R25">_xlfn.LET(_xlpm.d,R$2:R$19,_xlpm.a,$C$2:$C$19=$C25,_xlpm.b,$D$2:$D$19=$D25,MAX(_xlfn._xlws.FILTER(_xlpm.d,_xlpm.a*_xlpm.b)))</f>
        <v>0.8</v>
      </c>
      <c r="S25" s="1" cm="1">
        <f t="array" ref="S25">_xlfn.LET(_xlpm.d,S$2:S$19,_xlpm.a,$C$2:$C$19=$C25,_xlpm.b,$D$2:$D$19=$D25,MAX(_xlfn._xlws.FILTER(_xlpm.d,_xlpm.a*_xlpm.b)))</f>
        <v>0.77</v>
      </c>
      <c r="T25" s="1" cm="1">
        <f t="array" ref="T25">_xlfn.LET(_xlpm.d,T$2:T$19,_xlpm.a,$C$2:$C$19=$C25,_xlpm.b,$D$2:$D$19=$D25,MAX(_xlfn._xlws.FILTER(_xlpm.d,_xlpm.a*_xlpm.b)))</f>
        <v>0.84</v>
      </c>
    </row>
    <row r="26" spans="1:20" ht="25" customHeight="1">
      <c r="B26">
        <v>2</v>
      </c>
      <c r="C26" t="s">
        <v>29</v>
      </c>
      <c r="D26" t="b">
        <v>0</v>
      </c>
      <c r="E26">
        <v>1</v>
      </c>
      <c r="F26" t="s">
        <v>24</v>
      </c>
      <c r="G26" t="str">
        <f>_xlfn.TEXTJOIN("-",TRUE,Table613[[#This Row],[attribute]],Table613[[#This Row],[supplemented]],Table613[[#This Row],[method]])</f>
        <v>gender-FALSE-max</v>
      </c>
      <c r="H26" s="1" cm="1">
        <f t="array" ref="H26">_xlfn.LET(_xlpm.d,H$2:H$19,_xlpm.a,$C$2:$C$19=$C26,_xlpm.b,$D$2:$D$19=$D26,MAX(_xlfn._xlws.FILTER(_xlpm.d,_xlpm.a*_xlpm.b)))</f>
        <v>0.74</v>
      </c>
      <c r="I26" s="1" cm="1">
        <f t="array" ref="I26">_xlfn.LET(_xlpm.d,I$2:I$19,_xlpm.a,$C$2:$C$19=$C26,_xlpm.b,$D$2:$D$19=$D26,MAX(_xlfn._xlws.FILTER(_xlpm.d,_xlpm.a*_xlpm.b)))</f>
        <v>0.73</v>
      </c>
      <c r="J26" s="1" cm="1">
        <f t="array" ref="J26">_xlfn.LET(_xlpm.d,J$2:J$19,_xlpm.a,$C$2:$C$19=$C26,_xlpm.b,$D$2:$D$19=$D26,MAX(_xlfn._xlws.FILTER(_xlpm.d,_xlpm.a*_xlpm.b)))</f>
        <v>0.77</v>
      </c>
      <c r="K26" s="1" cm="1">
        <f t="array" ref="K26">_xlfn.LET(_xlpm.d,K$2:K$19,_xlpm.a,$C$2:$C$19=$C26,_xlpm.b,$D$2:$D$19=$D26,MAX(_xlfn._xlws.FILTER(_xlpm.d,_xlpm.a*_xlpm.b)))</f>
        <v>0.76</v>
      </c>
      <c r="L26" s="1" cm="1">
        <f t="array" ref="L26">_xlfn.LET(_xlpm.d,L$2:L$19,_xlpm.a,$C$2:$C$19=$C26,_xlpm.b,$D$2:$D$19=$D26,MAX(_xlfn._xlws.FILTER(_xlpm.d,_xlpm.a*_xlpm.b)))</f>
        <v>0.76</v>
      </c>
      <c r="M26" s="1" cm="1">
        <f t="array" ref="M26">_xlfn.LET(_xlpm.d,M$2:M$19,_xlpm.a,$C$2:$C$19=$C26,_xlpm.b,$D$2:$D$19=$D26,MAX(_xlfn._xlws.FILTER(_xlpm.d,_xlpm.a*_xlpm.b)))</f>
        <v>0.78</v>
      </c>
      <c r="N26" s="1" cm="1">
        <f t="array" ref="N26">_xlfn.LET(_xlpm.d,N$2:N$19,_xlpm.a,$C$2:$C$19=$C26,_xlpm.b,$D$2:$D$19=$D26,MAX(_xlfn._xlws.FILTER(_xlpm.d,_xlpm.a*_xlpm.b)))</f>
        <v>0.74</v>
      </c>
      <c r="O26" s="1" cm="1">
        <f t="array" ref="O26">_xlfn.LET(_xlpm.d,O$2:O$19,_xlpm.a,$C$2:$C$19=$C26,_xlpm.b,$D$2:$D$19=$D26,MAX(_xlfn._xlws.FILTER(_xlpm.d,_xlpm.a*_xlpm.b)))</f>
        <v>0.75</v>
      </c>
      <c r="P26" s="1" cm="1">
        <f t="array" ref="P26">_xlfn.LET(_xlpm.d,P$2:P$19,_xlpm.a,$C$2:$C$19=$C26,_xlpm.b,$D$2:$D$19=$D26,MAX(_xlfn._xlws.FILTER(_xlpm.d,_xlpm.a*_xlpm.b)))</f>
        <v>0.77</v>
      </c>
      <c r="Q26" s="1" cm="1">
        <f t="array" ref="Q26">_xlfn.LET(_xlpm.d,Q$2:Q$19,_xlpm.a,$C$2:$C$19=$C26,_xlpm.b,$D$2:$D$19=$D26,MAX(_xlfn._xlws.FILTER(_xlpm.d,_xlpm.a*_xlpm.b)))</f>
        <v>0.76</v>
      </c>
      <c r="R26" s="1" cm="1">
        <f t="array" ref="R26">_xlfn.LET(_xlpm.d,R$2:R$19,_xlpm.a,$C$2:$C$19=$C26,_xlpm.b,$D$2:$D$19=$D26,MAX(_xlfn._xlws.FILTER(_xlpm.d,_xlpm.a*_xlpm.b)))</f>
        <v>0.74</v>
      </c>
      <c r="S26" s="1" cm="1">
        <f t="array" ref="S26">_xlfn.LET(_xlpm.d,S$2:S$19,_xlpm.a,$C$2:$C$19=$C26,_xlpm.b,$D$2:$D$19=$D26,MAX(_xlfn._xlws.FILTER(_xlpm.d,_xlpm.a*_xlpm.b)))</f>
        <v>0.77</v>
      </c>
      <c r="T26" s="1" cm="1">
        <f t="array" ref="T26">_xlfn.LET(_xlpm.d,T$2:T$19,_xlpm.a,$C$2:$C$19=$C26,_xlpm.b,$D$2:$D$19=$D26,MAX(_xlfn._xlws.FILTER(_xlpm.d,_xlpm.a*_xlpm.b)))</f>
        <v>0.78</v>
      </c>
    </row>
    <row r="27" spans="1:20" ht="25" customHeight="1">
      <c r="B27">
        <v>3</v>
      </c>
      <c r="C27" t="s">
        <v>30</v>
      </c>
      <c r="D27" t="b">
        <v>1</v>
      </c>
      <c r="E27">
        <v>1</v>
      </c>
      <c r="F27" t="s">
        <v>24</v>
      </c>
      <c r="G27" t="str">
        <f>_xlfn.TEXTJOIN("-",TRUE,Table613[[#This Row],[attribute]],Table613[[#This Row],[supplemented]],Table613[[#This Row],[method]])</f>
        <v>case-TRUE-max</v>
      </c>
      <c r="H27" s="1" cm="1">
        <f t="array" ref="H27">_xlfn.LET(_xlpm.d,H$2:H$19,_xlpm.a,$C$2:$C$19=$C27,_xlpm.b,$D$2:$D$19=$D27,MAX(_xlfn._xlws.FILTER(_xlpm.d,_xlpm.a*_xlpm.b)))</f>
        <v>0.96</v>
      </c>
      <c r="I27" s="1" cm="1">
        <f t="array" ref="I27">_xlfn.LET(_xlpm.d,I$2:I$19,_xlpm.a,$C$2:$C$19=$C27,_xlpm.b,$D$2:$D$19=$D27,MAX(_xlfn._xlws.FILTER(_xlpm.d,_xlpm.a*_xlpm.b)))</f>
        <v>0.96</v>
      </c>
      <c r="J27" s="1" cm="1">
        <f t="array" ref="J27">_xlfn.LET(_xlpm.d,J$2:J$19,_xlpm.a,$C$2:$C$19=$C27,_xlpm.b,$D$2:$D$19=$D27,MAX(_xlfn._xlws.FILTER(_xlpm.d,_xlpm.a*_xlpm.b)))</f>
        <v>0.96</v>
      </c>
      <c r="K27" s="1" cm="1">
        <f t="array" ref="K27">_xlfn.LET(_xlpm.d,K$2:K$19,_xlpm.a,$C$2:$C$19=$C27,_xlpm.b,$D$2:$D$19=$D27,MAX(_xlfn._xlws.FILTER(_xlpm.d,_xlpm.a*_xlpm.b)))</f>
        <v>0.97</v>
      </c>
      <c r="L27" s="1" cm="1">
        <f t="array" ref="L27">_xlfn.LET(_xlpm.d,L$2:L$19,_xlpm.a,$C$2:$C$19=$C27,_xlpm.b,$D$2:$D$19=$D27,MAX(_xlfn._xlws.FILTER(_xlpm.d,_xlpm.a*_xlpm.b)))</f>
        <v>0.95</v>
      </c>
      <c r="M27" s="1" cm="1">
        <f t="array" ref="M27">_xlfn.LET(_xlpm.d,M$2:M$19,_xlpm.a,$C$2:$C$19=$C27,_xlpm.b,$D$2:$D$19=$D27,MAX(_xlfn._xlws.FILTER(_xlpm.d,_xlpm.a*_xlpm.b)))</f>
        <v>0.98</v>
      </c>
      <c r="N27" s="1" cm="1">
        <f t="array" ref="N27">_xlfn.LET(_xlpm.d,N$2:N$19,_xlpm.a,$C$2:$C$19=$C27,_xlpm.b,$D$2:$D$19=$D27,MAX(_xlfn._xlws.FILTER(_xlpm.d,_xlpm.a*_xlpm.b)))</f>
        <v>0.97</v>
      </c>
      <c r="O27" s="1" cm="1">
        <f t="array" ref="O27">_xlfn.LET(_xlpm.d,O$2:O$19,_xlpm.a,$C$2:$C$19=$C27,_xlpm.b,$D$2:$D$19=$D27,MAX(_xlfn._xlws.FILTER(_xlpm.d,_xlpm.a*_xlpm.b)))</f>
        <v>0.97</v>
      </c>
      <c r="P27" s="1" cm="1">
        <f t="array" ref="P27">_xlfn.LET(_xlpm.d,P$2:P$19,_xlpm.a,$C$2:$C$19=$C27,_xlpm.b,$D$2:$D$19=$D27,MAX(_xlfn._xlws.FILTER(_xlpm.d,_xlpm.a*_xlpm.b)))</f>
        <v>0.96</v>
      </c>
      <c r="Q27" s="1" cm="1">
        <f t="array" ref="Q27">_xlfn.LET(_xlpm.d,Q$2:Q$19,_xlpm.a,$C$2:$C$19=$C27,_xlpm.b,$D$2:$D$19=$D27,MAX(_xlfn._xlws.FILTER(_xlpm.d,_xlpm.a*_xlpm.b)))</f>
        <v>0.98</v>
      </c>
      <c r="R27" s="1" cm="1">
        <f t="array" ref="R27">_xlfn.LET(_xlpm.d,R$2:R$19,_xlpm.a,$C$2:$C$19=$C27,_xlpm.b,$D$2:$D$19=$D27,MAX(_xlfn._xlws.FILTER(_xlpm.d,_xlpm.a*_xlpm.b)))</f>
        <v>0.98</v>
      </c>
      <c r="S27" s="1" cm="1">
        <f t="array" ref="S27">_xlfn.LET(_xlpm.d,S$2:S$19,_xlpm.a,$C$2:$C$19=$C27,_xlpm.b,$D$2:$D$19=$D27,MAX(_xlfn._xlws.FILTER(_xlpm.d,_xlpm.a*_xlpm.b)))</f>
        <v>0.98</v>
      </c>
      <c r="T27" s="1" cm="1">
        <f t="array" ref="T27">_xlfn.LET(_xlpm.d,T$2:T$19,_xlpm.a,$C$2:$C$19=$C27,_xlpm.b,$D$2:$D$19=$D27,MAX(_xlfn._xlws.FILTER(_xlpm.d,_xlpm.a*_xlpm.b)))</f>
        <v>0.98</v>
      </c>
    </row>
    <row r="28" spans="1:20" ht="25" customHeight="1">
      <c r="B28">
        <v>3</v>
      </c>
      <c r="C28" t="s">
        <v>30</v>
      </c>
      <c r="D28" t="b">
        <v>0</v>
      </c>
      <c r="E28">
        <v>1</v>
      </c>
      <c r="F28" t="s">
        <v>24</v>
      </c>
      <c r="G28" t="str">
        <f>_xlfn.TEXTJOIN("-",TRUE,Table613[[#This Row],[attribute]],Table613[[#This Row],[supplemented]],Table613[[#This Row],[method]])</f>
        <v>case-FALSE-max</v>
      </c>
      <c r="H28" s="1" cm="1">
        <f t="array" ref="H28">_xlfn.LET(_xlpm.d,H$2:H$19,_xlpm.a,$C$2:$C$19=$C28,_xlpm.b,$D$2:$D$19=$D28,MAX(_xlfn._xlws.FILTER(_xlpm.d,_xlpm.a*_xlpm.b)))</f>
        <v>0.95</v>
      </c>
      <c r="I28" s="1" cm="1">
        <f t="array" ref="I28">_xlfn.LET(_xlpm.d,I$2:I$19,_xlpm.a,$C$2:$C$19=$C28,_xlpm.b,$D$2:$D$19=$D28,MAX(_xlfn._xlws.FILTER(_xlpm.d,_xlpm.a*_xlpm.b)))</f>
        <v>0.96</v>
      </c>
      <c r="J28" s="1" cm="1">
        <f t="array" ref="J28">_xlfn.LET(_xlpm.d,J$2:J$19,_xlpm.a,$C$2:$C$19=$C28,_xlpm.b,$D$2:$D$19=$D28,MAX(_xlfn._xlws.FILTER(_xlpm.d,_xlpm.a*_xlpm.b)))</f>
        <v>0.96</v>
      </c>
      <c r="K28" s="1" cm="1">
        <f t="array" ref="K28">_xlfn.LET(_xlpm.d,K$2:K$19,_xlpm.a,$C$2:$C$19=$C28,_xlpm.b,$D$2:$D$19=$D28,MAX(_xlfn._xlws.FILTER(_xlpm.d,_xlpm.a*_xlpm.b)))</f>
        <v>0.97</v>
      </c>
      <c r="L28" s="1" cm="1">
        <f t="array" ref="L28">_xlfn.LET(_xlpm.d,L$2:L$19,_xlpm.a,$C$2:$C$19=$C28,_xlpm.b,$D$2:$D$19=$D28,MAX(_xlfn._xlws.FILTER(_xlpm.d,_xlpm.a*_xlpm.b)))</f>
        <v>0.95</v>
      </c>
      <c r="M28" s="1" cm="1">
        <f t="array" ref="M28">_xlfn.LET(_xlpm.d,M$2:M$19,_xlpm.a,$C$2:$C$19=$C28,_xlpm.b,$D$2:$D$19=$D28,MAX(_xlfn._xlws.FILTER(_xlpm.d,_xlpm.a*_xlpm.b)))</f>
        <v>0.98</v>
      </c>
      <c r="N28" s="1" cm="1">
        <f t="array" ref="N28">_xlfn.LET(_xlpm.d,N$2:N$19,_xlpm.a,$C$2:$C$19=$C28,_xlpm.b,$D$2:$D$19=$D28,MAX(_xlfn._xlws.FILTER(_xlpm.d,_xlpm.a*_xlpm.b)))</f>
        <v>0.97</v>
      </c>
      <c r="O28" s="1" cm="1">
        <f t="array" ref="O28">_xlfn.LET(_xlpm.d,O$2:O$19,_xlpm.a,$C$2:$C$19=$C28,_xlpm.b,$D$2:$D$19=$D28,MAX(_xlfn._xlws.FILTER(_xlpm.d,_xlpm.a*_xlpm.b)))</f>
        <v>0.96</v>
      </c>
      <c r="P28" s="1" cm="1">
        <f t="array" ref="P28">_xlfn.LET(_xlpm.d,P$2:P$19,_xlpm.a,$C$2:$C$19=$C28,_xlpm.b,$D$2:$D$19=$D28,MAX(_xlfn._xlws.FILTER(_xlpm.d,_xlpm.a*_xlpm.b)))</f>
        <v>0.96</v>
      </c>
      <c r="Q28" s="1" cm="1">
        <f t="array" ref="Q28">_xlfn.LET(_xlpm.d,Q$2:Q$19,_xlpm.a,$C$2:$C$19=$C28,_xlpm.b,$D$2:$D$19=$D28,MAX(_xlfn._xlws.FILTER(_xlpm.d,_xlpm.a*_xlpm.b)))</f>
        <v>0.98</v>
      </c>
      <c r="R28" s="1" cm="1">
        <f t="array" ref="R28">_xlfn.LET(_xlpm.d,R$2:R$19,_xlpm.a,$C$2:$C$19=$C28,_xlpm.b,$D$2:$D$19=$D28,MAX(_xlfn._xlws.FILTER(_xlpm.d,_xlpm.a*_xlpm.b)))</f>
        <v>0.98</v>
      </c>
      <c r="S28" s="1" cm="1">
        <f t="array" ref="S28">_xlfn.LET(_xlpm.d,S$2:S$19,_xlpm.a,$C$2:$C$19=$C28,_xlpm.b,$D$2:$D$19=$D28,MAX(_xlfn._xlws.FILTER(_xlpm.d,_xlpm.a*_xlpm.b)))</f>
        <v>0.98</v>
      </c>
      <c r="T28" s="1" cm="1">
        <f t="array" ref="T28">_xlfn.LET(_xlpm.d,T$2:T$19,_xlpm.a,$C$2:$C$19=$C28,_xlpm.b,$D$2:$D$19=$D28,MAX(_xlfn._xlws.FILTER(_xlpm.d,_xlpm.a*_xlpm.b)))</f>
        <v>0.98</v>
      </c>
    </row>
    <row r="31" spans="1:20" ht="25" customHeight="1">
      <c r="B31" t="s">
        <v>1</v>
      </c>
      <c r="C31" t="s">
        <v>2</v>
      </c>
      <c r="D31" t="s">
        <v>31</v>
      </c>
      <c r="E31" t="s">
        <v>4</v>
      </c>
      <c r="F31" t="s">
        <v>5</v>
      </c>
      <c r="G31" t="s">
        <v>36</v>
      </c>
      <c r="H31" t="s">
        <v>6</v>
      </c>
      <c r="I31" t="s">
        <v>7</v>
      </c>
      <c r="J31" t="s">
        <v>8</v>
      </c>
      <c r="K31" t="s">
        <v>12</v>
      </c>
      <c r="L31" t="s">
        <v>13</v>
      </c>
      <c r="M31" t="s">
        <v>14</v>
      </c>
      <c r="N31" t="s">
        <v>15</v>
      </c>
      <c r="O31" t="s">
        <v>16</v>
      </c>
      <c r="P31" t="s">
        <v>17</v>
      </c>
      <c r="Q31" t="s">
        <v>21</v>
      </c>
      <c r="R31" t="s">
        <v>22</v>
      </c>
      <c r="S31" t="s">
        <v>23</v>
      </c>
    </row>
    <row r="32" spans="1:20" ht="25" customHeight="1">
      <c r="B32">
        <v>1</v>
      </c>
      <c r="C32" t="s">
        <v>25</v>
      </c>
      <c r="D32" t="b">
        <v>0</v>
      </c>
      <c r="E32">
        <v>1</v>
      </c>
      <c r="F32" t="s">
        <v>24</v>
      </c>
      <c r="G32" t="str">
        <f>_xlfn.TEXTJOIN("-",TRUE,Table2527[[#This Row],[attribute]],Table2527[[#This Row],[supplemented]],Table2527[[#This Row],[method]])</f>
        <v>plurality-FALSE-max</v>
      </c>
      <c r="H32" s="7">
        <f t="shared" ref="H32:S32" si="1">_xlfn.LET(_xlpm.d,$H23:$S23,RANK(H23,_xlpm.d))</f>
        <v>2</v>
      </c>
      <c r="I32" s="7">
        <f t="shared" si="1"/>
        <v>9</v>
      </c>
      <c r="J32" s="7">
        <f t="shared" si="1"/>
        <v>6</v>
      </c>
      <c r="K32" s="7">
        <f t="shared" si="1"/>
        <v>3</v>
      </c>
      <c r="L32" s="7">
        <f t="shared" si="1"/>
        <v>8</v>
      </c>
      <c r="M32" s="7">
        <f t="shared" si="1"/>
        <v>11</v>
      </c>
      <c r="N32" s="7">
        <f t="shared" si="1"/>
        <v>3</v>
      </c>
      <c r="O32" s="7">
        <f t="shared" si="1"/>
        <v>10</v>
      </c>
      <c r="P32" s="7">
        <f t="shared" si="1"/>
        <v>6</v>
      </c>
      <c r="Q32" s="7">
        <f t="shared" si="1"/>
        <v>1</v>
      </c>
      <c r="R32" s="7">
        <f t="shared" si="1"/>
        <v>11</v>
      </c>
      <c r="S32" s="7">
        <f t="shared" si="1"/>
        <v>3</v>
      </c>
    </row>
    <row r="33" spans="2:19" ht="25" customHeight="1">
      <c r="B33">
        <v>1</v>
      </c>
      <c r="C33" t="s">
        <v>25</v>
      </c>
      <c r="D33" t="b">
        <v>1</v>
      </c>
      <c r="E33">
        <v>1</v>
      </c>
      <c r="F33" t="s">
        <v>24</v>
      </c>
      <c r="G33" t="str">
        <f>_xlfn.TEXTJOIN("-",TRUE,Table2527[[#This Row],[attribute]],Table2527[[#This Row],[supplemented]],Table2527[[#This Row],[method]])</f>
        <v>plurality-TRUE-max</v>
      </c>
      <c r="H33" s="7">
        <f t="shared" ref="H33:S33" si="2">_xlfn.LET(_xlpm.d,$H24:$S24,RANK(H24,_xlpm.d))</f>
        <v>8</v>
      </c>
      <c r="I33" s="7">
        <f t="shared" si="2"/>
        <v>8</v>
      </c>
      <c r="J33" s="7">
        <f t="shared" si="2"/>
        <v>2</v>
      </c>
      <c r="K33" s="7">
        <f t="shared" si="2"/>
        <v>2</v>
      </c>
      <c r="L33" s="7">
        <f t="shared" si="2"/>
        <v>2</v>
      </c>
      <c r="M33" s="7">
        <f t="shared" si="2"/>
        <v>6</v>
      </c>
      <c r="N33" s="7">
        <f t="shared" si="2"/>
        <v>11</v>
      </c>
      <c r="O33" s="7">
        <f t="shared" si="2"/>
        <v>11</v>
      </c>
      <c r="P33" s="7">
        <f t="shared" si="2"/>
        <v>6</v>
      </c>
      <c r="Q33" s="7">
        <f t="shared" si="2"/>
        <v>8</v>
      </c>
      <c r="R33" s="7">
        <f t="shared" si="2"/>
        <v>5</v>
      </c>
      <c r="S33" s="7">
        <f t="shared" si="2"/>
        <v>1</v>
      </c>
    </row>
    <row r="34" spans="2:19" ht="25" customHeight="1">
      <c r="B34">
        <v>2</v>
      </c>
      <c r="C34" t="s">
        <v>29</v>
      </c>
      <c r="D34" t="b">
        <v>0</v>
      </c>
      <c r="E34">
        <v>1</v>
      </c>
      <c r="F34" t="s">
        <v>24</v>
      </c>
      <c r="G34" t="str">
        <f>_xlfn.TEXTJOIN("-",TRUE,Table2527[[#This Row],[attribute]],Table2527[[#This Row],[supplemented]],Table2527[[#This Row],[method]])</f>
        <v>gender-FALSE-max</v>
      </c>
      <c r="H34" s="7">
        <f t="shared" ref="H34:S34" si="3">_xlfn.LET(_xlpm.d,$H25:$S25,RANK(H25,_xlpm.d))</f>
        <v>1</v>
      </c>
      <c r="I34" s="7">
        <f t="shared" si="3"/>
        <v>12</v>
      </c>
      <c r="J34" s="7">
        <f t="shared" si="3"/>
        <v>2</v>
      </c>
      <c r="K34" s="7">
        <f t="shared" si="3"/>
        <v>8</v>
      </c>
      <c r="L34" s="7">
        <f t="shared" si="3"/>
        <v>8</v>
      </c>
      <c r="M34" s="7">
        <f t="shared" si="3"/>
        <v>3</v>
      </c>
      <c r="N34" s="7">
        <f t="shared" si="3"/>
        <v>3</v>
      </c>
      <c r="O34" s="7">
        <f t="shared" si="3"/>
        <v>6</v>
      </c>
      <c r="P34" s="7">
        <f t="shared" si="3"/>
        <v>6</v>
      </c>
      <c r="Q34" s="7">
        <f t="shared" si="3"/>
        <v>8</v>
      </c>
      <c r="R34" s="7">
        <f t="shared" si="3"/>
        <v>3</v>
      </c>
      <c r="S34" s="7">
        <f t="shared" si="3"/>
        <v>8</v>
      </c>
    </row>
    <row r="35" spans="2:19" ht="25" customHeight="1">
      <c r="B35">
        <v>2</v>
      </c>
      <c r="C35" t="s">
        <v>29</v>
      </c>
      <c r="D35" t="b">
        <v>1</v>
      </c>
      <c r="E35">
        <v>1</v>
      </c>
      <c r="F35" t="s">
        <v>24</v>
      </c>
      <c r="G35" t="str">
        <f>_xlfn.TEXTJOIN("-",TRUE,Table2527[[#This Row],[attribute]],Table2527[[#This Row],[supplemented]],Table2527[[#This Row],[method]])</f>
        <v>gender-TRUE-max</v>
      </c>
      <c r="H35" s="7">
        <f t="shared" ref="H35:S35" si="4">_xlfn.LET(_xlpm.d,$H26:$S26,RANK(H26,_xlpm.d))</f>
        <v>9</v>
      </c>
      <c r="I35" s="7">
        <f t="shared" si="4"/>
        <v>12</v>
      </c>
      <c r="J35" s="7">
        <f t="shared" si="4"/>
        <v>2</v>
      </c>
      <c r="K35" s="7">
        <f t="shared" si="4"/>
        <v>5</v>
      </c>
      <c r="L35" s="7">
        <f t="shared" si="4"/>
        <v>5</v>
      </c>
      <c r="M35" s="7">
        <f t="shared" si="4"/>
        <v>1</v>
      </c>
      <c r="N35" s="7">
        <f t="shared" si="4"/>
        <v>9</v>
      </c>
      <c r="O35" s="7">
        <f t="shared" si="4"/>
        <v>8</v>
      </c>
      <c r="P35" s="7">
        <f t="shared" si="4"/>
        <v>2</v>
      </c>
      <c r="Q35" s="7">
        <f t="shared" si="4"/>
        <v>5</v>
      </c>
      <c r="R35" s="7">
        <f t="shared" si="4"/>
        <v>9</v>
      </c>
      <c r="S35" s="7">
        <f t="shared" si="4"/>
        <v>2</v>
      </c>
    </row>
    <row r="36" spans="2:19" ht="25" customHeight="1">
      <c r="B36">
        <v>3</v>
      </c>
      <c r="C36" t="s">
        <v>30</v>
      </c>
      <c r="D36" t="b">
        <v>0</v>
      </c>
      <c r="E36">
        <v>1</v>
      </c>
      <c r="F36" t="s">
        <v>24</v>
      </c>
      <c r="G36" t="str">
        <f>_xlfn.TEXTJOIN("-",TRUE,Table2527[[#This Row],[attribute]],Table2527[[#This Row],[supplemented]],Table2527[[#This Row],[method]])</f>
        <v>case-FALSE-max</v>
      </c>
      <c r="H36" s="7">
        <f t="shared" ref="H36:S36" si="5">_xlfn.LET(_xlpm.d,$H27:$S27,RANK(H27,_xlpm.d))</f>
        <v>8</v>
      </c>
      <c r="I36" s="7">
        <f t="shared" si="5"/>
        <v>8</v>
      </c>
      <c r="J36" s="7">
        <f t="shared" si="5"/>
        <v>8</v>
      </c>
      <c r="K36" s="7">
        <f t="shared" si="5"/>
        <v>5</v>
      </c>
      <c r="L36" s="7">
        <f t="shared" si="5"/>
        <v>12</v>
      </c>
      <c r="M36" s="7">
        <f t="shared" si="5"/>
        <v>1</v>
      </c>
      <c r="N36" s="7">
        <f t="shared" si="5"/>
        <v>5</v>
      </c>
      <c r="O36" s="7">
        <f t="shared" si="5"/>
        <v>5</v>
      </c>
      <c r="P36" s="7">
        <f t="shared" si="5"/>
        <v>8</v>
      </c>
      <c r="Q36" s="7">
        <f t="shared" si="5"/>
        <v>1</v>
      </c>
      <c r="R36" s="7">
        <f t="shared" si="5"/>
        <v>1</v>
      </c>
      <c r="S36" s="7">
        <f t="shared" si="5"/>
        <v>1</v>
      </c>
    </row>
    <row r="37" spans="2:19" ht="25" customHeight="1">
      <c r="B37">
        <v>3</v>
      </c>
      <c r="C37" t="s">
        <v>30</v>
      </c>
      <c r="D37" t="b">
        <v>1</v>
      </c>
      <c r="E37">
        <v>1</v>
      </c>
      <c r="F37" t="s">
        <v>24</v>
      </c>
      <c r="G37" t="str">
        <f>_xlfn.TEXTJOIN("-",TRUE,Table2527[[#This Row],[attribute]],Table2527[[#This Row],[supplemented]],Table2527[[#This Row],[method]])</f>
        <v>case-TRUE-max</v>
      </c>
      <c r="H37" s="7">
        <f t="shared" ref="H37:S37" si="6">_xlfn.LET(_xlpm.d,$H28:$S28,RANK(H28,_xlpm.d))</f>
        <v>11</v>
      </c>
      <c r="I37" s="7">
        <f t="shared" si="6"/>
        <v>7</v>
      </c>
      <c r="J37" s="7">
        <f t="shared" si="6"/>
        <v>7</v>
      </c>
      <c r="K37" s="7">
        <f t="shared" si="6"/>
        <v>5</v>
      </c>
      <c r="L37" s="7">
        <f t="shared" si="6"/>
        <v>11</v>
      </c>
      <c r="M37" s="7">
        <f t="shared" si="6"/>
        <v>1</v>
      </c>
      <c r="N37" s="7">
        <f t="shared" si="6"/>
        <v>5</v>
      </c>
      <c r="O37" s="7">
        <f t="shared" si="6"/>
        <v>7</v>
      </c>
      <c r="P37" s="7">
        <f t="shared" si="6"/>
        <v>7</v>
      </c>
      <c r="Q37" s="7">
        <f t="shared" si="6"/>
        <v>1</v>
      </c>
      <c r="R37" s="7">
        <f t="shared" si="6"/>
        <v>1</v>
      </c>
      <c r="S37" s="7">
        <f t="shared" si="6"/>
        <v>1</v>
      </c>
    </row>
  </sheetData>
  <conditionalFormatting sqref="H32:S37">
    <cfRule type="colorScale" priority="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3B66-0970-3D46-ADC1-EC10223768C8}">
  <dimension ref="A1:T28"/>
  <sheetViews>
    <sheetView workbookViewId="0">
      <pane xSplit="15880" ySplit="3520" topLeftCell="Q15" activePane="bottomLeft"/>
      <selection activeCell="G1" sqref="G1"/>
      <selection pane="topRight" activeCell="S3" sqref="S3"/>
      <selection pane="bottomLeft" activeCell="F23" sqref="F23"/>
      <selection pane="bottomRight" activeCell="V24" sqref="V24"/>
    </sheetView>
  </sheetViews>
  <sheetFormatPr baseColWidth="10" defaultRowHeight="25" customHeight="1"/>
  <cols>
    <col min="2" max="2" width="8.75" customWidth="1"/>
    <col min="4" max="4" width="8.75" customWidth="1"/>
    <col min="5" max="5" width="8" customWidth="1"/>
    <col min="7" max="19" width="7.7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</v>
      </c>
      <c r="H1" t="s">
        <v>6</v>
      </c>
      <c r="I1" t="s">
        <v>7</v>
      </c>
      <c r="J1" t="s">
        <v>8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21</v>
      </c>
      <c r="R1" t="s">
        <v>22</v>
      </c>
      <c r="S1" t="s">
        <v>23</v>
      </c>
      <c r="T1" t="s">
        <v>24</v>
      </c>
    </row>
    <row r="2" spans="1:20" ht="25" customHeight="1">
      <c r="A2" t="s">
        <v>33</v>
      </c>
      <c r="B2">
        <v>1</v>
      </c>
      <c r="C2" t="s">
        <v>25</v>
      </c>
      <c r="D2" t="b">
        <v>1</v>
      </c>
      <c r="E2">
        <v>1</v>
      </c>
      <c r="F2" t="s">
        <v>26</v>
      </c>
      <c r="H2" s="1">
        <v>0.65</v>
      </c>
      <c r="I2" s="1">
        <v>0.64</v>
      </c>
      <c r="J2" s="1">
        <v>0.71</v>
      </c>
      <c r="K2" s="1">
        <v>0.55000000000000004</v>
      </c>
      <c r="L2" s="1">
        <v>0.67</v>
      </c>
      <c r="M2" s="1">
        <v>0.65</v>
      </c>
      <c r="N2" s="1">
        <v>0.68</v>
      </c>
      <c r="O2" s="1">
        <v>0.64</v>
      </c>
      <c r="P2" s="1">
        <v>0.69</v>
      </c>
      <c r="Q2" s="1">
        <v>0.63</v>
      </c>
      <c r="R2" s="1">
        <v>0.57999999999999996</v>
      </c>
      <c r="S2" s="1">
        <v>0.63</v>
      </c>
      <c r="T2" s="1">
        <f t="shared" ref="T2:T19" si="0">MAX($H2:$S2)</f>
        <v>0.71</v>
      </c>
    </row>
    <row r="3" spans="1:20" ht="25" customHeight="1">
      <c r="A3" t="s">
        <v>33</v>
      </c>
      <c r="B3">
        <v>1</v>
      </c>
      <c r="C3" t="s">
        <v>25</v>
      </c>
      <c r="D3" t="b">
        <v>1</v>
      </c>
      <c r="E3">
        <v>2</v>
      </c>
      <c r="F3" t="s">
        <v>27</v>
      </c>
      <c r="H3" s="1">
        <v>0.72</v>
      </c>
      <c r="I3" s="1">
        <v>0.72</v>
      </c>
      <c r="J3" s="1">
        <v>0.8</v>
      </c>
      <c r="K3" s="1">
        <v>0.62</v>
      </c>
      <c r="L3" s="1">
        <v>0.7</v>
      </c>
      <c r="M3" s="1">
        <v>0.7</v>
      </c>
      <c r="N3" s="1">
        <v>0.72</v>
      </c>
      <c r="O3" s="1">
        <v>0.65</v>
      </c>
      <c r="P3" s="1">
        <v>0.73</v>
      </c>
      <c r="Q3" s="1">
        <v>0.68</v>
      </c>
      <c r="R3" s="1">
        <v>0.64</v>
      </c>
      <c r="S3" s="1">
        <v>0.66</v>
      </c>
      <c r="T3" s="1">
        <f t="shared" si="0"/>
        <v>0.8</v>
      </c>
    </row>
    <row r="4" spans="1:20" ht="25" customHeight="1">
      <c r="A4" t="s">
        <v>33</v>
      </c>
      <c r="B4">
        <v>1</v>
      </c>
      <c r="C4" t="s">
        <v>25</v>
      </c>
      <c r="D4" t="b">
        <v>1</v>
      </c>
      <c r="E4">
        <v>3</v>
      </c>
      <c r="F4" t="s">
        <v>28</v>
      </c>
      <c r="H4" s="1">
        <v>0.67</v>
      </c>
      <c r="I4" s="1">
        <v>0.66</v>
      </c>
      <c r="J4" s="1">
        <v>0.73</v>
      </c>
      <c r="K4" s="1">
        <v>0.61</v>
      </c>
      <c r="L4" s="1">
        <v>0.66</v>
      </c>
      <c r="M4" s="1">
        <v>0.65</v>
      </c>
      <c r="N4" s="1">
        <v>0.66</v>
      </c>
      <c r="O4" s="1">
        <v>0.56999999999999995</v>
      </c>
      <c r="P4" s="1">
        <v>0.64</v>
      </c>
      <c r="Q4" s="1">
        <v>0.69</v>
      </c>
      <c r="R4" s="1">
        <v>0.68</v>
      </c>
      <c r="S4" s="1">
        <v>0.6</v>
      </c>
      <c r="T4" s="1">
        <f t="shared" si="0"/>
        <v>0.73</v>
      </c>
    </row>
    <row r="5" spans="1:20" ht="25" customHeight="1">
      <c r="A5" t="s">
        <v>33</v>
      </c>
      <c r="B5">
        <v>1</v>
      </c>
      <c r="C5" t="s">
        <v>25</v>
      </c>
      <c r="D5" t="b">
        <v>0</v>
      </c>
      <c r="E5">
        <v>1</v>
      </c>
      <c r="F5" t="s">
        <v>26</v>
      </c>
      <c r="H5" s="1">
        <v>0.66</v>
      </c>
      <c r="I5" s="1">
        <v>0.66</v>
      </c>
      <c r="J5" s="1">
        <v>0.78</v>
      </c>
      <c r="K5" s="1">
        <v>0.59</v>
      </c>
      <c r="L5" s="1">
        <v>0.69</v>
      </c>
      <c r="M5" s="1">
        <v>0.68</v>
      </c>
      <c r="N5" s="1">
        <v>0.65</v>
      </c>
      <c r="O5" s="1">
        <v>0.65</v>
      </c>
      <c r="P5" s="1">
        <v>0.68</v>
      </c>
      <c r="Q5" s="1">
        <v>0.6</v>
      </c>
      <c r="R5" s="1">
        <v>0.63</v>
      </c>
      <c r="S5" s="1">
        <v>0.65</v>
      </c>
      <c r="T5" s="1">
        <f t="shared" si="0"/>
        <v>0.78</v>
      </c>
    </row>
    <row r="6" spans="1:20" ht="25" customHeight="1">
      <c r="A6" t="s">
        <v>33</v>
      </c>
      <c r="B6">
        <v>1</v>
      </c>
      <c r="C6" t="s">
        <v>25</v>
      </c>
      <c r="D6" t="b">
        <v>0</v>
      </c>
      <c r="E6">
        <v>2</v>
      </c>
      <c r="F6" t="s">
        <v>27</v>
      </c>
      <c r="H6" s="1">
        <v>0.66</v>
      </c>
      <c r="I6" s="1">
        <v>0.69</v>
      </c>
      <c r="J6" s="1">
        <v>0.79</v>
      </c>
      <c r="K6" s="1">
        <v>0.6</v>
      </c>
      <c r="L6" s="1">
        <v>0.69</v>
      </c>
      <c r="M6" s="1">
        <v>0.71</v>
      </c>
      <c r="N6" s="1">
        <v>0.69</v>
      </c>
      <c r="O6" s="1">
        <v>0.63</v>
      </c>
      <c r="P6" s="1">
        <v>0.69</v>
      </c>
      <c r="Q6" s="1">
        <v>0.66</v>
      </c>
      <c r="R6" s="1">
        <v>0.65</v>
      </c>
      <c r="S6" s="1">
        <v>0.67</v>
      </c>
      <c r="T6" s="1">
        <f t="shared" si="0"/>
        <v>0.79</v>
      </c>
    </row>
    <row r="7" spans="1:20" ht="25" customHeight="1">
      <c r="A7" t="s">
        <v>33</v>
      </c>
      <c r="B7">
        <v>1</v>
      </c>
      <c r="C7" t="s">
        <v>25</v>
      </c>
      <c r="D7" t="b">
        <v>0</v>
      </c>
      <c r="E7">
        <v>3</v>
      </c>
      <c r="F7" t="s">
        <v>28</v>
      </c>
      <c r="H7" s="1">
        <v>0.59</v>
      </c>
      <c r="I7" s="1">
        <v>0.65</v>
      </c>
      <c r="J7" s="1">
        <v>0.7</v>
      </c>
      <c r="K7" s="1">
        <v>0.59</v>
      </c>
      <c r="L7" s="1">
        <v>0.62</v>
      </c>
      <c r="M7" s="1">
        <v>0.67</v>
      </c>
      <c r="N7" s="1">
        <v>0.6</v>
      </c>
      <c r="O7" s="1">
        <v>0.55000000000000004</v>
      </c>
      <c r="P7" s="1">
        <v>0.59</v>
      </c>
      <c r="Q7" s="1">
        <v>0.65</v>
      </c>
      <c r="R7" s="1">
        <v>0.63</v>
      </c>
      <c r="S7" s="1">
        <v>0.59</v>
      </c>
      <c r="T7" s="1">
        <f t="shared" si="0"/>
        <v>0.7</v>
      </c>
    </row>
    <row r="8" spans="1:20" ht="25" customHeight="1">
      <c r="A8" t="s">
        <v>33</v>
      </c>
      <c r="B8">
        <v>2</v>
      </c>
      <c r="C8" t="s">
        <v>29</v>
      </c>
      <c r="D8" t="b">
        <v>1</v>
      </c>
      <c r="E8">
        <v>1</v>
      </c>
      <c r="F8" t="s">
        <v>26</v>
      </c>
      <c r="H8" s="1">
        <v>0.75</v>
      </c>
      <c r="I8" s="1">
        <v>0.73</v>
      </c>
      <c r="J8" s="1">
        <v>0.78</v>
      </c>
      <c r="K8" s="1">
        <v>0.67</v>
      </c>
      <c r="L8" s="1">
        <v>0.71</v>
      </c>
      <c r="M8" s="1">
        <v>0.71</v>
      </c>
      <c r="N8" s="1">
        <v>0.78</v>
      </c>
      <c r="O8" s="1">
        <v>0.7</v>
      </c>
      <c r="P8" s="1">
        <v>0.73</v>
      </c>
      <c r="Q8" s="1">
        <v>0.64</v>
      </c>
      <c r="R8" s="1">
        <v>0.72</v>
      </c>
      <c r="S8" s="1">
        <v>0.71</v>
      </c>
      <c r="T8" s="1">
        <f t="shared" si="0"/>
        <v>0.78</v>
      </c>
    </row>
    <row r="9" spans="1:20" ht="25" customHeight="1">
      <c r="A9" t="s">
        <v>33</v>
      </c>
      <c r="B9">
        <v>2</v>
      </c>
      <c r="C9" t="s">
        <v>29</v>
      </c>
      <c r="D9" t="b">
        <v>1</v>
      </c>
      <c r="E9">
        <v>2</v>
      </c>
      <c r="F9" t="s">
        <v>27</v>
      </c>
      <c r="H9" s="1">
        <v>0.77</v>
      </c>
      <c r="I9" s="1">
        <v>0.69</v>
      </c>
      <c r="J9" s="1">
        <v>0.79</v>
      </c>
      <c r="K9" s="1">
        <v>0.77</v>
      </c>
      <c r="L9" s="1">
        <v>0.74</v>
      </c>
      <c r="M9" s="1">
        <v>0.7</v>
      </c>
      <c r="N9" s="1">
        <v>0.82</v>
      </c>
      <c r="O9" s="1">
        <v>0.79</v>
      </c>
      <c r="P9" s="1">
        <v>0.8</v>
      </c>
      <c r="Q9" s="1">
        <v>0.78</v>
      </c>
      <c r="R9" s="1">
        <v>0.77</v>
      </c>
      <c r="S9" s="1">
        <v>0.71</v>
      </c>
      <c r="T9" s="1">
        <f t="shared" si="0"/>
        <v>0.82</v>
      </c>
    </row>
    <row r="10" spans="1:20" ht="25" customHeight="1">
      <c r="A10" t="s">
        <v>33</v>
      </c>
      <c r="B10">
        <v>2</v>
      </c>
      <c r="C10" t="s">
        <v>29</v>
      </c>
      <c r="D10" t="b">
        <v>1</v>
      </c>
      <c r="E10">
        <v>3</v>
      </c>
      <c r="F10" t="s">
        <v>28</v>
      </c>
      <c r="H10" s="1">
        <v>0.76</v>
      </c>
      <c r="I10" s="1">
        <v>0.72</v>
      </c>
      <c r="J10" s="1">
        <v>0.78</v>
      </c>
      <c r="K10" s="1">
        <v>0.7</v>
      </c>
      <c r="L10" s="1">
        <v>0.74</v>
      </c>
      <c r="M10" s="1">
        <v>0.73</v>
      </c>
      <c r="N10" s="1">
        <v>0.83</v>
      </c>
      <c r="O10" s="1">
        <v>0.77</v>
      </c>
      <c r="P10" s="1">
        <v>0.72</v>
      </c>
      <c r="Q10" s="1">
        <v>0.67</v>
      </c>
      <c r="R10" s="1">
        <v>0.75</v>
      </c>
      <c r="S10" s="1">
        <v>0.72</v>
      </c>
      <c r="T10" s="1">
        <f t="shared" si="0"/>
        <v>0.83</v>
      </c>
    </row>
    <row r="11" spans="1:20" ht="25" customHeight="1">
      <c r="A11" t="s">
        <v>33</v>
      </c>
      <c r="B11">
        <v>2</v>
      </c>
      <c r="C11" t="s">
        <v>29</v>
      </c>
      <c r="D11" t="b">
        <v>0</v>
      </c>
      <c r="E11">
        <v>1</v>
      </c>
      <c r="F11" t="s">
        <v>26</v>
      </c>
      <c r="H11" s="1">
        <v>0.68</v>
      </c>
      <c r="I11" s="1">
        <v>0.63</v>
      </c>
      <c r="J11" s="1">
        <v>0.74</v>
      </c>
      <c r="K11" s="1">
        <v>0.69</v>
      </c>
      <c r="L11" s="1">
        <v>0.68</v>
      </c>
      <c r="M11" s="1">
        <v>0.73</v>
      </c>
      <c r="N11" s="1">
        <v>0.73</v>
      </c>
      <c r="O11" s="1">
        <v>0.75</v>
      </c>
      <c r="P11" s="1">
        <v>0.71</v>
      </c>
      <c r="Q11" s="1">
        <v>0.66</v>
      </c>
      <c r="R11" s="1">
        <v>0.69</v>
      </c>
      <c r="S11" s="1">
        <v>0.63</v>
      </c>
      <c r="T11" s="1">
        <f t="shared" si="0"/>
        <v>0.75</v>
      </c>
    </row>
    <row r="12" spans="1:20" ht="25" customHeight="1">
      <c r="A12" t="s">
        <v>33</v>
      </c>
      <c r="B12">
        <v>2</v>
      </c>
      <c r="C12" t="s">
        <v>29</v>
      </c>
      <c r="D12" t="b">
        <v>0</v>
      </c>
      <c r="E12">
        <v>2</v>
      </c>
      <c r="F12" t="s">
        <v>27</v>
      </c>
      <c r="H12" s="1">
        <v>0.68</v>
      </c>
      <c r="I12" s="1">
        <v>0.69</v>
      </c>
      <c r="J12" s="1">
        <v>0.76</v>
      </c>
      <c r="K12" s="1">
        <v>0.74</v>
      </c>
      <c r="L12" s="1">
        <v>0.74</v>
      </c>
      <c r="M12" s="1">
        <v>0.72</v>
      </c>
      <c r="N12" s="1">
        <v>0.76</v>
      </c>
      <c r="O12" s="1">
        <v>0.77</v>
      </c>
      <c r="P12" s="1">
        <v>0.76</v>
      </c>
      <c r="Q12" s="1">
        <v>0.74</v>
      </c>
      <c r="R12" s="1">
        <v>0.76</v>
      </c>
      <c r="S12" s="1">
        <v>0.7</v>
      </c>
      <c r="T12" s="1">
        <f t="shared" si="0"/>
        <v>0.77</v>
      </c>
    </row>
    <row r="13" spans="1:20" ht="25" customHeight="1">
      <c r="A13" t="s">
        <v>33</v>
      </c>
      <c r="B13">
        <v>2</v>
      </c>
      <c r="C13" t="s">
        <v>29</v>
      </c>
      <c r="D13" t="b">
        <v>0</v>
      </c>
      <c r="E13">
        <v>3</v>
      </c>
      <c r="F13" t="s">
        <v>28</v>
      </c>
      <c r="H13" s="1">
        <v>0.69</v>
      </c>
      <c r="I13" s="1">
        <v>0.66</v>
      </c>
      <c r="J13" s="1">
        <v>0.72</v>
      </c>
      <c r="K13" s="1">
        <v>0.68</v>
      </c>
      <c r="L13" s="1">
        <v>0.72</v>
      </c>
      <c r="M13" s="1">
        <v>0.74</v>
      </c>
      <c r="N13" s="1">
        <v>0.74</v>
      </c>
      <c r="O13" s="1">
        <v>0.75</v>
      </c>
      <c r="P13" s="1">
        <v>0.72</v>
      </c>
      <c r="Q13" s="1">
        <v>0.7</v>
      </c>
      <c r="R13" s="1">
        <v>0.74</v>
      </c>
      <c r="S13" s="1">
        <v>0.68</v>
      </c>
      <c r="T13" s="1">
        <f t="shared" si="0"/>
        <v>0.75</v>
      </c>
    </row>
    <row r="14" spans="1:20" ht="25" customHeight="1">
      <c r="A14" t="s">
        <v>33</v>
      </c>
      <c r="B14">
        <v>3</v>
      </c>
      <c r="C14" t="s">
        <v>30</v>
      </c>
      <c r="D14" t="b">
        <v>1</v>
      </c>
      <c r="E14">
        <v>1</v>
      </c>
      <c r="F14" t="s">
        <v>26</v>
      </c>
      <c r="H14" s="1">
        <v>0.97</v>
      </c>
      <c r="I14" s="1">
        <v>0.96</v>
      </c>
      <c r="J14" s="1">
        <v>0.96</v>
      </c>
      <c r="K14" s="1">
        <v>0.96</v>
      </c>
      <c r="L14" s="1">
        <v>0.95</v>
      </c>
      <c r="M14" s="1">
        <v>0.97</v>
      </c>
      <c r="N14" s="1">
        <v>0.97</v>
      </c>
      <c r="O14" s="1">
        <v>0.99</v>
      </c>
      <c r="P14" s="1">
        <v>0.97</v>
      </c>
      <c r="Q14" s="1">
        <v>0.94</v>
      </c>
      <c r="R14" s="1">
        <v>0.97</v>
      </c>
      <c r="S14" s="1">
        <v>0.94</v>
      </c>
      <c r="T14" s="1">
        <f t="shared" si="0"/>
        <v>0.99</v>
      </c>
    </row>
    <row r="15" spans="1:20" ht="25" customHeight="1">
      <c r="A15" t="s">
        <v>33</v>
      </c>
      <c r="B15">
        <v>3</v>
      </c>
      <c r="C15" t="s">
        <v>30</v>
      </c>
      <c r="D15" t="b">
        <v>1</v>
      </c>
      <c r="E15">
        <v>2</v>
      </c>
      <c r="F15" t="s">
        <v>27</v>
      </c>
      <c r="H15" s="1">
        <v>0.97</v>
      </c>
      <c r="I15" s="1">
        <v>0.96</v>
      </c>
      <c r="J15" s="1">
        <v>0.97</v>
      </c>
      <c r="K15" s="1">
        <v>0.96</v>
      </c>
      <c r="L15" s="1">
        <v>0.95</v>
      </c>
      <c r="M15" s="1">
        <v>0.97</v>
      </c>
      <c r="N15" s="1">
        <v>0.98</v>
      </c>
      <c r="O15" s="1">
        <v>0.98</v>
      </c>
      <c r="P15" s="1">
        <v>0.97</v>
      </c>
      <c r="Q15" s="1">
        <v>0.95</v>
      </c>
      <c r="R15" s="1">
        <v>0.97</v>
      </c>
      <c r="S15" s="1">
        <v>0.94</v>
      </c>
      <c r="T15" s="1">
        <f t="shared" si="0"/>
        <v>0.98</v>
      </c>
    </row>
    <row r="16" spans="1:20" ht="25" customHeight="1">
      <c r="A16" t="s">
        <v>33</v>
      </c>
      <c r="B16">
        <v>3</v>
      </c>
      <c r="C16" t="s">
        <v>30</v>
      </c>
      <c r="D16" t="b">
        <v>1</v>
      </c>
      <c r="E16">
        <v>3</v>
      </c>
      <c r="F16" t="s">
        <v>28</v>
      </c>
      <c r="H16" s="1">
        <v>0.97</v>
      </c>
      <c r="I16" s="1">
        <v>0.96</v>
      </c>
      <c r="J16" s="1">
        <v>0.97</v>
      </c>
      <c r="K16" s="1">
        <v>0.96</v>
      </c>
      <c r="L16" s="1">
        <v>0.95</v>
      </c>
      <c r="M16" s="1">
        <v>0.97</v>
      </c>
      <c r="N16" s="1">
        <v>0.98</v>
      </c>
      <c r="O16" s="1">
        <v>0.98</v>
      </c>
      <c r="P16" s="1">
        <v>0.97</v>
      </c>
      <c r="Q16" s="1">
        <v>0.95</v>
      </c>
      <c r="R16" s="1">
        <v>0.97</v>
      </c>
      <c r="S16" s="1">
        <v>0.94</v>
      </c>
      <c r="T16" s="1">
        <f t="shared" si="0"/>
        <v>0.98</v>
      </c>
    </row>
    <row r="17" spans="1:20" ht="25" customHeight="1">
      <c r="A17" t="s">
        <v>33</v>
      </c>
      <c r="B17">
        <v>3</v>
      </c>
      <c r="C17" t="s">
        <v>30</v>
      </c>
      <c r="D17" t="b">
        <v>0</v>
      </c>
      <c r="E17">
        <v>1</v>
      </c>
      <c r="F17" t="s">
        <v>26</v>
      </c>
      <c r="H17" s="1">
        <v>0.97</v>
      </c>
      <c r="I17" s="1">
        <v>0.96</v>
      </c>
      <c r="J17" s="1">
        <v>0.97</v>
      </c>
      <c r="K17" s="1">
        <v>0.96</v>
      </c>
      <c r="L17" s="1">
        <v>0.95</v>
      </c>
      <c r="M17" s="1">
        <v>0.96</v>
      </c>
      <c r="N17" s="1">
        <v>0.97</v>
      </c>
      <c r="O17" s="1">
        <v>0.98</v>
      </c>
      <c r="P17" s="1">
        <v>0.96</v>
      </c>
      <c r="Q17" s="1">
        <v>0.93</v>
      </c>
      <c r="R17" s="1">
        <v>0.96</v>
      </c>
      <c r="S17" s="1">
        <v>0.94</v>
      </c>
      <c r="T17" s="1">
        <f t="shared" si="0"/>
        <v>0.98</v>
      </c>
    </row>
    <row r="18" spans="1:20" ht="25" customHeight="1">
      <c r="A18" t="s">
        <v>33</v>
      </c>
      <c r="B18">
        <v>3</v>
      </c>
      <c r="C18" t="s">
        <v>30</v>
      </c>
      <c r="D18" t="b">
        <v>0</v>
      </c>
      <c r="E18">
        <v>2</v>
      </c>
      <c r="F18" t="s">
        <v>27</v>
      </c>
      <c r="H18" s="1">
        <v>0.97</v>
      </c>
      <c r="I18" s="1">
        <v>0.96</v>
      </c>
      <c r="J18" s="1">
        <v>0.97</v>
      </c>
      <c r="K18" s="1">
        <v>0.96</v>
      </c>
      <c r="L18" s="1">
        <v>0.95</v>
      </c>
      <c r="M18" s="1">
        <v>0.97</v>
      </c>
      <c r="N18" s="1">
        <v>0.98</v>
      </c>
      <c r="O18" s="1">
        <v>0.98</v>
      </c>
      <c r="P18" s="1">
        <v>0.97</v>
      </c>
      <c r="Q18" s="1">
        <v>0.95</v>
      </c>
      <c r="R18" s="1">
        <v>0.97</v>
      </c>
      <c r="S18" s="1">
        <v>0.94</v>
      </c>
      <c r="T18" s="1">
        <f t="shared" si="0"/>
        <v>0.98</v>
      </c>
    </row>
    <row r="19" spans="1:20" ht="25" customHeight="1">
      <c r="A19" t="s">
        <v>33</v>
      </c>
      <c r="B19">
        <v>3</v>
      </c>
      <c r="C19" t="s">
        <v>30</v>
      </c>
      <c r="D19" t="b">
        <v>0</v>
      </c>
      <c r="E19">
        <v>3</v>
      </c>
      <c r="F19" t="s">
        <v>28</v>
      </c>
      <c r="H19" s="1">
        <v>0.97</v>
      </c>
      <c r="I19" s="1">
        <v>0.96</v>
      </c>
      <c r="J19" s="1">
        <v>0.97</v>
      </c>
      <c r="K19" s="1">
        <v>0.96</v>
      </c>
      <c r="L19" s="1">
        <v>0.95</v>
      </c>
      <c r="M19" s="1">
        <v>0.97</v>
      </c>
      <c r="N19" s="1">
        <v>0.98</v>
      </c>
      <c r="O19" s="1">
        <v>0.98</v>
      </c>
      <c r="P19" s="1">
        <v>0.97</v>
      </c>
      <c r="Q19" s="1">
        <v>0.95</v>
      </c>
      <c r="R19" s="1">
        <v>0.97</v>
      </c>
      <c r="S19" s="1">
        <v>0.94</v>
      </c>
      <c r="T19" s="1">
        <f t="shared" si="0"/>
        <v>0.98</v>
      </c>
    </row>
    <row r="22" spans="1:20" ht="25" customHeight="1">
      <c r="B22" t="s">
        <v>1</v>
      </c>
      <c r="C22" t="s">
        <v>2</v>
      </c>
      <c r="D22" t="s">
        <v>31</v>
      </c>
      <c r="E22" t="s">
        <v>4</v>
      </c>
      <c r="F22" t="s">
        <v>5</v>
      </c>
      <c r="G22" t="s">
        <v>36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11</v>
      </c>
      <c r="N22" t="s">
        <v>15</v>
      </c>
      <c r="O22" t="s">
        <v>16</v>
      </c>
      <c r="P22" t="s">
        <v>17</v>
      </c>
      <c r="Q22" t="s">
        <v>18</v>
      </c>
      <c r="R22" t="s">
        <v>19</v>
      </c>
      <c r="S22" t="s">
        <v>20</v>
      </c>
      <c r="T22" t="s">
        <v>24</v>
      </c>
    </row>
    <row r="23" spans="1:20" ht="25" customHeight="1">
      <c r="B23">
        <v>1</v>
      </c>
      <c r="C23" t="s">
        <v>25</v>
      </c>
      <c r="D23" t="b">
        <v>1</v>
      </c>
      <c r="E23">
        <v>1</v>
      </c>
      <c r="F23" t="s">
        <v>24</v>
      </c>
      <c r="H23" s="1" cm="1">
        <f t="array" ref="H23">_xlfn.LET(_xlpm.d,H$2:H$19,_xlpm.a,$C$2:$C$19=$C23,_xlpm.b,$D$2:$D$19=$D23,MAX(_xlfn._xlws.FILTER(_xlpm.d,_xlpm.a*_xlpm.b)))</f>
        <v>0.72</v>
      </c>
      <c r="I23" s="1" cm="1">
        <f t="array" ref="I23">_xlfn.LET(_xlpm.d,I$2:I$19,_xlpm.a,$C$2:$C$19=$C23,_xlpm.b,$D$2:$D$19=$D23,MAX(_xlfn._xlws.FILTER(_xlpm.d,_xlpm.a*_xlpm.b)))</f>
        <v>0.72</v>
      </c>
      <c r="J23" s="1" cm="1">
        <f t="array" ref="J23">_xlfn.LET(_xlpm.d,J$2:J$19,_xlpm.a,$C$2:$C$19=$C23,_xlpm.b,$D$2:$D$19=$D23,MAX(_xlfn._xlws.FILTER(_xlpm.d,_xlpm.a*_xlpm.b)))</f>
        <v>0.8</v>
      </c>
      <c r="K23" s="1" cm="1">
        <f t="array" ref="K23">_xlfn.LET(_xlpm.d,K$2:K$19,_xlpm.a,$C$2:$C$19=$C23,_xlpm.b,$D$2:$D$19=$D23,MAX(_xlfn._xlws.FILTER(_xlpm.d,_xlpm.a*_xlpm.b)))</f>
        <v>0.62</v>
      </c>
      <c r="L23" s="1" cm="1">
        <f t="array" ref="L23">_xlfn.LET(_xlpm.d,L$2:L$19,_xlpm.a,$C$2:$C$19=$C23,_xlpm.b,$D$2:$D$19=$D23,MAX(_xlfn._xlws.FILTER(_xlpm.d,_xlpm.a*_xlpm.b)))</f>
        <v>0.7</v>
      </c>
      <c r="M23" s="1" cm="1">
        <f t="array" ref="M23">_xlfn.LET(_xlpm.d,M$2:M$19,_xlpm.a,$C$2:$C$19=$C23,_xlpm.b,$D$2:$D$19=$D23,MAX(_xlfn._xlws.FILTER(_xlpm.d,_xlpm.a*_xlpm.b)))</f>
        <v>0.7</v>
      </c>
      <c r="N23" s="1" cm="1">
        <f t="array" ref="N23">_xlfn.LET(_xlpm.d,N$2:N$19,_xlpm.a,$C$2:$C$19=$C23,_xlpm.b,$D$2:$D$19=$D23,MAX(_xlfn._xlws.FILTER(_xlpm.d,_xlpm.a*_xlpm.b)))</f>
        <v>0.72</v>
      </c>
      <c r="O23" s="1" cm="1">
        <f t="array" ref="O23">_xlfn.LET(_xlpm.d,O$2:O$19,_xlpm.a,$C$2:$C$19=$C23,_xlpm.b,$D$2:$D$19=$D23,MAX(_xlfn._xlws.FILTER(_xlpm.d,_xlpm.a*_xlpm.b)))</f>
        <v>0.65</v>
      </c>
      <c r="P23" s="1" cm="1">
        <f t="array" ref="P23">_xlfn.LET(_xlpm.d,P$2:P$19,_xlpm.a,$C$2:$C$19=$C23,_xlpm.b,$D$2:$D$19=$D23,MAX(_xlfn._xlws.FILTER(_xlpm.d,_xlpm.a*_xlpm.b)))</f>
        <v>0.73</v>
      </c>
      <c r="Q23" s="1" cm="1">
        <f t="array" ref="Q23">_xlfn.LET(_xlpm.d,Q$2:Q$19,_xlpm.a,$C$2:$C$19=$C23,_xlpm.b,$D$2:$D$19=$D23,MAX(_xlfn._xlws.FILTER(_xlpm.d,_xlpm.a*_xlpm.b)))</f>
        <v>0.69</v>
      </c>
      <c r="R23" s="1" cm="1">
        <f t="array" ref="R23">_xlfn.LET(_xlpm.d,R$2:R$19,_xlpm.a,$C$2:$C$19=$C23,_xlpm.b,$D$2:$D$19=$D23,MAX(_xlfn._xlws.FILTER(_xlpm.d,_xlpm.a*_xlpm.b)))</f>
        <v>0.68</v>
      </c>
      <c r="S23" s="1" cm="1">
        <f t="array" ref="S23">_xlfn.LET(_xlpm.d,S$2:S$19,_xlpm.a,$C$2:$C$19=$C23,_xlpm.b,$D$2:$D$19=$D23,MAX(_xlfn._xlws.FILTER(_xlpm.d,_xlpm.a*_xlpm.b)))</f>
        <v>0.66</v>
      </c>
      <c r="T23" s="1" cm="1">
        <f t="array" ref="T23">_xlfn.LET(_xlpm.d,T$2:T$19,_xlpm.a,$C$2:$C$19=$C23,_xlpm.b,$D$2:$D$19=$D23,MAX(_xlfn._xlws.FILTER(_xlpm.d,_xlpm.a*_xlpm.b)))</f>
        <v>0.8</v>
      </c>
    </row>
    <row r="24" spans="1:20" ht="25" customHeight="1">
      <c r="B24">
        <v>1</v>
      </c>
      <c r="C24" t="s">
        <v>25</v>
      </c>
      <c r="D24" t="b">
        <v>0</v>
      </c>
      <c r="E24">
        <v>1</v>
      </c>
      <c r="F24" t="s">
        <v>24</v>
      </c>
      <c r="H24" s="1" cm="1">
        <f t="array" ref="H24">_xlfn.LET(_xlpm.d,H$2:H$19,_xlpm.a,$C$2:$C$19=$C24,_xlpm.b,$D$2:$D$19=$D24,MAX(_xlfn._xlws.FILTER(_xlpm.d,_xlpm.a*_xlpm.b)))</f>
        <v>0.66</v>
      </c>
      <c r="I24" s="1" cm="1">
        <f t="array" ref="I24">_xlfn.LET(_xlpm.d,I$2:I$19,_xlpm.a,$C$2:$C$19=$C24,_xlpm.b,$D$2:$D$19=$D24,MAX(_xlfn._xlws.FILTER(_xlpm.d,_xlpm.a*_xlpm.b)))</f>
        <v>0.69</v>
      </c>
      <c r="J24" s="1" cm="1">
        <f t="array" ref="J24">_xlfn.LET(_xlpm.d,J$2:J$19,_xlpm.a,$C$2:$C$19=$C24,_xlpm.b,$D$2:$D$19=$D24,MAX(_xlfn._xlws.FILTER(_xlpm.d,_xlpm.a*_xlpm.b)))</f>
        <v>0.79</v>
      </c>
      <c r="K24" s="1" cm="1">
        <f t="array" ref="K24">_xlfn.LET(_xlpm.d,K$2:K$19,_xlpm.a,$C$2:$C$19=$C24,_xlpm.b,$D$2:$D$19=$D24,MAX(_xlfn._xlws.FILTER(_xlpm.d,_xlpm.a*_xlpm.b)))</f>
        <v>0.6</v>
      </c>
      <c r="L24" s="1" cm="1">
        <f t="array" ref="L24">_xlfn.LET(_xlpm.d,L$2:L$19,_xlpm.a,$C$2:$C$19=$C24,_xlpm.b,$D$2:$D$19=$D24,MAX(_xlfn._xlws.FILTER(_xlpm.d,_xlpm.a*_xlpm.b)))</f>
        <v>0.69</v>
      </c>
      <c r="M24" s="1" cm="1">
        <f t="array" ref="M24">_xlfn.LET(_xlpm.d,M$2:M$19,_xlpm.a,$C$2:$C$19=$C24,_xlpm.b,$D$2:$D$19=$D24,MAX(_xlfn._xlws.FILTER(_xlpm.d,_xlpm.a*_xlpm.b)))</f>
        <v>0.71</v>
      </c>
      <c r="N24" s="1" cm="1">
        <f t="array" ref="N24">_xlfn.LET(_xlpm.d,N$2:N$19,_xlpm.a,$C$2:$C$19=$C24,_xlpm.b,$D$2:$D$19=$D24,MAX(_xlfn._xlws.FILTER(_xlpm.d,_xlpm.a*_xlpm.b)))</f>
        <v>0.69</v>
      </c>
      <c r="O24" s="1" cm="1">
        <f t="array" ref="O24">_xlfn.LET(_xlpm.d,O$2:O$19,_xlpm.a,$C$2:$C$19=$C24,_xlpm.b,$D$2:$D$19=$D24,MAX(_xlfn._xlws.FILTER(_xlpm.d,_xlpm.a*_xlpm.b)))</f>
        <v>0.65</v>
      </c>
      <c r="P24" s="1" cm="1">
        <f t="array" ref="P24">_xlfn.LET(_xlpm.d,P$2:P$19,_xlpm.a,$C$2:$C$19=$C24,_xlpm.b,$D$2:$D$19=$D24,MAX(_xlfn._xlws.FILTER(_xlpm.d,_xlpm.a*_xlpm.b)))</f>
        <v>0.69</v>
      </c>
      <c r="Q24" s="1" cm="1">
        <f t="array" ref="Q24">_xlfn.LET(_xlpm.d,Q$2:Q$19,_xlpm.a,$C$2:$C$19=$C24,_xlpm.b,$D$2:$D$19=$D24,MAX(_xlfn._xlws.FILTER(_xlpm.d,_xlpm.a*_xlpm.b)))</f>
        <v>0.66</v>
      </c>
      <c r="R24" s="1" cm="1">
        <f t="array" ref="R24">_xlfn.LET(_xlpm.d,R$2:R$19,_xlpm.a,$C$2:$C$19=$C24,_xlpm.b,$D$2:$D$19=$D24,MAX(_xlfn._xlws.FILTER(_xlpm.d,_xlpm.a*_xlpm.b)))</f>
        <v>0.65</v>
      </c>
      <c r="S24" s="1" cm="1">
        <f t="array" ref="S24">_xlfn.LET(_xlpm.d,S$2:S$19,_xlpm.a,$C$2:$C$19=$C24,_xlpm.b,$D$2:$D$19=$D24,MAX(_xlfn._xlws.FILTER(_xlpm.d,_xlpm.a*_xlpm.b)))</f>
        <v>0.67</v>
      </c>
      <c r="T24" s="1" cm="1">
        <f t="array" ref="T24">_xlfn.LET(_xlpm.d,T$2:T$19,_xlpm.a,$C$2:$C$19=$C24,_xlpm.b,$D$2:$D$19=$D24,MAX(_xlfn._xlws.FILTER(_xlpm.d,_xlpm.a*_xlpm.b)))</f>
        <v>0.79</v>
      </c>
    </row>
    <row r="25" spans="1:20" ht="25" customHeight="1">
      <c r="B25">
        <v>2</v>
      </c>
      <c r="C25" t="s">
        <v>29</v>
      </c>
      <c r="D25" t="b">
        <v>1</v>
      </c>
      <c r="E25">
        <v>1</v>
      </c>
      <c r="F25" t="s">
        <v>24</v>
      </c>
      <c r="H25" s="1" cm="1">
        <f t="array" ref="H25">_xlfn.LET(_xlpm.d,H$2:H$19,_xlpm.a,$C$2:$C$19=$C25,_xlpm.b,$D$2:$D$19=$D25,MAX(_xlfn._xlws.FILTER(_xlpm.d,_xlpm.a*_xlpm.b)))</f>
        <v>0.77</v>
      </c>
      <c r="I25" s="1" cm="1">
        <f t="array" ref="I25">_xlfn.LET(_xlpm.d,I$2:I$19,_xlpm.a,$C$2:$C$19=$C25,_xlpm.b,$D$2:$D$19=$D25,MAX(_xlfn._xlws.FILTER(_xlpm.d,_xlpm.a*_xlpm.b)))</f>
        <v>0.73</v>
      </c>
      <c r="J25" s="1" cm="1">
        <f t="array" ref="J25">_xlfn.LET(_xlpm.d,J$2:J$19,_xlpm.a,$C$2:$C$19=$C25,_xlpm.b,$D$2:$D$19=$D25,MAX(_xlfn._xlws.FILTER(_xlpm.d,_xlpm.a*_xlpm.b)))</f>
        <v>0.79</v>
      </c>
      <c r="K25" s="1" cm="1">
        <f t="array" ref="K25">_xlfn.LET(_xlpm.d,K$2:K$19,_xlpm.a,$C$2:$C$19=$C25,_xlpm.b,$D$2:$D$19=$D25,MAX(_xlfn._xlws.FILTER(_xlpm.d,_xlpm.a*_xlpm.b)))</f>
        <v>0.77</v>
      </c>
      <c r="L25" s="1" cm="1">
        <f t="array" ref="L25">_xlfn.LET(_xlpm.d,L$2:L$19,_xlpm.a,$C$2:$C$19=$C25,_xlpm.b,$D$2:$D$19=$D25,MAX(_xlfn._xlws.FILTER(_xlpm.d,_xlpm.a*_xlpm.b)))</f>
        <v>0.74</v>
      </c>
      <c r="M25" s="1" cm="1">
        <f t="array" ref="M25">_xlfn.LET(_xlpm.d,M$2:M$19,_xlpm.a,$C$2:$C$19=$C25,_xlpm.b,$D$2:$D$19=$D25,MAX(_xlfn._xlws.FILTER(_xlpm.d,_xlpm.a*_xlpm.b)))</f>
        <v>0.73</v>
      </c>
      <c r="N25" s="1" cm="1">
        <f t="array" ref="N25">_xlfn.LET(_xlpm.d,N$2:N$19,_xlpm.a,$C$2:$C$19=$C25,_xlpm.b,$D$2:$D$19=$D25,MAX(_xlfn._xlws.FILTER(_xlpm.d,_xlpm.a*_xlpm.b)))</f>
        <v>0.83</v>
      </c>
      <c r="O25" s="1" cm="1">
        <f t="array" ref="O25">_xlfn.LET(_xlpm.d,O$2:O$19,_xlpm.a,$C$2:$C$19=$C25,_xlpm.b,$D$2:$D$19=$D25,MAX(_xlfn._xlws.FILTER(_xlpm.d,_xlpm.a*_xlpm.b)))</f>
        <v>0.79</v>
      </c>
      <c r="P25" s="1" cm="1">
        <f t="array" ref="P25">_xlfn.LET(_xlpm.d,P$2:P$19,_xlpm.a,$C$2:$C$19=$C25,_xlpm.b,$D$2:$D$19=$D25,MAX(_xlfn._xlws.FILTER(_xlpm.d,_xlpm.a*_xlpm.b)))</f>
        <v>0.8</v>
      </c>
      <c r="Q25" s="1" cm="1">
        <f t="array" ref="Q25">_xlfn.LET(_xlpm.d,Q$2:Q$19,_xlpm.a,$C$2:$C$19=$C25,_xlpm.b,$D$2:$D$19=$D25,MAX(_xlfn._xlws.FILTER(_xlpm.d,_xlpm.a*_xlpm.b)))</f>
        <v>0.78</v>
      </c>
      <c r="R25" s="1" cm="1">
        <f t="array" ref="R25">_xlfn.LET(_xlpm.d,R$2:R$19,_xlpm.a,$C$2:$C$19=$C25,_xlpm.b,$D$2:$D$19=$D25,MAX(_xlfn._xlws.FILTER(_xlpm.d,_xlpm.a*_xlpm.b)))</f>
        <v>0.77</v>
      </c>
      <c r="S25" s="1" cm="1">
        <f t="array" ref="S25">_xlfn.LET(_xlpm.d,S$2:S$19,_xlpm.a,$C$2:$C$19=$C25,_xlpm.b,$D$2:$D$19=$D25,MAX(_xlfn._xlws.FILTER(_xlpm.d,_xlpm.a*_xlpm.b)))</f>
        <v>0.72</v>
      </c>
      <c r="T25" s="1" cm="1">
        <f t="array" ref="T25">_xlfn.LET(_xlpm.d,T$2:T$19,_xlpm.a,$C$2:$C$19=$C25,_xlpm.b,$D$2:$D$19=$D25,MAX(_xlfn._xlws.FILTER(_xlpm.d,_xlpm.a*_xlpm.b)))</f>
        <v>0.83</v>
      </c>
    </row>
    <row r="26" spans="1:20" ht="25" customHeight="1">
      <c r="B26">
        <v>2</v>
      </c>
      <c r="C26" t="s">
        <v>29</v>
      </c>
      <c r="D26" t="b">
        <v>0</v>
      </c>
      <c r="E26">
        <v>1</v>
      </c>
      <c r="F26" t="s">
        <v>24</v>
      </c>
      <c r="H26" s="1" cm="1">
        <f t="array" ref="H26">_xlfn.LET(_xlpm.d,H$2:H$19,_xlpm.a,$C$2:$C$19=$C26,_xlpm.b,$D$2:$D$19=$D26,MAX(_xlfn._xlws.FILTER(_xlpm.d,_xlpm.a*_xlpm.b)))</f>
        <v>0.69</v>
      </c>
      <c r="I26" s="1" cm="1">
        <f t="array" ref="I26">_xlfn.LET(_xlpm.d,I$2:I$19,_xlpm.a,$C$2:$C$19=$C26,_xlpm.b,$D$2:$D$19=$D26,MAX(_xlfn._xlws.FILTER(_xlpm.d,_xlpm.a*_xlpm.b)))</f>
        <v>0.69</v>
      </c>
      <c r="J26" s="1" cm="1">
        <f t="array" ref="J26">_xlfn.LET(_xlpm.d,J$2:J$19,_xlpm.a,$C$2:$C$19=$C26,_xlpm.b,$D$2:$D$19=$D26,MAX(_xlfn._xlws.FILTER(_xlpm.d,_xlpm.a*_xlpm.b)))</f>
        <v>0.76</v>
      </c>
      <c r="K26" s="1" cm="1">
        <f t="array" ref="K26">_xlfn.LET(_xlpm.d,K$2:K$19,_xlpm.a,$C$2:$C$19=$C26,_xlpm.b,$D$2:$D$19=$D26,MAX(_xlfn._xlws.FILTER(_xlpm.d,_xlpm.a*_xlpm.b)))</f>
        <v>0.74</v>
      </c>
      <c r="L26" s="1" cm="1">
        <f t="array" ref="L26">_xlfn.LET(_xlpm.d,L$2:L$19,_xlpm.a,$C$2:$C$19=$C26,_xlpm.b,$D$2:$D$19=$D26,MAX(_xlfn._xlws.FILTER(_xlpm.d,_xlpm.a*_xlpm.b)))</f>
        <v>0.74</v>
      </c>
      <c r="M26" s="1" cm="1">
        <f t="array" ref="M26">_xlfn.LET(_xlpm.d,M$2:M$19,_xlpm.a,$C$2:$C$19=$C26,_xlpm.b,$D$2:$D$19=$D26,MAX(_xlfn._xlws.FILTER(_xlpm.d,_xlpm.a*_xlpm.b)))</f>
        <v>0.74</v>
      </c>
      <c r="N26" s="1" cm="1">
        <f t="array" ref="N26">_xlfn.LET(_xlpm.d,N$2:N$19,_xlpm.a,$C$2:$C$19=$C26,_xlpm.b,$D$2:$D$19=$D26,MAX(_xlfn._xlws.FILTER(_xlpm.d,_xlpm.a*_xlpm.b)))</f>
        <v>0.76</v>
      </c>
      <c r="O26" s="1" cm="1">
        <f t="array" ref="O26">_xlfn.LET(_xlpm.d,O$2:O$19,_xlpm.a,$C$2:$C$19=$C26,_xlpm.b,$D$2:$D$19=$D26,MAX(_xlfn._xlws.FILTER(_xlpm.d,_xlpm.a*_xlpm.b)))</f>
        <v>0.77</v>
      </c>
      <c r="P26" s="1" cm="1">
        <f t="array" ref="P26">_xlfn.LET(_xlpm.d,P$2:P$19,_xlpm.a,$C$2:$C$19=$C26,_xlpm.b,$D$2:$D$19=$D26,MAX(_xlfn._xlws.FILTER(_xlpm.d,_xlpm.a*_xlpm.b)))</f>
        <v>0.76</v>
      </c>
      <c r="Q26" s="1" cm="1">
        <f t="array" ref="Q26">_xlfn.LET(_xlpm.d,Q$2:Q$19,_xlpm.a,$C$2:$C$19=$C26,_xlpm.b,$D$2:$D$19=$D26,MAX(_xlfn._xlws.FILTER(_xlpm.d,_xlpm.a*_xlpm.b)))</f>
        <v>0.74</v>
      </c>
      <c r="R26" s="1" cm="1">
        <f t="array" ref="R26">_xlfn.LET(_xlpm.d,R$2:R$19,_xlpm.a,$C$2:$C$19=$C26,_xlpm.b,$D$2:$D$19=$D26,MAX(_xlfn._xlws.FILTER(_xlpm.d,_xlpm.a*_xlpm.b)))</f>
        <v>0.76</v>
      </c>
      <c r="S26" s="1" cm="1">
        <f t="array" ref="S26">_xlfn.LET(_xlpm.d,S$2:S$19,_xlpm.a,$C$2:$C$19=$C26,_xlpm.b,$D$2:$D$19=$D26,MAX(_xlfn._xlws.FILTER(_xlpm.d,_xlpm.a*_xlpm.b)))</f>
        <v>0.7</v>
      </c>
      <c r="T26" s="1" cm="1">
        <f t="array" ref="T26">_xlfn.LET(_xlpm.d,T$2:T$19,_xlpm.a,$C$2:$C$19=$C26,_xlpm.b,$D$2:$D$19=$D26,MAX(_xlfn._xlws.FILTER(_xlpm.d,_xlpm.a*_xlpm.b)))</f>
        <v>0.77</v>
      </c>
    </row>
    <row r="27" spans="1:20" ht="25" customHeight="1">
      <c r="B27">
        <v>3</v>
      </c>
      <c r="C27" t="s">
        <v>30</v>
      </c>
      <c r="D27" t="b">
        <v>1</v>
      </c>
      <c r="E27">
        <v>1</v>
      </c>
      <c r="F27" t="s">
        <v>24</v>
      </c>
      <c r="H27" s="1" cm="1">
        <f t="array" ref="H27">_xlfn.LET(_xlpm.d,H$2:H$19,_xlpm.a,$C$2:$C$19=$C27,_xlpm.b,$D$2:$D$19=$D27,MAX(_xlfn._xlws.FILTER(_xlpm.d,_xlpm.a*_xlpm.b)))</f>
        <v>0.97</v>
      </c>
      <c r="I27" s="1" cm="1">
        <f t="array" ref="I27">_xlfn.LET(_xlpm.d,I$2:I$19,_xlpm.a,$C$2:$C$19=$C27,_xlpm.b,$D$2:$D$19=$D27,MAX(_xlfn._xlws.FILTER(_xlpm.d,_xlpm.a*_xlpm.b)))</f>
        <v>0.96</v>
      </c>
      <c r="J27" s="1" cm="1">
        <f t="array" ref="J27">_xlfn.LET(_xlpm.d,J$2:J$19,_xlpm.a,$C$2:$C$19=$C27,_xlpm.b,$D$2:$D$19=$D27,MAX(_xlfn._xlws.FILTER(_xlpm.d,_xlpm.a*_xlpm.b)))</f>
        <v>0.97</v>
      </c>
      <c r="K27" s="1" cm="1">
        <f t="array" ref="K27">_xlfn.LET(_xlpm.d,K$2:K$19,_xlpm.a,$C$2:$C$19=$C27,_xlpm.b,$D$2:$D$19=$D27,MAX(_xlfn._xlws.FILTER(_xlpm.d,_xlpm.a*_xlpm.b)))</f>
        <v>0.96</v>
      </c>
      <c r="L27" s="1" cm="1">
        <f t="array" ref="L27">_xlfn.LET(_xlpm.d,L$2:L$19,_xlpm.a,$C$2:$C$19=$C27,_xlpm.b,$D$2:$D$19=$D27,MAX(_xlfn._xlws.FILTER(_xlpm.d,_xlpm.a*_xlpm.b)))</f>
        <v>0.95</v>
      </c>
      <c r="M27" s="1" cm="1">
        <f t="array" ref="M27">_xlfn.LET(_xlpm.d,M$2:M$19,_xlpm.a,$C$2:$C$19=$C27,_xlpm.b,$D$2:$D$19=$D27,MAX(_xlfn._xlws.FILTER(_xlpm.d,_xlpm.a*_xlpm.b)))</f>
        <v>0.97</v>
      </c>
      <c r="N27" s="1" cm="1">
        <f t="array" ref="N27">_xlfn.LET(_xlpm.d,N$2:N$19,_xlpm.a,$C$2:$C$19=$C27,_xlpm.b,$D$2:$D$19=$D27,MAX(_xlfn._xlws.FILTER(_xlpm.d,_xlpm.a*_xlpm.b)))</f>
        <v>0.98</v>
      </c>
      <c r="O27" s="1" cm="1">
        <f t="array" ref="O27">_xlfn.LET(_xlpm.d,O$2:O$19,_xlpm.a,$C$2:$C$19=$C27,_xlpm.b,$D$2:$D$19=$D27,MAX(_xlfn._xlws.FILTER(_xlpm.d,_xlpm.a*_xlpm.b)))</f>
        <v>0.99</v>
      </c>
      <c r="P27" s="1" cm="1">
        <f t="array" ref="P27">_xlfn.LET(_xlpm.d,P$2:P$19,_xlpm.a,$C$2:$C$19=$C27,_xlpm.b,$D$2:$D$19=$D27,MAX(_xlfn._xlws.FILTER(_xlpm.d,_xlpm.a*_xlpm.b)))</f>
        <v>0.97</v>
      </c>
      <c r="Q27" s="1" cm="1">
        <f t="array" ref="Q27">_xlfn.LET(_xlpm.d,Q$2:Q$19,_xlpm.a,$C$2:$C$19=$C27,_xlpm.b,$D$2:$D$19=$D27,MAX(_xlfn._xlws.FILTER(_xlpm.d,_xlpm.a*_xlpm.b)))</f>
        <v>0.95</v>
      </c>
      <c r="R27" s="1" cm="1">
        <f t="array" ref="R27">_xlfn.LET(_xlpm.d,R$2:R$19,_xlpm.a,$C$2:$C$19=$C27,_xlpm.b,$D$2:$D$19=$D27,MAX(_xlfn._xlws.FILTER(_xlpm.d,_xlpm.a*_xlpm.b)))</f>
        <v>0.97</v>
      </c>
      <c r="S27" s="1" cm="1">
        <f t="array" ref="S27">_xlfn.LET(_xlpm.d,S$2:S$19,_xlpm.a,$C$2:$C$19=$C27,_xlpm.b,$D$2:$D$19=$D27,MAX(_xlfn._xlws.FILTER(_xlpm.d,_xlpm.a*_xlpm.b)))</f>
        <v>0.94</v>
      </c>
      <c r="T27" s="1" cm="1">
        <f t="array" ref="T27">_xlfn.LET(_xlpm.d,T$2:T$19,_xlpm.a,$C$2:$C$19=$C27,_xlpm.b,$D$2:$D$19=$D27,MAX(_xlfn._xlws.FILTER(_xlpm.d,_xlpm.a*_xlpm.b)))</f>
        <v>0.99</v>
      </c>
    </row>
    <row r="28" spans="1:20" ht="25" customHeight="1">
      <c r="B28">
        <v>3</v>
      </c>
      <c r="C28" t="s">
        <v>30</v>
      </c>
      <c r="D28" t="b">
        <v>0</v>
      </c>
      <c r="E28">
        <v>1</v>
      </c>
      <c r="F28" t="s">
        <v>24</v>
      </c>
      <c r="H28" s="1" cm="1">
        <f t="array" ref="H28">_xlfn.LET(_xlpm.d,H$2:H$19,_xlpm.a,$C$2:$C$19=$C28,_xlpm.b,$D$2:$D$19=$D28,MAX(_xlfn._xlws.FILTER(_xlpm.d,_xlpm.a*_xlpm.b)))</f>
        <v>0.97</v>
      </c>
      <c r="I28" s="1" cm="1">
        <f t="array" ref="I28">_xlfn.LET(_xlpm.d,I$2:I$19,_xlpm.a,$C$2:$C$19=$C28,_xlpm.b,$D$2:$D$19=$D28,MAX(_xlfn._xlws.FILTER(_xlpm.d,_xlpm.a*_xlpm.b)))</f>
        <v>0.96</v>
      </c>
      <c r="J28" s="1" cm="1">
        <f t="array" ref="J28">_xlfn.LET(_xlpm.d,J$2:J$19,_xlpm.a,$C$2:$C$19=$C28,_xlpm.b,$D$2:$D$19=$D28,MAX(_xlfn._xlws.FILTER(_xlpm.d,_xlpm.a*_xlpm.b)))</f>
        <v>0.97</v>
      </c>
      <c r="K28" s="1" cm="1">
        <f t="array" ref="K28">_xlfn.LET(_xlpm.d,K$2:K$19,_xlpm.a,$C$2:$C$19=$C28,_xlpm.b,$D$2:$D$19=$D28,MAX(_xlfn._xlws.FILTER(_xlpm.d,_xlpm.a*_xlpm.b)))</f>
        <v>0.96</v>
      </c>
      <c r="L28" s="1" cm="1">
        <f t="array" ref="L28">_xlfn.LET(_xlpm.d,L$2:L$19,_xlpm.a,$C$2:$C$19=$C28,_xlpm.b,$D$2:$D$19=$D28,MAX(_xlfn._xlws.FILTER(_xlpm.d,_xlpm.a*_xlpm.b)))</f>
        <v>0.95</v>
      </c>
      <c r="M28" s="1" cm="1">
        <f t="array" ref="M28">_xlfn.LET(_xlpm.d,M$2:M$19,_xlpm.a,$C$2:$C$19=$C28,_xlpm.b,$D$2:$D$19=$D28,MAX(_xlfn._xlws.FILTER(_xlpm.d,_xlpm.a*_xlpm.b)))</f>
        <v>0.97</v>
      </c>
      <c r="N28" s="1" cm="1">
        <f t="array" ref="N28">_xlfn.LET(_xlpm.d,N$2:N$19,_xlpm.a,$C$2:$C$19=$C28,_xlpm.b,$D$2:$D$19=$D28,MAX(_xlfn._xlws.FILTER(_xlpm.d,_xlpm.a*_xlpm.b)))</f>
        <v>0.98</v>
      </c>
      <c r="O28" s="1" cm="1">
        <f t="array" ref="O28">_xlfn.LET(_xlpm.d,O$2:O$19,_xlpm.a,$C$2:$C$19=$C28,_xlpm.b,$D$2:$D$19=$D28,MAX(_xlfn._xlws.FILTER(_xlpm.d,_xlpm.a*_xlpm.b)))</f>
        <v>0.98</v>
      </c>
      <c r="P28" s="1" cm="1">
        <f t="array" ref="P28">_xlfn.LET(_xlpm.d,P$2:P$19,_xlpm.a,$C$2:$C$19=$C28,_xlpm.b,$D$2:$D$19=$D28,MAX(_xlfn._xlws.FILTER(_xlpm.d,_xlpm.a*_xlpm.b)))</f>
        <v>0.97</v>
      </c>
      <c r="Q28" s="1" cm="1">
        <f t="array" ref="Q28">_xlfn.LET(_xlpm.d,Q$2:Q$19,_xlpm.a,$C$2:$C$19=$C28,_xlpm.b,$D$2:$D$19=$D28,MAX(_xlfn._xlws.FILTER(_xlpm.d,_xlpm.a*_xlpm.b)))</f>
        <v>0.95</v>
      </c>
      <c r="R28" s="1" cm="1">
        <f t="array" ref="R28">_xlfn.LET(_xlpm.d,R$2:R$19,_xlpm.a,$C$2:$C$19=$C28,_xlpm.b,$D$2:$D$19=$D28,MAX(_xlfn._xlws.FILTER(_xlpm.d,_xlpm.a*_xlpm.b)))</f>
        <v>0.97</v>
      </c>
      <c r="S28" s="1" cm="1">
        <f t="array" ref="S28">_xlfn.LET(_xlpm.d,S$2:S$19,_xlpm.a,$C$2:$C$19=$C28,_xlpm.b,$D$2:$D$19=$D28,MAX(_xlfn._xlws.FILTER(_xlpm.d,_xlpm.a*_xlpm.b)))</f>
        <v>0.94</v>
      </c>
      <c r="T28" s="1" cm="1">
        <f t="array" ref="T28">_xlfn.LET(_xlpm.d,T$2:T$19,_xlpm.a,$C$2:$C$19=$C28,_xlpm.b,$D$2:$D$19=$D28,MAX(_xlfn._xlws.FILTER(_xlpm.d,_xlpm.a*_xlpm.b)))</f>
        <v>0.98</v>
      </c>
    </row>
  </sheetData>
  <conditionalFormatting sqref="H2:T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E40E-3F68-2148-BED4-D418812BC387}">
  <dimension ref="A1:S28"/>
  <sheetViews>
    <sheetView workbookViewId="0">
      <pane xSplit="14180" ySplit="3520" topLeftCell="P22" activePane="bottomLeft"/>
      <selection activeCell="G1" sqref="G1:S1"/>
      <selection pane="topRight" activeCell="S3" sqref="S3"/>
      <selection pane="bottomLeft" activeCell="G23" sqref="G23:S28"/>
      <selection pane="bottomRight" activeCell="U19" sqref="U19"/>
    </sheetView>
  </sheetViews>
  <sheetFormatPr baseColWidth="10" defaultRowHeight="25" customHeight="1"/>
  <cols>
    <col min="2" max="2" width="8" customWidth="1"/>
    <col min="4" max="4" width="9" customWidth="1"/>
    <col min="5" max="5" width="8.125" customWidth="1"/>
    <col min="7" max="19" width="7.12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22</v>
      </c>
      <c r="R1" t="s">
        <v>23</v>
      </c>
      <c r="S1" t="s">
        <v>24</v>
      </c>
    </row>
    <row r="2" spans="1:19" ht="25" customHeight="1">
      <c r="A2" t="s">
        <v>33</v>
      </c>
      <c r="B2">
        <v>1</v>
      </c>
      <c r="C2" t="s">
        <v>25</v>
      </c>
      <c r="D2" t="b">
        <v>1</v>
      </c>
      <c r="E2">
        <v>1</v>
      </c>
      <c r="F2" t="s">
        <v>26</v>
      </c>
      <c r="G2" s="1">
        <v>0.7</v>
      </c>
      <c r="H2" s="1">
        <v>0.69</v>
      </c>
      <c r="I2" s="1">
        <v>0.65</v>
      </c>
      <c r="J2" s="1">
        <v>0.73</v>
      </c>
      <c r="K2" s="1">
        <v>0.65</v>
      </c>
      <c r="L2" s="1">
        <v>0.63</v>
      </c>
      <c r="M2" s="1">
        <v>0.71</v>
      </c>
      <c r="N2" s="1">
        <v>0.71</v>
      </c>
      <c r="O2" s="1">
        <v>0.68</v>
      </c>
      <c r="P2" s="1">
        <v>0.6</v>
      </c>
      <c r="Q2" s="1">
        <v>0.68</v>
      </c>
      <c r="R2" s="1">
        <v>0.68</v>
      </c>
      <c r="S2" s="1">
        <f t="shared" ref="S2:S19" si="0">MAX($G2:$R2)</f>
        <v>0.73</v>
      </c>
    </row>
    <row r="3" spans="1:19" ht="25" customHeight="1">
      <c r="A3" t="s">
        <v>33</v>
      </c>
      <c r="B3">
        <v>1</v>
      </c>
      <c r="C3" t="s">
        <v>25</v>
      </c>
      <c r="D3" t="b">
        <v>1</v>
      </c>
      <c r="E3">
        <v>2</v>
      </c>
      <c r="F3" t="s">
        <v>27</v>
      </c>
      <c r="G3" s="1">
        <v>0.71</v>
      </c>
      <c r="H3" s="1">
        <v>0.69</v>
      </c>
      <c r="I3" s="1">
        <v>0.67</v>
      </c>
      <c r="J3" s="1">
        <v>0.76</v>
      </c>
      <c r="K3" s="1">
        <v>0.7</v>
      </c>
      <c r="L3" s="1">
        <v>0.69</v>
      </c>
      <c r="M3" s="1">
        <v>0.69</v>
      </c>
      <c r="N3" s="1">
        <v>0.75</v>
      </c>
      <c r="O3" s="1">
        <v>0.72</v>
      </c>
      <c r="P3" s="1">
        <v>0.63</v>
      </c>
      <c r="Q3" s="1">
        <v>0.7</v>
      </c>
      <c r="R3" s="1">
        <v>0.67</v>
      </c>
      <c r="S3" s="1">
        <f t="shared" si="0"/>
        <v>0.76</v>
      </c>
    </row>
    <row r="4" spans="1:19" ht="25" customHeight="1">
      <c r="A4" t="s">
        <v>33</v>
      </c>
      <c r="B4">
        <v>1</v>
      </c>
      <c r="C4" t="s">
        <v>25</v>
      </c>
      <c r="D4" t="b">
        <v>1</v>
      </c>
      <c r="E4">
        <v>3</v>
      </c>
      <c r="F4" t="s">
        <v>28</v>
      </c>
      <c r="G4" s="1">
        <v>0.69</v>
      </c>
      <c r="H4" s="1">
        <v>0.62</v>
      </c>
      <c r="I4" s="1">
        <v>0.68</v>
      </c>
      <c r="J4" s="1">
        <v>0.69</v>
      </c>
      <c r="K4" s="1">
        <v>0.65</v>
      </c>
      <c r="L4" s="1">
        <v>0.69</v>
      </c>
      <c r="M4" s="1">
        <v>0.67</v>
      </c>
      <c r="N4" s="1">
        <v>0.64</v>
      </c>
      <c r="O4" s="1">
        <v>0.65</v>
      </c>
      <c r="P4" s="1">
        <v>0.63</v>
      </c>
      <c r="Q4" s="1">
        <v>0.64</v>
      </c>
      <c r="R4" s="1">
        <v>0.68</v>
      </c>
      <c r="S4" s="1">
        <f t="shared" si="0"/>
        <v>0.69</v>
      </c>
    </row>
    <row r="5" spans="1:19" ht="25" customHeight="1">
      <c r="A5" t="s">
        <v>33</v>
      </c>
      <c r="B5">
        <v>1</v>
      </c>
      <c r="C5" t="s">
        <v>25</v>
      </c>
      <c r="D5" t="b">
        <v>0</v>
      </c>
      <c r="E5">
        <v>1</v>
      </c>
      <c r="F5" t="s">
        <v>26</v>
      </c>
      <c r="G5" s="1">
        <v>0.66</v>
      </c>
      <c r="H5" s="1">
        <v>0.61</v>
      </c>
      <c r="I5" s="1">
        <v>0.6</v>
      </c>
      <c r="J5" s="1">
        <v>0.71</v>
      </c>
      <c r="K5" s="1">
        <v>0.64</v>
      </c>
      <c r="L5" s="1">
        <v>0.63</v>
      </c>
      <c r="M5" s="1">
        <v>0.67</v>
      </c>
      <c r="N5" s="1">
        <v>0.7</v>
      </c>
      <c r="O5" s="1">
        <v>0.7</v>
      </c>
      <c r="P5" s="1">
        <v>0.62</v>
      </c>
      <c r="Q5" s="1">
        <v>0.67</v>
      </c>
      <c r="R5" s="1">
        <v>0.65</v>
      </c>
      <c r="S5" s="1">
        <f t="shared" si="0"/>
        <v>0.71</v>
      </c>
    </row>
    <row r="6" spans="1:19" ht="25" customHeight="1">
      <c r="A6" t="s">
        <v>33</v>
      </c>
      <c r="B6">
        <v>1</v>
      </c>
      <c r="C6" t="s">
        <v>25</v>
      </c>
      <c r="D6" t="b">
        <v>0</v>
      </c>
      <c r="E6">
        <v>2</v>
      </c>
      <c r="F6" t="s">
        <v>27</v>
      </c>
      <c r="G6" s="1">
        <v>0.69</v>
      </c>
      <c r="H6" s="1">
        <v>0.67</v>
      </c>
      <c r="I6" s="1">
        <v>0.65</v>
      </c>
      <c r="J6" s="1">
        <v>0.74</v>
      </c>
      <c r="K6" s="1">
        <v>0.66</v>
      </c>
      <c r="L6" s="1">
        <v>0.67</v>
      </c>
      <c r="M6" s="1">
        <v>0.69</v>
      </c>
      <c r="N6" s="1">
        <v>0.74</v>
      </c>
      <c r="O6" s="1">
        <v>0.7</v>
      </c>
      <c r="P6" s="1">
        <v>0.62</v>
      </c>
      <c r="Q6" s="1">
        <v>0.72</v>
      </c>
      <c r="R6" s="1">
        <v>0.67</v>
      </c>
      <c r="S6" s="1">
        <f t="shared" si="0"/>
        <v>0.74</v>
      </c>
    </row>
    <row r="7" spans="1:19" ht="25" customHeight="1">
      <c r="A7" t="s">
        <v>33</v>
      </c>
      <c r="B7">
        <v>1</v>
      </c>
      <c r="C7" t="s">
        <v>25</v>
      </c>
      <c r="D7" t="b">
        <v>0</v>
      </c>
      <c r="E7">
        <v>3</v>
      </c>
      <c r="F7" t="s">
        <v>28</v>
      </c>
      <c r="G7" s="1">
        <v>0.65</v>
      </c>
      <c r="H7" s="1">
        <v>0.6</v>
      </c>
      <c r="I7" s="1">
        <v>0.55000000000000004</v>
      </c>
      <c r="J7" s="1">
        <v>0.67</v>
      </c>
      <c r="K7" s="1">
        <v>0.57999999999999996</v>
      </c>
      <c r="L7" s="1">
        <v>0.65</v>
      </c>
      <c r="M7" s="1">
        <v>0.59</v>
      </c>
      <c r="N7" s="1">
        <v>0.57999999999999996</v>
      </c>
      <c r="O7" s="1">
        <v>0.56999999999999995</v>
      </c>
      <c r="P7" s="1">
        <v>0.62</v>
      </c>
      <c r="Q7" s="1">
        <v>0.6</v>
      </c>
      <c r="R7" s="1">
        <v>0.64</v>
      </c>
      <c r="S7" s="1">
        <f t="shared" si="0"/>
        <v>0.67</v>
      </c>
    </row>
    <row r="8" spans="1:19" ht="25" customHeight="1">
      <c r="A8" t="s">
        <v>33</v>
      </c>
      <c r="B8">
        <v>2</v>
      </c>
      <c r="C8" t="s">
        <v>29</v>
      </c>
      <c r="D8" t="b">
        <v>1</v>
      </c>
      <c r="E8">
        <v>1</v>
      </c>
      <c r="F8" t="s">
        <v>26</v>
      </c>
      <c r="G8" s="1">
        <v>0.81</v>
      </c>
      <c r="H8" s="1">
        <v>0.69</v>
      </c>
      <c r="I8" s="1">
        <v>0.75</v>
      </c>
      <c r="J8" s="1">
        <v>0.74</v>
      </c>
      <c r="K8" s="1">
        <v>0.74</v>
      </c>
      <c r="L8" s="1">
        <v>0.72</v>
      </c>
      <c r="M8" s="1">
        <v>0.75</v>
      </c>
      <c r="N8" s="1">
        <v>0.73</v>
      </c>
      <c r="O8" s="1">
        <v>0.65</v>
      </c>
      <c r="P8" s="1">
        <v>0.77</v>
      </c>
      <c r="Q8" s="1">
        <v>0.66</v>
      </c>
      <c r="R8" s="1">
        <v>0.68</v>
      </c>
      <c r="S8" s="1">
        <f t="shared" si="0"/>
        <v>0.81</v>
      </c>
    </row>
    <row r="9" spans="1:19" ht="25" customHeight="1">
      <c r="A9" t="s">
        <v>33</v>
      </c>
      <c r="B9">
        <v>2</v>
      </c>
      <c r="C9" t="s">
        <v>29</v>
      </c>
      <c r="D9" t="b">
        <v>1</v>
      </c>
      <c r="E9">
        <v>2</v>
      </c>
      <c r="F9" t="s">
        <v>27</v>
      </c>
      <c r="G9" s="1">
        <v>0.82</v>
      </c>
      <c r="H9" s="1">
        <v>0.77</v>
      </c>
      <c r="I9" s="1">
        <v>0.79</v>
      </c>
      <c r="J9" s="1">
        <v>0.76</v>
      </c>
      <c r="K9" s="1">
        <v>0.78</v>
      </c>
      <c r="L9" s="1">
        <v>0.78</v>
      </c>
      <c r="M9" s="1">
        <v>0.75</v>
      </c>
      <c r="N9" s="1">
        <v>0.81</v>
      </c>
      <c r="O9" s="1">
        <v>0.74</v>
      </c>
      <c r="P9" s="1">
        <v>0.83</v>
      </c>
      <c r="Q9" s="1">
        <v>0.74</v>
      </c>
      <c r="R9" s="1">
        <v>0.77</v>
      </c>
      <c r="S9" s="1">
        <f t="shared" si="0"/>
        <v>0.83</v>
      </c>
    </row>
    <row r="10" spans="1:19" ht="25" customHeight="1">
      <c r="A10" t="s">
        <v>33</v>
      </c>
      <c r="B10">
        <v>2</v>
      </c>
      <c r="C10" t="s">
        <v>29</v>
      </c>
      <c r="D10" t="b">
        <v>1</v>
      </c>
      <c r="E10">
        <v>3</v>
      </c>
      <c r="F10" t="s">
        <v>28</v>
      </c>
      <c r="G10" s="1">
        <v>0.76</v>
      </c>
      <c r="H10" s="1">
        <v>0.73</v>
      </c>
      <c r="I10" s="1">
        <v>0.76</v>
      </c>
      <c r="J10" s="1">
        <v>0.71</v>
      </c>
      <c r="K10" s="1">
        <v>0.77</v>
      </c>
      <c r="L10" s="1">
        <v>0.78</v>
      </c>
      <c r="M10" s="1">
        <v>0.71</v>
      </c>
      <c r="N10" s="1">
        <v>0.74</v>
      </c>
      <c r="O10" s="1">
        <v>0.67</v>
      </c>
      <c r="P10" s="1">
        <v>0.79</v>
      </c>
      <c r="Q10" s="1">
        <v>0.71</v>
      </c>
      <c r="R10" s="1">
        <v>0.7</v>
      </c>
      <c r="S10" s="1">
        <f t="shared" si="0"/>
        <v>0.79</v>
      </c>
    </row>
    <row r="11" spans="1:19" ht="25" customHeight="1">
      <c r="A11" t="s">
        <v>33</v>
      </c>
      <c r="B11">
        <v>2</v>
      </c>
      <c r="C11" t="s">
        <v>29</v>
      </c>
      <c r="D11" t="b">
        <v>0</v>
      </c>
      <c r="E11">
        <v>1</v>
      </c>
      <c r="F11" t="s">
        <v>26</v>
      </c>
      <c r="G11" s="1">
        <v>0.66</v>
      </c>
      <c r="H11" s="1">
        <v>0.68</v>
      </c>
      <c r="I11" s="1">
        <v>0.72</v>
      </c>
      <c r="J11" s="1">
        <v>0.68</v>
      </c>
      <c r="K11" s="1">
        <v>0.74</v>
      </c>
      <c r="L11" s="1">
        <v>0.69</v>
      </c>
      <c r="M11" s="1">
        <v>0.64</v>
      </c>
      <c r="N11" s="1">
        <v>0.76</v>
      </c>
      <c r="O11" s="1">
        <v>0.62</v>
      </c>
      <c r="P11" s="1">
        <v>0.75</v>
      </c>
      <c r="Q11" s="1">
        <v>0.66</v>
      </c>
      <c r="R11" s="1">
        <v>0.71</v>
      </c>
      <c r="S11" s="1">
        <f t="shared" si="0"/>
        <v>0.76</v>
      </c>
    </row>
    <row r="12" spans="1:19" ht="25" customHeight="1">
      <c r="A12" t="s">
        <v>33</v>
      </c>
      <c r="B12">
        <v>2</v>
      </c>
      <c r="C12" t="s">
        <v>29</v>
      </c>
      <c r="D12" t="b">
        <v>0</v>
      </c>
      <c r="E12">
        <v>2</v>
      </c>
      <c r="F12" t="s">
        <v>27</v>
      </c>
      <c r="G12" s="1">
        <v>0.76</v>
      </c>
      <c r="H12" s="1">
        <v>0.76</v>
      </c>
      <c r="I12" s="1">
        <v>0.75</v>
      </c>
      <c r="J12" s="1">
        <v>0.75</v>
      </c>
      <c r="K12" s="1">
        <v>0.79</v>
      </c>
      <c r="L12" s="1">
        <v>0.72</v>
      </c>
      <c r="M12" s="1">
        <v>0.71</v>
      </c>
      <c r="N12" s="1">
        <v>0.75</v>
      </c>
      <c r="O12" s="1">
        <v>0.69</v>
      </c>
      <c r="P12" s="1">
        <v>0.77</v>
      </c>
      <c r="Q12" s="1">
        <v>0.69</v>
      </c>
      <c r="R12" s="1">
        <v>0.75</v>
      </c>
      <c r="S12" s="1">
        <f t="shared" si="0"/>
        <v>0.79</v>
      </c>
    </row>
    <row r="13" spans="1:19" ht="25" customHeight="1">
      <c r="A13" t="s">
        <v>33</v>
      </c>
      <c r="B13">
        <v>2</v>
      </c>
      <c r="C13" t="s">
        <v>29</v>
      </c>
      <c r="D13" t="b">
        <v>0</v>
      </c>
      <c r="E13">
        <v>3</v>
      </c>
      <c r="F13" t="s">
        <v>28</v>
      </c>
      <c r="G13" s="1">
        <v>0.73</v>
      </c>
      <c r="H13" s="1">
        <v>0.69</v>
      </c>
      <c r="I13" s="1">
        <v>0.74</v>
      </c>
      <c r="J13" s="1">
        <v>0.72</v>
      </c>
      <c r="K13" s="1">
        <v>0.78</v>
      </c>
      <c r="L13" s="1">
        <v>0.74</v>
      </c>
      <c r="M13" s="1">
        <v>0.64</v>
      </c>
      <c r="N13" s="1">
        <v>0.67</v>
      </c>
      <c r="O13" s="1">
        <v>0.64</v>
      </c>
      <c r="P13" s="1">
        <v>0.76</v>
      </c>
      <c r="Q13" s="1">
        <v>0.71</v>
      </c>
      <c r="R13" s="1">
        <v>0.71</v>
      </c>
      <c r="S13" s="1">
        <f t="shared" si="0"/>
        <v>0.78</v>
      </c>
    </row>
    <row r="14" spans="1:19" ht="25" customHeight="1">
      <c r="A14" t="s">
        <v>33</v>
      </c>
      <c r="B14">
        <v>3</v>
      </c>
      <c r="C14" t="s">
        <v>30</v>
      </c>
      <c r="D14" t="b">
        <v>1</v>
      </c>
      <c r="E14">
        <v>1</v>
      </c>
      <c r="F14" t="s">
        <v>26</v>
      </c>
      <c r="G14" s="1">
        <v>0.96</v>
      </c>
      <c r="H14" s="1">
        <v>0.96</v>
      </c>
      <c r="I14" s="1">
        <v>0.95</v>
      </c>
      <c r="J14" s="1">
        <v>0.97</v>
      </c>
      <c r="K14" s="1">
        <v>0.96</v>
      </c>
      <c r="L14" s="1">
        <v>0.97</v>
      </c>
      <c r="M14" s="1">
        <v>0.96</v>
      </c>
      <c r="N14" s="1">
        <v>0.95</v>
      </c>
      <c r="O14" s="1">
        <v>0.96</v>
      </c>
      <c r="P14" s="1">
        <v>0.96</v>
      </c>
      <c r="Q14" s="1">
        <v>0.94</v>
      </c>
      <c r="R14" s="1">
        <v>0.94</v>
      </c>
      <c r="S14" s="1">
        <f t="shared" si="0"/>
        <v>0.97</v>
      </c>
    </row>
    <row r="15" spans="1:19" ht="25" customHeight="1">
      <c r="A15" t="s">
        <v>33</v>
      </c>
      <c r="B15">
        <v>3</v>
      </c>
      <c r="C15" t="s">
        <v>30</v>
      </c>
      <c r="D15" t="b">
        <v>1</v>
      </c>
      <c r="E15">
        <v>2</v>
      </c>
      <c r="F15" t="s">
        <v>27</v>
      </c>
      <c r="G15" s="1">
        <v>0.96</v>
      </c>
      <c r="H15" s="1">
        <v>0.97</v>
      </c>
      <c r="I15" s="1">
        <v>0.97</v>
      </c>
      <c r="J15" s="1">
        <v>0.98</v>
      </c>
      <c r="K15" s="1">
        <v>0.96</v>
      </c>
      <c r="L15" s="1">
        <v>0.97</v>
      </c>
      <c r="M15" s="1">
        <v>0.96</v>
      </c>
      <c r="N15" s="1">
        <v>0.94</v>
      </c>
      <c r="O15" s="1">
        <v>0.96</v>
      </c>
      <c r="P15" s="1">
        <v>0.97</v>
      </c>
      <c r="Q15" s="1">
        <v>0.95</v>
      </c>
      <c r="R15" s="1">
        <v>0.96</v>
      </c>
      <c r="S15" s="1">
        <f t="shared" si="0"/>
        <v>0.98</v>
      </c>
    </row>
    <row r="16" spans="1:19" ht="25" customHeight="1">
      <c r="A16" t="s">
        <v>33</v>
      </c>
      <c r="B16">
        <v>3</v>
      </c>
      <c r="C16" t="s">
        <v>30</v>
      </c>
      <c r="D16" t="b">
        <v>1</v>
      </c>
      <c r="E16">
        <v>3</v>
      </c>
      <c r="F16" t="s">
        <v>28</v>
      </c>
      <c r="G16" s="1">
        <v>0.95</v>
      </c>
      <c r="H16" s="1">
        <v>0.97</v>
      </c>
      <c r="I16" s="1">
        <v>0.97</v>
      </c>
      <c r="J16" s="1">
        <v>0.98</v>
      </c>
      <c r="K16" s="1">
        <v>0.96</v>
      </c>
      <c r="L16" s="1">
        <v>0.97</v>
      </c>
      <c r="M16" s="1">
        <v>0.96</v>
      </c>
      <c r="N16" s="1">
        <v>0.94</v>
      </c>
      <c r="O16" s="1">
        <v>0.96</v>
      </c>
      <c r="P16" s="1">
        <v>0.97</v>
      </c>
      <c r="Q16" s="1">
        <v>0.95</v>
      </c>
      <c r="R16" s="1">
        <v>0.96</v>
      </c>
      <c r="S16" s="1">
        <f t="shared" si="0"/>
        <v>0.98</v>
      </c>
    </row>
    <row r="17" spans="1:19" ht="25" customHeight="1">
      <c r="A17" t="s">
        <v>33</v>
      </c>
      <c r="B17">
        <v>3</v>
      </c>
      <c r="C17" t="s">
        <v>30</v>
      </c>
      <c r="D17" t="b">
        <v>0</v>
      </c>
      <c r="E17">
        <v>1</v>
      </c>
      <c r="F17" t="s">
        <v>26</v>
      </c>
      <c r="G17" s="1">
        <v>0.94</v>
      </c>
      <c r="H17" s="1">
        <v>0.95</v>
      </c>
      <c r="I17" s="1">
        <v>0.96</v>
      </c>
      <c r="J17" s="1">
        <v>0.98</v>
      </c>
      <c r="K17" s="1">
        <v>0.96</v>
      </c>
      <c r="L17" s="1">
        <v>0.97</v>
      </c>
      <c r="M17" s="1">
        <v>0.96</v>
      </c>
      <c r="N17" s="1">
        <v>0.94</v>
      </c>
      <c r="O17" s="1">
        <v>0.96</v>
      </c>
      <c r="P17" s="1">
        <v>0.97</v>
      </c>
      <c r="Q17" s="1">
        <v>0.95</v>
      </c>
      <c r="R17" s="1">
        <v>0.94</v>
      </c>
      <c r="S17" s="1">
        <f t="shared" si="0"/>
        <v>0.98</v>
      </c>
    </row>
    <row r="18" spans="1:19" ht="25" customHeight="1">
      <c r="A18" t="s">
        <v>33</v>
      </c>
      <c r="B18">
        <v>3</v>
      </c>
      <c r="C18" t="s">
        <v>30</v>
      </c>
      <c r="D18" t="b">
        <v>0</v>
      </c>
      <c r="E18">
        <v>2</v>
      </c>
      <c r="F18" t="s">
        <v>27</v>
      </c>
      <c r="G18" s="1">
        <v>0.95</v>
      </c>
      <c r="H18" s="1">
        <v>0.97</v>
      </c>
      <c r="I18" s="1">
        <v>0.97</v>
      </c>
      <c r="J18" s="1">
        <v>0.98</v>
      </c>
      <c r="K18" s="1">
        <v>0.96</v>
      </c>
      <c r="L18" s="1">
        <v>0.97</v>
      </c>
      <c r="M18" s="1">
        <v>0.96</v>
      </c>
      <c r="N18" s="1">
        <v>0.94</v>
      </c>
      <c r="O18" s="1">
        <v>0.96</v>
      </c>
      <c r="P18" s="1">
        <v>0.97</v>
      </c>
      <c r="Q18" s="1">
        <v>0.95</v>
      </c>
      <c r="R18" s="1">
        <v>0.95</v>
      </c>
      <c r="S18" s="1">
        <f t="shared" si="0"/>
        <v>0.98</v>
      </c>
    </row>
    <row r="19" spans="1:19" ht="25" customHeight="1">
      <c r="A19" t="s">
        <v>33</v>
      </c>
      <c r="B19">
        <v>3</v>
      </c>
      <c r="C19" t="s">
        <v>30</v>
      </c>
      <c r="D19" t="b">
        <v>0</v>
      </c>
      <c r="E19">
        <v>3</v>
      </c>
      <c r="F19" t="s">
        <v>28</v>
      </c>
      <c r="G19" s="1">
        <v>0.95</v>
      </c>
      <c r="H19" s="1">
        <v>0.97</v>
      </c>
      <c r="I19" s="1">
        <v>0.97</v>
      </c>
      <c r="J19" s="1">
        <v>0.98</v>
      </c>
      <c r="K19" s="1">
        <v>0.96</v>
      </c>
      <c r="L19" s="1">
        <v>0.97</v>
      </c>
      <c r="M19" s="1">
        <v>0.96</v>
      </c>
      <c r="N19" s="1">
        <v>0.94</v>
      </c>
      <c r="O19" s="1">
        <v>0.96</v>
      </c>
      <c r="P19" s="1">
        <v>0.97</v>
      </c>
      <c r="Q19" s="1">
        <v>0.95</v>
      </c>
      <c r="R19" s="1">
        <v>0.96</v>
      </c>
      <c r="S19" s="1">
        <f t="shared" si="0"/>
        <v>0.98</v>
      </c>
    </row>
    <row r="22" spans="1:19" ht="25" customHeight="1">
      <c r="B22" t="s">
        <v>1</v>
      </c>
      <c r="C22" t="s">
        <v>2</v>
      </c>
      <c r="D22" t="s">
        <v>31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21</v>
      </c>
      <c r="Q22" t="s">
        <v>22</v>
      </c>
      <c r="R22" t="s">
        <v>23</v>
      </c>
      <c r="S22" t="s">
        <v>24</v>
      </c>
    </row>
    <row r="23" spans="1:19" ht="25" customHeight="1">
      <c r="B23">
        <v>1</v>
      </c>
      <c r="C23" t="s">
        <v>25</v>
      </c>
      <c r="D23" t="b">
        <v>1</v>
      </c>
      <c r="E23">
        <v>1</v>
      </c>
      <c r="F23" t="s">
        <v>24</v>
      </c>
      <c r="G23" s="1" cm="1">
        <f t="array" ref="G23">_xlfn.LET(_xlpm.d,G$2:G$19,_xlpm.a,$C$2:$C$19=$C23,_xlpm.b,$D$2:$D$19=$D23,MAX(_xlfn._xlws.FILTER(_xlpm.d,_xlpm.a*_xlpm.b)))</f>
        <v>0.71</v>
      </c>
      <c r="H23" s="1" cm="1">
        <f t="array" ref="H23">_xlfn.LET(_xlpm.d,H$2:H$19,_xlpm.a,$C$2:$C$19=$C23,_xlpm.b,$D$2:$D$19=$D23,MAX(_xlfn._xlws.FILTER(_xlpm.d,_xlpm.a*_xlpm.b)))</f>
        <v>0.69</v>
      </c>
      <c r="I23" s="1" cm="1">
        <f t="array" ref="I23">_xlfn.LET(_xlpm.d,I$2:I$19,_xlpm.a,$C$2:$C$19=$C23,_xlpm.b,$D$2:$D$19=$D23,MAX(_xlfn._xlws.FILTER(_xlpm.d,_xlpm.a*_xlpm.b)))</f>
        <v>0.68</v>
      </c>
      <c r="J23" s="1" cm="1">
        <f t="array" ref="J23">_xlfn.LET(_xlpm.d,J$2:J$19,_xlpm.a,$C$2:$C$19=$C23,_xlpm.b,$D$2:$D$19=$D23,MAX(_xlfn._xlws.FILTER(_xlpm.d,_xlpm.a*_xlpm.b)))</f>
        <v>0.76</v>
      </c>
      <c r="K23" s="1" cm="1">
        <f t="array" ref="K23">_xlfn.LET(_xlpm.d,K$2:K$19,_xlpm.a,$C$2:$C$19=$C23,_xlpm.b,$D$2:$D$19=$D23,MAX(_xlfn._xlws.FILTER(_xlpm.d,_xlpm.a*_xlpm.b)))</f>
        <v>0.7</v>
      </c>
      <c r="L23" s="1" cm="1">
        <f t="array" ref="L23">_xlfn.LET(_xlpm.d,L$2:L$19,_xlpm.a,$C$2:$C$19=$C23,_xlpm.b,$D$2:$D$19=$D23,MAX(_xlfn._xlws.FILTER(_xlpm.d,_xlpm.a*_xlpm.b)))</f>
        <v>0.69</v>
      </c>
      <c r="M23" s="1" cm="1">
        <f t="array" ref="M23">_xlfn.LET(_xlpm.d,M$2:M$19,_xlpm.a,$C$2:$C$19=$C23,_xlpm.b,$D$2:$D$19=$D23,MAX(_xlfn._xlws.FILTER(_xlpm.d,_xlpm.a*_xlpm.b)))</f>
        <v>0.71</v>
      </c>
      <c r="N23" s="1" cm="1">
        <f t="array" ref="N23">_xlfn.LET(_xlpm.d,N$2:N$19,_xlpm.a,$C$2:$C$19=$C23,_xlpm.b,$D$2:$D$19=$D23,MAX(_xlfn._xlws.FILTER(_xlpm.d,_xlpm.a*_xlpm.b)))</f>
        <v>0.75</v>
      </c>
      <c r="O23" s="1" cm="1">
        <f t="array" ref="O23">_xlfn.LET(_xlpm.d,O$2:O$19,_xlpm.a,$C$2:$C$19=$C23,_xlpm.b,$D$2:$D$19=$D23,MAX(_xlfn._xlws.FILTER(_xlpm.d,_xlpm.a*_xlpm.b)))</f>
        <v>0.72</v>
      </c>
      <c r="P23" s="1" cm="1">
        <f t="array" ref="P23">_xlfn.LET(_xlpm.d,P$2:P$19,_xlpm.a,$C$2:$C$19=$C23,_xlpm.b,$D$2:$D$19=$D23,MAX(_xlfn._xlws.FILTER(_xlpm.d,_xlpm.a*_xlpm.b)))</f>
        <v>0.63</v>
      </c>
      <c r="Q23" s="1" cm="1">
        <f t="array" ref="Q23">_xlfn.LET(_xlpm.d,Q$2:Q$19,_xlpm.a,$C$2:$C$19=$C23,_xlpm.b,$D$2:$D$19=$D23,MAX(_xlfn._xlws.FILTER(_xlpm.d,_xlpm.a*_xlpm.b)))</f>
        <v>0.7</v>
      </c>
      <c r="R23" s="1" cm="1">
        <f t="array" ref="R23">_xlfn.LET(_xlpm.d,R$2:R$19,_xlpm.a,$C$2:$C$19=$C23,_xlpm.b,$D$2:$D$19=$D23,MAX(_xlfn._xlws.FILTER(_xlpm.d,_xlpm.a*_xlpm.b)))</f>
        <v>0.68</v>
      </c>
      <c r="S23" s="1" cm="1">
        <f t="array" ref="S23">_xlfn.LET(_xlpm.d,S$2:S$19,_xlpm.a,$C$2:$C$19=$C23,_xlpm.b,$D$2:$D$19=$D23,MAX(_xlfn._xlws.FILTER(_xlpm.d,_xlpm.a*_xlpm.b)))</f>
        <v>0.76</v>
      </c>
    </row>
    <row r="24" spans="1:19" ht="25" customHeight="1">
      <c r="B24">
        <v>1</v>
      </c>
      <c r="C24" t="s">
        <v>25</v>
      </c>
      <c r="D24" t="b">
        <v>0</v>
      </c>
      <c r="E24">
        <v>1</v>
      </c>
      <c r="F24" t="s">
        <v>24</v>
      </c>
      <c r="G24" s="1" cm="1">
        <f t="array" ref="G24">_xlfn.LET(_xlpm.d,G$2:G$19,_xlpm.a,$C$2:$C$19=$C24,_xlpm.b,$D$2:$D$19=$D24,MAX(_xlfn._xlws.FILTER(_xlpm.d,_xlpm.a*_xlpm.b)))</f>
        <v>0.69</v>
      </c>
      <c r="H24" s="1" cm="1">
        <f t="array" ref="H24">_xlfn.LET(_xlpm.d,H$2:H$19,_xlpm.a,$C$2:$C$19=$C24,_xlpm.b,$D$2:$D$19=$D24,MAX(_xlfn._xlws.FILTER(_xlpm.d,_xlpm.a*_xlpm.b)))</f>
        <v>0.67</v>
      </c>
      <c r="I24" s="1" cm="1">
        <f t="array" ref="I24">_xlfn.LET(_xlpm.d,I$2:I$19,_xlpm.a,$C$2:$C$19=$C24,_xlpm.b,$D$2:$D$19=$D24,MAX(_xlfn._xlws.FILTER(_xlpm.d,_xlpm.a*_xlpm.b)))</f>
        <v>0.65</v>
      </c>
      <c r="J24" s="1" cm="1">
        <f t="array" ref="J24">_xlfn.LET(_xlpm.d,J$2:J$19,_xlpm.a,$C$2:$C$19=$C24,_xlpm.b,$D$2:$D$19=$D24,MAX(_xlfn._xlws.FILTER(_xlpm.d,_xlpm.a*_xlpm.b)))</f>
        <v>0.74</v>
      </c>
      <c r="K24" s="1" cm="1">
        <f t="array" ref="K24">_xlfn.LET(_xlpm.d,K$2:K$19,_xlpm.a,$C$2:$C$19=$C24,_xlpm.b,$D$2:$D$19=$D24,MAX(_xlfn._xlws.FILTER(_xlpm.d,_xlpm.a*_xlpm.b)))</f>
        <v>0.66</v>
      </c>
      <c r="L24" s="1" cm="1">
        <f t="array" ref="L24">_xlfn.LET(_xlpm.d,L$2:L$19,_xlpm.a,$C$2:$C$19=$C24,_xlpm.b,$D$2:$D$19=$D24,MAX(_xlfn._xlws.FILTER(_xlpm.d,_xlpm.a*_xlpm.b)))</f>
        <v>0.67</v>
      </c>
      <c r="M24" s="1" cm="1">
        <f t="array" ref="M24">_xlfn.LET(_xlpm.d,M$2:M$19,_xlpm.a,$C$2:$C$19=$C24,_xlpm.b,$D$2:$D$19=$D24,MAX(_xlfn._xlws.FILTER(_xlpm.d,_xlpm.a*_xlpm.b)))</f>
        <v>0.69</v>
      </c>
      <c r="N24" s="1" cm="1">
        <f t="array" ref="N24">_xlfn.LET(_xlpm.d,N$2:N$19,_xlpm.a,$C$2:$C$19=$C24,_xlpm.b,$D$2:$D$19=$D24,MAX(_xlfn._xlws.FILTER(_xlpm.d,_xlpm.a*_xlpm.b)))</f>
        <v>0.74</v>
      </c>
      <c r="O24" s="1" cm="1">
        <f t="array" ref="O24">_xlfn.LET(_xlpm.d,O$2:O$19,_xlpm.a,$C$2:$C$19=$C24,_xlpm.b,$D$2:$D$19=$D24,MAX(_xlfn._xlws.FILTER(_xlpm.d,_xlpm.a*_xlpm.b)))</f>
        <v>0.7</v>
      </c>
      <c r="P24" s="1" cm="1">
        <f t="array" ref="P24">_xlfn.LET(_xlpm.d,P$2:P$19,_xlpm.a,$C$2:$C$19=$C24,_xlpm.b,$D$2:$D$19=$D24,MAX(_xlfn._xlws.FILTER(_xlpm.d,_xlpm.a*_xlpm.b)))</f>
        <v>0.62</v>
      </c>
      <c r="Q24" s="1" cm="1">
        <f t="array" ref="Q24">_xlfn.LET(_xlpm.d,Q$2:Q$19,_xlpm.a,$C$2:$C$19=$C24,_xlpm.b,$D$2:$D$19=$D24,MAX(_xlfn._xlws.FILTER(_xlpm.d,_xlpm.a*_xlpm.b)))</f>
        <v>0.72</v>
      </c>
      <c r="R24" s="1" cm="1">
        <f t="array" ref="R24">_xlfn.LET(_xlpm.d,R$2:R$19,_xlpm.a,$C$2:$C$19=$C24,_xlpm.b,$D$2:$D$19=$D24,MAX(_xlfn._xlws.FILTER(_xlpm.d,_xlpm.a*_xlpm.b)))</f>
        <v>0.67</v>
      </c>
      <c r="S24" s="1" cm="1">
        <f t="array" ref="S24">_xlfn.LET(_xlpm.d,S$2:S$19,_xlpm.a,$C$2:$C$19=$C24,_xlpm.b,$D$2:$D$19=$D24,MAX(_xlfn._xlws.FILTER(_xlpm.d,_xlpm.a*_xlpm.b)))</f>
        <v>0.74</v>
      </c>
    </row>
    <row r="25" spans="1:19" ht="25" customHeight="1">
      <c r="B25">
        <v>2</v>
      </c>
      <c r="C25" t="s">
        <v>29</v>
      </c>
      <c r="D25" t="b">
        <v>1</v>
      </c>
      <c r="E25">
        <v>1</v>
      </c>
      <c r="F25" t="s">
        <v>24</v>
      </c>
      <c r="G25" s="1" cm="1">
        <f t="array" ref="G25">_xlfn.LET(_xlpm.d,G$2:G$19,_xlpm.a,$C$2:$C$19=$C25,_xlpm.b,$D$2:$D$19=$D25,MAX(_xlfn._xlws.FILTER(_xlpm.d,_xlpm.a*_xlpm.b)))</f>
        <v>0.82</v>
      </c>
      <c r="H25" s="1" cm="1">
        <f t="array" ref="H25">_xlfn.LET(_xlpm.d,H$2:H$19,_xlpm.a,$C$2:$C$19=$C25,_xlpm.b,$D$2:$D$19=$D25,MAX(_xlfn._xlws.FILTER(_xlpm.d,_xlpm.a*_xlpm.b)))</f>
        <v>0.77</v>
      </c>
      <c r="I25" s="1" cm="1">
        <f t="array" ref="I25">_xlfn.LET(_xlpm.d,I$2:I$19,_xlpm.a,$C$2:$C$19=$C25,_xlpm.b,$D$2:$D$19=$D25,MAX(_xlfn._xlws.FILTER(_xlpm.d,_xlpm.a*_xlpm.b)))</f>
        <v>0.79</v>
      </c>
      <c r="J25" s="1" cm="1">
        <f t="array" ref="J25">_xlfn.LET(_xlpm.d,J$2:J$19,_xlpm.a,$C$2:$C$19=$C25,_xlpm.b,$D$2:$D$19=$D25,MAX(_xlfn._xlws.FILTER(_xlpm.d,_xlpm.a*_xlpm.b)))</f>
        <v>0.76</v>
      </c>
      <c r="K25" s="1" cm="1">
        <f t="array" ref="K25">_xlfn.LET(_xlpm.d,K$2:K$19,_xlpm.a,$C$2:$C$19=$C25,_xlpm.b,$D$2:$D$19=$D25,MAX(_xlfn._xlws.FILTER(_xlpm.d,_xlpm.a*_xlpm.b)))</f>
        <v>0.78</v>
      </c>
      <c r="L25" s="1" cm="1">
        <f t="array" ref="L25">_xlfn.LET(_xlpm.d,L$2:L$19,_xlpm.a,$C$2:$C$19=$C25,_xlpm.b,$D$2:$D$19=$D25,MAX(_xlfn._xlws.FILTER(_xlpm.d,_xlpm.a*_xlpm.b)))</f>
        <v>0.78</v>
      </c>
      <c r="M25" s="1" cm="1">
        <f t="array" ref="M25">_xlfn.LET(_xlpm.d,M$2:M$19,_xlpm.a,$C$2:$C$19=$C25,_xlpm.b,$D$2:$D$19=$D25,MAX(_xlfn._xlws.FILTER(_xlpm.d,_xlpm.a*_xlpm.b)))</f>
        <v>0.75</v>
      </c>
      <c r="N25" s="1" cm="1">
        <f t="array" ref="N25">_xlfn.LET(_xlpm.d,N$2:N$19,_xlpm.a,$C$2:$C$19=$C25,_xlpm.b,$D$2:$D$19=$D25,MAX(_xlfn._xlws.FILTER(_xlpm.d,_xlpm.a*_xlpm.b)))</f>
        <v>0.81</v>
      </c>
      <c r="O25" s="1" cm="1">
        <f t="array" ref="O25">_xlfn.LET(_xlpm.d,O$2:O$19,_xlpm.a,$C$2:$C$19=$C25,_xlpm.b,$D$2:$D$19=$D25,MAX(_xlfn._xlws.FILTER(_xlpm.d,_xlpm.a*_xlpm.b)))</f>
        <v>0.74</v>
      </c>
      <c r="P25" s="1" cm="1">
        <f t="array" ref="P25">_xlfn.LET(_xlpm.d,P$2:P$19,_xlpm.a,$C$2:$C$19=$C25,_xlpm.b,$D$2:$D$19=$D25,MAX(_xlfn._xlws.FILTER(_xlpm.d,_xlpm.a*_xlpm.b)))</f>
        <v>0.83</v>
      </c>
      <c r="Q25" s="1" cm="1">
        <f t="array" ref="Q25">_xlfn.LET(_xlpm.d,Q$2:Q$19,_xlpm.a,$C$2:$C$19=$C25,_xlpm.b,$D$2:$D$19=$D25,MAX(_xlfn._xlws.FILTER(_xlpm.d,_xlpm.a*_xlpm.b)))</f>
        <v>0.74</v>
      </c>
      <c r="R25" s="1" cm="1">
        <f t="array" ref="R25">_xlfn.LET(_xlpm.d,R$2:R$19,_xlpm.a,$C$2:$C$19=$C25,_xlpm.b,$D$2:$D$19=$D25,MAX(_xlfn._xlws.FILTER(_xlpm.d,_xlpm.a*_xlpm.b)))</f>
        <v>0.77</v>
      </c>
      <c r="S25" s="1" cm="1">
        <f t="array" ref="S25">_xlfn.LET(_xlpm.d,S$2:S$19,_xlpm.a,$C$2:$C$19=$C25,_xlpm.b,$D$2:$D$19=$D25,MAX(_xlfn._xlws.FILTER(_xlpm.d,_xlpm.a*_xlpm.b)))</f>
        <v>0.83</v>
      </c>
    </row>
    <row r="26" spans="1:19" ht="25" customHeight="1">
      <c r="B26">
        <v>2</v>
      </c>
      <c r="C26" t="s">
        <v>29</v>
      </c>
      <c r="D26" t="b">
        <v>0</v>
      </c>
      <c r="E26">
        <v>1</v>
      </c>
      <c r="F26" t="s">
        <v>24</v>
      </c>
      <c r="G26" s="1" cm="1">
        <f t="array" ref="G26">_xlfn.LET(_xlpm.d,G$2:G$19,_xlpm.a,$C$2:$C$19=$C26,_xlpm.b,$D$2:$D$19=$D26,MAX(_xlfn._xlws.FILTER(_xlpm.d,_xlpm.a*_xlpm.b)))</f>
        <v>0.76</v>
      </c>
      <c r="H26" s="1" cm="1">
        <f t="array" ref="H26">_xlfn.LET(_xlpm.d,H$2:H$19,_xlpm.a,$C$2:$C$19=$C26,_xlpm.b,$D$2:$D$19=$D26,MAX(_xlfn._xlws.FILTER(_xlpm.d,_xlpm.a*_xlpm.b)))</f>
        <v>0.76</v>
      </c>
      <c r="I26" s="1" cm="1">
        <f t="array" ref="I26">_xlfn.LET(_xlpm.d,I$2:I$19,_xlpm.a,$C$2:$C$19=$C26,_xlpm.b,$D$2:$D$19=$D26,MAX(_xlfn._xlws.FILTER(_xlpm.d,_xlpm.a*_xlpm.b)))</f>
        <v>0.75</v>
      </c>
      <c r="J26" s="1" cm="1">
        <f t="array" ref="J26">_xlfn.LET(_xlpm.d,J$2:J$19,_xlpm.a,$C$2:$C$19=$C26,_xlpm.b,$D$2:$D$19=$D26,MAX(_xlfn._xlws.FILTER(_xlpm.d,_xlpm.a*_xlpm.b)))</f>
        <v>0.75</v>
      </c>
      <c r="K26" s="1" cm="1">
        <f t="array" ref="K26">_xlfn.LET(_xlpm.d,K$2:K$19,_xlpm.a,$C$2:$C$19=$C26,_xlpm.b,$D$2:$D$19=$D26,MAX(_xlfn._xlws.FILTER(_xlpm.d,_xlpm.a*_xlpm.b)))</f>
        <v>0.79</v>
      </c>
      <c r="L26" s="1" cm="1">
        <f t="array" ref="L26">_xlfn.LET(_xlpm.d,L$2:L$19,_xlpm.a,$C$2:$C$19=$C26,_xlpm.b,$D$2:$D$19=$D26,MAX(_xlfn._xlws.FILTER(_xlpm.d,_xlpm.a*_xlpm.b)))</f>
        <v>0.74</v>
      </c>
      <c r="M26" s="1" cm="1">
        <f t="array" ref="M26">_xlfn.LET(_xlpm.d,M$2:M$19,_xlpm.a,$C$2:$C$19=$C26,_xlpm.b,$D$2:$D$19=$D26,MAX(_xlfn._xlws.FILTER(_xlpm.d,_xlpm.a*_xlpm.b)))</f>
        <v>0.71</v>
      </c>
      <c r="N26" s="1" cm="1">
        <f t="array" ref="N26">_xlfn.LET(_xlpm.d,N$2:N$19,_xlpm.a,$C$2:$C$19=$C26,_xlpm.b,$D$2:$D$19=$D26,MAX(_xlfn._xlws.FILTER(_xlpm.d,_xlpm.a*_xlpm.b)))</f>
        <v>0.76</v>
      </c>
      <c r="O26" s="1" cm="1">
        <f t="array" ref="O26">_xlfn.LET(_xlpm.d,O$2:O$19,_xlpm.a,$C$2:$C$19=$C26,_xlpm.b,$D$2:$D$19=$D26,MAX(_xlfn._xlws.FILTER(_xlpm.d,_xlpm.a*_xlpm.b)))</f>
        <v>0.69</v>
      </c>
      <c r="P26" s="1" cm="1">
        <f t="array" ref="P26">_xlfn.LET(_xlpm.d,P$2:P$19,_xlpm.a,$C$2:$C$19=$C26,_xlpm.b,$D$2:$D$19=$D26,MAX(_xlfn._xlws.FILTER(_xlpm.d,_xlpm.a*_xlpm.b)))</f>
        <v>0.77</v>
      </c>
      <c r="Q26" s="1" cm="1">
        <f t="array" ref="Q26">_xlfn.LET(_xlpm.d,Q$2:Q$19,_xlpm.a,$C$2:$C$19=$C26,_xlpm.b,$D$2:$D$19=$D26,MAX(_xlfn._xlws.FILTER(_xlpm.d,_xlpm.a*_xlpm.b)))</f>
        <v>0.71</v>
      </c>
      <c r="R26" s="1" cm="1">
        <f t="array" ref="R26">_xlfn.LET(_xlpm.d,R$2:R$19,_xlpm.a,$C$2:$C$19=$C26,_xlpm.b,$D$2:$D$19=$D26,MAX(_xlfn._xlws.FILTER(_xlpm.d,_xlpm.a*_xlpm.b)))</f>
        <v>0.75</v>
      </c>
      <c r="S26" s="1" cm="1">
        <f t="array" ref="S26">_xlfn.LET(_xlpm.d,S$2:S$19,_xlpm.a,$C$2:$C$19=$C26,_xlpm.b,$D$2:$D$19=$D26,MAX(_xlfn._xlws.FILTER(_xlpm.d,_xlpm.a*_xlpm.b)))</f>
        <v>0.79</v>
      </c>
    </row>
    <row r="27" spans="1:19" ht="25" customHeight="1">
      <c r="B27">
        <v>3</v>
      </c>
      <c r="C27" t="s">
        <v>30</v>
      </c>
      <c r="D27" t="b">
        <v>1</v>
      </c>
      <c r="E27">
        <v>1</v>
      </c>
      <c r="F27" t="s">
        <v>24</v>
      </c>
      <c r="G27" s="1" cm="1">
        <f t="array" ref="G27">_xlfn.LET(_xlpm.d,G$2:G$19,_xlpm.a,$C$2:$C$19=$C27,_xlpm.b,$D$2:$D$19=$D27,MAX(_xlfn._xlws.FILTER(_xlpm.d,_xlpm.a*_xlpm.b)))</f>
        <v>0.96</v>
      </c>
      <c r="H27" s="1" cm="1">
        <f t="array" ref="H27">_xlfn.LET(_xlpm.d,H$2:H$19,_xlpm.a,$C$2:$C$19=$C27,_xlpm.b,$D$2:$D$19=$D27,MAX(_xlfn._xlws.FILTER(_xlpm.d,_xlpm.a*_xlpm.b)))</f>
        <v>0.97</v>
      </c>
      <c r="I27" s="1" cm="1">
        <f t="array" ref="I27">_xlfn.LET(_xlpm.d,I$2:I$19,_xlpm.a,$C$2:$C$19=$C27,_xlpm.b,$D$2:$D$19=$D27,MAX(_xlfn._xlws.FILTER(_xlpm.d,_xlpm.a*_xlpm.b)))</f>
        <v>0.97</v>
      </c>
      <c r="J27" s="1" cm="1">
        <f t="array" ref="J27">_xlfn.LET(_xlpm.d,J$2:J$19,_xlpm.a,$C$2:$C$19=$C27,_xlpm.b,$D$2:$D$19=$D27,MAX(_xlfn._xlws.FILTER(_xlpm.d,_xlpm.a*_xlpm.b)))</f>
        <v>0.98</v>
      </c>
      <c r="K27" s="1" cm="1">
        <f t="array" ref="K27">_xlfn.LET(_xlpm.d,K$2:K$19,_xlpm.a,$C$2:$C$19=$C27,_xlpm.b,$D$2:$D$19=$D27,MAX(_xlfn._xlws.FILTER(_xlpm.d,_xlpm.a*_xlpm.b)))</f>
        <v>0.96</v>
      </c>
      <c r="L27" s="1" cm="1">
        <f t="array" ref="L27">_xlfn.LET(_xlpm.d,L$2:L$19,_xlpm.a,$C$2:$C$19=$C27,_xlpm.b,$D$2:$D$19=$D27,MAX(_xlfn._xlws.FILTER(_xlpm.d,_xlpm.a*_xlpm.b)))</f>
        <v>0.97</v>
      </c>
      <c r="M27" s="1" cm="1">
        <f t="array" ref="M27">_xlfn.LET(_xlpm.d,M$2:M$19,_xlpm.a,$C$2:$C$19=$C27,_xlpm.b,$D$2:$D$19=$D27,MAX(_xlfn._xlws.FILTER(_xlpm.d,_xlpm.a*_xlpm.b)))</f>
        <v>0.96</v>
      </c>
      <c r="N27" s="1" cm="1">
        <f t="array" ref="N27">_xlfn.LET(_xlpm.d,N$2:N$19,_xlpm.a,$C$2:$C$19=$C27,_xlpm.b,$D$2:$D$19=$D27,MAX(_xlfn._xlws.FILTER(_xlpm.d,_xlpm.a*_xlpm.b)))</f>
        <v>0.95</v>
      </c>
      <c r="O27" s="1" cm="1">
        <f t="array" ref="O27">_xlfn.LET(_xlpm.d,O$2:O$19,_xlpm.a,$C$2:$C$19=$C27,_xlpm.b,$D$2:$D$19=$D27,MAX(_xlfn._xlws.FILTER(_xlpm.d,_xlpm.a*_xlpm.b)))</f>
        <v>0.96</v>
      </c>
      <c r="P27" s="1" cm="1">
        <f t="array" ref="P27">_xlfn.LET(_xlpm.d,P$2:P$19,_xlpm.a,$C$2:$C$19=$C27,_xlpm.b,$D$2:$D$19=$D27,MAX(_xlfn._xlws.FILTER(_xlpm.d,_xlpm.a*_xlpm.b)))</f>
        <v>0.97</v>
      </c>
      <c r="Q27" s="1" cm="1">
        <f t="array" ref="Q27">_xlfn.LET(_xlpm.d,Q$2:Q$19,_xlpm.a,$C$2:$C$19=$C27,_xlpm.b,$D$2:$D$19=$D27,MAX(_xlfn._xlws.FILTER(_xlpm.d,_xlpm.a*_xlpm.b)))</f>
        <v>0.95</v>
      </c>
      <c r="R27" s="1" cm="1">
        <f t="array" ref="R27">_xlfn.LET(_xlpm.d,R$2:R$19,_xlpm.a,$C$2:$C$19=$C27,_xlpm.b,$D$2:$D$19=$D27,MAX(_xlfn._xlws.FILTER(_xlpm.d,_xlpm.a*_xlpm.b)))</f>
        <v>0.96</v>
      </c>
      <c r="S27" s="1" cm="1">
        <f t="array" ref="S27">_xlfn.LET(_xlpm.d,S$2:S$19,_xlpm.a,$C$2:$C$19=$C27,_xlpm.b,$D$2:$D$19=$D27,MAX(_xlfn._xlws.FILTER(_xlpm.d,_xlpm.a*_xlpm.b)))</f>
        <v>0.98</v>
      </c>
    </row>
    <row r="28" spans="1:19" ht="25" customHeight="1">
      <c r="B28">
        <v>3</v>
      </c>
      <c r="C28" t="s">
        <v>30</v>
      </c>
      <c r="D28" t="b">
        <v>0</v>
      </c>
      <c r="E28">
        <v>1</v>
      </c>
      <c r="F28" t="s">
        <v>24</v>
      </c>
      <c r="G28" s="1" cm="1">
        <f t="array" ref="G28">_xlfn.LET(_xlpm.d,G$2:G$19,_xlpm.a,$C$2:$C$19=$C28,_xlpm.b,$D$2:$D$19=$D28,MAX(_xlfn._xlws.FILTER(_xlpm.d,_xlpm.a*_xlpm.b)))</f>
        <v>0.95</v>
      </c>
      <c r="H28" s="1" cm="1">
        <f t="array" ref="H28">_xlfn.LET(_xlpm.d,H$2:H$19,_xlpm.a,$C$2:$C$19=$C28,_xlpm.b,$D$2:$D$19=$D28,MAX(_xlfn._xlws.FILTER(_xlpm.d,_xlpm.a*_xlpm.b)))</f>
        <v>0.97</v>
      </c>
      <c r="I28" s="1" cm="1">
        <f t="array" ref="I28">_xlfn.LET(_xlpm.d,I$2:I$19,_xlpm.a,$C$2:$C$19=$C28,_xlpm.b,$D$2:$D$19=$D28,MAX(_xlfn._xlws.FILTER(_xlpm.d,_xlpm.a*_xlpm.b)))</f>
        <v>0.97</v>
      </c>
      <c r="J28" s="1" cm="1">
        <f t="array" ref="J28">_xlfn.LET(_xlpm.d,J$2:J$19,_xlpm.a,$C$2:$C$19=$C28,_xlpm.b,$D$2:$D$19=$D28,MAX(_xlfn._xlws.FILTER(_xlpm.d,_xlpm.a*_xlpm.b)))</f>
        <v>0.98</v>
      </c>
      <c r="K28" s="1" cm="1">
        <f t="array" ref="K28">_xlfn.LET(_xlpm.d,K$2:K$19,_xlpm.a,$C$2:$C$19=$C28,_xlpm.b,$D$2:$D$19=$D28,MAX(_xlfn._xlws.FILTER(_xlpm.d,_xlpm.a*_xlpm.b)))</f>
        <v>0.96</v>
      </c>
      <c r="L28" s="1" cm="1">
        <f t="array" ref="L28">_xlfn.LET(_xlpm.d,L$2:L$19,_xlpm.a,$C$2:$C$19=$C28,_xlpm.b,$D$2:$D$19=$D28,MAX(_xlfn._xlws.FILTER(_xlpm.d,_xlpm.a*_xlpm.b)))</f>
        <v>0.97</v>
      </c>
      <c r="M28" s="1" cm="1">
        <f t="array" ref="M28">_xlfn.LET(_xlpm.d,M$2:M$19,_xlpm.a,$C$2:$C$19=$C28,_xlpm.b,$D$2:$D$19=$D28,MAX(_xlfn._xlws.FILTER(_xlpm.d,_xlpm.a*_xlpm.b)))</f>
        <v>0.96</v>
      </c>
      <c r="N28" s="1" cm="1">
        <f t="array" ref="N28">_xlfn.LET(_xlpm.d,N$2:N$19,_xlpm.a,$C$2:$C$19=$C28,_xlpm.b,$D$2:$D$19=$D28,MAX(_xlfn._xlws.FILTER(_xlpm.d,_xlpm.a*_xlpm.b)))</f>
        <v>0.94</v>
      </c>
      <c r="O28" s="1" cm="1">
        <f t="array" ref="O28">_xlfn.LET(_xlpm.d,O$2:O$19,_xlpm.a,$C$2:$C$19=$C28,_xlpm.b,$D$2:$D$19=$D28,MAX(_xlfn._xlws.FILTER(_xlpm.d,_xlpm.a*_xlpm.b)))</f>
        <v>0.96</v>
      </c>
      <c r="P28" s="1" cm="1">
        <f t="array" ref="P28">_xlfn.LET(_xlpm.d,P$2:P$19,_xlpm.a,$C$2:$C$19=$C28,_xlpm.b,$D$2:$D$19=$D28,MAX(_xlfn._xlws.FILTER(_xlpm.d,_xlpm.a*_xlpm.b)))</f>
        <v>0.97</v>
      </c>
      <c r="Q28" s="1" cm="1">
        <f t="array" ref="Q28">_xlfn.LET(_xlpm.d,Q$2:Q$19,_xlpm.a,$C$2:$C$19=$C28,_xlpm.b,$D$2:$D$19=$D28,MAX(_xlfn._xlws.FILTER(_xlpm.d,_xlpm.a*_xlpm.b)))</f>
        <v>0.95</v>
      </c>
      <c r="R28" s="1" cm="1">
        <f t="array" ref="R28">_xlfn.LET(_xlpm.d,R$2:R$19,_xlpm.a,$C$2:$C$19=$C28,_xlpm.b,$D$2:$D$19=$D28,MAX(_xlfn._xlws.FILTER(_xlpm.d,_xlpm.a*_xlpm.b)))</f>
        <v>0.96</v>
      </c>
      <c r="S28" s="1" cm="1">
        <f t="array" ref="S28">_xlfn.LET(_xlpm.d,S$2:S$19,_xlpm.a,$C$2:$C$19=$C28,_xlpm.b,$D$2:$D$19=$D28,MAX(_xlfn._xlws.FILTER(_xlpm.d,_xlpm.a*_xlpm.b)))</f>
        <v>0.98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50D8-87D0-B142-8AAF-9272BF4BC2E8}">
  <dimension ref="A1:S28"/>
  <sheetViews>
    <sheetView workbookViewId="0">
      <pane xSplit="12020" ySplit="3520" topLeftCell="O22" activePane="bottomLeft"/>
      <selection activeCell="G1" sqref="G1:S1"/>
      <selection pane="topRight" activeCell="U4" sqref="U4"/>
      <selection pane="bottomLeft" activeCell="F34" sqref="F34"/>
      <selection pane="bottomRight" activeCell="R25" sqref="R25"/>
    </sheetView>
  </sheetViews>
  <sheetFormatPr baseColWidth="10" defaultRowHeight="25" customHeight="1"/>
  <cols>
    <col min="2" max="5" width="7.75" customWidth="1"/>
    <col min="7" max="19" width="9.12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22</v>
      </c>
      <c r="R1" t="s">
        <v>23</v>
      </c>
      <c r="S1" t="s">
        <v>24</v>
      </c>
    </row>
    <row r="2" spans="1:19" ht="25" customHeight="1">
      <c r="A2" t="s">
        <v>33</v>
      </c>
      <c r="B2">
        <v>1</v>
      </c>
      <c r="C2" t="s">
        <v>25</v>
      </c>
      <c r="D2" t="b">
        <v>1</v>
      </c>
      <c r="E2">
        <v>1</v>
      </c>
      <c r="F2" t="s">
        <v>26</v>
      </c>
      <c r="G2" s="1">
        <v>0.61</v>
      </c>
      <c r="H2" s="1">
        <v>0.66</v>
      </c>
      <c r="I2" s="1">
        <v>0.64</v>
      </c>
      <c r="J2" s="1">
        <v>0.63</v>
      </c>
      <c r="K2" s="1">
        <v>0.62</v>
      </c>
      <c r="L2" s="1">
        <v>0.63</v>
      </c>
      <c r="M2" s="1">
        <v>0.7</v>
      </c>
      <c r="N2" s="1">
        <v>0.69</v>
      </c>
      <c r="O2" s="1">
        <v>0.74</v>
      </c>
      <c r="P2" s="1">
        <v>0.66</v>
      </c>
      <c r="Q2" s="1">
        <v>0.64</v>
      </c>
      <c r="R2" s="1">
        <v>0.65</v>
      </c>
      <c r="S2" s="1">
        <f t="shared" ref="S2:S19" si="0">MAX($G2:$R2)</f>
        <v>0.74</v>
      </c>
    </row>
    <row r="3" spans="1:19" ht="25" customHeight="1">
      <c r="A3" t="s">
        <v>33</v>
      </c>
      <c r="B3">
        <v>1</v>
      </c>
      <c r="C3" t="s">
        <v>25</v>
      </c>
      <c r="D3" t="b">
        <v>1</v>
      </c>
      <c r="E3">
        <v>2</v>
      </c>
      <c r="F3" t="s">
        <v>27</v>
      </c>
      <c r="G3" s="1">
        <v>0.72</v>
      </c>
      <c r="H3" s="1">
        <v>0.73</v>
      </c>
      <c r="I3" s="1">
        <v>0.69</v>
      </c>
      <c r="J3" s="1">
        <v>0.72</v>
      </c>
      <c r="K3" s="1">
        <v>0.7</v>
      </c>
      <c r="L3" s="1">
        <v>0.66</v>
      </c>
      <c r="M3" s="1">
        <v>0.73</v>
      </c>
      <c r="N3" s="1">
        <v>0.68</v>
      </c>
      <c r="O3" s="1">
        <v>0.74</v>
      </c>
      <c r="P3" s="1">
        <v>0.7</v>
      </c>
      <c r="Q3" s="1">
        <v>0.7</v>
      </c>
      <c r="R3" s="1">
        <v>0.69</v>
      </c>
      <c r="S3" s="1">
        <f t="shared" si="0"/>
        <v>0.74</v>
      </c>
    </row>
    <row r="4" spans="1:19" ht="25" customHeight="1">
      <c r="A4" t="s">
        <v>33</v>
      </c>
      <c r="B4">
        <v>1</v>
      </c>
      <c r="C4" t="s">
        <v>25</v>
      </c>
      <c r="D4" t="b">
        <v>1</v>
      </c>
      <c r="E4">
        <v>3</v>
      </c>
      <c r="F4" t="s">
        <v>28</v>
      </c>
      <c r="G4" s="1">
        <v>0.66</v>
      </c>
      <c r="H4" s="1">
        <v>0.71</v>
      </c>
      <c r="I4" s="1">
        <v>0.59</v>
      </c>
      <c r="J4" s="1">
        <v>0.64</v>
      </c>
      <c r="K4" s="1">
        <v>0.68</v>
      </c>
      <c r="L4" s="1">
        <v>0.6</v>
      </c>
      <c r="M4" s="1">
        <v>0.73</v>
      </c>
      <c r="N4" s="1">
        <v>0.64</v>
      </c>
      <c r="O4" s="1">
        <v>0.76</v>
      </c>
      <c r="P4" s="1">
        <v>0.62</v>
      </c>
      <c r="Q4" s="1">
        <v>0.64</v>
      </c>
      <c r="R4" s="1">
        <v>0.65</v>
      </c>
      <c r="S4" s="1">
        <f t="shared" si="0"/>
        <v>0.76</v>
      </c>
    </row>
    <row r="5" spans="1:19" ht="25" customHeight="1">
      <c r="A5" t="s">
        <v>33</v>
      </c>
      <c r="B5">
        <v>1</v>
      </c>
      <c r="C5" t="s">
        <v>25</v>
      </c>
      <c r="D5" t="b">
        <v>0</v>
      </c>
      <c r="E5">
        <v>2</v>
      </c>
      <c r="F5" t="s">
        <v>27</v>
      </c>
      <c r="G5" s="1">
        <v>0.62</v>
      </c>
      <c r="H5" s="1">
        <v>0.7</v>
      </c>
      <c r="I5" s="1">
        <v>0.67</v>
      </c>
      <c r="J5" s="1">
        <v>0.71</v>
      </c>
      <c r="K5" s="1">
        <v>0.7</v>
      </c>
      <c r="L5" s="1">
        <v>0.63</v>
      </c>
      <c r="M5" s="1">
        <v>0.7</v>
      </c>
      <c r="N5" s="1">
        <v>0.67</v>
      </c>
      <c r="O5" s="1">
        <v>0.7</v>
      </c>
      <c r="P5" s="1">
        <v>0.65</v>
      </c>
      <c r="Q5" s="1">
        <v>0.69</v>
      </c>
      <c r="R5" s="1">
        <v>0.66</v>
      </c>
      <c r="S5" s="1">
        <f t="shared" si="0"/>
        <v>0.71</v>
      </c>
    </row>
    <row r="6" spans="1:19" ht="25" customHeight="1">
      <c r="A6" t="s">
        <v>33</v>
      </c>
      <c r="B6">
        <v>1</v>
      </c>
      <c r="C6" t="s">
        <v>25</v>
      </c>
      <c r="D6" t="b">
        <v>0</v>
      </c>
      <c r="E6">
        <v>3</v>
      </c>
      <c r="F6" t="s">
        <v>28</v>
      </c>
      <c r="G6" s="1">
        <v>0.57999999999999996</v>
      </c>
      <c r="H6" s="1">
        <v>0.66</v>
      </c>
      <c r="I6" s="1">
        <v>0.54</v>
      </c>
      <c r="J6" s="1">
        <v>0.62</v>
      </c>
      <c r="K6" s="1">
        <v>0.65</v>
      </c>
      <c r="L6" s="1">
        <v>0.6</v>
      </c>
      <c r="M6" s="1">
        <v>0.61</v>
      </c>
      <c r="N6" s="1">
        <v>0.59</v>
      </c>
      <c r="O6" s="1">
        <v>0.66</v>
      </c>
      <c r="P6" s="1">
        <v>0.59</v>
      </c>
      <c r="Q6" s="1">
        <v>0.59</v>
      </c>
      <c r="R6" s="1">
        <v>0.59</v>
      </c>
      <c r="S6" s="1">
        <f t="shared" si="0"/>
        <v>0.66</v>
      </c>
    </row>
    <row r="7" spans="1:19" ht="25" customHeight="1">
      <c r="A7" t="s">
        <v>33</v>
      </c>
      <c r="B7">
        <v>1</v>
      </c>
      <c r="C7" t="s">
        <v>25</v>
      </c>
      <c r="D7" t="b">
        <v>0</v>
      </c>
      <c r="E7">
        <v>1</v>
      </c>
      <c r="F7" t="s">
        <v>26</v>
      </c>
      <c r="G7" s="1">
        <v>0.6</v>
      </c>
      <c r="H7" s="1">
        <v>0.67</v>
      </c>
      <c r="I7" s="1">
        <v>0.64</v>
      </c>
      <c r="J7" s="1">
        <v>0.68</v>
      </c>
      <c r="K7" s="1">
        <v>0.68</v>
      </c>
      <c r="L7" s="1">
        <v>0.65</v>
      </c>
      <c r="M7" s="1">
        <v>0.69</v>
      </c>
      <c r="N7" s="1">
        <v>0.67</v>
      </c>
      <c r="O7" s="1">
        <v>0.71</v>
      </c>
      <c r="P7" s="1">
        <v>0.56999999999999995</v>
      </c>
      <c r="Q7" s="1">
        <v>0.65</v>
      </c>
      <c r="R7" s="1">
        <v>0.62</v>
      </c>
      <c r="S7" s="1">
        <f t="shared" si="0"/>
        <v>0.71</v>
      </c>
    </row>
    <row r="8" spans="1:19" ht="25" customHeight="1">
      <c r="A8" t="s">
        <v>33</v>
      </c>
      <c r="B8">
        <v>2</v>
      </c>
      <c r="C8" t="s">
        <v>29</v>
      </c>
      <c r="D8" t="b">
        <v>1</v>
      </c>
      <c r="E8">
        <v>2</v>
      </c>
      <c r="F8" t="s">
        <v>27</v>
      </c>
      <c r="G8" s="1">
        <v>0.86</v>
      </c>
      <c r="H8" s="1">
        <v>0.77</v>
      </c>
      <c r="I8" s="1">
        <v>0.79</v>
      </c>
      <c r="J8" s="1">
        <v>0.8</v>
      </c>
      <c r="K8" s="1">
        <v>0.73</v>
      </c>
      <c r="L8" s="1">
        <v>0.77</v>
      </c>
      <c r="M8" s="1">
        <v>0.78</v>
      </c>
      <c r="N8" s="1">
        <v>0.77</v>
      </c>
      <c r="O8" s="1">
        <v>0.73</v>
      </c>
      <c r="P8" s="1">
        <v>0.79</v>
      </c>
      <c r="Q8" s="1">
        <v>0.7</v>
      </c>
      <c r="R8" s="1">
        <v>0.78</v>
      </c>
      <c r="S8" s="1">
        <f t="shared" si="0"/>
        <v>0.86</v>
      </c>
    </row>
    <row r="9" spans="1:19" ht="25" customHeight="1">
      <c r="A9" t="s">
        <v>33</v>
      </c>
      <c r="B9">
        <v>2</v>
      </c>
      <c r="C9" t="s">
        <v>29</v>
      </c>
      <c r="D9" t="b">
        <v>1</v>
      </c>
      <c r="E9">
        <v>1</v>
      </c>
      <c r="F9" t="s">
        <v>26</v>
      </c>
      <c r="G9" s="1">
        <v>0.79</v>
      </c>
      <c r="H9" s="1">
        <v>0.77</v>
      </c>
      <c r="I9" s="1">
        <v>0.76</v>
      </c>
      <c r="J9" s="1">
        <v>0.73</v>
      </c>
      <c r="K9" s="1">
        <v>0.69</v>
      </c>
      <c r="L9" s="1">
        <v>0.69</v>
      </c>
      <c r="M9" s="1">
        <v>0.79</v>
      </c>
      <c r="N9" s="1">
        <v>0.74</v>
      </c>
      <c r="O9" s="1">
        <v>0.69</v>
      </c>
      <c r="P9" s="1">
        <v>0.69</v>
      </c>
      <c r="Q9" s="1">
        <v>0.67</v>
      </c>
      <c r="R9" s="1">
        <v>0.67</v>
      </c>
      <c r="S9" s="1">
        <f t="shared" si="0"/>
        <v>0.79</v>
      </c>
    </row>
    <row r="10" spans="1:19" ht="25" customHeight="1">
      <c r="A10" t="s">
        <v>33</v>
      </c>
      <c r="B10">
        <v>2</v>
      </c>
      <c r="C10" t="s">
        <v>29</v>
      </c>
      <c r="D10" t="b">
        <v>1</v>
      </c>
      <c r="E10">
        <v>3</v>
      </c>
      <c r="F10" t="s">
        <v>28</v>
      </c>
      <c r="G10" s="1">
        <v>0.8</v>
      </c>
      <c r="H10" s="1">
        <v>0.73</v>
      </c>
      <c r="I10" s="1">
        <v>0.75</v>
      </c>
      <c r="J10" s="1">
        <v>0.79</v>
      </c>
      <c r="K10" s="1">
        <v>0.73</v>
      </c>
      <c r="L10" s="1">
        <v>0.72</v>
      </c>
      <c r="M10" s="1">
        <v>0.75</v>
      </c>
      <c r="N10" s="1">
        <v>0.77</v>
      </c>
      <c r="O10" s="1">
        <v>0.71</v>
      </c>
      <c r="P10" s="1">
        <v>0.78</v>
      </c>
      <c r="Q10" s="1">
        <v>0.67</v>
      </c>
      <c r="R10" s="1">
        <v>0.74</v>
      </c>
      <c r="S10" s="1">
        <f t="shared" si="0"/>
        <v>0.8</v>
      </c>
    </row>
    <row r="11" spans="1:19" ht="25" customHeight="1">
      <c r="A11" t="s">
        <v>33</v>
      </c>
      <c r="B11">
        <v>2</v>
      </c>
      <c r="C11" t="s">
        <v>29</v>
      </c>
      <c r="D11" t="b">
        <v>0</v>
      </c>
      <c r="E11">
        <v>2</v>
      </c>
      <c r="F11" t="s">
        <v>27</v>
      </c>
      <c r="G11" s="1">
        <v>0.78</v>
      </c>
      <c r="H11" s="1">
        <v>0.72</v>
      </c>
      <c r="I11" s="1">
        <v>0.76</v>
      </c>
      <c r="J11" s="1">
        <v>0.76</v>
      </c>
      <c r="K11" s="1">
        <v>0.71</v>
      </c>
      <c r="L11" s="1">
        <v>0.73</v>
      </c>
      <c r="M11" s="1">
        <v>0.74</v>
      </c>
      <c r="N11" s="1">
        <v>0.73</v>
      </c>
      <c r="O11" s="1">
        <v>0.69</v>
      </c>
      <c r="P11" s="1">
        <v>0.8</v>
      </c>
      <c r="Q11" s="1">
        <v>0.7</v>
      </c>
      <c r="R11" s="1">
        <v>0.76</v>
      </c>
      <c r="S11" s="1">
        <f t="shared" si="0"/>
        <v>0.8</v>
      </c>
    </row>
    <row r="12" spans="1:19" ht="25" customHeight="1">
      <c r="A12" t="s">
        <v>33</v>
      </c>
      <c r="B12">
        <v>2</v>
      </c>
      <c r="C12" t="s">
        <v>29</v>
      </c>
      <c r="D12" t="b">
        <v>0</v>
      </c>
      <c r="E12">
        <v>3</v>
      </c>
      <c r="F12" t="s">
        <v>28</v>
      </c>
      <c r="G12" s="1">
        <v>0.74</v>
      </c>
      <c r="H12" s="1">
        <v>0.68</v>
      </c>
      <c r="I12" s="1">
        <v>0.71</v>
      </c>
      <c r="J12" s="1">
        <v>0.76</v>
      </c>
      <c r="K12" s="1">
        <v>0.69</v>
      </c>
      <c r="L12" s="1">
        <v>0.7</v>
      </c>
      <c r="M12" s="1">
        <v>0.71</v>
      </c>
      <c r="N12" s="1">
        <v>0.71</v>
      </c>
      <c r="O12" s="1">
        <v>0.67</v>
      </c>
      <c r="P12" s="1">
        <v>0.76</v>
      </c>
      <c r="Q12" s="1">
        <v>0.7</v>
      </c>
      <c r="R12" s="1">
        <v>0.66</v>
      </c>
      <c r="S12" s="1">
        <f t="shared" si="0"/>
        <v>0.76</v>
      </c>
    </row>
    <row r="13" spans="1:19" ht="25" customHeight="1">
      <c r="A13" t="s">
        <v>33</v>
      </c>
      <c r="B13">
        <v>2</v>
      </c>
      <c r="C13" t="s">
        <v>29</v>
      </c>
      <c r="D13" t="b">
        <v>0</v>
      </c>
      <c r="E13">
        <v>1</v>
      </c>
      <c r="F13" t="s">
        <v>26</v>
      </c>
      <c r="G13" s="1">
        <v>0.72</v>
      </c>
      <c r="H13" s="1">
        <v>0.7</v>
      </c>
      <c r="I13" s="1">
        <v>0.7</v>
      </c>
      <c r="J13" s="1">
        <v>0.74</v>
      </c>
      <c r="K13" s="1">
        <v>0.67</v>
      </c>
      <c r="L13" s="1">
        <v>0.7</v>
      </c>
      <c r="M13" s="1">
        <v>0.67</v>
      </c>
      <c r="N13" s="1">
        <v>0.7</v>
      </c>
      <c r="O13" s="1">
        <v>0.62</v>
      </c>
      <c r="P13" s="1">
        <v>0.72</v>
      </c>
      <c r="Q13" s="1">
        <v>0.63</v>
      </c>
      <c r="R13" s="1">
        <v>0.72</v>
      </c>
      <c r="S13" s="1">
        <f t="shared" si="0"/>
        <v>0.74</v>
      </c>
    </row>
    <row r="14" spans="1:19" ht="25" customHeight="1">
      <c r="A14" t="s">
        <v>33</v>
      </c>
      <c r="B14">
        <v>3</v>
      </c>
      <c r="C14" t="s">
        <v>30</v>
      </c>
      <c r="D14" t="b">
        <v>1</v>
      </c>
      <c r="E14">
        <v>1</v>
      </c>
      <c r="F14" t="s">
        <v>26</v>
      </c>
      <c r="G14" s="1">
        <v>0.96</v>
      </c>
      <c r="H14" s="1">
        <v>0.96</v>
      </c>
      <c r="I14" s="1">
        <v>0.97</v>
      </c>
      <c r="J14" s="1">
        <v>0.98</v>
      </c>
      <c r="K14" s="1">
        <v>0.95</v>
      </c>
      <c r="L14" s="1">
        <v>0.95</v>
      </c>
      <c r="M14" s="1">
        <v>0.94</v>
      </c>
      <c r="N14" s="1">
        <v>0.95</v>
      </c>
      <c r="O14" s="1">
        <v>0.95</v>
      </c>
      <c r="P14" s="1">
        <v>0.96</v>
      </c>
      <c r="Q14" s="1">
        <v>0.96</v>
      </c>
      <c r="R14" s="1">
        <v>0.98</v>
      </c>
      <c r="S14" s="1">
        <f t="shared" si="0"/>
        <v>0.98</v>
      </c>
    </row>
    <row r="15" spans="1:19" ht="25" customHeight="1">
      <c r="A15" t="s">
        <v>33</v>
      </c>
      <c r="B15">
        <v>3</v>
      </c>
      <c r="C15" t="s">
        <v>30</v>
      </c>
      <c r="D15" t="b">
        <v>1</v>
      </c>
      <c r="E15">
        <v>3</v>
      </c>
      <c r="F15" t="s">
        <v>28</v>
      </c>
      <c r="G15" s="1">
        <v>0.95</v>
      </c>
      <c r="H15" s="1">
        <v>0.97</v>
      </c>
      <c r="I15" s="1">
        <v>0.98</v>
      </c>
      <c r="J15" s="1">
        <v>0.98</v>
      </c>
      <c r="K15" s="1">
        <v>0.95</v>
      </c>
      <c r="L15" s="1">
        <v>0.95</v>
      </c>
      <c r="M15" s="1">
        <v>0.96</v>
      </c>
      <c r="N15" s="1">
        <v>0.97</v>
      </c>
      <c r="O15" s="1">
        <v>0.96</v>
      </c>
      <c r="P15" s="1">
        <v>0.96</v>
      </c>
      <c r="Q15" s="1">
        <v>0.97</v>
      </c>
      <c r="R15" s="1">
        <v>0.98</v>
      </c>
      <c r="S15" s="1">
        <f t="shared" si="0"/>
        <v>0.98</v>
      </c>
    </row>
    <row r="16" spans="1:19" ht="25" customHeight="1">
      <c r="A16" t="s">
        <v>33</v>
      </c>
      <c r="B16">
        <v>3</v>
      </c>
      <c r="C16" t="s">
        <v>30</v>
      </c>
      <c r="D16" t="b">
        <v>1</v>
      </c>
      <c r="E16">
        <v>2</v>
      </c>
      <c r="F16" t="s">
        <v>27</v>
      </c>
      <c r="G16" s="1">
        <v>0.95</v>
      </c>
      <c r="H16" s="1">
        <v>0.97</v>
      </c>
      <c r="I16" s="1">
        <v>0.98</v>
      </c>
      <c r="J16" s="1">
        <v>0.98</v>
      </c>
      <c r="K16" s="1">
        <v>0.95</v>
      </c>
      <c r="L16" s="1">
        <v>0.95</v>
      </c>
      <c r="M16" s="1">
        <v>0.97</v>
      </c>
      <c r="N16" s="1">
        <v>0.97</v>
      </c>
      <c r="O16" s="1">
        <v>0.96</v>
      </c>
      <c r="P16" s="1">
        <v>0.96</v>
      </c>
      <c r="Q16" s="1">
        <v>0.97</v>
      </c>
      <c r="R16" s="1">
        <v>0.97</v>
      </c>
      <c r="S16" s="1">
        <f t="shared" si="0"/>
        <v>0.98</v>
      </c>
    </row>
    <row r="17" spans="1:19" ht="25" customHeight="1">
      <c r="A17" t="s">
        <v>33</v>
      </c>
      <c r="B17">
        <v>3</v>
      </c>
      <c r="C17" t="s">
        <v>30</v>
      </c>
      <c r="D17" t="b">
        <v>0</v>
      </c>
      <c r="E17">
        <v>1</v>
      </c>
      <c r="F17" t="s">
        <v>26</v>
      </c>
      <c r="G17" s="1">
        <v>0.95</v>
      </c>
      <c r="H17" s="1">
        <v>0.96</v>
      </c>
      <c r="I17" s="1">
        <v>0.98</v>
      </c>
      <c r="J17" s="1">
        <v>0.97</v>
      </c>
      <c r="K17" s="1">
        <v>0.95</v>
      </c>
      <c r="L17" s="1">
        <v>0.95</v>
      </c>
      <c r="M17" s="1">
        <v>0.96</v>
      </c>
      <c r="N17" s="1">
        <v>0.96</v>
      </c>
      <c r="O17" s="1">
        <v>0.95</v>
      </c>
      <c r="P17" s="1">
        <v>0.96</v>
      </c>
      <c r="Q17" s="1">
        <v>0.96</v>
      </c>
      <c r="R17" s="1">
        <v>0.98</v>
      </c>
      <c r="S17" s="1">
        <f t="shared" si="0"/>
        <v>0.98</v>
      </c>
    </row>
    <row r="18" spans="1:19" ht="25" customHeight="1">
      <c r="A18" t="s">
        <v>33</v>
      </c>
      <c r="B18">
        <v>3</v>
      </c>
      <c r="C18" t="s">
        <v>30</v>
      </c>
      <c r="D18" t="b">
        <v>0</v>
      </c>
      <c r="E18">
        <v>2</v>
      </c>
      <c r="F18" t="s">
        <v>27</v>
      </c>
      <c r="G18" s="1">
        <v>0.95</v>
      </c>
      <c r="H18" s="1">
        <v>0.97</v>
      </c>
      <c r="I18" s="1">
        <v>0.98</v>
      </c>
      <c r="J18" s="1">
        <v>0.98</v>
      </c>
      <c r="K18" s="1">
        <v>0.95</v>
      </c>
      <c r="L18" s="1">
        <v>0.95</v>
      </c>
      <c r="M18" s="1">
        <v>0.96</v>
      </c>
      <c r="N18" s="1">
        <v>0.97</v>
      </c>
      <c r="O18" s="1">
        <v>0.96</v>
      </c>
      <c r="P18" s="1">
        <v>0.96</v>
      </c>
      <c r="Q18" s="1">
        <v>0.97</v>
      </c>
      <c r="R18" s="1">
        <v>0.98</v>
      </c>
      <c r="S18" s="1">
        <f t="shared" si="0"/>
        <v>0.98</v>
      </c>
    </row>
    <row r="19" spans="1:19" ht="25" customHeight="1">
      <c r="A19" t="s">
        <v>33</v>
      </c>
      <c r="B19">
        <v>3</v>
      </c>
      <c r="C19" t="s">
        <v>30</v>
      </c>
      <c r="D19" t="b">
        <v>0</v>
      </c>
      <c r="E19">
        <v>3</v>
      </c>
      <c r="F19" t="s">
        <v>28</v>
      </c>
      <c r="G19" s="1">
        <v>0.95</v>
      </c>
      <c r="H19" s="1">
        <v>0.97</v>
      </c>
      <c r="I19" s="1">
        <v>0.98</v>
      </c>
      <c r="J19" s="1">
        <v>0.98</v>
      </c>
      <c r="K19" s="1">
        <v>0.95</v>
      </c>
      <c r="L19" s="1">
        <v>0.95</v>
      </c>
      <c r="M19" s="1">
        <v>0.96</v>
      </c>
      <c r="N19" s="1">
        <v>0.97</v>
      </c>
      <c r="O19" s="1">
        <v>0.96</v>
      </c>
      <c r="P19" s="1">
        <v>0.96</v>
      </c>
      <c r="Q19" s="1">
        <v>0.97</v>
      </c>
      <c r="R19" s="1">
        <v>0.98</v>
      </c>
      <c r="S19" s="1">
        <f t="shared" si="0"/>
        <v>0.98</v>
      </c>
    </row>
    <row r="22" spans="1:19" ht="25" customHeight="1">
      <c r="B22" t="s">
        <v>1</v>
      </c>
      <c r="C22" t="s">
        <v>2</v>
      </c>
      <c r="D22" t="s">
        <v>31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21</v>
      </c>
      <c r="Q22" t="s">
        <v>22</v>
      </c>
      <c r="R22" t="s">
        <v>23</v>
      </c>
      <c r="S22" t="s">
        <v>24</v>
      </c>
    </row>
    <row r="23" spans="1:19" ht="25" customHeight="1">
      <c r="B23">
        <v>1</v>
      </c>
      <c r="C23" t="s">
        <v>25</v>
      </c>
      <c r="D23" t="b">
        <v>1</v>
      </c>
      <c r="E23">
        <v>1</v>
      </c>
      <c r="F23" t="s">
        <v>24</v>
      </c>
      <c r="G23" s="1" cm="1">
        <f t="array" ref="G23">_xlfn.LET(_xlpm.d,G$2:G$19,_xlpm.a,$C$2:$C$19=$C23,_xlpm.b,$D$2:$D$19=$D23,MAX(_xlfn._xlws.FILTER(_xlpm.d,_xlpm.a*_xlpm.b)))</f>
        <v>0.72</v>
      </c>
      <c r="H23" s="1" cm="1">
        <f t="array" ref="H23">_xlfn.LET(_xlpm.d,H$2:H$19,_xlpm.a,$C$2:$C$19=$C23,_xlpm.b,$D$2:$D$19=$D23,MAX(_xlfn._xlws.FILTER(_xlpm.d,_xlpm.a*_xlpm.b)))</f>
        <v>0.73</v>
      </c>
      <c r="I23" s="1" cm="1">
        <f t="array" ref="I23">_xlfn.LET(_xlpm.d,I$2:I$19,_xlpm.a,$C$2:$C$19=$C23,_xlpm.b,$D$2:$D$19=$D23,MAX(_xlfn._xlws.FILTER(_xlpm.d,_xlpm.a*_xlpm.b)))</f>
        <v>0.69</v>
      </c>
      <c r="J23" s="1" cm="1">
        <f t="array" ref="J23">_xlfn.LET(_xlpm.d,J$2:J$19,_xlpm.a,$C$2:$C$19=$C23,_xlpm.b,$D$2:$D$19=$D23,MAX(_xlfn._xlws.FILTER(_xlpm.d,_xlpm.a*_xlpm.b)))</f>
        <v>0.72</v>
      </c>
      <c r="K23" s="1" cm="1">
        <f t="array" ref="K23">_xlfn.LET(_xlpm.d,K$2:K$19,_xlpm.a,$C$2:$C$19=$C23,_xlpm.b,$D$2:$D$19=$D23,MAX(_xlfn._xlws.FILTER(_xlpm.d,_xlpm.a*_xlpm.b)))</f>
        <v>0.7</v>
      </c>
      <c r="L23" s="1" cm="1">
        <f t="array" ref="L23">_xlfn.LET(_xlpm.d,L$2:L$19,_xlpm.a,$C$2:$C$19=$C23,_xlpm.b,$D$2:$D$19=$D23,MAX(_xlfn._xlws.FILTER(_xlpm.d,_xlpm.a*_xlpm.b)))</f>
        <v>0.66</v>
      </c>
      <c r="M23" s="1" cm="1">
        <f t="array" ref="M23">_xlfn.LET(_xlpm.d,M$2:M$19,_xlpm.a,$C$2:$C$19=$C23,_xlpm.b,$D$2:$D$19=$D23,MAX(_xlfn._xlws.FILTER(_xlpm.d,_xlpm.a*_xlpm.b)))</f>
        <v>0.73</v>
      </c>
      <c r="N23" s="1" cm="1">
        <f t="array" ref="N23">_xlfn.LET(_xlpm.d,N$2:N$19,_xlpm.a,$C$2:$C$19=$C23,_xlpm.b,$D$2:$D$19=$D23,MAX(_xlfn._xlws.FILTER(_xlpm.d,_xlpm.a*_xlpm.b)))</f>
        <v>0.69</v>
      </c>
      <c r="O23" s="1" cm="1">
        <f t="array" ref="O23">_xlfn.LET(_xlpm.d,O$2:O$19,_xlpm.a,$C$2:$C$19=$C23,_xlpm.b,$D$2:$D$19=$D23,MAX(_xlfn._xlws.FILTER(_xlpm.d,_xlpm.a*_xlpm.b)))</f>
        <v>0.76</v>
      </c>
      <c r="P23" s="1" cm="1">
        <f t="array" ref="P23">_xlfn.LET(_xlpm.d,P$2:P$19,_xlpm.a,$C$2:$C$19=$C23,_xlpm.b,$D$2:$D$19=$D23,MAX(_xlfn._xlws.FILTER(_xlpm.d,_xlpm.a*_xlpm.b)))</f>
        <v>0.7</v>
      </c>
      <c r="Q23" s="1" cm="1">
        <f t="array" ref="Q23">_xlfn.LET(_xlpm.d,Q$2:Q$19,_xlpm.a,$C$2:$C$19=$C23,_xlpm.b,$D$2:$D$19=$D23,MAX(_xlfn._xlws.FILTER(_xlpm.d,_xlpm.a*_xlpm.b)))</f>
        <v>0.7</v>
      </c>
      <c r="R23" s="1" cm="1">
        <f t="array" ref="R23">_xlfn.LET(_xlpm.d,R$2:R$19,_xlpm.a,$C$2:$C$19=$C23,_xlpm.b,$D$2:$D$19=$D23,MAX(_xlfn._xlws.FILTER(_xlpm.d,_xlpm.a*_xlpm.b)))</f>
        <v>0.69</v>
      </c>
      <c r="S23" s="1" cm="1">
        <f t="array" ref="S23">_xlfn.LET(_xlpm.d,S$2:S$19,_xlpm.a,$C$2:$C$19=$C23,_xlpm.b,$D$2:$D$19=$D23,MAX(_xlfn._xlws.FILTER(_xlpm.d,_xlpm.a*_xlpm.b)))</f>
        <v>0.76</v>
      </c>
    </row>
    <row r="24" spans="1:19" ht="25" customHeight="1">
      <c r="B24">
        <v>1</v>
      </c>
      <c r="C24" t="s">
        <v>25</v>
      </c>
      <c r="D24" t="b">
        <v>0</v>
      </c>
      <c r="E24">
        <v>1</v>
      </c>
      <c r="F24" t="s">
        <v>24</v>
      </c>
      <c r="G24" s="1" cm="1">
        <f t="array" ref="G24">_xlfn.LET(_xlpm.d,G$2:G$19,_xlpm.a,$C$2:$C$19=$C24,_xlpm.b,$D$2:$D$19=$D24,MAX(_xlfn._xlws.FILTER(_xlpm.d,_xlpm.a*_xlpm.b)))</f>
        <v>0.62</v>
      </c>
      <c r="H24" s="1" cm="1">
        <f t="array" ref="H24">_xlfn.LET(_xlpm.d,H$2:H$19,_xlpm.a,$C$2:$C$19=$C24,_xlpm.b,$D$2:$D$19=$D24,MAX(_xlfn._xlws.FILTER(_xlpm.d,_xlpm.a*_xlpm.b)))</f>
        <v>0.7</v>
      </c>
      <c r="I24" s="1" cm="1">
        <f t="array" ref="I24">_xlfn.LET(_xlpm.d,I$2:I$19,_xlpm.a,$C$2:$C$19=$C24,_xlpm.b,$D$2:$D$19=$D24,MAX(_xlfn._xlws.FILTER(_xlpm.d,_xlpm.a*_xlpm.b)))</f>
        <v>0.67</v>
      </c>
      <c r="J24" s="1" cm="1">
        <f t="array" ref="J24">_xlfn.LET(_xlpm.d,J$2:J$19,_xlpm.a,$C$2:$C$19=$C24,_xlpm.b,$D$2:$D$19=$D24,MAX(_xlfn._xlws.FILTER(_xlpm.d,_xlpm.a*_xlpm.b)))</f>
        <v>0.71</v>
      </c>
      <c r="K24" s="1" cm="1">
        <f t="array" ref="K24">_xlfn.LET(_xlpm.d,K$2:K$19,_xlpm.a,$C$2:$C$19=$C24,_xlpm.b,$D$2:$D$19=$D24,MAX(_xlfn._xlws.FILTER(_xlpm.d,_xlpm.a*_xlpm.b)))</f>
        <v>0.7</v>
      </c>
      <c r="L24" s="1" cm="1">
        <f t="array" ref="L24">_xlfn.LET(_xlpm.d,L$2:L$19,_xlpm.a,$C$2:$C$19=$C24,_xlpm.b,$D$2:$D$19=$D24,MAX(_xlfn._xlws.FILTER(_xlpm.d,_xlpm.a*_xlpm.b)))</f>
        <v>0.65</v>
      </c>
      <c r="M24" s="1" cm="1">
        <f t="array" ref="M24">_xlfn.LET(_xlpm.d,M$2:M$19,_xlpm.a,$C$2:$C$19=$C24,_xlpm.b,$D$2:$D$19=$D24,MAX(_xlfn._xlws.FILTER(_xlpm.d,_xlpm.a*_xlpm.b)))</f>
        <v>0.7</v>
      </c>
      <c r="N24" s="1" cm="1">
        <f t="array" ref="N24">_xlfn.LET(_xlpm.d,N$2:N$19,_xlpm.a,$C$2:$C$19=$C24,_xlpm.b,$D$2:$D$19=$D24,MAX(_xlfn._xlws.FILTER(_xlpm.d,_xlpm.a*_xlpm.b)))</f>
        <v>0.67</v>
      </c>
      <c r="O24" s="1" cm="1">
        <f t="array" ref="O24">_xlfn.LET(_xlpm.d,O$2:O$19,_xlpm.a,$C$2:$C$19=$C24,_xlpm.b,$D$2:$D$19=$D24,MAX(_xlfn._xlws.FILTER(_xlpm.d,_xlpm.a*_xlpm.b)))</f>
        <v>0.71</v>
      </c>
      <c r="P24" s="1" cm="1">
        <f t="array" ref="P24">_xlfn.LET(_xlpm.d,P$2:P$19,_xlpm.a,$C$2:$C$19=$C24,_xlpm.b,$D$2:$D$19=$D24,MAX(_xlfn._xlws.FILTER(_xlpm.d,_xlpm.a*_xlpm.b)))</f>
        <v>0.65</v>
      </c>
      <c r="Q24" s="1" cm="1">
        <f t="array" ref="Q24">_xlfn.LET(_xlpm.d,Q$2:Q$19,_xlpm.a,$C$2:$C$19=$C24,_xlpm.b,$D$2:$D$19=$D24,MAX(_xlfn._xlws.FILTER(_xlpm.d,_xlpm.a*_xlpm.b)))</f>
        <v>0.69</v>
      </c>
      <c r="R24" s="1" cm="1">
        <f t="array" ref="R24">_xlfn.LET(_xlpm.d,R$2:R$19,_xlpm.a,$C$2:$C$19=$C24,_xlpm.b,$D$2:$D$19=$D24,MAX(_xlfn._xlws.FILTER(_xlpm.d,_xlpm.a*_xlpm.b)))</f>
        <v>0.66</v>
      </c>
      <c r="S24" s="1" cm="1">
        <f t="array" ref="S24">_xlfn.LET(_xlpm.d,S$2:S$19,_xlpm.a,$C$2:$C$19=$C24,_xlpm.b,$D$2:$D$19=$D24,MAX(_xlfn._xlws.FILTER(_xlpm.d,_xlpm.a*_xlpm.b)))</f>
        <v>0.71</v>
      </c>
    </row>
    <row r="25" spans="1:19" ht="25" customHeight="1">
      <c r="B25">
        <v>2</v>
      </c>
      <c r="C25" t="s">
        <v>29</v>
      </c>
      <c r="D25" t="b">
        <v>1</v>
      </c>
      <c r="E25">
        <v>1</v>
      </c>
      <c r="F25" t="s">
        <v>24</v>
      </c>
      <c r="G25" s="1" cm="1">
        <f t="array" ref="G25">_xlfn.LET(_xlpm.d,G$2:G$19,_xlpm.a,$C$2:$C$19=$C25,_xlpm.b,$D$2:$D$19=$D25,MAX(_xlfn._xlws.FILTER(_xlpm.d,_xlpm.a*_xlpm.b)))</f>
        <v>0.86</v>
      </c>
      <c r="H25" s="1" cm="1">
        <f t="array" ref="H25">_xlfn.LET(_xlpm.d,H$2:H$19,_xlpm.a,$C$2:$C$19=$C25,_xlpm.b,$D$2:$D$19=$D25,MAX(_xlfn._xlws.FILTER(_xlpm.d,_xlpm.a*_xlpm.b)))</f>
        <v>0.77</v>
      </c>
      <c r="I25" s="1" cm="1">
        <f t="array" ref="I25">_xlfn.LET(_xlpm.d,I$2:I$19,_xlpm.a,$C$2:$C$19=$C25,_xlpm.b,$D$2:$D$19=$D25,MAX(_xlfn._xlws.FILTER(_xlpm.d,_xlpm.a*_xlpm.b)))</f>
        <v>0.79</v>
      </c>
      <c r="J25" s="1" cm="1">
        <f t="array" ref="J25">_xlfn.LET(_xlpm.d,J$2:J$19,_xlpm.a,$C$2:$C$19=$C25,_xlpm.b,$D$2:$D$19=$D25,MAX(_xlfn._xlws.FILTER(_xlpm.d,_xlpm.a*_xlpm.b)))</f>
        <v>0.8</v>
      </c>
      <c r="K25" s="1" cm="1">
        <f t="array" ref="K25">_xlfn.LET(_xlpm.d,K$2:K$19,_xlpm.a,$C$2:$C$19=$C25,_xlpm.b,$D$2:$D$19=$D25,MAX(_xlfn._xlws.FILTER(_xlpm.d,_xlpm.a*_xlpm.b)))</f>
        <v>0.73</v>
      </c>
      <c r="L25" s="1" cm="1">
        <f t="array" ref="L25">_xlfn.LET(_xlpm.d,L$2:L$19,_xlpm.a,$C$2:$C$19=$C25,_xlpm.b,$D$2:$D$19=$D25,MAX(_xlfn._xlws.FILTER(_xlpm.d,_xlpm.a*_xlpm.b)))</f>
        <v>0.77</v>
      </c>
      <c r="M25" s="1" cm="1">
        <f t="array" ref="M25">_xlfn.LET(_xlpm.d,M$2:M$19,_xlpm.a,$C$2:$C$19=$C25,_xlpm.b,$D$2:$D$19=$D25,MAX(_xlfn._xlws.FILTER(_xlpm.d,_xlpm.a*_xlpm.b)))</f>
        <v>0.79</v>
      </c>
      <c r="N25" s="1" cm="1">
        <f t="array" ref="N25">_xlfn.LET(_xlpm.d,N$2:N$19,_xlpm.a,$C$2:$C$19=$C25,_xlpm.b,$D$2:$D$19=$D25,MAX(_xlfn._xlws.FILTER(_xlpm.d,_xlpm.a*_xlpm.b)))</f>
        <v>0.77</v>
      </c>
      <c r="O25" s="1" cm="1">
        <f t="array" ref="O25">_xlfn.LET(_xlpm.d,O$2:O$19,_xlpm.a,$C$2:$C$19=$C25,_xlpm.b,$D$2:$D$19=$D25,MAX(_xlfn._xlws.FILTER(_xlpm.d,_xlpm.a*_xlpm.b)))</f>
        <v>0.73</v>
      </c>
      <c r="P25" s="1" cm="1">
        <f t="array" ref="P25">_xlfn.LET(_xlpm.d,P$2:P$19,_xlpm.a,$C$2:$C$19=$C25,_xlpm.b,$D$2:$D$19=$D25,MAX(_xlfn._xlws.FILTER(_xlpm.d,_xlpm.a*_xlpm.b)))</f>
        <v>0.79</v>
      </c>
      <c r="Q25" s="1" cm="1">
        <f t="array" ref="Q25">_xlfn.LET(_xlpm.d,Q$2:Q$19,_xlpm.a,$C$2:$C$19=$C25,_xlpm.b,$D$2:$D$19=$D25,MAX(_xlfn._xlws.FILTER(_xlpm.d,_xlpm.a*_xlpm.b)))</f>
        <v>0.7</v>
      </c>
      <c r="R25" s="1" cm="1">
        <f t="array" ref="R25">_xlfn.LET(_xlpm.d,R$2:R$19,_xlpm.a,$C$2:$C$19=$C25,_xlpm.b,$D$2:$D$19=$D25,MAX(_xlfn._xlws.FILTER(_xlpm.d,_xlpm.a*_xlpm.b)))</f>
        <v>0.78</v>
      </c>
      <c r="S25" s="1" cm="1">
        <f t="array" ref="S25">_xlfn.LET(_xlpm.d,S$2:S$19,_xlpm.a,$C$2:$C$19=$C25,_xlpm.b,$D$2:$D$19=$D25,MAX(_xlfn._xlws.FILTER(_xlpm.d,_xlpm.a*_xlpm.b)))</f>
        <v>0.86</v>
      </c>
    </row>
    <row r="26" spans="1:19" ht="25" customHeight="1">
      <c r="B26">
        <v>2</v>
      </c>
      <c r="C26" t="s">
        <v>29</v>
      </c>
      <c r="D26" t="b">
        <v>0</v>
      </c>
      <c r="E26">
        <v>1</v>
      </c>
      <c r="F26" t="s">
        <v>24</v>
      </c>
      <c r="G26" s="1" cm="1">
        <f t="array" ref="G26">_xlfn.LET(_xlpm.d,G$2:G$19,_xlpm.a,$C$2:$C$19=$C26,_xlpm.b,$D$2:$D$19=$D26,MAX(_xlfn._xlws.FILTER(_xlpm.d,_xlpm.a*_xlpm.b)))</f>
        <v>0.78</v>
      </c>
      <c r="H26" s="1" cm="1">
        <f t="array" ref="H26">_xlfn.LET(_xlpm.d,H$2:H$19,_xlpm.a,$C$2:$C$19=$C26,_xlpm.b,$D$2:$D$19=$D26,MAX(_xlfn._xlws.FILTER(_xlpm.d,_xlpm.a*_xlpm.b)))</f>
        <v>0.72</v>
      </c>
      <c r="I26" s="1" cm="1">
        <f t="array" ref="I26">_xlfn.LET(_xlpm.d,I$2:I$19,_xlpm.a,$C$2:$C$19=$C26,_xlpm.b,$D$2:$D$19=$D26,MAX(_xlfn._xlws.FILTER(_xlpm.d,_xlpm.a*_xlpm.b)))</f>
        <v>0.76</v>
      </c>
      <c r="J26" s="1" cm="1">
        <f t="array" ref="J26">_xlfn.LET(_xlpm.d,J$2:J$19,_xlpm.a,$C$2:$C$19=$C26,_xlpm.b,$D$2:$D$19=$D26,MAX(_xlfn._xlws.FILTER(_xlpm.d,_xlpm.a*_xlpm.b)))</f>
        <v>0.76</v>
      </c>
      <c r="K26" s="1" cm="1">
        <f t="array" ref="K26">_xlfn.LET(_xlpm.d,K$2:K$19,_xlpm.a,$C$2:$C$19=$C26,_xlpm.b,$D$2:$D$19=$D26,MAX(_xlfn._xlws.FILTER(_xlpm.d,_xlpm.a*_xlpm.b)))</f>
        <v>0.71</v>
      </c>
      <c r="L26" s="1" cm="1">
        <f t="array" ref="L26">_xlfn.LET(_xlpm.d,L$2:L$19,_xlpm.a,$C$2:$C$19=$C26,_xlpm.b,$D$2:$D$19=$D26,MAX(_xlfn._xlws.FILTER(_xlpm.d,_xlpm.a*_xlpm.b)))</f>
        <v>0.73</v>
      </c>
      <c r="M26" s="1" cm="1">
        <f t="array" ref="M26">_xlfn.LET(_xlpm.d,M$2:M$19,_xlpm.a,$C$2:$C$19=$C26,_xlpm.b,$D$2:$D$19=$D26,MAX(_xlfn._xlws.FILTER(_xlpm.d,_xlpm.a*_xlpm.b)))</f>
        <v>0.74</v>
      </c>
      <c r="N26" s="1" cm="1">
        <f t="array" ref="N26">_xlfn.LET(_xlpm.d,N$2:N$19,_xlpm.a,$C$2:$C$19=$C26,_xlpm.b,$D$2:$D$19=$D26,MAX(_xlfn._xlws.FILTER(_xlpm.d,_xlpm.a*_xlpm.b)))</f>
        <v>0.73</v>
      </c>
      <c r="O26" s="1" cm="1">
        <f t="array" ref="O26">_xlfn.LET(_xlpm.d,O$2:O$19,_xlpm.a,$C$2:$C$19=$C26,_xlpm.b,$D$2:$D$19=$D26,MAX(_xlfn._xlws.FILTER(_xlpm.d,_xlpm.a*_xlpm.b)))</f>
        <v>0.69</v>
      </c>
      <c r="P26" s="1" cm="1">
        <f t="array" ref="P26">_xlfn.LET(_xlpm.d,P$2:P$19,_xlpm.a,$C$2:$C$19=$C26,_xlpm.b,$D$2:$D$19=$D26,MAX(_xlfn._xlws.FILTER(_xlpm.d,_xlpm.a*_xlpm.b)))</f>
        <v>0.8</v>
      </c>
      <c r="Q26" s="1" cm="1">
        <f t="array" ref="Q26">_xlfn.LET(_xlpm.d,Q$2:Q$19,_xlpm.a,$C$2:$C$19=$C26,_xlpm.b,$D$2:$D$19=$D26,MAX(_xlfn._xlws.FILTER(_xlpm.d,_xlpm.a*_xlpm.b)))</f>
        <v>0.7</v>
      </c>
      <c r="R26" s="1" cm="1">
        <f t="array" ref="R26">_xlfn.LET(_xlpm.d,R$2:R$19,_xlpm.a,$C$2:$C$19=$C26,_xlpm.b,$D$2:$D$19=$D26,MAX(_xlfn._xlws.FILTER(_xlpm.d,_xlpm.a*_xlpm.b)))</f>
        <v>0.76</v>
      </c>
      <c r="S26" s="1" cm="1">
        <f t="array" ref="S26">_xlfn.LET(_xlpm.d,S$2:S$19,_xlpm.a,$C$2:$C$19=$C26,_xlpm.b,$D$2:$D$19=$D26,MAX(_xlfn._xlws.FILTER(_xlpm.d,_xlpm.a*_xlpm.b)))</f>
        <v>0.8</v>
      </c>
    </row>
    <row r="27" spans="1:19" ht="25" customHeight="1">
      <c r="B27">
        <v>3</v>
      </c>
      <c r="C27" t="s">
        <v>30</v>
      </c>
      <c r="D27" t="b">
        <v>1</v>
      </c>
      <c r="E27">
        <v>1</v>
      </c>
      <c r="F27" t="s">
        <v>24</v>
      </c>
      <c r="G27" s="1" cm="1">
        <f t="array" ref="G27">_xlfn.LET(_xlpm.d,G$2:G$19,_xlpm.a,$C$2:$C$19=$C27,_xlpm.b,$D$2:$D$19=$D27,MAX(_xlfn._xlws.FILTER(_xlpm.d,_xlpm.a*_xlpm.b)))</f>
        <v>0.96</v>
      </c>
      <c r="H27" s="1" cm="1">
        <f t="array" ref="H27">_xlfn.LET(_xlpm.d,H$2:H$19,_xlpm.a,$C$2:$C$19=$C27,_xlpm.b,$D$2:$D$19=$D27,MAX(_xlfn._xlws.FILTER(_xlpm.d,_xlpm.a*_xlpm.b)))</f>
        <v>0.97</v>
      </c>
      <c r="I27" s="1" cm="1">
        <f t="array" ref="I27">_xlfn.LET(_xlpm.d,I$2:I$19,_xlpm.a,$C$2:$C$19=$C27,_xlpm.b,$D$2:$D$19=$D27,MAX(_xlfn._xlws.FILTER(_xlpm.d,_xlpm.a*_xlpm.b)))</f>
        <v>0.98</v>
      </c>
      <c r="J27" s="1" cm="1">
        <f t="array" ref="J27">_xlfn.LET(_xlpm.d,J$2:J$19,_xlpm.a,$C$2:$C$19=$C27,_xlpm.b,$D$2:$D$19=$D27,MAX(_xlfn._xlws.FILTER(_xlpm.d,_xlpm.a*_xlpm.b)))</f>
        <v>0.98</v>
      </c>
      <c r="K27" s="1" cm="1">
        <f t="array" ref="K27">_xlfn.LET(_xlpm.d,K$2:K$19,_xlpm.a,$C$2:$C$19=$C27,_xlpm.b,$D$2:$D$19=$D27,MAX(_xlfn._xlws.FILTER(_xlpm.d,_xlpm.a*_xlpm.b)))</f>
        <v>0.95</v>
      </c>
      <c r="L27" s="1" cm="1">
        <f t="array" ref="L27">_xlfn.LET(_xlpm.d,L$2:L$19,_xlpm.a,$C$2:$C$19=$C27,_xlpm.b,$D$2:$D$19=$D27,MAX(_xlfn._xlws.FILTER(_xlpm.d,_xlpm.a*_xlpm.b)))</f>
        <v>0.95</v>
      </c>
      <c r="M27" s="1" cm="1">
        <f t="array" ref="M27">_xlfn.LET(_xlpm.d,M$2:M$19,_xlpm.a,$C$2:$C$19=$C27,_xlpm.b,$D$2:$D$19=$D27,MAX(_xlfn._xlws.FILTER(_xlpm.d,_xlpm.a*_xlpm.b)))</f>
        <v>0.97</v>
      </c>
      <c r="N27" s="1" cm="1">
        <f t="array" ref="N27">_xlfn.LET(_xlpm.d,N$2:N$19,_xlpm.a,$C$2:$C$19=$C27,_xlpm.b,$D$2:$D$19=$D27,MAX(_xlfn._xlws.FILTER(_xlpm.d,_xlpm.a*_xlpm.b)))</f>
        <v>0.97</v>
      </c>
      <c r="O27" s="1" cm="1">
        <f t="array" ref="O27">_xlfn.LET(_xlpm.d,O$2:O$19,_xlpm.a,$C$2:$C$19=$C27,_xlpm.b,$D$2:$D$19=$D27,MAX(_xlfn._xlws.FILTER(_xlpm.d,_xlpm.a*_xlpm.b)))</f>
        <v>0.96</v>
      </c>
      <c r="P27" s="1" cm="1">
        <f t="array" ref="P27">_xlfn.LET(_xlpm.d,P$2:P$19,_xlpm.a,$C$2:$C$19=$C27,_xlpm.b,$D$2:$D$19=$D27,MAX(_xlfn._xlws.FILTER(_xlpm.d,_xlpm.a*_xlpm.b)))</f>
        <v>0.96</v>
      </c>
      <c r="Q27" s="1" cm="1">
        <f t="array" ref="Q27">_xlfn.LET(_xlpm.d,Q$2:Q$19,_xlpm.a,$C$2:$C$19=$C27,_xlpm.b,$D$2:$D$19=$D27,MAX(_xlfn._xlws.FILTER(_xlpm.d,_xlpm.a*_xlpm.b)))</f>
        <v>0.97</v>
      </c>
      <c r="R27" s="1" cm="1">
        <f t="array" ref="R27">_xlfn.LET(_xlpm.d,R$2:R$19,_xlpm.a,$C$2:$C$19=$C27,_xlpm.b,$D$2:$D$19=$D27,MAX(_xlfn._xlws.FILTER(_xlpm.d,_xlpm.a*_xlpm.b)))</f>
        <v>0.98</v>
      </c>
      <c r="S27" s="1" cm="1">
        <f t="array" ref="S27">_xlfn.LET(_xlpm.d,S$2:S$19,_xlpm.a,$C$2:$C$19=$C27,_xlpm.b,$D$2:$D$19=$D27,MAX(_xlfn._xlws.FILTER(_xlpm.d,_xlpm.a*_xlpm.b)))</f>
        <v>0.98</v>
      </c>
    </row>
    <row r="28" spans="1:19" ht="25" customHeight="1">
      <c r="B28">
        <v>3</v>
      </c>
      <c r="C28" t="s">
        <v>30</v>
      </c>
      <c r="D28" t="b">
        <v>0</v>
      </c>
      <c r="E28">
        <v>1</v>
      </c>
      <c r="F28" t="s">
        <v>24</v>
      </c>
      <c r="G28" s="1" cm="1">
        <f t="array" ref="G28">_xlfn.LET(_xlpm.d,G$2:G$19,_xlpm.a,$C$2:$C$19=$C28,_xlpm.b,$D$2:$D$19=$D28,MAX(_xlfn._xlws.FILTER(_xlpm.d,_xlpm.a*_xlpm.b)))</f>
        <v>0.95</v>
      </c>
      <c r="H28" s="1" cm="1">
        <f t="array" ref="H28">_xlfn.LET(_xlpm.d,H$2:H$19,_xlpm.a,$C$2:$C$19=$C28,_xlpm.b,$D$2:$D$19=$D28,MAX(_xlfn._xlws.FILTER(_xlpm.d,_xlpm.a*_xlpm.b)))</f>
        <v>0.97</v>
      </c>
      <c r="I28" s="1" cm="1">
        <f t="array" ref="I28">_xlfn.LET(_xlpm.d,I$2:I$19,_xlpm.a,$C$2:$C$19=$C28,_xlpm.b,$D$2:$D$19=$D28,MAX(_xlfn._xlws.FILTER(_xlpm.d,_xlpm.a*_xlpm.b)))</f>
        <v>0.98</v>
      </c>
      <c r="J28" s="1" cm="1">
        <f t="array" ref="J28">_xlfn.LET(_xlpm.d,J$2:J$19,_xlpm.a,$C$2:$C$19=$C28,_xlpm.b,$D$2:$D$19=$D28,MAX(_xlfn._xlws.FILTER(_xlpm.d,_xlpm.a*_xlpm.b)))</f>
        <v>0.98</v>
      </c>
      <c r="K28" s="1" cm="1">
        <f t="array" ref="K28">_xlfn.LET(_xlpm.d,K$2:K$19,_xlpm.a,$C$2:$C$19=$C28,_xlpm.b,$D$2:$D$19=$D28,MAX(_xlfn._xlws.FILTER(_xlpm.d,_xlpm.a*_xlpm.b)))</f>
        <v>0.95</v>
      </c>
      <c r="L28" s="1" cm="1">
        <f t="array" ref="L28">_xlfn.LET(_xlpm.d,L$2:L$19,_xlpm.a,$C$2:$C$19=$C28,_xlpm.b,$D$2:$D$19=$D28,MAX(_xlfn._xlws.FILTER(_xlpm.d,_xlpm.a*_xlpm.b)))</f>
        <v>0.95</v>
      </c>
      <c r="M28" s="1" cm="1">
        <f t="array" ref="M28">_xlfn.LET(_xlpm.d,M$2:M$19,_xlpm.a,$C$2:$C$19=$C28,_xlpm.b,$D$2:$D$19=$D28,MAX(_xlfn._xlws.FILTER(_xlpm.d,_xlpm.a*_xlpm.b)))</f>
        <v>0.96</v>
      </c>
      <c r="N28" s="1" cm="1">
        <f t="array" ref="N28">_xlfn.LET(_xlpm.d,N$2:N$19,_xlpm.a,$C$2:$C$19=$C28,_xlpm.b,$D$2:$D$19=$D28,MAX(_xlfn._xlws.FILTER(_xlpm.d,_xlpm.a*_xlpm.b)))</f>
        <v>0.97</v>
      </c>
      <c r="O28" s="1" cm="1">
        <f t="array" ref="O28">_xlfn.LET(_xlpm.d,O$2:O$19,_xlpm.a,$C$2:$C$19=$C28,_xlpm.b,$D$2:$D$19=$D28,MAX(_xlfn._xlws.FILTER(_xlpm.d,_xlpm.a*_xlpm.b)))</f>
        <v>0.96</v>
      </c>
      <c r="P28" s="1" cm="1">
        <f t="array" ref="P28">_xlfn.LET(_xlpm.d,P$2:P$19,_xlpm.a,$C$2:$C$19=$C28,_xlpm.b,$D$2:$D$19=$D28,MAX(_xlfn._xlws.FILTER(_xlpm.d,_xlpm.a*_xlpm.b)))</f>
        <v>0.96</v>
      </c>
      <c r="Q28" s="1" cm="1">
        <f t="array" ref="Q28">_xlfn.LET(_xlpm.d,Q$2:Q$19,_xlpm.a,$C$2:$C$19=$C28,_xlpm.b,$D$2:$D$19=$D28,MAX(_xlfn._xlws.FILTER(_xlpm.d,_xlpm.a*_xlpm.b)))</f>
        <v>0.97</v>
      </c>
      <c r="R28" s="1" cm="1">
        <f t="array" ref="R28">_xlfn.LET(_xlpm.d,R$2:R$19,_xlpm.a,$C$2:$C$19=$C28,_xlpm.b,$D$2:$D$19=$D28,MAX(_xlfn._xlws.FILTER(_xlpm.d,_xlpm.a*_xlpm.b)))</f>
        <v>0.98</v>
      </c>
      <c r="S28" s="1" cm="1">
        <f t="array" ref="S28">_xlfn.LET(_xlpm.d,S$2:S$19,_xlpm.a,$C$2:$C$19=$C28,_xlpm.b,$D$2:$D$19=$D28,MAX(_xlfn._xlws.FILTER(_xlpm.d,_xlpm.a*_xlpm.b)))</f>
        <v>0.98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2AA9-1EF0-5D45-948B-D5BC48BD61D3}">
  <dimension ref="A1:T28"/>
  <sheetViews>
    <sheetView workbookViewId="0">
      <pane xSplit="15880" ySplit="3080" topLeftCell="R17" activePane="bottomLeft"/>
      <selection activeCell="G1" sqref="G1"/>
      <selection pane="topRight" activeCell="S3" sqref="S3"/>
      <selection pane="bottomLeft" activeCell="F23" sqref="F23"/>
      <selection pane="bottomRight" activeCell="U31" sqref="U31"/>
    </sheetView>
  </sheetViews>
  <sheetFormatPr baseColWidth="10" defaultRowHeight="25" customHeight="1"/>
  <cols>
    <col min="1" max="1" width="8.125" customWidth="1"/>
    <col min="2" max="2" width="7" customWidth="1"/>
    <col min="4" max="4" width="10.125" customWidth="1"/>
    <col min="5" max="5" width="7.375" customWidth="1"/>
    <col min="6" max="6" width="9.5" customWidth="1"/>
    <col min="7" max="19" width="9.1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</v>
      </c>
      <c r="H1" t="s">
        <v>6</v>
      </c>
      <c r="I1" t="s">
        <v>7</v>
      </c>
      <c r="J1" t="s">
        <v>8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21</v>
      </c>
      <c r="R1" t="s">
        <v>22</v>
      </c>
      <c r="S1" t="s">
        <v>23</v>
      </c>
      <c r="T1" t="s">
        <v>24</v>
      </c>
    </row>
    <row r="2" spans="1:20" ht="25" customHeight="1">
      <c r="A2" t="s">
        <v>33</v>
      </c>
      <c r="B2">
        <v>1</v>
      </c>
      <c r="C2" t="s">
        <v>25</v>
      </c>
      <c r="D2" t="b">
        <v>1</v>
      </c>
      <c r="E2">
        <v>1</v>
      </c>
      <c r="F2" t="s">
        <v>26</v>
      </c>
      <c r="H2" s="1">
        <v>0.69</v>
      </c>
      <c r="I2" s="1">
        <v>0.7</v>
      </c>
      <c r="J2" s="1">
        <v>0.65</v>
      </c>
      <c r="K2" s="1">
        <v>0.57999999999999996</v>
      </c>
      <c r="L2" s="1">
        <v>0.59</v>
      </c>
      <c r="M2" s="1">
        <v>0.7</v>
      </c>
      <c r="N2" s="1">
        <v>0.67</v>
      </c>
      <c r="O2" s="1">
        <v>0.74</v>
      </c>
      <c r="P2" s="1">
        <v>0.68</v>
      </c>
      <c r="Q2" s="1">
        <v>0.62</v>
      </c>
      <c r="R2" s="1">
        <v>0.57999999999999996</v>
      </c>
      <c r="S2" s="1">
        <v>0.7</v>
      </c>
      <c r="T2" s="1">
        <f t="shared" ref="T2:T19" si="0">MAX($H2:$S2)</f>
        <v>0.74</v>
      </c>
    </row>
    <row r="3" spans="1:20" ht="25" customHeight="1">
      <c r="A3" t="s">
        <v>33</v>
      </c>
      <c r="B3">
        <v>1</v>
      </c>
      <c r="C3" t="s">
        <v>25</v>
      </c>
      <c r="D3" t="b">
        <v>1</v>
      </c>
      <c r="E3">
        <v>2</v>
      </c>
      <c r="F3" t="s">
        <v>27</v>
      </c>
      <c r="H3" s="1">
        <v>0.65</v>
      </c>
      <c r="I3" s="1">
        <v>0.69</v>
      </c>
      <c r="J3" s="1">
        <v>0.66</v>
      </c>
      <c r="K3" s="1">
        <v>0.63</v>
      </c>
      <c r="L3" s="1">
        <v>0.65</v>
      </c>
      <c r="M3" s="1">
        <v>0.66</v>
      </c>
      <c r="N3" s="1">
        <v>0.72</v>
      </c>
      <c r="O3" s="1">
        <v>0.75</v>
      </c>
      <c r="P3" s="1">
        <v>0.71</v>
      </c>
      <c r="Q3" s="1">
        <v>0.64</v>
      </c>
      <c r="R3" s="1">
        <v>0.63</v>
      </c>
      <c r="S3" s="1">
        <v>0.68</v>
      </c>
      <c r="T3" s="1">
        <f t="shared" si="0"/>
        <v>0.75</v>
      </c>
    </row>
    <row r="4" spans="1:20" ht="25" customHeight="1">
      <c r="A4" t="s">
        <v>33</v>
      </c>
      <c r="B4">
        <v>1</v>
      </c>
      <c r="C4" t="s">
        <v>25</v>
      </c>
      <c r="D4" t="b">
        <v>1</v>
      </c>
      <c r="E4">
        <v>3</v>
      </c>
      <c r="F4" t="s">
        <v>28</v>
      </c>
      <c r="H4" s="1">
        <v>0.59</v>
      </c>
      <c r="I4" s="1">
        <v>0.59</v>
      </c>
      <c r="J4" s="1">
        <v>0.61</v>
      </c>
      <c r="K4" s="1">
        <v>0.7</v>
      </c>
      <c r="L4" s="1">
        <v>0.54</v>
      </c>
      <c r="M4" s="1">
        <v>0.61</v>
      </c>
      <c r="N4" s="1">
        <v>0.7</v>
      </c>
      <c r="O4" s="1">
        <v>0.68</v>
      </c>
      <c r="P4" s="1">
        <v>0.71</v>
      </c>
      <c r="Q4" s="1">
        <v>0.56000000000000005</v>
      </c>
      <c r="R4" s="1">
        <v>0.59</v>
      </c>
      <c r="S4" s="1">
        <v>0.61</v>
      </c>
      <c r="T4" s="1">
        <f t="shared" si="0"/>
        <v>0.71</v>
      </c>
    </row>
    <row r="5" spans="1:20" ht="25" customHeight="1">
      <c r="A5" t="s">
        <v>33</v>
      </c>
      <c r="B5">
        <v>1</v>
      </c>
      <c r="C5" t="s">
        <v>25</v>
      </c>
      <c r="D5" t="b">
        <v>0</v>
      </c>
      <c r="E5">
        <v>1</v>
      </c>
      <c r="F5" t="s">
        <v>26</v>
      </c>
      <c r="H5" s="1">
        <v>0.63</v>
      </c>
      <c r="I5" s="1">
        <v>0.61</v>
      </c>
      <c r="J5" s="1">
        <v>0.66</v>
      </c>
      <c r="K5" s="1">
        <v>0.61</v>
      </c>
      <c r="L5" s="1">
        <v>0.57999999999999996</v>
      </c>
      <c r="M5" s="1">
        <v>0.63</v>
      </c>
      <c r="N5" s="1">
        <v>0.6</v>
      </c>
      <c r="O5" s="1">
        <v>0.72</v>
      </c>
      <c r="P5" s="1">
        <v>0.64</v>
      </c>
      <c r="Q5" s="1">
        <v>0.6</v>
      </c>
      <c r="R5" s="1">
        <v>0.59</v>
      </c>
      <c r="S5" s="1">
        <v>0.65</v>
      </c>
      <c r="T5" s="1">
        <f t="shared" si="0"/>
        <v>0.72</v>
      </c>
    </row>
    <row r="6" spans="1:20" ht="25" customHeight="1">
      <c r="A6" t="s">
        <v>33</v>
      </c>
      <c r="B6">
        <v>1</v>
      </c>
      <c r="C6" t="s">
        <v>25</v>
      </c>
      <c r="D6" t="b">
        <v>0</v>
      </c>
      <c r="E6">
        <v>2</v>
      </c>
      <c r="F6" t="s">
        <v>27</v>
      </c>
      <c r="H6" s="1">
        <v>0.63</v>
      </c>
      <c r="I6" s="1">
        <v>0.66</v>
      </c>
      <c r="J6" s="1">
        <v>0.63</v>
      </c>
      <c r="K6" s="1">
        <v>0.63</v>
      </c>
      <c r="L6" s="1">
        <v>0.65</v>
      </c>
      <c r="M6" s="1">
        <v>0.66</v>
      </c>
      <c r="N6" s="1">
        <v>0.67</v>
      </c>
      <c r="O6" s="1">
        <v>0.71</v>
      </c>
      <c r="P6" s="1">
        <v>0.71</v>
      </c>
      <c r="Q6" s="1">
        <v>0.65</v>
      </c>
      <c r="R6" s="1">
        <v>0.63</v>
      </c>
      <c r="S6" s="1">
        <v>0.68</v>
      </c>
      <c r="T6" s="1">
        <f t="shared" si="0"/>
        <v>0.71</v>
      </c>
    </row>
    <row r="7" spans="1:20" ht="25" customHeight="1">
      <c r="A7" t="s">
        <v>33</v>
      </c>
      <c r="B7">
        <v>1</v>
      </c>
      <c r="C7" t="s">
        <v>25</v>
      </c>
      <c r="D7" t="b">
        <v>0</v>
      </c>
      <c r="E7">
        <v>3</v>
      </c>
      <c r="F7" t="s">
        <v>28</v>
      </c>
      <c r="H7" s="1">
        <v>0.47</v>
      </c>
      <c r="I7" s="1">
        <v>0.57999999999999996</v>
      </c>
      <c r="J7" s="1">
        <v>0.63</v>
      </c>
      <c r="K7" s="1">
        <v>0.63</v>
      </c>
      <c r="L7" s="1">
        <v>0.56000000000000005</v>
      </c>
      <c r="M7" s="1">
        <v>0.59</v>
      </c>
      <c r="N7" s="1">
        <v>0.67</v>
      </c>
      <c r="O7" s="1">
        <v>0.62</v>
      </c>
      <c r="P7" s="1">
        <v>0.7</v>
      </c>
      <c r="Q7" s="1">
        <v>0.55000000000000004</v>
      </c>
      <c r="R7" s="1">
        <v>0.51</v>
      </c>
      <c r="S7" s="1">
        <v>0.59</v>
      </c>
      <c r="T7" s="1">
        <f t="shared" si="0"/>
        <v>0.7</v>
      </c>
    </row>
    <row r="8" spans="1:20" ht="25" customHeight="1">
      <c r="A8" t="s">
        <v>33</v>
      </c>
      <c r="B8">
        <v>2</v>
      </c>
      <c r="C8" t="s">
        <v>29</v>
      </c>
      <c r="D8" t="b">
        <v>1</v>
      </c>
      <c r="E8">
        <v>1</v>
      </c>
      <c r="F8" t="s">
        <v>26</v>
      </c>
      <c r="H8" s="1">
        <v>0.82</v>
      </c>
      <c r="I8" s="1">
        <v>0.67</v>
      </c>
      <c r="J8" s="1">
        <v>0.68</v>
      </c>
      <c r="K8" s="1">
        <v>0.68</v>
      </c>
      <c r="L8" s="1">
        <v>0.57999999999999996</v>
      </c>
      <c r="M8" s="1">
        <v>0.59</v>
      </c>
      <c r="N8" s="1">
        <v>0.79</v>
      </c>
      <c r="O8" s="1">
        <v>0.75</v>
      </c>
      <c r="P8" s="1">
        <v>0.75</v>
      </c>
      <c r="Q8" s="1">
        <v>0.69</v>
      </c>
      <c r="R8" s="1">
        <v>0.56000000000000005</v>
      </c>
      <c r="S8" s="1">
        <v>0.68</v>
      </c>
      <c r="T8" s="1">
        <f t="shared" si="0"/>
        <v>0.82</v>
      </c>
    </row>
    <row r="9" spans="1:20" ht="25" customHeight="1">
      <c r="A9" t="s">
        <v>33</v>
      </c>
      <c r="B9">
        <v>2</v>
      </c>
      <c r="C9" t="s">
        <v>29</v>
      </c>
      <c r="D9" t="b">
        <v>1</v>
      </c>
      <c r="E9">
        <v>2</v>
      </c>
      <c r="F9" t="s">
        <v>27</v>
      </c>
      <c r="H9" s="1">
        <v>0.76</v>
      </c>
      <c r="I9" s="1">
        <v>0.77</v>
      </c>
      <c r="J9" s="1">
        <v>0.74</v>
      </c>
      <c r="K9" s="1">
        <v>0.78</v>
      </c>
      <c r="L9" s="1">
        <v>0.68</v>
      </c>
      <c r="M9" s="1">
        <v>0.7</v>
      </c>
      <c r="N9" s="1">
        <v>0.75</v>
      </c>
      <c r="O9" s="1">
        <v>0.73</v>
      </c>
      <c r="P9" s="1">
        <v>0.75</v>
      </c>
      <c r="Q9" s="1">
        <v>0.75</v>
      </c>
      <c r="R9" s="1">
        <v>0.68</v>
      </c>
      <c r="S9" s="1">
        <v>0.7</v>
      </c>
      <c r="T9" s="1">
        <f t="shared" si="0"/>
        <v>0.78</v>
      </c>
    </row>
    <row r="10" spans="1:20" ht="25" customHeight="1">
      <c r="A10" t="s">
        <v>33</v>
      </c>
      <c r="B10">
        <v>2</v>
      </c>
      <c r="C10" t="s">
        <v>29</v>
      </c>
      <c r="D10" t="b">
        <v>1</v>
      </c>
      <c r="E10">
        <v>3</v>
      </c>
      <c r="F10" t="s">
        <v>28</v>
      </c>
      <c r="H10" s="1">
        <v>0.75</v>
      </c>
      <c r="I10" s="1">
        <v>0.7</v>
      </c>
      <c r="J10" s="1">
        <v>0.68</v>
      </c>
      <c r="K10" s="1">
        <v>0.76</v>
      </c>
      <c r="L10" s="1">
        <v>0.68</v>
      </c>
      <c r="M10" s="1">
        <v>0.69</v>
      </c>
      <c r="N10" s="1">
        <v>0.69</v>
      </c>
      <c r="O10" s="1">
        <v>0.75</v>
      </c>
      <c r="P10" s="1">
        <v>0.77</v>
      </c>
      <c r="Q10" s="1">
        <v>0.68</v>
      </c>
      <c r="R10" s="1">
        <v>0.61</v>
      </c>
      <c r="S10" s="1">
        <v>0.7</v>
      </c>
      <c r="T10" s="1">
        <f t="shared" si="0"/>
        <v>0.77</v>
      </c>
    </row>
    <row r="11" spans="1:20" ht="25" customHeight="1">
      <c r="A11" t="s">
        <v>33</v>
      </c>
      <c r="B11">
        <v>2</v>
      </c>
      <c r="C11" t="s">
        <v>29</v>
      </c>
      <c r="D11" t="b">
        <v>0</v>
      </c>
      <c r="E11">
        <v>1</v>
      </c>
      <c r="F11" t="s">
        <v>26</v>
      </c>
      <c r="H11" s="1">
        <v>0.72</v>
      </c>
      <c r="I11" s="1">
        <v>0.7</v>
      </c>
      <c r="J11" s="1">
        <v>0.69</v>
      </c>
      <c r="K11" s="1">
        <v>0.67</v>
      </c>
      <c r="L11" s="1">
        <v>0.62</v>
      </c>
      <c r="M11" s="1">
        <v>0.61</v>
      </c>
      <c r="N11" s="1">
        <v>0.72</v>
      </c>
      <c r="O11" s="1">
        <v>0.7</v>
      </c>
      <c r="P11" s="1">
        <v>0.71</v>
      </c>
      <c r="Q11" s="1">
        <v>0.71</v>
      </c>
      <c r="R11" s="1">
        <v>0.64</v>
      </c>
      <c r="S11" s="1">
        <v>0.7</v>
      </c>
      <c r="T11" s="1">
        <f t="shared" si="0"/>
        <v>0.72</v>
      </c>
    </row>
    <row r="12" spans="1:20" ht="25" customHeight="1">
      <c r="A12" t="s">
        <v>33</v>
      </c>
      <c r="B12">
        <v>2</v>
      </c>
      <c r="C12" t="s">
        <v>29</v>
      </c>
      <c r="D12" t="b">
        <v>0</v>
      </c>
      <c r="E12">
        <v>2</v>
      </c>
      <c r="F12" t="s">
        <v>27</v>
      </c>
      <c r="H12" s="1">
        <v>0.72</v>
      </c>
      <c r="I12" s="1">
        <v>0.71</v>
      </c>
      <c r="J12" s="1">
        <v>0.73</v>
      </c>
      <c r="K12" s="1">
        <v>0.72</v>
      </c>
      <c r="L12" s="1">
        <v>0.65</v>
      </c>
      <c r="M12" s="1">
        <v>0.71</v>
      </c>
      <c r="N12" s="1">
        <v>0.69</v>
      </c>
      <c r="O12" s="1">
        <v>0.68</v>
      </c>
      <c r="P12" s="1">
        <v>0.69</v>
      </c>
      <c r="Q12" s="1">
        <v>0.74</v>
      </c>
      <c r="R12" s="1">
        <v>0.64</v>
      </c>
      <c r="S12" s="1">
        <v>0.71</v>
      </c>
      <c r="T12" s="1">
        <f t="shared" si="0"/>
        <v>0.74</v>
      </c>
    </row>
    <row r="13" spans="1:20" ht="25" customHeight="1">
      <c r="A13" t="s">
        <v>33</v>
      </c>
      <c r="B13">
        <v>2</v>
      </c>
      <c r="C13" t="s">
        <v>29</v>
      </c>
      <c r="D13" t="b">
        <v>0</v>
      </c>
      <c r="E13">
        <v>3</v>
      </c>
      <c r="F13" t="s">
        <v>28</v>
      </c>
      <c r="H13" s="1">
        <v>0.71</v>
      </c>
      <c r="I13" s="1">
        <v>0.65</v>
      </c>
      <c r="J13" s="1">
        <v>0.66</v>
      </c>
      <c r="K13" s="1">
        <v>0.69</v>
      </c>
      <c r="L13" s="1">
        <v>0.75</v>
      </c>
      <c r="M13" s="1">
        <v>0.7</v>
      </c>
      <c r="N13" s="1">
        <v>0.69</v>
      </c>
      <c r="O13" s="1">
        <v>0.69</v>
      </c>
      <c r="P13" s="1">
        <v>0.73</v>
      </c>
      <c r="Q13" s="1">
        <v>0.62</v>
      </c>
      <c r="R13" s="1">
        <v>0.57999999999999996</v>
      </c>
      <c r="S13" s="1">
        <v>0.68</v>
      </c>
      <c r="T13" s="1">
        <f t="shared" si="0"/>
        <v>0.75</v>
      </c>
    </row>
    <row r="14" spans="1:20" ht="25" customHeight="1">
      <c r="A14" t="s">
        <v>33</v>
      </c>
      <c r="B14">
        <v>3</v>
      </c>
      <c r="C14" t="s">
        <v>30</v>
      </c>
      <c r="D14" t="b">
        <v>1</v>
      </c>
      <c r="E14">
        <v>1</v>
      </c>
      <c r="F14" t="s">
        <v>26</v>
      </c>
      <c r="H14" s="1">
        <v>0.92</v>
      </c>
      <c r="I14" s="1">
        <v>0.97</v>
      </c>
      <c r="J14" s="1">
        <v>0.97</v>
      </c>
      <c r="K14" s="1">
        <v>0.94</v>
      </c>
      <c r="L14" s="1">
        <v>0.97</v>
      </c>
      <c r="M14" s="1">
        <v>0.95</v>
      </c>
      <c r="N14" s="1">
        <v>0.95</v>
      </c>
      <c r="O14" s="1">
        <v>0.93</v>
      </c>
      <c r="P14" s="1">
        <v>0.96</v>
      </c>
      <c r="Q14" s="1">
        <v>0.96</v>
      </c>
      <c r="R14" s="1">
        <v>0.93</v>
      </c>
      <c r="S14" s="1">
        <v>0.97</v>
      </c>
      <c r="T14" s="1">
        <f t="shared" si="0"/>
        <v>0.97</v>
      </c>
    </row>
    <row r="15" spans="1:20" ht="25" customHeight="1">
      <c r="A15" t="s">
        <v>33</v>
      </c>
      <c r="B15">
        <v>3</v>
      </c>
      <c r="C15" t="s">
        <v>30</v>
      </c>
      <c r="D15" t="b">
        <v>1</v>
      </c>
      <c r="E15">
        <v>2</v>
      </c>
      <c r="F15" t="s">
        <v>27</v>
      </c>
      <c r="H15" s="1">
        <v>0.91</v>
      </c>
      <c r="I15" s="1">
        <v>0.98</v>
      </c>
      <c r="J15" s="1">
        <v>0.98</v>
      </c>
      <c r="K15" s="1">
        <v>0.95</v>
      </c>
      <c r="L15" s="1">
        <v>0.96</v>
      </c>
      <c r="M15" s="1">
        <v>0.95</v>
      </c>
      <c r="N15" s="1">
        <v>0.96</v>
      </c>
      <c r="O15" s="1">
        <v>0.96</v>
      </c>
      <c r="P15" s="1">
        <v>0.96</v>
      </c>
      <c r="Q15" s="1">
        <v>0.96</v>
      </c>
      <c r="R15" s="1">
        <v>0.97</v>
      </c>
      <c r="S15" s="1">
        <v>0.97</v>
      </c>
      <c r="T15" s="1">
        <f t="shared" si="0"/>
        <v>0.98</v>
      </c>
    </row>
    <row r="16" spans="1:20" ht="25" customHeight="1">
      <c r="A16" t="s">
        <v>33</v>
      </c>
      <c r="B16">
        <v>3</v>
      </c>
      <c r="C16" t="s">
        <v>30</v>
      </c>
      <c r="D16" t="b">
        <v>1</v>
      </c>
      <c r="E16">
        <v>3</v>
      </c>
      <c r="F16" t="s">
        <v>28</v>
      </c>
      <c r="H16" s="1">
        <v>0.91</v>
      </c>
      <c r="I16" s="1">
        <v>0.98</v>
      </c>
      <c r="J16" s="1">
        <v>0.98</v>
      </c>
      <c r="K16" s="1">
        <v>0.95</v>
      </c>
      <c r="L16" s="1">
        <v>0.96</v>
      </c>
      <c r="M16" s="1">
        <v>0.95</v>
      </c>
      <c r="N16" s="1">
        <v>0.96</v>
      </c>
      <c r="O16" s="1">
        <v>0.96</v>
      </c>
      <c r="P16" s="1">
        <v>0.96</v>
      </c>
      <c r="Q16" s="1">
        <v>0.96</v>
      </c>
      <c r="R16" s="1">
        <v>0.97</v>
      </c>
      <c r="S16" s="1">
        <v>0.97</v>
      </c>
      <c r="T16" s="1">
        <f t="shared" si="0"/>
        <v>0.98</v>
      </c>
    </row>
    <row r="17" spans="1:20" ht="25" customHeight="1">
      <c r="A17" t="s">
        <v>33</v>
      </c>
      <c r="B17">
        <v>3</v>
      </c>
      <c r="C17" t="s">
        <v>30</v>
      </c>
      <c r="D17" t="b">
        <v>0</v>
      </c>
      <c r="E17">
        <v>1</v>
      </c>
      <c r="F17" t="s">
        <v>26</v>
      </c>
      <c r="H17" s="1">
        <v>0.9</v>
      </c>
      <c r="I17" s="1">
        <v>0.97</v>
      </c>
      <c r="J17" s="1">
        <v>0.98</v>
      </c>
      <c r="K17" s="1">
        <v>0.94</v>
      </c>
      <c r="L17" s="1">
        <v>0.95</v>
      </c>
      <c r="M17" s="1">
        <v>0.95</v>
      </c>
      <c r="N17" s="1">
        <v>0.91</v>
      </c>
      <c r="O17" s="1">
        <v>0.94</v>
      </c>
      <c r="P17" s="1">
        <v>0.93</v>
      </c>
      <c r="Q17" s="1">
        <v>0.96</v>
      </c>
      <c r="R17" s="1">
        <v>0.96</v>
      </c>
      <c r="S17" s="1">
        <v>0.97</v>
      </c>
      <c r="T17" s="1">
        <f t="shared" si="0"/>
        <v>0.98</v>
      </c>
    </row>
    <row r="18" spans="1:20" ht="25" customHeight="1">
      <c r="A18" t="s">
        <v>33</v>
      </c>
      <c r="B18">
        <v>3</v>
      </c>
      <c r="C18" t="s">
        <v>30</v>
      </c>
      <c r="D18" t="b">
        <v>0</v>
      </c>
      <c r="E18">
        <v>2</v>
      </c>
      <c r="F18" t="s">
        <v>27</v>
      </c>
      <c r="H18" s="1">
        <v>0.91</v>
      </c>
      <c r="I18" s="1">
        <v>0.98</v>
      </c>
      <c r="J18" s="1">
        <v>0.98</v>
      </c>
      <c r="K18" s="1">
        <v>0.95</v>
      </c>
      <c r="L18" s="1">
        <v>0.96</v>
      </c>
      <c r="M18" s="1">
        <v>0.95</v>
      </c>
      <c r="N18" s="1">
        <v>0.96</v>
      </c>
      <c r="O18" s="1">
        <v>0.96</v>
      </c>
      <c r="P18" s="1">
        <v>0.96</v>
      </c>
      <c r="Q18" s="1">
        <v>0.96</v>
      </c>
      <c r="R18" s="1">
        <v>0.97</v>
      </c>
      <c r="S18" s="1">
        <v>0.97</v>
      </c>
      <c r="T18" s="1">
        <f t="shared" si="0"/>
        <v>0.98</v>
      </c>
    </row>
    <row r="19" spans="1:20" ht="25" customHeight="1">
      <c r="A19" t="s">
        <v>33</v>
      </c>
      <c r="B19">
        <v>3</v>
      </c>
      <c r="C19" t="s">
        <v>30</v>
      </c>
      <c r="D19" t="b">
        <v>0</v>
      </c>
      <c r="E19">
        <v>3</v>
      </c>
      <c r="F19" t="s">
        <v>28</v>
      </c>
      <c r="H19" s="1">
        <v>0.91</v>
      </c>
      <c r="I19" s="1">
        <v>0.98</v>
      </c>
      <c r="J19" s="1">
        <v>0.98</v>
      </c>
      <c r="K19" s="1">
        <v>0.95</v>
      </c>
      <c r="L19" s="1">
        <v>0.96</v>
      </c>
      <c r="M19" s="1">
        <v>0.95</v>
      </c>
      <c r="N19" s="1">
        <v>0.96</v>
      </c>
      <c r="O19" s="1">
        <v>0.96</v>
      </c>
      <c r="P19" s="1">
        <v>0.96</v>
      </c>
      <c r="Q19" s="1">
        <v>0.96</v>
      </c>
      <c r="R19" s="1">
        <v>0.97</v>
      </c>
      <c r="S19" s="1">
        <v>0.97</v>
      </c>
      <c r="T19" s="1">
        <f t="shared" si="0"/>
        <v>0.98</v>
      </c>
    </row>
    <row r="22" spans="1:20" ht="25" customHeight="1">
      <c r="B22" t="s">
        <v>1</v>
      </c>
      <c r="C22" t="s">
        <v>2</v>
      </c>
      <c r="D22" t="s">
        <v>31</v>
      </c>
      <c r="E22" t="s">
        <v>4</v>
      </c>
      <c r="F22" t="s">
        <v>5</v>
      </c>
      <c r="G22" t="s">
        <v>36</v>
      </c>
      <c r="H22" t="s">
        <v>6</v>
      </c>
      <c r="I22" t="s">
        <v>7</v>
      </c>
      <c r="J22" t="s">
        <v>8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21</v>
      </c>
      <c r="R22" t="s">
        <v>22</v>
      </c>
      <c r="S22" t="s">
        <v>23</v>
      </c>
      <c r="T22" t="s">
        <v>24</v>
      </c>
    </row>
    <row r="23" spans="1:20" ht="25" customHeight="1">
      <c r="B23">
        <v>1</v>
      </c>
      <c r="C23" t="s">
        <v>25</v>
      </c>
      <c r="D23" t="b">
        <v>1</v>
      </c>
      <c r="E23">
        <v>1</v>
      </c>
      <c r="F23" t="s">
        <v>24</v>
      </c>
      <c r="H23" s="1" cm="1">
        <f t="array" ref="H23">_xlfn.LET(_xlpm.d,H$2:H$19,_xlpm.a,$C$2:$C$19=$C23,_xlpm.b,$D$2:$D$19=$D23,MAX(_xlfn._xlws.FILTER(_xlpm.d,_xlpm.a*_xlpm.b)))</f>
        <v>0.69</v>
      </c>
      <c r="I23" s="1" cm="1">
        <f t="array" ref="I23">_xlfn.LET(_xlpm.d,I$2:I$19,_xlpm.a,$C$2:$C$19=$C23,_xlpm.b,$D$2:$D$19=$D23,MAX(_xlfn._xlws.FILTER(_xlpm.d,_xlpm.a*_xlpm.b)))</f>
        <v>0.7</v>
      </c>
      <c r="J23" s="1" cm="1">
        <f t="array" ref="J23">_xlfn.LET(_xlpm.d,J$2:J$19,_xlpm.a,$C$2:$C$19=$C23,_xlpm.b,$D$2:$D$19=$D23,MAX(_xlfn._xlws.FILTER(_xlpm.d,_xlpm.a*_xlpm.b)))</f>
        <v>0.66</v>
      </c>
      <c r="K23" s="1" cm="1">
        <f t="array" ref="K23">_xlfn.LET(_xlpm.d,K$2:K$19,_xlpm.a,$C$2:$C$19=$C23,_xlpm.b,$D$2:$D$19=$D23,MAX(_xlfn._xlws.FILTER(_xlpm.d,_xlpm.a*_xlpm.b)))</f>
        <v>0.7</v>
      </c>
      <c r="L23" s="1" cm="1">
        <f t="array" ref="L23">_xlfn.LET(_xlpm.d,L$2:L$19,_xlpm.a,$C$2:$C$19=$C23,_xlpm.b,$D$2:$D$19=$D23,MAX(_xlfn._xlws.FILTER(_xlpm.d,_xlpm.a*_xlpm.b)))</f>
        <v>0.65</v>
      </c>
      <c r="M23" s="1" cm="1">
        <f t="array" ref="M23">_xlfn.LET(_xlpm.d,M$2:M$19,_xlpm.a,$C$2:$C$19=$C23,_xlpm.b,$D$2:$D$19=$D23,MAX(_xlfn._xlws.FILTER(_xlpm.d,_xlpm.a*_xlpm.b)))</f>
        <v>0.7</v>
      </c>
      <c r="N23" s="1" cm="1">
        <f t="array" ref="N23">_xlfn.LET(_xlpm.d,N$2:N$19,_xlpm.a,$C$2:$C$19=$C23,_xlpm.b,$D$2:$D$19=$D23,MAX(_xlfn._xlws.FILTER(_xlpm.d,_xlpm.a*_xlpm.b)))</f>
        <v>0.72</v>
      </c>
      <c r="O23" s="1" cm="1">
        <f t="array" ref="O23">_xlfn.LET(_xlpm.d,O$2:O$19,_xlpm.a,$C$2:$C$19=$C23,_xlpm.b,$D$2:$D$19=$D23,MAX(_xlfn._xlws.FILTER(_xlpm.d,_xlpm.a*_xlpm.b)))</f>
        <v>0.75</v>
      </c>
      <c r="P23" s="1" cm="1">
        <f t="array" ref="P23">_xlfn.LET(_xlpm.d,P$2:P$19,_xlpm.a,$C$2:$C$19=$C23,_xlpm.b,$D$2:$D$19=$D23,MAX(_xlfn._xlws.FILTER(_xlpm.d,_xlpm.a*_xlpm.b)))</f>
        <v>0.71</v>
      </c>
      <c r="Q23" s="1" cm="1">
        <f t="array" ref="Q23">_xlfn.LET(_xlpm.d,Q$2:Q$19,_xlpm.a,$C$2:$C$19=$C23,_xlpm.b,$D$2:$D$19=$D23,MAX(_xlfn._xlws.FILTER(_xlpm.d,_xlpm.a*_xlpm.b)))</f>
        <v>0.64</v>
      </c>
      <c r="R23" s="1" cm="1">
        <f t="array" ref="R23">_xlfn.LET(_xlpm.d,R$2:R$19,_xlpm.a,$C$2:$C$19=$C23,_xlpm.b,$D$2:$D$19=$D23,MAX(_xlfn._xlws.FILTER(_xlpm.d,_xlpm.a*_xlpm.b)))</f>
        <v>0.63</v>
      </c>
      <c r="S23" s="1" cm="1">
        <f t="array" ref="S23">_xlfn.LET(_xlpm.d,S$2:S$19,_xlpm.a,$C$2:$C$19=$C23,_xlpm.b,$D$2:$D$19=$D23,MAX(_xlfn._xlws.FILTER(_xlpm.d,_xlpm.a*_xlpm.b)))</f>
        <v>0.7</v>
      </c>
      <c r="T23" s="1" cm="1">
        <f t="array" ref="T23">_xlfn.LET(_xlpm.d,T$2:T$19,_xlpm.a,$C$2:$C$19=$C23,_xlpm.b,$D$2:$D$19=$D23,MAX(_xlfn._xlws.FILTER(_xlpm.d,_xlpm.a*_xlpm.b)))</f>
        <v>0.75</v>
      </c>
    </row>
    <row r="24" spans="1:20" ht="25" customHeight="1">
      <c r="B24">
        <v>1</v>
      </c>
      <c r="C24" t="s">
        <v>25</v>
      </c>
      <c r="D24" t="b">
        <v>0</v>
      </c>
      <c r="E24">
        <v>1</v>
      </c>
      <c r="F24" t="s">
        <v>24</v>
      </c>
      <c r="H24" s="1" cm="1">
        <f t="array" ref="H24">_xlfn.LET(_xlpm.d,H$2:H$19,_xlpm.a,$C$2:$C$19=$C24,_xlpm.b,$D$2:$D$19=$D24,MAX(_xlfn._xlws.FILTER(_xlpm.d,_xlpm.a*_xlpm.b)))</f>
        <v>0.63</v>
      </c>
      <c r="I24" s="1" cm="1">
        <f t="array" ref="I24">_xlfn.LET(_xlpm.d,I$2:I$19,_xlpm.a,$C$2:$C$19=$C24,_xlpm.b,$D$2:$D$19=$D24,MAX(_xlfn._xlws.FILTER(_xlpm.d,_xlpm.a*_xlpm.b)))</f>
        <v>0.66</v>
      </c>
      <c r="J24" s="1" cm="1">
        <f t="array" ref="J24">_xlfn.LET(_xlpm.d,J$2:J$19,_xlpm.a,$C$2:$C$19=$C24,_xlpm.b,$D$2:$D$19=$D24,MAX(_xlfn._xlws.FILTER(_xlpm.d,_xlpm.a*_xlpm.b)))</f>
        <v>0.66</v>
      </c>
      <c r="K24" s="1" cm="1">
        <f t="array" ref="K24">_xlfn.LET(_xlpm.d,K$2:K$19,_xlpm.a,$C$2:$C$19=$C24,_xlpm.b,$D$2:$D$19=$D24,MAX(_xlfn._xlws.FILTER(_xlpm.d,_xlpm.a*_xlpm.b)))</f>
        <v>0.63</v>
      </c>
      <c r="L24" s="1" cm="1">
        <f t="array" ref="L24">_xlfn.LET(_xlpm.d,L$2:L$19,_xlpm.a,$C$2:$C$19=$C24,_xlpm.b,$D$2:$D$19=$D24,MAX(_xlfn._xlws.FILTER(_xlpm.d,_xlpm.a*_xlpm.b)))</f>
        <v>0.65</v>
      </c>
      <c r="M24" s="1" cm="1">
        <f t="array" ref="M24">_xlfn.LET(_xlpm.d,M$2:M$19,_xlpm.a,$C$2:$C$19=$C24,_xlpm.b,$D$2:$D$19=$D24,MAX(_xlfn._xlws.FILTER(_xlpm.d,_xlpm.a*_xlpm.b)))</f>
        <v>0.66</v>
      </c>
      <c r="N24" s="1" cm="1">
        <f t="array" ref="N24">_xlfn.LET(_xlpm.d,N$2:N$19,_xlpm.a,$C$2:$C$19=$C24,_xlpm.b,$D$2:$D$19=$D24,MAX(_xlfn._xlws.FILTER(_xlpm.d,_xlpm.a*_xlpm.b)))</f>
        <v>0.67</v>
      </c>
      <c r="O24" s="1" cm="1">
        <f t="array" ref="O24">_xlfn.LET(_xlpm.d,O$2:O$19,_xlpm.a,$C$2:$C$19=$C24,_xlpm.b,$D$2:$D$19=$D24,MAX(_xlfn._xlws.FILTER(_xlpm.d,_xlpm.a*_xlpm.b)))</f>
        <v>0.72</v>
      </c>
      <c r="P24" s="1" cm="1">
        <f t="array" ref="P24">_xlfn.LET(_xlpm.d,P$2:P$19,_xlpm.a,$C$2:$C$19=$C24,_xlpm.b,$D$2:$D$19=$D24,MAX(_xlfn._xlws.FILTER(_xlpm.d,_xlpm.a*_xlpm.b)))</f>
        <v>0.71</v>
      </c>
      <c r="Q24" s="1" cm="1">
        <f t="array" ref="Q24">_xlfn.LET(_xlpm.d,Q$2:Q$19,_xlpm.a,$C$2:$C$19=$C24,_xlpm.b,$D$2:$D$19=$D24,MAX(_xlfn._xlws.FILTER(_xlpm.d,_xlpm.a*_xlpm.b)))</f>
        <v>0.65</v>
      </c>
      <c r="R24" s="1" cm="1">
        <f t="array" ref="R24">_xlfn.LET(_xlpm.d,R$2:R$19,_xlpm.a,$C$2:$C$19=$C24,_xlpm.b,$D$2:$D$19=$D24,MAX(_xlfn._xlws.FILTER(_xlpm.d,_xlpm.a*_xlpm.b)))</f>
        <v>0.63</v>
      </c>
      <c r="S24" s="1" cm="1">
        <f t="array" ref="S24">_xlfn.LET(_xlpm.d,S$2:S$19,_xlpm.a,$C$2:$C$19=$C24,_xlpm.b,$D$2:$D$19=$D24,MAX(_xlfn._xlws.FILTER(_xlpm.d,_xlpm.a*_xlpm.b)))</f>
        <v>0.68</v>
      </c>
      <c r="T24" s="1" cm="1">
        <f t="array" ref="T24">_xlfn.LET(_xlpm.d,T$2:T$19,_xlpm.a,$C$2:$C$19=$C24,_xlpm.b,$D$2:$D$19=$D24,MAX(_xlfn._xlws.FILTER(_xlpm.d,_xlpm.a*_xlpm.b)))</f>
        <v>0.72</v>
      </c>
    </row>
    <row r="25" spans="1:20" ht="25" customHeight="1">
      <c r="B25">
        <v>2</v>
      </c>
      <c r="C25" t="s">
        <v>29</v>
      </c>
      <c r="D25" t="b">
        <v>1</v>
      </c>
      <c r="E25">
        <v>1</v>
      </c>
      <c r="F25" t="s">
        <v>24</v>
      </c>
      <c r="H25" s="1" cm="1">
        <f t="array" ref="H25">_xlfn.LET(_xlpm.d,H$2:H$19,_xlpm.a,$C$2:$C$19=$C25,_xlpm.b,$D$2:$D$19=$D25,MAX(_xlfn._xlws.FILTER(_xlpm.d,_xlpm.a*_xlpm.b)))</f>
        <v>0.82</v>
      </c>
      <c r="I25" s="1" cm="1">
        <f t="array" ref="I25">_xlfn.LET(_xlpm.d,I$2:I$19,_xlpm.a,$C$2:$C$19=$C25,_xlpm.b,$D$2:$D$19=$D25,MAX(_xlfn._xlws.FILTER(_xlpm.d,_xlpm.a*_xlpm.b)))</f>
        <v>0.77</v>
      </c>
      <c r="J25" s="1" cm="1">
        <f t="array" ref="J25">_xlfn.LET(_xlpm.d,J$2:J$19,_xlpm.a,$C$2:$C$19=$C25,_xlpm.b,$D$2:$D$19=$D25,MAX(_xlfn._xlws.FILTER(_xlpm.d,_xlpm.a*_xlpm.b)))</f>
        <v>0.74</v>
      </c>
      <c r="K25" s="1" cm="1">
        <f t="array" ref="K25">_xlfn.LET(_xlpm.d,K$2:K$19,_xlpm.a,$C$2:$C$19=$C25,_xlpm.b,$D$2:$D$19=$D25,MAX(_xlfn._xlws.FILTER(_xlpm.d,_xlpm.a*_xlpm.b)))</f>
        <v>0.78</v>
      </c>
      <c r="L25" s="1" cm="1">
        <f t="array" ref="L25">_xlfn.LET(_xlpm.d,L$2:L$19,_xlpm.a,$C$2:$C$19=$C25,_xlpm.b,$D$2:$D$19=$D25,MAX(_xlfn._xlws.FILTER(_xlpm.d,_xlpm.a*_xlpm.b)))</f>
        <v>0.68</v>
      </c>
      <c r="M25" s="1" cm="1">
        <f t="array" ref="M25">_xlfn.LET(_xlpm.d,M$2:M$19,_xlpm.a,$C$2:$C$19=$C25,_xlpm.b,$D$2:$D$19=$D25,MAX(_xlfn._xlws.FILTER(_xlpm.d,_xlpm.a*_xlpm.b)))</f>
        <v>0.7</v>
      </c>
      <c r="N25" s="1" cm="1">
        <f t="array" ref="N25">_xlfn.LET(_xlpm.d,N$2:N$19,_xlpm.a,$C$2:$C$19=$C25,_xlpm.b,$D$2:$D$19=$D25,MAX(_xlfn._xlws.FILTER(_xlpm.d,_xlpm.a*_xlpm.b)))</f>
        <v>0.79</v>
      </c>
      <c r="O25" s="1" cm="1">
        <f t="array" ref="O25">_xlfn.LET(_xlpm.d,O$2:O$19,_xlpm.a,$C$2:$C$19=$C25,_xlpm.b,$D$2:$D$19=$D25,MAX(_xlfn._xlws.FILTER(_xlpm.d,_xlpm.a*_xlpm.b)))</f>
        <v>0.75</v>
      </c>
      <c r="P25" s="1" cm="1">
        <f t="array" ref="P25">_xlfn.LET(_xlpm.d,P$2:P$19,_xlpm.a,$C$2:$C$19=$C25,_xlpm.b,$D$2:$D$19=$D25,MAX(_xlfn._xlws.FILTER(_xlpm.d,_xlpm.a*_xlpm.b)))</f>
        <v>0.77</v>
      </c>
      <c r="Q25" s="1" cm="1">
        <f t="array" ref="Q25">_xlfn.LET(_xlpm.d,Q$2:Q$19,_xlpm.a,$C$2:$C$19=$C25,_xlpm.b,$D$2:$D$19=$D25,MAX(_xlfn._xlws.FILTER(_xlpm.d,_xlpm.a*_xlpm.b)))</f>
        <v>0.75</v>
      </c>
      <c r="R25" s="1" cm="1">
        <f t="array" ref="R25">_xlfn.LET(_xlpm.d,R$2:R$19,_xlpm.a,$C$2:$C$19=$C25,_xlpm.b,$D$2:$D$19=$D25,MAX(_xlfn._xlws.FILTER(_xlpm.d,_xlpm.a*_xlpm.b)))</f>
        <v>0.68</v>
      </c>
      <c r="S25" s="1" cm="1">
        <f t="array" ref="S25">_xlfn.LET(_xlpm.d,S$2:S$19,_xlpm.a,$C$2:$C$19=$C25,_xlpm.b,$D$2:$D$19=$D25,MAX(_xlfn._xlws.FILTER(_xlpm.d,_xlpm.a*_xlpm.b)))</f>
        <v>0.7</v>
      </c>
      <c r="T25" s="1" cm="1">
        <f t="array" ref="T25">_xlfn.LET(_xlpm.d,T$2:T$19,_xlpm.a,$C$2:$C$19=$C25,_xlpm.b,$D$2:$D$19=$D25,MAX(_xlfn._xlws.FILTER(_xlpm.d,_xlpm.a*_xlpm.b)))</f>
        <v>0.82</v>
      </c>
    </row>
    <row r="26" spans="1:20" ht="25" customHeight="1">
      <c r="B26">
        <v>2</v>
      </c>
      <c r="C26" t="s">
        <v>29</v>
      </c>
      <c r="D26" t="b">
        <v>0</v>
      </c>
      <c r="E26">
        <v>1</v>
      </c>
      <c r="F26" t="s">
        <v>24</v>
      </c>
      <c r="H26" s="1" cm="1">
        <f t="array" ref="H26">_xlfn.LET(_xlpm.d,H$2:H$19,_xlpm.a,$C$2:$C$19=$C26,_xlpm.b,$D$2:$D$19=$D26,MAX(_xlfn._xlws.FILTER(_xlpm.d,_xlpm.a*_xlpm.b)))</f>
        <v>0.72</v>
      </c>
      <c r="I26" s="1" cm="1">
        <f t="array" ref="I26">_xlfn.LET(_xlpm.d,I$2:I$19,_xlpm.a,$C$2:$C$19=$C26,_xlpm.b,$D$2:$D$19=$D26,MAX(_xlfn._xlws.FILTER(_xlpm.d,_xlpm.a*_xlpm.b)))</f>
        <v>0.71</v>
      </c>
      <c r="J26" s="1" cm="1">
        <f t="array" ref="J26">_xlfn.LET(_xlpm.d,J$2:J$19,_xlpm.a,$C$2:$C$19=$C26,_xlpm.b,$D$2:$D$19=$D26,MAX(_xlfn._xlws.FILTER(_xlpm.d,_xlpm.a*_xlpm.b)))</f>
        <v>0.73</v>
      </c>
      <c r="K26" s="1" cm="1">
        <f t="array" ref="K26">_xlfn.LET(_xlpm.d,K$2:K$19,_xlpm.a,$C$2:$C$19=$C26,_xlpm.b,$D$2:$D$19=$D26,MAX(_xlfn._xlws.FILTER(_xlpm.d,_xlpm.a*_xlpm.b)))</f>
        <v>0.72</v>
      </c>
      <c r="L26" s="1" cm="1">
        <f t="array" ref="L26">_xlfn.LET(_xlpm.d,L$2:L$19,_xlpm.a,$C$2:$C$19=$C26,_xlpm.b,$D$2:$D$19=$D26,MAX(_xlfn._xlws.FILTER(_xlpm.d,_xlpm.a*_xlpm.b)))</f>
        <v>0.75</v>
      </c>
      <c r="M26" s="1" cm="1">
        <f t="array" ref="M26">_xlfn.LET(_xlpm.d,M$2:M$19,_xlpm.a,$C$2:$C$19=$C26,_xlpm.b,$D$2:$D$19=$D26,MAX(_xlfn._xlws.FILTER(_xlpm.d,_xlpm.a*_xlpm.b)))</f>
        <v>0.71</v>
      </c>
      <c r="N26" s="1" cm="1">
        <f t="array" ref="N26">_xlfn.LET(_xlpm.d,N$2:N$19,_xlpm.a,$C$2:$C$19=$C26,_xlpm.b,$D$2:$D$19=$D26,MAX(_xlfn._xlws.FILTER(_xlpm.d,_xlpm.a*_xlpm.b)))</f>
        <v>0.72</v>
      </c>
      <c r="O26" s="1" cm="1">
        <f t="array" ref="O26">_xlfn.LET(_xlpm.d,O$2:O$19,_xlpm.a,$C$2:$C$19=$C26,_xlpm.b,$D$2:$D$19=$D26,MAX(_xlfn._xlws.FILTER(_xlpm.d,_xlpm.a*_xlpm.b)))</f>
        <v>0.7</v>
      </c>
      <c r="P26" s="1" cm="1">
        <f t="array" ref="P26">_xlfn.LET(_xlpm.d,P$2:P$19,_xlpm.a,$C$2:$C$19=$C26,_xlpm.b,$D$2:$D$19=$D26,MAX(_xlfn._xlws.FILTER(_xlpm.d,_xlpm.a*_xlpm.b)))</f>
        <v>0.73</v>
      </c>
      <c r="Q26" s="1" cm="1">
        <f t="array" ref="Q26">_xlfn.LET(_xlpm.d,Q$2:Q$19,_xlpm.a,$C$2:$C$19=$C26,_xlpm.b,$D$2:$D$19=$D26,MAX(_xlfn._xlws.FILTER(_xlpm.d,_xlpm.a*_xlpm.b)))</f>
        <v>0.74</v>
      </c>
      <c r="R26" s="1" cm="1">
        <f t="array" ref="R26">_xlfn.LET(_xlpm.d,R$2:R$19,_xlpm.a,$C$2:$C$19=$C26,_xlpm.b,$D$2:$D$19=$D26,MAX(_xlfn._xlws.FILTER(_xlpm.d,_xlpm.a*_xlpm.b)))</f>
        <v>0.64</v>
      </c>
      <c r="S26" s="1" cm="1">
        <f t="array" ref="S26">_xlfn.LET(_xlpm.d,S$2:S$19,_xlpm.a,$C$2:$C$19=$C26,_xlpm.b,$D$2:$D$19=$D26,MAX(_xlfn._xlws.FILTER(_xlpm.d,_xlpm.a*_xlpm.b)))</f>
        <v>0.71</v>
      </c>
      <c r="T26" s="1" cm="1">
        <f t="array" ref="T26">_xlfn.LET(_xlpm.d,T$2:T$19,_xlpm.a,$C$2:$C$19=$C26,_xlpm.b,$D$2:$D$19=$D26,MAX(_xlfn._xlws.FILTER(_xlpm.d,_xlpm.a*_xlpm.b)))</f>
        <v>0.75</v>
      </c>
    </row>
    <row r="27" spans="1:20" ht="25" customHeight="1">
      <c r="B27">
        <v>3</v>
      </c>
      <c r="C27" t="s">
        <v>30</v>
      </c>
      <c r="D27" t="b">
        <v>1</v>
      </c>
      <c r="E27">
        <v>1</v>
      </c>
      <c r="F27" t="s">
        <v>24</v>
      </c>
      <c r="H27" s="1" cm="1">
        <f t="array" ref="H27">_xlfn.LET(_xlpm.d,H$2:H$19,_xlpm.a,$C$2:$C$19=$C27,_xlpm.b,$D$2:$D$19=$D27,MAX(_xlfn._xlws.FILTER(_xlpm.d,_xlpm.a*_xlpm.b)))</f>
        <v>0.92</v>
      </c>
      <c r="I27" s="1" cm="1">
        <f t="array" ref="I27">_xlfn.LET(_xlpm.d,I$2:I$19,_xlpm.a,$C$2:$C$19=$C27,_xlpm.b,$D$2:$D$19=$D27,MAX(_xlfn._xlws.FILTER(_xlpm.d,_xlpm.a*_xlpm.b)))</f>
        <v>0.98</v>
      </c>
      <c r="J27" s="1" cm="1">
        <f t="array" ref="J27">_xlfn.LET(_xlpm.d,J$2:J$19,_xlpm.a,$C$2:$C$19=$C27,_xlpm.b,$D$2:$D$19=$D27,MAX(_xlfn._xlws.FILTER(_xlpm.d,_xlpm.a*_xlpm.b)))</f>
        <v>0.98</v>
      </c>
      <c r="K27" s="1" cm="1">
        <f t="array" ref="K27">_xlfn.LET(_xlpm.d,K$2:K$19,_xlpm.a,$C$2:$C$19=$C27,_xlpm.b,$D$2:$D$19=$D27,MAX(_xlfn._xlws.FILTER(_xlpm.d,_xlpm.a*_xlpm.b)))</f>
        <v>0.95</v>
      </c>
      <c r="L27" s="1" cm="1">
        <f t="array" ref="L27">_xlfn.LET(_xlpm.d,L$2:L$19,_xlpm.a,$C$2:$C$19=$C27,_xlpm.b,$D$2:$D$19=$D27,MAX(_xlfn._xlws.FILTER(_xlpm.d,_xlpm.a*_xlpm.b)))</f>
        <v>0.97</v>
      </c>
      <c r="M27" s="1" cm="1">
        <f t="array" ref="M27">_xlfn.LET(_xlpm.d,M$2:M$19,_xlpm.a,$C$2:$C$19=$C27,_xlpm.b,$D$2:$D$19=$D27,MAX(_xlfn._xlws.FILTER(_xlpm.d,_xlpm.a*_xlpm.b)))</f>
        <v>0.95</v>
      </c>
      <c r="N27" s="1" cm="1">
        <f t="array" ref="N27">_xlfn.LET(_xlpm.d,N$2:N$19,_xlpm.a,$C$2:$C$19=$C27,_xlpm.b,$D$2:$D$19=$D27,MAX(_xlfn._xlws.FILTER(_xlpm.d,_xlpm.a*_xlpm.b)))</f>
        <v>0.96</v>
      </c>
      <c r="O27" s="1" cm="1">
        <f t="array" ref="O27">_xlfn.LET(_xlpm.d,O$2:O$19,_xlpm.a,$C$2:$C$19=$C27,_xlpm.b,$D$2:$D$19=$D27,MAX(_xlfn._xlws.FILTER(_xlpm.d,_xlpm.a*_xlpm.b)))</f>
        <v>0.96</v>
      </c>
      <c r="P27" s="1" cm="1">
        <f t="array" ref="P27">_xlfn.LET(_xlpm.d,P$2:P$19,_xlpm.a,$C$2:$C$19=$C27,_xlpm.b,$D$2:$D$19=$D27,MAX(_xlfn._xlws.FILTER(_xlpm.d,_xlpm.a*_xlpm.b)))</f>
        <v>0.96</v>
      </c>
      <c r="Q27" s="1" cm="1">
        <f t="array" ref="Q27">_xlfn.LET(_xlpm.d,Q$2:Q$19,_xlpm.a,$C$2:$C$19=$C27,_xlpm.b,$D$2:$D$19=$D27,MAX(_xlfn._xlws.FILTER(_xlpm.d,_xlpm.a*_xlpm.b)))</f>
        <v>0.96</v>
      </c>
      <c r="R27" s="1" cm="1">
        <f t="array" ref="R27">_xlfn.LET(_xlpm.d,R$2:R$19,_xlpm.a,$C$2:$C$19=$C27,_xlpm.b,$D$2:$D$19=$D27,MAX(_xlfn._xlws.FILTER(_xlpm.d,_xlpm.a*_xlpm.b)))</f>
        <v>0.97</v>
      </c>
      <c r="S27" s="1" cm="1">
        <f t="array" ref="S27">_xlfn.LET(_xlpm.d,S$2:S$19,_xlpm.a,$C$2:$C$19=$C27,_xlpm.b,$D$2:$D$19=$D27,MAX(_xlfn._xlws.FILTER(_xlpm.d,_xlpm.a*_xlpm.b)))</f>
        <v>0.97</v>
      </c>
      <c r="T27" s="1" cm="1">
        <f t="array" ref="T27">_xlfn.LET(_xlpm.d,T$2:T$19,_xlpm.a,$C$2:$C$19=$C27,_xlpm.b,$D$2:$D$19=$D27,MAX(_xlfn._xlws.FILTER(_xlpm.d,_xlpm.a*_xlpm.b)))</f>
        <v>0.98</v>
      </c>
    </row>
    <row r="28" spans="1:20" ht="25" customHeight="1">
      <c r="B28">
        <v>3</v>
      </c>
      <c r="C28" t="s">
        <v>30</v>
      </c>
      <c r="D28" t="b">
        <v>0</v>
      </c>
      <c r="E28">
        <v>1</v>
      </c>
      <c r="F28" t="s">
        <v>24</v>
      </c>
      <c r="H28" s="1" cm="1">
        <f t="array" ref="H28">_xlfn.LET(_xlpm.d,H$2:H$19,_xlpm.a,$C$2:$C$19=$C28,_xlpm.b,$D$2:$D$19=$D28,MAX(_xlfn._xlws.FILTER(_xlpm.d,_xlpm.a*_xlpm.b)))</f>
        <v>0.91</v>
      </c>
      <c r="I28" s="1" cm="1">
        <f t="array" ref="I28">_xlfn.LET(_xlpm.d,I$2:I$19,_xlpm.a,$C$2:$C$19=$C28,_xlpm.b,$D$2:$D$19=$D28,MAX(_xlfn._xlws.FILTER(_xlpm.d,_xlpm.a*_xlpm.b)))</f>
        <v>0.98</v>
      </c>
      <c r="J28" s="1" cm="1">
        <f t="array" ref="J28">_xlfn.LET(_xlpm.d,J$2:J$19,_xlpm.a,$C$2:$C$19=$C28,_xlpm.b,$D$2:$D$19=$D28,MAX(_xlfn._xlws.FILTER(_xlpm.d,_xlpm.a*_xlpm.b)))</f>
        <v>0.98</v>
      </c>
      <c r="K28" s="1" cm="1">
        <f t="array" ref="K28">_xlfn.LET(_xlpm.d,K$2:K$19,_xlpm.a,$C$2:$C$19=$C28,_xlpm.b,$D$2:$D$19=$D28,MAX(_xlfn._xlws.FILTER(_xlpm.d,_xlpm.a*_xlpm.b)))</f>
        <v>0.95</v>
      </c>
      <c r="L28" s="1" cm="1">
        <f t="array" ref="L28">_xlfn.LET(_xlpm.d,L$2:L$19,_xlpm.a,$C$2:$C$19=$C28,_xlpm.b,$D$2:$D$19=$D28,MAX(_xlfn._xlws.FILTER(_xlpm.d,_xlpm.a*_xlpm.b)))</f>
        <v>0.96</v>
      </c>
      <c r="M28" s="1" cm="1">
        <f t="array" ref="M28">_xlfn.LET(_xlpm.d,M$2:M$19,_xlpm.a,$C$2:$C$19=$C28,_xlpm.b,$D$2:$D$19=$D28,MAX(_xlfn._xlws.FILTER(_xlpm.d,_xlpm.a*_xlpm.b)))</f>
        <v>0.95</v>
      </c>
      <c r="N28" s="1" cm="1">
        <f t="array" ref="N28">_xlfn.LET(_xlpm.d,N$2:N$19,_xlpm.a,$C$2:$C$19=$C28,_xlpm.b,$D$2:$D$19=$D28,MAX(_xlfn._xlws.FILTER(_xlpm.d,_xlpm.a*_xlpm.b)))</f>
        <v>0.96</v>
      </c>
      <c r="O28" s="1" cm="1">
        <f t="array" ref="O28">_xlfn.LET(_xlpm.d,O$2:O$19,_xlpm.a,$C$2:$C$19=$C28,_xlpm.b,$D$2:$D$19=$D28,MAX(_xlfn._xlws.FILTER(_xlpm.d,_xlpm.a*_xlpm.b)))</f>
        <v>0.96</v>
      </c>
      <c r="P28" s="1" cm="1">
        <f t="array" ref="P28">_xlfn.LET(_xlpm.d,P$2:P$19,_xlpm.a,$C$2:$C$19=$C28,_xlpm.b,$D$2:$D$19=$D28,MAX(_xlfn._xlws.FILTER(_xlpm.d,_xlpm.a*_xlpm.b)))</f>
        <v>0.96</v>
      </c>
      <c r="Q28" s="1" cm="1">
        <f t="array" ref="Q28">_xlfn.LET(_xlpm.d,Q$2:Q$19,_xlpm.a,$C$2:$C$19=$C28,_xlpm.b,$D$2:$D$19=$D28,MAX(_xlfn._xlws.FILTER(_xlpm.d,_xlpm.a*_xlpm.b)))</f>
        <v>0.96</v>
      </c>
      <c r="R28" s="1" cm="1">
        <f t="array" ref="R28">_xlfn.LET(_xlpm.d,R$2:R$19,_xlpm.a,$C$2:$C$19=$C28,_xlpm.b,$D$2:$D$19=$D28,MAX(_xlfn._xlws.FILTER(_xlpm.d,_xlpm.a*_xlpm.b)))</f>
        <v>0.97</v>
      </c>
      <c r="S28" s="1" cm="1">
        <f t="array" ref="S28">_xlfn.LET(_xlpm.d,S$2:S$19,_xlpm.a,$C$2:$C$19=$C28,_xlpm.b,$D$2:$D$19=$D28,MAX(_xlfn._xlws.FILTER(_xlpm.d,_xlpm.a*_xlpm.b)))</f>
        <v>0.97</v>
      </c>
      <c r="T28" s="1" cm="1">
        <f t="array" ref="T28">_xlfn.LET(_xlpm.d,T$2:T$19,_xlpm.a,$C$2:$C$19=$C28,_xlpm.b,$D$2:$D$19=$D28,MAX(_xlfn._xlws.FILTER(_xlpm.d,_xlpm.a*_xlpm.b)))</f>
        <v>0.98</v>
      </c>
    </row>
  </sheetData>
  <conditionalFormatting sqref="H2:T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D41D-DB8B-324A-8295-A917B69BC11A}">
  <dimension ref="A1:T28"/>
  <sheetViews>
    <sheetView workbookViewId="0">
      <pane xSplit="17580" ySplit="3520" topLeftCell="R14" activePane="bottomLeft"/>
      <selection activeCell="G1" sqref="G1"/>
      <selection pane="topRight" activeCell="S3" sqref="S3"/>
      <selection pane="bottomLeft" activeCell="H23" sqref="H23:T28"/>
      <selection pane="bottomRight" activeCell="U28" sqref="U28"/>
    </sheetView>
  </sheetViews>
  <sheetFormatPr baseColWidth="10" defaultRowHeight="25" customHeight="1"/>
  <cols>
    <col min="2" max="2" width="9.125" customWidth="1"/>
    <col min="4" max="4" width="9.75" customWidth="1"/>
    <col min="5" max="5" width="8.375" customWidth="1"/>
    <col min="7" max="19" width="8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</v>
      </c>
      <c r="H1" t="s">
        <v>6</v>
      </c>
      <c r="I1" t="s">
        <v>7</v>
      </c>
      <c r="J1" t="s">
        <v>8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21</v>
      </c>
      <c r="R1" t="s">
        <v>22</v>
      </c>
      <c r="S1" t="s">
        <v>23</v>
      </c>
      <c r="T1" t="s">
        <v>24</v>
      </c>
    </row>
    <row r="2" spans="1:20" ht="25" customHeight="1">
      <c r="A2" t="s">
        <v>33</v>
      </c>
      <c r="B2">
        <v>1</v>
      </c>
      <c r="C2" t="s">
        <v>25</v>
      </c>
      <c r="D2" t="b">
        <v>1</v>
      </c>
      <c r="E2">
        <v>1</v>
      </c>
      <c r="F2" t="s">
        <v>26</v>
      </c>
      <c r="H2" s="1">
        <v>0.6</v>
      </c>
      <c r="I2" s="1">
        <v>0.65</v>
      </c>
      <c r="J2" s="1">
        <v>0.63</v>
      </c>
      <c r="K2" s="1">
        <v>0.63</v>
      </c>
      <c r="L2" s="1">
        <v>0.71</v>
      </c>
      <c r="M2" s="1">
        <v>0.61</v>
      </c>
      <c r="N2" s="1">
        <v>0.64</v>
      </c>
      <c r="O2" s="1">
        <v>0.65</v>
      </c>
      <c r="P2" s="1">
        <v>0.66</v>
      </c>
      <c r="Q2" s="1">
        <v>0.59</v>
      </c>
      <c r="R2" s="1">
        <v>0.62</v>
      </c>
      <c r="S2" s="1">
        <v>0.57999999999999996</v>
      </c>
      <c r="T2" s="1">
        <f t="shared" ref="T2:T19" si="0">MAX($H2:$S2)</f>
        <v>0.71</v>
      </c>
    </row>
    <row r="3" spans="1:20" ht="25" customHeight="1">
      <c r="A3" t="s">
        <v>33</v>
      </c>
      <c r="B3">
        <v>1</v>
      </c>
      <c r="C3" t="s">
        <v>25</v>
      </c>
      <c r="D3" t="b">
        <v>1</v>
      </c>
      <c r="E3">
        <v>2</v>
      </c>
      <c r="F3" t="s">
        <v>27</v>
      </c>
      <c r="H3" s="1">
        <v>0.72</v>
      </c>
      <c r="I3" s="1">
        <v>0.67</v>
      </c>
      <c r="J3" s="1">
        <v>0.76</v>
      </c>
      <c r="K3" s="1">
        <v>0.67</v>
      </c>
      <c r="L3" s="1">
        <v>0.73</v>
      </c>
      <c r="M3" s="1">
        <v>0.62</v>
      </c>
      <c r="N3" s="1">
        <v>0.63</v>
      </c>
      <c r="O3" s="1">
        <v>0.68</v>
      </c>
      <c r="P3" s="1">
        <v>0.68</v>
      </c>
      <c r="Q3" s="1">
        <v>0.59</v>
      </c>
      <c r="R3" s="1">
        <v>0.62</v>
      </c>
      <c r="S3" s="1">
        <v>0.64</v>
      </c>
      <c r="T3" s="1">
        <f t="shared" si="0"/>
        <v>0.76</v>
      </c>
    </row>
    <row r="4" spans="1:20" ht="25" customHeight="1">
      <c r="A4" t="s">
        <v>33</v>
      </c>
      <c r="B4">
        <v>1</v>
      </c>
      <c r="C4" t="s">
        <v>25</v>
      </c>
      <c r="D4" t="b">
        <v>1</v>
      </c>
      <c r="E4">
        <v>3</v>
      </c>
      <c r="F4" t="s">
        <v>28</v>
      </c>
      <c r="H4" s="1">
        <v>0.59</v>
      </c>
      <c r="I4" s="1">
        <v>0.64</v>
      </c>
      <c r="J4" s="1">
        <v>0.66</v>
      </c>
      <c r="K4" s="1">
        <v>0.6</v>
      </c>
      <c r="L4" s="1">
        <v>0.68</v>
      </c>
      <c r="M4" s="1">
        <v>0.54</v>
      </c>
      <c r="N4" s="1">
        <v>0.71</v>
      </c>
      <c r="O4" s="1">
        <v>0.61</v>
      </c>
      <c r="P4" s="1">
        <v>0.63</v>
      </c>
      <c r="Q4" s="1">
        <v>0.65</v>
      </c>
      <c r="R4" s="1">
        <v>0.64</v>
      </c>
      <c r="S4" s="1">
        <v>0.66</v>
      </c>
      <c r="T4" s="1">
        <f t="shared" si="0"/>
        <v>0.71</v>
      </c>
    </row>
    <row r="5" spans="1:20" ht="25" customHeight="1">
      <c r="A5" t="s">
        <v>33</v>
      </c>
      <c r="B5">
        <v>1</v>
      </c>
      <c r="C5" t="s">
        <v>25</v>
      </c>
      <c r="D5" t="b">
        <v>0</v>
      </c>
      <c r="E5">
        <v>1</v>
      </c>
      <c r="F5" t="s">
        <v>26</v>
      </c>
      <c r="H5" s="1">
        <v>0.66</v>
      </c>
      <c r="I5" s="1">
        <v>0.67</v>
      </c>
      <c r="J5" s="1">
        <v>0.66</v>
      </c>
      <c r="K5" s="1">
        <v>0.63</v>
      </c>
      <c r="L5" s="1">
        <v>0.69</v>
      </c>
      <c r="M5" s="1">
        <v>0.6</v>
      </c>
      <c r="N5" s="1">
        <v>0.59</v>
      </c>
      <c r="O5" s="1">
        <v>0.69</v>
      </c>
      <c r="P5" s="1">
        <v>0.68</v>
      </c>
      <c r="Q5" s="1">
        <v>0.57999999999999996</v>
      </c>
      <c r="R5" s="1">
        <v>0.61</v>
      </c>
      <c r="S5" s="1">
        <v>0.59</v>
      </c>
      <c r="T5" s="1">
        <f t="shared" si="0"/>
        <v>0.69</v>
      </c>
    </row>
    <row r="6" spans="1:20" ht="25" customHeight="1">
      <c r="A6" t="s">
        <v>33</v>
      </c>
      <c r="B6">
        <v>1</v>
      </c>
      <c r="C6" t="s">
        <v>25</v>
      </c>
      <c r="D6" t="b">
        <v>0</v>
      </c>
      <c r="E6">
        <v>2</v>
      </c>
      <c r="F6" t="s">
        <v>27</v>
      </c>
      <c r="H6" s="1">
        <v>0.66</v>
      </c>
      <c r="I6" s="1">
        <v>0.66</v>
      </c>
      <c r="J6" s="1">
        <v>0.72</v>
      </c>
      <c r="K6" s="1">
        <v>0.63</v>
      </c>
      <c r="L6" s="1">
        <v>0.73</v>
      </c>
      <c r="M6" s="1">
        <v>0.61</v>
      </c>
      <c r="N6" s="1">
        <v>0.59</v>
      </c>
      <c r="O6" s="1">
        <v>0.7</v>
      </c>
      <c r="P6" s="1">
        <v>0.68</v>
      </c>
      <c r="Q6" s="1">
        <v>0.63</v>
      </c>
      <c r="R6" s="1">
        <v>0.61</v>
      </c>
      <c r="S6" s="1">
        <v>0.62</v>
      </c>
      <c r="T6" s="1">
        <f t="shared" si="0"/>
        <v>0.73</v>
      </c>
    </row>
    <row r="7" spans="1:20" ht="25" customHeight="1">
      <c r="A7" t="s">
        <v>33</v>
      </c>
      <c r="B7">
        <v>1</v>
      </c>
      <c r="C7" t="s">
        <v>25</v>
      </c>
      <c r="D7" t="b">
        <v>0</v>
      </c>
      <c r="E7">
        <v>3</v>
      </c>
      <c r="F7" t="s">
        <v>28</v>
      </c>
      <c r="H7" s="1">
        <v>0.57999999999999996</v>
      </c>
      <c r="I7" s="1">
        <v>0.59</v>
      </c>
      <c r="J7" s="1">
        <v>0.61</v>
      </c>
      <c r="K7" s="1">
        <v>0.63</v>
      </c>
      <c r="L7" s="1">
        <v>0.71</v>
      </c>
      <c r="M7" s="1">
        <v>0.52</v>
      </c>
      <c r="N7" s="1">
        <v>0.55000000000000004</v>
      </c>
      <c r="O7" s="1">
        <v>0.66</v>
      </c>
      <c r="P7" s="1">
        <v>0.57999999999999996</v>
      </c>
      <c r="Q7" s="1">
        <v>0.61</v>
      </c>
      <c r="R7" s="1">
        <v>0.62</v>
      </c>
      <c r="S7" s="1">
        <v>0.61</v>
      </c>
      <c r="T7" s="1">
        <f t="shared" si="0"/>
        <v>0.71</v>
      </c>
    </row>
    <row r="8" spans="1:20" ht="25" customHeight="1">
      <c r="A8" t="s">
        <v>33</v>
      </c>
      <c r="B8">
        <v>2</v>
      </c>
      <c r="C8" t="s">
        <v>29</v>
      </c>
      <c r="D8" t="b">
        <v>1</v>
      </c>
      <c r="E8">
        <v>1</v>
      </c>
      <c r="F8" t="s">
        <v>26</v>
      </c>
      <c r="H8" s="1">
        <v>0.77</v>
      </c>
      <c r="I8" s="1">
        <v>0.72</v>
      </c>
      <c r="J8" s="1">
        <v>0.64</v>
      </c>
      <c r="K8" s="1">
        <v>0.71</v>
      </c>
      <c r="L8" s="1">
        <v>0.77</v>
      </c>
      <c r="M8" s="1">
        <v>0.71</v>
      </c>
      <c r="N8" s="1">
        <v>0.75</v>
      </c>
      <c r="O8" s="1">
        <v>0.76</v>
      </c>
      <c r="P8" s="1">
        <v>0.77</v>
      </c>
      <c r="Q8" s="1">
        <v>0.68</v>
      </c>
      <c r="R8" s="1">
        <v>0.68</v>
      </c>
      <c r="S8" s="1">
        <v>0.77</v>
      </c>
      <c r="T8" s="1">
        <f t="shared" si="0"/>
        <v>0.77</v>
      </c>
    </row>
    <row r="9" spans="1:20" ht="25" customHeight="1">
      <c r="A9" t="s">
        <v>33</v>
      </c>
      <c r="B9">
        <v>2</v>
      </c>
      <c r="C9" t="s">
        <v>29</v>
      </c>
      <c r="D9" t="b">
        <v>1</v>
      </c>
      <c r="E9">
        <v>2</v>
      </c>
      <c r="F9" t="s">
        <v>27</v>
      </c>
      <c r="H9" s="1">
        <v>0.76</v>
      </c>
      <c r="I9" s="1">
        <v>0.75</v>
      </c>
      <c r="J9" s="1">
        <v>0.75</v>
      </c>
      <c r="K9" s="1">
        <v>0.81</v>
      </c>
      <c r="L9" s="1">
        <v>0.82</v>
      </c>
      <c r="M9" s="1">
        <v>0.72</v>
      </c>
      <c r="N9" s="1">
        <v>0.71</v>
      </c>
      <c r="O9" s="1">
        <v>0.77</v>
      </c>
      <c r="P9" s="1">
        <v>0.81</v>
      </c>
      <c r="Q9" s="1">
        <v>0.73</v>
      </c>
      <c r="R9" s="1">
        <v>0.72</v>
      </c>
      <c r="S9" s="1">
        <v>0.75</v>
      </c>
      <c r="T9" s="1">
        <f t="shared" si="0"/>
        <v>0.82</v>
      </c>
    </row>
    <row r="10" spans="1:20" ht="25" customHeight="1">
      <c r="A10" t="s">
        <v>33</v>
      </c>
      <c r="B10">
        <v>2</v>
      </c>
      <c r="C10" t="s">
        <v>29</v>
      </c>
      <c r="D10" t="b">
        <v>1</v>
      </c>
      <c r="E10">
        <v>3</v>
      </c>
      <c r="F10" t="s">
        <v>28</v>
      </c>
      <c r="H10" s="1">
        <v>0.74</v>
      </c>
      <c r="I10" s="1">
        <v>0.73</v>
      </c>
      <c r="J10" s="1">
        <v>0.75</v>
      </c>
      <c r="K10" s="1">
        <v>0.74</v>
      </c>
      <c r="L10" s="1">
        <v>0.78</v>
      </c>
      <c r="M10" s="1">
        <v>0.72</v>
      </c>
      <c r="N10" s="1">
        <v>0.66</v>
      </c>
      <c r="O10" s="1">
        <v>0.75</v>
      </c>
      <c r="P10" s="1">
        <v>0.71</v>
      </c>
      <c r="Q10" s="1">
        <v>0.67</v>
      </c>
      <c r="R10" s="1">
        <v>0.74</v>
      </c>
      <c r="S10" s="1">
        <v>0.74</v>
      </c>
      <c r="T10" s="1">
        <f t="shared" si="0"/>
        <v>0.78</v>
      </c>
    </row>
    <row r="11" spans="1:20" ht="25" customHeight="1">
      <c r="A11" t="s">
        <v>33</v>
      </c>
      <c r="B11">
        <v>2</v>
      </c>
      <c r="C11" t="s">
        <v>29</v>
      </c>
      <c r="D11" t="b">
        <v>0</v>
      </c>
      <c r="E11">
        <v>1</v>
      </c>
      <c r="F11" t="s">
        <v>26</v>
      </c>
      <c r="H11" s="1">
        <v>0.71</v>
      </c>
      <c r="I11" s="1">
        <v>0.67</v>
      </c>
      <c r="J11" s="1">
        <v>0.63</v>
      </c>
      <c r="K11" s="1">
        <v>0.73</v>
      </c>
      <c r="L11" s="1">
        <v>0.79</v>
      </c>
      <c r="M11" s="1">
        <v>0.66</v>
      </c>
      <c r="N11" s="1">
        <v>0.68</v>
      </c>
      <c r="O11" s="1">
        <v>0.79</v>
      </c>
      <c r="P11" s="1">
        <v>0.69</v>
      </c>
      <c r="Q11" s="1">
        <v>0.66</v>
      </c>
      <c r="R11" s="1">
        <v>0.75</v>
      </c>
      <c r="S11" s="1">
        <v>0.74</v>
      </c>
      <c r="T11" s="1">
        <f t="shared" si="0"/>
        <v>0.79</v>
      </c>
    </row>
    <row r="12" spans="1:20" ht="25" customHeight="1">
      <c r="A12" t="s">
        <v>33</v>
      </c>
      <c r="B12">
        <v>2</v>
      </c>
      <c r="C12" t="s">
        <v>29</v>
      </c>
      <c r="D12" t="b">
        <v>0</v>
      </c>
      <c r="E12">
        <v>2</v>
      </c>
      <c r="F12" t="s">
        <v>27</v>
      </c>
      <c r="H12" s="1">
        <v>0.72</v>
      </c>
      <c r="I12" s="1">
        <v>0.76</v>
      </c>
      <c r="J12" s="1">
        <v>0.71</v>
      </c>
      <c r="K12" s="1">
        <v>0.77</v>
      </c>
      <c r="L12" s="1">
        <v>0.78</v>
      </c>
      <c r="M12" s="1">
        <v>0.69</v>
      </c>
      <c r="N12" s="1">
        <v>0.68</v>
      </c>
      <c r="O12" s="1">
        <v>0.83</v>
      </c>
      <c r="P12" s="1">
        <v>0.75</v>
      </c>
      <c r="Q12" s="1">
        <v>0.68</v>
      </c>
      <c r="R12" s="1">
        <v>0.72</v>
      </c>
      <c r="S12" s="1">
        <v>0.77</v>
      </c>
      <c r="T12" s="1">
        <f t="shared" si="0"/>
        <v>0.83</v>
      </c>
    </row>
    <row r="13" spans="1:20" ht="25" customHeight="1">
      <c r="A13" t="s">
        <v>33</v>
      </c>
      <c r="B13">
        <v>2</v>
      </c>
      <c r="C13" t="s">
        <v>29</v>
      </c>
      <c r="D13" t="b">
        <v>0</v>
      </c>
      <c r="E13">
        <v>3</v>
      </c>
      <c r="F13" t="s">
        <v>28</v>
      </c>
      <c r="H13" s="1">
        <v>0.71</v>
      </c>
      <c r="I13" s="1">
        <v>0.7</v>
      </c>
      <c r="J13" s="1">
        <v>0.61</v>
      </c>
      <c r="K13" s="1">
        <v>0.7</v>
      </c>
      <c r="L13" s="1">
        <v>0.72</v>
      </c>
      <c r="M13" s="1">
        <v>0.67</v>
      </c>
      <c r="N13" s="1">
        <v>0.6</v>
      </c>
      <c r="O13" s="1">
        <v>0.74</v>
      </c>
      <c r="P13" s="1">
        <v>0.71</v>
      </c>
      <c r="Q13" s="1">
        <v>0.64</v>
      </c>
      <c r="R13" s="1">
        <v>0.7</v>
      </c>
      <c r="S13" s="1">
        <v>0.74</v>
      </c>
      <c r="T13" s="1">
        <f t="shared" si="0"/>
        <v>0.74</v>
      </c>
    </row>
    <row r="14" spans="1:20" ht="25" customHeight="1">
      <c r="A14" t="s">
        <v>33</v>
      </c>
      <c r="B14">
        <v>3</v>
      </c>
      <c r="C14" t="s">
        <v>30</v>
      </c>
      <c r="D14" t="b">
        <v>1</v>
      </c>
      <c r="E14">
        <v>1</v>
      </c>
      <c r="F14" t="s">
        <v>26</v>
      </c>
      <c r="H14" s="1">
        <v>0.98</v>
      </c>
      <c r="I14" s="1">
        <v>0.97</v>
      </c>
      <c r="J14" s="1">
        <v>0.97</v>
      </c>
      <c r="K14" s="1">
        <v>0.99</v>
      </c>
      <c r="L14" s="1">
        <v>0.96</v>
      </c>
      <c r="M14" s="1">
        <v>0.97</v>
      </c>
      <c r="N14" s="1">
        <v>0.98</v>
      </c>
      <c r="O14" s="1">
        <v>0.97</v>
      </c>
      <c r="P14" s="1">
        <v>0.94</v>
      </c>
      <c r="Q14" s="1">
        <v>0.94</v>
      </c>
      <c r="R14" s="1">
        <v>0.96</v>
      </c>
      <c r="S14" s="1">
        <v>0.96</v>
      </c>
      <c r="T14" s="1">
        <f t="shared" si="0"/>
        <v>0.99</v>
      </c>
    </row>
    <row r="15" spans="1:20" ht="25" customHeight="1">
      <c r="A15" t="s">
        <v>33</v>
      </c>
      <c r="B15">
        <v>3</v>
      </c>
      <c r="C15" t="s">
        <v>30</v>
      </c>
      <c r="D15" t="b">
        <v>1</v>
      </c>
      <c r="E15">
        <v>2</v>
      </c>
      <c r="F15" t="s">
        <v>27</v>
      </c>
      <c r="H15" s="1">
        <v>0.98</v>
      </c>
      <c r="I15" s="1">
        <v>0.99</v>
      </c>
      <c r="J15" s="1">
        <v>0.99</v>
      </c>
      <c r="K15" s="1">
        <v>0.98</v>
      </c>
      <c r="L15" s="1">
        <v>0.96</v>
      </c>
      <c r="M15" s="1">
        <v>0.97</v>
      </c>
      <c r="N15" s="1">
        <v>1</v>
      </c>
      <c r="O15" s="1">
        <v>0.99</v>
      </c>
      <c r="P15" s="1">
        <v>0.96</v>
      </c>
      <c r="Q15" s="1">
        <v>0.94</v>
      </c>
      <c r="R15" s="1">
        <v>0.97</v>
      </c>
      <c r="S15" s="1">
        <v>0.97</v>
      </c>
      <c r="T15" s="1">
        <f t="shared" si="0"/>
        <v>1</v>
      </c>
    </row>
    <row r="16" spans="1:20" ht="25" customHeight="1">
      <c r="A16" t="s">
        <v>33</v>
      </c>
      <c r="B16">
        <v>3</v>
      </c>
      <c r="C16" t="s">
        <v>30</v>
      </c>
      <c r="D16" t="b">
        <v>1</v>
      </c>
      <c r="E16">
        <v>3</v>
      </c>
      <c r="F16" t="s">
        <v>28</v>
      </c>
      <c r="H16" s="1">
        <v>0.98</v>
      </c>
      <c r="I16" s="1">
        <v>0.99</v>
      </c>
      <c r="J16" s="1">
        <v>0.99</v>
      </c>
      <c r="K16" s="1">
        <v>0.98</v>
      </c>
      <c r="L16" s="1">
        <v>0.96</v>
      </c>
      <c r="M16" s="1">
        <v>0.97</v>
      </c>
      <c r="N16" s="1">
        <v>1</v>
      </c>
      <c r="O16" s="1">
        <v>0.99</v>
      </c>
      <c r="P16" s="1">
        <v>0.96</v>
      </c>
      <c r="Q16" s="1">
        <v>0.94</v>
      </c>
      <c r="R16" s="1">
        <v>0.97</v>
      </c>
      <c r="S16" s="1">
        <v>0.97</v>
      </c>
      <c r="T16" s="1">
        <f t="shared" si="0"/>
        <v>1</v>
      </c>
    </row>
    <row r="17" spans="1:20" ht="25" customHeight="1">
      <c r="A17" t="s">
        <v>33</v>
      </c>
      <c r="B17">
        <v>3</v>
      </c>
      <c r="C17" t="s">
        <v>30</v>
      </c>
      <c r="D17" t="b">
        <v>0</v>
      </c>
      <c r="E17">
        <v>1</v>
      </c>
      <c r="F17" t="s">
        <v>26</v>
      </c>
      <c r="H17" s="1">
        <v>0.98</v>
      </c>
      <c r="I17" s="1">
        <v>0.94</v>
      </c>
      <c r="J17" s="1">
        <v>0.99</v>
      </c>
      <c r="K17" s="1">
        <v>0.98</v>
      </c>
      <c r="L17" s="1">
        <v>0.96</v>
      </c>
      <c r="M17" s="1">
        <v>0.97</v>
      </c>
      <c r="N17" s="1">
        <v>0.97</v>
      </c>
      <c r="O17" s="1">
        <v>0.99</v>
      </c>
      <c r="P17" s="1">
        <v>0.96</v>
      </c>
      <c r="Q17" s="1">
        <v>0.94</v>
      </c>
      <c r="R17" s="1">
        <v>0.97</v>
      </c>
      <c r="S17" s="1">
        <v>0.97</v>
      </c>
      <c r="T17" s="1">
        <f t="shared" si="0"/>
        <v>0.99</v>
      </c>
    </row>
    <row r="18" spans="1:20" ht="25" customHeight="1">
      <c r="A18" t="s">
        <v>33</v>
      </c>
      <c r="B18">
        <v>3</v>
      </c>
      <c r="C18" t="s">
        <v>30</v>
      </c>
      <c r="D18" t="b">
        <v>0</v>
      </c>
      <c r="E18">
        <v>2</v>
      </c>
      <c r="F18" t="s">
        <v>27</v>
      </c>
      <c r="H18" s="1">
        <v>0.98</v>
      </c>
      <c r="I18" s="1">
        <v>0.99</v>
      </c>
      <c r="J18" s="1">
        <v>0.99</v>
      </c>
      <c r="K18" s="1">
        <v>0.98</v>
      </c>
      <c r="L18" s="1">
        <v>0.96</v>
      </c>
      <c r="M18" s="1">
        <v>0.97</v>
      </c>
      <c r="N18" s="1">
        <v>1</v>
      </c>
      <c r="O18" s="1">
        <v>0.99</v>
      </c>
      <c r="P18" s="1">
        <v>0.96</v>
      </c>
      <c r="Q18" s="1">
        <v>0.94</v>
      </c>
      <c r="R18" s="1">
        <v>0.97</v>
      </c>
      <c r="S18" s="1">
        <v>0.97</v>
      </c>
      <c r="T18" s="1">
        <f t="shared" si="0"/>
        <v>1</v>
      </c>
    </row>
    <row r="19" spans="1:20" ht="25" customHeight="1">
      <c r="A19" t="s">
        <v>33</v>
      </c>
      <c r="B19">
        <v>3</v>
      </c>
      <c r="C19" t="s">
        <v>30</v>
      </c>
      <c r="D19" t="b">
        <v>0</v>
      </c>
      <c r="E19">
        <v>3</v>
      </c>
      <c r="F19" t="s">
        <v>28</v>
      </c>
      <c r="H19" s="1">
        <v>0.98</v>
      </c>
      <c r="I19" s="1">
        <v>0.99</v>
      </c>
      <c r="J19" s="1">
        <v>0.99</v>
      </c>
      <c r="K19" s="1">
        <v>0.98</v>
      </c>
      <c r="L19" s="1">
        <v>0.96</v>
      </c>
      <c r="M19" s="1">
        <v>0.97</v>
      </c>
      <c r="N19" s="1">
        <v>1</v>
      </c>
      <c r="O19" s="1">
        <v>0.99</v>
      </c>
      <c r="P19" s="1">
        <v>0.96</v>
      </c>
      <c r="Q19" s="1">
        <v>0.94</v>
      </c>
      <c r="R19" s="1">
        <v>0.97</v>
      </c>
      <c r="S19" s="1">
        <v>0.97</v>
      </c>
      <c r="T19" s="1">
        <f t="shared" si="0"/>
        <v>1</v>
      </c>
    </row>
    <row r="22" spans="1:20" ht="25" customHeight="1">
      <c r="B22" t="s">
        <v>1</v>
      </c>
      <c r="C22" t="s">
        <v>2</v>
      </c>
      <c r="D22" t="s">
        <v>31</v>
      </c>
      <c r="E22" t="s">
        <v>4</v>
      </c>
      <c r="F22" t="s">
        <v>5</v>
      </c>
      <c r="G22" t="s">
        <v>36</v>
      </c>
      <c r="H22" t="s">
        <v>6</v>
      </c>
      <c r="I22" t="s">
        <v>7</v>
      </c>
      <c r="J22" t="s">
        <v>8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21</v>
      </c>
      <c r="R22" t="s">
        <v>22</v>
      </c>
      <c r="S22" t="s">
        <v>23</v>
      </c>
      <c r="T22" t="s">
        <v>24</v>
      </c>
    </row>
    <row r="23" spans="1:20" ht="25" customHeight="1">
      <c r="B23">
        <v>1</v>
      </c>
      <c r="C23" t="s">
        <v>25</v>
      </c>
      <c r="D23" t="b">
        <v>1</v>
      </c>
      <c r="E23">
        <v>1</v>
      </c>
      <c r="F23" t="s">
        <v>24</v>
      </c>
      <c r="H23" s="1" cm="1">
        <f t="array" ref="H23">_xlfn.LET(_xlpm.d,H$2:H$19,_xlpm.a,$C$2:$C$19=$C23,_xlpm.b,$D$2:$D$19=$D23,MAX(_xlfn._xlws.FILTER(_xlpm.d,_xlpm.a*_xlpm.b)))</f>
        <v>0.72</v>
      </c>
      <c r="I23" s="1" cm="1">
        <f t="array" ref="I23">_xlfn.LET(_xlpm.d,I$2:I$19,_xlpm.a,$C$2:$C$19=$C23,_xlpm.b,$D$2:$D$19=$D23,MAX(_xlfn._xlws.FILTER(_xlpm.d,_xlpm.a*_xlpm.b)))</f>
        <v>0.67</v>
      </c>
      <c r="J23" s="1" cm="1">
        <f t="array" ref="J23">_xlfn.LET(_xlpm.d,J$2:J$19,_xlpm.a,$C$2:$C$19=$C23,_xlpm.b,$D$2:$D$19=$D23,MAX(_xlfn._xlws.FILTER(_xlpm.d,_xlpm.a*_xlpm.b)))</f>
        <v>0.76</v>
      </c>
      <c r="K23" s="1" cm="1">
        <f t="array" ref="K23">_xlfn.LET(_xlpm.d,K$2:K$19,_xlpm.a,$C$2:$C$19=$C23,_xlpm.b,$D$2:$D$19=$D23,MAX(_xlfn._xlws.FILTER(_xlpm.d,_xlpm.a*_xlpm.b)))</f>
        <v>0.67</v>
      </c>
      <c r="L23" s="1" cm="1">
        <f t="array" ref="L23">_xlfn.LET(_xlpm.d,L$2:L$19,_xlpm.a,$C$2:$C$19=$C23,_xlpm.b,$D$2:$D$19=$D23,MAX(_xlfn._xlws.FILTER(_xlpm.d,_xlpm.a*_xlpm.b)))</f>
        <v>0.73</v>
      </c>
      <c r="M23" s="1" cm="1">
        <f t="array" ref="M23">_xlfn.LET(_xlpm.d,M$2:M$19,_xlpm.a,$C$2:$C$19=$C23,_xlpm.b,$D$2:$D$19=$D23,MAX(_xlfn._xlws.FILTER(_xlpm.d,_xlpm.a*_xlpm.b)))</f>
        <v>0.62</v>
      </c>
      <c r="N23" s="1" cm="1">
        <f t="array" ref="N23">_xlfn.LET(_xlpm.d,N$2:N$19,_xlpm.a,$C$2:$C$19=$C23,_xlpm.b,$D$2:$D$19=$D23,MAX(_xlfn._xlws.FILTER(_xlpm.d,_xlpm.a*_xlpm.b)))</f>
        <v>0.71</v>
      </c>
      <c r="O23" s="1" cm="1">
        <f t="array" ref="O23">_xlfn.LET(_xlpm.d,O$2:O$19,_xlpm.a,$C$2:$C$19=$C23,_xlpm.b,$D$2:$D$19=$D23,MAX(_xlfn._xlws.FILTER(_xlpm.d,_xlpm.a*_xlpm.b)))</f>
        <v>0.68</v>
      </c>
      <c r="P23" s="1" cm="1">
        <f t="array" ref="P23">_xlfn.LET(_xlpm.d,P$2:P$19,_xlpm.a,$C$2:$C$19=$C23,_xlpm.b,$D$2:$D$19=$D23,MAX(_xlfn._xlws.FILTER(_xlpm.d,_xlpm.a*_xlpm.b)))</f>
        <v>0.68</v>
      </c>
      <c r="Q23" s="1" cm="1">
        <f t="array" ref="Q23">_xlfn.LET(_xlpm.d,Q$2:Q$19,_xlpm.a,$C$2:$C$19=$C23,_xlpm.b,$D$2:$D$19=$D23,MAX(_xlfn._xlws.FILTER(_xlpm.d,_xlpm.a*_xlpm.b)))</f>
        <v>0.65</v>
      </c>
      <c r="R23" s="1" cm="1">
        <f t="array" ref="R23">_xlfn.LET(_xlpm.d,R$2:R$19,_xlpm.a,$C$2:$C$19=$C23,_xlpm.b,$D$2:$D$19=$D23,MAX(_xlfn._xlws.FILTER(_xlpm.d,_xlpm.a*_xlpm.b)))</f>
        <v>0.64</v>
      </c>
      <c r="S23" s="1" cm="1">
        <f t="array" ref="S23">_xlfn.LET(_xlpm.d,S$2:S$19,_xlpm.a,$C$2:$C$19=$C23,_xlpm.b,$D$2:$D$19=$D23,MAX(_xlfn._xlws.FILTER(_xlpm.d,_xlpm.a*_xlpm.b)))</f>
        <v>0.66</v>
      </c>
      <c r="T23" s="1" cm="1">
        <f t="array" ref="T23">_xlfn.LET(_xlpm.d,T$2:T$19,_xlpm.a,$C$2:$C$19=$C23,_xlpm.b,$D$2:$D$19=$D23,MAX(_xlfn._xlws.FILTER(_xlpm.d,_xlpm.a*_xlpm.b)))</f>
        <v>0.76</v>
      </c>
    </row>
    <row r="24" spans="1:20" ht="25" customHeight="1">
      <c r="B24">
        <v>1</v>
      </c>
      <c r="C24" t="s">
        <v>25</v>
      </c>
      <c r="D24" t="b">
        <v>0</v>
      </c>
      <c r="E24">
        <v>1</v>
      </c>
      <c r="F24" t="s">
        <v>24</v>
      </c>
      <c r="H24" s="1" cm="1">
        <f t="array" ref="H24">_xlfn.LET(_xlpm.d,H$2:H$19,_xlpm.a,$C$2:$C$19=$C24,_xlpm.b,$D$2:$D$19=$D24,MAX(_xlfn._xlws.FILTER(_xlpm.d,_xlpm.a*_xlpm.b)))</f>
        <v>0.66</v>
      </c>
      <c r="I24" s="1" cm="1">
        <f t="array" ref="I24">_xlfn.LET(_xlpm.d,I$2:I$19,_xlpm.a,$C$2:$C$19=$C24,_xlpm.b,$D$2:$D$19=$D24,MAX(_xlfn._xlws.FILTER(_xlpm.d,_xlpm.a*_xlpm.b)))</f>
        <v>0.67</v>
      </c>
      <c r="J24" s="1" cm="1">
        <f t="array" ref="J24">_xlfn.LET(_xlpm.d,J$2:J$19,_xlpm.a,$C$2:$C$19=$C24,_xlpm.b,$D$2:$D$19=$D24,MAX(_xlfn._xlws.FILTER(_xlpm.d,_xlpm.a*_xlpm.b)))</f>
        <v>0.72</v>
      </c>
      <c r="K24" s="1" cm="1">
        <f t="array" ref="K24">_xlfn.LET(_xlpm.d,K$2:K$19,_xlpm.a,$C$2:$C$19=$C24,_xlpm.b,$D$2:$D$19=$D24,MAX(_xlfn._xlws.FILTER(_xlpm.d,_xlpm.a*_xlpm.b)))</f>
        <v>0.63</v>
      </c>
      <c r="L24" s="1" cm="1">
        <f t="array" ref="L24">_xlfn.LET(_xlpm.d,L$2:L$19,_xlpm.a,$C$2:$C$19=$C24,_xlpm.b,$D$2:$D$19=$D24,MAX(_xlfn._xlws.FILTER(_xlpm.d,_xlpm.a*_xlpm.b)))</f>
        <v>0.73</v>
      </c>
      <c r="M24" s="1" cm="1">
        <f t="array" ref="M24">_xlfn.LET(_xlpm.d,M$2:M$19,_xlpm.a,$C$2:$C$19=$C24,_xlpm.b,$D$2:$D$19=$D24,MAX(_xlfn._xlws.FILTER(_xlpm.d,_xlpm.a*_xlpm.b)))</f>
        <v>0.61</v>
      </c>
      <c r="N24" s="1" cm="1">
        <f t="array" ref="N24">_xlfn.LET(_xlpm.d,N$2:N$19,_xlpm.a,$C$2:$C$19=$C24,_xlpm.b,$D$2:$D$19=$D24,MAX(_xlfn._xlws.FILTER(_xlpm.d,_xlpm.a*_xlpm.b)))</f>
        <v>0.59</v>
      </c>
      <c r="O24" s="1" cm="1">
        <f t="array" ref="O24">_xlfn.LET(_xlpm.d,O$2:O$19,_xlpm.a,$C$2:$C$19=$C24,_xlpm.b,$D$2:$D$19=$D24,MAX(_xlfn._xlws.FILTER(_xlpm.d,_xlpm.a*_xlpm.b)))</f>
        <v>0.7</v>
      </c>
      <c r="P24" s="1" cm="1">
        <f t="array" ref="P24">_xlfn.LET(_xlpm.d,P$2:P$19,_xlpm.a,$C$2:$C$19=$C24,_xlpm.b,$D$2:$D$19=$D24,MAX(_xlfn._xlws.FILTER(_xlpm.d,_xlpm.a*_xlpm.b)))</f>
        <v>0.68</v>
      </c>
      <c r="Q24" s="1" cm="1">
        <f t="array" ref="Q24">_xlfn.LET(_xlpm.d,Q$2:Q$19,_xlpm.a,$C$2:$C$19=$C24,_xlpm.b,$D$2:$D$19=$D24,MAX(_xlfn._xlws.FILTER(_xlpm.d,_xlpm.a*_xlpm.b)))</f>
        <v>0.63</v>
      </c>
      <c r="R24" s="1" cm="1">
        <f t="array" ref="R24">_xlfn.LET(_xlpm.d,R$2:R$19,_xlpm.a,$C$2:$C$19=$C24,_xlpm.b,$D$2:$D$19=$D24,MAX(_xlfn._xlws.FILTER(_xlpm.d,_xlpm.a*_xlpm.b)))</f>
        <v>0.62</v>
      </c>
      <c r="S24" s="1" cm="1">
        <f t="array" ref="S24">_xlfn.LET(_xlpm.d,S$2:S$19,_xlpm.a,$C$2:$C$19=$C24,_xlpm.b,$D$2:$D$19=$D24,MAX(_xlfn._xlws.FILTER(_xlpm.d,_xlpm.a*_xlpm.b)))</f>
        <v>0.62</v>
      </c>
      <c r="T24" s="1" cm="1">
        <f t="array" ref="T24">_xlfn.LET(_xlpm.d,T$2:T$19,_xlpm.a,$C$2:$C$19=$C24,_xlpm.b,$D$2:$D$19=$D24,MAX(_xlfn._xlws.FILTER(_xlpm.d,_xlpm.a*_xlpm.b)))</f>
        <v>0.73</v>
      </c>
    </row>
    <row r="25" spans="1:20" ht="25" customHeight="1">
      <c r="B25">
        <v>2</v>
      </c>
      <c r="C25" t="s">
        <v>29</v>
      </c>
      <c r="D25" t="b">
        <v>1</v>
      </c>
      <c r="E25">
        <v>1</v>
      </c>
      <c r="F25" t="s">
        <v>24</v>
      </c>
      <c r="H25" s="1" cm="1">
        <f t="array" ref="H25">_xlfn.LET(_xlpm.d,H$2:H$19,_xlpm.a,$C$2:$C$19=$C25,_xlpm.b,$D$2:$D$19=$D25,MAX(_xlfn._xlws.FILTER(_xlpm.d,_xlpm.a*_xlpm.b)))</f>
        <v>0.77</v>
      </c>
      <c r="I25" s="1" cm="1">
        <f t="array" ref="I25">_xlfn.LET(_xlpm.d,I$2:I$19,_xlpm.a,$C$2:$C$19=$C25,_xlpm.b,$D$2:$D$19=$D25,MAX(_xlfn._xlws.FILTER(_xlpm.d,_xlpm.a*_xlpm.b)))</f>
        <v>0.75</v>
      </c>
      <c r="J25" s="1" cm="1">
        <f t="array" ref="J25">_xlfn.LET(_xlpm.d,J$2:J$19,_xlpm.a,$C$2:$C$19=$C25,_xlpm.b,$D$2:$D$19=$D25,MAX(_xlfn._xlws.FILTER(_xlpm.d,_xlpm.a*_xlpm.b)))</f>
        <v>0.75</v>
      </c>
      <c r="K25" s="1" cm="1">
        <f t="array" ref="K25">_xlfn.LET(_xlpm.d,K$2:K$19,_xlpm.a,$C$2:$C$19=$C25,_xlpm.b,$D$2:$D$19=$D25,MAX(_xlfn._xlws.FILTER(_xlpm.d,_xlpm.a*_xlpm.b)))</f>
        <v>0.81</v>
      </c>
      <c r="L25" s="1" cm="1">
        <f t="array" ref="L25">_xlfn.LET(_xlpm.d,L$2:L$19,_xlpm.a,$C$2:$C$19=$C25,_xlpm.b,$D$2:$D$19=$D25,MAX(_xlfn._xlws.FILTER(_xlpm.d,_xlpm.a*_xlpm.b)))</f>
        <v>0.82</v>
      </c>
      <c r="M25" s="1" cm="1">
        <f t="array" ref="M25">_xlfn.LET(_xlpm.d,M$2:M$19,_xlpm.a,$C$2:$C$19=$C25,_xlpm.b,$D$2:$D$19=$D25,MAX(_xlfn._xlws.FILTER(_xlpm.d,_xlpm.a*_xlpm.b)))</f>
        <v>0.72</v>
      </c>
      <c r="N25" s="1" cm="1">
        <f t="array" ref="N25">_xlfn.LET(_xlpm.d,N$2:N$19,_xlpm.a,$C$2:$C$19=$C25,_xlpm.b,$D$2:$D$19=$D25,MAX(_xlfn._xlws.FILTER(_xlpm.d,_xlpm.a*_xlpm.b)))</f>
        <v>0.75</v>
      </c>
      <c r="O25" s="1" cm="1">
        <f t="array" ref="O25">_xlfn.LET(_xlpm.d,O$2:O$19,_xlpm.a,$C$2:$C$19=$C25,_xlpm.b,$D$2:$D$19=$D25,MAX(_xlfn._xlws.FILTER(_xlpm.d,_xlpm.a*_xlpm.b)))</f>
        <v>0.77</v>
      </c>
      <c r="P25" s="1" cm="1">
        <f t="array" ref="P25">_xlfn.LET(_xlpm.d,P$2:P$19,_xlpm.a,$C$2:$C$19=$C25,_xlpm.b,$D$2:$D$19=$D25,MAX(_xlfn._xlws.FILTER(_xlpm.d,_xlpm.a*_xlpm.b)))</f>
        <v>0.81</v>
      </c>
      <c r="Q25" s="1" cm="1">
        <f t="array" ref="Q25">_xlfn.LET(_xlpm.d,Q$2:Q$19,_xlpm.a,$C$2:$C$19=$C25,_xlpm.b,$D$2:$D$19=$D25,MAX(_xlfn._xlws.FILTER(_xlpm.d,_xlpm.a*_xlpm.b)))</f>
        <v>0.73</v>
      </c>
      <c r="R25" s="1" cm="1">
        <f t="array" ref="R25">_xlfn.LET(_xlpm.d,R$2:R$19,_xlpm.a,$C$2:$C$19=$C25,_xlpm.b,$D$2:$D$19=$D25,MAX(_xlfn._xlws.FILTER(_xlpm.d,_xlpm.a*_xlpm.b)))</f>
        <v>0.74</v>
      </c>
      <c r="S25" s="1" cm="1">
        <f t="array" ref="S25">_xlfn.LET(_xlpm.d,S$2:S$19,_xlpm.a,$C$2:$C$19=$C25,_xlpm.b,$D$2:$D$19=$D25,MAX(_xlfn._xlws.FILTER(_xlpm.d,_xlpm.a*_xlpm.b)))</f>
        <v>0.77</v>
      </c>
      <c r="T25" s="1" cm="1">
        <f t="array" ref="T25">_xlfn.LET(_xlpm.d,T$2:T$19,_xlpm.a,$C$2:$C$19=$C25,_xlpm.b,$D$2:$D$19=$D25,MAX(_xlfn._xlws.FILTER(_xlpm.d,_xlpm.a*_xlpm.b)))</f>
        <v>0.82</v>
      </c>
    </row>
    <row r="26" spans="1:20" ht="25" customHeight="1">
      <c r="B26">
        <v>2</v>
      </c>
      <c r="C26" t="s">
        <v>29</v>
      </c>
      <c r="D26" t="b">
        <v>0</v>
      </c>
      <c r="E26">
        <v>1</v>
      </c>
      <c r="F26" t="s">
        <v>24</v>
      </c>
      <c r="H26" s="1" cm="1">
        <f t="array" ref="H26">_xlfn.LET(_xlpm.d,H$2:H$19,_xlpm.a,$C$2:$C$19=$C26,_xlpm.b,$D$2:$D$19=$D26,MAX(_xlfn._xlws.FILTER(_xlpm.d,_xlpm.a*_xlpm.b)))</f>
        <v>0.72</v>
      </c>
      <c r="I26" s="1" cm="1">
        <f t="array" ref="I26">_xlfn.LET(_xlpm.d,I$2:I$19,_xlpm.a,$C$2:$C$19=$C26,_xlpm.b,$D$2:$D$19=$D26,MAX(_xlfn._xlws.FILTER(_xlpm.d,_xlpm.a*_xlpm.b)))</f>
        <v>0.76</v>
      </c>
      <c r="J26" s="1" cm="1">
        <f t="array" ref="J26">_xlfn.LET(_xlpm.d,J$2:J$19,_xlpm.a,$C$2:$C$19=$C26,_xlpm.b,$D$2:$D$19=$D26,MAX(_xlfn._xlws.FILTER(_xlpm.d,_xlpm.a*_xlpm.b)))</f>
        <v>0.71</v>
      </c>
      <c r="K26" s="1" cm="1">
        <f t="array" ref="K26">_xlfn.LET(_xlpm.d,K$2:K$19,_xlpm.a,$C$2:$C$19=$C26,_xlpm.b,$D$2:$D$19=$D26,MAX(_xlfn._xlws.FILTER(_xlpm.d,_xlpm.a*_xlpm.b)))</f>
        <v>0.77</v>
      </c>
      <c r="L26" s="1" cm="1">
        <f t="array" ref="L26">_xlfn.LET(_xlpm.d,L$2:L$19,_xlpm.a,$C$2:$C$19=$C26,_xlpm.b,$D$2:$D$19=$D26,MAX(_xlfn._xlws.FILTER(_xlpm.d,_xlpm.a*_xlpm.b)))</f>
        <v>0.79</v>
      </c>
      <c r="M26" s="1" cm="1">
        <f t="array" ref="M26">_xlfn.LET(_xlpm.d,M$2:M$19,_xlpm.a,$C$2:$C$19=$C26,_xlpm.b,$D$2:$D$19=$D26,MAX(_xlfn._xlws.FILTER(_xlpm.d,_xlpm.a*_xlpm.b)))</f>
        <v>0.69</v>
      </c>
      <c r="N26" s="1" cm="1">
        <f t="array" ref="N26">_xlfn.LET(_xlpm.d,N$2:N$19,_xlpm.a,$C$2:$C$19=$C26,_xlpm.b,$D$2:$D$19=$D26,MAX(_xlfn._xlws.FILTER(_xlpm.d,_xlpm.a*_xlpm.b)))</f>
        <v>0.68</v>
      </c>
      <c r="O26" s="1" cm="1">
        <f t="array" ref="O26">_xlfn.LET(_xlpm.d,O$2:O$19,_xlpm.a,$C$2:$C$19=$C26,_xlpm.b,$D$2:$D$19=$D26,MAX(_xlfn._xlws.FILTER(_xlpm.d,_xlpm.a*_xlpm.b)))</f>
        <v>0.83</v>
      </c>
      <c r="P26" s="1" cm="1">
        <f t="array" ref="P26">_xlfn.LET(_xlpm.d,P$2:P$19,_xlpm.a,$C$2:$C$19=$C26,_xlpm.b,$D$2:$D$19=$D26,MAX(_xlfn._xlws.FILTER(_xlpm.d,_xlpm.a*_xlpm.b)))</f>
        <v>0.75</v>
      </c>
      <c r="Q26" s="1" cm="1">
        <f t="array" ref="Q26">_xlfn.LET(_xlpm.d,Q$2:Q$19,_xlpm.a,$C$2:$C$19=$C26,_xlpm.b,$D$2:$D$19=$D26,MAX(_xlfn._xlws.FILTER(_xlpm.d,_xlpm.a*_xlpm.b)))</f>
        <v>0.68</v>
      </c>
      <c r="R26" s="1" cm="1">
        <f t="array" ref="R26">_xlfn.LET(_xlpm.d,R$2:R$19,_xlpm.a,$C$2:$C$19=$C26,_xlpm.b,$D$2:$D$19=$D26,MAX(_xlfn._xlws.FILTER(_xlpm.d,_xlpm.a*_xlpm.b)))</f>
        <v>0.75</v>
      </c>
      <c r="S26" s="1" cm="1">
        <f t="array" ref="S26">_xlfn.LET(_xlpm.d,S$2:S$19,_xlpm.a,$C$2:$C$19=$C26,_xlpm.b,$D$2:$D$19=$D26,MAX(_xlfn._xlws.FILTER(_xlpm.d,_xlpm.a*_xlpm.b)))</f>
        <v>0.77</v>
      </c>
      <c r="T26" s="1" cm="1">
        <f t="array" ref="T26">_xlfn.LET(_xlpm.d,T$2:T$19,_xlpm.a,$C$2:$C$19=$C26,_xlpm.b,$D$2:$D$19=$D26,MAX(_xlfn._xlws.FILTER(_xlpm.d,_xlpm.a*_xlpm.b)))</f>
        <v>0.83</v>
      </c>
    </row>
    <row r="27" spans="1:20" ht="25" customHeight="1">
      <c r="B27">
        <v>3</v>
      </c>
      <c r="C27" t="s">
        <v>30</v>
      </c>
      <c r="D27" t="b">
        <v>1</v>
      </c>
      <c r="E27">
        <v>1</v>
      </c>
      <c r="F27" t="s">
        <v>24</v>
      </c>
      <c r="H27" s="1" cm="1">
        <f t="array" ref="H27">_xlfn.LET(_xlpm.d,H$2:H$19,_xlpm.a,$C$2:$C$19=$C27,_xlpm.b,$D$2:$D$19=$D27,MAX(_xlfn._xlws.FILTER(_xlpm.d,_xlpm.a*_xlpm.b)))</f>
        <v>0.98</v>
      </c>
      <c r="I27" s="1" cm="1">
        <f t="array" ref="I27">_xlfn.LET(_xlpm.d,I$2:I$19,_xlpm.a,$C$2:$C$19=$C27,_xlpm.b,$D$2:$D$19=$D27,MAX(_xlfn._xlws.FILTER(_xlpm.d,_xlpm.a*_xlpm.b)))</f>
        <v>0.99</v>
      </c>
      <c r="J27" s="1" cm="1">
        <f t="array" ref="J27">_xlfn.LET(_xlpm.d,J$2:J$19,_xlpm.a,$C$2:$C$19=$C27,_xlpm.b,$D$2:$D$19=$D27,MAX(_xlfn._xlws.FILTER(_xlpm.d,_xlpm.a*_xlpm.b)))</f>
        <v>0.99</v>
      </c>
      <c r="K27" s="1" cm="1">
        <f t="array" ref="K27">_xlfn.LET(_xlpm.d,K$2:K$19,_xlpm.a,$C$2:$C$19=$C27,_xlpm.b,$D$2:$D$19=$D27,MAX(_xlfn._xlws.FILTER(_xlpm.d,_xlpm.a*_xlpm.b)))</f>
        <v>0.99</v>
      </c>
      <c r="L27" s="1" cm="1">
        <f t="array" ref="L27">_xlfn.LET(_xlpm.d,L$2:L$19,_xlpm.a,$C$2:$C$19=$C27,_xlpm.b,$D$2:$D$19=$D27,MAX(_xlfn._xlws.FILTER(_xlpm.d,_xlpm.a*_xlpm.b)))</f>
        <v>0.96</v>
      </c>
      <c r="M27" s="1" cm="1">
        <f t="array" ref="M27">_xlfn.LET(_xlpm.d,M$2:M$19,_xlpm.a,$C$2:$C$19=$C27,_xlpm.b,$D$2:$D$19=$D27,MAX(_xlfn._xlws.FILTER(_xlpm.d,_xlpm.a*_xlpm.b)))</f>
        <v>0.97</v>
      </c>
      <c r="N27" s="1" cm="1">
        <f t="array" ref="N27">_xlfn.LET(_xlpm.d,N$2:N$19,_xlpm.a,$C$2:$C$19=$C27,_xlpm.b,$D$2:$D$19=$D27,MAX(_xlfn._xlws.FILTER(_xlpm.d,_xlpm.a*_xlpm.b)))</f>
        <v>1</v>
      </c>
      <c r="O27" s="1" cm="1">
        <f t="array" ref="O27">_xlfn.LET(_xlpm.d,O$2:O$19,_xlpm.a,$C$2:$C$19=$C27,_xlpm.b,$D$2:$D$19=$D27,MAX(_xlfn._xlws.FILTER(_xlpm.d,_xlpm.a*_xlpm.b)))</f>
        <v>0.99</v>
      </c>
      <c r="P27" s="1" cm="1">
        <f t="array" ref="P27">_xlfn.LET(_xlpm.d,P$2:P$19,_xlpm.a,$C$2:$C$19=$C27,_xlpm.b,$D$2:$D$19=$D27,MAX(_xlfn._xlws.FILTER(_xlpm.d,_xlpm.a*_xlpm.b)))</f>
        <v>0.96</v>
      </c>
      <c r="Q27" s="1" cm="1">
        <f t="array" ref="Q27">_xlfn.LET(_xlpm.d,Q$2:Q$19,_xlpm.a,$C$2:$C$19=$C27,_xlpm.b,$D$2:$D$19=$D27,MAX(_xlfn._xlws.FILTER(_xlpm.d,_xlpm.a*_xlpm.b)))</f>
        <v>0.94</v>
      </c>
      <c r="R27" s="1" cm="1">
        <f t="array" ref="R27">_xlfn.LET(_xlpm.d,R$2:R$19,_xlpm.a,$C$2:$C$19=$C27,_xlpm.b,$D$2:$D$19=$D27,MAX(_xlfn._xlws.FILTER(_xlpm.d,_xlpm.a*_xlpm.b)))</f>
        <v>0.97</v>
      </c>
      <c r="S27" s="1" cm="1">
        <f t="array" ref="S27">_xlfn.LET(_xlpm.d,S$2:S$19,_xlpm.a,$C$2:$C$19=$C27,_xlpm.b,$D$2:$D$19=$D27,MAX(_xlfn._xlws.FILTER(_xlpm.d,_xlpm.a*_xlpm.b)))</f>
        <v>0.97</v>
      </c>
      <c r="T27" s="1" cm="1">
        <f t="array" ref="T27">_xlfn.LET(_xlpm.d,T$2:T$19,_xlpm.a,$C$2:$C$19=$C27,_xlpm.b,$D$2:$D$19=$D27,MAX(_xlfn._xlws.FILTER(_xlpm.d,_xlpm.a*_xlpm.b)))</f>
        <v>1</v>
      </c>
    </row>
    <row r="28" spans="1:20" ht="25" customHeight="1">
      <c r="B28">
        <v>3</v>
      </c>
      <c r="C28" t="s">
        <v>30</v>
      </c>
      <c r="D28" t="b">
        <v>0</v>
      </c>
      <c r="E28">
        <v>1</v>
      </c>
      <c r="F28" t="s">
        <v>24</v>
      </c>
      <c r="H28" s="1" cm="1">
        <f t="array" ref="H28">_xlfn.LET(_xlpm.d,H$2:H$19,_xlpm.a,$C$2:$C$19=$C28,_xlpm.b,$D$2:$D$19=$D28,MAX(_xlfn._xlws.FILTER(_xlpm.d,_xlpm.a*_xlpm.b)))</f>
        <v>0.98</v>
      </c>
      <c r="I28" s="1" cm="1">
        <f t="array" ref="I28">_xlfn.LET(_xlpm.d,I$2:I$19,_xlpm.a,$C$2:$C$19=$C28,_xlpm.b,$D$2:$D$19=$D28,MAX(_xlfn._xlws.FILTER(_xlpm.d,_xlpm.a*_xlpm.b)))</f>
        <v>0.99</v>
      </c>
      <c r="J28" s="1" cm="1">
        <f t="array" ref="J28">_xlfn.LET(_xlpm.d,J$2:J$19,_xlpm.a,$C$2:$C$19=$C28,_xlpm.b,$D$2:$D$19=$D28,MAX(_xlfn._xlws.FILTER(_xlpm.d,_xlpm.a*_xlpm.b)))</f>
        <v>0.99</v>
      </c>
      <c r="K28" s="1" cm="1">
        <f t="array" ref="K28">_xlfn.LET(_xlpm.d,K$2:K$19,_xlpm.a,$C$2:$C$19=$C28,_xlpm.b,$D$2:$D$19=$D28,MAX(_xlfn._xlws.FILTER(_xlpm.d,_xlpm.a*_xlpm.b)))</f>
        <v>0.98</v>
      </c>
      <c r="L28" s="1" cm="1">
        <f t="array" ref="L28">_xlfn.LET(_xlpm.d,L$2:L$19,_xlpm.a,$C$2:$C$19=$C28,_xlpm.b,$D$2:$D$19=$D28,MAX(_xlfn._xlws.FILTER(_xlpm.d,_xlpm.a*_xlpm.b)))</f>
        <v>0.96</v>
      </c>
      <c r="M28" s="1" cm="1">
        <f t="array" ref="M28">_xlfn.LET(_xlpm.d,M$2:M$19,_xlpm.a,$C$2:$C$19=$C28,_xlpm.b,$D$2:$D$19=$D28,MAX(_xlfn._xlws.FILTER(_xlpm.d,_xlpm.a*_xlpm.b)))</f>
        <v>0.97</v>
      </c>
      <c r="N28" s="1" cm="1">
        <f t="array" ref="N28">_xlfn.LET(_xlpm.d,N$2:N$19,_xlpm.a,$C$2:$C$19=$C28,_xlpm.b,$D$2:$D$19=$D28,MAX(_xlfn._xlws.FILTER(_xlpm.d,_xlpm.a*_xlpm.b)))</f>
        <v>1</v>
      </c>
      <c r="O28" s="1" cm="1">
        <f t="array" ref="O28">_xlfn.LET(_xlpm.d,O$2:O$19,_xlpm.a,$C$2:$C$19=$C28,_xlpm.b,$D$2:$D$19=$D28,MAX(_xlfn._xlws.FILTER(_xlpm.d,_xlpm.a*_xlpm.b)))</f>
        <v>0.99</v>
      </c>
      <c r="P28" s="1" cm="1">
        <f t="array" ref="P28">_xlfn.LET(_xlpm.d,P$2:P$19,_xlpm.a,$C$2:$C$19=$C28,_xlpm.b,$D$2:$D$19=$D28,MAX(_xlfn._xlws.FILTER(_xlpm.d,_xlpm.a*_xlpm.b)))</f>
        <v>0.96</v>
      </c>
      <c r="Q28" s="1" cm="1">
        <f t="array" ref="Q28">_xlfn.LET(_xlpm.d,Q$2:Q$19,_xlpm.a,$C$2:$C$19=$C28,_xlpm.b,$D$2:$D$19=$D28,MAX(_xlfn._xlws.FILTER(_xlpm.d,_xlpm.a*_xlpm.b)))</f>
        <v>0.94</v>
      </c>
      <c r="R28" s="1" cm="1">
        <f t="array" ref="R28">_xlfn.LET(_xlpm.d,R$2:R$19,_xlpm.a,$C$2:$C$19=$C28,_xlpm.b,$D$2:$D$19=$D28,MAX(_xlfn._xlws.FILTER(_xlpm.d,_xlpm.a*_xlpm.b)))</f>
        <v>0.97</v>
      </c>
      <c r="S28" s="1" cm="1">
        <f t="array" ref="S28">_xlfn.LET(_xlpm.d,S$2:S$19,_xlpm.a,$C$2:$C$19=$C28,_xlpm.b,$D$2:$D$19=$D28,MAX(_xlfn._xlws.FILTER(_xlpm.d,_xlpm.a*_xlpm.b)))</f>
        <v>0.97</v>
      </c>
      <c r="T28" s="1" cm="1">
        <f t="array" ref="T28">_xlfn.LET(_xlpm.d,T$2:T$19,_xlpm.a,$C$2:$C$19=$C28,_xlpm.b,$D$2:$D$19=$D28,MAX(_xlfn._xlws.FILTER(_xlpm.d,_xlpm.a*_xlpm.b)))</f>
        <v>1</v>
      </c>
    </row>
  </sheetData>
  <conditionalFormatting sqref="H2:T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5D73-7A02-C041-BE00-F08AC944657A}">
  <dimension ref="A1:S28"/>
  <sheetViews>
    <sheetView tabSelected="1" workbookViewId="0">
      <pane xSplit="15880" ySplit="3960" topLeftCell="Q21" activePane="bottomLeft"/>
      <selection activeCell="G1" sqref="G1:S1"/>
      <selection pane="topRight" activeCell="S3" sqref="S3"/>
      <selection pane="bottomLeft" activeCell="F34" sqref="F34"/>
      <selection pane="bottomRight" activeCell="U17" sqref="U17"/>
    </sheetView>
  </sheetViews>
  <sheetFormatPr baseColWidth="10" defaultRowHeight="25" customHeight="1"/>
  <cols>
    <col min="2" max="2" width="6.875" customWidth="1"/>
    <col min="4" max="4" width="9.875" customWidth="1"/>
    <col min="5" max="5" width="8.375" customWidth="1"/>
    <col min="7" max="19" width="8.37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22</v>
      </c>
      <c r="R1" t="s">
        <v>23</v>
      </c>
      <c r="S1" t="s">
        <v>24</v>
      </c>
    </row>
    <row r="2" spans="1:19" ht="25" customHeight="1">
      <c r="A2" t="s">
        <v>33</v>
      </c>
      <c r="B2">
        <v>1</v>
      </c>
      <c r="C2" t="s">
        <v>25</v>
      </c>
      <c r="D2" t="b">
        <v>1</v>
      </c>
      <c r="E2">
        <v>1</v>
      </c>
      <c r="F2" t="s">
        <v>26</v>
      </c>
      <c r="G2" s="1">
        <v>0.73</v>
      </c>
      <c r="H2" s="1">
        <v>0.71</v>
      </c>
      <c r="I2" s="1">
        <v>0.64</v>
      </c>
      <c r="J2" s="1">
        <v>0.66</v>
      </c>
      <c r="K2" s="1">
        <v>0.68</v>
      </c>
      <c r="L2" s="1">
        <v>0.65</v>
      </c>
      <c r="M2" s="1">
        <v>0.59</v>
      </c>
      <c r="N2" s="1">
        <v>0.63</v>
      </c>
      <c r="O2" s="1">
        <v>0.71</v>
      </c>
      <c r="P2" s="1">
        <v>0.54</v>
      </c>
      <c r="Q2" s="1">
        <v>0.66</v>
      </c>
      <c r="R2" s="1">
        <v>0.66</v>
      </c>
      <c r="S2" s="1">
        <f t="shared" ref="S2:S19" si="0">MAX($G2:$R2)</f>
        <v>0.73</v>
      </c>
    </row>
    <row r="3" spans="1:19" ht="25" customHeight="1">
      <c r="A3" t="s">
        <v>33</v>
      </c>
      <c r="B3">
        <v>1</v>
      </c>
      <c r="C3" t="s">
        <v>25</v>
      </c>
      <c r="D3" t="b">
        <v>1</v>
      </c>
      <c r="E3">
        <v>2</v>
      </c>
      <c r="F3" t="s">
        <v>27</v>
      </c>
      <c r="G3" s="1">
        <v>0.77</v>
      </c>
      <c r="H3" s="1">
        <v>0.72</v>
      </c>
      <c r="I3" s="1">
        <v>0.77</v>
      </c>
      <c r="J3" s="1">
        <v>0.66</v>
      </c>
      <c r="K3" s="1">
        <v>0.69</v>
      </c>
      <c r="L3" s="1">
        <v>0.69</v>
      </c>
      <c r="M3" s="1">
        <v>0.64</v>
      </c>
      <c r="N3" s="1">
        <v>0.65</v>
      </c>
      <c r="O3" s="1">
        <v>0.76</v>
      </c>
      <c r="P3" s="1">
        <v>0.57999999999999996</v>
      </c>
      <c r="Q3" s="1">
        <v>0.71</v>
      </c>
      <c r="R3" s="1">
        <v>0.7</v>
      </c>
      <c r="S3" s="1">
        <f t="shared" si="0"/>
        <v>0.77</v>
      </c>
    </row>
    <row r="4" spans="1:19" ht="25" customHeight="1">
      <c r="A4" t="s">
        <v>33</v>
      </c>
      <c r="B4">
        <v>1</v>
      </c>
      <c r="C4" t="s">
        <v>25</v>
      </c>
      <c r="D4" t="b">
        <v>1</v>
      </c>
      <c r="E4">
        <v>3</v>
      </c>
      <c r="F4" t="s">
        <v>28</v>
      </c>
      <c r="G4" s="1">
        <v>0.64</v>
      </c>
      <c r="H4" s="1">
        <v>0.67</v>
      </c>
      <c r="I4" s="1">
        <v>0.64</v>
      </c>
      <c r="J4" s="1">
        <v>0.57999999999999996</v>
      </c>
      <c r="K4" s="1">
        <v>0.63</v>
      </c>
      <c r="L4" s="1">
        <v>0.67</v>
      </c>
      <c r="M4" s="1">
        <v>0.56999999999999995</v>
      </c>
      <c r="N4" s="1">
        <v>0.52</v>
      </c>
      <c r="O4" s="1">
        <v>0.69</v>
      </c>
      <c r="P4" s="1">
        <v>0.61</v>
      </c>
      <c r="Q4" s="1">
        <v>0.66</v>
      </c>
      <c r="R4" s="1">
        <v>0.61</v>
      </c>
      <c r="S4" s="1">
        <f t="shared" si="0"/>
        <v>0.69</v>
      </c>
    </row>
    <row r="5" spans="1:19" ht="25" customHeight="1">
      <c r="A5" t="s">
        <v>33</v>
      </c>
      <c r="B5">
        <v>1</v>
      </c>
      <c r="C5" t="s">
        <v>25</v>
      </c>
      <c r="D5" t="b">
        <v>0</v>
      </c>
      <c r="E5">
        <v>1</v>
      </c>
      <c r="F5" t="s">
        <v>26</v>
      </c>
      <c r="G5" s="1">
        <v>0.77</v>
      </c>
      <c r="H5" s="1">
        <v>0.68</v>
      </c>
      <c r="I5" s="1">
        <v>0.71</v>
      </c>
      <c r="J5" s="1">
        <v>0.61</v>
      </c>
      <c r="K5" s="1">
        <v>0.68</v>
      </c>
      <c r="L5" s="1">
        <v>0.67</v>
      </c>
      <c r="M5" s="1">
        <v>0.63</v>
      </c>
      <c r="N5" s="1">
        <v>0.62</v>
      </c>
      <c r="O5" s="1">
        <v>0.7</v>
      </c>
      <c r="P5" s="1">
        <v>0.54</v>
      </c>
      <c r="Q5" s="1">
        <v>0.64</v>
      </c>
      <c r="R5" s="1">
        <v>0.68</v>
      </c>
      <c r="S5" s="1">
        <f t="shared" si="0"/>
        <v>0.77</v>
      </c>
    </row>
    <row r="6" spans="1:19" ht="25" customHeight="1">
      <c r="A6" t="s">
        <v>33</v>
      </c>
      <c r="B6">
        <v>1</v>
      </c>
      <c r="C6" t="s">
        <v>25</v>
      </c>
      <c r="D6" t="b">
        <v>0</v>
      </c>
      <c r="E6">
        <v>2</v>
      </c>
      <c r="F6" t="s">
        <v>27</v>
      </c>
      <c r="G6" s="1">
        <v>0.77</v>
      </c>
      <c r="H6" s="1">
        <v>0.7</v>
      </c>
      <c r="I6" s="1">
        <v>0.75</v>
      </c>
      <c r="J6" s="1">
        <v>0.68</v>
      </c>
      <c r="K6" s="1">
        <v>0.66</v>
      </c>
      <c r="L6" s="1">
        <v>0.66</v>
      </c>
      <c r="M6" s="1">
        <v>0.63</v>
      </c>
      <c r="N6" s="1">
        <v>0.67</v>
      </c>
      <c r="O6" s="1">
        <v>0.74</v>
      </c>
      <c r="P6" s="1">
        <v>0.54</v>
      </c>
      <c r="Q6" s="1">
        <v>0.66</v>
      </c>
      <c r="R6" s="1">
        <v>0.69</v>
      </c>
      <c r="S6" s="1">
        <f t="shared" si="0"/>
        <v>0.77</v>
      </c>
    </row>
    <row r="7" spans="1:19" ht="25" customHeight="1">
      <c r="A7" t="s">
        <v>33</v>
      </c>
      <c r="B7">
        <v>1</v>
      </c>
      <c r="C7" t="s">
        <v>25</v>
      </c>
      <c r="D7" t="b">
        <v>0</v>
      </c>
      <c r="E7">
        <v>3</v>
      </c>
      <c r="F7" t="s">
        <v>28</v>
      </c>
      <c r="G7" s="1">
        <v>0.61</v>
      </c>
      <c r="H7" s="1">
        <v>0.53</v>
      </c>
      <c r="I7" s="1">
        <v>0.54</v>
      </c>
      <c r="J7" s="1">
        <v>0.59</v>
      </c>
      <c r="K7" s="1">
        <v>0.68</v>
      </c>
      <c r="L7" s="1">
        <v>0.6</v>
      </c>
      <c r="M7" s="1">
        <v>0.55000000000000004</v>
      </c>
      <c r="N7" s="1">
        <v>0.5</v>
      </c>
      <c r="O7" s="1">
        <v>0.61</v>
      </c>
      <c r="P7" s="1">
        <v>0.54</v>
      </c>
      <c r="Q7" s="1">
        <v>0.63</v>
      </c>
      <c r="R7" s="1">
        <v>0.64</v>
      </c>
      <c r="S7" s="1">
        <f t="shared" si="0"/>
        <v>0.68</v>
      </c>
    </row>
    <row r="8" spans="1:19" ht="25" customHeight="1">
      <c r="A8" t="s">
        <v>33</v>
      </c>
      <c r="B8">
        <v>2</v>
      </c>
      <c r="C8" t="s">
        <v>29</v>
      </c>
      <c r="D8" t="b">
        <v>1</v>
      </c>
      <c r="E8">
        <v>1</v>
      </c>
      <c r="F8" t="s">
        <v>26</v>
      </c>
      <c r="G8" s="1">
        <v>0.72</v>
      </c>
      <c r="H8" s="1">
        <v>0.62</v>
      </c>
      <c r="I8" s="1">
        <v>0.7</v>
      </c>
      <c r="J8" s="1">
        <v>0.7</v>
      </c>
      <c r="K8" s="1">
        <v>0.74</v>
      </c>
      <c r="L8" s="1">
        <v>0.63</v>
      </c>
      <c r="M8" s="1">
        <v>0.79</v>
      </c>
      <c r="N8" s="1">
        <v>0.78</v>
      </c>
      <c r="O8" s="1">
        <v>0.65</v>
      </c>
      <c r="P8" s="1">
        <v>0.66</v>
      </c>
      <c r="Q8" s="1">
        <v>0.67</v>
      </c>
      <c r="R8" s="1">
        <v>0.77</v>
      </c>
      <c r="S8" s="1">
        <f t="shared" si="0"/>
        <v>0.79</v>
      </c>
    </row>
    <row r="9" spans="1:19" ht="25" customHeight="1">
      <c r="A9" t="s">
        <v>33</v>
      </c>
      <c r="B9">
        <v>2</v>
      </c>
      <c r="C9" t="s">
        <v>29</v>
      </c>
      <c r="D9" t="b">
        <v>1</v>
      </c>
      <c r="E9">
        <v>2</v>
      </c>
      <c r="F9" t="s">
        <v>27</v>
      </c>
      <c r="G9" s="1">
        <v>0.75</v>
      </c>
      <c r="H9" s="1">
        <v>0.72</v>
      </c>
      <c r="I9" s="1">
        <v>0.77</v>
      </c>
      <c r="J9" s="1">
        <v>0.74</v>
      </c>
      <c r="K9" s="1">
        <v>0.75</v>
      </c>
      <c r="L9" s="1">
        <v>0.7</v>
      </c>
      <c r="M9" s="1">
        <v>0.77</v>
      </c>
      <c r="N9" s="1">
        <v>0.76</v>
      </c>
      <c r="O9" s="1">
        <v>0.82</v>
      </c>
      <c r="P9" s="1">
        <v>0.76</v>
      </c>
      <c r="Q9" s="1">
        <v>0.71</v>
      </c>
      <c r="R9" s="1">
        <v>0.8</v>
      </c>
      <c r="S9" s="1">
        <f t="shared" si="0"/>
        <v>0.82</v>
      </c>
    </row>
    <row r="10" spans="1:19" ht="25" customHeight="1">
      <c r="A10" t="s">
        <v>33</v>
      </c>
      <c r="B10">
        <v>2</v>
      </c>
      <c r="C10" t="s">
        <v>29</v>
      </c>
      <c r="D10" t="b">
        <v>1</v>
      </c>
      <c r="E10">
        <v>3</v>
      </c>
      <c r="F10" t="s">
        <v>28</v>
      </c>
      <c r="G10" s="1">
        <v>0.64</v>
      </c>
      <c r="H10" s="1">
        <v>0.77</v>
      </c>
      <c r="I10" s="1">
        <v>0.7</v>
      </c>
      <c r="J10" s="1">
        <v>0.77</v>
      </c>
      <c r="K10" s="1">
        <v>0.72</v>
      </c>
      <c r="L10" s="1">
        <v>0.71</v>
      </c>
      <c r="M10" s="1">
        <v>0.75</v>
      </c>
      <c r="N10" s="1">
        <v>0.81</v>
      </c>
      <c r="O10" s="1">
        <v>0.65</v>
      </c>
      <c r="P10" s="1">
        <v>0.64</v>
      </c>
      <c r="Q10" s="1">
        <v>0.73</v>
      </c>
      <c r="R10" s="1">
        <v>0.8</v>
      </c>
      <c r="S10" s="1">
        <f t="shared" si="0"/>
        <v>0.81</v>
      </c>
    </row>
    <row r="11" spans="1:19" ht="25" customHeight="1">
      <c r="A11" t="s">
        <v>33</v>
      </c>
      <c r="B11">
        <v>2</v>
      </c>
      <c r="C11" t="s">
        <v>29</v>
      </c>
      <c r="D11" t="b">
        <v>0</v>
      </c>
      <c r="E11">
        <v>1</v>
      </c>
      <c r="F11" t="s">
        <v>26</v>
      </c>
      <c r="G11" s="1">
        <v>0.68</v>
      </c>
      <c r="H11" s="1">
        <v>0.62</v>
      </c>
      <c r="I11" s="1">
        <v>0.75</v>
      </c>
      <c r="J11" s="1">
        <v>0.65</v>
      </c>
      <c r="K11" s="1">
        <v>0.72</v>
      </c>
      <c r="L11" s="1">
        <v>0.65</v>
      </c>
      <c r="M11" s="1">
        <v>0.7</v>
      </c>
      <c r="N11" s="1">
        <v>0.77</v>
      </c>
      <c r="O11" s="1">
        <v>0.73</v>
      </c>
      <c r="P11" s="1">
        <v>0.7</v>
      </c>
      <c r="Q11" s="1">
        <v>0.65</v>
      </c>
      <c r="R11" s="1">
        <v>0.81</v>
      </c>
      <c r="S11" s="1">
        <f t="shared" si="0"/>
        <v>0.81</v>
      </c>
    </row>
    <row r="12" spans="1:19" ht="25" customHeight="1">
      <c r="A12" t="s">
        <v>33</v>
      </c>
      <c r="B12">
        <v>2</v>
      </c>
      <c r="C12" t="s">
        <v>29</v>
      </c>
      <c r="D12" t="b">
        <v>0</v>
      </c>
      <c r="E12">
        <v>2</v>
      </c>
      <c r="F12" t="s">
        <v>27</v>
      </c>
      <c r="G12" s="1">
        <v>0.65</v>
      </c>
      <c r="H12" s="1">
        <v>0.68</v>
      </c>
      <c r="I12" s="1">
        <v>0.75</v>
      </c>
      <c r="J12" s="1">
        <v>0.73</v>
      </c>
      <c r="K12" s="1">
        <v>0.74</v>
      </c>
      <c r="L12" s="1">
        <v>0.71</v>
      </c>
      <c r="M12" s="1">
        <v>0.78</v>
      </c>
      <c r="N12" s="1">
        <v>0.76</v>
      </c>
      <c r="O12" s="1">
        <v>0.74</v>
      </c>
      <c r="P12" s="1">
        <v>0.72</v>
      </c>
      <c r="Q12" s="1">
        <v>0.68</v>
      </c>
      <c r="R12" s="1">
        <v>0.78</v>
      </c>
      <c r="S12" s="1">
        <f t="shared" si="0"/>
        <v>0.78</v>
      </c>
    </row>
    <row r="13" spans="1:19" ht="25" customHeight="1">
      <c r="A13" t="s">
        <v>33</v>
      </c>
      <c r="B13">
        <v>2</v>
      </c>
      <c r="C13" t="s">
        <v>29</v>
      </c>
      <c r="D13" t="b">
        <v>0</v>
      </c>
      <c r="E13">
        <v>3</v>
      </c>
      <c r="F13" t="s">
        <v>28</v>
      </c>
      <c r="G13" s="1">
        <v>0.68</v>
      </c>
      <c r="H13" s="1">
        <v>0.67</v>
      </c>
      <c r="I13" s="1">
        <v>0.64</v>
      </c>
      <c r="J13" s="1">
        <v>0.7</v>
      </c>
      <c r="K13" s="1">
        <v>0.73</v>
      </c>
      <c r="L13" s="1">
        <v>0.65</v>
      </c>
      <c r="M13" s="1">
        <v>0.66</v>
      </c>
      <c r="N13" s="1">
        <v>0.69</v>
      </c>
      <c r="O13" s="1">
        <v>0.73</v>
      </c>
      <c r="P13" s="1">
        <v>0.63</v>
      </c>
      <c r="Q13" s="1">
        <v>0.72</v>
      </c>
      <c r="R13" s="1">
        <v>0.77</v>
      </c>
      <c r="S13" s="1">
        <f t="shared" si="0"/>
        <v>0.77</v>
      </c>
    </row>
    <row r="14" spans="1:19" ht="25" customHeight="1">
      <c r="A14" t="s">
        <v>33</v>
      </c>
      <c r="B14">
        <v>3</v>
      </c>
      <c r="C14" t="s">
        <v>30</v>
      </c>
      <c r="D14" t="b">
        <v>1</v>
      </c>
      <c r="E14">
        <v>1</v>
      </c>
      <c r="F14" t="s">
        <v>26</v>
      </c>
      <c r="G14" s="1">
        <v>0.98</v>
      </c>
      <c r="H14" s="1">
        <v>0.95</v>
      </c>
      <c r="I14" s="1">
        <v>0.97</v>
      </c>
      <c r="J14" s="1">
        <v>0.91</v>
      </c>
      <c r="K14" s="1">
        <v>0.98</v>
      </c>
      <c r="L14" s="1">
        <v>0.97</v>
      </c>
      <c r="M14" s="1">
        <v>0.96</v>
      </c>
      <c r="N14" s="1">
        <v>0.98</v>
      </c>
      <c r="O14" s="1">
        <v>0.92</v>
      </c>
      <c r="P14" s="1">
        <v>0.89</v>
      </c>
      <c r="Q14" s="1">
        <v>0.97</v>
      </c>
      <c r="R14" s="1">
        <v>0.96</v>
      </c>
      <c r="S14" s="1">
        <f t="shared" si="0"/>
        <v>0.98</v>
      </c>
    </row>
    <row r="15" spans="1:19" ht="25" customHeight="1">
      <c r="A15" t="s">
        <v>33</v>
      </c>
      <c r="B15">
        <v>3</v>
      </c>
      <c r="C15" t="s">
        <v>30</v>
      </c>
      <c r="D15" t="b">
        <v>1</v>
      </c>
      <c r="E15">
        <v>2</v>
      </c>
      <c r="F15" t="s">
        <v>27</v>
      </c>
      <c r="G15" s="1">
        <v>0.99</v>
      </c>
      <c r="H15" s="1">
        <v>0.97</v>
      </c>
      <c r="I15" s="1">
        <v>0.98</v>
      </c>
      <c r="J15" s="1">
        <v>0.93</v>
      </c>
      <c r="K15" s="1">
        <v>0.98</v>
      </c>
      <c r="L15" s="1">
        <v>0.97</v>
      </c>
      <c r="M15" s="1">
        <v>0.97</v>
      </c>
      <c r="N15" s="1">
        <v>0.98</v>
      </c>
      <c r="O15" s="1">
        <v>0.95</v>
      </c>
      <c r="P15" s="1">
        <v>0.95</v>
      </c>
      <c r="Q15" s="1">
        <v>0.97</v>
      </c>
      <c r="R15" s="1">
        <v>0.96</v>
      </c>
      <c r="S15" s="1">
        <f t="shared" si="0"/>
        <v>0.99</v>
      </c>
    </row>
    <row r="16" spans="1:19" ht="25" customHeight="1">
      <c r="A16" t="s">
        <v>33</v>
      </c>
      <c r="B16">
        <v>3</v>
      </c>
      <c r="C16" t="s">
        <v>30</v>
      </c>
      <c r="D16" t="b">
        <v>1</v>
      </c>
      <c r="E16">
        <v>3</v>
      </c>
      <c r="F16" t="s">
        <v>28</v>
      </c>
      <c r="G16" s="1">
        <v>0.99</v>
      </c>
      <c r="H16" s="1">
        <v>0.97</v>
      </c>
      <c r="I16" s="1">
        <v>0.98</v>
      </c>
      <c r="J16" s="1">
        <v>0.93</v>
      </c>
      <c r="K16" s="1">
        <v>0.98</v>
      </c>
      <c r="L16" s="1">
        <v>0.97</v>
      </c>
      <c r="M16" s="1">
        <v>0.97</v>
      </c>
      <c r="N16" s="1">
        <v>0.98</v>
      </c>
      <c r="O16" s="1">
        <v>0.95</v>
      </c>
      <c r="P16" s="1">
        <v>0.95</v>
      </c>
      <c r="Q16" s="1">
        <v>0.97</v>
      </c>
      <c r="R16" s="1">
        <v>0.96</v>
      </c>
      <c r="S16" s="1">
        <f t="shared" si="0"/>
        <v>0.99</v>
      </c>
    </row>
    <row r="17" spans="1:19" ht="25" customHeight="1">
      <c r="A17" t="s">
        <v>33</v>
      </c>
      <c r="B17">
        <v>3</v>
      </c>
      <c r="C17" t="s">
        <v>30</v>
      </c>
      <c r="D17" t="b">
        <v>0</v>
      </c>
      <c r="E17">
        <v>1</v>
      </c>
      <c r="F17" t="s">
        <v>26</v>
      </c>
      <c r="G17" s="1">
        <v>0.99</v>
      </c>
      <c r="H17" s="1">
        <v>0.92</v>
      </c>
      <c r="I17" s="1">
        <v>0.95</v>
      </c>
      <c r="J17" s="1">
        <v>0.93</v>
      </c>
      <c r="K17" s="1">
        <v>0.97</v>
      </c>
      <c r="L17" s="1">
        <v>0.97</v>
      </c>
      <c r="M17" s="1">
        <v>0.96</v>
      </c>
      <c r="N17" s="1">
        <v>0.98</v>
      </c>
      <c r="O17" s="1">
        <v>0.94</v>
      </c>
      <c r="P17" s="1">
        <v>0.91</v>
      </c>
      <c r="Q17" s="1">
        <v>0.95</v>
      </c>
      <c r="R17" s="1">
        <v>0.96</v>
      </c>
      <c r="S17" s="1">
        <f t="shared" si="0"/>
        <v>0.99</v>
      </c>
    </row>
    <row r="18" spans="1:19" ht="25" customHeight="1">
      <c r="A18" t="s">
        <v>33</v>
      </c>
      <c r="B18">
        <v>3</v>
      </c>
      <c r="C18" t="s">
        <v>30</v>
      </c>
      <c r="D18" t="b">
        <v>0</v>
      </c>
      <c r="E18">
        <v>2</v>
      </c>
      <c r="F18" t="s">
        <v>27</v>
      </c>
      <c r="G18" s="1">
        <v>0.99</v>
      </c>
      <c r="H18" s="1">
        <v>0.97</v>
      </c>
      <c r="I18" s="1">
        <v>0.98</v>
      </c>
      <c r="J18" s="1">
        <v>0.93</v>
      </c>
      <c r="K18" s="1">
        <v>0.98</v>
      </c>
      <c r="L18" s="1">
        <v>0.97</v>
      </c>
      <c r="M18" s="1">
        <v>0.97</v>
      </c>
      <c r="N18" s="1">
        <v>0.98</v>
      </c>
      <c r="O18" s="1">
        <v>0.95</v>
      </c>
      <c r="P18" s="1">
        <v>0.95</v>
      </c>
      <c r="Q18" s="1">
        <v>0.96</v>
      </c>
      <c r="R18" s="1">
        <v>0.96</v>
      </c>
      <c r="S18" s="1">
        <f t="shared" si="0"/>
        <v>0.99</v>
      </c>
    </row>
    <row r="19" spans="1:19" ht="25" customHeight="1">
      <c r="A19" t="s">
        <v>33</v>
      </c>
      <c r="B19">
        <v>3</v>
      </c>
      <c r="C19" t="s">
        <v>30</v>
      </c>
      <c r="D19" t="b">
        <v>0</v>
      </c>
      <c r="E19">
        <v>3</v>
      </c>
      <c r="F19" t="s">
        <v>28</v>
      </c>
      <c r="G19" s="1">
        <v>0.99</v>
      </c>
      <c r="H19" s="1">
        <v>0.97</v>
      </c>
      <c r="I19" s="1">
        <v>0.98</v>
      </c>
      <c r="J19" s="1">
        <v>0.93</v>
      </c>
      <c r="K19" s="1">
        <v>0.98</v>
      </c>
      <c r="L19" s="1">
        <v>0.97</v>
      </c>
      <c r="M19" s="1">
        <v>0.97</v>
      </c>
      <c r="N19" s="1">
        <v>0.98</v>
      </c>
      <c r="O19" s="1">
        <v>0.95</v>
      </c>
      <c r="P19" s="1">
        <v>0.95</v>
      </c>
      <c r="Q19" s="1">
        <v>0.97</v>
      </c>
      <c r="R19" s="1">
        <v>0.96</v>
      </c>
      <c r="S19" s="1">
        <f t="shared" si="0"/>
        <v>0.99</v>
      </c>
    </row>
    <row r="22" spans="1:19" ht="25" customHeight="1">
      <c r="B22" t="s">
        <v>1</v>
      </c>
      <c r="C22" t="s">
        <v>2</v>
      </c>
      <c r="D22" t="s">
        <v>31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21</v>
      </c>
      <c r="Q22" t="s">
        <v>22</v>
      </c>
      <c r="R22" t="s">
        <v>23</v>
      </c>
      <c r="S22" t="s">
        <v>24</v>
      </c>
    </row>
    <row r="23" spans="1:19" ht="25" customHeight="1">
      <c r="B23">
        <v>1</v>
      </c>
      <c r="C23" t="s">
        <v>25</v>
      </c>
      <c r="D23" t="b">
        <v>1</v>
      </c>
      <c r="E23">
        <v>1</v>
      </c>
      <c r="F23" t="s">
        <v>24</v>
      </c>
      <c r="G23" s="1" cm="1">
        <f t="array" ref="G23">_xlfn.LET(_xlpm.d,G$2:G$19,_xlpm.a,$C$2:$C$19=$C23,_xlpm.b,$D$2:$D$19=$D23,MAX(_xlfn._xlws.FILTER(_xlpm.d,_xlpm.a*_xlpm.b)))</f>
        <v>0.77</v>
      </c>
      <c r="H23" s="1" cm="1">
        <f t="array" ref="H23">_xlfn.LET(_xlpm.d,H$2:H$19,_xlpm.a,$C$2:$C$19=$C23,_xlpm.b,$D$2:$D$19=$D23,MAX(_xlfn._xlws.FILTER(_xlpm.d,_xlpm.a*_xlpm.b)))</f>
        <v>0.72</v>
      </c>
      <c r="I23" s="1" cm="1">
        <f t="array" ref="I23">_xlfn.LET(_xlpm.d,I$2:I$19,_xlpm.a,$C$2:$C$19=$C23,_xlpm.b,$D$2:$D$19=$D23,MAX(_xlfn._xlws.FILTER(_xlpm.d,_xlpm.a*_xlpm.b)))</f>
        <v>0.77</v>
      </c>
      <c r="J23" s="1" cm="1">
        <f t="array" ref="J23">_xlfn.LET(_xlpm.d,J$2:J$19,_xlpm.a,$C$2:$C$19=$C23,_xlpm.b,$D$2:$D$19=$D23,MAX(_xlfn._xlws.FILTER(_xlpm.d,_xlpm.a*_xlpm.b)))</f>
        <v>0.66</v>
      </c>
      <c r="K23" s="1" cm="1">
        <f t="array" ref="K23">_xlfn.LET(_xlpm.d,K$2:K$19,_xlpm.a,$C$2:$C$19=$C23,_xlpm.b,$D$2:$D$19=$D23,MAX(_xlfn._xlws.FILTER(_xlpm.d,_xlpm.a*_xlpm.b)))</f>
        <v>0.69</v>
      </c>
      <c r="L23" s="1" cm="1">
        <f t="array" ref="L23">_xlfn.LET(_xlpm.d,L$2:L$19,_xlpm.a,$C$2:$C$19=$C23,_xlpm.b,$D$2:$D$19=$D23,MAX(_xlfn._xlws.FILTER(_xlpm.d,_xlpm.a*_xlpm.b)))</f>
        <v>0.69</v>
      </c>
      <c r="M23" s="1" cm="1">
        <f t="array" ref="M23">_xlfn.LET(_xlpm.d,M$2:M$19,_xlpm.a,$C$2:$C$19=$C23,_xlpm.b,$D$2:$D$19=$D23,MAX(_xlfn._xlws.FILTER(_xlpm.d,_xlpm.a*_xlpm.b)))</f>
        <v>0.64</v>
      </c>
      <c r="N23" s="1" cm="1">
        <f t="array" ref="N23">_xlfn.LET(_xlpm.d,N$2:N$19,_xlpm.a,$C$2:$C$19=$C23,_xlpm.b,$D$2:$D$19=$D23,MAX(_xlfn._xlws.FILTER(_xlpm.d,_xlpm.a*_xlpm.b)))</f>
        <v>0.65</v>
      </c>
      <c r="O23" s="1" cm="1">
        <f t="array" ref="O23">_xlfn.LET(_xlpm.d,O$2:O$19,_xlpm.a,$C$2:$C$19=$C23,_xlpm.b,$D$2:$D$19=$D23,MAX(_xlfn._xlws.FILTER(_xlpm.d,_xlpm.a*_xlpm.b)))</f>
        <v>0.76</v>
      </c>
      <c r="P23" s="1" cm="1">
        <f t="array" ref="P23">_xlfn.LET(_xlpm.d,P$2:P$19,_xlpm.a,$C$2:$C$19=$C23,_xlpm.b,$D$2:$D$19=$D23,MAX(_xlfn._xlws.FILTER(_xlpm.d,_xlpm.a*_xlpm.b)))</f>
        <v>0.61</v>
      </c>
      <c r="Q23" s="1" cm="1">
        <f t="array" ref="Q23">_xlfn.LET(_xlpm.d,Q$2:Q$19,_xlpm.a,$C$2:$C$19=$C23,_xlpm.b,$D$2:$D$19=$D23,MAX(_xlfn._xlws.FILTER(_xlpm.d,_xlpm.a*_xlpm.b)))</f>
        <v>0.71</v>
      </c>
      <c r="R23" s="1" cm="1">
        <f t="array" ref="R23">_xlfn.LET(_xlpm.d,R$2:R$19,_xlpm.a,$C$2:$C$19=$C23,_xlpm.b,$D$2:$D$19=$D23,MAX(_xlfn._xlws.FILTER(_xlpm.d,_xlpm.a*_xlpm.b)))</f>
        <v>0.7</v>
      </c>
      <c r="S23" s="1" cm="1">
        <f t="array" ref="S23">_xlfn.LET(_xlpm.d,S$2:S$19,_xlpm.a,$C$2:$C$19=$C23,_xlpm.b,$D$2:$D$19=$D23,MAX(_xlfn._xlws.FILTER(_xlpm.d,_xlpm.a*_xlpm.b)))</f>
        <v>0.77</v>
      </c>
    </row>
    <row r="24" spans="1:19" ht="25" customHeight="1">
      <c r="B24">
        <v>1</v>
      </c>
      <c r="C24" t="s">
        <v>25</v>
      </c>
      <c r="D24" t="b">
        <v>0</v>
      </c>
      <c r="E24">
        <v>1</v>
      </c>
      <c r="F24" t="s">
        <v>24</v>
      </c>
      <c r="G24" s="1" cm="1">
        <f t="array" ref="G24">_xlfn.LET(_xlpm.d,G$2:G$19,_xlpm.a,$C$2:$C$19=$C24,_xlpm.b,$D$2:$D$19=$D24,MAX(_xlfn._xlws.FILTER(_xlpm.d,_xlpm.a*_xlpm.b)))</f>
        <v>0.77</v>
      </c>
      <c r="H24" s="1" cm="1">
        <f t="array" ref="H24">_xlfn.LET(_xlpm.d,H$2:H$19,_xlpm.a,$C$2:$C$19=$C24,_xlpm.b,$D$2:$D$19=$D24,MAX(_xlfn._xlws.FILTER(_xlpm.d,_xlpm.a*_xlpm.b)))</f>
        <v>0.7</v>
      </c>
      <c r="I24" s="1" cm="1">
        <f t="array" ref="I24">_xlfn.LET(_xlpm.d,I$2:I$19,_xlpm.a,$C$2:$C$19=$C24,_xlpm.b,$D$2:$D$19=$D24,MAX(_xlfn._xlws.FILTER(_xlpm.d,_xlpm.a*_xlpm.b)))</f>
        <v>0.75</v>
      </c>
      <c r="J24" s="1" cm="1">
        <f t="array" ref="J24">_xlfn.LET(_xlpm.d,J$2:J$19,_xlpm.a,$C$2:$C$19=$C24,_xlpm.b,$D$2:$D$19=$D24,MAX(_xlfn._xlws.FILTER(_xlpm.d,_xlpm.a*_xlpm.b)))</f>
        <v>0.68</v>
      </c>
      <c r="K24" s="1" cm="1">
        <f t="array" ref="K24">_xlfn.LET(_xlpm.d,K$2:K$19,_xlpm.a,$C$2:$C$19=$C24,_xlpm.b,$D$2:$D$19=$D24,MAX(_xlfn._xlws.FILTER(_xlpm.d,_xlpm.a*_xlpm.b)))</f>
        <v>0.68</v>
      </c>
      <c r="L24" s="1" cm="1">
        <f t="array" ref="L24">_xlfn.LET(_xlpm.d,L$2:L$19,_xlpm.a,$C$2:$C$19=$C24,_xlpm.b,$D$2:$D$19=$D24,MAX(_xlfn._xlws.FILTER(_xlpm.d,_xlpm.a*_xlpm.b)))</f>
        <v>0.67</v>
      </c>
      <c r="M24" s="1" cm="1">
        <f t="array" ref="M24">_xlfn.LET(_xlpm.d,M$2:M$19,_xlpm.a,$C$2:$C$19=$C24,_xlpm.b,$D$2:$D$19=$D24,MAX(_xlfn._xlws.FILTER(_xlpm.d,_xlpm.a*_xlpm.b)))</f>
        <v>0.63</v>
      </c>
      <c r="N24" s="1" cm="1">
        <f t="array" ref="N24">_xlfn.LET(_xlpm.d,N$2:N$19,_xlpm.a,$C$2:$C$19=$C24,_xlpm.b,$D$2:$D$19=$D24,MAX(_xlfn._xlws.FILTER(_xlpm.d,_xlpm.a*_xlpm.b)))</f>
        <v>0.67</v>
      </c>
      <c r="O24" s="1" cm="1">
        <f t="array" ref="O24">_xlfn.LET(_xlpm.d,O$2:O$19,_xlpm.a,$C$2:$C$19=$C24,_xlpm.b,$D$2:$D$19=$D24,MAX(_xlfn._xlws.FILTER(_xlpm.d,_xlpm.a*_xlpm.b)))</f>
        <v>0.74</v>
      </c>
      <c r="P24" s="1" cm="1">
        <f t="array" ref="P24">_xlfn.LET(_xlpm.d,P$2:P$19,_xlpm.a,$C$2:$C$19=$C24,_xlpm.b,$D$2:$D$19=$D24,MAX(_xlfn._xlws.FILTER(_xlpm.d,_xlpm.a*_xlpm.b)))</f>
        <v>0.54</v>
      </c>
      <c r="Q24" s="1" cm="1">
        <f t="array" ref="Q24">_xlfn.LET(_xlpm.d,Q$2:Q$19,_xlpm.a,$C$2:$C$19=$C24,_xlpm.b,$D$2:$D$19=$D24,MAX(_xlfn._xlws.FILTER(_xlpm.d,_xlpm.a*_xlpm.b)))</f>
        <v>0.66</v>
      </c>
      <c r="R24" s="1" cm="1">
        <f t="array" ref="R24">_xlfn.LET(_xlpm.d,R$2:R$19,_xlpm.a,$C$2:$C$19=$C24,_xlpm.b,$D$2:$D$19=$D24,MAX(_xlfn._xlws.FILTER(_xlpm.d,_xlpm.a*_xlpm.b)))</f>
        <v>0.69</v>
      </c>
      <c r="S24" s="1" cm="1">
        <f t="array" ref="S24">_xlfn.LET(_xlpm.d,S$2:S$19,_xlpm.a,$C$2:$C$19=$C24,_xlpm.b,$D$2:$D$19=$D24,MAX(_xlfn._xlws.FILTER(_xlpm.d,_xlpm.a*_xlpm.b)))</f>
        <v>0.77</v>
      </c>
    </row>
    <row r="25" spans="1:19" ht="25" customHeight="1">
      <c r="B25">
        <v>2</v>
      </c>
      <c r="C25" t="s">
        <v>29</v>
      </c>
      <c r="D25" t="b">
        <v>1</v>
      </c>
      <c r="E25">
        <v>1</v>
      </c>
      <c r="F25" t="s">
        <v>24</v>
      </c>
      <c r="G25" s="1" cm="1">
        <f t="array" ref="G25">_xlfn.LET(_xlpm.d,G$2:G$19,_xlpm.a,$C$2:$C$19=$C25,_xlpm.b,$D$2:$D$19=$D25,MAX(_xlfn._xlws.FILTER(_xlpm.d,_xlpm.a*_xlpm.b)))</f>
        <v>0.75</v>
      </c>
      <c r="H25" s="1" cm="1">
        <f t="array" ref="H25">_xlfn.LET(_xlpm.d,H$2:H$19,_xlpm.a,$C$2:$C$19=$C25,_xlpm.b,$D$2:$D$19=$D25,MAX(_xlfn._xlws.FILTER(_xlpm.d,_xlpm.a*_xlpm.b)))</f>
        <v>0.77</v>
      </c>
      <c r="I25" s="1" cm="1">
        <f t="array" ref="I25">_xlfn.LET(_xlpm.d,I$2:I$19,_xlpm.a,$C$2:$C$19=$C25,_xlpm.b,$D$2:$D$19=$D25,MAX(_xlfn._xlws.FILTER(_xlpm.d,_xlpm.a*_xlpm.b)))</f>
        <v>0.77</v>
      </c>
      <c r="J25" s="1" cm="1">
        <f t="array" ref="J25">_xlfn.LET(_xlpm.d,J$2:J$19,_xlpm.a,$C$2:$C$19=$C25,_xlpm.b,$D$2:$D$19=$D25,MAX(_xlfn._xlws.FILTER(_xlpm.d,_xlpm.a*_xlpm.b)))</f>
        <v>0.77</v>
      </c>
      <c r="K25" s="1" cm="1">
        <f t="array" ref="K25">_xlfn.LET(_xlpm.d,K$2:K$19,_xlpm.a,$C$2:$C$19=$C25,_xlpm.b,$D$2:$D$19=$D25,MAX(_xlfn._xlws.FILTER(_xlpm.d,_xlpm.a*_xlpm.b)))</f>
        <v>0.75</v>
      </c>
      <c r="L25" s="1" cm="1">
        <f t="array" ref="L25">_xlfn.LET(_xlpm.d,L$2:L$19,_xlpm.a,$C$2:$C$19=$C25,_xlpm.b,$D$2:$D$19=$D25,MAX(_xlfn._xlws.FILTER(_xlpm.d,_xlpm.a*_xlpm.b)))</f>
        <v>0.71</v>
      </c>
      <c r="M25" s="1" cm="1">
        <f t="array" ref="M25">_xlfn.LET(_xlpm.d,M$2:M$19,_xlpm.a,$C$2:$C$19=$C25,_xlpm.b,$D$2:$D$19=$D25,MAX(_xlfn._xlws.FILTER(_xlpm.d,_xlpm.a*_xlpm.b)))</f>
        <v>0.79</v>
      </c>
      <c r="N25" s="1" cm="1">
        <f t="array" ref="N25">_xlfn.LET(_xlpm.d,N$2:N$19,_xlpm.a,$C$2:$C$19=$C25,_xlpm.b,$D$2:$D$19=$D25,MAX(_xlfn._xlws.FILTER(_xlpm.d,_xlpm.a*_xlpm.b)))</f>
        <v>0.81</v>
      </c>
      <c r="O25" s="1" cm="1">
        <f t="array" ref="O25">_xlfn.LET(_xlpm.d,O$2:O$19,_xlpm.a,$C$2:$C$19=$C25,_xlpm.b,$D$2:$D$19=$D25,MAX(_xlfn._xlws.FILTER(_xlpm.d,_xlpm.a*_xlpm.b)))</f>
        <v>0.82</v>
      </c>
      <c r="P25" s="1" cm="1">
        <f t="array" ref="P25">_xlfn.LET(_xlpm.d,P$2:P$19,_xlpm.a,$C$2:$C$19=$C25,_xlpm.b,$D$2:$D$19=$D25,MAX(_xlfn._xlws.FILTER(_xlpm.d,_xlpm.a*_xlpm.b)))</f>
        <v>0.76</v>
      </c>
      <c r="Q25" s="1" cm="1">
        <f t="array" ref="Q25">_xlfn.LET(_xlpm.d,Q$2:Q$19,_xlpm.a,$C$2:$C$19=$C25,_xlpm.b,$D$2:$D$19=$D25,MAX(_xlfn._xlws.FILTER(_xlpm.d,_xlpm.a*_xlpm.b)))</f>
        <v>0.73</v>
      </c>
      <c r="R25" s="1" cm="1">
        <f t="array" ref="R25">_xlfn.LET(_xlpm.d,R$2:R$19,_xlpm.a,$C$2:$C$19=$C25,_xlpm.b,$D$2:$D$19=$D25,MAX(_xlfn._xlws.FILTER(_xlpm.d,_xlpm.a*_xlpm.b)))</f>
        <v>0.8</v>
      </c>
      <c r="S25" s="1" cm="1">
        <f t="array" ref="S25">_xlfn.LET(_xlpm.d,S$2:S$19,_xlpm.a,$C$2:$C$19=$C25,_xlpm.b,$D$2:$D$19=$D25,MAX(_xlfn._xlws.FILTER(_xlpm.d,_xlpm.a*_xlpm.b)))</f>
        <v>0.82</v>
      </c>
    </row>
    <row r="26" spans="1:19" ht="25" customHeight="1">
      <c r="B26">
        <v>2</v>
      </c>
      <c r="C26" t="s">
        <v>29</v>
      </c>
      <c r="D26" t="b">
        <v>0</v>
      </c>
      <c r="E26">
        <v>1</v>
      </c>
      <c r="F26" t="s">
        <v>24</v>
      </c>
      <c r="G26" s="1" cm="1">
        <f t="array" ref="G26">_xlfn.LET(_xlpm.d,G$2:G$19,_xlpm.a,$C$2:$C$19=$C26,_xlpm.b,$D$2:$D$19=$D26,MAX(_xlfn._xlws.FILTER(_xlpm.d,_xlpm.a*_xlpm.b)))</f>
        <v>0.68</v>
      </c>
      <c r="H26" s="1" cm="1">
        <f t="array" ref="H26">_xlfn.LET(_xlpm.d,H$2:H$19,_xlpm.a,$C$2:$C$19=$C26,_xlpm.b,$D$2:$D$19=$D26,MAX(_xlfn._xlws.FILTER(_xlpm.d,_xlpm.a*_xlpm.b)))</f>
        <v>0.68</v>
      </c>
      <c r="I26" s="1" cm="1">
        <f t="array" ref="I26">_xlfn.LET(_xlpm.d,I$2:I$19,_xlpm.a,$C$2:$C$19=$C26,_xlpm.b,$D$2:$D$19=$D26,MAX(_xlfn._xlws.FILTER(_xlpm.d,_xlpm.a*_xlpm.b)))</f>
        <v>0.75</v>
      </c>
      <c r="J26" s="1" cm="1">
        <f t="array" ref="J26">_xlfn.LET(_xlpm.d,J$2:J$19,_xlpm.a,$C$2:$C$19=$C26,_xlpm.b,$D$2:$D$19=$D26,MAX(_xlfn._xlws.FILTER(_xlpm.d,_xlpm.a*_xlpm.b)))</f>
        <v>0.73</v>
      </c>
      <c r="K26" s="1" cm="1">
        <f t="array" ref="K26">_xlfn.LET(_xlpm.d,K$2:K$19,_xlpm.a,$C$2:$C$19=$C26,_xlpm.b,$D$2:$D$19=$D26,MAX(_xlfn._xlws.FILTER(_xlpm.d,_xlpm.a*_xlpm.b)))</f>
        <v>0.74</v>
      </c>
      <c r="L26" s="1" cm="1">
        <f t="array" ref="L26">_xlfn.LET(_xlpm.d,L$2:L$19,_xlpm.a,$C$2:$C$19=$C26,_xlpm.b,$D$2:$D$19=$D26,MAX(_xlfn._xlws.FILTER(_xlpm.d,_xlpm.a*_xlpm.b)))</f>
        <v>0.71</v>
      </c>
      <c r="M26" s="1" cm="1">
        <f t="array" ref="M26">_xlfn.LET(_xlpm.d,M$2:M$19,_xlpm.a,$C$2:$C$19=$C26,_xlpm.b,$D$2:$D$19=$D26,MAX(_xlfn._xlws.FILTER(_xlpm.d,_xlpm.a*_xlpm.b)))</f>
        <v>0.78</v>
      </c>
      <c r="N26" s="1" cm="1">
        <f t="array" ref="N26">_xlfn.LET(_xlpm.d,N$2:N$19,_xlpm.a,$C$2:$C$19=$C26,_xlpm.b,$D$2:$D$19=$D26,MAX(_xlfn._xlws.FILTER(_xlpm.d,_xlpm.a*_xlpm.b)))</f>
        <v>0.77</v>
      </c>
      <c r="O26" s="1" cm="1">
        <f t="array" ref="O26">_xlfn.LET(_xlpm.d,O$2:O$19,_xlpm.a,$C$2:$C$19=$C26,_xlpm.b,$D$2:$D$19=$D26,MAX(_xlfn._xlws.FILTER(_xlpm.d,_xlpm.a*_xlpm.b)))</f>
        <v>0.74</v>
      </c>
      <c r="P26" s="1" cm="1">
        <f t="array" ref="P26">_xlfn.LET(_xlpm.d,P$2:P$19,_xlpm.a,$C$2:$C$19=$C26,_xlpm.b,$D$2:$D$19=$D26,MAX(_xlfn._xlws.FILTER(_xlpm.d,_xlpm.a*_xlpm.b)))</f>
        <v>0.72</v>
      </c>
      <c r="Q26" s="1" cm="1">
        <f t="array" ref="Q26">_xlfn.LET(_xlpm.d,Q$2:Q$19,_xlpm.a,$C$2:$C$19=$C26,_xlpm.b,$D$2:$D$19=$D26,MAX(_xlfn._xlws.FILTER(_xlpm.d,_xlpm.a*_xlpm.b)))</f>
        <v>0.72</v>
      </c>
      <c r="R26" s="1" cm="1">
        <f t="array" ref="R26">_xlfn.LET(_xlpm.d,R$2:R$19,_xlpm.a,$C$2:$C$19=$C26,_xlpm.b,$D$2:$D$19=$D26,MAX(_xlfn._xlws.FILTER(_xlpm.d,_xlpm.a*_xlpm.b)))</f>
        <v>0.81</v>
      </c>
      <c r="S26" s="1" cm="1">
        <f t="array" ref="S26">_xlfn.LET(_xlpm.d,S$2:S$19,_xlpm.a,$C$2:$C$19=$C26,_xlpm.b,$D$2:$D$19=$D26,MAX(_xlfn._xlws.FILTER(_xlpm.d,_xlpm.a*_xlpm.b)))</f>
        <v>0.81</v>
      </c>
    </row>
    <row r="27" spans="1:19" ht="25" customHeight="1">
      <c r="B27">
        <v>3</v>
      </c>
      <c r="C27" t="s">
        <v>30</v>
      </c>
      <c r="D27" t="b">
        <v>1</v>
      </c>
      <c r="E27">
        <v>1</v>
      </c>
      <c r="F27" t="s">
        <v>24</v>
      </c>
      <c r="G27" s="1" cm="1">
        <f t="array" ref="G27">_xlfn.LET(_xlpm.d,G$2:G$19,_xlpm.a,$C$2:$C$19=$C27,_xlpm.b,$D$2:$D$19=$D27,MAX(_xlfn._xlws.FILTER(_xlpm.d,_xlpm.a*_xlpm.b)))</f>
        <v>0.99</v>
      </c>
      <c r="H27" s="1" cm="1">
        <f t="array" ref="H27">_xlfn.LET(_xlpm.d,H$2:H$19,_xlpm.a,$C$2:$C$19=$C27,_xlpm.b,$D$2:$D$19=$D27,MAX(_xlfn._xlws.FILTER(_xlpm.d,_xlpm.a*_xlpm.b)))</f>
        <v>0.97</v>
      </c>
      <c r="I27" s="1" cm="1">
        <f t="array" ref="I27">_xlfn.LET(_xlpm.d,I$2:I$19,_xlpm.a,$C$2:$C$19=$C27,_xlpm.b,$D$2:$D$19=$D27,MAX(_xlfn._xlws.FILTER(_xlpm.d,_xlpm.a*_xlpm.b)))</f>
        <v>0.98</v>
      </c>
      <c r="J27" s="1" cm="1">
        <f t="array" ref="J27">_xlfn.LET(_xlpm.d,J$2:J$19,_xlpm.a,$C$2:$C$19=$C27,_xlpm.b,$D$2:$D$19=$D27,MAX(_xlfn._xlws.FILTER(_xlpm.d,_xlpm.a*_xlpm.b)))</f>
        <v>0.93</v>
      </c>
      <c r="K27" s="1" cm="1">
        <f t="array" ref="K27">_xlfn.LET(_xlpm.d,K$2:K$19,_xlpm.a,$C$2:$C$19=$C27,_xlpm.b,$D$2:$D$19=$D27,MAX(_xlfn._xlws.FILTER(_xlpm.d,_xlpm.a*_xlpm.b)))</f>
        <v>0.98</v>
      </c>
      <c r="L27" s="1" cm="1">
        <f t="array" ref="L27">_xlfn.LET(_xlpm.d,L$2:L$19,_xlpm.a,$C$2:$C$19=$C27,_xlpm.b,$D$2:$D$19=$D27,MAX(_xlfn._xlws.FILTER(_xlpm.d,_xlpm.a*_xlpm.b)))</f>
        <v>0.97</v>
      </c>
      <c r="M27" s="1" cm="1">
        <f t="array" ref="M27">_xlfn.LET(_xlpm.d,M$2:M$19,_xlpm.a,$C$2:$C$19=$C27,_xlpm.b,$D$2:$D$19=$D27,MAX(_xlfn._xlws.FILTER(_xlpm.d,_xlpm.a*_xlpm.b)))</f>
        <v>0.97</v>
      </c>
      <c r="N27" s="1" cm="1">
        <f t="array" ref="N27">_xlfn.LET(_xlpm.d,N$2:N$19,_xlpm.a,$C$2:$C$19=$C27,_xlpm.b,$D$2:$D$19=$D27,MAX(_xlfn._xlws.FILTER(_xlpm.d,_xlpm.a*_xlpm.b)))</f>
        <v>0.98</v>
      </c>
      <c r="O27" s="1" cm="1">
        <f t="array" ref="O27">_xlfn.LET(_xlpm.d,O$2:O$19,_xlpm.a,$C$2:$C$19=$C27,_xlpm.b,$D$2:$D$19=$D27,MAX(_xlfn._xlws.FILTER(_xlpm.d,_xlpm.a*_xlpm.b)))</f>
        <v>0.95</v>
      </c>
      <c r="P27" s="1" cm="1">
        <f t="array" ref="P27">_xlfn.LET(_xlpm.d,P$2:P$19,_xlpm.a,$C$2:$C$19=$C27,_xlpm.b,$D$2:$D$19=$D27,MAX(_xlfn._xlws.FILTER(_xlpm.d,_xlpm.a*_xlpm.b)))</f>
        <v>0.95</v>
      </c>
      <c r="Q27" s="1" cm="1">
        <f t="array" ref="Q27">_xlfn.LET(_xlpm.d,Q$2:Q$19,_xlpm.a,$C$2:$C$19=$C27,_xlpm.b,$D$2:$D$19=$D27,MAX(_xlfn._xlws.FILTER(_xlpm.d,_xlpm.a*_xlpm.b)))</f>
        <v>0.97</v>
      </c>
      <c r="R27" s="1" cm="1">
        <f t="array" ref="R27">_xlfn.LET(_xlpm.d,R$2:R$19,_xlpm.a,$C$2:$C$19=$C27,_xlpm.b,$D$2:$D$19=$D27,MAX(_xlfn._xlws.FILTER(_xlpm.d,_xlpm.a*_xlpm.b)))</f>
        <v>0.96</v>
      </c>
      <c r="S27" s="1" cm="1">
        <f t="array" ref="S27">_xlfn.LET(_xlpm.d,S$2:S$19,_xlpm.a,$C$2:$C$19=$C27,_xlpm.b,$D$2:$D$19=$D27,MAX(_xlfn._xlws.FILTER(_xlpm.d,_xlpm.a*_xlpm.b)))</f>
        <v>0.99</v>
      </c>
    </row>
    <row r="28" spans="1:19" ht="25" customHeight="1">
      <c r="B28">
        <v>3</v>
      </c>
      <c r="C28" t="s">
        <v>30</v>
      </c>
      <c r="D28" t="b">
        <v>0</v>
      </c>
      <c r="E28">
        <v>1</v>
      </c>
      <c r="F28" t="s">
        <v>24</v>
      </c>
      <c r="G28" s="1" cm="1">
        <f t="array" ref="G28">_xlfn.LET(_xlpm.d,G$2:G$19,_xlpm.a,$C$2:$C$19=$C28,_xlpm.b,$D$2:$D$19=$D28,MAX(_xlfn._xlws.FILTER(_xlpm.d,_xlpm.a*_xlpm.b)))</f>
        <v>0.99</v>
      </c>
      <c r="H28" s="1" cm="1">
        <f t="array" ref="H28">_xlfn.LET(_xlpm.d,H$2:H$19,_xlpm.a,$C$2:$C$19=$C28,_xlpm.b,$D$2:$D$19=$D28,MAX(_xlfn._xlws.FILTER(_xlpm.d,_xlpm.a*_xlpm.b)))</f>
        <v>0.97</v>
      </c>
      <c r="I28" s="1" cm="1">
        <f t="array" ref="I28">_xlfn.LET(_xlpm.d,I$2:I$19,_xlpm.a,$C$2:$C$19=$C28,_xlpm.b,$D$2:$D$19=$D28,MAX(_xlfn._xlws.FILTER(_xlpm.d,_xlpm.a*_xlpm.b)))</f>
        <v>0.98</v>
      </c>
      <c r="J28" s="1" cm="1">
        <f t="array" ref="J28">_xlfn.LET(_xlpm.d,J$2:J$19,_xlpm.a,$C$2:$C$19=$C28,_xlpm.b,$D$2:$D$19=$D28,MAX(_xlfn._xlws.FILTER(_xlpm.d,_xlpm.a*_xlpm.b)))</f>
        <v>0.93</v>
      </c>
      <c r="K28" s="1" cm="1">
        <f t="array" ref="K28">_xlfn.LET(_xlpm.d,K$2:K$19,_xlpm.a,$C$2:$C$19=$C28,_xlpm.b,$D$2:$D$19=$D28,MAX(_xlfn._xlws.FILTER(_xlpm.d,_xlpm.a*_xlpm.b)))</f>
        <v>0.98</v>
      </c>
      <c r="L28" s="1" cm="1">
        <f t="array" ref="L28">_xlfn.LET(_xlpm.d,L$2:L$19,_xlpm.a,$C$2:$C$19=$C28,_xlpm.b,$D$2:$D$19=$D28,MAX(_xlfn._xlws.FILTER(_xlpm.d,_xlpm.a*_xlpm.b)))</f>
        <v>0.97</v>
      </c>
      <c r="M28" s="1" cm="1">
        <f t="array" ref="M28">_xlfn.LET(_xlpm.d,M$2:M$19,_xlpm.a,$C$2:$C$19=$C28,_xlpm.b,$D$2:$D$19=$D28,MAX(_xlfn._xlws.FILTER(_xlpm.d,_xlpm.a*_xlpm.b)))</f>
        <v>0.97</v>
      </c>
      <c r="N28" s="1" cm="1">
        <f t="array" ref="N28">_xlfn.LET(_xlpm.d,N$2:N$19,_xlpm.a,$C$2:$C$19=$C28,_xlpm.b,$D$2:$D$19=$D28,MAX(_xlfn._xlws.FILTER(_xlpm.d,_xlpm.a*_xlpm.b)))</f>
        <v>0.98</v>
      </c>
      <c r="O28" s="1" cm="1">
        <f t="array" ref="O28">_xlfn.LET(_xlpm.d,O$2:O$19,_xlpm.a,$C$2:$C$19=$C28,_xlpm.b,$D$2:$D$19=$D28,MAX(_xlfn._xlws.FILTER(_xlpm.d,_xlpm.a*_xlpm.b)))</f>
        <v>0.95</v>
      </c>
      <c r="P28" s="1" cm="1">
        <f t="array" ref="P28">_xlfn.LET(_xlpm.d,P$2:P$19,_xlpm.a,$C$2:$C$19=$C28,_xlpm.b,$D$2:$D$19=$D28,MAX(_xlfn._xlws.FILTER(_xlpm.d,_xlpm.a*_xlpm.b)))</f>
        <v>0.95</v>
      </c>
      <c r="Q28" s="1" cm="1">
        <f t="array" ref="Q28">_xlfn.LET(_xlpm.d,Q$2:Q$19,_xlpm.a,$C$2:$C$19=$C28,_xlpm.b,$D$2:$D$19=$D28,MAX(_xlfn._xlws.FILTER(_xlpm.d,_xlpm.a*_xlpm.b)))</f>
        <v>0.97</v>
      </c>
      <c r="R28" s="1" cm="1">
        <f t="array" ref="R28">_xlfn.LET(_xlpm.d,R$2:R$19,_xlpm.a,$C$2:$C$19=$C28,_xlpm.b,$D$2:$D$19=$D28,MAX(_xlfn._xlws.FILTER(_xlpm.d,_xlpm.a*_xlpm.b)))</f>
        <v>0.96</v>
      </c>
      <c r="S28" s="1" cm="1">
        <f t="array" ref="S28">_xlfn.LET(_xlpm.d,S$2:S$19,_xlpm.a,$C$2:$C$19=$C28,_xlpm.b,$D$2:$D$19=$D28,MAX(_xlfn._xlws.FILTER(_xlpm.d,_xlpm.a*_xlpm.b)))</f>
        <v>0.99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summarized</vt:lpstr>
      <vt:lpstr>xsk-3k-mgv9</vt:lpstr>
      <vt:lpstr>xsk-3k-mgv6</vt:lpstr>
      <vt:lpstr>xsk-3k-mgv3</vt:lpstr>
      <vt:lpstr>xsk-2k-mgv9</vt:lpstr>
      <vt:lpstr>xsk-2k-mgv6</vt:lpstr>
      <vt:lpstr>xsk-2k-mgv3</vt:lpstr>
      <vt:lpstr>xsk-1.2k-mgv9</vt:lpstr>
      <vt:lpstr>xsk-1.2k-mgv6</vt:lpstr>
      <vt:lpstr>xsk-1.2k-mgv3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2025-02-25T09:48:25Z</dcterms:created>
  <dcterms:modified xsi:type="dcterms:W3CDTF">2025-03-04T09:15:40Z</dcterms:modified>
  <cp:category/>
</cp:coreProperties>
</file>