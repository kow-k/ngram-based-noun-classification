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/GitHub/ngram-based-noun-classification/results/"/>
    </mc:Choice>
  </mc:AlternateContent>
  <xr:revisionPtr revIDLastSave="0" documentId="13_ncr:1_{882EE33C-DA68-CB49-90B7-EBD2CA6A1454}" xr6:coauthVersionLast="47" xr6:coauthVersionMax="47" xr10:uidLastSave="{00000000-0000-0000-0000-000000000000}"/>
  <bookViews>
    <workbookView xWindow="980" yWindow="500" windowWidth="31980" windowHeight="18380" xr2:uid="{684B4A25-3BB4-6141-8027-A4F2F4A2BE66}"/>
  </bookViews>
  <sheets>
    <sheet name="summarized" sheetId="12" r:id="rId1"/>
    <sheet name="3k-xsk-mgv9" sheetId="1" r:id="rId2"/>
    <sheet name="3k-xsk-mgv6" sheetId="7" r:id="rId3"/>
    <sheet name="3k-xsk-mgv3" sheetId="8" r:id="rId4"/>
    <sheet name="2k-xsk-mgv9" sheetId="3" r:id="rId5"/>
    <sheet name="2k-xsk-mgv6" sheetId="6" r:id="rId6"/>
    <sheet name="2k-xsk-mgv3" sheetId="11" r:id="rId7"/>
    <sheet name="1.2k-xsk-mgv9" sheetId="4" r:id="rId8"/>
    <sheet name="1.2k-xsk-mgv6" sheetId="5" r:id="rId9"/>
    <sheet name="1.2-xsk-mgv3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40" i="12" l="1"/>
  <c r="W39" i="12"/>
  <c r="W38" i="12"/>
  <c r="W3" i="12"/>
  <c r="W25" i="12"/>
  <c r="W46" i="12"/>
  <c r="W9" i="12"/>
  <c r="W21" i="12"/>
  <c r="W47" i="12"/>
  <c r="W7" i="12"/>
  <c r="W20" i="12"/>
  <c r="W5" i="12"/>
  <c r="W24" i="12"/>
  <c r="W52" i="12"/>
  <c r="W4" i="12"/>
  <c r="W29" i="12"/>
  <c r="W55" i="12"/>
  <c r="W2" i="12"/>
  <c r="W27" i="12"/>
  <c r="W45" i="12"/>
  <c r="W15" i="12"/>
  <c r="W26" i="12"/>
  <c r="W6" i="12"/>
  <c r="W23" i="12"/>
  <c r="W43" i="12"/>
  <c r="W8" i="12"/>
  <c r="W36" i="12"/>
  <c r="W41" i="12"/>
  <c r="W12" i="12"/>
  <c r="W22" i="12"/>
  <c r="W50" i="12"/>
  <c r="W11" i="12"/>
  <c r="W30" i="12"/>
  <c r="W51" i="12"/>
  <c r="W10" i="12"/>
  <c r="W37" i="12"/>
  <c r="W49" i="12"/>
  <c r="W19" i="12"/>
  <c r="W34" i="12"/>
  <c r="W44" i="12"/>
  <c r="W17" i="12"/>
  <c r="W33" i="12"/>
  <c r="W18" i="12"/>
  <c r="W32" i="12"/>
  <c r="W54" i="12"/>
  <c r="W13" i="12"/>
  <c r="W31" i="12"/>
  <c r="W53" i="12"/>
  <c r="W16" i="12"/>
  <c r="W28" i="12"/>
  <c r="W42" i="12"/>
  <c r="W14" i="12"/>
  <c r="W35" i="12"/>
  <c r="W48" i="12"/>
  <c r="I19" i="12"/>
  <c r="I36" i="12"/>
  <c r="I54" i="12"/>
  <c r="I9" i="12"/>
  <c r="I35" i="12"/>
  <c r="I52" i="12"/>
  <c r="I16" i="12"/>
  <c r="I37" i="12"/>
  <c r="I50" i="12"/>
  <c r="I2" i="12"/>
  <c r="I34" i="12"/>
  <c r="I46" i="12"/>
  <c r="I15" i="12"/>
  <c r="I33" i="12"/>
  <c r="I53" i="12"/>
  <c r="I6" i="12"/>
  <c r="I32" i="12"/>
  <c r="I55" i="12"/>
  <c r="I17" i="12"/>
  <c r="I29" i="12"/>
  <c r="I51" i="12"/>
  <c r="I7" i="12"/>
  <c r="I25" i="12"/>
  <c r="I42" i="12"/>
  <c r="I18" i="12"/>
  <c r="I31" i="12"/>
  <c r="I49" i="12"/>
  <c r="I12" i="12"/>
  <c r="I27" i="12"/>
  <c r="I44" i="12"/>
  <c r="I13" i="12"/>
  <c r="I30" i="12"/>
  <c r="I45" i="12"/>
  <c r="I3" i="12"/>
  <c r="I22" i="12"/>
  <c r="I40" i="12"/>
  <c r="I11" i="12"/>
  <c r="I21" i="12"/>
  <c r="I43" i="12"/>
  <c r="I5" i="12"/>
  <c r="I20" i="12"/>
  <c r="I39" i="12"/>
  <c r="I14" i="12"/>
  <c r="I28" i="12"/>
  <c r="I48" i="12"/>
  <c r="I8" i="12"/>
  <c r="I23" i="12"/>
  <c r="I41" i="12"/>
  <c r="I10" i="12"/>
  <c r="I26" i="12"/>
  <c r="I47" i="12"/>
  <c r="I4" i="12"/>
  <c r="I24" i="12"/>
  <c r="I38" i="12"/>
  <c r="X46" i="12" l="1"/>
  <c r="X31" i="12"/>
  <c r="X34" i="12"/>
  <c r="X50" i="12"/>
  <c r="X6" i="12"/>
  <c r="X4" i="12"/>
  <c r="X9" i="12"/>
  <c r="X49" i="12"/>
  <c r="X12" i="12"/>
  <c r="X15" i="12"/>
  <c r="X24" i="12"/>
  <c r="X25" i="12"/>
  <c r="X32" i="12"/>
  <c r="X19" i="12"/>
  <c r="X52" i="12"/>
  <c r="X36" i="12"/>
  <c r="X20" i="12"/>
  <c r="X44" i="12"/>
  <c r="X13" i="12"/>
  <c r="X22" i="12"/>
  <c r="X28" i="12"/>
  <c r="X33" i="12"/>
  <c r="X51" i="12"/>
  <c r="X8" i="12"/>
  <c r="X23" i="12"/>
  <c r="X7" i="12"/>
  <c r="X48" i="12"/>
  <c r="X26" i="12"/>
  <c r="X16" i="12"/>
  <c r="X17" i="12"/>
  <c r="X30" i="12"/>
  <c r="X43" i="12"/>
  <c r="X55" i="12"/>
  <c r="X47" i="12"/>
  <c r="X54" i="12"/>
  <c r="X38" i="12"/>
  <c r="X14" i="12"/>
  <c r="X53" i="12"/>
  <c r="X45" i="12"/>
  <c r="X37" i="12"/>
  <c r="X29" i="12"/>
  <c r="X21" i="12"/>
  <c r="X5" i="12"/>
  <c r="X35" i="12"/>
  <c r="X27" i="12"/>
  <c r="X11" i="12"/>
  <c r="X3" i="12"/>
  <c r="X42" i="12"/>
  <c r="X18" i="12"/>
  <c r="X10" i="12"/>
  <c r="X2" i="12"/>
  <c r="X41" i="12"/>
  <c r="X40" i="12"/>
  <c r="X39" i="12"/>
  <c r="R28" i="11" a="1"/>
  <c r="R28" i="11" s="1"/>
  <c r="Q28" i="11" a="1"/>
  <c r="Q28" i="11" s="1"/>
  <c r="P28" i="11" a="1"/>
  <c r="P28" i="11" s="1"/>
  <c r="O28" i="11" a="1"/>
  <c r="O28" i="11" s="1"/>
  <c r="N28" i="11" a="1"/>
  <c r="N28" i="11" s="1"/>
  <c r="M28" i="11" a="1"/>
  <c r="M28" i="11" s="1"/>
  <c r="L28" i="11" a="1"/>
  <c r="L28" i="11" s="1"/>
  <c r="K28" i="11" a="1"/>
  <c r="K28" i="11" s="1"/>
  <c r="J28" i="11"/>
  <c r="J28" i="11" a="1"/>
  <c r="I28" i="11" a="1"/>
  <c r="I28" i="11" s="1"/>
  <c r="H28" i="11" a="1"/>
  <c r="H28" i="11" s="1"/>
  <c r="G28" i="11" a="1"/>
  <c r="G28" i="11" s="1"/>
  <c r="R27" i="11"/>
  <c r="R27" i="11" a="1"/>
  <c r="Q27" i="11" a="1"/>
  <c r="Q27" i="11" s="1"/>
  <c r="P27" i="11" a="1"/>
  <c r="P27" i="11" s="1"/>
  <c r="O27" i="11"/>
  <c r="O27" i="11" a="1"/>
  <c r="N27" i="11"/>
  <c r="N27" i="11" a="1"/>
  <c r="M27" i="11" a="1"/>
  <c r="M27" i="11" s="1"/>
  <c r="L27" i="11" a="1"/>
  <c r="L27" i="11" s="1"/>
  <c r="K27" i="11" a="1"/>
  <c r="K27" i="11" s="1"/>
  <c r="J27" i="11" a="1"/>
  <c r="J27" i="11" s="1"/>
  <c r="I27" i="11" a="1"/>
  <c r="I27" i="11" s="1"/>
  <c r="H27" i="11" a="1"/>
  <c r="H27" i="11" s="1"/>
  <c r="G27" i="11" a="1"/>
  <c r="G27" i="11" s="1"/>
  <c r="R26" i="11" a="1"/>
  <c r="R26" i="11" s="1"/>
  <c r="Q26" i="11" a="1"/>
  <c r="Q26" i="11" s="1"/>
  <c r="P26" i="11" a="1"/>
  <c r="P26" i="11" s="1"/>
  <c r="O26" i="11" a="1"/>
  <c r="O26" i="11" s="1"/>
  <c r="N26" i="11" a="1"/>
  <c r="N26" i="11" s="1"/>
  <c r="M26" i="11" a="1"/>
  <c r="M26" i="11" s="1"/>
  <c r="L26" i="11" a="1"/>
  <c r="L26" i="11" s="1"/>
  <c r="K26" i="11" a="1"/>
  <c r="K26" i="11" s="1"/>
  <c r="J26" i="11" a="1"/>
  <c r="J26" i="11" s="1"/>
  <c r="I26" i="11" a="1"/>
  <c r="I26" i="11" s="1"/>
  <c r="H26" i="11" a="1"/>
  <c r="H26" i="11" s="1"/>
  <c r="G26" i="11" a="1"/>
  <c r="G26" i="11" s="1"/>
  <c r="R25" i="11" a="1"/>
  <c r="R25" i="11" s="1"/>
  <c r="Q25" i="11" a="1"/>
  <c r="Q25" i="11" s="1"/>
  <c r="P25" i="11"/>
  <c r="P25" i="11" a="1"/>
  <c r="O25" i="11" a="1"/>
  <c r="O25" i="11" s="1"/>
  <c r="N25" i="11" a="1"/>
  <c r="N25" i="11" s="1"/>
  <c r="M25" i="11" a="1"/>
  <c r="M25" i="11" s="1"/>
  <c r="L25" i="11"/>
  <c r="L25" i="11" a="1"/>
  <c r="K25" i="11" a="1"/>
  <c r="K25" i="11" s="1"/>
  <c r="J25" i="11" a="1"/>
  <c r="J25" i="11" s="1"/>
  <c r="I25" i="11" a="1"/>
  <c r="I25" i="11" s="1"/>
  <c r="H25" i="11"/>
  <c r="H25" i="11" a="1"/>
  <c r="G25" i="11" a="1"/>
  <c r="G25" i="11" s="1"/>
  <c r="R24" i="11" a="1"/>
  <c r="R24" i="11" s="1"/>
  <c r="Q24" i="11" a="1"/>
  <c r="Q24" i="11" s="1"/>
  <c r="P24" i="11" a="1"/>
  <c r="P24" i="11" s="1"/>
  <c r="O24" i="11" a="1"/>
  <c r="O24" i="11" s="1"/>
  <c r="N24" i="11" a="1"/>
  <c r="N24" i="11" s="1"/>
  <c r="M24" i="11"/>
  <c r="M24" i="11" a="1"/>
  <c r="L24" i="11" a="1"/>
  <c r="L24" i="11" s="1"/>
  <c r="K24" i="11" a="1"/>
  <c r="K24" i="11" s="1"/>
  <c r="J24" i="11" a="1"/>
  <c r="J24" i="11" s="1"/>
  <c r="I24" i="11" a="1"/>
  <c r="I24" i="11" s="1"/>
  <c r="H24" i="11" a="1"/>
  <c r="H24" i="11" s="1"/>
  <c r="G24" i="11" a="1"/>
  <c r="G24" i="11" s="1"/>
  <c r="R23" i="11" a="1"/>
  <c r="R23" i="11" s="1"/>
  <c r="Q23" i="11" a="1"/>
  <c r="Q23" i="11" s="1"/>
  <c r="P23" i="11" a="1"/>
  <c r="P23" i="11" s="1"/>
  <c r="O23" i="11" a="1"/>
  <c r="O23" i="11" s="1"/>
  <c r="N23" i="11" a="1"/>
  <c r="N23" i="11" s="1"/>
  <c r="M23" i="11" a="1"/>
  <c r="M23" i="11" s="1"/>
  <c r="L23" i="11" a="1"/>
  <c r="L23" i="11" s="1"/>
  <c r="K23" i="11" a="1"/>
  <c r="K23" i="11" s="1"/>
  <c r="J23" i="11"/>
  <c r="J23" i="11" a="1"/>
  <c r="I23" i="11" a="1"/>
  <c r="I23" i="11" s="1"/>
  <c r="H23" i="11" a="1"/>
  <c r="H23" i="11" s="1"/>
  <c r="G23" i="11" a="1"/>
  <c r="G23" i="11" s="1"/>
  <c r="S2" i="11"/>
  <c r="S23" i="11" s="1" a="1"/>
  <c r="S23" i="11" s="1"/>
  <c r="S3" i="11"/>
  <c r="S4" i="11"/>
  <c r="S24" i="11" s="1" a="1"/>
  <c r="S24" i="11" s="1"/>
  <c r="S5" i="11"/>
  <c r="S6" i="11"/>
  <c r="S7" i="11"/>
  <c r="S8" i="11"/>
  <c r="S9" i="11"/>
  <c r="S25" i="11" s="1" a="1"/>
  <c r="S25" i="11" s="1"/>
  <c r="S10" i="11"/>
  <c r="S11" i="11"/>
  <c r="S12" i="11"/>
  <c r="S26" i="11" s="1" a="1"/>
  <c r="S26" i="11" s="1"/>
  <c r="S13" i="11"/>
  <c r="S14" i="11"/>
  <c r="S27" i="11" s="1" a="1"/>
  <c r="S27" i="11" s="1"/>
  <c r="S15" i="11"/>
  <c r="S16" i="11"/>
  <c r="S28" i="11" s="1" a="1"/>
  <c r="S28" i="11" s="1"/>
  <c r="S17" i="11"/>
  <c r="S18" i="11"/>
  <c r="S19" i="11"/>
  <c r="S2" i="10"/>
  <c r="S3" i="10"/>
  <c r="S4" i="10"/>
  <c r="S24" i="10" s="1" a="1"/>
  <c r="S24" i="10" s="1"/>
  <c r="S5" i="10"/>
  <c r="S6" i="10"/>
  <c r="S7" i="10"/>
  <c r="S23" i="10" s="1" a="1"/>
  <c r="S23" i="10" s="1"/>
  <c r="S8" i="10"/>
  <c r="S9" i="10"/>
  <c r="S10" i="10"/>
  <c r="S11" i="10"/>
  <c r="S12" i="10"/>
  <c r="S25" i="10" s="1" a="1"/>
  <c r="S25" i="10" s="1"/>
  <c r="S13" i="10"/>
  <c r="S14" i="10"/>
  <c r="S15" i="10"/>
  <c r="S16" i="10"/>
  <c r="S17" i="10"/>
  <c r="S18" i="10"/>
  <c r="S19" i="10"/>
  <c r="R28" i="10" a="1"/>
  <c r="R28" i="10" s="1"/>
  <c r="Q28" i="10" a="1"/>
  <c r="Q28" i="10" s="1"/>
  <c r="P28" i="10" a="1"/>
  <c r="P28" i="10" s="1"/>
  <c r="O28" i="10" a="1"/>
  <c r="O28" i="10" s="1"/>
  <c r="N28" i="10" a="1"/>
  <c r="N28" i="10" s="1"/>
  <c r="M28" i="10" a="1"/>
  <c r="M28" i="10" s="1"/>
  <c r="L28" i="10" a="1"/>
  <c r="L28" i="10" s="1"/>
  <c r="K28" i="10" a="1"/>
  <c r="K28" i="10" s="1"/>
  <c r="J28" i="10" a="1"/>
  <c r="J28" i="10" s="1"/>
  <c r="I28" i="10" a="1"/>
  <c r="I28" i="10" s="1"/>
  <c r="H28" i="10" a="1"/>
  <c r="H28" i="10" s="1"/>
  <c r="G28" i="10" a="1"/>
  <c r="G28" i="10" s="1"/>
  <c r="S27" i="10" a="1"/>
  <c r="S27" i="10" s="1"/>
  <c r="R27" i="10" a="1"/>
  <c r="R27" i="10" s="1"/>
  <c r="Q27" i="10" a="1"/>
  <c r="Q27" i="10" s="1"/>
  <c r="P27" i="10" a="1"/>
  <c r="P27" i="10" s="1"/>
  <c r="O27" i="10" a="1"/>
  <c r="O27" i="10" s="1"/>
  <c r="N27" i="10" a="1"/>
  <c r="N27" i="10" s="1"/>
  <c r="M27" i="10" a="1"/>
  <c r="M27" i="10" s="1"/>
  <c r="L27" i="10" a="1"/>
  <c r="L27" i="10" s="1"/>
  <c r="K27" i="10" a="1"/>
  <c r="K27" i="10" s="1"/>
  <c r="J27" i="10" a="1"/>
  <c r="J27" i="10" s="1"/>
  <c r="I27" i="10" a="1"/>
  <c r="I27" i="10" s="1"/>
  <c r="H27" i="10" a="1"/>
  <c r="H27" i="10" s="1"/>
  <c r="G27" i="10" a="1"/>
  <c r="G27" i="10" s="1"/>
  <c r="S26" i="10" a="1"/>
  <c r="S26" i="10" s="1"/>
  <c r="R26" i="10" a="1"/>
  <c r="R26" i="10" s="1"/>
  <c r="Q26" i="10" a="1"/>
  <c r="Q26" i="10" s="1"/>
  <c r="P26" i="10" a="1"/>
  <c r="P26" i="10" s="1"/>
  <c r="O26" i="10" a="1"/>
  <c r="O26" i="10" s="1"/>
  <c r="N26" i="10" a="1"/>
  <c r="N26" i="10" s="1"/>
  <c r="M26" i="10" a="1"/>
  <c r="M26" i="10" s="1"/>
  <c r="L26" i="10" a="1"/>
  <c r="L26" i="10" s="1"/>
  <c r="K26" i="10" a="1"/>
  <c r="K26" i="10" s="1"/>
  <c r="J26" i="10" a="1"/>
  <c r="J26" i="10" s="1"/>
  <c r="I26" i="10" a="1"/>
  <c r="I26" i="10" s="1"/>
  <c r="H26" i="10" a="1"/>
  <c r="H26" i="10" s="1"/>
  <c r="G26" i="10" a="1"/>
  <c r="G26" i="10" s="1"/>
  <c r="R25" i="10" a="1"/>
  <c r="R25" i="10" s="1"/>
  <c r="Q25" i="10" a="1"/>
  <c r="Q25" i="10" s="1"/>
  <c r="P25" i="10" a="1"/>
  <c r="P25" i="10" s="1"/>
  <c r="O25" i="10" a="1"/>
  <c r="O25" i="10" s="1"/>
  <c r="N25" i="10" a="1"/>
  <c r="N25" i="10" s="1"/>
  <c r="M25" i="10" a="1"/>
  <c r="M25" i="10" s="1"/>
  <c r="L25" i="10" a="1"/>
  <c r="L25" i="10" s="1"/>
  <c r="K25" i="10" a="1"/>
  <c r="K25" i="10" s="1"/>
  <c r="J25" i="10" a="1"/>
  <c r="J25" i="10" s="1"/>
  <c r="I25" i="10" a="1"/>
  <c r="I25" i="10" s="1"/>
  <c r="H25" i="10" a="1"/>
  <c r="H25" i="10" s="1"/>
  <c r="G25" i="10" a="1"/>
  <c r="G25" i="10" s="1"/>
  <c r="R24" i="10" a="1"/>
  <c r="R24" i="10" s="1"/>
  <c r="Q24" i="10" a="1"/>
  <c r="Q24" i="10" s="1"/>
  <c r="P24" i="10" a="1"/>
  <c r="P24" i="10" s="1"/>
  <c r="O24" i="10" a="1"/>
  <c r="O24" i="10" s="1"/>
  <c r="N24" i="10" a="1"/>
  <c r="N24" i="10" s="1"/>
  <c r="M24" i="10" a="1"/>
  <c r="M24" i="10" s="1"/>
  <c r="L24" i="10" a="1"/>
  <c r="L24" i="10" s="1"/>
  <c r="K24" i="10" a="1"/>
  <c r="K24" i="10" s="1"/>
  <c r="J24" i="10" a="1"/>
  <c r="J24" i="10" s="1"/>
  <c r="I24" i="10" a="1"/>
  <c r="I24" i="10" s="1"/>
  <c r="H24" i="10" a="1"/>
  <c r="H24" i="10" s="1"/>
  <c r="G24" i="10" a="1"/>
  <c r="G24" i="10" s="1"/>
  <c r="R23" i="10" a="1"/>
  <c r="R23" i="10" s="1"/>
  <c r="Q23" i="10" a="1"/>
  <c r="Q23" i="10" s="1"/>
  <c r="P23" i="10" a="1"/>
  <c r="P23" i="10" s="1"/>
  <c r="O23" i="10" a="1"/>
  <c r="O23" i="10" s="1"/>
  <c r="N23" i="10" a="1"/>
  <c r="N23" i="10" s="1"/>
  <c r="M23" i="10" a="1"/>
  <c r="M23" i="10" s="1"/>
  <c r="L23" i="10" a="1"/>
  <c r="L23" i="10" s="1"/>
  <c r="K23" i="10" a="1"/>
  <c r="K23" i="10" s="1"/>
  <c r="J23" i="10" a="1"/>
  <c r="J23" i="10" s="1"/>
  <c r="I23" i="10" a="1"/>
  <c r="I23" i="10" s="1"/>
  <c r="H23" i="10" a="1"/>
  <c r="H23" i="10" s="1"/>
  <c r="G23" i="10" a="1"/>
  <c r="G23" i="10" s="1"/>
  <c r="S2" i="8"/>
  <c r="S3" i="8"/>
  <c r="S4" i="8"/>
  <c r="S5" i="8"/>
  <c r="S6" i="8"/>
  <c r="S7" i="8"/>
  <c r="S8" i="8"/>
  <c r="S9" i="8"/>
  <c r="S26" i="8" s="1" a="1"/>
  <c r="S26" i="8" s="1"/>
  <c r="S10" i="8"/>
  <c r="S11" i="8"/>
  <c r="S12" i="8"/>
  <c r="S13" i="8"/>
  <c r="S14" i="8"/>
  <c r="S27" i="8" s="1" a="1"/>
  <c r="S27" i="8" s="1"/>
  <c r="S15" i="8"/>
  <c r="S16" i="8"/>
  <c r="S17" i="8"/>
  <c r="S18" i="8"/>
  <c r="S19" i="8"/>
  <c r="S28" i="8" s="1" a="1"/>
  <c r="S28" i="8" s="1"/>
  <c r="R28" i="8" a="1"/>
  <c r="R28" i="8" s="1"/>
  <c r="Q28" i="8" a="1"/>
  <c r="Q28" i="8" s="1"/>
  <c r="P28" i="8" a="1"/>
  <c r="P28" i="8" s="1"/>
  <c r="O28" i="8" a="1"/>
  <c r="O28" i="8" s="1"/>
  <c r="N28" i="8" a="1"/>
  <c r="N28" i="8" s="1"/>
  <c r="M28" i="8" a="1"/>
  <c r="M28" i="8" s="1"/>
  <c r="L28" i="8" a="1"/>
  <c r="L28" i="8" s="1"/>
  <c r="K28" i="8" a="1"/>
  <c r="K28" i="8" s="1"/>
  <c r="J28" i="8" a="1"/>
  <c r="J28" i="8" s="1"/>
  <c r="I28" i="8" a="1"/>
  <c r="I28" i="8" s="1"/>
  <c r="H28" i="8" a="1"/>
  <c r="H28" i="8" s="1"/>
  <c r="G28" i="8" a="1"/>
  <c r="G28" i="8" s="1"/>
  <c r="R27" i="8" a="1"/>
  <c r="R27" i="8" s="1"/>
  <c r="Q27" i="8" a="1"/>
  <c r="Q27" i="8" s="1"/>
  <c r="P27" i="8" a="1"/>
  <c r="P27" i="8" s="1"/>
  <c r="O27" i="8" a="1"/>
  <c r="O27" i="8" s="1"/>
  <c r="N27" i="8" a="1"/>
  <c r="N27" i="8" s="1"/>
  <c r="M27" i="8" a="1"/>
  <c r="M27" i="8" s="1"/>
  <c r="L27" i="8" a="1"/>
  <c r="L27" i="8" s="1"/>
  <c r="K27" i="8" a="1"/>
  <c r="K27" i="8" s="1"/>
  <c r="J27" i="8" a="1"/>
  <c r="J27" i="8" s="1"/>
  <c r="I27" i="8" a="1"/>
  <c r="I27" i="8" s="1"/>
  <c r="H27" i="8" a="1"/>
  <c r="H27" i="8" s="1"/>
  <c r="G27" i="8" a="1"/>
  <c r="G27" i="8" s="1"/>
  <c r="R26" i="8" a="1"/>
  <c r="R26" i="8" s="1"/>
  <c r="Q26" i="8" a="1"/>
  <c r="Q26" i="8" s="1"/>
  <c r="P26" i="8" a="1"/>
  <c r="P26" i="8" s="1"/>
  <c r="O26" i="8" a="1"/>
  <c r="O26" i="8" s="1"/>
  <c r="N26" i="8" a="1"/>
  <c r="N26" i="8" s="1"/>
  <c r="M26" i="8" a="1"/>
  <c r="M26" i="8" s="1"/>
  <c r="L26" i="8" a="1"/>
  <c r="L26" i="8" s="1"/>
  <c r="K26" i="8" a="1"/>
  <c r="K26" i="8" s="1"/>
  <c r="J26" i="8" a="1"/>
  <c r="J26" i="8" s="1"/>
  <c r="I26" i="8" a="1"/>
  <c r="I26" i="8" s="1"/>
  <c r="H26" i="8" a="1"/>
  <c r="H26" i="8" s="1"/>
  <c r="G26" i="8" a="1"/>
  <c r="G26" i="8" s="1"/>
  <c r="S25" i="8" a="1"/>
  <c r="S25" i="8" s="1"/>
  <c r="R25" i="8" a="1"/>
  <c r="R25" i="8" s="1"/>
  <c r="Q25" i="8" a="1"/>
  <c r="Q25" i="8" s="1"/>
  <c r="P25" i="8" a="1"/>
  <c r="P25" i="8" s="1"/>
  <c r="O25" i="8" a="1"/>
  <c r="O25" i="8" s="1"/>
  <c r="N25" i="8" a="1"/>
  <c r="N25" i="8" s="1"/>
  <c r="M25" i="8" a="1"/>
  <c r="M25" i="8" s="1"/>
  <c r="L25" i="8" a="1"/>
  <c r="L25" i="8" s="1"/>
  <c r="K25" i="8" a="1"/>
  <c r="K25" i="8" s="1"/>
  <c r="J25" i="8" a="1"/>
  <c r="J25" i="8" s="1"/>
  <c r="I25" i="8" a="1"/>
  <c r="I25" i="8" s="1"/>
  <c r="H25" i="8" a="1"/>
  <c r="H25" i="8" s="1"/>
  <c r="G25" i="8" a="1"/>
  <c r="G25" i="8" s="1"/>
  <c r="R24" i="8" a="1"/>
  <c r="R24" i="8" s="1"/>
  <c r="Q24" i="8" a="1"/>
  <c r="Q24" i="8" s="1"/>
  <c r="P24" i="8" a="1"/>
  <c r="P24" i="8" s="1"/>
  <c r="O24" i="8" a="1"/>
  <c r="O24" i="8" s="1"/>
  <c r="N24" i="8" a="1"/>
  <c r="N24" i="8" s="1"/>
  <c r="M24" i="8" a="1"/>
  <c r="M24" i="8" s="1"/>
  <c r="L24" i="8" a="1"/>
  <c r="L24" i="8" s="1"/>
  <c r="K24" i="8" a="1"/>
  <c r="K24" i="8" s="1"/>
  <c r="J24" i="8" a="1"/>
  <c r="J24" i="8" s="1"/>
  <c r="I24" i="8" a="1"/>
  <c r="I24" i="8" s="1"/>
  <c r="H24" i="8" a="1"/>
  <c r="H24" i="8" s="1"/>
  <c r="G24" i="8" a="1"/>
  <c r="G24" i="8" s="1"/>
  <c r="S23" i="8" a="1"/>
  <c r="S23" i="8" s="1"/>
  <c r="R23" i="8" a="1"/>
  <c r="R23" i="8" s="1"/>
  <c r="Q23" i="8" a="1"/>
  <c r="Q23" i="8" s="1"/>
  <c r="P23" i="8" a="1"/>
  <c r="P23" i="8" s="1"/>
  <c r="O23" i="8" a="1"/>
  <c r="O23" i="8" s="1"/>
  <c r="N23" i="8" a="1"/>
  <c r="N23" i="8" s="1"/>
  <c r="M23" i="8" a="1"/>
  <c r="M23" i="8" s="1"/>
  <c r="L23" i="8" a="1"/>
  <c r="L23" i="8" s="1"/>
  <c r="K23" i="8" a="1"/>
  <c r="K23" i="8" s="1"/>
  <c r="J23" i="8" a="1"/>
  <c r="J23" i="8" s="1"/>
  <c r="I23" i="8" a="1"/>
  <c r="I23" i="8" s="1"/>
  <c r="H23" i="8" a="1"/>
  <c r="H23" i="8" s="1"/>
  <c r="G23" i="8" a="1"/>
  <c r="G23" i="8" s="1"/>
  <c r="S2" i="7"/>
  <c r="S3" i="7"/>
  <c r="S4" i="7"/>
  <c r="S24" i="7" s="1" a="1"/>
  <c r="S24" i="7" s="1"/>
  <c r="S5" i="7"/>
  <c r="S6" i="7"/>
  <c r="S7" i="7"/>
  <c r="S8" i="7"/>
  <c r="S9" i="7"/>
  <c r="S26" i="7" s="1" a="1"/>
  <c r="S26" i="7" s="1"/>
  <c r="S10" i="7"/>
  <c r="S11" i="7"/>
  <c r="S12" i="7"/>
  <c r="S13" i="7"/>
  <c r="S14" i="7"/>
  <c r="S15" i="7"/>
  <c r="S16" i="7"/>
  <c r="S17" i="7"/>
  <c r="S28" i="7" s="1" a="1"/>
  <c r="S28" i="7" s="1"/>
  <c r="S18" i="7"/>
  <c r="S19" i="7"/>
  <c r="R28" i="7" a="1"/>
  <c r="R28" i="7" s="1"/>
  <c r="Q28" i="7" a="1"/>
  <c r="Q28" i="7" s="1"/>
  <c r="P28" i="7" a="1"/>
  <c r="P28" i="7" s="1"/>
  <c r="O28" i="7" a="1"/>
  <c r="O28" i="7" s="1"/>
  <c r="N28" i="7" a="1"/>
  <c r="N28" i="7" s="1"/>
  <c r="M28" i="7" a="1"/>
  <c r="M28" i="7" s="1"/>
  <c r="L28" i="7" a="1"/>
  <c r="L28" i="7" s="1"/>
  <c r="K28" i="7" a="1"/>
  <c r="K28" i="7" s="1"/>
  <c r="J28" i="7" a="1"/>
  <c r="J28" i="7" s="1"/>
  <c r="I28" i="7" a="1"/>
  <c r="I28" i="7" s="1"/>
  <c r="H28" i="7" a="1"/>
  <c r="H28" i="7" s="1"/>
  <c r="G28" i="7" a="1"/>
  <c r="G28" i="7" s="1"/>
  <c r="S27" i="7" a="1"/>
  <c r="S27" i="7" s="1"/>
  <c r="R27" i="7" a="1"/>
  <c r="R27" i="7" s="1"/>
  <c r="Q27" i="7" a="1"/>
  <c r="Q27" i="7" s="1"/>
  <c r="P27" i="7" a="1"/>
  <c r="P27" i="7" s="1"/>
  <c r="O27" i="7" a="1"/>
  <c r="O27" i="7" s="1"/>
  <c r="N27" i="7" a="1"/>
  <c r="N27" i="7" s="1"/>
  <c r="M27" i="7" a="1"/>
  <c r="M27" i="7" s="1"/>
  <c r="L27" i="7" a="1"/>
  <c r="L27" i="7" s="1"/>
  <c r="K27" i="7" a="1"/>
  <c r="K27" i="7" s="1"/>
  <c r="J27" i="7" a="1"/>
  <c r="J27" i="7" s="1"/>
  <c r="I27" i="7" a="1"/>
  <c r="I27" i="7" s="1"/>
  <c r="H27" i="7" a="1"/>
  <c r="H27" i="7" s="1"/>
  <c r="G27" i="7" a="1"/>
  <c r="G27" i="7" s="1"/>
  <c r="R26" i="7" a="1"/>
  <c r="R26" i="7" s="1"/>
  <c r="Q26" i="7" a="1"/>
  <c r="Q26" i="7" s="1"/>
  <c r="P26" i="7" a="1"/>
  <c r="P26" i="7" s="1"/>
  <c r="O26" i="7" a="1"/>
  <c r="O26" i="7" s="1"/>
  <c r="N26" i="7" a="1"/>
  <c r="N26" i="7" s="1"/>
  <c r="M26" i="7" a="1"/>
  <c r="M26" i="7" s="1"/>
  <c r="L26" i="7" a="1"/>
  <c r="L26" i="7" s="1"/>
  <c r="K26" i="7" a="1"/>
  <c r="K26" i="7" s="1"/>
  <c r="J26" i="7" a="1"/>
  <c r="J26" i="7" s="1"/>
  <c r="I26" i="7" a="1"/>
  <c r="I26" i="7" s="1"/>
  <c r="H26" i="7" a="1"/>
  <c r="H26" i="7" s="1"/>
  <c r="G26" i="7" a="1"/>
  <c r="G26" i="7" s="1"/>
  <c r="R25" i="7" a="1"/>
  <c r="R25" i="7" s="1"/>
  <c r="Q25" i="7" a="1"/>
  <c r="Q25" i="7" s="1"/>
  <c r="P25" i="7" a="1"/>
  <c r="P25" i="7" s="1"/>
  <c r="O25" i="7" a="1"/>
  <c r="O25" i="7" s="1"/>
  <c r="N25" i="7" a="1"/>
  <c r="N25" i="7" s="1"/>
  <c r="M25" i="7" a="1"/>
  <c r="M25" i="7" s="1"/>
  <c r="L25" i="7" a="1"/>
  <c r="L25" i="7" s="1"/>
  <c r="K25" i="7" a="1"/>
  <c r="K25" i="7" s="1"/>
  <c r="J25" i="7" a="1"/>
  <c r="J25" i="7" s="1"/>
  <c r="I25" i="7" a="1"/>
  <c r="I25" i="7" s="1"/>
  <c r="H25" i="7" a="1"/>
  <c r="H25" i="7" s="1"/>
  <c r="G25" i="7" a="1"/>
  <c r="G25" i="7" s="1"/>
  <c r="R24" i="7" a="1"/>
  <c r="R24" i="7" s="1"/>
  <c r="Q24" i="7" a="1"/>
  <c r="Q24" i="7" s="1"/>
  <c r="P24" i="7" a="1"/>
  <c r="P24" i="7" s="1"/>
  <c r="O24" i="7" a="1"/>
  <c r="O24" i="7" s="1"/>
  <c r="N24" i="7" a="1"/>
  <c r="N24" i="7" s="1"/>
  <c r="M24" i="7" a="1"/>
  <c r="M24" i="7" s="1"/>
  <c r="L24" i="7" a="1"/>
  <c r="L24" i="7" s="1"/>
  <c r="K24" i="7" a="1"/>
  <c r="K24" i="7" s="1"/>
  <c r="J24" i="7" a="1"/>
  <c r="J24" i="7" s="1"/>
  <c r="I24" i="7" a="1"/>
  <c r="I24" i="7" s="1"/>
  <c r="H24" i="7" a="1"/>
  <c r="H24" i="7" s="1"/>
  <c r="G24" i="7" a="1"/>
  <c r="G24" i="7" s="1"/>
  <c r="S23" i="7" a="1"/>
  <c r="S23" i="7" s="1"/>
  <c r="R23" i="7" a="1"/>
  <c r="R23" i="7" s="1"/>
  <c r="Q23" i="7" a="1"/>
  <c r="Q23" i="7" s="1"/>
  <c r="P23" i="7" a="1"/>
  <c r="P23" i="7" s="1"/>
  <c r="O23" i="7" a="1"/>
  <c r="O23" i="7" s="1"/>
  <c r="N23" i="7" a="1"/>
  <c r="N23" i="7" s="1"/>
  <c r="M23" i="7" a="1"/>
  <c r="M23" i="7" s="1"/>
  <c r="L23" i="7" a="1"/>
  <c r="L23" i="7" s="1"/>
  <c r="K23" i="7" a="1"/>
  <c r="K23" i="7" s="1"/>
  <c r="J23" i="7" a="1"/>
  <c r="J23" i="7" s="1"/>
  <c r="I23" i="7" a="1"/>
  <c r="I23" i="7" s="1"/>
  <c r="H23" i="7" a="1"/>
  <c r="H23" i="7" s="1"/>
  <c r="G23" i="7" a="1"/>
  <c r="G23" i="7" s="1"/>
  <c r="R28" i="6" a="1"/>
  <c r="R28" i="6" s="1"/>
  <c r="Q28" i="6" a="1"/>
  <c r="Q28" i="6" s="1"/>
  <c r="P28" i="6" a="1"/>
  <c r="P28" i="6" s="1"/>
  <c r="O28" i="6" a="1"/>
  <c r="O28" i="6" s="1"/>
  <c r="N28" i="6" a="1"/>
  <c r="N28" i="6" s="1"/>
  <c r="M28" i="6" a="1"/>
  <c r="M28" i="6" s="1"/>
  <c r="L28" i="6" a="1"/>
  <c r="L28" i="6" s="1"/>
  <c r="K28" i="6" a="1"/>
  <c r="K28" i="6" s="1"/>
  <c r="J28" i="6" a="1"/>
  <c r="J28" i="6" s="1"/>
  <c r="I28" i="6" a="1"/>
  <c r="I28" i="6" s="1"/>
  <c r="H28" i="6" a="1"/>
  <c r="H28" i="6" s="1"/>
  <c r="G28" i="6" a="1"/>
  <c r="G28" i="6" s="1"/>
  <c r="R27" i="6" a="1"/>
  <c r="R27" i="6" s="1"/>
  <c r="Q27" i="6" a="1"/>
  <c r="Q27" i="6" s="1"/>
  <c r="P27" i="6" a="1"/>
  <c r="P27" i="6" s="1"/>
  <c r="O27" i="6" a="1"/>
  <c r="O27" i="6" s="1"/>
  <c r="N27" i="6" a="1"/>
  <c r="N27" i="6" s="1"/>
  <c r="M27" i="6" a="1"/>
  <c r="M27" i="6" s="1"/>
  <c r="L27" i="6" a="1"/>
  <c r="L27" i="6" s="1"/>
  <c r="K27" i="6" a="1"/>
  <c r="K27" i="6" s="1"/>
  <c r="J27" i="6" a="1"/>
  <c r="J27" i="6" s="1"/>
  <c r="I27" i="6" a="1"/>
  <c r="I27" i="6" s="1"/>
  <c r="H27" i="6" a="1"/>
  <c r="H27" i="6" s="1"/>
  <c r="G27" i="6" a="1"/>
  <c r="G27" i="6" s="1"/>
  <c r="R26" i="6" a="1"/>
  <c r="R26" i="6" s="1"/>
  <c r="Q26" i="6" a="1"/>
  <c r="Q26" i="6" s="1"/>
  <c r="P26" i="6" a="1"/>
  <c r="P26" i="6" s="1"/>
  <c r="O26" i="6" a="1"/>
  <c r="O26" i="6" s="1"/>
  <c r="N26" i="6" a="1"/>
  <c r="N26" i="6" s="1"/>
  <c r="M26" i="6" a="1"/>
  <c r="M26" i="6" s="1"/>
  <c r="L26" i="6" a="1"/>
  <c r="L26" i="6" s="1"/>
  <c r="K26" i="6" a="1"/>
  <c r="K26" i="6" s="1"/>
  <c r="J26" i="6" a="1"/>
  <c r="J26" i="6" s="1"/>
  <c r="I26" i="6" a="1"/>
  <c r="I26" i="6" s="1"/>
  <c r="H26" i="6" a="1"/>
  <c r="H26" i="6" s="1"/>
  <c r="G26" i="6" a="1"/>
  <c r="G26" i="6" s="1"/>
  <c r="R25" i="6" a="1"/>
  <c r="R25" i="6" s="1"/>
  <c r="Q25" i="6" a="1"/>
  <c r="Q25" i="6" s="1"/>
  <c r="P25" i="6" a="1"/>
  <c r="P25" i="6" s="1"/>
  <c r="O25" i="6" a="1"/>
  <c r="O25" i="6" s="1"/>
  <c r="N25" i="6" a="1"/>
  <c r="N25" i="6" s="1"/>
  <c r="M25" i="6" a="1"/>
  <c r="M25" i="6" s="1"/>
  <c r="L25" i="6" a="1"/>
  <c r="L25" i="6" s="1"/>
  <c r="K25" i="6" a="1"/>
  <c r="K25" i="6" s="1"/>
  <c r="J25" i="6" a="1"/>
  <c r="J25" i="6" s="1"/>
  <c r="I25" i="6" a="1"/>
  <c r="I25" i="6" s="1"/>
  <c r="H25" i="6" a="1"/>
  <c r="H25" i="6" s="1"/>
  <c r="G25" i="6" a="1"/>
  <c r="G25" i="6" s="1"/>
  <c r="R24" i="6" a="1"/>
  <c r="R24" i="6" s="1"/>
  <c r="Q24" i="6" a="1"/>
  <c r="Q24" i="6" s="1"/>
  <c r="P24" i="6" a="1"/>
  <c r="P24" i="6" s="1"/>
  <c r="O24" i="6" a="1"/>
  <c r="O24" i="6" s="1"/>
  <c r="N24" i="6" a="1"/>
  <c r="N24" i="6" s="1"/>
  <c r="M24" i="6" a="1"/>
  <c r="M24" i="6" s="1"/>
  <c r="L24" i="6" a="1"/>
  <c r="L24" i="6" s="1"/>
  <c r="K24" i="6" a="1"/>
  <c r="K24" i="6" s="1"/>
  <c r="J24" i="6" a="1"/>
  <c r="J24" i="6" s="1"/>
  <c r="I24" i="6" a="1"/>
  <c r="I24" i="6" s="1"/>
  <c r="H24" i="6" a="1"/>
  <c r="H24" i="6" s="1"/>
  <c r="G24" i="6" a="1"/>
  <c r="G24" i="6" s="1"/>
  <c r="R23" i="6" a="1"/>
  <c r="R23" i="6" s="1"/>
  <c r="Q23" i="6" a="1"/>
  <c r="Q23" i="6" s="1"/>
  <c r="P23" i="6" a="1"/>
  <c r="P23" i="6" s="1"/>
  <c r="O23" i="6" a="1"/>
  <c r="O23" i="6" s="1"/>
  <c r="N23" i="6" a="1"/>
  <c r="N23" i="6" s="1"/>
  <c r="M23" i="6" a="1"/>
  <c r="M23" i="6" s="1"/>
  <c r="L23" i="6" a="1"/>
  <c r="L23" i="6" s="1"/>
  <c r="K23" i="6" a="1"/>
  <c r="K23" i="6" s="1"/>
  <c r="J23" i="6" a="1"/>
  <c r="J23" i="6" s="1"/>
  <c r="I23" i="6" a="1"/>
  <c r="I23" i="6" s="1"/>
  <c r="H23" i="6" a="1"/>
  <c r="H23" i="6" s="1"/>
  <c r="G23" i="6" a="1"/>
  <c r="G23" i="6" s="1"/>
  <c r="S2" i="6"/>
  <c r="S3" i="6"/>
  <c r="S24" i="6" s="1" a="1"/>
  <c r="S24" i="6" s="1"/>
  <c r="S4" i="6"/>
  <c r="S5" i="6"/>
  <c r="S6" i="6"/>
  <c r="S7" i="6"/>
  <c r="S8" i="6"/>
  <c r="S26" i="6" s="1" a="1"/>
  <c r="S26" i="6" s="1"/>
  <c r="S9" i="6"/>
  <c r="S10" i="6"/>
  <c r="S11" i="6"/>
  <c r="S12" i="6"/>
  <c r="S13" i="6"/>
  <c r="S14" i="6"/>
  <c r="S27" i="6" s="1" a="1"/>
  <c r="S27" i="6" s="1"/>
  <c r="S15" i="6"/>
  <c r="S16" i="6"/>
  <c r="S17" i="6"/>
  <c r="S18" i="6"/>
  <c r="S19" i="6"/>
  <c r="R28" i="5" a="1"/>
  <c r="R28" i="5" s="1"/>
  <c r="Q28" i="5" a="1"/>
  <c r="Q28" i="5" s="1"/>
  <c r="P28" i="5" a="1"/>
  <c r="P28" i="5" s="1"/>
  <c r="O28" i="5" a="1"/>
  <c r="O28" i="5" s="1"/>
  <c r="N28" i="5" a="1"/>
  <c r="N28" i="5" s="1"/>
  <c r="M28" i="5" a="1"/>
  <c r="M28" i="5" s="1"/>
  <c r="L28" i="5" a="1"/>
  <c r="L28" i="5" s="1"/>
  <c r="K28" i="5" a="1"/>
  <c r="K28" i="5" s="1"/>
  <c r="J28" i="5" a="1"/>
  <c r="J28" i="5" s="1"/>
  <c r="I28" i="5" a="1"/>
  <c r="I28" i="5" s="1"/>
  <c r="H28" i="5" a="1"/>
  <c r="H28" i="5" s="1"/>
  <c r="G28" i="5" a="1"/>
  <c r="G28" i="5" s="1"/>
  <c r="R27" i="5" a="1"/>
  <c r="R27" i="5" s="1"/>
  <c r="Q27" i="5" a="1"/>
  <c r="Q27" i="5" s="1"/>
  <c r="P27" i="5" a="1"/>
  <c r="P27" i="5" s="1"/>
  <c r="O27" i="5" a="1"/>
  <c r="O27" i="5" s="1"/>
  <c r="N27" i="5" a="1"/>
  <c r="N27" i="5" s="1"/>
  <c r="M27" i="5" a="1"/>
  <c r="M27" i="5" s="1"/>
  <c r="L27" i="5" a="1"/>
  <c r="L27" i="5" s="1"/>
  <c r="K27" i="5" a="1"/>
  <c r="K27" i="5" s="1"/>
  <c r="J27" i="5" a="1"/>
  <c r="J27" i="5" s="1"/>
  <c r="I27" i="5" a="1"/>
  <c r="I27" i="5" s="1"/>
  <c r="H27" i="5" a="1"/>
  <c r="H27" i="5" s="1"/>
  <c r="G27" i="5" a="1"/>
  <c r="G27" i="5" s="1"/>
  <c r="R26" i="5" a="1"/>
  <c r="R26" i="5" s="1"/>
  <c r="Q26" i="5" a="1"/>
  <c r="Q26" i="5" s="1"/>
  <c r="P26" i="5" a="1"/>
  <c r="P26" i="5" s="1"/>
  <c r="O26" i="5" a="1"/>
  <c r="O26" i="5" s="1"/>
  <c r="N26" i="5" a="1"/>
  <c r="N26" i="5" s="1"/>
  <c r="M26" i="5" a="1"/>
  <c r="M26" i="5" s="1"/>
  <c r="L26" i="5" a="1"/>
  <c r="L26" i="5" s="1"/>
  <c r="K26" i="5" a="1"/>
  <c r="K26" i="5" s="1"/>
  <c r="J26" i="5" a="1"/>
  <c r="J26" i="5" s="1"/>
  <c r="I26" i="5" a="1"/>
  <c r="I26" i="5" s="1"/>
  <c r="H26" i="5" a="1"/>
  <c r="H26" i="5" s="1"/>
  <c r="G26" i="5" a="1"/>
  <c r="G26" i="5" s="1"/>
  <c r="R25" i="5" a="1"/>
  <c r="R25" i="5" s="1"/>
  <c r="Q25" i="5" a="1"/>
  <c r="Q25" i="5" s="1"/>
  <c r="P25" i="5" a="1"/>
  <c r="P25" i="5" s="1"/>
  <c r="O25" i="5" a="1"/>
  <c r="O25" i="5" s="1"/>
  <c r="N25" i="5" a="1"/>
  <c r="N25" i="5" s="1"/>
  <c r="M25" i="5" a="1"/>
  <c r="M25" i="5" s="1"/>
  <c r="L25" i="5" a="1"/>
  <c r="L25" i="5" s="1"/>
  <c r="K25" i="5" a="1"/>
  <c r="K25" i="5" s="1"/>
  <c r="J25" i="5" a="1"/>
  <c r="J25" i="5" s="1"/>
  <c r="I25" i="5" a="1"/>
  <c r="I25" i="5" s="1"/>
  <c r="H25" i="5" a="1"/>
  <c r="H25" i="5" s="1"/>
  <c r="G25" i="5" a="1"/>
  <c r="G25" i="5" s="1"/>
  <c r="R24" i="5" a="1"/>
  <c r="R24" i="5" s="1"/>
  <c r="Q24" i="5" a="1"/>
  <c r="Q24" i="5" s="1"/>
  <c r="P24" i="5" a="1"/>
  <c r="P24" i="5" s="1"/>
  <c r="O24" i="5" a="1"/>
  <c r="O24" i="5" s="1"/>
  <c r="N24" i="5" a="1"/>
  <c r="N24" i="5" s="1"/>
  <c r="M24" i="5" a="1"/>
  <c r="M24" i="5" s="1"/>
  <c r="L24" i="5" a="1"/>
  <c r="L24" i="5" s="1"/>
  <c r="K24" i="5" a="1"/>
  <c r="K24" i="5" s="1"/>
  <c r="J24" i="5" a="1"/>
  <c r="J24" i="5" s="1"/>
  <c r="I24" i="5" a="1"/>
  <c r="I24" i="5" s="1"/>
  <c r="H24" i="5" a="1"/>
  <c r="H24" i="5" s="1"/>
  <c r="G24" i="5" a="1"/>
  <c r="G24" i="5" s="1"/>
  <c r="R23" i="5" a="1"/>
  <c r="R23" i="5" s="1"/>
  <c r="Q23" i="5" a="1"/>
  <c r="Q23" i="5" s="1"/>
  <c r="P23" i="5" a="1"/>
  <c r="P23" i="5" s="1"/>
  <c r="O23" i="5" a="1"/>
  <c r="O23" i="5" s="1"/>
  <c r="N23" i="5" a="1"/>
  <c r="N23" i="5" s="1"/>
  <c r="M23" i="5" a="1"/>
  <c r="M23" i="5" s="1"/>
  <c r="L23" i="5" a="1"/>
  <c r="L23" i="5" s="1"/>
  <c r="K23" i="5" a="1"/>
  <c r="K23" i="5" s="1"/>
  <c r="J23" i="5" a="1"/>
  <c r="J23" i="5" s="1"/>
  <c r="I23" i="5" a="1"/>
  <c r="I23" i="5" s="1"/>
  <c r="H23" i="5" a="1"/>
  <c r="H23" i="5" s="1"/>
  <c r="G23" i="5" a="1"/>
  <c r="G23" i="5" s="1"/>
  <c r="S2" i="5"/>
  <c r="S3" i="5"/>
  <c r="S24" i="5" s="1" a="1"/>
  <c r="S24" i="5" s="1"/>
  <c r="S4" i="5"/>
  <c r="S5" i="5"/>
  <c r="S6" i="5"/>
  <c r="S7" i="5"/>
  <c r="S8" i="5"/>
  <c r="S26" i="5" s="1" a="1"/>
  <c r="S26" i="5" s="1"/>
  <c r="S9" i="5"/>
  <c r="S10" i="5"/>
  <c r="S11" i="5"/>
  <c r="S12" i="5"/>
  <c r="S13" i="5"/>
  <c r="S14" i="5"/>
  <c r="S27" i="5" s="1" a="1"/>
  <c r="S27" i="5" s="1"/>
  <c r="S15" i="5"/>
  <c r="S16" i="5"/>
  <c r="S17" i="5"/>
  <c r="S28" i="5" s="1" a="1"/>
  <c r="S28" i="5" s="1"/>
  <c r="S18" i="5"/>
  <c r="S19" i="5"/>
  <c r="S2" i="4"/>
  <c r="S3" i="4"/>
  <c r="S23" i="4" s="1" a="1"/>
  <c r="S23" i="4" s="1"/>
  <c r="S4" i="4"/>
  <c r="S5" i="4"/>
  <c r="S24" i="4" s="1" a="1"/>
  <c r="S24" i="4" s="1"/>
  <c r="S6" i="4"/>
  <c r="S7" i="4"/>
  <c r="S8" i="4"/>
  <c r="S9" i="4"/>
  <c r="S25" i="4" s="1" a="1"/>
  <c r="S25" i="4" s="1"/>
  <c r="S10" i="4"/>
  <c r="S11" i="4"/>
  <c r="S12" i="4"/>
  <c r="S13" i="4"/>
  <c r="S14" i="4"/>
  <c r="S27" i="4" s="1" a="1"/>
  <c r="S27" i="4" s="1"/>
  <c r="S15" i="4"/>
  <c r="S16" i="4"/>
  <c r="S17" i="4"/>
  <c r="S18" i="4"/>
  <c r="S19" i="4"/>
  <c r="R28" i="4" a="1"/>
  <c r="R28" i="4" s="1"/>
  <c r="Q28" i="4" a="1"/>
  <c r="Q28" i="4" s="1"/>
  <c r="P28" i="4" a="1"/>
  <c r="P28" i="4" s="1"/>
  <c r="O28" i="4" a="1"/>
  <c r="O28" i="4" s="1"/>
  <c r="N28" i="4" a="1"/>
  <c r="N28" i="4" s="1"/>
  <c r="M28" i="4" a="1"/>
  <c r="M28" i="4" s="1"/>
  <c r="L28" i="4" a="1"/>
  <c r="L28" i="4" s="1"/>
  <c r="K28" i="4" a="1"/>
  <c r="K28" i="4" s="1"/>
  <c r="J28" i="4" a="1"/>
  <c r="J28" i="4" s="1"/>
  <c r="I28" i="4" a="1"/>
  <c r="I28" i="4" s="1"/>
  <c r="H28" i="4" a="1"/>
  <c r="H28" i="4" s="1"/>
  <c r="G28" i="4" a="1"/>
  <c r="G28" i="4" s="1"/>
  <c r="R27" i="4" a="1"/>
  <c r="R27" i="4" s="1"/>
  <c r="Q27" i="4" a="1"/>
  <c r="Q27" i="4" s="1"/>
  <c r="P27" i="4" a="1"/>
  <c r="P27" i="4" s="1"/>
  <c r="O27" i="4" a="1"/>
  <c r="O27" i="4" s="1"/>
  <c r="N27" i="4" a="1"/>
  <c r="N27" i="4" s="1"/>
  <c r="M27" i="4" a="1"/>
  <c r="M27" i="4" s="1"/>
  <c r="L27" i="4" a="1"/>
  <c r="L27" i="4" s="1"/>
  <c r="K27" i="4" a="1"/>
  <c r="K27" i="4" s="1"/>
  <c r="J27" i="4" a="1"/>
  <c r="J27" i="4" s="1"/>
  <c r="I27" i="4" a="1"/>
  <c r="I27" i="4" s="1"/>
  <c r="H27" i="4" a="1"/>
  <c r="H27" i="4" s="1"/>
  <c r="G27" i="4" a="1"/>
  <c r="G27" i="4" s="1"/>
  <c r="R26" i="4" a="1"/>
  <c r="R26" i="4" s="1"/>
  <c r="Q26" i="4" a="1"/>
  <c r="Q26" i="4" s="1"/>
  <c r="P26" i="4" a="1"/>
  <c r="P26" i="4" s="1"/>
  <c r="O26" i="4" a="1"/>
  <c r="O26" i="4" s="1"/>
  <c r="N26" i="4" a="1"/>
  <c r="N26" i="4" s="1"/>
  <c r="M26" i="4" a="1"/>
  <c r="M26" i="4" s="1"/>
  <c r="L26" i="4" a="1"/>
  <c r="L26" i="4" s="1"/>
  <c r="K26" i="4" a="1"/>
  <c r="K26" i="4" s="1"/>
  <c r="J26" i="4" a="1"/>
  <c r="J26" i="4" s="1"/>
  <c r="I26" i="4" a="1"/>
  <c r="I26" i="4" s="1"/>
  <c r="H26" i="4" a="1"/>
  <c r="H26" i="4" s="1"/>
  <c r="G26" i="4" a="1"/>
  <c r="G26" i="4" s="1"/>
  <c r="R25" i="4" a="1"/>
  <c r="R25" i="4" s="1"/>
  <c r="Q25" i="4" a="1"/>
  <c r="Q25" i="4" s="1"/>
  <c r="P25" i="4" a="1"/>
  <c r="P25" i="4" s="1"/>
  <c r="O25" i="4" a="1"/>
  <c r="O25" i="4" s="1"/>
  <c r="N25" i="4" a="1"/>
  <c r="N25" i="4" s="1"/>
  <c r="M25" i="4" a="1"/>
  <c r="M25" i="4" s="1"/>
  <c r="L25" i="4" a="1"/>
  <c r="L25" i="4" s="1"/>
  <c r="K25" i="4" a="1"/>
  <c r="K25" i="4" s="1"/>
  <c r="J25" i="4" a="1"/>
  <c r="J25" i="4" s="1"/>
  <c r="I25" i="4" a="1"/>
  <c r="I25" i="4" s="1"/>
  <c r="H25" i="4" a="1"/>
  <c r="H25" i="4" s="1"/>
  <c r="G25" i="4" a="1"/>
  <c r="G25" i="4" s="1"/>
  <c r="R24" i="4" a="1"/>
  <c r="R24" i="4" s="1"/>
  <c r="Q24" i="4" a="1"/>
  <c r="Q24" i="4" s="1"/>
  <c r="P24" i="4" a="1"/>
  <c r="P24" i="4" s="1"/>
  <c r="O24" i="4" a="1"/>
  <c r="O24" i="4" s="1"/>
  <c r="N24" i="4" a="1"/>
  <c r="N24" i="4" s="1"/>
  <c r="M24" i="4" a="1"/>
  <c r="M24" i="4" s="1"/>
  <c r="L24" i="4" a="1"/>
  <c r="L24" i="4" s="1"/>
  <c r="K24" i="4" a="1"/>
  <c r="K24" i="4" s="1"/>
  <c r="J24" i="4" a="1"/>
  <c r="J24" i="4" s="1"/>
  <c r="I24" i="4" a="1"/>
  <c r="I24" i="4" s="1"/>
  <c r="H24" i="4" a="1"/>
  <c r="H24" i="4" s="1"/>
  <c r="G24" i="4" a="1"/>
  <c r="G24" i="4" s="1"/>
  <c r="R23" i="4" a="1"/>
  <c r="R23" i="4" s="1"/>
  <c r="Q23" i="4" a="1"/>
  <c r="Q23" i="4" s="1"/>
  <c r="P23" i="4" a="1"/>
  <c r="P23" i="4" s="1"/>
  <c r="O23" i="4" a="1"/>
  <c r="O23" i="4" s="1"/>
  <c r="N23" i="4" a="1"/>
  <c r="N23" i="4" s="1"/>
  <c r="M23" i="4" a="1"/>
  <c r="M23" i="4" s="1"/>
  <c r="L23" i="4" a="1"/>
  <c r="L23" i="4" s="1"/>
  <c r="K23" i="4" a="1"/>
  <c r="K23" i="4" s="1"/>
  <c r="J23" i="4" a="1"/>
  <c r="J23" i="4" s="1"/>
  <c r="I23" i="4" a="1"/>
  <c r="I23" i="4" s="1"/>
  <c r="H23" i="4" a="1"/>
  <c r="H23" i="4" s="1"/>
  <c r="G23" i="4" a="1"/>
  <c r="G23" i="4" s="1"/>
  <c r="R28" i="3" a="1"/>
  <c r="R28" i="3" s="1"/>
  <c r="Q28" i="3" a="1"/>
  <c r="Q28" i="3" s="1"/>
  <c r="P28" i="3" a="1"/>
  <c r="P28" i="3" s="1"/>
  <c r="O28" i="3" a="1"/>
  <c r="O28" i="3" s="1"/>
  <c r="N28" i="3" a="1"/>
  <c r="N28" i="3" s="1"/>
  <c r="M28" i="3"/>
  <c r="M28" i="3" a="1"/>
  <c r="L28" i="3" a="1"/>
  <c r="L28" i="3" s="1"/>
  <c r="K28" i="3" a="1"/>
  <c r="K28" i="3" s="1"/>
  <c r="J28" i="3" a="1"/>
  <c r="J28" i="3" s="1"/>
  <c r="I28" i="3" a="1"/>
  <c r="I28" i="3" s="1"/>
  <c r="H28" i="3" a="1"/>
  <c r="H28" i="3" s="1"/>
  <c r="G28" i="3" a="1"/>
  <c r="G28" i="3" s="1"/>
  <c r="R27" i="3" a="1"/>
  <c r="R27" i="3" s="1"/>
  <c r="Q27" i="3" a="1"/>
  <c r="Q27" i="3" s="1"/>
  <c r="P27" i="3" a="1"/>
  <c r="P27" i="3" s="1"/>
  <c r="O27" i="3" a="1"/>
  <c r="O27" i="3" s="1"/>
  <c r="N27" i="3" a="1"/>
  <c r="N27" i="3" s="1"/>
  <c r="M27" i="3" a="1"/>
  <c r="M27" i="3" s="1"/>
  <c r="L27" i="3" a="1"/>
  <c r="L27" i="3" s="1"/>
  <c r="K27" i="3" a="1"/>
  <c r="K27" i="3" s="1"/>
  <c r="J27" i="3" a="1"/>
  <c r="J27" i="3" s="1"/>
  <c r="I27" i="3" a="1"/>
  <c r="I27" i="3" s="1"/>
  <c r="H27" i="3" a="1"/>
  <c r="H27" i="3" s="1"/>
  <c r="G27" i="3" a="1"/>
  <c r="G27" i="3" s="1"/>
  <c r="R26" i="3" a="1"/>
  <c r="R26" i="3" s="1"/>
  <c r="Q26" i="3" a="1"/>
  <c r="Q26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J26" i="3" a="1"/>
  <c r="J26" i="3" s="1"/>
  <c r="I26" i="3" a="1"/>
  <c r="I26" i="3" s="1"/>
  <c r="H26" i="3" a="1"/>
  <c r="H26" i="3" s="1"/>
  <c r="G26" i="3" a="1"/>
  <c r="G26" i="3" s="1"/>
  <c r="R25" i="3" a="1"/>
  <c r="R25" i="3" s="1"/>
  <c r="Q25" i="3" a="1"/>
  <c r="Q25" i="3" s="1"/>
  <c r="P25" i="3" a="1"/>
  <c r="P25" i="3" s="1"/>
  <c r="O25" i="3" a="1"/>
  <c r="O25" i="3" s="1"/>
  <c r="N25" i="3" a="1"/>
  <c r="N25" i="3" s="1"/>
  <c r="M25" i="3" a="1"/>
  <c r="M25" i="3" s="1"/>
  <c r="L25" i="3" a="1"/>
  <c r="L25" i="3" s="1"/>
  <c r="K25" i="3" a="1"/>
  <c r="K25" i="3" s="1"/>
  <c r="J25" i="3" a="1"/>
  <c r="J25" i="3" s="1"/>
  <c r="I25" i="3" a="1"/>
  <c r="I25" i="3" s="1"/>
  <c r="H25" i="3" a="1"/>
  <c r="H25" i="3" s="1"/>
  <c r="G25" i="3" a="1"/>
  <c r="G25" i="3" s="1"/>
  <c r="R24" i="3" a="1"/>
  <c r="R24" i="3" s="1"/>
  <c r="Q24" i="3" a="1"/>
  <c r="Q24" i="3" s="1"/>
  <c r="P24" i="3" a="1"/>
  <c r="P24" i="3" s="1"/>
  <c r="O24" i="3" a="1"/>
  <c r="O24" i="3" s="1"/>
  <c r="N24" i="3" a="1"/>
  <c r="N24" i="3" s="1"/>
  <c r="M24" i="3" a="1"/>
  <c r="M24" i="3" s="1"/>
  <c r="L24" i="3" a="1"/>
  <c r="L24" i="3" s="1"/>
  <c r="K24" i="3" a="1"/>
  <c r="K24" i="3" s="1"/>
  <c r="J24" i="3" a="1"/>
  <c r="J24" i="3" s="1"/>
  <c r="I24" i="3" a="1"/>
  <c r="I24" i="3" s="1"/>
  <c r="H24" i="3" a="1"/>
  <c r="H24" i="3" s="1"/>
  <c r="G24" i="3" a="1"/>
  <c r="G24" i="3" s="1"/>
  <c r="R23" i="3" a="1"/>
  <c r="R23" i="3" s="1"/>
  <c r="Q23" i="3" a="1"/>
  <c r="Q23" i="3" s="1"/>
  <c r="P23" i="3" a="1"/>
  <c r="P23" i="3" s="1"/>
  <c r="O23" i="3" a="1"/>
  <c r="O23" i="3" s="1"/>
  <c r="N23" i="3" a="1"/>
  <c r="N23" i="3" s="1"/>
  <c r="M23" i="3" a="1"/>
  <c r="M23" i="3" s="1"/>
  <c r="L23" i="3"/>
  <c r="L23" i="3" a="1"/>
  <c r="K23" i="3" a="1"/>
  <c r="K23" i="3" s="1"/>
  <c r="J23" i="3" a="1"/>
  <c r="J23" i="3" s="1"/>
  <c r="I23" i="3" a="1"/>
  <c r="I23" i="3" s="1"/>
  <c r="H23" i="3" a="1"/>
  <c r="H23" i="3" s="1"/>
  <c r="G23" i="3" a="1"/>
  <c r="G23" i="3" s="1"/>
  <c r="S2" i="3"/>
  <c r="S23" i="3" s="1" a="1"/>
  <c r="S23" i="3" s="1"/>
  <c r="S3" i="3"/>
  <c r="S24" i="3" s="1" a="1"/>
  <c r="S24" i="3" s="1"/>
  <c r="S4" i="3"/>
  <c r="S5" i="3"/>
  <c r="S6" i="3"/>
  <c r="S7" i="3"/>
  <c r="S8" i="3"/>
  <c r="S9" i="3"/>
  <c r="S10" i="3"/>
  <c r="S11" i="3"/>
  <c r="S25" i="3" s="1" a="1"/>
  <c r="S25" i="3" s="1"/>
  <c r="S12" i="3"/>
  <c r="S13" i="3"/>
  <c r="S14" i="3"/>
  <c r="S27" i="3" s="1" a="1"/>
  <c r="S27" i="3" s="1"/>
  <c r="S15" i="3"/>
  <c r="S16" i="3"/>
  <c r="S17" i="3"/>
  <c r="S18" i="3"/>
  <c r="S19" i="3"/>
  <c r="G23" i="1" a="1"/>
  <c r="G23" i="1" s="1"/>
  <c r="R28" i="1" a="1"/>
  <c r="R28" i="1" s="1"/>
  <c r="Q28" i="1" a="1"/>
  <c r="Q28" i="1" s="1"/>
  <c r="P28" i="1" a="1"/>
  <c r="P28" i="1" s="1"/>
  <c r="O28" i="1" a="1"/>
  <c r="O28" i="1" s="1"/>
  <c r="N28" i="1" a="1"/>
  <c r="N28" i="1" s="1"/>
  <c r="M28" i="1" a="1"/>
  <c r="M28" i="1" s="1"/>
  <c r="L28" i="1" a="1"/>
  <c r="L28" i="1" s="1"/>
  <c r="K28" i="1" a="1"/>
  <c r="K28" i="1" s="1"/>
  <c r="J28" i="1" a="1"/>
  <c r="J28" i="1" s="1"/>
  <c r="I28" i="1" a="1"/>
  <c r="I28" i="1" s="1"/>
  <c r="H28" i="1" a="1"/>
  <c r="H28" i="1" s="1"/>
  <c r="G28" i="1" a="1"/>
  <c r="G28" i="1" s="1"/>
  <c r="R27" i="1" a="1"/>
  <c r="R27" i="1" s="1"/>
  <c r="Q27" i="1" a="1"/>
  <c r="Q27" i="1" s="1"/>
  <c r="P27" i="1" a="1"/>
  <c r="P27" i="1" s="1"/>
  <c r="O27" i="1" a="1"/>
  <c r="O27" i="1" s="1"/>
  <c r="N27" i="1" a="1"/>
  <c r="N27" i="1" s="1"/>
  <c r="M27" i="1" a="1"/>
  <c r="M27" i="1" s="1"/>
  <c r="L27" i="1" a="1"/>
  <c r="L27" i="1" s="1"/>
  <c r="K27" i="1" a="1"/>
  <c r="K27" i="1" s="1"/>
  <c r="J27" i="1" a="1"/>
  <c r="J27" i="1" s="1"/>
  <c r="I27" i="1" a="1"/>
  <c r="I27" i="1" s="1"/>
  <c r="H27" i="1" a="1"/>
  <c r="H27" i="1" s="1"/>
  <c r="G27" i="1" a="1"/>
  <c r="G27" i="1" s="1"/>
  <c r="R26" i="1" a="1"/>
  <c r="R26" i="1" s="1"/>
  <c r="Q26" i="1" a="1"/>
  <c r="Q26" i="1" s="1"/>
  <c r="P26" i="1" a="1"/>
  <c r="P26" i="1" s="1"/>
  <c r="O26" i="1" a="1"/>
  <c r="O26" i="1" s="1"/>
  <c r="N26" i="1" a="1"/>
  <c r="N26" i="1" s="1"/>
  <c r="M26" i="1" a="1"/>
  <c r="M26" i="1" s="1"/>
  <c r="L26" i="1" a="1"/>
  <c r="L26" i="1" s="1"/>
  <c r="K26" i="1" a="1"/>
  <c r="K26" i="1" s="1"/>
  <c r="J26" i="1" a="1"/>
  <c r="J26" i="1" s="1"/>
  <c r="I26" i="1" a="1"/>
  <c r="I26" i="1" s="1"/>
  <c r="H26" i="1" a="1"/>
  <c r="H26" i="1" s="1"/>
  <c r="G26" i="1" a="1"/>
  <c r="G26" i="1" s="1"/>
  <c r="R25" i="1" a="1"/>
  <c r="R25" i="1" s="1"/>
  <c r="Q25" i="1" a="1"/>
  <c r="Q25" i="1" s="1"/>
  <c r="P25" i="1" a="1"/>
  <c r="P25" i="1" s="1"/>
  <c r="O25" i="1" a="1"/>
  <c r="O25" i="1" s="1"/>
  <c r="N25" i="1" a="1"/>
  <c r="N25" i="1" s="1"/>
  <c r="M25" i="1" a="1"/>
  <c r="M25" i="1" s="1"/>
  <c r="L25" i="1" a="1"/>
  <c r="L25" i="1" s="1"/>
  <c r="K25" i="1" a="1"/>
  <c r="K25" i="1" s="1"/>
  <c r="J25" i="1" a="1"/>
  <c r="J25" i="1" s="1"/>
  <c r="I25" i="1" a="1"/>
  <c r="I25" i="1" s="1"/>
  <c r="H25" i="1" a="1"/>
  <c r="H25" i="1" s="1"/>
  <c r="G25" i="1" a="1"/>
  <c r="G25" i="1" s="1"/>
  <c r="R24" i="1" a="1"/>
  <c r="R24" i="1" s="1"/>
  <c r="Q24" i="1" a="1"/>
  <c r="Q24" i="1" s="1"/>
  <c r="P24" i="1" a="1"/>
  <c r="P24" i="1" s="1"/>
  <c r="O24" i="1" a="1"/>
  <c r="O24" i="1" s="1"/>
  <c r="N24" i="1" a="1"/>
  <c r="N24" i="1" s="1"/>
  <c r="M24" i="1" a="1"/>
  <c r="M24" i="1" s="1"/>
  <c r="L24" i="1" a="1"/>
  <c r="L24" i="1" s="1"/>
  <c r="K24" i="1" a="1"/>
  <c r="K24" i="1" s="1"/>
  <c r="J24" i="1" a="1"/>
  <c r="J24" i="1" s="1"/>
  <c r="I24" i="1" a="1"/>
  <c r="I24" i="1" s="1"/>
  <c r="H24" i="1" a="1"/>
  <c r="H24" i="1" s="1"/>
  <c r="G24" i="1" a="1"/>
  <c r="G24" i="1" s="1"/>
  <c r="R23" i="1" a="1"/>
  <c r="R23" i="1" s="1"/>
  <c r="Q23" i="1" a="1"/>
  <c r="Q23" i="1" s="1"/>
  <c r="P23" i="1" a="1"/>
  <c r="P23" i="1" s="1"/>
  <c r="O23" i="1" a="1"/>
  <c r="O23" i="1" s="1"/>
  <c r="N23" i="1" a="1"/>
  <c r="N23" i="1" s="1"/>
  <c r="M23" i="1" a="1"/>
  <c r="M23" i="1" s="1"/>
  <c r="L23" i="1" a="1"/>
  <c r="L23" i="1" s="1"/>
  <c r="K23" i="1" a="1"/>
  <c r="K23" i="1" s="1"/>
  <c r="J23" i="1" a="1"/>
  <c r="J23" i="1" s="1"/>
  <c r="I23" i="1" a="1"/>
  <c r="I23" i="1" s="1"/>
  <c r="H23" i="1" a="1"/>
  <c r="H23" i="1" s="1"/>
  <c r="S28" i="3" l="1" a="1"/>
  <c r="S28" i="3" s="1"/>
  <c r="S24" i="8" a="1"/>
  <c r="S24" i="8" s="1"/>
  <c r="S26" i="4" a="1"/>
  <c r="S26" i="4" s="1"/>
  <c r="S25" i="7" a="1"/>
  <c r="S25" i="7" s="1"/>
  <c r="S25" i="6" a="1"/>
  <c r="S25" i="6" s="1"/>
  <c r="S23" i="6" a="1"/>
  <c r="S23" i="6" s="1"/>
  <c r="S28" i="6" a="1"/>
  <c r="S28" i="6" s="1"/>
  <c r="S28" i="4" a="1"/>
  <c r="S28" i="4" s="1"/>
  <c r="S25" i="5" a="1"/>
  <c r="S25" i="5" s="1"/>
  <c r="S26" i="3" a="1"/>
  <c r="S26" i="3" s="1"/>
  <c r="S23" i="5" a="1"/>
  <c r="S23" i="5" s="1"/>
  <c r="S28" i="10" a="1"/>
  <c r="S28" i="10" s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4" i="1" l="1" a="1"/>
  <c r="S24" i="1" s="1"/>
  <c r="S28" i="1" a="1"/>
  <c r="S28" i="1" s="1"/>
  <c r="S25" i="1" a="1"/>
  <c r="S25" i="1" s="1"/>
  <c r="S23" i="1" a="1"/>
  <c r="S23" i="1" s="1"/>
  <c r="S26" i="1" a="1"/>
  <c r="S26" i="1" s="1"/>
  <c r="S27" i="1" a="1"/>
  <c r="S2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<sst xmlns="http://schemas.openxmlformats.org/spreadsheetml/2006/main" count="1113" uniqueCount="41">
  <si>
    <t>lang</t>
  </si>
  <si>
    <t>attribute.index</t>
  </si>
  <si>
    <t>attribute</t>
  </si>
  <si>
    <t>supplement</t>
  </si>
  <si>
    <t>method.index</t>
  </si>
  <si>
    <t>method</t>
  </si>
  <si>
    <t>2g-no-hash</t>
  </si>
  <si>
    <t>3g-no-hash</t>
  </si>
  <si>
    <t>4g-no-hash</t>
  </si>
  <si>
    <t>sk2g-no-hash</t>
  </si>
  <si>
    <t>sk3g-no-hash</t>
  </si>
  <si>
    <t>sk4g-no-hash</t>
  </si>
  <si>
    <t>xsk2g-no-hash</t>
  </si>
  <si>
    <t>xsk3g-no-hash</t>
  </si>
  <si>
    <t>xsk4g-no-hash</t>
  </si>
  <si>
    <t>2g-hash-at-both</t>
  </si>
  <si>
    <t>3g-hash-at-both</t>
  </si>
  <si>
    <t>4g-hash-at-both</t>
  </si>
  <si>
    <t>sk2g-hash-at-both</t>
  </si>
  <si>
    <t>sk3g-hash-at-both</t>
  </si>
  <si>
    <t>sk4g-hash-at-both</t>
  </si>
  <si>
    <t>xsk2g-hash-at-both</t>
  </si>
  <si>
    <t>xsk3g-hash-at-both</t>
  </si>
  <si>
    <t>xsk4g-hash-at-both</t>
  </si>
  <si>
    <t>max</t>
  </si>
  <si>
    <t>German</t>
  </si>
  <si>
    <t>plurality</t>
  </si>
  <si>
    <t>DT</t>
  </si>
  <si>
    <t>RF</t>
  </si>
  <si>
    <t>NN</t>
  </si>
  <si>
    <t>gender</t>
  </si>
  <si>
    <t>case</t>
  </si>
  <si>
    <t>supplemented</t>
  </si>
  <si>
    <t>metric</t>
  </si>
  <si>
    <t>skippiness</t>
  </si>
  <si>
    <t>sample.n</t>
  </si>
  <si>
    <t>mgv</t>
  </si>
  <si>
    <t>sk</t>
  </si>
  <si>
    <t>var</t>
  </si>
  <si>
    <t>geomean</t>
  </si>
  <si>
    <t>geomean.rank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</si>
</sst>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3"/>
      <color theme="1"/>
      <name val="LucidaSansUnicod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1" xfId="0" applyNumberFormat="1" applyBorder="1"/>
    <xf numFmtId="2" fontId="0" fillId="0" borderId="0" xfId="0" applyNumberFormat="1" applyBorder="1"/>
    <xf numFmtId="1" fontId="0" fillId="0" borderId="0" xfId="0" applyNumberFormat="1" applyBorder="1"/>
  </cellXfs>
  <cellStyles count="1">
    <cellStyle name="Normal" xfId="0" builtinId="0"/>
  </cellStyles>
  <dxfs count="250">
    <dxf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</dxf>
    <dxf>
      <numFmt numFmtId="0" formatCode="General"/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German</a:t>
            </a:r>
            <a:r>
              <a:rPr lang="ja-JP" altLang="en-US" baseline="0"/>
              <a:t> </a:t>
            </a:r>
            <a:r>
              <a:rPr lang="en-US" altLang="ja-JP" baseline="0"/>
              <a:t>xk-based</a:t>
            </a:r>
            <a:r>
              <a:rPr lang="ja-JP" altLang="en-US" baseline="0"/>
              <a:t> </a:t>
            </a:r>
            <a:r>
              <a:rPr lang="en-US" altLang="ja-JP" baseline="0"/>
              <a:t>max</a:t>
            </a:r>
            <a:r>
              <a:rPr lang="ja-JP" altLang="en-US" baseline="0"/>
              <a:t> </a:t>
            </a:r>
            <a:r>
              <a:rPr lang="en-US" altLang="ja-JP" baseline="0"/>
              <a:t>accuracy</a:t>
            </a:r>
            <a:r>
              <a:rPr lang="ja-JP" altLang="en-US" baseline="0"/>
              <a:t> </a:t>
            </a:r>
            <a:r>
              <a:rPr lang="en-US" altLang="ja-JP" baseline="0"/>
              <a:t>distributions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summarized!$J$1</c:f>
              <c:strCache>
                <c:ptCount val="1"/>
                <c:pt idx="0">
                  <c:v>2g-no-hash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18"/>
                <c:pt idx="0">
                  <c:v>gen-spl:T-mgv:3-sn:3k</c:v>
                </c:pt>
                <c:pt idx="1">
                  <c:v>gen-spl:F-mgv:3-sn:3k</c:v>
                </c:pt>
                <c:pt idx="2">
                  <c:v>gen-spl:T-mgv:9-sn:2k</c:v>
                </c:pt>
                <c:pt idx="3">
                  <c:v>gen-spl:T-mgv:6-sn:3k</c:v>
                </c:pt>
                <c:pt idx="4">
                  <c:v>gen-spl:T-mgv:9-sn:3k</c:v>
                </c:pt>
                <c:pt idx="5">
                  <c:v>gen-spl:T-mgv:3-sn:2k</c:v>
                </c:pt>
                <c:pt idx="6">
                  <c:v>gen-spl:F-mgv:9-sn:3k</c:v>
                </c:pt>
                <c:pt idx="7">
                  <c:v>gen-spl:T-mgv:6-sn:2k</c:v>
                </c:pt>
                <c:pt idx="8">
                  <c:v>gen-spl:F-mgv:6-sn:3k</c:v>
                </c:pt>
                <c:pt idx="9">
                  <c:v>gen-spl:F-mgv:3-sn:2k</c:v>
                </c:pt>
                <c:pt idx="10">
                  <c:v>gen-spl:F-mgv:9-sn:2k</c:v>
                </c:pt>
                <c:pt idx="11">
                  <c:v>gen-spl:F-mgv:6-sn:2k</c:v>
                </c:pt>
                <c:pt idx="12">
                  <c:v>gen-spl:T-mgv:9-sn:1.2k</c:v>
                </c:pt>
                <c:pt idx="13">
                  <c:v>gen-spl:F-mgv:9-sn:1.2k</c:v>
                </c:pt>
                <c:pt idx="14">
                  <c:v>gen-spl:T-mgv:6-sn:1.2k</c:v>
                </c:pt>
                <c:pt idx="15">
                  <c:v>gen-spl:T-mgv:3-sn:1.2k</c:v>
                </c:pt>
                <c:pt idx="16">
                  <c:v>gen-spl:F-mgv:3-sn:1.2k</c:v>
                </c:pt>
                <c:pt idx="17">
                  <c:v>gen-spl:F-mgv:6-sn:1.2k</c:v>
                </c:pt>
              </c:strCache>
            </c:strRef>
          </c:cat>
          <c:val>
            <c:numRef>
              <c:f>summarized!$J$2:$J$55</c:f>
              <c:numCache>
                <c:formatCode>0.00</c:formatCode>
                <c:ptCount val="18"/>
                <c:pt idx="0">
                  <c:v>0.63</c:v>
                </c:pt>
                <c:pt idx="1">
                  <c:v>0.59</c:v>
                </c:pt>
                <c:pt idx="2">
                  <c:v>0.59</c:v>
                </c:pt>
                <c:pt idx="3">
                  <c:v>0.57999999999999996</c:v>
                </c:pt>
                <c:pt idx="4">
                  <c:v>0.62</c:v>
                </c:pt>
                <c:pt idx="5">
                  <c:v>0.56000000000000005</c:v>
                </c:pt>
                <c:pt idx="6">
                  <c:v>0.56000000000000005</c:v>
                </c:pt>
                <c:pt idx="7">
                  <c:v>0.64</c:v>
                </c:pt>
                <c:pt idx="8">
                  <c:v>0.56999999999999995</c:v>
                </c:pt>
                <c:pt idx="9">
                  <c:v>0.56999999999999995</c:v>
                </c:pt>
                <c:pt idx="10">
                  <c:v>0.57999999999999996</c:v>
                </c:pt>
                <c:pt idx="11">
                  <c:v>0.6</c:v>
                </c:pt>
                <c:pt idx="12">
                  <c:v>0.56999999999999995</c:v>
                </c:pt>
                <c:pt idx="13">
                  <c:v>0.57999999999999996</c:v>
                </c:pt>
                <c:pt idx="14">
                  <c:v>0.57999999999999996</c:v>
                </c:pt>
                <c:pt idx="15">
                  <c:v>0.5</c:v>
                </c:pt>
                <c:pt idx="16">
                  <c:v>0.48</c:v>
                </c:pt>
                <c:pt idx="17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61-FC42-8B3C-9B16D1C5F54A}"/>
            </c:ext>
          </c:extLst>
        </c:ser>
        <c:ser>
          <c:idx val="1"/>
          <c:order val="1"/>
          <c:tx>
            <c:strRef>
              <c:f>summarized!$K$1</c:f>
              <c:strCache>
                <c:ptCount val="1"/>
                <c:pt idx="0">
                  <c:v>3g-no-hash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18"/>
                <c:pt idx="0">
                  <c:v>gen-spl:T-mgv:3-sn:3k</c:v>
                </c:pt>
                <c:pt idx="1">
                  <c:v>gen-spl:F-mgv:3-sn:3k</c:v>
                </c:pt>
                <c:pt idx="2">
                  <c:v>gen-spl:T-mgv:9-sn:2k</c:v>
                </c:pt>
                <c:pt idx="3">
                  <c:v>gen-spl:T-mgv:6-sn:3k</c:v>
                </c:pt>
                <c:pt idx="4">
                  <c:v>gen-spl:T-mgv:9-sn:3k</c:v>
                </c:pt>
                <c:pt idx="5">
                  <c:v>gen-spl:T-mgv:3-sn:2k</c:v>
                </c:pt>
                <c:pt idx="6">
                  <c:v>gen-spl:F-mgv:9-sn:3k</c:v>
                </c:pt>
                <c:pt idx="7">
                  <c:v>gen-spl:T-mgv:6-sn:2k</c:v>
                </c:pt>
                <c:pt idx="8">
                  <c:v>gen-spl:F-mgv:6-sn:3k</c:v>
                </c:pt>
                <c:pt idx="9">
                  <c:v>gen-spl:F-mgv:3-sn:2k</c:v>
                </c:pt>
                <c:pt idx="10">
                  <c:v>gen-spl:F-mgv:9-sn:2k</c:v>
                </c:pt>
                <c:pt idx="11">
                  <c:v>gen-spl:F-mgv:6-sn:2k</c:v>
                </c:pt>
                <c:pt idx="12">
                  <c:v>gen-spl:T-mgv:9-sn:1.2k</c:v>
                </c:pt>
                <c:pt idx="13">
                  <c:v>gen-spl:F-mgv:9-sn:1.2k</c:v>
                </c:pt>
                <c:pt idx="14">
                  <c:v>gen-spl:T-mgv:6-sn:1.2k</c:v>
                </c:pt>
                <c:pt idx="15">
                  <c:v>gen-spl:T-mgv:3-sn:1.2k</c:v>
                </c:pt>
                <c:pt idx="16">
                  <c:v>gen-spl:F-mgv:3-sn:1.2k</c:v>
                </c:pt>
                <c:pt idx="17">
                  <c:v>gen-spl:F-mgv:6-sn:1.2k</c:v>
                </c:pt>
              </c:strCache>
            </c:strRef>
          </c:cat>
          <c:val>
            <c:numRef>
              <c:f>summarized!$K$2:$K$55</c:f>
              <c:numCache>
                <c:formatCode>0.00</c:formatCode>
                <c:ptCount val="18"/>
                <c:pt idx="0">
                  <c:v>0.61</c:v>
                </c:pt>
                <c:pt idx="1">
                  <c:v>0.6</c:v>
                </c:pt>
                <c:pt idx="2">
                  <c:v>0.57999999999999996</c:v>
                </c:pt>
                <c:pt idx="3">
                  <c:v>0.57999999999999996</c:v>
                </c:pt>
                <c:pt idx="4">
                  <c:v>0.62</c:v>
                </c:pt>
                <c:pt idx="5">
                  <c:v>0.61</c:v>
                </c:pt>
                <c:pt idx="6">
                  <c:v>0.62</c:v>
                </c:pt>
                <c:pt idx="7">
                  <c:v>0.56999999999999995</c:v>
                </c:pt>
                <c:pt idx="8">
                  <c:v>0.56999999999999995</c:v>
                </c:pt>
                <c:pt idx="9">
                  <c:v>0.61</c:v>
                </c:pt>
                <c:pt idx="10">
                  <c:v>0.56999999999999995</c:v>
                </c:pt>
                <c:pt idx="11">
                  <c:v>0.55000000000000004</c:v>
                </c:pt>
                <c:pt idx="12">
                  <c:v>0.54</c:v>
                </c:pt>
                <c:pt idx="13">
                  <c:v>0.53</c:v>
                </c:pt>
                <c:pt idx="14">
                  <c:v>0.56000000000000005</c:v>
                </c:pt>
                <c:pt idx="15">
                  <c:v>0.56999999999999995</c:v>
                </c:pt>
                <c:pt idx="16">
                  <c:v>0.56999999999999995</c:v>
                </c:pt>
                <c:pt idx="17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61-FC42-8B3C-9B16D1C5F54A}"/>
            </c:ext>
          </c:extLst>
        </c:ser>
        <c:ser>
          <c:idx val="2"/>
          <c:order val="2"/>
          <c:tx>
            <c:strRef>
              <c:f>summarized!$L$1</c:f>
              <c:strCache>
                <c:ptCount val="1"/>
                <c:pt idx="0">
                  <c:v>4g-no-hash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18"/>
                <c:pt idx="0">
                  <c:v>gen-spl:T-mgv:3-sn:3k</c:v>
                </c:pt>
                <c:pt idx="1">
                  <c:v>gen-spl:F-mgv:3-sn:3k</c:v>
                </c:pt>
                <c:pt idx="2">
                  <c:v>gen-spl:T-mgv:9-sn:2k</c:v>
                </c:pt>
                <c:pt idx="3">
                  <c:v>gen-spl:T-mgv:6-sn:3k</c:v>
                </c:pt>
                <c:pt idx="4">
                  <c:v>gen-spl:T-mgv:9-sn:3k</c:v>
                </c:pt>
                <c:pt idx="5">
                  <c:v>gen-spl:T-mgv:3-sn:2k</c:v>
                </c:pt>
                <c:pt idx="6">
                  <c:v>gen-spl:F-mgv:9-sn:3k</c:v>
                </c:pt>
                <c:pt idx="7">
                  <c:v>gen-spl:T-mgv:6-sn:2k</c:v>
                </c:pt>
                <c:pt idx="8">
                  <c:v>gen-spl:F-mgv:6-sn:3k</c:v>
                </c:pt>
                <c:pt idx="9">
                  <c:v>gen-spl:F-mgv:3-sn:2k</c:v>
                </c:pt>
                <c:pt idx="10">
                  <c:v>gen-spl:F-mgv:9-sn:2k</c:v>
                </c:pt>
                <c:pt idx="11">
                  <c:v>gen-spl:F-mgv:6-sn:2k</c:v>
                </c:pt>
                <c:pt idx="12">
                  <c:v>gen-spl:T-mgv:9-sn:1.2k</c:v>
                </c:pt>
                <c:pt idx="13">
                  <c:v>gen-spl:F-mgv:9-sn:1.2k</c:v>
                </c:pt>
                <c:pt idx="14">
                  <c:v>gen-spl:T-mgv:6-sn:1.2k</c:v>
                </c:pt>
                <c:pt idx="15">
                  <c:v>gen-spl:T-mgv:3-sn:1.2k</c:v>
                </c:pt>
                <c:pt idx="16">
                  <c:v>gen-spl:F-mgv:3-sn:1.2k</c:v>
                </c:pt>
                <c:pt idx="17">
                  <c:v>gen-spl:F-mgv:6-sn:1.2k</c:v>
                </c:pt>
              </c:strCache>
            </c:strRef>
          </c:cat>
          <c:val>
            <c:numRef>
              <c:f>summarized!$L$2:$L$55</c:f>
              <c:numCache>
                <c:formatCode>0.00</c:formatCode>
                <c:ptCount val="18"/>
                <c:pt idx="0">
                  <c:v>0.66</c:v>
                </c:pt>
                <c:pt idx="1">
                  <c:v>0.66</c:v>
                </c:pt>
                <c:pt idx="2">
                  <c:v>0.62</c:v>
                </c:pt>
                <c:pt idx="3">
                  <c:v>0.61</c:v>
                </c:pt>
                <c:pt idx="4">
                  <c:v>0.6</c:v>
                </c:pt>
                <c:pt idx="5">
                  <c:v>0.62</c:v>
                </c:pt>
                <c:pt idx="6">
                  <c:v>0.63</c:v>
                </c:pt>
                <c:pt idx="7">
                  <c:v>0.59</c:v>
                </c:pt>
                <c:pt idx="8">
                  <c:v>0.56999999999999995</c:v>
                </c:pt>
                <c:pt idx="9">
                  <c:v>0.61</c:v>
                </c:pt>
                <c:pt idx="10">
                  <c:v>0.6</c:v>
                </c:pt>
                <c:pt idx="11">
                  <c:v>0.54</c:v>
                </c:pt>
                <c:pt idx="12">
                  <c:v>0.56999999999999995</c:v>
                </c:pt>
                <c:pt idx="13">
                  <c:v>0.61</c:v>
                </c:pt>
                <c:pt idx="14">
                  <c:v>0.56000000000000005</c:v>
                </c:pt>
                <c:pt idx="15">
                  <c:v>0.55000000000000004</c:v>
                </c:pt>
                <c:pt idx="16">
                  <c:v>0.54</c:v>
                </c:pt>
                <c:pt idx="17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61-FC42-8B3C-9B16D1C5F54A}"/>
            </c:ext>
          </c:extLst>
        </c:ser>
        <c:ser>
          <c:idx val="3"/>
          <c:order val="3"/>
          <c:tx>
            <c:strRef>
              <c:f>summarized!$M$1</c:f>
              <c:strCache>
                <c:ptCount val="1"/>
                <c:pt idx="0">
                  <c:v>xsk2g-no-hash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18"/>
                <c:pt idx="0">
                  <c:v>gen-spl:T-mgv:3-sn:3k</c:v>
                </c:pt>
                <c:pt idx="1">
                  <c:v>gen-spl:F-mgv:3-sn:3k</c:v>
                </c:pt>
                <c:pt idx="2">
                  <c:v>gen-spl:T-mgv:9-sn:2k</c:v>
                </c:pt>
                <c:pt idx="3">
                  <c:v>gen-spl:T-mgv:6-sn:3k</c:v>
                </c:pt>
                <c:pt idx="4">
                  <c:v>gen-spl:T-mgv:9-sn:3k</c:v>
                </c:pt>
                <c:pt idx="5">
                  <c:v>gen-spl:T-mgv:3-sn:2k</c:v>
                </c:pt>
                <c:pt idx="6">
                  <c:v>gen-spl:F-mgv:9-sn:3k</c:v>
                </c:pt>
                <c:pt idx="7">
                  <c:v>gen-spl:T-mgv:6-sn:2k</c:v>
                </c:pt>
                <c:pt idx="8">
                  <c:v>gen-spl:F-mgv:6-sn:3k</c:v>
                </c:pt>
                <c:pt idx="9">
                  <c:v>gen-spl:F-mgv:3-sn:2k</c:v>
                </c:pt>
                <c:pt idx="10">
                  <c:v>gen-spl:F-mgv:9-sn:2k</c:v>
                </c:pt>
                <c:pt idx="11">
                  <c:v>gen-spl:F-mgv:6-sn:2k</c:v>
                </c:pt>
                <c:pt idx="12">
                  <c:v>gen-spl:T-mgv:9-sn:1.2k</c:v>
                </c:pt>
                <c:pt idx="13">
                  <c:v>gen-spl:F-mgv:9-sn:1.2k</c:v>
                </c:pt>
                <c:pt idx="14">
                  <c:v>gen-spl:T-mgv:6-sn:1.2k</c:v>
                </c:pt>
                <c:pt idx="15">
                  <c:v>gen-spl:T-mgv:3-sn:1.2k</c:v>
                </c:pt>
                <c:pt idx="16">
                  <c:v>gen-spl:F-mgv:3-sn:1.2k</c:v>
                </c:pt>
                <c:pt idx="17">
                  <c:v>gen-spl:F-mgv:6-sn:1.2k</c:v>
                </c:pt>
              </c:strCache>
            </c:strRef>
          </c:cat>
          <c:val>
            <c:numRef>
              <c:f>summarized!$M$2:$M$55</c:f>
              <c:numCache>
                <c:formatCode>0.00</c:formatCode>
                <c:ptCount val="18"/>
                <c:pt idx="0">
                  <c:v>0.62</c:v>
                </c:pt>
                <c:pt idx="1">
                  <c:v>0.54</c:v>
                </c:pt>
                <c:pt idx="2">
                  <c:v>0.6</c:v>
                </c:pt>
                <c:pt idx="3">
                  <c:v>0.63</c:v>
                </c:pt>
                <c:pt idx="4">
                  <c:v>0.63</c:v>
                </c:pt>
                <c:pt idx="5">
                  <c:v>0.59</c:v>
                </c:pt>
                <c:pt idx="6">
                  <c:v>0.56999999999999995</c:v>
                </c:pt>
                <c:pt idx="7">
                  <c:v>0.65</c:v>
                </c:pt>
                <c:pt idx="8">
                  <c:v>0.59</c:v>
                </c:pt>
                <c:pt idx="9">
                  <c:v>0.55000000000000004</c:v>
                </c:pt>
                <c:pt idx="10">
                  <c:v>0.53</c:v>
                </c:pt>
                <c:pt idx="11">
                  <c:v>0.6</c:v>
                </c:pt>
                <c:pt idx="12">
                  <c:v>0.61</c:v>
                </c:pt>
                <c:pt idx="13">
                  <c:v>0.57999999999999996</c:v>
                </c:pt>
                <c:pt idx="14">
                  <c:v>0.6</c:v>
                </c:pt>
                <c:pt idx="15">
                  <c:v>0.53</c:v>
                </c:pt>
                <c:pt idx="16">
                  <c:v>0.55000000000000004</c:v>
                </c:pt>
                <c:pt idx="17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61-FC42-8B3C-9B16D1C5F54A}"/>
            </c:ext>
          </c:extLst>
        </c:ser>
        <c:ser>
          <c:idx val="4"/>
          <c:order val="4"/>
          <c:tx>
            <c:strRef>
              <c:f>summarized!$N$1</c:f>
              <c:strCache>
                <c:ptCount val="1"/>
                <c:pt idx="0">
                  <c:v>xsk3g-no-hash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18"/>
                <c:pt idx="0">
                  <c:v>gen-spl:T-mgv:3-sn:3k</c:v>
                </c:pt>
                <c:pt idx="1">
                  <c:v>gen-spl:F-mgv:3-sn:3k</c:v>
                </c:pt>
                <c:pt idx="2">
                  <c:v>gen-spl:T-mgv:9-sn:2k</c:v>
                </c:pt>
                <c:pt idx="3">
                  <c:v>gen-spl:T-mgv:6-sn:3k</c:v>
                </c:pt>
                <c:pt idx="4">
                  <c:v>gen-spl:T-mgv:9-sn:3k</c:v>
                </c:pt>
                <c:pt idx="5">
                  <c:v>gen-spl:T-mgv:3-sn:2k</c:v>
                </c:pt>
                <c:pt idx="6">
                  <c:v>gen-spl:F-mgv:9-sn:3k</c:v>
                </c:pt>
                <c:pt idx="7">
                  <c:v>gen-spl:T-mgv:6-sn:2k</c:v>
                </c:pt>
                <c:pt idx="8">
                  <c:v>gen-spl:F-mgv:6-sn:3k</c:v>
                </c:pt>
                <c:pt idx="9">
                  <c:v>gen-spl:F-mgv:3-sn:2k</c:v>
                </c:pt>
                <c:pt idx="10">
                  <c:v>gen-spl:F-mgv:9-sn:2k</c:v>
                </c:pt>
                <c:pt idx="11">
                  <c:v>gen-spl:F-mgv:6-sn:2k</c:v>
                </c:pt>
                <c:pt idx="12">
                  <c:v>gen-spl:T-mgv:9-sn:1.2k</c:v>
                </c:pt>
                <c:pt idx="13">
                  <c:v>gen-spl:F-mgv:9-sn:1.2k</c:v>
                </c:pt>
                <c:pt idx="14">
                  <c:v>gen-spl:T-mgv:6-sn:1.2k</c:v>
                </c:pt>
                <c:pt idx="15">
                  <c:v>gen-spl:T-mgv:3-sn:1.2k</c:v>
                </c:pt>
                <c:pt idx="16">
                  <c:v>gen-spl:F-mgv:3-sn:1.2k</c:v>
                </c:pt>
                <c:pt idx="17">
                  <c:v>gen-spl:F-mgv:6-sn:1.2k</c:v>
                </c:pt>
              </c:strCache>
            </c:strRef>
          </c:cat>
          <c:val>
            <c:numRef>
              <c:f>summarized!$N$2:$N$55</c:f>
              <c:numCache>
                <c:formatCode>0.00</c:formatCode>
                <c:ptCount val="18"/>
                <c:pt idx="0">
                  <c:v>0.61</c:v>
                </c:pt>
                <c:pt idx="1">
                  <c:v>0.62</c:v>
                </c:pt>
                <c:pt idx="2">
                  <c:v>0.6</c:v>
                </c:pt>
                <c:pt idx="3">
                  <c:v>0.56000000000000005</c:v>
                </c:pt>
                <c:pt idx="4">
                  <c:v>0.59</c:v>
                </c:pt>
                <c:pt idx="5">
                  <c:v>0.56999999999999995</c:v>
                </c:pt>
                <c:pt idx="6">
                  <c:v>0.59</c:v>
                </c:pt>
                <c:pt idx="7">
                  <c:v>0.56000000000000005</c:v>
                </c:pt>
                <c:pt idx="8">
                  <c:v>0.56000000000000005</c:v>
                </c:pt>
                <c:pt idx="9">
                  <c:v>0.56999999999999995</c:v>
                </c:pt>
                <c:pt idx="10">
                  <c:v>0.61</c:v>
                </c:pt>
                <c:pt idx="11">
                  <c:v>0.59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0.47</c:v>
                </c:pt>
                <c:pt idx="15">
                  <c:v>0.52</c:v>
                </c:pt>
                <c:pt idx="16">
                  <c:v>0.52</c:v>
                </c:pt>
                <c:pt idx="17">
                  <c:v>0.49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61-FC42-8B3C-9B16D1C5F54A}"/>
            </c:ext>
          </c:extLst>
        </c:ser>
        <c:ser>
          <c:idx val="5"/>
          <c:order val="5"/>
          <c:tx>
            <c:strRef>
              <c:f>summarized!$O$1</c:f>
              <c:strCache>
                <c:ptCount val="1"/>
                <c:pt idx="0">
                  <c:v>xsk4g-no-hash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18"/>
                <c:pt idx="0">
                  <c:v>gen-spl:T-mgv:3-sn:3k</c:v>
                </c:pt>
                <c:pt idx="1">
                  <c:v>gen-spl:F-mgv:3-sn:3k</c:v>
                </c:pt>
                <c:pt idx="2">
                  <c:v>gen-spl:T-mgv:9-sn:2k</c:v>
                </c:pt>
                <c:pt idx="3">
                  <c:v>gen-spl:T-mgv:6-sn:3k</c:v>
                </c:pt>
                <c:pt idx="4">
                  <c:v>gen-spl:T-mgv:9-sn:3k</c:v>
                </c:pt>
                <c:pt idx="5">
                  <c:v>gen-spl:T-mgv:3-sn:2k</c:v>
                </c:pt>
                <c:pt idx="6">
                  <c:v>gen-spl:F-mgv:9-sn:3k</c:v>
                </c:pt>
                <c:pt idx="7">
                  <c:v>gen-spl:T-mgv:6-sn:2k</c:v>
                </c:pt>
                <c:pt idx="8">
                  <c:v>gen-spl:F-mgv:6-sn:3k</c:v>
                </c:pt>
                <c:pt idx="9">
                  <c:v>gen-spl:F-mgv:3-sn:2k</c:v>
                </c:pt>
                <c:pt idx="10">
                  <c:v>gen-spl:F-mgv:9-sn:2k</c:v>
                </c:pt>
                <c:pt idx="11">
                  <c:v>gen-spl:F-mgv:6-sn:2k</c:v>
                </c:pt>
                <c:pt idx="12">
                  <c:v>gen-spl:T-mgv:9-sn:1.2k</c:v>
                </c:pt>
                <c:pt idx="13">
                  <c:v>gen-spl:F-mgv:9-sn:1.2k</c:v>
                </c:pt>
                <c:pt idx="14">
                  <c:v>gen-spl:T-mgv:6-sn:1.2k</c:v>
                </c:pt>
                <c:pt idx="15">
                  <c:v>gen-spl:T-mgv:3-sn:1.2k</c:v>
                </c:pt>
                <c:pt idx="16">
                  <c:v>gen-spl:F-mgv:3-sn:1.2k</c:v>
                </c:pt>
                <c:pt idx="17">
                  <c:v>gen-spl:F-mgv:6-sn:1.2k</c:v>
                </c:pt>
              </c:strCache>
            </c:strRef>
          </c:cat>
          <c:val>
            <c:numRef>
              <c:f>summarized!$O$2:$O$55</c:f>
              <c:numCache>
                <c:formatCode>0.00</c:formatCode>
                <c:ptCount val="18"/>
                <c:pt idx="0">
                  <c:v>0.6</c:v>
                </c:pt>
                <c:pt idx="1">
                  <c:v>0.63</c:v>
                </c:pt>
                <c:pt idx="2">
                  <c:v>0.6</c:v>
                </c:pt>
                <c:pt idx="3">
                  <c:v>0.56000000000000005</c:v>
                </c:pt>
                <c:pt idx="4">
                  <c:v>0.55000000000000004</c:v>
                </c:pt>
                <c:pt idx="5">
                  <c:v>0.59</c:v>
                </c:pt>
                <c:pt idx="6">
                  <c:v>0.56999999999999995</c:v>
                </c:pt>
                <c:pt idx="7">
                  <c:v>0.52</c:v>
                </c:pt>
                <c:pt idx="8">
                  <c:v>0.56999999999999995</c:v>
                </c:pt>
                <c:pt idx="9">
                  <c:v>0.55000000000000004</c:v>
                </c:pt>
                <c:pt idx="10">
                  <c:v>0.62</c:v>
                </c:pt>
                <c:pt idx="11">
                  <c:v>0.56999999999999995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</c:v>
                </c:pt>
                <c:pt idx="15">
                  <c:v>0.56999999999999995</c:v>
                </c:pt>
                <c:pt idx="16">
                  <c:v>0.63</c:v>
                </c:pt>
                <c:pt idx="17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A61-FC42-8B3C-9B16D1C5F54A}"/>
            </c:ext>
          </c:extLst>
        </c:ser>
        <c:ser>
          <c:idx val="6"/>
          <c:order val="6"/>
          <c:tx>
            <c:strRef>
              <c:f>summarized!$P$1</c:f>
              <c:strCache>
                <c:ptCount val="1"/>
                <c:pt idx="0">
                  <c:v>2g-hash-at-both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18"/>
                <c:pt idx="0">
                  <c:v>gen-spl:T-mgv:3-sn:3k</c:v>
                </c:pt>
                <c:pt idx="1">
                  <c:v>gen-spl:F-mgv:3-sn:3k</c:v>
                </c:pt>
                <c:pt idx="2">
                  <c:v>gen-spl:T-mgv:9-sn:2k</c:v>
                </c:pt>
                <c:pt idx="3">
                  <c:v>gen-spl:T-mgv:6-sn:3k</c:v>
                </c:pt>
                <c:pt idx="4">
                  <c:v>gen-spl:T-mgv:9-sn:3k</c:v>
                </c:pt>
                <c:pt idx="5">
                  <c:v>gen-spl:T-mgv:3-sn:2k</c:v>
                </c:pt>
                <c:pt idx="6">
                  <c:v>gen-spl:F-mgv:9-sn:3k</c:v>
                </c:pt>
                <c:pt idx="7">
                  <c:v>gen-spl:T-mgv:6-sn:2k</c:v>
                </c:pt>
                <c:pt idx="8">
                  <c:v>gen-spl:F-mgv:6-sn:3k</c:v>
                </c:pt>
                <c:pt idx="9">
                  <c:v>gen-spl:F-mgv:3-sn:2k</c:v>
                </c:pt>
                <c:pt idx="10">
                  <c:v>gen-spl:F-mgv:9-sn:2k</c:v>
                </c:pt>
                <c:pt idx="11">
                  <c:v>gen-spl:F-mgv:6-sn:2k</c:v>
                </c:pt>
                <c:pt idx="12">
                  <c:v>gen-spl:T-mgv:9-sn:1.2k</c:v>
                </c:pt>
                <c:pt idx="13">
                  <c:v>gen-spl:F-mgv:9-sn:1.2k</c:v>
                </c:pt>
                <c:pt idx="14">
                  <c:v>gen-spl:T-mgv:6-sn:1.2k</c:v>
                </c:pt>
                <c:pt idx="15">
                  <c:v>gen-spl:T-mgv:3-sn:1.2k</c:v>
                </c:pt>
                <c:pt idx="16">
                  <c:v>gen-spl:F-mgv:3-sn:1.2k</c:v>
                </c:pt>
                <c:pt idx="17">
                  <c:v>gen-spl:F-mgv:6-sn:1.2k</c:v>
                </c:pt>
              </c:strCache>
            </c:strRef>
          </c:cat>
          <c:val>
            <c:numRef>
              <c:f>summarized!$P$2:$P$55</c:f>
              <c:numCache>
                <c:formatCode>0.00</c:formatCode>
                <c:ptCount val="18"/>
                <c:pt idx="0">
                  <c:v>0.61</c:v>
                </c:pt>
                <c:pt idx="1">
                  <c:v>0.56999999999999995</c:v>
                </c:pt>
                <c:pt idx="2">
                  <c:v>0.63</c:v>
                </c:pt>
                <c:pt idx="3">
                  <c:v>0.64</c:v>
                </c:pt>
                <c:pt idx="4">
                  <c:v>0.56000000000000005</c:v>
                </c:pt>
                <c:pt idx="5">
                  <c:v>0.59</c:v>
                </c:pt>
                <c:pt idx="6">
                  <c:v>0.56000000000000005</c:v>
                </c:pt>
                <c:pt idx="7">
                  <c:v>0.63</c:v>
                </c:pt>
                <c:pt idx="8">
                  <c:v>0.57999999999999996</c:v>
                </c:pt>
                <c:pt idx="9">
                  <c:v>0.57999999999999996</c:v>
                </c:pt>
                <c:pt idx="10">
                  <c:v>0.54</c:v>
                </c:pt>
                <c:pt idx="11">
                  <c:v>0.57999999999999996</c:v>
                </c:pt>
                <c:pt idx="12">
                  <c:v>0.56000000000000005</c:v>
                </c:pt>
                <c:pt idx="13">
                  <c:v>0.56000000000000005</c:v>
                </c:pt>
                <c:pt idx="14">
                  <c:v>0.55000000000000004</c:v>
                </c:pt>
                <c:pt idx="15">
                  <c:v>0.54</c:v>
                </c:pt>
                <c:pt idx="16">
                  <c:v>0.54</c:v>
                </c:pt>
                <c:pt idx="17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A61-FC42-8B3C-9B16D1C5F54A}"/>
            </c:ext>
          </c:extLst>
        </c:ser>
        <c:ser>
          <c:idx val="7"/>
          <c:order val="7"/>
          <c:tx>
            <c:strRef>
              <c:f>summarized!$Q$1</c:f>
              <c:strCache>
                <c:ptCount val="1"/>
                <c:pt idx="0">
                  <c:v>3g-hash-at-both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18"/>
                <c:pt idx="0">
                  <c:v>gen-spl:T-mgv:3-sn:3k</c:v>
                </c:pt>
                <c:pt idx="1">
                  <c:v>gen-spl:F-mgv:3-sn:3k</c:v>
                </c:pt>
                <c:pt idx="2">
                  <c:v>gen-spl:T-mgv:9-sn:2k</c:v>
                </c:pt>
                <c:pt idx="3">
                  <c:v>gen-spl:T-mgv:6-sn:3k</c:v>
                </c:pt>
                <c:pt idx="4">
                  <c:v>gen-spl:T-mgv:9-sn:3k</c:v>
                </c:pt>
                <c:pt idx="5">
                  <c:v>gen-spl:T-mgv:3-sn:2k</c:v>
                </c:pt>
                <c:pt idx="6">
                  <c:v>gen-spl:F-mgv:9-sn:3k</c:v>
                </c:pt>
                <c:pt idx="7">
                  <c:v>gen-spl:T-mgv:6-sn:2k</c:v>
                </c:pt>
                <c:pt idx="8">
                  <c:v>gen-spl:F-mgv:6-sn:3k</c:v>
                </c:pt>
                <c:pt idx="9">
                  <c:v>gen-spl:F-mgv:3-sn:2k</c:v>
                </c:pt>
                <c:pt idx="10">
                  <c:v>gen-spl:F-mgv:9-sn:2k</c:v>
                </c:pt>
                <c:pt idx="11">
                  <c:v>gen-spl:F-mgv:6-sn:2k</c:v>
                </c:pt>
                <c:pt idx="12">
                  <c:v>gen-spl:T-mgv:9-sn:1.2k</c:v>
                </c:pt>
                <c:pt idx="13">
                  <c:v>gen-spl:F-mgv:9-sn:1.2k</c:v>
                </c:pt>
                <c:pt idx="14">
                  <c:v>gen-spl:T-mgv:6-sn:1.2k</c:v>
                </c:pt>
                <c:pt idx="15">
                  <c:v>gen-spl:T-mgv:3-sn:1.2k</c:v>
                </c:pt>
                <c:pt idx="16">
                  <c:v>gen-spl:F-mgv:3-sn:1.2k</c:v>
                </c:pt>
                <c:pt idx="17">
                  <c:v>gen-spl:F-mgv:6-sn:1.2k</c:v>
                </c:pt>
              </c:strCache>
            </c:strRef>
          </c:cat>
          <c:val>
            <c:numRef>
              <c:f>summarized!$Q$2:$Q$55</c:f>
              <c:numCache>
                <c:formatCode>0.00</c:formatCode>
                <c:ptCount val="18"/>
                <c:pt idx="0">
                  <c:v>0.62</c:v>
                </c:pt>
                <c:pt idx="1">
                  <c:v>0.62</c:v>
                </c:pt>
                <c:pt idx="2">
                  <c:v>0.61</c:v>
                </c:pt>
                <c:pt idx="3">
                  <c:v>0.63</c:v>
                </c:pt>
                <c:pt idx="4">
                  <c:v>0.63</c:v>
                </c:pt>
                <c:pt idx="5">
                  <c:v>0.6</c:v>
                </c:pt>
                <c:pt idx="6">
                  <c:v>0.62</c:v>
                </c:pt>
                <c:pt idx="7">
                  <c:v>0.56999999999999995</c:v>
                </c:pt>
                <c:pt idx="8">
                  <c:v>0.59</c:v>
                </c:pt>
                <c:pt idx="9">
                  <c:v>0.6</c:v>
                </c:pt>
                <c:pt idx="10">
                  <c:v>0.6</c:v>
                </c:pt>
                <c:pt idx="11">
                  <c:v>0.56000000000000005</c:v>
                </c:pt>
                <c:pt idx="12">
                  <c:v>0.54</c:v>
                </c:pt>
                <c:pt idx="13">
                  <c:v>0.54</c:v>
                </c:pt>
                <c:pt idx="14">
                  <c:v>0.61</c:v>
                </c:pt>
                <c:pt idx="15">
                  <c:v>0.53</c:v>
                </c:pt>
                <c:pt idx="16">
                  <c:v>0.55000000000000004</c:v>
                </c:pt>
                <c:pt idx="17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A61-FC42-8B3C-9B16D1C5F54A}"/>
            </c:ext>
          </c:extLst>
        </c:ser>
        <c:ser>
          <c:idx val="8"/>
          <c:order val="8"/>
          <c:tx>
            <c:strRef>
              <c:f>summarized!$R$1</c:f>
              <c:strCache>
                <c:ptCount val="1"/>
                <c:pt idx="0">
                  <c:v>4g-hash-at-both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18"/>
                <c:pt idx="0">
                  <c:v>gen-spl:T-mgv:3-sn:3k</c:v>
                </c:pt>
                <c:pt idx="1">
                  <c:v>gen-spl:F-mgv:3-sn:3k</c:v>
                </c:pt>
                <c:pt idx="2">
                  <c:v>gen-spl:T-mgv:9-sn:2k</c:v>
                </c:pt>
                <c:pt idx="3">
                  <c:v>gen-spl:T-mgv:6-sn:3k</c:v>
                </c:pt>
                <c:pt idx="4">
                  <c:v>gen-spl:T-mgv:9-sn:3k</c:v>
                </c:pt>
                <c:pt idx="5">
                  <c:v>gen-spl:T-mgv:3-sn:2k</c:v>
                </c:pt>
                <c:pt idx="6">
                  <c:v>gen-spl:F-mgv:9-sn:3k</c:v>
                </c:pt>
                <c:pt idx="7">
                  <c:v>gen-spl:T-mgv:6-sn:2k</c:v>
                </c:pt>
                <c:pt idx="8">
                  <c:v>gen-spl:F-mgv:6-sn:3k</c:v>
                </c:pt>
                <c:pt idx="9">
                  <c:v>gen-spl:F-mgv:3-sn:2k</c:v>
                </c:pt>
                <c:pt idx="10">
                  <c:v>gen-spl:F-mgv:9-sn:2k</c:v>
                </c:pt>
                <c:pt idx="11">
                  <c:v>gen-spl:F-mgv:6-sn:2k</c:v>
                </c:pt>
                <c:pt idx="12">
                  <c:v>gen-spl:T-mgv:9-sn:1.2k</c:v>
                </c:pt>
                <c:pt idx="13">
                  <c:v>gen-spl:F-mgv:9-sn:1.2k</c:v>
                </c:pt>
                <c:pt idx="14">
                  <c:v>gen-spl:T-mgv:6-sn:1.2k</c:v>
                </c:pt>
                <c:pt idx="15">
                  <c:v>gen-spl:T-mgv:3-sn:1.2k</c:v>
                </c:pt>
                <c:pt idx="16">
                  <c:v>gen-spl:F-mgv:3-sn:1.2k</c:v>
                </c:pt>
                <c:pt idx="17">
                  <c:v>gen-spl:F-mgv:6-sn:1.2k</c:v>
                </c:pt>
              </c:strCache>
            </c:strRef>
          </c:cat>
          <c:val>
            <c:numRef>
              <c:f>summarized!$R$2:$R$55</c:f>
              <c:numCache>
                <c:formatCode>0.00</c:formatCode>
                <c:ptCount val="18"/>
                <c:pt idx="0">
                  <c:v>0.64</c:v>
                </c:pt>
                <c:pt idx="1">
                  <c:v>0.57999999999999996</c:v>
                </c:pt>
                <c:pt idx="2">
                  <c:v>0.6</c:v>
                </c:pt>
                <c:pt idx="3">
                  <c:v>0.63</c:v>
                </c:pt>
                <c:pt idx="4">
                  <c:v>0.59</c:v>
                </c:pt>
                <c:pt idx="5">
                  <c:v>0.57999999999999996</c:v>
                </c:pt>
                <c:pt idx="6">
                  <c:v>0.6</c:v>
                </c:pt>
                <c:pt idx="7">
                  <c:v>0.62</c:v>
                </c:pt>
                <c:pt idx="8">
                  <c:v>0.61</c:v>
                </c:pt>
                <c:pt idx="9">
                  <c:v>0.56999999999999995</c:v>
                </c:pt>
                <c:pt idx="10">
                  <c:v>0.59</c:v>
                </c:pt>
                <c:pt idx="11">
                  <c:v>0.61</c:v>
                </c:pt>
                <c:pt idx="12">
                  <c:v>0.61</c:v>
                </c:pt>
                <c:pt idx="13">
                  <c:v>0.55000000000000004</c:v>
                </c:pt>
                <c:pt idx="14">
                  <c:v>0.54</c:v>
                </c:pt>
                <c:pt idx="15">
                  <c:v>0.54</c:v>
                </c:pt>
                <c:pt idx="16">
                  <c:v>0.52</c:v>
                </c:pt>
                <c:pt idx="17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A61-FC42-8B3C-9B16D1C5F54A}"/>
            </c:ext>
          </c:extLst>
        </c:ser>
        <c:ser>
          <c:idx val="9"/>
          <c:order val="9"/>
          <c:tx>
            <c:strRef>
              <c:f>summarized!$S$1</c:f>
              <c:strCache>
                <c:ptCount val="1"/>
                <c:pt idx="0">
                  <c:v>xsk2g-hash-at-both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18"/>
                <c:pt idx="0">
                  <c:v>gen-spl:T-mgv:3-sn:3k</c:v>
                </c:pt>
                <c:pt idx="1">
                  <c:v>gen-spl:F-mgv:3-sn:3k</c:v>
                </c:pt>
                <c:pt idx="2">
                  <c:v>gen-spl:T-mgv:9-sn:2k</c:v>
                </c:pt>
                <c:pt idx="3">
                  <c:v>gen-spl:T-mgv:6-sn:3k</c:v>
                </c:pt>
                <c:pt idx="4">
                  <c:v>gen-spl:T-mgv:9-sn:3k</c:v>
                </c:pt>
                <c:pt idx="5">
                  <c:v>gen-spl:T-mgv:3-sn:2k</c:v>
                </c:pt>
                <c:pt idx="6">
                  <c:v>gen-spl:F-mgv:9-sn:3k</c:v>
                </c:pt>
                <c:pt idx="7">
                  <c:v>gen-spl:T-mgv:6-sn:2k</c:v>
                </c:pt>
                <c:pt idx="8">
                  <c:v>gen-spl:F-mgv:6-sn:3k</c:v>
                </c:pt>
                <c:pt idx="9">
                  <c:v>gen-spl:F-mgv:3-sn:2k</c:v>
                </c:pt>
                <c:pt idx="10">
                  <c:v>gen-spl:F-mgv:9-sn:2k</c:v>
                </c:pt>
                <c:pt idx="11">
                  <c:v>gen-spl:F-mgv:6-sn:2k</c:v>
                </c:pt>
                <c:pt idx="12">
                  <c:v>gen-spl:T-mgv:9-sn:1.2k</c:v>
                </c:pt>
                <c:pt idx="13">
                  <c:v>gen-spl:F-mgv:9-sn:1.2k</c:v>
                </c:pt>
                <c:pt idx="14">
                  <c:v>gen-spl:T-mgv:6-sn:1.2k</c:v>
                </c:pt>
                <c:pt idx="15">
                  <c:v>gen-spl:T-mgv:3-sn:1.2k</c:v>
                </c:pt>
                <c:pt idx="16">
                  <c:v>gen-spl:F-mgv:3-sn:1.2k</c:v>
                </c:pt>
                <c:pt idx="17">
                  <c:v>gen-spl:F-mgv:6-sn:1.2k</c:v>
                </c:pt>
              </c:strCache>
            </c:strRef>
          </c:cat>
          <c:val>
            <c:numRef>
              <c:f>summarized!$S$2:$S$55</c:f>
              <c:numCache>
                <c:formatCode>0.00</c:formatCode>
                <c:ptCount val="18"/>
                <c:pt idx="0">
                  <c:v>0.64</c:v>
                </c:pt>
                <c:pt idx="1">
                  <c:v>0.63</c:v>
                </c:pt>
                <c:pt idx="2">
                  <c:v>0.61</c:v>
                </c:pt>
                <c:pt idx="3">
                  <c:v>0.59</c:v>
                </c:pt>
                <c:pt idx="4">
                  <c:v>0.59</c:v>
                </c:pt>
                <c:pt idx="5">
                  <c:v>0.68</c:v>
                </c:pt>
                <c:pt idx="6">
                  <c:v>0.56000000000000005</c:v>
                </c:pt>
                <c:pt idx="7">
                  <c:v>0.6</c:v>
                </c:pt>
                <c:pt idx="8">
                  <c:v>0.6</c:v>
                </c:pt>
                <c:pt idx="9">
                  <c:v>0.65</c:v>
                </c:pt>
                <c:pt idx="10">
                  <c:v>0.56999999999999995</c:v>
                </c:pt>
                <c:pt idx="11">
                  <c:v>0.6</c:v>
                </c:pt>
                <c:pt idx="12">
                  <c:v>0.56000000000000005</c:v>
                </c:pt>
                <c:pt idx="13">
                  <c:v>0.56999999999999995</c:v>
                </c:pt>
                <c:pt idx="14">
                  <c:v>0.59</c:v>
                </c:pt>
                <c:pt idx="15">
                  <c:v>0.56999999999999995</c:v>
                </c:pt>
                <c:pt idx="16">
                  <c:v>0.54</c:v>
                </c:pt>
                <c:pt idx="17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A61-FC42-8B3C-9B16D1C5F54A}"/>
            </c:ext>
          </c:extLst>
        </c:ser>
        <c:ser>
          <c:idx val="10"/>
          <c:order val="10"/>
          <c:tx>
            <c:strRef>
              <c:f>summarized!$T$1</c:f>
              <c:strCache>
                <c:ptCount val="1"/>
                <c:pt idx="0">
                  <c:v>xsk3g-hash-at-both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18"/>
                <c:pt idx="0">
                  <c:v>gen-spl:T-mgv:3-sn:3k</c:v>
                </c:pt>
                <c:pt idx="1">
                  <c:v>gen-spl:F-mgv:3-sn:3k</c:v>
                </c:pt>
                <c:pt idx="2">
                  <c:v>gen-spl:T-mgv:9-sn:2k</c:v>
                </c:pt>
                <c:pt idx="3">
                  <c:v>gen-spl:T-mgv:6-sn:3k</c:v>
                </c:pt>
                <c:pt idx="4">
                  <c:v>gen-spl:T-mgv:9-sn:3k</c:v>
                </c:pt>
                <c:pt idx="5">
                  <c:v>gen-spl:T-mgv:3-sn:2k</c:v>
                </c:pt>
                <c:pt idx="6">
                  <c:v>gen-spl:F-mgv:9-sn:3k</c:v>
                </c:pt>
                <c:pt idx="7">
                  <c:v>gen-spl:T-mgv:6-sn:2k</c:v>
                </c:pt>
                <c:pt idx="8">
                  <c:v>gen-spl:F-mgv:6-sn:3k</c:v>
                </c:pt>
                <c:pt idx="9">
                  <c:v>gen-spl:F-mgv:3-sn:2k</c:v>
                </c:pt>
                <c:pt idx="10">
                  <c:v>gen-spl:F-mgv:9-sn:2k</c:v>
                </c:pt>
                <c:pt idx="11">
                  <c:v>gen-spl:F-mgv:6-sn:2k</c:v>
                </c:pt>
                <c:pt idx="12">
                  <c:v>gen-spl:T-mgv:9-sn:1.2k</c:v>
                </c:pt>
                <c:pt idx="13">
                  <c:v>gen-spl:F-mgv:9-sn:1.2k</c:v>
                </c:pt>
                <c:pt idx="14">
                  <c:v>gen-spl:T-mgv:6-sn:1.2k</c:v>
                </c:pt>
                <c:pt idx="15">
                  <c:v>gen-spl:T-mgv:3-sn:1.2k</c:v>
                </c:pt>
                <c:pt idx="16">
                  <c:v>gen-spl:F-mgv:3-sn:1.2k</c:v>
                </c:pt>
                <c:pt idx="17">
                  <c:v>gen-spl:F-mgv:6-sn:1.2k</c:v>
                </c:pt>
              </c:strCache>
            </c:strRef>
          </c:cat>
          <c:val>
            <c:numRef>
              <c:f>summarized!$T$2:$T$55</c:f>
              <c:numCache>
                <c:formatCode>0.00</c:formatCode>
                <c:ptCount val="18"/>
                <c:pt idx="0">
                  <c:v>0.59</c:v>
                </c:pt>
                <c:pt idx="1">
                  <c:v>0.6</c:v>
                </c:pt>
                <c:pt idx="2">
                  <c:v>0.63</c:v>
                </c:pt>
                <c:pt idx="3">
                  <c:v>0.62</c:v>
                </c:pt>
                <c:pt idx="4">
                  <c:v>0.59</c:v>
                </c:pt>
                <c:pt idx="5">
                  <c:v>0.55000000000000004</c:v>
                </c:pt>
                <c:pt idx="6">
                  <c:v>0.6</c:v>
                </c:pt>
                <c:pt idx="7">
                  <c:v>0.6</c:v>
                </c:pt>
                <c:pt idx="8">
                  <c:v>0.61</c:v>
                </c:pt>
                <c:pt idx="9">
                  <c:v>0.53</c:v>
                </c:pt>
                <c:pt idx="10">
                  <c:v>0.62</c:v>
                </c:pt>
                <c:pt idx="11">
                  <c:v>0.56000000000000005</c:v>
                </c:pt>
                <c:pt idx="12">
                  <c:v>0.61</c:v>
                </c:pt>
                <c:pt idx="13">
                  <c:v>0.6</c:v>
                </c:pt>
                <c:pt idx="14">
                  <c:v>0.51</c:v>
                </c:pt>
                <c:pt idx="15">
                  <c:v>0.55000000000000004</c:v>
                </c:pt>
                <c:pt idx="16">
                  <c:v>0.52</c:v>
                </c:pt>
                <c:pt idx="17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A61-FC42-8B3C-9B16D1C5F54A}"/>
            </c:ext>
          </c:extLst>
        </c:ser>
        <c:ser>
          <c:idx val="11"/>
          <c:order val="11"/>
          <c:tx>
            <c:strRef>
              <c:f>summarized!$U$1</c:f>
              <c:strCache>
                <c:ptCount val="1"/>
                <c:pt idx="0">
                  <c:v>xsk4g-hash-at-both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summarized!$I$2:$I$55</c:f>
              <c:strCache>
                <c:ptCount val="18"/>
                <c:pt idx="0">
                  <c:v>gen-spl:T-mgv:3-sn:3k</c:v>
                </c:pt>
                <c:pt idx="1">
                  <c:v>gen-spl:F-mgv:3-sn:3k</c:v>
                </c:pt>
                <c:pt idx="2">
                  <c:v>gen-spl:T-mgv:9-sn:2k</c:v>
                </c:pt>
                <c:pt idx="3">
                  <c:v>gen-spl:T-mgv:6-sn:3k</c:v>
                </c:pt>
                <c:pt idx="4">
                  <c:v>gen-spl:T-mgv:9-sn:3k</c:v>
                </c:pt>
                <c:pt idx="5">
                  <c:v>gen-spl:T-mgv:3-sn:2k</c:v>
                </c:pt>
                <c:pt idx="6">
                  <c:v>gen-spl:F-mgv:9-sn:3k</c:v>
                </c:pt>
                <c:pt idx="7">
                  <c:v>gen-spl:T-mgv:6-sn:2k</c:v>
                </c:pt>
                <c:pt idx="8">
                  <c:v>gen-spl:F-mgv:6-sn:3k</c:v>
                </c:pt>
                <c:pt idx="9">
                  <c:v>gen-spl:F-mgv:3-sn:2k</c:v>
                </c:pt>
                <c:pt idx="10">
                  <c:v>gen-spl:F-mgv:9-sn:2k</c:v>
                </c:pt>
                <c:pt idx="11">
                  <c:v>gen-spl:F-mgv:6-sn:2k</c:v>
                </c:pt>
                <c:pt idx="12">
                  <c:v>gen-spl:T-mgv:9-sn:1.2k</c:v>
                </c:pt>
                <c:pt idx="13">
                  <c:v>gen-spl:F-mgv:9-sn:1.2k</c:v>
                </c:pt>
                <c:pt idx="14">
                  <c:v>gen-spl:T-mgv:6-sn:1.2k</c:v>
                </c:pt>
                <c:pt idx="15">
                  <c:v>gen-spl:T-mgv:3-sn:1.2k</c:v>
                </c:pt>
                <c:pt idx="16">
                  <c:v>gen-spl:F-mgv:3-sn:1.2k</c:v>
                </c:pt>
                <c:pt idx="17">
                  <c:v>gen-spl:F-mgv:6-sn:1.2k</c:v>
                </c:pt>
              </c:strCache>
            </c:strRef>
          </c:cat>
          <c:val>
            <c:numRef>
              <c:f>summarized!$U$2:$U$55</c:f>
              <c:numCache>
                <c:formatCode>0.00</c:formatCode>
                <c:ptCount val="18"/>
                <c:pt idx="0">
                  <c:v>0.61</c:v>
                </c:pt>
                <c:pt idx="1">
                  <c:v>0.57999999999999996</c:v>
                </c:pt>
                <c:pt idx="2">
                  <c:v>0.52</c:v>
                </c:pt>
                <c:pt idx="3">
                  <c:v>0.56000000000000005</c:v>
                </c:pt>
                <c:pt idx="4">
                  <c:v>0.59</c:v>
                </c:pt>
                <c:pt idx="5">
                  <c:v>0.62</c:v>
                </c:pt>
                <c:pt idx="6">
                  <c:v>0.65</c:v>
                </c:pt>
                <c:pt idx="7">
                  <c:v>0.57999999999999996</c:v>
                </c:pt>
                <c:pt idx="8">
                  <c:v>0.55000000000000004</c:v>
                </c:pt>
                <c:pt idx="9">
                  <c:v>0.56999999999999995</c:v>
                </c:pt>
                <c:pt idx="10">
                  <c:v>0.53</c:v>
                </c:pt>
                <c:pt idx="11">
                  <c:v>0.56999999999999995</c:v>
                </c:pt>
                <c:pt idx="12">
                  <c:v>0.57999999999999996</c:v>
                </c:pt>
                <c:pt idx="13">
                  <c:v>0.55000000000000004</c:v>
                </c:pt>
                <c:pt idx="14">
                  <c:v>0.53</c:v>
                </c:pt>
                <c:pt idx="15">
                  <c:v>0.57999999999999996</c:v>
                </c:pt>
                <c:pt idx="16">
                  <c:v>0.57999999999999996</c:v>
                </c:pt>
                <c:pt idx="17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A61-FC42-8B3C-9B16D1C5F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6480095"/>
        <c:axId val="683512207"/>
      </c:lineChart>
      <c:catAx>
        <c:axId val="43648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683512207"/>
        <c:crosses val="autoZero"/>
        <c:auto val="1"/>
        <c:lblAlgn val="ctr"/>
        <c:lblOffset val="100"/>
        <c:noMultiLvlLbl val="0"/>
      </c:catAx>
      <c:valAx>
        <c:axId val="68351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JP"/>
          </a:p>
        </c:txPr>
        <c:crossAx val="43648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273050</xdr:colOff>
      <xdr:row>1</xdr:row>
      <xdr:rowOff>203200</xdr:rowOff>
    </xdr:from>
    <xdr:to>
      <xdr:col>29</xdr:col>
      <xdr:colOff>165150</xdr:colOff>
      <xdr:row>34</xdr:row>
      <xdr:rowOff>277500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C05ED6-C104-D1D0-804B-90D16E2A0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E41E7DE-59A2-3A43-B5E1-1E12B7F905ED}" name="Table19" displayName="Table19" ref="A1:X55" totalsRowShown="0">
  <autoFilter ref="A1:X55" xr:uid="{EE41E7DE-59A2-3A43-B5E1-1E12B7F905ED}">
    <filterColumn colId="4">
      <filters>
        <filter val="gender"/>
      </filters>
    </filterColumn>
  </autoFilter>
  <sortState xmlns:xlrd2="http://schemas.microsoft.com/office/spreadsheetml/2017/richdata2" ref="A38:W55">
    <sortCondition descending="1" ref="W1:W55"/>
  </sortState>
  <tableColumns count="24">
    <tableColumn id="1" xr3:uid="{21CD7367-A738-414A-B5C5-2B05DB2E58F7}" name="skippiness"/>
    <tableColumn id="2" xr3:uid="{5F41DF0D-E848-EA4B-BF22-3F0DBE6F482E}" name="sample.n"/>
    <tableColumn id="3" xr3:uid="{5573CD22-09B8-4D42-87E2-553DFAAA9761}" name="mgv"/>
    <tableColumn id="4" xr3:uid="{4DD513B5-F26C-EC45-905D-F3187118BE11}" name="attribute.index"/>
    <tableColumn id="5" xr3:uid="{7EE617F7-2EB9-0F4C-BA31-2434CB22FD94}" name="attribute"/>
    <tableColumn id="6" xr3:uid="{AA424708-A45A-7445-81C2-49EF487FDC27}" name="supplemented"/>
    <tableColumn id="7" xr3:uid="{4DE0296E-AECB-FA41-8BA0-F69581F2B1B6}" name="method.index"/>
    <tableColumn id="8" xr3:uid="{3D5D744F-A35E-C24E-918E-EF53B5599299}" name="metric"/>
    <tableColumn id="28" xr3:uid="{50358062-3B8B-ED44-B3FC-408B9C56B2B1}" name="var" dataDxfId="2">
      <calculatedColumnFormula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calculatedColumnFormula>
    </tableColumn>
    <tableColumn id="9" xr3:uid="{39E0FAC8-CE29-7343-B205-68DAA1AA6B96}" name="2g-no-hash" dataDxfId="15"/>
    <tableColumn id="10" xr3:uid="{4349281F-B40F-8F49-93D7-7CACB769A088}" name="3g-no-hash" dataDxfId="14"/>
    <tableColumn id="11" xr3:uid="{41CB04E8-47DA-2745-9853-9176013BAA99}" name="4g-no-hash" dataDxfId="13"/>
    <tableColumn id="15" xr3:uid="{15684C8F-8CB0-3147-9B07-C96EB3199B93}" name="xsk2g-no-hash" dataDxfId="12"/>
    <tableColumn id="16" xr3:uid="{4068F540-058D-8842-808A-83828BFDA64C}" name="xsk3g-no-hash" dataDxfId="11"/>
    <tableColumn id="17" xr3:uid="{8BA11642-3944-BA43-80F6-E2A3900C816F}" name="xsk4g-no-hash" dataDxfId="10"/>
    <tableColumn id="18" xr3:uid="{7229B852-EFC7-D44A-AC7D-2FA868AB0A1B}" name="2g-hash-at-both" dataDxfId="9"/>
    <tableColumn id="19" xr3:uid="{29CA8BBF-CBBA-4F46-A51B-5424868F2ACE}" name="3g-hash-at-both" dataDxfId="8"/>
    <tableColumn id="20" xr3:uid="{B5A1C94B-EF58-054C-BA2A-44E4B86E2628}" name="4g-hash-at-both" dataDxfId="7"/>
    <tableColumn id="24" xr3:uid="{B265AABE-F176-EF42-8078-DC05C8A9362B}" name="xsk2g-hash-at-both" dataDxfId="6"/>
    <tableColumn id="25" xr3:uid="{E8EA1EEA-4866-E54A-9273-EFCED0305BEE}" name="xsk3g-hash-at-both" dataDxfId="5"/>
    <tableColumn id="26" xr3:uid="{A8F6E3E4-48C9-A349-BAE3-7D975E2316E5}" name="xsk4g-hash-at-both" dataDxfId="4"/>
    <tableColumn id="27" xr3:uid="{BAE0BD71-CA25-7C4B-8C4B-20AF47B089AD}" name="max" dataDxfId="3"/>
    <tableColumn id="29" xr3:uid="{105285DD-4450-6E41-94BF-009F0E5E2F24}" name="geomean" dataDxfId="1">
      <calculatedColumnFormula>_xlfn.LET(_xlpm.d,$J2:$U2,GEOMEAN(_xlpm.d))</calculatedColumnFormula>
    </tableColumn>
    <tableColumn id="30" xr3:uid="{4E8779AB-6897-8B4E-8B17-E72C5BE43725}" name="geomean.rank" dataDxfId="0">
      <calculatedColumnFormula>RANK(Table19[geomean],W$2:W$55)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92F0B0-6B0F-4847-A48F-C75681558AC1}" name="Table1" displayName="Table1" ref="A1:S19" totalsRowShown="0">
  <autoFilter ref="A1:S19" xr:uid="{E292F0B0-6B0F-4847-A48F-C75681558AC1}"/>
  <tableColumns count="19">
    <tableColumn id="1" xr3:uid="{8FE66738-1E59-F648-9D1B-76BB8BAF28D1}" name="lang"/>
    <tableColumn id="2" xr3:uid="{F005E84B-6D90-FB47-8E71-731B7BF9091D}" name="attribute.index"/>
    <tableColumn id="3" xr3:uid="{00113AEB-2566-E346-9545-07D8FB9563C8}" name="attribute"/>
    <tableColumn id="4" xr3:uid="{2FB16A5F-B36D-F545-8958-A0A438BAF30A}" name="supplement"/>
    <tableColumn id="5" xr3:uid="{99CB788E-3C87-8540-94A1-CA423E719ED4}" name="method.index"/>
    <tableColumn id="6" xr3:uid="{1126F8F2-6A18-9541-AB22-D22959321289}" name="method"/>
    <tableColumn id="7" xr3:uid="{9B7C05C6-7013-4D48-B035-57627CB7D9B9}" name="2g-no-hash" dataDxfId="249"/>
    <tableColumn id="8" xr3:uid="{00F06DFC-8AEA-334E-937B-C1D1C7B27893}" name="3g-no-hash" dataDxfId="248"/>
    <tableColumn id="9" xr3:uid="{6E841C37-40A1-9F42-B37F-1843BFD9D376}" name="4g-no-hash" dataDxfId="247"/>
    <tableColumn id="13" xr3:uid="{4BC88B63-B95D-BF4B-82A2-6FC892C64884}" name="xsk2g-no-hash" dataDxfId="246"/>
    <tableColumn id="14" xr3:uid="{2ADE6A4C-2A29-1747-AD4A-D4CBF2F0132D}" name="xsk3g-no-hash" dataDxfId="245"/>
    <tableColumn id="15" xr3:uid="{4C2EE7CF-D2CF-B347-93E1-418106F2CD37}" name="xsk4g-no-hash" dataDxfId="244"/>
    <tableColumn id="16" xr3:uid="{8287F44D-791D-0D4D-8C93-22D47FE9CA9A}" name="2g-hash-at-both" dataDxfId="243"/>
    <tableColumn id="17" xr3:uid="{9F8D9B64-9E3A-4D45-8EBB-D83A6A5DE230}" name="3g-hash-at-both" dataDxfId="242"/>
    <tableColumn id="18" xr3:uid="{8C9E5BC3-5C99-8C46-A36F-8891A8BD0F36}" name="4g-hash-at-both" dataDxfId="241"/>
    <tableColumn id="22" xr3:uid="{39B70D60-3C63-3D42-A03A-18A3E84E09A9}" name="xsk2g-hash-at-both" dataDxfId="240"/>
    <tableColumn id="23" xr3:uid="{E165E29E-54DA-924C-A894-732817927099}" name="xsk3g-hash-at-both" dataDxfId="239"/>
    <tableColumn id="24" xr3:uid="{CB2D6000-63AD-0B45-8658-542E115096DD}" name="xsk4g-hash-at-both" dataDxfId="238"/>
    <tableColumn id="25" xr3:uid="{965E5F3A-F125-5D49-8C8E-30DCCE5508B3}" name="max" dataDxfId="237">
      <calculatedColumnFormula>MAX($G2:$R2)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547D2F-67B7-F342-9A22-185BDCD1B948}" name="Table2" displayName="Table2" ref="B22:S28" totalsRowShown="0">
  <autoFilter ref="B22:S28" xr:uid="{A4547D2F-67B7-F342-9A22-185BDCD1B948}"/>
  <tableColumns count="18">
    <tableColumn id="1" xr3:uid="{0D8DB32A-E1C1-8044-A200-7564F8333DC2}" name="attribute.index"/>
    <tableColumn id="2" xr3:uid="{54F99AA0-D58E-C140-9385-68374F8F990B}" name="attribute"/>
    <tableColumn id="3" xr3:uid="{D1F8C1CF-459D-7342-B7A7-5BF2831EBC7F}" name="supplemented"/>
    <tableColumn id="4" xr3:uid="{54EA9747-BC8C-A94D-AAD2-817DC757904D}" name="method.index"/>
    <tableColumn id="5" xr3:uid="{63A7272B-D0BA-704E-AC5B-3F87F033CA47}" name="metric"/>
    <tableColumn id="6" xr3:uid="{B80F8FFF-0831-B546-948D-BDD2496F23DB}" name="2g-no-hash" dataDxfId="236">
      <calculatedColumnFormula array="1">_xlfn.LET(_xlpm.d,G$2:G$19,_xlpm.a,$C$2:$C$19=$C23,_xlpm.b,$D$2:$D$19=$D23,MAX(_xlfn._xlws.FILTER(_xlpm.d,_xlpm.a*_xlpm.b)))</calculatedColumnFormula>
    </tableColumn>
    <tableColumn id="7" xr3:uid="{79C7FBFD-B1FD-6A45-9370-E0790B962D12}" name="3g-no-hash" dataDxfId="235">
      <calculatedColumnFormula array="1">_xlfn.LET(_xlpm.d,H$2:H$19,_xlpm.a,$C$2:$C$19=$C23,_xlpm.b,$D$2:$D$19=$D23,MAX(_xlfn._xlws.FILTER(_xlpm.d,_xlpm.a*_xlpm.b)))</calculatedColumnFormula>
    </tableColumn>
    <tableColumn id="8" xr3:uid="{EAE0CE01-8622-0A48-982E-B9BFC1F85DE6}" name="4g-no-hash" dataDxfId="234">
      <calculatedColumnFormula array="1">_xlfn.LET(_xlpm.d,I$2:I$19,_xlpm.a,$C$2:$C$19=$C23,_xlpm.b,$D$2:$D$19=$D23,MAX(_xlfn._xlws.FILTER(_xlpm.d,_xlpm.a*_xlpm.b)))</calculatedColumnFormula>
    </tableColumn>
    <tableColumn id="12" xr3:uid="{F359A1BF-CA34-6C4B-9F88-AD324A30A25C}" name="xsk2g-no-hash" dataDxfId="233">
      <calculatedColumnFormula array="1">_xlfn.LET(_xlpm.d,J$2:J$19,_xlpm.a,$C$2:$C$19=$C23,_xlpm.b,$D$2:$D$19=$D23,MAX(_xlfn._xlws.FILTER(_xlpm.d,_xlpm.a*_xlpm.b)))</calculatedColumnFormula>
    </tableColumn>
    <tableColumn id="13" xr3:uid="{9808A662-351D-E04E-B487-EB01BE14ECFC}" name="xsk3g-no-hash" dataDxfId="232">
      <calculatedColumnFormula array="1">_xlfn.LET(_xlpm.d,K$2:K$19,_xlpm.a,$C$2:$C$19=$C23,_xlpm.b,$D$2:$D$19=$D23,MAX(_xlfn._xlws.FILTER(_xlpm.d,_xlpm.a*_xlpm.b)))</calculatedColumnFormula>
    </tableColumn>
    <tableColumn id="14" xr3:uid="{51637065-EEA3-5248-8ECE-CB4603083BE9}" name="xsk4g-no-hash" dataDxfId="231">
      <calculatedColumnFormula array="1">_xlfn.LET(_xlpm.d,L$2:L$19,_xlpm.a,$C$2:$C$19=$C23,_xlpm.b,$D$2:$D$19=$D23,MAX(_xlfn._xlws.FILTER(_xlpm.d,_xlpm.a*_xlpm.b)))</calculatedColumnFormula>
    </tableColumn>
    <tableColumn id="15" xr3:uid="{A209C591-2B9F-CD48-B9A1-80618B524124}" name="2g-hash-at-both" dataDxfId="230">
      <calculatedColumnFormula array="1">_xlfn.LET(_xlpm.d,M$2:M$19,_xlpm.a,$C$2:$C$19=$C23,_xlpm.b,$D$2:$D$19=$D23,MAX(_xlfn._xlws.FILTER(_xlpm.d,_xlpm.a*_xlpm.b)))</calculatedColumnFormula>
    </tableColumn>
    <tableColumn id="16" xr3:uid="{E04533FD-B756-5D40-8590-B8B207CF14BD}" name="3g-hash-at-both" dataDxfId="229">
      <calculatedColumnFormula array="1">_xlfn.LET(_xlpm.d,N$2:N$19,_xlpm.a,$C$2:$C$19=$C23,_xlpm.b,$D$2:$D$19=$D23,MAX(_xlfn._xlws.FILTER(_xlpm.d,_xlpm.a*_xlpm.b)))</calculatedColumnFormula>
    </tableColumn>
    <tableColumn id="17" xr3:uid="{B4830043-8593-3640-AF40-C83735C2A5BB}" name="4g-hash-at-both" dataDxfId="228">
      <calculatedColumnFormula array="1">_xlfn.LET(_xlpm.d,O$2:O$19,_xlpm.a,$C$2:$C$19=$C23,_xlpm.b,$D$2:$D$19=$D23,MAX(_xlfn._xlws.FILTER(_xlpm.d,_xlpm.a*_xlpm.b)))</calculatedColumnFormula>
    </tableColumn>
    <tableColumn id="21" xr3:uid="{302B8156-59EC-E748-BD16-C2B15BD41258}" name="xsk2g-hash-at-both" dataDxfId="227">
      <calculatedColumnFormula array="1">_xlfn.LET(_xlpm.d,P$2:P$19,_xlpm.a,$C$2:$C$19=$C23,_xlpm.b,$D$2:$D$19=$D23,MAX(_xlfn._xlws.FILTER(_xlpm.d,_xlpm.a*_xlpm.b)))</calculatedColumnFormula>
    </tableColumn>
    <tableColumn id="22" xr3:uid="{2B3439EA-7B48-504E-BF87-FEF65D8EFA46}" name="xsk3g-hash-at-both" dataDxfId="226">
      <calculatedColumnFormula array="1">_xlfn.LET(_xlpm.d,Q$2:Q$19,_xlpm.a,$C$2:$C$19=$C23,_xlpm.b,$D$2:$D$19=$D23,MAX(_xlfn._xlws.FILTER(_xlpm.d,_xlpm.a*_xlpm.b)))</calculatedColumnFormula>
    </tableColumn>
    <tableColumn id="23" xr3:uid="{ECC1BB09-20EE-954F-AF5D-C00DCB544A7C}" name="xsk4g-hash-at-both" dataDxfId="225">
      <calculatedColumnFormula array="1">_xlfn.LET(_xlpm.d,R$2:R$19,_xlpm.a,$C$2:$C$19=$C23,_xlpm.b,$D$2:$D$19=$D23,MAX(_xlfn._xlws.FILTER(_xlpm.d,_xlpm.a*_xlpm.b)))</calculatedColumnFormula>
    </tableColumn>
    <tableColumn id="24" xr3:uid="{5C6F214B-C723-0340-9FE7-6D71AF2EA2D5}" name="max" dataDxfId="224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F37C434-6368-1A4A-AC5C-E216B1B1B608}" name="Table11" displayName="Table11" ref="A1:S19" totalsRowShown="0">
  <autoFilter ref="A1:S19" xr:uid="{8F37C434-6368-1A4A-AC5C-E216B1B1B608}"/>
  <tableColumns count="19">
    <tableColumn id="1" xr3:uid="{B82B0785-89F0-274A-A009-A3BCF7CF0E09}" name="lang"/>
    <tableColumn id="2" xr3:uid="{230055CA-7EB4-364F-952C-D83A037E0185}" name="attribute.index"/>
    <tableColumn id="3" xr3:uid="{8F752CA3-ADE9-8F43-A16D-8F7D5ABC5351}" name="attribute"/>
    <tableColumn id="4" xr3:uid="{EFCFBCC4-BFF6-FC41-88D8-30E436CA5536}" name="supplement"/>
    <tableColumn id="5" xr3:uid="{25871926-0933-DE44-9652-3728577C3C82}" name="method.index"/>
    <tableColumn id="6" xr3:uid="{2CA59A48-D133-B345-B344-E54ABF1B4FBD}" name="method"/>
    <tableColumn id="7" xr3:uid="{BC49F8D6-105A-FB4F-8570-3ED3F051E684}" name="2g-no-hash" dataDxfId="223"/>
    <tableColumn id="8" xr3:uid="{2CB6BFBB-5E9B-FD45-8D70-97BF1B99EB85}" name="3g-no-hash" dataDxfId="222"/>
    <tableColumn id="9" xr3:uid="{AE0C957A-ABDC-C844-962F-69EA72BAA963}" name="4g-no-hash" dataDxfId="221"/>
    <tableColumn id="10" xr3:uid="{9679D03F-DC4F-5146-83BA-F55EF9779DBA}" name="sk2g-no-hash" dataDxfId="220"/>
    <tableColumn id="11" xr3:uid="{7C132954-DE0C-3143-BB1C-70BA786548B2}" name="sk3g-no-hash" dataDxfId="219"/>
    <tableColumn id="12" xr3:uid="{73E9798E-F6BB-2B4E-9CEA-CCA7CC805534}" name="sk4g-no-hash" dataDxfId="218"/>
    <tableColumn id="13" xr3:uid="{71D1AF16-31E4-1F42-AC96-2EAC8119F5E9}" name="2g-hash-at-both" dataDxfId="217"/>
    <tableColumn id="14" xr3:uid="{A121FC5E-1C90-CD43-81BF-F74C2CA3C4D3}" name="3g-hash-at-both" dataDxfId="216"/>
    <tableColumn id="15" xr3:uid="{44CFFF42-FD57-3646-B991-2933A0C9F140}" name="4g-hash-at-both" dataDxfId="215"/>
    <tableColumn id="16" xr3:uid="{D69723D8-D903-6A46-9BD9-5D800AC7765F}" name="sk2g-hash-at-both" dataDxfId="214"/>
    <tableColumn id="17" xr3:uid="{4A29F380-CB4A-A640-BC70-22F927492F98}" name="sk3g-hash-at-both" dataDxfId="213"/>
    <tableColumn id="18" xr3:uid="{F8D2986C-7EBF-084A-A99F-7B63802C2DF4}" name="sk4g-hash-at-both" dataDxfId="212"/>
    <tableColumn id="19" xr3:uid="{A2CAECBD-BC90-C040-9033-108831F757C6}" name="max" dataDxfId="211">
      <calculatedColumnFormula>MAX($G2:$R2)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567F352-FFED-5D42-8CE4-732103B106EB}" name="Table12" displayName="Table12" ref="B22:S28" totalsRowShown="0">
  <autoFilter ref="B22:S28" xr:uid="{5567F352-FFED-5D42-8CE4-732103B106EB}"/>
  <tableColumns count="18">
    <tableColumn id="1" xr3:uid="{6DC7CCE6-F69A-B340-90FE-708E9D3D9C8B}" name="attribute.index"/>
    <tableColumn id="2" xr3:uid="{58CCF693-EB07-0E4D-9B15-233CE3CB8D8D}" name="attribute"/>
    <tableColumn id="3" xr3:uid="{E9867DD5-539B-A749-ACE4-D6BE3E72D3E8}" name="supplemented"/>
    <tableColumn id="4" xr3:uid="{D052EDF9-D9F9-7A4C-AFFB-EA54DCCC1BE4}" name="method.index"/>
    <tableColumn id="5" xr3:uid="{56F1575E-6D8C-A54B-A390-88986746AAAE}" name="metric"/>
    <tableColumn id="6" xr3:uid="{4293F862-D063-8E47-83D3-3DD4DABB2DA2}" name="2g-no-hash" dataDxfId="210">
      <calculatedColumnFormula array="1">_xlfn.LET(_xlpm.d,G$2:G$19,_xlpm.a,$C$2:$C$19=$C23,_xlpm.b,$D$2:$D$19=$D23,MAX(_xlfn._xlws.FILTER(_xlpm.d,_xlpm.a*_xlpm.b)))</calculatedColumnFormula>
    </tableColumn>
    <tableColumn id="7" xr3:uid="{FF878901-452B-E145-816C-8B811133A72F}" name="3g-no-hash" dataDxfId="209">
      <calculatedColumnFormula array="1">_xlfn.LET(_xlpm.d,H$2:H$19,_xlpm.a,$C$2:$C$19=$C23,_xlpm.b,$D$2:$D$19=$D23,MAX(_xlfn._xlws.FILTER(_xlpm.d,_xlpm.a*_xlpm.b)))</calculatedColumnFormula>
    </tableColumn>
    <tableColumn id="8" xr3:uid="{AE2963EF-53EF-DB43-97C8-709C2C390ABE}" name="4g-no-hash" dataDxfId="208">
      <calculatedColumnFormula array="1">_xlfn.LET(_xlpm.d,I$2:I$19,_xlpm.a,$C$2:$C$19=$C23,_xlpm.b,$D$2:$D$19=$D23,MAX(_xlfn._xlws.FILTER(_xlpm.d,_xlpm.a*_xlpm.b)))</calculatedColumnFormula>
    </tableColumn>
    <tableColumn id="9" xr3:uid="{B5B7D4D9-439E-854D-B001-F20F272D76A4}" name="xsk2g-no-hash" dataDxfId="207">
      <calculatedColumnFormula array="1">_xlfn.LET(_xlpm.d,J$2:J$19,_xlpm.a,$C$2:$C$19=$C23,_xlpm.b,$D$2:$D$19=$D23,MAX(_xlfn._xlws.FILTER(_xlpm.d,_xlpm.a*_xlpm.b)))</calculatedColumnFormula>
    </tableColumn>
    <tableColumn id="10" xr3:uid="{A15E6C93-4097-5343-A1C1-A14B5109EC1B}" name="xsk3g-no-hash" dataDxfId="206">
      <calculatedColumnFormula array="1">_xlfn.LET(_xlpm.d,K$2:K$19,_xlpm.a,$C$2:$C$19=$C23,_xlpm.b,$D$2:$D$19=$D23,MAX(_xlfn._xlws.FILTER(_xlpm.d,_xlpm.a*_xlpm.b)))</calculatedColumnFormula>
    </tableColumn>
    <tableColumn id="11" xr3:uid="{9EDD712B-19CB-3948-81E7-C8D4DCB49B02}" name="xsk4g-no-hash" dataDxfId="205">
      <calculatedColumnFormula array="1">_xlfn.LET(_xlpm.d,L$2:L$19,_xlpm.a,$C$2:$C$19=$C23,_xlpm.b,$D$2:$D$19=$D23,MAX(_xlfn._xlws.FILTER(_xlpm.d,_xlpm.a*_xlpm.b)))</calculatedColumnFormula>
    </tableColumn>
    <tableColumn id="12" xr3:uid="{DA9414FD-BC1D-1844-94FA-D7917D6F3BD3}" name="2g-hash-at-both" dataDxfId="204">
      <calculatedColumnFormula array="1">_xlfn.LET(_xlpm.d,M$2:M$19,_xlpm.a,$C$2:$C$19=$C23,_xlpm.b,$D$2:$D$19=$D23,MAX(_xlfn._xlws.FILTER(_xlpm.d,_xlpm.a*_xlpm.b)))</calculatedColumnFormula>
    </tableColumn>
    <tableColumn id="13" xr3:uid="{C6122C14-2F16-6049-A728-D29EE4C0E10A}" name="3g-hash-at-both" dataDxfId="203">
      <calculatedColumnFormula array="1">_xlfn.LET(_xlpm.d,N$2:N$19,_xlpm.a,$C$2:$C$19=$C23,_xlpm.b,$D$2:$D$19=$D23,MAX(_xlfn._xlws.FILTER(_xlpm.d,_xlpm.a*_xlpm.b)))</calculatedColumnFormula>
    </tableColumn>
    <tableColumn id="14" xr3:uid="{89A8BEC5-541E-3744-A11D-967EBE8045BC}" name="4g-hash-at-both" dataDxfId="202">
      <calculatedColumnFormula array="1">_xlfn.LET(_xlpm.d,O$2:O$19,_xlpm.a,$C$2:$C$19=$C23,_xlpm.b,$D$2:$D$19=$D23,MAX(_xlfn._xlws.FILTER(_xlpm.d,_xlpm.a*_xlpm.b)))</calculatedColumnFormula>
    </tableColumn>
    <tableColumn id="15" xr3:uid="{53611046-2C6D-5549-8944-82F3FCE52354}" name="xsk2g-hash-at-both" dataDxfId="201">
      <calculatedColumnFormula array="1">_xlfn.LET(_xlpm.d,P$2:P$19,_xlpm.a,$C$2:$C$19=$C23,_xlpm.b,$D$2:$D$19=$D23,MAX(_xlfn._xlws.FILTER(_xlpm.d,_xlpm.a*_xlpm.b)))</calculatedColumnFormula>
    </tableColumn>
    <tableColumn id="16" xr3:uid="{54887BB3-E5E2-894E-8AE2-312103CA4FCF}" name="xsk3g-hash-at-both" dataDxfId="200">
      <calculatedColumnFormula array="1">_xlfn.LET(_xlpm.d,Q$2:Q$19,_xlpm.a,$C$2:$C$19=$C23,_xlpm.b,$D$2:$D$19=$D23,MAX(_xlfn._xlws.FILTER(_xlpm.d,_xlpm.a*_xlpm.b)))</calculatedColumnFormula>
    </tableColumn>
    <tableColumn id="17" xr3:uid="{B6F5D7BB-680F-ED48-925B-E086330B73D6}" name="xsk4g-hash-at-both" dataDxfId="199">
      <calculatedColumnFormula array="1">_xlfn.LET(_xlpm.d,R$2:R$19,_xlpm.a,$C$2:$C$19=$C23,_xlpm.b,$D$2:$D$19=$D23,MAX(_xlfn._xlws.FILTER(_xlpm.d,_xlpm.a*_xlpm.b)))</calculatedColumnFormula>
    </tableColumn>
    <tableColumn id="18" xr3:uid="{537E3314-C550-8D49-9C9D-7638D04CFF26}" name="max" dataDxfId="198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4F17D1F-FB06-FA43-8A40-324602B2A0AE}" name="Table13" displayName="Table13" ref="A1:S19" totalsRowShown="0">
  <autoFilter ref="A1:S19" xr:uid="{C4F17D1F-FB06-FA43-8A40-324602B2A0AE}"/>
  <tableColumns count="19">
    <tableColumn id="1" xr3:uid="{FA27F3DD-12F2-714B-A783-BF7B3CEAC689}" name="lang"/>
    <tableColumn id="2" xr3:uid="{1C3CEE2F-C196-C54A-88F3-F4E0EB54AE3C}" name="attribute.index"/>
    <tableColumn id="3" xr3:uid="{B785BE11-25BC-E048-99B7-8437F90CEA49}" name="attribute"/>
    <tableColumn id="4" xr3:uid="{B45CD917-3116-E74C-9189-EE9A96BC0864}" name="supplement"/>
    <tableColumn id="5" xr3:uid="{CB446152-E669-4945-9A40-68074F263512}" name="method.index"/>
    <tableColumn id="6" xr3:uid="{800AB80D-69FA-FA48-904E-4D84ACC09D45}" name="method"/>
    <tableColumn id="7" xr3:uid="{9E822E10-86A6-334C-A3EE-87A002A0D5E5}" name="2g-no-hash" dataDxfId="197"/>
    <tableColumn id="8" xr3:uid="{2B620540-68D2-BD4C-9A52-AEF3220DECD3}" name="3g-no-hash" dataDxfId="196"/>
    <tableColumn id="9" xr3:uid="{8BDBE027-3F2D-184C-8D02-E96C8613C9B4}" name="4g-no-hash" dataDxfId="195"/>
    <tableColumn id="10" xr3:uid="{C1D6D1FC-97B0-AA41-B0A4-082B55D237AF}" name="xsk2g-no-hash" dataDxfId="194"/>
    <tableColumn id="11" xr3:uid="{DB6F6F74-DF80-2242-8C8C-D575C59FE3E4}" name="xsk3g-no-hash" dataDxfId="193"/>
    <tableColumn id="12" xr3:uid="{DFF0487C-211E-C949-BDA5-5B84F8DE925C}" name="xsk4g-no-hash" dataDxfId="192"/>
    <tableColumn id="13" xr3:uid="{E8E97CF4-9ED4-FB4E-ACBC-58AB285D4C16}" name="2g-hash-at-both" dataDxfId="191"/>
    <tableColumn id="14" xr3:uid="{C61B90F6-320A-1E46-9E22-0A9145D7F0B6}" name="3g-hash-at-both" dataDxfId="190"/>
    <tableColumn id="15" xr3:uid="{E78A09A8-CE4E-7C47-A26E-3DA9DC809F1A}" name="4g-hash-at-both" dataDxfId="189"/>
    <tableColumn id="16" xr3:uid="{D3765BC8-9F02-1E4B-9F6B-F406342AF202}" name="xsk2g-hash-at-both" dataDxfId="188"/>
    <tableColumn id="17" xr3:uid="{D4E3EE87-35DB-094D-8309-56D41EA57BCB}" name="xsk3g-hash-at-both" dataDxfId="187"/>
    <tableColumn id="18" xr3:uid="{1DCE78FD-42BD-6040-A54D-71D0508A7187}" name="xsk4g-hash-at-both" dataDxfId="186"/>
    <tableColumn id="19" xr3:uid="{25C65FB9-7F0F-0F42-8CFA-FC56CB5E68A4}" name="max" dataDxfId="185">
      <calculatedColumnFormula>MAX($G2:$R2)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62314E0-40AA-B741-8856-082CFEB11785}" name="Table14" displayName="Table14" ref="B22:S28" totalsRowShown="0">
  <autoFilter ref="B22:S28" xr:uid="{062314E0-40AA-B741-8856-082CFEB11785}"/>
  <tableColumns count="18">
    <tableColumn id="1" xr3:uid="{E4C195F2-F50E-D349-86C9-E327AA300800}" name="attribute.index"/>
    <tableColumn id="2" xr3:uid="{EBC970E0-510F-BE4A-92CF-711B9F8363D6}" name="attribute"/>
    <tableColumn id="3" xr3:uid="{C725BD81-B119-984E-874F-8505CDF72BBD}" name="supplemented"/>
    <tableColumn id="4" xr3:uid="{B7530B38-54B6-7E4E-A7E9-13861A67375A}" name="method.index"/>
    <tableColumn id="5" xr3:uid="{BFF3135A-7831-B649-8904-3AC082D8DC96}" name="metric"/>
    <tableColumn id="6" xr3:uid="{70855C8C-BA75-924F-824C-71D501F6241C}" name="2g-no-hash" dataDxfId="184">
      <calculatedColumnFormula array="1">_xlfn.LET(_xlpm.d,G$2:G$19,_xlpm.a,$C$2:$C$19=$C23,_xlpm.b,$D$2:$D$19=$D23,MAX(_xlfn._xlws.FILTER(_xlpm.d,_xlpm.a*_xlpm.b)))</calculatedColumnFormula>
    </tableColumn>
    <tableColumn id="7" xr3:uid="{A0BEDAE4-647E-FF4A-8EF6-730BBD1D9A03}" name="3g-no-hash" dataDxfId="183">
      <calculatedColumnFormula array="1">_xlfn.LET(_xlpm.d,H$2:H$19,_xlpm.a,$C$2:$C$19=$C23,_xlpm.b,$D$2:$D$19=$D23,MAX(_xlfn._xlws.FILTER(_xlpm.d,_xlpm.a*_xlpm.b)))</calculatedColumnFormula>
    </tableColumn>
    <tableColumn id="8" xr3:uid="{84D855C3-86CD-5041-9472-66D48F189E09}" name="4g-no-hash" dataDxfId="182">
      <calculatedColumnFormula array="1">_xlfn.LET(_xlpm.d,I$2:I$19,_xlpm.a,$C$2:$C$19=$C23,_xlpm.b,$D$2:$D$19=$D23,MAX(_xlfn._xlws.FILTER(_xlpm.d,_xlpm.a*_xlpm.b)))</calculatedColumnFormula>
    </tableColumn>
    <tableColumn id="9" xr3:uid="{23DFB58C-7F6F-7948-8899-61366A4DFA33}" name="xsk2g-no-hash" dataDxfId="181">
      <calculatedColumnFormula array="1">_xlfn.LET(_xlpm.d,J$2:J$19,_xlpm.a,$C$2:$C$19=$C23,_xlpm.b,$D$2:$D$19=$D23,MAX(_xlfn._xlws.FILTER(_xlpm.d,_xlpm.a*_xlpm.b)))</calculatedColumnFormula>
    </tableColumn>
    <tableColumn id="10" xr3:uid="{A60AFC77-6DD2-854C-A1CE-5E9025FF0223}" name="xsk3g-no-hash" dataDxfId="180">
      <calculatedColumnFormula array="1">_xlfn.LET(_xlpm.d,K$2:K$19,_xlpm.a,$C$2:$C$19=$C23,_xlpm.b,$D$2:$D$19=$D23,MAX(_xlfn._xlws.FILTER(_xlpm.d,_xlpm.a*_xlpm.b)))</calculatedColumnFormula>
    </tableColumn>
    <tableColumn id="11" xr3:uid="{33B43D4F-1C34-C54E-A61B-7B4D8FBDEE3B}" name="xsk4g-no-hash" dataDxfId="179">
      <calculatedColumnFormula array="1">_xlfn.LET(_xlpm.d,L$2:L$19,_xlpm.a,$C$2:$C$19=$C23,_xlpm.b,$D$2:$D$19=$D23,MAX(_xlfn._xlws.FILTER(_xlpm.d,_xlpm.a*_xlpm.b)))</calculatedColumnFormula>
    </tableColumn>
    <tableColumn id="12" xr3:uid="{D75B7F20-25A9-8D46-B713-9CECC7EE194E}" name="2g-hash-at-both" dataDxfId="178">
      <calculatedColumnFormula array="1">_xlfn.LET(_xlpm.d,M$2:M$19,_xlpm.a,$C$2:$C$19=$C23,_xlpm.b,$D$2:$D$19=$D23,MAX(_xlfn._xlws.FILTER(_xlpm.d,_xlpm.a*_xlpm.b)))</calculatedColumnFormula>
    </tableColumn>
    <tableColumn id="13" xr3:uid="{04394DD4-5886-AF46-83F0-A2CEA3143AD6}" name="3g-hash-at-both" dataDxfId="177">
      <calculatedColumnFormula array="1">_xlfn.LET(_xlpm.d,N$2:N$19,_xlpm.a,$C$2:$C$19=$C23,_xlpm.b,$D$2:$D$19=$D23,MAX(_xlfn._xlws.FILTER(_xlpm.d,_xlpm.a*_xlpm.b)))</calculatedColumnFormula>
    </tableColumn>
    <tableColumn id="14" xr3:uid="{94C680E2-7FBF-7C4A-9E83-B519E44D775B}" name="4g-hash-at-both" dataDxfId="176">
      <calculatedColumnFormula array="1">_xlfn.LET(_xlpm.d,O$2:O$19,_xlpm.a,$C$2:$C$19=$C23,_xlpm.b,$D$2:$D$19=$D23,MAX(_xlfn._xlws.FILTER(_xlpm.d,_xlpm.a*_xlpm.b)))</calculatedColumnFormula>
    </tableColumn>
    <tableColumn id="15" xr3:uid="{49E5E695-6037-9042-8A95-0C55C79FF4DA}" name="xsk2g-hash-at-both" dataDxfId="175">
      <calculatedColumnFormula array="1">_xlfn.LET(_xlpm.d,P$2:P$19,_xlpm.a,$C$2:$C$19=$C23,_xlpm.b,$D$2:$D$19=$D23,MAX(_xlfn._xlws.FILTER(_xlpm.d,_xlpm.a*_xlpm.b)))</calculatedColumnFormula>
    </tableColumn>
    <tableColumn id="16" xr3:uid="{353976E6-91D9-2440-B4F3-E549BFE01DCD}" name="xsk3g-hash-at-both" dataDxfId="174">
      <calculatedColumnFormula array="1">_xlfn.LET(_xlpm.d,Q$2:Q$19,_xlpm.a,$C$2:$C$19=$C23,_xlpm.b,$D$2:$D$19=$D23,MAX(_xlfn._xlws.FILTER(_xlpm.d,_xlpm.a*_xlpm.b)))</calculatedColumnFormula>
    </tableColumn>
    <tableColumn id="17" xr3:uid="{D99B1990-E1BA-C040-8581-3AB6B3F2F0A1}" name="xsk4g-hash-at-both" dataDxfId="173">
      <calculatedColumnFormula array="1">_xlfn.LET(_xlpm.d,R$2:R$19,_xlpm.a,$C$2:$C$19=$C23,_xlpm.b,$D$2:$D$19=$D23,MAX(_xlfn._xlws.FILTER(_xlpm.d,_xlpm.a*_xlpm.b)))</calculatedColumnFormula>
    </tableColumn>
    <tableColumn id="18" xr3:uid="{315DC553-AD9D-4246-B0C3-370D3DBCBE6B}" name="max" dataDxfId="172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3B0FAF-8D19-8D4C-B462-DB61ACC7B5BF}" name="Table3" displayName="Table3" ref="A1:S19" totalsRowShown="0">
  <autoFilter ref="A1:S19" xr:uid="{F83B0FAF-8D19-8D4C-B462-DB61ACC7B5BF}"/>
  <tableColumns count="19">
    <tableColumn id="1" xr3:uid="{35BDB615-22B2-5940-80FE-198406FAFEE4}" name="lang"/>
    <tableColumn id="2" xr3:uid="{B3BEF02F-BF5E-EA4B-88C9-BE8BF129021D}" name="attribute.index"/>
    <tableColumn id="3" xr3:uid="{595E2AEE-CD89-C343-A198-B1EBBC1D6D87}" name="attribute"/>
    <tableColumn id="4" xr3:uid="{97890306-E045-8B49-BBE1-C26433E4FC38}" name="supplement"/>
    <tableColumn id="5" xr3:uid="{29B3BEE0-AF29-BC43-BA1B-7AD25CC21BAB}" name="method.index"/>
    <tableColumn id="6" xr3:uid="{740DD4CE-2A15-524B-A43E-D8F73322977B}" name="method"/>
    <tableColumn id="7" xr3:uid="{21BFAE09-3FA4-6C47-A79C-9C9A1D7BE302}" name="2g-no-hash" dataDxfId="171"/>
    <tableColumn id="8" xr3:uid="{32DB4C16-4F5C-A043-9C3F-F3DCFB262D31}" name="3g-no-hash" dataDxfId="170"/>
    <tableColumn id="9" xr3:uid="{0F502D6C-E995-8449-8570-5BBA3E983F38}" name="4g-no-hash" dataDxfId="169"/>
    <tableColumn id="10" xr3:uid="{A76185BC-2B94-E940-BF47-F2D1E3EC328D}" name="xsk2g-no-hash" dataDxfId="168"/>
    <tableColumn id="11" xr3:uid="{C7FE6EEC-0D9B-3940-8CCF-FE1AD3A81657}" name="xsk3g-no-hash" dataDxfId="167"/>
    <tableColumn id="12" xr3:uid="{3AFE59A8-6B1F-6A40-948E-2EF6F8526437}" name="xsk4g-no-hash" dataDxfId="166"/>
    <tableColumn id="13" xr3:uid="{E67F7ADB-8A75-724D-95C5-CCD211F44C76}" name="2g-hash-at-both" dataDxfId="165"/>
    <tableColumn id="14" xr3:uid="{FC4A56A5-7C7D-9448-AB94-09FCB9AF7E13}" name="3g-hash-at-both" dataDxfId="164"/>
    <tableColumn id="15" xr3:uid="{0EAC8BA9-8923-4442-8AE9-22F992689C1B}" name="4g-hash-at-both" dataDxfId="163"/>
    <tableColumn id="16" xr3:uid="{053776F1-1D21-3943-99EE-070280B419F2}" name="xsk2g-hash-at-both" dataDxfId="162"/>
    <tableColumn id="17" xr3:uid="{6BBE9D22-008C-F34A-879E-39CFD7C113BD}" name="xsk3g-hash-at-both" dataDxfId="161"/>
    <tableColumn id="18" xr3:uid="{07AA92E5-5752-784C-A101-E07B7C326A4B}" name="xsk4g-hash-at-both" dataDxfId="160"/>
    <tableColumn id="19" xr3:uid="{9F1839D0-0719-6749-8025-D933D6ED42AE}" name="max" dataDxfId="159">
      <calculatedColumnFormula>MAX($G2:$R2)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D29926-3E01-1643-A309-925EB394EEB5}" name="Table4" displayName="Table4" ref="B22:S28" totalsRowShown="0">
  <autoFilter ref="B22:S28" xr:uid="{C5D29926-3E01-1643-A309-925EB394EEB5}"/>
  <tableColumns count="18">
    <tableColumn id="1" xr3:uid="{24B42B1F-A4E2-924C-951F-931CDCCED882}" name="attribute.index"/>
    <tableColumn id="2" xr3:uid="{3CC650BE-507D-F249-A3CF-C23014383313}" name="attribute"/>
    <tableColumn id="3" xr3:uid="{BB9E3DBF-319F-8D4E-A0D8-203662F3627A}" name="supplemented"/>
    <tableColumn id="4" xr3:uid="{8AAEB283-62B0-FB40-84A7-068A2AC3E5EF}" name="method.index"/>
    <tableColumn id="5" xr3:uid="{2A6E2518-2E43-8E44-8AA7-A317262280EC}" name="metric"/>
    <tableColumn id="6" xr3:uid="{3BE0A6F2-952A-F142-BAC0-EABD01B746E7}" name="2g-no-hash" dataDxfId="158">
      <calculatedColumnFormula array="1">_xlfn.LET(_xlpm.d,G$2:G$19,_xlpm.a,$C$2:$C$19=$C23,_xlpm.b,$D$2:$D$19=$D23,MAX(_xlfn._xlws.FILTER(_xlpm.d,_xlpm.a*_xlpm.b)))</calculatedColumnFormula>
    </tableColumn>
    <tableColumn id="7" xr3:uid="{A7A0577A-ABC6-1F4E-A233-6FA89AA5EBA4}" name="3g-no-hash" dataDxfId="157">
      <calculatedColumnFormula array="1">_xlfn.LET(_xlpm.d,H$2:H$19,_xlpm.a,$C$2:$C$19=$C23,_xlpm.b,$D$2:$D$19=$D23,MAX(_xlfn._xlws.FILTER(_xlpm.d,_xlpm.a*_xlpm.b)))</calculatedColumnFormula>
    </tableColumn>
    <tableColumn id="8" xr3:uid="{47E0036D-625F-1648-9B48-1967FE60A97F}" name="4g-no-hash" dataDxfId="156">
      <calculatedColumnFormula array="1">_xlfn.LET(_xlpm.d,I$2:I$19,_xlpm.a,$C$2:$C$19=$C23,_xlpm.b,$D$2:$D$19=$D23,MAX(_xlfn._xlws.FILTER(_xlpm.d,_xlpm.a*_xlpm.b)))</calculatedColumnFormula>
    </tableColumn>
    <tableColumn id="9" xr3:uid="{515E4C63-F829-A24B-A859-FA9BBA3D7613}" name="sk2g-no-hash" dataDxfId="155">
      <calculatedColumnFormula array="1">_xlfn.LET(_xlpm.d,J$2:J$19,_xlpm.a,$C$2:$C$19=$C23,_xlpm.b,$D$2:$D$19=$D23,MAX(_xlfn._xlws.FILTER(_xlpm.d,_xlpm.a*_xlpm.b)))</calculatedColumnFormula>
    </tableColumn>
    <tableColumn id="10" xr3:uid="{256D1CA2-2AB7-2C4B-B77D-DA98C960F22D}" name="sk3g-no-hash" dataDxfId="154">
      <calculatedColumnFormula array="1">_xlfn.LET(_xlpm.d,K$2:K$19,_xlpm.a,$C$2:$C$19=$C23,_xlpm.b,$D$2:$D$19=$D23,MAX(_xlfn._xlws.FILTER(_xlpm.d,_xlpm.a*_xlpm.b)))</calculatedColumnFormula>
    </tableColumn>
    <tableColumn id="11" xr3:uid="{AE2B6152-5449-594B-881E-B39BFAFDA836}" name="sk4g-no-hash" dataDxfId="153">
      <calculatedColumnFormula array="1">_xlfn.LET(_xlpm.d,L$2:L$19,_xlpm.a,$C$2:$C$19=$C23,_xlpm.b,$D$2:$D$19=$D23,MAX(_xlfn._xlws.FILTER(_xlpm.d,_xlpm.a*_xlpm.b)))</calculatedColumnFormula>
    </tableColumn>
    <tableColumn id="12" xr3:uid="{C83ABBF3-D327-FE48-AFD3-D81DAE7943A6}" name="xsk2g-no-hash" dataDxfId="152">
      <calculatedColumnFormula array="1">_xlfn.LET(_xlpm.d,M$2:M$19,_xlpm.a,$C$2:$C$19=$C23,_xlpm.b,$D$2:$D$19=$D23,MAX(_xlfn._xlws.FILTER(_xlpm.d,_xlpm.a*_xlpm.b)))</calculatedColumnFormula>
    </tableColumn>
    <tableColumn id="13" xr3:uid="{31A41A12-A30E-AF46-9E9F-BA00305F8956}" name="xsk3g-no-hash" dataDxfId="151">
      <calculatedColumnFormula array="1">_xlfn.LET(_xlpm.d,N$2:N$19,_xlpm.a,$C$2:$C$19=$C23,_xlpm.b,$D$2:$D$19=$D23,MAX(_xlfn._xlws.FILTER(_xlpm.d,_xlpm.a*_xlpm.b)))</calculatedColumnFormula>
    </tableColumn>
    <tableColumn id="14" xr3:uid="{4F5A12A3-BAF9-A64C-B905-9C1598B8B881}" name="xsk4g-no-hash" dataDxfId="150">
      <calculatedColumnFormula array="1">_xlfn.LET(_xlpm.d,O$2:O$19,_xlpm.a,$C$2:$C$19=$C23,_xlpm.b,$D$2:$D$19=$D23,MAX(_xlfn._xlws.FILTER(_xlpm.d,_xlpm.a*_xlpm.b)))</calculatedColumnFormula>
    </tableColumn>
    <tableColumn id="15" xr3:uid="{A1A90D57-4B82-E64B-95B4-10F1F05DFF0E}" name="2g-hash-at-both" dataDxfId="149">
      <calculatedColumnFormula array="1">_xlfn.LET(_xlpm.d,P$2:P$19,_xlpm.a,$C$2:$C$19=$C23,_xlpm.b,$D$2:$D$19=$D23,MAX(_xlfn._xlws.FILTER(_xlpm.d,_xlpm.a*_xlpm.b)))</calculatedColumnFormula>
    </tableColumn>
    <tableColumn id="16" xr3:uid="{3754F7A0-F910-F54A-85C3-F47F2EF48833}" name="3g-hash-at-both" dataDxfId="148">
      <calculatedColumnFormula array="1">_xlfn.LET(_xlpm.d,Q$2:Q$19,_xlpm.a,$C$2:$C$19=$C23,_xlpm.b,$D$2:$D$19=$D23,MAX(_xlfn._xlws.FILTER(_xlpm.d,_xlpm.a*_xlpm.b)))</calculatedColumnFormula>
    </tableColumn>
    <tableColumn id="17" xr3:uid="{DEA33966-28B9-8446-931D-F1E1DDAEFF74}" name="4g-hash-at-both" dataDxfId="147">
      <calculatedColumnFormula array="1">_xlfn.LET(_xlpm.d,R$2:R$19,_xlpm.a,$C$2:$C$19=$C23,_xlpm.b,$D$2:$D$19=$D23,MAX(_xlfn._xlws.FILTER(_xlpm.d,_xlpm.a*_xlpm.b)))</calculatedColumnFormula>
    </tableColumn>
    <tableColumn id="18" xr3:uid="{343D6990-79F8-7E46-9445-F7E489C014C0}" name="sk2g-hash-at-both" dataDxfId="146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19E354D-B868-1D41-B90F-B50B7AFDB418}" name="Table9" displayName="Table9" ref="A1:S19" totalsRowShown="0">
  <autoFilter ref="A1:S19" xr:uid="{319E354D-B868-1D41-B90F-B50B7AFDB418}"/>
  <tableColumns count="19">
    <tableColumn id="1" xr3:uid="{AFA4BBEF-6BC9-1B46-9E84-2E89C073DF58}" name="lang"/>
    <tableColumn id="2" xr3:uid="{808967F7-6E5B-A147-9B6C-F225483712F5}" name="attribute.index"/>
    <tableColumn id="3" xr3:uid="{26435B0F-1E92-5747-A6A2-C531CD268B1B}" name="attribute"/>
    <tableColumn id="4" xr3:uid="{58DE33FB-AEB9-6C42-9B55-6F78E6341719}" name="supplement"/>
    <tableColumn id="5" xr3:uid="{1A85693D-D81D-A74E-8543-C9A0CAF6CD56}" name="method.index"/>
    <tableColumn id="6" xr3:uid="{2F937A71-DFFA-3043-822D-6F0F72479918}" name="method"/>
    <tableColumn id="7" xr3:uid="{833B86A9-D93D-D543-AA6F-087B49BFBD24}" name="2g-no-hash" dataDxfId="145"/>
    <tableColumn id="8" xr3:uid="{13C30789-20B7-B846-AD1C-4FBA54B53117}" name="3g-no-hash" dataDxfId="144"/>
    <tableColumn id="9" xr3:uid="{A352622D-CF5C-C149-9C3C-71DBAE2642BD}" name="4g-no-hash" dataDxfId="143"/>
    <tableColumn id="10" xr3:uid="{545E76F0-7507-0041-9B18-C69CCDA12E5C}" name="xsk2g-no-hash" dataDxfId="142"/>
    <tableColumn id="11" xr3:uid="{B5A41046-6DB6-E04F-8208-7771D3117778}" name="xsk3g-no-hash" dataDxfId="141"/>
    <tableColumn id="12" xr3:uid="{43F865F1-CBB5-044F-86E9-DFE0635D44A9}" name="xsk4g-no-hash" dataDxfId="140"/>
    <tableColumn id="13" xr3:uid="{214F501A-CE19-C949-8471-9108BD49086B}" name="2g-hash-at-both" dataDxfId="139"/>
    <tableColumn id="14" xr3:uid="{2887AD50-A3AC-264C-B86F-4A1FE40BC363}" name="3g-hash-at-both" dataDxfId="138"/>
    <tableColumn id="15" xr3:uid="{C7236FCC-DF2D-3047-9B0F-37C7E0852125}" name="4g-hash-at-both" dataDxfId="137"/>
    <tableColumn id="16" xr3:uid="{3A79B3B2-B918-1D4A-BDA7-4B9845BAD63C}" name="xsk2g-hash-at-both" dataDxfId="136"/>
    <tableColumn id="17" xr3:uid="{6FD9377E-4FD1-AA47-A2B6-02ACE09A8180}" name="xsk3g-hash-at-both" dataDxfId="135"/>
    <tableColumn id="18" xr3:uid="{C05B0C9F-1592-0B45-8E37-CFA8042FE0D7}" name="xsk4g-hash-at-both" dataDxfId="134"/>
    <tableColumn id="19" xr3:uid="{596F33CB-18E0-7C4D-B84C-08E968139965}" name="max" dataDxfId="133">
      <calculatedColumnFormula>MAX($G2:$R2)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95B6DEA-5719-064F-B958-279B69881ED7}" name="Table10" displayName="Table10" ref="B22:S28" totalsRowShown="0">
  <autoFilter ref="B22:S28" xr:uid="{295B6DEA-5719-064F-B958-279B69881ED7}"/>
  <tableColumns count="18">
    <tableColumn id="1" xr3:uid="{E8A6A4C1-E94C-B84C-95C5-EDCF5A914B72}" name="attribute.index"/>
    <tableColumn id="2" xr3:uid="{5B17ED54-3B83-2E44-B63C-F519DEC61C5B}" name="attribute"/>
    <tableColumn id="3" xr3:uid="{7C7D1A65-7D01-EA4F-BC50-BBB523984532}" name="supplemented"/>
    <tableColumn id="4" xr3:uid="{3C96A41D-013E-DC45-9362-DC4EC0B9A62F}" name="method.index"/>
    <tableColumn id="5" xr3:uid="{8439AD0D-EE7C-DB49-855D-5BAB7FF5EDC0}" name="metric"/>
    <tableColumn id="6" xr3:uid="{C91E9AD5-054D-3949-9D5B-DFA0890E9057}" name="2g-no-hash" dataDxfId="132">
      <calculatedColumnFormula array="1">_xlfn.LET(_xlpm.d,G$2:G$19,_xlpm.a,$C$2:$C$19=$C23,_xlpm.b,$D$2:$D$19=$D23,MAX(_xlfn._xlws.FILTER(_xlpm.d,_xlpm.a*_xlpm.b)))</calculatedColumnFormula>
    </tableColumn>
    <tableColumn id="7" xr3:uid="{667DE78B-DC6F-0840-A251-E733331B4F49}" name="3g-no-hash" dataDxfId="131">
      <calculatedColumnFormula array="1">_xlfn.LET(_xlpm.d,H$2:H$19,_xlpm.a,$C$2:$C$19=$C23,_xlpm.b,$D$2:$D$19=$D23,MAX(_xlfn._xlws.FILTER(_xlpm.d,_xlpm.a*_xlpm.b)))</calculatedColumnFormula>
    </tableColumn>
    <tableColumn id="8" xr3:uid="{6B844BC8-18FC-2740-BC39-A5118F00D4BA}" name="4g-no-hash" dataDxfId="130">
      <calculatedColumnFormula array="1">_xlfn.LET(_xlpm.d,I$2:I$19,_xlpm.a,$C$2:$C$19=$C23,_xlpm.b,$D$2:$D$19=$D23,MAX(_xlfn._xlws.FILTER(_xlpm.d,_xlpm.a*_xlpm.b)))</calculatedColumnFormula>
    </tableColumn>
    <tableColumn id="9" xr3:uid="{65FC0F12-654F-5242-9C23-0CC6D062D1F9}" name="xsk2g-no-hash" dataDxfId="129">
      <calculatedColumnFormula array="1">_xlfn.LET(_xlpm.d,J$2:J$19,_xlpm.a,$C$2:$C$19=$C23,_xlpm.b,$D$2:$D$19=$D23,MAX(_xlfn._xlws.FILTER(_xlpm.d,_xlpm.a*_xlpm.b)))</calculatedColumnFormula>
    </tableColumn>
    <tableColumn id="10" xr3:uid="{0F4FA47F-0659-AB49-B7E9-96232CB81B60}" name="xsk3g-no-hash" dataDxfId="128">
      <calculatedColumnFormula array="1">_xlfn.LET(_xlpm.d,K$2:K$19,_xlpm.a,$C$2:$C$19=$C23,_xlpm.b,$D$2:$D$19=$D23,MAX(_xlfn._xlws.FILTER(_xlpm.d,_xlpm.a*_xlpm.b)))</calculatedColumnFormula>
    </tableColumn>
    <tableColumn id="11" xr3:uid="{184DDC58-F53A-E648-99E5-DE4EED9C3743}" name="xsk4g-no-hash" dataDxfId="127">
      <calculatedColumnFormula array="1">_xlfn.LET(_xlpm.d,L$2:L$19,_xlpm.a,$C$2:$C$19=$C23,_xlpm.b,$D$2:$D$19=$D23,MAX(_xlfn._xlws.FILTER(_xlpm.d,_xlpm.a*_xlpm.b)))</calculatedColumnFormula>
    </tableColumn>
    <tableColumn id="12" xr3:uid="{87D16D85-C407-8B44-ABEB-913DF10AF01A}" name="2g-hash-at-both" dataDxfId="126">
      <calculatedColumnFormula array="1">_xlfn.LET(_xlpm.d,M$2:M$19,_xlpm.a,$C$2:$C$19=$C23,_xlpm.b,$D$2:$D$19=$D23,MAX(_xlfn._xlws.FILTER(_xlpm.d,_xlpm.a*_xlpm.b)))</calculatedColumnFormula>
    </tableColumn>
    <tableColumn id="13" xr3:uid="{B4EDE7F5-C369-EB45-AE1A-D7FBE2447442}" name="3g-hash-at-both" dataDxfId="125">
      <calculatedColumnFormula array="1">_xlfn.LET(_xlpm.d,N$2:N$19,_xlpm.a,$C$2:$C$19=$C23,_xlpm.b,$D$2:$D$19=$D23,MAX(_xlfn._xlws.FILTER(_xlpm.d,_xlpm.a*_xlpm.b)))</calculatedColumnFormula>
    </tableColumn>
    <tableColumn id="14" xr3:uid="{638D08C5-C1C1-8C48-88BB-1D3D2E982BAC}" name="4g-hash-at-both" dataDxfId="124">
      <calculatedColumnFormula array="1">_xlfn.LET(_xlpm.d,O$2:O$19,_xlpm.a,$C$2:$C$19=$C23,_xlpm.b,$D$2:$D$19=$D23,MAX(_xlfn._xlws.FILTER(_xlpm.d,_xlpm.a*_xlpm.b)))</calculatedColumnFormula>
    </tableColumn>
    <tableColumn id="15" xr3:uid="{D391B66C-6241-874C-A93E-2473916988A0}" name="xsk2g-hash-at-both" dataDxfId="123">
      <calculatedColumnFormula array="1">_xlfn.LET(_xlpm.d,P$2:P$19,_xlpm.a,$C$2:$C$19=$C23,_xlpm.b,$D$2:$D$19=$D23,MAX(_xlfn._xlws.FILTER(_xlpm.d,_xlpm.a*_xlpm.b)))</calculatedColumnFormula>
    </tableColumn>
    <tableColumn id="16" xr3:uid="{938C4F81-9B57-B648-B609-7A5A22506520}" name="xsk3g-hash-at-both" dataDxfId="122">
      <calculatedColumnFormula array="1">_xlfn.LET(_xlpm.d,Q$2:Q$19,_xlpm.a,$C$2:$C$19=$C23,_xlpm.b,$D$2:$D$19=$D23,MAX(_xlfn._xlws.FILTER(_xlpm.d,_xlpm.a*_xlpm.b)))</calculatedColumnFormula>
    </tableColumn>
    <tableColumn id="17" xr3:uid="{3879895E-4398-144F-B153-1CBBFBF487E3}" name="xsk4g-hash-at-both" dataDxfId="121">
      <calculatedColumnFormula array="1">_xlfn.LET(_xlpm.d,R$2:R$19,_xlpm.a,$C$2:$C$19=$C23,_xlpm.b,$D$2:$D$19=$D23,MAX(_xlfn._xlws.FILTER(_xlpm.d,_xlpm.a*_xlpm.b)))</calculatedColumnFormula>
    </tableColumn>
    <tableColumn id="18" xr3:uid="{5D2482BA-0FB8-3F4B-941C-0B8BD2ADF064}" name="max" dataDxfId="120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7AD6005-D869-7D45-8D0C-58D2CA896E55}" name="Table17" displayName="Table17" ref="A1:S19" totalsRowShown="0">
  <autoFilter ref="A1:S19" xr:uid="{D7AD6005-D869-7D45-8D0C-58D2CA896E55}"/>
  <tableColumns count="19">
    <tableColumn id="1" xr3:uid="{262B70AC-D1FF-254B-955C-01F6FAE155C6}" name="lang"/>
    <tableColumn id="2" xr3:uid="{24E5F6C9-C0E2-6046-9405-8CE094576D5C}" name="attribute.index"/>
    <tableColumn id="3" xr3:uid="{6215B1DA-3CD1-1C4A-935A-3691DDFCBA51}" name="attribute"/>
    <tableColumn id="4" xr3:uid="{47897B06-1D4A-2B43-A43C-2F260056614C}" name="supplement"/>
    <tableColumn id="5" xr3:uid="{69C96532-C87A-9249-BB21-328C1A323EDA}" name="method.index"/>
    <tableColumn id="6" xr3:uid="{2E45B093-71F6-224C-9F69-F43FB8995286}" name="method"/>
    <tableColumn id="7" xr3:uid="{D6EEA04D-31F9-014A-9CFC-1192195F63EA}" name="2g-no-hash" dataDxfId="119"/>
    <tableColumn id="8" xr3:uid="{AE6397F0-1D51-ED49-BC7C-DE965B09AB2F}" name="3g-no-hash" dataDxfId="118"/>
    <tableColumn id="9" xr3:uid="{A59302BD-1030-494C-8702-FC7650E5B167}" name="4g-no-hash" dataDxfId="117"/>
    <tableColumn id="10" xr3:uid="{63C043CB-12F1-E645-9298-6247B6B292AD}" name="xsk2g-no-hash" dataDxfId="116"/>
    <tableColumn id="11" xr3:uid="{D1F078BF-2D27-7645-8616-0D02775E33CD}" name="xsk3g-no-hash" dataDxfId="115"/>
    <tableColumn id="12" xr3:uid="{E2E11600-B5D8-AD4A-AAC7-5393CBC5E9A8}" name="xsk4g-no-hash" dataDxfId="114"/>
    <tableColumn id="13" xr3:uid="{64FFFE11-416D-7647-8CFF-514785BB8DAA}" name="2g-hash-at-both" dataDxfId="113"/>
    <tableColumn id="14" xr3:uid="{99B51913-692C-B740-96C8-537AD0B88603}" name="3g-hash-at-both" dataDxfId="112"/>
    <tableColumn id="15" xr3:uid="{80D1027A-E1F7-A74C-92A3-3E9944D6C556}" name="4g-hash-at-both" dataDxfId="111"/>
    <tableColumn id="16" xr3:uid="{D9F1EB19-AAD9-7C4F-954A-294F89E5919A}" name="xsk2g-hash-at-both" dataDxfId="110"/>
    <tableColumn id="17" xr3:uid="{000809EE-4F07-234A-A00E-20D030EAC59E}" name="xsk3g-hash-at-both" dataDxfId="109"/>
    <tableColumn id="18" xr3:uid="{E6BD835A-3AC4-6E47-93B7-7C21CE650BC1}" name="xsk4g-hash-at-both" dataDxfId="108"/>
    <tableColumn id="19" xr3:uid="{939C7B5C-42CB-794E-B5B6-2911C62FE16C}" name="max" dataDxfId="107">
      <calculatedColumnFormula>MAX($G2:$R2)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CB75096-955F-F149-BEC7-E0A683B51B4B}" name="Table619" displayName="Table619" ref="B22:S28" totalsRowShown="0">
  <autoFilter ref="B22:S28" xr:uid="{3CB75096-955F-F149-BEC7-E0A683B51B4B}"/>
  <tableColumns count="18">
    <tableColumn id="1" xr3:uid="{4F7D5144-2B4C-554E-8751-32F0578C5E54}" name="attribute.index"/>
    <tableColumn id="2" xr3:uid="{6A0A170F-918E-A64C-B7D5-E9E42486E982}" name="attribute"/>
    <tableColumn id="3" xr3:uid="{3F9EDD6F-A6F3-734B-84F2-40244F550F7B}" name="supplemented"/>
    <tableColumn id="4" xr3:uid="{BF6ED3C7-F6D3-0A41-A3F4-DFB33EC60284}" name="method.index"/>
    <tableColumn id="5" xr3:uid="{F281D884-FB71-5B4E-83BB-79FF45663D73}" name="metric"/>
    <tableColumn id="6" xr3:uid="{4D4010BA-C832-974A-A4E3-715B12E1C07F}" name="2g-no-hash" dataDxfId="106">
      <calculatedColumnFormula array="1">_xlfn.LET(_xlpm.d,G$2:G$19,_xlpm.a,$C$2:$C$19=$C23,_xlpm.b,$D$2:$D$19=$D23,MAX(_xlfn._xlws.FILTER(_xlpm.d,_xlpm.a*_xlpm.b)))</calculatedColumnFormula>
    </tableColumn>
    <tableColumn id="7" xr3:uid="{FA86CD6A-618B-E84B-8AA5-E2FE647FE870}" name="3g-no-hash" dataDxfId="105">
      <calculatedColumnFormula array="1">_xlfn.LET(_xlpm.d,H$2:H$19,_xlpm.a,$C$2:$C$19=$C23,_xlpm.b,$D$2:$D$19=$D23,MAX(_xlfn._xlws.FILTER(_xlpm.d,_xlpm.a*_xlpm.b)))</calculatedColumnFormula>
    </tableColumn>
    <tableColumn id="8" xr3:uid="{B407CB41-032D-B544-88C1-1C7E7E0353D5}" name="4g-no-hash" dataDxfId="104">
      <calculatedColumnFormula array="1">_xlfn.LET(_xlpm.d,I$2:I$19,_xlpm.a,$C$2:$C$19=$C23,_xlpm.b,$D$2:$D$19=$D23,MAX(_xlfn._xlws.FILTER(_xlpm.d,_xlpm.a*_xlpm.b)))</calculatedColumnFormula>
    </tableColumn>
    <tableColumn id="9" xr3:uid="{932574B4-41FD-FE4B-B539-93A871D973F4}" name="xsk2g-no-hash" dataDxfId="103">
      <calculatedColumnFormula array="1">_xlfn.LET(_xlpm.d,J$2:J$19,_xlpm.a,$C$2:$C$19=$C23,_xlpm.b,$D$2:$D$19=$D23,MAX(_xlfn._xlws.FILTER(_xlpm.d,_xlpm.a*_xlpm.b)))</calculatedColumnFormula>
    </tableColumn>
    <tableColumn id="10" xr3:uid="{2BD9B720-5128-5F41-9BA5-803D73776400}" name="xsk3g-no-hash" dataDxfId="102">
      <calculatedColumnFormula array="1">_xlfn.LET(_xlpm.d,K$2:K$19,_xlpm.a,$C$2:$C$19=$C23,_xlpm.b,$D$2:$D$19=$D23,MAX(_xlfn._xlws.FILTER(_xlpm.d,_xlpm.a*_xlpm.b)))</calculatedColumnFormula>
    </tableColumn>
    <tableColumn id="11" xr3:uid="{1195E0D0-18D5-8F4C-AE39-E7A689D1598C}" name="xsk4g-no-hash" dataDxfId="101">
      <calculatedColumnFormula array="1">_xlfn.LET(_xlpm.d,L$2:L$19,_xlpm.a,$C$2:$C$19=$C23,_xlpm.b,$D$2:$D$19=$D23,MAX(_xlfn._xlws.FILTER(_xlpm.d,_xlpm.a*_xlpm.b)))</calculatedColumnFormula>
    </tableColumn>
    <tableColumn id="12" xr3:uid="{5D4DACE7-6E89-0C4B-8BE9-DAE4E5B3BD38}" name="2g-hash-at-both" dataDxfId="100">
      <calculatedColumnFormula array="1">_xlfn.LET(_xlpm.d,M$2:M$19,_xlpm.a,$C$2:$C$19=$C23,_xlpm.b,$D$2:$D$19=$D23,MAX(_xlfn._xlws.FILTER(_xlpm.d,_xlpm.a*_xlpm.b)))</calculatedColumnFormula>
    </tableColumn>
    <tableColumn id="13" xr3:uid="{5C24410C-C3AA-F64C-875F-386242C63F10}" name="3g-hash-at-both" dataDxfId="99">
      <calculatedColumnFormula array="1">_xlfn.LET(_xlpm.d,N$2:N$19,_xlpm.a,$C$2:$C$19=$C23,_xlpm.b,$D$2:$D$19=$D23,MAX(_xlfn._xlws.FILTER(_xlpm.d,_xlpm.a*_xlpm.b)))</calculatedColumnFormula>
    </tableColumn>
    <tableColumn id="14" xr3:uid="{167F5BB8-BEBA-6947-B962-A8E5C5BB4B1F}" name="4g-hash-at-both" dataDxfId="98">
      <calculatedColumnFormula array="1">_xlfn.LET(_xlpm.d,O$2:O$19,_xlpm.a,$C$2:$C$19=$C23,_xlpm.b,$D$2:$D$19=$D23,MAX(_xlfn._xlws.FILTER(_xlpm.d,_xlpm.a*_xlpm.b)))</calculatedColumnFormula>
    </tableColumn>
    <tableColumn id="15" xr3:uid="{FAC684F0-6290-004E-B527-B7983C381C4E}" name="xsk2g-hash-at-both" dataDxfId="97">
      <calculatedColumnFormula array="1">_xlfn.LET(_xlpm.d,P$2:P$19,_xlpm.a,$C$2:$C$19=$C23,_xlpm.b,$D$2:$D$19=$D23,MAX(_xlfn._xlws.FILTER(_xlpm.d,_xlpm.a*_xlpm.b)))</calculatedColumnFormula>
    </tableColumn>
    <tableColumn id="16" xr3:uid="{89DAA974-04B2-1249-A7C3-60DFF4DAB925}" name="xsk3g-hash-at-both" dataDxfId="96">
      <calculatedColumnFormula array="1">_xlfn.LET(_xlpm.d,Q$2:Q$19,_xlpm.a,$C$2:$C$19=$C23,_xlpm.b,$D$2:$D$19=$D23,MAX(_xlfn._xlws.FILTER(_xlpm.d,_xlpm.a*_xlpm.b)))</calculatedColumnFormula>
    </tableColumn>
    <tableColumn id="17" xr3:uid="{83E4A0DD-9E42-E74A-8DE1-2076ABF5ABC7}" name="xsk4g-hash-at-both" dataDxfId="95">
      <calculatedColumnFormula array="1">_xlfn.LET(_xlpm.d,R$2:R$19,_xlpm.a,$C$2:$C$19=$C23,_xlpm.b,$D$2:$D$19=$D23,MAX(_xlfn._xlws.FILTER(_xlpm.d,_xlpm.a*_xlpm.b)))</calculatedColumnFormula>
    </tableColumn>
    <tableColumn id="18" xr3:uid="{E118281C-A17B-8843-9B17-F60D4215679E}" name="max" dataDxfId="94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6318FAA-3730-9343-9BE4-15E385DAD30B}" name="Table5" displayName="Table5" ref="A1:S19" totalsRowShown="0">
  <autoFilter ref="A1:S19" xr:uid="{56318FAA-3730-9343-9BE4-15E385DAD30B}"/>
  <sortState xmlns:xlrd2="http://schemas.microsoft.com/office/spreadsheetml/2017/richdata2" ref="A2:S19">
    <sortCondition ref="B1:B19"/>
  </sortState>
  <tableColumns count="19">
    <tableColumn id="1" xr3:uid="{D9AC6087-29D8-5944-9876-7E92D636B740}" name="lang"/>
    <tableColumn id="2" xr3:uid="{11947AD1-B243-AE4A-8C9D-06178B7AD344}" name="attribute.index"/>
    <tableColumn id="3" xr3:uid="{80345AD0-8965-CB4E-88F2-8DB726A530ED}" name="attribute"/>
    <tableColumn id="4" xr3:uid="{8AF5111D-7BA7-1C45-9138-6ED4BB0BB2C9}" name="supplement"/>
    <tableColumn id="5" xr3:uid="{C9824DBF-8BE9-DC4C-BD76-14AD19A67CFD}" name="method.index"/>
    <tableColumn id="6" xr3:uid="{CE077BB2-7B24-F744-9AA9-3559408CF724}" name="method"/>
    <tableColumn id="7" xr3:uid="{05355A6C-D7DF-B84A-A87D-77987412E75A}" name="2g-no-hash" dataDxfId="93"/>
    <tableColumn id="8" xr3:uid="{F000785E-A5B4-4642-AB96-897DF892D901}" name="3g-no-hash" dataDxfId="92"/>
    <tableColumn id="9" xr3:uid="{64D0441B-A193-FD48-A54A-4ECF02054047}" name="4g-no-hash" dataDxfId="91"/>
    <tableColumn id="10" xr3:uid="{8B4D20DD-1CFF-B644-99D4-34EBFB4B89E0}" name="xsk2g-no-hash" dataDxfId="90"/>
    <tableColumn id="11" xr3:uid="{9328E8A0-FB58-0D4E-BA0A-918311104792}" name="xsk3g-no-hash" dataDxfId="89"/>
    <tableColumn id="12" xr3:uid="{B46E5F47-FB36-4347-A5FD-B811854F241C}" name="xsk4g-no-hash" dataDxfId="88"/>
    <tableColumn id="13" xr3:uid="{E8C4551F-FA2A-6242-8779-C5C2EEACF7D5}" name="2g-hash-at-both" dataDxfId="87"/>
    <tableColumn id="14" xr3:uid="{58D10C01-5310-9547-8054-0653FA14D631}" name="3g-hash-at-both" dataDxfId="86"/>
    <tableColumn id="15" xr3:uid="{462CF426-8246-5D46-ABA9-68854E15CB75}" name="4g-hash-at-both" dataDxfId="85"/>
    <tableColumn id="16" xr3:uid="{C5628024-89A2-1B4A-911C-EDA1CB51154D}" name="xsk2g-hash-at-both" dataDxfId="84"/>
    <tableColumn id="17" xr3:uid="{98B4D501-E55E-7D4B-88D7-C022A64F2FB0}" name="xsk3g-hash-at-both" dataDxfId="83"/>
    <tableColumn id="18" xr3:uid="{94F78878-61FD-7B45-825E-2D01B0852C79}" name="xsk4g-hash-at-both" dataDxfId="82"/>
    <tableColumn id="19" xr3:uid="{2A8325D2-1214-B447-86E7-3C90EDAE74BA}" name="max" dataDxfId="81">
      <calculatedColumnFormula>MAX($G2:$R2)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F241FF5-16D6-C945-83C0-43EE424CDD2A}" name="Table6" displayName="Table6" ref="B22:S28" totalsRowShown="0">
  <autoFilter ref="B22:S28" xr:uid="{3F241FF5-16D6-C945-83C0-43EE424CDD2A}"/>
  <tableColumns count="18">
    <tableColumn id="1" xr3:uid="{67B4342F-0A5A-4A4B-BD7F-6A62F3026EDD}" name="attribute.index"/>
    <tableColumn id="2" xr3:uid="{B2695E15-AF56-8B48-98C4-ED1715366EA9}" name="attribute"/>
    <tableColumn id="3" xr3:uid="{E1080C12-4C6C-0044-9F24-37FD4E0F475D}" name="supplemented"/>
    <tableColumn id="4" xr3:uid="{63F4F2BE-D5B6-2A47-BC3E-75980831CC6B}" name="method.index"/>
    <tableColumn id="5" xr3:uid="{D577D36B-2C06-354C-A402-8A4114F0E5A3}" name="metric"/>
    <tableColumn id="6" xr3:uid="{CA6D3B2F-7404-3348-B9AB-675AF7FC2942}" name="2g-no-hash" dataDxfId="80">
      <calculatedColumnFormula array="1">_xlfn.LET(_xlpm.d,G$2:G$19,_xlpm.a,$C$2:$C$19=$C23,_xlpm.b,$D$2:$D$19=$D23,MAX(_xlfn._xlws.FILTER(_xlpm.d,_xlpm.a*_xlpm.b)))</calculatedColumnFormula>
    </tableColumn>
    <tableColumn id="7" xr3:uid="{2B74F283-6555-1344-BA04-4E2A92703ED5}" name="3g-no-hash" dataDxfId="79">
      <calculatedColumnFormula array="1">_xlfn.LET(_xlpm.d,H$2:H$19,_xlpm.a,$C$2:$C$19=$C23,_xlpm.b,$D$2:$D$19=$D23,MAX(_xlfn._xlws.FILTER(_xlpm.d,_xlpm.a*_xlpm.b)))</calculatedColumnFormula>
    </tableColumn>
    <tableColumn id="8" xr3:uid="{0356E0D8-7B01-9B41-ABA8-A037417EC059}" name="4g-no-hash" dataDxfId="78">
      <calculatedColumnFormula array="1">_xlfn.LET(_xlpm.d,I$2:I$19,_xlpm.a,$C$2:$C$19=$C23,_xlpm.b,$D$2:$D$19=$D23,MAX(_xlfn._xlws.FILTER(_xlpm.d,_xlpm.a*_xlpm.b)))</calculatedColumnFormula>
    </tableColumn>
    <tableColumn id="9" xr3:uid="{15C356EB-CCED-554C-9030-5FD693E9F2F0}" name="xsk2g-no-hash" dataDxfId="77">
      <calculatedColumnFormula array="1">_xlfn.LET(_xlpm.d,J$2:J$19,_xlpm.a,$C$2:$C$19=$C23,_xlpm.b,$D$2:$D$19=$D23,MAX(_xlfn._xlws.FILTER(_xlpm.d,_xlpm.a*_xlpm.b)))</calculatedColumnFormula>
    </tableColumn>
    <tableColumn id="10" xr3:uid="{A02E78C6-5B9D-8545-B530-6808251DB901}" name="xsk3g-no-hash" dataDxfId="76">
      <calculatedColumnFormula array="1">_xlfn.LET(_xlpm.d,K$2:K$19,_xlpm.a,$C$2:$C$19=$C23,_xlpm.b,$D$2:$D$19=$D23,MAX(_xlfn._xlws.FILTER(_xlpm.d,_xlpm.a*_xlpm.b)))</calculatedColumnFormula>
    </tableColumn>
    <tableColumn id="11" xr3:uid="{909ED277-21B0-204C-A2B4-2EC291CD832A}" name="xsk4g-no-hash" dataDxfId="75">
      <calculatedColumnFormula array="1">_xlfn.LET(_xlpm.d,L$2:L$19,_xlpm.a,$C$2:$C$19=$C23,_xlpm.b,$D$2:$D$19=$D23,MAX(_xlfn._xlws.FILTER(_xlpm.d,_xlpm.a*_xlpm.b)))</calculatedColumnFormula>
    </tableColumn>
    <tableColumn id="12" xr3:uid="{CD727F34-CB9D-D840-8494-5EF1A10FC336}" name="2g-hash-at-both" dataDxfId="74">
      <calculatedColumnFormula array="1">_xlfn.LET(_xlpm.d,M$2:M$19,_xlpm.a,$C$2:$C$19=$C23,_xlpm.b,$D$2:$D$19=$D23,MAX(_xlfn._xlws.FILTER(_xlpm.d,_xlpm.a*_xlpm.b)))</calculatedColumnFormula>
    </tableColumn>
    <tableColumn id="13" xr3:uid="{B7096BF8-B8F6-174C-AEF8-44569242AF61}" name="3g-hash-at-both" dataDxfId="73">
      <calculatedColumnFormula array="1">_xlfn.LET(_xlpm.d,N$2:N$19,_xlpm.a,$C$2:$C$19=$C23,_xlpm.b,$D$2:$D$19=$D23,MAX(_xlfn._xlws.FILTER(_xlpm.d,_xlpm.a*_xlpm.b)))</calculatedColumnFormula>
    </tableColumn>
    <tableColumn id="14" xr3:uid="{DA58031E-F9B4-214B-8BC1-1E7A242CEF2D}" name="4g-hash-at-both" dataDxfId="72">
      <calculatedColumnFormula array="1">_xlfn.LET(_xlpm.d,O$2:O$19,_xlpm.a,$C$2:$C$19=$C23,_xlpm.b,$D$2:$D$19=$D23,MAX(_xlfn._xlws.FILTER(_xlpm.d,_xlpm.a*_xlpm.b)))</calculatedColumnFormula>
    </tableColumn>
    <tableColumn id="15" xr3:uid="{0E56E882-014B-8F4C-97D2-D712A6D67BE6}" name="xsk2g-hash-at-both" dataDxfId="71">
      <calculatedColumnFormula array="1">_xlfn.LET(_xlpm.d,P$2:P$19,_xlpm.a,$C$2:$C$19=$C23,_xlpm.b,$D$2:$D$19=$D23,MAX(_xlfn._xlws.FILTER(_xlpm.d,_xlpm.a*_xlpm.b)))</calculatedColumnFormula>
    </tableColumn>
    <tableColumn id="16" xr3:uid="{A846783E-07C6-1D42-BEE5-80468DAD4A4F}" name="xsk3g-hash-at-both" dataDxfId="70">
      <calculatedColumnFormula array="1">_xlfn.LET(_xlpm.d,Q$2:Q$19,_xlpm.a,$C$2:$C$19=$C23,_xlpm.b,$D$2:$D$19=$D23,MAX(_xlfn._xlws.FILTER(_xlpm.d,_xlpm.a*_xlpm.b)))</calculatedColumnFormula>
    </tableColumn>
    <tableColumn id="17" xr3:uid="{3AA92170-E7A3-EF44-9DAD-34F398C14FD1}" name="xsk4g-hash-at-both" dataDxfId="69">
      <calculatedColumnFormula array="1">_xlfn.LET(_xlpm.d,R$2:R$19,_xlpm.a,$C$2:$C$19=$C23,_xlpm.b,$D$2:$D$19=$D23,MAX(_xlfn._xlws.FILTER(_xlpm.d,_xlpm.a*_xlpm.b)))</calculatedColumnFormula>
    </tableColumn>
    <tableColumn id="18" xr3:uid="{438151AE-8C6D-7C46-A13A-7EAF97FDD8BB}" name="max" dataDxfId="68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4325A9B-5D84-BD45-B072-EB694814A85D}" name="Table7" displayName="Table7" ref="A1:S19" totalsRowShown="0">
  <autoFilter ref="A1:S19" xr:uid="{14325A9B-5D84-BD45-B072-EB694814A85D}"/>
  <tableColumns count="19">
    <tableColumn id="1" xr3:uid="{205F8876-3515-2040-B7C1-7E6172273867}" name="lang"/>
    <tableColumn id="2" xr3:uid="{3F144350-4B4F-DD4D-A020-D628E059FC3A}" name="attribute.index"/>
    <tableColumn id="3" xr3:uid="{B8E3F5A2-85FC-0449-B569-C7429E3EEDB3}" name="attribute"/>
    <tableColumn id="4" xr3:uid="{557ECA0C-DF6A-994F-B8FC-7D49E8D9464B}" name="supplement"/>
    <tableColumn id="5" xr3:uid="{D9DDA4FD-E173-9748-872C-F4D6ED5EA059}" name="method.index"/>
    <tableColumn id="6" xr3:uid="{A857A498-625D-924C-8696-93776EDEC3A4}" name="method"/>
    <tableColumn id="7" xr3:uid="{EC168F03-73EA-EB40-B6C4-8D4FD1B3FE20}" name="2g-no-hash" dataDxfId="67"/>
    <tableColumn id="8" xr3:uid="{F8FA706E-230E-7246-A7E1-174F60D484AC}" name="3g-no-hash" dataDxfId="66"/>
    <tableColumn id="9" xr3:uid="{16809A0D-24C5-1E44-A5D1-4E0CE1EAF817}" name="4g-no-hash" dataDxfId="65"/>
    <tableColumn id="10" xr3:uid="{088E9926-1D29-3344-806C-747B7B8CD149}" name="xsk2g-no-hash" dataDxfId="64"/>
    <tableColumn id="11" xr3:uid="{8AEE0CF5-050D-8E48-ABE5-7879895081F6}" name="xsk3g-no-hash" dataDxfId="63"/>
    <tableColumn id="12" xr3:uid="{59BACC56-751E-CC47-B333-0E29D79118CC}" name="xsk4g-no-hash" dataDxfId="62"/>
    <tableColumn id="13" xr3:uid="{19AB2FC1-2BDA-9449-A501-A7244BC970FC}" name="2g-hash-at-both" dataDxfId="61"/>
    <tableColumn id="14" xr3:uid="{07DC9F69-E750-1746-8D18-305A51E1C4A7}" name="3g-hash-at-both" dataDxfId="60"/>
    <tableColumn id="15" xr3:uid="{BECD4E62-31FF-0942-A971-C34A1F5FDEB9}" name="4g-hash-at-both" dataDxfId="59"/>
    <tableColumn id="16" xr3:uid="{ADDE8659-F65A-5C47-A53F-7128EFD4FD99}" name="xsk2g-hash-at-both" dataDxfId="58"/>
    <tableColumn id="17" xr3:uid="{F9058AF1-2DBB-1D49-AF09-812DEF509F42}" name="xsk3g-hash-at-both" dataDxfId="57"/>
    <tableColumn id="18" xr3:uid="{A456CACC-392A-2B44-99CF-CAEE3317CC32}" name="xsk4g-hash-at-both" dataDxfId="56"/>
    <tableColumn id="19" xr3:uid="{6B04737A-04AE-0B48-B5FB-3162DFE45A69}" name="max" dataDxfId="55">
      <calculatedColumnFormula>MAX($G2:$R2)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24F77CC-6D2F-9847-8B59-F54B6BEF700C}" name="Table8" displayName="Table8" ref="B22:S28" totalsRowShown="0">
  <autoFilter ref="B22:S28" xr:uid="{724F77CC-6D2F-9847-8B59-F54B6BEF700C}"/>
  <tableColumns count="18">
    <tableColumn id="1" xr3:uid="{2ADE92C3-86CA-4748-8367-E262BF3FC300}" name="attribute.index"/>
    <tableColumn id="2" xr3:uid="{58D462DE-6638-2542-95D5-88DCB45780BE}" name="attribute"/>
    <tableColumn id="3" xr3:uid="{B326C542-12C2-5B47-958F-A63A5EDAAC7D}" name="supplemented"/>
    <tableColumn id="4" xr3:uid="{52F55F0F-EB1A-814F-A002-5BAA91739D30}" name="method.index"/>
    <tableColumn id="5" xr3:uid="{59436887-5926-E344-8601-94B5DDF08506}" name="metric"/>
    <tableColumn id="6" xr3:uid="{0EEE583C-D53F-824E-A79A-443B0A7738F0}" name="2g-no-hash" dataDxfId="54">
      <calculatedColumnFormula array="1">_xlfn.LET(_xlpm.d,G$2:G$19,_xlpm.a,$C$2:$C$19=$C23,_xlpm.b,$D$2:$D$19=$D23,MAX(_xlfn._xlws.FILTER(_xlpm.d,_xlpm.a*_xlpm.b)))</calculatedColumnFormula>
    </tableColumn>
    <tableColumn id="7" xr3:uid="{39D2B810-4BF1-AA44-92CB-69EA3EFCC9DE}" name="3g-no-hash" dataDxfId="53">
      <calculatedColumnFormula array="1">_xlfn.LET(_xlpm.d,H$2:H$19,_xlpm.a,$C$2:$C$19=$C23,_xlpm.b,$D$2:$D$19=$D23,MAX(_xlfn._xlws.FILTER(_xlpm.d,_xlpm.a*_xlpm.b)))</calculatedColumnFormula>
    </tableColumn>
    <tableColumn id="8" xr3:uid="{DF773693-211F-0841-9C95-598C9073837E}" name="4g-no-hash" dataDxfId="52">
      <calculatedColumnFormula array="1">_xlfn.LET(_xlpm.d,I$2:I$19,_xlpm.a,$C$2:$C$19=$C23,_xlpm.b,$D$2:$D$19=$D23,MAX(_xlfn._xlws.FILTER(_xlpm.d,_xlpm.a*_xlpm.b)))</calculatedColumnFormula>
    </tableColumn>
    <tableColumn id="9" xr3:uid="{B284FBDE-5FBA-EA4F-A416-2ACEB3EE5A1C}" name="xsk2g-no-hash" dataDxfId="51">
      <calculatedColumnFormula array="1">_xlfn.LET(_xlpm.d,J$2:J$19,_xlpm.a,$C$2:$C$19=$C23,_xlpm.b,$D$2:$D$19=$D23,MAX(_xlfn._xlws.FILTER(_xlpm.d,_xlpm.a*_xlpm.b)))</calculatedColumnFormula>
    </tableColumn>
    <tableColumn id="10" xr3:uid="{D9C23398-5EB1-5544-9665-A07C503D595F}" name="xsk3g-no-hash" dataDxfId="50">
      <calculatedColumnFormula array="1">_xlfn.LET(_xlpm.d,K$2:K$19,_xlpm.a,$C$2:$C$19=$C23,_xlpm.b,$D$2:$D$19=$D23,MAX(_xlfn._xlws.FILTER(_xlpm.d,_xlpm.a*_xlpm.b)))</calculatedColumnFormula>
    </tableColumn>
    <tableColumn id="11" xr3:uid="{766713F1-1735-3B4F-BF96-D809137CBE4E}" name="xsk4g-no-hash" dataDxfId="49">
      <calculatedColumnFormula array="1">_xlfn.LET(_xlpm.d,L$2:L$19,_xlpm.a,$C$2:$C$19=$C23,_xlpm.b,$D$2:$D$19=$D23,MAX(_xlfn._xlws.FILTER(_xlpm.d,_xlpm.a*_xlpm.b)))</calculatedColumnFormula>
    </tableColumn>
    <tableColumn id="12" xr3:uid="{4E788B89-B790-C14A-A7E3-66C69771BD85}" name="2g-hash-at-both" dataDxfId="48">
      <calculatedColumnFormula array="1">_xlfn.LET(_xlpm.d,M$2:M$19,_xlpm.a,$C$2:$C$19=$C23,_xlpm.b,$D$2:$D$19=$D23,MAX(_xlfn._xlws.FILTER(_xlpm.d,_xlpm.a*_xlpm.b)))</calculatedColumnFormula>
    </tableColumn>
    <tableColumn id="13" xr3:uid="{67C89E63-FBE7-204F-8155-AA0725F315E0}" name="3g-hash-at-both" dataDxfId="47">
      <calculatedColumnFormula array="1">_xlfn.LET(_xlpm.d,N$2:N$19,_xlpm.a,$C$2:$C$19=$C23,_xlpm.b,$D$2:$D$19=$D23,MAX(_xlfn._xlws.FILTER(_xlpm.d,_xlpm.a*_xlpm.b)))</calculatedColumnFormula>
    </tableColumn>
    <tableColumn id="14" xr3:uid="{4C1C114E-1373-9D4E-8357-CD8BF283EF91}" name="4g-hash-at-both" dataDxfId="46">
      <calculatedColumnFormula array="1">_xlfn.LET(_xlpm.d,O$2:O$19,_xlpm.a,$C$2:$C$19=$C23,_xlpm.b,$D$2:$D$19=$D23,MAX(_xlfn._xlws.FILTER(_xlpm.d,_xlpm.a*_xlpm.b)))</calculatedColumnFormula>
    </tableColumn>
    <tableColumn id="15" xr3:uid="{53C84902-3872-2240-AA4B-297EE2E55F12}" name="xsk2g-hash-at-both" dataDxfId="45">
      <calculatedColumnFormula array="1">_xlfn.LET(_xlpm.d,P$2:P$19,_xlpm.a,$C$2:$C$19=$C23,_xlpm.b,$D$2:$D$19=$D23,MAX(_xlfn._xlws.FILTER(_xlpm.d,_xlpm.a*_xlpm.b)))</calculatedColumnFormula>
    </tableColumn>
    <tableColumn id="16" xr3:uid="{E9CEC9FF-E1A0-B74C-BED2-9382B7BBA123}" name="xsk3g-hash-at-both" dataDxfId="44">
      <calculatedColumnFormula array="1">_xlfn.LET(_xlpm.d,Q$2:Q$19,_xlpm.a,$C$2:$C$19=$C23,_xlpm.b,$D$2:$D$19=$D23,MAX(_xlfn._xlws.FILTER(_xlpm.d,_xlpm.a*_xlpm.b)))</calculatedColumnFormula>
    </tableColumn>
    <tableColumn id="17" xr3:uid="{C2162CE5-954A-8545-9157-5C09F12EB704}" name="xsk4g-hash-at-both" dataDxfId="43">
      <calculatedColumnFormula array="1">_xlfn.LET(_xlpm.d,R$2:R$19,_xlpm.a,$C$2:$C$19=$C23,_xlpm.b,$D$2:$D$19=$D23,MAX(_xlfn._xlws.FILTER(_xlpm.d,_xlpm.a*_xlpm.b)))</calculatedColumnFormula>
    </tableColumn>
    <tableColumn id="18" xr3:uid="{51A644AC-CB91-6145-BFCA-01DCFBC349C2}" name="max" dataDxfId="42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0474E70-1074-8749-80C9-AE5AB01140FB}" name="Table15" displayName="Table15" ref="A1:S19" totalsRowShown="0">
  <autoFilter ref="A1:S19" xr:uid="{30474E70-1074-8749-80C9-AE5AB01140FB}"/>
  <tableColumns count="19">
    <tableColumn id="1" xr3:uid="{E53361BB-8CE0-444F-BD36-22FED0932831}" name="lang"/>
    <tableColumn id="2" xr3:uid="{A9F9E205-4A39-3243-ACB0-BC9B549C43F6}" name="attribute.index"/>
    <tableColumn id="3" xr3:uid="{28552E64-BF05-6244-A475-80B09D76C438}" name="attribute"/>
    <tableColumn id="4" xr3:uid="{836BE857-83B7-244A-BE9E-3738D3619AF2}" name="supplement"/>
    <tableColumn id="5" xr3:uid="{01B08F09-CEDD-1E44-8CF9-CC5E7E320EEC}" name="method.index"/>
    <tableColumn id="6" xr3:uid="{3648B9B3-5519-C949-A48B-24AA5D3F7AB1}" name="method"/>
    <tableColumn id="7" xr3:uid="{8FE6E99A-7218-BC44-9430-7383B5DFD630}" name="2g-no-hash" dataDxfId="41"/>
    <tableColumn id="8" xr3:uid="{029D5D41-CD01-B142-8D63-36EDC895BCE9}" name="3g-no-hash" dataDxfId="40"/>
    <tableColumn id="9" xr3:uid="{7DE8F8A9-9082-9C4B-8E6F-2E722F984A1A}" name="4g-no-hash" dataDxfId="39"/>
    <tableColumn id="10" xr3:uid="{328BB912-0DF4-1E4C-B15A-8DDC2F214DB0}" name="xsk2g-no-hash" dataDxfId="38"/>
    <tableColumn id="11" xr3:uid="{D97E298C-F710-FE49-A434-8AAC14BC5E8D}" name="xsk3g-no-hash" dataDxfId="37"/>
    <tableColumn id="12" xr3:uid="{80FF860E-9C93-4C43-814F-42CF1FE42AE1}" name="xsk4g-no-hash" dataDxfId="36"/>
    <tableColumn id="13" xr3:uid="{D138C43E-C21E-AE44-9626-19201480FDEF}" name="2g-hash-at-both" dataDxfId="35"/>
    <tableColumn id="14" xr3:uid="{3109E4B4-E2A1-EF4D-844C-86F640BC1BC0}" name="3g-hash-at-both" dataDxfId="34"/>
    <tableColumn id="15" xr3:uid="{9AE3C91F-6957-D540-BBFA-6C86A15BF511}" name="4g-hash-at-both" dataDxfId="33"/>
    <tableColumn id="16" xr3:uid="{DB896640-E834-B448-BE74-6D7CF85C5AD1}" name="xsk2g-hash-at-both" dataDxfId="32"/>
    <tableColumn id="17" xr3:uid="{0EF04812-9C0E-3943-90A8-B6A7D6089BD1}" name="xsk3g-hash-at-both" dataDxfId="31"/>
    <tableColumn id="18" xr3:uid="{049A7995-0930-3F4F-AF84-E355092F6768}" name="xsk4g-hash-at-both" dataDxfId="30"/>
    <tableColumn id="19" xr3:uid="{5DC72B45-4F2E-0846-AF12-50C0131D01CA}" name="max" dataDxfId="29">
      <calculatedColumnFormula>MAX($G2:$R2)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5942AB2-C2AE-6A46-80BF-B5BDB8333287}" name="Table16" displayName="Table16" ref="B22:S28" totalsRowShown="0">
  <autoFilter ref="B22:S28" xr:uid="{05942AB2-C2AE-6A46-80BF-B5BDB8333287}"/>
  <tableColumns count="18">
    <tableColumn id="1" xr3:uid="{ED853CE4-2E3E-4A4E-8E32-A7DAEA7EC458}" name="attribute.index"/>
    <tableColumn id="2" xr3:uid="{1AE4DBB7-34CA-4849-AB33-EAE9FCAE3D61}" name="attribute"/>
    <tableColumn id="3" xr3:uid="{DE0D9ED6-D2BF-FB4F-A3FF-DB997E0E97C9}" name="supplemented"/>
    <tableColumn id="4" xr3:uid="{DD1142F9-40C1-DA47-955E-DB68EE9D341B}" name="method.index"/>
    <tableColumn id="5" xr3:uid="{3717295D-B6F6-184F-BBB9-3DBF820D1FDB}" name="metric"/>
    <tableColumn id="6" xr3:uid="{FB2CC4A6-553E-754A-AC22-5C6EA87989A9}" name="2g-no-hash" dataDxfId="28">
      <calculatedColumnFormula array="1">_xlfn.LET(_xlpm.d,G$2:G$19,_xlpm.a,$C$2:$C$19=$C23,_xlpm.b,$D$2:$D$19=$D23,MAX(_xlfn._xlws.FILTER(_xlpm.d,_xlpm.a*_xlpm.b)))</calculatedColumnFormula>
    </tableColumn>
    <tableColumn id="7" xr3:uid="{776F76C2-ED6F-F44E-AFD3-C436E302F38C}" name="3g-no-hash" dataDxfId="27">
      <calculatedColumnFormula array="1">_xlfn.LET(_xlpm.d,H$2:H$19,_xlpm.a,$C$2:$C$19=$C23,_xlpm.b,$D$2:$D$19=$D23,MAX(_xlfn._xlws.FILTER(_xlpm.d,_xlpm.a*_xlpm.b)))</calculatedColumnFormula>
    </tableColumn>
    <tableColumn id="8" xr3:uid="{66E5ACFD-F524-5F49-B0E6-C833530C6C6C}" name="4g-no-hash" dataDxfId="26">
      <calculatedColumnFormula array="1">_xlfn.LET(_xlpm.d,I$2:I$19,_xlpm.a,$C$2:$C$19=$C23,_xlpm.b,$D$2:$D$19=$D23,MAX(_xlfn._xlws.FILTER(_xlpm.d,_xlpm.a*_xlpm.b)))</calculatedColumnFormula>
    </tableColumn>
    <tableColumn id="9" xr3:uid="{7D7F662F-0B38-2F49-890E-3AA6F2DD43D7}" name="xsk2g-no-hash" dataDxfId="25">
      <calculatedColumnFormula array="1">_xlfn.LET(_xlpm.d,J$2:J$19,_xlpm.a,$C$2:$C$19=$C23,_xlpm.b,$D$2:$D$19=$D23,MAX(_xlfn._xlws.FILTER(_xlpm.d,_xlpm.a*_xlpm.b)))</calculatedColumnFormula>
    </tableColumn>
    <tableColumn id="10" xr3:uid="{9D15919A-E381-4641-940F-149743B3E44A}" name="xsk3g-no-hash" dataDxfId="24">
      <calculatedColumnFormula array="1">_xlfn.LET(_xlpm.d,K$2:K$19,_xlpm.a,$C$2:$C$19=$C23,_xlpm.b,$D$2:$D$19=$D23,MAX(_xlfn._xlws.FILTER(_xlpm.d,_xlpm.a*_xlpm.b)))</calculatedColumnFormula>
    </tableColumn>
    <tableColumn id="11" xr3:uid="{2EC7CF1A-BA30-5B4A-A12F-58AE1E532D2E}" name="xsk4g-no-hash" dataDxfId="23">
      <calculatedColumnFormula array="1">_xlfn.LET(_xlpm.d,L$2:L$19,_xlpm.a,$C$2:$C$19=$C23,_xlpm.b,$D$2:$D$19=$D23,MAX(_xlfn._xlws.FILTER(_xlpm.d,_xlpm.a*_xlpm.b)))</calculatedColumnFormula>
    </tableColumn>
    <tableColumn id="12" xr3:uid="{56FDC1CD-BC9F-AA4E-A16A-97F56C612639}" name="2g-hash-at-both" dataDxfId="22">
      <calculatedColumnFormula array="1">_xlfn.LET(_xlpm.d,M$2:M$19,_xlpm.a,$C$2:$C$19=$C23,_xlpm.b,$D$2:$D$19=$D23,MAX(_xlfn._xlws.FILTER(_xlpm.d,_xlpm.a*_xlpm.b)))</calculatedColumnFormula>
    </tableColumn>
    <tableColumn id="13" xr3:uid="{CEF02D0E-9483-BF45-81D3-383D50C8C926}" name="3g-hash-at-both" dataDxfId="21">
      <calculatedColumnFormula array="1">_xlfn.LET(_xlpm.d,N$2:N$19,_xlpm.a,$C$2:$C$19=$C23,_xlpm.b,$D$2:$D$19=$D23,MAX(_xlfn._xlws.FILTER(_xlpm.d,_xlpm.a*_xlpm.b)))</calculatedColumnFormula>
    </tableColumn>
    <tableColumn id="14" xr3:uid="{A47C0DD5-D59C-334C-AABA-349274158CDA}" name="4g-hash-at-both" dataDxfId="20">
      <calculatedColumnFormula array="1">_xlfn.LET(_xlpm.d,O$2:O$19,_xlpm.a,$C$2:$C$19=$C23,_xlpm.b,$D$2:$D$19=$D23,MAX(_xlfn._xlws.FILTER(_xlpm.d,_xlpm.a*_xlpm.b)))</calculatedColumnFormula>
    </tableColumn>
    <tableColumn id="15" xr3:uid="{13D2441E-8490-9C43-9B4A-945384887E3A}" name="xsk2g-hash-at-both" dataDxfId="19">
      <calculatedColumnFormula array="1">_xlfn.LET(_xlpm.d,P$2:P$19,_xlpm.a,$C$2:$C$19=$C23,_xlpm.b,$D$2:$D$19=$D23,MAX(_xlfn._xlws.FILTER(_xlpm.d,_xlpm.a*_xlpm.b)))</calculatedColumnFormula>
    </tableColumn>
    <tableColumn id="16" xr3:uid="{C64B3C36-6D27-1C41-99ED-D793F1C9F877}" name="xsk3g-hash-at-both" dataDxfId="18">
      <calculatedColumnFormula array="1">_xlfn.LET(_xlpm.d,Q$2:Q$19,_xlpm.a,$C$2:$C$19=$C23,_xlpm.b,$D$2:$D$19=$D23,MAX(_xlfn._xlws.FILTER(_xlpm.d,_xlpm.a*_xlpm.b)))</calculatedColumnFormula>
    </tableColumn>
    <tableColumn id="17" xr3:uid="{D3E8FD72-91C2-9F42-9484-989DEA9C3EF0}" name="xsk4g-hash-at-both" dataDxfId="17">
      <calculatedColumnFormula array="1">_xlfn.LET(_xlpm.d,R$2:R$19,_xlpm.a,$C$2:$C$19=$C23,_xlpm.b,$D$2:$D$19=$D23,MAX(_xlfn._xlws.FILTER(_xlpm.d,_xlpm.a*_xlpm.b)))</calculatedColumnFormula>
    </tableColumn>
    <tableColumn id="18" xr3:uid="{F7A35425-6417-1844-8EE0-583C4EA67730}" name="max" dataDxfId="16">
      <calculatedColumnFormula array="1">_xlfn.LET(_xlpm.d,S$2:S$19,_xlpm.a,$C$2:$C$19=$C23,_xlpm.b,$D$2:$D$19=$D23,MAX(_xlfn._xlws.FILTER(_xlpm.d,_xlpm.a*_xlpm.b)))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25BAB-9A0D-744D-8E97-108A3D396FDA}">
  <dimension ref="A1:X55"/>
  <sheetViews>
    <sheetView tabSelected="1" workbookViewId="0">
      <pane xSplit="14480" ySplit="3940" topLeftCell="T20" activePane="bottomRight"/>
      <selection activeCell="A39" sqref="A39"/>
      <selection pane="topRight" activeCell="X2" sqref="X2:X55"/>
      <selection pane="bottomLeft" activeCell="L41" sqref="L41"/>
      <selection pane="bottomRight" activeCell="U23" sqref="U23"/>
    </sheetView>
  </sheetViews>
  <sheetFormatPr baseColWidth="10" defaultRowHeight="25" customHeight="1"/>
  <cols>
    <col min="1" max="1" width="6.375" customWidth="1"/>
    <col min="2" max="4" width="7.25" customWidth="1"/>
    <col min="5" max="6" width="9.125" customWidth="1"/>
    <col min="7" max="8" width="6.5" customWidth="1"/>
    <col min="9" max="9" width="23" customWidth="1"/>
    <col min="10" max="28" width="9.125" customWidth="1"/>
  </cols>
  <sheetData>
    <row r="1" spans="1:24" ht="25" customHeight="1">
      <c r="A1" t="s">
        <v>34</v>
      </c>
      <c r="B1" t="s">
        <v>35</v>
      </c>
      <c r="C1" t="s">
        <v>36</v>
      </c>
      <c r="D1" t="s">
        <v>1</v>
      </c>
      <c r="E1" t="s">
        <v>2</v>
      </c>
      <c r="F1" t="s">
        <v>32</v>
      </c>
      <c r="G1" t="s">
        <v>4</v>
      </c>
      <c r="H1" t="s">
        <v>33</v>
      </c>
      <c r="I1" t="s">
        <v>38</v>
      </c>
      <c r="J1" t="s">
        <v>6</v>
      </c>
      <c r="K1" t="s">
        <v>7</v>
      </c>
      <c r="L1" t="s">
        <v>8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21</v>
      </c>
      <c r="T1" t="s">
        <v>22</v>
      </c>
      <c r="U1" t="s">
        <v>23</v>
      </c>
      <c r="V1" t="s">
        <v>24</v>
      </c>
      <c r="W1" t="s">
        <v>39</v>
      </c>
      <c r="X1" t="s">
        <v>40</v>
      </c>
    </row>
    <row r="2" spans="1:24" ht="25" hidden="1" customHeight="1">
      <c r="A2" t="s">
        <v>37</v>
      </c>
      <c r="B2">
        <v>1.2</v>
      </c>
      <c r="C2">
        <v>6</v>
      </c>
      <c r="D2">
        <v>1</v>
      </c>
      <c r="E2" t="s">
        <v>26</v>
      </c>
      <c r="F2" t="b">
        <v>1</v>
      </c>
      <c r="G2">
        <v>0</v>
      </c>
      <c r="H2" t="s">
        <v>24</v>
      </c>
      <c r="I2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plu-spl:T-mgv:6-sn:1.2k</v>
      </c>
      <c r="J2" s="1">
        <v>0.86</v>
      </c>
      <c r="K2" s="1">
        <v>0.87</v>
      </c>
      <c r="L2" s="1">
        <v>0.86</v>
      </c>
      <c r="M2" s="1">
        <v>0.82</v>
      </c>
      <c r="N2" s="1">
        <v>0.83</v>
      </c>
      <c r="O2" s="1">
        <v>0.86</v>
      </c>
      <c r="P2" s="1">
        <v>0.88</v>
      </c>
      <c r="Q2" s="1">
        <v>0.87</v>
      </c>
      <c r="R2" s="1">
        <v>0.86</v>
      </c>
      <c r="S2" s="1">
        <v>0.82</v>
      </c>
      <c r="T2" s="1">
        <v>0.86</v>
      </c>
      <c r="U2" s="1">
        <v>0.82</v>
      </c>
      <c r="V2" s="1">
        <v>0.88</v>
      </c>
      <c r="W2" s="2">
        <f>_xlfn.LET(_xlpm.d,$J2:$U2,GEOMEAN(_xlpm.d))</f>
        <v>0.85057201605620791</v>
      </c>
      <c r="X2" s="3">
        <f>RANK(Table19[geomean],W$2:W$55)</f>
        <v>1</v>
      </c>
    </row>
    <row r="3" spans="1:24" ht="25" hidden="1" customHeight="1">
      <c r="A3" t="s">
        <v>37</v>
      </c>
      <c r="B3">
        <v>2</v>
      </c>
      <c r="C3">
        <v>9</v>
      </c>
      <c r="D3">
        <v>1</v>
      </c>
      <c r="E3" t="s">
        <v>26</v>
      </c>
      <c r="F3" t="b">
        <v>1</v>
      </c>
      <c r="G3">
        <v>0</v>
      </c>
      <c r="H3" t="s">
        <v>24</v>
      </c>
      <c r="I3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plu-spl:T-mgv:9-sn:2k</v>
      </c>
      <c r="J3" s="1">
        <v>0.9</v>
      </c>
      <c r="K3" s="1">
        <v>0.88</v>
      </c>
      <c r="L3" s="1">
        <v>0.86</v>
      </c>
      <c r="M3" s="1">
        <v>0.84</v>
      </c>
      <c r="N3" s="1">
        <v>0.83</v>
      </c>
      <c r="O3" s="1">
        <v>0.83</v>
      </c>
      <c r="P3" s="1">
        <v>0.86</v>
      </c>
      <c r="Q3" s="1">
        <v>0.88</v>
      </c>
      <c r="R3" s="1">
        <v>0.87</v>
      </c>
      <c r="S3" s="1">
        <v>0.84</v>
      </c>
      <c r="T3" s="1">
        <v>0.84</v>
      </c>
      <c r="U3" s="1">
        <v>0.78</v>
      </c>
      <c r="V3" s="1">
        <v>0.9</v>
      </c>
      <c r="W3" s="2">
        <f>_xlfn.LET(_xlpm.d,$J3:$U3,GEOMEAN(_xlpm.d))</f>
        <v>0.85029127203334887</v>
      </c>
      <c r="X3" s="3">
        <f>RANK(Table19[geomean],W$2:W$55)</f>
        <v>2</v>
      </c>
    </row>
    <row r="4" spans="1:24" ht="25" hidden="1" customHeight="1">
      <c r="A4" t="s">
        <v>37</v>
      </c>
      <c r="B4">
        <v>3</v>
      </c>
      <c r="C4">
        <v>9</v>
      </c>
      <c r="D4">
        <v>1</v>
      </c>
      <c r="E4" t="s">
        <v>26</v>
      </c>
      <c r="F4" t="b">
        <v>1</v>
      </c>
      <c r="G4">
        <v>0</v>
      </c>
      <c r="H4" t="s">
        <v>24</v>
      </c>
      <c r="I4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plu-spl:T-mgv:9-sn:3k</v>
      </c>
      <c r="J4" s="1">
        <v>0.87</v>
      </c>
      <c r="K4" s="1">
        <v>0.84</v>
      </c>
      <c r="L4" s="1">
        <v>0.88</v>
      </c>
      <c r="M4" s="1">
        <v>0.85</v>
      </c>
      <c r="N4" s="1">
        <v>0.82</v>
      </c>
      <c r="O4" s="1">
        <v>0.81</v>
      </c>
      <c r="P4" s="1">
        <v>0.87</v>
      </c>
      <c r="Q4" s="1">
        <v>0.89</v>
      </c>
      <c r="R4" s="1">
        <v>0.82</v>
      </c>
      <c r="S4" s="1">
        <v>0.86</v>
      </c>
      <c r="T4" s="1">
        <v>0.8</v>
      </c>
      <c r="U4" s="1">
        <v>0.83</v>
      </c>
      <c r="V4" s="1">
        <v>0.89</v>
      </c>
      <c r="W4" s="2">
        <f>_xlfn.LET(_xlpm.d,$J4:$U4,GEOMEAN(_xlpm.d))</f>
        <v>0.84453124325884144</v>
      </c>
      <c r="X4" s="3">
        <f>RANK(Table19[geomean],W$2:W$55)</f>
        <v>3</v>
      </c>
    </row>
    <row r="5" spans="1:24" ht="25" hidden="1" customHeight="1">
      <c r="A5" t="s">
        <v>37</v>
      </c>
      <c r="B5">
        <v>3</v>
      </c>
      <c r="C5">
        <v>3</v>
      </c>
      <c r="D5">
        <v>1</v>
      </c>
      <c r="E5" t="s">
        <v>26</v>
      </c>
      <c r="F5" t="b">
        <v>1</v>
      </c>
      <c r="G5">
        <v>0</v>
      </c>
      <c r="H5" t="s">
        <v>24</v>
      </c>
      <c r="I5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plu-spl:T-mgv:3-sn:3k</v>
      </c>
      <c r="J5" s="1">
        <v>0.85</v>
      </c>
      <c r="K5" s="1">
        <v>0.89</v>
      </c>
      <c r="L5" s="1">
        <v>0.85</v>
      </c>
      <c r="M5" s="1">
        <v>0.82</v>
      </c>
      <c r="N5" s="1">
        <v>0.84</v>
      </c>
      <c r="O5" s="1">
        <v>0.85</v>
      </c>
      <c r="P5" s="1">
        <v>0.83</v>
      </c>
      <c r="Q5" s="1">
        <v>0.82</v>
      </c>
      <c r="R5" s="1">
        <v>0.85</v>
      </c>
      <c r="S5" s="1">
        <v>0.85</v>
      </c>
      <c r="T5" s="1">
        <v>0.85</v>
      </c>
      <c r="U5" s="1">
        <v>0.81</v>
      </c>
      <c r="V5" s="1">
        <v>0.89</v>
      </c>
      <c r="W5" s="2">
        <f>_xlfn.LET(_xlpm.d,$J5:$U5,GEOMEAN(_xlpm.d))</f>
        <v>0.84226315976798949</v>
      </c>
      <c r="X5" s="3">
        <f>RANK(Table19[geomean],W$2:W$55)</f>
        <v>4</v>
      </c>
    </row>
    <row r="6" spans="1:24" ht="25" hidden="1" customHeight="1">
      <c r="A6" t="s">
        <v>37</v>
      </c>
      <c r="B6">
        <v>1.2</v>
      </c>
      <c r="C6">
        <v>9</v>
      </c>
      <c r="D6">
        <v>1</v>
      </c>
      <c r="E6" t="s">
        <v>26</v>
      </c>
      <c r="F6" t="b">
        <v>1</v>
      </c>
      <c r="G6">
        <v>0</v>
      </c>
      <c r="H6" t="s">
        <v>24</v>
      </c>
      <c r="I6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plu-spl:T-mgv:9-sn:1.2k</v>
      </c>
      <c r="J6" s="1">
        <v>0.84</v>
      </c>
      <c r="K6" s="1">
        <v>0.87</v>
      </c>
      <c r="L6" s="1">
        <v>0.83</v>
      </c>
      <c r="M6" s="1">
        <v>0.78</v>
      </c>
      <c r="N6" s="1">
        <v>0.82</v>
      </c>
      <c r="O6" s="1">
        <v>0.85</v>
      </c>
      <c r="P6" s="1">
        <v>0.82</v>
      </c>
      <c r="Q6" s="1">
        <v>0.85</v>
      </c>
      <c r="R6" s="1">
        <v>0.88</v>
      </c>
      <c r="S6" s="1">
        <v>0.82</v>
      </c>
      <c r="T6" s="1">
        <v>0.81</v>
      </c>
      <c r="U6" s="1">
        <v>0.84</v>
      </c>
      <c r="V6" s="1">
        <v>0.88</v>
      </c>
      <c r="W6" s="2">
        <f>_xlfn.LET(_xlpm.d,$J6:$U6,GEOMEAN(_xlpm.d))</f>
        <v>0.83376079184650576</v>
      </c>
      <c r="X6" s="3">
        <f>RANK(Table19[geomean],W$2:W$55)</f>
        <v>5</v>
      </c>
    </row>
    <row r="7" spans="1:24" ht="25" hidden="1" customHeight="1">
      <c r="A7" t="s">
        <v>37</v>
      </c>
      <c r="B7">
        <v>2</v>
      </c>
      <c r="C7">
        <v>3</v>
      </c>
      <c r="D7">
        <v>1</v>
      </c>
      <c r="E7" t="s">
        <v>26</v>
      </c>
      <c r="F7" t="b">
        <v>1</v>
      </c>
      <c r="G7">
        <v>0</v>
      </c>
      <c r="H7" t="s">
        <v>24</v>
      </c>
      <c r="I7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plu-spl:T-mgv:3-sn:2k</v>
      </c>
      <c r="J7" s="1">
        <v>0.85</v>
      </c>
      <c r="K7" s="1">
        <v>0.86</v>
      </c>
      <c r="L7" s="1">
        <v>0.89</v>
      </c>
      <c r="M7" s="1">
        <v>0.77</v>
      </c>
      <c r="N7" s="1">
        <v>0.81</v>
      </c>
      <c r="O7" s="1">
        <v>0.81</v>
      </c>
      <c r="P7" s="1">
        <v>0.86</v>
      </c>
      <c r="Q7" s="1">
        <v>0.82</v>
      </c>
      <c r="R7" s="1">
        <v>0.82</v>
      </c>
      <c r="S7" s="1">
        <v>0.82</v>
      </c>
      <c r="T7" s="1">
        <v>0.81</v>
      </c>
      <c r="U7" s="1">
        <v>0.83</v>
      </c>
      <c r="V7" s="1">
        <v>0.89</v>
      </c>
      <c r="W7" s="2">
        <f>_xlfn.LET(_xlpm.d,$J7:$U7,GEOMEAN(_xlpm.d))</f>
        <v>0.82862100627050028</v>
      </c>
      <c r="X7" s="3">
        <f>RANK(Table19[geomean],W$2:W$55)</f>
        <v>6</v>
      </c>
    </row>
    <row r="8" spans="1:24" ht="25" hidden="1" customHeight="1">
      <c r="A8" t="s">
        <v>37</v>
      </c>
      <c r="B8">
        <v>3</v>
      </c>
      <c r="C8">
        <v>6</v>
      </c>
      <c r="D8">
        <v>1</v>
      </c>
      <c r="E8" t="s">
        <v>26</v>
      </c>
      <c r="F8" t="b">
        <v>1</v>
      </c>
      <c r="G8">
        <v>0</v>
      </c>
      <c r="H8" t="s">
        <v>24</v>
      </c>
      <c r="I8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plu-spl:T-mgv:6-sn:3k</v>
      </c>
      <c r="J8" s="1">
        <v>0.78</v>
      </c>
      <c r="K8" s="1">
        <v>0.87</v>
      </c>
      <c r="L8" s="1">
        <v>0.81</v>
      </c>
      <c r="M8" s="1">
        <v>0.84</v>
      </c>
      <c r="N8" s="1">
        <v>0.8</v>
      </c>
      <c r="O8" s="1">
        <v>0.77</v>
      </c>
      <c r="P8" s="1">
        <v>0.87</v>
      </c>
      <c r="Q8" s="1">
        <v>0.86</v>
      </c>
      <c r="R8" s="1">
        <v>0.85</v>
      </c>
      <c r="S8" s="1">
        <v>0.84</v>
      </c>
      <c r="T8" s="1">
        <v>0.84</v>
      </c>
      <c r="U8" s="1">
        <v>0.82</v>
      </c>
      <c r="V8" s="1">
        <v>0.87</v>
      </c>
      <c r="W8" s="2">
        <f>_xlfn.LET(_xlpm.d,$J8:$U8,GEOMEAN(_xlpm.d))</f>
        <v>0.82854098036788038</v>
      </c>
      <c r="X8" s="3">
        <f>RANK(Table19[geomean],W$2:W$55)</f>
        <v>7</v>
      </c>
    </row>
    <row r="9" spans="1:24" ht="25" hidden="1" customHeight="1">
      <c r="A9" t="s">
        <v>37</v>
      </c>
      <c r="B9">
        <v>1.2</v>
      </c>
      <c r="C9">
        <v>3</v>
      </c>
      <c r="D9">
        <v>1</v>
      </c>
      <c r="E9" t="s">
        <v>26</v>
      </c>
      <c r="F9" t="b">
        <v>1</v>
      </c>
      <c r="G9">
        <v>0</v>
      </c>
      <c r="H9" t="s">
        <v>24</v>
      </c>
      <c r="I9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plu-spl:T-mgv:3-sn:1.2k</v>
      </c>
      <c r="J9" s="1">
        <v>0.82</v>
      </c>
      <c r="K9" s="1">
        <v>0.89</v>
      </c>
      <c r="L9" s="1">
        <v>0.82</v>
      </c>
      <c r="M9" s="1">
        <v>0.82</v>
      </c>
      <c r="N9" s="1">
        <v>0.79</v>
      </c>
      <c r="O9" s="1">
        <v>0.81</v>
      </c>
      <c r="P9" s="1">
        <v>0.86</v>
      </c>
      <c r="Q9" s="1">
        <v>0.8</v>
      </c>
      <c r="R9" s="1">
        <v>0.84</v>
      </c>
      <c r="S9" s="1">
        <v>0.85</v>
      </c>
      <c r="T9" s="1">
        <v>0.85</v>
      </c>
      <c r="U9" s="1">
        <v>0.77</v>
      </c>
      <c r="V9" s="1">
        <v>0.89</v>
      </c>
      <c r="W9" s="2">
        <f>_xlfn.LET(_xlpm.d,$J9:$U9,GEOMEAN(_xlpm.d))</f>
        <v>0.82606013615543472</v>
      </c>
      <c r="X9" s="3">
        <f>RANK(Table19[geomean],W$2:W$55)</f>
        <v>8</v>
      </c>
    </row>
    <row r="10" spans="1:24" ht="25" hidden="1" customHeight="1">
      <c r="A10" t="s">
        <v>37</v>
      </c>
      <c r="B10">
        <v>3</v>
      </c>
      <c r="C10">
        <v>9</v>
      </c>
      <c r="D10">
        <v>1</v>
      </c>
      <c r="E10" t="s">
        <v>26</v>
      </c>
      <c r="F10" t="b">
        <v>0</v>
      </c>
      <c r="G10">
        <v>0</v>
      </c>
      <c r="H10" t="s">
        <v>24</v>
      </c>
      <c r="I10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plu-spl:F-mgv:9-sn:3k</v>
      </c>
      <c r="J10" s="2">
        <v>0.84</v>
      </c>
      <c r="K10" s="2">
        <v>0.83</v>
      </c>
      <c r="L10" s="2">
        <v>0.83</v>
      </c>
      <c r="M10" s="2">
        <v>0.8</v>
      </c>
      <c r="N10" s="2">
        <v>0.8</v>
      </c>
      <c r="O10" s="2">
        <v>0.8</v>
      </c>
      <c r="P10" s="2">
        <v>0.85</v>
      </c>
      <c r="Q10" s="2">
        <v>0.86</v>
      </c>
      <c r="R10" s="2">
        <v>0.81</v>
      </c>
      <c r="S10" s="2">
        <v>0.84</v>
      </c>
      <c r="T10" s="2">
        <v>0.8</v>
      </c>
      <c r="U10" s="2">
        <v>0.83</v>
      </c>
      <c r="V10" s="2">
        <v>0.86</v>
      </c>
      <c r="W10" s="2">
        <f>_xlfn.LET(_xlpm.d,$J10:$U10,GEOMEAN(_xlpm.d))</f>
        <v>0.82390966874693705</v>
      </c>
      <c r="X10" s="3">
        <f>RANK(Table19[geomean],W$2:W$55)</f>
        <v>9</v>
      </c>
    </row>
    <row r="11" spans="1:24" ht="25" hidden="1" customHeight="1">
      <c r="A11" t="s">
        <v>37</v>
      </c>
      <c r="B11">
        <v>3</v>
      </c>
      <c r="C11">
        <v>3</v>
      </c>
      <c r="D11">
        <v>1</v>
      </c>
      <c r="E11" t="s">
        <v>26</v>
      </c>
      <c r="F11" t="b">
        <v>0</v>
      </c>
      <c r="G11">
        <v>0</v>
      </c>
      <c r="H11" t="s">
        <v>24</v>
      </c>
      <c r="I11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plu-spl:F-mgv:3-sn:3k</v>
      </c>
      <c r="J11" s="2">
        <v>0.81</v>
      </c>
      <c r="K11" s="2">
        <v>0.86</v>
      </c>
      <c r="L11" s="2">
        <v>0.83</v>
      </c>
      <c r="M11" s="2">
        <v>0.82</v>
      </c>
      <c r="N11" s="2">
        <v>0.82</v>
      </c>
      <c r="O11" s="2">
        <v>0.82</v>
      </c>
      <c r="P11" s="2">
        <v>0.81</v>
      </c>
      <c r="Q11" s="2">
        <v>0.8</v>
      </c>
      <c r="R11" s="2">
        <v>0.8</v>
      </c>
      <c r="S11" s="2">
        <v>0.81</v>
      </c>
      <c r="T11" s="2">
        <v>0.85</v>
      </c>
      <c r="U11" s="2">
        <v>0.81</v>
      </c>
      <c r="V11" s="2">
        <v>0.86</v>
      </c>
      <c r="W11" s="2">
        <f>_xlfn.LET(_xlpm.d,$J11:$U11,GEOMEAN(_xlpm.d))</f>
        <v>0.81980976998757971</v>
      </c>
      <c r="X11" s="3">
        <f>RANK(Table19[geomean],W$2:W$55)</f>
        <v>10</v>
      </c>
    </row>
    <row r="12" spans="1:24" ht="25" hidden="1" customHeight="1">
      <c r="A12" t="s">
        <v>37</v>
      </c>
      <c r="B12">
        <v>2</v>
      </c>
      <c r="C12">
        <v>6</v>
      </c>
      <c r="D12">
        <v>1</v>
      </c>
      <c r="E12" t="s">
        <v>26</v>
      </c>
      <c r="F12" t="b">
        <v>1</v>
      </c>
      <c r="G12">
        <v>0</v>
      </c>
      <c r="H12" t="s">
        <v>24</v>
      </c>
      <c r="I12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plu-spl:T-mgv:6-sn:2k</v>
      </c>
      <c r="J12" s="2">
        <v>0.84</v>
      </c>
      <c r="K12" s="2">
        <v>0.83</v>
      </c>
      <c r="L12" s="2">
        <v>0.8</v>
      </c>
      <c r="M12" s="2">
        <v>0.86</v>
      </c>
      <c r="N12" s="2">
        <v>0.78</v>
      </c>
      <c r="O12" s="2">
        <v>0.84</v>
      </c>
      <c r="P12" s="2">
        <v>0.86</v>
      </c>
      <c r="Q12" s="2">
        <v>0.83</v>
      </c>
      <c r="R12" s="2">
        <v>0.76</v>
      </c>
      <c r="S12" s="2">
        <v>0.83</v>
      </c>
      <c r="T12" s="2">
        <v>0.81</v>
      </c>
      <c r="U12" s="2">
        <v>0.79</v>
      </c>
      <c r="V12" s="2">
        <v>0.86</v>
      </c>
      <c r="W12" s="2">
        <f>_xlfn.LET(_xlpm.d,$J12:$U12,GEOMEAN(_xlpm.d))</f>
        <v>0.81860615109276702</v>
      </c>
      <c r="X12" s="3">
        <f>RANK(Table19[geomean],W$2:W$55)</f>
        <v>11</v>
      </c>
    </row>
    <row r="13" spans="1:24" ht="25" hidden="1" customHeight="1">
      <c r="A13" t="s">
        <v>37</v>
      </c>
      <c r="B13">
        <v>2</v>
      </c>
      <c r="C13">
        <v>9</v>
      </c>
      <c r="D13">
        <v>1</v>
      </c>
      <c r="E13" t="s">
        <v>26</v>
      </c>
      <c r="F13" t="b">
        <v>0</v>
      </c>
      <c r="G13">
        <v>0</v>
      </c>
      <c r="H13" t="s">
        <v>24</v>
      </c>
      <c r="I13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plu-spl:F-mgv:9-sn:2k</v>
      </c>
      <c r="J13" s="2">
        <v>0.85</v>
      </c>
      <c r="K13" s="2">
        <v>0.81</v>
      </c>
      <c r="L13" s="2">
        <v>0.83</v>
      </c>
      <c r="M13" s="2">
        <v>0.78</v>
      </c>
      <c r="N13" s="2">
        <v>0.82</v>
      </c>
      <c r="O13" s="2">
        <v>0.82</v>
      </c>
      <c r="P13" s="2">
        <v>0.8</v>
      </c>
      <c r="Q13" s="2">
        <v>0.83</v>
      </c>
      <c r="R13" s="2">
        <v>0.83</v>
      </c>
      <c r="S13" s="2">
        <v>0.82</v>
      </c>
      <c r="T13" s="2">
        <v>0.83</v>
      </c>
      <c r="U13" s="2">
        <v>0.8</v>
      </c>
      <c r="V13" s="2">
        <v>0.85</v>
      </c>
      <c r="W13" s="2">
        <f>_xlfn.LET(_xlpm.d,$J13:$U13,GEOMEAN(_xlpm.d))</f>
        <v>0.8181401460977219</v>
      </c>
      <c r="X13" s="3">
        <f>RANK(Table19[geomean],W$2:W$55)</f>
        <v>12</v>
      </c>
    </row>
    <row r="14" spans="1:24" ht="25" hidden="1" customHeight="1">
      <c r="A14" t="s">
        <v>37</v>
      </c>
      <c r="B14">
        <v>3</v>
      </c>
      <c r="C14">
        <v>6</v>
      </c>
      <c r="D14">
        <v>1</v>
      </c>
      <c r="E14" t="s">
        <v>26</v>
      </c>
      <c r="F14" t="b">
        <v>0</v>
      </c>
      <c r="G14">
        <v>0</v>
      </c>
      <c r="H14" t="s">
        <v>24</v>
      </c>
      <c r="I14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plu-spl:F-mgv:6-sn:3k</v>
      </c>
      <c r="J14" s="1">
        <v>0.76</v>
      </c>
      <c r="K14" s="1">
        <v>0.81</v>
      </c>
      <c r="L14" s="1">
        <v>0.79</v>
      </c>
      <c r="M14" s="1">
        <v>0.84</v>
      </c>
      <c r="N14" s="1">
        <v>0.78</v>
      </c>
      <c r="O14" s="1">
        <v>0.79</v>
      </c>
      <c r="P14" s="1">
        <v>0.84</v>
      </c>
      <c r="Q14" s="1">
        <v>0.82</v>
      </c>
      <c r="R14" s="1">
        <v>0.83</v>
      </c>
      <c r="S14" s="1">
        <v>0.83</v>
      </c>
      <c r="T14" s="1">
        <v>0.84</v>
      </c>
      <c r="U14" s="1">
        <v>0.83</v>
      </c>
      <c r="V14" s="1">
        <v>0.84</v>
      </c>
      <c r="W14" s="2">
        <f>_xlfn.LET(_xlpm.d,$J14:$U14,GEOMEAN(_xlpm.d))</f>
        <v>0.81291371107398602</v>
      </c>
      <c r="X14" s="3">
        <f>RANK(Table19[geomean],W$2:W$55)</f>
        <v>13</v>
      </c>
    </row>
    <row r="15" spans="1:24" ht="25" hidden="1" customHeight="1">
      <c r="A15" t="s">
        <v>37</v>
      </c>
      <c r="B15">
        <v>1.2</v>
      </c>
      <c r="C15">
        <v>9</v>
      </c>
      <c r="D15">
        <v>1</v>
      </c>
      <c r="E15" t="s">
        <v>26</v>
      </c>
      <c r="F15" t="b">
        <v>0</v>
      </c>
      <c r="G15">
        <v>0</v>
      </c>
      <c r="H15" t="s">
        <v>24</v>
      </c>
      <c r="I15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plu-spl:F-mgv:9-sn:1.2k</v>
      </c>
      <c r="J15" s="1">
        <v>0.82</v>
      </c>
      <c r="K15" s="1">
        <v>0.82</v>
      </c>
      <c r="L15" s="1">
        <v>0.8</v>
      </c>
      <c r="M15" s="1">
        <v>0.75</v>
      </c>
      <c r="N15" s="1">
        <v>0.79</v>
      </c>
      <c r="O15" s="1">
        <v>0.84</v>
      </c>
      <c r="P15" s="1">
        <v>0.74</v>
      </c>
      <c r="Q15" s="1">
        <v>0.82</v>
      </c>
      <c r="R15" s="1">
        <v>0.88</v>
      </c>
      <c r="S15" s="1">
        <v>0.82</v>
      </c>
      <c r="T15" s="1">
        <v>0.83</v>
      </c>
      <c r="U15" s="1">
        <v>0.82</v>
      </c>
      <c r="V15" s="1">
        <v>0.88</v>
      </c>
      <c r="W15" s="2">
        <f>_xlfn.LET(_xlpm.d,$J15:$U15,GEOMEAN(_xlpm.d))</f>
        <v>0.81001541007606115</v>
      </c>
      <c r="X15" s="3">
        <f>RANK(Table19[geomean],W$2:W$55)</f>
        <v>14</v>
      </c>
    </row>
    <row r="16" spans="1:24" ht="25" hidden="1" customHeight="1">
      <c r="A16" t="s">
        <v>37</v>
      </c>
      <c r="B16">
        <v>1.2</v>
      </c>
      <c r="C16">
        <v>6</v>
      </c>
      <c r="D16">
        <v>1</v>
      </c>
      <c r="E16" t="s">
        <v>26</v>
      </c>
      <c r="F16" t="b">
        <v>0</v>
      </c>
      <c r="G16">
        <v>0</v>
      </c>
      <c r="H16" t="s">
        <v>24</v>
      </c>
      <c r="I16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plu-spl:F-mgv:6-sn:1.2k</v>
      </c>
      <c r="J16" s="2">
        <v>0.79</v>
      </c>
      <c r="K16" s="2">
        <v>0.81</v>
      </c>
      <c r="L16" s="2">
        <v>0.84</v>
      </c>
      <c r="M16" s="2">
        <v>0.81</v>
      </c>
      <c r="N16" s="2">
        <v>0.79</v>
      </c>
      <c r="O16" s="2">
        <v>0.83</v>
      </c>
      <c r="P16" s="2">
        <v>0.76</v>
      </c>
      <c r="Q16" s="2">
        <v>0.84</v>
      </c>
      <c r="R16" s="2">
        <v>0.81</v>
      </c>
      <c r="S16" s="2">
        <v>0.8</v>
      </c>
      <c r="T16" s="2">
        <v>0.84</v>
      </c>
      <c r="U16" s="2">
        <v>0.78</v>
      </c>
      <c r="V16" s="2">
        <v>0.84</v>
      </c>
      <c r="W16" s="2">
        <f>_xlfn.LET(_xlpm.d,$J16:$U16,GEOMEAN(_xlpm.d))</f>
        <v>0.80795148028945107</v>
      </c>
      <c r="X16" s="3">
        <f>RANK(Table19[geomean],W$2:W$55)</f>
        <v>15</v>
      </c>
    </row>
    <row r="17" spans="1:24" ht="25" hidden="1" customHeight="1">
      <c r="A17" t="s">
        <v>37</v>
      </c>
      <c r="B17">
        <v>2</v>
      </c>
      <c r="C17">
        <v>3</v>
      </c>
      <c r="D17">
        <v>1</v>
      </c>
      <c r="E17" t="s">
        <v>26</v>
      </c>
      <c r="F17" t="b">
        <v>0</v>
      </c>
      <c r="G17">
        <v>0</v>
      </c>
      <c r="H17" t="s">
        <v>24</v>
      </c>
      <c r="I17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plu-spl:F-mgv:3-sn:2k</v>
      </c>
      <c r="J17" s="2">
        <v>0.82</v>
      </c>
      <c r="K17" s="2">
        <v>0.85</v>
      </c>
      <c r="L17" s="2">
        <v>0.83</v>
      </c>
      <c r="M17" s="2">
        <v>0.74</v>
      </c>
      <c r="N17" s="2">
        <v>0.79</v>
      </c>
      <c r="O17" s="2">
        <v>0.83</v>
      </c>
      <c r="P17" s="2">
        <v>0.8</v>
      </c>
      <c r="Q17" s="2">
        <v>0.79</v>
      </c>
      <c r="R17" s="2">
        <v>0.8</v>
      </c>
      <c r="S17" s="2">
        <v>0.81</v>
      </c>
      <c r="T17" s="2">
        <v>0.81</v>
      </c>
      <c r="U17" s="2">
        <v>0.81</v>
      </c>
      <c r="V17" s="2">
        <v>0.85</v>
      </c>
      <c r="W17" s="2">
        <f>_xlfn.LET(_xlpm.d,$J17:$U17,GEOMEAN(_xlpm.d))</f>
        <v>0.80623037809310705</v>
      </c>
      <c r="X17" s="3">
        <f>RANK(Table19[geomean],W$2:W$55)</f>
        <v>16</v>
      </c>
    </row>
    <row r="18" spans="1:24" ht="25" hidden="1" customHeight="1">
      <c r="A18" t="s">
        <v>37</v>
      </c>
      <c r="B18">
        <v>2</v>
      </c>
      <c r="C18">
        <v>6</v>
      </c>
      <c r="D18">
        <v>1</v>
      </c>
      <c r="E18" t="s">
        <v>26</v>
      </c>
      <c r="F18" t="b">
        <v>0</v>
      </c>
      <c r="G18">
        <v>0</v>
      </c>
      <c r="H18" t="s">
        <v>24</v>
      </c>
      <c r="I18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plu-spl:F-mgv:6-sn:2k</v>
      </c>
      <c r="J18" s="2">
        <v>0.82</v>
      </c>
      <c r="K18" s="2">
        <v>0.79</v>
      </c>
      <c r="L18" s="2">
        <v>0.8</v>
      </c>
      <c r="M18" s="2">
        <v>0.85</v>
      </c>
      <c r="N18" s="2">
        <v>0.78</v>
      </c>
      <c r="O18" s="2">
        <v>0.84</v>
      </c>
      <c r="P18" s="2">
        <v>0.82</v>
      </c>
      <c r="Q18" s="2">
        <v>0.78</v>
      </c>
      <c r="R18" s="2">
        <v>0.74</v>
      </c>
      <c r="S18" s="2">
        <v>0.83</v>
      </c>
      <c r="T18" s="2">
        <v>0.8</v>
      </c>
      <c r="U18" s="2">
        <v>0.8</v>
      </c>
      <c r="V18" s="2">
        <v>0.85</v>
      </c>
      <c r="W18" s="2">
        <f>_xlfn.LET(_xlpm.d,$J18:$U18,GEOMEAN(_xlpm.d))</f>
        <v>0.80363744738489584</v>
      </c>
      <c r="X18" s="3">
        <f>RANK(Table19[geomean],W$2:W$55)</f>
        <v>17</v>
      </c>
    </row>
    <row r="19" spans="1:24" ht="25" hidden="1" customHeight="1">
      <c r="A19" t="s">
        <v>37</v>
      </c>
      <c r="B19">
        <v>1.2</v>
      </c>
      <c r="C19">
        <v>3</v>
      </c>
      <c r="D19">
        <v>1</v>
      </c>
      <c r="E19" t="s">
        <v>26</v>
      </c>
      <c r="F19" t="b">
        <v>0</v>
      </c>
      <c r="G19">
        <v>0</v>
      </c>
      <c r="H19" t="s">
        <v>24</v>
      </c>
      <c r="I19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plu-spl:F-mgv:3-sn:1.2k</v>
      </c>
      <c r="J19" s="2">
        <v>0.73</v>
      </c>
      <c r="K19" s="2">
        <v>0.85</v>
      </c>
      <c r="L19" s="2">
        <v>0.75</v>
      </c>
      <c r="M19" s="2">
        <v>0.78</v>
      </c>
      <c r="N19" s="2">
        <v>0.82</v>
      </c>
      <c r="O19" s="2">
        <v>0.8</v>
      </c>
      <c r="P19" s="2">
        <v>0.76</v>
      </c>
      <c r="Q19" s="2">
        <v>0.76</v>
      </c>
      <c r="R19" s="2">
        <v>0.82</v>
      </c>
      <c r="S19" s="2">
        <v>0.82</v>
      </c>
      <c r="T19" s="2">
        <v>0.85</v>
      </c>
      <c r="U19" s="2">
        <v>0.78</v>
      </c>
      <c r="V19" s="2">
        <v>0.85</v>
      </c>
      <c r="W19" s="2">
        <f>_xlfn.LET(_xlpm.d,$J19:$U19,GEOMEAN(_xlpm.d))</f>
        <v>0.79243593061569384</v>
      </c>
      <c r="X19" s="3">
        <f>RANK(Table19[geomean],W$2:W$55)</f>
        <v>18</v>
      </c>
    </row>
    <row r="20" spans="1:24" ht="25" customHeight="1">
      <c r="A20" t="s">
        <v>37</v>
      </c>
      <c r="B20">
        <v>3</v>
      </c>
      <c r="C20">
        <v>3</v>
      </c>
      <c r="D20">
        <v>2</v>
      </c>
      <c r="E20" t="s">
        <v>30</v>
      </c>
      <c r="F20" t="b">
        <v>1</v>
      </c>
      <c r="G20">
        <v>0</v>
      </c>
      <c r="H20" t="s">
        <v>24</v>
      </c>
      <c r="I20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gen-spl:T-mgv:3-sn:3k</v>
      </c>
      <c r="J20" s="1">
        <v>0.63</v>
      </c>
      <c r="K20" s="1">
        <v>0.61</v>
      </c>
      <c r="L20" s="1">
        <v>0.66</v>
      </c>
      <c r="M20" s="1">
        <v>0.62</v>
      </c>
      <c r="N20" s="1">
        <v>0.61</v>
      </c>
      <c r="O20" s="1">
        <v>0.6</v>
      </c>
      <c r="P20" s="1">
        <v>0.61</v>
      </c>
      <c r="Q20" s="1">
        <v>0.62</v>
      </c>
      <c r="R20" s="1">
        <v>0.64</v>
      </c>
      <c r="S20" s="1">
        <v>0.64</v>
      </c>
      <c r="T20" s="1">
        <v>0.59</v>
      </c>
      <c r="U20" s="1">
        <v>0.61</v>
      </c>
      <c r="V20" s="1">
        <v>0.66</v>
      </c>
      <c r="W20" s="2">
        <f>_xlfn.LET(_xlpm.d,$J20:$U20,GEOMEAN(_xlpm.d))</f>
        <v>0.61972050747032448</v>
      </c>
      <c r="X20" s="3">
        <f>RANK(Table19[geomean],W$2:W$55)</f>
        <v>19</v>
      </c>
    </row>
    <row r="21" spans="1:24" ht="25" customHeight="1">
      <c r="A21" t="s">
        <v>37</v>
      </c>
      <c r="B21">
        <v>3</v>
      </c>
      <c r="C21">
        <v>3</v>
      </c>
      <c r="D21">
        <v>2</v>
      </c>
      <c r="E21" t="s">
        <v>30</v>
      </c>
      <c r="F21" t="b">
        <v>0</v>
      </c>
      <c r="G21">
        <v>0</v>
      </c>
      <c r="H21" t="s">
        <v>24</v>
      </c>
      <c r="I21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gen-spl:F-mgv:3-sn:3k</v>
      </c>
      <c r="J21" s="1">
        <v>0.59</v>
      </c>
      <c r="K21" s="1">
        <v>0.6</v>
      </c>
      <c r="L21" s="1">
        <v>0.66</v>
      </c>
      <c r="M21" s="1">
        <v>0.54</v>
      </c>
      <c r="N21" s="1">
        <v>0.62</v>
      </c>
      <c r="O21" s="1">
        <v>0.63</v>
      </c>
      <c r="P21" s="1">
        <v>0.56999999999999995</v>
      </c>
      <c r="Q21" s="1">
        <v>0.62</v>
      </c>
      <c r="R21" s="1">
        <v>0.57999999999999996</v>
      </c>
      <c r="S21" s="1">
        <v>0.63</v>
      </c>
      <c r="T21" s="1">
        <v>0.6</v>
      </c>
      <c r="U21" s="1">
        <v>0.57999999999999996</v>
      </c>
      <c r="V21" s="1">
        <v>0.66</v>
      </c>
      <c r="W21" s="2">
        <f>_xlfn.LET(_xlpm.d,$J21:$U21,GEOMEAN(_xlpm.d))</f>
        <v>0.60086092317085327</v>
      </c>
      <c r="X21" s="3">
        <f>RANK(Table19[geomean],W$2:W$55)</f>
        <v>20</v>
      </c>
    </row>
    <row r="22" spans="1:24" ht="25" customHeight="1">
      <c r="A22" t="s">
        <v>37</v>
      </c>
      <c r="B22">
        <v>2</v>
      </c>
      <c r="C22">
        <v>9</v>
      </c>
      <c r="D22">
        <v>2</v>
      </c>
      <c r="E22" t="s">
        <v>30</v>
      </c>
      <c r="F22" t="b">
        <v>1</v>
      </c>
      <c r="G22">
        <v>0</v>
      </c>
      <c r="H22" t="s">
        <v>24</v>
      </c>
      <c r="I22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gen-spl:T-mgv:9-sn:2k</v>
      </c>
      <c r="J22" s="2">
        <v>0.59</v>
      </c>
      <c r="K22" s="2">
        <v>0.57999999999999996</v>
      </c>
      <c r="L22" s="2">
        <v>0.62</v>
      </c>
      <c r="M22" s="2">
        <v>0.6</v>
      </c>
      <c r="N22" s="2">
        <v>0.6</v>
      </c>
      <c r="O22" s="2">
        <v>0.6</v>
      </c>
      <c r="P22" s="2">
        <v>0.63</v>
      </c>
      <c r="Q22" s="2">
        <v>0.61</v>
      </c>
      <c r="R22" s="2">
        <v>0.6</v>
      </c>
      <c r="S22" s="2">
        <v>0.61</v>
      </c>
      <c r="T22" s="2">
        <v>0.63</v>
      </c>
      <c r="U22" s="2">
        <v>0.52</v>
      </c>
      <c r="V22" s="2">
        <v>0.63</v>
      </c>
      <c r="W22" s="2">
        <f>_xlfn.LET(_xlpm.d,$J22:$U22,GEOMEAN(_xlpm.d))</f>
        <v>0.59848288334670841</v>
      </c>
      <c r="X22" s="3">
        <f>RANK(Table19[geomean],W$2:W$55)</f>
        <v>21</v>
      </c>
    </row>
    <row r="23" spans="1:24" ht="25" customHeight="1">
      <c r="A23" t="s">
        <v>37</v>
      </c>
      <c r="B23">
        <v>3</v>
      </c>
      <c r="C23">
        <v>6</v>
      </c>
      <c r="D23">
        <v>2</v>
      </c>
      <c r="E23" t="s">
        <v>30</v>
      </c>
      <c r="F23" t="b">
        <v>1</v>
      </c>
      <c r="G23">
        <v>0</v>
      </c>
      <c r="H23" t="s">
        <v>24</v>
      </c>
      <c r="I23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gen-spl:T-mgv:6-sn:3k</v>
      </c>
      <c r="J23" s="2">
        <v>0.57999999999999996</v>
      </c>
      <c r="K23" s="2">
        <v>0.57999999999999996</v>
      </c>
      <c r="L23" s="2">
        <v>0.61</v>
      </c>
      <c r="M23" s="2">
        <v>0.63</v>
      </c>
      <c r="N23" s="2">
        <v>0.56000000000000005</v>
      </c>
      <c r="O23" s="2">
        <v>0.56000000000000005</v>
      </c>
      <c r="P23" s="2">
        <v>0.64</v>
      </c>
      <c r="Q23" s="2">
        <v>0.63</v>
      </c>
      <c r="R23" s="2">
        <v>0.63</v>
      </c>
      <c r="S23" s="2">
        <v>0.59</v>
      </c>
      <c r="T23" s="2">
        <v>0.62</v>
      </c>
      <c r="U23" s="2">
        <v>0.56000000000000005</v>
      </c>
      <c r="V23" s="2">
        <v>0.64</v>
      </c>
      <c r="W23" s="2">
        <f>_xlfn.LET(_xlpm.d,$J23:$U23,GEOMEAN(_xlpm.d))</f>
        <v>0.59843401227534265</v>
      </c>
      <c r="X23" s="3">
        <f>RANK(Table19[geomean],W$2:W$55)</f>
        <v>22</v>
      </c>
    </row>
    <row r="24" spans="1:24" ht="25" customHeight="1">
      <c r="A24" t="s">
        <v>37</v>
      </c>
      <c r="B24">
        <v>3</v>
      </c>
      <c r="C24">
        <v>9</v>
      </c>
      <c r="D24">
        <v>2</v>
      </c>
      <c r="E24" t="s">
        <v>30</v>
      </c>
      <c r="F24" t="b">
        <v>1</v>
      </c>
      <c r="G24">
        <v>0</v>
      </c>
      <c r="H24" t="s">
        <v>24</v>
      </c>
      <c r="I24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gen-spl:T-mgv:9-sn:3k</v>
      </c>
      <c r="J24" s="2">
        <v>0.62</v>
      </c>
      <c r="K24" s="2">
        <v>0.62</v>
      </c>
      <c r="L24" s="2">
        <v>0.6</v>
      </c>
      <c r="M24" s="2">
        <v>0.63</v>
      </c>
      <c r="N24" s="2">
        <v>0.59</v>
      </c>
      <c r="O24" s="2">
        <v>0.55000000000000004</v>
      </c>
      <c r="P24" s="2">
        <v>0.56000000000000005</v>
      </c>
      <c r="Q24" s="2">
        <v>0.63</v>
      </c>
      <c r="R24" s="2">
        <v>0.59</v>
      </c>
      <c r="S24" s="2">
        <v>0.59</v>
      </c>
      <c r="T24" s="2">
        <v>0.59</v>
      </c>
      <c r="U24" s="2">
        <v>0.59</v>
      </c>
      <c r="V24" s="2">
        <v>0.66</v>
      </c>
      <c r="W24" s="2">
        <f>_xlfn.LET(_xlpm.d,$J24:$U24,GEOMEAN(_xlpm.d))</f>
        <v>0.59616829401254612</v>
      </c>
      <c r="X24" s="3">
        <f>RANK(Table19[geomean],W$2:W$55)</f>
        <v>23</v>
      </c>
    </row>
    <row r="25" spans="1:24" ht="25" customHeight="1">
      <c r="A25" t="s">
        <v>37</v>
      </c>
      <c r="B25">
        <v>2</v>
      </c>
      <c r="C25">
        <v>3</v>
      </c>
      <c r="D25">
        <v>2</v>
      </c>
      <c r="E25" t="s">
        <v>30</v>
      </c>
      <c r="F25" t="b">
        <v>1</v>
      </c>
      <c r="G25">
        <v>0</v>
      </c>
      <c r="H25" t="s">
        <v>24</v>
      </c>
      <c r="I25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gen-spl:T-mgv:3-sn:2k</v>
      </c>
      <c r="J25" s="2">
        <v>0.56000000000000005</v>
      </c>
      <c r="K25" s="2">
        <v>0.61</v>
      </c>
      <c r="L25" s="2">
        <v>0.62</v>
      </c>
      <c r="M25" s="2">
        <v>0.59</v>
      </c>
      <c r="N25" s="2">
        <v>0.56999999999999995</v>
      </c>
      <c r="O25" s="2">
        <v>0.59</v>
      </c>
      <c r="P25" s="2">
        <v>0.59</v>
      </c>
      <c r="Q25" s="2">
        <v>0.6</v>
      </c>
      <c r="R25" s="2">
        <v>0.57999999999999996</v>
      </c>
      <c r="S25" s="2">
        <v>0.68</v>
      </c>
      <c r="T25" s="2">
        <v>0.55000000000000004</v>
      </c>
      <c r="U25" s="2">
        <v>0.62</v>
      </c>
      <c r="V25" s="2">
        <v>0.68</v>
      </c>
      <c r="W25" s="2">
        <f>_xlfn.LET(_xlpm.d,$J25:$U25,GEOMEAN(_xlpm.d))</f>
        <v>0.59579736956399043</v>
      </c>
      <c r="X25" s="3">
        <f>RANK(Table19[geomean],W$2:W$55)</f>
        <v>24</v>
      </c>
    </row>
    <row r="26" spans="1:24" ht="25" customHeight="1">
      <c r="A26" t="s">
        <v>37</v>
      </c>
      <c r="B26">
        <v>3</v>
      </c>
      <c r="C26">
        <v>9</v>
      </c>
      <c r="D26">
        <v>2</v>
      </c>
      <c r="E26" t="s">
        <v>30</v>
      </c>
      <c r="F26" t="b">
        <v>0</v>
      </c>
      <c r="G26">
        <v>0</v>
      </c>
      <c r="H26" t="s">
        <v>24</v>
      </c>
      <c r="I26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gen-spl:F-mgv:9-sn:3k</v>
      </c>
      <c r="J26" s="1">
        <v>0.56000000000000005</v>
      </c>
      <c r="K26" s="1">
        <v>0.62</v>
      </c>
      <c r="L26" s="1">
        <v>0.63</v>
      </c>
      <c r="M26" s="1">
        <v>0.56999999999999995</v>
      </c>
      <c r="N26" s="1">
        <v>0.59</v>
      </c>
      <c r="O26" s="1">
        <v>0.56999999999999995</v>
      </c>
      <c r="P26" s="1">
        <v>0.56000000000000005</v>
      </c>
      <c r="Q26" s="1">
        <v>0.62</v>
      </c>
      <c r="R26" s="1">
        <v>0.6</v>
      </c>
      <c r="S26" s="1">
        <v>0.56000000000000005</v>
      </c>
      <c r="T26" s="1">
        <v>0.6</v>
      </c>
      <c r="U26" s="1">
        <v>0.65</v>
      </c>
      <c r="V26" s="1">
        <v>0.65</v>
      </c>
      <c r="W26" s="2">
        <f>_xlfn.LET(_xlpm.d,$J26:$U26,GEOMEAN(_xlpm.d))</f>
        <v>0.59343815507876418</v>
      </c>
      <c r="X26" s="3">
        <f>RANK(Table19[geomean],W$2:W$55)</f>
        <v>25</v>
      </c>
    </row>
    <row r="27" spans="1:24" ht="25" customHeight="1">
      <c r="A27" t="s">
        <v>37</v>
      </c>
      <c r="B27">
        <v>2</v>
      </c>
      <c r="C27">
        <v>6</v>
      </c>
      <c r="D27">
        <v>2</v>
      </c>
      <c r="E27" t="s">
        <v>30</v>
      </c>
      <c r="F27" t="b">
        <v>1</v>
      </c>
      <c r="G27">
        <v>0</v>
      </c>
      <c r="H27" t="s">
        <v>24</v>
      </c>
      <c r="I27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gen-spl:T-mgv:6-sn:2k</v>
      </c>
      <c r="J27" s="1">
        <v>0.64</v>
      </c>
      <c r="K27" s="1">
        <v>0.56999999999999995</v>
      </c>
      <c r="L27" s="1">
        <v>0.59</v>
      </c>
      <c r="M27" s="1">
        <v>0.65</v>
      </c>
      <c r="N27" s="1">
        <v>0.56000000000000005</v>
      </c>
      <c r="O27" s="1">
        <v>0.52</v>
      </c>
      <c r="P27" s="1">
        <v>0.63</v>
      </c>
      <c r="Q27" s="1">
        <v>0.56999999999999995</v>
      </c>
      <c r="R27" s="1">
        <v>0.62</v>
      </c>
      <c r="S27" s="1">
        <v>0.6</v>
      </c>
      <c r="T27" s="1">
        <v>0.6</v>
      </c>
      <c r="U27" s="1">
        <v>0.57999999999999996</v>
      </c>
      <c r="V27" s="1">
        <v>0.65</v>
      </c>
      <c r="W27" s="2">
        <f>_xlfn.LET(_xlpm.d,$J27:$U27,GEOMEAN(_xlpm.d))</f>
        <v>0.59307884046571024</v>
      </c>
      <c r="X27" s="3">
        <f>RANK(Table19[geomean],W$2:W$55)</f>
        <v>26</v>
      </c>
    </row>
    <row r="28" spans="1:24" ht="25" customHeight="1">
      <c r="A28" t="s">
        <v>37</v>
      </c>
      <c r="B28">
        <v>3</v>
      </c>
      <c r="C28">
        <v>6</v>
      </c>
      <c r="D28">
        <v>2</v>
      </c>
      <c r="E28" t="s">
        <v>30</v>
      </c>
      <c r="F28" t="b">
        <v>0</v>
      </c>
      <c r="G28">
        <v>0</v>
      </c>
      <c r="H28" t="s">
        <v>24</v>
      </c>
      <c r="I28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gen-spl:F-mgv:6-sn:3k</v>
      </c>
      <c r="J28" s="2">
        <v>0.56999999999999995</v>
      </c>
      <c r="K28" s="2">
        <v>0.56999999999999995</v>
      </c>
      <c r="L28" s="2">
        <v>0.56999999999999995</v>
      </c>
      <c r="M28" s="2">
        <v>0.59</v>
      </c>
      <c r="N28" s="2">
        <v>0.56000000000000005</v>
      </c>
      <c r="O28" s="2">
        <v>0.56999999999999995</v>
      </c>
      <c r="P28" s="2">
        <v>0.57999999999999996</v>
      </c>
      <c r="Q28" s="2">
        <v>0.59</v>
      </c>
      <c r="R28" s="2">
        <v>0.61</v>
      </c>
      <c r="S28" s="2">
        <v>0.6</v>
      </c>
      <c r="T28" s="2">
        <v>0.61</v>
      </c>
      <c r="U28" s="2">
        <v>0.55000000000000004</v>
      </c>
      <c r="V28" s="2">
        <v>0.61</v>
      </c>
      <c r="W28" s="2">
        <f>_xlfn.LET(_xlpm.d,$J28:$U28,GEOMEAN(_xlpm.d))</f>
        <v>0.58054081244731437</v>
      </c>
      <c r="X28" s="3">
        <f>RANK(Table19[geomean],W$2:W$55)</f>
        <v>27</v>
      </c>
    </row>
    <row r="29" spans="1:24" ht="25" customHeight="1">
      <c r="A29" t="s">
        <v>37</v>
      </c>
      <c r="B29">
        <v>2</v>
      </c>
      <c r="C29">
        <v>3</v>
      </c>
      <c r="D29">
        <v>2</v>
      </c>
      <c r="E29" t="s">
        <v>30</v>
      </c>
      <c r="F29" t="b">
        <v>0</v>
      </c>
      <c r="G29">
        <v>0</v>
      </c>
      <c r="H29" t="s">
        <v>24</v>
      </c>
      <c r="I29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gen-spl:F-mgv:3-sn:2k</v>
      </c>
      <c r="J29" s="2">
        <v>0.56999999999999995</v>
      </c>
      <c r="K29" s="2">
        <v>0.61</v>
      </c>
      <c r="L29" s="2">
        <v>0.61</v>
      </c>
      <c r="M29" s="2">
        <v>0.55000000000000004</v>
      </c>
      <c r="N29" s="2">
        <v>0.56999999999999995</v>
      </c>
      <c r="O29" s="2">
        <v>0.55000000000000004</v>
      </c>
      <c r="P29" s="2">
        <v>0.57999999999999996</v>
      </c>
      <c r="Q29" s="2">
        <v>0.6</v>
      </c>
      <c r="R29" s="2">
        <v>0.56999999999999995</v>
      </c>
      <c r="S29" s="2">
        <v>0.65</v>
      </c>
      <c r="T29" s="2">
        <v>0.53</v>
      </c>
      <c r="U29" s="2">
        <v>0.56999999999999995</v>
      </c>
      <c r="V29" s="2">
        <v>0.65</v>
      </c>
      <c r="W29" s="2">
        <f>_xlfn.LET(_xlpm.d,$J29:$U29,GEOMEAN(_xlpm.d))</f>
        <v>0.57916780458764272</v>
      </c>
      <c r="X29" s="3">
        <f>RANK(Table19[geomean],W$2:W$55)</f>
        <v>28</v>
      </c>
    </row>
    <row r="30" spans="1:24" ht="25" customHeight="1">
      <c r="A30" t="s">
        <v>37</v>
      </c>
      <c r="B30">
        <v>2</v>
      </c>
      <c r="C30">
        <v>9</v>
      </c>
      <c r="D30">
        <v>2</v>
      </c>
      <c r="E30" t="s">
        <v>30</v>
      </c>
      <c r="F30" t="b">
        <v>0</v>
      </c>
      <c r="G30">
        <v>0</v>
      </c>
      <c r="H30" t="s">
        <v>24</v>
      </c>
      <c r="I30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gen-spl:F-mgv:9-sn:2k</v>
      </c>
      <c r="J30" s="2">
        <v>0.57999999999999996</v>
      </c>
      <c r="K30" s="2">
        <v>0.56999999999999995</v>
      </c>
      <c r="L30" s="2">
        <v>0.6</v>
      </c>
      <c r="M30" s="2">
        <v>0.53</v>
      </c>
      <c r="N30" s="2">
        <v>0.61</v>
      </c>
      <c r="O30" s="2">
        <v>0.62</v>
      </c>
      <c r="P30" s="2">
        <v>0.54</v>
      </c>
      <c r="Q30" s="2">
        <v>0.6</v>
      </c>
      <c r="R30" s="2">
        <v>0.59</v>
      </c>
      <c r="S30" s="2">
        <v>0.56999999999999995</v>
      </c>
      <c r="T30" s="2">
        <v>0.62</v>
      </c>
      <c r="U30" s="2">
        <v>0.53</v>
      </c>
      <c r="V30" s="2">
        <v>0.62</v>
      </c>
      <c r="W30" s="2">
        <f>_xlfn.LET(_xlpm.d,$J30:$U30,GEOMEAN(_xlpm.d))</f>
        <v>0.57913868747149566</v>
      </c>
      <c r="X30" s="3">
        <f>RANK(Table19[geomean],W$2:W$55)</f>
        <v>29</v>
      </c>
    </row>
    <row r="31" spans="1:24" ht="25" customHeight="1">
      <c r="A31" t="s">
        <v>37</v>
      </c>
      <c r="B31">
        <v>2</v>
      </c>
      <c r="C31">
        <v>6</v>
      </c>
      <c r="D31">
        <v>2</v>
      </c>
      <c r="E31" t="s">
        <v>30</v>
      </c>
      <c r="F31" t="b">
        <v>0</v>
      </c>
      <c r="G31">
        <v>0</v>
      </c>
      <c r="H31" t="s">
        <v>24</v>
      </c>
      <c r="I31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gen-spl:F-mgv:6-sn:2k</v>
      </c>
      <c r="J31" s="2">
        <v>0.6</v>
      </c>
      <c r="K31" s="2">
        <v>0.55000000000000004</v>
      </c>
      <c r="L31" s="2">
        <v>0.54</v>
      </c>
      <c r="M31" s="2">
        <v>0.6</v>
      </c>
      <c r="N31" s="2">
        <v>0.59</v>
      </c>
      <c r="O31" s="2">
        <v>0.56999999999999995</v>
      </c>
      <c r="P31" s="2">
        <v>0.57999999999999996</v>
      </c>
      <c r="Q31" s="2">
        <v>0.56000000000000005</v>
      </c>
      <c r="R31" s="2">
        <v>0.61</v>
      </c>
      <c r="S31" s="2">
        <v>0.6</v>
      </c>
      <c r="T31" s="2">
        <v>0.56000000000000005</v>
      </c>
      <c r="U31" s="2">
        <v>0.56999999999999995</v>
      </c>
      <c r="V31" s="2">
        <v>0.61</v>
      </c>
      <c r="W31" s="2">
        <f>_xlfn.LET(_xlpm.d,$J31:$U31,GEOMEAN(_xlpm.d))</f>
        <v>0.5770925713065852</v>
      </c>
      <c r="X31" s="3">
        <f>RANK(Table19[geomean],W$2:W$55)</f>
        <v>30</v>
      </c>
    </row>
    <row r="32" spans="1:24" ht="25" customHeight="1">
      <c r="A32" t="s">
        <v>37</v>
      </c>
      <c r="B32">
        <v>1.2</v>
      </c>
      <c r="C32">
        <v>9</v>
      </c>
      <c r="D32">
        <v>2</v>
      </c>
      <c r="E32" t="s">
        <v>30</v>
      </c>
      <c r="F32" t="b">
        <v>1</v>
      </c>
      <c r="G32">
        <v>0</v>
      </c>
      <c r="H32" t="s">
        <v>24</v>
      </c>
      <c r="I32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gen-spl:T-mgv:9-sn:1.2k</v>
      </c>
      <c r="J32" s="1">
        <v>0.56999999999999995</v>
      </c>
      <c r="K32" s="1">
        <v>0.54</v>
      </c>
      <c r="L32" s="1">
        <v>0.56999999999999995</v>
      </c>
      <c r="M32" s="1">
        <v>0.61</v>
      </c>
      <c r="N32" s="1">
        <v>0.55000000000000004</v>
      </c>
      <c r="O32" s="1">
        <v>0.55000000000000004</v>
      </c>
      <c r="P32" s="1">
        <v>0.56000000000000005</v>
      </c>
      <c r="Q32" s="1">
        <v>0.54</v>
      </c>
      <c r="R32" s="1">
        <v>0.61</v>
      </c>
      <c r="S32" s="1">
        <v>0.56000000000000005</v>
      </c>
      <c r="T32" s="1">
        <v>0.61</v>
      </c>
      <c r="U32" s="1">
        <v>0.57999999999999996</v>
      </c>
      <c r="V32" s="1">
        <v>0.61</v>
      </c>
      <c r="W32" s="2">
        <f>_xlfn.LET(_xlpm.d,$J32:$U32,GEOMEAN(_xlpm.d))</f>
        <v>0.57027983273208493</v>
      </c>
      <c r="X32" s="3">
        <f>RANK(Table19[geomean],W$2:W$55)</f>
        <v>31</v>
      </c>
    </row>
    <row r="33" spans="1:24" ht="25" customHeight="1">
      <c r="A33" t="s">
        <v>37</v>
      </c>
      <c r="B33">
        <v>1.2</v>
      </c>
      <c r="C33">
        <v>9</v>
      </c>
      <c r="D33">
        <v>2</v>
      </c>
      <c r="E33" t="s">
        <v>30</v>
      </c>
      <c r="F33" t="b">
        <v>0</v>
      </c>
      <c r="G33">
        <v>0</v>
      </c>
      <c r="H33" t="s">
        <v>24</v>
      </c>
      <c r="I33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gen-spl:F-mgv:9-sn:1.2k</v>
      </c>
      <c r="J33" s="1">
        <v>0.57999999999999996</v>
      </c>
      <c r="K33" s="1">
        <v>0.53</v>
      </c>
      <c r="L33" s="1">
        <v>0.61</v>
      </c>
      <c r="M33" s="1">
        <v>0.57999999999999996</v>
      </c>
      <c r="N33" s="1">
        <v>0.55000000000000004</v>
      </c>
      <c r="O33" s="1">
        <v>0.55000000000000004</v>
      </c>
      <c r="P33" s="1">
        <v>0.56000000000000005</v>
      </c>
      <c r="Q33" s="1">
        <v>0.54</v>
      </c>
      <c r="R33" s="1">
        <v>0.55000000000000004</v>
      </c>
      <c r="S33" s="1">
        <v>0.56999999999999995</v>
      </c>
      <c r="T33" s="1">
        <v>0.6</v>
      </c>
      <c r="U33" s="1">
        <v>0.55000000000000004</v>
      </c>
      <c r="V33" s="1">
        <v>0.61</v>
      </c>
      <c r="W33" s="2">
        <f>_xlfn.LET(_xlpm.d,$J33:$U33,GEOMEAN(_xlpm.d))</f>
        <v>0.56369393471375528</v>
      </c>
      <c r="X33" s="3">
        <f>RANK(Table19[geomean],W$2:W$55)</f>
        <v>32</v>
      </c>
    </row>
    <row r="34" spans="1:24" ht="25" customHeight="1">
      <c r="A34" t="s">
        <v>37</v>
      </c>
      <c r="B34">
        <v>1.2</v>
      </c>
      <c r="C34">
        <v>6</v>
      </c>
      <c r="D34">
        <v>2</v>
      </c>
      <c r="E34" t="s">
        <v>30</v>
      </c>
      <c r="F34" t="b">
        <v>1</v>
      </c>
      <c r="G34">
        <v>0</v>
      </c>
      <c r="H34" t="s">
        <v>24</v>
      </c>
      <c r="I34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gen-spl:T-mgv:6-sn:1.2k</v>
      </c>
      <c r="J34" s="2">
        <v>0.57999999999999996</v>
      </c>
      <c r="K34" s="2">
        <v>0.56000000000000005</v>
      </c>
      <c r="L34" s="2">
        <v>0.56000000000000005</v>
      </c>
      <c r="M34" s="2">
        <v>0.6</v>
      </c>
      <c r="N34" s="2">
        <v>0.47</v>
      </c>
      <c r="O34" s="2">
        <v>0.5</v>
      </c>
      <c r="P34" s="2">
        <v>0.55000000000000004</v>
      </c>
      <c r="Q34" s="2">
        <v>0.61</v>
      </c>
      <c r="R34" s="2">
        <v>0.54</v>
      </c>
      <c r="S34" s="2">
        <v>0.59</v>
      </c>
      <c r="T34" s="2">
        <v>0.51</v>
      </c>
      <c r="U34" s="2">
        <v>0.53</v>
      </c>
      <c r="V34" s="2">
        <v>0.61</v>
      </c>
      <c r="W34" s="2">
        <f>_xlfn.LET(_xlpm.d,$J34:$U34,GEOMEAN(_xlpm.d))</f>
        <v>0.54846715528930878</v>
      </c>
      <c r="X34" s="3">
        <f>RANK(Table19[geomean],W$2:W$55)</f>
        <v>33</v>
      </c>
    </row>
    <row r="35" spans="1:24" ht="25" customHeight="1">
      <c r="A35" t="s">
        <v>37</v>
      </c>
      <c r="B35">
        <v>1.2</v>
      </c>
      <c r="C35">
        <v>3</v>
      </c>
      <c r="D35">
        <v>2</v>
      </c>
      <c r="E35" t="s">
        <v>30</v>
      </c>
      <c r="F35" t="b">
        <v>1</v>
      </c>
      <c r="G35">
        <v>0</v>
      </c>
      <c r="H35" t="s">
        <v>24</v>
      </c>
      <c r="I35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gen-spl:T-mgv:3-sn:1.2k</v>
      </c>
      <c r="J35" s="2">
        <v>0.5</v>
      </c>
      <c r="K35" s="2">
        <v>0.56999999999999995</v>
      </c>
      <c r="L35" s="2">
        <v>0.55000000000000004</v>
      </c>
      <c r="M35" s="2">
        <v>0.53</v>
      </c>
      <c r="N35" s="2">
        <v>0.52</v>
      </c>
      <c r="O35" s="2">
        <v>0.56999999999999995</v>
      </c>
      <c r="P35" s="2">
        <v>0.54</v>
      </c>
      <c r="Q35" s="2">
        <v>0.53</v>
      </c>
      <c r="R35" s="2">
        <v>0.54</v>
      </c>
      <c r="S35" s="2">
        <v>0.56999999999999995</v>
      </c>
      <c r="T35" s="2">
        <v>0.55000000000000004</v>
      </c>
      <c r="U35" s="2">
        <v>0.57999999999999996</v>
      </c>
      <c r="V35" s="2">
        <v>0.57999999999999996</v>
      </c>
      <c r="W35" s="2">
        <f>_xlfn.LET(_xlpm.d,$J35:$U35,GEOMEAN(_xlpm.d))</f>
        <v>0.54534861209460095</v>
      </c>
      <c r="X35" s="3">
        <f>RANK(Table19[geomean],W$2:W$55)</f>
        <v>34</v>
      </c>
    </row>
    <row r="36" spans="1:24" ht="25" customHeight="1">
      <c r="A36" t="s">
        <v>37</v>
      </c>
      <c r="B36">
        <v>1.2</v>
      </c>
      <c r="C36">
        <v>3</v>
      </c>
      <c r="D36">
        <v>2</v>
      </c>
      <c r="E36" t="s">
        <v>30</v>
      </c>
      <c r="F36" t="b">
        <v>0</v>
      </c>
      <c r="G36">
        <v>0</v>
      </c>
      <c r="H36" t="s">
        <v>24</v>
      </c>
      <c r="I36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gen-spl:F-mgv:3-sn:1.2k</v>
      </c>
      <c r="J36" s="2">
        <v>0.48</v>
      </c>
      <c r="K36" s="2">
        <v>0.56999999999999995</v>
      </c>
      <c r="L36" s="2">
        <v>0.54</v>
      </c>
      <c r="M36" s="2">
        <v>0.55000000000000004</v>
      </c>
      <c r="N36" s="2">
        <v>0.52</v>
      </c>
      <c r="O36" s="2">
        <v>0.63</v>
      </c>
      <c r="P36" s="2">
        <v>0.54</v>
      </c>
      <c r="Q36" s="2">
        <v>0.55000000000000004</v>
      </c>
      <c r="R36" s="2">
        <v>0.52</v>
      </c>
      <c r="S36" s="2">
        <v>0.54</v>
      </c>
      <c r="T36" s="2">
        <v>0.52</v>
      </c>
      <c r="U36" s="2">
        <v>0.57999999999999996</v>
      </c>
      <c r="V36" s="2">
        <v>0.63</v>
      </c>
      <c r="W36" s="2">
        <f>_xlfn.LET(_xlpm.d,$J36:$U36,GEOMEAN(_xlpm.d))</f>
        <v>0.5438553984193365</v>
      </c>
      <c r="X36" s="3">
        <f>RANK(Table19[geomean],W$2:W$55)</f>
        <v>35</v>
      </c>
    </row>
    <row r="37" spans="1:24" ht="25" customHeight="1">
      <c r="A37" t="s">
        <v>37</v>
      </c>
      <c r="B37">
        <v>1.2</v>
      </c>
      <c r="C37">
        <v>6</v>
      </c>
      <c r="D37">
        <v>2</v>
      </c>
      <c r="E37" t="s">
        <v>30</v>
      </c>
      <c r="F37" t="b">
        <v>0</v>
      </c>
      <c r="G37">
        <v>0</v>
      </c>
      <c r="H37" t="s">
        <v>24</v>
      </c>
      <c r="I37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gen-spl:F-mgv:6-sn:1.2k</v>
      </c>
      <c r="J37" s="2">
        <v>0.56000000000000005</v>
      </c>
      <c r="K37" s="2">
        <v>0.51</v>
      </c>
      <c r="L37" s="2">
        <v>0.53</v>
      </c>
      <c r="M37" s="2">
        <v>0.55000000000000004</v>
      </c>
      <c r="N37" s="2">
        <v>0.49</v>
      </c>
      <c r="O37" s="2">
        <v>0.5</v>
      </c>
      <c r="P37" s="2">
        <v>0.52</v>
      </c>
      <c r="Q37" s="2">
        <v>0.61</v>
      </c>
      <c r="R37" s="2">
        <v>0.57999999999999996</v>
      </c>
      <c r="S37" s="2">
        <v>0.56000000000000005</v>
      </c>
      <c r="T37" s="2">
        <v>0.53</v>
      </c>
      <c r="U37" s="2">
        <v>0.53</v>
      </c>
      <c r="V37" s="2">
        <v>0.61</v>
      </c>
      <c r="W37" s="2">
        <f>_xlfn.LET(_xlpm.d,$J37:$U37,GEOMEAN(_xlpm.d))</f>
        <v>0.53817309485875109</v>
      </c>
      <c r="X37" s="3">
        <f>RANK(Table19[geomean],W$2:W$55)</f>
        <v>36</v>
      </c>
    </row>
    <row r="38" spans="1:24" ht="25" hidden="1" customHeight="1">
      <c r="A38" t="s">
        <v>37</v>
      </c>
      <c r="B38">
        <v>3</v>
      </c>
      <c r="C38">
        <v>9</v>
      </c>
      <c r="D38">
        <v>3</v>
      </c>
      <c r="E38" t="s">
        <v>31</v>
      </c>
      <c r="F38" t="b">
        <v>1</v>
      </c>
      <c r="G38">
        <v>0</v>
      </c>
      <c r="H38" t="s">
        <v>24</v>
      </c>
      <c r="I38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cas-spl:T-mgv:9-sn:3k</v>
      </c>
      <c r="J38" s="1">
        <v>0.39</v>
      </c>
      <c r="K38" s="1">
        <v>0.44</v>
      </c>
      <c r="L38" s="1">
        <v>0.42</v>
      </c>
      <c r="M38" s="1">
        <v>0.46</v>
      </c>
      <c r="N38" s="1">
        <v>0.38</v>
      </c>
      <c r="O38" s="1">
        <v>0.44</v>
      </c>
      <c r="P38" s="1">
        <v>0.41</v>
      </c>
      <c r="Q38" s="1">
        <v>0.45</v>
      </c>
      <c r="R38" s="1">
        <v>0.4</v>
      </c>
      <c r="S38" s="1">
        <v>0.44</v>
      </c>
      <c r="T38" s="1">
        <v>0.43</v>
      </c>
      <c r="U38" s="1">
        <v>0.42</v>
      </c>
      <c r="V38" s="1">
        <v>0.5</v>
      </c>
      <c r="W38" s="2">
        <f>_xlfn.LET(_xlpm.d,$J38:$U38,GEOMEAN(_xlpm.d))</f>
        <v>0.42266759748284283</v>
      </c>
      <c r="X38" s="3">
        <f>RANK(Table19[geomean],W$2:W$55)</f>
        <v>37</v>
      </c>
    </row>
    <row r="39" spans="1:24" ht="25" hidden="1" customHeight="1">
      <c r="A39" t="s">
        <v>37</v>
      </c>
      <c r="B39">
        <v>3</v>
      </c>
      <c r="C39">
        <v>3</v>
      </c>
      <c r="D39">
        <v>3</v>
      </c>
      <c r="E39" t="s">
        <v>31</v>
      </c>
      <c r="F39" t="b">
        <v>1</v>
      </c>
      <c r="G39">
        <v>0</v>
      </c>
      <c r="H39" t="s">
        <v>24</v>
      </c>
      <c r="I39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cas-spl:T-mgv:3-sn:3k</v>
      </c>
      <c r="J39" s="1">
        <v>0.44</v>
      </c>
      <c r="K39" s="1">
        <v>0.39</v>
      </c>
      <c r="L39" s="1">
        <v>0.41</v>
      </c>
      <c r="M39" s="1">
        <v>0.46</v>
      </c>
      <c r="N39" s="1">
        <v>0.4</v>
      </c>
      <c r="O39" s="1">
        <v>0.39</v>
      </c>
      <c r="P39" s="1">
        <v>0.46</v>
      </c>
      <c r="Q39" s="1">
        <v>0.42</v>
      </c>
      <c r="R39" s="1">
        <v>0.41</v>
      </c>
      <c r="S39" s="1">
        <v>0.45</v>
      </c>
      <c r="T39" s="1">
        <v>0.43</v>
      </c>
      <c r="U39" s="1">
        <v>0.41</v>
      </c>
      <c r="V39" s="1">
        <v>0.46</v>
      </c>
      <c r="W39" s="2">
        <f>_xlfn.LET(_xlpm.d,$J39:$U39,GEOMEAN(_xlpm.d))</f>
        <v>0.42181298800271749</v>
      </c>
      <c r="X39" s="3">
        <f>RANK(Table19[geomean],W$2:W$55)</f>
        <v>38</v>
      </c>
    </row>
    <row r="40" spans="1:24" ht="25" hidden="1" customHeight="1">
      <c r="A40" t="s">
        <v>37</v>
      </c>
      <c r="B40">
        <v>2</v>
      </c>
      <c r="C40">
        <v>9</v>
      </c>
      <c r="D40">
        <v>3</v>
      </c>
      <c r="E40" t="s">
        <v>31</v>
      </c>
      <c r="F40" t="b">
        <v>1</v>
      </c>
      <c r="G40">
        <v>0</v>
      </c>
      <c r="H40" t="s">
        <v>24</v>
      </c>
      <c r="I40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cas-spl:T-mgv:9-sn:2k</v>
      </c>
      <c r="J40" s="2">
        <v>0.42</v>
      </c>
      <c r="K40" s="2">
        <v>0.41</v>
      </c>
      <c r="L40" s="2">
        <v>0.4</v>
      </c>
      <c r="M40" s="2">
        <v>0.41</v>
      </c>
      <c r="N40" s="2">
        <v>0.42</v>
      </c>
      <c r="O40" s="2">
        <v>0.45</v>
      </c>
      <c r="P40" s="2">
        <v>0.4</v>
      </c>
      <c r="Q40" s="2">
        <v>0.47</v>
      </c>
      <c r="R40" s="2">
        <v>0.45</v>
      </c>
      <c r="S40" s="2">
        <v>0.4</v>
      </c>
      <c r="T40" s="2">
        <v>0.4</v>
      </c>
      <c r="U40" s="2">
        <v>0.43</v>
      </c>
      <c r="V40" s="2">
        <v>0.47</v>
      </c>
      <c r="W40" s="2">
        <f>_xlfn.LET(_xlpm.d,$J40:$U40,GEOMEAN(_xlpm.d))</f>
        <v>0.42107371636501295</v>
      </c>
      <c r="X40" s="3">
        <f>RANK(Table19[geomean],W$2:W$55)</f>
        <v>39</v>
      </c>
    </row>
    <row r="41" spans="1:24" ht="25" hidden="1" customHeight="1">
      <c r="A41" t="s">
        <v>37</v>
      </c>
      <c r="B41">
        <v>3</v>
      </c>
      <c r="C41">
        <v>6</v>
      </c>
      <c r="D41">
        <v>3</v>
      </c>
      <c r="E41" t="s">
        <v>31</v>
      </c>
      <c r="F41" t="b">
        <v>1</v>
      </c>
      <c r="G41">
        <v>0</v>
      </c>
      <c r="H41" t="s">
        <v>24</v>
      </c>
      <c r="I41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cas-spl:T-mgv:6-sn:3k</v>
      </c>
      <c r="J41" s="2">
        <v>0.41</v>
      </c>
      <c r="K41" s="2">
        <v>0.41</v>
      </c>
      <c r="L41" s="2">
        <v>0.37</v>
      </c>
      <c r="M41" s="2">
        <v>0.46</v>
      </c>
      <c r="N41" s="2">
        <v>0.42</v>
      </c>
      <c r="O41" s="2">
        <v>0.41</v>
      </c>
      <c r="P41" s="2">
        <v>0.43</v>
      </c>
      <c r="Q41" s="2">
        <v>0.47</v>
      </c>
      <c r="R41" s="2">
        <v>0.39</v>
      </c>
      <c r="S41" s="2">
        <v>0.42</v>
      </c>
      <c r="T41" s="2">
        <v>0.44</v>
      </c>
      <c r="U41" s="2">
        <v>0.41</v>
      </c>
      <c r="V41" s="2">
        <v>0.47</v>
      </c>
      <c r="W41" s="2">
        <f>_xlfn.LET(_xlpm.d,$J41:$U41,GEOMEAN(_xlpm.d))</f>
        <v>0.4191695856915984</v>
      </c>
      <c r="X41" s="3">
        <f>RANK(Table19[geomean],W$2:W$55)</f>
        <v>40</v>
      </c>
    </row>
    <row r="42" spans="1:24" ht="25" hidden="1" customHeight="1">
      <c r="A42" t="s">
        <v>37</v>
      </c>
      <c r="B42">
        <v>2</v>
      </c>
      <c r="C42">
        <v>3</v>
      </c>
      <c r="D42">
        <v>3</v>
      </c>
      <c r="E42" t="s">
        <v>31</v>
      </c>
      <c r="F42" t="b">
        <v>1</v>
      </c>
      <c r="G42">
        <v>0</v>
      </c>
      <c r="H42" t="s">
        <v>24</v>
      </c>
      <c r="I42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cas-spl:T-mgv:3-sn:2k</v>
      </c>
      <c r="J42" s="2">
        <v>0.42</v>
      </c>
      <c r="K42" s="2">
        <v>0.4</v>
      </c>
      <c r="L42" s="2">
        <v>0.41</v>
      </c>
      <c r="M42" s="2">
        <v>0.43</v>
      </c>
      <c r="N42" s="2">
        <v>0.41</v>
      </c>
      <c r="O42" s="2">
        <v>0.41</v>
      </c>
      <c r="P42" s="2">
        <v>0.41</v>
      </c>
      <c r="Q42" s="2">
        <v>0.41</v>
      </c>
      <c r="R42" s="2">
        <v>0.41</v>
      </c>
      <c r="S42" s="2">
        <v>0.41</v>
      </c>
      <c r="T42" s="2">
        <v>0.45</v>
      </c>
      <c r="U42" s="2">
        <v>0.45</v>
      </c>
      <c r="V42" s="2">
        <v>0.45</v>
      </c>
      <c r="W42" s="2">
        <f>_xlfn.LET(_xlpm.d,$J42:$U42,GEOMEAN(_xlpm.d))</f>
        <v>0.41804607171887342</v>
      </c>
      <c r="X42" s="3">
        <f>RANK(Table19[geomean],W$2:W$55)</f>
        <v>41</v>
      </c>
    </row>
    <row r="43" spans="1:24" ht="25" hidden="1" customHeight="1">
      <c r="A43" t="s">
        <v>37</v>
      </c>
      <c r="B43">
        <v>3</v>
      </c>
      <c r="C43">
        <v>3</v>
      </c>
      <c r="D43">
        <v>3</v>
      </c>
      <c r="E43" t="s">
        <v>31</v>
      </c>
      <c r="F43" t="b">
        <v>0</v>
      </c>
      <c r="G43">
        <v>0</v>
      </c>
      <c r="H43" t="s">
        <v>24</v>
      </c>
      <c r="I43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cas-spl:F-mgv:3-sn:3k</v>
      </c>
      <c r="J43" s="2">
        <v>0.4</v>
      </c>
      <c r="K43" s="2">
        <v>0.38</v>
      </c>
      <c r="L43" s="2">
        <v>0.42</v>
      </c>
      <c r="M43" s="2">
        <v>0.46</v>
      </c>
      <c r="N43" s="2">
        <v>0.39</v>
      </c>
      <c r="O43" s="2">
        <v>0.4</v>
      </c>
      <c r="P43" s="2">
        <v>0.38</v>
      </c>
      <c r="Q43" s="2">
        <v>0.41</v>
      </c>
      <c r="R43" s="2">
        <v>0.42</v>
      </c>
      <c r="S43" s="2">
        <v>0.47</v>
      </c>
      <c r="T43" s="2">
        <v>0.44</v>
      </c>
      <c r="U43" s="2">
        <v>0.41</v>
      </c>
      <c r="V43" s="2">
        <v>0.47</v>
      </c>
      <c r="W43" s="2">
        <f>_xlfn.LET(_xlpm.d,$J43:$U43,GEOMEAN(_xlpm.d))</f>
        <v>0.41408916815574037</v>
      </c>
      <c r="X43" s="3">
        <f>RANK(Table19[geomean],W$2:W$55)</f>
        <v>42</v>
      </c>
    </row>
    <row r="44" spans="1:24" ht="25" hidden="1" customHeight="1">
      <c r="A44" t="s">
        <v>37</v>
      </c>
      <c r="B44">
        <v>2</v>
      </c>
      <c r="C44">
        <v>6</v>
      </c>
      <c r="D44">
        <v>3</v>
      </c>
      <c r="E44" t="s">
        <v>31</v>
      </c>
      <c r="F44" t="b">
        <v>1</v>
      </c>
      <c r="G44">
        <v>0</v>
      </c>
      <c r="H44" t="s">
        <v>24</v>
      </c>
      <c r="I44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cas-spl:T-mgv:6-sn:2k</v>
      </c>
      <c r="J44" s="1">
        <v>0.4</v>
      </c>
      <c r="K44" s="1">
        <v>0.43</v>
      </c>
      <c r="L44" s="1">
        <v>0.41</v>
      </c>
      <c r="M44" s="1">
        <v>0.39</v>
      </c>
      <c r="N44" s="1">
        <v>0.46</v>
      </c>
      <c r="O44" s="1">
        <v>0.42</v>
      </c>
      <c r="P44" s="1">
        <v>0.39</v>
      </c>
      <c r="Q44" s="1">
        <v>0.43</v>
      </c>
      <c r="R44" s="1">
        <v>0.38</v>
      </c>
      <c r="S44" s="1">
        <v>0.42</v>
      </c>
      <c r="T44" s="1">
        <v>0.45</v>
      </c>
      <c r="U44" s="1">
        <v>0.36</v>
      </c>
      <c r="V44" s="1">
        <v>0.46</v>
      </c>
      <c r="W44" s="2">
        <f>_xlfn.LET(_xlpm.d,$J44:$U44,GEOMEAN(_xlpm.d))</f>
        <v>0.41071328395900258</v>
      </c>
      <c r="X44" s="3">
        <f>RANK(Table19[geomean],W$2:W$55)</f>
        <v>43</v>
      </c>
    </row>
    <row r="45" spans="1:24" ht="25" hidden="1" customHeight="1">
      <c r="A45" t="s">
        <v>37</v>
      </c>
      <c r="B45">
        <v>2</v>
      </c>
      <c r="C45">
        <v>9</v>
      </c>
      <c r="D45">
        <v>3</v>
      </c>
      <c r="E45" t="s">
        <v>31</v>
      </c>
      <c r="F45" t="b">
        <v>0</v>
      </c>
      <c r="G45">
        <v>0</v>
      </c>
      <c r="H45" t="s">
        <v>24</v>
      </c>
      <c r="I45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cas-spl:F-mgv:9-sn:2k</v>
      </c>
      <c r="J45" s="1">
        <v>0.39</v>
      </c>
      <c r="K45" s="1">
        <v>0.38</v>
      </c>
      <c r="L45" s="1">
        <v>0.4</v>
      </c>
      <c r="M45" s="1">
        <v>0.41</v>
      </c>
      <c r="N45" s="1">
        <v>0.41</v>
      </c>
      <c r="O45" s="1">
        <v>0.47</v>
      </c>
      <c r="P45" s="1">
        <v>0.42</v>
      </c>
      <c r="Q45" s="1">
        <v>0.42</v>
      </c>
      <c r="R45" s="1">
        <v>0.41</v>
      </c>
      <c r="S45" s="1">
        <v>0.39</v>
      </c>
      <c r="T45" s="1">
        <v>0.39</v>
      </c>
      <c r="U45" s="1">
        <v>0.42</v>
      </c>
      <c r="V45" s="1">
        <v>0.47</v>
      </c>
      <c r="W45" s="2">
        <f>_xlfn.LET(_xlpm.d,$J45:$U45,GEOMEAN(_xlpm.d))</f>
        <v>0.40857290173720023</v>
      </c>
      <c r="X45" s="3">
        <f>RANK(Table19[geomean],W$2:W$55)</f>
        <v>44</v>
      </c>
    </row>
    <row r="46" spans="1:24" ht="25" hidden="1" customHeight="1">
      <c r="A46" t="s">
        <v>37</v>
      </c>
      <c r="B46">
        <v>1.2</v>
      </c>
      <c r="C46">
        <v>6</v>
      </c>
      <c r="D46">
        <v>3</v>
      </c>
      <c r="E46" t="s">
        <v>31</v>
      </c>
      <c r="F46" t="b">
        <v>1</v>
      </c>
      <c r="G46">
        <v>0</v>
      </c>
      <c r="H46" t="s">
        <v>24</v>
      </c>
      <c r="I46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cas-spl:T-mgv:6-sn:1.2k</v>
      </c>
      <c r="J46" s="2">
        <v>0.37</v>
      </c>
      <c r="K46" s="2">
        <v>0.43</v>
      </c>
      <c r="L46" s="2">
        <v>0.5</v>
      </c>
      <c r="M46" s="2">
        <v>0.33</v>
      </c>
      <c r="N46" s="2">
        <v>0.42</v>
      </c>
      <c r="O46" s="2">
        <v>0.46</v>
      </c>
      <c r="P46" s="2">
        <v>0.4</v>
      </c>
      <c r="Q46" s="2">
        <v>0.45</v>
      </c>
      <c r="R46" s="2">
        <v>0.39</v>
      </c>
      <c r="S46" s="2">
        <v>0.38</v>
      </c>
      <c r="T46" s="2">
        <v>0.38</v>
      </c>
      <c r="U46" s="2">
        <v>0.42</v>
      </c>
      <c r="V46" s="2">
        <v>0.5</v>
      </c>
      <c r="W46" s="2">
        <f>_xlfn.LET(_xlpm.d,$J46:$U46,GEOMEAN(_xlpm.d))</f>
        <v>0.40850079256167005</v>
      </c>
      <c r="X46" s="3">
        <f>RANK(Table19[geomean],W$2:W$55)</f>
        <v>45</v>
      </c>
    </row>
    <row r="47" spans="1:24" ht="25" hidden="1" customHeight="1">
      <c r="A47" t="s">
        <v>37</v>
      </c>
      <c r="B47">
        <v>3</v>
      </c>
      <c r="C47">
        <v>9</v>
      </c>
      <c r="D47">
        <v>3</v>
      </c>
      <c r="E47" t="s">
        <v>31</v>
      </c>
      <c r="F47" t="b">
        <v>0</v>
      </c>
      <c r="G47">
        <v>0</v>
      </c>
      <c r="H47" t="s">
        <v>24</v>
      </c>
      <c r="I47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cas-spl:F-mgv:9-sn:3k</v>
      </c>
      <c r="J47" s="2">
        <v>0.38</v>
      </c>
      <c r="K47" s="2">
        <v>0.43</v>
      </c>
      <c r="L47" s="2">
        <v>0.4</v>
      </c>
      <c r="M47" s="2">
        <v>0.42</v>
      </c>
      <c r="N47" s="2">
        <v>0.37</v>
      </c>
      <c r="O47" s="2">
        <v>0.42</v>
      </c>
      <c r="P47" s="2">
        <v>0.36</v>
      </c>
      <c r="Q47" s="2">
        <v>0.41</v>
      </c>
      <c r="R47" s="2">
        <v>0.42</v>
      </c>
      <c r="S47" s="2">
        <v>0.46</v>
      </c>
      <c r="T47" s="2">
        <v>0.41</v>
      </c>
      <c r="U47" s="2">
        <v>0.42</v>
      </c>
      <c r="V47" s="2">
        <v>0.5</v>
      </c>
      <c r="W47" s="2">
        <f>_xlfn.LET(_xlpm.d,$J47:$U47,GEOMEAN(_xlpm.d))</f>
        <v>0.40746932005288128</v>
      </c>
      <c r="X47" s="3">
        <f>RANK(Table19[geomean],W$2:W$55)</f>
        <v>46</v>
      </c>
    </row>
    <row r="48" spans="1:24" ht="25" hidden="1" customHeight="1">
      <c r="A48" t="s">
        <v>37</v>
      </c>
      <c r="B48">
        <v>3</v>
      </c>
      <c r="C48">
        <v>6</v>
      </c>
      <c r="D48">
        <v>3</v>
      </c>
      <c r="E48" t="s">
        <v>31</v>
      </c>
      <c r="F48" t="b">
        <v>0</v>
      </c>
      <c r="G48">
        <v>0</v>
      </c>
      <c r="H48" t="s">
        <v>24</v>
      </c>
      <c r="I48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cas-spl:F-mgv:6-sn:3k</v>
      </c>
      <c r="J48" s="2">
        <v>0.36</v>
      </c>
      <c r="K48" s="2">
        <v>0.4</v>
      </c>
      <c r="L48" s="2">
        <v>0.36</v>
      </c>
      <c r="M48" s="2">
        <v>0.43</v>
      </c>
      <c r="N48" s="2">
        <v>0.39</v>
      </c>
      <c r="O48" s="2">
        <v>0.4</v>
      </c>
      <c r="P48" s="2">
        <v>0.45</v>
      </c>
      <c r="Q48" s="2">
        <v>0.43</v>
      </c>
      <c r="R48" s="2">
        <v>0.41</v>
      </c>
      <c r="S48" s="2">
        <v>0.42</v>
      </c>
      <c r="T48" s="2">
        <v>0.41</v>
      </c>
      <c r="U48" s="2">
        <v>0.43</v>
      </c>
      <c r="V48" s="2">
        <v>0.45</v>
      </c>
      <c r="W48" s="2">
        <f>_xlfn.LET(_xlpm.d,$J48:$U48,GEOMEAN(_xlpm.d))</f>
        <v>0.40661685125630448</v>
      </c>
      <c r="X48" s="3">
        <f>RANK(Table19[geomean],W$2:W$55)</f>
        <v>47</v>
      </c>
    </row>
    <row r="49" spans="1:24" ht="25" hidden="1" customHeight="1">
      <c r="A49" t="s">
        <v>37</v>
      </c>
      <c r="B49">
        <v>2</v>
      </c>
      <c r="C49">
        <v>6</v>
      </c>
      <c r="D49">
        <v>3</v>
      </c>
      <c r="E49" t="s">
        <v>31</v>
      </c>
      <c r="F49" t="b">
        <v>0</v>
      </c>
      <c r="G49">
        <v>0</v>
      </c>
      <c r="H49" t="s">
        <v>24</v>
      </c>
      <c r="I49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cas-spl:F-mgv:6-sn:2k</v>
      </c>
      <c r="J49" s="2">
        <v>0.42</v>
      </c>
      <c r="K49" s="2">
        <v>0.43</v>
      </c>
      <c r="L49" s="2">
        <v>0.36</v>
      </c>
      <c r="M49" s="2">
        <v>0.4</v>
      </c>
      <c r="N49" s="2">
        <v>0.46</v>
      </c>
      <c r="O49" s="2">
        <v>0.4</v>
      </c>
      <c r="P49" s="2">
        <v>0.39</v>
      </c>
      <c r="Q49" s="2">
        <v>0.45</v>
      </c>
      <c r="R49" s="2">
        <v>0.35</v>
      </c>
      <c r="S49" s="2">
        <v>0.41</v>
      </c>
      <c r="T49" s="2">
        <v>0.46</v>
      </c>
      <c r="U49" s="2">
        <v>0.36</v>
      </c>
      <c r="V49" s="2">
        <v>0.46</v>
      </c>
      <c r="W49" s="2">
        <f>_xlfn.LET(_xlpm.d,$J49:$U49,GEOMEAN(_xlpm.d))</f>
        <v>0.40582670128130255</v>
      </c>
      <c r="X49" s="3">
        <f>RANK(Table19[geomean],W$2:W$55)</f>
        <v>48</v>
      </c>
    </row>
    <row r="50" spans="1:24" ht="25" hidden="1" customHeight="1">
      <c r="A50" t="s">
        <v>37</v>
      </c>
      <c r="B50">
        <v>1.2</v>
      </c>
      <c r="C50">
        <v>6</v>
      </c>
      <c r="D50">
        <v>3</v>
      </c>
      <c r="E50" t="s">
        <v>31</v>
      </c>
      <c r="F50" t="b">
        <v>0</v>
      </c>
      <c r="G50">
        <v>0</v>
      </c>
      <c r="H50" t="s">
        <v>24</v>
      </c>
      <c r="I50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cas-spl:F-mgv:6-sn:1.2k</v>
      </c>
      <c r="J50" s="1">
        <v>0.39</v>
      </c>
      <c r="K50" s="1">
        <v>0.39</v>
      </c>
      <c r="L50" s="1">
        <v>0.46</v>
      </c>
      <c r="M50" s="1">
        <v>0.38</v>
      </c>
      <c r="N50" s="1">
        <v>0.39</v>
      </c>
      <c r="O50" s="1">
        <v>0.42</v>
      </c>
      <c r="P50" s="1">
        <v>0.46</v>
      </c>
      <c r="Q50" s="1">
        <v>0.43</v>
      </c>
      <c r="R50" s="1">
        <v>0.36</v>
      </c>
      <c r="S50" s="1">
        <v>0.38</v>
      </c>
      <c r="T50" s="1">
        <v>0.36</v>
      </c>
      <c r="U50" s="1">
        <v>0.45</v>
      </c>
      <c r="V50" s="1">
        <v>0.46</v>
      </c>
      <c r="W50" s="2">
        <f>_xlfn.LET(_xlpm.d,$J50:$U50,GEOMEAN(_xlpm.d))</f>
        <v>0.40432847543555023</v>
      </c>
      <c r="X50" s="3">
        <f>RANK(Table19[geomean],W$2:W$55)</f>
        <v>49</v>
      </c>
    </row>
    <row r="51" spans="1:24" ht="25" hidden="1" customHeight="1">
      <c r="A51" t="s">
        <v>37</v>
      </c>
      <c r="B51">
        <v>2</v>
      </c>
      <c r="C51">
        <v>3</v>
      </c>
      <c r="D51">
        <v>3</v>
      </c>
      <c r="E51" t="s">
        <v>31</v>
      </c>
      <c r="F51" t="b">
        <v>0</v>
      </c>
      <c r="G51">
        <v>0</v>
      </c>
      <c r="H51" t="s">
        <v>24</v>
      </c>
      <c r="I51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cas-spl:F-mgv:3-sn:2k</v>
      </c>
      <c r="J51" s="1">
        <v>0.38</v>
      </c>
      <c r="K51" s="1">
        <v>0.36</v>
      </c>
      <c r="L51" s="1">
        <v>0.42</v>
      </c>
      <c r="M51" s="1">
        <v>0.44</v>
      </c>
      <c r="N51" s="1">
        <v>0.39</v>
      </c>
      <c r="O51" s="1">
        <v>0.42</v>
      </c>
      <c r="P51" s="1">
        <v>0.42</v>
      </c>
      <c r="Q51" s="1">
        <v>0.39</v>
      </c>
      <c r="R51" s="1">
        <v>0.4</v>
      </c>
      <c r="S51" s="1">
        <v>0.38</v>
      </c>
      <c r="T51" s="1">
        <v>0.38</v>
      </c>
      <c r="U51" s="1">
        <v>0.46</v>
      </c>
      <c r="V51" s="1">
        <v>0.46</v>
      </c>
      <c r="W51" s="2">
        <f>_xlfn.LET(_xlpm.d,$J51:$U51,GEOMEAN(_xlpm.d))</f>
        <v>0.40239268107345189</v>
      </c>
      <c r="X51" s="3">
        <f>RANK(Table19[geomean],W$2:W$55)</f>
        <v>50</v>
      </c>
    </row>
    <row r="52" spans="1:24" ht="25" hidden="1" customHeight="1">
      <c r="A52" t="s">
        <v>37</v>
      </c>
      <c r="B52">
        <v>1.2</v>
      </c>
      <c r="C52">
        <v>3</v>
      </c>
      <c r="D52">
        <v>3</v>
      </c>
      <c r="E52" t="s">
        <v>31</v>
      </c>
      <c r="F52" t="b">
        <v>1</v>
      </c>
      <c r="G52">
        <v>0</v>
      </c>
      <c r="H52" t="s">
        <v>24</v>
      </c>
      <c r="I52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cas-spl:T-mgv:3-sn:1.2k</v>
      </c>
      <c r="J52" s="2">
        <v>0.39</v>
      </c>
      <c r="K52" s="2">
        <v>0.43</v>
      </c>
      <c r="L52" s="2">
        <v>0.36</v>
      </c>
      <c r="M52" s="2">
        <v>0.43</v>
      </c>
      <c r="N52" s="2">
        <v>0.43</v>
      </c>
      <c r="O52" s="2">
        <v>0.38</v>
      </c>
      <c r="P52" s="2">
        <v>0.36</v>
      </c>
      <c r="Q52" s="2">
        <v>0.4</v>
      </c>
      <c r="R52" s="2">
        <v>0.4</v>
      </c>
      <c r="S52" s="2">
        <v>0.48</v>
      </c>
      <c r="T52" s="2">
        <v>0.41</v>
      </c>
      <c r="U52" s="2">
        <v>0.33</v>
      </c>
      <c r="V52" s="2">
        <v>0.48</v>
      </c>
      <c r="W52" s="2">
        <f>_xlfn.LET(_xlpm.d,$J52:$U52,GEOMEAN(_xlpm.d))</f>
        <v>0.39814671091775616</v>
      </c>
      <c r="X52" s="3">
        <f>RANK(Table19[geomean],W$2:W$55)</f>
        <v>51</v>
      </c>
    </row>
    <row r="53" spans="1:24" ht="25" hidden="1" customHeight="1">
      <c r="A53" t="s">
        <v>37</v>
      </c>
      <c r="B53">
        <v>1.2</v>
      </c>
      <c r="C53">
        <v>9</v>
      </c>
      <c r="D53">
        <v>3</v>
      </c>
      <c r="E53" t="s">
        <v>31</v>
      </c>
      <c r="F53" t="b">
        <v>0</v>
      </c>
      <c r="G53">
        <v>0</v>
      </c>
      <c r="H53" t="s">
        <v>24</v>
      </c>
      <c r="I53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cas-spl:F-mgv:9-sn:1.2k</v>
      </c>
      <c r="J53" s="2">
        <v>0.36</v>
      </c>
      <c r="K53" s="2">
        <v>0.42</v>
      </c>
      <c r="L53" s="2">
        <v>0.37</v>
      </c>
      <c r="M53" s="2">
        <v>0.43</v>
      </c>
      <c r="N53" s="2">
        <v>0.37</v>
      </c>
      <c r="O53" s="2">
        <v>0.37</v>
      </c>
      <c r="P53" s="2">
        <v>0.38</v>
      </c>
      <c r="Q53" s="2">
        <v>0.45</v>
      </c>
      <c r="R53" s="2">
        <v>0.32</v>
      </c>
      <c r="S53" s="2">
        <v>0.43</v>
      </c>
      <c r="T53" s="2">
        <v>0.44</v>
      </c>
      <c r="U53" s="2">
        <v>0.37</v>
      </c>
      <c r="V53" s="2">
        <v>0.45</v>
      </c>
      <c r="W53" s="2">
        <f>_xlfn.LET(_xlpm.d,$J53:$U53,GEOMEAN(_xlpm.d))</f>
        <v>0.39060805684398275</v>
      </c>
      <c r="X53" s="3">
        <f>RANK(Table19[geomean],W$2:W$55)</f>
        <v>52</v>
      </c>
    </row>
    <row r="54" spans="1:24" ht="25" hidden="1" customHeight="1">
      <c r="A54" t="s">
        <v>37</v>
      </c>
      <c r="B54">
        <v>1.2</v>
      </c>
      <c r="C54">
        <v>3</v>
      </c>
      <c r="D54">
        <v>3</v>
      </c>
      <c r="E54" t="s">
        <v>31</v>
      </c>
      <c r="F54" t="b">
        <v>0</v>
      </c>
      <c r="G54">
        <v>0</v>
      </c>
      <c r="H54" t="s">
        <v>24</v>
      </c>
      <c r="I54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cas-spl:F-mgv:3-sn:1.2k</v>
      </c>
      <c r="J54" s="2">
        <v>0.4</v>
      </c>
      <c r="K54" s="2">
        <v>0.38</v>
      </c>
      <c r="L54" s="2">
        <v>0.31</v>
      </c>
      <c r="M54" s="2">
        <v>0.42</v>
      </c>
      <c r="N54" s="2">
        <v>0.42</v>
      </c>
      <c r="O54" s="2">
        <v>0.42</v>
      </c>
      <c r="P54" s="2">
        <v>0.36</v>
      </c>
      <c r="Q54" s="2">
        <v>0.4</v>
      </c>
      <c r="R54" s="2">
        <v>0.37</v>
      </c>
      <c r="S54" s="2">
        <v>0.45</v>
      </c>
      <c r="T54" s="2">
        <v>0.42</v>
      </c>
      <c r="U54" s="2">
        <v>0.34</v>
      </c>
      <c r="V54" s="2">
        <v>0.45</v>
      </c>
      <c r="W54" s="2">
        <f>_xlfn.LET(_xlpm.d,$J54:$U54,GEOMEAN(_xlpm.d))</f>
        <v>0.38885543568454756</v>
      </c>
      <c r="X54" s="3">
        <f>RANK(Table19[geomean],W$2:W$55)</f>
        <v>53</v>
      </c>
    </row>
    <row r="55" spans="1:24" ht="25" hidden="1" customHeight="1">
      <c r="A55" t="s">
        <v>37</v>
      </c>
      <c r="B55">
        <v>1.2</v>
      </c>
      <c r="C55">
        <v>9</v>
      </c>
      <c r="D55">
        <v>3</v>
      </c>
      <c r="E55" t="s">
        <v>31</v>
      </c>
      <c r="F55" t="b">
        <v>1</v>
      </c>
      <c r="G55">
        <v>0</v>
      </c>
      <c r="H55" t="s">
        <v>24</v>
      </c>
      <c r="I55" t="str">
        <f>_xlfn.LET(_xlpm.sk,_xlfn.SINGLE(Table19[skippiness]),_xlpm.sn,_xlfn.SINGLE(Table19[sample.n]),_xlpm.mgv,_xlfn.SINGLE(Table19[mgv]),_xlpm.attr,_xlfn.SINGLE(Table19[attribute]),_xlpm.spl,_xlfn.SINGLE(Table19[supplemented]),_xlfn.TEXTJOIN({"-spl:","-mgv:","-sn:",""},TRUE,LEFT(_xlpm.attr,3),LEFT(_xlpm.spl,1),_xlpm.mgv,_xlpm.sn,"k"))</f>
        <v>cas-spl:T-mgv:9-sn:1.2k</v>
      </c>
      <c r="J55" s="2">
        <v>0.37</v>
      </c>
      <c r="K55" s="2">
        <v>0.35</v>
      </c>
      <c r="L55" s="2">
        <v>0.38</v>
      </c>
      <c r="M55" s="2">
        <v>0.47</v>
      </c>
      <c r="N55" s="2">
        <v>0.35</v>
      </c>
      <c r="O55" s="2">
        <v>0.33</v>
      </c>
      <c r="P55" s="2">
        <v>0.35</v>
      </c>
      <c r="Q55" s="2">
        <v>0.43</v>
      </c>
      <c r="R55" s="2">
        <v>0.32</v>
      </c>
      <c r="S55" s="2">
        <v>0.47</v>
      </c>
      <c r="T55" s="2">
        <v>0.46</v>
      </c>
      <c r="U55" s="2">
        <v>0.38</v>
      </c>
      <c r="V55" s="2">
        <v>0.47</v>
      </c>
      <c r="W55" s="2">
        <f>_xlfn.LET(_xlpm.d,$J55:$U55,GEOMEAN(_xlpm.d))</f>
        <v>0.38489143571381207</v>
      </c>
      <c r="X55" s="3">
        <f>RANK(Table19[geomean],W$2:W$55)</f>
        <v>54</v>
      </c>
    </row>
  </sheetData>
  <conditionalFormatting sqref="J2:V55">
    <cfRule type="colorScale" priority="4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W2:W55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CC11A-63D0-3F48-BDC7-CDEBC39AF28B}">
  <dimension ref="A1:S28"/>
  <sheetViews>
    <sheetView workbookViewId="0">
      <pane xSplit="10480" ySplit="2440" topLeftCell="H14" activePane="bottomRight"/>
      <selection activeCell="C17" sqref="C17"/>
      <selection pane="topRight" activeCell="P1" sqref="P1:R19"/>
      <selection pane="bottomLeft" activeCell="E10" sqref="E9:E10"/>
      <selection pane="bottomRight" activeCell="K18" sqref="K18"/>
    </sheetView>
  </sheetViews>
  <sheetFormatPr baseColWidth="10" defaultRowHeight="25" customHeight="1"/>
  <cols>
    <col min="2" max="2" width="7.375" customWidth="1"/>
    <col min="4" max="4" width="10.5" customWidth="1"/>
    <col min="5" max="5" width="7.375" customWidth="1"/>
    <col min="6" max="6" width="6.25" customWidth="1"/>
    <col min="7" max="25" width="9.125" customWidth="1"/>
  </cols>
  <sheetData>
    <row r="1" spans="1:19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21</v>
      </c>
      <c r="Q1" t="s">
        <v>22</v>
      </c>
      <c r="R1" t="s">
        <v>23</v>
      </c>
      <c r="S1" t="s">
        <v>24</v>
      </c>
    </row>
    <row r="2" spans="1:19" ht="25" customHeight="1">
      <c r="A2" t="s">
        <v>25</v>
      </c>
      <c r="B2">
        <v>1</v>
      </c>
      <c r="C2" t="s">
        <v>26</v>
      </c>
      <c r="D2" t="b">
        <v>1</v>
      </c>
      <c r="E2">
        <v>1</v>
      </c>
      <c r="F2" t="s">
        <v>27</v>
      </c>
      <c r="G2" s="1">
        <v>0.82</v>
      </c>
      <c r="H2" s="1">
        <v>0.83</v>
      </c>
      <c r="I2" s="1">
        <v>0.82</v>
      </c>
      <c r="J2" s="1">
        <v>0.73</v>
      </c>
      <c r="K2" s="1">
        <v>0.76</v>
      </c>
      <c r="L2" s="1">
        <v>0.78</v>
      </c>
      <c r="M2" s="1">
        <v>0.84</v>
      </c>
      <c r="N2" s="1">
        <v>0.82</v>
      </c>
      <c r="O2" s="1">
        <v>0.82</v>
      </c>
      <c r="P2" s="1">
        <v>0.78</v>
      </c>
      <c r="Q2" s="1">
        <v>0.77</v>
      </c>
      <c r="R2" s="1">
        <v>0.76</v>
      </c>
      <c r="S2" s="1">
        <f>MAX($G2:$R2)</f>
        <v>0.84</v>
      </c>
    </row>
    <row r="3" spans="1:19" ht="25" customHeight="1">
      <c r="A3" t="s">
        <v>25</v>
      </c>
      <c r="B3">
        <v>1</v>
      </c>
      <c r="C3" t="s">
        <v>26</v>
      </c>
      <c r="D3" t="b">
        <v>0</v>
      </c>
      <c r="E3">
        <v>1</v>
      </c>
      <c r="F3" t="s">
        <v>27</v>
      </c>
      <c r="G3" s="1">
        <v>0.8</v>
      </c>
      <c r="H3" s="1">
        <v>0.77</v>
      </c>
      <c r="I3" s="1">
        <v>0.78</v>
      </c>
      <c r="J3" s="1">
        <v>0.76</v>
      </c>
      <c r="K3" s="1">
        <v>0.78</v>
      </c>
      <c r="L3" s="1">
        <v>0.76</v>
      </c>
      <c r="M3" s="1">
        <v>0.76</v>
      </c>
      <c r="N3" s="1">
        <v>0.82</v>
      </c>
      <c r="O3" s="1">
        <v>0.78</v>
      </c>
      <c r="P3" s="1">
        <v>0.75</v>
      </c>
      <c r="Q3" s="1">
        <v>0.77</v>
      </c>
      <c r="R3" s="1">
        <v>0.77</v>
      </c>
      <c r="S3" s="1">
        <f>MAX($G3:$R3)</f>
        <v>0.82</v>
      </c>
    </row>
    <row r="4" spans="1:19" ht="25" customHeight="1">
      <c r="A4" t="s">
        <v>25</v>
      </c>
      <c r="B4">
        <v>1</v>
      </c>
      <c r="C4" t="s">
        <v>26</v>
      </c>
      <c r="D4" t="b">
        <v>0</v>
      </c>
      <c r="E4">
        <v>2</v>
      </c>
      <c r="F4" t="s">
        <v>28</v>
      </c>
      <c r="G4" s="1">
        <v>0.84</v>
      </c>
      <c r="H4" s="1">
        <v>0.83</v>
      </c>
      <c r="I4" s="1">
        <v>0.83</v>
      </c>
      <c r="J4" s="1">
        <v>0.8</v>
      </c>
      <c r="K4" s="1">
        <v>0.8</v>
      </c>
      <c r="L4" s="1">
        <v>0.8</v>
      </c>
      <c r="M4" s="1">
        <v>0.85</v>
      </c>
      <c r="N4" s="1">
        <v>0.86</v>
      </c>
      <c r="O4" s="1">
        <v>0.81</v>
      </c>
      <c r="P4" s="1">
        <v>0.84</v>
      </c>
      <c r="Q4" s="1">
        <v>0.8</v>
      </c>
      <c r="R4" s="1">
        <v>0.83</v>
      </c>
      <c r="S4" s="1">
        <f>MAX($G4:$R4)</f>
        <v>0.86</v>
      </c>
    </row>
    <row r="5" spans="1:19" ht="25" customHeight="1">
      <c r="A5" t="s">
        <v>25</v>
      </c>
      <c r="B5">
        <v>1</v>
      </c>
      <c r="C5" t="s">
        <v>26</v>
      </c>
      <c r="D5" t="b">
        <v>1</v>
      </c>
      <c r="E5">
        <v>2</v>
      </c>
      <c r="F5" t="s">
        <v>28</v>
      </c>
      <c r="G5" s="1">
        <v>0.87</v>
      </c>
      <c r="H5" s="1">
        <v>0.84</v>
      </c>
      <c r="I5" s="1">
        <v>0.88</v>
      </c>
      <c r="J5" s="1">
        <v>0.85</v>
      </c>
      <c r="K5" s="1">
        <v>0.82</v>
      </c>
      <c r="L5" s="1">
        <v>0.81</v>
      </c>
      <c r="M5" s="1">
        <v>0.87</v>
      </c>
      <c r="N5" s="1">
        <v>0.89</v>
      </c>
      <c r="O5" s="1">
        <v>0.82</v>
      </c>
      <c r="P5" s="1">
        <v>0.79</v>
      </c>
      <c r="Q5" s="1">
        <v>0.8</v>
      </c>
      <c r="R5" s="1">
        <v>0.83</v>
      </c>
      <c r="S5" s="1">
        <f>MAX($G5:$R5)</f>
        <v>0.89</v>
      </c>
    </row>
    <row r="6" spans="1:19" ht="25" customHeight="1">
      <c r="A6" t="s">
        <v>25</v>
      </c>
      <c r="B6">
        <v>1</v>
      </c>
      <c r="C6" t="s">
        <v>26</v>
      </c>
      <c r="D6" t="b">
        <v>0</v>
      </c>
      <c r="E6">
        <v>3</v>
      </c>
      <c r="F6" t="s">
        <v>29</v>
      </c>
      <c r="G6" s="1">
        <v>0.82</v>
      </c>
      <c r="H6" s="1">
        <v>0.82</v>
      </c>
      <c r="I6" s="1">
        <v>0.82</v>
      </c>
      <c r="J6" s="1">
        <v>0.8</v>
      </c>
      <c r="K6" s="1">
        <v>0.78</v>
      </c>
      <c r="L6" s="1">
        <v>0.78</v>
      </c>
      <c r="M6" s="1">
        <v>0.81</v>
      </c>
      <c r="N6" s="1">
        <v>0.8</v>
      </c>
      <c r="O6" s="1">
        <v>0.77</v>
      </c>
      <c r="P6" s="1">
        <v>0.8</v>
      </c>
      <c r="Q6" s="1">
        <v>0.78</v>
      </c>
      <c r="R6" s="1">
        <v>0.8</v>
      </c>
      <c r="S6" s="1">
        <f>MAX($G6:$R6)</f>
        <v>0.82</v>
      </c>
    </row>
    <row r="7" spans="1:19" ht="25" customHeight="1">
      <c r="A7" t="s">
        <v>25</v>
      </c>
      <c r="B7">
        <v>1</v>
      </c>
      <c r="C7" t="s">
        <v>26</v>
      </c>
      <c r="D7" t="b">
        <v>1</v>
      </c>
      <c r="E7">
        <v>3</v>
      </c>
      <c r="F7" t="s">
        <v>29</v>
      </c>
      <c r="G7" s="1">
        <v>0.86</v>
      </c>
      <c r="H7" s="1">
        <v>0.83</v>
      </c>
      <c r="I7" s="1">
        <v>0.84</v>
      </c>
      <c r="J7" s="1">
        <v>0.82</v>
      </c>
      <c r="K7" s="1">
        <v>0.78</v>
      </c>
      <c r="L7" s="1">
        <v>0.8</v>
      </c>
      <c r="M7" s="1">
        <v>0.83</v>
      </c>
      <c r="N7" s="1">
        <v>0.84</v>
      </c>
      <c r="O7" s="1">
        <v>0.8</v>
      </c>
      <c r="P7" s="1">
        <v>0.86</v>
      </c>
      <c r="Q7" s="1">
        <v>0.77</v>
      </c>
      <c r="R7" s="1">
        <v>0.78</v>
      </c>
      <c r="S7" s="1">
        <f>MAX($G7:$R7)</f>
        <v>0.86</v>
      </c>
    </row>
    <row r="8" spans="1:19" ht="25" customHeight="1">
      <c r="A8" t="s">
        <v>25</v>
      </c>
      <c r="B8">
        <v>2</v>
      </c>
      <c r="C8" t="s">
        <v>30</v>
      </c>
      <c r="D8" t="b">
        <v>0</v>
      </c>
      <c r="E8">
        <v>1</v>
      </c>
      <c r="F8" t="s">
        <v>27</v>
      </c>
      <c r="G8" s="1">
        <v>0.51</v>
      </c>
      <c r="H8" s="1">
        <v>0.49</v>
      </c>
      <c r="I8" s="1">
        <v>0.54</v>
      </c>
      <c r="J8" s="1">
        <v>0.49</v>
      </c>
      <c r="K8" s="1">
        <v>0.48</v>
      </c>
      <c r="L8" s="1">
        <v>0.49</v>
      </c>
      <c r="M8" s="1">
        <v>0.47</v>
      </c>
      <c r="N8" s="1">
        <v>0.56000000000000005</v>
      </c>
      <c r="O8" s="1">
        <v>0.53</v>
      </c>
      <c r="P8" s="1">
        <v>0.51</v>
      </c>
      <c r="Q8" s="1">
        <v>0.47</v>
      </c>
      <c r="R8" s="1">
        <v>0.45</v>
      </c>
      <c r="S8" s="1">
        <f>MAX($G8:$R8)</f>
        <v>0.56000000000000005</v>
      </c>
    </row>
    <row r="9" spans="1:19" ht="25" customHeight="1">
      <c r="A9" t="s">
        <v>25</v>
      </c>
      <c r="B9">
        <v>2</v>
      </c>
      <c r="C9" t="s">
        <v>30</v>
      </c>
      <c r="D9" t="b">
        <v>0</v>
      </c>
      <c r="E9">
        <v>2</v>
      </c>
      <c r="F9" t="s">
        <v>28</v>
      </c>
      <c r="G9" s="1">
        <v>0.55000000000000004</v>
      </c>
      <c r="H9" s="1">
        <v>0.62</v>
      </c>
      <c r="I9" s="1">
        <v>0.55000000000000004</v>
      </c>
      <c r="J9" s="1">
        <v>0.56999999999999995</v>
      </c>
      <c r="K9" s="1">
        <v>0.55000000000000004</v>
      </c>
      <c r="L9" s="1">
        <v>0.55000000000000004</v>
      </c>
      <c r="M9" s="1">
        <v>0.56000000000000005</v>
      </c>
      <c r="N9" s="1">
        <v>0.62</v>
      </c>
      <c r="O9" s="1">
        <v>0.6</v>
      </c>
      <c r="P9" s="1">
        <v>0.56000000000000005</v>
      </c>
      <c r="Q9" s="1">
        <v>0.56999999999999995</v>
      </c>
      <c r="R9" s="1">
        <v>0.52</v>
      </c>
      <c r="S9" s="1">
        <f>MAX($G9:$R9)</f>
        <v>0.62</v>
      </c>
    </row>
    <row r="10" spans="1:19" ht="25" customHeight="1">
      <c r="A10" t="s">
        <v>25</v>
      </c>
      <c r="B10">
        <v>2</v>
      </c>
      <c r="C10" t="s">
        <v>30</v>
      </c>
      <c r="D10" t="b">
        <v>0</v>
      </c>
      <c r="E10">
        <v>3</v>
      </c>
      <c r="F10" t="s">
        <v>29</v>
      </c>
      <c r="G10" s="1">
        <v>0.56000000000000005</v>
      </c>
      <c r="H10" s="1">
        <v>0.59</v>
      </c>
      <c r="I10" s="1">
        <v>0.63</v>
      </c>
      <c r="J10" s="1">
        <v>0.56000000000000005</v>
      </c>
      <c r="K10" s="1">
        <v>0.59</v>
      </c>
      <c r="L10" s="1">
        <v>0.56999999999999995</v>
      </c>
      <c r="M10" s="1">
        <v>0.55000000000000004</v>
      </c>
      <c r="N10" s="1">
        <v>0.61</v>
      </c>
      <c r="O10" s="1">
        <v>0.59</v>
      </c>
      <c r="P10" s="1">
        <v>0.55000000000000004</v>
      </c>
      <c r="Q10" s="1">
        <v>0.6</v>
      </c>
      <c r="R10" s="1">
        <v>0.65</v>
      </c>
      <c r="S10" s="1">
        <f>MAX($G10:$R10)</f>
        <v>0.65</v>
      </c>
    </row>
    <row r="11" spans="1:19" ht="25" customHeight="1">
      <c r="A11" t="s">
        <v>25</v>
      </c>
      <c r="B11">
        <v>2</v>
      </c>
      <c r="C11" t="s">
        <v>30</v>
      </c>
      <c r="D11" t="b">
        <v>1</v>
      </c>
      <c r="E11">
        <v>2</v>
      </c>
      <c r="F11" t="s">
        <v>28</v>
      </c>
      <c r="G11" s="1">
        <v>0.62</v>
      </c>
      <c r="H11" s="1">
        <v>0.56999999999999995</v>
      </c>
      <c r="I11" s="1">
        <v>0.6</v>
      </c>
      <c r="J11" s="1">
        <v>0.63</v>
      </c>
      <c r="K11" s="1">
        <v>0.59</v>
      </c>
      <c r="L11" s="1">
        <v>0.55000000000000004</v>
      </c>
      <c r="M11" s="1">
        <v>0.56000000000000005</v>
      </c>
      <c r="N11" s="1">
        <v>0.63</v>
      </c>
      <c r="O11" s="1">
        <v>0.57999999999999996</v>
      </c>
      <c r="P11" s="1">
        <v>0.59</v>
      </c>
      <c r="Q11" s="1">
        <v>0.59</v>
      </c>
      <c r="R11" s="1">
        <v>0.53</v>
      </c>
      <c r="S11" s="1">
        <f>MAX($G11:$R11)</f>
        <v>0.63</v>
      </c>
    </row>
    <row r="12" spans="1:19" ht="25" customHeight="1">
      <c r="A12" t="s">
        <v>25</v>
      </c>
      <c r="B12">
        <v>2</v>
      </c>
      <c r="C12" t="s">
        <v>30</v>
      </c>
      <c r="D12" t="b">
        <v>1</v>
      </c>
      <c r="E12">
        <v>3</v>
      </c>
      <c r="F12" t="s">
        <v>29</v>
      </c>
      <c r="G12" s="1">
        <v>0.56999999999999995</v>
      </c>
      <c r="H12" s="1">
        <v>0.62</v>
      </c>
      <c r="I12" s="1">
        <v>0.6</v>
      </c>
      <c r="J12" s="1">
        <v>0.59</v>
      </c>
      <c r="K12" s="1">
        <v>0.56999999999999995</v>
      </c>
      <c r="L12" s="1">
        <v>0.55000000000000004</v>
      </c>
      <c r="M12" s="1">
        <v>0.56000000000000005</v>
      </c>
      <c r="N12" s="1">
        <v>0.59</v>
      </c>
      <c r="O12" s="1">
        <v>0.59</v>
      </c>
      <c r="P12" s="1">
        <v>0.56999999999999995</v>
      </c>
      <c r="Q12" s="1">
        <v>0.59</v>
      </c>
      <c r="R12" s="1">
        <v>0.59</v>
      </c>
      <c r="S12" s="1">
        <f>MAX($G12:$R12)</f>
        <v>0.62</v>
      </c>
    </row>
    <row r="13" spans="1:19" ht="25" customHeight="1">
      <c r="A13" t="s">
        <v>25</v>
      </c>
      <c r="B13">
        <v>2</v>
      </c>
      <c r="C13" t="s">
        <v>30</v>
      </c>
      <c r="D13" t="b">
        <v>1</v>
      </c>
      <c r="E13">
        <v>1</v>
      </c>
      <c r="F13" t="s">
        <v>27</v>
      </c>
      <c r="G13" s="1">
        <v>0.53</v>
      </c>
      <c r="H13" s="1">
        <v>0.52</v>
      </c>
      <c r="I13" s="1">
        <v>0.5</v>
      </c>
      <c r="J13" s="1">
        <v>0.55000000000000004</v>
      </c>
      <c r="K13" s="1">
        <v>0.53</v>
      </c>
      <c r="L13" s="1">
        <v>0.48</v>
      </c>
      <c r="M13" s="1">
        <v>0.51</v>
      </c>
      <c r="N13" s="1">
        <v>0.55000000000000004</v>
      </c>
      <c r="O13" s="1">
        <v>0.48</v>
      </c>
      <c r="P13" s="1">
        <v>0.51</v>
      </c>
      <c r="Q13" s="1">
        <v>0.51</v>
      </c>
      <c r="R13" s="1">
        <v>0.49</v>
      </c>
      <c r="S13" s="1">
        <f>MAX($G13:$R13)</f>
        <v>0.55000000000000004</v>
      </c>
    </row>
    <row r="14" spans="1:19" ht="25" customHeight="1">
      <c r="A14" t="s">
        <v>25</v>
      </c>
      <c r="B14">
        <v>3</v>
      </c>
      <c r="C14" t="s">
        <v>31</v>
      </c>
      <c r="D14" t="b">
        <v>1</v>
      </c>
      <c r="E14">
        <v>3</v>
      </c>
      <c r="F14" t="s">
        <v>29</v>
      </c>
      <c r="G14" s="1">
        <v>0.37</v>
      </c>
      <c r="H14" s="1">
        <v>0.36</v>
      </c>
      <c r="I14" s="1">
        <v>0.4</v>
      </c>
      <c r="J14" s="1">
        <v>0.35</v>
      </c>
      <c r="K14" s="1">
        <v>0.3</v>
      </c>
      <c r="L14" s="1">
        <v>0.35</v>
      </c>
      <c r="M14" s="1">
        <v>0.4</v>
      </c>
      <c r="N14" s="1">
        <v>0.35</v>
      </c>
      <c r="O14" s="1">
        <v>0.32</v>
      </c>
      <c r="P14" s="1">
        <v>0.39</v>
      </c>
      <c r="Q14" s="1">
        <v>0.34</v>
      </c>
      <c r="R14" s="1">
        <v>0.38</v>
      </c>
      <c r="S14" s="1">
        <f>MAX($G14:$R14)</f>
        <v>0.4</v>
      </c>
    </row>
    <row r="15" spans="1:19" ht="25" customHeight="1">
      <c r="A15" t="s">
        <v>25</v>
      </c>
      <c r="B15">
        <v>3</v>
      </c>
      <c r="C15" t="s">
        <v>31</v>
      </c>
      <c r="D15" t="b">
        <v>1</v>
      </c>
      <c r="E15">
        <v>1</v>
      </c>
      <c r="F15" t="s">
        <v>27</v>
      </c>
      <c r="G15" s="1">
        <v>0.38</v>
      </c>
      <c r="H15" s="1">
        <v>0.4</v>
      </c>
      <c r="I15" s="1">
        <v>0.4</v>
      </c>
      <c r="J15" s="1">
        <v>0.4</v>
      </c>
      <c r="K15" s="1">
        <v>0.36</v>
      </c>
      <c r="L15" s="1">
        <v>0.4</v>
      </c>
      <c r="M15" s="1">
        <v>0.41</v>
      </c>
      <c r="N15" s="1">
        <v>0.38</v>
      </c>
      <c r="O15" s="1">
        <v>0.37</v>
      </c>
      <c r="P15" s="1">
        <v>0.4</v>
      </c>
      <c r="Q15" s="1">
        <v>0.37</v>
      </c>
      <c r="R15" s="1">
        <v>0.38</v>
      </c>
      <c r="S15" s="1">
        <f>MAX($G15:$R15)</f>
        <v>0.41</v>
      </c>
    </row>
    <row r="16" spans="1:19" ht="25" customHeight="1">
      <c r="A16" t="s">
        <v>25</v>
      </c>
      <c r="B16">
        <v>3</v>
      </c>
      <c r="C16" t="s">
        <v>31</v>
      </c>
      <c r="D16" t="b">
        <v>1</v>
      </c>
      <c r="E16">
        <v>2</v>
      </c>
      <c r="F16" t="s">
        <v>28</v>
      </c>
      <c r="G16" s="1">
        <v>0.39</v>
      </c>
      <c r="H16" s="1">
        <v>0.44</v>
      </c>
      <c r="I16" s="1">
        <v>0.42</v>
      </c>
      <c r="J16" s="1">
        <v>0.46</v>
      </c>
      <c r="K16" s="1">
        <v>0.38</v>
      </c>
      <c r="L16" s="1">
        <v>0.44</v>
      </c>
      <c r="M16" s="1">
        <v>0.39</v>
      </c>
      <c r="N16" s="1">
        <v>0.45</v>
      </c>
      <c r="O16" s="1">
        <v>0.4</v>
      </c>
      <c r="P16" s="1">
        <v>0.44</v>
      </c>
      <c r="Q16" s="1">
        <v>0.43</v>
      </c>
      <c r="R16" s="1">
        <v>0.42</v>
      </c>
      <c r="S16" s="1">
        <f>MAX($G16:$R16)</f>
        <v>0.46</v>
      </c>
    </row>
    <row r="17" spans="1:19" ht="25" customHeight="1">
      <c r="A17" t="s">
        <v>25</v>
      </c>
      <c r="B17">
        <v>3</v>
      </c>
      <c r="C17" t="s">
        <v>31</v>
      </c>
      <c r="D17" t="b">
        <v>0</v>
      </c>
      <c r="E17">
        <v>2</v>
      </c>
      <c r="F17" t="s">
        <v>28</v>
      </c>
      <c r="G17" s="1">
        <v>0.37</v>
      </c>
      <c r="H17" s="1">
        <v>0.43</v>
      </c>
      <c r="I17" s="1">
        <v>0.39</v>
      </c>
      <c r="J17" s="1">
        <v>0.42</v>
      </c>
      <c r="K17" s="1">
        <v>0.37</v>
      </c>
      <c r="L17" s="1">
        <v>0.42</v>
      </c>
      <c r="M17" s="1">
        <v>0.36</v>
      </c>
      <c r="N17" s="1">
        <v>0.41</v>
      </c>
      <c r="O17" s="1">
        <v>0.42</v>
      </c>
      <c r="P17" s="1">
        <v>0.46</v>
      </c>
      <c r="Q17" s="1">
        <v>0.41</v>
      </c>
      <c r="R17" s="1">
        <v>0.42</v>
      </c>
      <c r="S17" s="1">
        <f>MAX($G17:$R17)</f>
        <v>0.46</v>
      </c>
    </row>
    <row r="18" spans="1:19" ht="25" customHeight="1">
      <c r="A18" t="s">
        <v>25</v>
      </c>
      <c r="B18">
        <v>3</v>
      </c>
      <c r="C18" t="s">
        <v>31</v>
      </c>
      <c r="D18" t="b">
        <v>0</v>
      </c>
      <c r="E18">
        <v>1</v>
      </c>
      <c r="F18" t="s">
        <v>27</v>
      </c>
      <c r="G18" s="1">
        <v>0.36</v>
      </c>
      <c r="H18" s="1">
        <v>0.35</v>
      </c>
      <c r="I18" s="1">
        <v>0.4</v>
      </c>
      <c r="J18" s="1">
        <v>0.35</v>
      </c>
      <c r="K18" s="1">
        <v>0.35</v>
      </c>
      <c r="L18" s="1">
        <v>0.4</v>
      </c>
      <c r="M18" s="1">
        <v>0.36</v>
      </c>
      <c r="N18" s="1">
        <v>0.4</v>
      </c>
      <c r="O18" s="1">
        <v>0.34</v>
      </c>
      <c r="P18" s="1">
        <v>0.38</v>
      </c>
      <c r="Q18" s="1">
        <v>0.36</v>
      </c>
      <c r="R18" s="1">
        <v>0.37</v>
      </c>
      <c r="S18" s="1">
        <f>MAX($G18:$R18)</f>
        <v>0.4</v>
      </c>
    </row>
    <row r="19" spans="1:19" ht="25" customHeight="1">
      <c r="A19" t="s">
        <v>25</v>
      </c>
      <c r="B19">
        <v>3</v>
      </c>
      <c r="C19" t="s">
        <v>31</v>
      </c>
      <c r="D19" t="b">
        <v>0</v>
      </c>
      <c r="E19">
        <v>3</v>
      </c>
      <c r="F19" t="s">
        <v>29</v>
      </c>
      <c r="G19" s="1">
        <v>0.38</v>
      </c>
      <c r="H19" s="1">
        <v>0.33</v>
      </c>
      <c r="I19" s="1">
        <v>0.37</v>
      </c>
      <c r="J19" s="1">
        <v>0.37</v>
      </c>
      <c r="K19" s="1">
        <v>0.3</v>
      </c>
      <c r="L19" s="1">
        <v>0.35</v>
      </c>
      <c r="M19" s="1">
        <v>0.32</v>
      </c>
      <c r="N19" s="1">
        <v>0.39</v>
      </c>
      <c r="O19" s="1">
        <v>0.38</v>
      </c>
      <c r="P19" s="1">
        <v>0.4</v>
      </c>
      <c r="Q19" s="1">
        <v>0.37</v>
      </c>
      <c r="R19" s="1">
        <v>0.39</v>
      </c>
      <c r="S19" s="1">
        <f>MAX($G19:$R19)</f>
        <v>0.4</v>
      </c>
    </row>
    <row r="22" spans="1:19" ht="25" customHeight="1">
      <c r="B22" t="s">
        <v>1</v>
      </c>
      <c r="C22" t="s">
        <v>2</v>
      </c>
      <c r="D22" t="s">
        <v>32</v>
      </c>
      <c r="E22" t="s">
        <v>4</v>
      </c>
      <c r="F22" t="s">
        <v>33</v>
      </c>
      <c r="G22" t="s">
        <v>6</v>
      </c>
      <c r="H22" t="s">
        <v>7</v>
      </c>
      <c r="I22" t="s">
        <v>8</v>
      </c>
      <c r="J22" t="s">
        <v>12</v>
      </c>
      <c r="K22" t="s">
        <v>13</v>
      </c>
      <c r="L22" t="s">
        <v>14</v>
      </c>
      <c r="M22" t="s">
        <v>15</v>
      </c>
      <c r="N22" t="s">
        <v>16</v>
      </c>
      <c r="O22" t="s">
        <v>17</v>
      </c>
      <c r="P22" t="s">
        <v>21</v>
      </c>
      <c r="Q22" t="s">
        <v>22</v>
      </c>
      <c r="R22" t="s">
        <v>23</v>
      </c>
      <c r="S22" t="s">
        <v>24</v>
      </c>
    </row>
    <row r="23" spans="1:19" ht="25" customHeight="1">
      <c r="B23">
        <v>1</v>
      </c>
      <c r="C23" t="s">
        <v>26</v>
      </c>
      <c r="D23" t="b">
        <v>1</v>
      </c>
      <c r="E23">
        <v>0</v>
      </c>
      <c r="F23" t="s">
        <v>24</v>
      </c>
      <c r="G23" s="1" cm="1">
        <f t="array" ref="G23">_xlfn.LET(_xlpm.d,G$2:G$19,_xlpm.a,$C$2:$C$19=$C23,_xlpm.b,$D$2:$D$19=$D23,MAX(_xlfn._xlws.FILTER(_xlpm.d,_xlpm.a*_xlpm.b)))</f>
        <v>0.87</v>
      </c>
      <c r="H23" s="1" cm="1">
        <f t="array" ref="H23">_xlfn.LET(_xlpm.d,H$2:H$19,_xlpm.a,$C$2:$C$19=$C23,_xlpm.b,$D$2:$D$19=$D23,MAX(_xlfn._xlws.FILTER(_xlpm.d,_xlpm.a*_xlpm.b)))</f>
        <v>0.84</v>
      </c>
      <c r="I23" s="1" cm="1">
        <f t="array" ref="I23">_xlfn.LET(_xlpm.d,I$2:I$19,_xlpm.a,$C$2:$C$19=$C23,_xlpm.b,$D$2:$D$19=$D23,MAX(_xlfn._xlws.FILTER(_xlpm.d,_xlpm.a*_xlpm.b)))</f>
        <v>0.88</v>
      </c>
      <c r="J23" s="1" cm="1">
        <f t="array" ref="J23">_xlfn.LET(_xlpm.d,J$2:J$19,_xlpm.a,$C$2:$C$19=$C23,_xlpm.b,$D$2:$D$19=$D23,MAX(_xlfn._xlws.FILTER(_xlpm.d,_xlpm.a*_xlpm.b)))</f>
        <v>0.85</v>
      </c>
      <c r="K23" s="1" cm="1">
        <f t="array" ref="K23">_xlfn.LET(_xlpm.d,K$2:K$19,_xlpm.a,$C$2:$C$19=$C23,_xlpm.b,$D$2:$D$19=$D23,MAX(_xlfn._xlws.FILTER(_xlpm.d,_xlpm.a*_xlpm.b)))</f>
        <v>0.82</v>
      </c>
      <c r="L23" s="1" cm="1">
        <f t="array" ref="L23">_xlfn.LET(_xlpm.d,L$2:L$19,_xlpm.a,$C$2:$C$19=$C23,_xlpm.b,$D$2:$D$19=$D23,MAX(_xlfn._xlws.FILTER(_xlpm.d,_xlpm.a*_xlpm.b)))</f>
        <v>0.81</v>
      </c>
      <c r="M23" s="1" cm="1">
        <f t="array" ref="M23">_xlfn.LET(_xlpm.d,M$2:M$19,_xlpm.a,$C$2:$C$19=$C23,_xlpm.b,$D$2:$D$19=$D23,MAX(_xlfn._xlws.FILTER(_xlpm.d,_xlpm.a*_xlpm.b)))</f>
        <v>0.87</v>
      </c>
      <c r="N23" s="1" cm="1">
        <f t="array" ref="N23">_xlfn.LET(_xlpm.d,N$2:N$19,_xlpm.a,$C$2:$C$19=$C23,_xlpm.b,$D$2:$D$19=$D23,MAX(_xlfn._xlws.FILTER(_xlpm.d,_xlpm.a*_xlpm.b)))</f>
        <v>0.89</v>
      </c>
      <c r="O23" s="1" cm="1">
        <f t="array" ref="O23">_xlfn.LET(_xlpm.d,O$2:O$19,_xlpm.a,$C$2:$C$19=$C23,_xlpm.b,$D$2:$D$19=$D23,MAX(_xlfn._xlws.FILTER(_xlpm.d,_xlpm.a*_xlpm.b)))</f>
        <v>0.82</v>
      </c>
      <c r="P23" s="1" cm="1">
        <f t="array" ref="P23">_xlfn.LET(_xlpm.d,P$2:P$19,_xlpm.a,$C$2:$C$19=$C23,_xlpm.b,$D$2:$D$19=$D23,MAX(_xlfn._xlws.FILTER(_xlpm.d,_xlpm.a*_xlpm.b)))</f>
        <v>0.86</v>
      </c>
      <c r="Q23" s="1" cm="1">
        <f t="array" ref="Q23">_xlfn.LET(_xlpm.d,Q$2:Q$19,_xlpm.a,$C$2:$C$19=$C23,_xlpm.b,$D$2:$D$19=$D23,MAX(_xlfn._xlws.FILTER(_xlpm.d,_xlpm.a*_xlpm.b)))</f>
        <v>0.8</v>
      </c>
      <c r="R23" s="1" cm="1">
        <f t="array" ref="R23">_xlfn.LET(_xlpm.d,R$2:R$19,_xlpm.a,$C$2:$C$19=$C23,_xlpm.b,$D$2:$D$19=$D23,MAX(_xlfn._xlws.FILTER(_xlpm.d,_xlpm.a*_xlpm.b)))</f>
        <v>0.83</v>
      </c>
      <c r="S23" s="1" cm="1">
        <f t="array" ref="S23">_xlfn.LET(_xlpm.d,S$2:S$19,_xlpm.a,$C$2:$C$19=$C23,_xlpm.b,$D$2:$D$19=$D23,MAX(_xlfn._xlws.FILTER(_xlpm.d,_xlpm.a*_xlpm.b)))</f>
        <v>0.89</v>
      </c>
    </row>
    <row r="24" spans="1:19" ht="25" customHeight="1">
      <c r="B24">
        <v>1</v>
      </c>
      <c r="C24" t="s">
        <v>26</v>
      </c>
      <c r="D24" t="b">
        <v>0</v>
      </c>
      <c r="E24">
        <v>0</v>
      </c>
      <c r="F24" t="s">
        <v>24</v>
      </c>
      <c r="G24" s="1" cm="1">
        <f t="array" ref="G24">_xlfn.LET(_xlpm.d,G$2:G$19,_xlpm.a,$C$2:$C$19=$C24,_xlpm.b,$D$2:$D$19=$D24,MAX(_xlfn._xlws.FILTER(_xlpm.d,_xlpm.a*_xlpm.b)))</f>
        <v>0.84</v>
      </c>
      <c r="H24" s="1" cm="1">
        <f t="array" ref="H24">_xlfn.LET(_xlpm.d,H$2:H$19,_xlpm.a,$C$2:$C$19=$C24,_xlpm.b,$D$2:$D$19=$D24,MAX(_xlfn._xlws.FILTER(_xlpm.d,_xlpm.a*_xlpm.b)))</f>
        <v>0.83</v>
      </c>
      <c r="I24" s="1" cm="1">
        <f t="array" ref="I24">_xlfn.LET(_xlpm.d,I$2:I$19,_xlpm.a,$C$2:$C$19=$C24,_xlpm.b,$D$2:$D$19=$D24,MAX(_xlfn._xlws.FILTER(_xlpm.d,_xlpm.a*_xlpm.b)))</f>
        <v>0.83</v>
      </c>
      <c r="J24" s="1" cm="1">
        <f t="array" ref="J24">_xlfn.LET(_xlpm.d,J$2:J$19,_xlpm.a,$C$2:$C$19=$C24,_xlpm.b,$D$2:$D$19=$D24,MAX(_xlfn._xlws.FILTER(_xlpm.d,_xlpm.a*_xlpm.b)))</f>
        <v>0.8</v>
      </c>
      <c r="K24" s="1" cm="1">
        <f t="array" ref="K24">_xlfn.LET(_xlpm.d,K$2:K$19,_xlpm.a,$C$2:$C$19=$C24,_xlpm.b,$D$2:$D$19=$D24,MAX(_xlfn._xlws.FILTER(_xlpm.d,_xlpm.a*_xlpm.b)))</f>
        <v>0.8</v>
      </c>
      <c r="L24" s="1" cm="1">
        <f t="array" ref="L24">_xlfn.LET(_xlpm.d,L$2:L$19,_xlpm.a,$C$2:$C$19=$C24,_xlpm.b,$D$2:$D$19=$D24,MAX(_xlfn._xlws.FILTER(_xlpm.d,_xlpm.a*_xlpm.b)))</f>
        <v>0.8</v>
      </c>
      <c r="M24" s="1" cm="1">
        <f t="array" ref="M24">_xlfn.LET(_xlpm.d,M$2:M$19,_xlpm.a,$C$2:$C$19=$C24,_xlpm.b,$D$2:$D$19=$D24,MAX(_xlfn._xlws.FILTER(_xlpm.d,_xlpm.a*_xlpm.b)))</f>
        <v>0.85</v>
      </c>
      <c r="N24" s="1" cm="1">
        <f t="array" ref="N24">_xlfn.LET(_xlpm.d,N$2:N$19,_xlpm.a,$C$2:$C$19=$C24,_xlpm.b,$D$2:$D$19=$D24,MAX(_xlfn._xlws.FILTER(_xlpm.d,_xlpm.a*_xlpm.b)))</f>
        <v>0.86</v>
      </c>
      <c r="O24" s="1" cm="1">
        <f t="array" ref="O24">_xlfn.LET(_xlpm.d,O$2:O$19,_xlpm.a,$C$2:$C$19=$C24,_xlpm.b,$D$2:$D$19=$D24,MAX(_xlfn._xlws.FILTER(_xlpm.d,_xlpm.a*_xlpm.b)))</f>
        <v>0.81</v>
      </c>
      <c r="P24" s="1" cm="1">
        <f t="array" ref="P24">_xlfn.LET(_xlpm.d,P$2:P$19,_xlpm.a,$C$2:$C$19=$C24,_xlpm.b,$D$2:$D$19=$D24,MAX(_xlfn._xlws.FILTER(_xlpm.d,_xlpm.a*_xlpm.b)))</f>
        <v>0.84</v>
      </c>
      <c r="Q24" s="1" cm="1">
        <f t="array" ref="Q24">_xlfn.LET(_xlpm.d,Q$2:Q$19,_xlpm.a,$C$2:$C$19=$C24,_xlpm.b,$D$2:$D$19=$D24,MAX(_xlfn._xlws.FILTER(_xlpm.d,_xlpm.a*_xlpm.b)))</f>
        <v>0.8</v>
      </c>
      <c r="R24" s="1" cm="1">
        <f t="array" ref="R24">_xlfn.LET(_xlpm.d,R$2:R$19,_xlpm.a,$C$2:$C$19=$C24,_xlpm.b,$D$2:$D$19=$D24,MAX(_xlfn._xlws.FILTER(_xlpm.d,_xlpm.a*_xlpm.b)))</f>
        <v>0.83</v>
      </c>
      <c r="S24" s="1" cm="1">
        <f t="array" ref="S24">_xlfn.LET(_xlpm.d,S$2:S$19,_xlpm.a,$C$2:$C$19=$C24,_xlpm.b,$D$2:$D$19=$D24,MAX(_xlfn._xlws.FILTER(_xlpm.d,_xlpm.a*_xlpm.b)))</f>
        <v>0.86</v>
      </c>
    </row>
    <row r="25" spans="1:19" ht="25" customHeight="1">
      <c r="B25">
        <v>2</v>
      </c>
      <c r="C25" t="s">
        <v>30</v>
      </c>
      <c r="D25" t="b">
        <v>1</v>
      </c>
      <c r="E25">
        <v>0</v>
      </c>
      <c r="F25" t="s">
        <v>24</v>
      </c>
      <c r="G25" s="1" cm="1">
        <f t="array" ref="G25">_xlfn.LET(_xlpm.d,G$2:G$19,_xlpm.a,$C$2:$C$19=$C25,_xlpm.b,$D$2:$D$19=$D25,MAX(_xlfn._xlws.FILTER(_xlpm.d,_xlpm.a*_xlpm.b)))</f>
        <v>0.62</v>
      </c>
      <c r="H25" s="1" cm="1">
        <f t="array" ref="H25">_xlfn.LET(_xlpm.d,H$2:H$19,_xlpm.a,$C$2:$C$19=$C25,_xlpm.b,$D$2:$D$19=$D25,MAX(_xlfn._xlws.FILTER(_xlpm.d,_xlpm.a*_xlpm.b)))</f>
        <v>0.62</v>
      </c>
      <c r="I25" s="1" cm="1">
        <f t="array" ref="I25">_xlfn.LET(_xlpm.d,I$2:I$19,_xlpm.a,$C$2:$C$19=$C25,_xlpm.b,$D$2:$D$19=$D25,MAX(_xlfn._xlws.FILTER(_xlpm.d,_xlpm.a*_xlpm.b)))</f>
        <v>0.6</v>
      </c>
      <c r="J25" s="1" cm="1">
        <f t="array" ref="J25">_xlfn.LET(_xlpm.d,J$2:J$19,_xlpm.a,$C$2:$C$19=$C25,_xlpm.b,$D$2:$D$19=$D25,MAX(_xlfn._xlws.FILTER(_xlpm.d,_xlpm.a*_xlpm.b)))</f>
        <v>0.63</v>
      </c>
      <c r="K25" s="1" cm="1">
        <f t="array" ref="K25">_xlfn.LET(_xlpm.d,K$2:K$19,_xlpm.a,$C$2:$C$19=$C25,_xlpm.b,$D$2:$D$19=$D25,MAX(_xlfn._xlws.FILTER(_xlpm.d,_xlpm.a*_xlpm.b)))</f>
        <v>0.59</v>
      </c>
      <c r="L25" s="1" cm="1">
        <f t="array" ref="L25">_xlfn.LET(_xlpm.d,L$2:L$19,_xlpm.a,$C$2:$C$19=$C25,_xlpm.b,$D$2:$D$19=$D25,MAX(_xlfn._xlws.FILTER(_xlpm.d,_xlpm.a*_xlpm.b)))</f>
        <v>0.55000000000000004</v>
      </c>
      <c r="M25" s="1" cm="1">
        <f t="array" ref="M25">_xlfn.LET(_xlpm.d,M$2:M$19,_xlpm.a,$C$2:$C$19=$C25,_xlpm.b,$D$2:$D$19=$D25,MAX(_xlfn._xlws.FILTER(_xlpm.d,_xlpm.a*_xlpm.b)))</f>
        <v>0.56000000000000005</v>
      </c>
      <c r="N25" s="1" cm="1">
        <f t="array" ref="N25">_xlfn.LET(_xlpm.d,N$2:N$19,_xlpm.a,$C$2:$C$19=$C25,_xlpm.b,$D$2:$D$19=$D25,MAX(_xlfn._xlws.FILTER(_xlpm.d,_xlpm.a*_xlpm.b)))</f>
        <v>0.63</v>
      </c>
      <c r="O25" s="1" cm="1">
        <f t="array" ref="O25">_xlfn.LET(_xlpm.d,O$2:O$19,_xlpm.a,$C$2:$C$19=$C25,_xlpm.b,$D$2:$D$19=$D25,MAX(_xlfn._xlws.FILTER(_xlpm.d,_xlpm.a*_xlpm.b)))</f>
        <v>0.59</v>
      </c>
      <c r="P25" s="1" cm="1">
        <f t="array" ref="P25">_xlfn.LET(_xlpm.d,P$2:P$19,_xlpm.a,$C$2:$C$19=$C25,_xlpm.b,$D$2:$D$19=$D25,MAX(_xlfn._xlws.FILTER(_xlpm.d,_xlpm.a*_xlpm.b)))</f>
        <v>0.59</v>
      </c>
      <c r="Q25" s="1" cm="1">
        <f t="array" ref="Q25">_xlfn.LET(_xlpm.d,Q$2:Q$19,_xlpm.a,$C$2:$C$19=$C25,_xlpm.b,$D$2:$D$19=$D25,MAX(_xlfn._xlws.FILTER(_xlpm.d,_xlpm.a*_xlpm.b)))</f>
        <v>0.59</v>
      </c>
      <c r="R25" s="1" cm="1">
        <f t="array" ref="R25">_xlfn.LET(_xlpm.d,R$2:R$19,_xlpm.a,$C$2:$C$19=$C25,_xlpm.b,$D$2:$D$19=$D25,MAX(_xlfn._xlws.FILTER(_xlpm.d,_xlpm.a*_xlpm.b)))</f>
        <v>0.59</v>
      </c>
      <c r="S25" s="1" cm="1">
        <f t="array" ref="S25">_xlfn.LET(_xlpm.d,S$2:S$19,_xlpm.a,$C$2:$C$19=$C25,_xlpm.b,$D$2:$D$19=$D25,MAX(_xlfn._xlws.FILTER(_xlpm.d,_xlpm.a*_xlpm.b)))</f>
        <v>0.63</v>
      </c>
    </row>
    <row r="26" spans="1:19" ht="25" customHeight="1">
      <c r="B26">
        <v>2</v>
      </c>
      <c r="C26" t="s">
        <v>30</v>
      </c>
      <c r="D26" t="b">
        <v>0</v>
      </c>
      <c r="E26">
        <v>0</v>
      </c>
      <c r="F26" t="s">
        <v>24</v>
      </c>
      <c r="G26" s="1" cm="1">
        <f t="array" ref="G26">_xlfn.LET(_xlpm.d,G$2:G$19,_xlpm.a,$C$2:$C$19=$C26,_xlpm.b,$D$2:$D$19=$D26,MAX(_xlfn._xlws.FILTER(_xlpm.d,_xlpm.a*_xlpm.b)))</f>
        <v>0.56000000000000005</v>
      </c>
      <c r="H26" s="1" cm="1">
        <f t="array" ref="H26">_xlfn.LET(_xlpm.d,H$2:H$19,_xlpm.a,$C$2:$C$19=$C26,_xlpm.b,$D$2:$D$19=$D26,MAX(_xlfn._xlws.FILTER(_xlpm.d,_xlpm.a*_xlpm.b)))</f>
        <v>0.62</v>
      </c>
      <c r="I26" s="1" cm="1">
        <f t="array" ref="I26">_xlfn.LET(_xlpm.d,I$2:I$19,_xlpm.a,$C$2:$C$19=$C26,_xlpm.b,$D$2:$D$19=$D26,MAX(_xlfn._xlws.FILTER(_xlpm.d,_xlpm.a*_xlpm.b)))</f>
        <v>0.63</v>
      </c>
      <c r="J26" s="1" cm="1">
        <f t="array" ref="J26">_xlfn.LET(_xlpm.d,J$2:J$19,_xlpm.a,$C$2:$C$19=$C26,_xlpm.b,$D$2:$D$19=$D26,MAX(_xlfn._xlws.FILTER(_xlpm.d,_xlpm.a*_xlpm.b)))</f>
        <v>0.56999999999999995</v>
      </c>
      <c r="K26" s="1" cm="1">
        <f t="array" ref="K26">_xlfn.LET(_xlpm.d,K$2:K$19,_xlpm.a,$C$2:$C$19=$C26,_xlpm.b,$D$2:$D$19=$D26,MAX(_xlfn._xlws.FILTER(_xlpm.d,_xlpm.a*_xlpm.b)))</f>
        <v>0.59</v>
      </c>
      <c r="L26" s="1" cm="1">
        <f t="array" ref="L26">_xlfn.LET(_xlpm.d,L$2:L$19,_xlpm.a,$C$2:$C$19=$C26,_xlpm.b,$D$2:$D$19=$D26,MAX(_xlfn._xlws.FILTER(_xlpm.d,_xlpm.a*_xlpm.b)))</f>
        <v>0.56999999999999995</v>
      </c>
      <c r="M26" s="1" cm="1">
        <f t="array" ref="M26">_xlfn.LET(_xlpm.d,M$2:M$19,_xlpm.a,$C$2:$C$19=$C26,_xlpm.b,$D$2:$D$19=$D26,MAX(_xlfn._xlws.FILTER(_xlpm.d,_xlpm.a*_xlpm.b)))</f>
        <v>0.56000000000000005</v>
      </c>
      <c r="N26" s="1" cm="1">
        <f t="array" ref="N26">_xlfn.LET(_xlpm.d,N$2:N$19,_xlpm.a,$C$2:$C$19=$C26,_xlpm.b,$D$2:$D$19=$D26,MAX(_xlfn._xlws.FILTER(_xlpm.d,_xlpm.a*_xlpm.b)))</f>
        <v>0.62</v>
      </c>
      <c r="O26" s="1" cm="1">
        <f t="array" ref="O26">_xlfn.LET(_xlpm.d,O$2:O$19,_xlpm.a,$C$2:$C$19=$C26,_xlpm.b,$D$2:$D$19=$D26,MAX(_xlfn._xlws.FILTER(_xlpm.d,_xlpm.a*_xlpm.b)))</f>
        <v>0.6</v>
      </c>
      <c r="P26" s="1" cm="1">
        <f t="array" ref="P26">_xlfn.LET(_xlpm.d,P$2:P$19,_xlpm.a,$C$2:$C$19=$C26,_xlpm.b,$D$2:$D$19=$D26,MAX(_xlfn._xlws.FILTER(_xlpm.d,_xlpm.a*_xlpm.b)))</f>
        <v>0.56000000000000005</v>
      </c>
      <c r="Q26" s="1" cm="1">
        <f t="array" ref="Q26">_xlfn.LET(_xlpm.d,Q$2:Q$19,_xlpm.a,$C$2:$C$19=$C26,_xlpm.b,$D$2:$D$19=$D26,MAX(_xlfn._xlws.FILTER(_xlpm.d,_xlpm.a*_xlpm.b)))</f>
        <v>0.6</v>
      </c>
      <c r="R26" s="1" cm="1">
        <f t="array" ref="R26">_xlfn.LET(_xlpm.d,R$2:R$19,_xlpm.a,$C$2:$C$19=$C26,_xlpm.b,$D$2:$D$19=$D26,MAX(_xlfn._xlws.FILTER(_xlpm.d,_xlpm.a*_xlpm.b)))</f>
        <v>0.65</v>
      </c>
      <c r="S26" s="1" cm="1">
        <f t="array" ref="S26">_xlfn.LET(_xlpm.d,S$2:S$19,_xlpm.a,$C$2:$C$19=$C26,_xlpm.b,$D$2:$D$19=$D26,MAX(_xlfn._xlws.FILTER(_xlpm.d,_xlpm.a*_xlpm.b)))</f>
        <v>0.65</v>
      </c>
    </row>
    <row r="27" spans="1:19" ht="25" customHeight="1">
      <c r="B27">
        <v>3</v>
      </c>
      <c r="C27" t="s">
        <v>31</v>
      </c>
      <c r="D27" t="b">
        <v>1</v>
      </c>
      <c r="E27">
        <v>0</v>
      </c>
      <c r="F27" t="s">
        <v>24</v>
      </c>
      <c r="G27" s="1" cm="1">
        <f t="array" ref="G27">_xlfn.LET(_xlpm.d,G$2:G$19,_xlpm.a,$C$2:$C$19=$C27,_xlpm.b,$D$2:$D$19=$D27,MAX(_xlfn._xlws.FILTER(_xlpm.d,_xlpm.a*_xlpm.b)))</f>
        <v>0.39</v>
      </c>
      <c r="H27" s="1" cm="1">
        <f t="array" ref="H27">_xlfn.LET(_xlpm.d,H$2:H$19,_xlpm.a,$C$2:$C$19=$C27,_xlpm.b,$D$2:$D$19=$D27,MAX(_xlfn._xlws.FILTER(_xlpm.d,_xlpm.a*_xlpm.b)))</f>
        <v>0.44</v>
      </c>
      <c r="I27" s="1" cm="1">
        <f t="array" ref="I27">_xlfn.LET(_xlpm.d,I$2:I$19,_xlpm.a,$C$2:$C$19=$C27,_xlpm.b,$D$2:$D$19=$D27,MAX(_xlfn._xlws.FILTER(_xlpm.d,_xlpm.a*_xlpm.b)))</f>
        <v>0.42</v>
      </c>
      <c r="J27" s="1" cm="1">
        <f t="array" ref="J27">_xlfn.LET(_xlpm.d,J$2:J$19,_xlpm.a,$C$2:$C$19=$C27,_xlpm.b,$D$2:$D$19=$D27,MAX(_xlfn._xlws.FILTER(_xlpm.d,_xlpm.a*_xlpm.b)))</f>
        <v>0.46</v>
      </c>
      <c r="K27" s="1" cm="1">
        <f t="array" ref="K27">_xlfn.LET(_xlpm.d,K$2:K$19,_xlpm.a,$C$2:$C$19=$C27,_xlpm.b,$D$2:$D$19=$D27,MAX(_xlfn._xlws.FILTER(_xlpm.d,_xlpm.a*_xlpm.b)))</f>
        <v>0.38</v>
      </c>
      <c r="L27" s="1" cm="1">
        <f t="array" ref="L27">_xlfn.LET(_xlpm.d,L$2:L$19,_xlpm.a,$C$2:$C$19=$C27,_xlpm.b,$D$2:$D$19=$D27,MAX(_xlfn._xlws.FILTER(_xlpm.d,_xlpm.a*_xlpm.b)))</f>
        <v>0.44</v>
      </c>
      <c r="M27" s="1" cm="1">
        <f t="array" ref="M27">_xlfn.LET(_xlpm.d,M$2:M$19,_xlpm.a,$C$2:$C$19=$C27,_xlpm.b,$D$2:$D$19=$D27,MAX(_xlfn._xlws.FILTER(_xlpm.d,_xlpm.a*_xlpm.b)))</f>
        <v>0.41</v>
      </c>
      <c r="N27" s="1" cm="1">
        <f t="array" ref="N27">_xlfn.LET(_xlpm.d,N$2:N$19,_xlpm.a,$C$2:$C$19=$C27,_xlpm.b,$D$2:$D$19=$D27,MAX(_xlfn._xlws.FILTER(_xlpm.d,_xlpm.a*_xlpm.b)))</f>
        <v>0.45</v>
      </c>
      <c r="O27" s="1" cm="1">
        <f t="array" ref="O27">_xlfn.LET(_xlpm.d,O$2:O$19,_xlpm.a,$C$2:$C$19=$C27,_xlpm.b,$D$2:$D$19=$D27,MAX(_xlfn._xlws.FILTER(_xlpm.d,_xlpm.a*_xlpm.b)))</f>
        <v>0.4</v>
      </c>
      <c r="P27" s="1" cm="1">
        <f t="array" ref="P27">_xlfn.LET(_xlpm.d,P$2:P$19,_xlpm.a,$C$2:$C$19=$C27,_xlpm.b,$D$2:$D$19=$D27,MAX(_xlfn._xlws.FILTER(_xlpm.d,_xlpm.a*_xlpm.b)))</f>
        <v>0.44</v>
      </c>
      <c r="Q27" s="1" cm="1">
        <f t="array" ref="Q27">_xlfn.LET(_xlpm.d,Q$2:Q$19,_xlpm.a,$C$2:$C$19=$C27,_xlpm.b,$D$2:$D$19=$D27,MAX(_xlfn._xlws.FILTER(_xlpm.d,_xlpm.a*_xlpm.b)))</f>
        <v>0.43</v>
      </c>
      <c r="R27" s="1" cm="1">
        <f t="array" ref="R27">_xlfn.LET(_xlpm.d,R$2:R$19,_xlpm.a,$C$2:$C$19=$C27,_xlpm.b,$D$2:$D$19=$D27,MAX(_xlfn._xlws.FILTER(_xlpm.d,_xlpm.a*_xlpm.b)))</f>
        <v>0.42</v>
      </c>
      <c r="S27" s="1" cm="1">
        <f t="array" ref="S27">_xlfn.LET(_xlpm.d,S$2:S$19,_xlpm.a,$C$2:$C$19=$C27,_xlpm.b,$D$2:$D$19=$D27,MAX(_xlfn._xlws.FILTER(_xlpm.d,_xlpm.a*_xlpm.b)))</f>
        <v>0.46</v>
      </c>
    </row>
    <row r="28" spans="1:19" ht="25" customHeight="1">
      <c r="B28">
        <v>3</v>
      </c>
      <c r="C28" t="s">
        <v>31</v>
      </c>
      <c r="D28" t="b">
        <v>0</v>
      </c>
      <c r="E28">
        <v>0</v>
      </c>
      <c r="F28" t="s">
        <v>24</v>
      </c>
      <c r="G28" s="1" cm="1">
        <f t="array" ref="G28">_xlfn.LET(_xlpm.d,G$2:G$19,_xlpm.a,$C$2:$C$19=$C28,_xlpm.b,$D$2:$D$19=$D28,MAX(_xlfn._xlws.FILTER(_xlpm.d,_xlpm.a*_xlpm.b)))</f>
        <v>0.38</v>
      </c>
      <c r="H28" s="1" cm="1">
        <f t="array" ref="H28">_xlfn.LET(_xlpm.d,H$2:H$19,_xlpm.a,$C$2:$C$19=$C28,_xlpm.b,$D$2:$D$19=$D28,MAX(_xlfn._xlws.FILTER(_xlpm.d,_xlpm.a*_xlpm.b)))</f>
        <v>0.43</v>
      </c>
      <c r="I28" s="1" cm="1">
        <f t="array" ref="I28">_xlfn.LET(_xlpm.d,I$2:I$19,_xlpm.a,$C$2:$C$19=$C28,_xlpm.b,$D$2:$D$19=$D28,MAX(_xlfn._xlws.FILTER(_xlpm.d,_xlpm.a*_xlpm.b)))</f>
        <v>0.4</v>
      </c>
      <c r="J28" s="1" cm="1">
        <f t="array" ref="J28">_xlfn.LET(_xlpm.d,J$2:J$19,_xlpm.a,$C$2:$C$19=$C28,_xlpm.b,$D$2:$D$19=$D28,MAX(_xlfn._xlws.FILTER(_xlpm.d,_xlpm.a*_xlpm.b)))</f>
        <v>0.42</v>
      </c>
      <c r="K28" s="1" cm="1">
        <f t="array" ref="K28">_xlfn.LET(_xlpm.d,K$2:K$19,_xlpm.a,$C$2:$C$19=$C28,_xlpm.b,$D$2:$D$19=$D28,MAX(_xlfn._xlws.FILTER(_xlpm.d,_xlpm.a*_xlpm.b)))</f>
        <v>0.37</v>
      </c>
      <c r="L28" s="1" cm="1">
        <f t="array" ref="L28">_xlfn.LET(_xlpm.d,L$2:L$19,_xlpm.a,$C$2:$C$19=$C28,_xlpm.b,$D$2:$D$19=$D28,MAX(_xlfn._xlws.FILTER(_xlpm.d,_xlpm.a*_xlpm.b)))</f>
        <v>0.42</v>
      </c>
      <c r="M28" s="1" cm="1">
        <f t="array" ref="M28">_xlfn.LET(_xlpm.d,M$2:M$19,_xlpm.a,$C$2:$C$19=$C28,_xlpm.b,$D$2:$D$19=$D28,MAX(_xlfn._xlws.FILTER(_xlpm.d,_xlpm.a*_xlpm.b)))</f>
        <v>0.36</v>
      </c>
      <c r="N28" s="1" cm="1">
        <f t="array" ref="N28">_xlfn.LET(_xlpm.d,N$2:N$19,_xlpm.a,$C$2:$C$19=$C28,_xlpm.b,$D$2:$D$19=$D28,MAX(_xlfn._xlws.FILTER(_xlpm.d,_xlpm.a*_xlpm.b)))</f>
        <v>0.41</v>
      </c>
      <c r="O28" s="1" cm="1">
        <f t="array" ref="O28">_xlfn.LET(_xlpm.d,O$2:O$19,_xlpm.a,$C$2:$C$19=$C28,_xlpm.b,$D$2:$D$19=$D28,MAX(_xlfn._xlws.FILTER(_xlpm.d,_xlpm.a*_xlpm.b)))</f>
        <v>0.42</v>
      </c>
      <c r="P28" s="1" cm="1">
        <f t="array" ref="P28">_xlfn.LET(_xlpm.d,P$2:P$19,_xlpm.a,$C$2:$C$19=$C28,_xlpm.b,$D$2:$D$19=$D28,MAX(_xlfn._xlws.FILTER(_xlpm.d,_xlpm.a*_xlpm.b)))</f>
        <v>0.46</v>
      </c>
      <c r="Q28" s="1" cm="1">
        <f t="array" ref="Q28">_xlfn.LET(_xlpm.d,Q$2:Q$19,_xlpm.a,$C$2:$C$19=$C28,_xlpm.b,$D$2:$D$19=$D28,MAX(_xlfn._xlws.FILTER(_xlpm.d,_xlpm.a*_xlpm.b)))</f>
        <v>0.41</v>
      </c>
      <c r="R28" s="1" cm="1">
        <f t="array" ref="R28">_xlfn.LET(_xlpm.d,R$2:R$19,_xlpm.a,$C$2:$C$19=$C28,_xlpm.b,$D$2:$D$19=$D28,MAX(_xlfn._xlws.FILTER(_xlpm.d,_xlpm.a*_xlpm.b)))</f>
        <v>0.42</v>
      </c>
      <c r="S28" s="1" cm="1">
        <f t="array" ref="S28">_xlfn.LET(_xlpm.d,S$2:S$19,_xlpm.a,$C$2:$C$19=$C28,_xlpm.b,$D$2:$D$19=$D28,MAX(_xlfn._xlws.FILTER(_xlpm.d,_xlpm.a*_xlpm.b)))</f>
        <v>0.46</v>
      </c>
    </row>
  </sheetData>
  <conditionalFormatting sqref="G2:S19 G23:S28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2F9AA-A499-0547-B230-1D4609F502BB}">
  <dimension ref="A1:S28"/>
  <sheetViews>
    <sheetView workbookViewId="0">
      <pane xSplit="12480" ySplit="3080" topLeftCell="N15" activePane="bottomLeft"/>
      <selection activeCell="B1" sqref="A1:XFD1048576"/>
      <selection pane="topRight" activeCell="S3" sqref="S3"/>
      <selection pane="bottomLeft" activeCell="B23" sqref="B23:S28"/>
      <selection pane="bottomRight" activeCell="H7" sqref="H7"/>
    </sheetView>
  </sheetViews>
  <sheetFormatPr baseColWidth="10" defaultRowHeight="25" customHeight="1"/>
  <cols>
    <col min="2" max="19" width="8.25" customWidth="1"/>
  </cols>
  <sheetData>
    <row r="1" spans="1:19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24</v>
      </c>
    </row>
    <row r="2" spans="1:19" ht="25" customHeight="1">
      <c r="A2" t="s">
        <v>25</v>
      </c>
      <c r="B2">
        <v>1</v>
      </c>
      <c r="C2" t="s">
        <v>26</v>
      </c>
      <c r="D2" t="b">
        <v>1</v>
      </c>
      <c r="E2">
        <v>1</v>
      </c>
      <c r="F2" t="s">
        <v>27</v>
      </c>
      <c r="G2" s="1">
        <v>0.76</v>
      </c>
      <c r="H2" s="1">
        <v>0.82</v>
      </c>
      <c r="I2" s="1">
        <v>0.75</v>
      </c>
      <c r="J2" s="1">
        <v>0.79</v>
      </c>
      <c r="K2" s="1">
        <v>0.76</v>
      </c>
      <c r="L2" s="1">
        <v>0.76</v>
      </c>
      <c r="M2" s="1">
        <v>0.86</v>
      </c>
      <c r="N2" s="1">
        <v>0.83</v>
      </c>
      <c r="O2" s="1">
        <v>0.79</v>
      </c>
      <c r="P2" s="1">
        <v>0.79</v>
      </c>
      <c r="Q2" s="1">
        <v>0.79</v>
      </c>
      <c r="R2" s="1">
        <v>0.71</v>
      </c>
      <c r="S2" s="1">
        <f t="shared" ref="S2:S19" si="0">MAX($G2:$R2)</f>
        <v>0.86</v>
      </c>
    </row>
    <row r="3" spans="1:19" ht="25" customHeight="1">
      <c r="A3" t="s">
        <v>25</v>
      </c>
      <c r="B3">
        <v>1</v>
      </c>
      <c r="C3" t="s">
        <v>26</v>
      </c>
      <c r="D3" t="b">
        <v>0</v>
      </c>
      <c r="E3">
        <v>1</v>
      </c>
      <c r="F3" t="s">
        <v>27</v>
      </c>
      <c r="G3" s="1">
        <v>0.72</v>
      </c>
      <c r="H3" s="1">
        <v>0.81</v>
      </c>
      <c r="I3" s="1">
        <v>0.73</v>
      </c>
      <c r="J3" s="1">
        <v>0.8</v>
      </c>
      <c r="K3" s="1">
        <v>0.74</v>
      </c>
      <c r="L3" s="1">
        <v>0.74</v>
      </c>
      <c r="M3" s="1">
        <v>0.78</v>
      </c>
      <c r="N3" s="1">
        <v>0.8</v>
      </c>
      <c r="O3" s="1">
        <v>0.8</v>
      </c>
      <c r="P3" s="1">
        <v>0.78</v>
      </c>
      <c r="Q3" s="1">
        <v>0.75</v>
      </c>
      <c r="R3" s="1">
        <v>0.78</v>
      </c>
      <c r="S3" s="1">
        <f t="shared" si="0"/>
        <v>0.81</v>
      </c>
    </row>
    <row r="4" spans="1:19" ht="25" customHeight="1">
      <c r="A4" t="s">
        <v>25</v>
      </c>
      <c r="B4">
        <v>1</v>
      </c>
      <c r="C4" t="s">
        <v>26</v>
      </c>
      <c r="D4" t="b">
        <v>0</v>
      </c>
      <c r="E4">
        <v>2</v>
      </c>
      <c r="F4" t="s">
        <v>28</v>
      </c>
      <c r="G4" s="1">
        <v>0.76</v>
      </c>
      <c r="H4" s="1">
        <v>0.81</v>
      </c>
      <c r="I4" s="1">
        <v>0.79</v>
      </c>
      <c r="J4" s="1">
        <v>0.84</v>
      </c>
      <c r="K4" s="1">
        <v>0.78</v>
      </c>
      <c r="L4" s="1">
        <v>0.75</v>
      </c>
      <c r="M4" s="1">
        <v>0.83</v>
      </c>
      <c r="N4" s="1">
        <v>0.82</v>
      </c>
      <c r="O4" s="1">
        <v>0.83</v>
      </c>
      <c r="P4" s="1">
        <v>0.83</v>
      </c>
      <c r="Q4" s="1">
        <v>0.84</v>
      </c>
      <c r="R4" s="1">
        <v>0.83</v>
      </c>
      <c r="S4" s="1">
        <f t="shared" si="0"/>
        <v>0.84</v>
      </c>
    </row>
    <row r="5" spans="1:19" ht="25" customHeight="1">
      <c r="A5" t="s">
        <v>25</v>
      </c>
      <c r="B5">
        <v>1</v>
      </c>
      <c r="C5" t="s">
        <v>26</v>
      </c>
      <c r="D5" t="b">
        <v>1</v>
      </c>
      <c r="E5">
        <v>2</v>
      </c>
      <c r="F5" t="s">
        <v>28</v>
      </c>
      <c r="G5" s="1">
        <v>0.78</v>
      </c>
      <c r="H5" s="1">
        <v>0.87</v>
      </c>
      <c r="I5" s="1">
        <v>0.81</v>
      </c>
      <c r="J5" s="1">
        <v>0.84</v>
      </c>
      <c r="K5" s="1">
        <v>0.8</v>
      </c>
      <c r="L5" s="1">
        <v>0.77</v>
      </c>
      <c r="M5" s="1">
        <v>0.87</v>
      </c>
      <c r="N5" s="1">
        <v>0.84</v>
      </c>
      <c r="O5" s="1">
        <v>0.85</v>
      </c>
      <c r="P5" s="1">
        <v>0.84</v>
      </c>
      <c r="Q5" s="1">
        <v>0.84</v>
      </c>
      <c r="R5" s="1">
        <v>0.82</v>
      </c>
      <c r="S5" s="1">
        <f t="shared" si="0"/>
        <v>0.87</v>
      </c>
    </row>
    <row r="6" spans="1:19" ht="25" customHeight="1">
      <c r="A6" t="s">
        <v>25</v>
      </c>
      <c r="B6">
        <v>1</v>
      </c>
      <c r="C6" t="s">
        <v>26</v>
      </c>
      <c r="D6" t="b">
        <v>0</v>
      </c>
      <c r="E6">
        <v>3</v>
      </c>
      <c r="F6" t="s">
        <v>29</v>
      </c>
      <c r="G6" s="1">
        <v>0.7</v>
      </c>
      <c r="H6" s="1">
        <v>0.8</v>
      </c>
      <c r="I6" s="1">
        <v>0.77</v>
      </c>
      <c r="J6" s="1">
        <v>0.8</v>
      </c>
      <c r="K6" s="1">
        <v>0.78</v>
      </c>
      <c r="L6" s="1">
        <v>0.79</v>
      </c>
      <c r="M6" s="1">
        <v>0.84</v>
      </c>
      <c r="N6" s="1">
        <v>0.78</v>
      </c>
      <c r="O6" s="1">
        <v>0.8</v>
      </c>
      <c r="P6" s="1">
        <v>0.83</v>
      </c>
      <c r="Q6" s="1">
        <v>0.81</v>
      </c>
      <c r="R6" s="1">
        <v>0.75</v>
      </c>
      <c r="S6" s="1">
        <f t="shared" si="0"/>
        <v>0.84</v>
      </c>
    </row>
    <row r="7" spans="1:19" ht="25" customHeight="1">
      <c r="A7" t="s">
        <v>25</v>
      </c>
      <c r="B7">
        <v>1</v>
      </c>
      <c r="C7" t="s">
        <v>26</v>
      </c>
      <c r="D7" t="b">
        <v>1</v>
      </c>
      <c r="E7">
        <v>3</v>
      </c>
      <c r="F7" t="s">
        <v>29</v>
      </c>
      <c r="G7" s="1">
        <v>0.78</v>
      </c>
      <c r="H7" s="1">
        <v>0.83</v>
      </c>
      <c r="I7" s="1">
        <v>0.81</v>
      </c>
      <c r="J7" s="1">
        <v>0.81</v>
      </c>
      <c r="K7" s="1">
        <v>0.79</v>
      </c>
      <c r="L7" s="1">
        <v>0.76</v>
      </c>
      <c r="M7" s="1">
        <v>0.85</v>
      </c>
      <c r="N7" s="1">
        <v>0.86</v>
      </c>
      <c r="O7" s="1">
        <v>0.85</v>
      </c>
      <c r="P7" s="1">
        <v>0.84</v>
      </c>
      <c r="Q7" s="1">
        <v>0.82</v>
      </c>
      <c r="R7" s="1">
        <v>0.76</v>
      </c>
      <c r="S7" s="1">
        <f t="shared" si="0"/>
        <v>0.86</v>
      </c>
    </row>
    <row r="8" spans="1:19" ht="25" customHeight="1">
      <c r="A8" t="s">
        <v>25</v>
      </c>
      <c r="B8">
        <v>2</v>
      </c>
      <c r="C8" t="s">
        <v>30</v>
      </c>
      <c r="D8" t="b">
        <v>0</v>
      </c>
      <c r="E8">
        <v>1</v>
      </c>
      <c r="F8" t="s">
        <v>27</v>
      </c>
      <c r="G8" s="1">
        <v>0.52</v>
      </c>
      <c r="H8" s="1">
        <v>0.51</v>
      </c>
      <c r="I8" s="1">
        <v>0.51</v>
      </c>
      <c r="J8" s="1">
        <v>0.51</v>
      </c>
      <c r="K8" s="1">
        <v>0.48</v>
      </c>
      <c r="L8" s="1">
        <v>0.47</v>
      </c>
      <c r="M8" s="1">
        <v>0.51</v>
      </c>
      <c r="N8" s="1">
        <v>0.55000000000000004</v>
      </c>
      <c r="O8" s="1">
        <v>0.52</v>
      </c>
      <c r="P8" s="1">
        <v>0.51</v>
      </c>
      <c r="Q8" s="1">
        <v>0.51</v>
      </c>
      <c r="R8" s="1">
        <v>0.45</v>
      </c>
      <c r="S8" s="1">
        <f t="shared" si="0"/>
        <v>0.55000000000000004</v>
      </c>
    </row>
    <row r="9" spans="1:19" ht="25" customHeight="1">
      <c r="A9" t="s">
        <v>25</v>
      </c>
      <c r="B9">
        <v>2</v>
      </c>
      <c r="C9" t="s">
        <v>30</v>
      </c>
      <c r="D9" t="b">
        <v>0</v>
      </c>
      <c r="E9">
        <v>2</v>
      </c>
      <c r="F9" t="s">
        <v>28</v>
      </c>
      <c r="G9" s="1">
        <v>0.56999999999999995</v>
      </c>
      <c r="H9" s="1">
        <v>0.56000000000000005</v>
      </c>
      <c r="I9" s="1">
        <v>0.52</v>
      </c>
      <c r="J9" s="1">
        <v>0.59</v>
      </c>
      <c r="K9" s="1">
        <v>0.54</v>
      </c>
      <c r="L9" s="1">
        <v>0.56999999999999995</v>
      </c>
      <c r="M9" s="1">
        <v>0.57999999999999996</v>
      </c>
      <c r="N9" s="1">
        <v>0.49</v>
      </c>
      <c r="O9" s="1">
        <v>0.61</v>
      </c>
      <c r="P9" s="1">
        <v>0.59</v>
      </c>
      <c r="Q9" s="1">
        <v>0.54</v>
      </c>
      <c r="R9" s="1">
        <v>0.55000000000000004</v>
      </c>
      <c r="S9" s="1">
        <f t="shared" si="0"/>
        <v>0.61</v>
      </c>
    </row>
    <row r="10" spans="1:19" ht="25" customHeight="1">
      <c r="A10" t="s">
        <v>25</v>
      </c>
      <c r="B10">
        <v>2</v>
      </c>
      <c r="C10" t="s">
        <v>30</v>
      </c>
      <c r="D10" t="b">
        <v>0</v>
      </c>
      <c r="E10">
        <v>3</v>
      </c>
      <c r="F10" t="s">
        <v>29</v>
      </c>
      <c r="G10" s="1">
        <v>0.56000000000000005</v>
      </c>
      <c r="H10" s="1">
        <v>0.56999999999999995</v>
      </c>
      <c r="I10" s="1">
        <v>0.56999999999999995</v>
      </c>
      <c r="J10" s="1">
        <v>0.57999999999999996</v>
      </c>
      <c r="K10" s="1">
        <v>0.56000000000000005</v>
      </c>
      <c r="L10" s="1">
        <v>0.56000000000000005</v>
      </c>
      <c r="M10" s="1">
        <v>0.54</v>
      </c>
      <c r="N10" s="1">
        <v>0.59</v>
      </c>
      <c r="O10" s="1">
        <v>0.61</v>
      </c>
      <c r="P10" s="1">
        <v>0.6</v>
      </c>
      <c r="Q10" s="1">
        <v>0.61</v>
      </c>
      <c r="R10" s="1">
        <v>0.55000000000000004</v>
      </c>
      <c r="S10" s="1">
        <f t="shared" si="0"/>
        <v>0.61</v>
      </c>
    </row>
    <row r="11" spans="1:19" ht="25" customHeight="1">
      <c r="A11" t="s">
        <v>25</v>
      </c>
      <c r="B11">
        <v>2</v>
      </c>
      <c r="C11" t="s">
        <v>30</v>
      </c>
      <c r="D11" t="b">
        <v>1</v>
      </c>
      <c r="E11">
        <v>2</v>
      </c>
      <c r="F11" t="s">
        <v>28</v>
      </c>
      <c r="G11" s="1">
        <v>0.57999999999999996</v>
      </c>
      <c r="H11" s="1">
        <v>0.57999999999999996</v>
      </c>
      <c r="I11" s="1">
        <v>0.59</v>
      </c>
      <c r="J11" s="1">
        <v>0.63</v>
      </c>
      <c r="K11" s="1">
        <v>0.56000000000000005</v>
      </c>
      <c r="L11" s="1">
        <v>0.56000000000000005</v>
      </c>
      <c r="M11" s="1">
        <v>0.64</v>
      </c>
      <c r="N11" s="1">
        <v>0.6</v>
      </c>
      <c r="O11" s="1">
        <v>0.61</v>
      </c>
      <c r="P11" s="1">
        <v>0.59</v>
      </c>
      <c r="Q11" s="1">
        <v>0.57999999999999996</v>
      </c>
      <c r="R11" s="1">
        <v>0.56000000000000005</v>
      </c>
      <c r="S11" s="1">
        <f t="shared" si="0"/>
        <v>0.64</v>
      </c>
    </row>
    <row r="12" spans="1:19" ht="25" customHeight="1">
      <c r="A12" t="s">
        <v>25</v>
      </c>
      <c r="B12">
        <v>2</v>
      </c>
      <c r="C12" t="s">
        <v>30</v>
      </c>
      <c r="D12" t="b">
        <v>1</v>
      </c>
      <c r="E12">
        <v>3</v>
      </c>
      <c r="F12" t="s">
        <v>29</v>
      </c>
      <c r="G12" s="1">
        <v>0.56000000000000005</v>
      </c>
      <c r="H12" s="1">
        <v>0.55000000000000004</v>
      </c>
      <c r="I12" s="1">
        <v>0.61</v>
      </c>
      <c r="J12" s="1">
        <v>0.59</v>
      </c>
      <c r="K12" s="1">
        <v>0.56000000000000005</v>
      </c>
      <c r="L12" s="1">
        <v>0.54</v>
      </c>
      <c r="M12" s="1">
        <v>0.57999999999999996</v>
      </c>
      <c r="N12" s="1">
        <v>0.63</v>
      </c>
      <c r="O12" s="1">
        <v>0.63</v>
      </c>
      <c r="P12" s="1">
        <v>0.59</v>
      </c>
      <c r="Q12" s="1">
        <v>0.62</v>
      </c>
      <c r="R12" s="1">
        <v>0.56000000000000005</v>
      </c>
      <c r="S12" s="1">
        <f t="shared" si="0"/>
        <v>0.63</v>
      </c>
    </row>
    <row r="13" spans="1:19" ht="25" customHeight="1">
      <c r="A13" t="s">
        <v>25</v>
      </c>
      <c r="B13">
        <v>2</v>
      </c>
      <c r="C13" t="s">
        <v>30</v>
      </c>
      <c r="D13" t="b">
        <v>1</v>
      </c>
      <c r="E13">
        <v>1</v>
      </c>
      <c r="F13" t="s">
        <v>27</v>
      </c>
      <c r="G13" s="1">
        <v>0.47</v>
      </c>
      <c r="H13" s="1">
        <v>0.52</v>
      </c>
      <c r="I13" s="1">
        <v>0.49</v>
      </c>
      <c r="J13" s="1">
        <v>0.55000000000000004</v>
      </c>
      <c r="K13" s="1">
        <v>0.47</v>
      </c>
      <c r="L13" s="1">
        <v>0.49</v>
      </c>
      <c r="M13" s="1">
        <v>0.54</v>
      </c>
      <c r="N13" s="1">
        <v>0.55000000000000004</v>
      </c>
      <c r="O13" s="1">
        <v>0.53</v>
      </c>
      <c r="P13" s="1">
        <v>0.48</v>
      </c>
      <c r="Q13" s="1">
        <v>0.5</v>
      </c>
      <c r="R13" s="1">
        <v>0.43</v>
      </c>
      <c r="S13" s="1">
        <f t="shared" si="0"/>
        <v>0.55000000000000004</v>
      </c>
    </row>
    <row r="14" spans="1:19" ht="25" customHeight="1">
      <c r="A14" t="s">
        <v>25</v>
      </c>
      <c r="B14">
        <v>3</v>
      </c>
      <c r="C14" t="s">
        <v>31</v>
      </c>
      <c r="D14" t="b">
        <v>1</v>
      </c>
      <c r="E14">
        <v>3</v>
      </c>
      <c r="F14" t="s">
        <v>29</v>
      </c>
      <c r="G14" s="1">
        <v>0.34</v>
      </c>
      <c r="H14" s="1">
        <v>0.36</v>
      </c>
      <c r="I14" s="1">
        <v>0.35</v>
      </c>
      <c r="J14" s="1">
        <v>0.33</v>
      </c>
      <c r="K14" s="1">
        <v>0.42</v>
      </c>
      <c r="L14" s="1">
        <v>0.37</v>
      </c>
      <c r="M14" s="1">
        <v>0.4</v>
      </c>
      <c r="N14" s="1">
        <v>0.4</v>
      </c>
      <c r="O14" s="1">
        <v>0.38</v>
      </c>
      <c r="P14" s="1">
        <v>0.42</v>
      </c>
      <c r="Q14" s="1">
        <v>0.43</v>
      </c>
      <c r="R14" s="1">
        <v>0.41</v>
      </c>
      <c r="S14" s="1">
        <f t="shared" si="0"/>
        <v>0.43</v>
      </c>
    </row>
    <row r="15" spans="1:19" ht="25" customHeight="1">
      <c r="A15" t="s">
        <v>25</v>
      </c>
      <c r="B15">
        <v>3</v>
      </c>
      <c r="C15" t="s">
        <v>31</v>
      </c>
      <c r="D15" t="b">
        <v>1</v>
      </c>
      <c r="E15">
        <v>1</v>
      </c>
      <c r="F15" t="s">
        <v>27</v>
      </c>
      <c r="G15" s="1">
        <v>0.37</v>
      </c>
      <c r="H15" s="1">
        <v>0.35</v>
      </c>
      <c r="I15" s="1">
        <v>0.35</v>
      </c>
      <c r="J15" s="1">
        <v>0.39</v>
      </c>
      <c r="K15" s="1">
        <v>0.38</v>
      </c>
      <c r="L15" s="1">
        <v>0.34</v>
      </c>
      <c r="M15" s="1">
        <v>0.42</v>
      </c>
      <c r="N15" s="1">
        <v>0.39</v>
      </c>
      <c r="O15" s="1">
        <v>0.36</v>
      </c>
      <c r="P15" s="1">
        <v>0.41</v>
      </c>
      <c r="Q15" s="1">
        <v>0.36</v>
      </c>
      <c r="R15" s="1">
        <v>0.41</v>
      </c>
      <c r="S15" s="1">
        <f t="shared" si="0"/>
        <v>0.42</v>
      </c>
    </row>
    <row r="16" spans="1:19" ht="25" customHeight="1">
      <c r="A16" t="s">
        <v>25</v>
      </c>
      <c r="B16">
        <v>3</v>
      </c>
      <c r="C16" t="s">
        <v>31</v>
      </c>
      <c r="D16" t="b">
        <v>1</v>
      </c>
      <c r="E16">
        <v>2</v>
      </c>
      <c r="F16" t="s">
        <v>28</v>
      </c>
      <c r="G16" s="1">
        <v>0.41</v>
      </c>
      <c r="H16" s="1">
        <v>0.41</v>
      </c>
      <c r="I16" s="1">
        <v>0.37</v>
      </c>
      <c r="J16" s="1">
        <v>0.46</v>
      </c>
      <c r="K16" s="1">
        <v>0.41</v>
      </c>
      <c r="L16" s="1">
        <v>0.41</v>
      </c>
      <c r="M16" s="1">
        <v>0.43</v>
      </c>
      <c r="N16" s="1">
        <v>0.47</v>
      </c>
      <c r="O16" s="1">
        <v>0.39</v>
      </c>
      <c r="P16" s="1">
        <v>0.42</v>
      </c>
      <c r="Q16" s="1">
        <v>0.44</v>
      </c>
      <c r="R16" s="1">
        <v>0.41</v>
      </c>
      <c r="S16" s="1">
        <f t="shared" si="0"/>
        <v>0.47</v>
      </c>
    </row>
    <row r="17" spans="1:19" ht="25" customHeight="1">
      <c r="A17" t="s">
        <v>25</v>
      </c>
      <c r="B17">
        <v>3</v>
      </c>
      <c r="C17" t="s">
        <v>31</v>
      </c>
      <c r="D17" t="b">
        <v>0</v>
      </c>
      <c r="E17">
        <v>2</v>
      </c>
      <c r="F17" t="s">
        <v>28</v>
      </c>
      <c r="G17" s="1">
        <v>0.36</v>
      </c>
      <c r="H17" s="1">
        <v>0.4</v>
      </c>
      <c r="I17" s="1">
        <v>0.36</v>
      </c>
      <c r="J17" s="1">
        <v>0.43</v>
      </c>
      <c r="K17" s="1">
        <v>0.39</v>
      </c>
      <c r="L17" s="1">
        <v>0.4</v>
      </c>
      <c r="M17" s="1">
        <v>0.41</v>
      </c>
      <c r="N17" s="1">
        <v>0.43</v>
      </c>
      <c r="O17" s="1">
        <v>0.41</v>
      </c>
      <c r="P17" s="1">
        <v>0.42</v>
      </c>
      <c r="Q17" s="1">
        <v>0.41</v>
      </c>
      <c r="R17" s="1">
        <v>0.43</v>
      </c>
      <c r="S17" s="1">
        <f t="shared" si="0"/>
        <v>0.43</v>
      </c>
    </row>
    <row r="18" spans="1:19" ht="25" customHeight="1">
      <c r="A18" t="s">
        <v>25</v>
      </c>
      <c r="B18">
        <v>3</v>
      </c>
      <c r="C18" t="s">
        <v>31</v>
      </c>
      <c r="D18" t="b">
        <v>0</v>
      </c>
      <c r="E18">
        <v>1</v>
      </c>
      <c r="F18" t="s">
        <v>27</v>
      </c>
      <c r="G18" s="1">
        <v>0.34</v>
      </c>
      <c r="H18" s="1">
        <v>0.34</v>
      </c>
      <c r="I18" s="1">
        <v>0.33</v>
      </c>
      <c r="J18" s="1">
        <v>0.38</v>
      </c>
      <c r="K18" s="1">
        <v>0.36</v>
      </c>
      <c r="L18" s="1">
        <v>0.37</v>
      </c>
      <c r="M18" s="1">
        <v>0.45</v>
      </c>
      <c r="N18" s="1">
        <v>0.35</v>
      </c>
      <c r="O18" s="1">
        <v>0.36</v>
      </c>
      <c r="P18" s="1">
        <v>0.36</v>
      </c>
      <c r="Q18" s="1">
        <v>0.38</v>
      </c>
      <c r="R18" s="1">
        <v>0.36</v>
      </c>
      <c r="S18" s="1">
        <f t="shared" si="0"/>
        <v>0.45</v>
      </c>
    </row>
    <row r="19" spans="1:19" ht="25" customHeight="1">
      <c r="A19" t="s">
        <v>25</v>
      </c>
      <c r="B19">
        <v>3</v>
      </c>
      <c r="C19" t="s">
        <v>31</v>
      </c>
      <c r="D19" t="b">
        <v>0</v>
      </c>
      <c r="E19">
        <v>3</v>
      </c>
      <c r="F19" t="s">
        <v>29</v>
      </c>
      <c r="G19" s="1">
        <v>0.33</v>
      </c>
      <c r="H19" s="1">
        <v>0.35</v>
      </c>
      <c r="I19" s="1">
        <v>0.32</v>
      </c>
      <c r="J19" s="1">
        <v>0.31</v>
      </c>
      <c r="K19" s="1">
        <v>0.37</v>
      </c>
      <c r="L19" s="1">
        <v>0.38</v>
      </c>
      <c r="M19" s="1">
        <v>0.34</v>
      </c>
      <c r="N19" s="1">
        <v>0.37</v>
      </c>
      <c r="O19" s="1">
        <v>0.39</v>
      </c>
      <c r="P19" s="1">
        <v>0.37</v>
      </c>
      <c r="Q19" s="1">
        <v>0.41</v>
      </c>
      <c r="R19" s="1">
        <v>0.43</v>
      </c>
      <c r="S19" s="1">
        <f t="shared" si="0"/>
        <v>0.43</v>
      </c>
    </row>
    <row r="22" spans="1:19" ht="25" customHeight="1">
      <c r="B22" t="s">
        <v>1</v>
      </c>
      <c r="C22" t="s">
        <v>2</v>
      </c>
      <c r="D22" t="s">
        <v>32</v>
      </c>
      <c r="E22" t="s">
        <v>4</v>
      </c>
      <c r="F22" t="s">
        <v>33</v>
      </c>
      <c r="G22" t="s">
        <v>6</v>
      </c>
      <c r="H22" t="s">
        <v>7</v>
      </c>
      <c r="I22" t="s">
        <v>8</v>
      </c>
      <c r="J22" t="s">
        <v>12</v>
      </c>
      <c r="K22" t="s">
        <v>13</v>
      </c>
      <c r="L22" t="s">
        <v>14</v>
      </c>
      <c r="M22" t="s">
        <v>15</v>
      </c>
      <c r="N22" t="s">
        <v>16</v>
      </c>
      <c r="O22" t="s">
        <v>17</v>
      </c>
      <c r="P22" t="s">
        <v>21</v>
      </c>
      <c r="Q22" t="s">
        <v>22</v>
      </c>
      <c r="R22" t="s">
        <v>23</v>
      </c>
      <c r="S22" t="s">
        <v>24</v>
      </c>
    </row>
    <row r="23" spans="1:19" ht="25" customHeight="1">
      <c r="B23">
        <v>1</v>
      </c>
      <c r="C23" t="s">
        <v>26</v>
      </c>
      <c r="D23" t="b">
        <v>1</v>
      </c>
      <c r="E23">
        <v>0</v>
      </c>
      <c r="F23" t="s">
        <v>24</v>
      </c>
      <c r="G23" s="1" cm="1">
        <f t="array" ref="G23">_xlfn.LET(_xlpm.d,G$2:G$19,_xlpm.a,$C$2:$C$19=$C23,_xlpm.b,$D$2:$D$19=$D23,MAX(_xlfn._xlws.FILTER(_xlpm.d,_xlpm.a*_xlpm.b)))</f>
        <v>0.78</v>
      </c>
      <c r="H23" s="1" cm="1">
        <f t="array" ref="H23">_xlfn.LET(_xlpm.d,H$2:H$19,_xlpm.a,$C$2:$C$19=$C23,_xlpm.b,$D$2:$D$19=$D23,MAX(_xlfn._xlws.FILTER(_xlpm.d,_xlpm.a*_xlpm.b)))</f>
        <v>0.87</v>
      </c>
      <c r="I23" s="1" cm="1">
        <f t="array" ref="I23">_xlfn.LET(_xlpm.d,I$2:I$19,_xlpm.a,$C$2:$C$19=$C23,_xlpm.b,$D$2:$D$19=$D23,MAX(_xlfn._xlws.FILTER(_xlpm.d,_xlpm.a*_xlpm.b)))</f>
        <v>0.81</v>
      </c>
      <c r="J23" s="1" cm="1">
        <f t="array" ref="J23">_xlfn.LET(_xlpm.d,J$2:J$19,_xlpm.a,$C$2:$C$19=$C23,_xlpm.b,$D$2:$D$19=$D23,MAX(_xlfn._xlws.FILTER(_xlpm.d,_xlpm.a*_xlpm.b)))</f>
        <v>0.84</v>
      </c>
      <c r="K23" s="1" cm="1">
        <f t="array" ref="K23">_xlfn.LET(_xlpm.d,K$2:K$19,_xlpm.a,$C$2:$C$19=$C23,_xlpm.b,$D$2:$D$19=$D23,MAX(_xlfn._xlws.FILTER(_xlpm.d,_xlpm.a*_xlpm.b)))</f>
        <v>0.8</v>
      </c>
      <c r="L23" s="1" cm="1">
        <f t="array" ref="L23">_xlfn.LET(_xlpm.d,L$2:L$19,_xlpm.a,$C$2:$C$19=$C23,_xlpm.b,$D$2:$D$19=$D23,MAX(_xlfn._xlws.FILTER(_xlpm.d,_xlpm.a*_xlpm.b)))</f>
        <v>0.77</v>
      </c>
      <c r="M23" s="1" cm="1">
        <f t="array" ref="M23">_xlfn.LET(_xlpm.d,M$2:M$19,_xlpm.a,$C$2:$C$19=$C23,_xlpm.b,$D$2:$D$19=$D23,MAX(_xlfn._xlws.FILTER(_xlpm.d,_xlpm.a*_xlpm.b)))</f>
        <v>0.87</v>
      </c>
      <c r="N23" s="1" cm="1">
        <f t="array" ref="N23">_xlfn.LET(_xlpm.d,N$2:N$19,_xlpm.a,$C$2:$C$19=$C23,_xlpm.b,$D$2:$D$19=$D23,MAX(_xlfn._xlws.FILTER(_xlpm.d,_xlpm.a*_xlpm.b)))</f>
        <v>0.86</v>
      </c>
      <c r="O23" s="1" cm="1">
        <f t="array" ref="O23">_xlfn.LET(_xlpm.d,O$2:O$19,_xlpm.a,$C$2:$C$19=$C23,_xlpm.b,$D$2:$D$19=$D23,MAX(_xlfn._xlws.FILTER(_xlpm.d,_xlpm.a*_xlpm.b)))</f>
        <v>0.85</v>
      </c>
      <c r="P23" s="1" cm="1">
        <f t="array" ref="P23">_xlfn.LET(_xlpm.d,P$2:P$19,_xlpm.a,$C$2:$C$19=$C23,_xlpm.b,$D$2:$D$19=$D23,MAX(_xlfn._xlws.FILTER(_xlpm.d,_xlpm.a*_xlpm.b)))</f>
        <v>0.84</v>
      </c>
      <c r="Q23" s="1" cm="1">
        <f t="array" ref="Q23">_xlfn.LET(_xlpm.d,Q$2:Q$19,_xlpm.a,$C$2:$C$19=$C23,_xlpm.b,$D$2:$D$19=$D23,MAX(_xlfn._xlws.FILTER(_xlpm.d,_xlpm.a*_xlpm.b)))</f>
        <v>0.84</v>
      </c>
      <c r="R23" s="1" cm="1">
        <f t="array" ref="R23">_xlfn.LET(_xlpm.d,R$2:R$19,_xlpm.a,$C$2:$C$19=$C23,_xlpm.b,$D$2:$D$19=$D23,MAX(_xlfn._xlws.FILTER(_xlpm.d,_xlpm.a*_xlpm.b)))</f>
        <v>0.82</v>
      </c>
      <c r="S23" s="1" cm="1">
        <f t="array" ref="S23">_xlfn.LET(_xlpm.d,S$2:S$19,_xlpm.a,$C$2:$C$19=$C23,_xlpm.b,$D$2:$D$19=$D23,MAX(_xlfn._xlws.FILTER(_xlpm.d,_xlpm.a*_xlpm.b)))</f>
        <v>0.87</v>
      </c>
    </row>
    <row r="24" spans="1:19" ht="25" customHeight="1">
      <c r="B24">
        <v>1</v>
      </c>
      <c r="C24" t="s">
        <v>26</v>
      </c>
      <c r="D24" t="b">
        <v>0</v>
      </c>
      <c r="E24">
        <v>0</v>
      </c>
      <c r="F24" t="s">
        <v>24</v>
      </c>
      <c r="G24" s="1" cm="1">
        <f t="array" ref="G24">_xlfn.LET(_xlpm.d,G$2:G$19,_xlpm.a,$C$2:$C$19=$C24,_xlpm.b,$D$2:$D$19=$D24,MAX(_xlfn._xlws.FILTER(_xlpm.d,_xlpm.a*_xlpm.b)))</f>
        <v>0.76</v>
      </c>
      <c r="H24" s="1" cm="1">
        <f t="array" ref="H24">_xlfn.LET(_xlpm.d,H$2:H$19,_xlpm.a,$C$2:$C$19=$C24,_xlpm.b,$D$2:$D$19=$D24,MAX(_xlfn._xlws.FILTER(_xlpm.d,_xlpm.a*_xlpm.b)))</f>
        <v>0.81</v>
      </c>
      <c r="I24" s="1" cm="1">
        <f t="array" ref="I24">_xlfn.LET(_xlpm.d,I$2:I$19,_xlpm.a,$C$2:$C$19=$C24,_xlpm.b,$D$2:$D$19=$D24,MAX(_xlfn._xlws.FILTER(_xlpm.d,_xlpm.a*_xlpm.b)))</f>
        <v>0.79</v>
      </c>
      <c r="J24" s="1" cm="1">
        <f t="array" ref="J24">_xlfn.LET(_xlpm.d,J$2:J$19,_xlpm.a,$C$2:$C$19=$C24,_xlpm.b,$D$2:$D$19=$D24,MAX(_xlfn._xlws.FILTER(_xlpm.d,_xlpm.a*_xlpm.b)))</f>
        <v>0.84</v>
      </c>
      <c r="K24" s="1" cm="1">
        <f t="array" ref="K24">_xlfn.LET(_xlpm.d,K$2:K$19,_xlpm.a,$C$2:$C$19=$C24,_xlpm.b,$D$2:$D$19=$D24,MAX(_xlfn._xlws.FILTER(_xlpm.d,_xlpm.a*_xlpm.b)))</f>
        <v>0.78</v>
      </c>
      <c r="L24" s="1" cm="1">
        <f t="array" ref="L24">_xlfn.LET(_xlpm.d,L$2:L$19,_xlpm.a,$C$2:$C$19=$C24,_xlpm.b,$D$2:$D$19=$D24,MAX(_xlfn._xlws.FILTER(_xlpm.d,_xlpm.a*_xlpm.b)))</f>
        <v>0.79</v>
      </c>
      <c r="M24" s="1" cm="1">
        <f t="array" ref="M24">_xlfn.LET(_xlpm.d,M$2:M$19,_xlpm.a,$C$2:$C$19=$C24,_xlpm.b,$D$2:$D$19=$D24,MAX(_xlfn._xlws.FILTER(_xlpm.d,_xlpm.a*_xlpm.b)))</f>
        <v>0.84</v>
      </c>
      <c r="N24" s="1" cm="1">
        <f t="array" ref="N24">_xlfn.LET(_xlpm.d,N$2:N$19,_xlpm.a,$C$2:$C$19=$C24,_xlpm.b,$D$2:$D$19=$D24,MAX(_xlfn._xlws.FILTER(_xlpm.d,_xlpm.a*_xlpm.b)))</f>
        <v>0.82</v>
      </c>
      <c r="O24" s="1" cm="1">
        <f t="array" ref="O24">_xlfn.LET(_xlpm.d,O$2:O$19,_xlpm.a,$C$2:$C$19=$C24,_xlpm.b,$D$2:$D$19=$D24,MAX(_xlfn._xlws.FILTER(_xlpm.d,_xlpm.a*_xlpm.b)))</f>
        <v>0.83</v>
      </c>
      <c r="P24" s="1" cm="1">
        <f t="array" ref="P24">_xlfn.LET(_xlpm.d,P$2:P$19,_xlpm.a,$C$2:$C$19=$C24,_xlpm.b,$D$2:$D$19=$D24,MAX(_xlfn._xlws.FILTER(_xlpm.d,_xlpm.a*_xlpm.b)))</f>
        <v>0.83</v>
      </c>
      <c r="Q24" s="1" cm="1">
        <f t="array" ref="Q24">_xlfn.LET(_xlpm.d,Q$2:Q$19,_xlpm.a,$C$2:$C$19=$C24,_xlpm.b,$D$2:$D$19=$D24,MAX(_xlfn._xlws.FILTER(_xlpm.d,_xlpm.a*_xlpm.b)))</f>
        <v>0.84</v>
      </c>
      <c r="R24" s="1" cm="1">
        <f t="array" ref="R24">_xlfn.LET(_xlpm.d,R$2:R$19,_xlpm.a,$C$2:$C$19=$C24,_xlpm.b,$D$2:$D$19=$D24,MAX(_xlfn._xlws.FILTER(_xlpm.d,_xlpm.a*_xlpm.b)))</f>
        <v>0.83</v>
      </c>
      <c r="S24" s="1" cm="1">
        <f t="array" ref="S24">_xlfn.LET(_xlpm.d,S$2:S$19,_xlpm.a,$C$2:$C$19=$C24,_xlpm.b,$D$2:$D$19=$D24,MAX(_xlfn._xlws.FILTER(_xlpm.d,_xlpm.a*_xlpm.b)))</f>
        <v>0.84</v>
      </c>
    </row>
    <row r="25" spans="1:19" ht="25" customHeight="1">
      <c r="B25">
        <v>2</v>
      </c>
      <c r="C25" t="s">
        <v>30</v>
      </c>
      <c r="D25" t="b">
        <v>1</v>
      </c>
      <c r="E25">
        <v>0</v>
      </c>
      <c r="F25" t="s">
        <v>24</v>
      </c>
      <c r="G25" s="1" cm="1">
        <f t="array" ref="G25">_xlfn.LET(_xlpm.d,G$2:G$19,_xlpm.a,$C$2:$C$19=$C25,_xlpm.b,$D$2:$D$19=$D25,MAX(_xlfn._xlws.FILTER(_xlpm.d,_xlpm.a*_xlpm.b)))</f>
        <v>0.57999999999999996</v>
      </c>
      <c r="H25" s="1" cm="1">
        <f t="array" ref="H25">_xlfn.LET(_xlpm.d,H$2:H$19,_xlpm.a,$C$2:$C$19=$C25,_xlpm.b,$D$2:$D$19=$D25,MAX(_xlfn._xlws.FILTER(_xlpm.d,_xlpm.a*_xlpm.b)))</f>
        <v>0.57999999999999996</v>
      </c>
      <c r="I25" s="1" cm="1">
        <f t="array" ref="I25">_xlfn.LET(_xlpm.d,I$2:I$19,_xlpm.a,$C$2:$C$19=$C25,_xlpm.b,$D$2:$D$19=$D25,MAX(_xlfn._xlws.FILTER(_xlpm.d,_xlpm.a*_xlpm.b)))</f>
        <v>0.61</v>
      </c>
      <c r="J25" s="1" cm="1">
        <f t="array" ref="J25">_xlfn.LET(_xlpm.d,J$2:J$19,_xlpm.a,$C$2:$C$19=$C25,_xlpm.b,$D$2:$D$19=$D25,MAX(_xlfn._xlws.FILTER(_xlpm.d,_xlpm.a*_xlpm.b)))</f>
        <v>0.63</v>
      </c>
      <c r="K25" s="1" cm="1">
        <f t="array" ref="K25">_xlfn.LET(_xlpm.d,K$2:K$19,_xlpm.a,$C$2:$C$19=$C25,_xlpm.b,$D$2:$D$19=$D25,MAX(_xlfn._xlws.FILTER(_xlpm.d,_xlpm.a*_xlpm.b)))</f>
        <v>0.56000000000000005</v>
      </c>
      <c r="L25" s="1" cm="1">
        <f t="array" ref="L25">_xlfn.LET(_xlpm.d,L$2:L$19,_xlpm.a,$C$2:$C$19=$C25,_xlpm.b,$D$2:$D$19=$D25,MAX(_xlfn._xlws.FILTER(_xlpm.d,_xlpm.a*_xlpm.b)))</f>
        <v>0.56000000000000005</v>
      </c>
      <c r="M25" s="1" cm="1">
        <f t="array" ref="M25">_xlfn.LET(_xlpm.d,M$2:M$19,_xlpm.a,$C$2:$C$19=$C25,_xlpm.b,$D$2:$D$19=$D25,MAX(_xlfn._xlws.FILTER(_xlpm.d,_xlpm.a*_xlpm.b)))</f>
        <v>0.64</v>
      </c>
      <c r="N25" s="1" cm="1">
        <f t="array" ref="N25">_xlfn.LET(_xlpm.d,N$2:N$19,_xlpm.a,$C$2:$C$19=$C25,_xlpm.b,$D$2:$D$19=$D25,MAX(_xlfn._xlws.FILTER(_xlpm.d,_xlpm.a*_xlpm.b)))</f>
        <v>0.63</v>
      </c>
      <c r="O25" s="1" cm="1">
        <f t="array" ref="O25">_xlfn.LET(_xlpm.d,O$2:O$19,_xlpm.a,$C$2:$C$19=$C25,_xlpm.b,$D$2:$D$19=$D25,MAX(_xlfn._xlws.FILTER(_xlpm.d,_xlpm.a*_xlpm.b)))</f>
        <v>0.63</v>
      </c>
      <c r="P25" s="1" cm="1">
        <f t="array" ref="P25">_xlfn.LET(_xlpm.d,P$2:P$19,_xlpm.a,$C$2:$C$19=$C25,_xlpm.b,$D$2:$D$19=$D25,MAX(_xlfn._xlws.FILTER(_xlpm.d,_xlpm.a*_xlpm.b)))</f>
        <v>0.59</v>
      </c>
      <c r="Q25" s="1" cm="1">
        <f t="array" ref="Q25">_xlfn.LET(_xlpm.d,Q$2:Q$19,_xlpm.a,$C$2:$C$19=$C25,_xlpm.b,$D$2:$D$19=$D25,MAX(_xlfn._xlws.FILTER(_xlpm.d,_xlpm.a*_xlpm.b)))</f>
        <v>0.62</v>
      </c>
      <c r="R25" s="1" cm="1">
        <f t="array" ref="R25">_xlfn.LET(_xlpm.d,R$2:R$19,_xlpm.a,$C$2:$C$19=$C25,_xlpm.b,$D$2:$D$19=$D25,MAX(_xlfn._xlws.FILTER(_xlpm.d,_xlpm.a*_xlpm.b)))</f>
        <v>0.56000000000000005</v>
      </c>
      <c r="S25" s="1" cm="1">
        <f t="array" ref="S25">_xlfn.LET(_xlpm.d,S$2:S$19,_xlpm.a,$C$2:$C$19=$C25,_xlpm.b,$D$2:$D$19=$D25,MAX(_xlfn._xlws.FILTER(_xlpm.d,_xlpm.a*_xlpm.b)))</f>
        <v>0.64</v>
      </c>
    </row>
    <row r="26" spans="1:19" ht="25" customHeight="1">
      <c r="B26">
        <v>2</v>
      </c>
      <c r="C26" t="s">
        <v>30</v>
      </c>
      <c r="D26" t="b">
        <v>0</v>
      </c>
      <c r="E26">
        <v>0</v>
      </c>
      <c r="F26" t="s">
        <v>24</v>
      </c>
      <c r="G26" s="1" cm="1">
        <f t="array" ref="G26">_xlfn.LET(_xlpm.d,G$2:G$19,_xlpm.a,$C$2:$C$19=$C26,_xlpm.b,$D$2:$D$19=$D26,MAX(_xlfn._xlws.FILTER(_xlpm.d,_xlpm.a*_xlpm.b)))</f>
        <v>0.56999999999999995</v>
      </c>
      <c r="H26" s="1" cm="1">
        <f t="array" ref="H26">_xlfn.LET(_xlpm.d,H$2:H$19,_xlpm.a,$C$2:$C$19=$C26,_xlpm.b,$D$2:$D$19=$D26,MAX(_xlfn._xlws.FILTER(_xlpm.d,_xlpm.a*_xlpm.b)))</f>
        <v>0.56999999999999995</v>
      </c>
      <c r="I26" s="1" cm="1">
        <f t="array" ref="I26">_xlfn.LET(_xlpm.d,I$2:I$19,_xlpm.a,$C$2:$C$19=$C26,_xlpm.b,$D$2:$D$19=$D26,MAX(_xlfn._xlws.FILTER(_xlpm.d,_xlpm.a*_xlpm.b)))</f>
        <v>0.56999999999999995</v>
      </c>
      <c r="J26" s="1" cm="1">
        <f t="array" ref="J26">_xlfn.LET(_xlpm.d,J$2:J$19,_xlpm.a,$C$2:$C$19=$C26,_xlpm.b,$D$2:$D$19=$D26,MAX(_xlfn._xlws.FILTER(_xlpm.d,_xlpm.a*_xlpm.b)))</f>
        <v>0.59</v>
      </c>
      <c r="K26" s="1" cm="1">
        <f t="array" ref="K26">_xlfn.LET(_xlpm.d,K$2:K$19,_xlpm.a,$C$2:$C$19=$C26,_xlpm.b,$D$2:$D$19=$D26,MAX(_xlfn._xlws.FILTER(_xlpm.d,_xlpm.a*_xlpm.b)))</f>
        <v>0.56000000000000005</v>
      </c>
      <c r="L26" s="1" cm="1">
        <f t="array" ref="L26">_xlfn.LET(_xlpm.d,L$2:L$19,_xlpm.a,$C$2:$C$19=$C26,_xlpm.b,$D$2:$D$19=$D26,MAX(_xlfn._xlws.FILTER(_xlpm.d,_xlpm.a*_xlpm.b)))</f>
        <v>0.56999999999999995</v>
      </c>
      <c r="M26" s="1" cm="1">
        <f t="array" ref="M26">_xlfn.LET(_xlpm.d,M$2:M$19,_xlpm.a,$C$2:$C$19=$C26,_xlpm.b,$D$2:$D$19=$D26,MAX(_xlfn._xlws.FILTER(_xlpm.d,_xlpm.a*_xlpm.b)))</f>
        <v>0.57999999999999996</v>
      </c>
      <c r="N26" s="1" cm="1">
        <f t="array" ref="N26">_xlfn.LET(_xlpm.d,N$2:N$19,_xlpm.a,$C$2:$C$19=$C26,_xlpm.b,$D$2:$D$19=$D26,MAX(_xlfn._xlws.FILTER(_xlpm.d,_xlpm.a*_xlpm.b)))</f>
        <v>0.59</v>
      </c>
      <c r="O26" s="1" cm="1">
        <f t="array" ref="O26">_xlfn.LET(_xlpm.d,O$2:O$19,_xlpm.a,$C$2:$C$19=$C26,_xlpm.b,$D$2:$D$19=$D26,MAX(_xlfn._xlws.FILTER(_xlpm.d,_xlpm.a*_xlpm.b)))</f>
        <v>0.61</v>
      </c>
      <c r="P26" s="1" cm="1">
        <f t="array" ref="P26">_xlfn.LET(_xlpm.d,P$2:P$19,_xlpm.a,$C$2:$C$19=$C26,_xlpm.b,$D$2:$D$19=$D26,MAX(_xlfn._xlws.FILTER(_xlpm.d,_xlpm.a*_xlpm.b)))</f>
        <v>0.6</v>
      </c>
      <c r="Q26" s="1" cm="1">
        <f t="array" ref="Q26">_xlfn.LET(_xlpm.d,Q$2:Q$19,_xlpm.a,$C$2:$C$19=$C26,_xlpm.b,$D$2:$D$19=$D26,MAX(_xlfn._xlws.FILTER(_xlpm.d,_xlpm.a*_xlpm.b)))</f>
        <v>0.61</v>
      </c>
      <c r="R26" s="1" cm="1">
        <f t="array" ref="R26">_xlfn.LET(_xlpm.d,R$2:R$19,_xlpm.a,$C$2:$C$19=$C26,_xlpm.b,$D$2:$D$19=$D26,MAX(_xlfn._xlws.FILTER(_xlpm.d,_xlpm.a*_xlpm.b)))</f>
        <v>0.55000000000000004</v>
      </c>
      <c r="S26" s="1" cm="1">
        <f t="array" ref="S26">_xlfn.LET(_xlpm.d,S$2:S$19,_xlpm.a,$C$2:$C$19=$C26,_xlpm.b,$D$2:$D$19=$D26,MAX(_xlfn._xlws.FILTER(_xlpm.d,_xlpm.a*_xlpm.b)))</f>
        <v>0.61</v>
      </c>
    </row>
    <row r="27" spans="1:19" ht="25" customHeight="1">
      <c r="B27">
        <v>3</v>
      </c>
      <c r="C27" t="s">
        <v>31</v>
      </c>
      <c r="D27" t="b">
        <v>1</v>
      </c>
      <c r="E27">
        <v>0</v>
      </c>
      <c r="F27" t="s">
        <v>24</v>
      </c>
      <c r="G27" s="1" cm="1">
        <f t="array" ref="G27">_xlfn.LET(_xlpm.d,G$2:G$19,_xlpm.a,$C$2:$C$19=$C27,_xlpm.b,$D$2:$D$19=$D27,MAX(_xlfn._xlws.FILTER(_xlpm.d,_xlpm.a*_xlpm.b)))</f>
        <v>0.41</v>
      </c>
      <c r="H27" s="1" cm="1">
        <f t="array" ref="H27">_xlfn.LET(_xlpm.d,H$2:H$19,_xlpm.a,$C$2:$C$19=$C27,_xlpm.b,$D$2:$D$19=$D27,MAX(_xlfn._xlws.FILTER(_xlpm.d,_xlpm.a*_xlpm.b)))</f>
        <v>0.41</v>
      </c>
      <c r="I27" s="1" cm="1">
        <f t="array" ref="I27">_xlfn.LET(_xlpm.d,I$2:I$19,_xlpm.a,$C$2:$C$19=$C27,_xlpm.b,$D$2:$D$19=$D27,MAX(_xlfn._xlws.FILTER(_xlpm.d,_xlpm.a*_xlpm.b)))</f>
        <v>0.37</v>
      </c>
      <c r="J27" s="1" cm="1">
        <f t="array" ref="J27">_xlfn.LET(_xlpm.d,J$2:J$19,_xlpm.a,$C$2:$C$19=$C27,_xlpm.b,$D$2:$D$19=$D27,MAX(_xlfn._xlws.FILTER(_xlpm.d,_xlpm.a*_xlpm.b)))</f>
        <v>0.46</v>
      </c>
      <c r="K27" s="1" cm="1">
        <f t="array" ref="K27">_xlfn.LET(_xlpm.d,K$2:K$19,_xlpm.a,$C$2:$C$19=$C27,_xlpm.b,$D$2:$D$19=$D27,MAX(_xlfn._xlws.FILTER(_xlpm.d,_xlpm.a*_xlpm.b)))</f>
        <v>0.42</v>
      </c>
      <c r="L27" s="1" cm="1">
        <f t="array" ref="L27">_xlfn.LET(_xlpm.d,L$2:L$19,_xlpm.a,$C$2:$C$19=$C27,_xlpm.b,$D$2:$D$19=$D27,MAX(_xlfn._xlws.FILTER(_xlpm.d,_xlpm.a*_xlpm.b)))</f>
        <v>0.41</v>
      </c>
      <c r="M27" s="1" cm="1">
        <f t="array" ref="M27">_xlfn.LET(_xlpm.d,M$2:M$19,_xlpm.a,$C$2:$C$19=$C27,_xlpm.b,$D$2:$D$19=$D27,MAX(_xlfn._xlws.FILTER(_xlpm.d,_xlpm.a*_xlpm.b)))</f>
        <v>0.43</v>
      </c>
      <c r="N27" s="1" cm="1">
        <f t="array" ref="N27">_xlfn.LET(_xlpm.d,N$2:N$19,_xlpm.a,$C$2:$C$19=$C27,_xlpm.b,$D$2:$D$19=$D27,MAX(_xlfn._xlws.FILTER(_xlpm.d,_xlpm.a*_xlpm.b)))</f>
        <v>0.47</v>
      </c>
      <c r="O27" s="1" cm="1">
        <f t="array" ref="O27">_xlfn.LET(_xlpm.d,O$2:O$19,_xlpm.a,$C$2:$C$19=$C27,_xlpm.b,$D$2:$D$19=$D27,MAX(_xlfn._xlws.FILTER(_xlpm.d,_xlpm.a*_xlpm.b)))</f>
        <v>0.39</v>
      </c>
      <c r="P27" s="1" cm="1">
        <f t="array" ref="P27">_xlfn.LET(_xlpm.d,P$2:P$19,_xlpm.a,$C$2:$C$19=$C27,_xlpm.b,$D$2:$D$19=$D27,MAX(_xlfn._xlws.FILTER(_xlpm.d,_xlpm.a*_xlpm.b)))</f>
        <v>0.42</v>
      </c>
      <c r="Q27" s="1" cm="1">
        <f t="array" ref="Q27">_xlfn.LET(_xlpm.d,Q$2:Q$19,_xlpm.a,$C$2:$C$19=$C27,_xlpm.b,$D$2:$D$19=$D27,MAX(_xlfn._xlws.FILTER(_xlpm.d,_xlpm.a*_xlpm.b)))</f>
        <v>0.44</v>
      </c>
      <c r="R27" s="1" cm="1">
        <f t="array" ref="R27">_xlfn.LET(_xlpm.d,R$2:R$19,_xlpm.a,$C$2:$C$19=$C27,_xlpm.b,$D$2:$D$19=$D27,MAX(_xlfn._xlws.FILTER(_xlpm.d,_xlpm.a*_xlpm.b)))</f>
        <v>0.41</v>
      </c>
      <c r="S27" s="1" cm="1">
        <f t="array" ref="S27">_xlfn.LET(_xlpm.d,S$2:S$19,_xlpm.a,$C$2:$C$19=$C27,_xlpm.b,$D$2:$D$19=$D27,MAX(_xlfn._xlws.FILTER(_xlpm.d,_xlpm.a*_xlpm.b)))</f>
        <v>0.47</v>
      </c>
    </row>
    <row r="28" spans="1:19" ht="25" customHeight="1">
      <c r="B28">
        <v>3</v>
      </c>
      <c r="C28" t="s">
        <v>31</v>
      </c>
      <c r="D28" t="b">
        <v>0</v>
      </c>
      <c r="E28">
        <v>0</v>
      </c>
      <c r="F28" t="s">
        <v>24</v>
      </c>
      <c r="G28" s="1" cm="1">
        <f t="array" ref="G28">_xlfn.LET(_xlpm.d,G$2:G$19,_xlpm.a,$C$2:$C$19=$C28,_xlpm.b,$D$2:$D$19=$D28,MAX(_xlfn._xlws.FILTER(_xlpm.d,_xlpm.a*_xlpm.b)))</f>
        <v>0.36</v>
      </c>
      <c r="H28" s="1" cm="1">
        <f t="array" ref="H28">_xlfn.LET(_xlpm.d,H$2:H$19,_xlpm.a,$C$2:$C$19=$C28,_xlpm.b,$D$2:$D$19=$D28,MAX(_xlfn._xlws.FILTER(_xlpm.d,_xlpm.a*_xlpm.b)))</f>
        <v>0.4</v>
      </c>
      <c r="I28" s="1" cm="1">
        <f t="array" ref="I28">_xlfn.LET(_xlpm.d,I$2:I$19,_xlpm.a,$C$2:$C$19=$C28,_xlpm.b,$D$2:$D$19=$D28,MAX(_xlfn._xlws.FILTER(_xlpm.d,_xlpm.a*_xlpm.b)))</f>
        <v>0.36</v>
      </c>
      <c r="J28" s="1" cm="1">
        <f t="array" ref="J28">_xlfn.LET(_xlpm.d,J$2:J$19,_xlpm.a,$C$2:$C$19=$C28,_xlpm.b,$D$2:$D$19=$D28,MAX(_xlfn._xlws.FILTER(_xlpm.d,_xlpm.a*_xlpm.b)))</f>
        <v>0.43</v>
      </c>
      <c r="K28" s="1" cm="1">
        <f t="array" ref="K28">_xlfn.LET(_xlpm.d,K$2:K$19,_xlpm.a,$C$2:$C$19=$C28,_xlpm.b,$D$2:$D$19=$D28,MAX(_xlfn._xlws.FILTER(_xlpm.d,_xlpm.a*_xlpm.b)))</f>
        <v>0.39</v>
      </c>
      <c r="L28" s="1" cm="1">
        <f t="array" ref="L28">_xlfn.LET(_xlpm.d,L$2:L$19,_xlpm.a,$C$2:$C$19=$C28,_xlpm.b,$D$2:$D$19=$D28,MAX(_xlfn._xlws.FILTER(_xlpm.d,_xlpm.a*_xlpm.b)))</f>
        <v>0.4</v>
      </c>
      <c r="M28" s="1" cm="1">
        <f t="array" ref="M28">_xlfn.LET(_xlpm.d,M$2:M$19,_xlpm.a,$C$2:$C$19=$C28,_xlpm.b,$D$2:$D$19=$D28,MAX(_xlfn._xlws.FILTER(_xlpm.d,_xlpm.a*_xlpm.b)))</f>
        <v>0.45</v>
      </c>
      <c r="N28" s="1" cm="1">
        <f t="array" ref="N28">_xlfn.LET(_xlpm.d,N$2:N$19,_xlpm.a,$C$2:$C$19=$C28,_xlpm.b,$D$2:$D$19=$D28,MAX(_xlfn._xlws.FILTER(_xlpm.d,_xlpm.a*_xlpm.b)))</f>
        <v>0.43</v>
      </c>
      <c r="O28" s="1" cm="1">
        <f t="array" ref="O28">_xlfn.LET(_xlpm.d,O$2:O$19,_xlpm.a,$C$2:$C$19=$C28,_xlpm.b,$D$2:$D$19=$D28,MAX(_xlfn._xlws.FILTER(_xlpm.d,_xlpm.a*_xlpm.b)))</f>
        <v>0.41</v>
      </c>
      <c r="P28" s="1" cm="1">
        <f t="array" ref="P28">_xlfn.LET(_xlpm.d,P$2:P$19,_xlpm.a,$C$2:$C$19=$C28,_xlpm.b,$D$2:$D$19=$D28,MAX(_xlfn._xlws.FILTER(_xlpm.d,_xlpm.a*_xlpm.b)))</f>
        <v>0.42</v>
      </c>
      <c r="Q28" s="1" cm="1">
        <f t="array" ref="Q28">_xlfn.LET(_xlpm.d,Q$2:Q$19,_xlpm.a,$C$2:$C$19=$C28,_xlpm.b,$D$2:$D$19=$D28,MAX(_xlfn._xlws.FILTER(_xlpm.d,_xlpm.a*_xlpm.b)))</f>
        <v>0.41</v>
      </c>
      <c r="R28" s="1" cm="1">
        <f t="array" ref="R28">_xlfn.LET(_xlpm.d,R$2:R$19,_xlpm.a,$C$2:$C$19=$C28,_xlpm.b,$D$2:$D$19=$D28,MAX(_xlfn._xlws.FILTER(_xlpm.d,_xlpm.a*_xlpm.b)))</f>
        <v>0.43</v>
      </c>
      <c r="S28" s="1" cm="1">
        <f t="array" ref="S28">_xlfn.LET(_xlpm.d,S$2:S$19,_xlpm.a,$C$2:$C$19=$C28,_xlpm.b,$D$2:$D$19=$D28,MAX(_xlfn._xlws.FILTER(_xlpm.d,_xlpm.a*_xlpm.b)))</f>
        <v>0.45</v>
      </c>
    </row>
  </sheetData>
  <conditionalFormatting sqref="G2:S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030F7-EAA6-7544-95C2-1FB6D8F48784}">
  <dimension ref="A1:S28"/>
  <sheetViews>
    <sheetView workbookViewId="0"/>
  </sheetViews>
  <sheetFormatPr baseColWidth="10" defaultRowHeight="25" customHeight="1"/>
  <cols>
    <col min="2" max="2" width="8" customWidth="1"/>
    <col min="4" max="4" width="13.75" customWidth="1"/>
    <col min="5" max="5" width="7.25" customWidth="1"/>
    <col min="7" max="19" width="8.75" customWidth="1"/>
  </cols>
  <sheetData>
    <row r="1" spans="1:19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21</v>
      </c>
      <c r="Q1" t="s">
        <v>22</v>
      </c>
      <c r="R1" t="s">
        <v>23</v>
      </c>
      <c r="S1" t="s">
        <v>24</v>
      </c>
    </row>
    <row r="2" spans="1:19" ht="25" customHeight="1">
      <c r="A2" t="s">
        <v>25</v>
      </c>
      <c r="B2">
        <v>1</v>
      </c>
      <c r="C2" t="s">
        <v>26</v>
      </c>
      <c r="D2" t="b">
        <v>1</v>
      </c>
      <c r="E2">
        <v>1</v>
      </c>
      <c r="F2" t="s">
        <v>27</v>
      </c>
      <c r="G2" s="1">
        <v>0.75</v>
      </c>
      <c r="H2" s="1">
        <v>0.84</v>
      </c>
      <c r="I2" s="1">
        <v>0.85</v>
      </c>
      <c r="J2" s="1">
        <v>0.78</v>
      </c>
      <c r="K2" s="1">
        <v>0.79</v>
      </c>
      <c r="L2" s="1">
        <v>0.79</v>
      </c>
      <c r="M2" s="1">
        <v>0.8</v>
      </c>
      <c r="N2" s="1">
        <v>0.8</v>
      </c>
      <c r="O2" s="1">
        <v>0.76</v>
      </c>
      <c r="P2" s="1">
        <v>0.78</v>
      </c>
      <c r="Q2" s="1">
        <v>0.79</v>
      </c>
      <c r="R2" s="1">
        <v>0.77</v>
      </c>
      <c r="S2" s="1">
        <f t="shared" ref="S2:S19" si="0">MAX($G2:$R2)</f>
        <v>0.85</v>
      </c>
    </row>
    <row r="3" spans="1:19" ht="25" customHeight="1">
      <c r="A3" t="s">
        <v>25</v>
      </c>
      <c r="B3">
        <v>1</v>
      </c>
      <c r="C3" t="s">
        <v>26</v>
      </c>
      <c r="D3" t="b">
        <v>0</v>
      </c>
      <c r="E3">
        <v>1</v>
      </c>
      <c r="F3" t="s">
        <v>27</v>
      </c>
      <c r="G3" s="1">
        <v>0.79</v>
      </c>
      <c r="H3" s="1">
        <v>0.84</v>
      </c>
      <c r="I3" s="1">
        <v>0.79</v>
      </c>
      <c r="J3" s="1">
        <v>0.78</v>
      </c>
      <c r="K3" s="1">
        <v>0.74</v>
      </c>
      <c r="L3" s="1">
        <v>0.74</v>
      </c>
      <c r="M3" s="1">
        <v>0.77</v>
      </c>
      <c r="N3" s="1">
        <v>0.76</v>
      </c>
      <c r="O3" s="1">
        <v>0.76</v>
      </c>
      <c r="P3" s="1">
        <v>0.78</v>
      </c>
      <c r="Q3" s="1">
        <v>0.81</v>
      </c>
      <c r="R3" s="1">
        <v>0.78</v>
      </c>
      <c r="S3" s="1">
        <f t="shared" si="0"/>
        <v>0.84</v>
      </c>
    </row>
    <row r="4" spans="1:19" ht="25" customHeight="1">
      <c r="A4" t="s">
        <v>25</v>
      </c>
      <c r="B4">
        <v>1</v>
      </c>
      <c r="C4" t="s">
        <v>26</v>
      </c>
      <c r="D4" t="b">
        <v>0</v>
      </c>
      <c r="E4">
        <v>2</v>
      </c>
      <c r="F4" t="s">
        <v>28</v>
      </c>
      <c r="G4" s="1">
        <v>0.8</v>
      </c>
      <c r="H4" s="1">
        <v>0.86</v>
      </c>
      <c r="I4" s="1">
        <v>0.83</v>
      </c>
      <c r="J4" s="1">
        <v>0.82</v>
      </c>
      <c r="K4" s="1">
        <v>0.82</v>
      </c>
      <c r="L4" s="1">
        <v>0.82</v>
      </c>
      <c r="M4" s="1">
        <v>0.81</v>
      </c>
      <c r="N4" s="1">
        <v>0.8</v>
      </c>
      <c r="O4" s="1">
        <v>0.8</v>
      </c>
      <c r="P4" s="1">
        <v>0.81</v>
      </c>
      <c r="Q4" s="1">
        <v>0.85</v>
      </c>
      <c r="R4" s="1">
        <v>0.81</v>
      </c>
      <c r="S4" s="1">
        <f t="shared" si="0"/>
        <v>0.86</v>
      </c>
    </row>
    <row r="5" spans="1:19" ht="25" customHeight="1">
      <c r="A5" t="s">
        <v>25</v>
      </c>
      <c r="B5">
        <v>1</v>
      </c>
      <c r="C5" t="s">
        <v>26</v>
      </c>
      <c r="D5" t="b">
        <v>1</v>
      </c>
      <c r="E5">
        <v>2</v>
      </c>
      <c r="F5" t="s">
        <v>28</v>
      </c>
      <c r="G5" s="1">
        <v>0.85</v>
      </c>
      <c r="H5" s="1">
        <v>0.89</v>
      </c>
      <c r="I5" s="1">
        <v>0.85</v>
      </c>
      <c r="J5" s="1">
        <v>0.82</v>
      </c>
      <c r="K5" s="1">
        <v>0.84</v>
      </c>
      <c r="L5" s="1">
        <v>0.85</v>
      </c>
      <c r="M5" s="1">
        <v>0.83</v>
      </c>
      <c r="N5" s="1">
        <v>0.81</v>
      </c>
      <c r="O5" s="1">
        <v>0.85</v>
      </c>
      <c r="P5" s="1">
        <v>0.85</v>
      </c>
      <c r="Q5" s="1">
        <v>0.85</v>
      </c>
      <c r="R5" s="1">
        <v>0.81</v>
      </c>
      <c r="S5" s="1">
        <f t="shared" si="0"/>
        <v>0.89</v>
      </c>
    </row>
    <row r="6" spans="1:19" ht="25" customHeight="1">
      <c r="A6" t="s">
        <v>25</v>
      </c>
      <c r="B6">
        <v>1</v>
      </c>
      <c r="C6" t="s">
        <v>26</v>
      </c>
      <c r="D6" t="b">
        <v>0</v>
      </c>
      <c r="E6">
        <v>3</v>
      </c>
      <c r="F6" t="s">
        <v>29</v>
      </c>
      <c r="G6" s="1">
        <v>0.81</v>
      </c>
      <c r="H6" s="1">
        <v>0.8</v>
      </c>
      <c r="I6" s="1">
        <v>0.79</v>
      </c>
      <c r="J6" s="1">
        <v>0.79</v>
      </c>
      <c r="K6" s="1">
        <v>0.78</v>
      </c>
      <c r="L6" s="1">
        <v>0.8</v>
      </c>
      <c r="M6" s="1">
        <v>0.78</v>
      </c>
      <c r="N6" s="1">
        <v>0.78</v>
      </c>
      <c r="O6" s="1">
        <v>0.77</v>
      </c>
      <c r="P6" s="1">
        <v>0.76</v>
      </c>
      <c r="Q6" s="1">
        <v>0.78</v>
      </c>
      <c r="R6" s="1">
        <v>0.78</v>
      </c>
      <c r="S6" s="1">
        <f t="shared" si="0"/>
        <v>0.81</v>
      </c>
    </row>
    <row r="7" spans="1:19" ht="25" customHeight="1">
      <c r="A7" t="s">
        <v>25</v>
      </c>
      <c r="B7">
        <v>1</v>
      </c>
      <c r="C7" t="s">
        <v>26</v>
      </c>
      <c r="D7" t="b">
        <v>1</v>
      </c>
      <c r="E7">
        <v>3</v>
      </c>
      <c r="F7" t="s">
        <v>29</v>
      </c>
      <c r="G7" s="1">
        <v>0.84</v>
      </c>
      <c r="H7" s="1">
        <v>0.84</v>
      </c>
      <c r="I7" s="1">
        <v>0.83</v>
      </c>
      <c r="J7" s="1">
        <v>0.82</v>
      </c>
      <c r="K7" s="1">
        <v>0.78</v>
      </c>
      <c r="L7" s="1">
        <v>0.78</v>
      </c>
      <c r="M7" s="1">
        <v>0.82</v>
      </c>
      <c r="N7" s="1">
        <v>0.82</v>
      </c>
      <c r="O7" s="1">
        <v>0.8</v>
      </c>
      <c r="P7" s="1">
        <v>0.8</v>
      </c>
      <c r="Q7" s="1">
        <v>0.79</v>
      </c>
      <c r="R7" s="1">
        <v>0.8</v>
      </c>
      <c r="S7" s="1">
        <f t="shared" si="0"/>
        <v>0.84</v>
      </c>
    </row>
    <row r="8" spans="1:19" ht="25" customHeight="1">
      <c r="A8" t="s">
        <v>25</v>
      </c>
      <c r="B8">
        <v>2</v>
      </c>
      <c r="C8" t="s">
        <v>30</v>
      </c>
      <c r="D8" t="b">
        <v>0</v>
      </c>
      <c r="E8">
        <v>1</v>
      </c>
      <c r="F8" t="s">
        <v>27</v>
      </c>
      <c r="G8" s="1">
        <v>0.51</v>
      </c>
      <c r="H8" s="1">
        <v>0.55000000000000004</v>
      </c>
      <c r="I8" s="1">
        <v>0.56999999999999995</v>
      </c>
      <c r="J8" s="1">
        <v>0.49</v>
      </c>
      <c r="K8" s="1">
        <v>0.51</v>
      </c>
      <c r="L8" s="1">
        <v>0.51</v>
      </c>
      <c r="M8" s="1">
        <v>0.5</v>
      </c>
      <c r="N8" s="1">
        <v>0.51</v>
      </c>
      <c r="O8" s="1">
        <v>0.51</v>
      </c>
      <c r="P8" s="1">
        <v>0.55000000000000004</v>
      </c>
      <c r="Q8" s="1">
        <v>0.51</v>
      </c>
      <c r="R8" s="1">
        <v>0.55000000000000004</v>
      </c>
      <c r="S8" s="1">
        <f t="shared" si="0"/>
        <v>0.56999999999999995</v>
      </c>
    </row>
    <row r="9" spans="1:19" ht="25" customHeight="1">
      <c r="A9" t="s">
        <v>25</v>
      </c>
      <c r="B9">
        <v>2</v>
      </c>
      <c r="C9" t="s">
        <v>30</v>
      </c>
      <c r="D9" t="b">
        <v>0</v>
      </c>
      <c r="E9">
        <v>2</v>
      </c>
      <c r="F9" t="s">
        <v>28</v>
      </c>
      <c r="G9" s="1">
        <v>0.59</v>
      </c>
      <c r="H9" s="1">
        <v>0.6</v>
      </c>
      <c r="I9" s="1">
        <v>0.66</v>
      </c>
      <c r="J9" s="1">
        <v>0.54</v>
      </c>
      <c r="K9" s="1">
        <v>0.61</v>
      </c>
      <c r="L9" s="1">
        <v>0.59</v>
      </c>
      <c r="M9" s="1">
        <v>0.56000000000000005</v>
      </c>
      <c r="N9" s="1">
        <v>0.62</v>
      </c>
      <c r="O9" s="1">
        <v>0.55000000000000004</v>
      </c>
      <c r="P9" s="1">
        <v>0.63</v>
      </c>
      <c r="Q9" s="1">
        <v>0.59</v>
      </c>
      <c r="R9" s="1">
        <v>0.56999999999999995</v>
      </c>
      <c r="S9" s="1">
        <f t="shared" si="0"/>
        <v>0.66</v>
      </c>
    </row>
    <row r="10" spans="1:19" ht="25" customHeight="1">
      <c r="A10" t="s">
        <v>25</v>
      </c>
      <c r="B10">
        <v>2</v>
      </c>
      <c r="C10" t="s">
        <v>30</v>
      </c>
      <c r="D10" t="b">
        <v>0</v>
      </c>
      <c r="E10">
        <v>3</v>
      </c>
      <c r="F10" t="s">
        <v>29</v>
      </c>
      <c r="G10" s="1">
        <v>0.54</v>
      </c>
      <c r="H10" s="1">
        <v>0.56000000000000005</v>
      </c>
      <c r="I10" s="1">
        <v>0.65</v>
      </c>
      <c r="J10" s="1">
        <v>0.53</v>
      </c>
      <c r="K10" s="1">
        <v>0.62</v>
      </c>
      <c r="L10" s="1">
        <v>0.63</v>
      </c>
      <c r="M10" s="1">
        <v>0.56999999999999995</v>
      </c>
      <c r="N10" s="1">
        <v>0.55000000000000004</v>
      </c>
      <c r="O10" s="1">
        <v>0.57999999999999996</v>
      </c>
      <c r="P10" s="1">
        <v>0.56000000000000005</v>
      </c>
      <c r="Q10" s="1">
        <v>0.6</v>
      </c>
      <c r="R10" s="1">
        <v>0.57999999999999996</v>
      </c>
      <c r="S10" s="1">
        <f t="shared" si="0"/>
        <v>0.65</v>
      </c>
    </row>
    <row r="11" spans="1:19" ht="25" customHeight="1">
      <c r="A11" t="s">
        <v>25</v>
      </c>
      <c r="B11">
        <v>2</v>
      </c>
      <c r="C11" t="s">
        <v>30</v>
      </c>
      <c r="D11" t="b">
        <v>1</v>
      </c>
      <c r="E11">
        <v>2</v>
      </c>
      <c r="F11" t="s">
        <v>28</v>
      </c>
      <c r="G11" s="1">
        <v>0.63</v>
      </c>
      <c r="H11" s="1">
        <v>0.61</v>
      </c>
      <c r="I11" s="1">
        <v>0.66</v>
      </c>
      <c r="J11" s="1">
        <v>0.62</v>
      </c>
      <c r="K11" s="1">
        <v>0.61</v>
      </c>
      <c r="L11" s="1">
        <v>0.6</v>
      </c>
      <c r="M11" s="1">
        <v>0.61</v>
      </c>
      <c r="N11" s="1">
        <v>0.62</v>
      </c>
      <c r="O11" s="1">
        <v>0.56000000000000005</v>
      </c>
      <c r="P11" s="1">
        <v>0.64</v>
      </c>
      <c r="Q11" s="1">
        <v>0.59</v>
      </c>
      <c r="R11" s="1">
        <v>0.56999999999999995</v>
      </c>
      <c r="S11" s="1">
        <f t="shared" si="0"/>
        <v>0.66</v>
      </c>
    </row>
    <row r="12" spans="1:19" ht="25" customHeight="1">
      <c r="A12" t="s">
        <v>25</v>
      </c>
      <c r="B12">
        <v>2</v>
      </c>
      <c r="C12" t="s">
        <v>30</v>
      </c>
      <c r="D12" t="b">
        <v>1</v>
      </c>
      <c r="E12">
        <v>3</v>
      </c>
      <c r="F12" t="s">
        <v>29</v>
      </c>
      <c r="G12" s="1">
        <v>0.55000000000000004</v>
      </c>
      <c r="H12" s="1">
        <v>0.59</v>
      </c>
      <c r="I12" s="1">
        <v>0.64</v>
      </c>
      <c r="J12" s="1">
        <v>0.57999999999999996</v>
      </c>
      <c r="K12" s="1">
        <v>0.57999999999999996</v>
      </c>
      <c r="L12" s="1">
        <v>0.6</v>
      </c>
      <c r="M12" s="1">
        <v>0.56999999999999995</v>
      </c>
      <c r="N12" s="1">
        <v>0.53</v>
      </c>
      <c r="O12" s="1">
        <v>0.64</v>
      </c>
      <c r="P12" s="1">
        <v>0.59</v>
      </c>
      <c r="Q12" s="1">
        <v>0.55000000000000004</v>
      </c>
      <c r="R12" s="1">
        <v>0.61</v>
      </c>
      <c r="S12" s="1">
        <f t="shared" si="0"/>
        <v>0.64</v>
      </c>
    </row>
    <row r="13" spans="1:19" ht="25" customHeight="1">
      <c r="A13" t="s">
        <v>25</v>
      </c>
      <c r="B13">
        <v>2</v>
      </c>
      <c r="C13" t="s">
        <v>30</v>
      </c>
      <c r="D13" t="b">
        <v>1</v>
      </c>
      <c r="E13">
        <v>1</v>
      </c>
      <c r="F13" t="s">
        <v>27</v>
      </c>
      <c r="G13" s="1">
        <v>0.55000000000000004</v>
      </c>
      <c r="H13" s="1">
        <v>0.53</v>
      </c>
      <c r="I13" s="1">
        <v>0.56000000000000005</v>
      </c>
      <c r="J13" s="1">
        <v>0.53</v>
      </c>
      <c r="K13" s="1">
        <v>0.53</v>
      </c>
      <c r="L13" s="1">
        <v>0.53</v>
      </c>
      <c r="M13" s="1">
        <v>0.51</v>
      </c>
      <c r="N13" s="1">
        <v>0.54</v>
      </c>
      <c r="O13" s="1">
        <v>0.57999999999999996</v>
      </c>
      <c r="P13" s="1">
        <v>0.51</v>
      </c>
      <c r="Q13" s="1">
        <v>0.54</v>
      </c>
      <c r="R13" s="1">
        <v>0.51</v>
      </c>
      <c r="S13" s="1">
        <f t="shared" si="0"/>
        <v>0.57999999999999996</v>
      </c>
    </row>
    <row r="14" spans="1:19" ht="25" customHeight="1">
      <c r="A14" t="s">
        <v>25</v>
      </c>
      <c r="B14">
        <v>3</v>
      </c>
      <c r="C14" t="s">
        <v>31</v>
      </c>
      <c r="D14" t="b">
        <v>1</v>
      </c>
      <c r="E14">
        <v>3</v>
      </c>
      <c r="F14" t="s">
        <v>29</v>
      </c>
      <c r="G14" s="1">
        <v>0.34</v>
      </c>
      <c r="H14" s="1">
        <v>0.33</v>
      </c>
      <c r="I14" s="1">
        <v>0.35</v>
      </c>
      <c r="J14" s="1">
        <v>0.35</v>
      </c>
      <c r="K14" s="1">
        <v>0.32</v>
      </c>
      <c r="L14" s="1">
        <v>0.34</v>
      </c>
      <c r="M14" s="1">
        <v>0.38</v>
      </c>
      <c r="N14" s="1">
        <v>0.36</v>
      </c>
      <c r="O14" s="1">
        <v>0.36</v>
      </c>
      <c r="P14" s="1">
        <v>0.4</v>
      </c>
      <c r="Q14" s="1">
        <v>0.38</v>
      </c>
      <c r="R14" s="1">
        <v>0.37</v>
      </c>
      <c r="S14" s="1">
        <f t="shared" si="0"/>
        <v>0.4</v>
      </c>
    </row>
    <row r="15" spans="1:19" ht="25" customHeight="1">
      <c r="A15" t="s">
        <v>25</v>
      </c>
      <c r="B15">
        <v>3</v>
      </c>
      <c r="C15" t="s">
        <v>31</v>
      </c>
      <c r="D15" t="b">
        <v>1</v>
      </c>
      <c r="E15">
        <v>1</v>
      </c>
      <c r="F15" t="s">
        <v>27</v>
      </c>
      <c r="G15" s="1">
        <v>0.34</v>
      </c>
      <c r="H15" s="1">
        <v>0.36</v>
      </c>
      <c r="I15" s="1">
        <v>0.35</v>
      </c>
      <c r="J15" s="1">
        <v>0.38</v>
      </c>
      <c r="K15" s="1">
        <v>0.4</v>
      </c>
      <c r="L15" s="1">
        <v>0.33</v>
      </c>
      <c r="M15" s="1">
        <v>0.33</v>
      </c>
      <c r="N15" s="1">
        <v>0.41</v>
      </c>
      <c r="O15" s="1">
        <v>0.39</v>
      </c>
      <c r="P15" s="1">
        <v>0.43</v>
      </c>
      <c r="Q15" s="1">
        <v>0.36</v>
      </c>
      <c r="R15" s="1">
        <v>0.34</v>
      </c>
      <c r="S15" s="1">
        <f t="shared" si="0"/>
        <v>0.43</v>
      </c>
    </row>
    <row r="16" spans="1:19" ht="25" customHeight="1">
      <c r="A16" t="s">
        <v>25</v>
      </c>
      <c r="B16">
        <v>3</v>
      </c>
      <c r="C16" t="s">
        <v>31</v>
      </c>
      <c r="D16" t="b">
        <v>1</v>
      </c>
      <c r="E16">
        <v>2</v>
      </c>
      <c r="F16" t="s">
        <v>28</v>
      </c>
      <c r="G16" s="1">
        <v>0.44</v>
      </c>
      <c r="H16" s="1">
        <v>0.39</v>
      </c>
      <c r="I16" s="1">
        <v>0.41</v>
      </c>
      <c r="J16" s="1">
        <v>0.46</v>
      </c>
      <c r="K16" s="1">
        <v>0.38</v>
      </c>
      <c r="L16" s="1">
        <v>0.39</v>
      </c>
      <c r="M16" s="1">
        <v>0.46</v>
      </c>
      <c r="N16" s="1">
        <v>0.42</v>
      </c>
      <c r="O16" s="1">
        <v>0.41</v>
      </c>
      <c r="P16" s="1">
        <v>0.45</v>
      </c>
      <c r="Q16" s="1">
        <v>0.43</v>
      </c>
      <c r="R16" s="1">
        <v>0.41</v>
      </c>
      <c r="S16" s="1">
        <f t="shared" si="0"/>
        <v>0.46</v>
      </c>
    </row>
    <row r="17" spans="1:19" ht="25" customHeight="1">
      <c r="A17" t="s">
        <v>25</v>
      </c>
      <c r="B17">
        <v>3</v>
      </c>
      <c r="C17" t="s">
        <v>31</v>
      </c>
      <c r="D17" t="b">
        <v>0</v>
      </c>
      <c r="E17">
        <v>2</v>
      </c>
      <c r="F17" t="s">
        <v>28</v>
      </c>
      <c r="G17" s="1">
        <v>0.4</v>
      </c>
      <c r="H17" s="1">
        <v>0.38</v>
      </c>
      <c r="I17" s="1">
        <v>0.39</v>
      </c>
      <c r="J17" s="1">
        <v>0.46</v>
      </c>
      <c r="K17" s="1">
        <v>0.39</v>
      </c>
      <c r="L17" s="1">
        <v>0.4</v>
      </c>
      <c r="M17" s="1">
        <v>0.38</v>
      </c>
      <c r="N17" s="1">
        <v>0.41</v>
      </c>
      <c r="O17" s="1">
        <v>0.42</v>
      </c>
      <c r="P17" s="1">
        <v>0.47</v>
      </c>
      <c r="Q17" s="1">
        <v>0.44</v>
      </c>
      <c r="R17" s="1">
        <v>0.41</v>
      </c>
      <c r="S17" s="1">
        <f t="shared" si="0"/>
        <v>0.47</v>
      </c>
    </row>
    <row r="18" spans="1:19" ht="25" customHeight="1">
      <c r="A18" t="s">
        <v>25</v>
      </c>
      <c r="B18">
        <v>3</v>
      </c>
      <c r="C18" t="s">
        <v>31</v>
      </c>
      <c r="D18" t="b">
        <v>0</v>
      </c>
      <c r="E18">
        <v>1</v>
      </c>
      <c r="F18" t="s">
        <v>27</v>
      </c>
      <c r="G18" s="1">
        <v>0.35</v>
      </c>
      <c r="H18" s="1">
        <v>0.35</v>
      </c>
      <c r="I18" s="1">
        <v>0.42</v>
      </c>
      <c r="J18" s="1">
        <v>0.37</v>
      </c>
      <c r="K18" s="1">
        <v>0.34</v>
      </c>
      <c r="L18" s="1">
        <v>0.32</v>
      </c>
      <c r="M18" s="1">
        <v>0.36</v>
      </c>
      <c r="N18" s="1">
        <v>0.4</v>
      </c>
      <c r="O18" s="1">
        <v>0.34</v>
      </c>
      <c r="P18" s="1">
        <v>0.37</v>
      </c>
      <c r="Q18" s="1">
        <v>0.35</v>
      </c>
      <c r="R18" s="1">
        <v>0.33</v>
      </c>
      <c r="S18" s="1">
        <f t="shared" si="0"/>
        <v>0.42</v>
      </c>
    </row>
    <row r="19" spans="1:19" ht="25" customHeight="1">
      <c r="A19" t="s">
        <v>25</v>
      </c>
      <c r="B19">
        <v>3</v>
      </c>
      <c r="C19" t="s">
        <v>31</v>
      </c>
      <c r="D19" t="b">
        <v>0</v>
      </c>
      <c r="E19">
        <v>3</v>
      </c>
      <c r="F19" t="s">
        <v>29</v>
      </c>
      <c r="G19" s="1">
        <v>0.35</v>
      </c>
      <c r="H19" s="1">
        <v>0.33</v>
      </c>
      <c r="I19" s="1">
        <v>0.37</v>
      </c>
      <c r="J19" s="1">
        <v>0.37</v>
      </c>
      <c r="K19" s="1">
        <v>0.36</v>
      </c>
      <c r="L19" s="1">
        <v>0.34</v>
      </c>
      <c r="M19" s="1">
        <v>0.28999999999999998</v>
      </c>
      <c r="N19" s="1">
        <v>0.34</v>
      </c>
      <c r="O19" s="1">
        <v>0.34</v>
      </c>
      <c r="P19" s="1">
        <v>0.37</v>
      </c>
      <c r="Q19" s="1">
        <v>0.36</v>
      </c>
      <c r="R19" s="1">
        <v>0.39</v>
      </c>
      <c r="S19" s="1">
        <f t="shared" si="0"/>
        <v>0.39</v>
      </c>
    </row>
    <row r="22" spans="1:19" ht="25" customHeight="1">
      <c r="B22" t="s">
        <v>1</v>
      </c>
      <c r="C22" t="s">
        <v>2</v>
      </c>
      <c r="D22" t="s">
        <v>32</v>
      </c>
      <c r="E22" t="s">
        <v>4</v>
      </c>
      <c r="F22" t="s">
        <v>33</v>
      </c>
      <c r="G22" t="s">
        <v>6</v>
      </c>
      <c r="H22" t="s">
        <v>7</v>
      </c>
      <c r="I22" t="s">
        <v>8</v>
      </c>
      <c r="J22" t="s">
        <v>12</v>
      </c>
      <c r="K22" t="s">
        <v>13</v>
      </c>
      <c r="L22" t="s">
        <v>14</v>
      </c>
      <c r="M22" t="s">
        <v>15</v>
      </c>
      <c r="N22" t="s">
        <v>16</v>
      </c>
      <c r="O22" t="s">
        <v>17</v>
      </c>
      <c r="P22" t="s">
        <v>21</v>
      </c>
      <c r="Q22" t="s">
        <v>22</v>
      </c>
      <c r="R22" t="s">
        <v>23</v>
      </c>
      <c r="S22" t="s">
        <v>24</v>
      </c>
    </row>
    <row r="23" spans="1:19" ht="25" customHeight="1">
      <c r="B23">
        <v>1</v>
      </c>
      <c r="C23" t="s">
        <v>26</v>
      </c>
      <c r="D23" t="b">
        <v>1</v>
      </c>
      <c r="E23">
        <v>0</v>
      </c>
      <c r="F23" t="s">
        <v>24</v>
      </c>
      <c r="G23" s="1" cm="1">
        <f t="array" ref="G23">_xlfn.LET(_xlpm.d,G$2:G$19,_xlpm.a,$C$2:$C$19=$C23,_xlpm.b,$D$2:$D$19=$D23,MAX(_xlfn._xlws.FILTER(_xlpm.d,_xlpm.a*_xlpm.b)))</f>
        <v>0.85</v>
      </c>
      <c r="H23" s="1" cm="1">
        <f t="array" ref="H23">_xlfn.LET(_xlpm.d,H$2:H$19,_xlpm.a,$C$2:$C$19=$C23,_xlpm.b,$D$2:$D$19=$D23,MAX(_xlfn._xlws.FILTER(_xlpm.d,_xlpm.a*_xlpm.b)))</f>
        <v>0.89</v>
      </c>
      <c r="I23" s="1" cm="1">
        <f t="array" ref="I23">_xlfn.LET(_xlpm.d,I$2:I$19,_xlpm.a,$C$2:$C$19=$C23,_xlpm.b,$D$2:$D$19=$D23,MAX(_xlfn._xlws.FILTER(_xlpm.d,_xlpm.a*_xlpm.b)))</f>
        <v>0.85</v>
      </c>
      <c r="J23" s="1" cm="1">
        <f t="array" ref="J23">_xlfn.LET(_xlpm.d,J$2:J$19,_xlpm.a,$C$2:$C$19=$C23,_xlpm.b,$D$2:$D$19=$D23,MAX(_xlfn._xlws.FILTER(_xlpm.d,_xlpm.a*_xlpm.b)))</f>
        <v>0.82</v>
      </c>
      <c r="K23" s="1" cm="1">
        <f t="array" ref="K23">_xlfn.LET(_xlpm.d,K$2:K$19,_xlpm.a,$C$2:$C$19=$C23,_xlpm.b,$D$2:$D$19=$D23,MAX(_xlfn._xlws.FILTER(_xlpm.d,_xlpm.a*_xlpm.b)))</f>
        <v>0.84</v>
      </c>
      <c r="L23" s="1" cm="1">
        <f t="array" ref="L23">_xlfn.LET(_xlpm.d,L$2:L$19,_xlpm.a,$C$2:$C$19=$C23,_xlpm.b,$D$2:$D$19=$D23,MAX(_xlfn._xlws.FILTER(_xlpm.d,_xlpm.a*_xlpm.b)))</f>
        <v>0.85</v>
      </c>
      <c r="M23" s="1" cm="1">
        <f t="array" ref="M23">_xlfn.LET(_xlpm.d,M$2:M$19,_xlpm.a,$C$2:$C$19=$C23,_xlpm.b,$D$2:$D$19=$D23,MAX(_xlfn._xlws.FILTER(_xlpm.d,_xlpm.a*_xlpm.b)))</f>
        <v>0.83</v>
      </c>
      <c r="N23" s="1" cm="1">
        <f t="array" ref="N23">_xlfn.LET(_xlpm.d,N$2:N$19,_xlpm.a,$C$2:$C$19=$C23,_xlpm.b,$D$2:$D$19=$D23,MAX(_xlfn._xlws.FILTER(_xlpm.d,_xlpm.a*_xlpm.b)))</f>
        <v>0.82</v>
      </c>
      <c r="O23" s="1" cm="1">
        <f t="array" ref="O23">_xlfn.LET(_xlpm.d,O$2:O$19,_xlpm.a,$C$2:$C$19=$C23,_xlpm.b,$D$2:$D$19=$D23,MAX(_xlfn._xlws.FILTER(_xlpm.d,_xlpm.a*_xlpm.b)))</f>
        <v>0.85</v>
      </c>
      <c r="P23" s="1" cm="1">
        <f t="array" ref="P23">_xlfn.LET(_xlpm.d,P$2:P$19,_xlpm.a,$C$2:$C$19=$C23,_xlpm.b,$D$2:$D$19=$D23,MAX(_xlfn._xlws.FILTER(_xlpm.d,_xlpm.a*_xlpm.b)))</f>
        <v>0.85</v>
      </c>
      <c r="Q23" s="1" cm="1">
        <f t="array" ref="Q23">_xlfn.LET(_xlpm.d,Q$2:Q$19,_xlpm.a,$C$2:$C$19=$C23,_xlpm.b,$D$2:$D$19=$D23,MAX(_xlfn._xlws.FILTER(_xlpm.d,_xlpm.a*_xlpm.b)))</f>
        <v>0.85</v>
      </c>
      <c r="R23" s="1" cm="1">
        <f t="array" ref="R23">_xlfn.LET(_xlpm.d,R$2:R$19,_xlpm.a,$C$2:$C$19=$C23,_xlpm.b,$D$2:$D$19=$D23,MAX(_xlfn._xlws.FILTER(_xlpm.d,_xlpm.a*_xlpm.b)))</f>
        <v>0.81</v>
      </c>
      <c r="S23" s="1" cm="1">
        <f t="array" ref="S23">_xlfn.LET(_xlpm.d,S$2:S$19,_xlpm.a,$C$2:$C$19=$C23,_xlpm.b,$D$2:$D$19=$D23,MAX(_xlfn._xlws.FILTER(_xlpm.d,_xlpm.a*_xlpm.b)))</f>
        <v>0.89</v>
      </c>
    </row>
    <row r="24" spans="1:19" ht="25" customHeight="1">
      <c r="B24">
        <v>1</v>
      </c>
      <c r="C24" t="s">
        <v>26</v>
      </c>
      <c r="D24" t="b">
        <v>0</v>
      </c>
      <c r="E24">
        <v>0</v>
      </c>
      <c r="F24" t="s">
        <v>24</v>
      </c>
      <c r="G24" s="1" cm="1">
        <f t="array" ref="G24">_xlfn.LET(_xlpm.d,G$2:G$19,_xlpm.a,$C$2:$C$19=$C24,_xlpm.b,$D$2:$D$19=$D24,MAX(_xlfn._xlws.FILTER(_xlpm.d,_xlpm.a*_xlpm.b)))</f>
        <v>0.81</v>
      </c>
      <c r="H24" s="1" cm="1">
        <f t="array" ref="H24">_xlfn.LET(_xlpm.d,H$2:H$19,_xlpm.a,$C$2:$C$19=$C24,_xlpm.b,$D$2:$D$19=$D24,MAX(_xlfn._xlws.FILTER(_xlpm.d,_xlpm.a*_xlpm.b)))</f>
        <v>0.86</v>
      </c>
      <c r="I24" s="1" cm="1">
        <f t="array" ref="I24">_xlfn.LET(_xlpm.d,I$2:I$19,_xlpm.a,$C$2:$C$19=$C24,_xlpm.b,$D$2:$D$19=$D24,MAX(_xlfn._xlws.FILTER(_xlpm.d,_xlpm.a*_xlpm.b)))</f>
        <v>0.83</v>
      </c>
      <c r="J24" s="1" cm="1">
        <f t="array" ref="J24">_xlfn.LET(_xlpm.d,J$2:J$19,_xlpm.a,$C$2:$C$19=$C24,_xlpm.b,$D$2:$D$19=$D24,MAX(_xlfn._xlws.FILTER(_xlpm.d,_xlpm.a*_xlpm.b)))</f>
        <v>0.82</v>
      </c>
      <c r="K24" s="1" cm="1">
        <f t="array" ref="K24">_xlfn.LET(_xlpm.d,K$2:K$19,_xlpm.a,$C$2:$C$19=$C24,_xlpm.b,$D$2:$D$19=$D24,MAX(_xlfn._xlws.FILTER(_xlpm.d,_xlpm.a*_xlpm.b)))</f>
        <v>0.82</v>
      </c>
      <c r="L24" s="1" cm="1">
        <f t="array" ref="L24">_xlfn.LET(_xlpm.d,L$2:L$19,_xlpm.a,$C$2:$C$19=$C24,_xlpm.b,$D$2:$D$19=$D24,MAX(_xlfn._xlws.FILTER(_xlpm.d,_xlpm.a*_xlpm.b)))</f>
        <v>0.82</v>
      </c>
      <c r="M24" s="1" cm="1">
        <f t="array" ref="M24">_xlfn.LET(_xlpm.d,M$2:M$19,_xlpm.a,$C$2:$C$19=$C24,_xlpm.b,$D$2:$D$19=$D24,MAX(_xlfn._xlws.FILTER(_xlpm.d,_xlpm.a*_xlpm.b)))</f>
        <v>0.81</v>
      </c>
      <c r="N24" s="1" cm="1">
        <f t="array" ref="N24">_xlfn.LET(_xlpm.d,N$2:N$19,_xlpm.a,$C$2:$C$19=$C24,_xlpm.b,$D$2:$D$19=$D24,MAX(_xlfn._xlws.FILTER(_xlpm.d,_xlpm.a*_xlpm.b)))</f>
        <v>0.8</v>
      </c>
      <c r="O24" s="1" cm="1">
        <f t="array" ref="O24">_xlfn.LET(_xlpm.d,O$2:O$19,_xlpm.a,$C$2:$C$19=$C24,_xlpm.b,$D$2:$D$19=$D24,MAX(_xlfn._xlws.FILTER(_xlpm.d,_xlpm.a*_xlpm.b)))</f>
        <v>0.8</v>
      </c>
      <c r="P24" s="1" cm="1">
        <f t="array" ref="P24">_xlfn.LET(_xlpm.d,P$2:P$19,_xlpm.a,$C$2:$C$19=$C24,_xlpm.b,$D$2:$D$19=$D24,MAX(_xlfn._xlws.FILTER(_xlpm.d,_xlpm.a*_xlpm.b)))</f>
        <v>0.81</v>
      </c>
      <c r="Q24" s="1" cm="1">
        <f t="array" ref="Q24">_xlfn.LET(_xlpm.d,Q$2:Q$19,_xlpm.a,$C$2:$C$19=$C24,_xlpm.b,$D$2:$D$19=$D24,MAX(_xlfn._xlws.FILTER(_xlpm.d,_xlpm.a*_xlpm.b)))</f>
        <v>0.85</v>
      </c>
      <c r="R24" s="1" cm="1">
        <f t="array" ref="R24">_xlfn.LET(_xlpm.d,R$2:R$19,_xlpm.a,$C$2:$C$19=$C24,_xlpm.b,$D$2:$D$19=$D24,MAX(_xlfn._xlws.FILTER(_xlpm.d,_xlpm.a*_xlpm.b)))</f>
        <v>0.81</v>
      </c>
      <c r="S24" s="1" cm="1">
        <f t="array" ref="S24">_xlfn.LET(_xlpm.d,S$2:S$19,_xlpm.a,$C$2:$C$19=$C24,_xlpm.b,$D$2:$D$19=$D24,MAX(_xlfn._xlws.FILTER(_xlpm.d,_xlpm.a*_xlpm.b)))</f>
        <v>0.86</v>
      </c>
    </row>
    <row r="25" spans="1:19" ht="25" customHeight="1">
      <c r="B25">
        <v>2</v>
      </c>
      <c r="C25" t="s">
        <v>30</v>
      </c>
      <c r="D25" t="b">
        <v>1</v>
      </c>
      <c r="E25">
        <v>0</v>
      </c>
      <c r="F25" t="s">
        <v>24</v>
      </c>
      <c r="G25" s="1" cm="1">
        <f t="array" ref="G25">_xlfn.LET(_xlpm.d,G$2:G$19,_xlpm.a,$C$2:$C$19=$C25,_xlpm.b,$D$2:$D$19=$D25,MAX(_xlfn._xlws.FILTER(_xlpm.d,_xlpm.a*_xlpm.b)))</f>
        <v>0.63</v>
      </c>
      <c r="H25" s="1" cm="1">
        <f t="array" ref="H25">_xlfn.LET(_xlpm.d,H$2:H$19,_xlpm.a,$C$2:$C$19=$C25,_xlpm.b,$D$2:$D$19=$D25,MAX(_xlfn._xlws.FILTER(_xlpm.d,_xlpm.a*_xlpm.b)))</f>
        <v>0.61</v>
      </c>
      <c r="I25" s="1" cm="1">
        <f t="array" ref="I25">_xlfn.LET(_xlpm.d,I$2:I$19,_xlpm.a,$C$2:$C$19=$C25,_xlpm.b,$D$2:$D$19=$D25,MAX(_xlfn._xlws.FILTER(_xlpm.d,_xlpm.a*_xlpm.b)))</f>
        <v>0.66</v>
      </c>
      <c r="J25" s="1" cm="1">
        <f t="array" ref="J25">_xlfn.LET(_xlpm.d,J$2:J$19,_xlpm.a,$C$2:$C$19=$C25,_xlpm.b,$D$2:$D$19=$D25,MAX(_xlfn._xlws.FILTER(_xlpm.d,_xlpm.a*_xlpm.b)))</f>
        <v>0.62</v>
      </c>
      <c r="K25" s="1" cm="1">
        <f t="array" ref="K25">_xlfn.LET(_xlpm.d,K$2:K$19,_xlpm.a,$C$2:$C$19=$C25,_xlpm.b,$D$2:$D$19=$D25,MAX(_xlfn._xlws.FILTER(_xlpm.d,_xlpm.a*_xlpm.b)))</f>
        <v>0.61</v>
      </c>
      <c r="L25" s="1" cm="1">
        <f t="array" ref="L25">_xlfn.LET(_xlpm.d,L$2:L$19,_xlpm.a,$C$2:$C$19=$C25,_xlpm.b,$D$2:$D$19=$D25,MAX(_xlfn._xlws.FILTER(_xlpm.d,_xlpm.a*_xlpm.b)))</f>
        <v>0.6</v>
      </c>
      <c r="M25" s="1" cm="1">
        <f t="array" ref="M25">_xlfn.LET(_xlpm.d,M$2:M$19,_xlpm.a,$C$2:$C$19=$C25,_xlpm.b,$D$2:$D$19=$D25,MAX(_xlfn._xlws.FILTER(_xlpm.d,_xlpm.a*_xlpm.b)))</f>
        <v>0.61</v>
      </c>
      <c r="N25" s="1" cm="1">
        <f t="array" ref="N25">_xlfn.LET(_xlpm.d,N$2:N$19,_xlpm.a,$C$2:$C$19=$C25,_xlpm.b,$D$2:$D$19=$D25,MAX(_xlfn._xlws.FILTER(_xlpm.d,_xlpm.a*_xlpm.b)))</f>
        <v>0.62</v>
      </c>
      <c r="O25" s="1" cm="1">
        <f t="array" ref="O25">_xlfn.LET(_xlpm.d,O$2:O$19,_xlpm.a,$C$2:$C$19=$C25,_xlpm.b,$D$2:$D$19=$D25,MAX(_xlfn._xlws.FILTER(_xlpm.d,_xlpm.a*_xlpm.b)))</f>
        <v>0.64</v>
      </c>
      <c r="P25" s="1" cm="1">
        <f t="array" ref="P25">_xlfn.LET(_xlpm.d,P$2:P$19,_xlpm.a,$C$2:$C$19=$C25,_xlpm.b,$D$2:$D$19=$D25,MAX(_xlfn._xlws.FILTER(_xlpm.d,_xlpm.a*_xlpm.b)))</f>
        <v>0.64</v>
      </c>
      <c r="Q25" s="1" cm="1">
        <f t="array" ref="Q25">_xlfn.LET(_xlpm.d,Q$2:Q$19,_xlpm.a,$C$2:$C$19=$C25,_xlpm.b,$D$2:$D$19=$D25,MAX(_xlfn._xlws.FILTER(_xlpm.d,_xlpm.a*_xlpm.b)))</f>
        <v>0.59</v>
      </c>
      <c r="R25" s="1" cm="1">
        <f t="array" ref="R25">_xlfn.LET(_xlpm.d,R$2:R$19,_xlpm.a,$C$2:$C$19=$C25,_xlpm.b,$D$2:$D$19=$D25,MAX(_xlfn._xlws.FILTER(_xlpm.d,_xlpm.a*_xlpm.b)))</f>
        <v>0.61</v>
      </c>
      <c r="S25" s="1" cm="1">
        <f t="array" ref="S25">_xlfn.LET(_xlpm.d,S$2:S$19,_xlpm.a,$C$2:$C$19=$C25,_xlpm.b,$D$2:$D$19=$D25,MAX(_xlfn._xlws.FILTER(_xlpm.d,_xlpm.a*_xlpm.b)))</f>
        <v>0.66</v>
      </c>
    </row>
    <row r="26" spans="1:19" ht="25" customHeight="1">
      <c r="B26">
        <v>2</v>
      </c>
      <c r="C26" t="s">
        <v>30</v>
      </c>
      <c r="D26" t="b">
        <v>0</v>
      </c>
      <c r="E26">
        <v>0</v>
      </c>
      <c r="F26" t="s">
        <v>24</v>
      </c>
      <c r="G26" s="1" cm="1">
        <f t="array" ref="G26">_xlfn.LET(_xlpm.d,G$2:G$19,_xlpm.a,$C$2:$C$19=$C26,_xlpm.b,$D$2:$D$19=$D26,MAX(_xlfn._xlws.FILTER(_xlpm.d,_xlpm.a*_xlpm.b)))</f>
        <v>0.59</v>
      </c>
      <c r="H26" s="1" cm="1">
        <f t="array" ref="H26">_xlfn.LET(_xlpm.d,H$2:H$19,_xlpm.a,$C$2:$C$19=$C26,_xlpm.b,$D$2:$D$19=$D26,MAX(_xlfn._xlws.FILTER(_xlpm.d,_xlpm.a*_xlpm.b)))</f>
        <v>0.6</v>
      </c>
      <c r="I26" s="1" cm="1">
        <f t="array" ref="I26">_xlfn.LET(_xlpm.d,I$2:I$19,_xlpm.a,$C$2:$C$19=$C26,_xlpm.b,$D$2:$D$19=$D26,MAX(_xlfn._xlws.FILTER(_xlpm.d,_xlpm.a*_xlpm.b)))</f>
        <v>0.66</v>
      </c>
      <c r="J26" s="1" cm="1">
        <f t="array" ref="J26">_xlfn.LET(_xlpm.d,J$2:J$19,_xlpm.a,$C$2:$C$19=$C26,_xlpm.b,$D$2:$D$19=$D26,MAX(_xlfn._xlws.FILTER(_xlpm.d,_xlpm.a*_xlpm.b)))</f>
        <v>0.54</v>
      </c>
      <c r="K26" s="1" cm="1">
        <f t="array" ref="K26">_xlfn.LET(_xlpm.d,K$2:K$19,_xlpm.a,$C$2:$C$19=$C26,_xlpm.b,$D$2:$D$19=$D26,MAX(_xlfn._xlws.FILTER(_xlpm.d,_xlpm.a*_xlpm.b)))</f>
        <v>0.62</v>
      </c>
      <c r="L26" s="1" cm="1">
        <f t="array" ref="L26">_xlfn.LET(_xlpm.d,L$2:L$19,_xlpm.a,$C$2:$C$19=$C26,_xlpm.b,$D$2:$D$19=$D26,MAX(_xlfn._xlws.FILTER(_xlpm.d,_xlpm.a*_xlpm.b)))</f>
        <v>0.63</v>
      </c>
      <c r="M26" s="1" cm="1">
        <f t="array" ref="M26">_xlfn.LET(_xlpm.d,M$2:M$19,_xlpm.a,$C$2:$C$19=$C26,_xlpm.b,$D$2:$D$19=$D26,MAX(_xlfn._xlws.FILTER(_xlpm.d,_xlpm.a*_xlpm.b)))</f>
        <v>0.56999999999999995</v>
      </c>
      <c r="N26" s="1" cm="1">
        <f t="array" ref="N26">_xlfn.LET(_xlpm.d,N$2:N$19,_xlpm.a,$C$2:$C$19=$C26,_xlpm.b,$D$2:$D$19=$D26,MAX(_xlfn._xlws.FILTER(_xlpm.d,_xlpm.a*_xlpm.b)))</f>
        <v>0.62</v>
      </c>
      <c r="O26" s="1" cm="1">
        <f t="array" ref="O26">_xlfn.LET(_xlpm.d,O$2:O$19,_xlpm.a,$C$2:$C$19=$C26,_xlpm.b,$D$2:$D$19=$D26,MAX(_xlfn._xlws.FILTER(_xlpm.d,_xlpm.a*_xlpm.b)))</f>
        <v>0.57999999999999996</v>
      </c>
      <c r="P26" s="1" cm="1">
        <f t="array" ref="P26">_xlfn.LET(_xlpm.d,P$2:P$19,_xlpm.a,$C$2:$C$19=$C26,_xlpm.b,$D$2:$D$19=$D26,MAX(_xlfn._xlws.FILTER(_xlpm.d,_xlpm.a*_xlpm.b)))</f>
        <v>0.63</v>
      </c>
      <c r="Q26" s="1" cm="1">
        <f t="array" ref="Q26">_xlfn.LET(_xlpm.d,Q$2:Q$19,_xlpm.a,$C$2:$C$19=$C26,_xlpm.b,$D$2:$D$19=$D26,MAX(_xlfn._xlws.FILTER(_xlpm.d,_xlpm.a*_xlpm.b)))</f>
        <v>0.6</v>
      </c>
      <c r="R26" s="1" cm="1">
        <f t="array" ref="R26">_xlfn.LET(_xlpm.d,R$2:R$19,_xlpm.a,$C$2:$C$19=$C26,_xlpm.b,$D$2:$D$19=$D26,MAX(_xlfn._xlws.FILTER(_xlpm.d,_xlpm.a*_xlpm.b)))</f>
        <v>0.57999999999999996</v>
      </c>
      <c r="S26" s="1" cm="1">
        <f t="array" ref="S26">_xlfn.LET(_xlpm.d,S$2:S$19,_xlpm.a,$C$2:$C$19=$C26,_xlpm.b,$D$2:$D$19=$D26,MAX(_xlfn._xlws.FILTER(_xlpm.d,_xlpm.a*_xlpm.b)))</f>
        <v>0.66</v>
      </c>
    </row>
    <row r="27" spans="1:19" ht="25" customHeight="1">
      <c r="B27">
        <v>3</v>
      </c>
      <c r="C27" t="s">
        <v>31</v>
      </c>
      <c r="D27" t="b">
        <v>1</v>
      </c>
      <c r="E27">
        <v>0</v>
      </c>
      <c r="F27" t="s">
        <v>24</v>
      </c>
      <c r="G27" s="1" cm="1">
        <f t="array" ref="G27">_xlfn.LET(_xlpm.d,G$2:G$19,_xlpm.a,$C$2:$C$19=$C27,_xlpm.b,$D$2:$D$19=$D27,MAX(_xlfn._xlws.FILTER(_xlpm.d,_xlpm.a*_xlpm.b)))</f>
        <v>0.44</v>
      </c>
      <c r="H27" s="1" cm="1">
        <f t="array" ref="H27">_xlfn.LET(_xlpm.d,H$2:H$19,_xlpm.a,$C$2:$C$19=$C27,_xlpm.b,$D$2:$D$19=$D27,MAX(_xlfn._xlws.FILTER(_xlpm.d,_xlpm.a*_xlpm.b)))</f>
        <v>0.39</v>
      </c>
      <c r="I27" s="1" cm="1">
        <f t="array" ref="I27">_xlfn.LET(_xlpm.d,I$2:I$19,_xlpm.a,$C$2:$C$19=$C27,_xlpm.b,$D$2:$D$19=$D27,MAX(_xlfn._xlws.FILTER(_xlpm.d,_xlpm.a*_xlpm.b)))</f>
        <v>0.41</v>
      </c>
      <c r="J27" s="1" cm="1">
        <f t="array" ref="J27">_xlfn.LET(_xlpm.d,J$2:J$19,_xlpm.a,$C$2:$C$19=$C27,_xlpm.b,$D$2:$D$19=$D27,MAX(_xlfn._xlws.FILTER(_xlpm.d,_xlpm.a*_xlpm.b)))</f>
        <v>0.46</v>
      </c>
      <c r="K27" s="1" cm="1">
        <f t="array" ref="K27">_xlfn.LET(_xlpm.d,K$2:K$19,_xlpm.a,$C$2:$C$19=$C27,_xlpm.b,$D$2:$D$19=$D27,MAX(_xlfn._xlws.FILTER(_xlpm.d,_xlpm.a*_xlpm.b)))</f>
        <v>0.4</v>
      </c>
      <c r="L27" s="1" cm="1">
        <f t="array" ref="L27">_xlfn.LET(_xlpm.d,L$2:L$19,_xlpm.a,$C$2:$C$19=$C27,_xlpm.b,$D$2:$D$19=$D27,MAX(_xlfn._xlws.FILTER(_xlpm.d,_xlpm.a*_xlpm.b)))</f>
        <v>0.39</v>
      </c>
      <c r="M27" s="1" cm="1">
        <f t="array" ref="M27">_xlfn.LET(_xlpm.d,M$2:M$19,_xlpm.a,$C$2:$C$19=$C27,_xlpm.b,$D$2:$D$19=$D27,MAX(_xlfn._xlws.FILTER(_xlpm.d,_xlpm.a*_xlpm.b)))</f>
        <v>0.46</v>
      </c>
      <c r="N27" s="1" cm="1">
        <f t="array" ref="N27">_xlfn.LET(_xlpm.d,N$2:N$19,_xlpm.a,$C$2:$C$19=$C27,_xlpm.b,$D$2:$D$19=$D27,MAX(_xlfn._xlws.FILTER(_xlpm.d,_xlpm.a*_xlpm.b)))</f>
        <v>0.42</v>
      </c>
      <c r="O27" s="1" cm="1">
        <f t="array" ref="O27">_xlfn.LET(_xlpm.d,O$2:O$19,_xlpm.a,$C$2:$C$19=$C27,_xlpm.b,$D$2:$D$19=$D27,MAX(_xlfn._xlws.FILTER(_xlpm.d,_xlpm.a*_xlpm.b)))</f>
        <v>0.41</v>
      </c>
      <c r="P27" s="1" cm="1">
        <f t="array" ref="P27">_xlfn.LET(_xlpm.d,P$2:P$19,_xlpm.a,$C$2:$C$19=$C27,_xlpm.b,$D$2:$D$19=$D27,MAX(_xlfn._xlws.FILTER(_xlpm.d,_xlpm.a*_xlpm.b)))</f>
        <v>0.45</v>
      </c>
      <c r="Q27" s="1" cm="1">
        <f t="array" ref="Q27">_xlfn.LET(_xlpm.d,Q$2:Q$19,_xlpm.a,$C$2:$C$19=$C27,_xlpm.b,$D$2:$D$19=$D27,MAX(_xlfn._xlws.FILTER(_xlpm.d,_xlpm.a*_xlpm.b)))</f>
        <v>0.43</v>
      </c>
      <c r="R27" s="1" cm="1">
        <f t="array" ref="R27">_xlfn.LET(_xlpm.d,R$2:R$19,_xlpm.a,$C$2:$C$19=$C27,_xlpm.b,$D$2:$D$19=$D27,MAX(_xlfn._xlws.FILTER(_xlpm.d,_xlpm.a*_xlpm.b)))</f>
        <v>0.41</v>
      </c>
      <c r="S27" s="1" cm="1">
        <f t="array" ref="S27">_xlfn.LET(_xlpm.d,S$2:S$19,_xlpm.a,$C$2:$C$19=$C27,_xlpm.b,$D$2:$D$19=$D27,MAX(_xlfn._xlws.FILTER(_xlpm.d,_xlpm.a*_xlpm.b)))</f>
        <v>0.46</v>
      </c>
    </row>
    <row r="28" spans="1:19" ht="25" customHeight="1">
      <c r="B28">
        <v>3</v>
      </c>
      <c r="C28" t="s">
        <v>31</v>
      </c>
      <c r="D28" t="b">
        <v>0</v>
      </c>
      <c r="E28">
        <v>0</v>
      </c>
      <c r="F28" t="s">
        <v>24</v>
      </c>
      <c r="G28" s="1" cm="1">
        <f t="array" ref="G28">_xlfn.LET(_xlpm.d,G$2:G$19,_xlpm.a,$C$2:$C$19=$C28,_xlpm.b,$D$2:$D$19=$D28,MAX(_xlfn._xlws.FILTER(_xlpm.d,_xlpm.a*_xlpm.b)))</f>
        <v>0.4</v>
      </c>
      <c r="H28" s="1" cm="1">
        <f t="array" ref="H28">_xlfn.LET(_xlpm.d,H$2:H$19,_xlpm.a,$C$2:$C$19=$C28,_xlpm.b,$D$2:$D$19=$D28,MAX(_xlfn._xlws.FILTER(_xlpm.d,_xlpm.a*_xlpm.b)))</f>
        <v>0.38</v>
      </c>
      <c r="I28" s="1" cm="1">
        <f t="array" ref="I28">_xlfn.LET(_xlpm.d,I$2:I$19,_xlpm.a,$C$2:$C$19=$C28,_xlpm.b,$D$2:$D$19=$D28,MAX(_xlfn._xlws.FILTER(_xlpm.d,_xlpm.a*_xlpm.b)))</f>
        <v>0.42</v>
      </c>
      <c r="J28" s="1" cm="1">
        <f t="array" ref="J28">_xlfn.LET(_xlpm.d,J$2:J$19,_xlpm.a,$C$2:$C$19=$C28,_xlpm.b,$D$2:$D$19=$D28,MAX(_xlfn._xlws.FILTER(_xlpm.d,_xlpm.a*_xlpm.b)))</f>
        <v>0.46</v>
      </c>
      <c r="K28" s="1" cm="1">
        <f t="array" ref="K28">_xlfn.LET(_xlpm.d,K$2:K$19,_xlpm.a,$C$2:$C$19=$C28,_xlpm.b,$D$2:$D$19=$D28,MAX(_xlfn._xlws.FILTER(_xlpm.d,_xlpm.a*_xlpm.b)))</f>
        <v>0.39</v>
      </c>
      <c r="L28" s="1" cm="1">
        <f t="array" ref="L28">_xlfn.LET(_xlpm.d,L$2:L$19,_xlpm.a,$C$2:$C$19=$C28,_xlpm.b,$D$2:$D$19=$D28,MAX(_xlfn._xlws.FILTER(_xlpm.d,_xlpm.a*_xlpm.b)))</f>
        <v>0.4</v>
      </c>
      <c r="M28" s="1" cm="1">
        <f t="array" ref="M28">_xlfn.LET(_xlpm.d,M$2:M$19,_xlpm.a,$C$2:$C$19=$C28,_xlpm.b,$D$2:$D$19=$D28,MAX(_xlfn._xlws.FILTER(_xlpm.d,_xlpm.a*_xlpm.b)))</f>
        <v>0.38</v>
      </c>
      <c r="N28" s="1" cm="1">
        <f t="array" ref="N28">_xlfn.LET(_xlpm.d,N$2:N$19,_xlpm.a,$C$2:$C$19=$C28,_xlpm.b,$D$2:$D$19=$D28,MAX(_xlfn._xlws.FILTER(_xlpm.d,_xlpm.a*_xlpm.b)))</f>
        <v>0.41</v>
      </c>
      <c r="O28" s="1" cm="1">
        <f t="array" ref="O28">_xlfn.LET(_xlpm.d,O$2:O$19,_xlpm.a,$C$2:$C$19=$C28,_xlpm.b,$D$2:$D$19=$D28,MAX(_xlfn._xlws.FILTER(_xlpm.d,_xlpm.a*_xlpm.b)))</f>
        <v>0.42</v>
      </c>
      <c r="P28" s="1" cm="1">
        <f t="array" ref="P28">_xlfn.LET(_xlpm.d,P$2:P$19,_xlpm.a,$C$2:$C$19=$C28,_xlpm.b,$D$2:$D$19=$D28,MAX(_xlfn._xlws.FILTER(_xlpm.d,_xlpm.a*_xlpm.b)))</f>
        <v>0.47</v>
      </c>
      <c r="Q28" s="1" cm="1">
        <f t="array" ref="Q28">_xlfn.LET(_xlpm.d,Q$2:Q$19,_xlpm.a,$C$2:$C$19=$C28,_xlpm.b,$D$2:$D$19=$D28,MAX(_xlfn._xlws.FILTER(_xlpm.d,_xlpm.a*_xlpm.b)))</f>
        <v>0.44</v>
      </c>
      <c r="R28" s="1" cm="1">
        <f t="array" ref="R28">_xlfn.LET(_xlpm.d,R$2:R$19,_xlpm.a,$C$2:$C$19=$C28,_xlpm.b,$D$2:$D$19=$D28,MAX(_xlfn._xlws.FILTER(_xlpm.d,_xlpm.a*_xlpm.b)))</f>
        <v>0.41</v>
      </c>
      <c r="S28" s="1" cm="1">
        <f t="array" ref="S28">_xlfn.LET(_xlpm.d,S$2:S$19,_xlpm.a,$C$2:$C$19=$C28,_xlpm.b,$D$2:$D$19=$D28,MAX(_xlfn._xlws.FILTER(_xlpm.d,_xlpm.a*_xlpm.b)))</f>
        <v>0.47</v>
      </c>
    </row>
  </sheetData>
  <conditionalFormatting sqref="G2:S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A0E28-78BC-7F47-83A3-5D8EB82F42AC}">
  <dimension ref="A1:S28"/>
  <sheetViews>
    <sheetView workbookViewId="0">
      <pane xSplit="11880" ySplit="5940" topLeftCell="L12" activePane="topRight"/>
      <selection pane="topRight" activeCell="U10" sqref="U10"/>
      <selection pane="bottomLeft" activeCell="A12" sqref="A12"/>
      <selection pane="bottomRight" activeCell="I12" sqref="I12"/>
    </sheetView>
  </sheetViews>
  <sheetFormatPr baseColWidth="10" defaultRowHeight="25" customHeight="1"/>
  <cols>
    <col min="2" max="2" width="8.125" customWidth="1"/>
    <col min="4" max="4" width="9.75" customWidth="1"/>
    <col min="5" max="5" width="6.375" customWidth="1"/>
    <col min="6" max="6" width="7.625" customWidth="1"/>
    <col min="7" max="19" width="8.75" customWidth="1"/>
  </cols>
  <sheetData>
    <row r="1" spans="1:19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21</v>
      </c>
      <c r="Q1" t="s">
        <v>22</v>
      </c>
      <c r="R1" t="s">
        <v>23</v>
      </c>
      <c r="S1" t="s">
        <v>24</v>
      </c>
    </row>
    <row r="2" spans="1:19" ht="25" customHeight="1">
      <c r="A2" t="s">
        <v>25</v>
      </c>
      <c r="B2">
        <v>1</v>
      </c>
      <c r="C2" t="s">
        <v>26</v>
      </c>
      <c r="D2" t="b">
        <v>1</v>
      </c>
      <c r="E2">
        <v>1</v>
      </c>
      <c r="F2" t="s">
        <v>27</v>
      </c>
      <c r="G2" s="1">
        <v>0.81</v>
      </c>
      <c r="H2" s="1">
        <v>0.78</v>
      </c>
      <c r="I2" s="1">
        <v>0.81</v>
      </c>
      <c r="J2" s="1">
        <v>0.78</v>
      </c>
      <c r="K2" s="1">
        <v>0.74</v>
      </c>
      <c r="L2" s="1">
        <v>0.81</v>
      </c>
      <c r="M2" s="1">
        <v>0.82</v>
      </c>
      <c r="N2" s="1">
        <v>0.83</v>
      </c>
      <c r="O2" s="1">
        <v>0.87</v>
      </c>
      <c r="P2" s="1">
        <v>0.78</v>
      </c>
      <c r="Q2" s="1">
        <v>0.8</v>
      </c>
      <c r="R2" s="1">
        <v>0.69</v>
      </c>
      <c r="S2" s="1">
        <f t="shared" ref="S2:S19" si="0">MAX($G2:$R2)</f>
        <v>0.87</v>
      </c>
    </row>
    <row r="3" spans="1:19" ht="25" customHeight="1">
      <c r="A3" t="s">
        <v>25</v>
      </c>
      <c r="B3">
        <v>1</v>
      </c>
      <c r="C3" t="s">
        <v>26</v>
      </c>
      <c r="D3" t="b">
        <v>0</v>
      </c>
      <c r="E3">
        <v>1</v>
      </c>
      <c r="F3" t="s">
        <v>27</v>
      </c>
      <c r="G3" s="1">
        <v>0.79</v>
      </c>
      <c r="H3" s="1">
        <v>0.76</v>
      </c>
      <c r="I3" s="1">
        <v>0.8</v>
      </c>
      <c r="J3" s="1">
        <v>0.7</v>
      </c>
      <c r="K3" s="1">
        <v>0.75</v>
      </c>
      <c r="L3" s="1">
        <v>0.75</v>
      </c>
      <c r="M3" s="1">
        <v>0.78</v>
      </c>
      <c r="N3" s="1">
        <v>0.77</v>
      </c>
      <c r="O3" s="1">
        <v>0.81</v>
      </c>
      <c r="P3" s="1">
        <v>0.8</v>
      </c>
      <c r="Q3" s="1">
        <v>0.79</v>
      </c>
      <c r="R3" s="1">
        <v>0.71</v>
      </c>
      <c r="S3" s="1">
        <f t="shared" si="0"/>
        <v>0.81</v>
      </c>
    </row>
    <row r="4" spans="1:19" ht="25" customHeight="1">
      <c r="A4" t="s">
        <v>25</v>
      </c>
      <c r="B4">
        <v>1</v>
      </c>
      <c r="C4" t="s">
        <v>26</v>
      </c>
      <c r="D4" t="b">
        <v>0</v>
      </c>
      <c r="E4">
        <v>2</v>
      </c>
      <c r="F4" t="s">
        <v>28</v>
      </c>
      <c r="G4" s="1">
        <v>0.85</v>
      </c>
      <c r="H4" s="1">
        <v>0.81</v>
      </c>
      <c r="I4" s="1">
        <v>0.83</v>
      </c>
      <c r="J4" s="1">
        <v>0.78</v>
      </c>
      <c r="K4" s="1">
        <v>0.82</v>
      </c>
      <c r="L4" s="1">
        <v>0.82</v>
      </c>
      <c r="M4" s="1">
        <v>0.8</v>
      </c>
      <c r="N4" s="1">
        <v>0.83</v>
      </c>
      <c r="O4" s="1">
        <v>0.83</v>
      </c>
      <c r="P4" s="1">
        <v>0.82</v>
      </c>
      <c r="Q4" s="1">
        <v>0.82</v>
      </c>
      <c r="R4" s="1">
        <v>0.8</v>
      </c>
      <c r="S4" s="1">
        <f t="shared" si="0"/>
        <v>0.85</v>
      </c>
    </row>
    <row r="5" spans="1:19" ht="25" customHeight="1">
      <c r="A5" t="s">
        <v>25</v>
      </c>
      <c r="B5">
        <v>1</v>
      </c>
      <c r="C5" t="s">
        <v>26</v>
      </c>
      <c r="D5" t="b">
        <v>1</v>
      </c>
      <c r="E5">
        <v>2</v>
      </c>
      <c r="F5" t="s">
        <v>28</v>
      </c>
      <c r="G5" s="1">
        <v>0.9</v>
      </c>
      <c r="H5" s="1">
        <v>0.88</v>
      </c>
      <c r="I5" s="1">
        <v>0.86</v>
      </c>
      <c r="J5" s="1">
        <v>0.84</v>
      </c>
      <c r="K5" s="1">
        <v>0.83</v>
      </c>
      <c r="L5" s="1">
        <v>0.83</v>
      </c>
      <c r="M5" s="1">
        <v>0.86</v>
      </c>
      <c r="N5" s="1">
        <v>0.88</v>
      </c>
      <c r="O5" s="1">
        <v>0.83</v>
      </c>
      <c r="P5" s="1">
        <v>0.84</v>
      </c>
      <c r="Q5" s="1">
        <v>0.84</v>
      </c>
      <c r="R5" s="1">
        <v>0.78</v>
      </c>
      <c r="S5" s="1">
        <f t="shared" si="0"/>
        <v>0.9</v>
      </c>
    </row>
    <row r="6" spans="1:19" ht="25" customHeight="1">
      <c r="A6" t="s">
        <v>25</v>
      </c>
      <c r="B6">
        <v>1</v>
      </c>
      <c r="C6" t="s">
        <v>26</v>
      </c>
      <c r="D6" t="b">
        <v>0</v>
      </c>
      <c r="E6">
        <v>3</v>
      </c>
      <c r="F6" t="s">
        <v>29</v>
      </c>
      <c r="G6" s="1">
        <v>0.78</v>
      </c>
      <c r="H6" s="1">
        <v>0.73</v>
      </c>
      <c r="I6" s="1">
        <v>0.76</v>
      </c>
      <c r="J6" s="1">
        <v>0.75</v>
      </c>
      <c r="K6" s="1">
        <v>0.8</v>
      </c>
      <c r="L6" s="1">
        <v>0.77</v>
      </c>
      <c r="M6" s="1">
        <v>0.74</v>
      </c>
      <c r="N6" s="1">
        <v>0.81</v>
      </c>
      <c r="O6" s="1">
        <v>0.79</v>
      </c>
      <c r="P6" s="1">
        <v>0.8</v>
      </c>
      <c r="Q6" s="1">
        <v>0.83</v>
      </c>
      <c r="R6" s="1">
        <v>0.77</v>
      </c>
      <c r="S6" s="1">
        <f t="shared" si="0"/>
        <v>0.83</v>
      </c>
    </row>
    <row r="7" spans="1:19" ht="25" customHeight="1">
      <c r="A7" t="s">
        <v>25</v>
      </c>
      <c r="B7">
        <v>1</v>
      </c>
      <c r="C7" t="s">
        <v>26</v>
      </c>
      <c r="D7" t="b">
        <v>1</v>
      </c>
      <c r="E7">
        <v>3</v>
      </c>
      <c r="F7" t="s">
        <v>29</v>
      </c>
      <c r="G7" s="1">
        <v>0.84</v>
      </c>
      <c r="H7" s="1">
        <v>0.8</v>
      </c>
      <c r="I7" s="1">
        <v>0.82</v>
      </c>
      <c r="J7" s="1">
        <v>0.8</v>
      </c>
      <c r="K7" s="1">
        <v>0.81</v>
      </c>
      <c r="L7" s="1">
        <v>0.79</v>
      </c>
      <c r="M7" s="1">
        <v>0.83</v>
      </c>
      <c r="N7" s="1">
        <v>0.86</v>
      </c>
      <c r="O7" s="1">
        <v>0.82</v>
      </c>
      <c r="P7" s="1">
        <v>0.81</v>
      </c>
      <c r="Q7" s="1">
        <v>0.81</v>
      </c>
      <c r="R7" s="1">
        <v>0.77</v>
      </c>
      <c r="S7" s="1">
        <f t="shared" si="0"/>
        <v>0.86</v>
      </c>
    </row>
    <row r="8" spans="1:19" ht="25" customHeight="1">
      <c r="A8" t="s">
        <v>25</v>
      </c>
      <c r="B8">
        <v>2</v>
      </c>
      <c r="C8" t="s">
        <v>30</v>
      </c>
      <c r="D8" t="b">
        <v>0</v>
      </c>
      <c r="E8">
        <v>1</v>
      </c>
      <c r="F8" t="s">
        <v>27</v>
      </c>
      <c r="G8" s="1">
        <v>0.54</v>
      </c>
      <c r="H8" s="1">
        <v>0.43</v>
      </c>
      <c r="I8" s="1">
        <v>0.5</v>
      </c>
      <c r="J8" s="1">
        <v>0.45</v>
      </c>
      <c r="K8" s="1">
        <v>0.5</v>
      </c>
      <c r="L8" s="1">
        <v>0.55000000000000004</v>
      </c>
      <c r="M8" s="1">
        <v>0.47</v>
      </c>
      <c r="N8" s="1">
        <v>0.55000000000000004</v>
      </c>
      <c r="O8" s="1">
        <v>0.53</v>
      </c>
      <c r="P8" s="1">
        <v>0.49</v>
      </c>
      <c r="Q8" s="1">
        <v>0.56999999999999995</v>
      </c>
      <c r="R8" s="1">
        <v>0.46</v>
      </c>
      <c r="S8" s="1">
        <f t="shared" si="0"/>
        <v>0.56999999999999995</v>
      </c>
    </row>
    <row r="9" spans="1:19" ht="25" customHeight="1">
      <c r="A9" t="s">
        <v>25</v>
      </c>
      <c r="B9">
        <v>2</v>
      </c>
      <c r="C9" t="s">
        <v>30</v>
      </c>
      <c r="D9" t="b">
        <v>0</v>
      </c>
      <c r="E9">
        <v>2</v>
      </c>
      <c r="F9" t="s">
        <v>28</v>
      </c>
      <c r="G9" s="1">
        <v>0.57999999999999996</v>
      </c>
      <c r="H9" s="1">
        <v>0.56999999999999995</v>
      </c>
      <c r="I9" s="1">
        <v>0.59</v>
      </c>
      <c r="J9" s="1">
        <v>0.53</v>
      </c>
      <c r="K9" s="1">
        <v>0.56999999999999995</v>
      </c>
      <c r="L9" s="1">
        <v>0.55000000000000004</v>
      </c>
      <c r="M9" s="1">
        <v>0.54</v>
      </c>
      <c r="N9" s="1">
        <v>0.6</v>
      </c>
      <c r="O9" s="1">
        <v>0.59</v>
      </c>
      <c r="P9" s="1">
        <v>0.56000000000000005</v>
      </c>
      <c r="Q9" s="1">
        <v>0.62</v>
      </c>
      <c r="R9" s="1">
        <v>0.51</v>
      </c>
      <c r="S9" s="1">
        <f t="shared" si="0"/>
        <v>0.62</v>
      </c>
    </row>
    <row r="10" spans="1:19" ht="25" customHeight="1">
      <c r="A10" t="s">
        <v>25</v>
      </c>
      <c r="B10">
        <v>2</v>
      </c>
      <c r="C10" t="s">
        <v>30</v>
      </c>
      <c r="D10" t="b">
        <v>0</v>
      </c>
      <c r="E10">
        <v>3</v>
      </c>
      <c r="F10" t="s">
        <v>29</v>
      </c>
      <c r="G10" s="1">
        <v>0.55000000000000004</v>
      </c>
      <c r="H10" s="1">
        <v>0.56999999999999995</v>
      </c>
      <c r="I10" s="1">
        <v>0.6</v>
      </c>
      <c r="J10" s="1">
        <v>0.52</v>
      </c>
      <c r="K10" s="1">
        <v>0.61</v>
      </c>
      <c r="L10" s="1">
        <v>0.62</v>
      </c>
      <c r="M10" s="1">
        <v>0.46</v>
      </c>
      <c r="N10" s="1">
        <v>0.56000000000000005</v>
      </c>
      <c r="O10" s="1">
        <v>0.59</v>
      </c>
      <c r="P10" s="1">
        <v>0.56999999999999995</v>
      </c>
      <c r="Q10" s="1">
        <v>0.52</v>
      </c>
      <c r="R10" s="1">
        <v>0.53</v>
      </c>
      <c r="S10" s="1">
        <f t="shared" si="0"/>
        <v>0.62</v>
      </c>
    </row>
    <row r="11" spans="1:19" ht="25" customHeight="1">
      <c r="A11" t="s">
        <v>25</v>
      </c>
      <c r="B11">
        <v>2</v>
      </c>
      <c r="C11" t="s">
        <v>30</v>
      </c>
      <c r="D11" t="b">
        <v>1</v>
      </c>
      <c r="E11">
        <v>2</v>
      </c>
      <c r="F11" t="s">
        <v>28</v>
      </c>
      <c r="G11" s="1">
        <v>0.59</v>
      </c>
      <c r="H11" s="1">
        <v>0.55000000000000004</v>
      </c>
      <c r="I11" s="1">
        <v>0.61</v>
      </c>
      <c r="J11" s="1">
        <v>0.6</v>
      </c>
      <c r="K11" s="1">
        <v>0.56000000000000005</v>
      </c>
      <c r="L11" s="1">
        <v>0.55000000000000004</v>
      </c>
      <c r="M11" s="1">
        <v>0.63</v>
      </c>
      <c r="N11" s="1">
        <v>0.61</v>
      </c>
      <c r="O11" s="1">
        <v>0.56999999999999995</v>
      </c>
      <c r="P11" s="1">
        <v>0.59</v>
      </c>
      <c r="Q11" s="1">
        <v>0.63</v>
      </c>
      <c r="R11" s="1">
        <v>0.52</v>
      </c>
      <c r="S11" s="1">
        <f t="shared" si="0"/>
        <v>0.63</v>
      </c>
    </row>
    <row r="12" spans="1:19" ht="25" customHeight="1">
      <c r="A12" t="s">
        <v>25</v>
      </c>
      <c r="B12">
        <v>2</v>
      </c>
      <c r="C12" t="s">
        <v>30</v>
      </c>
      <c r="D12" t="b">
        <v>1</v>
      </c>
      <c r="E12">
        <v>3</v>
      </c>
      <c r="F12" t="s">
        <v>29</v>
      </c>
      <c r="G12" s="1">
        <v>0.55000000000000004</v>
      </c>
      <c r="H12" s="1">
        <v>0.57999999999999996</v>
      </c>
      <c r="I12" s="1">
        <v>0.62</v>
      </c>
      <c r="J12" s="1">
        <v>0.57999999999999996</v>
      </c>
      <c r="K12" s="1">
        <v>0.6</v>
      </c>
      <c r="L12" s="1">
        <v>0.6</v>
      </c>
      <c r="M12" s="1">
        <v>0.53</v>
      </c>
      <c r="N12" s="1">
        <v>0.59</v>
      </c>
      <c r="O12" s="1">
        <v>0.6</v>
      </c>
      <c r="P12" s="1">
        <v>0.61</v>
      </c>
      <c r="Q12" s="1">
        <v>0.56000000000000005</v>
      </c>
      <c r="R12" s="1">
        <v>0.52</v>
      </c>
      <c r="S12" s="1">
        <f t="shared" si="0"/>
        <v>0.62</v>
      </c>
    </row>
    <row r="13" spans="1:19" ht="25" customHeight="1">
      <c r="A13" t="s">
        <v>25</v>
      </c>
      <c r="B13">
        <v>2</v>
      </c>
      <c r="C13" t="s">
        <v>30</v>
      </c>
      <c r="D13" t="b">
        <v>1</v>
      </c>
      <c r="E13">
        <v>1</v>
      </c>
      <c r="F13" t="s">
        <v>27</v>
      </c>
      <c r="G13" s="1">
        <v>0.54</v>
      </c>
      <c r="H13" s="1">
        <v>0.42</v>
      </c>
      <c r="I13" s="1">
        <v>0.51</v>
      </c>
      <c r="J13" s="1">
        <v>0.49</v>
      </c>
      <c r="K13" s="1">
        <v>0.44</v>
      </c>
      <c r="L13" s="1">
        <v>0.54</v>
      </c>
      <c r="M13" s="1">
        <v>0.53</v>
      </c>
      <c r="N13" s="1">
        <v>0.51</v>
      </c>
      <c r="O13" s="1">
        <v>0.53</v>
      </c>
      <c r="P13" s="1">
        <v>0.46</v>
      </c>
      <c r="Q13" s="1">
        <v>0.53</v>
      </c>
      <c r="R13" s="1">
        <v>0.48</v>
      </c>
      <c r="S13" s="1">
        <f t="shared" si="0"/>
        <v>0.54</v>
      </c>
    </row>
    <row r="14" spans="1:19" ht="25" customHeight="1">
      <c r="A14" t="s">
        <v>25</v>
      </c>
      <c r="B14">
        <v>3</v>
      </c>
      <c r="C14" t="s">
        <v>31</v>
      </c>
      <c r="D14" t="b">
        <v>1</v>
      </c>
      <c r="E14">
        <v>3</v>
      </c>
      <c r="F14" t="s">
        <v>29</v>
      </c>
      <c r="G14" s="1">
        <v>0.31</v>
      </c>
      <c r="H14" s="1">
        <v>0.38</v>
      </c>
      <c r="I14" s="1">
        <v>0.34</v>
      </c>
      <c r="J14" s="1">
        <v>0.37</v>
      </c>
      <c r="K14" s="1">
        <v>0.38</v>
      </c>
      <c r="L14" s="1">
        <v>0.38</v>
      </c>
      <c r="M14" s="1">
        <v>0.38</v>
      </c>
      <c r="N14" s="1">
        <v>0.41</v>
      </c>
      <c r="O14" s="1">
        <v>0.37</v>
      </c>
      <c r="P14" s="1">
        <v>0.39</v>
      </c>
      <c r="Q14" s="1">
        <v>0.35</v>
      </c>
      <c r="R14" s="1">
        <v>0.38</v>
      </c>
      <c r="S14" s="1">
        <f t="shared" si="0"/>
        <v>0.41</v>
      </c>
    </row>
    <row r="15" spans="1:19" ht="25" customHeight="1">
      <c r="A15" t="s">
        <v>25</v>
      </c>
      <c r="B15">
        <v>3</v>
      </c>
      <c r="C15" t="s">
        <v>31</v>
      </c>
      <c r="D15" t="b">
        <v>1</v>
      </c>
      <c r="E15">
        <v>1</v>
      </c>
      <c r="F15" t="s">
        <v>27</v>
      </c>
      <c r="G15" s="1">
        <v>0.35</v>
      </c>
      <c r="H15" s="1">
        <v>0.41</v>
      </c>
      <c r="I15" s="1">
        <v>0.32</v>
      </c>
      <c r="J15" s="1">
        <v>0.41</v>
      </c>
      <c r="K15" s="1">
        <v>0.36</v>
      </c>
      <c r="L15" s="1">
        <v>0.35</v>
      </c>
      <c r="M15" s="1">
        <v>0.4</v>
      </c>
      <c r="N15" s="1">
        <v>0.32</v>
      </c>
      <c r="O15" s="1">
        <v>0.41</v>
      </c>
      <c r="P15" s="1">
        <v>0.4</v>
      </c>
      <c r="Q15" s="1">
        <v>0.37</v>
      </c>
      <c r="R15" s="1">
        <v>0.41</v>
      </c>
      <c r="S15" s="1">
        <f t="shared" si="0"/>
        <v>0.41</v>
      </c>
    </row>
    <row r="16" spans="1:19" ht="25" customHeight="1">
      <c r="A16" t="s">
        <v>25</v>
      </c>
      <c r="B16">
        <v>3</v>
      </c>
      <c r="C16" t="s">
        <v>31</v>
      </c>
      <c r="D16" t="b">
        <v>1</v>
      </c>
      <c r="E16">
        <v>2</v>
      </c>
      <c r="F16" t="s">
        <v>28</v>
      </c>
      <c r="G16" s="1">
        <v>0.42</v>
      </c>
      <c r="H16" s="1">
        <v>0.38</v>
      </c>
      <c r="I16" s="1">
        <v>0.4</v>
      </c>
      <c r="J16" s="1">
        <v>0.41</v>
      </c>
      <c r="K16" s="1">
        <v>0.42</v>
      </c>
      <c r="L16" s="1">
        <v>0.45</v>
      </c>
      <c r="M16" s="1">
        <v>0.39</v>
      </c>
      <c r="N16" s="1">
        <v>0.47</v>
      </c>
      <c r="O16" s="1">
        <v>0.45</v>
      </c>
      <c r="P16" s="1">
        <v>0.4</v>
      </c>
      <c r="Q16" s="1">
        <v>0.4</v>
      </c>
      <c r="R16" s="1">
        <v>0.43</v>
      </c>
      <c r="S16" s="1">
        <f t="shared" si="0"/>
        <v>0.47</v>
      </c>
    </row>
    <row r="17" spans="1:19" ht="25" customHeight="1">
      <c r="A17" t="s">
        <v>25</v>
      </c>
      <c r="B17">
        <v>3</v>
      </c>
      <c r="C17" t="s">
        <v>31</v>
      </c>
      <c r="D17" t="b">
        <v>0</v>
      </c>
      <c r="E17">
        <v>2</v>
      </c>
      <c r="F17" t="s">
        <v>28</v>
      </c>
      <c r="G17" s="1">
        <v>0.39</v>
      </c>
      <c r="H17" s="1">
        <v>0.38</v>
      </c>
      <c r="I17" s="1">
        <v>0.4</v>
      </c>
      <c r="J17" s="1">
        <v>0.41</v>
      </c>
      <c r="K17" s="1">
        <v>0.41</v>
      </c>
      <c r="L17" s="1">
        <v>0.47</v>
      </c>
      <c r="M17" s="1">
        <v>0.42</v>
      </c>
      <c r="N17" s="1">
        <v>0.42</v>
      </c>
      <c r="O17" s="1">
        <v>0.41</v>
      </c>
      <c r="P17" s="1">
        <v>0.38</v>
      </c>
      <c r="Q17" s="1">
        <v>0.37</v>
      </c>
      <c r="R17" s="1">
        <v>0.42</v>
      </c>
      <c r="S17" s="1">
        <f t="shared" si="0"/>
        <v>0.47</v>
      </c>
    </row>
    <row r="18" spans="1:19" ht="25" customHeight="1">
      <c r="A18" t="s">
        <v>25</v>
      </c>
      <c r="B18">
        <v>3</v>
      </c>
      <c r="C18" t="s">
        <v>31</v>
      </c>
      <c r="D18" t="b">
        <v>0</v>
      </c>
      <c r="E18">
        <v>1</v>
      </c>
      <c r="F18" t="s">
        <v>27</v>
      </c>
      <c r="G18" s="1">
        <v>0.32</v>
      </c>
      <c r="H18" s="1">
        <v>0.37</v>
      </c>
      <c r="I18" s="1">
        <v>0.36</v>
      </c>
      <c r="J18" s="1">
        <v>0.28999999999999998</v>
      </c>
      <c r="K18" s="1">
        <v>0.32</v>
      </c>
      <c r="L18" s="1">
        <v>0.41</v>
      </c>
      <c r="M18" s="1">
        <v>0.39</v>
      </c>
      <c r="N18" s="1">
        <v>0.41</v>
      </c>
      <c r="O18" s="1">
        <v>0.36</v>
      </c>
      <c r="P18" s="1">
        <v>0.39</v>
      </c>
      <c r="Q18" s="1">
        <v>0.39</v>
      </c>
      <c r="R18" s="1">
        <v>0.38</v>
      </c>
      <c r="S18" s="1">
        <f t="shared" si="0"/>
        <v>0.41</v>
      </c>
    </row>
    <row r="19" spans="1:19" ht="25" customHeight="1">
      <c r="A19" t="s">
        <v>25</v>
      </c>
      <c r="B19">
        <v>3</v>
      </c>
      <c r="C19" t="s">
        <v>31</v>
      </c>
      <c r="D19" t="b">
        <v>0</v>
      </c>
      <c r="E19">
        <v>3</v>
      </c>
      <c r="F19" t="s">
        <v>29</v>
      </c>
      <c r="G19" s="1">
        <v>0.33</v>
      </c>
      <c r="H19" s="1">
        <v>0.38</v>
      </c>
      <c r="I19" s="1">
        <v>0.34</v>
      </c>
      <c r="J19" s="1">
        <v>0.39</v>
      </c>
      <c r="K19" s="1">
        <v>0.38</v>
      </c>
      <c r="L19" s="1">
        <v>0.41</v>
      </c>
      <c r="M19" s="1">
        <v>0.36</v>
      </c>
      <c r="N19" s="1">
        <v>0.39</v>
      </c>
      <c r="O19" s="1">
        <v>0.35</v>
      </c>
      <c r="P19" s="1">
        <v>0.37</v>
      </c>
      <c r="Q19" s="1">
        <v>0.35</v>
      </c>
      <c r="R19" s="1">
        <v>0.36</v>
      </c>
      <c r="S19" s="1">
        <f t="shared" si="0"/>
        <v>0.41</v>
      </c>
    </row>
    <row r="22" spans="1:19" ht="25" customHeight="1">
      <c r="B22" t="s">
        <v>1</v>
      </c>
      <c r="C22" t="s">
        <v>2</v>
      </c>
      <c r="D22" t="s">
        <v>32</v>
      </c>
      <c r="E22" t="s">
        <v>4</v>
      </c>
      <c r="F22" t="s">
        <v>33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13</v>
      </c>
      <c r="O22" t="s">
        <v>14</v>
      </c>
      <c r="P22" t="s">
        <v>15</v>
      </c>
      <c r="Q22" t="s">
        <v>16</v>
      </c>
      <c r="R22" t="s">
        <v>17</v>
      </c>
      <c r="S22" t="s">
        <v>18</v>
      </c>
    </row>
    <row r="23" spans="1:19" ht="25" customHeight="1">
      <c r="B23">
        <v>1</v>
      </c>
      <c r="C23" t="s">
        <v>26</v>
      </c>
      <c r="D23" t="b">
        <v>1</v>
      </c>
      <c r="E23">
        <v>0</v>
      </c>
      <c r="F23" t="s">
        <v>24</v>
      </c>
      <c r="G23" s="1" cm="1">
        <f t="array" ref="G23">_xlfn.LET(_xlpm.d,G$2:G$19,_xlpm.a,$C$2:$C$19=$C23,_xlpm.b,$D$2:$D$19=$D23,MAX(_xlfn._xlws.FILTER(_xlpm.d,_xlpm.a*_xlpm.b)))</f>
        <v>0.9</v>
      </c>
      <c r="H23" s="1" cm="1">
        <f t="array" ref="H23">_xlfn.LET(_xlpm.d,H$2:H$19,_xlpm.a,$C$2:$C$19=$C23,_xlpm.b,$D$2:$D$19=$D23,MAX(_xlfn._xlws.FILTER(_xlpm.d,_xlpm.a*_xlpm.b)))</f>
        <v>0.88</v>
      </c>
      <c r="I23" s="1" cm="1">
        <f t="array" ref="I23">_xlfn.LET(_xlpm.d,I$2:I$19,_xlpm.a,$C$2:$C$19=$C23,_xlpm.b,$D$2:$D$19=$D23,MAX(_xlfn._xlws.FILTER(_xlpm.d,_xlpm.a*_xlpm.b)))</f>
        <v>0.86</v>
      </c>
      <c r="J23" s="1" cm="1">
        <f t="array" ref="J23">_xlfn.LET(_xlpm.d,J$2:J$19,_xlpm.a,$C$2:$C$19=$C23,_xlpm.b,$D$2:$D$19=$D23,MAX(_xlfn._xlws.FILTER(_xlpm.d,_xlpm.a*_xlpm.b)))</f>
        <v>0.84</v>
      </c>
      <c r="K23" s="1" cm="1">
        <f t="array" ref="K23">_xlfn.LET(_xlpm.d,K$2:K$19,_xlpm.a,$C$2:$C$19=$C23,_xlpm.b,$D$2:$D$19=$D23,MAX(_xlfn._xlws.FILTER(_xlpm.d,_xlpm.a*_xlpm.b)))</f>
        <v>0.83</v>
      </c>
      <c r="L23" s="1" cm="1">
        <f t="array" ref="L23">_xlfn.LET(_xlpm.d,L$2:L$19,_xlpm.a,$C$2:$C$19=$C23,_xlpm.b,$D$2:$D$19=$D23,MAX(_xlfn._xlws.FILTER(_xlpm.d,_xlpm.a*_xlpm.b)))</f>
        <v>0.83</v>
      </c>
      <c r="M23" s="1" cm="1">
        <f t="array" ref="M23">_xlfn.LET(_xlpm.d,M$2:M$19,_xlpm.a,$C$2:$C$19=$C23,_xlpm.b,$D$2:$D$19=$D23,MAX(_xlfn._xlws.FILTER(_xlpm.d,_xlpm.a*_xlpm.b)))</f>
        <v>0.86</v>
      </c>
      <c r="N23" s="1" cm="1">
        <f t="array" ref="N23">_xlfn.LET(_xlpm.d,N$2:N$19,_xlpm.a,$C$2:$C$19=$C23,_xlpm.b,$D$2:$D$19=$D23,MAX(_xlfn._xlws.FILTER(_xlpm.d,_xlpm.a*_xlpm.b)))</f>
        <v>0.88</v>
      </c>
      <c r="O23" s="1" cm="1">
        <f t="array" ref="O23">_xlfn.LET(_xlpm.d,O$2:O$19,_xlpm.a,$C$2:$C$19=$C23,_xlpm.b,$D$2:$D$19=$D23,MAX(_xlfn._xlws.FILTER(_xlpm.d,_xlpm.a*_xlpm.b)))</f>
        <v>0.87</v>
      </c>
      <c r="P23" s="1" cm="1">
        <f t="array" ref="P23">_xlfn.LET(_xlpm.d,P$2:P$19,_xlpm.a,$C$2:$C$19=$C23,_xlpm.b,$D$2:$D$19=$D23,MAX(_xlfn._xlws.FILTER(_xlpm.d,_xlpm.a*_xlpm.b)))</f>
        <v>0.84</v>
      </c>
      <c r="Q23" s="1" cm="1">
        <f t="array" ref="Q23">_xlfn.LET(_xlpm.d,Q$2:Q$19,_xlpm.a,$C$2:$C$19=$C23,_xlpm.b,$D$2:$D$19=$D23,MAX(_xlfn._xlws.FILTER(_xlpm.d,_xlpm.a*_xlpm.b)))</f>
        <v>0.84</v>
      </c>
      <c r="R23" s="1" cm="1">
        <f t="array" ref="R23">_xlfn.LET(_xlpm.d,R$2:R$19,_xlpm.a,$C$2:$C$19=$C23,_xlpm.b,$D$2:$D$19=$D23,MAX(_xlfn._xlws.FILTER(_xlpm.d,_xlpm.a*_xlpm.b)))</f>
        <v>0.78</v>
      </c>
      <c r="S23" s="1" cm="1">
        <f t="array" ref="S23">_xlfn.LET(_xlpm.d,S$2:S$19,_xlpm.a,$C$2:$C$19=$C23,_xlpm.b,$D$2:$D$19=$D23,MAX(_xlfn._xlws.FILTER(_xlpm.d,_xlpm.a*_xlpm.b)))</f>
        <v>0.9</v>
      </c>
    </row>
    <row r="24" spans="1:19" ht="25" customHeight="1">
      <c r="B24">
        <v>1</v>
      </c>
      <c r="C24" t="s">
        <v>26</v>
      </c>
      <c r="D24" t="b">
        <v>0</v>
      </c>
      <c r="E24">
        <v>0</v>
      </c>
      <c r="F24" t="s">
        <v>24</v>
      </c>
      <c r="G24" s="1" cm="1">
        <f t="array" ref="G24">_xlfn.LET(_xlpm.d,G$2:G$19,_xlpm.a,$C$2:$C$19=$C24,_xlpm.b,$D$2:$D$19=$D24,MAX(_xlfn._xlws.FILTER(_xlpm.d,_xlpm.a*_xlpm.b)))</f>
        <v>0.85</v>
      </c>
      <c r="H24" s="1" cm="1">
        <f t="array" ref="H24">_xlfn.LET(_xlpm.d,H$2:H$19,_xlpm.a,$C$2:$C$19=$C24,_xlpm.b,$D$2:$D$19=$D24,MAX(_xlfn._xlws.FILTER(_xlpm.d,_xlpm.a*_xlpm.b)))</f>
        <v>0.81</v>
      </c>
      <c r="I24" s="1" cm="1">
        <f t="array" ref="I24">_xlfn.LET(_xlpm.d,I$2:I$19,_xlpm.a,$C$2:$C$19=$C24,_xlpm.b,$D$2:$D$19=$D24,MAX(_xlfn._xlws.FILTER(_xlpm.d,_xlpm.a*_xlpm.b)))</f>
        <v>0.83</v>
      </c>
      <c r="J24" s="1" cm="1">
        <f t="array" ref="J24">_xlfn.LET(_xlpm.d,J$2:J$19,_xlpm.a,$C$2:$C$19=$C24,_xlpm.b,$D$2:$D$19=$D24,MAX(_xlfn._xlws.FILTER(_xlpm.d,_xlpm.a*_xlpm.b)))</f>
        <v>0.78</v>
      </c>
      <c r="K24" s="1" cm="1">
        <f t="array" ref="K24">_xlfn.LET(_xlpm.d,K$2:K$19,_xlpm.a,$C$2:$C$19=$C24,_xlpm.b,$D$2:$D$19=$D24,MAX(_xlfn._xlws.FILTER(_xlpm.d,_xlpm.a*_xlpm.b)))</f>
        <v>0.82</v>
      </c>
      <c r="L24" s="1" cm="1">
        <f t="array" ref="L24">_xlfn.LET(_xlpm.d,L$2:L$19,_xlpm.a,$C$2:$C$19=$C24,_xlpm.b,$D$2:$D$19=$D24,MAX(_xlfn._xlws.FILTER(_xlpm.d,_xlpm.a*_xlpm.b)))</f>
        <v>0.82</v>
      </c>
      <c r="M24" s="1" cm="1">
        <f t="array" ref="M24">_xlfn.LET(_xlpm.d,M$2:M$19,_xlpm.a,$C$2:$C$19=$C24,_xlpm.b,$D$2:$D$19=$D24,MAX(_xlfn._xlws.FILTER(_xlpm.d,_xlpm.a*_xlpm.b)))</f>
        <v>0.8</v>
      </c>
      <c r="N24" s="1" cm="1">
        <f t="array" ref="N24">_xlfn.LET(_xlpm.d,N$2:N$19,_xlpm.a,$C$2:$C$19=$C24,_xlpm.b,$D$2:$D$19=$D24,MAX(_xlfn._xlws.FILTER(_xlpm.d,_xlpm.a*_xlpm.b)))</f>
        <v>0.83</v>
      </c>
      <c r="O24" s="1" cm="1">
        <f t="array" ref="O24">_xlfn.LET(_xlpm.d,O$2:O$19,_xlpm.a,$C$2:$C$19=$C24,_xlpm.b,$D$2:$D$19=$D24,MAX(_xlfn._xlws.FILTER(_xlpm.d,_xlpm.a*_xlpm.b)))</f>
        <v>0.83</v>
      </c>
      <c r="P24" s="1" cm="1">
        <f t="array" ref="P24">_xlfn.LET(_xlpm.d,P$2:P$19,_xlpm.a,$C$2:$C$19=$C24,_xlpm.b,$D$2:$D$19=$D24,MAX(_xlfn._xlws.FILTER(_xlpm.d,_xlpm.a*_xlpm.b)))</f>
        <v>0.82</v>
      </c>
      <c r="Q24" s="1" cm="1">
        <f t="array" ref="Q24">_xlfn.LET(_xlpm.d,Q$2:Q$19,_xlpm.a,$C$2:$C$19=$C24,_xlpm.b,$D$2:$D$19=$D24,MAX(_xlfn._xlws.FILTER(_xlpm.d,_xlpm.a*_xlpm.b)))</f>
        <v>0.83</v>
      </c>
      <c r="R24" s="1" cm="1">
        <f t="array" ref="R24">_xlfn.LET(_xlpm.d,R$2:R$19,_xlpm.a,$C$2:$C$19=$C24,_xlpm.b,$D$2:$D$19=$D24,MAX(_xlfn._xlws.FILTER(_xlpm.d,_xlpm.a*_xlpm.b)))</f>
        <v>0.8</v>
      </c>
      <c r="S24" s="1" cm="1">
        <f t="array" ref="S24">_xlfn.LET(_xlpm.d,S$2:S$19,_xlpm.a,$C$2:$C$19=$C24,_xlpm.b,$D$2:$D$19=$D24,MAX(_xlfn._xlws.FILTER(_xlpm.d,_xlpm.a*_xlpm.b)))</f>
        <v>0.85</v>
      </c>
    </row>
    <row r="25" spans="1:19" ht="25" customHeight="1">
      <c r="B25">
        <v>2</v>
      </c>
      <c r="C25" t="s">
        <v>30</v>
      </c>
      <c r="D25" t="b">
        <v>1</v>
      </c>
      <c r="E25">
        <v>0</v>
      </c>
      <c r="F25" t="s">
        <v>24</v>
      </c>
      <c r="G25" s="1" cm="1">
        <f t="array" ref="G25">_xlfn.LET(_xlpm.d,G$2:G$19,_xlpm.a,$C$2:$C$19=$C25,_xlpm.b,$D$2:$D$19=$D25,MAX(_xlfn._xlws.FILTER(_xlpm.d,_xlpm.a*_xlpm.b)))</f>
        <v>0.59</v>
      </c>
      <c r="H25" s="1" cm="1">
        <f t="array" ref="H25">_xlfn.LET(_xlpm.d,H$2:H$19,_xlpm.a,$C$2:$C$19=$C25,_xlpm.b,$D$2:$D$19=$D25,MAX(_xlfn._xlws.FILTER(_xlpm.d,_xlpm.a*_xlpm.b)))</f>
        <v>0.57999999999999996</v>
      </c>
      <c r="I25" s="1" cm="1">
        <f t="array" ref="I25">_xlfn.LET(_xlpm.d,I$2:I$19,_xlpm.a,$C$2:$C$19=$C25,_xlpm.b,$D$2:$D$19=$D25,MAX(_xlfn._xlws.FILTER(_xlpm.d,_xlpm.a*_xlpm.b)))</f>
        <v>0.62</v>
      </c>
      <c r="J25" s="1" cm="1">
        <f t="array" ref="J25">_xlfn.LET(_xlpm.d,J$2:J$19,_xlpm.a,$C$2:$C$19=$C25,_xlpm.b,$D$2:$D$19=$D25,MAX(_xlfn._xlws.FILTER(_xlpm.d,_xlpm.a*_xlpm.b)))</f>
        <v>0.6</v>
      </c>
      <c r="K25" s="1" cm="1">
        <f t="array" ref="K25">_xlfn.LET(_xlpm.d,K$2:K$19,_xlpm.a,$C$2:$C$19=$C25,_xlpm.b,$D$2:$D$19=$D25,MAX(_xlfn._xlws.FILTER(_xlpm.d,_xlpm.a*_xlpm.b)))</f>
        <v>0.6</v>
      </c>
      <c r="L25" s="1" cm="1">
        <f t="array" ref="L25">_xlfn.LET(_xlpm.d,L$2:L$19,_xlpm.a,$C$2:$C$19=$C25,_xlpm.b,$D$2:$D$19=$D25,MAX(_xlfn._xlws.FILTER(_xlpm.d,_xlpm.a*_xlpm.b)))</f>
        <v>0.6</v>
      </c>
      <c r="M25" s="1" cm="1">
        <f t="array" ref="M25">_xlfn.LET(_xlpm.d,M$2:M$19,_xlpm.a,$C$2:$C$19=$C25,_xlpm.b,$D$2:$D$19=$D25,MAX(_xlfn._xlws.FILTER(_xlpm.d,_xlpm.a*_xlpm.b)))</f>
        <v>0.63</v>
      </c>
      <c r="N25" s="1" cm="1">
        <f t="array" ref="N25">_xlfn.LET(_xlpm.d,N$2:N$19,_xlpm.a,$C$2:$C$19=$C25,_xlpm.b,$D$2:$D$19=$D25,MAX(_xlfn._xlws.FILTER(_xlpm.d,_xlpm.a*_xlpm.b)))</f>
        <v>0.61</v>
      </c>
      <c r="O25" s="1" cm="1">
        <f t="array" ref="O25">_xlfn.LET(_xlpm.d,O$2:O$19,_xlpm.a,$C$2:$C$19=$C25,_xlpm.b,$D$2:$D$19=$D25,MAX(_xlfn._xlws.FILTER(_xlpm.d,_xlpm.a*_xlpm.b)))</f>
        <v>0.6</v>
      </c>
      <c r="P25" s="1" cm="1">
        <f t="array" ref="P25">_xlfn.LET(_xlpm.d,P$2:P$19,_xlpm.a,$C$2:$C$19=$C25,_xlpm.b,$D$2:$D$19=$D25,MAX(_xlfn._xlws.FILTER(_xlpm.d,_xlpm.a*_xlpm.b)))</f>
        <v>0.61</v>
      </c>
      <c r="Q25" s="1" cm="1">
        <f t="array" ref="Q25">_xlfn.LET(_xlpm.d,Q$2:Q$19,_xlpm.a,$C$2:$C$19=$C25,_xlpm.b,$D$2:$D$19=$D25,MAX(_xlfn._xlws.FILTER(_xlpm.d,_xlpm.a*_xlpm.b)))</f>
        <v>0.63</v>
      </c>
      <c r="R25" s="1" cm="1">
        <f t="array" ref="R25">_xlfn.LET(_xlpm.d,R$2:R$19,_xlpm.a,$C$2:$C$19=$C25,_xlpm.b,$D$2:$D$19=$D25,MAX(_xlfn._xlws.FILTER(_xlpm.d,_xlpm.a*_xlpm.b)))</f>
        <v>0.52</v>
      </c>
      <c r="S25" s="1" cm="1">
        <f t="array" ref="S25">_xlfn.LET(_xlpm.d,S$2:S$19,_xlpm.a,$C$2:$C$19=$C25,_xlpm.b,$D$2:$D$19=$D25,MAX(_xlfn._xlws.FILTER(_xlpm.d,_xlpm.a*_xlpm.b)))</f>
        <v>0.63</v>
      </c>
    </row>
    <row r="26" spans="1:19" ht="25" customHeight="1">
      <c r="B26">
        <v>2</v>
      </c>
      <c r="C26" t="s">
        <v>30</v>
      </c>
      <c r="D26" t="b">
        <v>0</v>
      </c>
      <c r="E26">
        <v>0</v>
      </c>
      <c r="F26" t="s">
        <v>24</v>
      </c>
      <c r="G26" s="1" cm="1">
        <f t="array" ref="G26">_xlfn.LET(_xlpm.d,G$2:G$19,_xlpm.a,$C$2:$C$19=$C26,_xlpm.b,$D$2:$D$19=$D26,MAX(_xlfn._xlws.FILTER(_xlpm.d,_xlpm.a*_xlpm.b)))</f>
        <v>0.57999999999999996</v>
      </c>
      <c r="H26" s="1" cm="1">
        <f t="array" ref="H26">_xlfn.LET(_xlpm.d,H$2:H$19,_xlpm.a,$C$2:$C$19=$C26,_xlpm.b,$D$2:$D$19=$D26,MAX(_xlfn._xlws.FILTER(_xlpm.d,_xlpm.a*_xlpm.b)))</f>
        <v>0.56999999999999995</v>
      </c>
      <c r="I26" s="1" cm="1">
        <f t="array" ref="I26">_xlfn.LET(_xlpm.d,I$2:I$19,_xlpm.a,$C$2:$C$19=$C26,_xlpm.b,$D$2:$D$19=$D26,MAX(_xlfn._xlws.FILTER(_xlpm.d,_xlpm.a*_xlpm.b)))</f>
        <v>0.6</v>
      </c>
      <c r="J26" s="1" cm="1">
        <f t="array" ref="J26">_xlfn.LET(_xlpm.d,J$2:J$19,_xlpm.a,$C$2:$C$19=$C26,_xlpm.b,$D$2:$D$19=$D26,MAX(_xlfn._xlws.FILTER(_xlpm.d,_xlpm.a*_xlpm.b)))</f>
        <v>0.53</v>
      </c>
      <c r="K26" s="1" cm="1">
        <f t="array" ref="K26">_xlfn.LET(_xlpm.d,K$2:K$19,_xlpm.a,$C$2:$C$19=$C26,_xlpm.b,$D$2:$D$19=$D26,MAX(_xlfn._xlws.FILTER(_xlpm.d,_xlpm.a*_xlpm.b)))</f>
        <v>0.61</v>
      </c>
      <c r="L26" s="1" cm="1">
        <f t="array" ref="L26">_xlfn.LET(_xlpm.d,L$2:L$19,_xlpm.a,$C$2:$C$19=$C26,_xlpm.b,$D$2:$D$19=$D26,MAX(_xlfn._xlws.FILTER(_xlpm.d,_xlpm.a*_xlpm.b)))</f>
        <v>0.62</v>
      </c>
      <c r="M26" s="1" cm="1">
        <f t="array" ref="M26">_xlfn.LET(_xlpm.d,M$2:M$19,_xlpm.a,$C$2:$C$19=$C26,_xlpm.b,$D$2:$D$19=$D26,MAX(_xlfn._xlws.FILTER(_xlpm.d,_xlpm.a*_xlpm.b)))</f>
        <v>0.54</v>
      </c>
      <c r="N26" s="1" cm="1">
        <f t="array" ref="N26">_xlfn.LET(_xlpm.d,N$2:N$19,_xlpm.a,$C$2:$C$19=$C26,_xlpm.b,$D$2:$D$19=$D26,MAX(_xlfn._xlws.FILTER(_xlpm.d,_xlpm.a*_xlpm.b)))</f>
        <v>0.6</v>
      </c>
      <c r="O26" s="1" cm="1">
        <f t="array" ref="O26">_xlfn.LET(_xlpm.d,O$2:O$19,_xlpm.a,$C$2:$C$19=$C26,_xlpm.b,$D$2:$D$19=$D26,MAX(_xlfn._xlws.FILTER(_xlpm.d,_xlpm.a*_xlpm.b)))</f>
        <v>0.59</v>
      </c>
      <c r="P26" s="1" cm="1">
        <f t="array" ref="P26">_xlfn.LET(_xlpm.d,P$2:P$19,_xlpm.a,$C$2:$C$19=$C26,_xlpm.b,$D$2:$D$19=$D26,MAX(_xlfn._xlws.FILTER(_xlpm.d,_xlpm.a*_xlpm.b)))</f>
        <v>0.56999999999999995</v>
      </c>
      <c r="Q26" s="1" cm="1">
        <f t="array" ref="Q26">_xlfn.LET(_xlpm.d,Q$2:Q$19,_xlpm.a,$C$2:$C$19=$C26,_xlpm.b,$D$2:$D$19=$D26,MAX(_xlfn._xlws.FILTER(_xlpm.d,_xlpm.a*_xlpm.b)))</f>
        <v>0.62</v>
      </c>
      <c r="R26" s="1" cm="1">
        <f t="array" ref="R26">_xlfn.LET(_xlpm.d,R$2:R$19,_xlpm.a,$C$2:$C$19=$C26,_xlpm.b,$D$2:$D$19=$D26,MAX(_xlfn._xlws.FILTER(_xlpm.d,_xlpm.a*_xlpm.b)))</f>
        <v>0.53</v>
      </c>
      <c r="S26" s="1" cm="1">
        <f t="array" ref="S26">_xlfn.LET(_xlpm.d,S$2:S$19,_xlpm.a,$C$2:$C$19=$C26,_xlpm.b,$D$2:$D$19=$D26,MAX(_xlfn._xlws.FILTER(_xlpm.d,_xlpm.a*_xlpm.b)))</f>
        <v>0.62</v>
      </c>
    </row>
    <row r="27" spans="1:19" ht="25" customHeight="1">
      <c r="B27">
        <v>3</v>
      </c>
      <c r="C27" t="s">
        <v>31</v>
      </c>
      <c r="D27" t="b">
        <v>1</v>
      </c>
      <c r="E27">
        <v>0</v>
      </c>
      <c r="F27" t="s">
        <v>24</v>
      </c>
      <c r="G27" s="1" cm="1">
        <f t="array" ref="G27">_xlfn.LET(_xlpm.d,G$2:G$19,_xlpm.a,$C$2:$C$19=$C27,_xlpm.b,$D$2:$D$19=$D27,MAX(_xlfn._xlws.FILTER(_xlpm.d,_xlpm.a*_xlpm.b)))</f>
        <v>0.42</v>
      </c>
      <c r="H27" s="1" cm="1">
        <f t="array" ref="H27">_xlfn.LET(_xlpm.d,H$2:H$19,_xlpm.a,$C$2:$C$19=$C27,_xlpm.b,$D$2:$D$19=$D27,MAX(_xlfn._xlws.FILTER(_xlpm.d,_xlpm.a*_xlpm.b)))</f>
        <v>0.41</v>
      </c>
      <c r="I27" s="1" cm="1">
        <f t="array" ref="I27">_xlfn.LET(_xlpm.d,I$2:I$19,_xlpm.a,$C$2:$C$19=$C27,_xlpm.b,$D$2:$D$19=$D27,MAX(_xlfn._xlws.FILTER(_xlpm.d,_xlpm.a*_xlpm.b)))</f>
        <v>0.4</v>
      </c>
      <c r="J27" s="1" cm="1">
        <f t="array" ref="J27">_xlfn.LET(_xlpm.d,J$2:J$19,_xlpm.a,$C$2:$C$19=$C27,_xlpm.b,$D$2:$D$19=$D27,MAX(_xlfn._xlws.FILTER(_xlpm.d,_xlpm.a*_xlpm.b)))</f>
        <v>0.41</v>
      </c>
      <c r="K27" s="1" cm="1">
        <f t="array" ref="K27">_xlfn.LET(_xlpm.d,K$2:K$19,_xlpm.a,$C$2:$C$19=$C27,_xlpm.b,$D$2:$D$19=$D27,MAX(_xlfn._xlws.FILTER(_xlpm.d,_xlpm.a*_xlpm.b)))</f>
        <v>0.42</v>
      </c>
      <c r="L27" s="1" cm="1">
        <f t="array" ref="L27">_xlfn.LET(_xlpm.d,L$2:L$19,_xlpm.a,$C$2:$C$19=$C27,_xlpm.b,$D$2:$D$19=$D27,MAX(_xlfn._xlws.FILTER(_xlpm.d,_xlpm.a*_xlpm.b)))</f>
        <v>0.45</v>
      </c>
      <c r="M27" s="1" cm="1">
        <f t="array" ref="M27">_xlfn.LET(_xlpm.d,M$2:M$19,_xlpm.a,$C$2:$C$19=$C27,_xlpm.b,$D$2:$D$19=$D27,MAX(_xlfn._xlws.FILTER(_xlpm.d,_xlpm.a*_xlpm.b)))</f>
        <v>0.4</v>
      </c>
      <c r="N27" s="1" cm="1">
        <f t="array" ref="N27">_xlfn.LET(_xlpm.d,N$2:N$19,_xlpm.a,$C$2:$C$19=$C27,_xlpm.b,$D$2:$D$19=$D27,MAX(_xlfn._xlws.FILTER(_xlpm.d,_xlpm.a*_xlpm.b)))</f>
        <v>0.47</v>
      </c>
      <c r="O27" s="1" cm="1">
        <f t="array" ref="O27">_xlfn.LET(_xlpm.d,O$2:O$19,_xlpm.a,$C$2:$C$19=$C27,_xlpm.b,$D$2:$D$19=$D27,MAX(_xlfn._xlws.FILTER(_xlpm.d,_xlpm.a*_xlpm.b)))</f>
        <v>0.45</v>
      </c>
      <c r="P27" s="1" cm="1">
        <f t="array" ref="P27">_xlfn.LET(_xlpm.d,P$2:P$19,_xlpm.a,$C$2:$C$19=$C27,_xlpm.b,$D$2:$D$19=$D27,MAX(_xlfn._xlws.FILTER(_xlpm.d,_xlpm.a*_xlpm.b)))</f>
        <v>0.4</v>
      </c>
      <c r="Q27" s="1" cm="1">
        <f t="array" ref="Q27">_xlfn.LET(_xlpm.d,Q$2:Q$19,_xlpm.a,$C$2:$C$19=$C27,_xlpm.b,$D$2:$D$19=$D27,MAX(_xlfn._xlws.FILTER(_xlpm.d,_xlpm.a*_xlpm.b)))</f>
        <v>0.4</v>
      </c>
      <c r="R27" s="1" cm="1">
        <f t="array" ref="R27">_xlfn.LET(_xlpm.d,R$2:R$19,_xlpm.a,$C$2:$C$19=$C27,_xlpm.b,$D$2:$D$19=$D27,MAX(_xlfn._xlws.FILTER(_xlpm.d,_xlpm.a*_xlpm.b)))</f>
        <v>0.43</v>
      </c>
      <c r="S27" s="1" cm="1">
        <f t="array" ref="S27">_xlfn.LET(_xlpm.d,S$2:S$19,_xlpm.a,$C$2:$C$19=$C27,_xlpm.b,$D$2:$D$19=$D27,MAX(_xlfn._xlws.FILTER(_xlpm.d,_xlpm.a*_xlpm.b)))</f>
        <v>0.47</v>
      </c>
    </row>
    <row r="28" spans="1:19" ht="25" customHeight="1">
      <c r="B28">
        <v>3</v>
      </c>
      <c r="C28" t="s">
        <v>31</v>
      </c>
      <c r="D28" t="b">
        <v>0</v>
      </c>
      <c r="E28">
        <v>0</v>
      </c>
      <c r="F28" t="s">
        <v>24</v>
      </c>
      <c r="G28" s="1" cm="1">
        <f t="array" ref="G28">_xlfn.LET(_xlpm.d,G$2:G$19,_xlpm.a,$C$2:$C$19=$C28,_xlpm.b,$D$2:$D$19=$D28,MAX(_xlfn._xlws.FILTER(_xlpm.d,_xlpm.a*_xlpm.b)))</f>
        <v>0.39</v>
      </c>
      <c r="H28" s="1" cm="1">
        <f t="array" ref="H28">_xlfn.LET(_xlpm.d,H$2:H$19,_xlpm.a,$C$2:$C$19=$C28,_xlpm.b,$D$2:$D$19=$D28,MAX(_xlfn._xlws.FILTER(_xlpm.d,_xlpm.a*_xlpm.b)))</f>
        <v>0.38</v>
      </c>
      <c r="I28" s="1" cm="1">
        <f t="array" ref="I28">_xlfn.LET(_xlpm.d,I$2:I$19,_xlpm.a,$C$2:$C$19=$C28,_xlpm.b,$D$2:$D$19=$D28,MAX(_xlfn._xlws.FILTER(_xlpm.d,_xlpm.a*_xlpm.b)))</f>
        <v>0.4</v>
      </c>
      <c r="J28" s="1" cm="1">
        <f t="array" ref="J28">_xlfn.LET(_xlpm.d,J$2:J$19,_xlpm.a,$C$2:$C$19=$C28,_xlpm.b,$D$2:$D$19=$D28,MAX(_xlfn._xlws.FILTER(_xlpm.d,_xlpm.a*_xlpm.b)))</f>
        <v>0.41</v>
      </c>
      <c r="K28" s="1" cm="1">
        <f t="array" ref="K28">_xlfn.LET(_xlpm.d,K$2:K$19,_xlpm.a,$C$2:$C$19=$C28,_xlpm.b,$D$2:$D$19=$D28,MAX(_xlfn._xlws.FILTER(_xlpm.d,_xlpm.a*_xlpm.b)))</f>
        <v>0.41</v>
      </c>
      <c r="L28" s="1" cm="1">
        <f t="array" ref="L28">_xlfn.LET(_xlpm.d,L$2:L$19,_xlpm.a,$C$2:$C$19=$C28,_xlpm.b,$D$2:$D$19=$D28,MAX(_xlfn._xlws.FILTER(_xlpm.d,_xlpm.a*_xlpm.b)))</f>
        <v>0.47</v>
      </c>
      <c r="M28" s="1" cm="1">
        <f t="array" ref="M28">_xlfn.LET(_xlpm.d,M$2:M$19,_xlpm.a,$C$2:$C$19=$C28,_xlpm.b,$D$2:$D$19=$D28,MAX(_xlfn._xlws.FILTER(_xlpm.d,_xlpm.a*_xlpm.b)))</f>
        <v>0.42</v>
      </c>
      <c r="N28" s="1" cm="1">
        <f t="array" ref="N28">_xlfn.LET(_xlpm.d,N$2:N$19,_xlpm.a,$C$2:$C$19=$C28,_xlpm.b,$D$2:$D$19=$D28,MAX(_xlfn._xlws.FILTER(_xlpm.d,_xlpm.a*_xlpm.b)))</f>
        <v>0.42</v>
      </c>
      <c r="O28" s="1" cm="1">
        <f t="array" ref="O28">_xlfn.LET(_xlpm.d,O$2:O$19,_xlpm.a,$C$2:$C$19=$C28,_xlpm.b,$D$2:$D$19=$D28,MAX(_xlfn._xlws.FILTER(_xlpm.d,_xlpm.a*_xlpm.b)))</f>
        <v>0.41</v>
      </c>
      <c r="P28" s="1" cm="1">
        <f t="array" ref="P28">_xlfn.LET(_xlpm.d,P$2:P$19,_xlpm.a,$C$2:$C$19=$C28,_xlpm.b,$D$2:$D$19=$D28,MAX(_xlfn._xlws.FILTER(_xlpm.d,_xlpm.a*_xlpm.b)))</f>
        <v>0.39</v>
      </c>
      <c r="Q28" s="1" cm="1">
        <f t="array" ref="Q28">_xlfn.LET(_xlpm.d,Q$2:Q$19,_xlpm.a,$C$2:$C$19=$C28,_xlpm.b,$D$2:$D$19=$D28,MAX(_xlfn._xlws.FILTER(_xlpm.d,_xlpm.a*_xlpm.b)))</f>
        <v>0.39</v>
      </c>
      <c r="R28" s="1" cm="1">
        <f t="array" ref="R28">_xlfn.LET(_xlpm.d,R$2:R$19,_xlpm.a,$C$2:$C$19=$C28,_xlpm.b,$D$2:$D$19=$D28,MAX(_xlfn._xlws.FILTER(_xlpm.d,_xlpm.a*_xlpm.b)))</f>
        <v>0.42</v>
      </c>
      <c r="S28" s="1" cm="1">
        <f t="array" ref="S28">_xlfn.LET(_xlpm.d,S$2:S$19,_xlpm.a,$C$2:$C$19=$C28,_xlpm.b,$D$2:$D$19=$D28,MAX(_xlfn._xlws.FILTER(_xlpm.d,_xlpm.a*_xlpm.b)))</f>
        <v>0.47</v>
      </c>
    </row>
  </sheetData>
  <conditionalFormatting sqref="G2:S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66165-7BE6-D04F-A5B2-B3871C01155C}">
  <dimension ref="A1:S28"/>
  <sheetViews>
    <sheetView topLeftCell="B1" workbookViewId="0">
      <pane xSplit="9080" ySplit="4400" topLeftCell="N21" activePane="bottomRight"/>
      <selection activeCell="B1" sqref="A1:XFD1048576"/>
      <selection pane="topRight" activeCell="S3" sqref="S3"/>
      <selection pane="bottomLeft" activeCell="G23" sqref="G23:S28"/>
      <selection pane="bottomRight" activeCell="Q24" sqref="Q24"/>
    </sheetView>
  </sheetViews>
  <sheetFormatPr baseColWidth="10" defaultRowHeight="25" customHeight="1"/>
  <cols>
    <col min="2" max="2" width="6.875" customWidth="1"/>
    <col min="4" max="4" width="13.75" customWidth="1"/>
    <col min="5" max="5" width="7" customWidth="1"/>
    <col min="6" max="6" width="7.125" customWidth="1"/>
    <col min="7" max="19" width="7.75" customWidth="1"/>
  </cols>
  <sheetData>
    <row r="1" spans="1:19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21</v>
      </c>
      <c r="Q1" t="s">
        <v>22</v>
      </c>
      <c r="R1" t="s">
        <v>23</v>
      </c>
      <c r="S1" t="s">
        <v>24</v>
      </c>
    </row>
    <row r="2" spans="1:19" ht="25" customHeight="1">
      <c r="A2" t="s">
        <v>25</v>
      </c>
      <c r="B2">
        <v>1</v>
      </c>
      <c r="C2" t="s">
        <v>26</v>
      </c>
      <c r="D2" t="b">
        <v>1</v>
      </c>
      <c r="E2">
        <v>1</v>
      </c>
      <c r="F2" t="s">
        <v>27</v>
      </c>
      <c r="G2" s="1">
        <v>0.78</v>
      </c>
      <c r="H2" s="1">
        <v>0.77</v>
      </c>
      <c r="I2" s="1">
        <v>0.77</v>
      </c>
      <c r="J2" s="1">
        <v>0.81</v>
      </c>
      <c r="K2" s="1">
        <v>0.72</v>
      </c>
      <c r="L2" s="1">
        <v>0.8</v>
      </c>
      <c r="M2" s="1">
        <v>0.84</v>
      </c>
      <c r="N2" s="1">
        <v>0.82</v>
      </c>
      <c r="O2" s="1">
        <v>0.7</v>
      </c>
      <c r="P2" s="1">
        <v>0.8</v>
      </c>
      <c r="Q2" s="1">
        <v>0.74</v>
      </c>
      <c r="R2" s="1">
        <v>0.77</v>
      </c>
      <c r="S2" s="1">
        <f t="shared" ref="S2:S19" si="0">MAX($G2:$R2)</f>
        <v>0.84</v>
      </c>
    </row>
    <row r="3" spans="1:19" ht="25" customHeight="1">
      <c r="A3" t="s">
        <v>25</v>
      </c>
      <c r="B3">
        <v>1</v>
      </c>
      <c r="C3" t="s">
        <v>26</v>
      </c>
      <c r="D3" t="b">
        <v>0</v>
      </c>
      <c r="E3">
        <v>1</v>
      </c>
      <c r="F3" t="s">
        <v>27</v>
      </c>
      <c r="G3" s="1">
        <v>0.82</v>
      </c>
      <c r="H3" s="1">
        <v>0.76</v>
      </c>
      <c r="I3" s="1">
        <v>0.77</v>
      </c>
      <c r="J3" s="1">
        <v>0.72</v>
      </c>
      <c r="K3" s="1">
        <v>0.71</v>
      </c>
      <c r="L3" s="1">
        <v>0.8</v>
      </c>
      <c r="M3" s="1">
        <v>0.78</v>
      </c>
      <c r="N3" s="1">
        <v>0.74</v>
      </c>
      <c r="O3" s="1">
        <v>0.69</v>
      </c>
      <c r="P3" s="1">
        <v>0.81</v>
      </c>
      <c r="Q3" s="1">
        <v>0.8</v>
      </c>
      <c r="R3" s="1">
        <v>0.78</v>
      </c>
      <c r="S3" s="1">
        <f t="shared" si="0"/>
        <v>0.82</v>
      </c>
    </row>
    <row r="4" spans="1:19" ht="25" customHeight="1">
      <c r="A4" t="s">
        <v>25</v>
      </c>
      <c r="B4">
        <v>1</v>
      </c>
      <c r="C4" t="s">
        <v>26</v>
      </c>
      <c r="D4" t="b">
        <v>0</v>
      </c>
      <c r="E4">
        <v>2</v>
      </c>
      <c r="F4" t="s">
        <v>28</v>
      </c>
      <c r="G4" s="1">
        <v>0.8</v>
      </c>
      <c r="H4" s="1">
        <v>0.78</v>
      </c>
      <c r="I4" s="1">
        <v>0.8</v>
      </c>
      <c r="J4" s="1">
        <v>0.85</v>
      </c>
      <c r="K4" s="1">
        <v>0.74</v>
      </c>
      <c r="L4" s="1">
        <v>0.82</v>
      </c>
      <c r="M4" s="1">
        <v>0.82</v>
      </c>
      <c r="N4" s="1">
        <v>0.78</v>
      </c>
      <c r="O4" s="1">
        <v>0.74</v>
      </c>
      <c r="P4" s="1">
        <v>0.83</v>
      </c>
      <c r="Q4" s="1">
        <v>0.79</v>
      </c>
      <c r="R4" s="1">
        <v>0.8</v>
      </c>
      <c r="S4" s="1">
        <f t="shared" si="0"/>
        <v>0.85</v>
      </c>
    </row>
    <row r="5" spans="1:19" ht="25" customHeight="1">
      <c r="A5" t="s">
        <v>25</v>
      </c>
      <c r="B5">
        <v>1</v>
      </c>
      <c r="C5" t="s">
        <v>26</v>
      </c>
      <c r="D5" t="b">
        <v>1</v>
      </c>
      <c r="E5">
        <v>2</v>
      </c>
      <c r="F5" t="s">
        <v>28</v>
      </c>
      <c r="G5" s="1">
        <v>0.84</v>
      </c>
      <c r="H5" s="1">
        <v>0.83</v>
      </c>
      <c r="I5" s="1">
        <v>0.8</v>
      </c>
      <c r="J5" s="1">
        <v>0.85</v>
      </c>
      <c r="K5" s="1">
        <v>0.77</v>
      </c>
      <c r="L5" s="1">
        <v>0.84</v>
      </c>
      <c r="M5" s="1">
        <v>0.85</v>
      </c>
      <c r="N5" s="1">
        <v>0.83</v>
      </c>
      <c r="O5" s="1">
        <v>0.76</v>
      </c>
      <c r="P5" s="1">
        <v>0.83</v>
      </c>
      <c r="Q5" s="1">
        <v>0.81</v>
      </c>
      <c r="R5" s="1">
        <v>0.79</v>
      </c>
      <c r="S5" s="1">
        <f t="shared" si="0"/>
        <v>0.85</v>
      </c>
    </row>
    <row r="6" spans="1:19" ht="25" customHeight="1">
      <c r="A6" t="s">
        <v>25</v>
      </c>
      <c r="B6">
        <v>1</v>
      </c>
      <c r="C6" t="s">
        <v>26</v>
      </c>
      <c r="D6" t="b">
        <v>0</v>
      </c>
      <c r="E6">
        <v>3</v>
      </c>
      <c r="F6" t="s">
        <v>29</v>
      </c>
      <c r="G6" s="1">
        <v>0.81</v>
      </c>
      <c r="H6" s="1">
        <v>0.79</v>
      </c>
      <c r="I6" s="1">
        <v>0.72</v>
      </c>
      <c r="J6" s="1">
        <v>0.79</v>
      </c>
      <c r="K6" s="1">
        <v>0.78</v>
      </c>
      <c r="L6" s="1">
        <v>0.84</v>
      </c>
      <c r="M6" s="1">
        <v>0.79</v>
      </c>
      <c r="N6" s="1">
        <v>0.77</v>
      </c>
      <c r="O6" s="1">
        <v>0.71</v>
      </c>
      <c r="P6" s="1">
        <v>0.81</v>
      </c>
      <c r="Q6" s="1">
        <v>0.78</v>
      </c>
      <c r="R6" s="1">
        <v>0.74</v>
      </c>
      <c r="S6" s="1">
        <f t="shared" si="0"/>
        <v>0.84</v>
      </c>
    </row>
    <row r="7" spans="1:19" ht="25" customHeight="1">
      <c r="A7" t="s">
        <v>25</v>
      </c>
      <c r="B7">
        <v>1</v>
      </c>
      <c r="C7" t="s">
        <v>26</v>
      </c>
      <c r="D7" t="b">
        <v>1</v>
      </c>
      <c r="E7">
        <v>3</v>
      </c>
      <c r="F7" t="s">
        <v>29</v>
      </c>
      <c r="G7" s="1">
        <v>0.8</v>
      </c>
      <c r="H7" s="1">
        <v>0.78</v>
      </c>
      <c r="I7" s="1">
        <v>0.78</v>
      </c>
      <c r="J7" s="1">
        <v>0.86</v>
      </c>
      <c r="K7" s="1">
        <v>0.78</v>
      </c>
      <c r="L7" s="1">
        <v>0.82</v>
      </c>
      <c r="M7" s="1">
        <v>0.86</v>
      </c>
      <c r="N7" s="1">
        <v>0.8</v>
      </c>
      <c r="O7" s="1">
        <v>0.74</v>
      </c>
      <c r="P7" s="1">
        <v>0.83</v>
      </c>
      <c r="Q7" s="1">
        <v>0.79</v>
      </c>
      <c r="R7" s="1">
        <v>0.78</v>
      </c>
      <c r="S7" s="1">
        <f t="shared" si="0"/>
        <v>0.86</v>
      </c>
    </row>
    <row r="8" spans="1:19" ht="25" customHeight="1">
      <c r="A8" t="s">
        <v>25</v>
      </c>
      <c r="B8">
        <v>2</v>
      </c>
      <c r="C8" t="s">
        <v>30</v>
      </c>
      <c r="D8" t="b">
        <v>0</v>
      </c>
      <c r="E8">
        <v>1</v>
      </c>
      <c r="F8" t="s">
        <v>27</v>
      </c>
      <c r="G8" s="1">
        <v>0.51</v>
      </c>
      <c r="H8" s="1">
        <v>0.45</v>
      </c>
      <c r="I8" s="1">
        <v>0.44</v>
      </c>
      <c r="J8" s="1">
        <v>0.51</v>
      </c>
      <c r="K8" s="1">
        <v>0.43</v>
      </c>
      <c r="L8" s="1">
        <v>0.41</v>
      </c>
      <c r="M8" s="1">
        <v>0.38</v>
      </c>
      <c r="N8" s="1">
        <v>0.47</v>
      </c>
      <c r="O8" s="1">
        <v>0.53</v>
      </c>
      <c r="P8" s="1">
        <v>0.53</v>
      </c>
      <c r="Q8" s="1">
        <v>0.42</v>
      </c>
      <c r="R8" s="1">
        <v>0.52</v>
      </c>
      <c r="S8" s="1">
        <f t="shared" si="0"/>
        <v>0.53</v>
      </c>
    </row>
    <row r="9" spans="1:19" ht="25" customHeight="1">
      <c r="A9" t="s">
        <v>25</v>
      </c>
      <c r="B9">
        <v>2</v>
      </c>
      <c r="C9" t="s">
        <v>30</v>
      </c>
      <c r="D9" t="b">
        <v>0</v>
      </c>
      <c r="E9">
        <v>2</v>
      </c>
      <c r="F9" t="s">
        <v>28</v>
      </c>
      <c r="G9" s="1">
        <v>0.6</v>
      </c>
      <c r="H9" s="1">
        <v>0.49</v>
      </c>
      <c r="I9" s="1">
        <v>0.54</v>
      </c>
      <c r="J9" s="1">
        <v>0.6</v>
      </c>
      <c r="K9" s="1">
        <v>0.54</v>
      </c>
      <c r="L9" s="1">
        <v>0.5</v>
      </c>
      <c r="M9" s="1">
        <v>0.57999999999999996</v>
      </c>
      <c r="N9" s="1">
        <v>0.56000000000000005</v>
      </c>
      <c r="O9" s="1">
        <v>0.56999999999999995</v>
      </c>
      <c r="P9" s="1">
        <v>0.6</v>
      </c>
      <c r="Q9" s="1">
        <v>0.56000000000000005</v>
      </c>
      <c r="R9" s="1">
        <v>0.55000000000000004</v>
      </c>
      <c r="S9" s="1">
        <f t="shared" si="0"/>
        <v>0.6</v>
      </c>
    </row>
    <row r="10" spans="1:19" ht="25" customHeight="1">
      <c r="A10" t="s">
        <v>25</v>
      </c>
      <c r="B10">
        <v>2</v>
      </c>
      <c r="C10" t="s">
        <v>30</v>
      </c>
      <c r="D10" t="b">
        <v>0</v>
      </c>
      <c r="E10">
        <v>3</v>
      </c>
      <c r="F10" t="s">
        <v>29</v>
      </c>
      <c r="G10" s="1">
        <v>0.56000000000000005</v>
      </c>
      <c r="H10" s="1">
        <v>0.55000000000000004</v>
      </c>
      <c r="I10" s="1">
        <v>0.54</v>
      </c>
      <c r="J10" s="1">
        <v>0.57999999999999996</v>
      </c>
      <c r="K10" s="1">
        <v>0.59</v>
      </c>
      <c r="L10" s="1">
        <v>0.56999999999999995</v>
      </c>
      <c r="M10" s="1">
        <v>0.53</v>
      </c>
      <c r="N10" s="1">
        <v>0.55000000000000004</v>
      </c>
      <c r="O10" s="1">
        <v>0.61</v>
      </c>
      <c r="P10" s="1">
        <v>0.5</v>
      </c>
      <c r="Q10" s="1">
        <v>0.53</v>
      </c>
      <c r="R10" s="1">
        <v>0.56999999999999995</v>
      </c>
      <c r="S10" s="1">
        <f t="shared" si="0"/>
        <v>0.61</v>
      </c>
    </row>
    <row r="11" spans="1:19" ht="25" customHeight="1">
      <c r="A11" t="s">
        <v>25</v>
      </c>
      <c r="B11">
        <v>2</v>
      </c>
      <c r="C11" t="s">
        <v>30</v>
      </c>
      <c r="D11" t="b">
        <v>1</v>
      </c>
      <c r="E11">
        <v>2</v>
      </c>
      <c r="F11" t="s">
        <v>28</v>
      </c>
      <c r="G11" s="1">
        <v>0.64</v>
      </c>
      <c r="H11" s="1">
        <v>0.56999999999999995</v>
      </c>
      <c r="I11" s="1">
        <v>0.56000000000000005</v>
      </c>
      <c r="J11" s="1">
        <v>0.65</v>
      </c>
      <c r="K11" s="1">
        <v>0.52</v>
      </c>
      <c r="L11" s="1">
        <v>0.49</v>
      </c>
      <c r="M11" s="1">
        <v>0.63</v>
      </c>
      <c r="N11" s="1">
        <v>0.56999999999999995</v>
      </c>
      <c r="O11" s="1">
        <v>0.62</v>
      </c>
      <c r="P11" s="1">
        <v>0.6</v>
      </c>
      <c r="Q11" s="1">
        <v>0.6</v>
      </c>
      <c r="R11" s="1">
        <v>0.57999999999999996</v>
      </c>
      <c r="S11" s="1">
        <f t="shared" si="0"/>
        <v>0.65</v>
      </c>
    </row>
    <row r="12" spans="1:19" ht="25" customHeight="1">
      <c r="A12" t="s">
        <v>25</v>
      </c>
      <c r="B12">
        <v>2</v>
      </c>
      <c r="C12" t="s">
        <v>30</v>
      </c>
      <c r="D12" t="b">
        <v>1</v>
      </c>
      <c r="E12">
        <v>3</v>
      </c>
      <c r="F12" t="s">
        <v>29</v>
      </c>
      <c r="G12" s="1">
        <v>0.6</v>
      </c>
      <c r="H12" s="1">
        <v>0.55000000000000004</v>
      </c>
      <c r="I12" s="1">
        <v>0.59</v>
      </c>
      <c r="J12" s="1">
        <v>0.55000000000000004</v>
      </c>
      <c r="K12" s="1">
        <v>0.56000000000000005</v>
      </c>
      <c r="L12" s="1">
        <v>0.52</v>
      </c>
      <c r="M12" s="1">
        <v>0.54</v>
      </c>
      <c r="N12" s="1">
        <v>0.56000000000000005</v>
      </c>
      <c r="O12" s="1">
        <v>0.62</v>
      </c>
      <c r="P12" s="1">
        <v>0.5</v>
      </c>
      <c r="Q12" s="1">
        <v>0.55000000000000004</v>
      </c>
      <c r="R12" s="1">
        <v>0.53</v>
      </c>
      <c r="S12" s="1">
        <f t="shared" si="0"/>
        <v>0.62</v>
      </c>
    </row>
    <row r="13" spans="1:19" ht="25" customHeight="1">
      <c r="A13" t="s">
        <v>25</v>
      </c>
      <c r="B13">
        <v>2</v>
      </c>
      <c r="C13" t="s">
        <v>30</v>
      </c>
      <c r="D13" t="b">
        <v>1</v>
      </c>
      <c r="E13">
        <v>1</v>
      </c>
      <c r="F13" t="s">
        <v>27</v>
      </c>
      <c r="G13" s="1">
        <v>0.56000000000000005</v>
      </c>
      <c r="H13" s="1">
        <v>0.51</v>
      </c>
      <c r="I13" s="1">
        <v>0.48</v>
      </c>
      <c r="J13" s="1">
        <v>0.48</v>
      </c>
      <c r="K13" s="1">
        <v>0.43</v>
      </c>
      <c r="L13" s="1">
        <v>0.4</v>
      </c>
      <c r="M13" s="1">
        <v>0.43</v>
      </c>
      <c r="N13" s="1">
        <v>0.49</v>
      </c>
      <c r="O13" s="1">
        <v>0.53</v>
      </c>
      <c r="P13" s="1">
        <v>0.55000000000000004</v>
      </c>
      <c r="Q13" s="1">
        <v>0.48</v>
      </c>
      <c r="R13" s="1">
        <v>0.56000000000000005</v>
      </c>
      <c r="S13" s="1">
        <f t="shared" si="0"/>
        <v>0.56000000000000005</v>
      </c>
    </row>
    <row r="14" spans="1:19" ht="25" customHeight="1">
      <c r="A14" t="s">
        <v>25</v>
      </c>
      <c r="B14">
        <v>3</v>
      </c>
      <c r="C14" t="s">
        <v>31</v>
      </c>
      <c r="D14" t="b">
        <v>1</v>
      </c>
      <c r="E14">
        <v>3</v>
      </c>
      <c r="F14" t="s">
        <v>29</v>
      </c>
      <c r="G14" s="1">
        <v>0.33</v>
      </c>
      <c r="H14" s="1">
        <v>0.38</v>
      </c>
      <c r="I14" s="1">
        <v>0.27</v>
      </c>
      <c r="J14" s="1">
        <v>0.34</v>
      </c>
      <c r="K14" s="1">
        <v>0.46</v>
      </c>
      <c r="L14" s="1">
        <v>0.39</v>
      </c>
      <c r="M14" s="1">
        <v>0.39</v>
      </c>
      <c r="N14" s="1">
        <v>0.37</v>
      </c>
      <c r="O14" s="1">
        <v>0.35</v>
      </c>
      <c r="P14" s="1">
        <v>0.41</v>
      </c>
      <c r="Q14" s="1">
        <v>0.39</v>
      </c>
      <c r="R14" s="1">
        <v>0.32</v>
      </c>
      <c r="S14" s="1">
        <f t="shared" si="0"/>
        <v>0.46</v>
      </c>
    </row>
    <row r="15" spans="1:19" ht="25" customHeight="1">
      <c r="A15" t="s">
        <v>25</v>
      </c>
      <c r="B15">
        <v>3</v>
      </c>
      <c r="C15" t="s">
        <v>31</v>
      </c>
      <c r="D15" t="b">
        <v>1</v>
      </c>
      <c r="E15">
        <v>1</v>
      </c>
      <c r="F15" t="s">
        <v>27</v>
      </c>
      <c r="G15" s="1">
        <v>0.37</v>
      </c>
      <c r="H15" s="1">
        <v>0.42</v>
      </c>
      <c r="I15" s="1">
        <v>0.38</v>
      </c>
      <c r="J15" s="1">
        <v>0.37</v>
      </c>
      <c r="K15" s="1">
        <v>0.36</v>
      </c>
      <c r="L15" s="1">
        <v>0.36</v>
      </c>
      <c r="M15" s="1">
        <v>0.33</v>
      </c>
      <c r="N15" s="1">
        <v>0.39</v>
      </c>
      <c r="O15" s="1">
        <v>0.35</v>
      </c>
      <c r="P15" s="1">
        <v>0.36</v>
      </c>
      <c r="Q15" s="1">
        <v>0.41</v>
      </c>
      <c r="R15" s="1">
        <v>0.36</v>
      </c>
      <c r="S15" s="1">
        <f t="shared" si="0"/>
        <v>0.42</v>
      </c>
    </row>
    <row r="16" spans="1:19" ht="25" customHeight="1">
      <c r="A16" t="s">
        <v>25</v>
      </c>
      <c r="B16">
        <v>3</v>
      </c>
      <c r="C16" t="s">
        <v>31</v>
      </c>
      <c r="D16" t="b">
        <v>1</v>
      </c>
      <c r="E16">
        <v>2</v>
      </c>
      <c r="F16" t="s">
        <v>28</v>
      </c>
      <c r="G16" s="1">
        <v>0.4</v>
      </c>
      <c r="H16" s="1">
        <v>0.43</v>
      </c>
      <c r="I16" s="1">
        <v>0.41</v>
      </c>
      <c r="J16" s="1">
        <v>0.39</v>
      </c>
      <c r="K16" s="1">
        <v>0.42</v>
      </c>
      <c r="L16" s="1">
        <v>0.42</v>
      </c>
      <c r="M16" s="1">
        <v>0.39</v>
      </c>
      <c r="N16" s="1">
        <v>0.43</v>
      </c>
      <c r="O16" s="1">
        <v>0.38</v>
      </c>
      <c r="P16" s="1">
        <v>0.42</v>
      </c>
      <c r="Q16" s="1">
        <v>0.45</v>
      </c>
      <c r="R16" s="1">
        <v>0.36</v>
      </c>
      <c r="S16" s="1">
        <f t="shared" si="0"/>
        <v>0.45</v>
      </c>
    </row>
    <row r="17" spans="1:19" ht="25" customHeight="1">
      <c r="A17" t="s">
        <v>25</v>
      </c>
      <c r="B17">
        <v>3</v>
      </c>
      <c r="C17" t="s">
        <v>31</v>
      </c>
      <c r="D17" t="b">
        <v>0</v>
      </c>
      <c r="E17">
        <v>2</v>
      </c>
      <c r="F17" t="s">
        <v>28</v>
      </c>
      <c r="G17" s="1">
        <v>0.38</v>
      </c>
      <c r="H17" s="1">
        <v>0.35</v>
      </c>
      <c r="I17" s="1">
        <v>0.36</v>
      </c>
      <c r="J17" s="1">
        <v>0.4</v>
      </c>
      <c r="K17" s="1">
        <v>0.46</v>
      </c>
      <c r="L17" s="1">
        <v>0.4</v>
      </c>
      <c r="M17" s="1">
        <v>0.39</v>
      </c>
      <c r="N17" s="1">
        <v>0.4</v>
      </c>
      <c r="O17" s="1">
        <v>0.34</v>
      </c>
      <c r="P17" s="1">
        <v>0.41</v>
      </c>
      <c r="Q17" s="1">
        <v>0.45</v>
      </c>
      <c r="R17" s="1">
        <v>0.34</v>
      </c>
      <c r="S17" s="1">
        <f t="shared" si="0"/>
        <v>0.46</v>
      </c>
    </row>
    <row r="18" spans="1:19" ht="25" customHeight="1">
      <c r="A18" t="s">
        <v>25</v>
      </c>
      <c r="B18">
        <v>3</v>
      </c>
      <c r="C18" t="s">
        <v>31</v>
      </c>
      <c r="D18" t="b">
        <v>0</v>
      </c>
      <c r="E18">
        <v>1</v>
      </c>
      <c r="F18" t="s">
        <v>27</v>
      </c>
      <c r="G18" s="1">
        <v>0.33</v>
      </c>
      <c r="H18" s="1">
        <v>0.43</v>
      </c>
      <c r="I18" s="1">
        <v>0.35</v>
      </c>
      <c r="J18" s="1">
        <v>0.35</v>
      </c>
      <c r="K18" s="1">
        <v>0.32</v>
      </c>
      <c r="L18" s="1">
        <v>0.36</v>
      </c>
      <c r="M18" s="1">
        <v>0.39</v>
      </c>
      <c r="N18" s="1">
        <v>0.45</v>
      </c>
      <c r="O18" s="1">
        <v>0.28000000000000003</v>
      </c>
      <c r="P18" s="1">
        <v>0.39</v>
      </c>
      <c r="Q18" s="1">
        <v>0.46</v>
      </c>
      <c r="R18" s="1">
        <v>0.36</v>
      </c>
      <c r="S18" s="1">
        <f t="shared" si="0"/>
        <v>0.46</v>
      </c>
    </row>
    <row r="19" spans="1:19" ht="25" customHeight="1">
      <c r="A19" t="s">
        <v>25</v>
      </c>
      <c r="B19">
        <v>3</v>
      </c>
      <c r="C19" t="s">
        <v>31</v>
      </c>
      <c r="D19" t="b">
        <v>0</v>
      </c>
      <c r="E19">
        <v>3</v>
      </c>
      <c r="F19" t="s">
        <v>29</v>
      </c>
      <c r="G19" s="1">
        <v>0.42</v>
      </c>
      <c r="H19" s="1">
        <v>0.4</v>
      </c>
      <c r="I19" s="1">
        <v>0.34</v>
      </c>
      <c r="J19" s="1">
        <v>0.32</v>
      </c>
      <c r="K19" s="1">
        <v>0.41</v>
      </c>
      <c r="L19" s="1">
        <v>0.36</v>
      </c>
      <c r="M19" s="1">
        <v>0.32</v>
      </c>
      <c r="N19" s="1">
        <v>0.35</v>
      </c>
      <c r="O19" s="1">
        <v>0.35</v>
      </c>
      <c r="P19" s="1">
        <v>0.37</v>
      </c>
      <c r="Q19" s="1">
        <v>0.33</v>
      </c>
      <c r="R19" s="1">
        <v>0.32</v>
      </c>
      <c r="S19" s="1">
        <f t="shared" si="0"/>
        <v>0.42</v>
      </c>
    </row>
    <row r="22" spans="1:19" ht="25" customHeight="1">
      <c r="B22" t="s">
        <v>1</v>
      </c>
      <c r="C22" t="s">
        <v>2</v>
      </c>
      <c r="D22" t="s">
        <v>32</v>
      </c>
      <c r="E22" t="s">
        <v>4</v>
      </c>
      <c r="F22" t="s">
        <v>33</v>
      </c>
      <c r="G22" t="s">
        <v>6</v>
      </c>
      <c r="H22" t="s">
        <v>7</v>
      </c>
      <c r="I22" t="s">
        <v>8</v>
      </c>
      <c r="J22" t="s">
        <v>12</v>
      </c>
      <c r="K22" t="s">
        <v>13</v>
      </c>
      <c r="L22" t="s">
        <v>14</v>
      </c>
      <c r="M22" t="s">
        <v>15</v>
      </c>
      <c r="N22" t="s">
        <v>16</v>
      </c>
      <c r="O22" t="s">
        <v>17</v>
      </c>
      <c r="P22" t="s">
        <v>21</v>
      </c>
      <c r="Q22" t="s">
        <v>22</v>
      </c>
      <c r="R22" t="s">
        <v>23</v>
      </c>
      <c r="S22" t="s">
        <v>24</v>
      </c>
    </row>
    <row r="23" spans="1:19" ht="25" customHeight="1">
      <c r="B23">
        <v>1</v>
      </c>
      <c r="C23" t="s">
        <v>26</v>
      </c>
      <c r="D23" t="b">
        <v>1</v>
      </c>
      <c r="E23">
        <v>0</v>
      </c>
      <c r="F23" t="s">
        <v>24</v>
      </c>
      <c r="G23" s="1" cm="1">
        <f t="array" ref="G23">_xlfn.LET(_xlpm.d,G$2:G$19,_xlpm.a,$C$2:$C$19=$C23,_xlpm.b,$D$2:$D$19=$D23,MAX(_xlfn._xlws.FILTER(_xlpm.d,_xlpm.a*_xlpm.b)))</f>
        <v>0.84</v>
      </c>
      <c r="H23" s="1" cm="1">
        <f t="array" ref="H23">_xlfn.LET(_xlpm.d,H$2:H$19,_xlpm.a,$C$2:$C$19=$C23,_xlpm.b,$D$2:$D$19=$D23,MAX(_xlfn._xlws.FILTER(_xlpm.d,_xlpm.a*_xlpm.b)))</f>
        <v>0.83</v>
      </c>
      <c r="I23" s="1" cm="1">
        <f t="array" ref="I23">_xlfn.LET(_xlpm.d,I$2:I$19,_xlpm.a,$C$2:$C$19=$C23,_xlpm.b,$D$2:$D$19=$D23,MAX(_xlfn._xlws.FILTER(_xlpm.d,_xlpm.a*_xlpm.b)))</f>
        <v>0.8</v>
      </c>
      <c r="J23" s="1" cm="1">
        <f t="array" ref="J23">_xlfn.LET(_xlpm.d,J$2:J$19,_xlpm.a,$C$2:$C$19=$C23,_xlpm.b,$D$2:$D$19=$D23,MAX(_xlfn._xlws.FILTER(_xlpm.d,_xlpm.a*_xlpm.b)))</f>
        <v>0.86</v>
      </c>
      <c r="K23" s="1" cm="1">
        <f t="array" ref="K23">_xlfn.LET(_xlpm.d,K$2:K$19,_xlpm.a,$C$2:$C$19=$C23,_xlpm.b,$D$2:$D$19=$D23,MAX(_xlfn._xlws.FILTER(_xlpm.d,_xlpm.a*_xlpm.b)))</f>
        <v>0.78</v>
      </c>
      <c r="L23" s="1" cm="1">
        <f t="array" ref="L23">_xlfn.LET(_xlpm.d,L$2:L$19,_xlpm.a,$C$2:$C$19=$C23,_xlpm.b,$D$2:$D$19=$D23,MAX(_xlfn._xlws.FILTER(_xlpm.d,_xlpm.a*_xlpm.b)))</f>
        <v>0.84</v>
      </c>
      <c r="M23" s="1" cm="1">
        <f t="array" ref="M23">_xlfn.LET(_xlpm.d,M$2:M$19,_xlpm.a,$C$2:$C$19=$C23,_xlpm.b,$D$2:$D$19=$D23,MAX(_xlfn._xlws.FILTER(_xlpm.d,_xlpm.a*_xlpm.b)))</f>
        <v>0.86</v>
      </c>
      <c r="N23" s="1" cm="1">
        <f t="array" ref="N23">_xlfn.LET(_xlpm.d,N$2:N$19,_xlpm.a,$C$2:$C$19=$C23,_xlpm.b,$D$2:$D$19=$D23,MAX(_xlfn._xlws.FILTER(_xlpm.d,_xlpm.a*_xlpm.b)))</f>
        <v>0.83</v>
      </c>
      <c r="O23" s="1" cm="1">
        <f t="array" ref="O23">_xlfn.LET(_xlpm.d,O$2:O$19,_xlpm.a,$C$2:$C$19=$C23,_xlpm.b,$D$2:$D$19=$D23,MAX(_xlfn._xlws.FILTER(_xlpm.d,_xlpm.a*_xlpm.b)))</f>
        <v>0.76</v>
      </c>
      <c r="P23" s="1" cm="1">
        <f t="array" ref="P23">_xlfn.LET(_xlpm.d,P$2:P$19,_xlpm.a,$C$2:$C$19=$C23,_xlpm.b,$D$2:$D$19=$D23,MAX(_xlfn._xlws.FILTER(_xlpm.d,_xlpm.a*_xlpm.b)))</f>
        <v>0.83</v>
      </c>
      <c r="Q23" s="1" cm="1">
        <f t="array" ref="Q23">_xlfn.LET(_xlpm.d,Q$2:Q$19,_xlpm.a,$C$2:$C$19=$C23,_xlpm.b,$D$2:$D$19=$D23,MAX(_xlfn._xlws.FILTER(_xlpm.d,_xlpm.a*_xlpm.b)))</f>
        <v>0.81</v>
      </c>
      <c r="R23" s="1" cm="1">
        <f t="array" ref="R23">_xlfn.LET(_xlpm.d,R$2:R$19,_xlpm.a,$C$2:$C$19=$C23,_xlpm.b,$D$2:$D$19=$D23,MAX(_xlfn._xlws.FILTER(_xlpm.d,_xlpm.a*_xlpm.b)))</f>
        <v>0.79</v>
      </c>
      <c r="S23" s="1" cm="1">
        <f t="array" ref="S23">_xlfn.LET(_xlpm.d,S$2:S$19,_xlpm.a,$C$2:$C$19=$C23,_xlpm.b,$D$2:$D$19=$D23,MAX(_xlfn._xlws.FILTER(_xlpm.d,_xlpm.a*_xlpm.b)))</f>
        <v>0.86</v>
      </c>
    </row>
    <row r="24" spans="1:19" ht="25" customHeight="1">
      <c r="B24">
        <v>1</v>
      </c>
      <c r="C24" t="s">
        <v>26</v>
      </c>
      <c r="D24" t="b">
        <v>0</v>
      </c>
      <c r="E24">
        <v>0</v>
      </c>
      <c r="F24" t="s">
        <v>24</v>
      </c>
      <c r="G24" s="1" cm="1">
        <f t="array" ref="G24">_xlfn.LET(_xlpm.d,G$2:G$19,_xlpm.a,$C$2:$C$19=$C24,_xlpm.b,$D$2:$D$19=$D24,MAX(_xlfn._xlws.FILTER(_xlpm.d,_xlpm.a*_xlpm.b)))</f>
        <v>0.82</v>
      </c>
      <c r="H24" s="1" cm="1">
        <f t="array" ref="H24">_xlfn.LET(_xlpm.d,H$2:H$19,_xlpm.a,$C$2:$C$19=$C24,_xlpm.b,$D$2:$D$19=$D24,MAX(_xlfn._xlws.FILTER(_xlpm.d,_xlpm.a*_xlpm.b)))</f>
        <v>0.79</v>
      </c>
      <c r="I24" s="1" cm="1">
        <f t="array" ref="I24">_xlfn.LET(_xlpm.d,I$2:I$19,_xlpm.a,$C$2:$C$19=$C24,_xlpm.b,$D$2:$D$19=$D24,MAX(_xlfn._xlws.FILTER(_xlpm.d,_xlpm.a*_xlpm.b)))</f>
        <v>0.8</v>
      </c>
      <c r="J24" s="1" cm="1">
        <f t="array" ref="J24">_xlfn.LET(_xlpm.d,J$2:J$19,_xlpm.a,$C$2:$C$19=$C24,_xlpm.b,$D$2:$D$19=$D24,MAX(_xlfn._xlws.FILTER(_xlpm.d,_xlpm.a*_xlpm.b)))</f>
        <v>0.85</v>
      </c>
      <c r="K24" s="1" cm="1">
        <f t="array" ref="K24">_xlfn.LET(_xlpm.d,K$2:K$19,_xlpm.a,$C$2:$C$19=$C24,_xlpm.b,$D$2:$D$19=$D24,MAX(_xlfn._xlws.FILTER(_xlpm.d,_xlpm.a*_xlpm.b)))</f>
        <v>0.78</v>
      </c>
      <c r="L24" s="1" cm="1">
        <f t="array" ref="L24">_xlfn.LET(_xlpm.d,L$2:L$19,_xlpm.a,$C$2:$C$19=$C24,_xlpm.b,$D$2:$D$19=$D24,MAX(_xlfn._xlws.FILTER(_xlpm.d,_xlpm.a*_xlpm.b)))</f>
        <v>0.84</v>
      </c>
      <c r="M24" s="1" cm="1">
        <f t="array" ref="M24">_xlfn.LET(_xlpm.d,M$2:M$19,_xlpm.a,$C$2:$C$19=$C24,_xlpm.b,$D$2:$D$19=$D24,MAX(_xlfn._xlws.FILTER(_xlpm.d,_xlpm.a*_xlpm.b)))</f>
        <v>0.82</v>
      </c>
      <c r="N24" s="1" cm="1">
        <f t="array" ref="N24">_xlfn.LET(_xlpm.d,N$2:N$19,_xlpm.a,$C$2:$C$19=$C24,_xlpm.b,$D$2:$D$19=$D24,MAX(_xlfn._xlws.FILTER(_xlpm.d,_xlpm.a*_xlpm.b)))</f>
        <v>0.78</v>
      </c>
      <c r="O24" s="1" cm="1">
        <f t="array" ref="O24">_xlfn.LET(_xlpm.d,O$2:O$19,_xlpm.a,$C$2:$C$19=$C24,_xlpm.b,$D$2:$D$19=$D24,MAX(_xlfn._xlws.FILTER(_xlpm.d,_xlpm.a*_xlpm.b)))</f>
        <v>0.74</v>
      </c>
      <c r="P24" s="1" cm="1">
        <f t="array" ref="P24">_xlfn.LET(_xlpm.d,P$2:P$19,_xlpm.a,$C$2:$C$19=$C24,_xlpm.b,$D$2:$D$19=$D24,MAX(_xlfn._xlws.FILTER(_xlpm.d,_xlpm.a*_xlpm.b)))</f>
        <v>0.83</v>
      </c>
      <c r="Q24" s="1" cm="1">
        <f t="array" ref="Q24">_xlfn.LET(_xlpm.d,Q$2:Q$19,_xlpm.a,$C$2:$C$19=$C24,_xlpm.b,$D$2:$D$19=$D24,MAX(_xlfn._xlws.FILTER(_xlpm.d,_xlpm.a*_xlpm.b)))</f>
        <v>0.8</v>
      </c>
      <c r="R24" s="1" cm="1">
        <f t="array" ref="R24">_xlfn.LET(_xlpm.d,R$2:R$19,_xlpm.a,$C$2:$C$19=$C24,_xlpm.b,$D$2:$D$19=$D24,MAX(_xlfn._xlws.FILTER(_xlpm.d,_xlpm.a*_xlpm.b)))</f>
        <v>0.8</v>
      </c>
      <c r="S24" s="1" cm="1">
        <f t="array" ref="S24">_xlfn.LET(_xlpm.d,S$2:S$19,_xlpm.a,$C$2:$C$19=$C24,_xlpm.b,$D$2:$D$19=$D24,MAX(_xlfn._xlws.FILTER(_xlpm.d,_xlpm.a*_xlpm.b)))</f>
        <v>0.85</v>
      </c>
    </row>
    <row r="25" spans="1:19" ht="25" customHeight="1">
      <c r="B25">
        <v>2</v>
      </c>
      <c r="C25" t="s">
        <v>30</v>
      </c>
      <c r="D25" t="b">
        <v>1</v>
      </c>
      <c r="E25">
        <v>0</v>
      </c>
      <c r="F25" t="s">
        <v>24</v>
      </c>
      <c r="G25" s="1" cm="1">
        <f t="array" ref="G25">_xlfn.LET(_xlpm.d,G$2:G$19,_xlpm.a,$C$2:$C$19=$C25,_xlpm.b,$D$2:$D$19=$D25,MAX(_xlfn._xlws.FILTER(_xlpm.d,_xlpm.a*_xlpm.b)))</f>
        <v>0.64</v>
      </c>
      <c r="H25" s="1" cm="1">
        <f t="array" ref="H25">_xlfn.LET(_xlpm.d,H$2:H$19,_xlpm.a,$C$2:$C$19=$C25,_xlpm.b,$D$2:$D$19=$D25,MAX(_xlfn._xlws.FILTER(_xlpm.d,_xlpm.a*_xlpm.b)))</f>
        <v>0.56999999999999995</v>
      </c>
      <c r="I25" s="1" cm="1">
        <f t="array" ref="I25">_xlfn.LET(_xlpm.d,I$2:I$19,_xlpm.a,$C$2:$C$19=$C25,_xlpm.b,$D$2:$D$19=$D25,MAX(_xlfn._xlws.FILTER(_xlpm.d,_xlpm.a*_xlpm.b)))</f>
        <v>0.59</v>
      </c>
      <c r="J25" s="1" cm="1">
        <f t="array" ref="J25">_xlfn.LET(_xlpm.d,J$2:J$19,_xlpm.a,$C$2:$C$19=$C25,_xlpm.b,$D$2:$D$19=$D25,MAX(_xlfn._xlws.FILTER(_xlpm.d,_xlpm.a*_xlpm.b)))</f>
        <v>0.65</v>
      </c>
      <c r="K25" s="1" cm="1">
        <f t="array" ref="K25">_xlfn.LET(_xlpm.d,K$2:K$19,_xlpm.a,$C$2:$C$19=$C25,_xlpm.b,$D$2:$D$19=$D25,MAX(_xlfn._xlws.FILTER(_xlpm.d,_xlpm.a*_xlpm.b)))</f>
        <v>0.56000000000000005</v>
      </c>
      <c r="L25" s="1" cm="1">
        <f t="array" ref="L25">_xlfn.LET(_xlpm.d,L$2:L$19,_xlpm.a,$C$2:$C$19=$C25,_xlpm.b,$D$2:$D$19=$D25,MAX(_xlfn._xlws.FILTER(_xlpm.d,_xlpm.a*_xlpm.b)))</f>
        <v>0.52</v>
      </c>
      <c r="M25" s="1" cm="1">
        <f t="array" ref="M25">_xlfn.LET(_xlpm.d,M$2:M$19,_xlpm.a,$C$2:$C$19=$C25,_xlpm.b,$D$2:$D$19=$D25,MAX(_xlfn._xlws.FILTER(_xlpm.d,_xlpm.a*_xlpm.b)))</f>
        <v>0.63</v>
      </c>
      <c r="N25" s="1" cm="1">
        <f t="array" ref="N25">_xlfn.LET(_xlpm.d,N$2:N$19,_xlpm.a,$C$2:$C$19=$C25,_xlpm.b,$D$2:$D$19=$D25,MAX(_xlfn._xlws.FILTER(_xlpm.d,_xlpm.a*_xlpm.b)))</f>
        <v>0.56999999999999995</v>
      </c>
      <c r="O25" s="1" cm="1">
        <f t="array" ref="O25">_xlfn.LET(_xlpm.d,O$2:O$19,_xlpm.a,$C$2:$C$19=$C25,_xlpm.b,$D$2:$D$19=$D25,MAX(_xlfn._xlws.FILTER(_xlpm.d,_xlpm.a*_xlpm.b)))</f>
        <v>0.62</v>
      </c>
      <c r="P25" s="1" cm="1">
        <f t="array" ref="P25">_xlfn.LET(_xlpm.d,P$2:P$19,_xlpm.a,$C$2:$C$19=$C25,_xlpm.b,$D$2:$D$19=$D25,MAX(_xlfn._xlws.FILTER(_xlpm.d,_xlpm.a*_xlpm.b)))</f>
        <v>0.6</v>
      </c>
      <c r="Q25" s="1" cm="1">
        <f t="array" ref="Q25">_xlfn.LET(_xlpm.d,Q$2:Q$19,_xlpm.a,$C$2:$C$19=$C25,_xlpm.b,$D$2:$D$19=$D25,MAX(_xlfn._xlws.FILTER(_xlpm.d,_xlpm.a*_xlpm.b)))</f>
        <v>0.6</v>
      </c>
      <c r="R25" s="1" cm="1">
        <f t="array" ref="R25">_xlfn.LET(_xlpm.d,R$2:R$19,_xlpm.a,$C$2:$C$19=$C25,_xlpm.b,$D$2:$D$19=$D25,MAX(_xlfn._xlws.FILTER(_xlpm.d,_xlpm.a*_xlpm.b)))</f>
        <v>0.57999999999999996</v>
      </c>
      <c r="S25" s="1" cm="1">
        <f t="array" ref="S25">_xlfn.LET(_xlpm.d,S$2:S$19,_xlpm.a,$C$2:$C$19=$C25,_xlpm.b,$D$2:$D$19=$D25,MAX(_xlfn._xlws.FILTER(_xlpm.d,_xlpm.a*_xlpm.b)))</f>
        <v>0.65</v>
      </c>
    </row>
    <row r="26" spans="1:19" ht="25" customHeight="1">
      <c r="B26">
        <v>2</v>
      </c>
      <c r="C26" t="s">
        <v>30</v>
      </c>
      <c r="D26" t="b">
        <v>0</v>
      </c>
      <c r="E26">
        <v>0</v>
      </c>
      <c r="F26" t="s">
        <v>24</v>
      </c>
      <c r="G26" s="1" cm="1">
        <f t="array" ref="G26">_xlfn.LET(_xlpm.d,G$2:G$19,_xlpm.a,$C$2:$C$19=$C26,_xlpm.b,$D$2:$D$19=$D26,MAX(_xlfn._xlws.FILTER(_xlpm.d,_xlpm.a*_xlpm.b)))</f>
        <v>0.6</v>
      </c>
      <c r="H26" s="1" cm="1">
        <f t="array" ref="H26">_xlfn.LET(_xlpm.d,H$2:H$19,_xlpm.a,$C$2:$C$19=$C26,_xlpm.b,$D$2:$D$19=$D26,MAX(_xlfn._xlws.FILTER(_xlpm.d,_xlpm.a*_xlpm.b)))</f>
        <v>0.55000000000000004</v>
      </c>
      <c r="I26" s="1" cm="1">
        <f t="array" ref="I26">_xlfn.LET(_xlpm.d,I$2:I$19,_xlpm.a,$C$2:$C$19=$C26,_xlpm.b,$D$2:$D$19=$D26,MAX(_xlfn._xlws.FILTER(_xlpm.d,_xlpm.a*_xlpm.b)))</f>
        <v>0.54</v>
      </c>
      <c r="J26" s="1" cm="1">
        <f t="array" ref="J26">_xlfn.LET(_xlpm.d,J$2:J$19,_xlpm.a,$C$2:$C$19=$C26,_xlpm.b,$D$2:$D$19=$D26,MAX(_xlfn._xlws.FILTER(_xlpm.d,_xlpm.a*_xlpm.b)))</f>
        <v>0.6</v>
      </c>
      <c r="K26" s="1" cm="1">
        <f t="array" ref="K26">_xlfn.LET(_xlpm.d,K$2:K$19,_xlpm.a,$C$2:$C$19=$C26,_xlpm.b,$D$2:$D$19=$D26,MAX(_xlfn._xlws.FILTER(_xlpm.d,_xlpm.a*_xlpm.b)))</f>
        <v>0.59</v>
      </c>
      <c r="L26" s="1" cm="1">
        <f t="array" ref="L26">_xlfn.LET(_xlpm.d,L$2:L$19,_xlpm.a,$C$2:$C$19=$C26,_xlpm.b,$D$2:$D$19=$D26,MAX(_xlfn._xlws.FILTER(_xlpm.d,_xlpm.a*_xlpm.b)))</f>
        <v>0.56999999999999995</v>
      </c>
      <c r="M26" s="1" cm="1">
        <f t="array" ref="M26">_xlfn.LET(_xlpm.d,M$2:M$19,_xlpm.a,$C$2:$C$19=$C26,_xlpm.b,$D$2:$D$19=$D26,MAX(_xlfn._xlws.FILTER(_xlpm.d,_xlpm.a*_xlpm.b)))</f>
        <v>0.57999999999999996</v>
      </c>
      <c r="N26" s="1" cm="1">
        <f t="array" ref="N26">_xlfn.LET(_xlpm.d,N$2:N$19,_xlpm.a,$C$2:$C$19=$C26,_xlpm.b,$D$2:$D$19=$D26,MAX(_xlfn._xlws.FILTER(_xlpm.d,_xlpm.a*_xlpm.b)))</f>
        <v>0.56000000000000005</v>
      </c>
      <c r="O26" s="1" cm="1">
        <f t="array" ref="O26">_xlfn.LET(_xlpm.d,O$2:O$19,_xlpm.a,$C$2:$C$19=$C26,_xlpm.b,$D$2:$D$19=$D26,MAX(_xlfn._xlws.FILTER(_xlpm.d,_xlpm.a*_xlpm.b)))</f>
        <v>0.61</v>
      </c>
      <c r="P26" s="1" cm="1">
        <f t="array" ref="P26">_xlfn.LET(_xlpm.d,P$2:P$19,_xlpm.a,$C$2:$C$19=$C26,_xlpm.b,$D$2:$D$19=$D26,MAX(_xlfn._xlws.FILTER(_xlpm.d,_xlpm.a*_xlpm.b)))</f>
        <v>0.6</v>
      </c>
      <c r="Q26" s="1" cm="1">
        <f t="array" ref="Q26">_xlfn.LET(_xlpm.d,Q$2:Q$19,_xlpm.a,$C$2:$C$19=$C26,_xlpm.b,$D$2:$D$19=$D26,MAX(_xlfn._xlws.FILTER(_xlpm.d,_xlpm.a*_xlpm.b)))</f>
        <v>0.56000000000000005</v>
      </c>
      <c r="R26" s="1" cm="1">
        <f t="array" ref="R26">_xlfn.LET(_xlpm.d,R$2:R$19,_xlpm.a,$C$2:$C$19=$C26,_xlpm.b,$D$2:$D$19=$D26,MAX(_xlfn._xlws.FILTER(_xlpm.d,_xlpm.a*_xlpm.b)))</f>
        <v>0.56999999999999995</v>
      </c>
      <c r="S26" s="1" cm="1">
        <f t="array" ref="S26">_xlfn.LET(_xlpm.d,S$2:S$19,_xlpm.a,$C$2:$C$19=$C26,_xlpm.b,$D$2:$D$19=$D26,MAX(_xlfn._xlws.FILTER(_xlpm.d,_xlpm.a*_xlpm.b)))</f>
        <v>0.61</v>
      </c>
    </row>
    <row r="27" spans="1:19" ht="25" customHeight="1">
      <c r="B27">
        <v>3</v>
      </c>
      <c r="C27" t="s">
        <v>31</v>
      </c>
      <c r="D27" t="b">
        <v>1</v>
      </c>
      <c r="E27">
        <v>0</v>
      </c>
      <c r="F27" t="s">
        <v>24</v>
      </c>
      <c r="G27" s="1" cm="1">
        <f t="array" ref="G27">_xlfn.LET(_xlpm.d,G$2:G$19,_xlpm.a,$C$2:$C$19=$C27,_xlpm.b,$D$2:$D$19=$D27,MAX(_xlfn._xlws.FILTER(_xlpm.d,_xlpm.a*_xlpm.b)))</f>
        <v>0.4</v>
      </c>
      <c r="H27" s="1" cm="1">
        <f t="array" ref="H27">_xlfn.LET(_xlpm.d,H$2:H$19,_xlpm.a,$C$2:$C$19=$C27,_xlpm.b,$D$2:$D$19=$D27,MAX(_xlfn._xlws.FILTER(_xlpm.d,_xlpm.a*_xlpm.b)))</f>
        <v>0.43</v>
      </c>
      <c r="I27" s="1" cm="1">
        <f t="array" ref="I27">_xlfn.LET(_xlpm.d,I$2:I$19,_xlpm.a,$C$2:$C$19=$C27,_xlpm.b,$D$2:$D$19=$D27,MAX(_xlfn._xlws.FILTER(_xlpm.d,_xlpm.a*_xlpm.b)))</f>
        <v>0.41</v>
      </c>
      <c r="J27" s="1" cm="1">
        <f t="array" ref="J27">_xlfn.LET(_xlpm.d,J$2:J$19,_xlpm.a,$C$2:$C$19=$C27,_xlpm.b,$D$2:$D$19=$D27,MAX(_xlfn._xlws.FILTER(_xlpm.d,_xlpm.a*_xlpm.b)))</f>
        <v>0.39</v>
      </c>
      <c r="K27" s="1" cm="1">
        <f t="array" ref="K27">_xlfn.LET(_xlpm.d,K$2:K$19,_xlpm.a,$C$2:$C$19=$C27,_xlpm.b,$D$2:$D$19=$D27,MAX(_xlfn._xlws.FILTER(_xlpm.d,_xlpm.a*_xlpm.b)))</f>
        <v>0.46</v>
      </c>
      <c r="L27" s="1" cm="1">
        <f t="array" ref="L27">_xlfn.LET(_xlpm.d,L$2:L$19,_xlpm.a,$C$2:$C$19=$C27,_xlpm.b,$D$2:$D$19=$D27,MAX(_xlfn._xlws.FILTER(_xlpm.d,_xlpm.a*_xlpm.b)))</f>
        <v>0.42</v>
      </c>
      <c r="M27" s="1" cm="1">
        <f t="array" ref="M27">_xlfn.LET(_xlpm.d,M$2:M$19,_xlpm.a,$C$2:$C$19=$C27,_xlpm.b,$D$2:$D$19=$D27,MAX(_xlfn._xlws.FILTER(_xlpm.d,_xlpm.a*_xlpm.b)))</f>
        <v>0.39</v>
      </c>
      <c r="N27" s="1" cm="1">
        <f t="array" ref="N27">_xlfn.LET(_xlpm.d,N$2:N$19,_xlpm.a,$C$2:$C$19=$C27,_xlpm.b,$D$2:$D$19=$D27,MAX(_xlfn._xlws.FILTER(_xlpm.d,_xlpm.a*_xlpm.b)))</f>
        <v>0.43</v>
      </c>
      <c r="O27" s="1" cm="1">
        <f t="array" ref="O27">_xlfn.LET(_xlpm.d,O$2:O$19,_xlpm.a,$C$2:$C$19=$C27,_xlpm.b,$D$2:$D$19=$D27,MAX(_xlfn._xlws.FILTER(_xlpm.d,_xlpm.a*_xlpm.b)))</f>
        <v>0.38</v>
      </c>
      <c r="P27" s="1" cm="1">
        <f t="array" ref="P27">_xlfn.LET(_xlpm.d,P$2:P$19,_xlpm.a,$C$2:$C$19=$C27,_xlpm.b,$D$2:$D$19=$D27,MAX(_xlfn._xlws.FILTER(_xlpm.d,_xlpm.a*_xlpm.b)))</f>
        <v>0.42</v>
      </c>
      <c r="Q27" s="1" cm="1">
        <f t="array" ref="Q27">_xlfn.LET(_xlpm.d,Q$2:Q$19,_xlpm.a,$C$2:$C$19=$C27,_xlpm.b,$D$2:$D$19=$D27,MAX(_xlfn._xlws.FILTER(_xlpm.d,_xlpm.a*_xlpm.b)))</f>
        <v>0.45</v>
      </c>
      <c r="R27" s="1" cm="1">
        <f t="array" ref="R27">_xlfn.LET(_xlpm.d,R$2:R$19,_xlpm.a,$C$2:$C$19=$C27,_xlpm.b,$D$2:$D$19=$D27,MAX(_xlfn._xlws.FILTER(_xlpm.d,_xlpm.a*_xlpm.b)))</f>
        <v>0.36</v>
      </c>
      <c r="S27" s="1" cm="1">
        <f t="array" ref="S27">_xlfn.LET(_xlpm.d,S$2:S$19,_xlpm.a,$C$2:$C$19=$C27,_xlpm.b,$D$2:$D$19=$D27,MAX(_xlfn._xlws.FILTER(_xlpm.d,_xlpm.a*_xlpm.b)))</f>
        <v>0.46</v>
      </c>
    </row>
    <row r="28" spans="1:19" ht="25" customHeight="1">
      <c r="B28">
        <v>3</v>
      </c>
      <c r="C28" t="s">
        <v>31</v>
      </c>
      <c r="D28" t="b">
        <v>0</v>
      </c>
      <c r="E28">
        <v>0</v>
      </c>
      <c r="F28" t="s">
        <v>24</v>
      </c>
      <c r="G28" s="1" cm="1">
        <f t="array" ref="G28">_xlfn.LET(_xlpm.d,G$2:G$19,_xlpm.a,$C$2:$C$19=$C28,_xlpm.b,$D$2:$D$19=$D28,MAX(_xlfn._xlws.FILTER(_xlpm.d,_xlpm.a*_xlpm.b)))</f>
        <v>0.42</v>
      </c>
      <c r="H28" s="1" cm="1">
        <f t="array" ref="H28">_xlfn.LET(_xlpm.d,H$2:H$19,_xlpm.a,$C$2:$C$19=$C28,_xlpm.b,$D$2:$D$19=$D28,MAX(_xlfn._xlws.FILTER(_xlpm.d,_xlpm.a*_xlpm.b)))</f>
        <v>0.43</v>
      </c>
      <c r="I28" s="1" cm="1">
        <f t="array" ref="I28">_xlfn.LET(_xlpm.d,I$2:I$19,_xlpm.a,$C$2:$C$19=$C28,_xlpm.b,$D$2:$D$19=$D28,MAX(_xlfn._xlws.FILTER(_xlpm.d,_xlpm.a*_xlpm.b)))</f>
        <v>0.36</v>
      </c>
      <c r="J28" s="1" cm="1">
        <f t="array" ref="J28">_xlfn.LET(_xlpm.d,J$2:J$19,_xlpm.a,$C$2:$C$19=$C28,_xlpm.b,$D$2:$D$19=$D28,MAX(_xlfn._xlws.FILTER(_xlpm.d,_xlpm.a*_xlpm.b)))</f>
        <v>0.4</v>
      </c>
      <c r="K28" s="1" cm="1">
        <f t="array" ref="K28">_xlfn.LET(_xlpm.d,K$2:K$19,_xlpm.a,$C$2:$C$19=$C28,_xlpm.b,$D$2:$D$19=$D28,MAX(_xlfn._xlws.FILTER(_xlpm.d,_xlpm.a*_xlpm.b)))</f>
        <v>0.46</v>
      </c>
      <c r="L28" s="1" cm="1">
        <f t="array" ref="L28">_xlfn.LET(_xlpm.d,L$2:L$19,_xlpm.a,$C$2:$C$19=$C28,_xlpm.b,$D$2:$D$19=$D28,MAX(_xlfn._xlws.FILTER(_xlpm.d,_xlpm.a*_xlpm.b)))</f>
        <v>0.4</v>
      </c>
      <c r="M28" s="1" cm="1">
        <f t="array" ref="M28">_xlfn.LET(_xlpm.d,M$2:M$19,_xlpm.a,$C$2:$C$19=$C28,_xlpm.b,$D$2:$D$19=$D28,MAX(_xlfn._xlws.FILTER(_xlpm.d,_xlpm.a*_xlpm.b)))</f>
        <v>0.39</v>
      </c>
      <c r="N28" s="1" cm="1">
        <f t="array" ref="N28">_xlfn.LET(_xlpm.d,N$2:N$19,_xlpm.a,$C$2:$C$19=$C28,_xlpm.b,$D$2:$D$19=$D28,MAX(_xlfn._xlws.FILTER(_xlpm.d,_xlpm.a*_xlpm.b)))</f>
        <v>0.45</v>
      </c>
      <c r="O28" s="1" cm="1">
        <f t="array" ref="O28">_xlfn.LET(_xlpm.d,O$2:O$19,_xlpm.a,$C$2:$C$19=$C28,_xlpm.b,$D$2:$D$19=$D28,MAX(_xlfn._xlws.FILTER(_xlpm.d,_xlpm.a*_xlpm.b)))</f>
        <v>0.35</v>
      </c>
      <c r="P28" s="1" cm="1">
        <f t="array" ref="P28">_xlfn.LET(_xlpm.d,P$2:P$19,_xlpm.a,$C$2:$C$19=$C28,_xlpm.b,$D$2:$D$19=$D28,MAX(_xlfn._xlws.FILTER(_xlpm.d,_xlpm.a*_xlpm.b)))</f>
        <v>0.41</v>
      </c>
      <c r="Q28" s="1" cm="1">
        <f t="array" ref="Q28">_xlfn.LET(_xlpm.d,Q$2:Q$19,_xlpm.a,$C$2:$C$19=$C28,_xlpm.b,$D$2:$D$19=$D28,MAX(_xlfn._xlws.FILTER(_xlpm.d,_xlpm.a*_xlpm.b)))</f>
        <v>0.46</v>
      </c>
      <c r="R28" s="1" cm="1">
        <f t="array" ref="R28">_xlfn.LET(_xlpm.d,R$2:R$19,_xlpm.a,$C$2:$C$19=$C28,_xlpm.b,$D$2:$D$19=$D28,MAX(_xlfn._xlws.FILTER(_xlpm.d,_xlpm.a*_xlpm.b)))</f>
        <v>0.36</v>
      </c>
      <c r="S28" s="1" cm="1">
        <f t="array" ref="S28">_xlfn.LET(_xlpm.d,S$2:S$19,_xlpm.a,$C$2:$C$19=$C28,_xlpm.b,$D$2:$D$19=$D28,MAX(_xlfn._xlws.FILTER(_xlpm.d,_xlpm.a*_xlpm.b)))</f>
        <v>0.46</v>
      </c>
    </row>
  </sheetData>
  <conditionalFormatting sqref="G2:S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0A84C-D58F-BE47-AD48-F84FC7985583}">
  <dimension ref="A1:S28"/>
  <sheetViews>
    <sheetView workbookViewId="0"/>
  </sheetViews>
  <sheetFormatPr baseColWidth="10" defaultRowHeight="25" customHeight="1"/>
  <cols>
    <col min="2" max="6" width="7.75" customWidth="1"/>
    <col min="7" max="19" width="8.125" customWidth="1"/>
  </cols>
  <sheetData>
    <row r="1" spans="1:19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21</v>
      </c>
      <c r="Q1" t="s">
        <v>22</v>
      </c>
      <c r="R1" t="s">
        <v>23</v>
      </c>
      <c r="S1" t="s">
        <v>24</v>
      </c>
    </row>
    <row r="2" spans="1:19" ht="25" customHeight="1">
      <c r="A2" t="s">
        <v>25</v>
      </c>
      <c r="B2">
        <v>1</v>
      </c>
      <c r="C2" t="s">
        <v>26</v>
      </c>
      <c r="D2" t="b">
        <v>1</v>
      </c>
      <c r="E2">
        <v>1</v>
      </c>
      <c r="F2" t="s">
        <v>27</v>
      </c>
      <c r="G2" s="1">
        <v>0.82</v>
      </c>
      <c r="H2" s="1">
        <v>0.8</v>
      </c>
      <c r="I2" s="1">
        <v>0.8</v>
      </c>
      <c r="J2" s="1">
        <v>0.71</v>
      </c>
      <c r="K2" s="1">
        <v>0.8</v>
      </c>
      <c r="L2" s="1">
        <v>0.79</v>
      </c>
      <c r="M2" s="1">
        <v>0.83</v>
      </c>
      <c r="N2" s="1">
        <v>0.81</v>
      </c>
      <c r="O2" s="1">
        <v>0.76</v>
      </c>
      <c r="P2" s="1">
        <v>0.72</v>
      </c>
      <c r="Q2" s="1">
        <v>0.78</v>
      </c>
      <c r="R2" s="1">
        <v>0.78</v>
      </c>
      <c r="S2" s="1">
        <f t="shared" ref="S2:S19" si="0">MAX($G2:$R2)</f>
        <v>0.83</v>
      </c>
    </row>
    <row r="3" spans="1:19" ht="25" customHeight="1">
      <c r="A3" t="s">
        <v>25</v>
      </c>
      <c r="B3">
        <v>1</v>
      </c>
      <c r="C3" t="s">
        <v>26</v>
      </c>
      <c r="D3" t="b">
        <v>0</v>
      </c>
      <c r="E3">
        <v>2</v>
      </c>
      <c r="F3" t="s">
        <v>28</v>
      </c>
      <c r="G3" s="1">
        <v>0.82</v>
      </c>
      <c r="H3" s="1">
        <v>0.85</v>
      </c>
      <c r="I3" s="1">
        <v>0.83</v>
      </c>
      <c r="J3" s="1">
        <v>0.74</v>
      </c>
      <c r="K3" s="1">
        <v>0.79</v>
      </c>
      <c r="L3" s="1">
        <v>0.82</v>
      </c>
      <c r="M3" s="1">
        <v>0.8</v>
      </c>
      <c r="N3" s="1">
        <v>0.79</v>
      </c>
      <c r="O3" s="1">
        <v>0.8</v>
      </c>
      <c r="P3" s="1">
        <v>0.81</v>
      </c>
      <c r="Q3" s="1">
        <v>0.81</v>
      </c>
      <c r="R3" s="1">
        <v>0.81</v>
      </c>
      <c r="S3" s="1">
        <f t="shared" si="0"/>
        <v>0.85</v>
      </c>
    </row>
    <row r="4" spans="1:19" ht="25" customHeight="1">
      <c r="A4" t="s">
        <v>25</v>
      </c>
      <c r="B4">
        <v>1</v>
      </c>
      <c r="C4" t="s">
        <v>26</v>
      </c>
      <c r="D4" t="b">
        <v>0</v>
      </c>
      <c r="E4">
        <v>3</v>
      </c>
      <c r="F4" t="s">
        <v>29</v>
      </c>
      <c r="G4" s="1">
        <v>0.79</v>
      </c>
      <c r="H4" s="1">
        <v>0.83</v>
      </c>
      <c r="I4" s="1">
        <v>0.8</v>
      </c>
      <c r="J4" s="1">
        <v>0.71</v>
      </c>
      <c r="K4" s="1">
        <v>0.73</v>
      </c>
      <c r="L4" s="1">
        <v>0.83</v>
      </c>
      <c r="M4" s="1">
        <v>0.78</v>
      </c>
      <c r="N4" s="1">
        <v>0.79</v>
      </c>
      <c r="O4" s="1">
        <v>0.74</v>
      </c>
      <c r="P4" s="1">
        <v>0.81</v>
      </c>
      <c r="Q4" s="1">
        <v>0.76</v>
      </c>
      <c r="R4" s="1">
        <v>0.77</v>
      </c>
      <c r="S4" s="1">
        <f t="shared" si="0"/>
        <v>0.83</v>
      </c>
    </row>
    <row r="5" spans="1:19" ht="25" customHeight="1">
      <c r="A5" t="s">
        <v>25</v>
      </c>
      <c r="B5">
        <v>1</v>
      </c>
      <c r="C5" t="s">
        <v>26</v>
      </c>
      <c r="D5" t="b">
        <v>0</v>
      </c>
      <c r="E5">
        <v>1</v>
      </c>
      <c r="F5" t="s">
        <v>27</v>
      </c>
      <c r="G5" s="1">
        <v>0.76</v>
      </c>
      <c r="H5" s="1">
        <v>0.82</v>
      </c>
      <c r="I5" s="1">
        <v>0.83</v>
      </c>
      <c r="J5" s="1">
        <v>0.69</v>
      </c>
      <c r="K5" s="1">
        <v>0.77</v>
      </c>
      <c r="L5" s="1">
        <v>0.78</v>
      </c>
      <c r="M5" s="1">
        <v>0.77</v>
      </c>
      <c r="N5" s="1">
        <v>0.76</v>
      </c>
      <c r="O5" s="1">
        <v>0.74</v>
      </c>
      <c r="P5" s="1">
        <v>0.74</v>
      </c>
      <c r="Q5" s="1">
        <v>0.74</v>
      </c>
      <c r="R5" s="1">
        <v>0.73</v>
      </c>
      <c r="S5" s="1">
        <f t="shared" si="0"/>
        <v>0.83</v>
      </c>
    </row>
    <row r="6" spans="1:19" ht="25" customHeight="1">
      <c r="A6" t="s">
        <v>25</v>
      </c>
      <c r="B6">
        <v>1</v>
      </c>
      <c r="C6" t="s">
        <v>26</v>
      </c>
      <c r="D6" t="b">
        <v>1</v>
      </c>
      <c r="E6">
        <v>2</v>
      </c>
      <c r="F6" t="s">
        <v>28</v>
      </c>
      <c r="G6" s="1">
        <v>0.85</v>
      </c>
      <c r="H6" s="1">
        <v>0.86</v>
      </c>
      <c r="I6" s="1">
        <v>0.89</v>
      </c>
      <c r="J6" s="1">
        <v>0.77</v>
      </c>
      <c r="K6" s="1">
        <v>0.81</v>
      </c>
      <c r="L6" s="1">
        <v>0.81</v>
      </c>
      <c r="M6" s="1">
        <v>0.86</v>
      </c>
      <c r="N6" s="1">
        <v>0.82</v>
      </c>
      <c r="O6" s="1">
        <v>0.82</v>
      </c>
      <c r="P6" s="1">
        <v>0.82</v>
      </c>
      <c r="Q6" s="1">
        <v>0.81</v>
      </c>
      <c r="R6" s="1">
        <v>0.83</v>
      </c>
      <c r="S6" s="1">
        <f t="shared" si="0"/>
        <v>0.89</v>
      </c>
    </row>
    <row r="7" spans="1:19" ht="25" customHeight="1">
      <c r="A7" t="s">
        <v>25</v>
      </c>
      <c r="B7">
        <v>1</v>
      </c>
      <c r="C7" t="s">
        <v>26</v>
      </c>
      <c r="D7" t="b">
        <v>1</v>
      </c>
      <c r="E7">
        <v>3</v>
      </c>
      <c r="F7" t="s">
        <v>29</v>
      </c>
      <c r="G7" s="1">
        <v>0.81</v>
      </c>
      <c r="H7" s="1">
        <v>0.83</v>
      </c>
      <c r="I7" s="1">
        <v>0.84</v>
      </c>
      <c r="J7" s="1">
        <v>0.76</v>
      </c>
      <c r="K7" s="1">
        <v>0.76</v>
      </c>
      <c r="L7" s="1">
        <v>0.79</v>
      </c>
      <c r="M7" s="1">
        <v>0.84</v>
      </c>
      <c r="N7" s="1">
        <v>0.81</v>
      </c>
      <c r="O7" s="1">
        <v>0.77</v>
      </c>
      <c r="P7" s="1">
        <v>0.81</v>
      </c>
      <c r="Q7" s="1">
        <v>0.81</v>
      </c>
      <c r="R7" s="1">
        <v>0.81</v>
      </c>
      <c r="S7" s="1">
        <f t="shared" si="0"/>
        <v>0.84</v>
      </c>
    </row>
    <row r="8" spans="1:19" ht="25" customHeight="1">
      <c r="A8" t="s">
        <v>25</v>
      </c>
      <c r="B8">
        <v>2</v>
      </c>
      <c r="C8" t="s">
        <v>30</v>
      </c>
      <c r="D8" t="b">
        <v>1</v>
      </c>
      <c r="E8">
        <v>2</v>
      </c>
      <c r="F8" t="s">
        <v>28</v>
      </c>
      <c r="G8" s="1">
        <v>0.56000000000000005</v>
      </c>
      <c r="H8" s="1">
        <v>0.57999999999999996</v>
      </c>
      <c r="I8" s="1">
        <v>0.62</v>
      </c>
      <c r="J8" s="1">
        <v>0.59</v>
      </c>
      <c r="K8" s="1">
        <v>0.56999999999999995</v>
      </c>
      <c r="L8" s="1">
        <v>0.59</v>
      </c>
      <c r="M8" s="1">
        <v>0.57999999999999996</v>
      </c>
      <c r="N8" s="1">
        <v>0.6</v>
      </c>
      <c r="O8" s="1">
        <v>0.57999999999999996</v>
      </c>
      <c r="P8" s="1">
        <v>0.68</v>
      </c>
      <c r="Q8" s="1">
        <v>0.55000000000000004</v>
      </c>
      <c r="R8" s="1">
        <v>0.62</v>
      </c>
      <c r="S8" s="1">
        <f t="shared" si="0"/>
        <v>0.68</v>
      </c>
    </row>
    <row r="9" spans="1:19" ht="25" customHeight="1">
      <c r="A9" t="s">
        <v>25</v>
      </c>
      <c r="B9">
        <v>2</v>
      </c>
      <c r="C9" t="s">
        <v>30</v>
      </c>
      <c r="D9" t="b">
        <v>1</v>
      </c>
      <c r="E9">
        <v>1</v>
      </c>
      <c r="F9" t="s">
        <v>27</v>
      </c>
      <c r="G9" s="1">
        <v>0.38</v>
      </c>
      <c r="H9" s="1">
        <v>0.53</v>
      </c>
      <c r="I9" s="1">
        <v>0.55000000000000004</v>
      </c>
      <c r="J9" s="1">
        <v>0.51</v>
      </c>
      <c r="K9" s="1">
        <v>0.41</v>
      </c>
      <c r="L9" s="1">
        <v>0.51</v>
      </c>
      <c r="M9" s="1">
        <v>0.51</v>
      </c>
      <c r="N9" s="1">
        <v>0.52</v>
      </c>
      <c r="O9" s="1">
        <v>0.52</v>
      </c>
      <c r="P9" s="1">
        <v>0.51</v>
      </c>
      <c r="Q9" s="1">
        <v>0.54</v>
      </c>
      <c r="R9" s="1">
        <v>0.49</v>
      </c>
      <c r="S9" s="1">
        <f t="shared" si="0"/>
        <v>0.55000000000000004</v>
      </c>
    </row>
    <row r="10" spans="1:19" ht="25" customHeight="1">
      <c r="A10" t="s">
        <v>25</v>
      </c>
      <c r="B10">
        <v>2</v>
      </c>
      <c r="C10" t="s">
        <v>30</v>
      </c>
      <c r="D10" t="b">
        <v>1</v>
      </c>
      <c r="E10">
        <v>3</v>
      </c>
      <c r="F10" t="s">
        <v>29</v>
      </c>
      <c r="G10" s="1">
        <v>0.55000000000000004</v>
      </c>
      <c r="H10" s="1">
        <v>0.61</v>
      </c>
      <c r="I10" s="1">
        <v>0.59</v>
      </c>
      <c r="J10" s="1">
        <v>0.56000000000000005</v>
      </c>
      <c r="K10" s="1">
        <v>0.54</v>
      </c>
      <c r="L10" s="1">
        <v>0.53</v>
      </c>
      <c r="M10" s="1">
        <v>0.59</v>
      </c>
      <c r="N10" s="1">
        <v>0.59</v>
      </c>
      <c r="O10" s="1">
        <v>0.55000000000000004</v>
      </c>
      <c r="P10" s="1">
        <v>0.63</v>
      </c>
      <c r="Q10" s="1">
        <v>0.53</v>
      </c>
      <c r="R10" s="1">
        <v>0.57999999999999996</v>
      </c>
      <c r="S10" s="1">
        <f t="shared" si="0"/>
        <v>0.63</v>
      </c>
    </row>
    <row r="11" spans="1:19" ht="25" customHeight="1">
      <c r="A11" t="s">
        <v>25</v>
      </c>
      <c r="B11">
        <v>2</v>
      </c>
      <c r="C11" t="s">
        <v>30</v>
      </c>
      <c r="D11" t="b">
        <v>0</v>
      </c>
      <c r="E11">
        <v>2</v>
      </c>
      <c r="F11" t="s">
        <v>28</v>
      </c>
      <c r="G11" s="1">
        <v>0.56999999999999995</v>
      </c>
      <c r="H11" s="1">
        <v>0.56000000000000005</v>
      </c>
      <c r="I11" s="1">
        <v>0.61</v>
      </c>
      <c r="J11" s="1">
        <v>0.55000000000000004</v>
      </c>
      <c r="K11" s="1">
        <v>0.56999999999999995</v>
      </c>
      <c r="L11" s="1">
        <v>0.53</v>
      </c>
      <c r="M11" s="1">
        <v>0.52</v>
      </c>
      <c r="N11" s="1">
        <v>0.6</v>
      </c>
      <c r="O11" s="1">
        <v>0.56999999999999995</v>
      </c>
      <c r="P11" s="1">
        <v>0.64</v>
      </c>
      <c r="Q11" s="1">
        <v>0.53</v>
      </c>
      <c r="R11" s="1">
        <v>0.56999999999999995</v>
      </c>
      <c r="S11" s="1">
        <f t="shared" si="0"/>
        <v>0.64</v>
      </c>
    </row>
    <row r="12" spans="1:19" ht="25" customHeight="1">
      <c r="A12" t="s">
        <v>25</v>
      </c>
      <c r="B12">
        <v>2</v>
      </c>
      <c r="C12" t="s">
        <v>30</v>
      </c>
      <c r="D12" t="b">
        <v>0</v>
      </c>
      <c r="E12">
        <v>3</v>
      </c>
      <c r="F12" t="s">
        <v>29</v>
      </c>
      <c r="G12" s="1">
        <v>0.51</v>
      </c>
      <c r="H12" s="1">
        <v>0.61</v>
      </c>
      <c r="I12" s="1">
        <v>0.55000000000000004</v>
      </c>
      <c r="J12" s="1">
        <v>0.55000000000000004</v>
      </c>
      <c r="K12" s="1">
        <v>0.54</v>
      </c>
      <c r="L12" s="1">
        <v>0.55000000000000004</v>
      </c>
      <c r="M12" s="1">
        <v>0.57999999999999996</v>
      </c>
      <c r="N12" s="1">
        <v>0.59</v>
      </c>
      <c r="O12" s="1">
        <v>0.53</v>
      </c>
      <c r="P12" s="1">
        <v>0.65</v>
      </c>
      <c r="Q12" s="1">
        <v>0.53</v>
      </c>
      <c r="R12" s="1">
        <v>0.56999999999999995</v>
      </c>
      <c r="S12" s="1">
        <f t="shared" si="0"/>
        <v>0.65</v>
      </c>
    </row>
    <row r="13" spans="1:19" ht="25" customHeight="1">
      <c r="A13" t="s">
        <v>25</v>
      </c>
      <c r="B13">
        <v>2</v>
      </c>
      <c r="C13" t="s">
        <v>30</v>
      </c>
      <c r="D13" t="b">
        <v>0</v>
      </c>
      <c r="E13">
        <v>1</v>
      </c>
      <c r="F13" t="s">
        <v>27</v>
      </c>
      <c r="G13" s="1">
        <v>0.51</v>
      </c>
      <c r="H13" s="1">
        <v>0.51</v>
      </c>
      <c r="I13" s="1">
        <v>0.51</v>
      </c>
      <c r="J13" s="1">
        <v>0.53</v>
      </c>
      <c r="K13" s="1">
        <v>0.49</v>
      </c>
      <c r="L13" s="1">
        <v>0.48</v>
      </c>
      <c r="M13" s="1">
        <v>0.48</v>
      </c>
      <c r="N13" s="1">
        <v>0.56000000000000005</v>
      </c>
      <c r="O13" s="1">
        <v>0.47</v>
      </c>
      <c r="P13" s="1">
        <v>0.54</v>
      </c>
      <c r="Q13" s="1">
        <v>0.52</v>
      </c>
      <c r="R13" s="1">
        <v>0.51</v>
      </c>
      <c r="S13" s="1">
        <f t="shared" si="0"/>
        <v>0.56000000000000005</v>
      </c>
    </row>
    <row r="14" spans="1:19" ht="25" customHeight="1">
      <c r="A14" t="s">
        <v>25</v>
      </c>
      <c r="B14">
        <v>3</v>
      </c>
      <c r="C14" t="s">
        <v>31</v>
      </c>
      <c r="D14" t="b">
        <v>1</v>
      </c>
      <c r="E14">
        <v>1</v>
      </c>
      <c r="F14" t="s">
        <v>27</v>
      </c>
      <c r="G14" s="1">
        <v>0.32</v>
      </c>
      <c r="H14" s="1">
        <v>0.36</v>
      </c>
      <c r="I14" s="1">
        <v>0.33</v>
      </c>
      <c r="J14" s="1">
        <v>0.37</v>
      </c>
      <c r="K14" s="1">
        <v>0.36</v>
      </c>
      <c r="L14" s="1">
        <v>0.27</v>
      </c>
      <c r="M14" s="1">
        <v>0.38</v>
      </c>
      <c r="N14" s="1">
        <v>0.36</v>
      </c>
      <c r="O14" s="1">
        <v>0.39</v>
      </c>
      <c r="P14" s="1">
        <v>0.41</v>
      </c>
      <c r="Q14" s="1">
        <v>0.35</v>
      </c>
      <c r="R14" s="1">
        <v>0.45</v>
      </c>
      <c r="S14" s="1">
        <f t="shared" si="0"/>
        <v>0.45</v>
      </c>
    </row>
    <row r="15" spans="1:19" ht="25" customHeight="1">
      <c r="A15" t="s">
        <v>25</v>
      </c>
      <c r="B15">
        <v>3</v>
      </c>
      <c r="C15" t="s">
        <v>31</v>
      </c>
      <c r="D15" t="b">
        <v>1</v>
      </c>
      <c r="E15">
        <v>3</v>
      </c>
      <c r="F15" t="s">
        <v>29</v>
      </c>
      <c r="G15" s="1">
        <v>0.36</v>
      </c>
      <c r="H15" s="1">
        <v>0.37</v>
      </c>
      <c r="I15" s="1">
        <v>0.39</v>
      </c>
      <c r="J15" s="1">
        <v>0.3</v>
      </c>
      <c r="K15" s="1">
        <v>0.34</v>
      </c>
      <c r="L15" s="1">
        <v>0.41</v>
      </c>
      <c r="M15" s="1">
        <v>0.36</v>
      </c>
      <c r="N15" s="1">
        <v>0.32</v>
      </c>
      <c r="O15" s="1">
        <v>0.32</v>
      </c>
      <c r="P15" s="1">
        <v>0.39</v>
      </c>
      <c r="Q15" s="1">
        <v>0.41</v>
      </c>
      <c r="R15" s="1">
        <v>0.38</v>
      </c>
      <c r="S15" s="1">
        <f t="shared" si="0"/>
        <v>0.41</v>
      </c>
    </row>
    <row r="16" spans="1:19" ht="25" customHeight="1">
      <c r="A16" t="s">
        <v>25</v>
      </c>
      <c r="B16">
        <v>3</v>
      </c>
      <c r="C16" t="s">
        <v>31</v>
      </c>
      <c r="D16" t="b">
        <v>0</v>
      </c>
      <c r="E16">
        <v>1</v>
      </c>
      <c r="F16" t="s">
        <v>27</v>
      </c>
      <c r="G16" s="1">
        <v>0.38</v>
      </c>
      <c r="H16" s="1">
        <v>0.34</v>
      </c>
      <c r="I16" s="1">
        <v>0.39</v>
      </c>
      <c r="J16" s="1">
        <v>0.38</v>
      </c>
      <c r="K16" s="1">
        <v>0.38</v>
      </c>
      <c r="L16" s="1">
        <v>0.36</v>
      </c>
      <c r="M16" s="1">
        <v>0.39</v>
      </c>
      <c r="N16" s="1">
        <v>0.39</v>
      </c>
      <c r="O16" s="1">
        <v>0.38</v>
      </c>
      <c r="P16" s="1">
        <v>0.36</v>
      </c>
      <c r="Q16" s="1">
        <v>0.34</v>
      </c>
      <c r="R16" s="1">
        <v>0.4</v>
      </c>
      <c r="S16" s="1">
        <f t="shared" si="0"/>
        <v>0.4</v>
      </c>
    </row>
    <row r="17" spans="1:19" ht="25" customHeight="1">
      <c r="A17" t="s">
        <v>25</v>
      </c>
      <c r="B17">
        <v>3</v>
      </c>
      <c r="C17" t="s">
        <v>31</v>
      </c>
      <c r="D17" t="b">
        <v>0</v>
      </c>
      <c r="E17">
        <v>2</v>
      </c>
      <c r="F17" t="s">
        <v>28</v>
      </c>
      <c r="G17" s="1">
        <v>0.35</v>
      </c>
      <c r="H17" s="1">
        <v>0.36</v>
      </c>
      <c r="I17" s="1">
        <v>0.42</v>
      </c>
      <c r="J17" s="1">
        <v>0.44</v>
      </c>
      <c r="K17" s="1">
        <v>0.39</v>
      </c>
      <c r="L17" s="1">
        <v>0.42</v>
      </c>
      <c r="M17" s="1">
        <v>0.36</v>
      </c>
      <c r="N17" s="1">
        <v>0.34</v>
      </c>
      <c r="O17" s="1">
        <v>0.4</v>
      </c>
      <c r="P17" s="1">
        <v>0.38</v>
      </c>
      <c r="Q17" s="1">
        <v>0.38</v>
      </c>
      <c r="R17" s="1">
        <v>0.46</v>
      </c>
      <c r="S17" s="1">
        <f t="shared" si="0"/>
        <v>0.46</v>
      </c>
    </row>
    <row r="18" spans="1:19" ht="25" customHeight="1">
      <c r="A18" t="s">
        <v>25</v>
      </c>
      <c r="B18">
        <v>3</v>
      </c>
      <c r="C18" t="s">
        <v>31</v>
      </c>
      <c r="D18" t="b">
        <v>0</v>
      </c>
      <c r="E18">
        <v>3</v>
      </c>
      <c r="F18" t="s">
        <v>29</v>
      </c>
      <c r="G18" s="1">
        <v>0.36</v>
      </c>
      <c r="H18" s="1">
        <v>0.34</v>
      </c>
      <c r="I18" s="1">
        <v>0.34</v>
      </c>
      <c r="J18" s="1">
        <v>0.31</v>
      </c>
      <c r="K18" s="1">
        <v>0.39</v>
      </c>
      <c r="L18" s="1">
        <v>0.42</v>
      </c>
      <c r="M18" s="1">
        <v>0.42</v>
      </c>
      <c r="N18" s="1">
        <v>0.3</v>
      </c>
      <c r="O18" s="1">
        <v>0.35</v>
      </c>
      <c r="P18" s="1">
        <v>0.32</v>
      </c>
      <c r="Q18" s="1">
        <v>0.33</v>
      </c>
      <c r="R18" s="1">
        <v>0.38</v>
      </c>
      <c r="S18" s="1">
        <f t="shared" si="0"/>
        <v>0.42</v>
      </c>
    </row>
    <row r="19" spans="1:19" ht="25" customHeight="1">
      <c r="A19" t="s">
        <v>25</v>
      </c>
      <c r="B19">
        <v>3</v>
      </c>
      <c r="C19" t="s">
        <v>31</v>
      </c>
      <c r="D19" t="b">
        <v>1</v>
      </c>
      <c r="E19">
        <v>2</v>
      </c>
      <c r="F19" t="s">
        <v>28</v>
      </c>
      <c r="G19" s="1">
        <v>0.42</v>
      </c>
      <c r="H19" s="1">
        <v>0.4</v>
      </c>
      <c r="I19" s="1">
        <v>0.41</v>
      </c>
      <c r="J19" s="1">
        <v>0.43</v>
      </c>
      <c r="K19" s="1">
        <v>0.41</v>
      </c>
      <c r="L19" s="1">
        <v>0.4</v>
      </c>
      <c r="M19" s="1">
        <v>0.41</v>
      </c>
      <c r="N19" s="1">
        <v>0.41</v>
      </c>
      <c r="O19" s="1">
        <v>0.41</v>
      </c>
      <c r="P19" s="1">
        <v>0.38</v>
      </c>
      <c r="Q19" s="1">
        <v>0.45</v>
      </c>
      <c r="R19" s="1">
        <v>0.45</v>
      </c>
      <c r="S19" s="1">
        <f t="shared" si="0"/>
        <v>0.45</v>
      </c>
    </row>
    <row r="22" spans="1:19" ht="25" customHeight="1">
      <c r="B22" t="s">
        <v>1</v>
      </c>
      <c r="C22" t="s">
        <v>2</v>
      </c>
      <c r="D22" t="s">
        <v>32</v>
      </c>
      <c r="E22" t="s">
        <v>4</v>
      </c>
      <c r="F22" t="s">
        <v>33</v>
      </c>
      <c r="G22" t="s">
        <v>6</v>
      </c>
      <c r="H22" t="s">
        <v>7</v>
      </c>
      <c r="I22" t="s">
        <v>8</v>
      </c>
      <c r="J22" t="s">
        <v>12</v>
      </c>
      <c r="K22" t="s">
        <v>13</v>
      </c>
      <c r="L22" t="s">
        <v>14</v>
      </c>
      <c r="M22" t="s">
        <v>15</v>
      </c>
      <c r="N22" t="s">
        <v>16</v>
      </c>
      <c r="O22" t="s">
        <v>17</v>
      </c>
      <c r="P22" t="s">
        <v>21</v>
      </c>
      <c r="Q22" t="s">
        <v>22</v>
      </c>
      <c r="R22" t="s">
        <v>23</v>
      </c>
      <c r="S22" t="s">
        <v>24</v>
      </c>
    </row>
    <row r="23" spans="1:19" ht="25" customHeight="1">
      <c r="B23">
        <v>1</v>
      </c>
      <c r="C23" t="s">
        <v>26</v>
      </c>
      <c r="D23" t="b">
        <v>1</v>
      </c>
      <c r="E23">
        <v>0</v>
      </c>
      <c r="F23" t="s">
        <v>24</v>
      </c>
      <c r="G23" s="1" cm="1">
        <f t="array" ref="G23">_xlfn.LET(_xlpm.d,G$2:G$19,_xlpm.a,$C$2:$C$19=$C23,_xlpm.b,$D$2:$D$19=$D23,MAX(_xlfn._xlws.FILTER(_xlpm.d,_xlpm.a*_xlpm.b)))</f>
        <v>0.85</v>
      </c>
      <c r="H23" s="1" cm="1">
        <f t="array" ref="H23">_xlfn.LET(_xlpm.d,H$2:H$19,_xlpm.a,$C$2:$C$19=$C23,_xlpm.b,$D$2:$D$19=$D23,MAX(_xlfn._xlws.FILTER(_xlpm.d,_xlpm.a*_xlpm.b)))</f>
        <v>0.86</v>
      </c>
      <c r="I23" s="1" cm="1">
        <f t="array" ref="I23">_xlfn.LET(_xlpm.d,I$2:I$19,_xlpm.a,$C$2:$C$19=$C23,_xlpm.b,$D$2:$D$19=$D23,MAX(_xlfn._xlws.FILTER(_xlpm.d,_xlpm.a*_xlpm.b)))</f>
        <v>0.89</v>
      </c>
      <c r="J23" s="1" cm="1">
        <f t="array" ref="J23">_xlfn.LET(_xlpm.d,J$2:J$19,_xlpm.a,$C$2:$C$19=$C23,_xlpm.b,$D$2:$D$19=$D23,MAX(_xlfn._xlws.FILTER(_xlpm.d,_xlpm.a*_xlpm.b)))</f>
        <v>0.77</v>
      </c>
      <c r="K23" s="1" cm="1">
        <f t="array" ref="K23">_xlfn.LET(_xlpm.d,K$2:K$19,_xlpm.a,$C$2:$C$19=$C23,_xlpm.b,$D$2:$D$19=$D23,MAX(_xlfn._xlws.FILTER(_xlpm.d,_xlpm.a*_xlpm.b)))</f>
        <v>0.81</v>
      </c>
      <c r="L23" s="1" cm="1">
        <f t="array" ref="L23">_xlfn.LET(_xlpm.d,L$2:L$19,_xlpm.a,$C$2:$C$19=$C23,_xlpm.b,$D$2:$D$19=$D23,MAX(_xlfn._xlws.FILTER(_xlpm.d,_xlpm.a*_xlpm.b)))</f>
        <v>0.81</v>
      </c>
      <c r="M23" s="1" cm="1">
        <f t="array" ref="M23">_xlfn.LET(_xlpm.d,M$2:M$19,_xlpm.a,$C$2:$C$19=$C23,_xlpm.b,$D$2:$D$19=$D23,MAX(_xlfn._xlws.FILTER(_xlpm.d,_xlpm.a*_xlpm.b)))</f>
        <v>0.86</v>
      </c>
      <c r="N23" s="1" cm="1">
        <f t="array" ref="N23">_xlfn.LET(_xlpm.d,N$2:N$19,_xlpm.a,$C$2:$C$19=$C23,_xlpm.b,$D$2:$D$19=$D23,MAX(_xlfn._xlws.FILTER(_xlpm.d,_xlpm.a*_xlpm.b)))</f>
        <v>0.82</v>
      </c>
      <c r="O23" s="1" cm="1">
        <f t="array" ref="O23">_xlfn.LET(_xlpm.d,O$2:O$19,_xlpm.a,$C$2:$C$19=$C23,_xlpm.b,$D$2:$D$19=$D23,MAX(_xlfn._xlws.FILTER(_xlpm.d,_xlpm.a*_xlpm.b)))</f>
        <v>0.82</v>
      </c>
      <c r="P23" s="1" cm="1">
        <f t="array" ref="P23">_xlfn.LET(_xlpm.d,P$2:P$19,_xlpm.a,$C$2:$C$19=$C23,_xlpm.b,$D$2:$D$19=$D23,MAX(_xlfn._xlws.FILTER(_xlpm.d,_xlpm.a*_xlpm.b)))</f>
        <v>0.82</v>
      </c>
      <c r="Q23" s="1" cm="1">
        <f t="array" ref="Q23">_xlfn.LET(_xlpm.d,Q$2:Q$19,_xlpm.a,$C$2:$C$19=$C23,_xlpm.b,$D$2:$D$19=$D23,MAX(_xlfn._xlws.FILTER(_xlpm.d,_xlpm.a*_xlpm.b)))</f>
        <v>0.81</v>
      </c>
      <c r="R23" s="1" cm="1">
        <f t="array" ref="R23">_xlfn.LET(_xlpm.d,R$2:R$19,_xlpm.a,$C$2:$C$19=$C23,_xlpm.b,$D$2:$D$19=$D23,MAX(_xlfn._xlws.FILTER(_xlpm.d,_xlpm.a*_xlpm.b)))</f>
        <v>0.83</v>
      </c>
      <c r="S23" s="1" cm="1">
        <f t="array" ref="S23">_xlfn.LET(_xlpm.d,S$2:S$19,_xlpm.a,$C$2:$C$19=$C23,_xlpm.b,$D$2:$D$19=$D23,MAX(_xlfn._xlws.FILTER(_xlpm.d,_xlpm.a*_xlpm.b)))</f>
        <v>0.89</v>
      </c>
    </row>
    <row r="24" spans="1:19" ht="25" customHeight="1">
      <c r="B24">
        <v>1</v>
      </c>
      <c r="C24" t="s">
        <v>26</v>
      </c>
      <c r="D24" t="b">
        <v>0</v>
      </c>
      <c r="E24">
        <v>0</v>
      </c>
      <c r="F24" t="s">
        <v>24</v>
      </c>
      <c r="G24" s="1" cm="1">
        <f t="array" ref="G24">_xlfn.LET(_xlpm.d,G$2:G$19,_xlpm.a,$C$2:$C$19=$C24,_xlpm.b,$D$2:$D$19=$D24,MAX(_xlfn._xlws.FILTER(_xlpm.d,_xlpm.a*_xlpm.b)))</f>
        <v>0.82</v>
      </c>
      <c r="H24" s="1" cm="1">
        <f t="array" ref="H24">_xlfn.LET(_xlpm.d,H$2:H$19,_xlpm.a,$C$2:$C$19=$C24,_xlpm.b,$D$2:$D$19=$D24,MAX(_xlfn._xlws.FILTER(_xlpm.d,_xlpm.a*_xlpm.b)))</f>
        <v>0.85</v>
      </c>
      <c r="I24" s="1" cm="1">
        <f t="array" ref="I24">_xlfn.LET(_xlpm.d,I$2:I$19,_xlpm.a,$C$2:$C$19=$C24,_xlpm.b,$D$2:$D$19=$D24,MAX(_xlfn._xlws.FILTER(_xlpm.d,_xlpm.a*_xlpm.b)))</f>
        <v>0.83</v>
      </c>
      <c r="J24" s="1" cm="1">
        <f t="array" ref="J24">_xlfn.LET(_xlpm.d,J$2:J$19,_xlpm.a,$C$2:$C$19=$C24,_xlpm.b,$D$2:$D$19=$D24,MAX(_xlfn._xlws.FILTER(_xlpm.d,_xlpm.a*_xlpm.b)))</f>
        <v>0.74</v>
      </c>
      <c r="K24" s="1" cm="1">
        <f t="array" ref="K24">_xlfn.LET(_xlpm.d,K$2:K$19,_xlpm.a,$C$2:$C$19=$C24,_xlpm.b,$D$2:$D$19=$D24,MAX(_xlfn._xlws.FILTER(_xlpm.d,_xlpm.a*_xlpm.b)))</f>
        <v>0.79</v>
      </c>
      <c r="L24" s="1" cm="1">
        <f t="array" ref="L24">_xlfn.LET(_xlpm.d,L$2:L$19,_xlpm.a,$C$2:$C$19=$C24,_xlpm.b,$D$2:$D$19=$D24,MAX(_xlfn._xlws.FILTER(_xlpm.d,_xlpm.a*_xlpm.b)))</f>
        <v>0.83</v>
      </c>
      <c r="M24" s="1" cm="1">
        <f t="array" ref="M24">_xlfn.LET(_xlpm.d,M$2:M$19,_xlpm.a,$C$2:$C$19=$C24,_xlpm.b,$D$2:$D$19=$D24,MAX(_xlfn._xlws.FILTER(_xlpm.d,_xlpm.a*_xlpm.b)))</f>
        <v>0.8</v>
      </c>
      <c r="N24" s="1" cm="1">
        <f t="array" ref="N24">_xlfn.LET(_xlpm.d,N$2:N$19,_xlpm.a,$C$2:$C$19=$C24,_xlpm.b,$D$2:$D$19=$D24,MAX(_xlfn._xlws.FILTER(_xlpm.d,_xlpm.a*_xlpm.b)))</f>
        <v>0.79</v>
      </c>
      <c r="O24" s="1" cm="1">
        <f t="array" ref="O24">_xlfn.LET(_xlpm.d,O$2:O$19,_xlpm.a,$C$2:$C$19=$C24,_xlpm.b,$D$2:$D$19=$D24,MAX(_xlfn._xlws.FILTER(_xlpm.d,_xlpm.a*_xlpm.b)))</f>
        <v>0.8</v>
      </c>
      <c r="P24" s="1" cm="1">
        <f t="array" ref="P24">_xlfn.LET(_xlpm.d,P$2:P$19,_xlpm.a,$C$2:$C$19=$C24,_xlpm.b,$D$2:$D$19=$D24,MAX(_xlfn._xlws.FILTER(_xlpm.d,_xlpm.a*_xlpm.b)))</f>
        <v>0.81</v>
      </c>
      <c r="Q24" s="1" cm="1">
        <f t="array" ref="Q24">_xlfn.LET(_xlpm.d,Q$2:Q$19,_xlpm.a,$C$2:$C$19=$C24,_xlpm.b,$D$2:$D$19=$D24,MAX(_xlfn._xlws.FILTER(_xlpm.d,_xlpm.a*_xlpm.b)))</f>
        <v>0.81</v>
      </c>
      <c r="R24" s="1" cm="1">
        <f t="array" ref="R24">_xlfn.LET(_xlpm.d,R$2:R$19,_xlpm.a,$C$2:$C$19=$C24,_xlpm.b,$D$2:$D$19=$D24,MAX(_xlfn._xlws.FILTER(_xlpm.d,_xlpm.a*_xlpm.b)))</f>
        <v>0.81</v>
      </c>
      <c r="S24" s="1" cm="1">
        <f t="array" ref="S24">_xlfn.LET(_xlpm.d,S$2:S$19,_xlpm.a,$C$2:$C$19=$C24,_xlpm.b,$D$2:$D$19=$D24,MAX(_xlfn._xlws.FILTER(_xlpm.d,_xlpm.a*_xlpm.b)))</f>
        <v>0.85</v>
      </c>
    </row>
    <row r="25" spans="1:19" ht="25" customHeight="1">
      <c r="B25">
        <v>2</v>
      </c>
      <c r="C25" t="s">
        <v>30</v>
      </c>
      <c r="D25" t="b">
        <v>1</v>
      </c>
      <c r="E25">
        <v>0</v>
      </c>
      <c r="F25" t="s">
        <v>24</v>
      </c>
      <c r="G25" s="1" cm="1">
        <f t="array" ref="G25">_xlfn.LET(_xlpm.d,G$2:G$19,_xlpm.a,$C$2:$C$19=$C25,_xlpm.b,$D$2:$D$19=$D25,MAX(_xlfn._xlws.FILTER(_xlpm.d,_xlpm.a*_xlpm.b)))</f>
        <v>0.56000000000000005</v>
      </c>
      <c r="H25" s="1" cm="1">
        <f t="array" ref="H25">_xlfn.LET(_xlpm.d,H$2:H$19,_xlpm.a,$C$2:$C$19=$C25,_xlpm.b,$D$2:$D$19=$D25,MAX(_xlfn._xlws.FILTER(_xlpm.d,_xlpm.a*_xlpm.b)))</f>
        <v>0.61</v>
      </c>
      <c r="I25" s="1" cm="1">
        <f t="array" ref="I25">_xlfn.LET(_xlpm.d,I$2:I$19,_xlpm.a,$C$2:$C$19=$C25,_xlpm.b,$D$2:$D$19=$D25,MAX(_xlfn._xlws.FILTER(_xlpm.d,_xlpm.a*_xlpm.b)))</f>
        <v>0.62</v>
      </c>
      <c r="J25" s="1" cm="1">
        <f t="array" ref="J25">_xlfn.LET(_xlpm.d,J$2:J$19,_xlpm.a,$C$2:$C$19=$C25,_xlpm.b,$D$2:$D$19=$D25,MAX(_xlfn._xlws.FILTER(_xlpm.d,_xlpm.a*_xlpm.b)))</f>
        <v>0.59</v>
      </c>
      <c r="K25" s="1" cm="1">
        <f t="array" ref="K25">_xlfn.LET(_xlpm.d,K$2:K$19,_xlpm.a,$C$2:$C$19=$C25,_xlpm.b,$D$2:$D$19=$D25,MAX(_xlfn._xlws.FILTER(_xlpm.d,_xlpm.a*_xlpm.b)))</f>
        <v>0.56999999999999995</v>
      </c>
      <c r="L25" s="1" cm="1">
        <f t="array" ref="L25">_xlfn.LET(_xlpm.d,L$2:L$19,_xlpm.a,$C$2:$C$19=$C25,_xlpm.b,$D$2:$D$19=$D25,MAX(_xlfn._xlws.FILTER(_xlpm.d,_xlpm.a*_xlpm.b)))</f>
        <v>0.59</v>
      </c>
      <c r="M25" s="1" cm="1">
        <f t="array" ref="M25">_xlfn.LET(_xlpm.d,M$2:M$19,_xlpm.a,$C$2:$C$19=$C25,_xlpm.b,$D$2:$D$19=$D25,MAX(_xlfn._xlws.FILTER(_xlpm.d,_xlpm.a*_xlpm.b)))</f>
        <v>0.59</v>
      </c>
      <c r="N25" s="1" cm="1">
        <f t="array" ref="N25">_xlfn.LET(_xlpm.d,N$2:N$19,_xlpm.a,$C$2:$C$19=$C25,_xlpm.b,$D$2:$D$19=$D25,MAX(_xlfn._xlws.FILTER(_xlpm.d,_xlpm.a*_xlpm.b)))</f>
        <v>0.6</v>
      </c>
      <c r="O25" s="1" cm="1">
        <f t="array" ref="O25">_xlfn.LET(_xlpm.d,O$2:O$19,_xlpm.a,$C$2:$C$19=$C25,_xlpm.b,$D$2:$D$19=$D25,MAX(_xlfn._xlws.FILTER(_xlpm.d,_xlpm.a*_xlpm.b)))</f>
        <v>0.57999999999999996</v>
      </c>
      <c r="P25" s="1" cm="1">
        <f t="array" ref="P25">_xlfn.LET(_xlpm.d,P$2:P$19,_xlpm.a,$C$2:$C$19=$C25,_xlpm.b,$D$2:$D$19=$D25,MAX(_xlfn._xlws.FILTER(_xlpm.d,_xlpm.a*_xlpm.b)))</f>
        <v>0.68</v>
      </c>
      <c r="Q25" s="1" cm="1">
        <f t="array" ref="Q25">_xlfn.LET(_xlpm.d,Q$2:Q$19,_xlpm.a,$C$2:$C$19=$C25,_xlpm.b,$D$2:$D$19=$D25,MAX(_xlfn._xlws.FILTER(_xlpm.d,_xlpm.a*_xlpm.b)))</f>
        <v>0.55000000000000004</v>
      </c>
      <c r="R25" s="1" cm="1">
        <f t="array" ref="R25">_xlfn.LET(_xlpm.d,R$2:R$19,_xlpm.a,$C$2:$C$19=$C25,_xlpm.b,$D$2:$D$19=$D25,MAX(_xlfn._xlws.FILTER(_xlpm.d,_xlpm.a*_xlpm.b)))</f>
        <v>0.62</v>
      </c>
      <c r="S25" s="1" cm="1">
        <f t="array" ref="S25">_xlfn.LET(_xlpm.d,S$2:S$19,_xlpm.a,$C$2:$C$19=$C25,_xlpm.b,$D$2:$D$19=$D25,MAX(_xlfn._xlws.FILTER(_xlpm.d,_xlpm.a*_xlpm.b)))</f>
        <v>0.68</v>
      </c>
    </row>
    <row r="26" spans="1:19" ht="25" customHeight="1">
      <c r="B26">
        <v>2</v>
      </c>
      <c r="C26" t="s">
        <v>30</v>
      </c>
      <c r="D26" t="b">
        <v>0</v>
      </c>
      <c r="E26">
        <v>0</v>
      </c>
      <c r="F26" t="s">
        <v>24</v>
      </c>
      <c r="G26" s="1" cm="1">
        <f t="array" ref="G26">_xlfn.LET(_xlpm.d,G$2:G$19,_xlpm.a,$C$2:$C$19=$C26,_xlpm.b,$D$2:$D$19=$D26,MAX(_xlfn._xlws.FILTER(_xlpm.d,_xlpm.a*_xlpm.b)))</f>
        <v>0.56999999999999995</v>
      </c>
      <c r="H26" s="1" cm="1">
        <f t="array" ref="H26">_xlfn.LET(_xlpm.d,H$2:H$19,_xlpm.a,$C$2:$C$19=$C26,_xlpm.b,$D$2:$D$19=$D26,MAX(_xlfn._xlws.FILTER(_xlpm.d,_xlpm.a*_xlpm.b)))</f>
        <v>0.61</v>
      </c>
      <c r="I26" s="1" cm="1">
        <f t="array" ref="I26">_xlfn.LET(_xlpm.d,I$2:I$19,_xlpm.a,$C$2:$C$19=$C26,_xlpm.b,$D$2:$D$19=$D26,MAX(_xlfn._xlws.FILTER(_xlpm.d,_xlpm.a*_xlpm.b)))</f>
        <v>0.61</v>
      </c>
      <c r="J26" s="1" cm="1">
        <f t="array" ref="J26">_xlfn.LET(_xlpm.d,J$2:J$19,_xlpm.a,$C$2:$C$19=$C26,_xlpm.b,$D$2:$D$19=$D26,MAX(_xlfn._xlws.FILTER(_xlpm.d,_xlpm.a*_xlpm.b)))</f>
        <v>0.55000000000000004</v>
      </c>
      <c r="K26" s="1" cm="1">
        <f t="array" ref="K26">_xlfn.LET(_xlpm.d,K$2:K$19,_xlpm.a,$C$2:$C$19=$C26,_xlpm.b,$D$2:$D$19=$D26,MAX(_xlfn._xlws.FILTER(_xlpm.d,_xlpm.a*_xlpm.b)))</f>
        <v>0.56999999999999995</v>
      </c>
      <c r="L26" s="1" cm="1">
        <f t="array" ref="L26">_xlfn.LET(_xlpm.d,L$2:L$19,_xlpm.a,$C$2:$C$19=$C26,_xlpm.b,$D$2:$D$19=$D26,MAX(_xlfn._xlws.FILTER(_xlpm.d,_xlpm.a*_xlpm.b)))</f>
        <v>0.55000000000000004</v>
      </c>
      <c r="M26" s="1" cm="1">
        <f t="array" ref="M26">_xlfn.LET(_xlpm.d,M$2:M$19,_xlpm.a,$C$2:$C$19=$C26,_xlpm.b,$D$2:$D$19=$D26,MAX(_xlfn._xlws.FILTER(_xlpm.d,_xlpm.a*_xlpm.b)))</f>
        <v>0.57999999999999996</v>
      </c>
      <c r="N26" s="1" cm="1">
        <f t="array" ref="N26">_xlfn.LET(_xlpm.d,N$2:N$19,_xlpm.a,$C$2:$C$19=$C26,_xlpm.b,$D$2:$D$19=$D26,MAX(_xlfn._xlws.FILTER(_xlpm.d,_xlpm.a*_xlpm.b)))</f>
        <v>0.6</v>
      </c>
      <c r="O26" s="1" cm="1">
        <f t="array" ref="O26">_xlfn.LET(_xlpm.d,O$2:O$19,_xlpm.a,$C$2:$C$19=$C26,_xlpm.b,$D$2:$D$19=$D26,MAX(_xlfn._xlws.FILTER(_xlpm.d,_xlpm.a*_xlpm.b)))</f>
        <v>0.56999999999999995</v>
      </c>
      <c r="P26" s="1" cm="1">
        <f t="array" ref="P26">_xlfn.LET(_xlpm.d,P$2:P$19,_xlpm.a,$C$2:$C$19=$C26,_xlpm.b,$D$2:$D$19=$D26,MAX(_xlfn._xlws.FILTER(_xlpm.d,_xlpm.a*_xlpm.b)))</f>
        <v>0.65</v>
      </c>
      <c r="Q26" s="1" cm="1">
        <f t="array" ref="Q26">_xlfn.LET(_xlpm.d,Q$2:Q$19,_xlpm.a,$C$2:$C$19=$C26,_xlpm.b,$D$2:$D$19=$D26,MAX(_xlfn._xlws.FILTER(_xlpm.d,_xlpm.a*_xlpm.b)))</f>
        <v>0.53</v>
      </c>
      <c r="R26" s="1" cm="1">
        <f t="array" ref="R26">_xlfn.LET(_xlpm.d,R$2:R$19,_xlpm.a,$C$2:$C$19=$C26,_xlpm.b,$D$2:$D$19=$D26,MAX(_xlfn._xlws.FILTER(_xlpm.d,_xlpm.a*_xlpm.b)))</f>
        <v>0.56999999999999995</v>
      </c>
      <c r="S26" s="1" cm="1">
        <f t="array" ref="S26">_xlfn.LET(_xlpm.d,S$2:S$19,_xlpm.a,$C$2:$C$19=$C26,_xlpm.b,$D$2:$D$19=$D26,MAX(_xlfn._xlws.FILTER(_xlpm.d,_xlpm.a*_xlpm.b)))</f>
        <v>0.65</v>
      </c>
    </row>
    <row r="27" spans="1:19" ht="25" customHeight="1">
      <c r="B27">
        <v>3</v>
      </c>
      <c r="C27" t="s">
        <v>31</v>
      </c>
      <c r="D27" t="b">
        <v>1</v>
      </c>
      <c r="E27">
        <v>0</v>
      </c>
      <c r="F27" t="s">
        <v>24</v>
      </c>
      <c r="G27" s="1" cm="1">
        <f t="array" ref="G27">_xlfn.LET(_xlpm.d,G$2:G$19,_xlpm.a,$C$2:$C$19=$C27,_xlpm.b,$D$2:$D$19=$D27,MAX(_xlfn._xlws.FILTER(_xlpm.d,_xlpm.a*_xlpm.b)))</f>
        <v>0.42</v>
      </c>
      <c r="H27" s="1" cm="1">
        <f t="array" ref="H27">_xlfn.LET(_xlpm.d,H$2:H$19,_xlpm.a,$C$2:$C$19=$C27,_xlpm.b,$D$2:$D$19=$D27,MAX(_xlfn._xlws.FILTER(_xlpm.d,_xlpm.a*_xlpm.b)))</f>
        <v>0.4</v>
      </c>
      <c r="I27" s="1" cm="1">
        <f t="array" ref="I27">_xlfn.LET(_xlpm.d,I$2:I$19,_xlpm.a,$C$2:$C$19=$C27,_xlpm.b,$D$2:$D$19=$D27,MAX(_xlfn._xlws.FILTER(_xlpm.d,_xlpm.a*_xlpm.b)))</f>
        <v>0.41</v>
      </c>
      <c r="J27" s="1" cm="1">
        <f t="array" ref="J27">_xlfn.LET(_xlpm.d,J$2:J$19,_xlpm.a,$C$2:$C$19=$C27,_xlpm.b,$D$2:$D$19=$D27,MAX(_xlfn._xlws.FILTER(_xlpm.d,_xlpm.a*_xlpm.b)))</f>
        <v>0.43</v>
      </c>
      <c r="K27" s="1" cm="1">
        <f t="array" ref="K27">_xlfn.LET(_xlpm.d,K$2:K$19,_xlpm.a,$C$2:$C$19=$C27,_xlpm.b,$D$2:$D$19=$D27,MAX(_xlfn._xlws.FILTER(_xlpm.d,_xlpm.a*_xlpm.b)))</f>
        <v>0.41</v>
      </c>
      <c r="L27" s="1" cm="1">
        <f t="array" ref="L27">_xlfn.LET(_xlpm.d,L$2:L$19,_xlpm.a,$C$2:$C$19=$C27,_xlpm.b,$D$2:$D$19=$D27,MAX(_xlfn._xlws.FILTER(_xlpm.d,_xlpm.a*_xlpm.b)))</f>
        <v>0.41</v>
      </c>
      <c r="M27" s="1" cm="1">
        <f t="array" ref="M27">_xlfn.LET(_xlpm.d,M$2:M$19,_xlpm.a,$C$2:$C$19=$C27,_xlpm.b,$D$2:$D$19=$D27,MAX(_xlfn._xlws.FILTER(_xlpm.d,_xlpm.a*_xlpm.b)))</f>
        <v>0.41</v>
      </c>
      <c r="N27" s="1" cm="1">
        <f t="array" ref="N27">_xlfn.LET(_xlpm.d,N$2:N$19,_xlpm.a,$C$2:$C$19=$C27,_xlpm.b,$D$2:$D$19=$D27,MAX(_xlfn._xlws.FILTER(_xlpm.d,_xlpm.a*_xlpm.b)))</f>
        <v>0.41</v>
      </c>
      <c r="O27" s="1" cm="1">
        <f t="array" ref="O27">_xlfn.LET(_xlpm.d,O$2:O$19,_xlpm.a,$C$2:$C$19=$C27,_xlpm.b,$D$2:$D$19=$D27,MAX(_xlfn._xlws.FILTER(_xlpm.d,_xlpm.a*_xlpm.b)))</f>
        <v>0.41</v>
      </c>
      <c r="P27" s="1" cm="1">
        <f t="array" ref="P27">_xlfn.LET(_xlpm.d,P$2:P$19,_xlpm.a,$C$2:$C$19=$C27,_xlpm.b,$D$2:$D$19=$D27,MAX(_xlfn._xlws.FILTER(_xlpm.d,_xlpm.a*_xlpm.b)))</f>
        <v>0.41</v>
      </c>
      <c r="Q27" s="1" cm="1">
        <f t="array" ref="Q27">_xlfn.LET(_xlpm.d,Q$2:Q$19,_xlpm.a,$C$2:$C$19=$C27,_xlpm.b,$D$2:$D$19=$D27,MAX(_xlfn._xlws.FILTER(_xlpm.d,_xlpm.a*_xlpm.b)))</f>
        <v>0.45</v>
      </c>
      <c r="R27" s="1" cm="1">
        <f t="array" ref="R27">_xlfn.LET(_xlpm.d,R$2:R$19,_xlpm.a,$C$2:$C$19=$C27,_xlpm.b,$D$2:$D$19=$D27,MAX(_xlfn._xlws.FILTER(_xlpm.d,_xlpm.a*_xlpm.b)))</f>
        <v>0.45</v>
      </c>
      <c r="S27" s="1" cm="1">
        <f t="array" ref="S27">_xlfn.LET(_xlpm.d,S$2:S$19,_xlpm.a,$C$2:$C$19=$C27,_xlpm.b,$D$2:$D$19=$D27,MAX(_xlfn._xlws.FILTER(_xlpm.d,_xlpm.a*_xlpm.b)))</f>
        <v>0.45</v>
      </c>
    </row>
    <row r="28" spans="1:19" ht="25" customHeight="1">
      <c r="B28">
        <v>3</v>
      </c>
      <c r="C28" t="s">
        <v>31</v>
      </c>
      <c r="D28" t="b">
        <v>0</v>
      </c>
      <c r="E28">
        <v>0</v>
      </c>
      <c r="F28" t="s">
        <v>24</v>
      </c>
      <c r="G28" s="1" cm="1">
        <f t="array" ref="G28">_xlfn.LET(_xlpm.d,G$2:G$19,_xlpm.a,$C$2:$C$19=$C28,_xlpm.b,$D$2:$D$19=$D28,MAX(_xlfn._xlws.FILTER(_xlpm.d,_xlpm.a*_xlpm.b)))</f>
        <v>0.38</v>
      </c>
      <c r="H28" s="1" cm="1">
        <f t="array" ref="H28">_xlfn.LET(_xlpm.d,H$2:H$19,_xlpm.a,$C$2:$C$19=$C28,_xlpm.b,$D$2:$D$19=$D28,MAX(_xlfn._xlws.FILTER(_xlpm.d,_xlpm.a*_xlpm.b)))</f>
        <v>0.36</v>
      </c>
      <c r="I28" s="1" cm="1">
        <f t="array" ref="I28">_xlfn.LET(_xlpm.d,I$2:I$19,_xlpm.a,$C$2:$C$19=$C28,_xlpm.b,$D$2:$D$19=$D28,MAX(_xlfn._xlws.FILTER(_xlpm.d,_xlpm.a*_xlpm.b)))</f>
        <v>0.42</v>
      </c>
      <c r="J28" s="1" cm="1">
        <f t="array" ref="J28">_xlfn.LET(_xlpm.d,J$2:J$19,_xlpm.a,$C$2:$C$19=$C28,_xlpm.b,$D$2:$D$19=$D28,MAX(_xlfn._xlws.FILTER(_xlpm.d,_xlpm.a*_xlpm.b)))</f>
        <v>0.44</v>
      </c>
      <c r="K28" s="1" cm="1">
        <f t="array" ref="K28">_xlfn.LET(_xlpm.d,K$2:K$19,_xlpm.a,$C$2:$C$19=$C28,_xlpm.b,$D$2:$D$19=$D28,MAX(_xlfn._xlws.FILTER(_xlpm.d,_xlpm.a*_xlpm.b)))</f>
        <v>0.39</v>
      </c>
      <c r="L28" s="1" cm="1">
        <f t="array" ref="L28">_xlfn.LET(_xlpm.d,L$2:L$19,_xlpm.a,$C$2:$C$19=$C28,_xlpm.b,$D$2:$D$19=$D28,MAX(_xlfn._xlws.FILTER(_xlpm.d,_xlpm.a*_xlpm.b)))</f>
        <v>0.42</v>
      </c>
      <c r="M28" s="1" cm="1">
        <f t="array" ref="M28">_xlfn.LET(_xlpm.d,M$2:M$19,_xlpm.a,$C$2:$C$19=$C28,_xlpm.b,$D$2:$D$19=$D28,MAX(_xlfn._xlws.FILTER(_xlpm.d,_xlpm.a*_xlpm.b)))</f>
        <v>0.42</v>
      </c>
      <c r="N28" s="1" cm="1">
        <f t="array" ref="N28">_xlfn.LET(_xlpm.d,N$2:N$19,_xlpm.a,$C$2:$C$19=$C28,_xlpm.b,$D$2:$D$19=$D28,MAX(_xlfn._xlws.FILTER(_xlpm.d,_xlpm.a*_xlpm.b)))</f>
        <v>0.39</v>
      </c>
      <c r="O28" s="1" cm="1">
        <f t="array" ref="O28">_xlfn.LET(_xlpm.d,O$2:O$19,_xlpm.a,$C$2:$C$19=$C28,_xlpm.b,$D$2:$D$19=$D28,MAX(_xlfn._xlws.FILTER(_xlpm.d,_xlpm.a*_xlpm.b)))</f>
        <v>0.4</v>
      </c>
      <c r="P28" s="1" cm="1">
        <f t="array" ref="P28">_xlfn.LET(_xlpm.d,P$2:P$19,_xlpm.a,$C$2:$C$19=$C28,_xlpm.b,$D$2:$D$19=$D28,MAX(_xlfn._xlws.FILTER(_xlpm.d,_xlpm.a*_xlpm.b)))</f>
        <v>0.38</v>
      </c>
      <c r="Q28" s="1" cm="1">
        <f t="array" ref="Q28">_xlfn.LET(_xlpm.d,Q$2:Q$19,_xlpm.a,$C$2:$C$19=$C28,_xlpm.b,$D$2:$D$19=$D28,MAX(_xlfn._xlws.FILTER(_xlpm.d,_xlpm.a*_xlpm.b)))</f>
        <v>0.38</v>
      </c>
      <c r="R28" s="1" cm="1">
        <f t="array" ref="R28">_xlfn.LET(_xlpm.d,R$2:R$19,_xlpm.a,$C$2:$C$19=$C28,_xlpm.b,$D$2:$D$19=$D28,MAX(_xlfn._xlws.FILTER(_xlpm.d,_xlpm.a*_xlpm.b)))</f>
        <v>0.46</v>
      </c>
      <c r="S28" s="1" cm="1">
        <f t="array" ref="S28">_xlfn.LET(_xlpm.d,S$2:S$19,_xlpm.a,$C$2:$C$19=$C28,_xlpm.b,$D$2:$D$19=$D28,MAX(_xlfn._xlws.FILTER(_xlpm.d,_xlpm.a*_xlpm.b)))</f>
        <v>0.46</v>
      </c>
    </row>
  </sheetData>
  <conditionalFormatting sqref="G2:S19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A276D-B927-D141-8FB4-CA6DD98D5907}">
  <dimension ref="A1:S28"/>
  <sheetViews>
    <sheetView workbookViewId="0">
      <pane xSplit="11080" ySplit="5440" topLeftCell="H17" activePane="bottomRight"/>
      <selection pane="topRight" activeCell="H1" sqref="H1"/>
      <selection pane="bottomLeft" activeCell="A11" sqref="A11"/>
      <selection pane="bottomRight" activeCell="J13" sqref="J13"/>
    </sheetView>
  </sheetViews>
  <sheetFormatPr baseColWidth="10" defaultRowHeight="25" customHeight="1"/>
  <cols>
    <col min="2" max="2" width="6.5" customWidth="1"/>
    <col min="4" max="4" width="13.75" customWidth="1"/>
    <col min="5" max="5" width="6.875" customWidth="1"/>
    <col min="6" max="6" width="9.125" customWidth="1"/>
    <col min="7" max="19" width="8.125" customWidth="1"/>
  </cols>
  <sheetData>
    <row r="1" spans="1:19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21</v>
      </c>
      <c r="Q1" t="s">
        <v>22</v>
      </c>
      <c r="R1" t="s">
        <v>23</v>
      </c>
      <c r="S1" t="s">
        <v>24</v>
      </c>
    </row>
    <row r="2" spans="1:19" ht="25" customHeight="1">
      <c r="A2" t="s">
        <v>25</v>
      </c>
      <c r="B2">
        <v>1</v>
      </c>
      <c r="C2" t="s">
        <v>26</v>
      </c>
      <c r="D2" t="b">
        <v>1</v>
      </c>
      <c r="E2">
        <v>1</v>
      </c>
      <c r="F2" t="s">
        <v>27</v>
      </c>
      <c r="G2" s="1">
        <v>0.84</v>
      </c>
      <c r="H2" s="1">
        <v>0.82</v>
      </c>
      <c r="I2" s="1">
        <v>0.78</v>
      </c>
      <c r="J2" s="1">
        <v>0.75</v>
      </c>
      <c r="K2" s="1">
        <v>0.75</v>
      </c>
      <c r="L2" s="1">
        <v>0.81</v>
      </c>
      <c r="M2" s="1">
        <v>0.82</v>
      </c>
      <c r="N2" s="1">
        <v>0.83</v>
      </c>
      <c r="O2" s="1">
        <v>0.84</v>
      </c>
      <c r="P2" s="1">
        <v>0.78</v>
      </c>
      <c r="Q2" s="1">
        <v>0.79</v>
      </c>
      <c r="R2" s="1">
        <v>0.75</v>
      </c>
      <c r="S2" s="1">
        <f t="shared" ref="S2:S19" si="0">MAX($G2:$R2)</f>
        <v>0.84</v>
      </c>
    </row>
    <row r="3" spans="1:19" ht="25" customHeight="1">
      <c r="A3" t="s">
        <v>25</v>
      </c>
      <c r="B3">
        <v>1</v>
      </c>
      <c r="C3" t="s">
        <v>26</v>
      </c>
      <c r="D3" t="b">
        <v>1</v>
      </c>
      <c r="E3">
        <v>2</v>
      </c>
      <c r="F3" t="s">
        <v>28</v>
      </c>
      <c r="G3" s="1">
        <v>0.82</v>
      </c>
      <c r="H3" s="1">
        <v>0.87</v>
      </c>
      <c r="I3" s="1">
        <v>0.83</v>
      </c>
      <c r="J3" s="1">
        <v>0.78</v>
      </c>
      <c r="K3" s="1">
        <v>0.79</v>
      </c>
      <c r="L3" s="1">
        <v>0.85</v>
      </c>
      <c r="M3" s="1">
        <v>0.79</v>
      </c>
      <c r="N3" s="1">
        <v>0.85</v>
      </c>
      <c r="O3" s="1">
        <v>0.88</v>
      </c>
      <c r="P3" s="1">
        <v>0.82</v>
      </c>
      <c r="Q3" s="1">
        <v>0.79</v>
      </c>
      <c r="R3" s="1">
        <v>0.82</v>
      </c>
      <c r="S3" s="1">
        <f t="shared" si="0"/>
        <v>0.88</v>
      </c>
    </row>
    <row r="4" spans="1:19" ht="25" customHeight="1">
      <c r="A4" t="s">
        <v>25</v>
      </c>
      <c r="B4">
        <v>1</v>
      </c>
      <c r="C4" t="s">
        <v>26</v>
      </c>
      <c r="D4" t="b">
        <v>1</v>
      </c>
      <c r="E4">
        <v>3</v>
      </c>
      <c r="F4" t="s">
        <v>29</v>
      </c>
      <c r="G4" s="1">
        <v>0.84</v>
      </c>
      <c r="H4" s="1">
        <v>0.8</v>
      </c>
      <c r="I4" s="1">
        <v>0.78</v>
      </c>
      <c r="J4" s="1">
        <v>0.77</v>
      </c>
      <c r="K4" s="1">
        <v>0.82</v>
      </c>
      <c r="L4" s="1">
        <v>0.78</v>
      </c>
      <c r="M4" s="1">
        <v>0.76</v>
      </c>
      <c r="N4" s="1">
        <v>0.77</v>
      </c>
      <c r="O4" s="1">
        <v>0.74</v>
      </c>
      <c r="P4" s="1">
        <v>0.82</v>
      </c>
      <c r="Q4" s="1">
        <v>0.81</v>
      </c>
      <c r="R4" s="1">
        <v>0.84</v>
      </c>
      <c r="S4" s="1">
        <f t="shared" si="0"/>
        <v>0.84</v>
      </c>
    </row>
    <row r="5" spans="1:19" ht="25" customHeight="1">
      <c r="A5" t="s">
        <v>25</v>
      </c>
      <c r="B5">
        <v>1</v>
      </c>
      <c r="C5" t="s">
        <v>26</v>
      </c>
      <c r="D5" t="b">
        <v>0</v>
      </c>
      <c r="E5">
        <v>1</v>
      </c>
      <c r="F5" t="s">
        <v>27</v>
      </c>
      <c r="G5" s="1">
        <v>0.77</v>
      </c>
      <c r="H5" s="1">
        <v>0.8</v>
      </c>
      <c r="I5" s="1">
        <v>0.75</v>
      </c>
      <c r="J5" s="1">
        <v>0.7</v>
      </c>
      <c r="K5" s="1">
        <v>0.78</v>
      </c>
      <c r="L5" s="1">
        <v>0.8</v>
      </c>
      <c r="M5" s="1">
        <v>0.74</v>
      </c>
      <c r="N5" s="1">
        <v>0.78</v>
      </c>
      <c r="O5" s="1">
        <v>0.83</v>
      </c>
      <c r="P5" s="1">
        <v>0.71</v>
      </c>
      <c r="Q5" s="1">
        <v>0.83</v>
      </c>
      <c r="R5" s="1">
        <v>0.72</v>
      </c>
      <c r="S5" s="1">
        <f t="shared" si="0"/>
        <v>0.83</v>
      </c>
    </row>
    <row r="6" spans="1:19" ht="25" customHeight="1">
      <c r="A6" t="s">
        <v>25</v>
      </c>
      <c r="B6">
        <v>1</v>
      </c>
      <c r="C6" t="s">
        <v>26</v>
      </c>
      <c r="D6" t="b">
        <v>0</v>
      </c>
      <c r="E6">
        <v>2</v>
      </c>
      <c r="F6" t="s">
        <v>28</v>
      </c>
      <c r="G6" s="1">
        <v>0.82</v>
      </c>
      <c r="H6" s="1">
        <v>0.82</v>
      </c>
      <c r="I6" s="1">
        <v>0.8</v>
      </c>
      <c r="J6" s="1">
        <v>0.75</v>
      </c>
      <c r="K6" s="1">
        <v>0.79</v>
      </c>
      <c r="L6" s="1">
        <v>0.84</v>
      </c>
      <c r="M6" s="1">
        <v>0.74</v>
      </c>
      <c r="N6" s="1">
        <v>0.82</v>
      </c>
      <c r="O6" s="1">
        <v>0.88</v>
      </c>
      <c r="P6" s="1">
        <v>0.82</v>
      </c>
      <c r="Q6" s="1">
        <v>0.77</v>
      </c>
      <c r="R6" s="1">
        <v>0.82</v>
      </c>
      <c r="S6" s="1">
        <f t="shared" si="0"/>
        <v>0.88</v>
      </c>
    </row>
    <row r="7" spans="1:19" ht="25" customHeight="1">
      <c r="A7" t="s">
        <v>25</v>
      </c>
      <c r="B7">
        <v>1</v>
      </c>
      <c r="C7" t="s">
        <v>26</v>
      </c>
      <c r="D7" t="b">
        <v>0</v>
      </c>
      <c r="E7">
        <v>3</v>
      </c>
      <c r="F7" t="s">
        <v>29</v>
      </c>
      <c r="G7" s="1">
        <v>0.77</v>
      </c>
      <c r="H7" s="1">
        <v>0.73</v>
      </c>
      <c r="I7" s="1">
        <v>0.74</v>
      </c>
      <c r="J7" s="1">
        <v>0.75</v>
      </c>
      <c r="K7" s="1">
        <v>0.78</v>
      </c>
      <c r="L7" s="1">
        <v>0.77</v>
      </c>
      <c r="M7" s="1">
        <v>0.74</v>
      </c>
      <c r="N7" s="1">
        <v>0.78</v>
      </c>
      <c r="O7" s="1">
        <v>0.76</v>
      </c>
      <c r="P7" s="1">
        <v>0.77</v>
      </c>
      <c r="Q7" s="1">
        <v>0.73</v>
      </c>
      <c r="R7" s="1">
        <v>0.81</v>
      </c>
      <c r="S7" s="1">
        <f t="shared" si="0"/>
        <v>0.81</v>
      </c>
    </row>
    <row r="8" spans="1:19" ht="25" customHeight="1">
      <c r="A8" t="s">
        <v>25</v>
      </c>
      <c r="B8">
        <v>2</v>
      </c>
      <c r="C8" t="s">
        <v>30</v>
      </c>
      <c r="D8" t="b">
        <v>1</v>
      </c>
      <c r="E8">
        <v>2</v>
      </c>
      <c r="F8" t="s">
        <v>28</v>
      </c>
      <c r="G8" s="1">
        <v>0.56999999999999995</v>
      </c>
      <c r="H8" s="1">
        <v>0.54</v>
      </c>
      <c r="I8" s="1">
        <v>0.56999999999999995</v>
      </c>
      <c r="J8" s="1">
        <v>0.61</v>
      </c>
      <c r="K8" s="1">
        <v>0.54</v>
      </c>
      <c r="L8" s="1">
        <v>0.55000000000000004</v>
      </c>
      <c r="M8" s="1">
        <v>0.56000000000000005</v>
      </c>
      <c r="N8" s="1">
        <v>0.54</v>
      </c>
      <c r="O8" s="1">
        <v>0.61</v>
      </c>
      <c r="P8" s="1">
        <v>0.56000000000000005</v>
      </c>
      <c r="Q8" s="1">
        <v>0.61</v>
      </c>
      <c r="R8" s="1">
        <v>0.57999999999999996</v>
      </c>
      <c r="S8" s="1">
        <f t="shared" si="0"/>
        <v>0.61</v>
      </c>
    </row>
    <row r="9" spans="1:19" ht="25" customHeight="1">
      <c r="A9" t="s">
        <v>25</v>
      </c>
      <c r="B9">
        <v>2</v>
      </c>
      <c r="C9" t="s">
        <v>30</v>
      </c>
      <c r="D9" t="b">
        <v>1</v>
      </c>
      <c r="E9">
        <v>3</v>
      </c>
      <c r="F9" t="s">
        <v>29</v>
      </c>
      <c r="G9" s="1">
        <v>0.52</v>
      </c>
      <c r="H9" s="1">
        <v>0.44</v>
      </c>
      <c r="I9" s="1">
        <v>0.56000000000000005</v>
      </c>
      <c r="J9" s="1">
        <v>0.45</v>
      </c>
      <c r="K9" s="1">
        <v>0.55000000000000004</v>
      </c>
      <c r="L9" s="1">
        <v>0.55000000000000004</v>
      </c>
      <c r="M9" s="1">
        <v>0.46</v>
      </c>
      <c r="N9" s="1">
        <v>0.49</v>
      </c>
      <c r="O9" s="1">
        <v>0.55000000000000004</v>
      </c>
      <c r="P9" s="1">
        <v>0.5</v>
      </c>
      <c r="Q9" s="1">
        <v>0.52</v>
      </c>
      <c r="R9" s="1">
        <v>0.5</v>
      </c>
      <c r="S9" s="1">
        <f t="shared" si="0"/>
        <v>0.56000000000000005</v>
      </c>
    </row>
    <row r="10" spans="1:19" ht="25" customHeight="1">
      <c r="A10" t="s">
        <v>25</v>
      </c>
      <c r="B10">
        <v>2</v>
      </c>
      <c r="C10" t="s">
        <v>30</v>
      </c>
      <c r="D10" t="b">
        <v>1</v>
      </c>
      <c r="E10">
        <v>1</v>
      </c>
      <c r="F10" t="s">
        <v>27</v>
      </c>
      <c r="G10" s="1">
        <v>0.52</v>
      </c>
      <c r="H10" s="1">
        <v>0.47</v>
      </c>
      <c r="I10" s="1">
        <v>0.47</v>
      </c>
      <c r="J10" s="1">
        <v>0.56000000000000005</v>
      </c>
      <c r="K10" s="1">
        <v>0.48</v>
      </c>
      <c r="L10" s="1">
        <v>0.45</v>
      </c>
      <c r="M10" s="1">
        <v>0.47</v>
      </c>
      <c r="N10" s="1">
        <v>0.52</v>
      </c>
      <c r="O10" s="1">
        <v>0.5</v>
      </c>
      <c r="P10" s="1">
        <v>0.54</v>
      </c>
      <c r="Q10" s="1">
        <v>0.59</v>
      </c>
      <c r="R10" s="1">
        <v>0.53</v>
      </c>
      <c r="S10" s="1">
        <f t="shared" si="0"/>
        <v>0.59</v>
      </c>
    </row>
    <row r="11" spans="1:19" ht="25" customHeight="1">
      <c r="A11" t="s">
        <v>25</v>
      </c>
      <c r="B11">
        <v>2</v>
      </c>
      <c r="C11" t="s">
        <v>30</v>
      </c>
      <c r="D11" t="b">
        <v>0</v>
      </c>
      <c r="E11">
        <v>1</v>
      </c>
      <c r="F11" t="s">
        <v>27</v>
      </c>
      <c r="G11" s="1">
        <v>0.48</v>
      </c>
      <c r="H11" s="1">
        <v>0.48</v>
      </c>
      <c r="I11" s="1">
        <v>0.48</v>
      </c>
      <c r="J11" s="1">
        <v>0.5</v>
      </c>
      <c r="K11" s="1">
        <v>0.45</v>
      </c>
      <c r="L11" s="1">
        <v>0.44</v>
      </c>
      <c r="M11" s="1">
        <v>0.55000000000000004</v>
      </c>
      <c r="N11" s="1">
        <v>0.5</v>
      </c>
      <c r="O11" s="1">
        <v>0.5</v>
      </c>
      <c r="P11" s="1">
        <v>0.44</v>
      </c>
      <c r="Q11" s="1">
        <v>0.51</v>
      </c>
      <c r="R11" s="1">
        <v>0.55000000000000004</v>
      </c>
      <c r="S11" s="1">
        <f t="shared" si="0"/>
        <v>0.55000000000000004</v>
      </c>
    </row>
    <row r="12" spans="1:19" ht="25" customHeight="1">
      <c r="A12" t="s">
        <v>25</v>
      </c>
      <c r="B12">
        <v>2</v>
      </c>
      <c r="C12" t="s">
        <v>30</v>
      </c>
      <c r="D12" t="b">
        <v>0</v>
      </c>
      <c r="E12">
        <v>2</v>
      </c>
      <c r="F12" t="s">
        <v>28</v>
      </c>
      <c r="G12" s="1">
        <v>0.57999999999999996</v>
      </c>
      <c r="H12" s="1">
        <v>0.53</v>
      </c>
      <c r="I12" s="1">
        <v>0.53</v>
      </c>
      <c r="J12" s="1">
        <v>0.57999999999999996</v>
      </c>
      <c r="K12" s="1">
        <v>0.55000000000000004</v>
      </c>
      <c r="L12" s="1">
        <v>0.55000000000000004</v>
      </c>
      <c r="M12" s="1">
        <v>0.56000000000000005</v>
      </c>
      <c r="N12" s="1">
        <v>0.54</v>
      </c>
      <c r="O12" s="1">
        <v>0.55000000000000004</v>
      </c>
      <c r="P12" s="1">
        <v>0.56999999999999995</v>
      </c>
      <c r="Q12" s="1">
        <v>0.6</v>
      </c>
      <c r="R12" s="1">
        <v>0.55000000000000004</v>
      </c>
      <c r="S12" s="1">
        <f t="shared" si="0"/>
        <v>0.6</v>
      </c>
    </row>
    <row r="13" spans="1:19" ht="25" customHeight="1">
      <c r="A13" t="s">
        <v>25</v>
      </c>
      <c r="B13">
        <v>2</v>
      </c>
      <c r="C13" t="s">
        <v>30</v>
      </c>
      <c r="D13" t="b">
        <v>0</v>
      </c>
      <c r="E13">
        <v>3</v>
      </c>
      <c r="F13" t="s">
        <v>29</v>
      </c>
      <c r="G13" s="1">
        <v>0.52</v>
      </c>
      <c r="H13" s="1">
        <v>0.47</v>
      </c>
      <c r="I13" s="1">
        <v>0.61</v>
      </c>
      <c r="J13" s="1">
        <v>0.45</v>
      </c>
      <c r="K13" s="1">
        <v>0.52</v>
      </c>
      <c r="L13" s="1">
        <v>0.55000000000000004</v>
      </c>
      <c r="M13" s="1">
        <v>0.5</v>
      </c>
      <c r="N13" s="1">
        <v>0.46</v>
      </c>
      <c r="O13" s="1">
        <v>0.51</v>
      </c>
      <c r="P13" s="1">
        <v>0.43</v>
      </c>
      <c r="Q13" s="1">
        <v>0.46</v>
      </c>
      <c r="R13" s="1">
        <v>0.5</v>
      </c>
      <c r="S13" s="1">
        <f t="shared" si="0"/>
        <v>0.61</v>
      </c>
    </row>
    <row r="14" spans="1:19" ht="25" customHeight="1">
      <c r="A14" t="s">
        <v>25</v>
      </c>
      <c r="B14">
        <v>3</v>
      </c>
      <c r="C14" t="s">
        <v>31</v>
      </c>
      <c r="D14" t="b">
        <v>1</v>
      </c>
      <c r="E14">
        <v>3</v>
      </c>
      <c r="F14" t="s">
        <v>29</v>
      </c>
      <c r="G14" s="1">
        <v>0.28000000000000003</v>
      </c>
      <c r="H14" s="1">
        <v>0.33</v>
      </c>
      <c r="I14" s="1">
        <v>0.23</v>
      </c>
      <c r="J14" s="1">
        <v>0.47</v>
      </c>
      <c r="K14" s="1">
        <v>0.35</v>
      </c>
      <c r="L14" s="1">
        <v>0.32</v>
      </c>
      <c r="M14" s="1">
        <v>0.26</v>
      </c>
      <c r="N14" s="1">
        <v>0.43</v>
      </c>
      <c r="O14" s="1">
        <v>0.31</v>
      </c>
      <c r="P14" s="1">
        <v>0.42</v>
      </c>
      <c r="Q14" s="1">
        <v>0.32</v>
      </c>
      <c r="R14" s="1">
        <v>0.24</v>
      </c>
      <c r="S14" s="1">
        <f t="shared" si="0"/>
        <v>0.47</v>
      </c>
    </row>
    <row r="15" spans="1:19" ht="25" customHeight="1">
      <c r="A15" t="s">
        <v>25</v>
      </c>
      <c r="B15">
        <v>3</v>
      </c>
      <c r="C15" t="s">
        <v>31</v>
      </c>
      <c r="D15" t="b">
        <v>1</v>
      </c>
      <c r="E15">
        <v>1</v>
      </c>
      <c r="F15" t="s">
        <v>27</v>
      </c>
      <c r="G15" s="1">
        <v>0.33</v>
      </c>
      <c r="H15" s="1">
        <v>0.35</v>
      </c>
      <c r="I15" s="1">
        <v>0.32</v>
      </c>
      <c r="J15" s="1">
        <v>0.37</v>
      </c>
      <c r="K15" s="1">
        <v>0.25</v>
      </c>
      <c r="L15" s="1">
        <v>0.33</v>
      </c>
      <c r="M15" s="1">
        <v>0.35</v>
      </c>
      <c r="N15" s="1">
        <v>0.41</v>
      </c>
      <c r="O15" s="1">
        <v>0.28000000000000003</v>
      </c>
      <c r="P15" s="1">
        <v>0.4</v>
      </c>
      <c r="Q15" s="1">
        <v>0.37</v>
      </c>
      <c r="R15" s="1">
        <v>0.33</v>
      </c>
      <c r="S15" s="1">
        <f t="shared" si="0"/>
        <v>0.41</v>
      </c>
    </row>
    <row r="16" spans="1:19" ht="25" customHeight="1">
      <c r="A16" t="s">
        <v>25</v>
      </c>
      <c r="B16">
        <v>3</v>
      </c>
      <c r="C16" t="s">
        <v>31</v>
      </c>
      <c r="D16" t="b">
        <v>1</v>
      </c>
      <c r="E16">
        <v>2</v>
      </c>
      <c r="F16" t="s">
        <v>28</v>
      </c>
      <c r="G16" s="1">
        <v>0.37</v>
      </c>
      <c r="H16" s="1">
        <v>0.35</v>
      </c>
      <c r="I16" s="1">
        <v>0.38</v>
      </c>
      <c r="J16" s="1">
        <v>0.42</v>
      </c>
      <c r="K16" s="1">
        <v>0.31</v>
      </c>
      <c r="L16" s="1">
        <v>0.33</v>
      </c>
      <c r="M16" s="1">
        <v>0.3</v>
      </c>
      <c r="N16" s="1">
        <v>0.43</v>
      </c>
      <c r="O16" s="1">
        <v>0.32</v>
      </c>
      <c r="P16" s="1">
        <v>0.47</v>
      </c>
      <c r="Q16" s="1">
        <v>0.46</v>
      </c>
      <c r="R16" s="1">
        <v>0.38</v>
      </c>
      <c r="S16" s="1">
        <f t="shared" si="0"/>
        <v>0.47</v>
      </c>
    </row>
    <row r="17" spans="1:19" ht="25" customHeight="1">
      <c r="A17" t="s">
        <v>25</v>
      </c>
      <c r="B17">
        <v>3</v>
      </c>
      <c r="C17" t="s">
        <v>31</v>
      </c>
      <c r="D17" t="b">
        <v>0</v>
      </c>
      <c r="E17">
        <v>2</v>
      </c>
      <c r="F17" t="s">
        <v>28</v>
      </c>
      <c r="G17" s="1">
        <v>0.36</v>
      </c>
      <c r="H17" s="1">
        <v>0.42</v>
      </c>
      <c r="I17" s="1">
        <v>0.28000000000000003</v>
      </c>
      <c r="J17" s="1">
        <v>0.42</v>
      </c>
      <c r="K17" s="1">
        <v>0.33</v>
      </c>
      <c r="L17" s="1">
        <v>0.37</v>
      </c>
      <c r="M17" s="1">
        <v>0.33</v>
      </c>
      <c r="N17" s="1">
        <v>0.44</v>
      </c>
      <c r="O17" s="1">
        <v>0.28999999999999998</v>
      </c>
      <c r="P17" s="1">
        <v>0.43</v>
      </c>
      <c r="Q17" s="1">
        <v>0.44</v>
      </c>
      <c r="R17" s="1">
        <v>0.37</v>
      </c>
      <c r="S17" s="1">
        <f t="shared" si="0"/>
        <v>0.44</v>
      </c>
    </row>
    <row r="18" spans="1:19" ht="25" customHeight="1">
      <c r="A18" t="s">
        <v>25</v>
      </c>
      <c r="B18">
        <v>3</v>
      </c>
      <c r="C18" t="s">
        <v>31</v>
      </c>
      <c r="D18" t="b">
        <v>0</v>
      </c>
      <c r="E18">
        <v>1</v>
      </c>
      <c r="F18" t="s">
        <v>27</v>
      </c>
      <c r="G18" s="1">
        <v>0.33</v>
      </c>
      <c r="H18" s="1">
        <v>0.38</v>
      </c>
      <c r="I18" s="1">
        <v>0.37</v>
      </c>
      <c r="J18" s="1">
        <v>0.33</v>
      </c>
      <c r="K18" s="1">
        <v>0.31</v>
      </c>
      <c r="L18" s="1">
        <v>0.33</v>
      </c>
      <c r="M18" s="1">
        <v>0.38</v>
      </c>
      <c r="N18" s="1">
        <v>0.4</v>
      </c>
      <c r="O18" s="1">
        <v>0.32</v>
      </c>
      <c r="P18" s="1">
        <v>0.35</v>
      </c>
      <c r="Q18" s="1">
        <v>0.39</v>
      </c>
      <c r="R18" s="1">
        <v>0.27</v>
      </c>
      <c r="S18" s="1">
        <f t="shared" si="0"/>
        <v>0.4</v>
      </c>
    </row>
    <row r="19" spans="1:19" ht="25" customHeight="1">
      <c r="A19" t="s">
        <v>25</v>
      </c>
      <c r="B19">
        <v>3</v>
      </c>
      <c r="C19" t="s">
        <v>31</v>
      </c>
      <c r="D19" t="b">
        <v>0</v>
      </c>
      <c r="E19">
        <v>3</v>
      </c>
      <c r="F19" t="s">
        <v>29</v>
      </c>
      <c r="G19" s="1">
        <v>0.32</v>
      </c>
      <c r="H19" s="1">
        <v>0.32</v>
      </c>
      <c r="I19" s="1">
        <v>0.24</v>
      </c>
      <c r="J19" s="1">
        <v>0.43</v>
      </c>
      <c r="K19" s="1">
        <v>0.37</v>
      </c>
      <c r="L19" s="1">
        <v>0.36</v>
      </c>
      <c r="M19" s="1">
        <v>0.31</v>
      </c>
      <c r="N19" s="1">
        <v>0.45</v>
      </c>
      <c r="O19" s="1">
        <v>0.27</v>
      </c>
      <c r="P19" s="1">
        <v>0.35</v>
      </c>
      <c r="Q19" s="1">
        <v>0.38</v>
      </c>
      <c r="R19" s="1">
        <v>0.21</v>
      </c>
      <c r="S19" s="1">
        <f t="shared" si="0"/>
        <v>0.45</v>
      </c>
    </row>
    <row r="22" spans="1:19" ht="25" customHeight="1">
      <c r="B22" t="s">
        <v>1</v>
      </c>
      <c r="C22" t="s">
        <v>2</v>
      </c>
      <c r="D22" t="s">
        <v>32</v>
      </c>
      <c r="E22" t="s">
        <v>4</v>
      </c>
      <c r="F22" t="s">
        <v>33</v>
      </c>
      <c r="G22" t="s">
        <v>6</v>
      </c>
      <c r="H22" t="s">
        <v>7</v>
      </c>
      <c r="I22" t="s">
        <v>8</v>
      </c>
      <c r="J22" t="s">
        <v>12</v>
      </c>
      <c r="K22" t="s">
        <v>13</v>
      </c>
      <c r="L22" t="s">
        <v>14</v>
      </c>
      <c r="M22" t="s">
        <v>15</v>
      </c>
      <c r="N22" t="s">
        <v>16</v>
      </c>
      <c r="O22" t="s">
        <v>17</v>
      </c>
      <c r="P22" t="s">
        <v>21</v>
      </c>
      <c r="Q22" t="s">
        <v>22</v>
      </c>
      <c r="R22" t="s">
        <v>23</v>
      </c>
      <c r="S22" t="s">
        <v>24</v>
      </c>
    </row>
    <row r="23" spans="1:19" ht="25" customHeight="1">
      <c r="B23">
        <v>1</v>
      </c>
      <c r="C23" t="s">
        <v>26</v>
      </c>
      <c r="D23" t="b">
        <v>1</v>
      </c>
      <c r="E23">
        <v>0</v>
      </c>
      <c r="F23" t="s">
        <v>24</v>
      </c>
      <c r="G23" s="1" cm="1">
        <f t="array" ref="G23">_xlfn.LET(_xlpm.d,G$2:G$19,_xlpm.a,$C$2:$C$19=$C23,_xlpm.b,$D$2:$D$19=$D23,MAX(_xlfn._xlws.FILTER(_xlpm.d,_xlpm.a*_xlpm.b)))</f>
        <v>0.84</v>
      </c>
      <c r="H23" s="1" cm="1">
        <f t="array" ref="H23">_xlfn.LET(_xlpm.d,H$2:H$19,_xlpm.a,$C$2:$C$19=$C23,_xlpm.b,$D$2:$D$19=$D23,MAX(_xlfn._xlws.FILTER(_xlpm.d,_xlpm.a*_xlpm.b)))</f>
        <v>0.87</v>
      </c>
      <c r="I23" s="1" cm="1">
        <f t="array" ref="I23">_xlfn.LET(_xlpm.d,I$2:I$19,_xlpm.a,$C$2:$C$19=$C23,_xlpm.b,$D$2:$D$19=$D23,MAX(_xlfn._xlws.FILTER(_xlpm.d,_xlpm.a*_xlpm.b)))</f>
        <v>0.83</v>
      </c>
      <c r="J23" s="1" cm="1">
        <f t="array" ref="J23">_xlfn.LET(_xlpm.d,J$2:J$19,_xlpm.a,$C$2:$C$19=$C23,_xlpm.b,$D$2:$D$19=$D23,MAX(_xlfn._xlws.FILTER(_xlpm.d,_xlpm.a*_xlpm.b)))</f>
        <v>0.78</v>
      </c>
      <c r="K23" s="1" cm="1">
        <f t="array" ref="K23">_xlfn.LET(_xlpm.d,K$2:K$19,_xlpm.a,$C$2:$C$19=$C23,_xlpm.b,$D$2:$D$19=$D23,MAX(_xlfn._xlws.FILTER(_xlpm.d,_xlpm.a*_xlpm.b)))</f>
        <v>0.82</v>
      </c>
      <c r="L23" s="1" cm="1">
        <f t="array" ref="L23">_xlfn.LET(_xlpm.d,L$2:L$19,_xlpm.a,$C$2:$C$19=$C23,_xlpm.b,$D$2:$D$19=$D23,MAX(_xlfn._xlws.FILTER(_xlpm.d,_xlpm.a*_xlpm.b)))</f>
        <v>0.85</v>
      </c>
      <c r="M23" s="1" cm="1">
        <f t="array" ref="M23">_xlfn.LET(_xlpm.d,M$2:M$19,_xlpm.a,$C$2:$C$19=$C23,_xlpm.b,$D$2:$D$19=$D23,MAX(_xlfn._xlws.FILTER(_xlpm.d,_xlpm.a*_xlpm.b)))</f>
        <v>0.82</v>
      </c>
      <c r="N23" s="1" cm="1">
        <f t="array" ref="N23">_xlfn.LET(_xlpm.d,N$2:N$19,_xlpm.a,$C$2:$C$19=$C23,_xlpm.b,$D$2:$D$19=$D23,MAX(_xlfn._xlws.FILTER(_xlpm.d,_xlpm.a*_xlpm.b)))</f>
        <v>0.85</v>
      </c>
      <c r="O23" s="1" cm="1">
        <f t="array" ref="O23">_xlfn.LET(_xlpm.d,O$2:O$19,_xlpm.a,$C$2:$C$19=$C23,_xlpm.b,$D$2:$D$19=$D23,MAX(_xlfn._xlws.FILTER(_xlpm.d,_xlpm.a*_xlpm.b)))</f>
        <v>0.88</v>
      </c>
      <c r="P23" s="1" cm="1">
        <f t="array" ref="P23">_xlfn.LET(_xlpm.d,P$2:P$19,_xlpm.a,$C$2:$C$19=$C23,_xlpm.b,$D$2:$D$19=$D23,MAX(_xlfn._xlws.FILTER(_xlpm.d,_xlpm.a*_xlpm.b)))</f>
        <v>0.82</v>
      </c>
      <c r="Q23" s="1" cm="1">
        <f t="array" ref="Q23">_xlfn.LET(_xlpm.d,Q$2:Q$19,_xlpm.a,$C$2:$C$19=$C23,_xlpm.b,$D$2:$D$19=$D23,MAX(_xlfn._xlws.FILTER(_xlpm.d,_xlpm.a*_xlpm.b)))</f>
        <v>0.81</v>
      </c>
      <c r="R23" s="1" cm="1">
        <f t="array" ref="R23">_xlfn.LET(_xlpm.d,R$2:R$19,_xlpm.a,$C$2:$C$19=$C23,_xlpm.b,$D$2:$D$19=$D23,MAX(_xlfn._xlws.FILTER(_xlpm.d,_xlpm.a*_xlpm.b)))</f>
        <v>0.84</v>
      </c>
      <c r="S23" s="1" cm="1">
        <f t="array" ref="S23">_xlfn.LET(_xlpm.d,S$2:S$19,_xlpm.a,$C$2:$C$19=$C23,_xlpm.b,$D$2:$D$19=$D23,MAX(_xlfn._xlws.FILTER(_xlpm.d,_xlpm.a*_xlpm.b)))</f>
        <v>0.88</v>
      </c>
    </row>
    <row r="24" spans="1:19" ht="25" customHeight="1">
      <c r="B24">
        <v>1</v>
      </c>
      <c r="C24" t="s">
        <v>26</v>
      </c>
      <c r="D24" t="b">
        <v>0</v>
      </c>
      <c r="E24">
        <v>0</v>
      </c>
      <c r="F24" t="s">
        <v>24</v>
      </c>
      <c r="G24" s="1" cm="1">
        <f t="array" ref="G24">_xlfn.LET(_xlpm.d,G$2:G$19,_xlpm.a,$C$2:$C$19=$C24,_xlpm.b,$D$2:$D$19=$D24,MAX(_xlfn._xlws.FILTER(_xlpm.d,_xlpm.a*_xlpm.b)))</f>
        <v>0.82</v>
      </c>
      <c r="H24" s="1" cm="1">
        <f t="array" ref="H24">_xlfn.LET(_xlpm.d,H$2:H$19,_xlpm.a,$C$2:$C$19=$C24,_xlpm.b,$D$2:$D$19=$D24,MAX(_xlfn._xlws.FILTER(_xlpm.d,_xlpm.a*_xlpm.b)))</f>
        <v>0.82</v>
      </c>
      <c r="I24" s="1" cm="1">
        <f t="array" ref="I24">_xlfn.LET(_xlpm.d,I$2:I$19,_xlpm.a,$C$2:$C$19=$C24,_xlpm.b,$D$2:$D$19=$D24,MAX(_xlfn._xlws.FILTER(_xlpm.d,_xlpm.a*_xlpm.b)))</f>
        <v>0.8</v>
      </c>
      <c r="J24" s="1" cm="1">
        <f t="array" ref="J24">_xlfn.LET(_xlpm.d,J$2:J$19,_xlpm.a,$C$2:$C$19=$C24,_xlpm.b,$D$2:$D$19=$D24,MAX(_xlfn._xlws.FILTER(_xlpm.d,_xlpm.a*_xlpm.b)))</f>
        <v>0.75</v>
      </c>
      <c r="K24" s="1" cm="1">
        <f t="array" ref="K24">_xlfn.LET(_xlpm.d,K$2:K$19,_xlpm.a,$C$2:$C$19=$C24,_xlpm.b,$D$2:$D$19=$D24,MAX(_xlfn._xlws.FILTER(_xlpm.d,_xlpm.a*_xlpm.b)))</f>
        <v>0.79</v>
      </c>
      <c r="L24" s="1" cm="1">
        <f t="array" ref="L24">_xlfn.LET(_xlpm.d,L$2:L$19,_xlpm.a,$C$2:$C$19=$C24,_xlpm.b,$D$2:$D$19=$D24,MAX(_xlfn._xlws.FILTER(_xlpm.d,_xlpm.a*_xlpm.b)))</f>
        <v>0.84</v>
      </c>
      <c r="M24" s="1" cm="1">
        <f t="array" ref="M24">_xlfn.LET(_xlpm.d,M$2:M$19,_xlpm.a,$C$2:$C$19=$C24,_xlpm.b,$D$2:$D$19=$D24,MAX(_xlfn._xlws.FILTER(_xlpm.d,_xlpm.a*_xlpm.b)))</f>
        <v>0.74</v>
      </c>
      <c r="N24" s="1" cm="1">
        <f t="array" ref="N24">_xlfn.LET(_xlpm.d,N$2:N$19,_xlpm.a,$C$2:$C$19=$C24,_xlpm.b,$D$2:$D$19=$D24,MAX(_xlfn._xlws.FILTER(_xlpm.d,_xlpm.a*_xlpm.b)))</f>
        <v>0.82</v>
      </c>
      <c r="O24" s="1" cm="1">
        <f t="array" ref="O24">_xlfn.LET(_xlpm.d,O$2:O$19,_xlpm.a,$C$2:$C$19=$C24,_xlpm.b,$D$2:$D$19=$D24,MAX(_xlfn._xlws.FILTER(_xlpm.d,_xlpm.a*_xlpm.b)))</f>
        <v>0.88</v>
      </c>
      <c r="P24" s="1" cm="1">
        <f t="array" ref="P24">_xlfn.LET(_xlpm.d,P$2:P$19,_xlpm.a,$C$2:$C$19=$C24,_xlpm.b,$D$2:$D$19=$D24,MAX(_xlfn._xlws.FILTER(_xlpm.d,_xlpm.a*_xlpm.b)))</f>
        <v>0.82</v>
      </c>
      <c r="Q24" s="1" cm="1">
        <f t="array" ref="Q24">_xlfn.LET(_xlpm.d,Q$2:Q$19,_xlpm.a,$C$2:$C$19=$C24,_xlpm.b,$D$2:$D$19=$D24,MAX(_xlfn._xlws.FILTER(_xlpm.d,_xlpm.a*_xlpm.b)))</f>
        <v>0.83</v>
      </c>
      <c r="R24" s="1" cm="1">
        <f t="array" ref="R24">_xlfn.LET(_xlpm.d,R$2:R$19,_xlpm.a,$C$2:$C$19=$C24,_xlpm.b,$D$2:$D$19=$D24,MAX(_xlfn._xlws.FILTER(_xlpm.d,_xlpm.a*_xlpm.b)))</f>
        <v>0.82</v>
      </c>
      <c r="S24" s="1" cm="1">
        <f t="array" ref="S24">_xlfn.LET(_xlpm.d,S$2:S$19,_xlpm.a,$C$2:$C$19=$C24,_xlpm.b,$D$2:$D$19=$D24,MAX(_xlfn._xlws.FILTER(_xlpm.d,_xlpm.a*_xlpm.b)))</f>
        <v>0.88</v>
      </c>
    </row>
    <row r="25" spans="1:19" ht="25" customHeight="1">
      <c r="B25">
        <v>2</v>
      </c>
      <c r="C25" t="s">
        <v>30</v>
      </c>
      <c r="D25" t="b">
        <v>1</v>
      </c>
      <c r="E25">
        <v>0</v>
      </c>
      <c r="F25" t="s">
        <v>24</v>
      </c>
      <c r="G25" s="1" cm="1">
        <f t="array" ref="G25">_xlfn.LET(_xlpm.d,G$2:G$19,_xlpm.a,$C$2:$C$19=$C25,_xlpm.b,$D$2:$D$19=$D25,MAX(_xlfn._xlws.FILTER(_xlpm.d,_xlpm.a*_xlpm.b)))</f>
        <v>0.56999999999999995</v>
      </c>
      <c r="H25" s="1" cm="1">
        <f t="array" ref="H25">_xlfn.LET(_xlpm.d,H$2:H$19,_xlpm.a,$C$2:$C$19=$C25,_xlpm.b,$D$2:$D$19=$D25,MAX(_xlfn._xlws.FILTER(_xlpm.d,_xlpm.a*_xlpm.b)))</f>
        <v>0.54</v>
      </c>
      <c r="I25" s="1" cm="1">
        <f t="array" ref="I25">_xlfn.LET(_xlpm.d,I$2:I$19,_xlpm.a,$C$2:$C$19=$C25,_xlpm.b,$D$2:$D$19=$D25,MAX(_xlfn._xlws.FILTER(_xlpm.d,_xlpm.a*_xlpm.b)))</f>
        <v>0.56999999999999995</v>
      </c>
      <c r="J25" s="1" cm="1">
        <f t="array" ref="J25">_xlfn.LET(_xlpm.d,J$2:J$19,_xlpm.a,$C$2:$C$19=$C25,_xlpm.b,$D$2:$D$19=$D25,MAX(_xlfn._xlws.FILTER(_xlpm.d,_xlpm.a*_xlpm.b)))</f>
        <v>0.61</v>
      </c>
      <c r="K25" s="1" cm="1">
        <f t="array" ref="K25">_xlfn.LET(_xlpm.d,K$2:K$19,_xlpm.a,$C$2:$C$19=$C25,_xlpm.b,$D$2:$D$19=$D25,MAX(_xlfn._xlws.FILTER(_xlpm.d,_xlpm.a*_xlpm.b)))</f>
        <v>0.55000000000000004</v>
      </c>
      <c r="L25" s="1" cm="1">
        <f t="array" ref="L25">_xlfn.LET(_xlpm.d,L$2:L$19,_xlpm.a,$C$2:$C$19=$C25,_xlpm.b,$D$2:$D$19=$D25,MAX(_xlfn._xlws.FILTER(_xlpm.d,_xlpm.a*_xlpm.b)))</f>
        <v>0.55000000000000004</v>
      </c>
      <c r="M25" s="1" cm="1">
        <f t="array" ref="M25">_xlfn.LET(_xlpm.d,M$2:M$19,_xlpm.a,$C$2:$C$19=$C25,_xlpm.b,$D$2:$D$19=$D25,MAX(_xlfn._xlws.FILTER(_xlpm.d,_xlpm.a*_xlpm.b)))</f>
        <v>0.56000000000000005</v>
      </c>
      <c r="N25" s="1" cm="1">
        <f t="array" ref="N25">_xlfn.LET(_xlpm.d,N$2:N$19,_xlpm.a,$C$2:$C$19=$C25,_xlpm.b,$D$2:$D$19=$D25,MAX(_xlfn._xlws.FILTER(_xlpm.d,_xlpm.a*_xlpm.b)))</f>
        <v>0.54</v>
      </c>
      <c r="O25" s="1" cm="1">
        <f t="array" ref="O25">_xlfn.LET(_xlpm.d,O$2:O$19,_xlpm.a,$C$2:$C$19=$C25,_xlpm.b,$D$2:$D$19=$D25,MAX(_xlfn._xlws.FILTER(_xlpm.d,_xlpm.a*_xlpm.b)))</f>
        <v>0.61</v>
      </c>
      <c r="P25" s="1" cm="1">
        <f t="array" ref="P25">_xlfn.LET(_xlpm.d,P$2:P$19,_xlpm.a,$C$2:$C$19=$C25,_xlpm.b,$D$2:$D$19=$D25,MAX(_xlfn._xlws.FILTER(_xlpm.d,_xlpm.a*_xlpm.b)))</f>
        <v>0.56000000000000005</v>
      </c>
      <c r="Q25" s="1" cm="1">
        <f t="array" ref="Q25">_xlfn.LET(_xlpm.d,Q$2:Q$19,_xlpm.a,$C$2:$C$19=$C25,_xlpm.b,$D$2:$D$19=$D25,MAX(_xlfn._xlws.FILTER(_xlpm.d,_xlpm.a*_xlpm.b)))</f>
        <v>0.61</v>
      </c>
      <c r="R25" s="1" cm="1">
        <f t="array" ref="R25">_xlfn.LET(_xlpm.d,R$2:R$19,_xlpm.a,$C$2:$C$19=$C25,_xlpm.b,$D$2:$D$19=$D25,MAX(_xlfn._xlws.FILTER(_xlpm.d,_xlpm.a*_xlpm.b)))</f>
        <v>0.57999999999999996</v>
      </c>
      <c r="S25" s="1" cm="1">
        <f t="array" ref="S25">_xlfn.LET(_xlpm.d,S$2:S$19,_xlpm.a,$C$2:$C$19=$C25,_xlpm.b,$D$2:$D$19=$D25,MAX(_xlfn._xlws.FILTER(_xlpm.d,_xlpm.a*_xlpm.b)))</f>
        <v>0.61</v>
      </c>
    </row>
    <row r="26" spans="1:19" ht="25" customHeight="1">
      <c r="B26">
        <v>2</v>
      </c>
      <c r="C26" t="s">
        <v>30</v>
      </c>
      <c r="D26" t="b">
        <v>0</v>
      </c>
      <c r="E26">
        <v>0</v>
      </c>
      <c r="F26" t="s">
        <v>24</v>
      </c>
      <c r="G26" s="1" cm="1">
        <f t="array" ref="G26">_xlfn.LET(_xlpm.d,G$2:G$19,_xlpm.a,$C$2:$C$19=$C26,_xlpm.b,$D$2:$D$19=$D26,MAX(_xlfn._xlws.FILTER(_xlpm.d,_xlpm.a*_xlpm.b)))</f>
        <v>0.57999999999999996</v>
      </c>
      <c r="H26" s="1" cm="1">
        <f t="array" ref="H26">_xlfn.LET(_xlpm.d,H$2:H$19,_xlpm.a,$C$2:$C$19=$C26,_xlpm.b,$D$2:$D$19=$D26,MAX(_xlfn._xlws.FILTER(_xlpm.d,_xlpm.a*_xlpm.b)))</f>
        <v>0.53</v>
      </c>
      <c r="I26" s="1" cm="1">
        <f t="array" ref="I26">_xlfn.LET(_xlpm.d,I$2:I$19,_xlpm.a,$C$2:$C$19=$C26,_xlpm.b,$D$2:$D$19=$D26,MAX(_xlfn._xlws.FILTER(_xlpm.d,_xlpm.a*_xlpm.b)))</f>
        <v>0.61</v>
      </c>
      <c r="J26" s="1" cm="1">
        <f t="array" ref="J26">_xlfn.LET(_xlpm.d,J$2:J$19,_xlpm.a,$C$2:$C$19=$C26,_xlpm.b,$D$2:$D$19=$D26,MAX(_xlfn._xlws.FILTER(_xlpm.d,_xlpm.a*_xlpm.b)))</f>
        <v>0.57999999999999996</v>
      </c>
      <c r="K26" s="1" cm="1">
        <f t="array" ref="K26">_xlfn.LET(_xlpm.d,K$2:K$19,_xlpm.a,$C$2:$C$19=$C26,_xlpm.b,$D$2:$D$19=$D26,MAX(_xlfn._xlws.FILTER(_xlpm.d,_xlpm.a*_xlpm.b)))</f>
        <v>0.55000000000000004</v>
      </c>
      <c r="L26" s="1" cm="1">
        <f t="array" ref="L26">_xlfn.LET(_xlpm.d,L$2:L$19,_xlpm.a,$C$2:$C$19=$C26,_xlpm.b,$D$2:$D$19=$D26,MAX(_xlfn._xlws.FILTER(_xlpm.d,_xlpm.a*_xlpm.b)))</f>
        <v>0.55000000000000004</v>
      </c>
      <c r="M26" s="1" cm="1">
        <f t="array" ref="M26">_xlfn.LET(_xlpm.d,M$2:M$19,_xlpm.a,$C$2:$C$19=$C26,_xlpm.b,$D$2:$D$19=$D26,MAX(_xlfn._xlws.FILTER(_xlpm.d,_xlpm.a*_xlpm.b)))</f>
        <v>0.56000000000000005</v>
      </c>
      <c r="N26" s="1" cm="1">
        <f t="array" ref="N26">_xlfn.LET(_xlpm.d,N$2:N$19,_xlpm.a,$C$2:$C$19=$C26,_xlpm.b,$D$2:$D$19=$D26,MAX(_xlfn._xlws.FILTER(_xlpm.d,_xlpm.a*_xlpm.b)))</f>
        <v>0.54</v>
      </c>
      <c r="O26" s="1" cm="1">
        <f t="array" ref="O26">_xlfn.LET(_xlpm.d,O$2:O$19,_xlpm.a,$C$2:$C$19=$C26,_xlpm.b,$D$2:$D$19=$D26,MAX(_xlfn._xlws.FILTER(_xlpm.d,_xlpm.a*_xlpm.b)))</f>
        <v>0.55000000000000004</v>
      </c>
      <c r="P26" s="1" cm="1">
        <f t="array" ref="P26">_xlfn.LET(_xlpm.d,P$2:P$19,_xlpm.a,$C$2:$C$19=$C26,_xlpm.b,$D$2:$D$19=$D26,MAX(_xlfn._xlws.FILTER(_xlpm.d,_xlpm.a*_xlpm.b)))</f>
        <v>0.56999999999999995</v>
      </c>
      <c r="Q26" s="1" cm="1">
        <f t="array" ref="Q26">_xlfn.LET(_xlpm.d,Q$2:Q$19,_xlpm.a,$C$2:$C$19=$C26,_xlpm.b,$D$2:$D$19=$D26,MAX(_xlfn._xlws.FILTER(_xlpm.d,_xlpm.a*_xlpm.b)))</f>
        <v>0.6</v>
      </c>
      <c r="R26" s="1" cm="1">
        <f t="array" ref="R26">_xlfn.LET(_xlpm.d,R$2:R$19,_xlpm.a,$C$2:$C$19=$C26,_xlpm.b,$D$2:$D$19=$D26,MAX(_xlfn._xlws.FILTER(_xlpm.d,_xlpm.a*_xlpm.b)))</f>
        <v>0.55000000000000004</v>
      </c>
      <c r="S26" s="1" cm="1">
        <f t="array" ref="S26">_xlfn.LET(_xlpm.d,S$2:S$19,_xlpm.a,$C$2:$C$19=$C26,_xlpm.b,$D$2:$D$19=$D26,MAX(_xlfn._xlws.FILTER(_xlpm.d,_xlpm.a*_xlpm.b)))</f>
        <v>0.61</v>
      </c>
    </row>
    <row r="27" spans="1:19" ht="25" customHeight="1">
      <c r="B27">
        <v>3</v>
      </c>
      <c r="C27" t="s">
        <v>31</v>
      </c>
      <c r="D27" t="b">
        <v>1</v>
      </c>
      <c r="E27">
        <v>0</v>
      </c>
      <c r="F27" t="s">
        <v>24</v>
      </c>
      <c r="G27" s="1" cm="1">
        <f t="array" ref="G27">_xlfn.LET(_xlpm.d,G$2:G$19,_xlpm.a,$C$2:$C$19=$C27,_xlpm.b,$D$2:$D$19=$D27,MAX(_xlfn._xlws.FILTER(_xlpm.d,_xlpm.a*_xlpm.b)))</f>
        <v>0.37</v>
      </c>
      <c r="H27" s="1" cm="1">
        <f t="array" ref="H27">_xlfn.LET(_xlpm.d,H$2:H$19,_xlpm.a,$C$2:$C$19=$C27,_xlpm.b,$D$2:$D$19=$D27,MAX(_xlfn._xlws.FILTER(_xlpm.d,_xlpm.a*_xlpm.b)))</f>
        <v>0.35</v>
      </c>
      <c r="I27" s="1" cm="1">
        <f t="array" ref="I27">_xlfn.LET(_xlpm.d,I$2:I$19,_xlpm.a,$C$2:$C$19=$C27,_xlpm.b,$D$2:$D$19=$D27,MAX(_xlfn._xlws.FILTER(_xlpm.d,_xlpm.a*_xlpm.b)))</f>
        <v>0.38</v>
      </c>
      <c r="J27" s="1" cm="1">
        <f t="array" ref="J27">_xlfn.LET(_xlpm.d,J$2:J$19,_xlpm.a,$C$2:$C$19=$C27,_xlpm.b,$D$2:$D$19=$D27,MAX(_xlfn._xlws.FILTER(_xlpm.d,_xlpm.a*_xlpm.b)))</f>
        <v>0.47</v>
      </c>
      <c r="K27" s="1" cm="1">
        <f t="array" ref="K27">_xlfn.LET(_xlpm.d,K$2:K$19,_xlpm.a,$C$2:$C$19=$C27,_xlpm.b,$D$2:$D$19=$D27,MAX(_xlfn._xlws.FILTER(_xlpm.d,_xlpm.a*_xlpm.b)))</f>
        <v>0.35</v>
      </c>
      <c r="L27" s="1" cm="1">
        <f t="array" ref="L27">_xlfn.LET(_xlpm.d,L$2:L$19,_xlpm.a,$C$2:$C$19=$C27,_xlpm.b,$D$2:$D$19=$D27,MAX(_xlfn._xlws.FILTER(_xlpm.d,_xlpm.a*_xlpm.b)))</f>
        <v>0.33</v>
      </c>
      <c r="M27" s="1" cm="1">
        <f t="array" ref="M27">_xlfn.LET(_xlpm.d,M$2:M$19,_xlpm.a,$C$2:$C$19=$C27,_xlpm.b,$D$2:$D$19=$D27,MAX(_xlfn._xlws.FILTER(_xlpm.d,_xlpm.a*_xlpm.b)))</f>
        <v>0.35</v>
      </c>
      <c r="N27" s="1" cm="1">
        <f t="array" ref="N27">_xlfn.LET(_xlpm.d,N$2:N$19,_xlpm.a,$C$2:$C$19=$C27,_xlpm.b,$D$2:$D$19=$D27,MAX(_xlfn._xlws.FILTER(_xlpm.d,_xlpm.a*_xlpm.b)))</f>
        <v>0.43</v>
      </c>
      <c r="O27" s="1" cm="1">
        <f t="array" ref="O27">_xlfn.LET(_xlpm.d,O$2:O$19,_xlpm.a,$C$2:$C$19=$C27,_xlpm.b,$D$2:$D$19=$D27,MAX(_xlfn._xlws.FILTER(_xlpm.d,_xlpm.a*_xlpm.b)))</f>
        <v>0.32</v>
      </c>
      <c r="P27" s="1" cm="1">
        <f t="array" ref="P27">_xlfn.LET(_xlpm.d,P$2:P$19,_xlpm.a,$C$2:$C$19=$C27,_xlpm.b,$D$2:$D$19=$D27,MAX(_xlfn._xlws.FILTER(_xlpm.d,_xlpm.a*_xlpm.b)))</f>
        <v>0.47</v>
      </c>
      <c r="Q27" s="1" cm="1">
        <f t="array" ref="Q27">_xlfn.LET(_xlpm.d,Q$2:Q$19,_xlpm.a,$C$2:$C$19=$C27,_xlpm.b,$D$2:$D$19=$D27,MAX(_xlfn._xlws.FILTER(_xlpm.d,_xlpm.a*_xlpm.b)))</f>
        <v>0.46</v>
      </c>
      <c r="R27" s="1" cm="1">
        <f t="array" ref="R27">_xlfn.LET(_xlpm.d,R$2:R$19,_xlpm.a,$C$2:$C$19=$C27,_xlpm.b,$D$2:$D$19=$D27,MAX(_xlfn._xlws.FILTER(_xlpm.d,_xlpm.a*_xlpm.b)))</f>
        <v>0.38</v>
      </c>
      <c r="S27" s="1" cm="1">
        <f t="array" ref="S27">_xlfn.LET(_xlpm.d,S$2:S$19,_xlpm.a,$C$2:$C$19=$C27,_xlpm.b,$D$2:$D$19=$D27,MAX(_xlfn._xlws.FILTER(_xlpm.d,_xlpm.a*_xlpm.b)))</f>
        <v>0.47</v>
      </c>
    </row>
    <row r="28" spans="1:19" ht="25" customHeight="1">
      <c r="B28">
        <v>3</v>
      </c>
      <c r="C28" t="s">
        <v>31</v>
      </c>
      <c r="D28" t="b">
        <v>0</v>
      </c>
      <c r="E28">
        <v>0</v>
      </c>
      <c r="F28" t="s">
        <v>24</v>
      </c>
      <c r="G28" s="1" cm="1">
        <f t="array" ref="G28">_xlfn.LET(_xlpm.d,G$2:G$19,_xlpm.a,$C$2:$C$19=$C28,_xlpm.b,$D$2:$D$19=$D28,MAX(_xlfn._xlws.FILTER(_xlpm.d,_xlpm.a*_xlpm.b)))</f>
        <v>0.36</v>
      </c>
      <c r="H28" s="1" cm="1">
        <f t="array" ref="H28">_xlfn.LET(_xlpm.d,H$2:H$19,_xlpm.a,$C$2:$C$19=$C28,_xlpm.b,$D$2:$D$19=$D28,MAX(_xlfn._xlws.FILTER(_xlpm.d,_xlpm.a*_xlpm.b)))</f>
        <v>0.42</v>
      </c>
      <c r="I28" s="1" cm="1">
        <f t="array" ref="I28">_xlfn.LET(_xlpm.d,I$2:I$19,_xlpm.a,$C$2:$C$19=$C28,_xlpm.b,$D$2:$D$19=$D28,MAX(_xlfn._xlws.FILTER(_xlpm.d,_xlpm.a*_xlpm.b)))</f>
        <v>0.37</v>
      </c>
      <c r="J28" s="1" cm="1">
        <f t="array" ref="J28">_xlfn.LET(_xlpm.d,J$2:J$19,_xlpm.a,$C$2:$C$19=$C28,_xlpm.b,$D$2:$D$19=$D28,MAX(_xlfn._xlws.FILTER(_xlpm.d,_xlpm.a*_xlpm.b)))</f>
        <v>0.43</v>
      </c>
      <c r="K28" s="1" cm="1">
        <f t="array" ref="K28">_xlfn.LET(_xlpm.d,K$2:K$19,_xlpm.a,$C$2:$C$19=$C28,_xlpm.b,$D$2:$D$19=$D28,MAX(_xlfn._xlws.FILTER(_xlpm.d,_xlpm.a*_xlpm.b)))</f>
        <v>0.37</v>
      </c>
      <c r="L28" s="1" cm="1">
        <f t="array" ref="L28">_xlfn.LET(_xlpm.d,L$2:L$19,_xlpm.a,$C$2:$C$19=$C28,_xlpm.b,$D$2:$D$19=$D28,MAX(_xlfn._xlws.FILTER(_xlpm.d,_xlpm.a*_xlpm.b)))</f>
        <v>0.37</v>
      </c>
      <c r="M28" s="1" cm="1">
        <f t="array" ref="M28">_xlfn.LET(_xlpm.d,M$2:M$19,_xlpm.a,$C$2:$C$19=$C28,_xlpm.b,$D$2:$D$19=$D28,MAX(_xlfn._xlws.FILTER(_xlpm.d,_xlpm.a*_xlpm.b)))</f>
        <v>0.38</v>
      </c>
      <c r="N28" s="1" cm="1">
        <f t="array" ref="N28">_xlfn.LET(_xlpm.d,N$2:N$19,_xlpm.a,$C$2:$C$19=$C28,_xlpm.b,$D$2:$D$19=$D28,MAX(_xlfn._xlws.FILTER(_xlpm.d,_xlpm.a*_xlpm.b)))</f>
        <v>0.45</v>
      </c>
      <c r="O28" s="1" cm="1">
        <f t="array" ref="O28">_xlfn.LET(_xlpm.d,O$2:O$19,_xlpm.a,$C$2:$C$19=$C28,_xlpm.b,$D$2:$D$19=$D28,MAX(_xlfn._xlws.FILTER(_xlpm.d,_xlpm.a*_xlpm.b)))</f>
        <v>0.32</v>
      </c>
      <c r="P28" s="1" cm="1">
        <f t="array" ref="P28">_xlfn.LET(_xlpm.d,P$2:P$19,_xlpm.a,$C$2:$C$19=$C28,_xlpm.b,$D$2:$D$19=$D28,MAX(_xlfn._xlws.FILTER(_xlpm.d,_xlpm.a*_xlpm.b)))</f>
        <v>0.43</v>
      </c>
      <c r="Q28" s="1" cm="1">
        <f t="array" ref="Q28">_xlfn.LET(_xlpm.d,Q$2:Q$19,_xlpm.a,$C$2:$C$19=$C28,_xlpm.b,$D$2:$D$19=$D28,MAX(_xlfn._xlws.FILTER(_xlpm.d,_xlpm.a*_xlpm.b)))</f>
        <v>0.44</v>
      </c>
      <c r="R28" s="1" cm="1">
        <f t="array" ref="R28">_xlfn.LET(_xlpm.d,R$2:R$19,_xlpm.a,$C$2:$C$19=$C28,_xlpm.b,$D$2:$D$19=$D28,MAX(_xlfn._xlws.FILTER(_xlpm.d,_xlpm.a*_xlpm.b)))</f>
        <v>0.37</v>
      </c>
      <c r="S28" s="1" cm="1">
        <f t="array" ref="S28">_xlfn.LET(_xlpm.d,S$2:S$19,_xlpm.a,$C$2:$C$19=$C28,_xlpm.b,$D$2:$D$19=$D28,MAX(_xlfn._xlws.FILTER(_xlpm.d,_xlpm.a*_xlpm.b)))</f>
        <v>0.45</v>
      </c>
    </row>
  </sheetData>
  <conditionalFormatting sqref="G2:S19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DCD6D-4D33-0A4D-83B9-597A1060C600}">
  <dimension ref="A1:S28"/>
  <sheetViews>
    <sheetView topLeftCell="A3" workbookViewId="0">
      <pane xSplit="9580" ySplit="3940" topLeftCell="J18" activePane="bottomRight"/>
      <selection activeCell="A11" sqref="A11"/>
      <selection pane="topRight" activeCell="H16" sqref="H16"/>
      <selection pane="bottomLeft" activeCell="B22" sqref="B22:S28"/>
      <selection pane="bottomRight" activeCell="M25" sqref="M25"/>
    </sheetView>
  </sheetViews>
  <sheetFormatPr baseColWidth="10" defaultRowHeight="25" customHeight="1"/>
  <cols>
    <col min="2" max="2" width="7.75" customWidth="1"/>
    <col min="4" max="5" width="9.5" customWidth="1"/>
    <col min="6" max="6" width="8.25" customWidth="1"/>
    <col min="7" max="19" width="9.625" customWidth="1"/>
  </cols>
  <sheetData>
    <row r="1" spans="1:19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21</v>
      </c>
      <c r="Q1" t="s">
        <v>22</v>
      </c>
      <c r="R1" t="s">
        <v>23</v>
      </c>
      <c r="S1" t="s">
        <v>24</v>
      </c>
    </row>
    <row r="2" spans="1:19" ht="25" customHeight="1">
      <c r="A2" t="s">
        <v>25</v>
      </c>
      <c r="B2">
        <v>1</v>
      </c>
      <c r="C2" t="s">
        <v>26</v>
      </c>
      <c r="D2" t="b">
        <v>1</v>
      </c>
      <c r="E2">
        <v>1</v>
      </c>
      <c r="F2" t="s">
        <v>27</v>
      </c>
      <c r="G2" s="1">
        <v>0.76</v>
      </c>
      <c r="H2" s="1">
        <v>0.85</v>
      </c>
      <c r="I2" s="1">
        <v>0.78</v>
      </c>
      <c r="J2" s="1">
        <v>0.78</v>
      </c>
      <c r="K2" s="1">
        <v>0.75</v>
      </c>
      <c r="L2" s="1">
        <v>0.8</v>
      </c>
      <c r="M2" s="1">
        <v>0.88</v>
      </c>
      <c r="N2" s="1">
        <v>0.77</v>
      </c>
      <c r="O2" s="1">
        <v>0.86</v>
      </c>
      <c r="P2" s="1">
        <v>0.76</v>
      </c>
      <c r="Q2" s="1">
        <v>0.72</v>
      </c>
      <c r="R2" s="1">
        <v>0.76</v>
      </c>
      <c r="S2" s="1">
        <f t="shared" ref="S2:S19" si="0">MAX($G2:$R2)</f>
        <v>0.88</v>
      </c>
    </row>
    <row r="3" spans="1:19" ht="25" customHeight="1">
      <c r="A3" t="s">
        <v>25</v>
      </c>
      <c r="B3">
        <v>1</v>
      </c>
      <c r="C3" t="s">
        <v>26</v>
      </c>
      <c r="D3" t="b">
        <v>0</v>
      </c>
      <c r="E3">
        <v>1</v>
      </c>
      <c r="F3" t="s">
        <v>27</v>
      </c>
      <c r="G3" s="1">
        <v>0.73</v>
      </c>
      <c r="H3" s="1">
        <v>0.81</v>
      </c>
      <c r="I3" s="1">
        <v>0.82</v>
      </c>
      <c r="J3" s="1">
        <v>0.78</v>
      </c>
      <c r="K3" s="1">
        <v>0.78</v>
      </c>
      <c r="L3" s="1">
        <v>0.83</v>
      </c>
      <c r="M3" s="1">
        <v>0.75</v>
      </c>
      <c r="N3" s="1">
        <v>0.84</v>
      </c>
      <c r="O3" s="1">
        <v>0.81</v>
      </c>
      <c r="P3" s="1">
        <v>0.75</v>
      </c>
      <c r="Q3" s="1">
        <v>0.78</v>
      </c>
      <c r="R3" s="1">
        <v>0.78</v>
      </c>
      <c r="S3" s="1">
        <f t="shared" si="0"/>
        <v>0.84</v>
      </c>
    </row>
    <row r="4" spans="1:19" ht="25" customHeight="1">
      <c r="A4" t="s">
        <v>25</v>
      </c>
      <c r="B4">
        <v>1</v>
      </c>
      <c r="C4" t="s">
        <v>26</v>
      </c>
      <c r="D4" t="b">
        <v>0</v>
      </c>
      <c r="E4">
        <v>2</v>
      </c>
      <c r="F4" t="s">
        <v>28</v>
      </c>
      <c r="G4" s="1">
        <v>0.79</v>
      </c>
      <c r="H4" s="1">
        <v>0.81</v>
      </c>
      <c r="I4" s="1">
        <v>0.84</v>
      </c>
      <c r="J4" s="1">
        <v>0.81</v>
      </c>
      <c r="K4" s="1">
        <v>0.79</v>
      </c>
      <c r="L4" s="1">
        <v>0.78</v>
      </c>
      <c r="M4" s="1">
        <v>0.76</v>
      </c>
      <c r="N4" s="1">
        <v>0.83</v>
      </c>
      <c r="O4" s="1">
        <v>0.81</v>
      </c>
      <c r="P4" s="1">
        <v>0.8</v>
      </c>
      <c r="Q4" s="1">
        <v>0.84</v>
      </c>
      <c r="R4" s="1">
        <v>0.78</v>
      </c>
      <c r="S4" s="1">
        <f t="shared" si="0"/>
        <v>0.84</v>
      </c>
    </row>
    <row r="5" spans="1:19" ht="25" customHeight="1">
      <c r="A5" t="s">
        <v>25</v>
      </c>
      <c r="B5">
        <v>1</v>
      </c>
      <c r="C5" t="s">
        <v>26</v>
      </c>
      <c r="D5" t="b">
        <v>1</v>
      </c>
      <c r="E5">
        <v>2</v>
      </c>
      <c r="F5" t="s">
        <v>28</v>
      </c>
      <c r="G5" s="1">
        <v>0.86</v>
      </c>
      <c r="H5" s="1">
        <v>0.87</v>
      </c>
      <c r="I5" s="1">
        <v>0.86</v>
      </c>
      <c r="J5" s="1">
        <v>0.82</v>
      </c>
      <c r="K5" s="1">
        <v>0.83</v>
      </c>
      <c r="L5" s="1">
        <v>0.78</v>
      </c>
      <c r="M5" s="1">
        <v>0.85</v>
      </c>
      <c r="N5" s="1">
        <v>0.87</v>
      </c>
      <c r="O5" s="1">
        <v>0.85</v>
      </c>
      <c r="P5" s="1">
        <v>0.82</v>
      </c>
      <c r="Q5" s="1">
        <v>0.86</v>
      </c>
      <c r="R5" s="1">
        <v>0.82</v>
      </c>
      <c r="S5" s="1">
        <f t="shared" si="0"/>
        <v>0.87</v>
      </c>
    </row>
    <row r="6" spans="1:19" ht="25" customHeight="1">
      <c r="A6" t="s">
        <v>25</v>
      </c>
      <c r="B6">
        <v>1</v>
      </c>
      <c r="C6" t="s">
        <v>26</v>
      </c>
      <c r="D6" t="b">
        <v>0</v>
      </c>
      <c r="E6">
        <v>3</v>
      </c>
      <c r="F6" t="s">
        <v>29</v>
      </c>
      <c r="G6" s="1">
        <v>0.7</v>
      </c>
      <c r="H6" s="1">
        <v>0.73</v>
      </c>
      <c r="I6" s="1">
        <v>0.8</v>
      </c>
      <c r="J6" s="1">
        <v>0.78</v>
      </c>
      <c r="K6" s="1">
        <v>0.78</v>
      </c>
      <c r="L6" s="1">
        <v>0.81</v>
      </c>
      <c r="M6" s="1">
        <v>0.75</v>
      </c>
      <c r="N6" s="1">
        <v>0.8</v>
      </c>
      <c r="O6" s="1">
        <v>0.8</v>
      </c>
      <c r="P6" s="1">
        <v>0.77</v>
      </c>
      <c r="Q6" s="1">
        <v>0.79</v>
      </c>
      <c r="R6" s="1">
        <v>0.75</v>
      </c>
      <c r="S6" s="1">
        <f t="shared" si="0"/>
        <v>0.81</v>
      </c>
    </row>
    <row r="7" spans="1:19" ht="25" customHeight="1">
      <c r="A7" t="s">
        <v>25</v>
      </c>
      <c r="B7">
        <v>1</v>
      </c>
      <c r="C7" t="s">
        <v>26</v>
      </c>
      <c r="D7" t="b">
        <v>1</v>
      </c>
      <c r="E7">
        <v>3</v>
      </c>
      <c r="F7" t="s">
        <v>29</v>
      </c>
      <c r="G7" s="1">
        <v>0.78</v>
      </c>
      <c r="H7" s="1">
        <v>0.76</v>
      </c>
      <c r="I7" s="1">
        <v>0.85</v>
      </c>
      <c r="J7" s="1">
        <v>0.77</v>
      </c>
      <c r="K7" s="1">
        <v>0.75</v>
      </c>
      <c r="L7" s="1">
        <v>0.86</v>
      </c>
      <c r="M7" s="1">
        <v>0.82</v>
      </c>
      <c r="N7" s="1">
        <v>0.82</v>
      </c>
      <c r="O7" s="1">
        <v>0.81</v>
      </c>
      <c r="P7" s="1">
        <v>0.79</v>
      </c>
      <c r="Q7" s="1">
        <v>0.77</v>
      </c>
      <c r="R7" s="1">
        <v>0.79</v>
      </c>
      <c r="S7" s="1">
        <f t="shared" si="0"/>
        <v>0.86</v>
      </c>
    </row>
    <row r="8" spans="1:19" ht="25" customHeight="1">
      <c r="A8" t="s">
        <v>25</v>
      </c>
      <c r="B8">
        <v>2</v>
      </c>
      <c r="C8" t="s">
        <v>30</v>
      </c>
      <c r="D8" t="b">
        <v>0</v>
      </c>
      <c r="E8">
        <v>1</v>
      </c>
      <c r="F8" t="s">
        <v>27</v>
      </c>
      <c r="G8" s="1">
        <v>0.47</v>
      </c>
      <c r="H8" s="1">
        <v>0.45</v>
      </c>
      <c r="I8" s="1">
        <v>0.45</v>
      </c>
      <c r="J8" s="1">
        <v>0.49</v>
      </c>
      <c r="K8" s="1">
        <v>0.45</v>
      </c>
      <c r="L8" s="1">
        <v>0.45</v>
      </c>
      <c r="M8" s="1">
        <v>0.45</v>
      </c>
      <c r="N8" s="1">
        <v>0.55000000000000004</v>
      </c>
      <c r="O8" s="1">
        <v>0.42</v>
      </c>
      <c r="P8" s="1">
        <v>0.47</v>
      </c>
      <c r="Q8" s="1">
        <v>0.48</v>
      </c>
      <c r="R8" s="1">
        <v>0.53</v>
      </c>
      <c r="S8" s="1">
        <f t="shared" si="0"/>
        <v>0.55000000000000004</v>
      </c>
    </row>
    <row r="9" spans="1:19" ht="25" customHeight="1">
      <c r="A9" t="s">
        <v>25</v>
      </c>
      <c r="B9">
        <v>2</v>
      </c>
      <c r="C9" t="s">
        <v>30</v>
      </c>
      <c r="D9" t="b">
        <v>0</v>
      </c>
      <c r="E9">
        <v>2</v>
      </c>
      <c r="F9" t="s">
        <v>28</v>
      </c>
      <c r="G9" s="1">
        <v>0.56000000000000005</v>
      </c>
      <c r="H9" s="1">
        <v>0.49</v>
      </c>
      <c r="I9" s="1">
        <v>0.53</v>
      </c>
      <c r="J9" s="1">
        <v>0.55000000000000004</v>
      </c>
      <c r="K9" s="1">
        <v>0.49</v>
      </c>
      <c r="L9" s="1">
        <v>0.49</v>
      </c>
      <c r="M9" s="1">
        <v>0.52</v>
      </c>
      <c r="N9" s="1">
        <v>0.61</v>
      </c>
      <c r="O9" s="1">
        <v>0.52</v>
      </c>
      <c r="P9" s="1">
        <v>0.56000000000000005</v>
      </c>
      <c r="Q9" s="1">
        <v>0.53</v>
      </c>
      <c r="R9" s="1">
        <v>0.52</v>
      </c>
      <c r="S9" s="1">
        <f t="shared" si="0"/>
        <v>0.61</v>
      </c>
    </row>
    <row r="10" spans="1:19" ht="25" customHeight="1">
      <c r="A10" t="s">
        <v>25</v>
      </c>
      <c r="B10">
        <v>2</v>
      </c>
      <c r="C10" t="s">
        <v>30</v>
      </c>
      <c r="D10" t="b">
        <v>0</v>
      </c>
      <c r="E10">
        <v>3</v>
      </c>
      <c r="F10" t="s">
        <v>29</v>
      </c>
      <c r="G10" s="1">
        <v>0.52</v>
      </c>
      <c r="H10" s="1">
        <v>0.51</v>
      </c>
      <c r="I10" s="1">
        <v>0.51</v>
      </c>
      <c r="J10" s="1">
        <v>0.52</v>
      </c>
      <c r="K10" s="1">
        <v>0.48</v>
      </c>
      <c r="L10" s="1">
        <v>0.5</v>
      </c>
      <c r="M10" s="1">
        <v>0.44</v>
      </c>
      <c r="N10" s="1">
        <v>0.55000000000000004</v>
      </c>
      <c r="O10" s="1">
        <v>0.57999999999999996</v>
      </c>
      <c r="P10" s="1">
        <v>0.56000000000000005</v>
      </c>
      <c r="Q10" s="1">
        <v>0.5</v>
      </c>
      <c r="R10" s="1">
        <v>0.51</v>
      </c>
      <c r="S10" s="1">
        <f t="shared" si="0"/>
        <v>0.57999999999999996</v>
      </c>
    </row>
    <row r="11" spans="1:19" ht="25" customHeight="1">
      <c r="A11" t="s">
        <v>25</v>
      </c>
      <c r="B11">
        <v>2</v>
      </c>
      <c r="C11" t="s">
        <v>30</v>
      </c>
      <c r="D11" t="b">
        <v>1</v>
      </c>
      <c r="E11">
        <v>2</v>
      </c>
      <c r="F11" t="s">
        <v>28</v>
      </c>
      <c r="G11" s="1">
        <v>0.57999999999999996</v>
      </c>
      <c r="H11" s="1">
        <v>0.52</v>
      </c>
      <c r="I11" s="1">
        <v>0.56000000000000005</v>
      </c>
      <c r="J11" s="1">
        <v>0.6</v>
      </c>
      <c r="K11" s="1">
        <v>0.45</v>
      </c>
      <c r="L11" s="1">
        <v>0.5</v>
      </c>
      <c r="M11" s="1">
        <v>0.55000000000000004</v>
      </c>
      <c r="N11" s="1">
        <v>0.61</v>
      </c>
      <c r="O11" s="1">
        <v>0.54</v>
      </c>
      <c r="P11" s="1">
        <v>0.56000000000000005</v>
      </c>
      <c r="Q11" s="1">
        <v>0.5</v>
      </c>
      <c r="R11" s="1">
        <v>0.53</v>
      </c>
      <c r="S11" s="1">
        <f t="shared" si="0"/>
        <v>0.61</v>
      </c>
    </row>
    <row r="12" spans="1:19" ht="25" customHeight="1">
      <c r="A12" t="s">
        <v>25</v>
      </c>
      <c r="B12">
        <v>2</v>
      </c>
      <c r="C12" t="s">
        <v>30</v>
      </c>
      <c r="D12" t="b">
        <v>1</v>
      </c>
      <c r="E12">
        <v>3</v>
      </c>
      <c r="F12" t="s">
        <v>29</v>
      </c>
      <c r="G12" s="1">
        <v>0.55000000000000004</v>
      </c>
      <c r="H12" s="1">
        <v>0.54</v>
      </c>
      <c r="I12" s="1">
        <v>0.48</v>
      </c>
      <c r="J12" s="1">
        <v>0.51</v>
      </c>
      <c r="K12" s="1">
        <v>0.43</v>
      </c>
      <c r="L12" s="1">
        <v>0.49</v>
      </c>
      <c r="M12" s="1">
        <v>0.45</v>
      </c>
      <c r="N12" s="1">
        <v>0.54</v>
      </c>
      <c r="O12" s="1">
        <v>0.51</v>
      </c>
      <c r="P12" s="1">
        <v>0.59</v>
      </c>
      <c r="Q12" s="1">
        <v>0.51</v>
      </c>
      <c r="R12" s="1">
        <v>0.53</v>
      </c>
      <c r="S12" s="1">
        <f t="shared" si="0"/>
        <v>0.59</v>
      </c>
    </row>
    <row r="13" spans="1:19" ht="25" customHeight="1">
      <c r="A13" t="s">
        <v>25</v>
      </c>
      <c r="B13">
        <v>2</v>
      </c>
      <c r="C13" t="s">
        <v>30</v>
      </c>
      <c r="D13" t="b">
        <v>1</v>
      </c>
      <c r="E13">
        <v>1</v>
      </c>
      <c r="F13" t="s">
        <v>27</v>
      </c>
      <c r="G13" s="1">
        <v>0.53</v>
      </c>
      <c r="H13" s="1">
        <v>0.56000000000000005</v>
      </c>
      <c r="I13" s="1">
        <v>0.49</v>
      </c>
      <c r="J13" s="1">
        <v>0.47</v>
      </c>
      <c r="K13" s="1">
        <v>0.47</v>
      </c>
      <c r="L13" s="1">
        <v>0.39</v>
      </c>
      <c r="M13" s="1">
        <v>0.41</v>
      </c>
      <c r="N13" s="1">
        <v>0.53</v>
      </c>
      <c r="O13" s="1">
        <v>0.5</v>
      </c>
      <c r="P13" s="1">
        <v>0.51</v>
      </c>
      <c r="Q13" s="1">
        <v>0.44</v>
      </c>
      <c r="R13" s="1">
        <v>0.49</v>
      </c>
      <c r="S13" s="1">
        <f t="shared" si="0"/>
        <v>0.56000000000000005</v>
      </c>
    </row>
    <row r="14" spans="1:19" ht="25" customHeight="1">
      <c r="A14" t="s">
        <v>25</v>
      </c>
      <c r="B14">
        <v>3</v>
      </c>
      <c r="C14" t="s">
        <v>31</v>
      </c>
      <c r="D14" t="b">
        <v>1</v>
      </c>
      <c r="E14">
        <v>3</v>
      </c>
      <c r="F14" t="s">
        <v>29</v>
      </c>
      <c r="G14" s="1">
        <v>0.32</v>
      </c>
      <c r="H14" s="1">
        <v>0.3</v>
      </c>
      <c r="I14" s="1">
        <v>0.37</v>
      </c>
      <c r="J14" s="1">
        <v>0.33</v>
      </c>
      <c r="K14" s="1">
        <v>0.31</v>
      </c>
      <c r="L14" s="1">
        <v>0.34</v>
      </c>
      <c r="M14" s="1">
        <v>0.31</v>
      </c>
      <c r="N14" s="1">
        <v>0.32</v>
      </c>
      <c r="O14" s="1">
        <v>0.39</v>
      </c>
      <c r="P14" s="1">
        <v>0.36</v>
      </c>
      <c r="Q14" s="1">
        <v>0.37</v>
      </c>
      <c r="R14" s="1">
        <v>0.34</v>
      </c>
      <c r="S14" s="1">
        <f t="shared" si="0"/>
        <v>0.39</v>
      </c>
    </row>
    <row r="15" spans="1:19" ht="25" customHeight="1">
      <c r="A15" t="s">
        <v>25</v>
      </c>
      <c r="B15">
        <v>3</v>
      </c>
      <c r="C15" t="s">
        <v>31</v>
      </c>
      <c r="D15" t="b">
        <v>1</v>
      </c>
      <c r="E15">
        <v>1</v>
      </c>
      <c r="F15" t="s">
        <v>27</v>
      </c>
      <c r="G15" s="1">
        <v>0.27</v>
      </c>
      <c r="H15" s="1">
        <v>0.37</v>
      </c>
      <c r="I15" s="1">
        <v>0.4</v>
      </c>
      <c r="J15" s="1">
        <v>0.33</v>
      </c>
      <c r="K15" s="1">
        <v>0.35</v>
      </c>
      <c r="L15" s="1">
        <v>0.44</v>
      </c>
      <c r="M15" s="1">
        <v>0.4</v>
      </c>
      <c r="N15" s="1">
        <v>0.41</v>
      </c>
      <c r="O15" s="1">
        <v>0.33</v>
      </c>
      <c r="P15" s="1">
        <v>0.28000000000000003</v>
      </c>
      <c r="Q15" s="1">
        <v>0.34</v>
      </c>
      <c r="R15" s="1">
        <v>0.28000000000000003</v>
      </c>
      <c r="S15" s="1">
        <f t="shared" si="0"/>
        <v>0.44</v>
      </c>
    </row>
    <row r="16" spans="1:19" ht="25" customHeight="1">
      <c r="A16" t="s">
        <v>25</v>
      </c>
      <c r="B16">
        <v>3</v>
      </c>
      <c r="C16" t="s">
        <v>31</v>
      </c>
      <c r="D16" t="b">
        <v>1</v>
      </c>
      <c r="E16">
        <v>2</v>
      </c>
      <c r="F16" t="s">
        <v>28</v>
      </c>
      <c r="G16" s="1">
        <v>0.37</v>
      </c>
      <c r="H16" s="1">
        <v>0.43</v>
      </c>
      <c r="I16" s="1">
        <v>0.5</v>
      </c>
      <c r="J16" s="1">
        <v>0.28999999999999998</v>
      </c>
      <c r="K16" s="1">
        <v>0.42</v>
      </c>
      <c r="L16" s="1">
        <v>0.46</v>
      </c>
      <c r="M16" s="1">
        <v>0.38</v>
      </c>
      <c r="N16" s="1">
        <v>0.45</v>
      </c>
      <c r="O16" s="1">
        <v>0.32</v>
      </c>
      <c r="P16" s="1">
        <v>0.38</v>
      </c>
      <c r="Q16" s="1">
        <v>0.38</v>
      </c>
      <c r="R16" s="1">
        <v>0.42</v>
      </c>
      <c r="S16" s="1">
        <f t="shared" si="0"/>
        <v>0.5</v>
      </c>
    </row>
    <row r="17" spans="1:19" ht="25" customHeight="1">
      <c r="A17" t="s">
        <v>25</v>
      </c>
      <c r="B17">
        <v>3</v>
      </c>
      <c r="C17" t="s">
        <v>31</v>
      </c>
      <c r="D17" t="b">
        <v>0</v>
      </c>
      <c r="E17">
        <v>2</v>
      </c>
      <c r="F17" t="s">
        <v>28</v>
      </c>
      <c r="G17" s="1">
        <v>0.34</v>
      </c>
      <c r="H17" s="1">
        <v>0.38</v>
      </c>
      <c r="I17" s="1">
        <v>0.46</v>
      </c>
      <c r="J17" s="1">
        <v>0.31</v>
      </c>
      <c r="K17" s="1">
        <v>0.39</v>
      </c>
      <c r="L17" s="1">
        <v>0.42</v>
      </c>
      <c r="M17" s="1">
        <v>0.46</v>
      </c>
      <c r="N17" s="1">
        <v>0.42</v>
      </c>
      <c r="O17" s="1">
        <v>0.33</v>
      </c>
      <c r="P17" s="1">
        <v>0.38</v>
      </c>
      <c r="Q17" s="1">
        <v>0.36</v>
      </c>
      <c r="R17" s="1">
        <v>0.45</v>
      </c>
      <c r="S17" s="1">
        <f t="shared" si="0"/>
        <v>0.46</v>
      </c>
    </row>
    <row r="18" spans="1:19" ht="25" customHeight="1">
      <c r="A18" t="s">
        <v>25</v>
      </c>
      <c r="B18">
        <v>3</v>
      </c>
      <c r="C18" t="s">
        <v>31</v>
      </c>
      <c r="D18" t="b">
        <v>0</v>
      </c>
      <c r="E18">
        <v>1</v>
      </c>
      <c r="F18" t="s">
        <v>27</v>
      </c>
      <c r="G18" s="1">
        <v>0.38</v>
      </c>
      <c r="H18" s="1">
        <v>0.39</v>
      </c>
      <c r="I18" s="1">
        <v>0.37</v>
      </c>
      <c r="J18" s="1">
        <v>0.34</v>
      </c>
      <c r="K18" s="1">
        <v>0.36</v>
      </c>
      <c r="L18" s="1">
        <v>0.33</v>
      </c>
      <c r="M18" s="1">
        <v>0.39</v>
      </c>
      <c r="N18" s="1">
        <v>0.43</v>
      </c>
      <c r="O18" s="1">
        <v>0.33</v>
      </c>
      <c r="P18" s="1">
        <v>0.28000000000000003</v>
      </c>
      <c r="Q18" s="1">
        <v>0.36</v>
      </c>
      <c r="R18" s="1">
        <v>0.34</v>
      </c>
      <c r="S18" s="1">
        <f t="shared" si="0"/>
        <v>0.43</v>
      </c>
    </row>
    <row r="19" spans="1:19" ht="25" customHeight="1">
      <c r="A19" t="s">
        <v>25</v>
      </c>
      <c r="B19">
        <v>3</v>
      </c>
      <c r="C19" t="s">
        <v>31</v>
      </c>
      <c r="D19" t="b">
        <v>0</v>
      </c>
      <c r="E19">
        <v>3</v>
      </c>
      <c r="F19" t="s">
        <v>29</v>
      </c>
      <c r="G19" s="1">
        <v>0.39</v>
      </c>
      <c r="H19" s="1">
        <v>0.32</v>
      </c>
      <c r="I19" s="1">
        <v>0.4</v>
      </c>
      <c r="J19" s="1">
        <v>0.38</v>
      </c>
      <c r="K19" s="1">
        <v>0.35</v>
      </c>
      <c r="L19" s="1">
        <v>0.28999999999999998</v>
      </c>
      <c r="M19" s="1">
        <v>0.36</v>
      </c>
      <c r="N19" s="1">
        <v>0.33</v>
      </c>
      <c r="O19" s="1">
        <v>0.36</v>
      </c>
      <c r="P19" s="1">
        <v>0.36</v>
      </c>
      <c r="Q19" s="1">
        <v>0.35</v>
      </c>
      <c r="R19" s="1">
        <v>0.32</v>
      </c>
      <c r="S19" s="1">
        <f t="shared" si="0"/>
        <v>0.4</v>
      </c>
    </row>
    <row r="22" spans="1:19" ht="25" customHeight="1">
      <c r="B22" t="s">
        <v>1</v>
      </c>
      <c r="C22" t="s">
        <v>2</v>
      </c>
      <c r="D22" t="s">
        <v>32</v>
      </c>
      <c r="E22" t="s">
        <v>4</v>
      </c>
      <c r="F22" t="s">
        <v>33</v>
      </c>
      <c r="G22" t="s">
        <v>6</v>
      </c>
      <c r="H22" t="s">
        <v>7</v>
      </c>
      <c r="I22" t="s">
        <v>8</v>
      </c>
      <c r="J22" t="s">
        <v>12</v>
      </c>
      <c r="K22" t="s">
        <v>13</v>
      </c>
      <c r="L22" t="s">
        <v>14</v>
      </c>
      <c r="M22" t="s">
        <v>15</v>
      </c>
      <c r="N22" t="s">
        <v>16</v>
      </c>
      <c r="O22" t="s">
        <v>17</v>
      </c>
      <c r="P22" t="s">
        <v>21</v>
      </c>
      <c r="Q22" t="s">
        <v>22</v>
      </c>
      <c r="R22" t="s">
        <v>23</v>
      </c>
      <c r="S22" t="s">
        <v>24</v>
      </c>
    </row>
    <row r="23" spans="1:19" ht="25" customHeight="1">
      <c r="B23">
        <v>1</v>
      </c>
      <c r="C23" t="s">
        <v>26</v>
      </c>
      <c r="D23" t="b">
        <v>1</v>
      </c>
      <c r="E23">
        <v>0</v>
      </c>
      <c r="F23" t="s">
        <v>24</v>
      </c>
      <c r="G23" s="1" cm="1">
        <f t="array" ref="G23">_xlfn.LET(_xlpm.d,G$2:G$19,_xlpm.a,$C$2:$C$19=$C23,_xlpm.b,$D$2:$D$19=$D23,MAX(_xlfn._xlws.FILTER(_xlpm.d,_xlpm.a*_xlpm.b)))</f>
        <v>0.86</v>
      </c>
      <c r="H23" s="1" cm="1">
        <f t="array" ref="H23">_xlfn.LET(_xlpm.d,H$2:H$19,_xlpm.a,$C$2:$C$19=$C23,_xlpm.b,$D$2:$D$19=$D23,MAX(_xlfn._xlws.FILTER(_xlpm.d,_xlpm.a*_xlpm.b)))</f>
        <v>0.87</v>
      </c>
      <c r="I23" s="1" cm="1">
        <f t="array" ref="I23">_xlfn.LET(_xlpm.d,I$2:I$19,_xlpm.a,$C$2:$C$19=$C23,_xlpm.b,$D$2:$D$19=$D23,MAX(_xlfn._xlws.FILTER(_xlpm.d,_xlpm.a*_xlpm.b)))</f>
        <v>0.86</v>
      </c>
      <c r="J23" s="1" cm="1">
        <f t="array" ref="J23">_xlfn.LET(_xlpm.d,J$2:J$19,_xlpm.a,$C$2:$C$19=$C23,_xlpm.b,$D$2:$D$19=$D23,MAX(_xlfn._xlws.FILTER(_xlpm.d,_xlpm.a*_xlpm.b)))</f>
        <v>0.82</v>
      </c>
      <c r="K23" s="1" cm="1">
        <f t="array" ref="K23">_xlfn.LET(_xlpm.d,K$2:K$19,_xlpm.a,$C$2:$C$19=$C23,_xlpm.b,$D$2:$D$19=$D23,MAX(_xlfn._xlws.FILTER(_xlpm.d,_xlpm.a*_xlpm.b)))</f>
        <v>0.83</v>
      </c>
      <c r="L23" s="1" cm="1">
        <f t="array" ref="L23">_xlfn.LET(_xlpm.d,L$2:L$19,_xlpm.a,$C$2:$C$19=$C23,_xlpm.b,$D$2:$D$19=$D23,MAX(_xlfn._xlws.FILTER(_xlpm.d,_xlpm.a*_xlpm.b)))</f>
        <v>0.86</v>
      </c>
      <c r="M23" s="1" cm="1">
        <f t="array" ref="M23">_xlfn.LET(_xlpm.d,M$2:M$19,_xlpm.a,$C$2:$C$19=$C23,_xlpm.b,$D$2:$D$19=$D23,MAX(_xlfn._xlws.FILTER(_xlpm.d,_xlpm.a*_xlpm.b)))</f>
        <v>0.88</v>
      </c>
      <c r="N23" s="1" cm="1">
        <f t="array" ref="N23">_xlfn.LET(_xlpm.d,N$2:N$19,_xlpm.a,$C$2:$C$19=$C23,_xlpm.b,$D$2:$D$19=$D23,MAX(_xlfn._xlws.FILTER(_xlpm.d,_xlpm.a*_xlpm.b)))</f>
        <v>0.87</v>
      </c>
      <c r="O23" s="1" cm="1">
        <f t="array" ref="O23">_xlfn.LET(_xlpm.d,O$2:O$19,_xlpm.a,$C$2:$C$19=$C23,_xlpm.b,$D$2:$D$19=$D23,MAX(_xlfn._xlws.FILTER(_xlpm.d,_xlpm.a*_xlpm.b)))</f>
        <v>0.86</v>
      </c>
      <c r="P23" s="1" cm="1">
        <f t="array" ref="P23">_xlfn.LET(_xlpm.d,P$2:P$19,_xlpm.a,$C$2:$C$19=$C23,_xlpm.b,$D$2:$D$19=$D23,MAX(_xlfn._xlws.FILTER(_xlpm.d,_xlpm.a*_xlpm.b)))</f>
        <v>0.82</v>
      </c>
      <c r="Q23" s="1" cm="1">
        <f t="array" ref="Q23">_xlfn.LET(_xlpm.d,Q$2:Q$19,_xlpm.a,$C$2:$C$19=$C23,_xlpm.b,$D$2:$D$19=$D23,MAX(_xlfn._xlws.FILTER(_xlpm.d,_xlpm.a*_xlpm.b)))</f>
        <v>0.86</v>
      </c>
      <c r="R23" s="1" cm="1">
        <f t="array" ref="R23">_xlfn.LET(_xlpm.d,R$2:R$19,_xlpm.a,$C$2:$C$19=$C23,_xlpm.b,$D$2:$D$19=$D23,MAX(_xlfn._xlws.FILTER(_xlpm.d,_xlpm.a*_xlpm.b)))</f>
        <v>0.82</v>
      </c>
      <c r="S23" s="1" cm="1">
        <f t="array" ref="S23">_xlfn.LET(_xlpm.d,S$2:S$19,_xlpm.a,$C$2:$C$19=$C23,_xlpm.b,$D$2:$D$19=$D23,MAX(_xlfn._xlws.FILTER(_xlpm.d,_xlpm.a*_xlpm.b)))</f>
        <v>0.88</v>
      </c>
    </row>
    <row r="24" spans="1:19" ht="25" customHeight="1">
      <c r="B24">
        <v>1</v>
      </c>
      <c r="C24" t="s">
        <v>26</v>
      </c>
      <c r="D24" t="b">
        <v>0</v>
      </c>
      <c r="E24">
        <v>0</v>
      </c>
      <c r="F24" t="s">
        <v>24</v>
      </c>
      <c r="G24" s="1" cm="1">
        <f t="array" ref="G24">_xlfn.LET(_xlpm.d,G$2:G$19,_xlpm.a,$C$2:$C$19=$C24,_xlpm.b,$D$2:$D$19=$D24,MAX(_xlfn._xlws.FILTER(_xlpm.d,_xlpm.a*_xlpm.b)))</f>
        <v>0.79</v>
      </c>
      <c r="H24" s="1" cm="1">
        <f t="array" ref="H24">_xlfn.LET(_xlpm.d,H$2:H$19,_xlpm.a,$C$2:$C$19=$C24,_xlpm.b,$D$2:$D$19=$D24,MAX(_xlfn._xlws.FILTER(_xlpm.d,_xlpm.a*_xlpm.b)))</f>
        <v>0.81</v>
      </c>
      <c r="I24" s="1" cm="1">
        <f t="array" ref="I24">_xlfn.LET(_xlpm.d,I$2:I$19,_xlpm.a,$C$2:$C$19=$C24,_xlpm.b,$D$2:$D$19=$D24,MAX(_xlfn._xlws.FILTER(_xlpm.d,_xlpm.a*_xlpm.b)))</f>
        <v>0.84</v>
      </c>
      <c r="J24" s="1" cm="1">
        <f t="array" ref="J24">_xlfn.LET(_xlpm.d,J$2:J$19,_xlpm.a,$C$2:$C$19=$C24,_xlpm.b,$D$2:$D$19=$D24,MAX(_xlfn._xlws.FILTER(_xlpm.d,_xlpm.a*_xlpm.b)))</f>
        <v>0.81</v>
      </c>
      <c r="K24" s="1" cm="1">
        <f t="array" ref="K24">_xlfn.LET(_xlpm.d,K$2:K$19,_xlpm.a,$C$2:$C$19=$C24,_xlpm.b,$D$2:$D$19=$D24,MAX(_xlfn._xlws.FILTER(_xlpm.d,_xlpm.a*_xlpm.b)))</f>
        <v>0.79</v>
      </c>
      <c r="L24" s="1" cm="1">
        <f t="array" ref="L24">_xlfn.LET(_xlpm.d,L$2:L$19,_xlpm.a,$C$2:$C$19=$C24,_xlpm.b,$D$2:$D$19=$D24,MAX(_xlfn._xlws.FILTER(_xlpm.d,_xlpm.a*_xlpm.b)))</f>
        <v>0.83</v>
      </c>
      <c r="M24" s="1" cm="1">
        <f t="array" ref="M24">_xlfn.LET(_xlpm.d,M$2:M$19,_xlpm.a,$C$2:$C$19=$C24,_xlpm.b,$D$2:$D$19=$D24,MAX(_xlfn._xlws.FILTER(_xlpm.d,_xlpm.a*_xlpm.b)))</f>
        <v>0.76</v>
      </c>
      <c r="N24" s="1" cm="1">
        <f t="array" ref="N24">_xlfn.LET(_xlpm.d,N$2:N$19,_xlpm.a,$C$2:$C$19=$C24,_xlpm.b,$D$2:$D$19=$D24,MAX(_xlfn._xlws.FILTER(_xlpm.d,_xlpm.a*_xlpm.b)))</f>
        <v>0.84</v>
      </c>
      <c r="O24" s="1" cm="1">
        <f t="array" ref="O24">_xlfn.LET(_xlpm.d,O$2:O$19,_xlpm.a,$C$2:$C$19=$C24,_xlpm.b,$D$2:$D$19=$D24,MAX(_xlfn._xlws.FILTER(_xlpm.d,_xlpm.a*_xlpm.b)))</f>
        <v>0.81</v>
      </c>
      <c r="P24" s="1" cm="1">
        <f t="array" ref="P24">_xlfn.LET(_xlpm.d,P$2:P$19,_xlpm.a,$C$2:$C$19=$C24,_xlpm.b,$D$2:$D$19=$D24,MAX(_xlfn._xlws.FILTER(_xlpm.d,_xlpm.a*_xlpm.b)))</f>
        <v>0.8</v>
      </c>
      <c r="Q24" s="1" cm="1">
        <f t="array" ref="Q24">_xlfn.LET(_xlpm.d,Q$2:Q$19,_xlpm.a,$C$2:$C$19=$C24,_xlpm.b,$D$2:$D$19=$D24,MAX(_xlfn._xlws.FILTER(_xlpm.d,_xlpm.a*_xlpm.b)))</f>
        <v>0.84</v>
      </c>
      <c r="R24" s="1" cm="1">
        <f t="array" ref="R24">_xlfn.LET(_xlpm.d,R$2:R$19,_xlpm.a,$C$2:$C$19=$C24,_xlpm.b,$D$2:$D$19=$D24,MAX(_xlfn._xlws.FILTER(_xlpm.d,_xlpm.a*_xlpm.b)))</f>
        <v>0.78</v>
      </c>
      <c r="S24" s="1" cm="1">
        <f t="array" ref="S24">_xlfn.LET(_xlpm.d,S$2:S$19,_xlpm.a,$C$2:$C$19=$C24,_xlpm.b,$D$2:$D$19=$D24,MAX(_xlfn._xlws.FILTER(_xlpm.d,_xlpm.a*_xlpm.b)))</f>
        <v>0.84</v>
      </c>
    </row>
    <row r="25" spans="1:19" ht="25" customHeight="1">
      <c r="B25">
        <v>2</v>
      </c>
      <c r="C25" t="s">
        <v>30</v>
      </c>
      <c r="D25" t="b">
        <v>1</v>
      </c>
      <c r="E25">
        <v>0</v>
      </c>
      <c r="F25" t="s">
        <v>24</v>
      </c>
      <c r="G25" s="1" cm="1">
        <f t="array" ref="G25">_xlfn.LET(_xlpm.d,G$2:G$19,_xlpm.a,$C$2:$C$19=$C25,_xlpm.b,$D$2:$D$19=$D25,MAX(_xlfn._xlws.FILTER(_xlpm.d,_xlpm.a*_xlpm.b)))</f>
        <v>0.57999999999999996</v>
      </c>
      <c r="H25" s="1" cm="1">
        <f t="array" ref="H25">_xlfn.LET(_xlpm.d,H$2:H$19,_xlpm.a,$C$2:$C$19=$C25,_xlpm.b,$D$2:$D$19=$D25,MAX(_xlfn._xlws.FILTER(_xlpm.d,_xlpm.a*_xlpm.b)))</f>
        <v>0.56000000000000005</v>
      </c>
      <c r="I25" s="1" cm="1">
        <f t="array" ref="I25">_xlfn.LET(_xlpm.d,I$2:I$19,_xlpm.a,$C$2:$C$19=$C25,_xlpm.b,$D$2:$D$19=$D25,MAX(_xlfn._xlws.FILTER(_xlpm.d,_xlpm.a*_xlpm.b)))</f>
        <v>0.56000000000000005</v>
      </c>
      <c r="J25" s="1" cm="1">
        <f t="array" ref="J25">_xlfn.LET(_xlpm.d,J$2:J$19,_xlpm.a,$C$2:$C$19=$C25,_xlpm.b,$D$2:$D$19=$D25,MAX(_xlfn._xlws.FILTER(_xlpm.d,_xlpm.a*_xlpm.b)))</f>
        <v>0.6</v>
      </c>
      <c r="K25" s="1" cm="1">
        <f t="array" ref="K25">_xlfn.LET(_xlpm.d,K$2:K$19,_xlpm.a,$C$2:$C$19=$C25,_xlpm.b,$D$2:$D$19=$D25,MAX(_xlfn._xlws.FILTER(_xlpm.d,_xlpm.a*_xlpm.b)))</f>
        <v>0.47</v>
      </c>
      <c r="L25" s="1" cm="1">
        <f t="array" ref="L25">_xlfn.LET(_xlpm.d,L$2:L$19,_xlpm.a,$C$2:$C$19=$C25,_xlpm.b,$D$2:$D$19=$D25,MAX(_xlfn._xlws.FILTER(_xlpm.d,_xlpm.a*_xlpm.b)))</f>
        <v>0.5</v>
      </c>
      <c r="M25" s="1" cm="1">
        <f t="array" ref="M25">_xlfn.LET(_xlpm.d,M$2:M$19,_xlpm.a,$C$2:$C$19=$C25,_xlpm.b,$D$2:$D$19=$D25,MAX(_xlfn._xlws.FILTER(_xlpm.d,_xlpm.a*_xlpm.b)))</f>
        <v>0.55000000000000004</v>
      </c>
      <c r="N25" s="1" cm="1">
        <f t="array" ref="N25">_xlfn.LET(_xlpm.d,N$2:N$19,_xlpm.a,$C$2:$C$19=$C25,_xlpm.b,$D$2:$D$19=$D25,MAX(_xlfn._xlws.FILTER(_xlpm.d,_xlpm.a*_xlpm.b)))</f>
        <v>0.61</v>
      </c>
      <c r="O25" s="1" cm="1">
        <f t="array" ref="O25">_xlfn.LET(_xlpm.d,O$2:O$19,_xlpm.a,$C$2:$C$19=$C25,_xlpm.b,$D$2:$D$19=$D25,MAX(_xlfn._xlws.FILTER(_xlpm.d,_xlpm.a*_xlpm.b)))</f>
        <v>0.54</v>
      </c>
      <c r="P25" s="1" cm="1">
        <f t="array" ref="P25">_xlfn.LET(_xlpm.d,P$2:P$19,_xlpm.a,$C$2:$C$19=$C25,_xlpm.b,$D$2:$D$19=$D25,MAX(_xlfn._xlws.FILTER(_xlpm.d,_xlpm.a*_xlpm.b)))</f>
        <v>0.59</v>
      </c>
      <c r="Q25" s="1" cm="1">
        <f t="array" ref="Q25">_xlfn.LET(_xlpm.d,Q$2:Q$19,_xlpm.a,$C$2:$C$19=$C25,_xlpm.b,$D$2:$D$19=$D25,MAX(_xlfn._xlws.FILTER(_xlpm.d,_xlpm.a*_xlpm.b)))</f>
        <v>0.51</v>
      </c>
      <c r="R25" s="1" cm="1">
        <f t="array" ref="R25">_xlfn.LET(_xlpm.d,R$2:R$19,_xlpm.a,$C$2:$C$19=$C25,_xlpm.b,$D$2:$D$19=$D25,MAX(_xlfn._xlws.FILTER(_xlpm.d,_xlpm.a*_xlpm.b)))</f>
        <v>0.53</v>
      </c>
      <c r="S25" s="1" cm="1">
        <f t="array" ref="S25">_xlfn.LET(_xlpm.d,S$2:S$19,_xlpm.a,$C$2:$C$19=$C25,_xlpm.b,$D$2:$D$19=$D25,MAX(_xlfn._xlws.FILTER(_xlpm.d,_xlpm.a*_xlpm.b)))</f>
        <v>0.61</v>
      </c>
    </row>
    <row r="26" spans="1:19" ht="25" customHeight="1">
      <c r="B26">
        <v>2</v>
      </c>
      <c r="C26" t="s">
        <v>30</v>
      </c>
      <c r="D26" t="b">
        <v>0</v>
      </c>
      <c r="E26">
        <v>0</v>
      </c>
      <c r="F26" t="s">
        <v>24</v>
      </c>
      <c r="G26" s="1" cm="1">
        <f t="array" ref="G26">_xlfn.LET(_xlpm.d,G$2:G$19,_xlpm.a,$C$2:$C$19=$C26,_xlpm.b,$D$2:$D$19=$D26,MAX(_xlfn._xlws.FILTER(_xlpm.d,_xlpm.a*_xlpm.b)))</f>
        <v>0.56000000000000005</v>
      </c>
      <c r="H26" s="1" cm="1">
        <f t="array" ref="H26">_xlfn.LET(_xlpm.d,H$2:H$19,_xlpm.a,$C$2:$C$19=$C26,_xlpm.b,$D$2:$D$19=$D26,MAX(_xlfn._xlws.FILTER(_xlpm.d,_xlpm.a*_xlpm.b)))</f>
        <v>0.51</v>
      </c>
      <c r="I26" s="1" cm="1">
        <f t="array" ref="I26">_xlfn.LET(_xlpm.d,I$2:I$19,_xlpm.a,$C$2:$C$19=$C26,_xlpm.b,$D$2:$D$19=$D26,MAX(_xlfn._xlws.FILTER(_xlpm.d,_xlpm.a*_xlpm.b)))</f>
        <v>0.53</v>
      </c>
      <c r="J26" s="1" cm="1">
        <f t="array" ref="J26">_xlfn.LET(_xlpm.d,J$2:J$19,_xlpm.a,$C$2:$C$19=$C26,_xlpm.b,$D$2:$D$19=$D26,MAX(_xlfn._xlws.FILTER(_xlpm.d,_xlpm.a*_xlpm.b)))</f>
        <v>0.55000000000000004</v>
      </c>
      <c r="K26" s="1" cm="1">
        <f t="array" ref="K26">_xlfn.LET(_xlpm.d,K$2:K$19,_xlpm.a,$C$2:$C$19=$C26,_xlpm.b,$D$2:$D$19=$D26,MAX(_xlfn._xlws.FILTER(_xlpm.d,_xlpm.a*_xlpm.b)))</f>
        <v>0.49</v>
      </c>
      <c r="L26" s="1" cm="1">
        <f t="array" ref="L26">_xlfn.LET(_xlpm.d,L$2:L$19,_xlpm.a,$C$2:$C$19=$C26,_xlpm.b,$D$2:$D$19=$D26,MAX(_xlfn._xlws.FILTER(_xlpm.d,_xlpm.a*_xlpm.b)))</f>
        <v>0.5</v>
      </c>
      <c r="M26" s="1" cm="1">
        <f t="array" ref="M26">_xlfn.LET(_xlpm.d,M$2:M$19,_xlpm.a,$C$2:$C$19=$C26,_xlpm.b,$D$2:$D$19=$D26,MAX(_xlfn._xlws.FILTER(_xlpm.d,_xlpm.a*_xlpm.b)))</f>
        <v>0.52</v>
      </c>
      <c r="N26" s="1" cm="1">
        <f t="array" ref="N26">_xlfn.LET(_xlpm.d,N$2:N$19,_xlpm.a,$C$2:$C$19=$C26,_xlpm.b,$D$2:$D$19=$D26,MAX(_xlfn._xlws.FILTER(_xlpm.d,_xlpm.a*_xlpm.b)))</f>
        <v>0.61</v>
      </c>
      <c r="O26" s="1" cm="1">
        <f t="array" ref="O26">_xlfn.LET(_xlpm.d,O$2:O$19,_xlpm.a,$C$2:$C$19=$C26,_xlpm.b,$D$2:$D$19=$D26,MAX(_xlfn._xlws.FILTER(_xlpm.d,_xlpm.a*_xlpm.b)))</f>
        <v>0.57999999999999996</v>
      </c>
      <c r="P26" s="1" cm="1">
        <f t="array" ref="P26">_xlfn.LET(_xlpm.d,P$2:P$19,_xlpm.a,$C$2:$C$19=$C26,_xlpm.b,$D$2:$D$19=$D26,MAX(_xlfn._xlws.FILTER(_xlpm.d,_xlpm.a*_xlpm.b)))</f>
        <v>0.56000000000000005</v>
      </c>
      <c r="Q26" s="1" cm="1">
        <f t="array" ref="Q26">_xlfn.LET(_xlpm.d,Q$2:Q$19,_xlpm.a,$C$2:$C$19=$C26,_xlpm.b,$D$2:$D$19=$D26,MAX(_xlfn._xlws.FILTER(_xlpm.d,_xlpm.a*_xlpm.b)))</f>
        <v>0.53</v>
      </c>
      <c r="R26" s="1" cm="1">
        <f t="array" ref="R26">_xlfn.LET(_xlpm.d,R$2:R$19,_xlpm.a,$C$2:$C$19=$C26,_xlpm.b,$D$2:$D$19=$D26,MAX(_xlfn._xlws.FILTER(_xlpm.d,_xlpm.a*_xlpm.b)))</f>
        <v>0.53</v>
      </c>
      <c r="S26" s="1" cm="1">
        <f t="array" ref="S26">_xlfn.LET(_xlpm.d,S$2:S$19,_xlpm.a,$C$2:$C$19=$C26,_xlpm.b,$D$2:$D$19=$D26,MAX(_xlfn._xlws.FILTER(_xlpm.d,_xlpm.a*_xlpm.b)))</f>
        <v>0.61</v>
      </c>
    </row>
    <row r="27" spans="1:19" ht="25" customHeight="1">
      <c r="B27">
        <v>3</v>
      </c>
      <c r="C27" t="s">
        <v>31</v>
      </c>
      <c r="D27" t="b">
        <v>1</v>
      </c>
      <c r="E27">
        <v>0</v>
      </c>
      <c r="F27" t="s">
        <v>24</v>
      </c>
      <c r="G27" s="1" cm="1">
        <f t="array" ref="G27">_xlfn.LET(_xlpm.d,G$2:G$19,_xlpm.a,$C$2:$C$19=$C27,_xlpm.b,$D$2:$D$19=$D27,MAX(_xlfn._xlws.FILTER(_xlpm.d,_xlpm.a*_xlpm.b)))</f>
        <v>0.37</v>
      </c>
      <c r="H27" s="1" cm="1">
        <f t="array" ref="H27">_xlfn.LET(_xlpm.d,H$2:H$19,_xlpm.a,$C$2:$C$19=$C27,_xlpm.b,$D$2:$D$19=$D27,MAX(_xlfn._xlws.FILTER(_xlpm.d,_xlpm.a*_xlpm.b)))</f>
        <v>0.43</v>
      </c>
      <c r="I27" s="1" cm="1">
        <f t="array" ref="I27">_xlfn.LET(_xlpm.d,I$2:I$19,_xlpm.a,$C$2:$C$19=$C27,_xlpm.b,$D$2:$D$19=$D27,MAX(_xlfn._xlws.FILTER(_xlpm.d,_xlpm.a*_xlpm.b)))</f>
        <v>0.5</v>
      </c>
      <c r="J27" s="1" cm="1">
        <f t="array" ref="J27">_xlfn.LET(_xlpm.d,J$2:J$19,_xlpm.a,$C$2:$C$19=$C27,_xlpm.b,$D$2:$D$19=$D27,MAX(_xlfn._xlws.FILTER(_xlpm.d,_xlpm.a*_xlpm.b)))</f>
        <v>0.33</v>
      </c>
      <c r="K27" s="1" cm="1">
        <f t="array" ref="K27">_xlfn.LET(_xlpm.d,K$2:K$19,_xlpm.a,$C$2:$C$19=$C27,_xlpm.b,$D$2:$D$19=$D27,MAX(_xlfn._xlws.FILTER(_xlpm.d,_xlpm.a*_xlpm.b)))</f>
        <v>0.42</v>
      </c>
      <c r="L27" s="1" cm="1">
        <f t="array" ref="L27">_xlfn.LET(_xlpm.d,L$2:L$19,_xlpm.a,$C$2:$C$19=$C27,_xlpm.b,$D$2:$D$19=$D27,MAX(_xlfn._xlws.FILTER(_xlpm.d,_xlpm.a*_xlpm.b)))</f>
        <v>0.46</v>
      </c>
      <c r="M27" s="1" cm="1">
        <f t="array" ref="M27">_xlfn.LET(_xlpm.d,M$2:M$19,_xlpm.a,$C$2:$C$19=$C27,_xlpm.b,$D$2:$D$19=$D27,MAX(_xlfn._xlws.FILTER(_xlpm.d,_xlpm.a*_xlpm.b)))</f>
        <v>0.4</v>
      </c>
      <c r="N27" s="1" cm="1">
        <f t="array" ref="N27">_xlfn.LET(_xlpm.d,N$2:N$19,_xlpm.a,$C$2:$C$19=$C27,_xlpm.b,$D$2:$D$19=$D27,MAX(_xlfn._xlws.FILTER(_xlpm.d,_xlpm.a*_xlpm.b)))</f>
        <v>0.45</v>
      </c>
      <c r="O27" s="1" cm="1">
        <f t="array" ref="O27">_xlfn.LET(_xlpm.d,O$2:O$19,_xlpm.a,$C$2:$C$19=$C27,_xlpm.b,$D$2:$D$19=$D27,MAX(_xlfn._xlws.FILTER(_xlpm.d,_xlpm.a*_xlpm.b)))</f>
        <v>0.39</v>
      </c>
      <c r="P27" s="1" cm="1">
        <f t="array" ref="P27">_xlfn.LET(_xlpm.d,P$2:P$19,_xlpm.a,$C$2:$C$19=$C27,_xlpm.b,$D$2:$D$19=$D27,MAX(_xlfn._xlws.FILTER(_xlpm.d,_xlpm.a*_xlpm.b)))</f>
        <v>0.38</v>
      </c>
      <c r="Q27" s="1" cm="1">
        <f t="array" ref="Q27">_xlfn.LET(_xlpm.d,Q$2:Q$19,_xlpm.a,$C$2:$C$19=$C27,_xlpm.b,$D$2:$D$19=$D27,MAX(_xlfn._xlws.FILTER(_xlpm.d,_xlpm.a*_xlpm.b)))</f>
        <v>0.38</v>
      </c>
      <c r="R27" s="1" cm="1">
        <f t="array" ref="R27">_xlfn.LET(_xlpm.d,R$2:R$19,_xlpm.a,$C$2:$C$19=$C27,_xlpm.b,$D$2:$D$19=$D27,MAX(_xlfn._xlws.FILTER(_xlpm.d,_xlpm.a*_xlpm.b)))</f>
        <v>0.42</v>
      </c>
      <c r="S27" s="1" cm="1">
        <f t="array" ref="S27">_xlfn.LET(_xlpm.d,S$2:S$19,_xlpm.a,$C$2:$C$19=$C27,_xlpm.b,$D$2:$D$19=$D27,MAX(_xlfn._xlws.FILTER(_xlpm.d,_xlpm.a*_xlpm.b)))</f>
        <v>0.5</v>
      </c>
    </row>
    <row r="28" spans="1:19" ht="25" customHeight="1">
      <c r="B28">
        <v>3</v>
      </c>
      <c r="C28" t="s">
        <v>31</v>
      </c>
      <c r="D28" t="b">
        <v>0</v>
      </c>
      <c r="E28">
        <v>0</v>
      </c>
      <c r="F28" t="s">
        <v>24</v>
      </c>
      <c r="G28" s="1" cm="1">
        <f t="array" ref="G28">_xlfn.LET(_xlpm.d,G$2:G$19,_xlpm.a,$C$2:$C$19=$C28,_xlpm.b,$D$2:$D$19=$D28,MAX(_xlfn._xlws.FILTER(_xlpm.d,_xlpm.a*_xlpm.b)))</f>
        <v>0.39</v>
      </c>
      <c r="H28" s="1" cm="1">
        <f t="array" ref="H28">_xlfn.LET(_xlpm.d,H$2:H$19,_xlpm.a,$C$2:$C$19=$C28,_xlpm.b,$D$2:$D$19=$D28,MAX(_xlfn._xlws.FILTER(_xlpm.d,_xlpm.a*_xlpm.b)))</f>
        <v>0.39</v>
      </c>
      <c r="I28" s="1" cm="1">
        <f t="array" ref="I28">_xlfn.LET(_xlpm.d,I$2:I$19,_xlpm.a,$C$2:$C$19=$C28,_xlpm.b,$D$2:$D$19=$D28,MAX(_xlfn._xlws.FILTER(_xlpm.d,_xlpm.a*_xlpm.b)))</f>
        <v>0.46</v>
      </c>
      <c r="J28" s="1" cm="1">
        <f t="array" ref="J28">_xlfn.LET(_xlpm.d,J$2:J$19,_xlpm.a,$C$2:$C$19=$C28,_xlpm.b,$D$2:$D$19=$D28,MAX(_xlfn._xlws.FILTER(_xlpm.d,_xlpm.a*_xlpm.b)))</f>
        <v>0.38</v>
      </c>
      <c r="K28" s="1" cm="1">
        <f t="array" ref="K28">_xlfn.LET(_xlpm.d,K$2:K$19,_xlpm.a,$C$2:$C$19=$C28,_xlpm.b,$D$2:$D$19=$D28,MAX(_xlfn._xlws.FILTER(_xlpm.d,_xlpm.a*_xlpm.b)))</f>
        <v>0.39</v>
      </c>
      <c r="L28" s="1" cm="1">
        <f t="array" ref="L28">_xlfn.LET(_xlpm.d,L$2:L$19,_xlpm.a,$C$2:$C$19=$C28,_xlpm.b,$D$2:$D$19=$D28,MAX(_xlfn._xlws.FILTER(_xlpm.d,_xlpm.a*_xlpm.b)))</f>
        <v>0.42</v>
      </c>
      <c r="M28" s="1" cm="1">
        <f t="array" ref="M28">_xlfn.LET(_xlpm.d,M$2:M$19,_xlpm.a,$C$2:$C$19=$C28,_xlpm.b,$D$2:$D$19=$D28,MAX(_xlfn._xlws.FILTER(_xlpm.d,_xlpm.a*_xlpm.b)))</f>
        <v>0.46</v>
      </c>
      <c r="N28" s="1" cm="1">
        <f t="array" ref="N28">_xlfn.LET(_xlpm.d,N$2:N$19,_xlpm.a,$C$2:$C$19=$C28,_xlpm.b,$D$2:$D$19=$D28,MAX(_xlfn._xlws.FILTER(_xlpm.d,_xlpm.a*_xlpm.b)))</f>
        <v>0.43</v>
      </c>
      <c r="O28" s="1" cm="1">
        <f t="array" ref="O28">_xlfn.LET(_xlpm.d,O$2:O$19,_xlpm.a,$C$2:$C$19=$C28,_xlpm.b,$D$2:$D$19=$D28,MAX(_xlfn._xlws.FILTER(_xlpm.d,_xlpm.a*_xlpm.b)))</f>
        <v>0.36</v>
      </c>
      <c r="P28" s="1" cm="1">
        <f t="array" ref="P28">_xlfn.LET(_xlpm.d,P$2:P$19,_xlpm.a,$C$2:$C$19=$C28,_xlpm.b,$D$2:$D$19=$D28,MAX(_xlfn._xlws.FILTER(_xlpm.d,_xlpm.a*_xlpm.b)))</f>
        <v>0.38</v>
      </c>
      <c r="Q28" s="1" cm="1">
        <f t="array" ref="Q28">_xlfn.LET(_xlpm.d,Q$2:Q$19,_xlpm.a,$C$2:$C$19=$C28,_xlpm.b,$D$2:$D$19=$D28,MAX(_xlfn._xlws.FILTER(_xlpm.d,_xlpm.a*_xlpm.b)))</f>
        <v>0.36</v>
      </c>
      <c r="R28" s="1" cm="1">
        <f t="array" ref="R28">_xlfn.LET(_xlpm.d,R$2:R$19,_xlpm.a,$C$2:$C$19=$C28,_xlpm.b,$D$2:$D$19=$D28,MAX(_xlfn._xlws.FILTER(_xlpm.d,_xlpm.a*_xlpm.b)))</f>
        <v>0.45</v>
      </c>
      <c r="S28" s="1" cm="1">
        <f t="array" ref="S28">_xlfn.LET(_xlpm.d,S$2:S$19,_xlpm.a,$C$2:$C$19=$C28,_xlpm.b,$D$2:$D$19=$D28,MAX(_xlfn._xlws.FILTER(_xlpm.d,_xlpm.a*_xlpm.b)))</f>
        <v>0.46</v>
      </c>
    </row>
  </sheetData>
  <conditionalFormatting sqref="G2:S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4E4E-B92A-C448-B18B-D9F7978AAA27}">
  <dimension ref="A1:S28"/>
  <sheetViews>
    <sheetView topLeftCell="B1" workbookViewId="0">
      <pane xSplit="12480" ySplit="3960" topLeftCell="P22" activePane="bottomLeft"/>
      <selection activeCell="G1" sqref="G1:S1048576"/>
      <selection pane="topRight" activeCell="S3" sqref="S3"/>
      <selection pane="bottomLeft" activeCell="F26" sqref="F26"/>
      <selection pane="bottomRight" activeCell="S16" sqref="S16"/>
    </sheetView>
  </sheetViews>
  <sheetFormatPr baseColWidth="10" defaultRowHeight="25" customHeight="1"/>
  <cols>
    <col min="1" max="1" width="9.5" customWidth="1"/>
    <col min="2" max="2" width="7.375" customWidth="1"/>
    <col min="4" max="4" width="10.125" customWidth="1"/>
    <col min="5" max="6" width="7.75" customWidth="1"/>
    <col min="7" max="19" width="7.875" customWidth="1"/>
  </cols>
  <sheetData>
    <row r="1" spans="1:19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21</v>
      </c>
      <c r="Q1" t="s">
        <v>22</v>
      </c>
      <c r="R1" t="s">
        <v>23</v>
      </c>
      <c r="S1" t="s">
        <v>24</v>
      </c>
    </row>
    <row r="2" spans="1:19" ht="25" customHeight="1">
      <c r="A2" t="s">
        <v>25</v>
      </c>
      <c r="B2">
        <v>1</v>
      </c>
      <c r="C2" t="s">
        <v>26</v>
      </c>
      <c r="D2" t="b">
        <v>1</v>
      </c>
      <c r="E2">
        <v>1</v>
      </c>
      <c r="F2" t="s">
        <v>27</v>
      </c>
      <c r="G2" s="1">
        <v>0.81</v>
      </c>
      <c r="H2" s="1">
        <v>0.82</v>
      </c>
      <c r="I2" s="1">
        <v>0.81</v>
      </c>
      <c r="J2" s="1">
        <v>0.82</v>
      </c>
      <c r="K2" s="1">
        <v>0.71</v>
      </c>
      <c r="L2" s="1">
        <v>0.77</v>
      </c>
      <c r="M2" s="1">
        <v>0.86</v>
      </c>
      <c r="N2" s="1">
        <v>0.76</v>
      </c>
      <c r="O2" s="1">
        <v>0.79</v>
      </c>
      <c r="P2" s="1">
        <v>0.82</v>
      </c>
      <c r="Q2" s="1">
        <v>0.81</v>
      </c>
      <c r="R2" s="1">
        <v>0.72</v>
      </c>
      <c r="S2" s="1">
        <f t="shared" ref="S2:S19" si="0">MAX($G2:$R2)</f>
        <v>0.86</v>
      </c>
    </row>
    <row r="3" spans="1:19" ht="25" customHeight="1">
      <c r="A3" t="s">
        <v>25</v>
      </c>
      <c r="B3">
        <v>1</v>
      </c>
      <c r="C3" t="s">
        <v>26</v>
      </c>
      <c r="D3" t="b">
        <v>0</v>
      </c>
      <c r="E3">
        <v>1</v>
      </c>
      <c r="F3" t="s">
        <v>27</v>
      </c>
      <c r="G3" s="1">
        <v>0.73</v>
      </c>
      <c r="H3" s="1">
        <v>0.78</v>
      </c>
      <c r="I3" s="1">
        <v>0.75</v>
      </c>
      <c r="J3" s="1">
        <v>0.7</v>
      </c>
      <c r="K3" s="1">
        <v>0.76</v>
      </c>
      <c r="L3" s="1">
        <v>0.8</v>
      </c>
      <c r="M3" s="1">
        <v>0.76</v>
      </c>
      <c r="N3" s="1">
        <v>0.73</v>
      </c>
      <c r="O3" s="1">
        <v>0.82</v>
      </c>
      <c r="P3" s="1">
        <v>0.74</v>
      </c>
      <c r="Q3" s="1">
        <v>0.79</v>
      </c>
      <c r="R3" s="1">
        <v>0.78</v>
      </c>
      <c r="S3" s="1">
        <f t="shared" si="0"/>
        <v>0.82</v>
      </c>
    </row>
    <row r="4" spans="1:19" ht="25" customHeight="1">
      <c r="A4" t="s">
        <v>25</v>
      </c>
      <c r="B4">
        <v>1</v>
      </c>
      <c r="C4" t="s">
        <v>26</v>
      </c>
      <c r="D4" t="b">
        <v>0</v>
      </c>
      <c r="E4">
        <v>2</v>
      </c>
      <c r="F4" t="s">
        <v>28</v>
      </c>
      <c r="G4" s="1">
        <v>0.72</v>
      </c>
      <c r="H4" s="1">
        <v>0.85</v>
      </c>
      <c r="I4" s="1">
        <v>0.73</v>
      </c>
      <c r="J4" s="1">
        <v>0.78</v>
      </c>
      <c r="K4" s="1">
        <v>0.82</v>
      </c>
      <c r="L4" s="1">
        <v>0.78</v>
      </c>
      <c r="M4" s="1">
        <v>0.75</v>
      </c>
      <c r="N4" s="1">
        <v>0.76</v>
      </c>
      <c r="O4" s="1">
        <v>0.82</v>
      </c>
      <c r="P4" s="1">
        <v>0.82</v>
      </c>
      <c r="Q4" s="1">
        <v>0.85</v>
      </c>
      <c r="R4" s="1">
        <v>0.73</v>
      </c>
      <c r="S4" s="1">
        <f t="shared" si="0"/>
        <v>0.85</v>
      </c>
    </row>
    <row r="5" spans="1:19" ht="25" customHeight="1">
      <c r="A5" t="s">
        <v>25</v>
      </c>
      <c r="B5">
        <v>1</v>
      </c>
      <c r="C5" t="s">
        <v>26</v>
      </c>
      <c r="D5" t="b">
        <v>1</v>
      </c>
      <c r="E5">
        <v>2</v>
      </c>
      <c r="F5" t="s">
        <v>28</v>
      </c>
      <c r="G5" s="1">
        <v>0.82</v>
      </c>
      <c r="H5" s="1">
        <v>0.89</v>
      </c>
      <c r="I5" s="1">
        <v>0.82</v>
      </c>
      <c r="J5" s="1">
        <v>0.82</v>
      </c>
      <c r="K5" s="1">
        <v>0.79</v>
      </c>
      <c r="L5" s="1">
        <v>0.81</v>
      </c>
      <c r="M5" s="1">
        <v>0.85</v>
      </c>
      <c r="N5" s="1">
        <v>0.8</v>
      </c>
      <c r="O5" s="1">
        <v>0.84</v>
      </c>
      <c r="P5" s="1">
        <v>0.85</v>
      </c>
      <c r="Q5" s="1">
        <v>0.85</v>
      </c>
      <c r="R5" s="1">
        <v>0.77</v>
      </c>
      <c r="S5" s="1">
        <f t="shared" si="0"/>
        <v>0.89</v>
      </c>
    </row>
    <row r="6" spans="1:19" ht="25" customHeight="1">
      <c r="A6" t="s">
        <v>25</v>
      </c>
      <c r="B6">
        <v>1</v>
      </c>
      <c r="C6" t="s">
        <v>26</v>
      </c>
      <c r="D6" t="b">
        <v>0</v>
      </c>
      <c r="E6">
        <v>3</v>
      </c>
      <c r="F6" t="s">
        <v>29</v>
      </c>
      <c r="G6" s="1">
        <v>0.73</v>
      </c>
      <c r="H6" s="1">
        <v>0.76</v>
      </c>
      <c r="I6" s="1">
        <v>0.69</v>
      </c>
      <c r="J6" s="1">
        <v>0.77</v>
      </c>
      <c r="K6" s="1">
        <v>0.79</v>
      </c>
      <c r="L6" s="1">
        <v>0.79</v>
      </c>
      <c r="M6" s="1">
        <v>0.76</v>
      </c>
      <c r="N6" s="1">
        <v>0.68</v>
      </c>
      <c r="O6" s="1">
        <v>0.76</v>
      </c>
      <c r="P6" s="1">
        <v>0.76</v>
      </c>
      <c r="Q6" s="1">
        <v>0.83</v>
      </c>
      <c r="R6" s="1">
        <v>0.73</v>
      </c>
      <c r="S6" s="1">
        <f t="shared" si="0"/>
        <v>0.83</v>
      </c>
    </row>
    <row r="7" spans="1:19" ht="25" customHeight="1">
      <c r="A7" t="s">
        <v>25</v>
      </c>
      <c r="B7">
        <v>1</v>
      </c>
      <c r="C7" t="s">
        <v>26</v>
      </c>
      <c r="D7" t="b">
        <v>1</v>
      </c>
      <c r="E7">
        <v>3</v>
      </c>
      <c r="F7" t="s">
        <v>29</v>
      </c>
      <c r="G7" s="1">
        <v>0.81</v>
      </c>
      <c r="H7" s="1">
        <v>0.84</v>
      </c>
      <c r="I7" s="1">
        <v>0.73</v>
      </c>
      <c r="J7" s="1">
        <v>0.74</v>
      </c>
      <c r="K7" s="1">
        <v>0.74</v>
      </c>
      <c r="L7" s="1">
        <v>0.77</v>
      </c>
      <c r="M7" s="1">
        <v>0.73</v>
      </c>
      <c r="N7" s="1">
        <v>0.72</v>
      </c>
      <c r="O7" s="1">
        <v>0.77</v>
      </c>
      <c r="P7" s="1">
        <v>0.74</v>
      </c>
      <c r="Q7" s="1">
        <v>0.78</v>
      </c>
      <c r="R7" s="1">
        <v>0.72</v>
      </c>
      <c r="S7" s="1">
        <f t="shared" si="0"/>
        <v>0.84</v>
      </c>
    </row>
    <row r="8" spans="1:19" ht="25" customHeight="1">
      <c r="A8" t="s">
        <v>25</v>
      </c>
      <c r="B8">
        <v>2</v>
      </c>
      <c r="C8" t="s">
        <v>30</v>
      </c>
      <c r="D8" t="b">
        <v>0</v>
      </c>
      <c r="E8">
        <v>1</v>
      </c>
      <c r="F8" t="s">
        <v>27</v>
      </c>
      <c r="G8" s="1">
        <v>0.45</v>
      </c>
      <c r="H8" s="1">
        <v>0.55000000000000004</v>
      </c>
      <c r="I8" s="1">
        <v>0.44</v>
      </c>
      <c r="J8" s="1">
        <v>0.52</v>
      </c>
      <c r="K8" s="1">
        <v>0.35</v>
      </c>
      <c r="L8" s="1">
        <v>0.5</v>
      </c>
      <c r="M8" s="1">
        <v>0.44</v>
      </c>
      <c r="N8" s="1">
        <v>0.54</v>
      </c>
      <c r="O8" s="1">
        <v>0.5</v>
      </c>
      <c r="P8" s="1">
        <v>0.5</v>
      </c>
      <c r="Q8" s="1">
        <v>0.5</v>
      </c>
      <c r="R8" s="1">
        <v>0.49</v>
      </c>
      <c r="S8" s="1">
        <f t="shared" si="0"/>
        <v>0.55000000000000004</v>
      </c>
    </row>
    <row r="9" spans="1:19" ht="25" customHeight="1">
      <c r="A9" t="s">
        <v>25</v>
      </c>
      <c r="B9">
        <v>2</v>
      </c>
      <c r="C9" t="s">
        <v>30</v>
      </c>
      <c r="D9" t="b">
        <v>0</v>
      </c>
      <c r="E9">
        <v>2</v>
      </c>
      <c r="F9" t="s">
        <v>28</v>
      </c>
      <c r="G9" s="1">
        <v>0.48</v>
      </c>
      <c r="H9" s="1">
        <v>0.56999999999999995</v>
      </c>
      <c r="I9" s="1">
        <v>0.54</v>
      </c>
      <c r="J9" s="1">
        <v>0.55000000000000004</v>
      </c>
      <c r="K9" s="1">
        <v>0.48</v>
      </c>
      <c r="L9" s="1">
        <v>0.63</v>
      </c>
      <c r="M9" s="1">
        <v>0.54</v>
      </c>
      <c r="N9" s="1">
        <v>0.55000000000000004</v>
      </c>
      <c r="O9" s="1">
        <v>0.5</v>
      </c>
      <c r="P9" s="1">
        <v>0.54</v>
      </c>
      <c r="Q9" s="1">
        <v>0.52</v>
      </c>
      <c r="R9" s="1">
        <v>0.56999999999999995</v>
      </c>
      <c r="S9" s="1">
        <f t="shared" si="0"/>
        <v>0.63</v>
      </c>
    </row>
    <row r="10" spans="1:19" ht="25" customHeight="1">
      <c r="A10" t="s">
        <v>25</v>
      </c>
      <c r="B10">
        <v>2</v>
      </c>
      <c r="C10" t="s">
        <v>30</v>
      </c>
      <c r="D10" t="b">
        <v>0</v>
      </c>
      <c r="E10">
        <v>3</v>
      </c>
      <c r="F10" t="s">
        <v>29</v>
      </c>
      <c r="G10" s="1">
        <v>0.46</v>
      </c>
      <c r="H10" s="1">
        <v>0.52</v>
      </c>
      <c r="I10" s="1">
        <v>0.46</v>
      </c>
      <c r="J10" s="1">
        <v>0.49</v>
      </c>
      <c r="K10" s="1">
        <v>0.52</v>
      </c>
      <c r="L10" s="1">
        <v>0.54</v>
      </c>
      <c r="M10" s="1">
        <v>0.5</v>
      </c>
      <c r="N10" s="1">
        <v>0.48</v>
      </c>
      <c r="O10" s="1">
        <v>0.52</v>
      </c>
      <c r="P10" s="1">
        <v>0.52</v>
      </c>
      <c r="Q10" s="1">
        <v>0.5</v>
      </c>
      <c r="R10" s="1">
        <v>0.57999999999999996</v>
      </c>
      <c r="S10" s="1">
        <f t="shared" si="0"/>
        <v>0.57999999999999996</v>
      </c>
    </row>
    <row r="11" spans="1:19" ht="25" customHeight="1">
      <c r="A11" t="s">
        <v>25</v>
      </c>
      <c r="B11">
        <v>2</v>
      </c>
      <c r="C11" t="s">
        <v>30</v>
      </c>
      <c r="D11" t="b">
        <v>1</v>
      </c>
      <c r="E11">
        <v>2</v>
      </c>
      <c r="F11" t="s">
        <v>28</v>
      </c>
      <c r="G11" s="1">
        <v>0.5</v>
      </c>
      <c r="H11" s="1">
        <v>0.56999999999999995</v>
      </c>
      <c r="I11" s="1">
        <v>0.55000000000000004</v>
      </c>
      <c r="J11" s="1">
        <v>0.53</v>
      </c>
      <c r="K11" s="1">
        <v>0.48</v>
      </c>
      <c r="L11" s="1">
        <v>0.56999999999999995</v>
      </c>
      <c r="M11" s="1">
        <v>0.54</v>
      </c>
      <c r="N11" s="1">
        <v>0.53</v>
      </c>
      <c r="O11" s="1">
        <v>0.54</v>
      </c>
      <c r="P11" s="1">
        <v>0.56999999999999995</v>
      </c>
      <c r="Q11" s="1">
        <v>0.55000000000000004</v>
      </c>
      <c r="R11" s="1">
        <v>0.54</v>
      </c>
      <c r="S11" s="1">
        <f t="shared" si="0"/>
        <v>0.56999999999999995</v>
      </c>
    </row>
    <row r="12" spans="1:19" ht="25" customHeight="1">
      <c r="A12" t="s">
        <v>25</v>
      </c>
      <c r="B12">
        <v>2</v>
      </c>
      <c r="C12" t="s">
        <v>30</v>
      </c>
      <c r="D12" t="b">
        <v>1</v>
      </c>
      <c r="E12">
        <v>3</v>
      </c>
      <c r="F12" t="s">
        <v>29</v>
      </c>
      <c r="G12" s="1">
        <v>0.45</v>
      </c>
      <c r="H12" s="1">
        <v>0.55000000000000004</v>
      </c>
      <c r="I12" s="1">
        <v>0.48</v>
      </c>
      <c r="J12" s="1">
        <v>0.52</v>
      </c>
      <c r="K12" s="1">
        <v>0.52</v>
      </c>
      <c r="L12" s="1">
        <v>0.52</v>
      </c>
      <c r="M12" s="1">
        <v>0.48</v>
      </c>
      <c r="N12" s="1">
        <v>0.51</v>
      </c>
      <c r="O12" s="1">
        <v>0.54</v>
      </c>
      <c r="P12" s="1">
        <v>0.55000000000000004</v>
      </c>
      <c r="Q12" s="1">
        <v>0.55000000000000004</v>
      </c>
      <c r="R12" s="1">
        <v>0.57999999999999996</v>
      </c>
      <c r="S12" s="1">
        <f t="shared" si="0"/>
        <v>0.57999999999999996</v>
      </c>
    </row>
    <row r="13" spans="1:19" ht="25" customHeight="1">
      <c r="A13" t="s">
        <v>25</v>
      </c>
      <c r="B13">
        <v>2</v>
      </c>
      <c r="C13" t="s">
        <v>30</v>
      </c>
      <c r="D13" t="b">
        <v>1</v>
      </c>
      <c r="E13">
        <v>1</v>
      </c>
      <c r="F13" t="s">
        <v>27</v>
      </c>
      <c r="G13" s="1">
        <v>0.5</v>
      </c>
      <c r="H13" s="1">
        <v>0.44</v>
      </c>
      <c r="I13" s="1">
        <v>0.48</v>
      </c>
      <c r="J13" s="1">
        <v>0.5</v>
      </c>
      <c r="K13" s="1">
        <v>0.46</v>
      </c>
      <c r="L13" s="1">
        <v>0.46</v>
      </c>
      <c r="M13" s="1">
        <v>0.45</v>
      </c>
      <c r="N13" s="1">
        <v>0.49</v>
      </c>
      <c r="O13" s="1">
        <v>0.46</v>
      </c>
      <c r="P13" s="1">
        <v>0.52</v>
      </c>
      <c r="Q13" s="1">
        <v>0.41</v>
      </c>
      <c r="R13" s="1">
        <v>0.46</v>
      </c>
      <c r="S13" s="1">
        <f t="shared" si="0"/>
        <v>0.52</v>
      </c>
    </row>
    <row r="14" spans="1:19" ht="25" customHeight="1">
      <c r="A14" t="s">
        <v>25</v>
      </c>
      <c r="B14">
        <v>3</v>
      </c>
      <c r="C14" t="s">
        <v>31</v>
      </c>
      <c r="D14" t="b">
        <v>1</v>
      </c>
      <c r="E14">
        <v>3</v>
      </c>
      <c r="F14" t="s">
        <v>29</v>
      </c>
      <c r="G14" s="1">
        <v>0.37</v>
      </c>
      <c r="H14" s="1">
        <v>0.35</v>
      </c>
      <c r="I14" s="1">
        <v>0.33</v>
      </c>
      <c r="J14" s="1">
        <v>0.32</v>
      </c>
      <c r="K14" s="1">
        <v>0.41</v>
      </c>
      <c r="L14" s="1">
        <v>0.3</v>
      </c>
      <c r="M14" s="1">
        <v>0.32</v>
      </c>
      <c r="N14" s="1">
        <v>0.39</v>
      </c>
      <c r="O14" s="1">
        <v>0.28000000000000003</v>
      </c>
      <c r="P14" s="1">
        <v>0.4</v>
      </c>
      <c r="Q14" s="1">
        <v>0.38</v>
      </c>
      <c r="R14" s="1">
        <v>0.33</v>
      </c>
      <c r="S14" s="1">
        <f t="shared" si="0"/>
        <v>0.41</v>
      </c>
    </row>
    <row r="15" spans="1:19" ht="25" customHeight="1">
      <c r="A15" t="s">
        <v>25</v>
      </c>
      <c r="B15">
        <v>3</v>
      </c>
      <c r="C15" t="s">
        <v>31</v>
      </c>
      <c r="D15" t="b">
        <v>1</v>
      </c>
      <c r="E15">
        <v>1</v>
      </c>
      <c r="F15" t="s">
        <v>27</v>
      </c>
      <c r="G15" s="1">
        <v>0.33</v>
      </c>
      <c r="H15" s="1">
        <v>0.4</v>
      </c>
      <c r="I15" s="1">
        <v>0.24</v>
      </c>
      <c r="J15" s="1">
        <v>0.41</v>
      </c>
      <c r="K15" s="1">
        <v>0.38</v>
      </c>
      <c r="L15" s="1">
        <v>0.38</v>
      </c>
      <c r="M15" s="1">
        <v>0.33</v>
      </c>
      <c r="N15" s="1">
        <v>0.28000000000000003</v>
      </c>
      <c r="O15" s="1">
        <v>0.31</v>
      </c>
      <c r="P15" s="1">
        <v>0.46</v>
      </c>
      <c r="Q15" s="1">
        <v>0.37</v>
      </c>
      <c r="R15" s="1">
        <v>0.31</v>
      </c>
      <c r="S15" s="1">
        <f t="shared" si="0"/>
        <v>0.46</v>
      </c>
    </row>
    <row r="16" spans="1:19" ht="25" customHeight="1">
      <c r="A16" t="s">
        <v>25</v>
      </c>
      <c r="B16">
        <v>3</v>
      </c>
      <c r="C16" t="s">
        <v>31</v>
      </c>
      <c r="D16" t="b">
        <v>1</v>
      </c>
      <c r="E16">
        <v>2</v>
      </c>
      <c r="F16" t="s">
        <v>28</v>
      </c>
      <c r="G16" s="1">
        <v>0.39</v>
      </c>
      <c r="H16" s="1">
        <v>0.43</v>
      </c>
      <c r="I16" s="1">
        <v>0.36</v>
      </c>
      <c r="J16" s="1">
        <v>0.43</v>
      </c>
      <c r="K16" s="1">
        <v>0.43</v>
      </c>
      <c r="L16" s="1">
        <v>0.37</v>
      </c>
      <c r="M16" s="1">
        <v>0.36</v>
      </c>
      <c r="N16" s="1">
        <v>0.4</v>
      </c>
      <c r="O16" s="1">
        <v>0.4</v>
      </c>
      <c r="P16" s="1">
        <v>0.48</v>
      </c>
      <c r="Q16" s="1">
        <v>0.41</v>
      </c>
      <c r="R16" s="1">
        <v>0.32</v>
      </c>
      <c r="S16" s="1">
        <f t="shared" si="0"/>
        <v>0.48</v>
      </c>
    </row>
    <row r="17" spans="1:19" ht="25" customHeight="1">
      <c r="A17" t="s">
        <v>25</v>
      </c>
      <c r="B17">
        <v>3</v>
      </c>
      <c r="C17" t="s">
        <v>31</v>
      </c>
      <c r="D17" t="b">
        <v>0</v>
      </c>
      <c r="E17">
        <v>2</v>
      </c>
      <c r="F17" t="s">
        <v>28</v>
      </c>
      <c r="G17" s="1">
        <v>0.38</v>
      </c>
      <c r="H17" s="1">
        <v>0.37</v>
      </c>
      <c r="I17" s="1">
        <v>0.28999999999999998</v>
      </c>
      <c r="J17" s="1">
        <v>0.42</v>
      </c>
      <c r="K17" s="1">
        <v>0.41</v>
      </c>
      <c r="L17" s="1">
        <v>0.42</v>
      </c>
      <c r="M17" s="1">
        <v>0.36</v>
      </c>
      <c r="N17" s="1">
        <v>0.38</v>
      </c>
      <c r="O17" s="1">
        <v>0.33</v>
      </c>
      <c r="P17" s="1">
        <v>0.45</v>
      </c>
      <c r="Q17" s="1">
        <v>0.42</v>
      </c>
      <c r="R17" s="1">
        <v>0.34</v>
      </c>
      <c r="S17" s="1">
        <f t="shared" si="0"/>
        <v>0.45</v>
      </c>
    </row>
    <row r="18" spans="1:19" ht="25" customHeight="1">
      <c r="A18" t="s">
        <v>25</v>
      </c>
      <c r="B18">
        <v>3</v>
      </c>
      <c r="C18" t="s">
        <v>31</v>
      </c>
      <c r="D18" t="b">
        <v>0</v>
      </c>
      <c r="E18">
        <v>1</v>
      </c>
      <c r="F18" t="s">
        <v>27</v>
      </c>
      <c r="G18" s="1">
        <v>0.4</v>
      </c>
      <c r="H18" s="1">
        <v>0.38</v>
      </c>
      <c r="I18" s="1">
        <v>0.27</v>
      </c>
      <c r="J18" s="1">
        <v>0.38</v>
      </c>
      <c r="K18" s="1">
        <v>0.38</v>
      </c>
      <c r="L18" s="1">
        <v>0.37</v>
      </c>
      <c r="M18" s="1">
        <v>0.31</v>
      </c>
      <c r="N18" s="1">
        <v>0.4</v>
      </c>
      <c r="O18" s="1">
        <v>0.37</v>
      </c>
      <c r="P18" s="1">
        <v>0.35</v>
      </c>
      <c r="Q18" s="1">
        <v>0.41</v>
      </c>
      <c r="R18" s="1">
        <v>0.34</v>
      </c>
      <c r="S18" s="1">
        <f t="shared" si="0"/>
        <v>0.41</v>
      </c>
    </row>
    <row r="19" spans="1:19" ht="25" customHeight="1">
      <c r="A19" t="s">
        <v>25</v>
      </c>
      <c r="B19">
        <v>3</v>
      </c>
      <c r="C19" t="s">
        <v>31</v>
      </c>
      <c r="D19" t="b">
        <v>0</v>
      </c>
      <c r="E19">
        <v>3</v>
      </c>
      <c r="F19" t="s">
        <v>29</v>
      </c>
      <c r="G19" s="1">
        <v>0.37</v>
      </c>
      <c r="H19" s="1">
        <v>0.38</v>
      </c>
      <c r="I19" s="1">
        <v>0.31</v>
      </c>
      <c r="J19" s="1">
        <v>0.31</v>
      </c>
      <c r="K19" s="1">
        <v>0.42</v>
      </c>
      <c r="L19" s="1">
        <v>0.36</v>
      </c>
      <c r="M19" s="1">
        <v>0.35</v>
      </c>
      <c r="N19" s="1">
        <v>0.4</v>
      </c>
      <c r="O19" s="1">
        <v>0.27</v>
      </c>
      <c r="P19" s="1">
        <v>0.41</v>
      </c>
      <c r="Q19" s="1">
        <v>0.33</v>
      </c>
      <c r="R19" s="1">
        <v>0.33</v>
      </c>
      <c r="S19" s="1">
        <f t="shared" si="0"/>
        <v>0.42</v>
      </c>
    </row>
    <row r="22" spans="1:19" ht="25" customHeight="1">
      <c r="B22" t="s">
        <v>1</v>
      </c>
      <c r="C22" t="s">
        <v>2</v>
      </c>
      <c r="D22" t="s">
        <v>32</v>
      </c>
      <c r="E22" t="s">
        <v>4</v>
      </c>
      <c r="F22" t="s">
        <v>33</v>
      </c>
      <c r="G22" t="s">
        <v>6</v>
      </c>
      <c r="H22" t="s">
        <v>7</v>
      </c>
      <c r="I22" t="s">
        <v>8</v>
      </c>
      <c r="J22" t="s">
        <v>12</v>
      </c>
      <c r="K22" t="s">
        <v>13</v>
      </c>
      <c r="L22" t="s">
        <v>14</v>
      </c>
      <c r="M22" t="s">
        <v>15</v>
      </c>
      <c r="N22" t="s">
        <v>16</v>
      </c>
      <c r="O22" t="s">
        <v>17</v>
      </c>
      <c r="P22" t="s">
        <v>21</v>
      </c>
      <c r="Q22" t="s">
        <v>22</v>
      </c>
      <c r="R22" t="s">
        <v>23</v>
      </c>
      <c r="S22" t="s">
        <v>24</v>
      </c>
    </row>
    <row r="23" spans="1:19" ht="25" customHeight="1">
      <c r="B23">
        <v>1</v>
      </c>
      <c r="C23" t="s">
        <v>26</v>
      </c>
      <c r="D23" t="b">
        <v>1</v>
      </c>
      <c r="E23">
        <v>0</v>
      </c>
      <c r="F23" t="s">
        <v>24</v>
      </c>
      <c r="G23" s="1" cm="1">
        <f t="array" ref="G23">_xlfn.LET(_xlpm.d,G$2:G$19,_xlpm.a,$C$2:$C$19=$C23,_xlpm.b,$D$2:$D$19=$D23,MAX(_xlfn._xlws.FILTER(_xlpm.d,_xlpm.a*_xlpm.b)))</f>
        <v>0.82</v>
      </c>
      <c r="H23" s="1" cm="1">
        <f t="array" ref="H23">_xlfn.LET(_xlpm.d,H$2:H$19,_xlpm.a,$C$2:$C$19=$C23,_xlpm.b,$D$2:$D$19=$D23,MAX(_xlfn._xlws.FILTER(_xlpm.d,_xlpm.a*_xlpm.b)))</f>
        <v>0.89</v>
      </c>
      <c r="I23" s="1" cm="1">
        <f t="array" ref="I23">_xlfn.LET(_xlpm.d,I$2:I$19,_xlpm.a,$C$2:$C$19=$C23,_xlpm.b,$D$2:$D$19=$D23,MAX(_xlfn._xlws.FILTER(_xlpm.d,_xlpm.a*_xlpm.b)))</f>
        <v>0.82</v>
      </c>
      <c r="J23" s="1" cm="1">
        <f t="array" ref="J23">_xlfn.LET(_xlpm.d,J$2:J$19,_xlpm.a,$C$2:$C$19=$C23,_xlpm.b,$D$2:$D$19=$D23,MAX(_xlfn._xlws.FILTER(_xlpm.d,_xlpm.a*_xlpm.b)))</f>
        <v>0.82</v>
      </c>
      <c r="K23" s="1" cm="1">
        <f t="array" ref="K23">_xlfn.LET(_xlpm.d,K$2:K$19,_xlpm.a,$C$2:$C$19=$C23,_xlpm.b,$D$2:$D$19=$D23,MAX(_xlfn._xlws.FILTER(_xlpm.d,_xlpm.a*_xlpm.b)))</f>
        <v>0.79</v>
      </c>
      <c r="L23" s="1" cm="1">
        <f t="array" ref="L23">_xlfn.LET(_xlpm.d,L$2:L$19,_xlpm.a,$C$2:$C$19=$C23,_xlpm.b,$D$2:$D$19=$D23,MAX(_xlfn._xlws.FILTER(_xlpm.d,_xlpm.a*_xlpm.b)))</f>
        <v>0.81</v>
      </c>
      <c r="M23" s="1" cm="1">
        <f t="array" ref="M23">_xlfn.LET(_xlpm.d,M$2:M$19,_xlpm.a,$C$2:$C$19=$C23,_xlpm.b,$D$2:$D$19=$D23,MAX(_xlfn._xlws.FILTER(_xlpm.d,_xlpm.a*_xlpm.b)))</f>
        <v>0.86</v>
      </c>
      <c r="N23" s="1" cm="1">
        <f t="array" ref="N23">_xlfn.LET(_xlpm.d,N$2:N$19,_xlpm.a,$C$2:$C$19=$C23,_xlpm.b,$D$2:$D$19=$D23,MAX(_xlfn._xlws.FILTER(_xlpm.d,_xlpm.a*_xlpm.b)))</f>
        <v>0.8</v>
      </c>
      <c r="O23" s="1" cm="1">
        <f t="array" ref="O23">_xlfn.LET(_xlpm.d,O$2:O$19,_xlpm.a,$C$2:$C$19=$C23,_xlpm.b,$D$2:$D$19=$D23,MAX(_xlfn._xlws.FILTER(_xlpm.d,_xlpm.a*_xlpm.b)))</f>
        <v>0.84</v>
      </c>
      <c r="P23" s="1" cm="1">
        <f t="array" ref="P23">_xlfn.LET(_xlpm.d,P$2:P$19,_xlpm.a,$C$2:$C$19=$C23,_xlpm.b,$D$2:$D$19=$D23,MAX(_xlfn._xlws.FILTER(_xlpm.d,_xlpm.a*_xlpm.b)))</f>
        <v>0.85</v>
      </c>
      <c r="Q23" s="1" cm="1">
        <f t="array" ref="Q23">_xlfn.LET(_xlpm.d,Q$2:Q$19,_xlpm.a,$C$2:$C$19=$C23,_xlpm.b,$D$2:$D$19=$D23,MAX(_xlfn._xlws.FILTER(_xlpm.d,_xlpm.a*_xlpm.b)))</f>
        <v>0.85</v>
      </c>
      <c r="R23" s="1" cm="1">
        <f t="array" ref="R23">_xlfn.LET(_xlpm.d,R$2:R$19,_xlpm.a,$C$2:$C$19=$C23,_xlpm.b,$D$2:$D$19=$D23,MAX(_xlfn._xlws.FILTER(_xlpm.d,_xlpm.a*_xlpm.b)))</f>
        <v>0.77</v>
      </c>
      <c r="S23" s="1" cm="1">
        <f t="array" ref="S23">_xlfn.LET(_xlpm.d,S$2:S$19,_xlpm.a,$C$2:$C$19=$C23,_xlpm.b,$D$2:$D$19=$D23,MAX(_xlfn._xlws.FILTER(_xlpm.d,_xlpm.a*_xlpm.b)))</f>
        <v>0.89</v>
      </c>
    </row>
    <row r="24" spans="1:19" ht="25" customHeight="1">
      <c r="B24">
        <v>1</v>
      </c>
      <c r="C24" t="s">
        <v>26</v>
      </c>
      <c r="D24" t="b">
        <v>0</v>
      </c>
      <c r="E24">
        <v>0</v>
      </c>
      <c r="F24" t="s">
        <v>24</v>
      </c>
      <c r="G24" s="1" cm="1">
        <f t="array" ref="G24">_xlfn.LET(_xlpm.d,G$2:G$19,_xlpm.a,$C$2:$C$19=$C24,_xlpm.b,$D$2:$D$19=$D24,MAX(_xlfn._xlws.FILTER(_xlpm.d,_xlpm.a*_xlpm.b)))</f>
        <v>0.73</v>
      </c>
      <c r="H24" s="1" cm="1">
        <f t="array" ref="H24">_xlfn.LET(_xlpm.d,H$2:H$19,_xlpm.a,$C$2:$C$19=$C24,_xlpm.b,$D$2:$D$19=$D24,MAX(_xlfn._xlws.FILTER(_xlpm.d,_xlpm.a*_xlpm.b)))</f>
        <v>0.85</v>
      </c>
      <c r="I24" s="1" cm="1">
        <f t="array" ref="I24">_xlfn.LET(_xlpm.d,I$2:I$19,_xlpm.a,$C$2:$C$19=$C24,_xlpm.b,$D$2:$D$19=$D24,MAX(_xlfn._xlws.FILTER(_xlpm.d,_xlpm.a*_xlpm.b)))</f>
        <v>0.75</v>
      </c>
      <c r="J24" s="1" cm="1">
        <f t="array" ref="J24">_xlfn.LET(_xlpm.d,J$2:J$19,_xlpm.a,$C$2:$C$19=$C24,_xlpm.b,$D$2:$D$19=$D24,MAX(_xlfn._xlws.FILTER(_xlpm.d,_xlpm.a*_xlpm.b)))</f>
        <v>0.78</v>
      </c>
      <c r="K24" s="1" cm="1">
        <f t="array" ref="K24">_xlfn.LET(_xlpm.d,K$2:K$19,_xlpm.a,$C$2:$C$19=$C24,_xlpm.b,$D$2:$D$19=$D24,MAX(_xlfn._xlws.FILTER(_xlpm.d,_xlpm.a*_xlpm.b)))</f>
        <v>0.82</v>
      </c>
      <c r="L24" s="1" cm="1">
        <f t="array" ref="L24">_xlfn.LET(_xlpm.d,L$2:L$19,_xlpm.a,$C$2:$C$19=$C24,_xlpm.b,$D$2:$D$19=$D24,MAX(_xlfn._xlws.FILTER(_xlpm.d,_xlpm.a*_xlpm.b)))</f>
        <v>0.8</v>
      </c>
      <c r="M24" s="1" cm="1">
        <f t="array" ref="M24">_xlfn.LET(_xlpm.d,M$2:M$19,_xlpm.a,$C$2:$C$19=$C24,_xlpm.b,$D$2:$D$19=$D24,MAX(_xlfn._xlws.FILTER(_xlpm.d,_xlpm.a*_xlpm.b)))</f>
        <v>0.76</v>
      </c>
      <c r="N24" s="1" cm="1">
        <f t="array" ref="N24">_xlfn.LET(_xlpm.d,N$2:N$19,_xlpm.a,$C$2:$C$19=$C24,_xlpm.b,$D$2:$D$19=$D24,MAX(_xlfn._xlws.FILTER(_xlpm.d,_xlpm.a*_xlpm.b)))</f>
        <v>0.76</v>
      </c>
      <c r="O24" s="1" cm="1">
        <f t="array" ref="O24">_xlfn.LET(_xlpm.d,O$2:O$19,_xlpm.a,$C$2:$C$19=$C24,_xlpm.b,$D$2:$D$19=$D24,MAX(_xlfn._xlws.FILTER(_xlpm.d,_xlpm.a*_xlpm.b)))</f>
        <v>0.82</v>
      </c>
      <c r="P24" s="1" cm="1">
        <f t="array" ref="P24">_xlfn.LET(_xlpm.d,P$2:P$19,_xlpm.a,$C$2:$C$19=$C24,_xlpm.b,$D$2:$D$19=$D24,MAX(_xlfn._xlws.FILTER(_xlpm.d,_xlpm.a*_xlpm.b)))</f>
        <v>0.82</v>
      </c>
      <c r="Q24" s="1" cm="1">
        <f t="array" ref="Q24">_xlfn.LET(_xlpm.d,Q$2:Q$19,_xlpm.a,$C$2:$C$19=$C24,_xlpm.b,$D$2:$D$19=$D24,MAX(_xlfn._xlws.FILTER(_xlpm.d,_xlpm.a*_xlpm.b)))</f>
        <v>0.85</v>
      </c>
      <c r="R24" s="1" cm="1">
        <f t="array" ref="R24">_xlfn.LET(_xlpm.d,R$2:R$19,_xlpm.a,$C$2:$C$19=$C24,_xlpm.b,$D$2:$D$19=$D24,MAX(_xlfn._xlws.FILTER(_xlpm.d,_xlpm.a*_xlpm.b)))</f>
        <v>0.78</v>
      </c>
      <c r="S24" s="1" cm="1">
        <f t="array" ref="S24">_xlfn.LET(_xlpm.d,S$2:S$19,_xlpm.a,$C$2:$C$19=$C24,_xlpm.b,$D$2:$D$19=$D24,MAX(_xlfn._xlws.FILTER(_xlpm.d,_xlpm.a*_xlpm.b)))</f>
        <v>0.85</v>
      </c>
    </row>
    <row r="25" spans="1:19" ht="25" customHeight="1">
      <c r="B25">
        <v>2</v>
      </c>
      <c r="C25" t="s">
        <v>30</v>
      </c>
      <c r="D25" t="b">
        <v>1</v>
      </c>
      <c r="E25">
        <v>0</v>
      </c>
      <c r="F25" t="s">
        <v>24</v>
      </c>
      <c r="G25" s="1" cm="1">
        <f t="array" ref="G25">_xlfn.LET(_xlpm.d,G$2:G$19,_xlpm.a,$C$2:$C$19=$C25,_xlpm.b,$D$2:$D$19=$D25,MAX(_xlfn._xlws.FILTER(_xlpm.d,_xlpm.a*_xlpm.b)))</f>
        <v>0.5</v>
      </c>
      <c r="H25" s="1" cm="1">
        <f t="array" ref="H25">_xlfn.LET(_xlpm.d,H$2:H$19,_xlpm.a,$C$2:$C$19=$C25,_xlpm.b,$D$2:$D$19=$D25,MAX(_xlfn._xlws.FILTER(_xlpm.d,_xlpm.a*_xlpm.b)))</f>
        <v>0.56999999999999995</v>
      </c>
      <c r="I25" s="1" cm="1">
        <f t="array" ref="I25">_xlfn.LET(_xlpm.d,I$2:I$19,_xlpm.a,$C$2:$C$19=$C25,_xlpm.b,$D$2:$D$19=$D25,MAX(_xlfn._xlws.FILTER(_xlpm.d,_xlpm.a*_xlpm.b)))</f>
        <v>0.55000000000000004</v>
      </c>
      <c r="J25" s="1" cm="1">
        <f t="array" ref="J25">_xlfn.LET(_xlpm.d,J$2:J$19,_xlpm.a,$C$2:$C$19=$C25,_xlpm.b,$D$2:$D$19=$D25,MAX(_xlfn._xlws.FILTER(_xlpm.d,_xlpm.a*_xlpm.b)))</f>
        <v>0.53</v>
      </c>
      <c r="K25" s="1" cm="1">
        <f t="array" ref="K25">_xlfn.LET(_xlpm.d,K$2:K$19,_xlpm.a,$C$2:$C$19=$C25,_xlpm.b,$D$2:$D$19=$D25,MAX(_xlfn._xlws.FILTER(_xlpm.d,_xlpm.a*_xlpm.b)))</f>
        <v>0.52</v>
      </c>
      <c r="L25" s="1" cm="1">
        <f t="array" ref="L25">_xlfn.LET(_xlpm.d,L$2:L$19,_xlpm.a,$C$2:$C$19=$C25,_xlpm.b,$D$2:$D$19=$D25,MAX(_xlfn._xlws.FILTER(_xlpm.d,_xlpm.a*_xlpm.b)))</f>
        <v>0.56999999999999995</v>
      </c>
      <c r="M25" s="1" cm="1">
        <f t="array" ref="M25">_xlfn.LET(_xlpm.d,M$2:M$19,_xlpm.a,$C$2:$C$19=$C25,_xlpm.b,$D$2:$D$19=$D25,MAX(_xlfn._xlws.FILTER(_xlpm.d,_xlpm.a*_xlpm.b)))</f>
        <v>0.54</v>
      </c>
      <c r="N25" s="1" cm="1">
        <f t="array" ref="N25">_xlfn.LET(_xlpm.d,N$2:N$19,_xlpm.a,$C$2:$C$19=$C25,_xlpm.b,$D$2:$D$19=$D25,MAX(_xlfn._xlws.FILTER(_xlpm.d,_xlpm.a*_xlpm.b)))</f>
        <v>0.53</v>
      </c>
      <c r="O25" s="1" cm="1">
        <f t="array" ref="O25">_xlfn.LET(_xlpm.d,O$2:O$19,_xlpm.a,$C$2:$C$19=$C25,_xlpm.b,$D$2:$D$19=$D25,MAX(_xlfn._xlws.FILTER(_xlpm.d,_xlpm.a*_xlpm.b)))</f>
        <v>0.54</v>
      </c>
      <c r="P25" s="1" cm="1">
        <f t="array" ref="P25">_xlfn.LET(_xlpm.d,P$2:P$19,_xlpm.a,$C$2:$C$19=$C25,_xlpm.b,$D$2:$D$19=$D25,MAX(_xlfn._xlws.FILTER(_xlpm.d,_xlpm.a*_xlpm.b)))</f>
        <v>0.56999999999999995</v>
      </c>
      <c r="Q25" s="1" cm="1">
        <f t="array" ref="Q25">_xlfn.LET(_xlpm.d,Q$2:Q$19,_xlpm.a,$C$2:$C$19=$C25,_xlpm.b,$D$2:$D$19=$D25,MAX(_xlfn._xlws.FILTER(_xlpm.d,_xlpm.a*_xlpm.b)))</f>
        <v>0.55000000000000004</v>
      </c>
      <c r="R25" s="1" cm="1">
        <f t="array" ref="R25">_xlfn.LET(_xlpm.d,R$2:R$19,_xlpm.a,$C$2:$C$19=$C25,_xlpm.b,$D$2:$D$19=$D25,MAX(_xlfn._xlws.FILTER(_xlpm.d,_xlpm.a*_xlpm.b)))</f>
        <v>0.57999999999999996</v>
      </c>
      <c r="S25" s="1" cm="1">
        <f t="array" ref="S25">_xlfn.LET(_xlpm.d,S$2:S$19,_xlpm.a,$C$2:$C$19=$C25,_xlpm.b,$D$2:$D$19=$D25,MAX(_xlfn._xlws.FILTER(_xlpm.d,_xlpm.a*_xlpm.b)))</f>
        <v>0.57999999999999996</v>
      </c>
    </row>
    <row r="26" spans="1:19" ht="25" customHeight="1">
      <c r="B26">
        <v>2</v>
      </c>
      <c r="C26" t="s">
        <v>30</v>
      </c>
      <c r="D26" t="b">
        <v>0</v>
      </c>
      <c r="E26">
        <v>0</v>
      </c>
      <c r="F26" t="s">
        <v>24</v>
      </c>
      <c r="G26" s="1" cm="1">
        <f t="array" ref="G26">_xlfn.LET(_xlpm.d,G$2:G$19,_xlpm.a,$C$2:$C$19=$C26,_xlpm.b,$D$2:$D$19=$D26,MAX(_xlfn._xlws.FILTER(_xlpm.d,_xlpm.a*_xlpm.b)))</f>
        <v>0.48</v>
      </c>
      <c r="H26" s="1" cm="1">
        <f t="array" ref="H26">_xlfn.LET(_xlpm.d,H$2:H$19,_xlpm.a,$C$2:$C$19=$C26,_xlpm.b,$D$2:$D$19=$D26,MAX(_xlfn._xlws.FILTER(_xlpm.d,_xlpm.a*_xlpm.b)))</f>
        <v>0.56999999999999995</v>
      </c>
      <c r="I26" s="1" cm="1">
        <f t="array" ref="I26">_xlfn.LET(_xlpm.d,I$2:I$19,_xlpm.a,$C$2:$C$19=$C26,_xlpm.b,$D$2:$D$19=$D26,MAX(_xlfn._xlws.FILTER(_xlpm.d,_xlpm.a*_xlpm.b)))</f>
        <v>0.54</v>
      </c>
      <c r="J26" s="1" cm="1">
        <f t="array" ref="J26">_xlfn.LET(_xlpm.d,J$2:J$19,_xlpm.a,$C$2:$C$19=$C26,_xlpm.b,$D$2:$D$19=$D26,MAX(_xlfn._xlws.FILTER(_xlpm.d,_xlpm.a*_xlpm.b)))</f>
        <v>0.55000000000000004</v>
      </c>
      <c r="K26" s="1" cm="1">
        <f t="array" ref="K26">_xlfn.LET(_xlpm.d,K$2:K$19,_xlpm.a,$C$2:$C$19=$C26,_xlpm.b,$D$2:$D$19=$D26,MAX(_xlfn._xlws.FILTER(_xlpm.d,_xlpm.a*_xlpm.b)))</f>
        <v>0.52</v>
      </c>
      <c r="L26" s="1" cm="1">
        <f t="array" ref="L26">_xlfn.LET(_xlpm.d,L$2:L$19,_xlpm.a,$C$2:$C$19=$C26,_xlpm.b,$D$2:$D$19=$D26,MAX(_xlfn._xlws.FILTER(_xlpm.d,_xlpm.a*_xlpm.b)))</f>
        <v>0.63</v>
      </c>
      <c r="M26" s="1" cm="1">
        <f t="array" ref="M26">_xlfn.LET(_xlpm.d,M$2:M$19,_xlpm.a,$C$2:$C$19=$C26,_xlpm.b,$D$2:$D$19=$D26,MAX(_xlfn._xlws.FILTER(_xlpm.d,_xlpm.a*_xlpm.b)))</f>
        <v>0.54</v>
      </c>
      <c r="N26" s="1" cm="1">
        <f t="array" ref="N26">_xlfn.LET(_xlpm.d,N$2:N$19,_xlpm.a,$C$2:$C$19=$C26,_xlpm.b,$D$2:$D$19=$D26,MAX(_xlfn._xlws.FILTER(_xlpm.d,_xlpm.a*_xlpm.b)))</f>
        <v>0.55000000000000004</v>
      </c>
      <c r="O26" s="1" cm="1">
        <f t="array" ref="O26">_xlfn.LET(_xlpm.d,O$2:O$19,_xlpm.a,$C$2:$C$19=$C26,_xlpm.b,$D$2:$D$19=$D26,MAX(_xlfn._xlws.FILTER(_xlpm.d,_xlpm.a*_xlpm.b)))</f>
        <v>0.52</v>
      </c>
      <c r="P26" s="1" cm="1">
        <f t="array" ref="P26">_xlfn.LET(_xlpm.d,P$2:P$19,_xlpm.a,$C$2:$C$19=$C26,_xlpm.b,$D$2:$D$19=$D26,MAX(_xlfn._xlws.FILTER(_xlpm.d,_xlpm.a*_xlpm.b)))</f>
        <v>0.54</v>
      </c>
      <c r="Q26" s="1" cm="1">
        <f t="array" ref="Q26">_xlfn.LET(_xlpm.d,Q$2:Q$19,_xlpm.a,$C$2:$C$19=$C26,_xlpm.b,$D$2:$D$19=$D26,MAX(_xlfn._xlws.FILTER(_xlpm.d,_xlpm.a*_xlpm.b)))</f>
        <v>0.52</v>
      </c>
      <c r="R26" s="1" cm="1">
        <f t="array" ref="R26">_xlfn.LET(_xlpm.d,R$2:R$19,_xlpm.a,$C$2:$C$19=$C26,_xlpm.b,$D$2:$D$19=$D26,MAX(_xlfn._xlws.FILTER(_xlpm.d,_xlpm.a*_xlpm.b)))</f>
        <v>0.57999999999999996</v>
      </c>
      <c r="S26" s="1" cm="1">
        <f t="array" ref="S26">_xlfn.LET(_xlpm.d,S$2:S$19,_xlpm.a,$C$2:$C$19=$C26,_xlpm.b,$D$2:$D$19=$D26,MAX(_xlfn._xlws.FILTER(_xlpm.d,_xlpm.a*_xlpm.b)))</f>
        <v>0.63</v>
      </c>
    </row>
    <row r="27" spans="1:19" ht="25" customHeight="1">
      <c r="B27">
        <v>3</v>
      </c>
      <c r="C27" t="s">
        <v>31</v>
      </c>
      <c r="D27" t="b">
        <v>1</v>
      </c>
      <c r="E27">
        <v>0</v>
      </c>
      <c r="F27" t="s">
        <v>24</v>
      </c>
      <c r="G27" s="1" cm="1">
        <f t="array" ref="G27">_xlfn.LET(_xlpm.d,G$2:G$19,_xlpm.a,$C$2:$C$19=$C27,_xlpm.b,$D$2:$D$19=$D27,MAX(_xlfn._xlws.FILTER(_xlpm.d,_xlpm.a*_xlpm.b)))</f>
        <v>0.39</v>
      </c>
      <c r="H27" s="1" cm="1">
        <f t="array" ref="H27">_xlfn.LET(_xlpm.d,H$2:H$19,_xlpm.a,$C$2:$C$19=$C27,_xlpm.b,$D$2:$D$19=$D27,MAX(_xlfn._xlws.FILTER(_xlpm.d,_xlpm.a*_xlpm.b)))</f>
        <v>0.43</v>
      </c>
      <c r="I27" s="1" cm="1">
        <f t="array" ref="I27">_xlfn.LET(_xlpm.d,I$2:I$19,_xlpm.a,$C$2:$C$19=$C27,_xlpm.b,$D$2:$D$19=$D27,MAX(_xlfn._xlws.FILTER(_xlpm.d,_xlpm.a*_xlpm.b)))</f>
        <v>0.36</v>
      </c>
      <c r="J27" s="1" cm="1">
        <f t="array" ref="J27">_xlfn.LET(_xlpm.d,J$2:J$19,_xlpm.a,$C$2:$C$19=$C27,_xlpm.b,$D$2:$D$19=$D27,MAX(_xlfn._xlws.FILTER(_xlpm.d,_xlpm.a*_xlpm.b)))</f>
        <v>0.43</v>
      </c>
      <c r="K27" s="1" cm="1">
        <f t="array" ref="K27">_xlfn.LET(_xlpm.d,K$2:K$19,_xlpm.a,$C$2:$C$19=$C27,_xlpm.b,$D$2:$D$19=$D27,MAX(_xlfn._xlws.FILTER(_xlpm.d,_xlpm.a*_xlpm.b)))</f>
        <v>0.43</v>
      </c>
      <c r="L27" s="1" cm="1">
        <f t="array" ref="L27">_xlfn.LET(_xlpm.d,L$2:L$19,_xlpm.a,$C$2:$C$19=$C27,_xlpm.b,$D$2:$D$19=$D27,MAX(_xlfn._xlws.FILTER(_xlpm.d,_xlpm.a*_xlpm.b)))</f>
        <v>0.38</v>
      </c>
      <c r="M27" s="1" cm="1">
        <f t="array" ref="M27">_xlfn.LET(_xlpm.d,M$2:M$19,_xlpm.a,$C$2:$C$19=$C27,_xlpm.b,$D$2:$D$19=$D27,MAX(_xlfn._xlws.FILTER(_xlpm.d,_xlpm.a*_xlpm.b)))</f>
        <v>0.36</v>
      </c>
      <c r="N27" s="1" cm="1">
        <f t="array" ref="N27">_xlfn.LET(_xlpm.d,N$2:N$19,_xlpm.a,$C$2:$C$19=$C27,_xlpm.b,$D$2:$D$19=$D27,MAX(_xlfn._xlws.FILTER(_xlpm.d,_xlpm.a*_xlpm.b)))</f>
        <v>0.4</v>
      </c>
      <c r="O27" s="1" cm="1">
        <f t="array" ref="O27">_xlfn.LET(_xlpm.d,O$2:O$19,_xlpm.a,$C$2:$C$19=$C27,_xlpm.b,$D$2:$D$19=$D27,MAX(_xlfn._xlws.FILTER(_xlpm.d,_xlpm.a*_xlpm.b)))</f>
        <v>0.4</v>
      </c>
      <c r="P27" s="1" cm="1">
        <f t="array" ref="P27">_xlfn.LET(_xlpm.d,P$2:P$19,_xlpm.a,$C$2:$C$19=$C27,_xlpm.b,$D$2:$D$19=$D27,MAX(_xlfn._xlws.FILTER(_xlpm.d,_xlpm.a*_xlpm.b)))</f>
        <v>0.48</v>
      </c>
      <c r="Q27" s="1" cm="1">
        <f t="array" ref="Q27">_xlfn.LET(_xlpm.d,Q$2:Q$19,_xlpm.a,$C$2:$C$19=$C27,_xlpm.b,$D$2:$D$19=$D27,MAX(_xlfn._xlws.FILTER(_xlpm.d,_xlpm.a*_xlpm.b)))</f>
        <v>0.41</v>
      </c>
      <c r="R27" s="1" cm="1">
        <f t="array" ref="R27">_xlfn.LET(_xlpm.d,R$2:R$19,_xlpm.a,$C$2:$C$19=$C27,_xlpm.b,$D$2:$D$19=$D27,MAX(_xlfn._xlws.FILTER(_xlpm.d,_xlpm.a*_xlpm.b)))</f>
        <v>0.33</v>
      </c>
      <c r="S27" s="1" cm="1">
        <f t="array" ref="S27">_xlfn.LET(_xlpm.d,S$2:S$19,_xlpm.a,$C$2:$C$19=$C27,_xlpm.b,$D$2:$D$19=$D27,MAX(_xlfn._xlws.FILTER(_xlpm.d,_xlpm.a*_xlpm.b)))</f>
        <v>0.48</v>
      </c>
    </row>
    <row r="28" spans="1:19" ht="25" customHeight="1">
      <c r="B28">
        <v>3</v>
      </c>
      <c r="C28" t="s">
        <v>31</v>
      </c>
      <c r="D28" t="b">
        <v>0</v>
      </c>
      <c r="E28">
        <v>0</v>
      </c>
      <c r="F28" t="s">
        <v>24</v>
      </c>
      <c r="G28" s="1" cm="1">
        <f t="array" ref="G28">_xlfn.LET(_xlpm.d,G$2:G$19,_xlpm.a,$C$2:$C$19=$C28,_xlpm.b,$D$2:$D$19=$D28,MAX(_xlfn._xlws.FILTER(_xlpm.d,_xlpm.a*_xlpm.b)))</f>
        <v>0.4</v>
      </c>
      <c r="H28" s="1" cm="1">
        <f t="array" ref="H28">_xlfn.LET(_xlpm.d,H$2:H$19,_xlpm.a,$C$2:$C$19=$C28,_xlpm.b,$D$2:$D$19=$D28,MAX(_xlfn._xlws.FILTER(_xlpm.d,_xlpm.a*_xlpm.b)))</f>
        <v>0.38</v>
      </c>
      <c r="I28" s="1" cm="1">
        <f t="array" ref="I28">_xlfn.LET(_xlpm.d,I$2:I$19,_xlpm.a,$C$2:$C$19=$C28,_xlpm.b,$D$2:$D$19=$D28,MAX(_xlfn._xlws.FILTER(_xlpm.d,_xlpm.a*_xlpm.b)))</f>
        <v>0.31</v>
      </c>
      <c r="J28" s="1" cm="1">
        <f t="array" ref="J28">_xlfn.LET(_xlpm.d,J$2:J$19,_xlpm.a,$C$2:$C$19=$C28,_xlpm.b,$D$2:$D$19=$D28,MAX(_xlfn._xlws.FILTER(_xlpm.d,_xlpm.a*_xlpm.b)))</f>
        <v>0.42</v>
      </c>
      <c r="K28" s="1" cm="1">
        <f t="array" ref="K28">_xlfn.LET(_xlpm.d,K$2:K$19,_xlpm.a,$C$2:$C$19=$C28,_xlpm.b,$D$2:$D$19=$D28,MAX(_xlfn._xlws.FILTER(_xlpm.d,_xlpm.a*_xlpm.b)))</f>
        <v>0.42</v>
      </c>
      <c r="L28" s="1" cm="1">
        <f t="array" ref="L28">_xlfn.LET(_xlpm.d,L$2:L$19,_xlpm.a,$C$2:$C$19=$C28,_xlpm.b,$D$2:$D$19=$D28,MAX(_xlfn._xlws.FILTER(_xlpm.d,_xlpm.a*_xlpm.b)))</f>
        <v>0.42</v>
      </c>
      <c r="M28" s="1" cm="1">
        <f t="array" ref="M28">_xlfn.LET(_xlpm.d,M$2:M$19,_xlpm.a,$C$2:$C$19=$C28,_xlpm.b,$D$2:$D$19=$D28,MAX(_xlfn._xlws.FILTER(_xlpm.d,_xlpm.a*_xlpm.b)))</f>
        <v>0.36</v>
      </c>
      <c r="N28" s="1" cm="1">
        <f t="array" ref="N28">_xlfn.LET(_xlpm.d,N$2:N$19,_xlpm.a,$C$2:$C$19=$C28,_xlpm.b,$D$2:$D$19=$D28,MAX(_xlfn._xlws.FILTER(_xlpm.d,_xlpm.a*_xlpm.b)))</f>
        <v>0.4</v>
      </c>
      <c r="O28" s="1" cm="1">
        <f t="array" ref="O28">_xlfn.LET(_xlpm.d,O$2:O$19,_xlpm.a,$C$2:$C$19=$C28,_xlpm.b,$D$2:$D$19=$D28,MAX(_xlfn._xlws.FILTER(_xlpm.d,_xlpm.a*_xlpm.b)))</f>
        <v>0.37</v>
      </c>
      <c r="P28" s="1" cm="1">
        <f t="array" ref="P28">_xlfn.LET(_xlpm.d,P$2:P$19,_xlpm.a,$C$2:$C$19=$C28,_xlpm.b,$D$2:$D$19=$D28,MAX(_xlfn._xlws.FILTER(_xlpm.d,_xlpm.a*_xlpm.b)))</f>
        <v>0.45</v>
      </c>
      <c r="Q28" s="1" cm="1">
        <f t="array" ref="Q28">_xlfn.LET(_xlpm.d,Q$2:Q$19,_xlpm.a,$C$2:$C$19=$C28,_xlpm.b,$D$2:$D$19=$D28,MAX(_xlfn._xlws.FILTER(_xlpm.d,_xlpm.a*_xlpm.b)))</f>
        <v>0.42</v>
      </c>
      <c r="R28" s="1" cm="1">
        <f t="array" ref="R28">_xlfn.LET(_xlpm.d,R$2:R$19,_xlpm.a,$C$2:$C$19=$C28,_xlpm.b,$D$2:$D$19=$D28,MAX(_xlfn._xlws.FILTER(_xlpm.d,_xlpm.a*_xlpm.b)))</f>
        <v>0.34</v>
      </c>
      <c r="S28" s="1" cm="1">
        <f t="array" ref="S28">_xlfn.LET(_xlpm.d,S$2:S$19,_xlpm.a,$C$2:$C$19=$C28,_xlpm.b,$D$2:$D$19=$D28,MAX(_xlfn._xlws.FILTER(_xlpm.d,_xlpm.a*_xlpm.b)))</f>
        <v>0.45</v>
      </c>
    </row>
  </sheetData>
  <conditionalFormatting sqref="G2:S19">
    <cfRule type="colorScale" priority="2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S28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summarized</vt:lpstr>
      <vt:lpstr>3k-xsk-mgv9</vt:lpstr>
      <vt:lpstr>3k-xsk-mgv6</vt:lpstr>
      <vt:lpstr>3k-xsk-mgv3</vt:lpstr>
      <vt:lpstr>2k-xsk-mgv9</vt:lpstr>
      <vt:lpstr>2k-xsk-mgv6</vt:lpstr>
      <vt:lpstr>2k-xsk-mgv3</vt:lpstr>
      <vt:lpstr>1.2k-xsk-mgv9</vt:lpstr>
      <vt:lpstr>1.2k-xsk-mgv6</vt:lpstr>
      <vt:lpstr>1.2-xsk-mgv3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Kuroda, Kow</cp:lastModifiedBy>
  <dcterms:created xsi:type="dcterms:W3CDTF">2025-02-25T09:48:25Z</dcterms:created>
  <dcterms:modified xsi:type="dcterms:W3CDTF">2025-02-27T08:48:27Z</dcterms:modified>
  <cp:category/>
</cp:coreProperties>
</file>