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03D8A26D-480B-604B-BE68-3040AF01E589}" xr6:coauthVersionLast="47" xr6:coauthVersionMax="47" xr10:uidLastSave="{00000000-0000-0000-0000-000000000000}"/>
  <bookViews>
    <workbookView xWindow="4620" yWindow="500" windowWidth="32380" windowHeight="18660" activeTab="3" xr2:uid="{7BE15019-D571-5D40-8338-2A413FBD1296}"/>
  </bookViews>
  <sheets>
    <sheet name="summarized" sheetId="11" r:id="rId1"/>
    <sheet name="xsk-3k-mgv9" sheetId="1" r:id="rId2"/>
    <sheet name="xsk-3k-mgv6" sheetId="7" r:id="rId3"/>
    <sheet name="xsk-3k-mgv3" sheetId="8" r:id="rId4"/>
    <sheet name="xsk-2k-mgv9" sheetId="3" r:id="rId5"/>
    <sheet name="xsk-2k-mgv6" sheetId="6" r:id="rId6"/>
    <sheet name="xsk-2k-mgv3" sheetId="12" r:id="rId7"/>
    <sheet name="xsk-1.2k-mgv9" sheetId="4" r:id="rId8"/>
    <sheet name="xsk-1.2k-mgv6" sheetId="5" r:id="rId9"/>
    <sheet name="xsk-1.2k-mgv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8" l="1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S32" i="8"/>
  <c r="R32" i="8"/>
  <c r="Q32" i="8"/>
  <c r="P32" i="8"/>
  <c r="O32" i="8"/>
  <c r="N32" i="8"/>
  <c r="M32" i="8"/>
  <c r="L32" i="8"/>
  <c r="K32" i="8"/>
  <c r="J32" i="8"/>
  <c r="I32" i="8"/>
  <c r="G32" i="8"/>
  <c r="R32" i="1"/>
  <c r="H32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S32" i="1"/>
  <c r="Q32" i="1"/>
  <c r="P32" i="1"/>
  <c r="O32" i="1"/>
  <c r="N32" i="1"/>
  <c r="M32" i="1"/>
  <c r="L32" i="1"/>
  <c r="K32" i="1"/>
  <c r="J32" i="1"/>
  <c r="I32" i="1"/>
  <c r="G32" i="1"/>
  <c r="G23" i="8"/>
  <c r="G24" i="8"/>
  <c r="G25" i="8"/>
  <c r="G26" i="8"/>
  <c r="G27" i="8"/>
  <c r="G28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3" i="1"/>
  <c r="G24" i="1"/>
  <c r="G25" i="1"/>
  <c r="G26" i="1"/>
  <c r="G27" i="1"/>
  <c r="G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X103" i="11" a="1"/>
  <c r="X103" i="11" s="1"/>
  <c r="X102" i="11" a="1"/>
  <c r="X102" i="11" s="1"/>
  <c r="X101" i="11" a="1"/>
  <c r="X101" i="11" s="1"/>
  <c r="X100" i="11" a="1"/>
  <c r="X100" i="11" s="1"/>
  <c r="X99" i="11" a="1"/>
  <c r="X99" i="11" s="1"/>
  <c r="X98" i="11" a="1"/>
  <c r="X98" i="11" s="1"/>
  <c r="X97" i="11" a="1"/>
  <c r="X97" i="11" s="1"/>
  <c r="X96" i="11" a="1"/>
  <c r="X96" i="11" s="1"/>
  <c r="X95" i="11" a="1"/>
  <c r="X95" i="11" s="1"/>
  <c r="X91" i="11" a="1"/>
  <c r="X91" i="11" s="1"/>
  <c r="X90" i="11" a="1"/>
  <c r="X90" i="11" s="1"/>
  <c r="X89" i="11" a="1"/>
  <c r="X89" i="11" s="1"/>
  <c r="X88" i="11" a="1"/>
  <c r="X88" i="11" s="1"/>
  <c r="X87" i="11" a="1"/>
  <c r="X87" i="11" s="1"/>
  <c r="X86" i="11" a="1"/>
  <c r="X86" i="11" s="1"/>
  <c r="X85" i="11" a="1"/>
  <c r="X85" i="11" s="1"/>
  <c r="X84" i="11" a="1"/>
  <c r="X84" i="11" s="1"/>
  <c r="X83" i="11" a="1"/>
  <c r="X83" i="11" s="1"/>
  <c r="X71" i="11" a="1"/>
  <c r="X71" i="11" s="1"/>
  <c r="X73" i="11" a="1"/>
  <c r="X73" i="11" s="1"/>
  <c r="X78" i="11" a="1"/>
  <c r="X78" i="11" s="1"/>
  <c r="X79" i="11" a="1"/>
  <c r="X79" i="11" s="1"/>
  <c r="X74" i="11" a="1"/>
  <c r="X74" i="11" s="1"/>
  <c r="X76" i="11" a="1"/>
  <c r="X76" i="11" s="1"/>
  <c r="X72" i="11" a="1"/>
  <c r="X72" i="11" s="1"/>
  <c r="X77" i="11" a="1"/>
  <c r="X77" i="11" s="1"/>
  <c r="X75" i="11" a="1"/>
  <c r="X75" i="11" s="1"/>
  <c r="X61" i="11" a="1"/>
  <c r="X61" i="11" s="1"/>
  <c r="X64" i="11" a="1"/>
  <c r="X64" i="11" s="1"/>
  <c r="X62" i="11" a="1"/>
  <c r="X62" i="11" s="1"/>
  <c r="X66" i="11" a="1"/>
  <c r="X66" i="11" s="1"/>
  <c r="X65" i="11" a="1"/>
  <c r="X65" i="11" s="1"/>
  <c r="X67" i="11" a="1"/>
  <c r="X67" i="11" s="1"/>
  <c r="X63" i="11" a="1"/>
  <c r="X63" i="11" s="1"/>
  <c r="X59" i="11" a="1"/>
  <c r="X59" i="11" s="1"/>
  <c r="X60" i="11" a="1"/>
  <c r="X60" i="11" s="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R28" i="12" l="1" a="1"/>
  <c r="R28" i="12" s="1"/>
  <c r="Q28" i="12" a="1"/>
  <c r="Q28" i="12" s="1"/>
  <c r="P28" i="12" a="1"/>
  <c r="P28" i="12" s="1"/>
  <c r="O28" i="12" a="1"/>
  <c r="O28" i="12" s="1"/>
  <c r="N28" i="12" a="1"/>
  <c r="N28" i="12" s="1"/>
  <c r="M28" i="12" a="1"/>
  <c r="M28" i="12" s="1"/>
  <c r="L28" i="12" a="1"/>
  <c r="L28" i="12" s="1"/>
  <c r="K28" i="12" a="1"/>
  <c r="K28" i="12" s="1"/>
  <c r="J28" i="12" a="1"/>
  <c r="J28" i="12" s="1"/>
  <c r="I28" i="12" a="1"/>
  <c r="I28" i="12" s="1"/>
  <c r="H28" i="12" a="1"/>
  <c r="H28" i="12" s="1"/>
  <c r="G28" i="12" a="1"/>
  <c r="G28" i="12" s="1"/>
  <c r="R27" i="12" a="1"/>
  <c r="R27" i="12" s="1"/>
  <c r="Q27" i="12" a="1"/>
  <c r="Q27" i="12" s="1"/>
  <c r="P27" i="12" a="1"/>
  <c r="P27" i="12" s="1"/>
  <c r="O27" i="12" a="1"/>
  <c r="O27" i="12" s="1"/>
  <c r="N27" i="12" a="1"/>
  <c r="N27" i="12" s="1"/>
  <c r="M27" i="12" a="1"/>
  <c r="M27" i="12" s="1"/>
  <c r="L27" i="12" a="1"/>
  <c r="L27" i="12" s="1"/>
  <c r="K27" i="12" a="1"/>
  <c r="K27" i="12" s="1"/>
  <c r="J27" i="12" a="1"/>
  <c r="J27" i="12" s="1"/>
  <c r="I27" i="12" a="1"/>
  <c r="I27" i="12" s="1"/>
  <c r="H27" i="12" a="1"/>
  <c r="H27" i="12" s="1"/>
  <c r="G27" i="12" a="1"/>
  <c r="G27" i="12" s="1"/>
  <c r="S26" i="12" a="1"/>
  <c r="S26" i="12" s="1"/>
  <c r="R26" i="12" a="1"/>
  <c r="R26" i="12" s="1"/>
  <c r="Q26" i="12" a="1"/>
  <c r="Q26" i="12" s="1"/>
  <c r="P26" i="12" a="1"/>
  <c r="P26" i="12" s="1"/>
  <c r="O26" i="12" a="1"/>
  <c r="O26" i="12" s="1"/>
  <c r="N26" i="12" a="1"/>
  <c r="N26" i="12" s="1"/>
  <c r="M26" i="12" a="1"/>
  <c r="M26" i="12" s="1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G26" i="12" a="1"/>
  <c r="G26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S24" i="12" a="1"/>
  <c r="S24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 a="1"/>
  <c r="J23" i="12" s="1"/>
  <c r="I23" i="12" a="1"/>
  <c r="I23" i="12" s="1"/>
  <c r="H23" i="12" a="1"/>
  <c r="H23" i="12" s="1"/>
  <c r="G23" i="12" a="1"/>
  <c r="G23" i="12" s="1"/>
  <c r="S2" i="12"/>
  <c r="S3" i="12"/>
  <c r="S4" i="12"/>
  <c r="S5" i="12"/>
  <c r="S6" i="12"/>
  <c r="S23" i="12" s="1" a="1"/>
  <c r="S23" i="12" s="1"/>
  <c r="S7" i="12"/>
  <c r="S8" i="12"/>
  <c r="S25" i="12" s="1" a="1"/>
  <c r="S25" i="12" s="1"/>
  <c r="S9" i="12"/>
  <c r="S10" i="12"/>
  <c r="S11" i="12"/>
  <c r="S12" i="12"/>
  <c r="S13" i="12"/>
  <c r="S14" i="12"/>
  <c r="S27" i="12" s="1" a="1"/>
  <c r="S27" i="12" s="1"/>
  <c r="S15" i="12"/>
  <c r="S16" i="12"/>
  <c r="S28" i="12" s="1" a="1"/>
  <c r="S28" i="12" s="1"/>
  <c r="S17" i="12"/>
  <c r="S18" i="12"/>
  <c r="S19" i="12"/>
  <c r="S2" i="10"/>
  <c r="S5" i="10"/>
  <c r="S6" i="10"/>
  <c r="S24" i="10" s="1" a="1"/>
  <c r="S24" i="10" s="1"/>
  <c r="S3" i="10"/>
  <c r="S7" i="10"/>
  <c r="S4" i="10"/>
  <c r="S11" i="10"/>
  <c r="S12" i="10"/>
  <c r="S26" i="10" s="1" a="1"/>
  <c r="S26" i="10" s="1"/>
  <c r="S13" i="10"/>
  <c r="S9" i="10"/>
  <c r="S10" i="10"/>
  <c r="S8" i="10"/>
  <c r="S25" i="10" s="1" a="1"/>
  <c r="S25" i="10" s="1"/>
  <c r="S16" i="10"/>
  <c r="S14" i="10"/>
  <c r="S27" i="10" s="1" a="1"/>
  <c r="S27" i="10" s="1"/>
  <c r="S15" i="10"/>
  <c r="S18" i="10"/>
  <c r="S17" i="10"/>
  <c r="S19" i="10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 a="1"/>
  <c r="G28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 a="1"/>
  <c r="G27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 a="1"/>
  <c r="G26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 a="1"/>
  <c r="G25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 a="1"/>
  <c r="G24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 a="1"/>
  <c r="G23" i="10" s="1"/>
  <c r="T2" i="8"/>
  <c r="T5" i="8"/>
  <c r="T6" i="8"/>
  <c r="T3" i="8"/>
  <c r="T7" i="8"/>
  <c r="T4" i="8"/>
  <c r="T11" i="8"/>
  <c r="T12" i="8"/>
  <c r="T13" i="8"/>
  <c r="T9" i="8"/>
  <c r="T10" i="8"/>
  <c r="T8" i="8"/>
  <c r="T16" i="8"/>
  <c r="T14" i="8"/>
  <c r="T15" i="8"/>
  <c r="T18" i="8"/>
  <c r="T17" i="8"/>
  <c r="T19" i="8"/>
  <c r="S28" i="8" a="1"/>
  <c r="S28" i="8" s="1"/>
  <c r="R28" i="8" a="1"/>
  <c r="R28" i="8" s="1"/>
  <c r="Q28" i="8" a="1"/>
  <c r="Q28" i="8" s="1"/>
  <c r="P28" i="8" a="1"/>
  <c r="P28" i="8" s="1"/>
  <c r="O28" i="8" a="1"/>
  <c r="O28" i="8" s="1"/>
  <c r="N28" i="8" a="1"/>
  <c r="N28" i="8" s="1"/>
  <c r="M28" i="8" a="1"/>
  <c r="M28" i="8" s="1"/>
  <c r="L28" i="8" a="1"/>
  <c r="L28" i="8" s="1"/>
  <c r="K28" i="8" a="1"/>
  <c r="K28" i="8" s="1"/>
  <c r="J28" i="8" a="1"/>
  <c r="J28" i="8" s="1"/>
  <c r="I28" i="8" a="1"/>
  <c r="I28" i="8" s="1"/>
  <c r="H28" i="8" a="1"/>
  <c r="H28" i="8" s="1"/>
  <c r="S27" i="8" a="1"/>
  <c r="S27" i="8" s="1"/>
  <c r="R27" i="8" a="1"/>
  <c r="R27" i="8" s="1"/>
  <c r="Q27" i="8" a="1"/>
  <c r="Q27" i="8" s="1"/>
  <c r="P27" i="8" a="1"/>
  <c r="P27" i="8" s="1"/>
  <c r="O27" i="8" a="1"/>
  <c r="O27" i="8" s="1"/>
  <c r="N27" i="8" a="1"/>
  <c r="N27" i="8" s="1"/>
  <c r="M27" i="8" a="1"/>
  <c r="M27" i="8" s="1"/>
  <c r="L27" i="8" a="1"/>
  <c r="L27" i="8" s="1"/>
  <c r="K27" i="8" a="1"/>
  <c r="K27" i="8" s="1"/>
  <c r="J27" i="8" a="1"/>
  <c r="J27" i="8" s="1"/>
  <c r="I27" i="8" a="1"/>
  <c r="I27" i="8" s="1"/>
  <c r="H27" i="8" a="1"/>
  <c r="H27" i="8" s="1"/>
  <c r="S26" i="8" a="1"/>
  <c r="S26" i="8" s="1"/>
  <c r="R26" i="8" a="1"/>
  <c r="R26" i="8" s="1"/>
  <c r="Q26" i="8" a="1"/>
  <c r="Q26" i="8" s="1"/>
  <c r="P26" i="8" a="1"/>
  <c r="P26" i="8" s="1"/>
  <c r="O26" i="8" a="1"/>
  <c r="O26" i="8" s="1"/>
  <c r="N26" i="8" a="1"/>
  <c r="N26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S25" i="8" a="1"/>
  <c r="S25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S24" i="8" a="1"/>
  <c r="S24" i="8" s="1"/>
  <c r="R24" i="8" a="1"/>
  <c r="R24" i="8" s="1"/>
  <c r="Q24" i="8" a="1"/>
  <c r="Q24" i="8" s="1"/>
  <c r="P24" i="8" a="1"/>
  <c r="P24" i="8" s="1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S23" i="8" a="1"/>
  <c r="S23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S2" i="7"/>
  <c r="S5" i="7"/>
  <c r="S6" i="7"/>
  <c r="S3" i="7"/>
  <c r="S7" i="7"/>
  <c r="S4" i="7"/>
  <c r="S11" i="7"/>
  <c r="S12" i="7"/>
  <c r="S13" i="7"/>
  <c r="S9" i="7"/>
  <c r="S10" i="7"/>
  <c r="S8" i="7"/>
  <c r="S16" i="7"/>
  <c r="S14" i="7"/>
  <c r="S15" i="7"/>
  <c r="S18" i="7"/>
  <c r="S17" i="7"/>
  <c r="S19" i="7"/>
  <c r="R28" i="7" a="1"/>
  <c r="R28" i="7" s="1"/>
  <c r="Q28" i="7" a="1"/>
  <c r="Q28" i="7" s="1"/>
  <c r="P28" i="7" a="1"/>
  <c r="P28" i="7" s="1"/>
  <c r="O28" i="7" a="1"/>
  <c r="O28" i="7" s="1"/>
  <c r="N28" i="7" a="1"/>
  <c r="N28" i="7" s="1"/>
  <c r="M28" i="7" a="1"/>
  <c r="M28" i="7" s="1"/>
  <c r="L28" i="7" a="1"/>
  <c r="L28" i="7" s="1"/>
  <c r="K28" i="7" a="1"/>
  <c r="K28" i="7" s="1"/>
  <c r="J28" i="7" a="1"/>
  <c r="J28" i="7" s="1"/>
  <c r="I28" i="7" a="1"/>
  <c r="I28" i="7" s="1"/>
  <c r="H28" i="7" a="1"/>
  <c r="H28" i="7" s="1"/>
  <c r="G28" i="7" a="1"/>
  <c r="G28" i="7" s="1"/>
  <c r="R27" i="7" a="1"/>
  <c r="R27" i="7" s="1"/>
  <c r="Q27" i="7" a="1"/>
  <c r="Q27" i="7" s="1"/>
  <c r="P27" i="7" a="1"/>
  <c r="P27" i="7" s="1"/>
  <c r="O27" i="7" a="1"/>
  <c r="O27" i="7" s="1"/>
  <c r="N27" i="7" a="1"/>
  <c r="N27" i="7" s="1"/>
  <c r="M27" i="7" a="1"/>
  <c r="M27" i="7" s="1"/>
  <c r="L27" i="7" a="1"/>
  <c r="L27" i="7" s="1"/>
  <c r="K27" i="7" a="1"/>
  <c r="K27" i="7" s="1"/>
  <c r="J27" i="7" a="1"/>
  <c r="J27" i="7" s="1"/>
  <c r="I27" i="7" a="1"/>
  <c r="I27" i="7" s="1"/>
  <c r="H27" i="7" a="1"/>
  <c r="H27" i="7" s="1"/>
  <c r="G27" i="7" a="1"/>
  <c r="G27" i="7" s="1"/>
  <c r="R26" i="7" a="1"/>
  <c r="R26" i="7" s="1"/>
  <c r="Q26" i="7" a="1"/>
  <c r="Q26" i="7" s="1"/>
  <c r="P26" i="7" a="1"/>
  <c r="P26" i="7" s="1"/>
  <c r="O26" i="7" a="1"/>
  <c r="O26" i="7" s="1"/>
  <c r="N26" i="7" a="1"/>
  <c r="N26" i="7" s="1"/>
  <c r="M26" i="7" a="1"/>
  <c r="M26" i="7" s="1"/>
  <c r="L26" i="7" a="1"/>
  <c r="L26" i="7" s="1"/>
  <c r="K26" i="7" a="1"/>
  <c r="K26" i="7" s="1"/>
  <c r="J26" i="7" a="1"/>
  <c r="J26" i="7" s="1"/>
  <c r="I26" i="7" a="1"/>
  <c r="I26" i="7" s="1"/>
  <c r="H26" i="7" a="1"/>
  <c r="H26" i="7" s="1"/>
  <c r="G26" i="7" a="1"/>
  <c r="G26" i="7" s="1"/>
  <c r="R25" i="7" a="1"/>
  <c r="R25" i="7" s="1"/>
  <c r="Q25" i="7" a="1"/>
  <c r="Q25" i="7" s="1"/>
  <c r="P25" i="7" a="1"/>
  <c r="P25" i="7" s="1"/>
  <c r="O25" i="7" a="1"/>
  <c r="O25" i="7" s="1"/>
  <c r="N25" i="7" a="1"/>
  <c r="N25" i="7" s="1"/>
  <c r="M25" i="7" a="1"/>
  <c r="M25" i="7" s="1"/>
  <c r="L25" i="7" a="1"/>
  <c r="L25" i="7" s="1"/>
  <c r="K25" i="7" a="1"/>
  <c r="K25" i="7" s="1"/>
  <c r="J25" i="7" a="1"/>
  <c r="J25" i="7" s="1"/>
  <c r="I25" i="7" a="1"/>
  <c r="I25" i="7" s="1"/>
  <c r="H25" i="7" a="1"/>
  <c r="H25" i="7" s="1"/>
  <c r="G25" i="7" a="1"/>
  <c r="G25" i="7" s="1"/>
  <c r="R24" i="7" a="1"/>
  <c r="R24" i="7" s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 a="1"/>
  <c r="K24" i="7" s="1"/>
  <c r="J24" i="7" a="1"/>
  <c r="J24" i="7" s="1"/>
  <c r="I24" i="7" a="1"/>
  <c r="I24" i="7" s="1"/>
  <c r="H24" i="7" a="1"/>
  <c r="H24" i="7" s="1"/>
  <c r="G24" i="7" a="1"/>
  <c r="G24" i="7" s="1"/>
  <c r="R23" i="7" a="1"/>
  <c r="R23" i="7" s="1"/>
  <c r="Q23" i="7" a="1"/>
  <c r="Q23" i="7" s="1"/>
  <c r="P23" i="7" a="1"/>
  <c r="P23" i="7" s="1"/>
  <c r="O23" i="7" a="1"/>
  <c r="O23" i="7" s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 a="1"/>
  <c r="I23" i="7" s="1"/>
  <c r="H23" i="7" a="1"/>
  <c r="H23" i="7" s="1"/>
  <c r="G23" i="7" a="1"/>
  <c r="G23" i="7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S2" i="6"/>
  <c r="S5" i="6"/>
  <c r="S6" i="6"/>
  <c r="S3" i="6"/>
  <c r="S7" i="6"/>
  <c r="S4" i="6"/>
  <c r="S11" i="6"/>
  <c r="S12" i="6"/>
  <c r="S13" i="6"/>
  <c r="S9" i="6"/>
  <c r="S10" i="6"/>
  <c r="S8" i="6"/>
  <c r="S16" i="6"/>
  <c r="S14" i="6"/>
  <c r="S15" i="6"/>
  <c r="S18" i="6"/>
  <c r="S17" i="6"/>
  <c r="S19" i="6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 a="1"/>
  <c r="G28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S2" i="5"/>
  <c r="S5" i="5"/>
  <c r="S6" i="5"/>
  <c r="S3" i="5"/>
  <c r="S7" i="5"/>
  <c r="S4" i="5"/>
  <c r="S11" i="5"/>
  <c r="S12" i="5"/>
  <c r="S13" i="5"/>
  <c r="S9" i="5"/>
  <c r="S10" i="5"/>
  <c r="S8" i="5"/>
  <c r="S16" i="5"/>
  <c r="S14" i="5"/>
  <c r="S15" i="5"/>
  <c r="S18" i="5"/>
  <c r="S17" i="5"/>
  <c r="S19" i="5"/>
  <c r="S2" i="4"/>
  <c r="S23" i="4" s="1" a="1"/>
  <c r="S23" i="4" s="1"/>
  <c r="S3" i="4"/>
  <c r="S4" i="4"/>
  <c r="S5" i="4"/>
  <c r="S6" i="4"/>
  <c r="S7" i="4"/>
  <c r="S8" i="4"/>
  <c r="S9" i="4"/>
  <c r="S10" i="4"/>
  <c r="S11" i="4"/>
  <c r="S12" i="4"/>
  <c r="S13" i="4"/>
  <c r="S14" i="4"/>
  <c r="S27" i="4" s="1" a="1"/>
  <c r="S27" i="4" s="1"/>
  <c r="S15" i="4"/>
  <c r="S16" i="4"/>
  <c r="S17" i="4"/>
  <c r="S18" i="4"/>
  <c r="S19" i="4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R23" i="4" a="1"/>
  <c r="R23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S2" i="3"/>
  <c r="S5" i="3"/>
  <c r="S6" i="3"/>
  <c r="S3" i="3"/>
  <c r="S7" i="3"/>
  <c r="S4" i="3"/>
  <c r="S11" i="3"/>
  <c r="S12" i="3"/>
  <c r="S13" i="3"/>
  <c r="S9" i="3"/>
  <c r="S10" i="3"/>
  <c r="S8" i="3"/>
  <c r="S16" i="3"/>
  <c r="S14" i="3"/>
  <c r="S15" i="3"/>
  <c r="S18" i="3"/>
  <c r="S17" i="3"/>
  <c r="S19" i="3"/>
  <c r="H23" i="1" a="1"/>
  <c r="H23" i="1" s="1"/>
  <c r="S28" i="1" a="1"/>
  <c r="S28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S26" i="1" a="1"/>
  <c r="S26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T24" i="8" l="1" a="1"/>
  <c r="T24" i="8" s="1"/>
  <c r="S27" i="5" a="1"/>
  <c r="S27" i="5" s="1"/>
  <c r="S26" i="5" a="1"/>
  <c r="S26" i="5" s="1"/>
  <c r="S24" i="5" a="1"/>
  <c r="S24" i="5" s="1"/>
  <c r="S23" i="5" a="1"/>
  <c r="S23" i="5" s="1"/>
  <c r="S28" i="5" a="1"/>
  <c r="S28" i="5" s="1"/>
  <c r="S28" i="7" a="1"/>
  <c r="S28" i="7" s="1"/>
  <c r="S24" i="7" a="1"/>
  <c r="S24" i="7" s="1"/>
  <c r="S23" i="7" a="1"/>
  <c r="S23" i="7" s="1"/>
  <c r="S27" i="7" a="1"/>
  <c r="S27" i="7" s="1"/>
  <c r="S26" i="7" a="1"/>
  <c r="S26" i="7" s="1"/>
  <c r="T28" i="8" a="1"/>
  <c r="T28" i="8" s="1"/>
  <c r="T26" i="8" a="1"/>
  <c r="T26" i="8" s="1"/>
  <c r="T25" i="8" a="1"/>
  <c r="T25" i="8" s="1"/>
  <c r="T23" i="8" a="1"/>
  <c r="T23" i="8" s="1"/>
  <c r="S27" i="3" a="1"/>
  <c r="S27" i="3" s="1"/>
  <c r="S23" i="3" a="1"/>
  <c r="S23" i="3" s="1"/>
  <c r="S24" i="6" a="1"/>
  <c r="S24" i="6" s="1"/>
  <c r="S27" i="6" a="1"/>
  <c r="S27" i="6" s="1"/>
  <c r="S28" i="6" a="1"/>
  <c r="S28" i="6" s="1"/>
  <c r="S26" i="3" a="1"/>
  <c r="S26" i="3" s="1"/>
  <c r="S26" i="4" a="1"/>
  <c r="S26" i="4" s="1"/>
  <c r="S24" i="4" a="1"/>
  <c r="S24" i="4" s="1"/>
  <c r="S25" i="7" a="1"/>
  <c r="S25" i="7" s="1"/>
  <c r="S23" i="10" a="1"/>
  <c r="S23" i="10" s="1"/>
  <c r="S25" i="6" a="1"/>
  <c r="S25" i="6" s="1"/>
  <c r="S25" i="3" a="1"/>
  <c r="S25" i="3" s="1"/>
  <c r="S24" i="3" a="1"/>
  <c r="S24" i="3" s="1"/>
  <c r="S23" i="6" a="1"/>
  <c r="S23" i="6" s="1"/>
  <c r="S28" i="3" a="1"/>
  <c r="S28" i="3" s="1"/>
  <c r="S28" i="4" a="1"/>
  <c r="S28" i="4" s="1"/>
  <c r="S25" i="4" a="1"/>
  <c r="S25" i="4" s="1"/>
  <c r="S25" i="5" a="1"/>
  <c r="S25" i="5" s="1"/>
  <c r="S26" i="6" a="1"/>
  <c r="S26" i="6" s="1"/>
  <c r="T27" i="8" a="1"/>
  <c r="T27" i="8" s="1"/>
  <c r="S28" i="10" a="1"/>
  <c r="S28" i="10" s="1"/>
  <c r="T2" i="1"/>
  <c r="T5" i="1"/>
  <c r="T6" i="1"/>
  <c r="T3" i="1"/>
  <c r="T7" i="1"/>
  <c r="T4" i="1"/>
  <c r="T11" i="1"/>
  <c r="T12" i="1"/>
  <c r="T13" i="1"/>
  <c r="T9" i="1"/>
  <c r="T10" i="1"/>
  <c r="T8" i="1"/>
  <c r="T16" i="1"/>
  <c r="T14" i="1"/>
  <c r="T15" i="1"/>
  <c r="T18" i="1"/>
  <c r="T17" i="1"/>
  <c r="T19" i="1"/>
  <c r="T25" i="1" l="1" a="1"/>
  <c r="T25" i="1" s="1"/>
  <c r="T28" i="1" a="1"/>
  <c r="T28" i="1" s="1"/>
  <c r="T26" i="1" a="1"/>
  <c r="T26" i="1" s="1"/>
  <c r="T24" i="1" a="1"/>
  <c r="T24" i="1" s="1"/>
  <c r="T27" i="1" a="1"/>
  <c r="T27" i="1" s="1"/>
  <c r="T23" i="1" a="1"/>
  <c r="T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<sst xmlns="http://schemas.openxmlformats.org/spreadsheetml/2006/main" count="1220" uniqueCount="37">
  <si>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</si>
  <si>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</si>
  <si>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</si>
  <si>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</si>
  <si>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</si>
  <si>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</si>
  <si>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</si>
  <si>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</si>
  <si>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</si>
  <si>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</si>
  <si>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</si>
  <si>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</si>
  <si>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</si>
  <si>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</si>
  <si>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</si>
  <si>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</si>
  <si>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</si>
  <si>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</si>
  <si>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</si>
  <si>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German</t>
  </si>
  <si>
    <t>plurality</t>
  </si>
  <si>
    <t>DT</t>
  </si>
  <si>
    <t>RF</t>
  </si>
  <si>
    <t>NN</t>
  </si>
  <si>
    <t>gender</t>
  </si>
  <si>
    <t>case</t>
  </si>
  <si>
    <t>supplemented</t>
  </si>
  <si>
    <t>metric</t>
  </si>
  <si>
    <t>skippiness</t>
  </si>
  <si>
    <t>sample.n</t>
  </si>
  <si>
    <t>mgv</t>
  </si>
  <si>
    <t>xsk</t>
  </si>
  <si>
    <t>var</t>
  </si>
  <si>
    <t>geomean</t>
  </si>
  <si>
    <t>rank</t>
  </si>
  <si>
    <t>rank.average</t>
  </si>
  <si>
    <t>attrib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</si>
</sst>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auto="1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284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max</a:t>
            </a:r>
            <a:r>
              <a:rPr lang="ja-JP" altLang="en-US"/>
              <a:t> </a:t>
            </a:r>
            <a:r>
              <a:rPr lang="en-US" altLang="ja-JP"/>
              <a:t>accuracy</a:t>
            </a:r>
            <a:r>
              <a:rPr lang="ja-JP" altLang="en-US"/>
              <a:t> </a:t>
            </a:r>
            <a:r>
              <a:rPr lang="en-US" altLang="ja-JP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54"/>
                <c:pt idx="0">
                  <c:v>0.73</c:v>
                </c:pt>
                <c:pt idx="1">
                  <c:v>0.82</c:v>
                </c:pt>
                <c:pt idx="2">
                  <c:v>0.48</c:v>
                </c:pt>
                <c:pt idx="3">
                  <c:v>0.5</c:v>
                </c:pt>
                <c:pt idx="4">
                  <c:v>0.4</c:v>
                </c:pt>
                <c:pt idx="5">
                  <c:v>0.39</c:v>
                </c:pt>
                <c:pt idx="6">
                  <c:v>0.79</c:v>
                </c:pt>
                <c:pt idx="7">
                  <c:v>0.86</c:v>
                </c:pt>
                <c:pt idx="8">
                  <c:v>0.56000000000000005</c:v>
                </c:pt>
                <c:pt idx="9">
                  <c:v>0.57999999999999996</c:v>
                </c:pt>
                <c:pt idx="10">
                  <c:v>0.39</c:v>
                </c:pt>
                <c:pt idx="11">
                  <c:v>0.37</c:v>
                </c:pt>
                <c:pt idx="12">
                  <c:v>0.82</c:v>
                </c:pt>
                <c:pt idx="13">
                  <c:v>0.84</c:v>
                </c:pt>
                <c:pt idx="14">
                  <c:v>0.57999999999999996</c:v>
                </c:pt>
                <c:pt idx="15">
                  <c:v>0.56999999999999995</c:v>
                </c:pt>
                <c:pt idx="16">
                  <c:v>0.36</c:v>
                </c:pt>
                <c:pt idx="17">
                  <c:v>0.37</c:v>
                </c:pt>
                <c:pt idx="18">
                  <c:v>0.82</c:v>
                </c:pt>
                <c:pt idx="19">
                  <c:v>0.85</c:v>
                </c:pt>
                <c:pt idx="20">
                  <c:v>0.56999999999999995</c:v>
                </c:pt>
                <c:pt idx="21">
                  <c:v>0.56000000000000005</c:v>
                </c:pt>
                <c:pt idx="22">
                  <c:v>0.38</c:v>
                </c:pt>
                <c:pt idx="23">
                  <c:v>0.42</c:v>
                </c:pt>
                <c:pt idx="24">
                  <c:v>0.82</c:v>
                </c:pt>
                <c:pt idx="25">
                  <c:v>0.84</c:v>
                </c:pt>
                <c:pt idx="26">
                  <c:v>0.6</c:v>
                </c:pt>
                <c:pt idx="27">
                  <c:v>0.64</c:v>
                </c:pt>
                <c:pt idx="28">
                  <c:v>0.42</c:v>
                </c:pt>
                <c:pt idx="29">
                  <c:v>0.4</c:v>
                </c:pt>
                <c:pt idx="30">
                  <c:v>0.85</c:v>
                </c:pt>
                <c:pt idx="31">
                  <c:v>0.9</c:v>
                </c:pt>
                <c:pt idx="32">
                  <c:v>0.57999999999999996</c:v>
                </c:pt>
                <c:pt idx="33">
                  <c:v>0.59</c:v>
                </c:pt>
                <c:pt idx="34">
                  <c:v>0.39</c:v>
                </c:pt>
                <c:pt idx="35">
                  <c:v>0.42</c:v>
                </c:pt>
                <c:pt idx="36">
                  <c:v>0.81</c:v>
                </c:pt>
                <c:pt idx="37">
                  <c:v>0.85</c:v>
                </c:pt>
                <c:pt idx="38">
                  <c:v>0.59</c:v>
                </c:pt>
                <c:pt idx="39">
                  <c:v>0.63</c:v>
                </c:pt>
                <c:pt idx="40">
                  <c:v>0.4</c:v>
                </c:pt>
                <c:pt idx="41">
                  <c:v>0.44</c:v>
                </c:pt>
                <c:pt idx="42">
                  <c:v>0.76</c:v>
                </c:pt>
                <c:pt idx="43">
                  <c:v>0.78</c:v>
                </c:pt>
                <c:pt idx="44">
                  <c:v>0.56999999999999995</c:v>
                </c:pt>
                <c:pt idx="45">
                  <c:v>0.57999999999999996</c:v>
                </c:pt>
                <c:pt idx="46">
                  <c:v>0.36</c:v>
                </c:pt>
                <c:pt idx="47">
                  <c:v>0.41</c:v>
                </c:pt>
                <c:pt idx="48">
                  <c:v>0.84</c:v>
                </c:pt>
                <c:pt idx="49">
                  <c:v>0.87</c:v>
                </c:pt>
                <c:pt idx="50">
                  <c:v>0.56000000000000005</c:v>
                </c:pt>
                <c:pt idx="51">
                  <c:v>0.62</c:v>
                </c:pt>
                <c:pt idx="52">
                  <c:v>0.38</c:v>
                </c:pt>
                <c:pt idx="5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A-2C46-BD41-E827F4C0FF9D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54"/>
                <c:pt idx="0">
                  <c:v>0.85</c:v>
                </c:pt>
                <c:pt idx="1">
                  <c:v>0.89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0.38</c:v>
                </c:pt>
                <c:pt idx="5">
                  <c:v>0.43</c:v>
                </c:pt>
                <c:pt idx="6">
                  <c:v>0.81</c:v>
                </c:pt>
                <c:pt idx="7">
                  <c:v>0.87</c:v>
                </c:pt>
                <c:pt idx="8">
                  <c:v>0.51</c:v>
                </c:pt>
                <c:pt idx="9">
                  <c:v>0.56000000000000005</c:v>
                </c:pt>
                <c:pt idx="10">
                  <c:v>0.39</c:v>
                </c:pt>
                <c:pt idx="11">
                  <c:v>0.43</c:v>
                </c:pt>
                <c:pt idx="12">
                  <c:v>0.82</c:v>
                </c:pt>
                <c:pt idx="13">
                  <c:v>0.87</c:v>
                </c:pt>
                <c:pt idx="14">
                  <c:v>0.53</c:v>
                </c:pt>
                <c:pt idx="15">
                  <c:v>0.54</c:v>
                </c:pt>
                <c:pt idx="16">
                  <c:v>0.42</c:v>
                </c:pt>
                <c:pt idx="17">
                  <c:v>0.35</c:v>
                </c:pt>
                <c:pt idx="18">
                  <c:v>0.85</c:v>
                </c:pt>
                <c:pt idx="19">
                  <c:v>0.86</c:v>
                </c:pt>
                <c:pt idx="20">
                  <c:v>0.61</c:v>
                </c:pt>
                <c:pt idx="21">
                  <c:v>0.61</c:v>
                </c:pt>
                <c:pt idx="22">
                  <c:v>0.36</c:v>
                </c:pt>
                <c:pt idx="23">
                  <c:v>0.4</c:v>
                </c:pt>
                <c:pt idx="24">
                  <c:v>0.79</c:v>
                </c:pt>
                <c:pt idx="25">
                  <c:v>0.83</c:v>
                </c:pt>
                <c:pt idx="26">
                  <c:v>0.55000000000000004</c:v>
                </c:pt>
                <c:pt idx="27">
                  <c:v>0.56999999999999995</c:v>
                </c:pt>
                <c:pt idx="28">
                  <c:v>0.43</c:v>
                </c:pt>
                <c:pt idx="29">
                  <c:v>0.43</c:v>
                </c:pt>
                <c:pt idx="30">
                  <c:v>0.81</c:v>
                </c:pt>
                <c:pt idx="31">
                  <c:v>0.88</c:v>
                </c:pt>
                <c:pt idx="32">
                  <c:v>0.56999999999999995</c:v>
                </c:pt>
                <c:pt idx="33">
                  <c:v>0.57999999999999996</c:v>
                </c:pt>
                <c:pt idx="34">
                  <c:v>0.38</c:v>
                </c:pt>
                <c:pt idx="35">
                  <c:v>0.41</c:v>
                </c:pt>
                <c:pt idx="36">
                  <c:v>0.86</c:v>
                </c:pt>
                <c:pt idx="37">
                  <c:v>0.89</c:v>
                </c:pt>
                <c:pt idx="38">
                  <c:v>0.6</c:v>
                </c:pt>
                <c:pt idx="39">
                  <c:v>0.61</c:v>
                </c:pt>
                <c:pt idx="40">
                  <c:v>0.38</c:v>
                </c:pt>
                <c:pt idx="41">
                  <c:v>0.39</c:v>
                </c:pt>
                <c:pt idx="42">
                  <c:v>0.81</c:v>
                </c:pt>
                <c:pt idx="43">
                  <c:v>0.87</c:v>
                </c:pt>
                <c:pt idx="44">
                  <c:v>0.56999999999999995</c:v>
                </c:pt>
                <c:pt idx="45">
                  <c:v>0.57999999999999996</c:v>
                </c:pt>
                <c:pt idx="46">
                  <c:v>0.4</c:v>
                </c:pt>
                <c:pt idx="47">
                  <c:v>0.41</c:v>
                </c:pt>
                <c:pt idx="48">
                  <c:v>0.83</c:v>
                </c:pt>
                <c:pt idx="49">
                  <c:v>0.84</c:v>
                </c:pt>
                <c:pt idx="50">
                  <c:v>0.62</c:v>
                </c:pt>
                <c:pt idx="51">
                  <c:v>0.62</c:v>
                </c:pt>
                <c:pt idx="52">
                  <c:v>0.43</c:v>
                </c:pt>
                <c:pt idx="5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A-2C46-BD41-E827F4C0FF9D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54"/>
                <c:pt idx="0">
                  <c:v>0.75</c:v>
                </c:pt>
                <c:pt idx="1">
                  <c:v>0.82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0.31</c:v>
                </c:pt>
                <c:pt idx="5">
                  <c:v>0.36</c:v>
                </c:pt>
                <c:pt idx="6">
                  <c:v>0.84</c:v>
                </c:pt>
                <c:pt idx="7">
                  <c:v>0.86</c:v>
                </c:pt>
                <c:pt idx="8">
                  <c:v>0.53</c:v>
                </c:pt>
                <c:pt idx="9">
                  <c:v>0.56000000000000005</c:v>
                </c:pt>
                <c:pt idx="10">
                  <c:v>0.46</c:v>
                </c:pt>
                <c:pt idx="11">
                  <c:v>0.5</c:v>
                </c:pt>
                <c:pt idx="12">
                  <c:v>0.8</c:v>
                </c:pt>
                <c:pt idx="13">
                  <c:v>0.83</c:v>
                </c:pt>
                <c:pt idx="14">
                  <c:v>0.61</c:v>
                </c:pt>
                <c:pt idx="15">
                  <c:v>0.56999999999999995</c:v>
                </c:pt>
                <c:pt idx="16">
                  <c:v>0.37</c:v>
                </c:pt>
                <c:pt idx="17">
                  <c:v>0.38</c:v>
                </c:pt>
                <c:pt idx="18">
                  <c:v>0.83</c:v>
                </c:pt>
                <c:pt idx="19">
                  <c:v>0.89</c:v>
                </c:pt>
                <c:pt idx="20">
                  <c:v>0.61</c:v>
                </c:pt>
                <c:pt idx="21">
                  <c:v>0.62</c:v>
                </c:pt>
                <c:pt idx="22">
                  <c:v>0.42</c:v>
                </c:pt>
                <c:pt idx="23">
                  <c:v>0.41</c:v>
                </c:pt>
                <c:pt idx="24">
                  <c:v>0.8</c:v>
                </c:pt>
                <c:pt idx="25">
                  <c:v>0.8</c:v>
                </c:pt>
                <c:pt idx="26">
                  <c:v>0.54</c:v>
                </c:pt>
                <c:pt idx="27">
                  <c:v>0.59</c:v>
                </c:pt>
                <c:pt idx="28">
                  <c:v>0.36</c:v>
                </c:pt>
                <c:pt idx="29">
                  <c:v>0.41</c:v>
                </c:pt>
                <c:pt idx="30">
                  <c:v>0.83</c:v>
                </c:pt>
                <c:pt idx="31">
                  <c:v>0.86</c:v>
                </c:pt>
                <c:pt idx="32">
                  <c:v>0.6</c:v>
                </c:pt>
                <c:pt idx="33">
                  <c:v>0.62</c:v>
                </c:pt>
                <c:pt idx="34">
                  <c:v>0.4</c:v>
                </c:pt>
                <c:pt idx="35">
                  <c:v>0.4</c:v>
                </c:pt>
                <c:pt idx="36">
                  <c:v>0.83</c:v>
                </c:pt>
                <c:pt idx="37">
                  <c:v>0.85</c:v>
                </c:pt>
                <c:pt idx="38">
                  <c:v>0.66</c:v>
                </c:pt>
                <c:pt idx="39">
                  <c:v>0.66</c:v>
                </c:pt>
                <c:pt idx="40">
                  <c:v>0.42</c:v>
                </c:pt>
                <c:pt idx="41">
                  <c:v>0.41</c:v>
                </c:pt>
                <c:pt idx="42">
                  <c:v>0.79</c:v>
                </c:pt>
                <c:pt idx="43">
                  <c:v>0.81</c:v>
                </c:pt>
                <c:pt idx="44">
                  <c:v>0.56999999999999995</c:v>
                </c:pt>
                <c:pt idx="45">
                  <c:v>0.61</c:v>
                </c:pt>
                <c:pt idx="46">
                  <c:v>0.36</c:v>
                </c:pt>
                <c:pt idx="47">
                  <c:v>0.37</c:v>
                </c:pt>
                <c:pt idx="48">
                  <c:v>0.83</c:v>
                </c:pt>
                <c:pt idx="49">
                  <c:v>0.88</c:v>
                </c:pt>
                <c:pt idx="50">
                  <c:v>0.63</c:v>
                </c:pt>
                <c:pt idx="51">
                  <c:v>0.6</c:v>
                </c:pt>
                <c:pt idx="52">
                  <c:v>0.4</c:v>
                </c:pt>
                <c:pt idx="5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5A-2C46-BD41-E827F4C0FF9D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54"/>
                <c:pt idx="0">
                  <c:v>0.78</c:v>
                </c:pt>
                <c:pt idx="1">
                  <c:v>0.82</c:v>
                </c:pt>
                <c:pt idx="2">
                  <c:v>0.55000000000000004</c:v>
                </c:pt>
                <c:pt idx="3">
                  <c:v>0.53</c:v>
                </c:pt>
                <c:pt idx="4">
                  <c:v>0.42</c:v>
                </c:pt>
                <c:pt idx="5">
                  <c:v>0.43</c:v>
                </c:pt>
                <c:pt idx="6">
                  <c:v>0.81</c:v>
                </c:pt>
                <c:pt idx="7">
                  <c:v>0.82</c:v>
                </c:pt>
                <c:pt idx="8">
                  <c:v>0.55000000000000004</c:v>
                </c:pt>
                <c:pt idx="9">
                  <c:v>0.6</c:v>
                </c:pt>
                <c:pt idx="10">
                  <c:v>0.38</c:v>
                </c:pt>
                <c:pt idx="11">
                  <c:v>0.33</c:v>
                </c:pt>
                <c:pt idx="12">
                  <c:v>0.75</c:v>
                </c:pt>
                <c:pt idx="13">
                  <c:v>0.78</c:v>
                </c:pt>
                <c:pt idx="14">
                  <c:v>0.57999999999999996</c:v>
                </c:pt>
                <c:pt idx="15">
                  <c:v>0.61</c:v>
                </c:pt>
                <c:pt idx="16">
                  <c:v>0.43</c:v>
                </c:pt>
                <c:pt idx="17">
                  <c:v>0.47</c:v>
                </c:pt>
                <c:pt idx="18">
                  <c:v>0.74</c:v>
                </c:pt>
                <c:pt idx="19">
                  <c:v>0.77</c:v>
                </c:pt>
                <c:pt idx="20">
                  <c:v>0.55000000000000004</c:v>
                </c:pt>
                <c:pt idx="21">
                  <c:v>0.59</c:v>
                </c:pt>
                <c:pt idx="22">
                  <c:v>0.44</c:v>
                </c:pt>
                <c:pt idx="23">
                  <c:v>0.43</c:v>
                </c:pt>
                <c:pt idx="24">
                  <c:v>0.85</c:v>
                </c:pt>
                <c:pt idx="25">
                  <c:v>0.86</c:v>
                </c:pt>
                <c:pt idx="26">
                  <c:v>0.6</c:v>
                </c:pt>
                <c:pt idx="27">
                  <c:v>0.65</c:v>
                </c:pt>
                <c:pt idx="28">
                  <c:v>0.4</c:v>
                </c:pt>
                <c:pt idx="29">
                  <c:v>0.39</c:v>
                </c:pt>
                <c:pt idx="30">
                  <c:v>0.78</c:v>
                </c:pt>
                <c:pt idx="31">
                  <c:v>0.84</c:v>
                </c:pt>
                <c:pt idx="32">
                  <c:v>0.53</c:v>
                </c:pt>
                <c:pt idx="33">
                  <c:v>0.6</c:v>
                </c:pt>
                <c:pt idx="34">
                  <c:v>0.41</c:v>
                </c:pt>
                <c:pt idx="35">
                  <c:v>0.41</c:v>
                </c:pt>
                <c:pt idx="36">
                  <c:v>0.82</c:v>
                </c:pt>
                <c:pt idx="37">
                  <c:v>0.82</c:v>
                </c:pt>
                <c:pt idx="38">
                  <c:v>0.54</c:v>
                </c:pt>
                <c:pt idx="39">
                  <c:v>0.62</c:v>
                </c:pt>
                <c:pt idx="40">
                  <c:v>0.46</c:v>
                </c:pt>
                <c:pt idx="41">
                  <c:v>0.46</c:v>
                </c:pt>
                <c:pt idx="42">
                  <c:v>0.84</c:v>
                </c:pt>
                <c:pt idx="43">
                  <c:v>0.84</c:v>
                </c:pt>
                <c:pt idx="44">
                  <c:v>0.59</c:v>
                </c:pt>
                <c:pt idx="45">
                  <c:v>0.63</c:v>
                </c:pt>
                <c:pt idx="46">
                  <c:v>0.43</c:v>
                </c:pt>
                <c:pt idx="47">
                  <c:v>0.46</c:v>
                </c:pt>
                <c:pt idx="48">
                  <c:v>0.8</c:v>
                </c:pt>
                <c:pt idx="49">
                  <c:v>0.85</c:v>
                </c:pt>
                <c:pt idx="50">
                  <c:v>0.56999999999999995</c:v>
                </c:pt>
                <c:pt idx="51">
                  <c:v>0.63</c:v>
                </c:pt>
                <c:pt idx="52">
                  <c:v>0.42</c:v>
                </c:pt>
                <c:pt idx="5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5A-2C46-BD41-E827F4C0FF9D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54"/>
                <c:pt idx="0">
                  <c:v>0.82</c:v>
                </c:pt>
                <c:pt idx="1">
                  <c:v>0.79</c:v>
                </c:pt>
                <c:pt idx="2">
                  <c:v>0.52</c:v>
                </c:pt>
                <c:pt idx="3">
                  <c:v>0.52</c:v>
                </c:pt>
                <c:pt idx="4">
                  <c:v>0.42</c:v>
                </c:pt>
                <c:pt idx="5">
                  <c:v>0.43</c:v>
                </c:pt>
                <c:pt idx="6">
                  <c:v>0.79</c:v>
                </c:pt>
                <c:pt idx="7">
                  <c:v>0.83</c:v>
                </c:pt>
                <c:pt idx="8">
                  <c:v>0.49</c:v>
                </c:pt>
                <c:pt idx="9">
                  <c:v>0.47</c:v>
                </c:pt>
                <c:pt idx="10">
                  <c:v>0.39</c:v>
                </c:pt>
                <c:pt idx="11">
                  <c:v>0.42</c:v>
                </c:pt>
                <c:pt idx="12">
                  <c:v>0.79</c:v>
                </c:pt>
                <c:pt idx="13">
                  <c:v>0.82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0.37</c:v>
                </c:pt>
                <c:pt idx="17">
                  <c:v>0.35</c:v>
                </c:pt>
                <c:pt idx="18">
                  <c:v>0.79</c:v>
                </c:pt>
                <c:pt idx="19">
                  <c:v>0.81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0.39</c:v>
                </c:pt>
                <c:pt idx="23">
                  <c:v>0.41</c:v>
                </c:pt>
                <c:pt idx="24">
                  <c:v>0.78</c:v>
                </c:pt>
                <c:pt idx="25">
                  <c:v>0.78</c:v>
                </c:pt>
                <c:pt idx="26">
                  <c:v>0.59</c:v>
                </c:pt>
                <c:pt idx="27">
                  <c:v>0.56000000000000005</c:v>
                </c:pt>
                <c:pt idx="28">
                  <c:v>0.46</c:v>
                </c:pt>
                <c:pt idx="29">
                  <c:v>0.46</c:v>
                </c:pt>
                <c:pt idx="30">
                  <c:v>0.82</c:v>
                </c:pt>
                <c:pt idx="31">
                  <c:v>0.83</c:v>
                </c:pt>
                <c:pt idx="32">
                  <c:v>0.61</c:v>
                </c:pt>
                <c:pt idx="33">
                  <c:v>0.6</c:v>
                </c:pt>
                <c:pt idx="34">
                  <c:v>0.41</c:v>
                </c:pt>
                <c:pt idx="35">
                  <c:v>0.42</c:v>
                </c:pt>
                <c:pt idx="36">
                  <c:v>0.82</c:v>
                </c:pt>
                <c:pt idx="37">
                  <c:v>0.84</c:v>
                </c:pt>
                <c:pt idx="38">
                  <c:v>0.62</c:v>
                </c:pt>
                <c:pt idx="39">
                  <c:v>0.61</c:v>
                </c:pt>
                <c:pt idx="40">
                  <c:v>0.39</c:v>
                </c:pt>
                <c:pt idx="41">
                  <c:v>0.4</c:v>
                </c:pt>
                <c:pt idx="42">
                  <c:v>0.78</c:v>
                </c:pt>
                <c:pt idx="43">
                  <c:v>0.8</c:v>
                </c:pt>
                <c:pt idx="44">
                  <c:v>0.56000000000000005</c:v>
                </c:pt>
                <c:pt idx="45">
                  <c:v>0.56000000000000005</c:v>
                </c:pt>
                <c:pt idx="46">
                  <c:v>0.39</c:v>
                </c:pt>
                <c:pt idx="47">
                  <c:v>0.42</c:v>
                </c:pt>
                <c:pt idx="48">
                  <c:v>0.8</c:v>
                </c:pt>
                <c:pt idx="49">
                  <c:v>0.82</c:v>
                </c:pt>
                <c:pt idx="50">
                  <c:v>0.59</c:v>
                </c:pt>
                <c:pt idx="51">
                  <c:v>0.59</c:v>
                </c:pt>
                <c:pt idx="52">
                  <c:v>0.37</c:v>
                </c:pt>
                <c:pt idx="5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5A-2C46-BD41-E827F4C0FF9D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54"/>
                <c:pt idx="0">
                  <c:v>0.8</c:v>
                </c:pt>
                <c:pt idx="1">
                  <c:v>0.81</c:v>
                </c:pt>
                <c:pt idx="2">
                  <c:v>0.63</c:v>
                </c:pt>
                <c:pt idx="3">
                  <c:v>0.56999999999999995</c:v>
                </c:pt>
                <c:pt idx="4">
                  <c:v>0.42</c:v>
                </c:pt>
                <c:pt idx="5">
                  <c:v>0.38</c:v>
                </c:pt>
                <c:pt idx="6">
                  <c:v>0.83</c:v>
                </c:pt>
                <c:pt idx="7">
                  <c:v>0.86</c:v>
                </c:pt>
                <c:pt idx="8">
                  <c:v>0.5</c:v>
                </c:pt>
                <c:pt idx="9">
                  <c:v>0.5</c:v>
                </c:pt>
                <c:pt idx="10">
                  <c:v>0.42</c:v>
                </c:pt>
                <c:pt idx="11">
                  <c:v>0.46</c:v>
                </c:pt>
                <c:pt idx="12">
                  <c:v>0.84</c:v>
                </c:pt>
                <c:pt idx="13">
                  <c:v>0.85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0.37</c:v>
                </c:pt>
                <c:pt idx="17">
                  <c:v>0.33</c:v>
                </c:pt>
                <c:pt idx="18">
                  <c:v>0.83</c:v>
                </c:pt>
                <c:pt idx="19">
                  <c:v>0.81</c:v>
                </c:pt>
                <c:pt idx="20">
                  <c:v>0.55000000000000004</c:v>
                </c:pt>
                <c:pt idx="21">
                  <c:v>0.59</c:v>
                </c:pt>
                <c:pt idx="22">
                  <c:v>0.42</c:v>
                </c:pt>
                <c:pt idx="23">
                  <c:v>0.41</c:v>
                </c:pt>
                <c:pt idx="24">
                  <c:v>0.84</c:v>
                </c:pt>
                <c:pt idx="25">
                  <c:v>0.84</c:v>
                </c:pt>
                <c:pt idx="26">
                  <c:v>0.56999999999999995</c:v>
                </c:pt>
                <c:pt idx="27">
                  <c:v>0.52</c:v>
                </c:pt>
                <c:pt idx="28">
                  <c:v>0.4</c:v>
                </c:pt>
                <c:pt idx="29">
                  <c:v>0.42</c:v>
                </c:pt>
                <c:pt idx="30">
                  <c:v>0.82</c:v>
                </c:pt>
                <c:pt idx="31">
                  <c:v>0.83</c:v>
                </c:pt>
                <c:pt idx="32">
                  <c:v>0.62</c:v>
                </c:pt>
                <c:pt idx="33">
                  <c:v>0.6</c:v>
                </c:pt>
                <c:pt idx="34">
                  <c:v>0.47</c:v>
                </c:pt>
                <c:pt idx="35">
                  <c:v>0.45</c:v>
                </c:pt>
                <c:pt idx="36">
                  <c:v>0.82</c:v>
                </c:pt>
                <c:pt idx="37">
                  <c:v>0.85</c:v>
                </c:pt>
                <c:pt idx="38">
                  <c:v>0.63</c:v>
                </c:pt>
                <c:pt idx="39">
                  <c:v>0.6</c:v>
                </c:pt>
                <c:pt idx="40">
                  <c:v>0.4</c:v>
                </c:pt>
                <c:pt idx="41">
                  <c:v>0.39</c:v>
                </c:pt>
                <c:pt idx="42">
                  <c:v>0.79</c:v>
                </c:pt>
                <c:pt idx="43">
                  <c:v>0.77</c:v>
                </c:pt>
                <c:pt idx="44">
                  <c:v>0.56999999999999995</c:v>
                </c:pt>
                <c:pt idx="45">
                  <c:v>0.56000000000000005</c:v>
                </c:pt>
                <c:pt idx="46">
                  <c:v>0.4</c:v>
                </c:pt>
                <c:pt idx="47">
                  <c:v>0.41</c:v>
                </c:pt>
                <c:pt idx="48">
                  <c:v>0.8</c:v>
                </c:pt>
                <c:pt idx="49">
                  <c:v>0.81</c:v>
                </c:pt>
                <c:pt idx="50">
                  <c:v>0.56999999999999995</c:v>
                </c:pt>
                <c:pt idx="51">
                  <c:v>0.55000000000000004</c:v>
                </c:pt>
                <c:pt idx="52">
                  <c:v>0.42</c:v>
                </c:pt>
                <c:pt idx="5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5A-2C46-BD41-E827F4C0FF9D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54"/>
                <c:pt idx="0">
                  <c:v>0.76</c:v>
                </c:pt>
                <c:pt idx="1">
                  <c:v>0.86</c:v>
                </c:pt>
                <c:pt idx="2">
                  <c:v>0.54</c:v>
                </c:pt>
                <c:pt idx="3">
                  <c:v>0.54</c:v>
                </c:pt>
                <c:pt idx="4">
                  <c:v>0.36</c:v>
                </c:pt>
                <c:pt idx="5">
                  <c:v>0.36</c:v>
                </c:pt>
                <c:pt idx="6">
                  <c:v>0.76</c:v>
                </c:pt>
                <c:pt idx="7">
                  <c:v>0.88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0.46</c:v>
                </c:pt>
                <c:pt idx="11">
                  <c:v>0.4</c:v>
                </c:pt>
                <c:pt idx="12">
                  <c:v>0.74</c:v>
                </c:pt>
                <c:pt idx="13">
                  <c:v>0.82</c:v>
                </c:pt>
                <c:pt idx="14">
                  <c:v>0.56000000000000005</c:v>
                </c:pt>
                <c:pt idx="15">
                  <c:v>0.56000000000000005</c:v>
                </c:pt>
                <c:pt idx="16">
                  <c:v>0.38</c:v>
                </c:pt>
                <c:pt idx="17">
                  <c:v>0.35</c:v>
                </c:pt>
                <c:pt idx="18">
                  <c:v>0.8</c:v>
                </c:pt>
                <c:pt idx="19">
                  <c:v>0.86</c:v>
                </c:pt>
                <c:pt idx="20">
                  <c:v>0.57999999999999996</c:v>
                </c:pt>
                <c:pt idx="21">
                  <c:v>0.59</c:v>
                </c:pt>
                <c:pt idx="22">
                  <c:v>0.42</c:v>
                </c:pt>
                <c:pt idx="23">
                  <c:v>0.41</c:v>
                </c:pt>
                <c:pt idx="24">
                  <c:v>0.82</c:v>
                </c:pt>
                <c:pt idx="25">
                  <c:v>0.86</c:v>
                </c:pt>
                <c:pt idx="26">
                  <c:v>0.57999999999999996</c:v>
                </c:pt>
                <c:pt idx="27">
                  <c:v>0.63</c:v>
                </c:pt>
                <c:pt idx="28">
                  <c:v>0.39</c:v>
                </c:pt>
                <c:pt idx="29">
                  <c:v>0.39</c:v>
                </c:pt>
                <c:pt idx="30">
                  <c:v>0.8</c:v>
                </c:pt>
                <c:pt idx="31">
                  <c:v>0.86</c:v>
                </c:pt>
                <c:pt idx="32">
                  <c:v>0.54</c:v>
                </c:pt>
                <c:pt idx="33">
                  <c:v>0.63</c:v>
                </c:pt>
                <c:pt idx="34">
                  <c:v>0.42</c:v>
                </c:pt>
                <c:pt idx="35">
                  <c:v>0.4</c:v>
                </c:pt>
                <c:pt idx="36">
                  <c:v>0.81</c:v>
                </c:pt>
                <c:pt idx="37">
                  <c:v>0.83</c:v>
                </c:pt>
                <c:pt idx="38">
                  <c:v>0.56999999999999995</c:v>
                </c:pt>
                <c:pt idx="39">
                  <c:v>0.61</c:v>
                </c:pt>
                <c:pt idx="40">
                  <c:v>0.38</c:v>
                </c:pt>
                <c:pt idx="41">
                  <c:v>0.46</c:v>
                </c:pt>
                <c:pt idx="42">
                  <c:v>0.84</c:v>
                </c:pt>
                <c:pt idx="43">
                  <c:v>0.87</c:v>
                </c:pt>
                <c:pt idx="44">
                  <c:v>0.57999999999999996</c:v>
                </c:pt>
                <c:pt idx="45">
                  <c:v>0.64</c:v>
                </c:pt>
                <c:pt idx="46">
                  <c:v>0.45</c:v>
                </c:pt>
                <c:pt idx="47">
                  <c:v>0.43</c:v>
                </c:pt>
                <c:pt idx="48">
                  <c:v>0.85</c:v>
                </c:pt>
                <c:pt idx="49">
                  <c:v>0.87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0.36</c:v>
                </c:pt>
                <c:pt idx="5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5A-2C46-BD41-E827F4C0FF9D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54"/>
                <c:pt idx="0">
                  <c:v>0.76</c:v>
                </c:pt>
                <c:pt idx="1">
                  <c:v>0.8</c:v>
                </c:pt>
                <c:pt idx="2">
                  <c:v>0.55000000000000004</c:v>
                </c:pt>
                <c:pt idx="3">
                  <c:v>0.53</c:v>
                </c:pt>
                <c:pt idx="4">
                  <c:v>0.4</c:v>
                </c:pt>
                <c:pt idx="5">
                  <c:v>0.4</c:v>
                </c:pt>
                <c:pt idx="6">
                  <c:v>0.84</c:v>
                </c:pt>
                <c:pt idx="7">
                  <c:v>0.87</c:v>
                </c:pt>
                <c:pt idx="8">
                  <c:v>0.61</c:v>
                </c:pt>
                <c:pt idx="9">
                  <c:v>0.61</c:v>
                </c:pt>
                <c:pt idx="10">
                  <c:v>0.43</c:v>
                </c:pt>
                <c:pt idx="11">
                  <c:v>0.45</c:v>
                </c:pt>
                <c:pt idx="12">
                  <c:v>0.82</c:v>
                </c:pt>
                <c:pt idx="13">
                  <c:v>0.85</c:v>
                </c:pt>
                <c:pt idx="14">
                  <c:v>0.54</c:v>
                </c:pt>
                <c:pt idx="15">
                  <c:v>0.54</c:v>
                </c:pt>
                <c:pt idx="16">
                  <c:v>0.45</c:v>
                </c:pt>
                <c:pt idx="17">
                  <c:v>0.43</c:v>
                </c:pt>
                <c:pt idx="18">
                  <c:v>0.79</c:v>
                </c:pt>
                <c:pt idx="19">
                  <c:v>0.82</c:v>
                </c:pt>
                <c:pt idx="20">
                  <c:v>0.6</c:v>
                </c:pt>
                <c:pt idx="21">
                  <c:v>0.6</c:v>
                </c:pt>
                <c:pt idx="22">
                  <c:v>0.39</c:v>
                </c:pt>
                <c:pt idx="23">
                  <c:v>0.41</c:v>
                </c:pt>
                <c:pt idx="24">
                  <c:v>0.78</c:v>
                </c:pt>
                <c:pt idx="25">
                  <c:v>0.83</c:v>
                </c:pt>
                <c:pt idx="26">
                  <c:v>0.56000000000000005</c:v>
                </c:pt>
                <c:pt idx="27">
                  <c:v>0.56999999999999995</c:v>
                </c:pt>
                <c:pt idx="28">
                  <c:v>0.45</c:v>
                </c:pt>
                <c:pt idx="29">
                  <c:v>0.43</c:v>
                </c:pt>
                <c:pt idx="30">
                  <c:v>0.83</c:v>
                </c:pt>
                <c:pt idx="31">
                  <c:v>0.88</c:v>
                </c:pt>
                <c:pt idx="32">
                  <c:v>0.6</c:v>
                </c:pt>
                <c:pt idx="33">
                  <c:v>0.61</c:v>
                </c:pt>
                <c:pt idx="34">
                  <c:v>0.42</c:v>
                </c:pt>
                <c:pt idx="35">
                  <c:v>0.47</c:v>
                </c:pt>
                <c:pt idx="36">
                  <c:v>0.8</c:v>
                </c:pt>
                <c:pt idx="37">
                  <c:v>0.82</c:v>
                </c:pt>
                <c:pt idx="38">
                  <c:v>0.62</c:v>
                </c:pt>
                <c:pt idx="39">
                  <c:v>0.62</c:v>
                </c:pt>
                <c:pt idx="40">
                  <c:v>0.41</c:v>
                </c:pt>
                <c:pt idx="41">
                  <c:v>0.42</c:v>
                </c:pt>
                <c:pt idx="42">
                  <c:v>0.82</c:v>
                </c:pt>
                <c:pt idx="43">
                  <c:v>0.86</c:v>
                </c:pt>
                <c:pt idx="44">
                  <c:v>0.59</c:v>
                </c:pt>
                <c:pt idx="45">
                  <c:v>0.63</c:v>
                </c:pt>
                <c:pt idx="46">
                  <c:v>0.43</c:v>
                </c:pt>
                <c:pt idx="47">
                  <c:v>0.47</c:v>
                </c:pt>
                <c:pt idx="48">
                  <c:v>0.86</c:v>
                </c:pt>
                <c:pt idx="49">
                  <c:v>0.89</c:v>
                </c:pt>
                <c:pt idx="50">
                  <c:v>0.62</c:v>
                </c:pt>
                <c:pt idx="51">
                  <c:v>0.63</c:v>
                </c:pt>
                <c:pt idx="52">
                  <c:v>0.41</c:v>
                </c:pt>
                <c:pt idx="5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5A-2C46-BD41-E827F4C0FF9D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54"/>
                <c:pt idx="0">
                  <c:v>0.82</c:v>
                </c:pt>
                <c:pt idx="1">
                  <c:v>0.84</c:v>
                </c:pt>
                <c:pt idx="2">
                  <c:v>0.52</c:v>
                </c:pt>
                <c:pt idx="3">
                  <c:v>0.54</c:v>
                </c:pt>
                <c:pt idx="4">
                  <c:v>0.37</c:v>
                </c:pt>
                <c:pt idx="5">
                  <c:v>0.4</c:v>
                </c:pt>
                <c:pt idx="6">
                  <c:v>0.81</c:v>
                </c:pt>
                <c:pt idx="7">
                  <c:v>0.86</c:v>
                </c:pt>
                <c:pt idx="8">
                  <c:v>0.57999999999999996</c:v>
                </c:pt>
                <c:pt idx="9">
                  <c:v>0.54</c:v>
                </c:pt>
                <c:pt idx="10">
                  <c:v>0.36</c:v>
                </c:pt>
                <c:pt idx="11">
                  <c:v>0.39</c:v>
                </c:pt>
                <c:pt idx="12">
                  <c:v>0.88</c:v>
                </c:pt>
                <c:pt idx="13">
                  <c:v>0.88</c:v>
                </c:pt>
                <c:pt idx="14">
                  <c:v>0.55000000000000004</c:v>
                </c:pt>
                <c:pt idx="15">
                  <c:v>0.61</c:v>
                </c:pt>
                <c:pt idx="16">
                  <c:v>0.32</c:v>
                </c:pt>
                <c:pt idx="17">
                  <c:v>0.32</c:v>
                </c:pt>
                <c:pt idx="18">
                  <c:v>0.8</c:v>
                </c:pt>
                <c:pt idx="19">
                  <c:v>0.82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0.4</c:v>
                </c:pt>
                <c:pt idx="23">
                  <c:v>0.41</c:v>
                </c:pt>
                <c:pt idx="24">
                  <c:v>0.74</c:v>
                </c:pt>
                <c:pt idx="25">
                  <c:v>0.76</c:v>
                </c:pt>
                <c:pt idx="26">
                  <c:v>0.61</c:v>
                </c:pt>
                <c:pt idx="27">
                  <c:v>0.62</c:v>
                </c:pt>
                <c:pt idx="28">
                  <c:v>0.35</c:v>
                </c:pt>
                <c:pt idx="29">
                  <c:v>0.38</c:v>
                </c:pt>
                <c:pt idx="30">
                  <c:v>0.83</c:v>
                </c:pt>
                <c:pt idx="31">
                  <c:v>0.87</c:v>
                </c:pt>
                <c:pt idx="32">
                  <c:v>0.59</c:v>
                </c:pt>
                <c:pt idx="33">
                  <c:v>0.6</c:v>
                </c:pt>
                <c:pt idx="34">
                  <c:v>0.41</c:v>
                </c:pt>
                <c:pt idx="35">
                  <c:v>0.45</c:v>
                </c:pt>
                <c:pt idx="36">
                  <c:v>0.8</c:v>
                </c:pt>
                <c:pt idx="37">
                  <c:v>0.85</c:v>
                </c:pt>
                <c:pt idx="38">
                  <c:v>0.57999999999999996</c:v>
                </c:pt>
                <c:pt idx="39">
                  <c:v>0.64</c:v>
                </c:pt>
                <c:pt idx="40">
                  <c:v>0.42</c:v>
                </c:pt>
                <c:pt idx="41">
                  <c:v>0.41</c:v>
                </c:pt>
                <c:pt idx="42">
                  <c:v>0.83</c:v>
                </c:pt>
                <c:pt idx="43">
                  <c:v>0.85</c:v>
                </c:pt>
                <c:pt idx="44">
                  <c:v>0.61</c:v>
                </c:pt>
                <c:pt idx="45">
                  <c:v>0.63</c:v>
                </c:pt>
                <c:pt idx="46">
                  <c:v>0.41</c:v>
                </c:pt>
                <c:pt idx="47">
                  <c:v>0.39</c:v>
                </c:pt>
                <c:pt idx="48">
                  <c:v>0.81</c:v>
                </c:pt>
                <c:pt idx="49">
                  <c:v>0.82</c:v>
                </c:pt>
                <c:pt idx="50">
                  <c:v>0.6</c:v>
                </c:pt>
                <c:pt idx="51">
                  <c:v>0.59</c:v>
                </c:pt>
                <c:pt idx="52">
                  <c:v>0.42</c:v>
                </c:pt>
                <c:pt idx="5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5A-2C46-BD41-E827F4C0FF9D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54"/>
                <c:pt idx="0">
                  <c:v>0.82</c:v>
                </c:pt>
                <c:pt idx="1">
                  <c:v>0.85</c:v>
                </c:pt>
                <c:pt idx="2">
                  <c:v>0.54</c:v>
                </c:pt>
                <c:pt idx="3">
                  <c:v>0.56999999999999995</c:v>
                </c:pt>
                <c:pt idx="4">
                  <c:v>0.45</c:v>
                </c:pt>
                <c:pt idx="5">
                  <c:v>0.48</c:v>
                </c:pt>
                <c:pt idx="6">
                  <c:v>0.8</c:v>
                </c:pt>
                <c:pt idx="7">
                  <c:v>0.82</c:v>
                </c:pt>
                <c:pt idx="8">
                  <c:v>0.56000000000000005</c:v>
                </c:pt>
                <c:pt idx="9">
                  <c:v>0.59</c:v>
                </c:pt>
                <c:pt idx="10">
                  <c:v>0.38</c:v>
                </c:pt>
                <c:pt idx="11">
                  <c:v>0.38</c:v>
                </c:pt>
                <c:pt idx="12">
                  <c:v>0.82</c:v>
                </c:pt>
                <c:pt idx="13">
                  <c:v>0.82</c:v>
                </c:pt>
                <c:pt idx="14">
                  <c:v>0.56999999999999995</c:v>
                </c:pt>
                <c:pt idx="15">
                  <c:v>0.56000000000000005</c:v>
                </c:pt>
                <c:pt idx="16">
                  <c:v>0.43</c:v>
                </c:pt>
                <c:pt idx="17">
                  <c:v>0.47</c:v>
                </c:pt>
                <c:pt idx="18">
                  <c:v>0.81</c:v>
                </c:pt>
                <c:pt idx="19">
                  <c:v>0.82</c:v>
                </c:pt>
                <c:pt idx="20">
                  <c:v>0.65</c:v>
                </c:pt>
                <c:pt idx="21">
                  <c:v>0.68</c:v>
                </c:pt>
                <c:pt idx="22">
                  <c:v>0.38</c:v>
                </c:pt>
                <c:pt idx="23">
                  <c:v>0.41</c:v>
                </c:pt>
                <c:pt idx="24">
                  <c:v>0.83</c:v>
                </c:pt>
                <c:pt idx="25">
                  <c:v>0.83</c:v>
                </c:pt>
                <c:pt idx="26">
                  <c:v>0.6</c:v>
                </c:pt>
                <c:pt idx="27">
                  <c:v>0.6</c:v>
                </c:pt>
                <c:pt idx="28">
                  <c:v>0.41</c:v>
                </c:pt>
                <c:pt idx="29">
                  <c:v>0.42</c:v>
                </c:pt>
                <c:pt idx="30">
                  <c:v>0.82</c:v>
                </c:pt>
                <c:pt idx="31">
                  <c:v>0.84</c:v>
                </c:pt>
                <c:pt idx="32">
                  <c:v>0.56999999999999995</c:v>
                </c:pt>
                <c:pt idx="33">
                  <c:v>0.61</c:v>
                </c:pt>
                <c:pt idx="34">
                  <c:v>0.39</c:v>
                </c:pt>
                <c:pt idx="35">
                  <c:v>0.4</c:v>
                </c:pt>
                <c:pt idx="36">
                  <c:v>0.81</c:v>
                </c:pt>
                <c:pt idx="37">
                  <c:v>0.85</c:v>
                </c:pt>
                <c:pt idx="38">
                  <c:v>0.63</c:v>
                </c:pt>
                <c:pt idx="39">
                  <c:v>0.64</c:v>
                </c:pt>
                <c:pt idx="40">
                  <c:v>0.47</c:v>
                </c:pt>
                <c:pt idx="41">
                  <c:v>0.45</c:v>
                </c:pt>
                <c:pt idx="42">
                  <c:v>0.83</c:v>
                </c:pt>
                <c:pt idx="43">
                  <c:v>0.84</c:v>
                </c:pt>
                <c:pt idx="44">
                  <c:v>0.6</c:v>
                </c:pt>
                <c:pt idx="45">
                  <c:v>0.59</c:v>
                </c:pt>
                <c:pt idx="46">
                  <c:v>0.42</c:v>
                </c:pt>
                <c:pt idx="47">
                  <c:v>0.42</c:v>
                </c:pt>
                <c:pt idx="48">
                  <c:v>0.84</c:v>
                </c:pt>
                <c:pt idx="49">
                  <c:v>0.86</c:v>
                </c:pt>
                <c:pt idx="50">
                  <c:v>0.56000000000000005</c:v>
                </c:pt>
                <c:pt idx="51">
                  <c:v>0.59</c:v>
                </c:pt>
                <c:pt idx="52">
                  <c:v>0.46</c:v>
                </c:pt>
                <c:pt idx="5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5A-2C46-BD41-E827F4C0FF9D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54"/>
                <c:pt idx="0">
                  <c:v>0.85</c:v>
                </c:pt>
                <c:pt idx="1">
                  <c:v>0.85</c:v>
                </c:pt>
                <c:pt idx="2">
                  <c:v>0.52</c:v>
                </c:pt>
                <c:pt idx="3">
                  <c:v>0.55000000000000004</c:v>
                </c:pt>
                <c:pt idx="4">
                  <c:v>0.42</c:v>
                </c:pt>
                <c:pt idx="5">
                  <c:v>0.41</c:v>
                </c:pt>
                <c:pt idx="6">
                  <c:v>0.84</c:v>
                </c:pt>
                <c:pt idx="7">
                  <c:v>0.86</c:v>
                </c:pt>
                <c:pt idx="8">
                  <c:v>0.53</c:v>
                </c:pt>
                <c:pt idx="9">
                  <c:v>0.51</c:v>
                </c:pt>
                <c:pt idx="10">
                  <c:v>0.36</c:v>
                </c:pt>
                <c:pt idx="11">
                  <c:v>0.38</c:v>
                </c:pt>
                <c:pt idx="12">
                  <c:v>0.83</c:v>
                </c:pt>
                <c:pt idx="13">
                  <c:v>0.81</c:v>
                </c:pt>
                <c:pt idx="14">
                  <c:v>0.6</c:v>
                </c:pt>
                <c:pt idx="15">
                  <c:v>0.61</c:v>
                </c:pt>
                <c:pt idx="16">
                  <c:v>0.44</c:v>
                </c:pt>
                <c:pt idx="17">
                  <c:v>0.46</c:v>
                </c:pt>
                <c:pt idx="18">
                  <c:v>0.81</c:v>
                </c:pt>
                <c:pt idx="19">
                  <c:v>0.81</c:v>
                </c:pt>
                <c:pt idx="20">
                  <c:v>0.53</c:v>
                </c:pt>
                <c:pt idx="21">
                  <c:v>0.55000000000000004</c:v>
                </c:pt>
                <c:pt idx="22">
                  <c:v>0.38</c:v>
                </c:pt>
                <c:pt idx="23">
                  <c:v>0.45</c:v>
                </c:pt>
                <c:pt idx="24">
                  <c:v>0.8</c:v>
                </c:pt>
                <c:pt idx="25">
                  <c:v>0.81</c:v>
                </c:pt>
                <c:pt idx="26">
                  <c:v>0.56000000000000005</c:v>
                </c:pt>
                <c:pt idx="27">
                  <c:v>0.6</c:v>
                </c:pt>
                <c:pt idx="28">
                  <c:v>0.46</c:v>
                </c:pt>
                <c:pt idx="29">
                  <c:v>0.45</c:v>
                </c:pt>
                <c:pt idx="30">
                  <c:v>0.83</c:v>
                </c:pt>
                <c:pt idx="31">
                  <c:v>0.84</c:v>
                </c:pt>
                <c:pt idx="32">
                  <c:v>0.62</c:v>
                </c:pt>
                <c:pt idx="33">
                  <c:v>0.63</c:v>
                </c:pt>
                <c:pt idx="34">
                  <c:v>0.39</c:v>
                </c:pt>
                <c:pt idx="35">
                  <c:v>0.4</c:v>
                </c:pt>
                <c:pt idx="36">
                  <c:v>0.85</c:v>
                </c:pt>
                <c:pt idx="37">
                  <c:v>0.85</c:v>
                </c:pt>
                <c:pt idx="38">
                  <c:v>0.6</c:v>
                </c:pt>
                <c:pt idx="39">
                  <c:v>0.59</c:v>
                </c:pt>
                <c:pt idx="40">
                  <c:v>0.44</c:v>
                </c:pt>
                <c:pt idx="41">
                  <c:v>0.43</c:v>
                </c:pt>
                <c:pt idx="42">
                  <c:v>0.84</c:v>
                </c:pt>
                <c:pt idx="43">
                  <c:v>0.84</c:v>
                </c:pt>
                <c:pt idx="44">
                  <c:v>0.61</c:v>
                </c:pt>
                <c:pt idx="45">
                  <c:v>0.62</c:v>
                </c:pt>
                <c:pt idx="46">
                  <c:v>0.41</c:v>
                </c:pt>
                <c:pt idx="47">
                  <c:v>0.44</c:v>
                </c:pt>
                <c:pt idx="48">
                  <c:v>0.8</c:v>
                </c:pt>
                <c:pt idx="49">
                  <c:v>0.8</c:v>
                </c:pt>
                <c:pt idx="50">
                  <c:v>0.6</c:v>
                </c:pt>
                <c:pt idx="51">
                  <c:v>0.59</c:v>
                </c:pt>
                <c:pt idx="52">
                  <c:v>0.41</c:v>
                </c:pt>
                <c:pt idx="5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5A-2C46-BD41-E827F4C0FF9D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54"/>
                <c:pt idx="0">
                  <c:v>0.78</c:v>
                </c:pt>
                <c:pt idx="1">
                  <c:v>0.77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0.34</c:v>
                </c:pt>
                <c:pt idx="5">
                  <c:v>0.33</c:v>
                </c:pt>
                <c:pt idx="6">
                  <c:v>0.78</c:v>
                </c:pt>
                <c:pt idx="7">
                  <c:v>0.82</c:v>
                </c:pt>
                <c:pt idx="8">
                  <c:v>0.53</c:v>
                </c:pt>
                <c:pt idx="9">
                  <c:v>0.53</c:v>
                </c:pt>
                <c:pt idx="10">
                  <c:v>0.45</c:v>
                </c:pt>
                <c:pt idx="11">
                  <c:v>0.42</c:v>
                </c:pt>
                <c:pt idx="12">
                  <c:v>0.82</c:v>
                </c:pt>
                <c:pt idx="13">
                  <c:v>0.84</c:v>
                </c:pt>
                <c:pt idx="14">
                  <c:v>0.55000000000000004</c:v>
                </c:pt>
                <c:pt idx="15">
                  <c:v>0.57999999999999996</c:v>
                </c:pt>
                <c:pt idx="16">
                  <c:v>0.37</c:v>
                </c:pt>
                <c:pt idx="17">
                  <c:v>0.38</c:v>
                </c:pt>
                <c:pt idx="18">
                  <c:v>0.81</c:v>
                </c:pt>
                <c:pt idx="19">
                  <c:v>0.83</c:v>
                </c:pt>
                <c:pt idx="20">
                  <c:v>0.56999999999999995</c:v>
                </c:pt>
                <c:pt idx="21">
                  <c:v>0.62</c:v>
                </c:pt>
                <c:pt idx="22">
                  <c:v>0.46</c:v>
                </c:pt>
                <c:pt idx="23">
                  <c:v>0.45</c:v>
                </c:pt>
                <c:pt idx="24">
                  <c:v>0.8</c:v>
                </c:pt>
                <c:pt idx="25">
                  <c:v>0.79</c:v>
                </c:pt>
                <c:pt idx="26">
                  <c:v>0.56999999999999995</c:v>
                </c:pt>
                <c:pt idx="27">
                  <c:v>0.57999999999999996</c:v>
                </c:pt>
                <c:pt idx="28">
                  <c:v>0.36</c:v>
                </c:pt>
                <c:pt idx="29">
                  <c:v>0.36</c:v>
                </c:pt>
                <c:pt idx="30">
                  <c:v>0.8</c:v>
                </c:pt>
                <c:pt idx="31">
                  <c:v>0.78</c:v>
                </c:pt>
                <c:pt idx="32">
                  <c:v>0.53</c:v>
                </c:pt>
                <c:pt idx="33">
                  <c:v>0.52</c:v>
                </c:pt>
                <c:pt idx="34">
                  <c:v>0.42</c:v>
                </c:pt>
                <c:pt idx="35">
                  <c:v>0.43</c:v>
                </c:pt>
                <c:pt idx="36">
                  <c:v>0.81</c:v>
                </c:pt>
                <c:pt idx="37">
                  <c:v>0.81</c:v>
                </c:pt>
                <c:pt idx="38">
                  <c:v>0.57999999999999996</c:v>
                </c:pt>
                <c:pt idx="39">
                  <c:v>0.61</c:v>
                </c:pt>
                <c:pt idx="40">
                  <c:v>0.41</c:v>
                </c:pt>
                <c:pt idx="41">
                  <c:v>0.41</c:v>
                </c:pt>
                <c:pt idx="42">
                  <c:v>0.83</c:v>
                </c:pt>
                <c:pt idx="43">
                  <c:v>0.82</c:v>
                </c:pt>
                <c:pt idx="44">
                  <c:v>0.55000000000000004</c:v>
                </c:pt>
                <c:pt idx="45">
                  <c:v>0.56000000000000005</c:v>
                </c:pt>
                <c:pt idx="46">
                  <c:v>0.43</c:v>
                </c:pt>
                <c:pt idx="47">
                  <c:v>0.41</c:v>
                </c:pt>
                <c:pt idx="48">
                  <c:v>0.83</c:v>
                </c:pt>
                <c:pt idx="49">
                  <c:v>0.83</c:v>
                </c:pt>
                <c:pt idx="50">
                  <c:v>0.65</c:v>
                </c:pt>
                <c:pt idx="51">
                  <c:v>0.59</c:v>
                </c:pt>
                <c:pt idx="52">
                  <c:v>0.42</c:v>
                </c:pt>
                <c:pt idx="5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5A-2C46-BD41-E827F4C0F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92591"/>
        <c:axId val="185694319"/>
      </c:lineChart>
      <c:catAx>
        <c:axId val="1856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5694319"/>
        <c:crosses val="autoZero"/>
        <c:auto val="1"/>
        <c:lblAlgn val="ctr"/>
        <c:lblOffset val="100"/>
        <c:noMultiLvlLbl val="0"/>
      </c:catAx>
      <c:valAx>
        <c:axId val="1856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569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3k</a:t>
            </a:r>
            <a:r>
              <a:rPr lang="ja-JP" altLang="en-US" baseline="0"/>
              <a:t> </a:t>
            </a:r>
            <a:r>
              <a:rPr lang="en-US" altLang="ja-JP" baseline="0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'xsk-3k-mgv9'!$G$23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'xsk-3k-mgv9'!$H$23:$S$23</c:f>
              <c:numCache>
                <c:formatCode>0.00</c:formatCode>
                <c:ptCount val="12"/>
                <c:pt idx="0">
                  <c:v>0.87</c:v>
                </c:pt>
                <c:pt idx="1">
                  <c:v>0.84</c:v>
                </c:pt>
                <c:pt idx="2">
                  <c:v>0.88</c:v>
                </c:pt>
                <c:pt idx="3">
                  <c:v>0.85</c:v>
                </c:pt>
                <c:pt idx="4">
                  <c:v>0.82</c:v>
                </c:pt>
                <c:pt idx="5">
                  <c:v>0.81</c:v>
                </c:pt>
                <c:pt idx="6">
                  <c:v>0.87</c:v>
                </c:pt>
                <c:pt idx="7">
                  <c:v>0.89</c:v>
                </c:pt>
                <c:pt idx="8">
                  <c:v>0.82</c:v>
                </c:pt>
                <c:pt idx="9">
                  <c:v>0.86</c:v>
                </c:pt>
                <c:pt idx="10">
                  <c:v>0.8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2-DF4A-A930-685738F68E0B}"/>
            </c:ext>
          </c:extLst>
        </c:ser>
        <c:ser>
          <c:idx val="1"/>
          <c:order val="1"/>
          <c:tx>
            <c:strRef>
              <c:f>'xsk-3k-mgv9'!$G$24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'xsk-3k-mgv9'!$H$24:$S$24</c:f>
              <c:numCache>
                <c:formatCode>0.00</c:formatCode>
                <c:ptCount val="12"/>
                <c:pt idx="0">
                  <c:v>0.84</c:v>
                </c:pt>
                <c:pt idx="1">
                  <c:v>0.83</c:v>
                </c:pt>
                <c:pt idx="2">
                  <c:v>0.83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0.85</c:v>
                </c:pt>
                <c:pt idx="7">
                  <c:v>0.86</c:v>
                </c:pt>
                <c:pt idx="8">
                  <c:v>0.81</c:v>
                </c:pt>
                <c:pt idx="9">
                  <c:v>0.84</c:v>
                </c:pt>
                <c:pt idx="10">
                  <c:v>0.8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2-DF4A-A930-685738F68E0B}"/>
            </c:ext>
          </c:extLst>
        </c:ser>
        <c:ser>
          <c:idx val="2"/>
          <c:order val="2"/>
          <c:tx>
            <c:strRef>
              <c:f>'xsk-3k-mgv9'!$G$25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'xsk-3k-mgv9'!$H$25:$S$25</c:f>
              <c:numCache>
                <c:formatCode>0.00</c:formatCode>
                <c:ptCount val="12"/>
                <c:pt idx="0">
                  <c:v>0.62</c:v>
                </c:pt>
                <c:pt idx="1">
                  <c:v>0.62</c:v>
                </c:pt>
                <c:pt idx="2">
                  <c:v>0.6</c:v>
                </c:pt>
                <c:pt idx="3">
                  <c:v>0.63</c:v>
                </c:pt>
                <c:pt idx="4">
                  <c:v>0.59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0.63</c:v>
                </c:pt>
                <c:pt idx="8">
                  <c:v>0.59</c:v>
                </c:pt>
                <c:pt idx="9">
                  <c:v>0.59</c:v>
                </c:pt>
                <c:pt idx="10">
                  <c:v>0.59</c:v>
                </c:pt>
                <c:pt idx="11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2-DF4A-A930-685738F68E0B}"/>
            </c:ext>
          </c:extLst>
        </c:ser>
        <c:ser>
          <c:idx val="3"/>
          <c:order val="3"/>
          <c:tx>
            <c:strRef>
              <c:f>'xsk-3k-mgv9'!$G$26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'xsk-3k-mgv9'!$H$26:$S$26</c:f>
              <c:numCache>
                <c:formatCode>0.00</c:formatCode>
                <c:ptCount val="12"/>
                <c:pt idx="0">
                  <c:v>0.56000000000000005</c:v>
                </c:pt>
                <c:pt idx="1">
                  <c:v>0.62</c:v>
                </c:pt>
                <c:pt idx="2">
                  <c:v>0.63</c:v>
                </c:pt>
                <c:pt idx="3">
                  <c:v>0.56999999999999995</c:v>
                </c:pt>
                <c:pt idx="4">
                  <c:v>0.59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0.62</c:v>
                </c:pt>
                <c:pt idx="8">
                  <c:v>0.6</c:v>
                </c:pt>
                <c:pt idx="9">
                  <c:v>0.56000000000000005</c:v>
                </c:pt>
                <c:pt idx="10">
                  <c:v>0.6</c:v>
                </c:pt>
                <c:pt idx="1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62-DF4A-A930-685738F68E0B}"/>
            </c:ext>
          </c:extLst>
        </c:ser>
        <c:ser>
          <c:idx val="4"/>
          <c:order val="4"/>
          <c:tx>
            <c:strRef>
              <c:f>'xsk-3k-mgv9'!$G$27</c:f>
              <c:strCache>
                <c:ptCount val="1"/>
                <c:pt idx="0">
                  <c:v>case-TRUE-max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'xsk-3k-mgv9'!$H$27:$S$27</c:f>
              <c:numCache>
                <c:formatCode>0.00</c:formatCode>
                <c:ptCount val="12"/>
                <c:pt idx="0">
                  <c:v>0.39</c:v>
                </c:pt>
                <c:pt idx="1">
                  <c:v>0.44</c:v>
                </c:pt>
                <c:pt idx="2">
                  <c:v>0.42</c:v>
                </c:pt>
                <c:pt idx="3">
                  <c:v>0.46</c:v>
                </c:pt>
                <c:pt idx="4">
                  <c:v>0.38</c:v>
                </c:pt>
                <c:pt idx="5">
                  <c:v>0.44</c:v>
                </c:pt>
                <c:pt idx="6">
                  <c:v>0.41</c:v>
                </c:pt>
                <c:pt idx="7">
                  <c:v>0.45</c:v>
                </c:pt>
                <c:pt idx="8">
                  <c:v>0.4</c:v>
                </c:pt>
                <c:pt idx="9">
                  <c:v>0.44</c:v>
                </c:pt>
                <c:pt idx="10">
                  <c:v>0.43</c:v>
                </c:pt>
                <c:pt idx="1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62-DF4A-A930-685738F68E0B}"/>
            </c:ext>
          </c:extLst>
        </c:ser>
        <c:ser>
          <c:idx val="5"/>
          <c:order val="5"/>
          <c:tx>
            <c:strRef>
              <c:f>'xsk-3k-mgv9'!$G$28</c:f>
              <c:strCache>
                <c:ptCount val="1"/>
                <c:pt idx="0">
                  <c:v>case-FALSE-max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'xsk-3k-mgv9'!$H$28:$S$28</c:f>
              <c:numCache>
                <c:formatCode>0.00</c:formatCode>
                <c:ptCount val="12"/>
                <c:pt idx="0">
                  <c:v>0.38</c:v>
                </c:pt>
                <c:pt idx="1">
                  <c:v>0.43</c:v>
                </c:pt>
                <c:pt idx="2">
                  <c:v>0.4</c:v>
                </c:pt>
                <c:pt idx="3">
                  <c:v>0.42</c:v>
                </c:pt>
                <c:pt idx="4">
                  <c:v>0.37</c:v>
                </c:pt>
                <c:pt idx="5">
                  <c:v>0.42</c:v>
                </c:pt>
                <c:pt idx="6">
                  <c:v>0.36</c:v>
                </c:pt>
                <c:pt idx="7">
                  <c:v>0.41</c:v>
                </c:pt>
                <c:pt idx="8">
                  <c:v>0.42</c:v>
                </c:pt>
                <c:pt idx="9">
                  <c:v>0.46</c:v>
                </c:pt>
                <c:pt idx="10">
                  <c:v>0.41</c:v>
                </c:pt>
                <c:pt idx="1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62-DF4A-A930-685738F6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579823"/>
        <c:axId val="1838406367"/>
      </c:lineChart>
      <c:catAx>
        <c:axId val="183057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38406367"/>
        <c:crosses val="autoZero"/>
        <c:auto val="1"/>
        <c:lblAlgn val="ctr"/>
        <c:lblOffset val="100"/>
        <c:noMultiLvlLbl val="0"/>
      </c:catAx>
      <c:valAx>
        <c:axId val="18384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30579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3k</a:t>
            </a:r>
            <a:r>
              <a:rPr lang="ja-JP" altLang="en-US" baseline="0"/>
              <a:t> </a:t>
            </a:r>
            <a:r>
              <a:rPr lang="en-US" altLang="ja-JP" baseline="0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'xsk-3k-mgv3'!$G$23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'xsk-3k-mgv3'!$H$23:$S$23</c:f>
              <c:numCache>
                <c:formatCode>0.00</c:formatCode>
                <c:ptCount val="12"/>
                <c:pt idx="0">
                  <c:v>0.85</c:v>
                </c:pt>
                <c:pt idx="1">
                  <c:v>0.89</c:v>
                </c:pt>
                <c:pt idx="2">
                  <c:v>0.85</c:v>
                </c:pt>
                <c:pt idx="3">
                  <c:v>0.82</c:v>
                </c:pt>
                <c:pt idx="4">
                  <c:v>0.84</c:v>
                </c:pt>
                <c:pt idx="5">
                  <c:v>0.85</c:v>
                </c:pt>
                <c:pt idx="6">
                  <c:v>0.83</c:v>
                </c:pt>
                <c:pt idx="7">
                  <c:v>0.82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0-E148-98C4-1192758BE3A8}"/>
            </c:ext>
          </c:extLst>
        </c:ser>
        <c:ser>
          <c:idx val="1"/>
          <c:order val="1"/>
          <c:tx>
            <c:strRef>
              <c:f>'xsk-3k-mgv3'!$G$24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'xsk-3k-mgv3'!$H$24:$S$24</c:f>
              <c:numCache>
                <c:formatCode>0.00</c:formatCode>
                <c:ptCount val="12"/>
                <c:pt idx="0">
                  <c:v>0.81</c:v>
                </c:pt>
                <c:pt idx="1">
                  <c:v>0.86</c:v>
                </c:pt>
                <c:pt idx="2">
                  <c:v>0.83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0.81</c:v>
                </c:pt>
                <c:pt idx="7">
                  <c:v>0.8</c:v>
                </c:pt>
                <c:pt idx="8">
                  <c:v>0.8</c:v>
                </c:pt>
                <c:pt idx="9">
                  <c:v>0.81</c:v>
                </c:pt>
                <c:pt idx="10">
                  <c:v>0.85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0-E148-98C4-1192758BE3A8}"/>
            </c:ext>
          </c:extLst>
        </c:ser>
        <c:ser>
          <c:idx val="2"/>
          <c:order val="2"/>
          <c:tx>
            <c:strRef>
              <c:f>'xsk-3k-mgv3'!$G$25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'xsk-3k-mgv3'!$H$25:$S$25</c:f>
              <c:numCache>
                <c:formatCode>0.00</c:formatCode>
                <c:ptCount val="12"/>
                <c:pt idx="0">
                  <c:v>0.63</c:v>
                </c:pt>
                <c:pt idx="1">
                  <c:v>0.61</c:v>
                </c:pt>
                <c:pt idx="2">
                  <c:v>0.66</c:v>
                </c:pt>
                <c:pt idx="3">
                  <c:v>0.62</c:v>
                </c:pt>
                <c:pt idx="4">
                  <c:v>0.61</c:v>
                </c:pt>
                <c:pt idx="5">
                  <c:v>0.6</c:v>
                </c:pt>
                <c:pt idx="6">
                  <c:v>0.61</c:v>
                </c:pt>
                <c:pt idx="7">
                  <c:v>0.62</c:v>
                </c:pt>
                <c:pt idx="8">
                  <c:v>0.64</c:v>
                </c:pt>
                <c:pt idx="9">
                  <c:v>0.64</c:v>
                </c:pt>
                <c:pt idx="10">
                  <c:v>0.59</c:v>
                </c:pt>
                <c:pt idx="11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0-E148-98C4-1192758BE3A8}"/>
            </c:ext>
          </c:extLst>
        </c:ser>
        <c:ser>
          <c:idx val="3"/>
          <c:order val="3"/>
          <c:tx>
            <c:strRef>
              <c:f>'xsk-3k-mgv3'!$G$26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'xsk-3k-mgv3'!$H$26:$S$26</c:f>
              <c:numCache>
                <c:formatCode>0.00</c:formatCode>
                <c:ptCount val="12"/>
                <c:pt idx="0">
                  <c:v>0.59</c:v>
                </c:pt>
                <c:pt idx="1">
                  <c:v>0.6</c:v>
                </c:pt>
                <c:pt idx="2">
                  <c:v>0.66</c:v>
                </c:pt>
                <c:pt idx="3">
                  <c:v>0.54</c:v>
                </c:pt>
                <c:pt idx="4">
                  <c:v>0.62</c:v>
                </c:pt>
                <c:pt idx="5">
                  <c:v>0.63</c:v>
                </c:pt>
                <c:pt idx="6">
                  <c:v>0.56999999999999995</c:v>
                </c:pt>
                <c:pt idx="7">
                  <c:v>0.62</c:v>
                </c:pt>
                <c:pt idx="8">
                  <c:v>0.57999999999999996</c:v>
                </c:pt>
                <c:pt idx="9">
                  <c:v>0.63</c:v>
                </c:pt>
                <c:pt idx="10">
                  <c:v>0.6</c:v>
                </c:pt>
                <c:pt idx="1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0-E148-98C4-1192758BE3A8}"/>
            </c:ext>
          </c:extLst>
        </c:ser>
        <c:ser>
          <c:idx val="4"/>
          <c:order val="4"/>
          <c:tx>
            <c:strRef>
              <c:f>'xsk-3k-mgv3'!$G$27</c:f>
              <c:strCache>
                <c:ptCount val="1"/>
                <c:pt idx="0">
                  <c:v>case-TRUE-max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'xsk-3k-mgv3'!$H$27:$S$27</c:f>
              <c:numCache>
                <c:formatCode>0.00</c:formatCode>
                <c:ptCount val="12"/>
                <c:pt idx="0">
                  <c:v>0.44</c:v>
                </c:pt>
                <c:pt idx="1">
                  <c:v>0.39</c:v>
                </c:pt>
                <c:pt idx="2">
                  <c:v>0.41</c:v>
                </c:pt>
                <c:pt idx="3">
                  <c:v>0.46</c:v>
                </c:pt>
                <c:pt idx="4">
                  <c:v>0.4</c:v>
                </c:pt>
                <c:pt idx="5">
                  <c:v>0.39</c:v>
                </c:pt>
                <c:pt idx="6">
                  <c:v>0.46</c:v>
                </c:pt>
                <c:pt idx="7">
                  <c:v>0.42</c:v>
                </c:pt>
                <c:pt idx="8">
                  <c:v>0.41</c:v>
                </c:pt>
                <c:pt idx="9">
                  <c:v>0.45</c:v>
                </c:pt>
                <c:pt idx="10">
                  <c:v>0.43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0-E148-98C4-1192758BE3A8}"/>
            </c:ext>
          </c:extLst>
        </c:ser>
        <c:ser>
          <c:idx val="5"/>
          <c:order val="5"/>
          <c:tx>
            <c:strRef>
              <c:f>'xsk-3k-mgv3'!$G$28</c:f>
              <c:strCache>
                <c:ptCount val="1"/>
                <c:pt idx="0">
                  <c:v>case-FALSE-max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'xsk-3k-mgv3'!$H$28:$S$28</c:f>
              <c:numCache>
                <c:formatCode>0.00</c:formatCode>
                <c:ptCount val="12"/>
                <c:pt idx="0">
                  <c:v>0.4</c:v>
                </c:pt>
                <c:pt idx="1">
                  <c:v>0.38</c:v>
                </c:pt>
                <c:pt idx="2">
                  <c:v>0.42</c:v>
                </c:pt>
                <c:pt idx="3">
                  <c:v>0.46</c:v>
                </c:pt>
                <c:pt idx="4">
                  <c:v>0.39</c:v>
                </c:pt>
                <c:pt idx="5">
                  <c:v>0.4</c:v>
                </c:pt>
                <c:pt idx="6">
                  <c:v>0.38</c:v>
                </c:pt>
                <c:pt idx="7">
                  <c:v>0.41</c:v>
                </c:pt>
                <c:pt idx="8">
                  <c:v>0.42</c:v>
                </c:pt>
                <c:pt idx="9">
                  <c:v>0.47</c:v>
                </c:pt>
                <c:pt idx="10">
                  <c:v>0.44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0-E148-98C4-1192758B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115104"/>
        <c:axId val="465849120"/>
      </c:lineChart>
      <c:catAx>
        <c:axId val="4661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65849120"/>
        <c:crosses val="autoZero"/>
        <c:auto val="1"/>
        <c:lblAlgn val="ctr"/>
        <c:lblOffset val="100"/>
        <c:noMultiLvlLbl val="0"/>
      </c:catAx>
      <c:valAx>
        <c:axId val="4658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66115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742950</xdr:colOff>
      <xdr:row>1</xdr:row>
      <xdr:rowOff>203200</xdr:rowOff>
    </xdr:from>
    <xdr:to>
      <xdr:col>29</xdr:col>
      <xdr:colOff>889050</xdr:colOff>
      <xdr:row>17</xdr:row>
      <xdr:rowOff>163200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566F5-FE61-FF5B-8E2D-010CEFE03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596900</xdr:colOff>
      <xdr:row>21</xdr:row>
      <xdr:rowOff>19047</xdr:rowOff>
    </xdr:from>
    <xdr:to>
      <xdr:col>26</xdr:col>
      <xdr:colOff>281900</xdr:colOff>
      <xdr:row>34</xdr:row>
      <xdr:rowOff>211547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81045-5140-1E05-3939-790042640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495300</xdr:colOff>
      <xdr:row>17</xdr:row>
      <xdr:rowOff>120647</xdr:rowOff>
    </xdr:from>
    <xdr:to>
      <xdr:col>25</xdr:col>
      <xdr:colOff>497800</xdr:colOff>
      <xdr:row>30</xdr:row>
      <xdr:rowOff>313147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526A4-D596-6691-1A77-C11FAD5DF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6E72E1E-81B8-634F-AB7B-7EB80D7E343A}" name="Table19" displayName="Table19" ref="A1:X55" totalsRowShown="0">
  <autoFilter ref="A1:X55" xr:uid="{C6E72E1E-81B8-634F-AB7B-7EB80D7E343A}"/>
  <sortState xmlns:xlrd2="http://schemas.microsoft.com/office/spreadsheetml/2017/richdata2" ref="A2:V55">
    <sortCondition ref="B1:B55"/>
  </sortState>
  <tableColumns count="24">
    <tableColumn id="1" xr3:uid="{8B23E77B-246D-CC4A-AEA5-75121FDF8B04}" name="skippiness"/>
    <tableColumn id="2" xr3:uid="{8F8E4C71-BB86-3E43-809D-72DFC0AD9F5D}" name="sample.n"/>
    <tableColumn id="3" xr3:uid="{FEA323CE-1593-CE42-A83C-48FB62E13E6F}" name="mgv"/>
    <tableColumn id="4" xr3:uid="{219385C9-998D-DF4A-B093-46E29099D3FC}" name="attribute.index"/>
    <tableColumn id="5" xr3:uid="{D23E20AA-FFCE-F34A-95A7-A8C9A137A702}" name="attribute"/>
    <tableColumn id="6" xr3:uid="{03A051D4-8F4F-7049-803C-32C256AA651F}" name="supplemented"/>
    <tableColumn id="7" xr3:uid="{45DE2BDC-78A5-1E44-BA24-B5E4C42310EF}" name="method.index"/>
    <tableColumn id="8" xr3:uid="{B76372FF-6203-2D41-A568-7F91878EDCD7}" name="metric"/>
    <tableColumn id="28" xr3:uid="{FF391D43-A392-484B-8BE9-AB2BEC86EA27}" name="var" dataDxfId="283">
      <calculatedColumnFormula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calculatedColumnFormula>
    </tableColumn>
    <tableColumn id="9" xr3:uid="{07D0FE96-E29F-6B4C-8BE9-77F67DB3DF3C}" name="2g-no-hash" dataDxfId="282"/>
    <tableColumn id="10" xr3:uid="{75DC0015-828D-1E4A-BD19-CD05828DAC90}" name="3g-no-hash" dataDxfId="281"/>
    <tableColumn id="11" xr3:uid="{F5BBC48F-0ACE-D54B-9332-74B678910944}" name="4g-no-hash" dataDxfId="280"/>
    <tableColumn id="15" xr3:uid="{76C3D243-7D12-3444-A1C1-F4166DB8CD29}" name="xsk2g-no-hash" dataDxfId="279"/>
    <tableColumn id="16" xr3:uid="{43B27EAB-8CD0-BD43-A644-13E1E521C4EA}" name="xsk3g-no-hash" dataDxfId="278"/>
    <tableColumn id="17" xr3:uid="{C6885EB5-A3B2-BE44-ACB0-C66329FE3E8B}" name="xsk4g-no-hash" dataDxfId="277"/>
    <tableColumn id="18" xr3:uid="{546067A0-6EBD-FF4D-BE8F-6FCDE38C7A95}" name="2g-hash-at-both" dataDxfId="276"/>
    <tableColumn id="19" xr3:uid="{1C689B97-8A48-6149-B61B-9C34A1009801}" name="3g-hash-at-both" dataDxfId="275"/>
    <tableColumn id="20" xr3:uid="{9474D196-4654-3842-97CC-746F08C13299}" name="4g-hash-at-both" dataDxfId="274"/>
    <tableColumn id="24" xr3:uid="{CB6A0132-9AAB-9045-8B91-264230789B2C}" name="xsk2g-hash-at-both" dataDxfId="273"/>
    <tableColumn id="25" xr3:uid="{163D86CE-0272-4F4D-A90D-2D6F65FED975}" name="xsk3g-hash-at-both" dataDxfId="272"/>
    <tableColumn id="26" xr3:uid="{DD90BD70-83B6-954D-B9A6-8AA25A8A04DB}" name="xsk4g-hash-at-both" dataDxfId="271"/>
    <tableColumn id="27" xr3:uid="{3A681A37-2A62-444B-AC0C-44D54A85EAEF}" name="max" dataDxfId="270"/>
    <tableColumn id="12" xr3:uid="{61B9EF58-B17C-1048-B944-0665C2089953}" name="geomean" dataDxfId="269">
      <calculatedColumnFormula>_xlfn.LET(_xlpm.d,$J2:$U2,GEOMEAN(_xlpm.d))</calculatedColumnFormula>
    </tableColumn>
    <tableColumn id="13" xr3:uid="{EB72442F-295E-B94C-9364-317B05B3499A}" name="rank" dataDxfId="268">
      <calculatedColumnFormula>_xlfn.LET(_xlpm.x,W2,_xlpm.r,W$2:W$55,RANK(_xlpm.x,_xlpm.r))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5EB22B-4CFB-9F4E-925E-3F6AF8EB70F5}" name="Table821" displayName="Table821" ref="U58:X67" totalsRowShown="0">
  <autoFilter ref="U58:X67" xr:uid="{B15EB22B-4CFB-9F4E-925E-3F6AF8EB70F5}"/>
  <sortState xmlns:xlrd2="http://schemas.microsoft.com/office/spreadsheetml/2017/richdata2" ref="U59:X67">
    <sortCondition ref="X58:X67"/>
  </sortState>
  <tableColumns count="4">
    <tableColumn id="1" xr3:uid="{225CB0BA-68E4-DB4F-B2E5-3E1A31AD416A}" name="sample.n"/>
    <tableColumn id="2" xr3:uid="{D7EB7540-DF9F-1840-813A-44FA5A7443B4}" name="mgv"/>
    <tableColumn id="3" xr3:uid="{0FF1253E-89E9-3C4D-8272-8AB9EAFED225}" name="supplemented"/>
    <tableColumn id="4" xr3:uid="{EB6DC134-F977-7244-BFAE-E2E055554501}" name="rank.average" dataDxfId="267">
      <calculatedColumnFormula array="1">_xlfn.LET(_xlpm.d,X$2:X$55,_xlpm.a,$B$2:$B$55=$U59,_xlpm.b,$C$2:$C$55=$V59,_xlpm.c,$F$2:$F$55=$W59,GEOMEAN(_xlfn._xlws.FILTER(_xlpm.d,_xlpm.a*_xlpm.b)))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95AEDB-A024-ED4D-ACF7-ECAEA797A814}" name="Table21" displayName="Table21" ref="U70:X79" totalsRowShown="0">
  <autoFilter ref="U70:X79" xr:uid="{E895AEDB-A024-ED4D-ACF7-ECAEA797A814}"/>
  <sortState xmlns:xlrd2="http://schemas.microsoft.com/office/spreadsheetml/2017/richdata2" ref="U71:X79">
    <sortCondition ref="V70:V79"/>
  </sortState>
  <tableColumns count="4">
    <tableColumn id="1" xr3:uid="{0339F7D2-41D0-A040-8214-805F2C1D897E}" name="sample.n"/>
    <tableColumn id="2" xr3:uid="{0F320D15-69C2-5D4D-910B-BCA609E61F09}" name="mgv"/>
    <tableColumn id="3" xr3:uid="{AE0DDA02-EFDB-DF40-B77A-C2DA32AC3287}" name="attrib"/>
    <tableColumn id="4" xr3:uid="{468E4DB7-0780-E648-A5A6-609852279902}" name="rank.average" dataDxfId="266">
      <calculatedColumnFormula array="1">_xlfn.LET(_xlpm.d,X$2:X$55,_xlpm.a,$B$2:$B$55=$U71,_xlpm.b,$C$2:$C$55=$V71,_xlpm.c,$E$2:$E$55=$W71,GEOMEAN(_xlfn._xlws.FILTER(_xlpm.d,_xlpm.a*_xlpm.b)))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8F62DD0-299A-EE40-B167-0C90B9BED712}" name="Table22" displayName="Table22" ref="U82:X91" totalsRowShown="0">
  <autoFilter ref="U82:X91" xr:uid="{78F62DD0-299A-EE40-B167-0C90B9BED712}"/>
  <tableColumns count="4">
    <tableColumn id="1" xr3:uid="{9A80C066-8FF3-9C4B-A229-59C5A54A4749}" name="sample.n"/>
    <tableColumn id="2" xr3:uid="{801683AC-2EAC-B84C-80D7-E1D744533AA3}" name="mgv"/>
    <tableColumn id="3" xr3:uid="{0D554BED-ED21-CF45-97AC-D40EDE8F12F3}" name="attrib"/>
    <tableColumn id="4" xr3:uid="{B104D122-8E76-5647-A5AE-470F80F14097}" name="rank.average" dataDxfId="265">
      <calculatedColumnFormula array="1">_xlfn.LET(_xlpm.d,X$2:X$55,_xlpm.a,$B$2:$B$55=$U83,_xlpm.b,$C$2:$C$55=$V83,_xlpm.c,$E$2:$E$55=$W83,GEOMEAN(_xlfn._xlws.FILTER(_xlpm.d,_xlpm.a*_xlpm.b)))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83FD339-2A72-054C-9F32-B0829913B06B}" name="Table23" displayName="Table23" ref="U94:X103" totalsRowShown="0">
  <autoFilter ref="U94:X103" xr:uid="{F83FD339-2A72-054C-9F32-B0829913B06B}"/>
  <tableColumns count="4">
    <tableColumn id="1" xr3:uid="{175AFB04-A372-6D46-937A-EC7CAC8B9F59}" name="sample.n"/>
    <tableColumn id="2" xr3:uid="{42A8A883-EB78-F349-8B04-8724930DBC52}" name="mgv"/>
    <tableColumn id="3" xr3:uid="{1BA1C0CB-A54D-F54C-A607-BDC7EC363ECD}" name="attrib"/>
    <tableColumn id="4" xr3:uid="{2C447221-1CF7-0B41-98B0-F8CFCE5687CE}" name="rank.average" dataDxfId="264">
      <calculatedColumnFormula array="1">_xlfn.LET(_xlpm.d,X$2:X$55,_xlpm.a,$B$2:$B$55=$U95,_xlpm.b,$C$2:$C$55=$V95,_xlpm.c,$E$2:$E$55=$W95,GEOMEAN(_xlfn._xlws.FILTER(_xlpm.d,_xlpm.a*_xlpm.b)))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2F0B0-6B0F-4847-A48F-C75681558AC1}" name="Table1" displayName="Table1" ref="A1:T19" totalsRowShown="0">
  <autoFilter ref="A1:T19" xr:uid="{E292F0B0-6B0F-4847-A48F-C75681558AC1}"/>
  <sortState xmlns:xlrd2="http://schemas.microsoft.com/office/spreadsheetml/2017/richdata2" ref="A2:T19">
    <sortCondition ref="B1:B19"/>
  </sortState>
  <tableColumns count="20">
    <tableColumn id="1" xr3:uid="{8FE66738-1E59-F648-9D1B-76BB8BAF28D1}" name="lang"/>
    <tableColumn id="2" xr3:uid="{F005E84B-6D90-FB47-8E71-731B7BF9091D}" name="attribute.index"/>
    <tableColumn id="3" xr3:uid="{00113AEB-2566-E346-9545-07D8FB9563C8}" name="attribute"/>
    <tableColumn id="4" xr3:uid="{2FB16A5F-B36D-F545-8958-A0A438BAF30A}" name="supplemented"/>
    <tableColumn id="5" xr3:uid="{99CB788E-3C87-8540-94A1-CA423E719ED4}" name="method.index"/>
    <tableColumn id="6" xr3:uid="{1126F8F2-6A18-9541-AB22-D22959321289}" name="method"/>
    <tableColumn id="10" xr3:uid="{16E31A06-F9F0-E44D-BD25-DEE933AFA79A}" name="var" dataDxfId="263">
      <calculatedColumnFormula>_xlfn.TEXTJOIN("-",TRUE,Table1[[#This Row],[attribute]],Table1[[#This Row],[supplemented]],Table1[[#This Row],[method]])</calculatedColumnFormula>
    </tableColumn>
    <tableColumn id="7" xr3:uid="{9B7C05C6-7013-4D48-B035-57627CB7D9B9}" name="2g-no-hash" dataDxfId="262"/>
    <tableColumn id="8" xr3:uid="{00F06DFC-8AEA-334E-937B-C1D1C7B27893}" name="3g-no-hash" dataDxfId="261"/>
    <tableColumn id="9" xr3:uid="{6E841C37-40A1-9F42-B37F-1843BFD9D376}" name="4g-no-hash" dataDxfId="260"/>
    <tableColumn id="13" xr3:uid="{4BC88B63-B95D-BF4B-82A2-6FC892C64884}" name="xsk2g-no-hash" dataDxfId="259"/>
    <tableColumn id="14" xr3:uid="{2ADE6A4C-2A29-1747-AD4A-D4CBF2F0132D}" name="xsk3g-no-hash" dataDxfId="258"/>
    <tableColumn id="15" xr3:uid="{4C2EE7CF-D2CF-B347-93E1-418106F2CD37}" name="xsk4g-no-hash" dataDxfId="257"/>
    <tableColumn id="16" xr3:uid="{8287F44D-791D-0D4D-8C93-22D47FE9CA9A}" name="2g-hash-at-both" dataDxfId="256"/>
    <tableColumn id="17" xr3:uid="{9F8D9B64-9E3A-4D45-8EBB-D83A6A5DE230}" name="3g-hash-at-both" dataDxfId="255"/>
    <tableColumn id="18" xr3:uid="{8C9E5BC3-5C99-8C46-A36F-8891A8BD0F36}" name="4g-hash-at-both" dataDxfId="254"/>
    <tableColumn id="22" xr3:uid="{39B70D60-3C63-3D42-A03A-18A3E84E09A9}" name="xsk2g-hash-at-both" dataDxfId="253"/>
    <tableColumn id="23" xr3:uid="{E165E29E-54DA-924C-A894-732817927099}" name="xsk3g-hash-at-both" dataDxfId="252"/>
    <tableColumn id="24" xr3:uid="{CB2D6000-63AD-0B45-8658-542E115096DD}" name="xsk4g-hash-at-both" dataDxfId="251"/>
    <tableColumn id="25" xr3:uid="{965E5F3A-F125-5D49-8C8E-30DCCE5508B3}" name="max" dataDxfId="250">
      <calculatedColumnFormula>MAX($H2:$S2)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47D2F-67B7-F342-9A22-185BDCD1B948}" name="Table2" displayName="Table2" ref="B22:T28" totalsRowShown="0">
  <autoFilter ref="B22:T28" xr:uid="{A4547D2F-67B7-F342-9A22-185BDCD1B948}"/>
  <tableColumns count="19">
    <tableColumn id="1" xr3:uid="{0D8DB32A-E1C1-8044-A200-7564F8333DC2}" name="attribute.index"/>
    <tableColumn id="2" xr3:uid="{54F99AA0-D58E-C140-9385-68374F8F990B}" name="attribute"/>
    <tableColumn id="3" xr3:uid="{D1F8C1CF-459D-7342-B7A7-5BF2831EBC7F}" name="supplemented"/>
    <tableColumn id="4" xr3:uid="{54EA9747-BC8C-A94D-AAD2-817DC757904D}" name="method.index"/>
    <tableColumn id="5" xr3:uid="{63A7272B-D0BA-704E-AC5B-3F87F033CA47}" name="method"/>
    <tableColumn id="9" xr3:uid="{175E8518-5254-F744-AB4F-6661B510B9C2}" name="var" dataDxfId="249">
      <calculatedColumnFormula>_xlfn.TEXTJOIN("-",TRUE,Table2[[#This Row],[attribute]],Table2[[#This Row],[supplemented]],Table2[[#This Row],[method]])</calculatedColumnFormula>
    </tableColumn>
    <tableColumn id="6" xr3:uid="{B80F8FFF-0831-B546-948D-BDD2496F23DB}" name="2g-no-hash" dataDxfId="248">
      <calculatedColumnFormula array="1">_xlfn.LET(_xlpm.d,H$2:H$19,_xlpm.a,$C$2:$C$19=$C23,_xlpm.b,$D$2:$D$19=$D23,MAX(_xlfn._xlws.FILTER(_xlpm.d,_xlpm.a*_xlpm.b)))</calculatedColumnFormula>
    </tableColumn>
    <tableColumn id="7" xr3:uid="{79C7FBFD-B1FD-6A45-9370-E0790B962D12}" name="3g-no-hash" dataDxfId="247">
      <calculatedColumnFormula array="1">_xlfn.LET(_xlpm.d,I$2:I$19,_xlpm.a,$C$2:$C$19=$C23,_xlpm.b,$D$2:$D$19=$D23,MAX(_xlfn._xlws.FILTER(_xlpm.d,_xlpm.a*_xlpm.b)))</calculatedColumnFormula>
    </tableColumn>
    <tableColumn id="8" xr3:uid="{EAE0CE01-8622-0A48-982E-B9BFC1F85DE6}" name="4g-no-hash" dataDxfId="246">
      <calculatedColumnFormula array="1">_xlfn.LET(_xlpm.d,J$2:J$19,_xlpm.a,$C$2:$C$19=$C23,_xlpm.b,$D$2:$D$19=$D23,MAX(_xlfn._xlws.FILTER(_xlpm.d,_xlpm.a*_xlpm.b)))</calculatedColumnFormula>
    </tableColumn>
    <tableColumn id="12" xr3:uid="{F359A1BF-CA34-6C4B-9F88-AD324A30A25C}" name="xsk2g-no-hash" dataDxfId="245">
      <calculatedColumnFormula array="1">_xlfn.LET(_xlpm.d,K$2:K$19,_xlpm.a,$C$2:$C$19=$C23,_xlpm.b,$D$2:$D$19=$D23,MAX(_xlfn._xlws.FILTER(_xlpm.d,_xlpm.a*_xlpm.b)))</calculatedColumnFormula>
    </tableColumn>
    <tableColumn id="13" xr3:uid="{9808A662-351D-E04E-B487-EB01BE14ECFC}" name="xsk3g-no-hash" dataDxfId="244">
      <calculatedColumnFormula array="1">_xlfn.LET(_xlpm.d,L$2:L$19,_xlpm.a,$C$2:$C$19=$C23,_xlpm.b,$D$2:$D$19=$D23,MAX(_xlfn._xlws.FILTER(_xlpm.d,_xlpm.a*_xlpm.b)))</calculatedColumnFormula>
    </tableColumn>
    <tableColumn id="14" xr3:uid="{51637065-EEA3-5248-8ECE-CB4603083BE9}" name="xsk4g-no-hash" dataDxfId="243">
      <calculatedColumnFormula array="1">_xlfn.LET(_xlpm.d,M$2:M$19,_xlpm.a,$C$2:$C$19=$C23,_xlpm.b,$D$2:$D$19=$D23,MAX(_xlfn._xlws.FILTER(_xlpm.d,_xlpm.a*_xlpm.b)))</calculatedColumnFormula>
    </tableColumn>
    <tableColumn id="15" xr3:uid="{A209C591-2B9F-CD48-B9A1-80618B524124}" name="2g-hash-at-both" dataDxfId="242">
      <calculatedColumnFormula array="1">_xlfn.LET(_xlpm.d,N$2:N$19,_xlpm.a,$C$2:$C$19=$C23,_xlpm.b,$D$2:$D$19=$D23,MAX(_xlfn._xlws.FILTER(_xlpm.d,_xlpm.a*_xlpm.b)))</calculatedColumnFormula>
    </tableColumn>
    <tableColumn id="16" xr3:uid="{E04533FD-B756-5D40-8590-B8B207CF14BD}" name="3g-hash-at-both" dataDxfId="241">
      <calculatedColumnFormula array="1">_xlfn.LET(_xlpm.d,O$2:O$19,_xlpm.a,$C$2:$C$19=$C23,_xlpm.b,$D$2:$D$19=$D23,MAX(_xlfn._xlws.FILTER(_xlpm.d,_xlpm.a*_xlpm.b)))</calculatedColumnFormula>
    </tableColumn>
    <tableColumn id="17" xr3:uid="{B4830043-8593-3640-AF40-C83735C2A5BB}" name="4g-hash-at-both" dataDxfId="240">
      <calculatedColumnFormula array="1">_xlfn.LET(_xlpm.d,P$2:P$19,_xlpm.a,$C$2:$C$19=$C23,_xlpm.b,$D$2:$D$19=$D23,MAX(_xlfn._xlws.FILTER(_xlpm.d,_xlpm.a*_xlpm.b)))</calculatedColumnFormula>
    </tableColumn>
    <tableColumn id="21" xr3:uid="{302B8156-59EC-E748-BD16-C2B15BD41258}" name="xsk2g-hash-at-both" dataDxfId="239">
      <calculatedColumnFormula array="1">_xlfn.LET(_xlpm.d,Q$2:Q$19,_xlpm.a,$C$2:$C$19=$C23,_xlpm.b,$D$2:$D$19=$D23,MAX(_xlfn._xlws.FILTER(_xlpm.d,_xlpm.a*_xlpm.b)))</calculatedColumnFormula>
    </tableColumn>
    <tableColumn id="22" xr3:uid="{2B3439EA-7B48-504E-BF87-FEF65D8EFA46}" name="xsk3g-hash-at-both" dataDxfId="238">
      <calculatedColumnFormula array="1">_xlfn.LET(_xlpm.d,R$2:R$19,_xlpm.a,$C$2:$C$19=$C23,_xlpm.b,$D$2:$D$19=$D23,MAX(_xlfn._xlws.FILTER(_xlpm.d,_xlpm.a*_xlpm.b)))</calculatedColumnFormula>
    </tableColumn>
    <tableColumn id="23" xr3:uid="{ECC1BB09-20EE-954F-AF5D-C00DCB544A7C}" name="xsk4g-hash-at-both" dataDxfId="237">
      <calculatedColumnFormula array="1">_xlfn.LET(_xlpm.d,S$2:S$19,_xlpm.a,$C$2:$C$19=$C23,_xlpm.b,$D$2:$D$19=$D23,MAX(_xlfn._xlws.FILTER(_xlpm.d,_xlpm.a*_xlpm.b)))</calculatedColumnFormula>
    </tableColumn>
    <tableColumn id="24" xr3:uid="{5C6F214B-C723-0340-9FE7-6D71AF2EA2D5}" name="max" dataDxfId="236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3323B53-FEAB-7240-B5E5-523959BF627A}" name="Table25" displayName="Table25" ref="B31:S37" totalsRowShown="0">
  <autoFilter ref="B31:S37" xr:uid="{13323B53-FEAB-7240-B5E5-523959BF627A}"/>
  <sortState xmlns:xlrd2="http://schemas.microsoft.com/office/spreadsheetml/2017/richdata2" ref="B32:S37">
    <sortCondition ref="B31:B37"/>
  </sortState>
  <tableColumns count="18">
    <tableColumn id="1" xr3:uid="{9D072D67-0C2A-E645-9839-88A7EB3213FA}" name="attribute.index"/>
    <tableColumn id="2" xr3:uid="{60FF173F-8ECE-3E47-BD2A-59422FE8610C}" name="attribute"/>
    <tableColumn id="3" xr3:uid="{F60599D6-FB72-0C42-8153-BD909F33A98C}" name="supplemented"/>
    <tableColumn id="4" xr3:uid="{299A2937-922E-E74B-BF1E-1192495C5880}" name="method.index"/>
    <tableColumn id="5" xr3:uid="{AB31683E-6F64-D24C-A682-D5C9749CDCD0}" name="method"/>
    <tableColumn id="6" xr3:uid="{C85EA2B2-9871-BC44-8835-68DB1394D22E}" name="var" dataDxfId="235">
      <calculatedColumnFormula>_xlfn.TEXTJOIN("-",TRUE,Table25[[#This Row],[attribute]],Table25[[#This Row],[supplemented]],Table25[[#This Row],[method]])</calculatedColumnFormula>
    </tableColumn>
    <tableColumn id="7" xr3:uid="{C8E6B3DF-88DD-2744-A8AC-8C0337CBBE75}" name="2g-no-hash" dataDxfId="234">
      <calculatedColumnFormula>_xlfn.LET(_xlpm.d,$H23:$S23,RANK(H23,_xlpm.d))</calculatedColumnFormula>
    </tableColumn>
    <tableColumn id="8" xr3:uid="{331F1381-3894-3D42-BB33-D6477EB1FF0A}" name="3g-no-hash" dataDxfId="233">
      <calculatedColumnFormula>_xlfn.LET(_xlpm.d,$H23:$S23,RANK(I23,_xlpm.d))</calculatedColumnFormula>
    </tableColumn>
    <tableColumn id="9" xr3:uid="{A4536182-24C1-B448-8356-3E92C40DE9E6}" name="4g-no-hash" dataDxfId="232">
      <calculatedColumnFormula>_xlfn.LET(_xlpm.d,$H23:$S23,RANK(J23,_xlpm.d))</calculatedColumnFormula>
    </tableColumn>
    <tableColumn id="10" xr3:uid="{4C6836DC-0BA3-2044-9DC6-D564A9F8A420}" name="xsk2g-no-hash" dataDxfId="231">
      <calculatedColumnFormula>_xlfn.LET(_xlpm.d,$H23:$S23,RANK(K23,_xlpm.d))</calculatedColumnFormula>
    </tableColumn>
    <tableColumn id="11" xr3:uid="{0DE0DA47-B140-7540-A5F8-FB9D5B35ACA9}" name="xsk3g-no-hash" dataDxfId="230">
      <calculatedColumnFormula>_xlfn.LET(_xlpm.d,$H23:$S23,RANK(L23,_xlpm.d))</calculatedColumnFormula>
    </tableColumn>
    <tableColumn id="12" xr3:uid="{73D9E640-4691-8E47-A53A-43C114206433}" name="xsk4g-no-hash" dataDxfId="229">
      <calculatedColumnFormula>_xlfn.LET(_xlpm.d,$H23:$S23,RANK(M23,_xlpm.d))</calculatedColumnFormula>
    </tableColumn>
    <tableColumn id="13" xr3:uid="{19AEC247-81DD-9846-AF0A-C60ACE4470AA}" name="2g-hash-at-both" dataDxfId="228">
      <calculatedColumnFormula>_xlfn.LET(_xlpm.d,$H23:$S23,RANK(N23,_xlpm.d))</calculatedColumnFormula>
    </tableColumn>
    <tableColumn id="14" xr3:uid="{C36C463E-43C8-3C46-9E0E-D1F06BFA62DE}" name="3g-hash-at-both" dataDxfId="227">
      <calculatedColumnFormula>_xlfn.LET(_xlpm.d,$H23:$S23,RANK(O23,_xlpm.d))</calculatedColumnFormula>
    </tableColumn>
    <tableColumn id="15" xr3:uid="{0DA0F267-7068-3843-83D6-317DDCD04080}" name="4g-hash-at-both" dataDxfId="226">
      <calculatedColumnFormula>_xlfn.LET(_xlpm.d,$H23:$S23,RANK(P23,_xlpm.d))</calculatedColumnFormula>
    </tableColumn>
    <tableColumn id="16" xr3:uid="{421F7038-D4F0-5344-9067-AA0052A8D459}" name="xsk2g-hash-at-both" dataDxfId="225">
      <calculatedColumnFormula>_xlfn.LET(_xlpm.d,$H23:$S23,RANK(Q23,_xlpm.d))</calculatedColumnFormula>
    </tableColumn>
    <tableColumn id="17" xr3:uid="{403A743B-A413-B54C-997F-0AA11147CDC0}" name="xsk3g-hash-at-both" dataDxfId="224">
      <calculatedColumnFormula>_xlfn.LET(_xlpm.d,$H23:$S23,RANK(R23,_xlpm.d))</calculatedColumnFormula>
    </tableColumn>
    <tableColumn id="18" xr3:uid="{77EB8E36-2F4F-5546-B5C5-017AF971DCE8}" name="xsk4g-hash-at-both" dataDxfId="223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37C434-6368-1A4A-AC5C-E216B1B1B608}" name="Table11" displayName="Table11" ref="A1:S19" totalsRowShown="0">
  <autoFilter ref="A1:S19" xr:uid="{8F37C434-6368-1A4A-AC5C-E216B1B1B608}"/>
  <sortState xmlns:xlrd2="http://schemas.microsoft.com/office/spreadsheetml/2017/richdata2" ref="A2:S19">
    <sortCondition ref="B1:B19"/>
  </sortState>
  <tableColumns count="19">
    <tableColumn id="1" xr3:uid="{B82B0785-89F0-274A-A009-A3BCF7CF0E09}" name="lang"/>
    <tableColumn id="2" xr3:uid="{230055CA-7EB4-364F-952C-D83A037E0185}" name="attribute.index"/>
    <tableColumn id="3" xr3:uid="{8F752CA3-ADE9-8F43-A16D-8F7D5ABC5351}" name="attribute"/>
    <tableColumn id="4" xr3:uid="{EFCFBCC4-BFF6-FC41-88D8-30E436CA5536}" name="supplement"/>
    <tableColumn id="5" xr3:uid="{25871926-0933-DE44-9652-3728577C3C82}" name="method.index"/>
    <tableColumn id="6" xr3:uid="{2CA59A48-D133-B345-B344-E54ABF1B4FBD}" name="method"/>
    <tableColumn id="7" xr3:uid="{BC49F8D6-105A-FB4F-8570-3ED3F051E684}" name="2g-no-hash" dataDxfId="222"/>
    <tableColumn id="8" xr3:uid="{2CB6BFBB-5E9B-FD45-8D70-97BF1B99EB85}" name="3g-no-hash" dataDxfId="221"/>
    <tableColumn id="9" xr3:uid="{AE0C957A-ABDC-C844-962F-69EA72BAA963}" name="4g-no-hash" dataDxfId="220"/>
    <tableColumn id="10" xr3:uid="{9679D03F-DC4F-5146-83BA-F55EF9779DBA}" name="xsk2g-no-hash" dataDxfId="219"/>
    <tableColumn id="11" xr3:uid="{7C132954-DE0C-3143-BB1C-70BA786548B2}" name="xsk3g-no-hash" dataDxfId="218"/>
    <tableColumn id="12" xr3:uid="{73E9798E-F6BB-2B4E-9CEA-CCA7CC805534}" name="xsk4g-no-hash" dataDxfId="217"/>
    <tableColumn id="13" xr3:uid="{71D1AF16-31E4-1F42-AC96-2EAC8119F5E9}" name="2g-hash-at-both" dataDxfId="216"/>
    <tableColumn id="14" xr3:uid="{A121FC5E-1C90-CD43-81BF-F74C2CA3C4D3}" name="3g-hash-at-both" dataDxfId="215"/>
    <tableColumn id="15" xr3:uid="{44CFFF42-FD57-3646-B991-2933A0C9F140}" name="4g-hash-at-both" dataDxfId="214"/>
    <tableColumn id="16" xr3:uid="{D69723D8-D903-6A46-9BD9-5D800AC7765F}" name="xsk2g-hash-at-both" dataDxfId="213"/>
    <tableColumn id="17" xr3:uid="{4A29F380-CB4A-A640-BC70-22F927492F98}" name="xsk3g-hash-at-both" dataDxfId="212"/>
    <tableColumn id="18" xr3:uid="{F8D2986C-7EBF-084A-A99F-7B63802C2DF4}" name="xsk4g-hash-at-both" dataDxfId="211"/>
    <tableColumn id="19" xr3:uid="{A2CAECBD-BC90-C040-9033-108831F757C6}" name="max" dataDxfId="21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67F352-FFED-5D42-8CE4-732103B106EB}" name="Table12" displayName="Table12" ref="B22:S28" totalsRowShown="0">
  <autoFilter ref="B22:S28" xr:uid="{5567F352-FFED-5D42-8CE4-732103B106EB}"/>
  <tableColumns count="18">
    <tableColumn id="1" xr3:uid="{6DC7CCE6-F69A-B340-90FE-708E9D3D9C8B}" name="attribute.index"/>
    <tableColumn id="2" xr3:uid="{58CCF693-EB07-0E4D-9B15-233CE3CB8D8D}" name="attribute"/>
    <tableColumn id="3" xr3:uid="{E9867DD5-539B-A749-ACE4-D6BE3E72D3E8}" name="supplemented"/>
    <tableColumn id="4" xr3:uid="{D052EDF9-D9F9-7A4C-AFFB-EA54DCCC1BE4}" name="method.index"/>
    <tableColumn id="5" xr3:uid="{56F1575E-6D8C-A54B-A390-88986746AAAE}" name="metric"/>
    <tableColumn id="6" xr3:uid="{4293F862-D063-8E47-83D3-3DD4DABB2DA2}" name="2g-no-hash" dataDxfId="209">
      <calculatedColumnFormula array="1">_xlfn.LET(_xlpm.d,G$2:G$19,_xlpm.a,$C$2:$C$19=$C23,_xlpm.b,$D$2:$D$19=$D23,MAX(_xlfn._xlws.FILTER(_xlpm.d,_xlpm.a*_xlpm.b)))</calculatedColumnFormula>
    </tableColumn>
    <tableColumn id="7" xr3:uid="{FF878901-452B-E145-816C-8B811133A72F}" name="3g-no-hash" dataDxfId="208">
      <calculatedColumnFormula array="1">_xlfn.LET(_xlpm.d,H$2:H$19,_xlpm.a,$C$2:$C$19=$C23,_xlpm.b,$D$2:$D$19=$D23,MAX(_xlfn._xlws.FILTER(_xlpm.d,_xlpm.a*_xlpm.b)))</calculatedColumnFormula>
    </tableColumn>
    <tableColumn id="8" xr3:uid="{AE2963EF-53EF-DB43-97C8-709C2C390ABE}" name="4g-no-hash" dataDxfId="207">
      <calculatedColumnFormula array="1">_xlfn.LET(_xlpm.d,I$2:I$19,_xlpm.a,$C$2:$C$19=$C23,_xlpm.b,$D$2:$D$19=$D23,MAX(_xlfn._xlws.FILTER(_xlpm.d,_xlpm.a*_xlpm.b)))</calculatedColumnFormula>
    </tableColumn>
    <tableColumn id="9" xr3:uid="{B5B7D4D9-439E-854D-B001-F20F272D76A4}" name="xsk2g-no-hash" dataDxfId="206">
      <calculatedColumnFormula array="1">_xlfn.LET(_xlpm.d,J$2:J$19,_xlpm.a,$C$2:$C$19=$C23,_xlpm.b,$D$2:$D$19=$D23,MAX(_xlfn._xlws.FILTER(_xlpm.d,_xlpm.a*_xlpm.b)))</calculatedColumnFormula>
    </tableColumn>
    <tableColumn id="10" xr3:uid="{A15E6C93-4097-5343-A1C1-A14B5109EC1B}" name="xsk3g-no-hash" dataDxfId="205">
      <calculatedColumnFormula array="1">_xlfn.LET(_xlpm.d,K$2:K$19,_xlpm.a,$C$2:$C$19=$C23,_xlpm.b,$D$2:$D$19=$D23,MAX(_xlfn._xlws.FILTER(_xlpm.d,_xlpm.a*_xlpm.b)))</calculatedColumnFormula>
    </tableColumn>
    <tableColumn id="11" xr3:uid="{9EDD712B-19CB-3948-81E7-C8D4DCB49B02}" name="xsk4g-no-hash" dataDxfId="204">
      <calculatedColumnFormula array="1">_xlfn.LET(_xlpm.d,L$2:L$19,_xlpm.a,$C$2:$C$19=$C23,_xlpm.b,$D$2:$D$19=$D23,MAX(_xlfn._xlws.FILTER(_xlpm.d,_xlpm.a*_xlpm.b)))</calculatedColumnFormula>
    </tableColumn>
    <tableColumn id="12" xr3:uid="{DA9414FD-BC1D-1844-94FA-D7917D6F3BD3}" name="2g-hash-at-both" dataDxfId="203">
      <calculatedColumnFormula array="1">_xlfn.LET(_xlpm.d,M$2:M$19,_xlpm.a,$C$2:$C$19=$C23,_xlpm.b,$D$2:$D$19=$D23,MAX(_xlfn._xlws.FILTER(_xlpm.d,_xlpm.a*_xlpm.b)))</calculatedColumnFormula>
    </tableColumn>
    <tableColumn id="13" xr3:uid="{C6122C14-2F16-6049-A728-D29EE4C0E10A}" name="3g-hash-at-both" dataDxfId="202">
      <calculatedColumnFormula array="1">_xlfn.LET(_xlpm.d,N$2:N$19,_xlpm.a,$C$2:$C$19=$C23,_xlpm.b,$D$2:$D$19=$D23,MAX(_xlfn._xlws.FILTER(_xlpm.d,_xlpm.a*_xlpm.b)))</calculatedColumnFormula>
    </tableColumn>
    <tableColumn id="14" xr3:uid="{89A8BEC5-541E-3744-A11D-967EBE8045BC}" name="4g-hash-at-both" dataDxfId="201">
      <calculatedColumnFormula array="1">_xlfn.LET(_xlpm.d,O$2:O$19,_xlpm.a,$C$2:$C$19=$C23,_xlpm.b,$D$2:$D$19=$D23,MAX(_xlfn._xlws.FILTER(_xlpm.d,_xlpm.a*_xlpm.b)))</calculatedColumnFormula>
    </tableColumn>
    <tableColumn id="15" xr3:uid="{53611046-2C6D-5549-8944-82F3FCE52354}" name="xsk2g-hash-at-both" dataDxfId="200">
      <calculatedColumnFormula array="1">_xlfn.LET(_xlpm.d,P$2:P$19,_xlpm.a,$C$2:$C$19=$C23,_xlpm.b,$D$2:$D$19=$D23,MAX(_xlfn._xlws.FILTER(_xlpm.d,_xlpm.a*_xlpm.b)))</calculatedColumnFormula>
    </tableColumn>
    <tableColumn id="16" xr3:uid="{54887BB3-E5E2-894E-8AE2-312103CA4FCF}" name="xsk3g-hash-at-both" dataDxfId="199">
      <calculatedColumnFormula array="1">_xlfn.LET(_xlpm.d,Q$2:Q$19,_xlpm.a,$C$2:$C$19=$C23,_xlpm.b,$D$2:$D$19=$D23,MAX(_xlfn._xlws.FILTER(_xlpm.d,_xlpm.a*_xlpm.b)))</calculatedColumnFormula>
    </tableColumn>
    <tableColumn id="17" xr3:uid="{B6F5D7BB-680F-ED48-925B-E086330B73D6}" name="xsk4g-hash-at-both" dataDxfId="198">
      <calculatedColumnFormula array="1">_xlfn.LET(_xlpm.d,R$2:R$19,_xlpm.a,$C$2:$C$19=$C23,_xlpm.b,$D$2:$D$19=$D23,MAX(_xlfn._xlws.FILTER(_xlpm.d,_xlpm.a*_xlpm.b)))</calculatedColumnFormula>
    </tableColumn>
    <tableColumn id="18" xr3:uid="{537E3314-C550-8D49-9C9D-7638D04CFF26}" name="max" dataDxfId="197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F17D1F-FB06-FA43-8A40-324602B2A0AE}" name="Table13" displayName="Table13" ref="A1:T19" totalsRowShown="0">
  <autoFilter ref="A1:T19" xr:uid="{C4F17D1F-FB06-FA43-8A40-324602B2A0AE}"/>
  <sortState xmlns:xlrd2="http://schemas.microsoft.com/office/spreadsheetml/2017/richdata2" ref="A2:T19">
    <sortCondition ref="B1:B19"/>
  </sortState>
  <tableColumns count="20">
    <tableColumn id="1" xr3:uid="{FA27F3DD-12F2-714B-A783-BF7B3CEAC689}" name="lang"/>
    <tableColumn id="2" xr3:uid="{1C3CEE2F-C196-C54A-88F3-F4E0EB54AE3C}" name="attribute.index"/>
    <tableColumn id="3" xr3:uid="{B785BE11-25BC-E048-99B7-8437F90CEA49}" name="attribute"/>
    <tableColumn id="4" xr3:uid="{B45CD917-3116-E74C-9189-EE9A96BC0864}" name="supplemented"/>
    <tableColumn id="5" xr3:uid="{CB446152-E669-4945-9A40-68074F263512}" name="method.index"/>
    <tableColumn id="6" xr3:uid="{800AB80D-69FA-FA48-904E-4D84ACC09D45}" name="method"/>
    <tableColumn id="20" xr3:uid="{5F135428-214E-724B-9CC7-76CBB12D2898}" name="var" dataDxfId="196">
      <calculatedColumnFormula>_xlfn.TEXTJOIN("-",TRUE,Table13[[#This Row],[attribute]],Table13[[#This Row],[supplemented]],Table13[[#This Row],[method]])</calculatedColumnFormula>
    </tableColumn>
    <tableColumn id="7" xr3:uid="{9E822E10-86A6-334C-A3EE-87A002A0D5E5}" name="2g-no-hash" dataDxfId="195"/>
    <tableColumn id="8" xr3:uid="{2B620540-68D2-BD4C-9A52-AEF3220DECD3}" name="3g-no-hash" dataDxfId="194"/>
    <tableColumn id="9" xr3:uid="{8BDBE027-3F2D-184C-8D02-E96C8613C9B4}" name="4g-no-hash" dataDxfId="193"/>
    <tableColumn id="10" xr3:uid="{C1D6D1FC-97B0-AA41-B0A4-082B55D237AF}" name="xsk2g-no-hash" dataDxfId="192"/>
    <tableColumn id="11" xr3:uid="{DB6F6F74-DF80-2242-8C8C-D575C59FE3E4}" name="xsk3g-no-hash" dataDxfId="191"/>
    <tableColumn id="12" xr3:uid="{DFF0487C-211E-C949-BDA5-5B84F8DE925C}" name="xsk4g-no-hash" dataDxfId="190"/>
    <tableColumn id="13" xr3:uid="{E8E97CF4-9ED4-FB4E-ACBC-58AB285D4C16}" name="2g-hash-at-both" dataDxfId="189"/>
    <tableColumn id="14" xr3:uid="{C61B90F6-320A-1E46-9E22-0A9145D7F0B6}" name="3g-hash-at-both" dataDxfId="188"/>
    <tableColumn id="15" xr3:uid="{E78A09A8-CE4E-7C47-A26E-3DA9DC809F1A}" name="4g-hash-at-both" dataDxfId="187"/>
    <tableColumn id="16" xr3:uid="{D3765BC8-9F02-1E4B-9F6B-F406342AF202}" name="xsk2g-hash-at-both" dataDxfId="186"/>
    <tableColumn id="17" xr3:uid="{D4E3EE87-35DB-094D-8309-56D41EA57BCB}" name="xsk3g-hash-at-both" dataDxfId="185"/>
    <tableColumn id="18" xr3:uid="{1DCE78FD-42BD-6040-A54D-71D0508A7187}" name="xsk4g-hash-at-both" dataDxfId="184"/>
    <tableColumn id="19" xr3:uid="{25C65FB9-7F0F-0F42-8CFA-FC56CB5E68A4}" name="max" dataDxfId="18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2314E0-40AA-B741-8856-082CFEB11785}" name="Table14" displayName="Table14" ref="B22:T28" totalsRowShown="0">
  <autoFilter ref="B22:T28" xr:uid="{062314E0-40AA-B741-8856-082CFEB11785}"/>
  <tableColumns count="19">
    <tableColumn id="1" xr3:uid="{E4C195F2-F50E-D349-86C9-E327AA300800}" name="attribute.index"/>
    <tableColumn id="2" xr3:uid="{EBC970E0-510F-BE4A-92CF-711B9F8363D6}" name="attribute"/>
    <tableColumn id="3" xr3:uid="{C725BD81-B119-984E-874F-8505CDF72BBD}" name="supplemented"/>
    <tableColumn id="4" xr3:uid="{B7530B38-54B6-7E4E-A7E9-13861A67375A}" name="method.index"/>
    <tableColumn id="5" xr3:uid="{BFF3135A-7831-B649-8904-3AC082D8DC96}" name="method"/>
    <tableColumn id="19" xr3:uid="{8A68FA1A-0719-E640-B937-FC28803F1C8D}" name="var" dataDxfId="182">
      <calculatedColumnFormula>_xlfn.TEXTJOIN("-",TRUE,Table14[[#This Row],[attribute]],Table14[[#This Row],[supplemented]],Table14[[#This Row],[method]])</calculatedColumnFormula>
    </tableColumn>
    <tableColumn id="6" xr3:uid="{70855C8C-BA75-924F-824C-71D501F6241C}" name="2g-no-hash" dataDxfId="181">
      <calculatedColumnFormula array="1">_xlfn.LET(_xlpm.d,H$2:H$19,_xlpm.a,$C$2:$C$19=$C23,_xlpm.b,$D$2:$D$19=$D23,MAX(_xlfn._xlws.FILTER(_xlpm.d,_xlpm.a*_xlpm.b)))</calculatedColumnFormula>
    </tableColumn>
    <tableColumn id="7" xr3:uid="{A0BEDAE4-647E-FF4A-8EF6-730BBD1D9A03}" name="3g-no-hash" dataDxfId="180">
      <calculatedColumnFormula array="1">_xlfn.LET(_xlpm.d,I$2:I$19,_xlpm.a,$C$2:$C$19=$C23,_xlpm.b,$D$2:$D$19=$D23,MAX(_xlfn._xlws.FILTER(_xlpm.d,_xlpm.a*_xlpm.b)))</calculatedColumnFormula>
    </tableColumn>
    <tableColumn id="8" xr3:uid="{84D855C3-86CD-5041-9472-66D48F189E09}" name="4g-no-hash" dataDxfId="179">
      <calculatedColumnFormula array="1">_xlfn.LET(_xlpm.d,J$2:J$19,_xlpm.a,$C$2:$C$19=$C23,_xlpm.b,$D$2:$D$19=$D23,MAX(_xlfn._xlws.FILTER(_xlpm.d,_xlpm.a*_xlpm.b)))</calculatedColumnFormula>
    </tableColumn>
    <tableColumn id="9" xr3:uid="{23DFB58C-7F6F-7948-8899-61366A4DFA33}" name="xsk2g-no-hash" dataDxfId="178">
      <calculatedColumnFormula array="1">_xlfn.LET(_xlpm.d,K$2:K$19,_xlpm.a,$C$2:$C$19=$C23,_xlpm.b,$D$2:$D$19=$D23,MAX(_xlfn._xlws.FILTER(_xlpm.d,_xlpm.a*_xlpm.b)))</calculatedColumnFormula>
    </tableColumn>
    <tableColumn id="10" xr3:uid="{A60AFC77-6DD2-854C-A1CE-5E9025FF0223}" name="xsk3g-no-hash" dataDxfId="177">
      <calculatedColumnFormula array="1">_xlfn.LET(_xlpm.d,L$2:L$19,_xlpm.a,$C$2:$C$19=$C23,_xlpm.b,$D$2:$D$19=$D23,MAX(_xlfn._xlws.FILTER(_xlpm.d,_xlpm.a*_xlpm.b)))</calculatedColumnFormula>
    </tableColumn>
    <tableColumn id="11" xr3:uid="{33B43D4F-1C34-C54E-A61B-7B4D8FBDEE3B}" name="xsk4g-no-hash" dataDxfId="176">
      <calculatedColumnFormula array="1">_xlfn.LET(_xlpm.d,M$2:M$19,_xlpm.a,$C$2:$C$19=$C23,_xlpm.b,$D$2:$D$19=$D23,MAX(_xlfn._xlws.FILTER(_xlpm.d,_xlpm.a*_xlpm.b)))</calculatedColumnFormula>
    </tableColumn>
    <tableColumn id="12" xr3:uid="{D75B7F20-25A9-8D46-B713-9CECC7EE194E}" name="2g-hash-at-both" dataDxfId="175">
      <calculatedColumnFormula array="1">_xlfn.LET(_xlpm.d,N$2:N$19,_xlpm.a,$C$2:$C$19=$C23,_xlpm.b,$D$2:$D$19=$D23,MAX(_xlfn._xlws.FILTER(_xlpm.d,_xlpm.a*_xlpm.b)))</calculatedColumnFormula>
    </tableColumn>
    <tableColumn id="13" xr3:uid="{04394DD4-5886-AF46-83F0-A2CEA3143AD6}" name="3g-hash-at-both" dataDxfId="174">
      <calculatedColumnFormula array="1">_xlfn.LET(_xlpm.d,O$2:O$19,_xlpm.a,$C$2:$C$19=$C23,_xlpm.b,$D$2:$D$19=$D23,MAX(_xlfn._xlws.FILTER(_xlpm.d,_xlpm.a*_xlpm.b)))</calculatedColumnFormula>
    </tableColumn>
    <tableColumn id="14" xr3:uid="{94C680E2-7FBF-7C4A-9E83-B519E44D775B}" name="4g-hash-at-both" dataDxfId="173">
      <calculatedColumnFormula array="1">_xlfn.LET(_xlpm.d,P$2:P$19,_xlpm.a,$C$2:$C$19=$C23,_xlpm.b,$D$2:$D$19=$D23,MAX(_xlfn._xlws.FILTER(_xlpm.d,_xlpm.a*_xlpm.b)))</calculatedColumnFormula>
    </tableColumn>
    <tableColumn id="15" xr3:uid="{49E5E695-6037-9042-8A95-0C55C79FF4DA}" name="xsk2g-hash-at-both" dataDxfId="172">
      <calculatedColumnFormula array="1">_xlfn.LET(_xlpm.d,Q$2:Q$19,_xlpm.a,$C$2:$C$19=$C23,_xlpm.b,$D$2:$D$19=$D23,MAX(_xlfn._xlws.FILTER(_xlpm.d,_xlpm.a*_xlpm.b)))</calculatedColumnFormula>
    </tableColumn>
    <tableColumn id="16" xr3:uid="{353976E6-91D9-2440-B4F3-E549BFE01DCD}" name="xsk3g-hash-at-both" dataDxfId="171">
      <calculatedColumnFormula array="1">_xlfn.LET(_xlpm.d,R$2:R$19,_xlpm.a,$C$2:$C$19=$C23,_xlpm.b,$D$2:$D$19=$D23,MAX(_xlfn._xlws.FILTER(_xlpm.d,_xlpm.a*_xlpm.b)))</calculatedColumnFormula>
    </tableColumn>
    <tableColumn id="17" xr3:uid="{D99B1990-E1BA-C040-8581-3AB6B3F2F0A1}" name="xsk4g-hash-at-both" dataDxfId="170">
      <calculatedColumnFormula array="1">_xlfn.LET(_xlpm.d,S$2:S$19,_xlpm.a,$C$2:$C$19=$C23,_xlpm.b,$D$2:$D$19=$D23,MAX(_xlfn._xlws.FILTER(_xlpm.d,_xlpm.a*_xlpm.b)))</calculatedColumnFormula>
    </tableColumn>
    <tableColumn id="18" xr3:uid="{315DC553-AD9D-4246-B0C3-370D3DBCBE6B}" name="max" dataDxfId="169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AADA89D-3062-1843-9E70-469C8C0312A5}" name="Table2526" displayName="Table2526" ref="B31:S37" totalsRowShown="0">
  <autoFilter ref="B31:S37" xr:uid="{1AADA89D-3062-1843-9E70-469C8C0312A5}"/>
  <sortState xmlns:xlrd2="http://schemas.microsoft.com/office/spreadsheetml/2017/richdata2" ref="B32:S37">
    <sortCondition ref="B31:B37"/>
  </sortState>
  <tableColumns count="18">
    <tableColumn id="1" xr3:uid="{DAE5BC2A-E1EB-F045-9B73-D543A1F921E7}" name="attribute.index"/>
    <tableColumn id="2" xr3:uid="{311536D5-30CE-E849-B922-12D3C196100F}" name="attribute"/>
    <tableColumn id="3" xr3:uid="{3DC5AE88-DEA0-5E46-B683-9D95F2CD7C66}" name="supplemented"/>
    <tableColumn id="4" xr3:uid="{6B47AD5A-C287-1D42-ADEE-E0BFD6343B07}" name="method.index"/>
    <tableColumn id="5" xr3:uid="{9364730F-1A4B-DF4D-A269-A5645FACD53B}" name="method"/>
    <tableColumn id="6" xr3:uid="{28BE422E-A35A-AC41-91BC-A03BA0205A22}" name="var" dataDxfId="168">
      <calculatedColumnFormula>_xlfn.TEXTJOIN("-",TRUE,Table2526[[#This Row],[attribute]],Table2526[[#This Row],[supplemented]],Table2526[[#This Row],[method]])</calculatedColumnFormula>
    </tableColumn>
    <tableColumn id="7" xr3:uid="{3C384D92-C2E1-0F48-BE7D-1B1150EA51C5}" name="2g-no-hash" dataDxfId="167">
      <calculatedColumnFormula>_xlfn.LET(_xlpm.d,$H23:$S23,RANK(H23,_xlpm.d))</calculatedColumnFormula>
    </tableColumn>
    <tableColumn id="8" xr3:uid="{3B87B6F2-E0E9-B04C-9996-D7BBB48DEA19}" name="3g-no-hash" dataDxfId="166">
      <calculatedColumnFormula>_xlfn.LET(_xlpm.d,$H23:$S23,RANK(I23,_xlpm.d))</calculatedColumnFormula>
    </tableColumn>
    <tableColumn id="9" xr3:uid="{62BA0C9B-A1D0-924E-A98F-0B7898E10A04}" name="4g-no-hash" dataDxfId="165">
      <calculatedColumnFormula>_xlfn.LET(_xlpm.d,$H23:$S23,RANK(J23,_xlpm.d))</calculatedColumnFormula>
    </tableColumn>
    <tableColumn id="10" xr3:uid="{806C9B6E-D5D3-EE45-A383-031DBDC5505A}" name="xsk2g-no-hash" dataDxfId="164">
      <calculatedColumnFormula>_xlfn.LET(_xlpm.d,$H23:$S23,RANK(K23,_xlpm.d))</calculatedColumnFormula>
    </tableColumn>
    <tableColumn id="11" xr3:uid="{98DA6BA9-039C-3746-822C-7030CA513B6E}" name="xsk3g-no-hash" dataDxfId="163">
      <calculatedColumnFormula>_xlfn.LET(_xlpm.d,$H23:$S23,RANK(L23,_xlpm.d))</calculatedColumnFormula>
    </tableColumn>
    <tableColumn id="12" xr3:uid="{A9A7C69D-E716-6244-8A99-619282E67888}" name="xsk4g-no-hash" dataDxfId="162">
      <calculatedColumnFormula>_xlfn.LET(_xlpm.d,$H23:$S23,RANK(M23,_xlpm.d))</calculatedColumnFormula>
    </tableColumn>
    <tableColumn id="13" xr3:uid="{3B7BE466-B299-4E4D-ADB7-F681D065874E}" name="2g-hash-at-both" dataDxfId="161">
      <calculatedColumnFormula>_xlfn.LET(_xlpm.d,$H23:$S23,RANK(N23,_xlpm.d))</calculatedColumnFormula>
    </tableColumn>
    <tableColumn id="14" xr3:uid="{D8DE4F46-1A17-FE49-A422-C0E0C378E51F}" name="3g-hash-at-both" dataDxfId="160">
      <calculatedColumnFormula>_xlfn.LET(_xlpm.d,$H23:$S23,RANK(O23,_xlpm.d))</calculatedColumnFormula>
    </tableColumn>
    <tableColumn id="15" xr3:uid="{3C3555C9-62D9-7149-97D6-A9D1A8C9968A}" name="4g-hash-at-both" dataDxfId="159">
      <calculatedColumnFormula>_xlfn.LET(_xlpm.d,$H23:$S23,RANK(P23,_xlpm.d))</calculatedColumnFormula>
    </tableColumn>
    <tableColumn id="16" xr3:uid="{459B061D-3126-BF42-8235-3A507D9B6FD4}" name="xsk2g-hash-at-both" dataDxfId="158">
      <calculatedColumnFormula>_xlfn.LET(_xlpm.d,$H23:$S23,RANK(Q23,_xlpm.d))</calculatedColumnFormula>
    </tableColumn>
    <tableColumn id="17" xr3:uid="{94DF0CD7-CD26-DD48-9CA1-E73212B770E4}" name="xsk3g-hash-at-both" dataDxfId="157">
      <calculatedColumnFormula>_xlfn.LET(_xlpm.d,$H23:$S23,RANK(R23,_xlpm.d))</calculatedColumnFormula>
    </tableColumn>
    <tableColumn id="18" xr3:uid="{9E190E15-1839-C34C-BBC7-BF91BF65375F}" name="xsk4g-hash-at-both" dataDxfId="156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3B0FAF-8D19-8D4C-B462-DB61ACC7B5BF}" name="Table3" displayName="Table3" ref="A1:S19" totalsRowShown="0">
  <autoFilter ref="A1:S19" xr:uid="{F83B0FAF-8D19-8D4C-B462-DB61ACC7B5BF}"/>
  <sortState xmlns:xlrd2="http://schemas.microsoft.com/office/spreadsheetml/2017/richdata2" ref="A2:S19">
    <sortCondition ref="B1:B19"/>
  </sortState>
  <tableColumns count="19">
    <tableColumn id="1" xr3:uid="{35BDB615-22B2-5940-80FE-198406FAFEE4}" name="lang"/>
    <tableColumn id="2" xr3:uid="{B3BEF02F-BF5E-EA4B-88C9-BE8BF129021D}" name="attribute.index"/>
    <tableColumn id="3" xr3:uid="{595E2AEE-CD89-C343-A198-B1EBBC1D6D87}" name="attribute"/>
    <tableColumn id="4" xr3:uid="{97890306-E045-8B49-BBE1-C26433E4FC38}" name="supplement"/>
    <tableColumn id="5" xr3:uid="{29B3BEE0-AF29-BC43-BA1B-7AD25CC21BAB}" name="method.index"/>
    <tableColumn id="6" xr3:uid="{740DD4CE-2A15-524B-A43E-D8F73322977B}" name="method"/>
    <tableColumn id="7" xr3:uid="{21BFAE09-3FA4-6C47-A79C-9C9A1D7BE302}" name="2g-no-hash" dataDxfId="155"/>
    <tableColumn id="8" xr3:uid="{32DB4C16-4F5C-A043-9C3F-F3DCFB262D31}" name="3g-no-hash" dataDxfId="154"/>
    <tableColumn id="9" xr3:uid="{0F502D6C-E995-8449-8570-5BBA3E983F38}" name="4g-no-hash" dataDxfId="153"/>
    <tableColumn id="10" xr3:uid="{A76185BC-2B94-E940-BF47-F2D1E3EC328D}" name="xsk2g-no-hash" dataDxfId="152"/>
    <tableColumn id="11" xr3:uid="{C7FE6EEC-0D9B-3940-8CCF-FE1AD3A81657}" name="xsk3g-no-hash" dataDxfId="151"/>
    <tableColumn id="12" xr3:uid="{3AFE59A8-6B1F-6A40-948E-2EF6F8526437}" name="xsk4g-no-hash" dataDxfId="150"/>
    <tableColumn id="13" xr3:uid="{E67F7ADB-8A75-724D-95C5-CCD211F44C76}" name="2g-hash-at-both" dataDxfId="149"/>
    <tableColumn id="14" xr3:uid="{FC4A56A5-7C7D-9448-AB94-09FCB9AF7E13}" name="3g-hash-at-both" dataDxfId="148"/>
    <tableColumn id="15" xr3:uid="{0EAC8BA9-8923-4442-8AE9-22F992689C1B}" name="4g-hash-at-both" dataDxfId="147"/>
    <tableColumn id="16" xr3:uid="{053776F1-1D21-3943-99EE-070280B419F2}" name="xsk2g-hash-at-both" dataDxfId="146"/>
    <tableColumn id="17" xr3:uid="{6BBE9D22-008C-F34A-879E-39CFD7C113BD}" name="xsk3g-hash-at-both" dataDxfId="145"/>
    <tableColumn id="18" xr3:uid="{07AA92E5-5752-784C-A101-E07B7C326A4B}" name="xsk4g-hash-at-both" dataDxfId="144"/>
    <tableColumn id="19" xr3:uid="{9F1839D0-0719-6749-8025-D933D6ED42AE}" name="max" dataDxfId="14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D29926-3E01-1643-A309-925EB394EEB5}" name="Table4" displayName="Table4" ref="B22:S28" totalsRowShown="0">
  <autoFilter ref="B22:S28" xr:uid="{C5D29926-3E01-1643-A309-925EB394EEB5}"/>
  <tableColumns count="18">
    <tableColumn id="1" xr3:uid="{24B42B1F-A4E2-924C-951F-931CDCCED882}" name="attribute.index"/>
    <tableColumn id="2" xr3:uid="{3CC650BE-507D-F249-A3CF-C23014383313}" name="attribute"/>
    <tableColumn id="3" xr3:uid="{BB9E3DBF-319F-8D4E-A0D8-203662F3627A}" name="supplemented"/>
    <tableColumn id="4" xr3:uid="{8AAEB283-62B0-FB40-84A7-068A2AC3E5EF}" name="method.index"/>
    <tableColumn id="5" xr3:uid="{2A6E2518-2E43-8E44-8AA7-A317262280EC}" name="metric"/>
    <tableColumn id="6" xr3:uid="{3BE0A6F2-952A-F142-BAC0-EABD01B746E7}" name="2g-no-hash" dataDxfId="142">
      <calculatedColumnFormula array="1">_xlfn.LET(_xlpm.d,G$2:G$19,_xlpm.a,$C$2:$C$19=$C23,_xlpm.b,$D$2:$D$19=$D23,MAX(_xlfn._xlws.FILTER(_xlpm.d,_xlpm.a*_xlpm.b)))</calculatedColumnFormula>
    </tableColumn>
    <tableColumn id="7" xr3:uid="{A7A0577A-ABC6-1F4E-A233-6FA89AA5EBA4}" name="3g-no-hash" dataDxfId="141">
      <calculatedColumnFormula array="1">_xlfn.LET(_xlpm.d,H$2:H$19,_xlpm.a,$C$2:$C$19=$C23,_xlpm.b,$D$2:$D$19=$D23,MAX(_xlfn._xlws.FILTER(_xlpm.d,_xlpm.a*_xlpm.b)))</calculatedColumnFormula>
    </tableColumn>
    <tableColumn id="8" xr3:uid="{47E0036D-625F-1648-9B48-1967FE60A97F}" name="4g-no-hash" dataDxfId="140">
      <calculatedColumnFormula array="1">_xlfn.LET(_xlpm.d,I$2:I$19,_xlpm.a,$C$2:$C$19=$C23,_xlpm.b,$D$2:$D$19=$D23,MAX(_xlfn._xlws.FILTER(_xlpm.d,_xlpm.a*_xlpm.b)))</calculatedColumnFormula>
    </tableColumn>
    <tableColumn id="9" xr3:uid="{515E4C63-F829-A24B-A859-FA9BBA3D7613}" name="xsk2g-no-hash" dataDxfId="139">
      <calculatedColumnFormula array="1">_xlfn.LET(_xlpm.d,J$2:J$19,_xlpm.a,$C$2:$C$19=$C23,_xlpm.b,$D$2:$D$19=$D23,MAX(_xlfn._xlws.FILTER(_xlpm.d,_xlpm.a*_xlpm.b)))</calculatedColumnFormula>
    </tableColumn>
    <tableColumn id="10" xr3:uid="{256D1CA2-2AB7-2C4B-B77D-DA98C960F22D}" name="xsk3g-no-hash" dataDxfId="138">
      <calculatedColumnFormula array="1">_xlfn.LET(_xlpm.d,K$2:K$19,_xlpm.a,$C$2:$C$19=$C23,_xlpm.b,$D$2:$D$19=$D23,MAX(_xlfn._xlws.FILTER(_xlpm.d,_xlpm.a*_xlpm.b)))</calculatedColumnFormula>
    </tableColumn>
    <tableColumn id="11" xr3:uid="{AE2B6152-5449-594B-881E-B39BFAFDA836}" name="xsk4g-no-hash" dataDxfId="137">
      <calculatedColumnFormula array="1">_xlfn.LET(_xlpm.d,L$2:L$19,_xlpm.a,$C$2:$C$19=$C23,_xlpm.b,$D$2:$D$19=$D23,MAX(_xlfn._xlws.FILTER(_xlpm.d,_xlpm.a*_xlpm.b)))</calculatedColumnFormula>
    </tableColumn>
    <tableColumn id="12" xr3:uid="{C83ABBF3-D327-FE48-AFD3-D81DAE7943A6}" name="2g-hash-at-both" dataDxfId="136">
      <calculatedColumnFormula array="1">_xlfn.LET(_xlpm.d,M$2:M$19,_xlpm.a,$C$2:$C$19=$C23,_xlpm.b,$D$2:$D$19=$D23,MAX(_xlfn._xlws.FILTER(_xlpm.d,_xlpm.a*_xlpm.b)))</calculatedColumnFormula>
    </tableColumn>
    <tableColumn id="13" xr3:uid="{31A41A12-A30E-AF46-9E9F-BA00305F8956}" name="3g-hash-at-both" dataDxfId="135">
      <calculatedColumnFormula array="1">_xlfn.LET(_xlpm.d,N$2:N$19,_xlpm.a,$C$2:$C$19=$C23,_xlpm.b,$D$2:$D$19=$D23,MAX(_xlfn._xlws.FILTER(_xlpm.d,_xlpm.a*_xlpm.b)))</calculatedColumnFormula>
    </tableColumn>
    <tableColumn id="14" xr3:uid="{4F5A12A3-BAF9-A64C-B905-9C1598B8B881}" name="4g-hash-at-both" dataDxfId="134">
      <calculatedColumnFormula array="1">_xlfn.LET(_xlpm.d,O$2:O$19,_xlpm.a,$C$2:$C$19=$C23,_xlpm.b,$D$2:$D$19=$D23,MAX(_xlfn._xlws.FILTER(_xlpm.d,_xlpm.a*_xlpm.b)))</calculatedColumnFormula>
    </tableColumn>
    <tableColumn id="15" xr3:uid="{A1A90D57-4B82-E64B-95B4-10F1F05DFF0E}" name="xsk2g-hash-at-both" dataDxfId="133">
      <calculatedColumnFormula array="1">_xlfn.LET(_xlpm.d,P$2:P$19,_xlpm.a,$C$2:$C$19=$C23,_xlpm.b,$D$2:$D$19=$D23,MAX(_xlfn._xlws.FILTER(_xlpm.d,_xlpm.a*_xlpm.b)))</calculatedColumnFormula>
    </tableColumn>
    <tableColumn id="16" xr3:uid="{3754F7A0-F910-F54A-85C3-F47F2EF48833}" name="xsk3g-hash-at-both" dataDxfId="132">
      <calculatedColumnFormula array="1">_xlfn.LET(_xlpm.d,Q$2:Q$19,_xlpm.a,$C$2:$C$19=$C23,_xlpm.b,$D$2:$D$19=$D23,MAX(_xlfn._xlws.FILTER(_xlpm.d,_xlpm.a*_xlpm.b)))</calculatedColumnFormula>
    </tableColumn>
    <tableColumn id="17" xr3:uid="{DEA33966-28B9-8446-931D-F1E1DDAEFF74}" name="xsk4g-hash-at-both" dataDxfId="131">
      <calculatedColumnFormula array="1">_xlfn.LET(_xlpm.d,R$2:R$19,_xlpm.a,$C$2:$C$19=$C23,_xlpm.b,$D$2:$D$19=$D23,MAX(_xlfn._xlws.FILTER(_xlpm.d,_xlpm.a*_xlpm.b)))</calculatedColumnFormula>
    </tableColumn>
    <tableColumn id="18" xr3:uid="{343D6990-79F8-7E46-9445-F7E489C014C0}" name="max" dataDxfId="13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9E354D-B868-1D41-B90F-B50B7AFDB418}" name="Table9" displayName="Table9" ref="A1:S19" totalsRowShown="0">
  <autoFilter ref="A1:S19" xr:uid="{319E354D-B868-1D41-B90F-B50B7AFDB418}"/>
  <sortState xmlns:xlrd2="http://schemas.microsoft.com/office/spreadsheetml/2017/richdata2" ref="A2:S19">
    <sortCondition ref="B1:B19"/>
  </sortState>
  <tableColumns count="19">
    <tableColumn id="1" xr3:uid="{AFA4BBEF-6BC9-1B46-9E84-2E89C073DF58}" name="lang"/>
    <tableColumn id="2" xr3:uid="{808967F7-6E5B-A147-9B6C-F225483712F5}" name="attribute.index"/>
    <tableColumn id="3" xr3:uid="{26435B0F-1E92-5747-A6A2-C531CD268B1B}" name="attribute"/>
    <tableColumn id="4" xr3:uid="{58DE33FB-AEB9-6C42-9B55-6F78E6341719}" name="supplement"/>
    <tableColumn id="5" xr3:uid="{1A85693D-D81D-A74E-8543-C9A0CAF6CD56}" name="method.index"/>
    <tableColumn id="6" xr3:uid="{2F937A71-DFFA-3043-822D-6F0F72479918}" name="method"/>
    <tableColumn id="7" xr3:uid="{833B86A9-D93D-D543-AA6F-087B49BFBD24}" name="2g-no-hash" dataDxfId="129"/>
    <tableColumn id="8" xr3:uid="{13C30789-20B7-B846-AD1C-4FBA54B53117}" name="3g-no-hash" dataDxfId="128"/>
    <tableColumn id="9" xr3:uid="{A352622D-CF5C-C149-9C3C-71DBAE2642BD}" name="4g-no-hash" dataDxfId="127"/>
    <tableColumn id="10" xr3:uid="{545E76F0-7507-0041-9B18-C69CCDA12E5C}" name="xsk2g-no-hash" dataDxfId="126"/>
    <tableColumn id="11" xr3:uid="{B5A41046-6DB6-E04F-8208-7771D3117778}" name="xsk3g-no-hash" dataDxfId="125"/>
    <tableColumn id="12" xr3:uid="{43F865F1-CBB5-044F-86E9-DFE0635D44A9}" name="xsk4g-no-hash" dataDxfId="124"/>
    <tableColumn id="13" xr3:uid="{214F501A-CE19-C949-8471-9108BD49086B}" name="2g-hash-at-both" dataDxfId="123"/>
    <tableColumn id="14" xr3:uid="{2887AD50-A3AC-264C-B86F-4A1FE40BC363}" name="3g-hash-at-both" dataDxfId="122"/>
    <tableColumn id="15" xr3:uid="{C7236FCC-DF2D-3047-9B0F-37C7E0852125}" name="4g-hash-at-both" dataDxfId="121"/>
    <tableColumn id="16" xr3:uid="{3A79B3B2-B918-1D4A-BDA7-4B9845BAD63C}" name="xsk2g-hash-at-both" dataDxfId="120"/>
    <tableColumn id="17" xr3:uid="{6FD9377E-4FD1-AA47-A2B6-02ACE09A8180}" name="xsk3g-hash-at-both" dataDxfId="119"/>
    <tableColumn id="18" xr3:uid="{C05B0C9F-1592-0B45-8E37-CFA8042FE0D7}" name="xsk4g-hash-at-both" dataDxfId="118"/>
    <tableColumn id="19" xr3:uid="{596F33CB-18E0-7C4D-B84C-08E968139965}" name="max" dataDxfId="11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5B6DEA-5719-064F-B958-279B69881ED7}" name="Table10" displayName="Table10" ref="B22:S28" totalsRowShown="0">
  <autoFilter ref="B22:S28" xr:uid="{295B6DEA-5719-064F-B958-279B69881ED7}"/>
  <tableColumns count="18">
    <tableColumn id="1" xr3:uid="{E8A6A4C1-E94C-B84C-95C5-EDCF5A914B72}" name="attribute.index"/>
    <tableColumn id="2" xr3:uid="{5B17ED54-3B83-2E44-B63C-F519DEC61C5B}" name="attribute"/>
    <tableColumn id="3" xr3:uid="{7C7D1A65-7D01-EA4F-BC50-BBB523984532}" name="supplemented"/>
    <tableColumn id="4" xr3:uid="{3C96A41D-013E-DC45-9362-DC4EC0B9A62F}" name="method.index"/>
    <tableColumn id="5" xr3:uid="{8439AD0D-EE7C-DB49-855D-5BAB7FF5EDC0}" name="metric"/>
    <tableColumn id="6" xr3:uid="{C91E9AD5-054D-3949-9D5B-DFA0890E9057}" name="2g-no-hash" dataDxfId="116">
      <calculatedColumnFormula array="1">_xlfn.LET(_xlpm.d,G$2:G$19,_xlpm.a,$C$2:$C$19=$C23,_xlpm.b,$D$2:$D$19=$D23,MAX(_xlfn._xlws.FILTER(_xlpm.d,_xlpm.a*_xlpm.b)))</calculatedColumnFormula>
    </tableColumn>
    <tableColumn id="7" xr3:uid="{667DE78B-DC6F-0840-A251-E733331B4F49}" name="3g-no-hash" dataDxfId="115">
      <calculatedColumnFormula array="1">_xlfn.LET(_xlpm.d,H$2:H$19,_xlpm.a,$C$2:$C$19=$C23,_xlpm.b,$D$2:$D$19=$D23,MAX(_xlfn._xlws.FILTER(_xlpm.d,_xlpm.a*_xlpm.b)))</calculatedColumnFormula>
    </tableColumn>
    <tableColumn id="8" xr3:uid="{6B844BC8-18FC-2740-BC39-A5118F00D4BA}" name="4g-no-hash" dataDxfId="114">
      <calculatedColumnFormula array="1">_xlfn.LET(_xlpm.d,I$2:I$19,_xlpm.a,$C$2:$C$19=$C23,_xlpm.b,$D$2:$D$19=$D23,MAX(_xlfn._xlws.FILTER(_xlpm.d,_xlpm.a*_xlpm.b)))</calculatedColumnFormula>
    </tableColumn>
    <tableColumn id="9" xr3:uid="{65FC0F12-654F-5242-9C23-0CC6D062D1F9}" name="xsk2g-no-hash" dataDxfId="113">
      <calculatedColumnFormula array="1">_xlfn.LET(_xlpm.d,J$2:J$19,_xlpm.a,$C$2:$C$19=$C23,_xlpm.b,$D$2:$D$19=$D23,MAX(_xlfn._xlws.FILTER(_xlpm.d,_xlpm.a*_xlpm.b)))</calculatedColumnFormula>
    </tableColumn>
    <tableColumn id="10" xr3:uid="{0F4FA47F-0659-AB49-B7E9-96232CB81B60}" name="xsk3g-no-hash" dataDxfId="112">
      <calculatedColumnFormula array="1">_xlfn.LET(_xlpm.d,K$2:K$19,_xlpm.a,$C$2:$C$19=$C23,_xlpm.b,$D$2:$D$19=$D23,MAX(_xlfn._xlws.FILTER(_xlpm.d,_xlpm.a*_xlpm.b)))</calculatedColumnFormula>
    </tableColumn>
    <tableColumn id="11" xr3:uid="{184DDC58-F53A-E648-99E5-DE4EED9C3743}" name="xsk4g-no-hash" dataDxfId="111">
      <calculatedColumnFormula array="1">_xlfn.LET(_xlpm.d,L$2:L$19,_xlpm.a,$C$2:$C$19=$C23,_xlpm.b,$D$2:$D$19=$D23,MAX(_xlfn._xlws.FILTER(_xlpm.d,_xlpm.a*_xlpm.b)))</calculatedColumnFormula>
    </tableColumn>
    <tableColumn id="12" xr3:uid="{87D16D85-C407-8B44-ABEB-913DF10AF01A}" name="2g-hash-at-both" dataDxfId="110">
      <calculatedColumnFormula array="1">_xlfn.LET(_xlpm.d,M$2:M$19,_xlpm.a,$C$2:$C$19=$C23,_xlpm.b,$D$2:$D$19=$D23,MAX(_xlfn._xlws.FILTER(_xlpm.d,_xlpm.a*_xlpm.b)))</calculatedColumnFormula>
    </tableColumn>
    <tableColumn id="13" xr3:uid="{B4EDE7F5-C369-EB45-AE1A-D7FBE2447442}" name="3g-hash-at-both" dataDxfId="109">
      <calculatedColumnFormula array="1">_xlfn.LET(_xlpm.d,N$2:N$19,_xlpm.a,$C$2:$C$19=$C23,_xlpm.b,$D$2:$D$19=$D23,MAX(_xlfn._xlws.FILTER(_xlpm.d,_xlpm.a*_xlpm.b)))</calculatedColumnFormula>
    </tableColumn>
    <tableColumn id="14" xr3:uid="{638D08C5-C1C1-8C48-88BB-1D3D2E982BAC}" name="4g-hash-at-both" dataDxfId="108">
      <calculatedColumnFormula array="1">_xlfn.LET(_xlpm.d,O$2:O$19,_xlpm.a,$C$2:$C$19=$C23,_xlpm.b,$D$2:$D$19=$D23,MAX(_xlfn._xlws.FILTER(_xlpm.d,_xlpm.a*_xlpm.b)))</calculatedColumnFormula>
    </tableColumn>
    <tableColumn id="15" xr3:uid="{D391B66C-6241-874C-A93E-2473916988A0}" name="xsk2g-hash-at-both" dataDxfId="107">
      <calculatedColumnFormula array="1">_xlfn.LET(_xlpm.d,P$2:P$19,_xlpm.a,$C$2:$C$19=$C23,_xlpm.b,$D$2:$D$19=$D23,MAX(_xlfn._xlws.FILTER(_xlpm.d,_xlpm.a*_xlpm.b)))</calculatedColumnFormula>
    </tableColumn>
    <tableColumn id="16" xr3:uid="{938C4F81-9B57-B648-B609-7A5A22506520}" name="xsk3g-hash-at-both" dataDxfId="106">
      <calculatedColumnFormula array="1">_xlfn.LET(_xlpm.d,Q$2:Q$19,_xlpm.a,$C$2:$C$19=$C23,_xlpm.b,$D$2:$D$19=$D23,MAX(_xlfn._xlws.FILTER(_xlpm.d,_xlpm.a*_xlpm.b)))</calculatedColumnFormula>
    </tableColumn>
    <tableColumn id="17" xr3:uid="{3879895E-4398-144F-B153-1CBBFBF487E3}" name="xsk4g-hash-at-both" dataDxfId="105">
      <calculatedColumnFormula array="1">_xlfn.LET(_xlpm.d,R$2:R$19,_xlpm.a,$C$2:$C$19=$C23,_xlpm.b,$D$2:$D$19=$D23,MAX(_xlfn._xlws.FILTER(_xlpm.d,_xlpm.a*_xlpm.b)))</calculatedColumnFormula>
    </tableColumn>
    <tableColumn id="18" xr3:uid="{5D2482BA-0FB8-3F4B-941C-0B8BD2ADF064}" name="max" dataDxfId="10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1CBCB47-39F2-F742-952D-C3C58F47A28A}" name="Table17" displayName="Table17" ref="A1:S19" totalsRowShown="0">
  <autoFilter ref="A1:S19" xr:uid="{81CBCB47-39F2-F742-952D-C3C58F47A28A}"/>
  <tableColumns count="19">
    <tableColumn id="1" xr3:uid="{16101114-ED8F-BD4D-B765-4782CE56A846}" name="lang"/>
    <tableColumn id="2" xr3:uid="{C50C4A13-3E9A-F04E-9803-B0A216FCA4C8}" name="attribute.index"/>
    <tableColumn id="3" xr3:uid="{EE1485CA-7115-924E-91F4-DC81974DC2B0}" name="attribute"/>
    <tableColumn id="4" xr3:uid="{4E50CDF4-F446-3A4C-813F-30EAF4001685}" name="supplement"/>
    <tableColumn id="5" xr3:uid="{6D4C85D9-F22D-E446-8A83-D21C7C4BF3AB}" name="method.index"/>
    <tableColumn id="6" xr3:uid="{09DF67B7-59D9-1243-8B85-D16CA5D88CB1}" name="method"/>
    <tableColumn id="7" xr3:uid="{6C8C5C73-A414-3546-A8B5-B03EDF854213}" name="2g-no-hash" dataDxfId="103"/>
    <tableColumn id="8" xr3:uid="{84DAB3D7-E6DC-6340-9EF2-E59B275E0BD7}" name="3g-no-hash" dataDxfId="102"/>
    <tableColumn id="9" xr3:uid="{BDEA2791-703D-A84F-BB14-BE95ED761A49}" name="4g-no-hash" dataDxfId="101"/>
    <tableColumn id="10" xr3:uid="{2142DA1E-D880-8245-8D57-441629977929}" name="xsk2g-no-hash" dataDxfId="100"/>
    <tableColumn id="11" xr3:uid="{ADEE5BE5-950D-744B-92DD-550B46A2FFC8}" name="xsk3g-no-hash" dataDxfId="99"/>
    <tableColumn id="12" xr3:uid="{12CD87DB-E9AB-CA4A-9B95-8794D0B536E7}" name="xsk4g-no-hash" dataDxfId="98"/>
    <tableColumn id="13" xr3:uid="{A700495A-765B-6F41-A570-709B8DEB267B}" name="2g-hash-at-both" dataDxfId="97"/>
    <tableColumn id="14" xr3:uid="{2C1DF76B-EEBE-EA46-93D1-E25140B95E8F}" name="3g-hash-at-both" dataDxfId="96"/>
    <tableColumn id="15" xr3:uid="{426DD05F-8591-5D4F-9B19-E8B5002BD23F}" name="4g-hash-at-both" dataDxfId="95"/>
    <tableColumn id="16" xr3:uid="{D4A79D05-5161-284F-B7EB-AC8E40023ED7}" name="xsk2g-hash-at-both" dataDxfId="94"/>
    <tableColumn id="17" xr3:uid="{9054891B-47EC-6140-B23D-1919863AA36B}" name="xsk3g-hash-at-both" dataDxfId="93"/>
    <tableColumn id="18" xr3:uid="{E69C7248-717F-8441-A649-B326E564373A}" name="xsk4g-hash-at-both" dataDxfId="92"/>
    <tableColumn id="19" xr3:uid="{5E69F4A0-A7DD-4148-967F-A6E59B5213BB}" name="max" dataDxfId="9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B7337E-BF2B-034C-8CD6-EDCE94AEB2CE}" name="Table619" displayName="Table619" ref="B22:S28" totalsRowShown="0">
  <autoFilter ref="B22:S28" xr:uid="{C6B7337E-BF2B-034C-8CD6-EDCE94AEB2CE}"/>
  <tableColumns count="18">
    <tableColumn id="1" xr3:uid="{B7AE3FE0-ECAD-E742-8149-3E005B71890B}" name="attribute.index"/>
    <tableColumn id="2" xr3:uid="{20F82B1D-6E46-C646-94E3-5B1535A12BC1}" name="attribute"/>
    <tableColumn id="3" xr3:uid="{CF726548-5A5E-0949-B220-E1AD7EA76E7C}" name="supplemented"/>
    <tableColumn id="4" xr3:uid="{CCC30426-3279-8449-BDB0-B2CC5E7128CA}" name="method.index"/>
    <tableColumn id="5" xr3:uid="{3DD5D3D8-4323-CD49-AC2C-61A308F66ED5}" name="metric"/>
    <tableColumn id="6" xr3:uid="{31E17194-81A3-4A4E-BF64-96A3695CC646}" name="2g-no-hash" dataDxfId="90">
      <calculatedColumnFormula array="1">_xlfn.LET(_xlpm.d,G$2:G$19,_xlpm.a,$C$2:$C$19=$C23,_xlpm.b,$D$2:$D$19=$D23,MAX(_xlfn._xlws.FILTER(_xlpm.d,_xlpm.a*_xlpm.b)))</calculatedColumnFormula>
    </tableColumn>
    <tableColumn id="7" xr3:uid="{069488D4-AA04-4C48-B005-6F97F06673E4}" name="3g-no-hash" dataDxfId="89">
      <calculatedColumnFormula array="1">_xlfn.LET(_xlpm.d,H$2:H$19,_xlpm.a,$C$2:$C$19=$C23,_xlpm.b,$D$2:$D$19=$D23,MAX(_xlfn._xlws.FILTER(_xlpm.d,_xlpm.a*_xlpm.b)))</calculatedColumnFormula>
    </tableColumn>
    <tableColumn id="8" xr3:uid="{C9DCB656-6744-8E44-AE5F-BA57FC85D1EC}" name="4g-no-hash" dataDxfId="88">
      <calculatedColumnFormula array="1">_xlfn.LET(_xlpm.d,I$2:I$19,_xlpm.a,$C$2:$C$19=$C23,_xlpm.b,$D$2:$D$19=$D23,MAX(_xlfn._xlws.FILTER(_xlpm.d,_xlpm.a*_xlpm.b)))</calculatedColumnFormula>
    </tableColumn>
    <tableColumn id="9" xr3:uid="{90910FFF-8CD1-364C-AC6B-719D372CFA91}" name="xsk2g-no-hash" dataDxfId="87">
      <calculatedColumnFormula array="1">_xlfn.LET(_xlpm.d,J$2:J$19,_xlpm.a,$C$2:$C$19=$C23,_xlpm.b,$D$2:$D$19=$D23,MAX(_xlfn._xlws.FILTER(_xlpm.d,_xlpm.a*_xlpm.b)))</calculatedColumnFormula>
    </tableColumn>
    <tableColumn id="10" xr3:uid="{02EE1231-4647-174E-9E7B-FEA6157A3089}" name="xsk3g-no-hash" dataDxfId="86">
      <calculatedColumnFormula array="1">_xlfn.LET(_xlpm.d,K$2:K$19,_xlpm.a,$C$2:$C$19=$C23,_xlpm.b,$D$2:$D$19=$D23,MAX(_xlfn._xlws.FILTER(_xlpm.d,_xlpm.a*_xlpm.b)))</calculatedColumnFormula>
    </tableColumn>
    <tableColumn id="11" xr3:uid="{4177933D-15FC-0347-9309-5B702407F52F}" name="xsk4g-no-hash" dataDxfId="85">
      <calculatedColumnFormula array="1">_xlfn.LET(_xlpm.d,L$2:L$19,_xlpm.a,$C$2:$C$19=$C23,_xlpm.b,$D$2:$D$19=$D23,MAX(_xlfn._xlws.FILTER(_xlpm.d,_xlpm.a*_xlpm.b)))</calculatedColumnFormula>
    </tableColumn>
    <tableColumn id="12" xr3:uid="{C0A8CA46-2FD2-944A-8260-A07358FE4E20}" name="2g-hash-at-both" dataDxfId="84">
      <calculatedColumnFormula array="1">_xlfn.LET(_xlpm.d,M$2:M$19,_xlpm.a,$C$2:$C$19=$C23,_xlpm.b,$D$2:$D$19=$D23,MAX(_xlfn._xlws.FILTER(_xlpm.d,_xlpm.a*_xlpm.b)))</calculatedColumnFormula>
    </tableColumn>
    <tableColumn id="13" xr3:uid="{63446D6C-BD6F-EA49-9F18-BF2C9173107C}" name="3g-hash-at-both" dataDxfId="83">
      <calculatedColumnFormula array="1">_xlfn.LET(_xlpm.d,N$2:N$19,_xlpm.a,$C$2:$C$19=$C23,_xlpm.b,$D$2:$D$19=$D23,MAX(_xlfn._xlws.FILTER(_xlpm.d,_xlpm.a*_xlpm.b)))</calculatedColumnFormula>
    </tableColumn>
    <tableColumn id="14" xr3:uid="{93D19FF1-54CE-B941-BC7F-4D910AC48B49}" name="4g-hash-at-both" dataDxfId="82">
      <calculatedColumnFormula array="1">_xlfn.LET(_xlpm.d,O$2:O$19,_xlpm.a,$C$2:$C$19=$C23,_xlpm.b,$D$2:$D$19=$D23,MAX(_xlfn._xlws.FILTER(_xlpm.d,_xlpm.a*_xlpm.b)))</calculatedColumnFormula>
    </tableColumn>
    <tableColumn id="15" xr3:uid="{FBB128C6-7BF4-FD49-BE92-F22ACA0123F5}" name="xsk2g-hash-at-both" dataDxfId="81">
      <calculatedColumnFormula array="1">_xlfn.LET(_xlpm.d,P$2:P$19,_xlpm.a,$C$2:$C$19=$C23,_xlpm.b,$D$2:$D$19=$D23,MAX(_xlfn._xlws.FILTER(_xlpm.d,_xlpm.a*_xlpm.b)))</calculatedColumnFormula>
    </tableColumn>
    <tableColumn id="16" xr3:uid="{5B879E8B-2BFC-9348-81DE-E52B07094CAF}" name="xsk3g-hash-at-both" dataDxfId="80">
      <calculatedColumnFormula array="1">_xlfn.LET(_xlpm.d,Q$2:Q$19,_xlpm.a,$C$2:$C$19=$C23,_xlpm.b,$D$2:$D$19=$D23,MAX(_xlfn._xlws.FILTER(_xlpm.d,_xlpm.a*_xlpm.b)))</calculatedColumnFormula>
    </tableColumn>
    <tableColumn id="17" xr3:uid="{15CFF4EC-818D-9546-AA37-94EBB119ACF1}" name="xsk4g-hash-at-both" dataDxfId="79">
      <calculatedColumnFormula array="1">_xlfn.LET(_xlpm.d,R$2:R$19,_xlpm.a,$C$2:$C$19=$C23,_xlpm.b,$D$2:$D$19=$D23,MAX(_xlfn._xlws.FILTER(_xlpm.d,_xlpm.a*_xlpm.b)))</calculatedColumnFormula>
    </tableColumn>
    <tableColumn id="18" xr3:uid="{508E2804-7C6A-0543-B475-8A91F7F1FD39}" name="max" dataDxfId="78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318FAA-3730-9343-9BE4-15E385DAD30B}" name="Table5" displayName="Table5" ref="A1:S19" totalsRowShown="0">
  <autoFilter ref="A1:S19" xr:uid="{56318FAA-3730-9343-9BE4-15E385DAD30B}"/>
  <sortState xmlns:xlrd2="http://schemas.microsoft.com/office/spreadsheetml/2017/richdata2" ref="A2:S19">
    <sortCondition ref="B1:B19"/>
  </sortState>
  <tableColumns count="19">
    <tableColumn id="1" xr3:uid="{D9AC6087-29D8-5944-9876-7E92D636B740}" name="lang"/>
    <tableColumn id="2" xr3:uid="{11947AD1-B243-AE4A-8C9D-06178B7AD344}" name="attribute.index"/>
    <tableColumn id="3" xr3:uid="{80345AD0-8965-CB4E-88F2-8DB726A530ED}" name="attribute"/>
    <tableColumn id="4" xr3:uid="{8AF5111D-7BA7-1C45-9138-6ED4BB0BB2C9}" name="supplement"/>
    <tableColumn id="5" xr3:uid="{C9824DBF-8BE9-DC4C-BD76-14AD19A67CFD}" name="method.index"/>
    <tableColumn id="6" xr3:uid="{CE077BB2-7B24-F744-9AA9-3559408CF724}" name="method"/>
    <tableColumn id="7" xr3:uid="{05355A6C-D7DF-B84A-A87D-77987412E75A}" name="2g-no-hash" dataDxfId="77"/>
    <tableColumn id="8" xr3:uid="{F000785E-A5B4-4642-AB96-897DF892D901}" name="3g-no-hash" dataDxfId="76"/>
    <tableColumn id="9" xr3:uid="{64D0441B-A193-FD48-A54A-4ECF02054047}" name="4g-no-hash" dataDxfId="75"/>
    <tableColumn id="10" xr3:uid="{8B4D20DD-1CFF-B644-99D4-34EBFB4B89E0}" name="xsk2g-no-hash" dataDxfId="74"/>
    <tableColumn id="11" xr3:uid="{9328E8A0-FB58-0D4E-BA0A-918311104792}" name="xsk3g-no-hash" dataDxfId="73"/>
    <tableColumn id="12" xr3:uid="{B46E5F47-FB36-4347-A5FD-B811854F241C}" name="xsk4g-no-hash" dataDxfId="72"/>
    <tableColumn id="13" xr3:uid="{E8C4551F-FA2A-6242-8779-C5C2EEACF7D5}" name="2g-hash-at-both" dataDxfId="71"/>
    <tableColumn id="14" xr3:uid="{58D10C01-5310-9547-8054-0653FA14D631}" name="3g-hash-at-both" dataDxfId="70"/>
    <tableColumn id="15" xr3:uid="{462CF426-8246-5D46-ABA9-68854E15CB75}" name="4g-hash-at-both" dataDxfId="69"/>
    <tableColumn id="16" xr3:uid="{C5628024-89A2-1B4A-911C-EDA1CB51154D}" name="xsk2g-hash-at-both" dataDxfId="68"/>
    <tableColumn id="17" xr3:uid="{98B4D501-E55E-7D4B-88D7-C022A64F2FB0}" name="xsk3g-hash-at-both" dataDxfId="67"/>
    <tableColumn id="18" xr3:uid="{94F78878-61FD-7B45-825E-2D01B0852C79}" name="xsk4g-hash-at-both" dataDxfId="66"/>
    <tableColumn id="19" xr3:uid="{2A8325D2-1214-B447-86E7-3C90EDAE74BA}" name="max" dataDxfId="6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241FF5-16D6-C945-83C0-43EE424CDD2A}" name="Table6" displayName="Table6" ref="B22:S28" totalsRowShown="0">
  <autoFilter ref="B22:S28" xr:uid="{3F241FF5-16D6-C945-83C0-43EE424CDD2A}"/>
  <tableColumns count="18">
    <tableColumn id="1" xr3:uid="{67B4342F-0A5A-4A4B-BD7F-6A62F3026EDD}" name="attribute.index"/>
    <tableColumn id="2" xr3:uid="{B2695E15-AF56-8B48-98C4-ED1715366EA9}" name="attribute"/>
    <tableColumn id="3" xr3:uid="{E1080C12-4C6C-0044-9F24-37FD4E0F475D}" name="supplemented"/>
    <tableColumn id="4" xr3:uid="{63F4F2BE-D5B6-2A47-BC3E-75980831CC6B}" name="method.index"/>
    <tableColumn id="5" xr3:uid="{D577D36B-2C06-354C-A402-8A4114F0E5A3}" name="metric"/>
    <tableColumn id="6" xr3:uid="{CA6D3B2F-7404-3348-B9AB-675AF7FC2942}" name="2g-no-hash" dataDxfId="64">
      <calculatedColumnFormula array="1">_xlfn.LET(_xlpm.d,G$2:G$19,_xlpm.a,$C$2:$C$19=$C23,_xlpm.b,$D$2:$D$19=$D23,MAX(_xlfn._xlws.FILTER(_xlpm.d,_xlpm.a*_xlpm.b)))</calculatedColumnFormula>
    </tableColumn>
    <tableColumn id="7" xr3:uid="{2B74F283-6555-1344-BA04-4E2A92703ED5}" name="3g-no-hash" dataDxfId="63">
      <calculatedColumnFormula array="1">_xlfn.LET(_xlpm.d,H$2:H$19,_xlpm.a,$C$2:$C$19=$C23,_xlpm.b,$D$2:$D$19=$D23,MAX(_xlfn._xlws.FILTER(_xlpm.d,_xlpm.a*_xlpm.b)))</calculatedColumnFormula>
    </tableColumn>
    <tableColumn id="8" xr3:uid="{0356E0D8-7B01-9B41-ABA8-A037417EC059}" name="4g-no-hash" dataDxfId="62">
      <calculatedColumnFormula array="1">_xlfn.LET(_xlpm.d,I$2:I$19,_xlpm.a,$C$2:$C$19=$C23,_xlpm.b,$D$2:$D$19=$D23,MAX(_xlfn._xlws.FILTER(_xlpm.d,_xlpm.a*_xlpm.b)))</calculatedColumnFormula>
    </tableColumn>
    <tableColumn id="9" xr3:uid="{15C356EB-CCED-554C-9030-5FD693E9F2F0}" name="xsk2g-no-hash" dataDxfId="61">
      <calculatedColumnFormula array="1">_xlfn.LET(_xlpm.d,J$2:J$19,_xlpm.a,$C$2:$C$19=$C23,_xlpm.b,$D$2:$D$19=$D23,MAX(_xlfn._xlws.FILTER(_xlpm.d,_xlpm.a*_xlpm.b)))</calculatedColumnFormula>
    </tableColumn>
    <tableColumn id="10" xr3:uid="{A02E78C6-5B9D-8545-B530-6808251DB901}" name="xsk3g-no-hash" dataDxfId="60">
      <calculatedColumnFormula array="1">_xlfn.LET(_xlpm.d,K$2:K$19,_xlpm.a,$C$2:$C$19=$C23,_xlpm.b,$D$2:$D$19=$D23,MAX(_xlfn._xlws.FILTER(_xlpm.d,_xlpm.a*_xlpm.b)))</calculatedColumnFormula>
    </tableColumn>
    <tableColumn id="11" xr3:uid="{909ED277-21B0-204C-A2B4-2EC291CD832A}" name="xsk4g-no-hash" dataDxfId="59">
      <calculatedColumnFormula array="1">_xlfn.LET(_xlpm.d,L$2:L$19,_xlpm.a,$C$2:$C$19=$C23,_xlpm.b,$D$2:$D$19=$D23,MAX(_xlfn._xlws.FILTER(_xlpm.d,_xlpm.a*_xlpm.b)))</calculatedColumnFormula>
    </tableColumn>
    <tableColumn id="12" xr3:uid="{CD727F34-CB9D-D840-8494-5EF1A10FC336}" name="2g-hash-at-both" dataDxfId="58">
      <calculatedColumnFormula array="1">_xlfn.LET(_xlpm.d,M$2:M$19,_xlpm.a,$C$2:$C$19=$C23,_xlpm.b,$D$2:$D$19=$D23,MAX(_xlfn._xlws.FILTER(_xlpm.d,_xlpm.a*_xlpm.b)))</calculatedColumnFormula>
    </tableColumn>
    <tableColumn id="13" xr3:uid="{B7096BF8-B8F6-174C-AEF8-44569242AF61}" name="3g-hash-at-both" dataDxfId="57">
      <calculatedColumnFormula array="1">_xlfn.LET(_xlpm.d,N$2:N$19,_xlpm.a,$C$2:$C$19=$C23,_xlpm.b,$D$2:$D$19=$D23,MAX(_xlfn._xlws.FILTER(_xlpm.d,_xlpm.a*_xlpm.b)))</calculatedColumnFormula>
    </tableColumn>
    <tableColumn id="14" xr3:uid="{DA58031E-F9B4-214B-8BC1-1E7A242CEF2D}" name="4g-hash-at-both" dataDxfId="56">
      <calculatedColumnFormula array="1">_xlfn.LET(_xlpm.d,O$2:O$19,_xlpm.a,$C$2:$C$19=$C23,_xlpm.b,$D$2:$D$19=$D23,MAX(_xlfn._xlws.FILTER(_xlpm.d,_xlpm.a*_xlpm.b)))</calculatedColumnFormula>
    </tableColumn>
    <tableColumn id="15" xr3:uid="{0E56E882-014B-8F4C-97D2-D712A6D67BE6}" name="xsk2g-hash-at-both" dataDxfId="55">
      <calculatedColumnFormula array="1">_xlfn.LET(_xlpm.d,P$2:P$19,_xlpm.a,$C$2:$C$19=$C23,_xlpm.b,$D$2:$D$19=$D23,MAX(_xlfn._xlws.FILTER(_xlpm.d,_xlpm.a*_xlpm.b)))</calculatedColumnFormula>
    </tableColumn>
    <tableColumn id="16" xr3:uid="{A846783E-07C6-1D42-BEE5-80468DAD4A4F}" name="xsk3g-hash-at-both" dataDxfId="54">
      <calculatedColumnFormula array="1">_xlfn.LET(_xlpm.d,Q$2:Q$19,_xlpm.a,$C$2:$C$19=$C23,_xlpm.b,$D$2:$D$19=$D23,MAX(_xlfn._xlws.FILTER(_xlpm.d,_xlpm.a*_xlpm.b)))</calculatedColumnFormula>
    </tableColumn>
    <tableColumn id="17" xr3:uid="{3AA92170-E7A3-EF44-9DAD-34F398C14FD1}" name="xsk4g-hash-at-both" dataDxfId="53">
      <calculatedColumnFormula array="1">_xlfn.LET(_xlpm.d,R$2:R$19,_xlpm.a,$C$2:$C$19=$C23,_xlpm.b,$D$2:$D$19=$D23,MAX(_xlfn._xlws.FILTER(_xlpm.d,_xlpm.a*_xlpm.b)))</calculatedColumnFormula>
    </tableColumn>
    <tableColumn id="18" xr3:uid="{438151AE-8C6D-7C46-A13A-7EAF97FDD8BB}" name="max" dataDxfId="52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325A9B-5D84-BD45-B072-EB694814A85D}" name="Table7" displayName="Table7" ref="A1:S19" totalsRowShown="0">
  <autoFilter ref="A1:S19" xr:uid="{14325A9B-5D84-BD45-B072-EB694814A85D}"/>
  <sortState xmlns:xlrd2="http://schemas.microsoft.com/office/spreadsheetml/2017/richdata2" ref="A2:S19">
    <sortCondition ref="B1:B19"/>
  </sortState>
  <tableColumns count="19">
    <tableColumn id="1" xr3:uid="{205F8876-3515-2040-B7C1-7E6172273867}" name="lang"/>
    <tableColumn id="2" xr3:uid="{3F144350-4B4F-DD4D-A020-D628E059FC3A}" name="attribute.index"/>
    <tableColumn id="3" xr3:uid="{B8E3F5A2-85FC-0449-B569-C7429E3EEDB3}" name="attribute"/>
    <tableColumn id="4" xr3:uid="{557ECA0C-DF6A-994F-B8FC-7D49E8D9464B}" name="supplement"/>
    <tableColumn id="5" xr3:uid="{D9DDA4FD-E173-9748-872C-F4D6ED5EA059}" name="method.index"/>
    <tableColumn id="6" xr3:uid="{A857A498-625D-924C-8696-93776EDEC3A4}" name="method"/>
    <tableColumn id="7" xr3:uid="{EC168F03-73EA-EB40-B6C4-8D4FD1B3FE20}" name="2g-no-hash" dataDxfId="51"/>
    <tableColumn id="8" xr3:uid="{F8FA706E-230E-7246-A7E1-174F60D484AC}" name="3g-no-hash" dataDxfId="50"/>
    <tableColumn id="9" xr3:uid="{16809A0D-24C5-1E44-A5D1-4E0CE1EAF817}" name="4g-no-hash" dataDxfId="49"/>
    <tableColumn id="10" xr3:uid="{088E9926-1D29-3344-806C-747B7B8CD149}" name="xsk2g-no-hash" dataDxfId="48"/>
    <tableColumn id="11" xr3:uid="{8AEE0CF5-050D-8E48-ABE5-7879895081F6}" name="xsk3g-no-hash" dataDxfId="47"/>
    <tableColumn id="12" xr3:uid="{59BACC56-751E-CC47-B333-0E29D79118CC}" name="xsk4g-no-hash" dataDxfId="46"/>
    <tableColumn id="13" xr3:uid="{19AB2FC1-2BDA-9449-A501-A7244BC970FC}" name="2g-hash-at-both" dataDxfId="45"/>
    <tableColumn id="14" xr3:uid="{07DC9F69-E750-1746-8D18-305A51E1C4A7}" name="3g-hash-at-both" dataDxfId="44"/>
    <tableColumn id="15" xr3:uid="{BECD4E62-31FF-0942-A971-C34A1F5FDEB9}" name="4g-hash-at-both" dataDxfId="43"/>
    <tableColumn id="16" xr3:uid="{ADDE8659-F65A-5C47-A53F-7128EFD4FD99}" name="xsk2g-hash-at-both" dataDxfId="42"/>
    <tableColumn id="17" xr3:uid="{F9058AF1-2DBB-1D49-AF09-812DEF509F42}" name="xsk3g-hash-at-both" dataDxfId="41"/>
    <tableColumn id="18" xr3:uid="{A456CACC-392A-2B44-99CF-CAEE3317CC32}" name="xsk4g-hash-at-both" dataDxfId="40"/>
    <tableColumn id="19" xr3:uid="{6B04737A-04AE-0B48-B5FB-3162DFE45A69}" name="max" dataDxfId="3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4F77CC-6D2F-9847-8B59-F54B6BEF700C}" name="Table8" displayName="Table8" ref="B22:S28" totalsRowShown="0">
  <autoFilter ref="B22:S28" xr:uid="{724F77CC-6D2F-9847-8B59-F54B6BEF700C}"/>
  <tableColumns count="18">
    <tableColumn id="1" xr3:uid="{2ADE92C3-86CA-4748-8367-E262BF3FC300}" name="attribute.index"/>
    <tableColumn id="2" xr3:uid="{58D462DE-6638-2542-95D5-88DCB45780BE}" name="attribute"/>
    <tableColumn id="3" xr3:uid="{B326C542-12C2-5B47-958F-A63A5EDAAC7D}" name="supplemented"/>
    <tableColumn id="4" xr3:uid="{52F55F0F-EB1A-814F-A002-5BAA91739D30}" name="method.index"/>
    <tableColumn id="5" xr3:uid="{59436887-5926-E344-8601-94B5DDF08506}" name="metric"/>
    <tableColumn id="6" xr3:uid="{0EEE583C-D53F-824E-A79A-443B0A7738F0}" name="2g-no-hash" dataDxfId="38">
      <calculatedColumnFormula array="1">_xlfn.LET(_xlpm.d,G$2:G$19,_xlpm.a,$C$2:$C$19=$C23,_xlpm.b,$D$2:$D$19=$D23,MAX(_xlfn._xlws.FILTER(_xlpm.d,_xlpm.a*_xlpm.b)))</calculatedColumnFormula>
    </tableColumn>
    <tableColumn id="7" xr3:uid="{39D2B810-4BF1-AA44-92CB-69EA3EFCC9DE}" name="3g-no-hash" dataDxfId="37">
      <calculatedColumnFormula array="1">_xlfn.LET(_xlpm.d,H$2:H$19,_xlpm.a,$C$2:$C$19=$C23,_xlpm.b,$D$2:$D$19=$D23,MAX(_xlfn._xlws.FILTER(_xlpm.d,_xlpm.a*_xlpm.b)))</calculatedColumnFormula>
    </tableColumn>
    <tableColumn id="8" xr3:uid="{DF773693-211F-0841-9C95-598C9073837E}" name="4g-no-hash" dataDxfId="36">
      <calculatedColumnFormula array="1">_xlfn.LET(_xlpm.d,I$2:I$19,_xlpm.a,$C$2:$C$19=$C23,_xlpm.b,$D$2:$D$19=$D23,MAX(_xlfn._xlws.FILTER(_xlpm.d,_xlpm.a*_xlpm.b)))</calculatedColumnFormula>
    </tableColumn>
    <tableColumn id="9" xr3:uid="{B284FBDE-5FBA-EA4F-A416-2ACEB3EE5A1C}" name="xsk2g-no-hash" dataDxfId="35">
      <calculatedColumnFormula array="1">_xlfn.LET(_xlpm.d,J$2:J$19,_xlpm.a,$C$2:$C$19=$C23,_xlpm.b,$D$2:$D$19=$D23,MAX(_xlfn._xlws.FILTER(_xlpm.d,_xlpm.a*_xlpm.b)))</calculatedColumnFormula>
    </tableColumn>
    <tableColumn id="10" xr3:uid="{D9C23398-5EB1-5544-9665-A07C503D595F}" name="xsk3g-no-hash" dataDxfId="34">
      <calculatedColumnFormula array="1">_xlfn.LET(_xlpm.d,K$2:K$19,_xlpm.a,$C$2:$C$19=$C23,_xlpm.b,$D$2:$D$19=$D23,MAX(_xlfn._xlws.FILTER(_xlpm.d,_xlpm.a*_xlpm.b)))</calculatedColumnFormula>
    </tableColumn>
    <tableColumn id="11" xr3:uid="{766713F1-1735-3B4F-BF96-D809137CBE4E}" name="xsk4g-no-hash" dataDxfId="33">
      <calculatedColumnFormula array="1">_xlfn.LET(_xlpm.d,L$2:L$19,_xlpm.a,$C$2:$C$19=$C23,_xlpm.b,$D$2:$D$19=$D23,MAX(_xlfn._xlws.FILTER(_xlpm.d,_xlpm.a*_xlpm.b)))</calculatedColumnFormula>
    </tableColumn>
    <tableColumn id="12" xr3:uid="{4E788B89-B790-C14A-A7E3-66C69771BD85}" name="2g-hash-at-both" dataDxfId="32">
      <calculatedColumnFormula array="1">_xlfn.LET(_xlpm.d,M$2:M$19,_xlpm.a,$C$2:$C$19=$C23,_xlpm.b,$D$2:$D$19=$D23,MAX(_xlfn._xlws.FILTER(_xlpm.d,_xlpm.a*_xlpm.b)))</calculatedColumnFormula>
    </tableColumn>
    <tableColumn id="13" xr3:uid="{67C89E63-FBE7-204F-8155-AA0725F315E0}" name="3g-hash-at-both" dataDxfId="31">
      <calculatedColumnFormula array="1">_xlfn.LET(_xlpm.d,N$2:N$19,_xlpm.a,$C$2:$C$19=$C23,_xlpm.b,$D$2:$D$19=$D23,MAX(_xlfn._xlws.FILTER(_xlpm.d,_xlpm.a*_xlpm.b)))</calculatedColumnFormula>
    </tableColumn>
    <tableColumn id="14" xr3:uid="{4C1C114E-1373-9D4E-8357-CD8BF283EF91}" name="4g-hash-at-both" dataDxfId="30">
      <calculatedColumnFormula array="1">_xlfn.LET(_xlpm.d,O$2:O$19,_xlpm.a,$C$2:$C$19=$C23,_xlpm.b,$D$2:$D$19=$D23,MAX(_xlfn._xlws.FILTER(_xlpm.d,_xlpm.a*_xlpm.b)))</calculatedColumnFormula>
    </tableColumn>
    <tableColumn id="15" xr3:uid="{53C84902-3872-2240-AA4B-297EE2E55F12}" name="xsk2g-hash-at-both" dataDxfId="29">
      <calculatedColumnFormula array="1">_xlfn.LET(_xlpm.d,P$2:P$19,_xlpm.a,$C$2:$C$19=$C23,_xlpm.b,$D$2:$D$19=$D23,MAX(_xlfn._xlws.FILTER(_xlpm.d,_xlpm.a*_xlpm.b)))</calculatedColumnFormula>
    </tableColumn>
    <tableColumn id="16" xr3:uid="{E9CEC9FF-E1A0-B74C-BED2-9382B7BBA123}" name="xsk3g-hash-at-both" dataDxfId="28">
      <calculatedColumnFormula array="1">_xlfn.LET(_xlpm.d,Q$2:Q$19,_xlpm.a,$C$2:$C$19=$C23,_xlpm.b,$D$2:$D$19=$D23,MAX(_xlfn._xlws.FILTER(_xlpm.d,_xlpm.a*_xlpm.b)))</calculatedColumnFormula>
    </tableColumn>
    <tableColumn id="17" xr3:uid="{C2162CE5-954A-8545-9157-5C09F12EB704}" name="xsk4g-hash-at-both" dataDxfId="27">
      <calculatedColumnFormula array="1">_xlfn.LET(_xlpm.d,R$2:R$19,_xlpm.a,$C$2:$C$19=$C23,_xlpm.b,$D$2:$D$19=$D23,MAX(_xlfn._xlws.FILTER(_xlpm.d,_xlpm.a*_xlpm.b)))</calculatedColumnFormula>
    </tableColumn>
    <tableColumn id="18" xr3:uid="{51A644AC-CB91-6145-BFCA-01DCFBC349C2}" name="max" dataDxfId="2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474E70-1074-8749-80C9-AE5AB01140FB}" name="Table15" displayName="Table15" ref="A1:S19" totalsRowShown="0">
  <autoFilter ref="A1:S19" xr:uid="{30474E70-1074-8749-80C9-AE5AB01140FB}"/>
  <sortState xmlns:xlrd2="http://schemas.microsoft.com/office/spreadsheetml/2017/richdata2" ref="A2:S19">
    <sortCondition ref="B1:B19"/>
  </sortState>
  <tableColumns count="19">
    <tableColumn id="1" xr3:uid="{E53361BB-8CE0-444F-BD36-22FED0932831}" name="lang"/>
    <tableColumn id="2" xr3:uid="{A9F9E205-4A39-3243-ACB0-BC9B549C43F6}" name="attribute.index"/>
    <tableColumn id="3" xr3:uid="{28552E64-BF05-6244-A475-80B09D76C438}" name="attribute"/>
    <tableColumn id="4" xr3:uid="{836BE857-83B7-244A-BE9E-3738D3619AF2}" name="supplement"/>
    <tableColumn id="5" xr3:uid="{01B08F09-CEDD-1E44-8CF9-CC5E7E320EEC}" name="method.index"/>
    <tableColumn id="6" xr3:uid="{3648B9B3-5519-C949-A48B-24AA5D3F7AB1}" name="method"/>
    <tableColumn id="7" xr3:uid="{8FE6E99A-7218-BC44-9430-7383B5DFD630}" name="2g-no-hash" dataDxfId="25"/>
    <tableColumn id="8" xr3:uid="{029D5D41-CD01-B142-8D63-36EDC895BCE9}" name="3g-no-hash" dataDxfId="24"/>
    <tableColumn id="9" xr3:uid="{7DE8F8A9-9082-9C4B-8E6F-2E722F984A1A}" name="4g-no-hash" dataDxfId="23"/>
    <tableColumn id="10" xr3:uid="{328BB912-0DF4-1E4C-B15A-8DDC2F214DB0}" name="xsk2g-no-hash" dataDxfId="22"/>
    <tableColumn id="11" xr3:uid="{D97E298C-F710-FE49-A434-8AAC14BC5E8D}" name="xsk3g-no-hash" dataDxfId="21"/>
    <tableColumn id="12" xr3:uid="{80FF860E-9C93-4C43-814F-42CF1FE42AE1}" name="xsk4g-no-hash" dataDxfId="20"/>
    <tableColumn id="13" xr3:uid="{D138C43E-C21E-AE44-9626-19201480FDEF}" name="2g-hash-at-both" dataDxfId="19"/>
    <tableColumn id="14" xr3:uid="{3109E4B4-E2A1-EF4D-844C-86F640BC1BC0}" name="3g-hash-at-both" dataDxfId="18"/>
    <tableColumn id="15" xr3:uid="{9AE3C91F-6957-D540-BBFA-6C86A15BF511}" name="4g-hash-at-both" dataDxfId="17"/>
    <tableColumn id="16" xr3:uid="{DB896640-E834-B448-BE74-6D7CF85C5AD1}" name="xsk2g-hash-at-both" dataDxfId="16"/>
    <tableColumn id="17" xr3:uid="{0EF04812-9C0E-3943-90A8-B6A7D6089BD1}" name="xsk3g-hash-at-both" dataDxfId="15"/>
    <tableColumn id="18" xr3:uid="{049A7995-0930-3F4F-AF84-E355092F6768}" name="xsk4g-hash-at-both" dataDxfId="14"/>
    <tableColumn id="19" xr3:uid="{5DC72B45-4F2E-0846-AF12-50C0131D01CA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942AB2-C2AE-6A46-80BF-B5BDB8333287}" name="Table16" displayName="Table16" ref="B22:S28" totalsRowShown="0">
  <autoFilter ref="B22:S28" xr:uid="{05942AB2-C2AE-6A46-80BF-B5BDB8333287}"/>
  <tableColumns count="18">
    <tableColumn id="1" xr3:uid="{ED853CE4-2E3E-4A4E-8E32-A7DAEA7EC458}" name="attribute.index"/>
    <tableColumn id="2" xr3:uid="{1AE4DBB7-34CA-4849-AB33-EAE9FCAE3D61}" name="attribute"/>
    <tableColumn id="3" xr3:uid="{DE0D9ED6-D2BF-FB4F-A3FF-DB997E0E97C9}" name="supplemented"/>
    <tableColumn id="4" xr3:uid="{DD1142F9-40C1-DA47-955E-DB68EE9D341B}" name="method.index"/>
    <tableColumn id="5" xr3:uid="{3717295D-B6F6-184F-BBB9-3DBF820D1FDB}" name="metric"/>
    <tableColumn id="6" xr3:uid="{FB2CC4A6-553E-754A-AC22-5C6EA87989A9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776F76C2-ED6F-F44E-AFD3-C436E302F38C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66E5ACFD-F524-5F49-B0E6-C833530C6C6C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7D7F662F-0B38-2F49-890E-3AA6F2DD43D7}" name="xsk2g-no-hash" dataDxfId="9">
      <calculatedColumnFormula array="1">_xlfn.LET(_xlpm.d,J$2:J$19,_xlpm.a,$C$2:$C$19=$C23,_xlpm.b,$D$2:$D$19=$D23,MAX(_xlfn._xlws.FILTER(_xlpm.d,_xlpm.a*_xlpm.b)))</calculatedColumnFormula>
    </tableColumn>
    <tableColumn id="10" xr3:uid="{9D15919A-E381-4641-940F-149743B3E44A}" name="xsk3g-no-hash" dataDxfId="8">
      <calculatedColumnFormula array="1">_xlfn.LET(_xlpm.d,K$2:K$19,_xlpm.a,$C$2:$C$19=$C23,_xlpm.b,$D$2:$D$19=$D23,MAX(_xlfn._xlws.FILTER(_xlpm.d,_xlpm.a*_xlpm.b)))</calculatedColumnFormula>
    </tableColumn>
    <tableColumn id="11" xr3:uid="{2EC7CF1A-BA30-5B4A-A12F-58AE1E532D2E}" name="xsk4g-no-hash" dataDxfId="7">
      <calculatedColumnFormula array="1">_xlfn.LET(_xlpm.d,L$2:L$19,_xlpm.a,$C$2:$C$19=$C23,_xlpm.b,$D$2:$D$19=$D23,MAX(_xlfn._xlws.FILTER(_xlpm.d,_xlpm.a*_xlpm.b)))</calculatedColumnFormula>
    </tableColumn>
    <tableColumn id="12" xr3:uid="{56FDC1CD-BC9F-AA4E-A16A-97F56C612639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CEF02D0E-9483-BF45-81D3-383D50C8C926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A47C0DD5-D59C-334C-AABA-349274158CDA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13D2441E-8490-9C43-9B4A-945384887E3A}" name="x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C64B3C36-6D27-1C41-99ED-D793F1C9F877}" name="x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D3E8FD72-91C2-9F42-9484-989DEA9C3EF0}" name="x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F7A35425-6417-1844-8EE0-583C4EA67730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0A42-D8F8-7841-A695-AA2166D24583}">
  <sheetPr codeName="Sheet1"/>
  <dimension ref="A1:X103"/>
  <sheetViews>
    <sheetView workbookViewId="0">
      <pane xSplit="11460" ySplit="4940" topLeftCell="S25" activePane="bottomRight"/>
      <selection activeCell="A2" sqref="A2:H19"/>
      <selection pane="topRight" activeCell="X2" sqref="X2:X55"/>
      <selection pane="bottomLeft" activeCell="D32" sqref="D32:H37"/>
      <selection pane="bottomRight" activeCell="AA30" sqref="AA30"/>
    </sheetView>
  </sheetViews>
  <sheetFormatPr baseColWidth="10" defaultRowHeight="25" customHeight="1"/>
  <cols>
    <col min="1" max="4" width="6.625" customWidth="1"/>
    <col min="5" max="6" width="8.5" customWidth="1"/>
    <col min="7" max="7" width="7.375" customWidth="1"/>
    <col min="8" max="8" width="8.5" customWidth="1"/>
    <col min="9" max="9" width="26.25" customWidth="1"/>
    <col min="10" max="20" width="8.5" customWidth="1"/>
    <col min="21" max="21" width="9.75" customWidth="1"/>
    <col min="22" max="23" width="8.5" customWidth="1"/>
    <col min="24" max="24" width="12.625" customWidth="1"/>
    <col min="25" max="28" width="8.5" customWidth="1"/>
  </cols>
  <sheetData>
    <row r="1" spans="1:24" ht="25" customHeight="1">
      <c r="A1" t="s">
        <v>28</v>
      </c>
      <c r="B1" t="s">
        <v>29</v>
      </c>
      <c r="C1" t="s">
        <v>30</v>
      </c>
      <c r="D1" t="s">
        <v>1</v>
      </c>
      <c r="E1" t="s">
        <v>2</v>
      </c>
      <c r="F1" t="s">
        <v>26</v>
      </c>
      <c r="G1" t="s">
        <v>4</v>
      </c>
      <c r="H1" t="s">
        <v>27</v>
      </c>
      <c r="I1" t="s">
        <v>32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33</v>
      </c>
      <c r="X1" t="s">
        <v>34</v>
      </c>
    </row>
    <row r="2" spans="1:24" ht="25" customHeight="1">
      <c r="A2" t="s">
        <v>31</v>
      </c>
      <c r="B2">
        <v>1.2</v>
      </c>
      <c r="C2">
        <v>3</v>
      </c>
      <c r="D2">
        <v>1</v>
      </c>
      <c r="E2" t="s">
        <v>20</v>
      </c>
      <c r="F2" t="b">
        <v>0</v>
      </c>
      <c r="G2">
        <v>0</v>
      </c>
      <c r="H2" t="s">
        <v>18</v>
      </c>
      <c r="I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plu-spl:F-mgv:3-sn:1.2k</v>
      </c>
      <c r="J2" s="1">
        <v>0.73</v>
      </c>
      <c r="K2" s="1">
        <v>0.85</v>
      </c>
      <c r="L2" s="1">
        <v>0.75</v>
      </c>
      <c r="M2" s="1">
        <v>0.78</v>
      </c>
      <c r="N2" s="1">
        <v>0.82</v>
      </c>
      <c r="O2" s="1">
        <v>0.8</v>
      </c>
      <c r="P2" s="1">
        <v>0.76</v>
      </c>
      <c r="Q2" s="1">
        <v>0.76</v>
      </c>
      <c r="R2" s="1">
        <v>0.82</v>
      </c>
      <c r="S2" s="1">
        <v>0.82</v>
      </c>
      <c r="T2" s="1">
        <v>0.85</v>
      </c>
      <c r="U2" s="1">
        <v>0.78</v>
      </c>
      <c r="V2" s="1">
        <v>0.85</v>
      </c>
      <c r="W2" s="1">
        <f t="shared" ref="W2:W33" si="0">_xlfn.LET(_xlpm.d,$J2:$U2,GEOMEAN(_xlpm.d))</f>
        <v>0.79243593061569384</v>
      </c>
      <c r="X2" s="3">
        <f t="shared" ref="X2:X33" si="1">_xlfn.LET(_xlpm.x,W2,_xlpm.r,W$2:W$55,RANK(_xlpm.x,_xlpm.r))</f>
        <v>18</v>
      </c>
    </row>
    <row r="3" spans="1:24" ht="25" customHeight="1">
      <c r="A3" t="s">
        <v>31</v>
      </c>
      <c r="B3">
        <v>1.2</v>
      </c>
      <c r="C3">
        <v>3</v>
      </c>
      <c r="D3">
        <v>1</v>
      </c>
      <c r="E3" t="s">
        <v>20</v>
      </c>
      <c r="F3" t="b">
        <v>1</v>
      </c>
      <c r="G3">
        <v>0</v>
      </c>
      <c r="H3" t="s">
        <v>18</v>
      </c>
      <c r="I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plu-spl:T-mgv:3-sn:1.2k</v>
      </c>
      <c r="J3" s="1">
        <v>0.82</v>
      </c>
      <c r="K3" s="1">
        <v>0.89</v>
      </c>
      <c r="L3" s="1">
        <v>0.82</v>
      </c>
      <c r="M3" s="1">
        <v>0.82</v>
      </c>
      <c r="N3" s="1">
        <v>0.79</v>
      </c>
      <c r="O3" s="1">
        <v>0.81</v>
      </c>
      <c r="P3" s="1">
        <v>0.86</v>
      </c>
      <c r="Q3" s="1">
        <v>0.8</v>
      </c>
      <c r="R3" s="1">
        <v>0.84</v>
      </c>
      <c r="S3" s="1">
        <v>0.85</v>
      </c>
      <c r="T3" s="1">
        <v>0.85</v>
      </c>
      <c r="U3" s="1">
        <v>0.77</v>
      </c>
      <c r="V3" s="1">
        <v>0.89</v>
      </c>
      <c r="W3" s="1">
        <f t="shared" si="0"/>
        <v>0.82606013615543472</v>
      </c>
      <c r="X3" s="3">
        <f t="shared" si="1"/>
        <v>8</v>
      </c>
    </row>
    <row r="4" spans="1:24" ht="25" customHeight="1">
      <c r="A4" t="s">
        <v>31</v>
      </c>
      <c r="B4">
        <v>1.2</v>
      </c>
      <c r="C4">
        <v>3</v>
      </c>
      <c r="D4">
        <v>2</v>
      </c>
      <c r="E4" t="s">
        <v>24</v>
      </c>
      <c r="F4" t="b">
        <v>0</v>
      </c>
      <c r="G4">
        <v>0</v>
      </c>
      <c r="H4" t="s">
        <v>18</v>
      </c>
      <c r="I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gen-spl:F-mgv:3-sn:1.2k</v>
      </c>
      <c r="J4" s="1">
        <v>0.48</v>
      </c>
      <c r="K4" s="1">
        <v>0.56999999999999995</v>
      </c>
      <c r="L4" s="1">
        <v>0.54</v>
      </c>
      <c r="M4" s="1">
        <v>0.55000000000000004</v>
      </c>
      <c r="N4" s="1">
        <v>0.52</v>
      </c>
      <c r="O4" s="1">
        <v>0.63</v>
      </c>
      <c r="P4" s="1">
        <v>0.54</v>
      </c>
      <c r="Q4" s="1">
        <v>0.55000000000000004</v>
      </c>
      <c r="R4" s="1">
        <v>0.52</v>
      </c>
      <c r="S4" s="1">
        <v>0.54</v>
      </c>
      <c r="T4" s="1">
        <v>0.52</v>
      </c>
      <c r="U4" s="1">
        <v>0.57999999999999996</v>
      </c>
      <c r="V4" s="1">
        <v>0.63</v>
      </c>
      <c r="W4" s="1">
        <f t="shared" si="0"/>
        <v>0.5438553984193365</v>
      </c>
      <c r="X4" s="3">
        <f t="shared" si="1"/>
        <v>35</v>
      </c>
    </row>
    <row r="5" spans="1:24" ht="25" customHeight="1">
      <c r="A5" t="s">
        <v>31</v>
      </c>
      <c r="B5">
        <v>1.2</v>
      </c>
      <c r="C5">
        <v>3</v>
      </c>
      <c r="D5">
        <v>2</v>
      </c>
      <c r="E5" t="s">
        <v>24</v>
      </c>
      <c r="F5" t="b">
        <v>1</v>
      </c>
      <c r="G5">
        <v>0</v>
      </c>
      <c r="H5" t="s">
        <v>18</v>
      </c>
      <c r="I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gen-spl:T-mgv:3-sn:1.2k</v>
      </c>
      <c r="J5" s="1">
        <v>0.5</v>
      </c>
      <c r="K5" s="1">
        <v>0.56999999999999995</v>
      </c>
      <c r="L5" s="1">
        <v>0.55000000000000004</v>
      </c>
      <c r="M5" s="1">
        <v>0.53</v>
      </c>
      <c r="N5" s="1">
        <v>0.52</v>
      </c>
      <c r="O5" s="1">
        <v>0.56999999999999995</v>
      </c>
      <c r="P5" s="1">
        <v>0.54</v>
      </c>
      <c r="Q5" s="1">
        <v>0.53</v>
      </c>
      <c r="R5" s="1">
        <v>0.54</v>
      </c>
      <c r="S5" s="1">
        <v>0.56999999999999995</v>
      </c>
      <c r="T5" s="1">
        <v>0.55000000000000004</v>
      </c>
      <c r="U5" s="1">
        <v>0.57999999999999996</v>
      </c>
      <c r="V5" s="1">
        <v>0.57999999999999996</v>
      </c>
      <c r="W5" s="1">
        <f t="shared" si="0"/>
        <v>0.54534861209460095</v>
      </c>
      <c r="X5" s="3">
        <f t="shared" si="1"/>
        <v>34</v>
      </c>
    </row>
    <row r="6" spans="1:24" ht="25" customHeight="1">
      <c r="A6" t="s">
        <v>31</v>
      </c>
      <c r="B6">
        <v>1.2</v>
      </c>
      <c r="C6">
        <v>3</v>
      </c>
      <c r="D6">
        <v>3</v>
      </c>
      <c r="E6" t="s">
        <v>25</v>
      </c>
      <c r="F6" t="b">
        <v>0</v>
      </c>
      <c r="G6">
        <v>0</v>
      </c>
      <c r="H6" t="s">
        <v>18</v>
      </c>
      <c r="I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cas-spl:F-mgv:3-sn:1.2k</v>
      </c>
      <c r="J6" s="1">
        <v>0.4</v>
      </c>
      <c r="K6" s="1">
        <v>0.38</v>
      </c>
      <c r="L6" s="1">
        <v>0.31</v>
      </c>
      <c r="M6" s="1">
        <v>0.42</v>
      </c>
      <c r="N6" s="1">
        <v>0.42</v>
      </c>
      <c r="O6" s="1">
        <v>0.42</v>
      </c>
      <c r="P6" s="1">
        <v>0.36</v>
      </c>
      <c r="Q6" s="1">
        <v>0.4</v>
      </c>
      <c r="R6" s="1">
        <v>0.37</v>
      </c>
      <c r="S6" s="1">
        <v>0.45</v>
      </c>
      <c r="T6" s="1">
        <v>0.42</v>
      </c>
      <c r="U6" s="1">
        <v>0.34</v>
      </c>
      <c r="V6" s="1">
        <v>0.45</v>
      </c>
      <c r="W6" s="1">
        <f t="shared" si="0"/>
        <v>0.38885543568454756</v>
      </c>
      <c r="X6" s="3">
        <f t="shared" si="1"/>
        <v>53</v>
      </c>
    </row>
    <row r="7" spans="1:24" ht="25" customHeight="1">
      <c r="A7" t="s">
        <v>31</v>
      </c>
      <c r="B7">
        <v>1.2</v>
      </c>
      <c r="C7">
        <v>3</v>
      </c>
      <c r="D7">
        <v>3</v>
      </c>
      <c r="E7" t="s">
        <v>25</v>
      </c>
      <c r="F7" t="b">
        <v>1</v>
      </c>
      <c r="G7">
        <v>0</v>
      </c>
      <c r="H7" t="s">
        <v>18</v>
      </c>
      <c r="I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cas-spl:T-mgv:3-sn:1.2k</v>
      </c>
      <c r="J7" s="1">
        <v>0.39</v>
      </c>
      <c r="K7" s="1">
        <v>0.43</v>
      </c>
      <c r="L7" s="1">
        <v>0.36</v>
      </c>
      <c r="M7" s="1">
        <v>0.43</v>
      </c>
      <c r="N7" s="1">
        <v>0.43</v>
      </c>
      <c r="O7" s="1">
        <v>0.38</v>
      </c>
      <c r="P7" s="1">
        <v>0.36</v>
      </c>
      <c r="Q7" s="1">
        <v>0.4</v>
      </c>
      <c r="R7" s="1">
        <v>0.4</v>
      </c>
      <c r="S7" s="1">
        <v>0.48</v>
      </c>
      <c r="T7" s="1">
        <v>0.41</v>
      </c>
      <c r="U7" s="1">
        <v>0.33</v>
      </c>
      <c r="V7" s="1">
        <v>0.48</v>
      </c>
      <c r="W7" s="1">
        <f t="shared" si="0"/>
        <v>0.39814671091775616</v>
      </c>
      <c r="X7" s="3">
        <f t="shared" si="1"/>
        <v>51</v>
      </c>
    </row>
    <row r="8" spans="1:24" ht="25" customHeight="1">
      <c r="A8" t="s">
        <v>31</v>
      </c>
      <c r="B8">
        <v>1.2</v>
      </c>
      <c r="C8">
        <v>6</v>
      </c>
      <c r="D8">
        <v>1</v>
      </c>
      <c r="E8" t="s">
        <v>20</v>
      </c>
      <c r="F8" t="b">
        <v>0</v>
      </c>
      <c r="G8">
        <v>0</v>
      </c>
      <c r="H8" t="s">
        <v>18</v>
      </c>
      <c r="I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plu-spl:F-mgv:6-sn:1.2k</v>
      </c>
      <c r="J8" s="1">
        <v>0.79</v>
      </c>
      <c r="K8" s="1">
        <v>0.81</v>
      </c>
      <c r="L8" s="1">
        <v>0.84</v>
      </c>
      <c r="M8" s="1">
        <v>0.81</v>
      </c>
      <c r="N8" s="1">
        <v>0.79</v>
      </c>
      <c r="O8" s="1">
        <v>0.83</v>
      </c>
      <c r="P8" s="1">
        <v>0.76</v>
      </c>
      <c r="Q8" s="1">
        <v>0.84</v>
      </c>
      <c r="R8" s="1">
        <v>0.81</v>
      </c>
      <c r="S8" s="1">
        <v>0.8</v>
      </c>
      <c r="T8" s="1">
        <v>0.84</v>
      </c>
      <c r="U8" s="1">
        <v>0.78</v>
      </c>
      <c r="V8" s="1">
        <v>0.84</v>
      </c>
      <c r="W8" s="1">
        <f t="shared" si="0"/>
        <v>0.80795148028945107</v>
      </c>
      <c r="X8" s="3">
        <f t="shared" si="1"/>
        <v>15</v>
      </c>
    </row>
    <row r="9" spans="1:24" ht="25" customHeight="1">
      <c r="A9" t="s">
        <v>31</v>
      </c>
      <c r="B9">
        <v>1.2</v>
      </c>
      <c r="C9">
        <v>6</v>
      </c>
      <c r="D9">
        <v>1</v>
      </c>
      <c r="E9" t="s">
        <v>20</v>
      </c>
      <c r="F9" t="b">
        <v>1</v>
      </c>
      <c r="G9">
        <v>0</v>
      </c>
      <c r="H9" t="s">
        <v>18</v>
      </c>
      <c r="I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plu-spl:T-mgv:6-sn:1.2k</v>
      </c>
      <c r="J9" s="1">
        <v>0.86</v>
      </c>
      <c r="K9" s="1">
        <v>0.87</v>
      </c>
      <c r="L9" s="1">
        <v>0.86</v>
      </c>
      <c r="M9" s="1">
        <v>0.82</v>
      </c>
      <c r="N9" s="1">
        <v>0.83</v>
      </c>
      <c r="O9" s="1">
        <v>0.86</v>
      </c>
      <c r="P9" s="1">
        <v>0.88</v>
      </c>
      <c r="Q9" s="1">
        <v>0.87</v>
      </c>
      <c r="R9" s="1">
        <v>0.86</v>
      </c>
      <c r="S9" s="1">
        <v>0.82</v>
      </c>
      <c r="T9" s="1">
        <v>0.86</v>
      </c>
      <c r="U9" s="1">
        <v>0.82</v>
      </c>
      <c r="V9" s="1">
        <v>0.88</v>
      </c>
      <c r="W9" s="1">
        <f t="shared" si="0"/>
        <v>0.85057201605620791</v>
      </c>
      <c r="X9" s="3">
        <f t="shared" si="1"/>
        <v>1</v>
      </c>
    </row>
    <row r="10" spans="1:24" ht="25" customHeight="1">
      <c r="A10" t="s">
        <v>31</v>
      </c>
      <c r="B10">
        <v>1.2</v>
      </c>
      <c r="C10">
        <v>6</v>
      </c>
      <c r="D10">
        <v>2</v>
      </c>
      <c r="E10" t="s">
        <v>24</v>
      </c>
      <c r="F10" t="b">
        <v>0</v>
      </c>
      <c r="G10">
        <v>0</v>
      </c>
      <c r="H10" t="s">
        <v>18</v>
      </c>
      <c r="I1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gen-spl:F-mgv:6-sn:1.2k</v>
      </c>
      <c r="J10" s="2">
        <v>0.56000000000000005</v>
      </c>
      <c r="K10" s="2">
        <v>0.51</v>
      </c>
      <c r="L10" s="2">
        <v>0.53</v>
      </c>
      <c r="M10" s="2">
        <v>0.55000000000000004</v>
      </c>
      <c r="N10" s="2">
        <v>0.49</v>
      </c>
      <c r="O10" s="2">
        <v>0.5</v>
      </c>
      <c r="P10" s="2">
        <v>0.52</v>
      </c>
      <c r="Q10" s="2">
        <v>0.61</v>
      </c>
      <c r="R10" s="2">
        <v>0.57999999999999996</v>
      </c>
      <c r="S10" s="2">
        <v>0.56000000000000005</v>
      </c>
      <c r="T10" s="2">
        <v>0.53</v>
      </c>
      <c r="U10" s="2">
        <v>0.53</v>
      </c>
      <c r="V10" s="2">
        <v>0.61</v>
      </c>
      <c r="W10" s="1">
        <f t="shared" si="0"/>
        <v>0.53817309485875109</v>
      </c>
      <c r="X10" s="3">
        <f t="shared" si="1"/>
        <v>36</v>
      </c>
    </row>
    <row r="11" spans="1:24" ht="25" customHeight="1">
      <c r="A11" t="s">
        <v>31</v>
      </c>
      <c r="B11">
        <v>1.2</v>
      </c>
      <c r="C11">
        <v>6</v>
      </c>
      <c r="D11">
        <v>2</v>
      </c>
      <c r="E11" t="s">
        <v>24</v>
      </c>
      <c r="F11" t="b">
        <v>1</v>
      </c>
      <c r="G11">
        <v>0</v>
      </c>
      <c r="H11" t="s">
        <v>18</v>
      </c>
      <c r="I1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gen-spl:T-mgv:6-sn:1.2k</v>
      </c>
      <c r="J11" s="2">
        <v>0.57999999999999996</v>
      </c>
      <c r="K11" s="2">
        <v>0.56000000000000005</v>
      </c>
      <c r="L11" s="2">
        <v>0.56000000000000005</v>
      </c>
      <c r="M11" s="2">
        <v>0.6</v>
      </c>
      <c r="N11" s="2">
        <v>0.47</v>
      </c>
      <c r="O11" s="2">
        <v>0.5</v>
      </c>
      <c r="P11" s="2">
        <v>0.55000000000000004</v>
      </c>
      <c r="Q11" s="2">
        <v>0.61</v>
      </c>
      <c r="R11" s="2">
        <v>0.54</v>
      </c>
      <c r="S11" s="2">
        <v>0.59</v>
      </c>
      <c r="T11" s="2">
        <v>0.51</v>
      </c>
      <c r="U11" s="2">
        <v>0.53</v>
      </c>
      <c r="V11" s="2">
        <v>0.61</v>
      </c>
      <c r="W11" s="1">
        <f t="shared" si="0"/>
        <v>0.54846715528930878</v>
      </c>
      <c r="X11" s="3">
        <f t="shared" si="1"/>
        <v>33</v>
      </c>
    </row>
    <row r="12" spans="1:24" ht="25" customHeight="1">
      <c r="A12" t="s">
        <v>31</v>
      </c>
      <c r="B12">
        <v>1.2</v>
      </c>
      <c r="C12">
        <v>6</v>
      </c>
      <c r="D12">
        <v>3</v>
      </c>
      <c r="E12" t="s">
        <v>25</v>
      </c>
      <c r="F12" t="b">
        <v>0</v>
      </c>
      <c r="G12">
        <v>0</v>
      </c>
      <c r="H12" t="s">
        <v>18</v>
      </c>
      <c r="I1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cas-spl:F-mgv:6-sn:1.2k</v>
      </c>
      <c r="J12" s="2">
        <v>0.39</v>
      </c>
      <c r="K12" s="2">
        <v>0.39</v>
      </c>
      <c r="L12" s="2">
        <v>0.46</v>
      </c>
      <c r="M12" s="2">
        <v>0.38</v>
      </c>
      <c r="N12" s="2">
        <v>0.39</v>
      </c>
      <c r="O12" s="2">
        <v>0.42</v>
      </c>
      <c r="P12" s="2">
        <v>0.46</v>
      </c>
      <c r="Q12" s="2">
        <v>0.43</v>
      </c>
      <c r="R12" s="2">
        <v>0.36</v>
      </c>
      <c r="S12" s="2">
        <v>0.38</v>
      </c>
      <c r="T12" s="2">
        <v>0.36</v>
      </c>
      <c r="U12" s="2">
        <v>0.45</v>
      </c>
      <c r="V12" s="2">
        <v>0.46</v>
      </c>
      <c r="W12" s="1">
        <f t="shared" si="0"/>
        <v>0.40432847543555023</v>
      </c>
      <c r="X12" s="3">
        <f t="shared" si="1"/>
        <v>49</v>
      </c>
    </row>
    <row r="13" spans="1:24" ht="25" customHeight="1">
      <c r="A13" t="s">
        <v>31</v>
      </c>
      <c r="B13">
        <v>1.2</v>
      </c>
      <c r="C13">
        <v>6</v>
      </c>
      <c r="D13">
        <v>3</v>
      </c>
      <c r="E13" t="s">
        <v>25</v>
      </c>
      <c r="F13" t="b">
        <v>1</v>
      </c>
      <c r="G13">
        <v>0</v>
      </c>
      <c r="H13" t="s">
        <v>18</v>
      </c>
      <c r="I1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cas-spl:T-mgv:6-sn:1.2k</v>
      </c>
      <c r="J13" s="2">
        <v>0.37</v>
      </c>
      <c r="K13" s="2">
        <v>0.43</v>
      </c>
      <c r="L13" s="2">
        <v>0.5</v>
      </c>
      <c r="M13" s="2">
        <v>0.33</v>
      </c>
      <c r="N13" s="2">
        <v>0.42</v>
      </c>
      <c r="O13" s="2">
        <v>0.46</v>
      </c>
      <c r="P13" s="2">
        <v>0.4</v>
      </c>
      <c r="Q13" s="2">
        <v>0.45</v>
      </c>
      <c r="R13" s="2">
        <v>0.39</v>
      </c>
      <c r="S13" s="2">
        <v>0.38</v>
      </c>
      <c r="T13" s="2">
        <v>0.38</v>
      </c>
      <c r="U13" s="2">
        <v>0.42</v>
      </c>
      <c r="V13" s="2">
        <v>0.5</v>
      </c>
      <c r="W13" s="1">
        <f t="shared" si="0"/>
        <v>0.40850079256167005</v>
      </c>
      <c r="X13" s="3">
        <f t="shared" si="1"/>
        <v>45</v>
      </c>
    </row>
    <row r="14" spans="1:24" ht="25" customHeight="1">
      <c r="A14" t="s">
        <v>31</v>
      </c>
      <c r="B14">
        <v>1.2</v>
      </c>
      <c r="C14">
        <v>9</v>
      </c>
      <c r="D14">
        <v>1</v>
      </c>
      <c r="E14" t="s">
        <v>20</v>
      </c>
      <c r="F14" t="b">
        <v>0</v>
      </c>
      <c r="G14">
        <v>0</v>
      </c>
      <c r="H14" t="s">
        <v>18</v>
      </c>
      <c r="I1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plu-spl:F-mgv:9-sn:1.2k</v>
      </c>
      <c r="J14" s="1">
        <v>0.82</v>
      </c>
      <c r="K14" s="1">
        <v>0.82</v>
      </c>
      <c r="L14" s="1">
        <v>0.8</v>
      </c>
      <c r="M14" s="1">
        <v>0.75</v>
      </c>
      <c r="N14" s="1">
        <v>0.79</v>
      </c>
      <c r="O14" s="1">
        <v>0.84</v>
      </c>
      <c r="P14" s="1">
        <v>0.74</v>
      </c>
      <c r="Q14" s="1">
        <v>0.82</v>
      </c>
      <c r="R14" s="1">
        <v>0.88</v>
      </c>
      <c r="S14" s="1">
        <v>0.82</v>
      </c>
      <c r="T14" s="1">
        <v>0.83</v>
      </c>
      <c r="U14" s="1">
        <v>0.82</v>
      </c>
      <c r="V14" s="1">
        <v>0.88</v>
      </c>
      <c r="W14" s="1">
        <f t="shared" si="0"/>
        <v>0.81001541007606115</v>
      </c>
      <c r="X14" s="3">
        <f t="shared" si="1"/>
        <v>14</v>
      </c>
    </row>
    <row r="15" spans="1:24" ht="25" customHeight="1">
      <c r="A15" t="s">
        <v>31</v>
      </c>
      <c r="B15">
        <v>1.2</v>
      </c>
      <c r="C15">
        <v>9</v>
      </c>
      <c r="D15">
        <v>1</v>
      </c>
      <c r="E15" t="s">
        <v>20</v>
      </c>
      <c r="F15" t="b">
        <v>1</v>
      </c>
      <c r="G15">
        <v>0</v>
      </c>
      <c r="H15" t="s">
        <v>18</v>
      </c>
      <c r="I1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plu-spl:T-mgv:9-sn:1.2k</v>
      </c>
      <c r="J15" s="1">
        <v>0.84</v>
      </c>
      <c r="K15" s="1">
        <v>0.87</v>
      </c>
      <c r="L15" s="1">
        <v>0.83</v>
      </c>
      <c r="M15" s="1">
        <v>0.78</v>
      </c>
      <c r="N15" s="1">
        <v>0.82</v>
      </c>
      <c r="O15" s="1">
        <v>0.85</v>
      </c>
      <c r="P15" s="1">
        <v>0.82</v>
      </c>
      <c r="Q15" s="1">
        <v>0.85</v>
      </c>
      <c r="R15" s="1">
        <v>0.88</v>
      </c>
      <c r="S15" s="1">
        <v>0.82</v>
      </c>
      <c r="T15" s="1">
        <v>0.81</v>
      </c>
      <c r="U15" s="1">
        <v>0.84</v>
      </c>
      <c r="V15" s="1">
        <v>0.88</v>
      </c>
      <c r="W15" s="1">
        <f t="shared" si="0"/>
        <v>0.83376079184650576</v>
      </c>
      <c r="X15" s="3">
        <f t="shared" si="1"/>
        <v>5</v>
      </c>
    </row>
    <row r="16" spans="1:24" ht="25" customHeight="1">
      <c r="A16" t="s">
        <v>31</v>
      </c>
      <c r="B16">
        <v>1.2</v>
      </c>
      <c r="C16">
        <v>9</v>
      </c>
      <c r="D16">
        <v>2</v>
      </c>
      <c r="E16" t="s">
        <v>24</v>
      </c>
      <c r="F16" t="b">
        <v>0</v>
      </c>
      <c r="G16">
        <v>0</v>
      </c>
      <c r="H16" t="s">
        <v>18</v>
      </c>
      <c r="I1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gen-spl:F-mgv:9-sn:1.2k</v>
      </c>
      <c r="J16" s="2">
        <v>0.57999999999999996</v>
      </c>
      <c r="K16" s="2">
        <v>0.53</v>
      </c>
      <c r="L16" s="2">
        <v>0.61</v>
      </c>
      <c r="M16" s="2">
        <v>0.57999999999999996</v>
      </c>
      <c r="N16" s="2">
        <v>0.55000000000000004</v>
      </c>
      <c r="O16" s="2">
        <v>0.55000000000000004</v>
      </c>
      <c r="P16" s="2">
        <v>0.56000000000000005</v>
      </c>
      <c r="Q16" s="2">
        <v>0.54</v>
      </c>
      <c r="R16" s="2">
        <v>0.55000000000000004</v>
      </c>
      <c r="S16" s="2">
        <v>0.56999999999999995</v>
      </c>
      <c r="T16" s="2">
        <v>0.6</v>
      </c>
      <c r="U16" s="2">
        <v>0.55000000000000004</v>
      </c>
      <c r="V16" s="2">
        <v>0.61</v>
      </c>
      <c r="W16" s="1">
        <f t="shared" si="0"/>
        <v>0.56369393471375528</v>
      </c>
      <c r="X16" s="3">
        <f t="shared" si="1"/>
        <v>32</v>
      </c>
    </row>
    <row r="17" spans="1:24" ht="25" customHeight="1">
      <c r="A17" t="s">
        <v>31</v>
      </c>
      <c r="B17">
        <v>1.2</v>
      </c>
      <c r="C17">
        <v>9</v>
      </c>
      <c r="D17">
        <v>2</v>
      </c>
      <c r="E17" t="s">
        <v>24</v>
      </c>
      <c r="F17" t="b">
        <v>1</v>
      </c>
      <c r="G17">
        <v>0</v>
      </c>
      <c r="H17" t="s">
        <v>18</v>
      </c>
      <c r="I1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gen-spl:T-mgv:9-sn:1.2k</v>
      </c>
      <c r="J17" s="2">
        <v>0.56999999999999995</v>
      </c>
      <c r="K17" s="2">
        <v>0.54</v>
      </c>
      <c r="L17" s="2">
        <v>0.56999999999999995</v>
      </c>
      <c r="M17" s="2">
        <v>0.61</v>
      </c>
      <c r="N17" s="2">
        <v>0.55000000000000004</v>
      </c>
      <c r="O17" s="2">
        <v>0.55000000000000004</v>
      </c>
      <c r="P17" s="2">
        <v>0.56000000000000005</v>
      </c>
      <c r="Q17" s="2">
        <v>0.54</v>
      </c>
      <c r="R17" s="2">
        <v>0.61</v>
      </c>
      <c r="S17" s="2">
        <v>0.56000000000000005</v>
      </c>
      <c r="T17" s="2">
        <v>0.61</v>
      </c>
      <c r="U17" s="2">
        <v>0.57999999999999996</v>
      </c>
      <c r="V17" s="2">
        <v>0.61</v>
      </c>
      <c r="W17" s="1">
        <f t="shared" si="0"/>
        <v>0.57027983273208493</v>
      </c>
      <c r="X17" s="3">
        <f t="shared" si="1"/>
        <v>31</v>
      </c>
    </row>
    <row r="18" spans="1:24" ht="25" customHeight="1">
      <c r="A18" t="s">
        <v>31</v>
      </c>
      <c r="B18">
        <v>1.2</v>
      </c>
      <c r="C18">
        <v>9</v>
      </c>
      <c r="D18">
        <v>3</v>
      </c>
      <c r="E18" t="s">
        <v>25</v>
      </c>
      <c r="F18" t="b">
        <v>0</v>
      </c>
      <c r="G18">
        <v>0</v>
      </c>
      <c r="H18" t="s">
        <v>18</v>
      </c>
      <c r="I1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cas-spl:F-mgv:9-sn:1.2k</v>
      </c>
      <c r="J18" s="2">
        <v>0.36</v>
      </c>
      <c r="K18" s="2">
        <v>0.42</v>
      </c>
      <c r="L18" s="2">
        <v>0.37</v>
      </c>
      <c r="M18" s="2">
        <v>0.43</v>
      </c>
      <c r="N18" s="2">
        <v>0.37</v>
      </c>
      <c r="O18" s="2">
        <v>0.37</v>
      </c>
      <c r="P18" s="2">
        <v>0.38</v>
      </c>
      <c r="Q18" s="2">
        <v>0.45</v>
      </c>
      <c r="R18" s="2">
        <v>0.32</v>
      </c>
      <c r="S18" s="2">
        <v>0.43</v>
      </c>
      <c r="T18" s="2">
        <v>0.44</v>
      </c>
      <c r="U18" s="2">
        <v>0.37</v>
      </c>
      <c r="V18" s="2">
        <v>0.45</v>
      </c>
      <c r="W18" s="1">
        <f t="shared" si="0"/>
        <v>0.39060805684398275</v>
      </c>
      <c r="X18" s="3">
        <f t="shared" si="1"/>
        <v>52</v>
      </c>
    </row>
    <row r="19" spans="1:24" ht="25" customHeight="1">
      <c r="A19" t="s">
        <v>31</v>
      </c>
      <c r="B19">
        <v>1.2</v>
      </c>
      <c r="C19">
        <v>9</v>
      </c>
      <c r="D19">
        <v>3</v>
      </c>
      <c r="E19" t="s">
        <v>25</v>
      </c>
      <c r="F19" t="b">
        <v>1</v>
      </c>
      <c r="G19">
        <v>0</v>
      </c>
      <c r="H19" t="s">
        <v>18</v>
      </c>
      <c r="I1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cas-spl:T-mgv:9-sn:1.2k</v>
      </c>
      <c r="J19" s="2">
        <v>0.37</v>
      </c>
      <c r="K19" s="2">
        <v>0.35</v>
      </c>
      <c r="L19" s="2">
        <v>0.38</v>
      </c>
      <c r="M19" s="2">
        <v>0.47</v>
      </c>
      <c r="N19" s="2">
        <v>0.35</v>
      </c>
      <c r="O19" s="2">
        <v>0.33</v>
      </c>
      <c r="P19" s="2">
        <v>0.35</v>
      </c>
      <c r="Q19" s="2">
        <v>0.43</v>
      </c>
      <c r="R19" s="2">
        <v>0.32</v>
      </c>
      <c r="S19" s="2">
        <v>0.47</v>
      </c>
      <c r="T19" s="2">
        <v>0.46</v>
      </c>
      <c r="U19" s="2">
        <v>0.38</v>
      </c>
      <c r="V19" s="2">
        <v>0.47</v>
      </c>
      <c r="W19" s="1">
        <f t="shared" si="0"/>
        <v>0.38489143571381207</v>
      </c>
      <c r="X19" s="3">
        <f t="shared" si="1"/>
        <v>54</v>
      </c>
    </row>
    <row r="20" spans="1:24" ht="25" customHeight="1">
      <c r="A20" t="s">
        <v>31</v>
      </c>
      <c r="B20">
        <v>2</v>
      </c>
      <c r="C20">
        <v>3</v>
      </c>
      <c r="D20">
        <v>1</v>
      </c>
      <c r="E20" t="s">
        <v>20</v>
      </c>
      <c r="F20" t="b">
        <v>0</v>
      </c>
      <c r="G20">
        <v>0</v>
      </c>
      <c r="H20" t="s">
        <v>18</v>
      </c>
      <c r="I2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plu-spl:F-mgv:3-sn:2k</v>
      </c>
      <c r="J20" s="1">
        <v>0.82</v>
      </c>
      <c r="K20" s="1">
        <v>0.85</v>
      </c>
      <c r="L20" s="1">
        <v>0.83</v>
      </c>
      <c r="M20" s="1">
        <v>0.74</v>
      </c>
      <c r="N20" s="1">
        <v>0.79</v>
      </c>
      <c r="O20" s="1">
        <v>0.83</v>
      </c>
      <c r="P20" s="1">
        <v>0.8</v>
      </c>
      <c r="Q20" s="1">
        <v>0.79</v>
      </c>
      <c r="R20" s="1">
        <v>0.8</v>
      </c>
      <c r="S20" s="1">
        <v>0.81</v>
      </c>
      <c r="T20" s="1">
        <v>0.81</v>
      </c>
      <c r="U20" s="1">
        <v>0.81</v>
      </c>
      <c r="V20" s="1">
        <v>0.85</v>
      </c>
      <c r="W20" s="1">
        <f t="shared" si="0"/>
        <v>0.80623037809310705</v>
      </c>
      <c r="X20" s="3">
        <f t="shared" si="1"/>
        <v>16</v>
      </c>
    </row>
    <row r="21" spans="1:24" ht="25" customHeight="1">
      <c r="A21" t="s">
        <v>31</v>
      </c>
      <c r="B21">
        <v>2</v>
      </c>
      <c r="C21">
        <v>3</v>
      </c>
      <c r="D21">
        <v>1</v>
      </c>
      <c r="E21" t="s">
        <v>20</v>
      </c>
      <c r="F21" t="b">
        <v>1</v>
      </c>
      <c r="G21">
        <v>0</v>
      </c>
      <c r="H21" t="s">
        <v>18</v>
      </c>
      <c r="I2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plu-spl:T-mgv:3-sn:2k</v>
      </c>
      <c r="J21" s="1">
        <v>0.85</v>
      </c>
      <c r="K21" s="1">
        <v>0.86</v>
      </c>
      <c r="L21" s="1">
        <v>0.89</v>
      </c>
      <c r="M21" s="1">
        <v>0.77</v>
      </c>
      <c r="N21" s="1">
        <v>0.81</v>
      </c>
      <c r="O21" s="1">
        <v>0.81</v>
      </c>
      <c r="P21" s="1">
        <v>0.86</v>
      </c>
      <c r="Q21" s="1">
        <v>0.82</v>
      </c>
      <c r="R21" s="1">
        <v>0.82</v>
      </c>
      <c r="S21" s="1">
        <v>0.82</v>
      </c>
      <c r="T21" s="1">
        <v>0.81</v>
      </c>
      <c r="U21" s="1">
        <v>0.83</v>
      </c>
      <c r="V21" s="1">
        <v>0.89</v>
      </c>
      <c r="W21" s="1">
        <f t="shared" si="0"/>
        <v>0.82862100627050028</v>
      </c>
      <c r="X21" s="3">
        <f t="shared" si="1"/>
        <v>6</v>
      </c>
    </row>
    <row r="22" spans="1:24" ht="25" customHeight="1">
      <c r="A22" t="s">
        <v>31</v>
      </c>
      <c r="B22">
        <v>2</v>
      </c>
      <c r="C22">
        <v>3</v>
      </c>
      <c r="D22">
        <v>2</v>
      </c>
      <c r="E22" t="s">
        <v>24</v>
      </c>
      <c r="F22" t="b">
        <v>0</v>
      </c>
      <c r="G22">
        <v>0</v>
      </c>
      <c r="H22" t="s">
        <v>18</v>
      </c>
      <c r="I2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gen-spl:F-mgv:3-sn:2k</v>
      </c>
      <c r="J22" s="2">
        <v>0.56999999999999995</v>
      </c>
      <c r="K22" s="2">
        <v>0.61</v>
      </c>
      <c r="L22" s="2">
        <v>0.61</v>
      </c>
      <c r="M22" s="2">
        <v>0.55000000000000004</v>
      </c>
      <c r="N22" s="2">
        <v>0.56999999999999995</v>
      </c>
      <c r="O22" s="2">
        <v>0.55000000000000004</v>
      </c>
      <c r="P22" s="2">
        <v>0.57999999999999996</v>
      </c>
      <c r="Q22" s="2">
        <v>0.6</v>
      </c>
      <c r="R22" s="2">
        <v>0.56999999999999995</v>
      </c>
      <c r="S22" s="2">
        <v>0.65</v>
      </c>
      <c r="T22" s="2">
        <v>0.53</v>
      </c>
      <c r="U22" s="2">
        <v>0.56999999999999995</v>
      </c>
      <c r="V22" s="2">
        <v>0.65</v>
      </c>
      <c r="W22" s="1">
        <f t="shared" si="0"/>
        <v>0.57916780458764272</v>
      </c>
      <c r="X22" s="3">
        <f t="shared" si="1"/>
        <v>28</v>
      </c>
    </row>
    <row r="23" spans="1:24" ht="25" customHeight="1">
      <c r="A23" t="s">
        <v>31</v>
      </c>
      <c r="B23">
        <v>2</v>
      </c>
      <c r="C23">
        <v>3</v>
      </c>
      <c r="D23">
        <v>2</v>
      </c>
      <c r="E23" t="s">
        <v>24</v>
      </c>
      <c r="F23" t="b">
        <v>1</v>
      </c>
      <c r="G23">
        <v>0</v>
      </c>
      <c r="H23" t="s">
        <v>18</v>
      </c>
      <c r="I2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gen-spl:T-mgv:3-sn:2k</v>
      </c>
      <c r="J23" s="2">
        <v>0.56000000000000005</v>
      </c>
      <c r="K23" s="2">
        <v>0.61</v>
      </c>
      <c r="L23" s="2">
        <v>0.62</v>
      </c>
      <c r="M23" s="2">
        <v>0.59</v>
      </c>
      <c r="N23" s="2">
        <v>0.56999999999999995</v>
      </c>
      <c r="O23" s="2">
        <v>0.59</v>
      </c>
      <c r="P23" s="2">
        <v>0.59</v>
      </c>
      <c r="Q23" s="2">
        <v>0.6</v>
      </c>
      <c r="R23" s="2">
        <v>0.57999999999999996</v>
      </c>
      <c r="S23" s="2">
        <v>0.68</v>
      </c>
      <c r="T23" s="2">
        <v>0.55000000000000004</v>
      </c>
      <c r="U23" s="2">
        <v>0.62</v>
      </c>
      <c r="V23" s="2">
        <v>0.68</v>
      </c>
      <c r="W23" s="1">
        <f t="shared" si="0"/>
        <v>0.59579736956399043</v>
      </c>
      <c r="X23" s="3">
        <f t="shared" si="1"/>
        <v>24</v>
      </c>
    </row>
    <row r="24" spans="1:24" ht="25" customHeight="1">
      <c r="A24" t="s">
        <v>31</v>
      </c>
      <c r="B24">
        <v>2</v>
      </c>
      <c r="C24">
        <v>3</v>
      </c>
      <c r="D24">
        <v>3</v>
      </c>
      <c r="E24" t="s">
        <v>25</v>
      </c>
      <c r="F24" t="b">
        <v>0</v>
      </c>
      <c r="G24">
        <v>0</v>
      </c>
      <c r="H24" t="s">
        <v>18</v>
      </c>
      <c r="I2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cas-spl:F-mgv:3-sn:2k</v>
      </c>
      <c r="J24" s="2">
        <v>0.38</v>
      </c>
      <c r="K24" s="2">
        <v>0.36</v>
      </c>
      <c r="L24" s="2">
        <v>0.42</v>
      </c>
      <c r="M24" s="2">
        <v>0.44</v>
      </c>
      <c r="N24" s="2">
        <v>0.39</v>
      </c>
      <c r="O24" s="2">
        <v>0.42</v>
      </c>
      <c r="P24" s="2">
        <v>0.42</v>
      </c>
      <c r="Q24" s="2">
        <v>0.39</v>
      </c>
      <c r="R24" s="2">
        <v>0.4</v>
      </c>
      <c r="S24" s="2">
        <v>0.38</v>
      </c>
      <c r="T24" s="2">
        <v>0.38</v>
      </c>
      <c r="U24" s="2">
        <v>0.46</v>
      </c>
      <c r="V24" s="2">
        <v>0.46</v>
      </c>
      <c r="W24" s="1">
        <f t="shared" si="0"/>
        <v>0.40239268107345189</v>
      </c>
      <c r="X24" s="3">
        <f t="shared" si="1"/>
        <v>50</v>
      </c>
    </row>
    <row r="25" spans="1:24" ht="25" customHeight="1">
      <c r="A25" t="s">
        <v>31</v>
      </c>
      <c r="B25">
        <v>2</v>
      </c>
      <c r="C25">
        <v>3</v>
      </c>
      <c r="D25">
        <v>3</v>
      </c>
      <c r="E25" t="s">
        <v>25</v>
      </c>
      <c r="F25" t="b">
        <v>1</v>
      </c>
      <c r="G25">
        <v>0</v>
      </c>
      <c r="H25" t="s">
        <v>18</v>
      </c>
      <c r="I2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cas-spl:T-mgv:3-sn:2k</v>
      </c>
      <c r="J25" s="2">
        <v>0.42</v>
      </c>
      <c r="K25" s="2">
        <v>0.4</v>
      </c>
      <c r="L25" s="2">
        <v>0.41</v>
      </c>
      <c r="M25" s="2">
        <v>0.43</v>
      </c>
      <c r="N25" s="2">
        <v>0.41</v>
      </c>
      <c r="O25" s="2">
        <v>0.41</v>
      </c>
      <c r="P25" s="2">
        <v>0.41</v>
      </c>
      <c r="Q25" s="2">
        <v>0.41</v>
      </c>
      <c r="R25" s="2">
        <v>0.41</v>
      </c>
      <c r="S25" s="2">
        <v>0.41</v>
      </c>
      <c r="T25" s="2">
        <v>0.45</v>
      </c>
      <c r="U25" s="2">
        <v>0.45</v>
      </c>
      <c r="V25" s="2">
        <v>0.45</v>
      </c>
      <c r="W25" s="1">
        <f t="shared" si="0"/>
        <v>0.41804607171887342</v>
      </c>
      <c r="X25" s="3">
        <f t="shared" si="1"/>
        <v>41</v>
      </c>
    </row>
    <row r="26" spans="1:24" ht="25" customHeight="1">
      <c r="A26" t="s">
        <v>31</v>
      </c>
      <c r="B26">
        <v>2</v>
      </c>
      <c r="C26">
        <v>6</v>
      </c>
      <c r="D26">
        <v>1</v>
      </c>
      <c r="E26" t="s">
        <v>20</v>
      </c>
      <c r="F26" t="b">
        <v>0</v>
      </c>
      <c r="G26">
        <v>0</v>
      </c>
      <c r="H26" t="s">
        <v>18</v>
      </c>
      <c r="I2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plu-spl:F-mgv:6-sn:2k</v>
      </c>
      <c r="J26" s="1">
        <v>0.82</v>
      </c>
      <c r="K26" s="1">
        <v>0.79</v>
      </c>
      <c r="L26" s="1">
        <v>0.8</v>
      </c>
      <c r="M26" s="1">
        <v>0.85</v>
      </c>
      <c r="N26" s="1">
        <v>0.78</v>
      </c>
      <c r="O26" s="1">
        <v>0.84</v>
      </c>
      <c r="P26" s="1">
        <v>0.82</v>
      </c>
      <c r="Q26" s="1">
        <v>0.78</v>
      </c>
      <c r="R26" s="1">
        <v>0.74</v>
      </c>
      <c r="S26" s="1">
        <v>0.83</v>
      </c>
      <c r="T26" s="1">
        <v>0.8</v>
      </c>
      <c r="U26" s="1">
        <v>0.8</v>
      </c>
      <c r="V26" s="1">
        <v>0.85</v>
      </c>
      <c r="W26" s="1">
        <f t="shared" si="0"/>
        <v>0.80363744738489584</v>
      </c>
      <c r="X26" s="3">
        <f t="shared" si="1"/>
        <v>17</v>
      </c>
    </row>
    <row r="27" spans="1:24" ht="25" customHeight="1">
      <c r="A27" t="s">
        <v>31</v>
      </c>
      <c r="B27">
        <v>2</v>
      </c>
      <c r="C27">
        <v>6</v>
      </c>
      <c r="D27">
        <v>1</v>
      </c>
      <c r="E27" t="s">
        <v>20</v>
      </c>
      <c r="F27" t="b">
        <v>1</v>
      </c>
      <c r="G27">
        <v>0</v>
      </c>
      <c r="H27" t="s">
        <v>18</v>
      </c>
      <c r="I2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plu-spl:T-mgv:6-sn:2k</v>
      </c>
      <c r="J27" s="1">
        <v>0.84</v>
      </c>
      <c r="K27" s="1">
        <v>0.83</v>
      </c>
      <c r="L27" s="1">
        <v>0.8</v>
      </c>
      <c r="M27" s="1">
        <v>0.86</v>
      </c>
      <c r="N27" s="1">
        <v>0.78</v>
      </c>
      <c r="O27" s="1">
        <v>0.84</v>
      </c>
      <c r="P27" s="1">
        <v>0.86</v>
      </c>
      <c r="Q27" s="1">
        <v>0.83</v>
      </c>
      <c r="R27" s="1">
        <v>0.76</v>
      </c>
      <c r="S27" s="1">
        <v>0.83</v>
      </c>
      <c r="T27" s="1">
        <v>0.81</v>
      </c>
      <c r="U27" s="1">
        <v>0.79</v>
      </c>
      <c r="V27" s="1">
        <v>0.86</v>
      </c>
      <c r="W27" s="1">
        <f t="shared" si="0"/>
        <v>0.81860615109276702</v>
      </c>
      <c r="X27" s="3">
        <f t="shared" si="1"/>
        <v>11</v>
      </c>
    </row>
    <row r="28" spans="1:24" ht="25" customHeight="1">
      <c r="A28" t="s">
        <v>31</v>
      </c>
      <c r="B28">
        <v>2</v>
      </c>
      <c r="C28">
        <v>6</v>
      </c>
      <c r="D28">
        <v>2</v>
      </c>
      <c r="E28" t="s">
        <v>24</v>
      </c>
      <c r="F28" t="b">
        <v>0</v>
      </c>
      <c r="G28">
        <v>0</v>
      </c>
      <c r="H28" t="s">
        <v>18</v>
      </c>
      <c r="I2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gen-spl:F-mgv:6-sn:2k</v>
      </c>
      <c r="J28" s="2">
        <v>0.6</v>
      </c>
      <c r="K28" s="2">
        <v>0.55000000000000004</v>
      </c>
      <c r="L28" s="2">
        <v>0.54</v>
      </c>
      <c r="M28" s="2">
        <v>0.6</v>
      </c>
      <c r="N28" s="2">
        <v>0.59</v>
      </c>
      <c r="O28" s="2">
        <v>0.56999999999999995</v>
      </c>
      <c r="P28" s="2">
        <v>0.57999999999999996</v>
      </c>
      <c r="Q28" s="2">
        <v>0.56000000000000005</v>
      </c>
      <c r="R28" s="2">
        <v>0.61</v>
      </c>
      <c r="S28" s="2">
        <v>0.6</v>
      </c>
      <c r="T28" s="2">
        <v>0.56000000000000005</v>
      </c>
      <c r="U28" s="2">
        <v>0.56999999999999995</v>
      </c>
      <c r="V28" s="2">
        <v>0.61</v>
      </c>
      <c r="W28" s="1">
        <f t="shared" si="0"/>
        <v>0.5770925713065852</v>
      </c>
      <c r="X28" s="3">
        <f t="shared" si="1"/>
        <v>30</v>
      </c>
    </row>
    <row r="29" spans="1:24" ht="25" customHeight="1">
      <c r="A29" t="s">
        <v>31</v>
      </c>
      <c r="B29">
        <v>2</v>
      </c>
      <c r="C29">
        <v>6</v>
      </c>
      <c r="D29">
        <v>2</v>
      </c>
      <c r="E29" t="s">
        <v>24</v>
      </c>
      <c r="F29" t="b">
        <v>1</v>
      </c>
      <c r="G29">
        <v>0</v>
      </c>
      <c r="H29" t="s">
        <v>18</v>
      </c>
      <c r="I2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gen-spl:T-mgv:6-sn:2k</v>
      </c>
      <c r="J29" s="2">
        <v>0.64</v>
      </c>
      <c r="K29" s="2">
        <v>0.56999999999999995</v>
      </c>
      <c r="L29" s="2">
        <v>0.59</v>
      </c>
      <c r="M29" s="2">
        <v>0.65</v>
      </c>
      <c r="N29" s="2">
        <v>0.56000000000000005</v>
      </c>
      <c r="O29" s="2">
        <v>0.52</v>
      </c>
      <c r="P29" s="2">
        <v>0.63</v>
      </c>
      <c r="Q29" s="2">
        <v>0.56999999999999995</v>
      </c>
      <c r="R29" s="2">
        <v>0.62</v>
      </c>
      <c r="S29" s="2">
        <v>0.6</v>
      </c>
      <c r="T29" s="2">
        <v>0.6</v>
      </c>
      <c r="U29" s="2">
        <v>0.57999999999999996</v>
      </c>
      <c r="V29" s="2">
        <v>0.65</v>
      </c>
      <c r="W29" s="1">
        <f t="shared" si="0"/>
        <v>0.59307884046571024</v>
      </c>
      <c r="X29" s="3">
        <f t="shared" si="1"/>
        <v>26</v>
      </c>
    </row>
    <row r="30" spans="1:24" ht="25" customHeight="1">
      <c r="A30" t="s">
        <v>31</v>
      </c>
      <c r="B30">
        <v>2</v>
      </c>
      <c r="C30">
        <v>6</v>
      </c>
      <c r="D30">
        <v>3</v>
      </c>
      <c r="E30" t="s">
        <v>25</v>
      </c>
      <c r="F30" t="b">
        <v>0</v>
      </c>
      <c r="G30">
        <v>0</v>
      </c>
      <c r="H30" t="s">
        <v>18</v>
      </c>
      <c r="I3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cas-spl:F-mgv:6-sn:2k</v>
      </c>
      <c r="J30" s="2">
        <v>0.42</v>
      </c>
      <c r="K30" s="2">
        <v>0.43</v>
      </c>
      <c r="L30" s="2">
        <v>0.36</v>
      </c>
      <c r="M30" s="2">
        <v>0.4</v>
      </c>
      <c r="N30" s="2">
        <v>0.46</v>
      </c>
      <c r="O30" s="2">
        <v>0.4</v>
      </c>
      <c r="P30" s="2">
        <v>0.39</v>
      </c>
      <c r="Q30" s="2">
        <v>0.45</v>
      </c>
      <c r="R30" s="2">
        <v>0.35</v>
      </c>
      <c r="S30" s="2">
        <v>0.41</v>
      </c>
      <c r="T30" s="2">
        <v>0.46</v>
      </c>
      <c r="U30" s="2">
        <v>0.36</v>
      </c>
      <c r="V30" s="2">
        <v>0.46</v>
      </c>
      <c r="W30" s="1">
        <f t="shared" si="0"/>
        <v>0.40582670128130255</v>
      </c>
      <c r="X30" s="3">
        <f t="shared" si="1"/>
        <v>48</v>
      </c>
    </row>
    <row r="31" spans="1:24" ht="25" customHeight="1">
      <c r="A31" t="s">
        <v>31</v>
      </c>
      <c r="B31">
        <v>2</v>
      </c>
      <c r="C31">
        <v>6</v>
      </c>
      <c r="D31">
        <v>3</v>
      </c>
      <c r="E31" t="s">
        <v>25</v>
      </c>
      <c r="F31" t="b">
        <v>1</v>
      </c>
      <c r="G31">
        <v>0</v>
      </c>
      <c r="H31" t="s">
        <v>18</v>
      </c>
      <c r="I3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cas-spl:T-mgv:6-sn:2k</v>
      </c>
      <c r="J31" s="2">
        <v>0.4</v>
      </c>
      <c r="K31" s="2">
        <v>0.43</v>
      </c>
      <c r="L31" s="2">
        <v>0.41</v>
      </c>
      <c r="M31" s="2">
        <v>0.39</v>
      </c>
      <c r="N31" s="2">
        <v>0.46</v>
      </c>
      <c r="O31" s="2">
        <v>0.42</v>
      </c>
      <c r="P31" s="2">
        <v>0.39</v>
      </c>
      <c r="Q31" s="2">
        <v>0.43</v>
      </c>
      <c r="R31" s="2">
        <v>0.38</v>
      </c>
      <c r="S31" s="2">
        <v>0.42</v>
      </c>
      <c r="T31" s="2">
        <v>0.45</v>
      </c>
      <c r="U31" s="2">
        <v>0.36</v>
      </c>
      <c r="V31" s="2">
        <v>0.46</v>
      </c>
      <c r="W31" s="1">
        <f t="shared" si="0"/>
        <v>0.41071328395900258</v>
      </c>
      <c r="X31" s="3">
        <f t="shared" si="1"/>
        <v>43</v>
      </c>
    </row>
    <row r="32" spans="1:24" ht="25" customHeight="1">
      <c r="A32" t="s">
        <v>31</v>
      </c>
      <c r="B32">
        <v>2</v>
      </c>
      <c r="C32">
        <v>9</v>
      </c>
      <c r="D32">
        <v>1</v>
      </c>
      <c r="E32" t="s">
        <v>20</v>
      </c>
      <c r="F32" t="b">
        <v>0</v>
      </c>
      <c r="G32">
        <v>0</v>
      </c>
      <c r="H32" t="s">
        <v>18</v>
      </c>
      <c r="I3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plu-spl:F-mgv:9-sn:2k</v>
      </c>
      <c r="J32" s="1">
        <v>0.85</v>
      </c>
      <c r="K32" s="1">
        <v>0.81</v>
      </c>
      <c r="L32" s="1">
        <v>0.83</v>
      </c>
      <c r="M32" s="1">
        <v>0.78</v>
      </c>
      <c r="N32" s="1">
        <v>0.82</v>
      </c>
      <c r="O32" s="1">
        <v>0.82</v>
      </c>
      <c r="P32" s="1">
        <v>0.8</v>
      </c>
      <c r="Q32" s="1">
        <v>0.83</v>
      </c>
      <c r="R32" s="1">
        <v>0.83</v>
      </c>
      <c r="S32" s="1">
        <v>0.82</v>
      </c>
      <c r="T32" s="1">
        <v>0.83</v>
      </c>
      <c r="U32" s="1">
        <v>0.8</v>
      </c>
      <c r="V32" s="1">
        <v>0.85</v>
      </c>
      <c r="W32" s="1">
        <f t="shared" si="0"/>
        <v>0.8181401460977219</v>
      </c>
      <c r="X32" s="3">
        <f t="shared" si="1"/>
        <v>12</v>
      </c>
    </row>
    <row r="33" spans="1:24" ht="25" customHeight="1">
      <c r="A33" t="s">
        <v>31</v>
      </c>
      <c r="B33">
        <v>2</v>
      </c>
      <c r="C33">
        <v>9</v>
      </c>
      <c r="D33">
        <v>1</v>
      </c>
      <c r="E33" t="s">
        <v>20</v>
      </c>
      <c r="F33" t="b">
        <v>1</v>
      </c>
      <c r="G33">
        <v>0</v>
      </c>
      <c r="H33" t="s">
        <v>18</v>
      </c>
      <c r="I3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plu-spl:T-mgv:9-sn:2k</v>
      </c>
      <c r="J33" s="1">
        <v>0.9</v>
      </c>
      <c r="K33" s="1">
        <v>0.88</v>
      </c>
      <c r="L33" s="1">
        <v>0.86</v>
      </c>
      <c r="M33" s="1">
        <v>0.84</v>
      </c>
      <c r="N33" s="1">
        <v>0.83</v>
      </c>
      <c r="O33" s="1">
        <v>0.83</v>
      </c>
      <c r="P33" s="1">
        <v>0.86</v>
      </c>
      <c r="Q33" s="1">
        <v>0.88</v>
      </c>
      <c r="R33" s="1">
        <v>0.87</v>
      </c>
      <c r="S33" s="1">
        <v>0.84</v>
      </c>
      <c r="T33" s="1">
        <v>0.84</v>
      </c>
      <c r="U33" s="1">
        <v>0.78</v>
      </c>
      <c r="V33" s="1">
        <v>0.9</v>
      </c>
      <c r="W33" s="1">
        <f t="shared" si="0"/>
        <v>0.85029127203334887</v>
      </c>
      <c r="X33" s="3">
        <f t="shared" si="1"/>
        <v>2</v>
      </c>
    </row>
    <row r="34" spans="1:24" ht="25" customHeight="1">
      <c r="A34" t="s">
        <v>31</v>
      </c>
      <c r="B34">
        <v>2</v>
      </c>
      <c r="C34">
        <v>9</v>
      </c>
      <c r="D34">
        <v>2</v>
      </c>
      <c r="E34" t="s">
        <v>24</v>
      </c>
      <c r="F34" t="b">
        <v>0</v>
      </c>
      <c r="G34">
        <v>0</v>
      </c>
      <c r="H34" t="s">
        <v>18</v>
      </c>
      <c r="I3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gen-spl:F-mgv:9-sn:2k</v>
      </c>
      <c r="J34" s="2">
        <v>0.57999999999999996</v>
      </c>
      <c r="K34" s="2">
        <v>0.56999999999999995</v>
      </c>
      <c r="L34" s="2">
        <v>0.6</v>
      </c>
      <c r="M34" s="2">
        <v>0.53</v>
      </c>
      <c r="N34" s="2">
        <v>0.61</v>
      </c>
      <c r="O34" s="2">
        <v>0.62</v>
      </c>
      <c r="P34" s="2">
        <v>0.54</v>
      </c>
      <c r="Q34" s="2">
        <v>0.6</v>
      </c>
      <c r="R34" s="2">
        <v>0.59</v>
      </c>
      <c r="S34" s="2">
        <v>0.56999999999999995</v>
      </c>
      <c r="T34" s="2">
        <v>0.62</v>
      </c>
      <c r="U34" s="2">
        <v>0.53</v>
      </c>
      <c r="V34" s="2">
        <v>0.62</v>
      </c>
      <c r="W34" s="1">
        <f t="shared" ref="W34:W55" si="2">_xlfn.LET(_xlpm.d,$J34:$U34,GEOMEAN(_xlpm.d))</f>
        <v>0.57913868747149566</v>
      </c>
      <c r="X34" s="3">
        <f t="shared" ref="X34:X55" si="3">_xlfn.LET(_xlpm.x,W34,_xlpm.r,W$2:W$55,RANK(_xlpm.x,_xlpm.r))</f>
        <v>29</v>
      </c>
    </row>
    <row r="35" spans="1:24" ht="25" customHeight="1">
      <c r="A35" t="s">
        <v>31</v>
      </c>
      <c r="B35">
        <v>2</v>
      </c>
      <c r="C35">
        <v>9</v>
      </c>
      <c r="D35">
        <v>2</v>
      </c>
      <c r="E35" t="s">
        <v>24</v>
      </c>
      <c r="F35" t="b">
        <v>1</v>
      </c>
      <c r="G35">
        <v>0</v>
      </c>
      <c r="H35" t="s">
        <v>18</v>
      </c>
      <c r="I3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gen-spl:T-mgv:9-sn:2k</v>
      </c>
      <c r="J35" s="2">
        <v>0.59</v>
      </c>
      <c r="K35" s="2">
        <v>0.57999999999999996</v>
      </c>
      <c r="L35" s="2">
        <v>0.62</v>
      </c>
      <c r="M35" s="2">
        <v>0.6</v>
      </c>
      <c r="N35" s="2">
        <v>0.6</v>
      </c>
      <c r="O35" s="2">
        <v>0.6</v>
      </c>
      <c r="P35" s="2">
        <v>0.63</v>
      </c>
      <c r="Q35" s="2">
        <v>0.61</v>
      </c>
      <c r="R35" s="2">
        <v>0.6</v>
      </c>
      <c r="S35" s="2">
        <v>0.61</v>
      </c>
      <c r="T35" s="2">
        <v>0.63</v>
      </c>
      <c r="U35" s="2">
        <v>0.52</v>
      </c>
      <c r="V35" s="2">
        <v>0.63</v>
      </c>
      <c r="W35" s="1">
        <f t="shared" si="2"/>
        <v>0.59848288334670841</v>
      </c>
      <c r="X35" s="3">
        <f t="shared" si="3"/>
        <v>21</v>
      </c>
    </row>
    <row r="36" spans="1:24" ht="25" customHeight="1">
      <c r="A36" t="s">
        <v>31</v>
      </c>
      <c r="B36">
        <v>2</v>
      </c>
      <c r="C36">
        <v>9</v>
      </c>
      <c r="D36">
        <v>3</v>
      </c>
      <c r="E36" t="s">
        <v>25</v>
      </c>
      <c r="F36" t="b">
        <v>0</v>
      </c>
      <c r="G36">
        <v>0</v>
      </c>
      <c r="H36" t="s">
        <v>18</v>
      </c>
      <c r="I3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cas-spl:F-mgv:9-sn:2k</v>
      </c>
      <c r="J36" s="2">
        <v>0.39</v>
      </c>
      <c r="K36" s="2">
        <v>0.38</v>
      </c>
      <c r="L36" s="2">
        <v>0.4</v>
      </c>
      <c r="M36" s="2">
        <v>0.41</v>
      </c>
      <c r="N36" s="2">
        <v>0.41</v>
      </c>
      <c r="O36" s="2">
        <v>0.47</v>
      </c>
      <c r="P36" s="2">
        <v>0.42</v>
      </c>
      <c r="Q36" s="2">
        <v>0.42</v>
      </c>
      <c r="R36" s="2">
        <v>0.41</v>
      </c>
      <c r="S36" s="2">
        <v>0.39</v>
      </c>
      <c r="T36" s="2">
        <v>0.39</v>
      </c>
      <c r="U36" s="2">
        <v>0.42</v>
      </c>
      <c r="V36" s="2">
        <v>0.47</v>
      </c>
      <c r="W36" s="1">
        <f t="shared" si="2"/>
        <v>0.40857290173720023</v>
      </c>
      <c r="X36" s="3">
        <f t="shared" si="3"/>
        <v>44</v>
      </c>
    </row>
    <row r="37" spans="1:24" ht="25" customHeight="1">
      <c r="A37" t="s">
        <v>31</v>
      </c>
      <c r="B37">
        <v>2</v>
      </c>
      <c r="C37">
        <v>9</v>
      </c>
      <c r="D37">
        <v>3</v>
      </c>
      <c r="E37" t="s">
        <v>25</v>
      </c>
      <c r="F37" t="b">
        <v>1</v>
      </c>
      <c r="G37">
        <v>0</v>
      </c>
      <c r="H37" t="s">
        <v>18</v>
      </c>
      <c r="I3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cas-spl:T-mgv:9-sn:2k</v>
      </c>
      <c r="J37" s="2">
        <v>0.42</v>
      </c>
      <c r="K37" s="2">
        <v>0.41</v>
      </c>
      <c r="L37" s="2">
        <v>0.4</v>
      </c>
      <c r="M37" s="2">
        <v>0.41</v>
      </c>
      <c r="N37" s="2">
        <v>0.42</v>
      </c>
      <c r="O37" s="2">
        <v>0.45</v>
      </c>
      <c r="P37" s="2">
        <v>0.4</v>
      </c>
      <c r="Q37" s="2">
        <v>0.47</v>
      </c>
      <c r="R37" s="2">
        <v>0.45</v>
      </c>
      <c r="S37" s="2">
        <v>0.4</v>
      </c>
      <c r="T37" s="2">
        <v>0.4</v>
      </c>
      <c r="U37" s="2">
        <v>0.43</v>
      </c>
      <c r="V37" s="2">
        <v>0.47</v>
      </c>
      <c r="W37" s="1">
        <f t="shared" si="2"/>
        <v>0.42107371636501295</v>
      </c>
      <c r="X37" s="3">
        <f t="shared" si="3"/>
        <v>39</v>
      </c>
    </row>
    <row r="38" spans="1:24" ht="25" customHeight="1">
      <c r="A38" t="s">
        <v>31</v>
      </c>
      <c r="B38">
        <v>3</v>
      </c>
      <c r="C38">
        <v>3</v>
      </c>
      <c r="D38">
        <v>1</v>
      </c>
      <c r="E38" t="s">
        <v>20</v>
      </c>
      <c r="F38" t="b">
        <v>0</v>
      </c>
      <c r="G38">
        <v>0</v>
      </c>
      <c r="H38" t="s">
        <v>18</v>
      </c>
      <c r="I3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plu-spl:F-mgv:3-sn:3k</v>
      </c>
      <c r="J38" s="1">
        <v>0.81</v>
      </c>
      <c r="K38" s="1">
        <v>0.86</v>
      </c>
      <c r="L38" s="1">
        <v>0.83</v>
      </c>
      <c r="M38" s="1">
        <v>0.82</v>
      </c>
      <c r="N38" s="1">
        <v>0.82</v>
      </c>
      <c r="O38" s="1">
        <v>0.82</v>
      </c>
      <c r="P38" s="1">
        <v>0.81</v>
      </c>
      <c r="Q38" s="1">
        <v>0.8</v>
      </c>
      <c r="R38" s="1">
        <v>0.8</v>
      </c>
      <c r="S38" s="1">
        <v>0.81</v>
      </c>
      <c r="T38" s="1">
        <v>0.85</v>
      </c>
      <c r="U38" s="1">
        <v>0.81</v>
      </c>
      <c r="V38" s="1">
        <v>0.86</v>
      </c>
      <c r="W38" s="1">
        <f t="shared" si="2"/>
        <v>0.81980976998757971</v>
      </c>
      <c r="X38" s="3">
        <f t="shared" si="3"/>
        <v>10</v>
      </c>
    </row>
    <row r="39" spans="1:24" ht="25" customHeight="1">
      <c r="A39" t="s">
        <v>31</v>
      </c>
      <c r="B39">
        <v>3</v>
      </c>
      <c r="C39">
        <v>3</v>
      </c>
      <c r="D39">
        <v>1</v>
      </c>
      <c r="E39" t="s">
        <v>20</v>
      </c>
      <c r="F39" t="b">
        <v>1</v>
      </c>
      <c r="G39">
        <v>0</v>
      </c>
      <c r="H39" t="s">
        <v>18</v>
      </c>
      <c r="I3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plu-spl:T-mgv:3-sn:3k</v>
      </c>
      <c r="J39" s="1">
        <v>0.85</v>
      </c>
      <c r="K39" s="1">
        <v>0.89</v>
      </c>
      <c r="L39" s="1">
        <v>0.85</v>
      </c>
      <c r="M39" s="1">
        <v>0.82</v>
      </c>
      <c r="N39" s="1">
        <v>0.84</v>
      </c>
      <c r="O39" s="1">
        <v>0.85</v>
      </c>
      <c r="P39" s="1">
        <v>0.83</v>
      </c>
      <c r="Q39" s="1">
        <v>0.82</v>
      </c>
      <c r="R39" s="1">
        <v>0.85</v>
      </c>
      <c r="S39" s="1">
        <v>0.85</v>
      </c>
      <c r="T39" s="1">
        <v>0.85</v>
      </c>
      <c r="U39" s="1">
        <v>0.81</v>
      </c>
      <c r="V39" s="1">
        <v>0.89</v>
      </c>
      <c r="W39" s="1">
        <f t="shared" si="2"/>
        <v>0.84226315976798949</v>
      </c>
      <c r="X39" s="3">
        <f t="shared" si="3"/>
        <v>4</v>
      </c>
    </row>
    <row r="40" spans="1:24" ht="25" customHeight="1">
      <c r="A40" t="s">
        <v>31</v>
      </c>
      <c r="B40">
        <v>3</v>
      </c>
      <c r="C40">
        <v>3</v>
      </c>
      <c r="D40">
        <v>2</v>
      </c>
      <c r="E40" t="s">
        <v>24</v>
      </c>
      <c r="F40" t="b">
        <v>0</v>
      </c>
      <c r="G40">
        <v>0</v>
      </c>
      <c r="H40" t="s">
        <v>18</v>
      </c>
      <c r="I4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gen-spl:F-mgv:3-sn:3k</v>
      </c>
      <c r="J40" s="2">
        <v>0.59</v>
      </c>
      <c r="K40" s="2">
        <v>0.6</v>
      </c>
      <c r="L40" s="2">
        <v>0.66</v>
      </c>
      <c r="M40" s="2">
        <v>0.54</v>
      </c>
      <c r="N40" s="2">
        <v>0.62</v>
      </c>
      <c r="O40" s="2">
        <v>0.63</v>
      </c>
      <c r="P40" s="2">
        <v>0.56999999999999995</v>
      </c>
      <c r="Q40" s="2">
        <v>0.62</v>
      </c>
      <c r="R40" s="2">
        <v>0.57999999999999996</v>
      </c>
      <c r="S40" s="2">
        <v>0.63</v>
      </c>
      <c r="T40" s="2">
        <v>0.6</v>
      </c>
      <c r="U40" s="2">
        <v>0.57999999999999996</v>
      </c>
      <c r="V40" s="2">
        <v>0.66</v>
      </c>
      <c r="W40" s="1">
        <f t="shared" si="2"/>
        <v>0.60086092317085327</v>
      </c>
      <c r="X40" s="3">
        <f t="shared" si="3"/>
        <v>20</v>
      </c>
    </row>
    <row r="41" spans="1:24" ht="25" customHeight="1">
      <c r="A41" t="s">
        <v>31</v>
      </c>
      <c r="B41">
        <v>3</v>
      </c>
      <c r="C41">
        <v>3</v>
      </c>
      <c r="D41">
        <v>2</v>
      </c>
      <c r="E41" t="s">
        <v>24</v>
      </c>
      <c r="F41" t="b">
        <v>1</v>
      </c>
      <c r="G41">
        <v>0</v>
      </c>
      <c r="H41" t="s">
        <v>18</v>
      </c>
      <c r="I4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gen-spl:T-mgv:3-sn:3k</v>
      </c>
      <c r="J41" s="2">
        <v>0.63</v>
      </c>
      <c r="K41" s="2">
        <v>0.61</v>
      </c>
      <c r="L41" s="2">
        <v>0.66</v>
      </c>
      <c r="M41" s="2">
        <v>0.62</v>
      </c>
      <c r="N41" s="2">
        <v>0.61</v>
      </c>
      <c r="O41" s="2">
        <v>0.6</v>
      </c>
      <c r="P41" s="2">
        <v>0.61</v>
      </c>
      <c r="Q41" s="2">
        <v>0.62</v>
      </c>
      <c r="R41" s="2">
        <v>0.64</v>
      </c>
      <c r="S41" s="2">
        <v>0.64</v>
      </c>
      <c r="T41" s="2">
        <v>0.59</v>
      </c>
      <c r="U41" s="2">
        <v>0.61</v>
      </c>
      <c r="V41" s="2">
        <v>0.66</v>
      </c>
      <c r="W41" s="1">
        <f t="shared" si="2"/>
        <v>0.61972050747032448</v>
      </c>
      <c r="X41" s="3">
        <f t="shared" si="3"/>
        <v>19</v>
      </c>
    </row>
    <row r="42" spans="1:24" ht="25" customHeight="1">
      <c r="A42" t="s">
        <v>31</v>
      </c>
      <c r="B42">
        <v>3</v>
      </c>
      <c r="C42">
        <v>3</v>
      </c>
      <c r="D42">
        <v>3</v>
      </c>
      <c r="E42" t="s">
        <v>25</v>
      </c>
      <c r="F42" t="b">
        <v>0</v>
      </c>
      <c r="G42">
        <v>0</v>
      </c>
      <c r="H42" t="s">
        <v>18</v>
      </c>
      <c r="I4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cas-spl:F-mgv:3-sn:3k</v>
      </c>
      <c r="J42" s="2">
        <v>0.4</v>
      </c>
      <c r="K42" s="2">
        <v>0.38</v>
      </c>
      <c r="L42" s="2">
        <v>0.42</v>
      </c>
      <c r="M42" s="2">
        <v>0.46</v>
      </c>
      <c r="N42" s="2">
        <v>0.39</v>
      </c>
      <c r="O42" s="2">
        <v>0.4</v>
      </c>
      <c r="P42" s="2">
        <v>0.38</v>
      </c>
      <c r="Q42" s="2">
        <v>0.41</v>
      </c>
      <c r="R42" s="2">
        <v>0.42</v>
      </c>
      <c r="S42" s="2">
        <v>0.47</v>
      </c>
      <c r="T42" s="2">
        <v>0.44</v>
      </c>
      <c r="U42" s="2">
        <v>0.41</v>
      </c>
      <c r="V42" s="2">
        <v>0.47</v>
      </c>
      <c r="W42" s="1">
        <f t="shared" si="2"/>
        <v>0.41408916815574037</v>
      </c>
      <c r="X42" s="3">
        <f t="shared" si="3"/>
        <v>42</v>
      </c>
    </row>
    <row r="43" spans="1:24" ht="25" customHeight="1">
      <c r="A43" t="s">
        <v>31</v>
      </c>
      <c r="B43">
        <v>3</v>
      </c>
      <c r="C43">
        <v>3</v>
      </c>
      <c r="D43">
        <v>3</v>
      </c>
      <c r="E43" t="s">
        <v>25</v>
      </c>
      <c r="F43" t="b">
        <v>1</v>
      </c>
      <c r="G43">
        <v>0</v>
      </c>
      <c r="H43" t="s">
        <v>18</v>
      </c>
      <c r="I4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cas-spl:T-mgv:3-sn:3k</v>
      </c>
      <c r="J43" s="2">
        <v>0.44</v>
      </c>
      <c r="K43" s="2">
        <v>0.39</v>
      </c>
      <c r="L43" s="2">
        <v>0.41</v>
      </c>
      <c r="M43" s="2">
        <v>0.46</v>
      </c>
      <c r="N43" s="2">
        <v>0.4</v>
      </c>
      <c r="O43" s="2">
        <v>0.39</v>
      </c>
      <c r="P43" s="2">
        <v>0.46</v>
      </c>
      <c r="Q43" s="2">
        <v>0.42</v>
      </c>
      <c r="R43" s="2">
        <v>0.41</v>
      </c>
      <c r="S43" s="2">
        <v>0.45</v>
      </c>
      <c r="T43" s="2">
        <v>0.43</v>
      </c>
      <c r="U43" s="2">
        <v>0.41</v>
      </c>
      <c r="V43" s="2">
        <v>0.46</v>
      </c>
      <c r="W43" s="1">
        <f t="shared" si="2"/>
        <v>0.42181298800271749</v>
      </c>
      <c r="X43" s="3">
        <f t="shared" si="3"/>
        <v>38</v>
      </c>
    </row>
    <row r="44" spans="1:24" ht="25" customHeight="1">
      <c r="A44" t="s">
        <v>31</v>
      </c>
      <c r="B44">
        <v>3</v>
      </c>
      <c r="C44">
        <v>6</v>
      </c>
      <c r="D44">
        <v>1</v>
      </c>
      <c r="E44" t="s">
        <v>20</v>
      </c>
      <c r="F44" t="b">
        <v>0</v>
      </c>
      <c r="G44">
        <v>0</v>
      </c>
      <c r="H44" t="s">
        <v>18</v>
      </c>
      <c r="I4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plu-spl:F-mgv:6-sn:3k</v>
      </c>
      <c r="J44" s="1">
        <v>0.76</v>
      </c>
      <c r="K44" s="1">
        <v>0.81</v>
      </c>
      <c r="L44" s="1">
        <v>0.79</v>
      </c>
      <c r="M44" s="1">
        <v>0.84</v>
      </c>
      <c r="N44" s="1">
        <v>0.78</v>
      </c>
      <c r="O44" s="1">
        <v>0.79</v>
      </c>
      <c r="P44" s="1">
        <v>0.84</v>
      </c>
      <c r="Q44" s="1">
        <v>0.82</v>
      </c>
      <c r="R44" s="1">
        <v>0.83</v>
      </c>
      <c r="S44" s="1">
        <v>0.83</v>
      </c>
      <c r="T44" s="1">
        <v>0.84</v>
      </c>
      <c r="U44" s="1">
        <v>0.83</v>
      </c>
      <c r="V44" s="1">
        <v>0.84</v>
      </c>
      <c r="W44" s="1">
        <f t="shared" si="2"/>
        <v>0.81291371107398602</v>
      </c>
      <c r="X44" s="3">
        <f t="shared" si="3"/>
        <v>13</v>
      </c>
    </row>
    <row r="45" spans="1:24" ht="25" customHeight="1">
      <c r="A45" t="s">
        <v>31</v>
      </c>
      <c r="B45">
        <v>3</v>
      </c>
      <c r="C45">
        <v>6</v>
      </c>
      <c r="D45">
        <v>1</v>
      </c>
      <c r="E45" t="s">
        <v>20</v>
      </c>
      <c r="F45" t="b">
        <v>1</v>
      </c>
      <c r="G45">
        <v>0</v>
      </c>
      <c r="H45" t="s">
        <v>18</v>
      </c>
      <c r="I4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plu-spl:T-mgv:6-sn:3k</v>
      </c>
      <c r="J45" s="1">
        <v>0.78</v>
      </c>
      <c r="K45" s="1">
        <v>0.87</v>
      </c>
      <c r="L45" s="1">
        <v>0.81</v>
      </c>
      <c r="M45" s="1">
        <v>0.84</v>
      </c>
      <c r="N45" s="1">
        <v>0.8</v>
      </c>
      <c r="O45" s="1">
        <v>0.77</v>
      </c>
      <c r="P45" s="1">
        <v>0.87</v>
      </c>
      <c r="Q45" s="1">
        <v>0.86</v>
      </c>
      <c r="R45" s="1">
        <v>0.85</v>
      </c>
      <c r="S45" s="1">
        <v>0.84</v>
      </c>
      <c r="T45" s="1">
        <v>0.84</v>
      </c>
      <c r="U45" s="1">
        <v>0.82</v>
      </c>
      <c r="V45" s="1">
        <v>0.87</v>
      </c>
      <c r="W45" s="1">
        <f t="shared" si="2"/>
        <v>0.82854098036788038</v>
      </c>
      <c r="X45" s="3">
        <f t="shared" si="3"/>
        <v>7</v>
      </c>
    </row>
    <row r="46" spans="1:24" ht="25" customHeight="1">
      <c r="A46" t="s">
        <v>31</v>
      </c>
      <c r="B46">
        <v>3</v>
      </c>
      <c r="C46">
        <v>6</v>
      </c>
      <c r="D46">
        <v>2</v>
      </c>
      <c r="E46" t="s">
        <v>24</v>
      </c>
      <c r="F46" t="b">
        <v>0</v>
      </c>
      <c r="G46">
        <v>0</v>
      </c>
      <c r="H46" t="s">
        <v>18</v>
      </c>
      <c r="I4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gen-spl:F-mgv:6-sn:3k</v>
      </c>
      <c r="J46" s="2">
        <v>0.56999999999999995</v>
      </c>
      <c r="K46" s="2">
        <v>0.56999999999999995</v>
      </c>
      <c r="L46" s="2">
        <v>0.56999999999999995</v>
      </c>
      <c r="M46" s="2">
        <v>0.59</v>
      </c>
      <c r="N46" s="2">
        <v>0.56000000000000005</v>
      </c>
      <c r="O46" s="2">
        <v>0.56999999999999995</v>
      </c>
      <c r="P46" s="2">
        <v>0.57999999999999996</v>
      </c>
      <c r="Q46" s="2">
        <v>0.59</v>
      </c>
      <c r="R46" s="2">
        <v>0.61</v>
      </c>
      <c r="S46" s="2">
        <v>0.6</v>
      </c>
      <c r="T46" s="2">
        <v>0.61</v>
      </c>
      <c r="U46" s="2">
        <v>0.55000000000000004</v>
      </c>
      <c r="V46" s="2">
        <v>0.61</v>
      </c>
      <c r="W46" s="1">
        <f t="shared" si="2"/>
        <v>0.58054081244731437</v>
      </c>
      <c r="X46" s="3">
        <f t="shared" si="3"/>
        <v>27</v>
      </c>
    </row>
    <row r="47" spans="1:24" ht="25" customHeight="1">
      <c r="A47" t="s">
        <v>31</v>
      </c>
      <c r="B47">
        <v>3</v>
      </c>
      <c r="C47">
        <v>6</v>
      </c>
      <c r="D47">
        <v>2</v>
      </c>
      <c r="E47" t="s">
        <v>24</v>
      </c>
      <c r="F47" t="b">
        <v>1</v>
      </c>
      <c r="G47">
        <v>0</v>
      </c>
      <c r="H47" t="s">
        <v>18</v>
      </c>
      <c r="I4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gen-spl:T-mgv:6-sn:3k</v>
      </c>
      <c r="J47" s="2">
        <v>0.57999999999999996</v>
      </c>
      <c r="K47" s="2">
        <v>0.57999999999999996</v>
      </c>
      <c r="L47" s="2">
        <v>0.61</v>
      </c>
      <c r="M47" s="2">
        <v>0.63</v>
      </c>
      <c r="N47" s="2">
        <v>0.56000000000000005</v>
      </c>
      <c r="O47" s="2">
        <v>0.56000000000000005</v>
      </c>
      <c r="P47" s="2">
        <v>0.64</v>
      </c>
      <c r="Q47" s="2">
        <v>0.63</v>
      </c>
      <c r="R47" s="2">
        <v>0.63</v>
      </c>
      <c r="S47" s="2">
        <v>0.59</v>
      </c>
      <c r="T47" s="2">
        <v>0.62</v>
      </c>
      <c r="U47" s="2">
        <v>0.56000000000000005</v>
      </c>
      <c r="V47" s="2">
        <v>0.64</v>
      </c>
      <c r="W47" s="1">
        <f t="shared" si="2"/>
        <v>0.59843401227534265</v>
      </c>
      <c r="X47" s="3">
        <f t="shared" si="3"/>
        <v>22</v>
      </c>
    </row>
    <row r="48" spans="1:24" ht="25" customHeight="1">
      <c r="A48" t="s">
        <v>31</v>
      </c>
      <c r="B48">
        <v>3</v>
      </c>
      <c r="C48">
        <v>6</v>
      </c>
      <c r="D48">
        <v>3</v>
      </c>
      <c r="E48" t="s">
        <v>25</v>
      </c>
      <c r="F48" t="b">
        <v>0</v>
      </c>
      <c r="G48">
        <v>0</v>
      </c>
      <c r="H48" t="s">
        <v>18</v>
      </c>
      <c r="I4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cas-spl:F-mgv:6-sn:3k</v>
      </c>
      <c r="J48" s="2">
        <v>0.36</v>
      </c>
      <c r="K48" s="2">
        <v>0.4</v>
      </c>
      <c r="L48" s="2">
        <v>0.36</v>
      </c>
      <c r="M48" s="2">
        <v>0.43</v>
      </c>
      <c r="N48" s="2">
        <v>0.39</v>
      </c>
      <c r="O48" s="2">
        <v>0.4</v>
      </c>
      <c r="P48" s="2">
        <v>0.45</v>
      </c>
      <c r="Q48" s="2">
        <v>0.43</v>
      </c>
      <c r="R48" s="2">
        <v>0.41</v>
      </c>
      <c r="S48" s="2">
        <v>0.42</v>
      </c>
      <c r="T48" s="2">
        <v>0.41</v>
      </c>
      <c r="U48" s="2">
        <v>0.43</v>
      </c>
      <c r="V48" s="2">
        <v>0.45</v>
      </c>
      <c r="W48" s="1">
        <f t="shared" si="2"/>
        <v>0.40661685125630448</v>
      </c>
      <c r="X48" s="3">
        <f t="shared" si="3"/>
        <v>47</v>
      </c>
    </row>
    <row r="49" spans="1:24" ht="25" customHeight="1">
      <c r="A49" t="s">
        <v>31</v>
      </c>
      <c r="B49">
        <v>3</v>
      </c>
      <c r="C49">
        <v>6</v>
      </c>
      <c r="D49">
        <v>3</v>
      </c>
      <c r="E49" t="s">
        <v>25</v>
      </c>
      <c r="F49" t="b">
        <v>1</v>
      </c>
      <c r="G49">
        <v>0</v>
      </c>
      <c r="H49" t="s">
        <v>18</v>
      </c>
      <c r="I4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cas-spl:T-mgv:6-sn:3k</v>
      </c>
      <c r="J49" s="2">
        <v>0.41</v>
      </c>
      <c r="K49" s="2">
        <v>0.41</v>
      </c>
      <c r="L49" s="2">
        <v>0.37</v>
      </c>
      <c r="M49" s="2">
        <v>0.46</v>
      </c>
      <c r="N49" s="2">
        <v>0.42</v>
      </c>
      <c r="O49" s="2">
        <v>0.41</v>
      </c>
      <c r="P49" s="2">
        <v>0.43</v>
      </c>
      <c r="Q49" s="2">
        <v>0.47</v>
      </c>
      <c r="R49" s="2">
        <v>0.39</v>
      </c>
      <c r="S49" s="2">
        <v>0.42</v>
      </c>
      <c r="T49" s="2">
        <v>0.44</v>
      </c>
      <c r="U49" s="2">
        <v>0.41</v>
      </c>
      <c r="V49" s="2">
        <v>0.47</v>
      </c>
      <c r="W49" s="1">
        <f t="shared" si="2"/>
        <v>0.4191695856915984</v>
      </c>
      <c r="X49" s="3">
        <f t="shared" si="3"/>
        <v>40</v>
      </c>
    </row>
    <row r="50" spans="1:24" ht="25" customHeight="1">
      <c r="A50" t="s">
        <v>31</v>
      </c>
      <c r="B50">
        <v>3</v>
      </c>
      <c r="C50">
        <v>9</v>
      </c>
      <c r="D50">
        <v>1</v>
      </c>
      <c r="E50" t="s">
        <v>20</v>
      </c>
      <c r="F50" t="b">
        <v>0</v>
      </c>
      <c r="G50">
        <v>0</v>
      </c>
      <c r="H50" t="s">
        <v>18</v>
      </c>
      <c r="I5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plu-spl:F-mgv:9-sn:3k</v>
      </c>
      <c r="J50" s="1">
        <v>0.84</v>
      </c>
      <c r="K50" s="1">
        <v>0.83</v>
      </c>
      <c r="L50" s="1">
        <v>0.83</v>
      </c>
      <c r="M50" s="1">
        <v>0.8</v>
      </c>
      <c r="N50" s="1">
        <v>0.8</v>
      </c>
      <c r="O50" s="1">
        <v>0.8</v>
      </c>
      <c r="P50" s="1">
        <v>0.85</v>
      </c>
      <c r="Q50" s="1">
        <v>0.86</v>
      </c>
      <c r="R50" s="1">
        <v>0.81</v>
      </c>
      <c r="S50" s="1">
        <v>0.84</v>
      </c>
      <c r="T50" s="1">
        <v>0.8</v>
      </c>
      <c r="U50" s="1">
        <v>0.83</v>
      </c>
      <c r="V50" s="1">
        <v>0.86</v>
      </c>
      <c r="W50" s="1">
        <f t="shared" si="2"/>
        <v>0.82390966874693705</v>
      </c>
      <c r="X50" s="3">
        <f t="shared" si="3"/>
        <v>9</v>
      </c>
    </row>
    <row r="51" spans="1:24" ht="25" customHeight="1">
      <c r="A51" t="s">
        <v>31</v>
      </c>
      <c r="B51">
        <v>3</v>
      </c>
      <c r="C51">
        <v>9</v>
      </c>
      <c r="D51">
        <v>1</v>
      </c>
      <c r="E51" t="s">
        <v>20</v>
      </c>
      <c r="F51" t="b">
        <v>1</v>
      </c>
      <c r="G51">
        <v>0</v>
      </c>
      <c r="H51" t="s">
        <v>18</v>
      </c>
      <c r="I5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plu-spl:T-mgv:9-sn:3k</v>
      </c>
      <c r="J51" s="1">
        <v>0.87</v>
      </c>
      <c r="K51" s="1">
        <v>0.84</v>
      </c>
      <c r="L51" s="1">
        <v>0.88</v>
      </c>
      <c r="M51" s="1">
        <v>0.85</v>
      </c>
      <c r="N51" s="1">
        <v>0.82</v>
      </c>
      <c r="O51" s="1">
        <v>0.81</v>
      </c>
      <c r="P51" s="1">
        <v>0.87</v>
      </c>
      <c r="Q51" s="1">
        <v>0.89</v>
      </c>
      <c r="R51" s="1">
        <v>0.82</v>
      </c>
      <c r="S51" s="1">
        <v>0.86</v>
      </c>
      <c r="T51" s="1">
        <v>0.8</v>
      </c>
      <c r="U51" s="1">
        <v>0.83</v>
      </c>
      <c r="V51" s="1">
        <v>0.89</v>
      </c>
      <c r="W51" s="1">
        <f t="shared" si="2"/>
        <v>0.84453124325884144</v>
      </c>
      <c r="X51" s="3">
        <f t="shared" si="3"/>
        <v>3</v>
      </c>
    </row>
    <row r="52" spans="1:24" ht="25" customHeight="1">
      <c r="A52" t="s">
        <v>31</v>
      </c>
      <c r="B52">
        <v>3</v>
      </c>
      <c r="C52">
        <v>9</v>
      </c>
      <c r="D52">
        <v>2</v>
      </c>
      <c r="E52" t="s">
        <v>24</v>
      </c>
      <c r="F52" t="b">
        <v>0</v>
      </c>
      <c r="G52">
        <v>0</v>
      </c>
      <c r="H52" t="s">
        <v>18</v>
      </c>
      <c r="I5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gen-spl:F-mgv:9-sn:3k</v>
      </c>
      <c r="J52" s="2">
        <v>0.56000000000000005</v>
      </c>
      <c r="K52" s="2">
        <v>0.62</v>
      </c>
      <c r="L52" s="2">
        <v>0.63</v>
      </c>
      <c r="M52" s="2">
        <v>0.56999999999999995</v>
      </c>
      <c r="N52" s="2">
        <v>0.59</v>
      </c>
      <c r="O52" s="2">
        <v>0.56999999999999995</v>
      </c>
      <c r="P52" s="2">
        <v>0.56000000000000005</v>
      </c>
      <c r="Q52" s="2">
        <v>0.62</v>
      </c>
      <c r="R52" s="2">
        <v>0.6</v>
      </c>
      <c r="S52" s="2">
        <v>0.56000000000000005</v>
      </c>
      <c r="T52" s="2">
        <v>0.6</v>
      </c>
      <c r="U52" s="2">
        <v>0.65</v>
      </c>
      <c r="V52" s="2">
        <v>0.65</v>
      </c>
      <c r="W52" s="1">
        <f t="shared" si="2"/>
        <v>0.59343815507876418</v>
      </c>
      <c r="X52" s="3">
        <f t="shared" si="3"/>
        <v>25</v>
      </c>
    </row>
    <row r="53" spans="1:24" ht="25" customHeight="1">
      <c r="A53" t="s">
        <v>31</v>
      </c>
      <c r="B53">
        <v>3</v>
      </c>
      <c r="C53">
        <v>9</v>
      </c>
      <c r="D53">
        <v>2</v>
      </c>
      <c r="E53" t="s">
        <v>24</v>
      </c>
      <c r="F53" t="b">
        <v>1</v>
      </c>
      <c r="G53">
        <v>0</v>
      </c>
      <c r="H53" t="s">
        <v>18</v>
      </c>
      <c r="I5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gen-spl:T-mgv:9-sn:3k</v>
      </c>
      <c r="J53" s="2">
        <v>0.62</v>
      </c>
      <c r="K53" s="2">
        <v>0.62</v>
      </c>
      <c r="L53" s="2">
        <v>0.6</v>
      </c>
      <c r="M53" s="2">
        <v>0.63</v>
      </c>
      <c r="N53" s="2">
        <v>0.59</v>
      </c>
      <c r="O53" s="2">
        <v>0.55000000000000004</v>
      </c>
      <c r="P53" s="2">
        <v>0.56000000000000005</v>
      </c>
      <c r="Q53" s="2">
        <v>0.63</v>
      </c>
      <c r="R53" s="2">
        <v>0.59</v>
      </c>
      <c r="S53" s="2">
        <v>0.59</v>
      </c>
      <c r="T53" s="2">
        <v>0.59</v>
      </c>
      <c r="U53" s="2">
        <v>0.59</v>
      </c>
      <c r="V53" s="2">
        <v>0.66</v>
      </c>
      <c r="W53" s="1">
        <f t="shared" si="2"/>
        <v>0.59616829401254612</v>
      </c>
      <c r="X53" s="3">
        <f t="shared" si="3"/>
        <v>23</v>
      </c>
    </row>
    <row r="54" spans="1:24" ht="25" customHeight="1">
      <c r="A54" t="s">
        <v>31</v>
      </c>
      <c r="B54">
        <v>3</v>
      </c>
      <c r="C54">
        <v>9</v>
      </c>
      <c r="D54">
        <v>3</v>
      </c>
      <c r="E54" t="s">
        <v>25</v>
      </c>
      <c r="F54" t="b">
        <v>0</v>
      </c>
      <c r="G54">
        <v>0</v>
      </c>
      <c r="H54" t="s">
        <v>18</v>
      </c>
      <c r="I5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cas-spl:F-mgv:9-sn:3k</v>
      </c>
      <c r="J54" s="2">
        <v>0.38</v>
      </c>
      <c r="K54" s="2">
        <v>0.43</v>
      </c>
      <c r="L54" s="2">
        <v>0.4</v>
      </c>
      <c r="M54" s="2">
        <v>0.42</v>
      </c>
      <c r="N54" s="2">
        <v>0.37</v>
      </c>
      <c r="O54" s="2">
        <v>0.42</v>
      </c>
      <c r="P54" s="2">
        <v>0.36</v>
      </c>
      <c r="Q54" s="2">
        <v>0.41</v>
      </c>
      <c r="R54" s="2">
        <v>0.42</v>
      </c>
      <c r="S54" s="2">
        <v>0.46</v>
      </c>
      <c r="T54" s="2">
        <v>0.41</v>
      </c>
      <c r="U54" s="2">
        <v>0.42</v>
      </c>
      <c r="V54" s="2">
        <v>0.5</v>
      </c>
      <c r="W54" s="1">
        <f t="shared" si="2"/>
        <v>0.40746932005288128</v>
      </c>
      <c r="X54" s="3">
        <f t="shared" si="3"/>
        <v>46</v>
      </c>
    </row>
    <row r="55" spans="1:24" ht="25" customHeight="1">
      <c r="A55" t="s">
        <v>31</v>
      </c>
      <c r="B55">
        <v>3</v>
      </c>
      <c r="C55">
        <v>9</v>
      </c>
      <c r="D55">
        <v>3</v>
      </c>
      <c r="E55" t="s">
        <v>25</v>
      </c>
      <c r="F55" t="b">
        <v>1</v>
      </c>
      <c r="G55">
        <v>0</v>
      </c>
      <c r="H55" t="s">
        <v>18</v>
      </c>
      <c r="I5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cas-spl:T-mgv:9-sn:3k</v>
      </c>
      <c r="J55" s="2">
        <v>0.39</v>
      </c>
      <c r="K55" s="2">
        <v>0.44</v>
      </c>
      <c r="L55" s="2">
        <v>0.42</v>
      </c>
      <c r="M55" s="2">
        <v>0.46</v>
      </c>
      <c r="N55" s="2">
        <v>0.38</v>
      </c>
      <c r="O55" s="2">
        <v>0.44</v>
      </c>
      <c r="P55" s="2">
        <v>0.41</v>
      </c>
      <c r="Q55" s="2">
        <v>0.45</v>
      </c>
      <c r="R55" s="2">
        <v>0.4</v>
      </c>
      <c r="S55" s="2">
        <v>0.44</v>
      </c>
      <c r="T55" s="2">
        <v>0.43</v>
      </c>
      <c r="U55" s="2">
        <v>0.42</v>
      </c>
      <c r="V55" s="2">
        <v>0.5</v>
      </c>
      <c r="W55" s="1">
        <f t="shared" si="2"/>
        <v>0.42266759748284283</v>
      </c>
      <c r="X55" s="3">
        <f t="shared" si="3"/>
        <v>37</v>
      </c>
    </row>
    <row r="58" spans="1:24" ht="25" customHeight="1">
      <c r="U58" t="s">
        <v>29</v>
      </c>
      <c r="V58" t="s">
        <v>30</v>
      </c>
      <c r="W58" t="s">
        <v>26</v>
      </c>
      <c r="X58" t="s">
        <v>35</v>
      </c>
    </row>
    <row r="59" spans="1:24" ht="25" customHeight="1">
      <c r="U59">
        <v>3</v>
      </c>
      <c r="V59">
        <v>3</v>
      </c>
      <c r="W59" t="b">
        <v>1</v>
      </c>
      <c r="X59" s="4" cm="1">
        <f t="array" ref="X59">_xlfn.LET(_xlpm.d,X$2:X$55,_xlpm.a,$B$2:$B$55=$U59,_xlpm.b,$C$2:$C$55=$V59,_xlpm.c,$F$2:$F$55=$W59,GEOMEAN(_xlfn._xlws.FILTER(_xlpm.d,_xlpm.a*_xlpm.b)))</f>
        <v>17.014247491759825</v>
      </c>
    </row>
    <row r="60" spans="1:24" ht="25" customHeight="1">
      <c r="U60">
        <v>2</v>
      </c>
      <c r="V60">
        <v>9</v>
      </c>
      <c r="W60" t="b">
        <v>1</v>
      </c>
      <c r="X60" s="4" cm="1">
        <f t="array" ref="X60">_xlfn.LET(_xlpm.d,X$2:X$55,_xlpm.a,$B$2:$B$55=$U60,_xlpm.b,$C$2:$C$55=$V60,_xlpm.c,$F$2:$F$55=$W60,GEOMEAN(_xlfn._xlws.FILTER(_xlpm.d,_xlpm.a*_xlpm.b)))</f>
        <v>17.108987262498758</v>
      </c>
    </row>
    <row r="61" spans="1:24" ht="25" customHeight="1">
      <c r="U61">
        <v>3</v>
      </c>
      <c r="V61">
        <v>9</v>
      </c>
      <c r="W61" t="b">
        <v>1</v>
      </c>
      <c r="X61" s="4" cm="1">
        <f t="array" ref="X61">_xlfn.LET(_xlpm.d,X$2:X$55,_xlpm.a,$B$2:$B$55=$U61,_xlpm.b,$C$2:$C$55=$V61,_xlpm.c,$F$2:$F$55=$W61,GEOMEAN(_xlfn._xlws.FILTER(_xlpm.d,_xlpm.a*_xlpm.b)))</f>
        <v>17.258320401823674</v>
      </c>
    </row>
    <row r="62" spans="1:24" ht="25" customHeight="1">
      <c r="U62">
        <v>1.2</v>
      </c>
      <c r="V62">
        <v>6</v>
      </c>
      <c r="W62" t="b">
        <v>1</v>
      </c>
      <c r="X62" s="4" cm="1">
        <f t="array" ref="X62">_xlfn.LET(_xlpm.d,X$2:X$55,_xlpm.a,$B$2:$B$55=$U62,_xlpm.b,$C$2:$C$55=$V62,_xlpm.c,$F$2:$F$55=$W62,GEOMEAN(_xlfn._xlws.FILTER(_xlpm.d,_xlpm.a*_xlpm.b)))</f>
        <v>18.438236544608571</v>
      </c>
    </row>
    <row r="63" spans="1:24" ht="25" customHeight="1">
      <c r="U63">
        <v>3</v>
      </c>
      <c r="V63">
        <v>6</v>
      </c>
      <c r="W63" t="b">
        <v>1</v>
      </c>
      <c r="X63" s="4" cm="1">
        <f t="array" ref="X63">_xlfn.LET(_xlpm.d,X$2:X$55,_xlpm.a,$B$2:$B$55=$U63,_xlpm.b,$C$2:$C$55=$V63,_xlpm.c,$F$2:$F$55=$W63,GEOMEAN(_xlfn._xlws.FILTER(_xlpm.d,_xlpm.a*_xlpm.b)))</f>
        <v>21.602181686998154</v>
      </c>
    </row>
    <row r="64" spans="1:24" ht="25" customHeight="1">
      <c r="U64">
        <v>2</v>
      </c>
      <c r="V64">
        <v>3</v>
      </c>
      <c r="W64" t="b">
        <v>1</v>
      </c>
      <c r="X64" s="4" cm="1">
        <f t="array" ref="X64">_xlfn.LET(_xlpm.d,X$2:X$55,_xlpm.a,$B$2:$B$55=$U64,_xlpm.b,$C$2:$C$55=$V64,_xlpm.c,$F$2:$F$55=$W64,GEOMEAN(_xlfn._xlws.FILTER(_xlpm.d,_xlpm.a*_xlpm.b)))</f>
        <v>22.571775799013043</v>
      </c>
    </row>
    <row r="65" spans="21:24" ht="25" customHeight="1">
      <c r="U65">
        <v>1.2</v>
      </c>
      <c r="V65">
        <v>9</v>
      </c>
      <c r="W65" t="b">
        <v>1</v>
      </c>
      <c r="X65" s="4" cm="1">
        <f t="array" ref="X65">_xlfn.LET(_xlpm.d,X$2:X$55,_xlpm.a,$B$2:$B$55=$U65,_xlpm.b,$C$2:$C$55=$V65,_xlpm.c,$F$2:$F$55=$W65,GEOMEAN(_xlfn._xlws.FILTER(_xlpm.d,_xlpm.a*_xlpm.b)))</f>
        <v>24.080627660749379</v>
      </c>
    </row>
    <row r="66" spans="21:24" ht="25" customHeight="1">
      <c r="U66">
        <v>2</v>
      </c>
      <c r="V66">
        <v>6</v>
      </c>
      <c r="W66" t="b">
        <v>1</v>
      </c>
      <c r="X66" s="4" cm="1">
        <f t="array" ref="X66">_xlfn.LET(_xlpm.d,X$2:X$55,_xlpm.a,$B$2:$B$55=$U66,_xlpm.b,$C$2:$C$55=$V66,_xlpm.c,$F$2:$F$55=$W66,GEOMEAN(_xlfn._xlws.FILTER(_xlpm.d,_xlpm.a*_xlpm.b)))</f>
        <v>25.888545456772942</v>
      </c>
    </row>
    <row r="67" spans="21:24" ht="25" customHeight="1">
      <c r="U67">
        <v>1.2</v>
      </c>
      <c r="V67">
        <v>3</v>
      </c>
      <c r="W67" t="b">
        <v>1</v>
      </c>
      <c r="X67" s="4" cm="1">
        <f t="array" ref="X67">_xlfn.LET(_xlpm.d,X$2:X$55,_xlpm.a,$B$2:$B$55=$U67,_xlpm.b,$C$2:$C$55=$V67,_xlpm.c,$F$2:$F$55=$W67,GEOMEAN(_xlfn._xlws.FILTER(_xlpm.d,_xlpm.a*_xlpm.b)))</f>
        <v>27.81586585175101</v>
      </c>
    </row>
    <row r="70" spans="21:24" ht="25" customHeight="1">
      <c r="U70" t="s">
        <v>29</v>
      </c>
      <c r="V70" t="s">
        <v>30</v>
      </c>
      <c r="W70" t="s">
        <v>36</v>
      </c>
      <c r="X70" t="s">
        <v>35</v>
      </c>
    </row>
    <row r="71" spans="21:24" ht="25" customHeight="1">
      <c r="U71">
        <v>1.2</v>
      </c>
      <c r="V71">
        <v>3</v>
      </c>
      <c r="W71" t="s">
        <v>24</v>
      </c>
      <c r="X71" s="4" cm="1">
        <f t="array" ref="X71">_xlfn.LET(_xlpm.d,X$2:X$55,_xlpm.a,$B$2:$B$55=$U71,_xlpm.b,$C$2:$C$55=$V71,_xlpm.c,$E$2:$E$55=$W71,GEOMEAN(_xlfn._xlws.FILTER(_xlpm.d,_xlpm.a*_xlpm.b)))</f>
        <v>27.81586585175101</v>
      </c>
    </row>
    <row r="72" spans="21:24" ht="25" customHeight="1">
      <c r="U72">
        <v>2</v>
      </c>
      <c r="V72">
        <v>3</v>
      </c>
      <c r="W72" t="s">
        <v>24</v>
      </c>
      <c r="X72" s="4" cm="1">
        <f t="array" ref="X72">_xlfn.LET(_xlpm.d,X$2:X$55,_xlpm.a,$B$2:$B$55=$U72,_xlpm.b,$C$2:$C$55=$V72,_xlpm.c,$E$2:$E$55=$W72,GEOMEAN(_xlfn._xlws.FILTER(_xlpm.d,_xlpm.a*_xlpm.b)))</f>
        <v>22.571775799013043</v>
      </c>
    </row>
    <row r="73" spans="21:24" ht="25" customHeight="1">
      <c r="U73">
        <v>3</v>
      </c>
      <c r="V73">
        <v>3</v>
      </c>
      <c r="W73" t="s">
        <v>24</v>
      </c>
      <c r="X73" s="4" cm="1">
        <f t="array" ref="X73">_xlfn.LET(_xlpm.d,X$2:X$55,_xlpm.a,$B$2:$B$55=$U73,_xlpm.b,$C$2:$C$55=$V73,_xlpm.c,$E$2:$E$55=$W73,GEOMEAN(_xlfn._xlws.FILTER(_xlpm.d,_xlpm.a*_xlpm.b)))</f>
        <v>17.014247491759825</v>
      </c>
    </row>
    <row r="74" spans="21:24" ht="25" customHeight="1">
      <c r="U74">
        <v>1.2</v>
      </c>
      <c r="V74">
        <v>6</v>
      </c>
      <c r="W74" t="s">
        <v>24</v>
      </c>
      <c r="X74" s="4" cm="1">
        <f t="array" ref="X74">_xlfn.LET(_xlpm.d,X$2:X$55,_xlpm.a,$B$2:$B$55=$U74,_xlpm.b,$C$2:$C$55=$V74,_xlpm.c,$E$2:$E$55=$W74,GEOMEAN(_xlfn._xlws.FILTER(_xlpm.d,_xlpm.a*_xlpm.b)))</f>
        <v>18.438236544608571</v>
      </c>
    </row>
    <row r="75" spans="21:24" ht="25" customHeight="1">
      <c r="U75">
        <v>2</v>
      </c>
      <c r="V75">
        <v>6</v>
      </c>
      <c r="W75" t="s">
        <v>24</v>
      </c>
      <c r="X75" s="4" cm="1">
        <f t="array" ref="X75">_xlfn.LET(_xlpm.d,X$2:X$55,_xlpm.a,$B$2:$B$55=$U75,_xlpm.b,$C$2:$C$55=$V75,_xlpm.c,$E$2:$E$55=$W75,GEOMEAN(_xlfn._xlws.FILTER(_xlpm.d,_xlpm.a*_xlpm.b)))</f>
        <v>25.888545456772942</v>
      </c>
    </row>
    <row r="76" spans="21:24" ht="25" customHeight="1">
      <c r="U76">
        <v>3</v>
      </c>
      <c r="V76">
        <v>6</v>
      </c>
      <c r="W76" t="s">
        <v>24</v>
      </c>
      <c r="X76" s="4" cm="1">
        <f t="array" ref="X76">_xlfn.LET(_xlpm.d,X$2:X$55,_xlpm.a,$B$2:$B$55=$U76,_xlpm.b,$C$2:$C$55=$V76,_xlpm.c,$E$2:$E$55=$W76,GEOMEAN(_xlfn._xlws.FILTER(_xlpm.d,_xlpm.a*_xlpm.b)))</f>
        <v>21.602181686998154</v>
      </c>
    </row>
    <row r="77" spans="21:24" ht="25" customHeight="1">
      <c r="U77">
        <v>1.2</v>
      </c>
      <c r="V77">
        <v>9</v>
      </c>
      <c r="W77" t="s">
        <v>24</v>
      </c>
      <c r="X77" s="4" cm="1">
        <f t="array" ref="X77">_xlfn.LET(_xlpm.d,X$2:X$55,_xlpm.a,$B$2:$B$55=$U77,_xlpm.b,$C$2:$C$55=$V77,_xlpm.c,$E$2:$E$55=$W77,GEOMEAN(_xlfn._xlws.FILTER(_xlpm.d,_xlpm.a*_xlpm.b)))</f>
        <v>24.080627660749379</v>
      </c>
    </row>
    <row r="78" spans="21:24" ht="25" customHeight="1">
      <c r="U78">
        <v>2</v>
      </c>
      <c r="V78">
        <v>9</v>
      </c>
      <c r="W78" t="s">
        <v>24</v>
      </c>
      <c r="X78" s="4" cm="1">
        <f t="array" ref="X78">_xlfn.LET(_xlpm.d,X$2:X$55,_xlpm.a,$B$2:$B$55=$U78,_xlpm.b,$C$2:$C$55=$V78,_xlpm.c,$E$2:$E$55=$W78,GEOMEAN(_xlfn._xlws.FILTER(_xlpm.d,_xlpm.a*_xlpm.b)))</f>
        <v>17.108987262498758</v>
      </c>
    </row>
    <row r="79" spans="21:24" ht="25" customHeight="1">
      <c r="U79">
        <v>3</v>
      </c>
      <c r="V79">
        <v>9</v>
      </c>
      <c r="W79" t="s">
        <v>24</v>
      </c>
      <c r="X79" s="4" cm="1">
        <f t="array" ref="X79">_xlfn.LET(_xlpm.d,X$2:X$55,_xlpm.a,$B$2:$B$55=$U79,_xlpm.b,$C$2:$C$55=$V79,_xlpm.c,$E$2:$E$55=$W79,GEOMEAN(_xlfn._xlws.FILTER(_xlpm.d,_xlpm.a*_xlpm.b)))</f>
        <v>17.258320401823674</v>
      </c>
    </row>
    <row r="82" spans="21:24" ht="25" customHeight="1">
      <c r="U82" t="s">
        <v>29</v>
      </c>
      <c r="V82" t="s">
        <v>30</v>
      </c>
      <c r="W82" t="s">
        <v>36</v>
      </c>
      <c r="X82" t="s">
        <v>35</v>
      </c>
    </row>
    <row r="83" spans="21:24" ht="25" customHeight="1">
      <c r="U83">
        <v>1.2</v>
      </c>
      <c r="V83">
        <v>3</v>
      </c>
      <c r="W83" t="s">
        <v>20</v>
      </c>
      <c r="X83" s="4" cm="1">
        <f t="array" ref="X83">_xlfn.LET(_xlpm.d,X$2:X$55,_xlpm.a,$B$2:$B$55=$U83,_xlpm.b,$C$2:$C$55=$V83,_xlpm.c,$E$2:$E$55=$W83,GEOMEAN(_xlfn._xlws.FILTER(_xlpm.d,_xlpm.a*_xlpm.b)))</f>
        <v>27.81586585175101</v>
      </c>
    </row>
    <row r="84" spans="21:24" ht="25" customHeight="1">
      <c r="U84">
        <v>2</v>
      </c>
      <c r="V84">
        <v>3</v>
      </c>
      <c r="W84" t="s">
        <v>20</v>
      </c>
      <c r="X84" s="4" cm="1">
        <f t="array" ref="X84">_xlfn.LET(_xlpm.d,X$2:X$55,_xlpm.a,$B$2:$B$55=$U84,_xlpm.b,$C$2:$C$55=$V84,_xlpm.c,$E$2:$E$55=$W84,GEOMEAN(_xlfn._xlws.FILTER(_xlpm.d,_xlpm.a*_xlpm.b)))</f>
        <v>22.571775799013043</v>
      </c>
    </row>
    <row r="85" spans="21:24" ht="25" customHeight="1">
      <c r="U85">
        <v>3</v>
      </c>
      <c r="V85">
        <v>3</v>
      </c>
      <c r="W85" t="s">
        <v>20</v>
      </c>
      <c r="X85" s="4" cm="1">
        <f t="array" ref="X85">_xlfn.LET(_xlpm.d,X$2:X$55,_xlpm.a,$B$2:$B$55=$U85,_xlpm.b,$C$2:$C$55=$V85,_xlpm.c,$E$2:$E$55=$W85,GEOMEAN(_xlfn._xlws.FILTER(_xlpm.d,_xlpm.a*_xlpm.b)))</f>
        <v>17.014247491759825</v>
      </c>
    </row>
    <row r="86" spans="21:24" ht="25" customHeight="1">
      <c r="U86">
        <v>1.2</v>
      </c>
      <c r="V86">
        <v>6</v>
      </c>
      <c r="W86" t="s">
        <v>20</v>
      </c>
      <c r="X86" s="4" cm="1">
        <f t="array" ref="X86">_xlfn.LET(_xlpm.d,X$2:X$55,_xlpm.a,$B$2:$B$55=$U86,_xlpm.b,$C$2:$C$55=$V86,_xlpm.c,$E$2:$E$55=$W86,GEOMEAN(_xlfn._xlws.FILTER(_xlpm.d,_xlpm.a*_xlpm.b)))</f>
        <v>18.438236544608571</v>
      </c>
    </row>
    <row r="87" spans="21:24" ht="25" customHeight="1">
      <c r="U87">
        <v>2</v>
      </c>
      <c r="V87">
        <v>6</v>
      </c>
      <c r="W87" t="s">
        <v>20</v>
      </c>
      <c r="X87" s="4" cm="1">
        <f t="array" ref="X87">_xlfn.LET(_xlpm.d,X$2:X$55,_xlpm.a,$B$2:$B$55=$U87,_xlpm.b,$C$2:$C$55=$V87,_xlpm.c,$E$2:$E$55=$W87,GEOMEAN(_xlfn._xlws.FILTER(_xlpm.d,_xlpm.a*_xlpm.b)))</f>
        <v>25.888545456772942</v>
      </c>
    </row>
    <row r="88" spans="21:24" ht="25" customHeight="1">
      <c r="U88">
        <v>3</v>
      </c>
      <c r="V88">
        <v>6</v>
      </c>
      <c r="W88" t="s">
        <v>20</v>
      </c>
      <c r="X88" s="4" cm="1">
        <f t="array" ref="X88">_xlfn.LET(_xlpm.d,X$2:X$55,_xlpm.a,$B$2:$B$55=$U88,_xlpm.b,$C$2:$C$55=$V88,_xlpm.c,$E$2:$E$55=$W88,GEOMEAN(_xlfn._xlws.FILTER(_xlpm.d,_xlpm.a*_xlpm.b)))</f>
        <v>21.602181686998154</v>
      </c>
    </row>
    <row r="89" spans="21:24" ht="25" customHeight="1">
      <c r="U89">
        <v>1.2</v>
      </c>
      <c r="V89">
        <v>9</v>
      </c>
      <c r="W89" t="s">
        <v>20</v>
      </c>
      <c r="X89" s="4" cm="1">
        <f t="array" ref="X89">_xlfn.LET(_xlpm.d,X$2:X$55,_xlpm.a,$B$2:$B$55=$U89,_xlpm.b,$C$2:$C$55=$V89,_xlpm.c,$E$2:$E$55=$W89,GEOMEAN(_xlfn._xlws.FILTER(_xlpm.d,_xlpm.a*_xlpm.b)))</f>
        <v>24.080627660749379</v>
      </c>
    </row>
    <row r="90" spans="21:24" ht="25" customHeight="1">
      <c r="U90">
        <v>2</v>
      </c>
      <c r="V90">
        <v>9</v>
      </c>
      <c r="W90" t="s">
        <v>20</v>
      </c>
      <c r="X90" s="4" cm="1">
        <f t="array" ref="X90">_xlfn.LET(_xlpm.d,X$2:X$55,_xlpm.a,$B$2:$B$55=$U90,_xlpm.b,$C$2:$C$55=$V90,_xlpm.c,$E$2:$E$55=$W90,GEOMEAN(_xlfn._xlws.FILTER(_xlpm.d,_xlpm.a*_xlpm.b)))</f>
        <v>17.108987262498758</v>
      </c>
    </row>
    <row r="91" spans="21:24" ht="25" customHeight="1">
      <c r="U91">
        <v>3</v>
      </c>
      <c r="V91">
        <v>9</v>
      </c>
      <c r="W91" t="s">
        <v>20</v>
      </c>
      <c r="X91" s="4" cm="1">
        <f t="array" ref="X91">_xlfn.LET(_xlpm.d,X$2:X$55,_xlpm.a,$B$2:$B$55=$U91,_xlpm.b,$C$2:$C$55=$V91,_xlpm.c,$E$2:$E$55=$W91,GEOMEAN(_xlfn._xlws.FILTER(_xlpm.d,_xlpm.a*_xlpm.b)))</f>
        <v>17.258320401823674</v>
      </c>
    </row>
    <row r="94" spans="21:24" ht="25" customHeight="1">
      <c r="U94" t="s">
        <v>29</v>
      </c>
      <c r="V94" t="s">
        <v>30</v>
      </c>
      <c r="W94" t="s">
        <v>36</v>
      </c>
      <c r="X94" t="s">
        <v>35</v>
      </c>
    </row>
    <row r="95" spans="21:24" ht="25" customHeight="1">
      <c r="U95">
        <v>1.2</v>
      </c>
      <c r="V95">
        <v>3</v>
      </c>
      <c r="W95" t="s">
        <v>25</v>
      </c>
      <c r="X95" s="4" cm="1">
        <f t="array" ref="X95">_xlfn.LET(_xlpm.d,X$2:X$55,_xlpm.a,$B$2:$B$55=$U95,_xlpm.b,$C$2:$C$55=$V95,_xlpm.c,$E$2:$E$55=$W95,GEOMEAN(_xlfn._xlws.FILTER(_xlpm.d,_xlpm.a*_xlpm.b)))</f>
        <v>27.81586585175101</v>
      </c>
    </row>
    <row r="96" spans="21:24" ht="25" customHeight="1">
      <c r="U96">
        <v>2</v>
      </c>
      <c r="V96">
        <v>3</v>
      </c>
      <c r="W96" t="s">
        <v>25</v>
      </c>
      <c r="X96" s="4" cm="1">
        <f t="array" ref="X96">_xlfn.LET(_xlpm.d,X$2:X$55,_xlpm.a,$B$2:$B$55=$U96,_xlpm.b,$C$2:$C$55=$V96,_xlpm.c,$E$2:$E$55=$W96,GEOMEAN(_xlfn._xlws.FILTER(_xlpm.d,_xlpm.a*_xlpm.b)))</f>
        <v>22.571775799013043</v>
      </c>
    </row>
    <row r="97" spans="21:24" ht="25" customHeight="1">
      <c r="U97">
        <v>3</v>
      </c>
      <c r="V97">
        <v>3</v>
      </c>
      <c r="W97" t="s">
        <v>25</v>
      </c>
      <c r="X97" s="4" cm="1">
        <f t="array" ref="X97">_xlfn.LET(_xlpm.d,X$2:X$55,_xlpm.a,$B$2:$B$55=$U97,_xlpm.b,$C$2:$C$55=$V97,_xlpm.c,$E$2:$E$55=$W97,GEOMEAN(_xlfn._xlws.FILTER(_xlpm.d,_xlpm.a*_xlpm.b)))</f>
        <v>17.014247491759825</v>
      </c>
    </row>
    <row r="98" spans="21:24" ht="25" customHeight="1">
      <c r="U98">
        <v>1.2</v>
      </c>
      <c r="V98">
        <v>6</v>
      </c>
      <c r="W98" t="s">
        <v>25</v>
      </c>
      <c r="X98" s="4" cm="1">
        <f t="array" ref="X98">_xlfn.LET(_xlpm.d,X$2:X$55,_xlpm.a,$B$2:$B$55=$U98,_xlpm.b,$C$2:$C$55=$V98,_xlpm.c,$E$2:$E$55=$W98,GEOMEAN(_xlfn._xlws.FILTER(_xlpm.d,_xlpm.a*_xlpm.b)))</f>
        <v>18.438236544608571</v>
      </c>
    </row>
    <row r="99" spans="21:24" ht="25" customHeight="1">
      <c r="U99">
        <v>2</v>
      </c>
      <c r="V99">
        <v>6</v>
      </c>
      <c r="W99" t="s">
        <v>25</v>
      </c>
      <c r="X99" s="4" cm="1">
        <f t="array" ref="X99">_xlfn.LET(_xlpm.d,X$2:X$55,_xlpm.a,$B$2:$B$55=$U99,_xlpm.b,$C$2:$C$55=$V99,_xlpm.c,$E$2:$E$55=$W99,GEOMEAN(_xlfn._xlws.FILTER(_xlpm.d,_xlpm.a*_xlpm.b)))</f>
        <v>25.888545456772942</v>
      </c>
    </row>
    <row r="100" spans="21:24" ht="25" customHeight="1">
      <c r="U100">
        <v>3</v>
      </c>
      <c r="V100">
        <v>6</v>
      </c>
      <c r="W100" t="s">
        <v>25</v>
      </c>
      <c r="X100" s="4" cm="1">
        <f t="array" ref="X100">_xlfn.LET(_xlpm.d,X$2:X$55,_xlpm.a,$B$2:$B$55=$U100,_xlpm.b,$C$2:$C$55=$V100,_xlpm.c,$E$2:$E$55=$W100,GEOMEAN(_xlfn._xlws.FILTER(_xlpm.d,_xlpm.a*_xlpm.b)))</f>
        <v>21.602181686998154</v>
      </c>
    </row>
    <row r="101" spans="21:24" ht="25" customHeight="1">
      <c r="U101">
        <v>1.2</v>
      </c>
      <c r="V101">
        <v>9</v>
      </c>
      <c r="W101" t="s">
        <v>25</v>
      </c>
      <c r="X101" s="4" cm="1">
        <f t="array" ref="X101">_xlfn.LET(_xlpm.d,X$2:X$55,_xlpm.a,$B$2:$B$55=$U101,_xlpm.b,$C$2:$C$55=$V101,_xlpm.c,$E$2:$E$55=$W101,GEOMEAN(_xlfn._xlws.FILTER(_xlpm.d,_xlpm.a*_xlpm.b)))</f>
        <v>24.080627660749379</v>
      </c>
    </row>
    <row r="102" spans="21:24" ht="25" customHeight="1">
      <c r="U102">
        <v>2</v>
      </c>
      <c r="V102">
        <v>9</v>
      </c>
      <c r="W102" t="s">
        <v>25</v>
      </c>
      <c r="X102" s="4" cm="1">
        <f t="array" ref="X102">_xlfn.LET(_xlpm.d,X$2:X$55,_xlpm.a,$B$2:$B$55=$U102,_xlpm.b,$C$2:$C$55=$V102,_xlpm.c,$E$2:$E$55=$W102,GEOMEAN(_xlfn._xlws.FILTER(_xlpm.d,_xlpm.a*_xlpm.b)))</f>
        <v>17.108987262498758</v>
      </c>
    </row>
    <row r="103" spans="21:24" ht="25" customHeight="1">
      <c r="U103">
        <v>3</v>
      </c>
      <c r="V103">
        <v>9</v>
      </c>
      <c r="W103" t="s">
        <v>25</v>
      </c>
      <c r="X103" s="4" cm="1">
        <f t="array" ref="X103">_xlfn.LET(_xlpm.d,X$2:X$55,_xlpm.a,$B$2:$B$55=$U103,_xlpm.b,$C$2:$C$55=$V103,_xlpm.c,$E$2:$E$55=$W103,GEOMEAN(_xlfn._xlws.FILTER(_xlpm.d,_xlpm.a*_xlpm.b)))</f>
        <v>17.258320401823674</v>
      </c>
    </row>
  </sheetData>
  <conditionalFormatting sqref="J2:V55">
    <cfRule type="colorScale" priority="9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W2:W55">
    <cfRule type="colorScale" priority="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2:X55">
    <cfRule type="colorScale" priority="5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59:X67">
    <cfRule type="colorScale" priority="4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71:X79">
    <cfRule type="colorScale" priority="3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83:X91">
    <cfRule type="colorScale" priority="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95:X103">
    <cfRule type="colorScale" priority="1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C11A-63D0-3F48-BDC7-CDEBC39AF28B}">
  <sheetPr codeName="Sheet2"/>
  <dimension ref="A1:T37"/>
  <sheetViews>
    <sheetView workbookViewId="0">
      <pane xSplit="13400" ySplit="4440" topLeftCell="J21" activePane="bottomLeft"/>
      <selection activeCell="G2" sqref="G2"/>
      <selection pane="topRight" activeCell="T1" sqref="T1:T1048576"/>
      <selection pane="bottomLeft" activeCell="B31" sqref="B31:S37"/>
      <selection pane="bottomRight" activeCell="R33" sqref="R33"/>
    </sheetView>
  </sheetViews>
  <sheetFormatPr baseColWidth="10" defaultRowHeight="25" customHeight="1"/>
  <cols>
    <col min="2" max="2" width="7.375" customWidth="1"/>
    <col min="4" max="4" width="10.5" customWidth="1"/>
    <col min="5" max="5" width="7.375" customWidth="1"/>
    <col min="6" max="6" width="9.5" customWidth="1"/>
    <col min="7" max="7" width="14.125" customWidth="1"/>
    <col min="8" max="20" width="8.25" customWidth="1"/>
    <col min="21" max="25" width="9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5</v>
      </c>
      <c r="G1" t="s">
        <v>32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5" t="str">
        <f>_xlfn.TEXTJOIN("-",TRUE,Table1[[#This Row],[attribute]],Table1[[#This Row],[supplemented]],Table1[[#This Row],[method]])</f>
        <v>plurality-TRUE-DT</v>
      </c>
      <c r="H2" s="1">
        <v>0.82</v>
      </c>
      <c r="I2" s="1">
        <v>0.83</v>
      </c>
      <c r="J2" s="1">
        <v>0.82</v>
      </c>
      <c r="K2" s="1">
        <v>0.73</v>
      </c>
      <c r="L2" s="1">
        <v>0.76</v>
      </c>
      <c r="M2" s="1">
        <v>0.78</v>
      </c>
      <c r="N2" s="1">
        <v>0.84</v>
      </c>
      <c r="O2" s="1">
        <v>0.82</v>
      </c>
      <c r="P2" s="1">
        <v>0.82</v>
      </c>
      <c r="Q2" s="1">
        <v>0.78</v>
      </c>
      <c r="R2" s="1">
        <v>0.77</v>
      </c>
      <c r="S2" s="1">
        <v>0.76</v>
      </c>
      <c r="T2" s="1">
        <f t="shared" ref="T2:T19" si="0">MAX($H2:$S2)</f>
        <v>0.84</v>
      </c>
    </row>
    <row r="3" spans="1:20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t="str">
        <f>_xlfn.TEXTJOIN("-",TRUE,Table1[[#This Row],[attribute]],Table1[[#This Row],[supplemented]],Table1[[#This Row],[method]])</f>
        <v>plurality-TRUE-RF</v>
      </c>
      <c r="H3" s="1">
        <v>0.87</v>
      </c>
      <c r="I3" s="1">
        <v>0.84</v>
      </c>
      <c r="J3" s="1">
        <v>0.88</v>
      </c>
      <c r="K3" s="1">
        <v>0.85</v>
      </c>
      <c r="L3" s="1">
        <v>0.82</v>
      </c>
      <c r="M3" s="1">
        <v>0.81</v>
      </c>
      <c r="N3" s="1">
        <v>0.87</v>
      </c>
      <c r="O3" s="1">
        <v>0.89</v>
      </c>
      <c r="P3" s="1">
        <v>0.82</v>
      </c>
      <c r="Q3" s="1">
        <v>0.79</v>
      </c>
      <c r="R3" s="1">
        <v>0.8</v>
      </c>
      <c r="S3" s="1">
        <v>0.83</v>
      </c>
      <c r="T3" s="1">
        <f t="shared" si="0"/>
        <v>0.89</v>
      </c>
    </row>
    <row r="4" spans="1:20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t="str">
        <f>_xlfn.TEXTJOIN("-",TRUE,Table1[[#This Row],[attribute]],Table1[[#This Row],[supplemented]],Table1[[#This Row],[method]])</f>
        <v>plurality-TRUE-NN</v>
      </c>
      <c r="H4" s="1">
        <v>0.86</v>
      </c>
      <c r="I4" s="1">
        <v>0.83</v>
      </c>
      <c r="J4" s="1">
        <v>0.84</v>
      </c>
      <c r="K4" s="1">
        <v>0.82</v>
      </c>
      <c r="L4" s="1">
        <v>0.78</v>
      </c>
      <c r="M4" s="1">
        <v>0.8</v>
      </c>
      <c r="N4" s="1">
        <v>0.83</v>
      </c>
      <c r="O4" s="1">
        <v>0.84</v>
      </c>
      <c r="P4" s="1">
        <v>0.8</v>
      </c>
      <c r="Q4" s="1">
        <v>0.86</v>
      </c>
      <c r="R4" s="1">
        <v>0.77</v>
      </c>
      <c r="S4" s="1">
        <v>0.78</v>
      </c>
      <c r="T4" s="1">
        <f t="shared" si="0"/>
        <v>0.86</v>
      </c>
    </row>
    <row r="5" spans="1:20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t="str">
        <f>_xlfn.TEXTJOIN("-",TRUE,Table1[[#This Row],[attribute]],Table1[[#This Row],[supplemented]],Table1[[#This Row],[method]])</f>
        <v>plurality-FALSE-DT</v>
      </c>
      <c r="H5" s="1">
        <v>0.8</v>
      </c>
      <c r="I5" s="1">
        <v>0.77</v>
      </c>
      <c r="J5" s="1">
        <v>0.78</v>
      </c>
      <c r="K5" s="1">
        <v>0.76</v>
      </c>
      <c r="L5" s="1">
        <v>0.78</v>
      </c>
      <c r="M5" s="1">
        <v>0.76</v>
      </c>
      <c r="N5" s="1">
        <v>0.76</v>
      </c>
      <c r="O5" s="1">
        <v>0.82</v>
      </c>
      <c r="P5" s="1">
        <v>0.78</v>
      </c>
      <c r="Q5" s="1">
        <v>0.75</v>
      </c>
      <c r="R5" s="1">
        <v>0.77</v>
      </c>
      <c r="S5" s="1">
        <v>0.77</v>
      </c>
      <c r="T5" s="1">
        <f t="shared" si="0"/>
        <v>0.82</v>
      </c>
    </row>
    <row r="6" spans="1:20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t="str">
        <f>_xlfn.TEXTJOIN("-",TRUE,Table1[[#This Row],[attribute]],Table1[[#This Row],[supplemented]],Table1[[#This Row],[method]])</f>
        <v>plurality-FALSE-RF</v>
      </c>
      <c r="H6" s="1">
        <v>0.84</v>
      </c>
      <c r="I6" s="1">
        <v>0.83</v>
      </c>
      <c r="J6" s="1">
        <v>0.83</v>
      </c>
      <c r="K6" s="1">
        <v>0.8</v>
      </c>
      <c r="L6" s="1">
        <v>0.8</v>
      </c>
      <c r="M6" s="1">
        <v>0.8</v>
      </c>
      <c r="N6" s="1">
        <v>0.85</v>
      </c>
      <c r="O6" s="1">
        <v>0.86</v>
      </c>
      <c r="P6" s="1">
        <v>0.81</v>
      </c>
      <c r="Q6" s="1">
        <v>0.84</v>
      </c>
      <c r="R6" s="1">
        <v>0.8</v>
      </c>
      <c r="S6" s="1">
        <v>0.83</v>
      </c>
      <c r="T6" s="1">
        <f t="shared" si="0"/>
        <v>0.86</v>
      </c>
    </row>
    <row r="7" spans="1:20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t="str">
        <f>_xlfn.TEXTJOIN("-",TRUE,Table1[[#This Row],[attribute]],Table1[[#This Row],[supplemented]],Table1[[#This Row],[method]])</f>
        <v>plurality-FALSE-NN</v>
      </c>
      <c r="H7" s="1">
        <v>0.82</v>
      </c>
      <c r="I7" s="1">
        <v>0.82</v>
      </c>
      <c r="J7" s="1">
        <v>0.82</v>
      </c>
      <c r="K7" s="1">
        <v>0.8</v>
      </c>
      <c r="L7" s="1">
        <v>0.78</v>
      </c>
      <c r="M7" s="1">
        <v>0.78</v>
      </c>
      <c r="N7" s="1">
        <v>0.81</v>
      </c>
      <c r="O7" s="1">
        <v>0.8</v>
      </c>
      <c r="P7" s="1">
        <v>0.77</v>
      </c>
      <c r="Q7" s="1">
        <v>0.8</v>
      </c>
      <c r="R7" s="1">
        <v>0.78</v>
      </c>
      <c r="S7" s="1">
        <v>0.8</v>
      </c>
      <c r="T7" s="1">
        <f t="shared" si="0"/>
        <v>0.82</v>
      </c>
    </row>
    <row r="8" spans="1:20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t="str">
        <f>_xlfn.TEXTJOIN("-",TRUE,Table1[[#This Row],[attribute]],Table1[[#This Row],[supplemented]],Table1[[#This Row],[method]])</f>
        <v>gender-TRUE-DT</v>
      </c>
      <c r="H8" s="1">
        <v>0.53</v>
      </c>
      <c r="I8" s="1">
        <v>0.52</v>
      </c>
      <c r="J8" s="1">
        <v>0.5</v>
      </c>
      <c r="K8" s="1">
        <v>0.55000000000000004</v>
      </c>
      <c r="L8" s="1">
        <v>0.53</v>
      </c>
      <c r="M8" s="1">
        <v>0.48</v>
      </c>
      <c r="N8" s="1">
        <v>0.51</v>
      </c>
      <c r="O8" s="1">
        <v>0.55000000000000004</v>
      </c>
      <c r="P8" s="1">
        <v>0.48</v>
      </c>
      <c r="Q8" s="1">
        <v>0.51</v>
      </c>
      <c r="R8" s="1">
        <v>0.51</v>
      </c>
      <c r="S8" s="1">
        <v>0.49</v>
      </c>
      <c r="T8" s="1">
        <f t="shared" si="0"/>
        <v>0.55000000000000004</v>
      </c>
    </row>
    <row r="9" spans="1:20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t="str">
        <f>_xlfn.TEXTJOIN("-",TRUE,Table1[[#This Row],[attribute]],Table1[[#This Row],[supplemented]],Table1[[#This Row],[method]])</f>
        <v>gender-TRUE-RF</v>
      </c>
      <c r="H9" s="1">
        <v>0.62</v>
      </c>
      <c r="I9" s="1">
        <v>0.56999999999999995</v>
      </c>
      <c r="J9" s="1">
        <v>0.6</v>
      </c>
      <c r="K9" s="1">
        <v>0.63</v>
      </c>
      <c r="L9" s="1">
        <v>0.59</v>
      </c>
      <c r="M9" s="1">
        <v>0.55000000000000004</v>
      </c>
      <c r="N9" s="1">
        <v>0.56000000000000005</v>
      </c>
      <c r="O9" s="1">
        <v>0.63</v>
      </c>
      <c r="P9" s="1">
        <v>0.57999999999999996</v>
      </c>
      <c r="Q9" s="1">
        <v>0.59</v>
      </c>
      <c r="R9" s="1">
        <v>0.59</v>
      </c>
      <c r="S9" s="1">
        <v>0.53</v>
      </c>
      <c r="T9" s="1">
        <f t="shared" si="0"/>
        <v>0.63</v>
      </c>
    </row>
    <row r="10" spans="1:20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t="str">
        <f>_xlfn.TEXTJOIN("-",TRUE,Table1[[#This Row],[attribute]],Table1[[#This Row],[supplemented]],Table1[[#This Row],[method]])</f>
        <v>gender-TRUE-NN</v>
      </c>
      <c r="H10" s="1">
        <v>0.56999999999999995</v>
      </c>
      <c r="I10" s="1">
        <v>0.62</v>
      </c>
      <c r="J10" s="1">
        <v>0.6</v>
      </c>
      <c r="K10" s="1">
        <v>0.59</v>
      </c>
      <c r="L10" s="1">
        <v>0.56999999999999995</v>
      </c>
      <c r="M10" s="1">
        <v>0.55000000000000004</v>
      </c>
      <c r="N10" s="1">
        <v>0.56000000000000005</v>
      </c>
      <c r="O10" s="1">
        <v>0.59</v>
      </c>
      <c r="P10" s="1">
        <v>0.59</v>
      </c>
      <c r="Q10" s="1">
        <v>0.56999999999999995</v>
      </c>
      <c r="R10" s="1">
        <v>0.59</v>
      </c>
      <c r="S10" s="1">
        <v>0.59</v>
      </c>
      <c r="T10" s="1">
        <f t="shared" si="0"/>
        <v>0.62</v>
      </c>
    </row>
    <row r="11" spans="1:20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t="str">
        <f>_xlfn.TEXTJOIN("-",TRUE,Table1[[#This Row],[attribute]],Table1[[#This Row],[supplemented]],Table1[[#This Row],[method]])</f>
        <v>gender-FALSE-DT</v>
      </c>
      <c r="H11" s="1">
        <v>0.51</v>
      </c>
      <c r="I11" s="1">
        <v>0.49</v>
      </c>
      <c r="J11" s="1">
        <v>0.54</v>
      </c>
      <c r="K11" s="1">
        <v>0.49</v>
      </c>
      <c r="L11" s="1">
        <v>0.48</v>
      </c>
      <c r="M11" s="1">
        <v>0.49</v>
      </c>
      <c r="N11" s="1">
        <v>0.47</v>
      </c>
      <c r="O11" s="1">
        <v>0.56000000000000005</v>
      </c>
      <c r="P11" s="1">
        <v>0.53</v>
      </c>
      <c r="Q11" s="1">
        <v>0.51</v>
      </c>
      <c r="R11" s="1">
        <v>0.47</v>
      </c>
      <c r="S11" s="1">
        <v>0.45</v>
      </c>
      <c r="T11" s="1">
        <f t="shared" si="0"/>
        <v>0.56000000000000005</v>
      </c>
    </row>
    <row r="12" spans="1:20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t="str">
        <f>_xlfn.TEXTJOIN("-",TRUE,Table1[[#This Row],[attribute]],Table1[[#This Row],[supplemented]],Table1[[#This Row],[method]])</f>
        <v>gender-FALSE-RF</v>
      </c>
      <c r="H12" s="1">
        <v>0.55000000000000004</v>
      </c>
      <c r="I12" s="1">
        <v>0.62</v>
      </c>
      <c r="J12" s="1">
        <v>0.55000000000000004</v>
      </c>
      <c r="K12" s="1">
        <v>0.56999999999999995</v>
      </c>
      <c r="L12" s="1">
        <v>0.55000000000000004</v>
      </c>
      <c r="M12" s="1">
        <v>0.55000000000000004</v>
      </c>
      <c r="N12" s="1">
        <v>0.56000000000000005</v>
      </c>
      <c r="O12" s="1">
        <v>0.62</v>
      </c>
      <c r="P12" s="1">
        <v>0.6</v>
      </c>
      <c r="Q12" s="1">
        <v>0.56000000000000005</v>
      </c>
      <c r="R12" s="1">
        <v>0.56999999999999995</v>
      </c>
      <c r="S12" s="1">
        <v>0.52</v>
      </c>
      <c r="T12" s="1">
        <f t="shared" si="0"/>
        <v>0.62</v>
      </c>
    </row>
    <row r="13" spans="1:20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t="str">
        <f>_xlfn.TEXTJOIN("-",TRUE,Table1[[#This Row],[attribute]],Table1[[#This Row],[supplemented]],Table1[[#This Row],[method]])</f>
        <v>gender-FALSE-NN</v>
      </c>
      <c r="H13" s="1">
        <v>0.56000000000000005</v>
      </c>
      <c r="I13" s="1">
        <v>0.59</v>
      </c>
      <c r="J13" s="1">
        <v>0.63</v>
      </c>
      <c r="K13" s="1">
        <v>0.56000000000000005</v>
      </c>
      <c r="L13" s="1">
        <v>0.59</v>
      </c>
      <c r="M13" s="1">
        <v>0.56999999999999995</v>
      </c>
      <c r="N13" s="1">
        <v>0.55000000000000004</v>
      </c>
      <c r="O13" s="1">
        <v>0.61</v>
      </c>
      <c r="P13" s="1">
        <v>0.59</v>
      </c>
      <c r="Q13" s="1">
        <v>0.55000000000000004</v>
      </c>
      <c r="R13" s="1">
        <v>0.6</v>
      </c>
      <c r="S13" s="1">
        <v>0.65</v>
      </c>
      <c r="T13" s="1">
        <f t="shared" si="0"/>
        <v>0.65</v>
      </c>
    </row>
    <row r="14" spans="1:20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t="str">
        <f>_xlfn.TEXTJOIN("-",TRUE,Table1[[#This Row],[attribute]],Table1[[#This Row],[supplemented]],Table1[[#This Row],[method]])</f>
        <v>case-TRUE-DT</v>
      </c>
      <c r="H14" s="1">
        <v>0.38</v>
      </c>
      <c r="I14" s="1">
        <v>0.4</v>
      </c>
      <c r="J14" s="1">
        <v>0.4</v>
      </c>
      <c r="K14" s="1">
        <v>0.4</v>
      </c>
      <c r="L14" s="1">
        <v>0.36</v>
      </c>
      <c r="M14" s="1">
        <v>0.4</v>
      </c>
      <c r="N14" s="1">
        <v>0.41</v>
      </c>
      <c r="O14" s="1">
        <v>0.38</v>
      </c>
      <c r="P14" s="1">
        <v>0.37</v>
      </c>
      <c r="Q14" s="1">
        <v>0.4</v>
      </c>
      <c r="R14" s="1">
        <v>0.37</v>
      </c>
      <c r="S14" s="1">
        <v>0.38</v>
      </c>
      <c r="T14" s="1">
        <f t="shared" si="0"/>
        <v>0.41</v>
      </c>
    </row>
    <row r="15" spans="1:20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t="str">
        <f>_xlfn.TEXTJOIN("-",TRUE,Table1[[#This Row],[attribute]],Table1[[#This Row],[supplemented]],Table1[[#This Row],[method]])</f>
        <v>case-TRUE-RF</v>
      </c>
      <c r="H15" s="1">
        <v>0.39</v>
      </c>
      <c r="I15" s="1">
        <v>0.44</v>
      </c>
      <c r="J15" s="1">
        <v>0.42</v>
      </c>
      <c r="K15" s="1">
        <v>0.46</v>
      </c>
      <c r="L15" s="1">
        <v>0.38</v>
      </c>
      <c r="M15" s="1">
        <v>0.44</v>
      </c>
      <c r="N15" s="1">
        <v>0.39</v>
      </c>
      <c r="O15" s="1">
        <v>0.45</v>
      </c>
      <c r="P15" s="1">
        <v>0.4</v>
      </c>
      <c r="Q15" s="1">
        <v>0.44</v>
      </c>
      <c r="R15" s="1">
        <v>0.43</v>
      </c>
      <c r="S15" s="1">
        <v>0.42</v>
      </c>
      <c r="T15" s="1">
        <f t="shared" si="0"/>
        <v>0.46</v>
      </c>
    </row>
    <row r="16" spans="1:20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t="str">
        <f>_xlfn.TEXTJOIN("-",TRUE,Table1[[#This Row],[attribute]],Table1[[#This Row],[supplemented]],Table1[[#This Row],[method]])</f>
        <v>case-TRUE-NN</v>
      </c>
      <c r="H16" s="1">
        <v>0.37</v>
      </c>
      <c r="I16" s="1">
        <v>0.36</v>
      </c>
      <c r="J16" s="1">
        <v>0.4</v>
      </c>
      <c r="K16" s="1">
        <v>0.35</v>
      </c>
      <c r="L16" s="1">
        <v>0.3</v>
      </c>
      <c r="M16" s="1">
        <v>0.35</v>
      </c>
      <c r="N16" s="1">
        <v>0.4</v>
      </c>
      <c r="O16" s="1">
        <v>0.35</v>
      </c>
      <c r="P16" s="1">
        <v>0.32</v>
      </c>
      <c r="Q16" s="1">
        <v>0.39</v>
      </c>
      <c r="R16" s="1">
        <v>0.34</v>
      </c>
      <c r="S16" s="1">
        <v>0.38</v>
      </c>
      <c r="T16" s="1">
        <f t="shared" si="0"/>
        <v>0.4</v>
      </c>
    </row>
    <row r="17" spans="1:20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t="str">
        <f>_xlfn.TEXTJOIN("-",TRUE,Table1[[#This Row],[attribute]],Table1[[#This Row],[supplemented]],Table1[[#This Row],[method]])</f>
        <v>case-FALSE-DT</v>
      </c>
      <c r="H17" s="1">
        <v>0.36</v>
      </c>
      <c r="I17" s="1">
        <v>0.35</v>
      </c>
      <c r="J17" s="1">
        <v>0.4</v>
      </c>
      <c r="K17" s="1">
        <v>0.35</v>
      </c>
      <c r="L17" s="1">
        <v>0.35</v>
      </c>
      <c r="M17" s="1">
        <v>0.4</v>
      </c>
      <c r="N17" s="1">
        <v>0.36</v>
      </c>
      <c r="O17" s="1">
        <v>0.4</v>
      </c>
      <c r="P17" s="1">
        <v>0.34</v>
      </c>
      <c r="Q17" s="1">
        <v>0.38</v>
      </c>
      <c r="R17" s="1">
        <v>0.36</v>
      </c>
      <c r="S17" s="1">
        <v>0.37</v>
      </c>
      <c r="T17" s="1">
        <f t="shared" si="0"/>
        <v>0.4</v>
      </c>
    </row>
    <row r="18" spans="1:20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t="str">
        <f>_xlfn.TEXTJOIN("-",TRUE,Table1[[#This Row],[attribute]],Table1[[#This Row],[supplemented]],Table1[[#This Row],[method]])</f>
        <v>case-FALSE-RF</v>
      </c>
      <c r="H18" s="1">
        <v>0.37</v>
      </c>
      <c r="I18" s="1">
        <v>0.43</v>
      </c>
      <c r="J18" s="1">
        <v>0.39</v>
      </c>
      <c r="K18" s="1">
        <v>0.42</v>
      </c>
      <c r="L18" s="1">
        <v>0.37</v>
      </c>
      <c r="M18" s="1">
        <v>0.42</v>
      </c>
      <c r="N18" s="1">
        <v>0.36</v>
      </c>
      <c r="O18" s="1">
        <v>0.41</v>
      </c>
      <c r="P18" s="1">
        <v>0.42</v>
      </c>
      <c r="Q18" s="1">
        <v>0.46</v>
      </c>
      <c r="R18" s="1">
        <v>0.41</v>
      </c>
      <c r="S18" s="1">
        <v>0.42</v>
      </c>
      <c r="T18" s="1">
        <f t="shared" si="0"/>
        <v>0.46</v>
      </c>
    </row>
    <row r="19" spans="1:20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t="str">
        <f>_xlfn.TEXTJOIN("-",TRUE,Table1[[#This Row],[attribute]],Table1[[#This Row],[supplemented]],Table1[[#This Row],[method]])</f>
        <v>case-FALSE-NN</v>
      </c>
      <c r="H19" s="1">
        <v>0.38</v>
      </c>
      <c r="I19" s="1">
        <v>0.33</v>
      </c>
      <c r="J19" s="1">
        <v>0.37</v>
      </c>
      <c r="K19" s="1">
        <v>0.37</v>
      </c>
      <c r="L19" s="1">
        <v>0.3</v>
      </c>
      <c r="M19" s="1">
        <v>0.35</v>
      </c>
      <c r="N19" s="1">
        <v>0.32</v>
      </c>
      <c r="O19" s="1">
        <v>0.39</v>
      </c>
      <c r="P19" s="1">
        <v>0.38</v>
      </c>
      <c r="Q19" s="1">
        <v>0.4</v>
      </c>
      <c r="R19" s="1">
        <v>0.37</v>
      </c>
      <c r="S19" s="1">
        <v>0.39</v>
      </c>
      <c r="T19" s="1">
        <f t="shared" si="0"/>
        <v>0.4</v>
      </c>
    </row>
    <row r="22" spans="1:20" ht="25" customHeight="1">
      <c r="B22" t="s">
        <v>1</v>
      </c>
      <c r="C22" t="s">
        <v>2</v>
      </c>
      <c r="D22" t="s">
        <v>26</v>
      </c>
      <c r="E22" t="s">
        <v>4</v>
      </c>
      <c r="F22" t="s">
        <v>5</v>
      </c>
      <c r="G22" t="s">
        <v>32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</row>
    <row r="23" spans="1:20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5" t="str">
        <f>_xlfn.TEXTJOIN("-",TRUE,Table2[[#This Row],[attribute]],Table2[[#This Row],[supplemented]],Table2[[#This Row],[method]])</f>
        <v>plurality-TRUE-max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0.84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0.85</v>
      </c>
      <c r="L23" s="1" cm="1">
        <f t="array" ref="L23">_xlfn.LET(_xlpm.d,L$2:L$19,_xlpm.a,$C$2:$C$19=$C23,_xlpm.b,$D$2:$D$19=$D23,MAX(_xlfn._xlws.FILTER(_xlpm.d,_xlpm.a*_xlpm.b)))</f>
        <v>0.82</v>
      </c>
      <c r="M23" s="1" cm="1">
        <f t="array" ref="M23">_xlfn.LET(_xlpm.d,M$2:M$19,_xlpm.a,$C$2:$C$19=$C23,_xlpm.b,$D$2:$D$19=$D23,MAX(_xlfn._xlws.FILTER(_xlpm.d,_xlpm.a*_xlpm.b)))</f>
        <v>0.81</v>
      </c>
      <c r="N23" s="1" cm="1">
        <f t="array" ref="N23">_xlfn.LET(_xlpm.d,N$2:N$19,_xlpm.a,$C$2:$C$19=$C23,_xlpm.b,$D$2:$D$19=$D23,MAX(_xlfn._xlws.FILTER(_xlpm.d,_xlpm.a*_xlpm.b)))</f>
        <v>0.87</v>
      </c>
      <c r="O23" s="1" cm="1">
        <f t="array" ref="O23">_xlfn.LET(_xlpm.d,O$2:O$19,_xlpm.a,$C$2:$C$19=$C23,_xlpm.b,$D$2:$D$19=$D23,MAX(_xlfn._xlws.FILTER(_xlpm.d,_xlpm.a*_xlpm.b)))</f>
        <v>0.89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</v>
      </c>
      <c r="S23" s="1" cm="1">
        <f t="array" ref="S23">_xlfn.LET(_xlpm.d,S$2:S$19,_xlpm.a,$C$2:$C$19=$C23,_xlpm.b,$D$2:$D$19=$D23,MAX(_xlfn._xlws.FILTER(_xlpm.d,_xlpm.a*_xlpm.b)))</f>
        <v>0.83</v>
      </c>
      <c r="T23" s="1" cm="1">
        <f t="array" ref="T23">_xlfn.LET(_xlpm.d,T$2:T$19,_xlpm.a,$C$2:$C$19=$C23,_xlpm.b,$D$2:$D$19=$D23,MAX(_xlfn._xlws.FILTER(_xlpm.d,_xlpm.a*_xlpm.b)))</f>
        <v>0.89</v>
      </c>
    </row>
    <row r="24" spans="1:20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t="str">
        <f>_xlfn.TEXTJOIN("-",TRUE,Table2[[#This Row],[attribute]],Table2[[#This Row],[supplemented]],Table2[[#This Row],[method]])</f>
        <v>plurality-FALSE-max</v>
      </c>
      <c r="H24" s="1" cm="1">
        <f t="array" ref="H24">_xlfn.LET(_xlpm.d,H$2:H$19,_xlpm.a,$C$2:$C$19=$C24,_xlpm.b,$D$2:$D$19=$D24,MAX(_xlfn._xlws.FILTER(_xlpm.d,_xlpm.a*_xlpm.b)))</f>
        <v>0.84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0.85</v>
      </c>
      <c r="O24" s="1" cm="1">
        <f t="array" ref="O24">_xlfn.LET(_xlpm.d,O$2:O$19,_xlpm.a,$C$2:$C$19=$C24,_xlpm.b,$D$2:$D$19=$D24,MAX(_xlfn._xlws.FILTER(_xlpm.d,_xlpm.a*_xlpm.b)))</f>
        <v>0.86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0.83</v>
      </c>
      <c r="T24" s="1" cm="1">
        <f t="array" ref="T24">_xlfn.LET(_xlpm.d,T$2:T$19,_xlpm.a,$C$2:$C$19=$C24,_xlpm.b,$D$2:$D$19=$D24,MAX(_xlfn._xlws.FILTER(_xlpm.d,_xlpm.a*_xlpm.b)))</f>
        <v>0.86</v>
      </c>
    </row>
    <row r="25" spans="1:20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t="str">
        <f>_xlfn.TEXTJOIN("-",TRUE,Table2[[#This Row],[attribute]],Table2[[#This Row],[supplemented]],Table2[[#This Row],[method]])</f>
        <v>gender-TRUE-max</v>
      </c>
      <c r="H25" s="1" cm="1">
        <f t="array" ref="H25">_xlfn.LET(_xlpm.d,H$2:H$19,_xlpm.a,$C$2:$C$19=$C25,_xlpm.b,$D$2:$D$19=$D25,MAX(_xlfn._xlws.FILTER(_xlpm.d,_xlpm.a*_xlpm.b)))</f>
        <v>0.62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0.6</v>
      </c>
      <c r="K25" s="1" cm="1">
        <f t="array" ref="K25">_xlfn.LET(_xlpm.d,K$2:K$19,_xlpm.a,$C$2:$C$19=$C25,_xlpm.b,$D$2:$D$19=$D25,MAX(_xlfn._xlws.FILTER(_xlpm.d,_xlpm.a*_xlpm.b)))</f>
        <v>0.63</v>
      </c>
      <c r="L25" s="1" cm="1">
        <f t="array" ref="L25">_xlfn.LET(_xlpm.d,L$2:L$19,_xlpm.a,$C$2:$C$19=$C25,_xlpm.b,$D$2:$D$19=$D25,MAX(_xlfn._xlws.FILTER(_xlpm.d,_xlpm.a*_xlpm.b)))</f>
        <v>0.59</v>
      </c>
      <c r="M25" s="1" cm="1">
        <f t="array" ref="M25">_xlfn.LET(_xlpm.d,M$2:M$19,_xlpm.a,$C$2:$C$19=$C25,_xlpm.b,$D$2:$D$19=$D25,MAX(_xlfn._xlws.FILTER(_xlpm.d,_xlpm.a*_xlpm.b)))</f>
        <v>0.55000000000000004</v>
      </c>
      <c r="N25" s="1" cm="1">
        <f t="array" ref="N25">_xlfn.LET(_xlpm.d,N$2:N$19,_xlpm.a,$C$2:$C$19=$C25,_xlpm.b,$D$2:$D$19=$D25,MAX(_xlfn._xlws.FILTER(_xlpm.d,_xlpm.a*_xlpm.b)))</f>
        <v>0.56000000000000005</v>
      </c>
      <c r="O25" s="1" cm="1">
        <f t="array" ref="O25">_xlfn.LET(_xlpm.d,O$2:O$19,_xlpm.a,$C$2:$C$19=$C25,_xlpm.b,$D$2:$D$19=$D25,MAX(_xlfn._xlws.FILTER(_xlpm.d,_xlpm.a*_xlpm.b)))</f>
        <v>0.63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0.59</v>
      </c>
      <c r="R25" s="1" cm="1">
        <f t="array" ref="R25">_xlfn.LET(_xlpm.d,R$2:R$19,_xlpm.a,$C$2:$C$19=$C25,_xlpm.b,$D$2:$D$19=$D25,MAX(_xlfn._xlws.FILTER(_xlpm.d,_xlpm.a*_xlpm.b)))</f>
        <v>0.59</v>
      </c>
      <c r="S25" s="1" cm="1">
        <f t="array" ref="S25">_xlfn.LET(_xlpm.d,S$2:S$19,_xlpm.a,$C$2:$C$19=$C25,_xlpm.b,$D$2:$D$19=$D25,MAX(_xlfn._xlws.FILTER(_xlpm.d,_xlpm.a*_xlpm.b)))</f>
        <v>0.59</v>
      </c>
      <c r="T25" s="1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t="str">
        <f>_xlfn.TEXTJOIN("-",TRUE,Table2[[#This Row],[attribute]],Table2[[#This Row],[supplemented]],Table2[[#This Row],[method]])</f>
        <v>gender-FALSE-max</v>
      </c>
      <c r="H26" s="1" cm="1">
        <f t="array" ref="H26">_xlfn.LET(_xlpm.d,H$2:H$19,_xlpm.a,$C$2:$C$19=$C26,_xlpm.b,$D$2:$D$19=$D26,MAX(_xlfn._xlws.FILTER(_xlpm.d,_xlpm.a*_xlpm.b)))</f>
        <v>0.56000000000000005</v>
      </c>
      <c r="I26" s="1" cm="1">
        <f t="array" ref="I26">_xlfn.LET(_xlpm.d,I$2:I$19,_xlpm.a,$C$2:$C$19=$C26,_xlpm.b,$D$2:$D$19=$D26,MAX(_xlfn._xlws.FILTER(_xlpm.d,_xlpm.a*_xlpm.b)))</f>
        <v>0.62</v>
      </c>
      <c r="J26" s="1" cm="1">
        <f t="array" ref="J26">_xlfn.LET(_xlpm.d,J$2:J$19,_xlpm.a,$C$2:$C$19=$C26,_xlpm.b,$D$2:$D$19=$D26,MAX(_xlfn._xlws.FILTER(_xlpm.d,_xlpm.a*_xlpm.b)))</f>
        <v>0.63</v>
      </c>
      <c r="K26" s="1" cm="1">
        <f t="array" ref="K26">_xlfn.LET(_xlpm.d,K$2:K$19,_xlpm.a,$C$2:$C$19=$C26,_xlpm.b,$D$2:$D$19=$D26,MAX(_xlfn._xlws.FILTER(_xlpm.d,_xlpm.a*_xlpm.b)))</f>
        <v>0.56999999999999995</v>
      </c>
      <c r="L26" s="1" cm="1">
        <f t="array" ref="L26">_xlfn.LET(_xlpm.d,L$2:L$19,_xlpm.a,$C$2:$C$19=$C26,_xlpm.b,$D$2:$D$19=$D26,MAX(_xlfn._xlws.FILTER(_xlpm.d,_xlpm.a*_xlpm.b)))</f>
        <v>0.59</v>
      </c>
      <c r="M26" s="1" cm="1">
        <f t="array" ref="M26">_xlfn.LET(_xlpm.d,M$2:M$19,_xlpm.a,$C$2:$C$19=$C26,_xlpm.b,$D$2:$D$19=$D26,MAX(_xlfn._xlws.FILTER(_xlpm.d,_xlpm.a*_xlpm.b)))</f>
        <v>0.56999999999999995</v>
      </c>
      <c r="N26" s="1" cm="1">
        <f t="array" ref="N26">_xlfn.LET(_xlpm.d,N$2:N$19,_xlpm.a,$C$2:$C$19=$C26,_xlpm.b,$D$2:$D$19=$D26,MAX(_xlfn._xlws.FILTER(_xlpm.d,_xlpm.a*_xlpm.b)))</f>
        <v>0.56000000000000005</v>
      </c>
      <c r="O26" s="1" cm="1">
        <f t="array" ref="O26">_xlfn.LET(_xlpm.d,O$2:O$19,_xlpm.a,$C$2:$C$19=$C26,_xlpm.b,$D$2:$D$19=$D26,MAX(_xlfn._xlws.FILTER(_xlpm.d,_xlpm.a*_xlpm.b)))</f>
        <v>0.62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0.56000000000000005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0.65</v>
      </c>
      <c r="T26" s="1" cm="1">
        <f t="array" ref="T26">_xlfn.LET(_xlpm.d,T$2:T$19,_xlpm.a,$C$2:$C$19=$C26,_xlpm.b,$D$2:$D$19=$D26,MAX(_xlfn._xlws.FILTER(_xlpm.d,_xlpm.a*_xlpm.b)))</f>
        <v>0.65</v>
      </c>
    </row>
    <row r="27" spans="1:20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t="str">
        <f>_xlfn.TEXTJOIN("-",TRUE,Table2[[#This Row],[attribute]],Table2[[#This Row],[supplemented]],Table2[[#This Row],[method]])</f>
        <v>case-TRUE-max</v>
      </c>
      <c r="H27" s="1" cm="1">
        <f t="array" ref="H27">_xlfn.LET(_xlpm.d,H$2:H$19,_xlpm.a,$C$2:$C$19=$C27,_xlpm.b,$D$2:$D$19=$D27,MAX(_xlfn._xlws.FILTER(_xlpm.d,_xlpm.a*_xlpm.b)))</f>
        <v>0.39</v>
      </c>
      <c r="I27" s="1" cm="1">
        <f t="array" ref="I27">_xlfn.LET(_xlpm.d,I$2:I$19,_xlpm.a,$C$2:$C$19=$C27,_xlpm.b,$D$2:$D$19=$D27,MAX(_xlfn._xlws.FILTER(_xlpm.d,_xlpm.a*_xlpm.b)))</f>
        <v>0.44</v>
      </c>
      <c r="J27" s="1" cm="1">
        <f t="array" ref="J27">_xlfn.LET(_xlpm.d,J$2:J$19,_xlpm.a,$C$2:$C$19=$C27,_xlpm.b,$D$2:$D$19=$D27,MAX(_xlfn._xlws.FILTER(_xlpm.d,_xlpm.a*_xlpm.b)))</f>
        <v>0.42</v>
      </c>
      <c r="K27" s="1" cm="1">
        <f t="array" ref="K27">_xlfn.LET(_xlpm.d,K$2:K$19,_xlpm.a,$C$2:$C$19=$C27,_xlpm.b,$D$2:$D$19=$D27,MAX(_xlfn._xlws.FILTER(_xlpm.d,_xlpm.a*_xlpm.b)))</f>
        <v>0.46</v>
      </c>
      <c r="L27" s="1" cm="1">
        <f t="array" ref="L27">_xlfn.LET(_xlpm.d,L$2:L$19,_xlpm.a,$C$2:$C$19=$C27,_xlpm.b,$D$2:$D$19=$D27,MAX(_xlfn._xlws.FILTER(_xlpm.d,_xlpm.a*_xlpm.b)))</f>
        <v>0.38</v>
      </c>
      <c r="M27" s="1" cm="1">
        <f t="array" ref="M27">_xlfn.LET(_xlpm.d,M$2:M$19,_xlpm.a,$C$2:$C$19=$C27,_xlpm.b,$D$2:$D$19=$D27,MAX(_xlfn._xlws.FILTER(_xlpm.d,_xlpm.a*_xlpm.b)))</f>
        <v>0.44</v>
      </c>
      <c r="N27" s="1" cm="1">
        <f t="array" ref="N27">_xlfn.LET(_xlpm.d,N$2:N$19,_xlpm.a,$C$2:$C$19=$C27,_xlpm.b,$D$2:$D$19=$D27,MAX(_xlfn._xlws.FILTER(_xlpm.d,_xlpm.a*_xlpm.b)))</f>
        <v>0.41</v>
      </c>
      <c r="O27" s="1" cm="1">
        <f t="array" ref="O27">_xlfn.LET(_xlpm.d,O$2:O$19,_xlpm.a,$C$2:$C$19=$C27,_xlpm.b,$D$2:$D$19=$D27,MAX(_xlfn._xlws.FILTER(_xlpm.d,_xlpm.a*_xlpm.b)))</f>
        <v>0.45</v>
      </c>
      <c r="P27" s="1" cm="1">
        <f t="array" ref="P27">_xlfn.LET(_xlpm.d,P$2:P$19,_xlpm.a,$C$2:$C$19=$C27,_xlpm.b,$D$2:$D$19=$D27,MAX(_xlfn._xlws.FILTER(_xlpm.d,_xlpm.a*_xlpm.b)))</f>
        <v>0.4</v>
      </c>
      <c r="Q27" s="1" cm="1">
        <f t="array" ref="Q27">_xlfn.LET(_xlpm.d,Q$2:Q$19,_xlpm.a,$C$2:$C$19=$C27,_xlpm.b,$D$2:$D$19=$D27,MAX(_xlfn._xlws.FILTER(_xlpm.d,_xlpm.a*_xlpm.b)))</f>
        <v>0.44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0.42</v>
      </c>
      <c r="T27" s="1" cm="1">
        <f t="array" ref="T27">_xlfn.LET(_xlpm.d,T$2:T$19,_xlpm.a,$C$2:$C$19=$C27,_xlpm.b,$D$2:$D$19=$D27,MAX(_xlfn._xlws.FILTER(_xlpm.d,_xlpm.a*_xlpm.b)))</f>
        <v>0.46</v>
      </c>
    </row>
    <row r="28" spans="1:20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t="str">
        <f>_xlfn.TEXTJOIN("-",TRUE,Table2[[#This Row],[attribute]],Table2[[#This Row],[supplemented]],Table2[[#This Row],[method]])</f>
        <v>case-FALSE-max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0.43</v>
      </c>
      <c r="J28" s="1" cm="1">
        <f t="array" ref="J28">_xlfn.LET(_xlpm.d,J$2:J$19,_xlpm.a,$C$2:$C$19=$C28,_xlpm.b,$D$2:$D$19=$D28,MAX(_xlfn._xlws.FILTER(_xlpm.d,_xlpm.a*_xlpm.b)))</f>
        <v>0.4</v>
      </c>
      <c r="K28" s="1" cm="1">
        <f t="array" ref="K28">_xlfn.LET(_xlpm.d,K$2:K$19,_xlpm.a,$C$2:$C$19=$C28,_xlpm.b,$D$2:$D$19=$D28,MAX(_xlfn._xlws.FILTER(_xlpm.d,_xlpm.a*_xlpm.b)))</f>
        <v>0.42</v>
      </c>
      <c r="L28" s="1" cm="1">
        <f t="array" ref="L28">_xlfn.LET(_xlpm.d,L$2:L$19,_xlpm.a,$C$2:$C$19=$C28,_xlpm.b,$D$2:$D$19=$D28,MAX(_xlfn._xlws.FILTER(_xlpm.d,_xlpm.a*_xlpm.b)))</f>
        <v>0.37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0.36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0.46</v>
      </c>
      <c r="R28" s="1" cm="1">
        <f t="array" ref="R28">_xlfn.LET(_xlpm.d,R$2:R$19,_xlpm.a,$C$2:$C$19=$C28,_xlpm.b,$D$2:$D$19=$D28,MAX(_xlfn._xlws.FILTER(_xlpm.d,_xlpm.a*_xlpm.b)))</f>
        <v>0.41</v>
      </c>
      <c r="S28" s="1" cm="1">
        <f t="array" ref="S28">_xlfn.LET(_xlpm.d,S$2:S$19,_xlpm.a,$C$2:$C$19=$C28,_xlpm.b,$D$2:$D$19=$D28,MAX(_xlfn._xlws.FILTER(_xlpm.d,_xlpm.a*_xlpm.b)))</f>
        <v>0.42</v>
      </c>
      <c r="T28" s="1" cm="1">
        <f t="array" ref="T28">_xlfn.LET(_xlpm.d,T$2:T$19,_xlpm.a,$C$2:$C$19=$C28,_xlpm.b,$D$2:$D$19=$D28,MAX(_xlfn._xlws.FILTER(_xlpm.d,_xlpm.a*_xlpm.b)))</f>
        <v>0.46</v>
      </c>
    </row>
    <row r="31" spans="1:20" ht="25" customHeight="1">
      <c r="B31" t="s">
        <v>1</v>
      </c>
      <c r="C31" t="s">
        <v>2</v>
      </c>
      <c r="D31" t="s">
        <v>26</v>
      </c>
      <c r="E31" t="s">
        <v>4</v>
      </c>
      <c r="F31" t="s">
        <v>5</v>
      </c>
      <c r="G31" t="s">
        <v>32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15</v>
      </c>
      <c r="R31" t="s">
        <v>16</v>
      </c>
      <c r="S31" t="s">
        <v>17</v>
      </c>
    </row>
    <row r="32" spans="1:20" ht="25" customHeight="1">
      <c r="B32">
        <v>1</v>
      </c>
      <c r="C32" t="s">
        <v>20</v>
      </c>
      <c r="D32" t="b">
        <v>0</v>
      </c>
      <c r="E32">
        <v>1</v>
      </c>
      <c r="F32" t="s">
        <v>18</v>
      </c>
      <c r="G32" t="str">
        <f>_xlfn.TEXTJOIN("-",TRUE,Table25[[#This Row],[attribute]],Table25[[#This Row],[supplemented]],Table25[[#This Row],[method]])</f>
        <v>plurality-FALSE-max</v>
      </c>
      <c r="H32" s="6">
        <f t="shared" ref="H32:S32" si="1">_xlfn.LET(_xlpm.d,$H23:$S23,RANK(H23,_xlpm.d))</f>
        <v>3</v>
      </c>
      <c r="I32" s="6">
        <f t="shared" si="1"/>
        <v>7</v>
      </c>
      <c r="J32" s="6">
        <f t="shared" si="1"/>
        <v>2</v>
      </c>
      <c r="K32" s="6">
        <f t="shared" si="1"/>
        <v>6</v>
      </c>
      <c r="L32" s="6">
        <f t="shared" si="1"/>
        <v>9</v>
      </c>
      <c r="M32" s="6">
        <f t="shared" si="1"/>
        <v>11</v>
      </c>
      <c r="N32" s="6">
        <f t="shared" si="1"/>
        <v>3</v>
      </c>
      <c r="O32" s="6">
        <f t="shared" si="1"/>
        <v>1</v>
      </c>
      <c r="P32" s="6">
        <f t="shared" si="1"/>
        <v>9</v>
      </c>
      <c r="Q32" s="6">
        <f t="shared" si="1"/>
        <v>5</v>
      </c>
      <c r="R32" s="6">
        <f t="shared" si="1"/>
        <v>12</v>
      </c>
      <c r="S32" s="6">
        <f t="shared" si="1"/>
        <v>8</v>
      </c>
    </row>
    <row r="33" spans="2:19" ht="25" customHeight="1">
      <c r="B33">
        <v>1</v>
      </c>
      <c r="C33" t="s">
        <v>20</v>
      </c>
      <c r="D33" t="b">
        <v>1</v>
      </c>
      <c r="E33">
        <v>1</v>
      </c>
      <c r="F33" t="s">
        <v>18</v>
      </c>
      <c r="G33" t="str">
        <f>_xlfn.TEXTJOIN("-",TRUE,Table25[[#This Row],[attribute]],Table25[[#This Row],[supplemented]],Table25[[#This Row],[method]])</f>
        <v>plurality-TRUE-max</v>
      </c>
      <c r="H33" s="6">
        <f t="shared" ref="H33:S33" si="2">_xlfn.LET(_xlpm.d,$H24:$S24,RANK(H24,_xlpm.d))</f>
        <v>3</v>
      </c>
      <c r="I33" s="6">
        <f t="shared" si="2"/>
        <v>5</v>
      </c>
      <c r="J33" s="6">
        <f t="shared" si="2"/>
        <v>5</v>
      </c>
      <c r="K33" s="6">
        <f t="shared" si="2"/>
        <v>9</v>
      </c>
      <c r="L33" s="6">
        <f t="shared" si="2"/>
        <v>9</v>
      </c>
      <c r="M33" s="6">
        <f t="shared" si="2"/>
        <v>9</v>
      </c>
      <c r="N33" s="6">
        <f t="shared" si="2"/>
        <v>2</v>
      </c>
      <c r="O33" s="6">
        <f t="shared" si="2"/>
        <v>1</v>
      </c>
      <c r="P33" s="6">
        <f t="shared" si="2"/>
        <v>8</v>
      </c>
      <c r="Q33" s="6">
        <f t="shared" si="2"/>
        <v>3</v>
      </c>
      <c r="R33" s="6">
        <f t="shared" si="2"/>
        <v>9</v>
      </c>
      <c r="S33" s="6">
        <f t="shared" si="2"/>
        <v>5</v>
      </c>
    </row>
    <row r="34" spans="2:19" ht="25" customHeight="1">
      <c r="B34">
        <v>2</v>
      </c>
      <c r="C34" t="s">
        <v>24</v>
      </c>
      <c r="D34" t="b">
        <v>0</v>
      </c>
      <c r="E34">
        <v>1</v>
      </c>
      <c r="F34" t="s">
        <v>18</v>
      </c>
      <c r="G34" t="str">
        <f>_xlfn.TEXTJOIN("-",TRUE,Table25[[#This Row],[attribute]],Table25[[#This Row],[supplemented]],Table25[[#This Row],[method]])</f>
        <v>gender-FALSE-max</v>
      </c>
      <c r="H34" s="6">
        <f t="shared" ref="H34:S34" si="3">_xlfn.LET(_xlpm.d,$H25:$S25,RANK(H25,_xlpm.d))</f>
        <v>3</v>
      </c>
      <c r="I34" s="6">
        <f t="shared" si="3"/>
        <v>3</v>
      </c>
      <c r="J34" s="6">
        <f t="shared" si="3"/>
        <v>5</v>
      </c>
      <c r="K34" s="6">
        <f t="shared" si="3"/>
        <v>1</v>
      </c>
      <c r="L34" s="6">
        <f t="shared" si="3"/>
        <v>6</v>
      </c>
      <c r="M34" s="6">
        <f t="shared" si="3"/>
        <v>12</v>
      </c>
      <c r="N34" s="6">
        <f t="shared" si="3"/>
        <v>11</v>
      </c>
      <c r="O34" s="6">
        <f t="shared" si="3"/>
        <v>1</v>
      </c>
      <c r="P34" s="6">
        <f t="shared" si="3"/>
        <v>6</v>
      </c>
      <c r="Q34" s="6">
        <f t="shared" si="3"/>
        <v>6</v>
      </c>
      <c r="R34" s="6">
        <f t="shared" si="3"/>
        <v>6</v>
      </c>
      <c r="S34" s="6">
        <f t="shared" si="3"/>
        <v>6</v>
      </c>
    </row>
    <row r="35" spans="2:19" ht="25" customHeight="1">
      <c r="B35">
        <v>2</v>
      </c>
      <c r="C35" t="s">
        <v>24</v>
      </c>
      <c r="D35" t="b">
        <v>1</v>
      </c>
      <c r="E35">
        <v>1</v>
      </c>
      <c r="F35" t="s">
        <v>18</v>
      </c>
      <c r="G35" t="str">
        <f>_xlfn.TEXTJOIN("-",TRUE,Table25[[#This Row],[attribute]],Table25[[#This Row],[supplemented]],Table25[[#This Row],[method]])</f>
        <v>gender-TRUE-max</v>
      </c>
      <c r="H35" s="6">
        <f t="shared" ref="H35:S35" si="4">_xlfn.LET(_xlpm.d,$H26:$S26,RANK(H26,_xlpm.d))</f>
        <v>10</v>
      </c>
      <c r="I35" s="6">
        <f t="shared" si="4"/>
        <v>3</v>
      </c>
      <c r="J35" s="6">
        <f t="shared" si="4"/>
        <v>2</v>
      </c>
      <c r="K35" s="6">
        <f t="shared" si="4"/>
        <v>8</v>
      </c>
      <c r="L35" s="6">
        <f t="shared" si="4"/>
        <v>7</v>
      </c>
      <c r="M35" s="6">
        <f t="shared" si="4"/>
        <v>8</v>
      </c>
      <c r="N35" s="6">
        <f t="shared" si="4"/>
        <v>10</v>
      </c>
      <c r="O35" s="6">
        <f t="shared" si="4"/>
        <v>3</v>
      </c>
      <c r="P35" s="6">
        <f t="shared" si="4"/>
        <v>5</v>
      </c>
      <c r="Q35" s="6">
        <f t="shared" si="4"/>
        <v>10</v>
      </c>
      <c r="R35" s="6">
        <f t="shared" si="4"/>
        <v>5</v>
      </c>
      <c r="S35" s="6">
        <f t="shared" si="4"/>
        <v>1</v>
      </c>
    </row>
    <row r="36" spans="2:19" ht="25" customHeight="1">
      <c r="B36">
        <v>3</v>
      </c>
      <c r="C36" t="s">
        <v>25</v>
      </c>
      <c r="D36" t="b">
        <v>0</v>
      </c>
      <c r="E36">
        <v>1</v>
      </c>
      <c r="F36" t="s">
        <v>18</v>
      </c>
      <c r="G36" t="str">
        <f>_xlfn.TEXTJOIN("-",TRUE,Table25[[#This Row],[attribute]],Table25[[#This Row],[supplemented]],Table25[[#This Row],[method]])</f>
        <v>case-FALSE-max</v>
      </c>
      <c r="H36" s="6">
        <f t="shared" ref="H36:S36" si="5">_xlfn.LET(_xlpm.d,$H27:$S27,RANK(H27,_xlpm.d))</f>
        <v>11</v>
      </c>
      <c r="I36" s="6">
        <f t="shared" si="5"/>
        <v>3</v>
      </c>
      <c r="J36" s="6">
        <f t="shared" si="5"/>
        <v>7</v>
      </c>
      <c r="K36" s="6">
        <f t="shared" si="5"/>
        <v>1</v>
      </c>
      <c r="L36" s="6">
        <f t="shared" si="5"/>
        <v>12</v>
      </c>
      <c r="M36" s="6">
        <f t="shared" si="5"/>
        <v>3</v>
      </c>
      <c r="N36" s="6">
        <f t="shared" si="5"/>
        <v>9</v>
      </c>
      <c r="O36" s="6">
        <f t="shared" si="5"/>
        <v>2</v>
      </c>
      <c r="P36" s="6">
        <f t="shared" si="5"/>
        <v>10</v>
      </c>
      <c r="Q36" s="6">
        <f t="shared" si="5"/>
        <v>3</v>
      </c>
      <c r="R36" s="6">
        <f t="shared" si="5"/>
        <v>6</v>
      </c>
      <c r="S36" s="6">
        <f t="shared" si="5"/>
        <v>7</v>
      </c>
    </row>
    <row r="37" spans="2:19" ht="25" customHeight="1">
      <c r="B37">
        <v>3</v>
      </c>
      <c r="C37" t="s">
        <v>25</v>
      </c>
      <c r="D37" t="b">
        <v>1</v>
      </c>
      <c r="E37">
        <v>1</v>
      </c>
      <c r="F37" t="s">
        <v>18</v>
      </c>
      <c r="G37" t="str">
        <f>_xlfn.TEXTJOIN("-",TRUE,Table25[[#This Row],[attribute]],Table25[[#This Row],[supplemented]],Table25[[#This Row],[method]])</f>
        <v>case-TRUE-max</v>
      </c>
      <c r="H37" s="6">
        <f t="shared" ref="H37:S37" si="6">_xlfn.LET(_xlpm.d,$H28:$S28,RANK(H28,_xlpm.d))</f>
        <v>10</v>
      </c>
      <c r="I37" s="6">
        <f t="shared" si="6"/>
        <v>2</v>
      </c>
      <c r="J37" s="6">
        <f t="shared" si="6"/>
        <v>9</v>
      </c>
      <c r="K37" s="6">
        <f t="shared" si="6"/>
        <v>3</v>
      </c>
      <c r="L37" s="6">
        <f t="shared" si="6"/>
        <v>11</v>
      </c>
      <c r="M37" s="6">
        <f t="shared" si="6"/>
        <v>3</v>
      </c>
      <c r="N37" s="6">
        <f t="shared" si="6"/>
        <v>12</v>
      </c>
      <c r="O37" s="6">
        <f t="shared" si="6"/>
        <v>7</v>
      </c>
      <c r="P37" s="6">
        <f t="shared" si="6"/>
        <v>3</v>
      </c>
      <c r="Q37" s="6">
        <f t="shared" si="6"/>
        <v>1</v>
      </c>
      <c r="R37" s="6">
        <f t="shared" si="6"/>
        <v>7</v>
      </c>
      <c r="S37" s="6">
        <f t="shared" si="6"/>
        <v>3</v>
      </c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 H23:T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F9AA-A499-0547-B230-1D4609F502BB}">
  <sheetPr codeName="Sheet3"/>
  <dimension ref="A1:S28"/>
  <sheetViews>
    <sheetView workbookViewId="0">
      <selection activeCell="G1" sqref="G1:S1"/>
    </sheetView>
  </sheetViews>
  <sheetFormatPr baseColWidth="10" defaultRowHeight="25" customHeight="1"/>
  <cols>
    <col min="2" max="2" width="7.5" customWidth="1"/>
    <col min="4" max="4" width="8.125" customWidth="1"/>
    <col min="5" max="5" width="6.875" customWidth="1"/>
    <col min="6" max="6" width="9" customWidth="1"/>
    <col min="7" max="19" width="8.3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0.76</v>
      </c>
      <c r="H2" s="1">
        <v>0.82</v>
      </c>
      <c r="I2" s="1">
        <v>0.75</v>
      </c>
      <c r="J2" s="1">
        <v>0.79</v>
      </c>
      <c r="K2" s="1">
        <v>0.76</v>
      </c>
      <c r="L2" s="1">
        <v>0.76</v>
      </c>
      <c r="M2" s="1">
        <v>0.86</v>
      </c>
      <c r="N2" s="1">
        <v>0.83</v>
      </c>
      <c r="O2" s="1">
        <v>0.79</v>
      </c>
      <c r="P2" s="1">
        <v>0.79</v>
      </c>
      <c r="Q2" s="1">
        <v>0.79</v>
      </c>
      <c r="R2" s="1">
        <v>0.71</v>
      </c>
      <c r="S2" s="1">
        <f t="shared" ref="S2:S19" si="0">MAX($G2:$R2)</f>
        <v>0.86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0.78</v>
      </c>
      <c r="H3" s="1">
        <v>0.87</v>
      </c>
      <c r="I3" s="1">
        <v>0.81</v>
      </c>
      <c r="J3" s="1">
        <v>0.84</v>
      </c>
      <c r="K3" s="1">
        <v>0.8</v>
      </c>
      <c r="L3" s="1">
        <v>0.77</v>
      </c>
      <c r="M3" s="1">
        <v>0.87</v>
      </c>
      <c r="N3" s="1">
        <v>0.84</v>
      </c>
      <c r="O3" s="1">
        <v>0.85</v>
      </c>
      <c r="P3" s="1">
        <v>0.84</v>
      </c>
      <c r="Q3" s="1">
        <v>0.84</v>
      </c>
      <c r="R3" s="1">
        <v>0.82</v>
      </c>
      <c r="S3" s="1">
        <f t="shared" si="0"/>
        <v>0.87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0.78</v>
      </c>
      <c r="H4" s="1">
        <v>0.83</v>
      </c>
      <c r="I4" s="1">
        <v>0.81</v>
      </c>
      <c r="J4" s="1">
        <v>0.81</v>
      </c>
      <c r="K4" s="1">
        <v>0.79</v>
      </c>
      <c r="L4" s="1">
        <v>0.76</v>
      </c>
      <c r="M4" s="1">
        <v>0.85</v>
      </c>
      <c r="N4" s="1">
        <v>0.86</v>
      </c>
      <c r="O4" s="1">
        <v>0.85</v>
      </c>
      <c r="P4" s="1">
        <v>0.84</v>
      </c>
      <c r="Q4" s="1">
        <v>0.82</v>
      </c>
      <c r="R4" s="1">
        <v>0.76</v>
      </c>
      <c r="S4" s="1">
        <f t="shared" si="0"/>
        <v>0.86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0.72</v>
      </c>
      <c r="H5" s="1">
        <v>0.81</v>
      </c>
      <c r="I5" s="1">
        <v>0.73</v>
      </c>
      <c r="J5" s="1">
        <v>0.8</v>
      </c>
      <c r="K5" s="1">
        <v>0.74</v>
      </c>
      <c r="L5" s="1">
        <v>0.74</v>
      </c>
      <c r="M5" s="1">
        <v>0.78</v>
      </c>
      <c r="N5" s="1">
        <v>0.8</v>
      </c>
      <c r="O5" s="1">
        <v>0.8</v>
      </c>
      <c r="P5" s="1">
        <v>0.78</v>
      </c>
      <c r="Q5" s="1">
        <v>0.75</v>
      </c>
      <c r="R5" s="1">
        <v>0.78</v>
      </c>
      <c r="S5" s="1">
        <f t="shared" si="0"/>
        <v>0.81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0.76</v>
      </c>
      <c r="H6" s="1">
        <v>0.81</v>
      </c>
      <c r="I6" s="1">
        <v>0.79</v>
      </c>
      <c r="J6" s="1">
        <v>0.84</v>
      </c>
      <c r="K6" s="1">
        <v>0.78</v>
      </c>
      <c r="L6" s="1">
        <v>0.75</v>
      </c>
      <c r="M6" s="1">
        <v>0.83</v>
      </c>
      <c r="N6" s="1">
        <v>0.82</v>
      </c>
      <c r="O6" s="1">
        <v>0.83</v>
      </c>
      <c r="P6" s="1">
        <v>0.83</v>
      </c>
      <c r="Q6" s="1">
        <v>0.84</v>
      </c>
      <c r="R6" s="1">
        <v>0.83</v>
      </c>
      <c r="S6" s="1">
        <f t="shared" si="0"/>
        <v>0.84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0.7</v>
      </c>
      <c r="H7" s="1">
        <v>0.8</v>
      </c>
      <c r="I7" s="1">
        <v>0.77</v>
      </c>
      <c r="J7" s="1">
        <v>0.8</v>
      </c>
      <c r="K7" s="1">
        <v>0.78</v>
      </c>
      <c r="L7" s="1">
        <v>0.79</v>
      </c>
      <c r="M7" s="1">
        <v>0.84</v>
      </c>
      <c r="N7" s="1">
        <v>0.78</v>
      </c>
      <c r="O7" s="1">
        <v>0.8</v>
      </c>
      <c r="P7" s="1">
        <v>0.83</v>
      </c>
      <c r="Q7" s="1">
        <v>0.81</v>
      </c>
      <c r="R7" s="1">
        <v>0.75</v>
      </c>
      <c r="S7" s="1">
        <f t="shared" si="0"/>
        <v>0.84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0.47</v>
      </c>
      <c r="H8" s="1">
        <v>0.52</v>
      </c>
      <c r="I8" s="1">
        <v>0.49</v>
      </c>
      <c r="J8" s="1">
        <v>0.55000000000000004</v>
      </c>
      <c r="K8" s="1">
        <v>0.47</v>
      </c>
      <c r="L8" s="1">
        <v>0.49</v>
      </c>
      <c r="M8" s="1">
        <v>0.54</v>
      </c>
      <c r="N8" s="1">
        <v>0.55000000000000004</v>
      </c>
      <c r="O8" s="1">
        <v>0.53</v>
      </c>
      <c r="P8" s="1">
        <v>0.48</v>
      </c>
      <c r="Q8" s="1">
        <v>0.5</v>
      </c>
      <c r="R8" s="1">
        <v>0.43</v>
      </c>
      <c r="S8" s="1">
        <f t="shared" si="0"/>
        <v>0.55000000000000004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0.57999999999999996</v>
      </c>
      <c r="H9" s="1">
        <v>0.57999999999999996</v>
      </c>
      <c r="I9" s="1">
        <v>0.59</v>
      </c>
      <c r="J9" s="1">
        <v>0.63</v>
      </c>
      <c r="K9" s="1">
        <v>0.56000000000000005</v>
      </c>
      <c r="L9" s="1">
        <v>0.56000000000000005</v>
      </c>
      <c r="M9" s="1">
        <v>0.64</v>
      </c>
      <c r="N9" s="1">
        <v>0.6</v>
      </c>
      <c r="O9" s="1">
        <v>0.61</v>
      </c>
      <c r="P9" s="1">
        <v>0.59</v>
      </c>
      <c r="Q9" s="1">
        <v>0.57999999999999996</v>
      </c>
      <c r="R9" s="1">
        <v>0.56000000000000005</v>
      </c>
      <c r="S9" s="1">
        <f t="shared" si="0"/>
        <v>0.64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0.56000000000000005</v>
      </c>
      <c r="H10" s="1">
        <v>0.55000000000000004</v>
      </c>
      <c r="I10" s="1">
        <v>0.61</v>
      </c>
      <c r="J10" s="1">
        <v>0.59</v>
      </c>
      <c r="K10" s="1">
        <v>0.56000000000000005</v>
      </c>
      <c r="L10" s="1">
        <v>0.54</v>
      </c>
      <c r="M10" s="1">
        <v>0.57999999999999996</v>
      </c>
      <c r="N10" s="1">
        <v>0.63</v>
      </c>
      <c r="O10" s="1">
        <v>0.63</v>
      </c>
      <c r="P10" s="1">
        <v>0.59</v>
      </c>
      <c r="Q10" s="1">
        <v>0.62</v>
      </c>
      <c r="R10" s="1">
        <v>0.56000000000000005</v>
      </c>
      <c r="S10" s="1">
        <f t="shared" si="0"/>
        <v>0.63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0.52</v>
      </c>
      <c r="H11" s="1">
        <v>0.51</v>
      </c>
      <c r="I11" s="1">
        <v>0.51</v>
      </c>
      <c r="J11" s="1">
        <v>0.51</v>
      </c>
      <c r="K11" s="1">
        <v>0.48</v>
      </c>
      <c r="L11" s="1">
        <v>0.47</v>
      </c>
      <c r="M11" s="1">
        <v>0.51</v>
      </c>
      <c r="N11" s="1">
        <v>0.55000000000000004</v>
      </c>
      <c r="O11" s="1">
        <v>0.52</v>
      </c>
      <c r="P11" s="1">
        <v>0.51</v>
      </c>
      <c r="Q11" s="1">
        <v>0.51</v>
      </c>
      <c r="R11" s="1">
        <v>0.45</v>
      </c>
      <c r="S11" s="1">
        <f t="shared" si="0"/>
        <v>0.55000000000000004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0.56999999999999995</v>
      </c>
      <c r="H12" s="1">
        <v>0.56000000000000005</v>
      </c>
      <c r="I12" s="1">
        <v>0.52</v>
      </c>
      <c r="J12" s="1">
        <v>0.59</v>
      </c>
      <c r="K12" s="1">
        <v>0.54</v>
      </c>
      <c r="L12" s="1">
        <v>0.56999999999999995</v>
      </c>
      <c r="M12" s="1">
        <v>0.57999999999999996</v>
      </c>
      <c r="N12" s="1">
        <v>0.49</v>
      </c>
      <c r="O12" s="1">
        <v>0.61</v>
      </c>
      <c r="P12" s="1">
        <v>0.59</v>
      </c>
      <c r="Q12" s="1">
        <v>0.54</v>
      </c>
      <c r="R12" s="1">
        <v>0.55000000000000004</v>
      </c>
      <c r="S12" s="1">
        <f t="shared" si="0"/>
        <v>0.61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0.56000000000000005</v>
      </c>
      <c r="H13" s="1">
        <v>0.56999999999999995</v>
      </c>
      <c r="I13" s="1">
        <v>0.56999999999999995</v>
      </c>
      <c r="J13" s="1">
        <v>0.57999999999999996</v>
      </c>
      <c r="K13" s="1">
        <v>0.56000000000000005</v>
      </c>
      <c r="L13" s="1">
        <v>0.56000000000000005</v>
      </c>
      <c r="M13" s="1">
        <v>0.54</v>
      </c>
      <c r="N13" s="1">
        <v>0.59</v>
      </c>
      <c r="O13" s="1">
        <v>0.61</v>
      </c>
      <c r="P13" s="1">
        <v>0.6</v>
      </c>
      <c r="Q13" s="1">
        <v>0.61</v>
      </c>
      <c r="R13" s="1">
        <v>0.55000000000000004</v>
      </c>
      <c r="S13" s="1">
        <f t="shared" si="0"/>
        <v>0.61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0.37</v>
      </c>
      <c r="H14" s="1">
        <v>0.35</v>
      </c>
      <c r="I14" s="1">
        <v>0.35</v>
      </c>
      <c r="J14" s="1">
        <v>0.39</v>
      </c>
      <c r="K14" s="1">
        <v>0.38</v>
      </c>
      <c r="L14" s="1">
        <v>0.34</v>
      </c>
      <c r="M14" s="1">
        <v>0.42</v>
      </c>
      <c r="N14" s="1">
        <v>0.39</v>
      </c>
      <c r="O14" s="1">
        <v>0.36</v>
      </c>
      <c r="P14" s="1">
        <v>0.41</v>
      </c>
      <c r="Q14" s="1">
        <v>0.36</v>
      </c>
      <c r="R14" s="1">
        <v>0.41</v>
      </c>
      <c r="S14" s="1">
        <f t="shared" si="0"/>
        <v>0.42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0.41</v>
      </c>
      <c r="H15" s="1">
        <v>0.41</v>
      </c>
      <c r="I15" s="1">
        <v>0.37</v>
      </c>
      <c r="J15" s="1">
        <v>0.46</v>
      </c>
      <c r="K15" s="1">
        <v>0.41</v>
      </c>
      <c r="L15" s="1">
        <v>0.41</v>
      </c>
      <c r="M15" s="1">
        <v>0.43</v>
      </c>
      <c r="N15" s="1">
        <v>0.47</v>
      </c>
      <c r="O15" s="1">
        <v>0.39</v>
      </c>
      <c r="P15" s="1">
        <v>0.42</v>
      </c>
      <c r="Q15" s="1">
        <v>0.44</v>
      </c>
      <c r="R15" s="1">
        <v>0.41</v>
      </c>
      <c r="S15" s="1">
        <f t="shared" si="0"/>
        <v>0.47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0.34</v>
      </c>
      <c r="H16" s="1">
        <v>0.36</v>
      </c>
      <c r="I16" s="1">
        <v>0.35</v>
      </c>
      <c r="J16" s="1">
        <v>0.33</v>
      </c>
      <c r="K16" s="1">
        <v>0.42</v>
      </c>
      <c r="L16" s="1">
        <v>0.37</v>
      </c>
      <c r="M16" s="1">
        <v>0.4</v>
      </c>
      <c r="N16" s="1">
        <v>0.4</v>
      </c>
      <c r="O16" s="1">
        <v>0.38</v>
      </c>
      <c r="P16" s="1">
        <v>0.42</v>
      </c>
      <c r="Q16" s="1">
        <v>0.43</v>
      </c>
      <c r="R16" s="1">
        <v>0.41</v>
      </c>
      <c r="S16" s="1">
        <f t="shared" si="0"/>
        <v>0.43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0.34</v>
      </c>
      <c r="H17" s="1">
        <v>0.34</v>
      </c>
      <c r="I17" s="1">
        <v>0.33</v>
      </c>
      <c r="J17" s="1">
        <v>0.38</v>
      </c>
      <c r="K17" s="1">
        <v>0.36</v>
      </c>
      <c r="L17" s="1">
        <v>0.37</v>
      </c>
      <c r="M17" s="1">
        <v>0.45</v>
      </c>
      <c r="N17" s="1">
        <v>0.35</v>
      </c>
      <c r="O17" s="1">
        <v>0.36</v>
      </c>
      <c r="P17" s="1">
        <v>0.36</v>
      </c>
      <c r="Q17" s="1">
        <v>0.38</v>
      </c>
      <c r="R17" s="1">
        <v>0.36</v>
      </c>
      <c r="S17" s="1">
        <f t="shared" si="0"/>
        <v>0.45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0.36</v>
      </c>
      <c r="H18" s="1">
        <v>0.4</v>
      </c>
      <c r="I18" s="1">
        <v>0.36</v>
      </c>
      <c r="J18" s="1">
        <v>0.43</v>
      </c>
      <c r="K18" s="1">
        <v>0.39</v>
      </c>
      <c r="L18" s="1">
        <v>0.4</v>
      </c>
      <c r="M18" s="1">
        <v>0.41</v>
      </c>
      <c r="N18" s="1">
        <v>0.43</v>
      </c>
      <c r="O18" s="1">
        <v>0.41</v>
      </c>
      <c r="P18" s="1">
        <v>0.42</v>
      </c>
      <c r="Q18" s="1">
        <v>0.41</v>
      </c>
      <c r="R18" s="1">
        <v>0.43</v>
      </c>
      <c r="S18" s="1">
        <f t="shared" si="0"/>
        <v>0.43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0.33</v>
      </c>
      <c r="H19" s="1">
        <v>0.35</v>
      </c>
      <c r="I19" s="1">
        <v>0.32</v>
      </c>
      <c r="J19" s="1">
        <v>0.31</v>
      </c>
      <c r="K19" s="1">
        <v>0.37</v>
      </c>
      <c r="L19" s="1">
        <v>0.38</v>
      </c>
      <c r="M19" s="1">
        <v>0.34</v>
      </c>
      <c r="N19" s="1">
        <v>0.37</v>
      </c>
      <c r="O19" s="1">
        <v>0.39</v>
      </c>
      <c r="P19" s="1">
        <v>0.37</v>
      </c>
      <c r="Q19" s="1">
        <v>0.41</v>
      </c>
      <c r="R19" s="1">
        <v>0.43</v>
      </c>
      <c r="S19" s="1">
        <f t="shared" si="0"/>
        <v>0.43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0.78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0.81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</v>
      </c>
      <c r="L23" s="1" cm="1">
        <f t="array" ref="L23">_xlfn.LET(_xlpm.d,L$2:L$19,_xlpm.a,$C$2:$C$19=$C23,_xlpm.b,$D$2:$D$19=$D23,MAX(_xlfn._xlws.FILTER(_xlpm.d,_xlpm.a*_xlpm.b)))</f>
        <v>0.77</v>
      </c>
      <c r="M23" s="1" cm="1">
        <f t="array" ref="M23">_xlfn.LET(_xlpm.d,M$2:M$19,_xlpm.a,$C$2:$C$19=$C23,_xlpm.b,$D$2:$D$19=$D23,MAX(_xlfn._xlws.FILTER(_xlpm.d,_xlpm.a*_xlpm.b)))</f>
        <v>0.87</v>
      </c>
      <c r="N23" s="1" cm="1">
        <f t="array" ref="N23">_xlfn.LET(_xlpm.d,N$2:N$19,_xlpm.a,$C$2:$C$19=$C23,_xlpm.b,$D$2:$D$19=$D23,MAX(_xlfn._xlws.FILTER(_xlpm.d,_xlpm.a*_xlpm.b)))</f>
        <v>0.86</v>
      </c>
      <c r="O23" s="1" cm="1">
        <f t="array" ref="O23">_xlfn.LET(_xlpm.d,O$2:O$19,_xlpm.a,$C$2:$C$19=$C23,_xlpm.b,$D$2:$D$19=$D23,MAX(_xlfn._xlws.FILTER(_xlpm.d,_xlpm.a*_xlpm.b)))</f>
        <v>0.85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0.87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0.76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0.79</v>
      </c>
      <c r="J24" s="1" cm="1">
        <f t="array" ref="J24">_xlfn.LET(_xlpm.d,J$2:J$19,_xlpm.a,$C$2:$C$19=$C24,_xlpm.b,$D$2:$D$19=$D24,MAX(_xlfn._xlws.FILTER(_xlpm.d,_xlpm.a*_xlpm.b)))</f>
        <v>0.84</v>
      </c>
      <c r="K24" s="1" cm="1">
        <f t="array" ref="K24">_xlfn.LET(_xlpm.d,K$2:K$19,_xlpm.a,$C$2:$C$19=$C24,_xlpm.b,$D$2:$D$19=$D24,MAX(_xlfn._xlws.FILTER(_xlpm.d,_xlpm.a*_xlpm.b)))</f>
        <v>0.78</v>
      </c>
      <c r="L24" s="1" cm="1">
        <f t="array" ref="L24">_xlfn.LET(_xlpm.d,L$2:L$19,_xlpm.a,$C$2:$C$19=$C24,_xlpm.b,$D$2:$D$19=$D24,MAX(_xlfn._xlws.FILTER(_xlpm.d,_xlpm.a*_xlpm.b)))</f>
        <v>0.79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0.83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0.83</v>
      </c>
      <c r="S24" s="1" cm="1">
        <f t="array" ref="S24">_xlfn.LET(_xlpm.d,S$2:S$19,_xlpm.a,$C$2:$C$19=$C24,_xlpm.b,$D$2:$D$19=$D24,MAX(_xlfn._xlws.FILTER(_xlpm.d,_xlpm.a*_xlpm.b)))</f>
        <v>0.84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0.57999999999999996</v>
      </c>
      <c r="H25" s="1" cm="1">
        <f t="array" ref="H25">_xlfn.LET(_xlpm.d,H$2:H$19,_xlpm.a,$C$2:$C$19=$C25,_xlpm.b,$D$2:$D$19=$D25,MAX(_xlfn._xlws.FILTER(_xlpm.d,_xlpm.a*_xlpm.b)))</f>
        <v>0.57999999999999996</v>
      </c>
      <c r="I25" s="1" cm="1">
        <f t="array" ref="I25">_xlfn.LET(_xlpm.d,I$2:I$19,_xlpm.a,$C$2:$C$19=$C25,_xlpm.b,$D$2:$D$19=$D25,MAX(_xlfn._xlws.FILTER(_xlpm.d,_xlpm.a*_xlpm.b)))</f>
        <v>0.61</v>
      </c>
      <c r="J25" s="1" cm="1">
        <f t="array" ref="J25">_xlfn.LET(_xlpm.d,J$2:J$19,_xlpm.a,$C$2:$C$19=$C25,_xlpm.b,$D$2:$D$19=$D25,MAX(_xlfn._xlws.FILTER(_xlpm.d,_xlpm.a*_xlpm.b)))</f>
        <v>0.63</v>
      </c>
      <c r="K25" s="1" cm="1">
        <f t="array" ref="K25">_xlfn.LET(_xlpm.d,K$2:K$19,_xlpm.a,$C$2:$C$19=$C25,_xlpm.b,$D$2:$D$19=$D25,MAX(_xlfn._xlws.FILTER(_xlpm.d,_xlpm.a*_xlpm.b)))</f>
        <v>0.56000000000000005</v>
      </c>
      <c r="L25" s="1" cm="1">
        <f t="array" ref="L25">_xlfn.LET(_xlpm.d,L$2:L$19,_xlpm.a,$C$2:$C$19=$C25,_xlpm.b,$D$2:$D$19=$D25,MAX(_xlfn._xlws.FILTER(_xlpm.d,_xlpm.a*_xlpm.b)))</f>
        <v>0.56000000000000005</v>
      </c>
      <c r="M25" s="1" cm="1">
        <f t="array" ref="M25">_xlfn.LET(_xlpm.d,M$2:M$19,_xlpm.a,$C$2:$C$19=$C25,_xlpm.b,$D$2:$D$19=$D25,MAX(_xlfn._xlws.FILTER(_xlpm.d,_xlpm.a*_xlpm.b)))</f>
        <v>0.64</v>
      </c>
      <c r="N25" s="1" cm="1">
        <f t="array" ref="N25">_xlfn.LET(_xlpm.d,N$2:N$19,_xlpm.a,$C$2:$C$19=$C25,_xlpm.b,$D$2:$D$19=$D25,MAX(_xlfn._xlws.FILTER(_xlpm.d,_xlpm.a*_xlpm.b)))</f>
        <v>0.63</v>
      </c>
      <c r="O25" s="1" cm="1">
        <f t="array" ref="O25">_xlfn.LET(_xlpm.d,O$2:O$19,_xlpm.a,$C$2:$C$19=$C25,_xlpm.b,$D$2:$D$19=$D25,MAX(_xlfn._xlws.FILTER(_xlpm.d,_xlpm.a*_xlpm.b)))</f>
        <v>0.63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0.62</v>
      </c>
      <c r="R25" s="1" cm="1">
        <f t="array" ref="R25">_xlfn.LET(_xlpm.d,R$2:R$19,_xlpm.a,$C$2:$C$19=$C25,_xlpm.b,$D$2:$D$19=$D25,MAX(_xlfn._xlws.FILTER(_xlpm.d,_xlpm.a*_xlpm.b)))</f>
        <v>0.56000000000000005</v>
      </c>
      <c r="S25" s="1" cm="1">
        <f t="array" ref="S25">_xlfn.LET(_xlpm.d,S$2:S$19,_xlpm.a,$C$2:$C$19=$C25,_xlpm.b,$D$2:$D$19=$D25,MAX(_xlfn._xlws.FILTER(_xlpm.d,_xlpm.a*_xlpm.b)))</f>
        <v>0.64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0.56999999999999995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0.56999999999999995</v>
      </c>
      <c r="J26" s="1" cm="1">
        <f t="array" ref="J26">_xlfn.LET(_xlpm.d,J$2:J$19,_xlpm.a,$C$2:$C$19=$C26,_xlpm.b,$D$2:$D$19=$D26,MAX(_xlfn._xlws.FILTER(_xlpm.d,_xlpm.a*_xlpm.b)))</f>
        <v>0.59</v>
      </c>
      <c r="K26" s="1" cm="1">
        <f t="array" ref="K26">_xlfn.LET(_xlpm.d,K$2:K$19,_xlpm.a,$C$2:$C$19=$C26,_xlpm.b,$D$2:$D$19=$D26,MAX(_xlfn._xlws.FILTER(_xlpm.d,_xlpm.a*_xlpm.b)))</f>
        <v>0.56000000000000005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0.59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0.61</v>
      </c>
      <c r="R26" s="1" cm="1">
        <f t="array" ref="R26">_xlfn.LET(_xlpm.d,R$2:R$19,_xlpm.a,$C$2:$C$19=$C26,_xlpm.b,$D$2:$D$19=$D26,MAX(_xlfn._xlws.FILTER(_xlpm.d,_xlpm.a*_xlpm.b)))</f>
        <v>0.55000000000000004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0.41</v>
      </c>
      <c r="H27" s="1" cm="1">
        <f t="array" ref="H27">_xlfn.LET(_xlpm.d,H$2:H$19,_xlpm.a,$C$2:$C$19=$C27,_xlpm.b,$D$2:$D$19=$D27,MAX(_xlfn._xlws.FILTER(_xlpm.d,_xlpm.a*_xlpm.b)))</f>
        <v>0.41</v>
      </c>
      <c r="I27" s="1" cm="1">
        <f t="array" ref="I27">_xlfn.LET(_xlpm.d,I$2:I$19,_xlpm.a,$C$2:$C$19=$C27,_xlpm.b,$D$2:$D$19=$D27,MAX(_xlfn._xlws.FILTER(_xlpm.d,_xlpm.a*_xlpm.b)))</f>
        <v>0.37</v>
      </c>
      <c r="J27" s="1" cm="1">
        <f t="array" ref="J27">_xlfn.LET(_xlpm.d,J$2:J$19,_xlpm.a,$C$2:$C$19=$C27,_xlpm.b,$D$2:$D$19=$D27,MAX(_xlfn._xlws.FILTER(_xlpm.d,_xlpm.a*_xlpm.b)))</f>
        <v>0.46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0.41</v>
      </c>
      <c r="M27" s="1" cm="1">
        <f t="array" ref="M27">_xlfn.LET(_xlpm.d,M$2:M$19,_xlpm.a,$C$2:$C$19=$C27,_xlpm.b,$D$2:$D$19=$D27,MAX(_xlfn._xlws.FILTER(_xlpm.d,_xlpm.a*_xlpm.b)))</f>
        <v>0.43</v>
      </c>
      <c r="N27" s="1" cm="1">
        <f t="array" ref="N27">_xlfn.LET(_xlpm.d,N$2:N$19,_xlpm.a,$C$2:$C$19=$C27,_xlpm.b,$D$2:$D$19=$D27,MAX(_xlfn._xlws.FILTER(_xlpm.d,_xlpm.a*_xlpm.b)))</f>
        <v>0.47</v>
      </c>
      <c r="O27" s="1" cm="1">
        <f t="array" ref="O27">_xlfn.LET(_xlpm.d,O$2:O$19,_xlpm.a,$C$2:$C$19=$C27,_xlpm.b,$D$2:$D$19=$D27,MAX(_xlfn._xlws.FILTER(_xlpm.d,_xlpm.a*_xlpm.b)))</f>
        <v>0.39</v>
      </c>
      <c r="P27" s="1" cm="1">
        <f t="array" ref="P27">_xlfn.LET(_xlpm.d,P$2:P$19,_xlpm.a,$C$2:$C$19=$C27,_xlpm.b,$D$2:$D$19=$D27,MAX(_xlfn._xlws.FILTER(_xlpm.d,_xlpm.a*_xlpm.b)))</f>
        <v>0.42</v>
      </c>
      <c r="Q27" s="1" cm="1">
        <f t="array" ref="Q27">_xlfn.LET(_xlpm.d,Q$2:Q$19,_xlpm.a,$C$2:$C$19=$C27,_xlpm.b,$D$2:$D$19=$D27,MAX(_xlfn._xlws.FILTER(_xlpm.d,_xlpm.a*_xlpm.b)))</f>
        <v>0.44</v>
      </c>
      <c r="R27" s="1" cm="1">
        <f t="array" ref="R27">_xlfn.LET(_xlpm.d,R$2:R$19,_xlpm.a,$C$2:$C$19=$C27,_xlpm.b,$D$2:$D$19=$D27,MAX(_xlfn._xlws.FILTER(_xlpm.d,_xlpm.a*_xlpm.b)))</f>
        <v>0.41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0.36</v>
      </c>
      <c r="H28" s="1" cm="1">
        <f t="array" ref="H28">_xlfn.LET(_xlpm.d,H$2:H$19,_xlpm.a,$C$2:$C$19=$C28,_xlpm.b,$D$2:$D$19=$D28,MAX(_xlfn._xlws.FILTER(_xlpm.d,_xlpm.a*_xlpm.b)))</f>
        <v>0.4</v>
      </c>
      <c r="I28" s="1" cm="1">
        <f t="array" ref="I28">_xlfn.LET(_xlpm.d,I$2:I$19,_xlpm.a,$C$2:$C$19=$C28,_xlpm.b,$D$2:$D$19=$D28,MAX(_xlfn._xlws.FILTER(_xlpm.d,_xlpm.a*_xlpm.b)))</f>
        <v>0.36</v>
      </c>
      <c r="J28" s="1" cm="1">
        <f t="array" ref="J28">_xlfn.LET(_xlpm.d,J$2:J$19,_xlpm.a,$C$2:$C$19=$C28,_xlpm.b,$D$2:$D$19=$D28,MAX(_xlfn._xlws.FILTER(_xlpm.d,_xlpm.a*_xlpm.b)))</f>
        <v>0.43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0.43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30F7-EAA6-7544-95C2-1FB6D8F48784}">
  <sheetPr codeName="Sheet4"/>
  <dimension ref="A1:T37"/>
  <sheetViews>
    <sheetView tabSelected="1" workbookViewId="0">
      <pane xSplit="11420" ySplit="5440" topLeftCell="F29" activePane="bottomRight"/>
      <selection activeCell="G2" sqref="G2"/>
      <selection pane="topRight" activeCell="G1" sqref="G1:G1048576"/>
      <selection pane="bottomLeft" activeCell="B31" sqref="B31:S37"/>
      <selection pane="bottomRight" activeCell="G31" sqref="G31:S37"/>
    </sheetView>
  </sheetViews>
  <sheetFormatPr baseColWidth="10" defaultRowHeight="25" customHeight="1"/>
  <cols>
    <col min="1" max="6" width="8.375" customWidth="1"/>
    <col min="7" max="7" width="15.375" customWidth="1"/>
    <col min="8" max="19" width="8.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5</v>
      </c>
      <c r="G1" t="s">
        <v>32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5" t="str">
        <f>_xlfn.TEXTJOIN("-",TRUE,Table13[[#This Row],[attribute]],Table13[[#This Row],[supplemented]],Table13[[#This Row],[method]])</f>
        <v>plurality-TRUE-DT</v>
      </c>
      <c r="H2" s="1">
        <v>0.75</v>
      </c>
      <c r="I2" s="1">
        <v>0.84</v>
      </c>
      <c r="J2" s="1">
        <v>0.85</v>
      </c>
      <c r="K2" s="1">
        <v>0.78</v>
      </c>
      <c r="L2" s="1">
        <v>0.79</v>
      </c>
      <c r="M2" s="1">
        <v>0.79</v>
      </c>
      <c r="N2" s="1">
        <v>0.8</v>
      </c>
      <c r="O2" s="1">
        <v>0.8</v>
      </c>
      <c r="P2" s="1">
        <v>0.76</v>
      </c>
      <c r="Q2" s="1">
        <v>0.78</v>
      </c>
      <c r="R2" s="1">
        <v>0.79</v>
      </c>
      <c r="S2" s="1">
        <v>0.77</v>
      </c>
      <c r="T2" s="1">
        <f t="shared" ref="T2:T19" si="0">MAX($H2:$S2)</f>
        <v>0.85</v>
      </c>
    </row>
    <row r="3" spans="1:20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t="str">
        <f>_xlfn.TEXTJOIN("-",TRUE,Table13[[#This Row],[attribute]],Table13[[#This Row],[supplemented]],Table13[[#This Row],[method]])</f>
        <v>plurality-TRUE-RF</v>
      </c>
      <c r="H3" s="1">
        <v>0.85</v>
      </c>
      <c r="I3" s="1">
        <v>0.89</v>
      </c>
      <c r="J3" s="1">
        <v>0.85</v>
      </c>
      <c r="K3" s="1">
        <v>0.82</v>
      </c>
      <c r="L3" s="1">
        <v>0.84</v>
      </c>
      <c r="M3" s="1">
        <v>0.85</v>
      </c>
      <c r="N3" s="1">
        <v>0.83</v>
      </c>
      <c r="O3" s="1">
        <v>0.81</v>
      </c>
      <c r="P3" s="1">
        <v>0.85</v>
      </c>
      <c r="Q3" s="1">
        <v>0.85</v>
      </c>
      <c r="R3" s="1">
        <v>0.85</v>
      </c>
      <c r="S3" s="1">
        <v>0.81</v>
      </c>
      <c r="T3" s="1">
        <f t="shared" si="0"/>
        <v>0.89</v>
      </c>
    </row>
    <row r="4" spans="1:20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t="str">
        <f>_xlfn.TEXTJOIN("-",TRUE,Table13[[#This Row],[attribute]],Table13[[#This Row],[supplemented]],Table13[[#This Row],[method]])</f>
        <v>plurality-TRUE-NN</v>
      </c>
      <c r="H4" s="1">
        <v>0.84</v>
      </c>
      <c r="I4" s="1">
        <v>0.84</v>
      </c>
      <c r="J4" s="1">
        <v>0.83</v>
      </c>
      <c r="K4" s="1">
        <v>0.82</v>
      </c>
      <c r="L4" s="1">
        <v>0.78</v>
      </c>
      <c r="M4" s="1">
        <v>0.78</v>
      </c>
      <c r="N4" s="1">
        <v>0.82</v>
      </c>
      <c r="O4" s="1">
        <v>0.82</v>
      </c>
      <c r="P4" s="1">
        <v>0.8</v>
      </c>
      <c r="Q4" s="1">
        <v>0.8</v>
      </c>
      <c r="R4" s="1">
        <v>0.79</v>
      </c>
      <c r="S4" s="1">
        <v>0.8</v>
      </c>
      <c r="T4" s="1">
        <f t="shared" si="0"/>
        <v>0.84</v>
      </c>
    </row>
    <row r="5" spans="1:20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t="str">
        <f>_xlfn.TEXTJOIN("-",TRUE,Table13[[#This Row],[attribute]],Table13[[#This Row],[supplemented]],Table13[[#This Row],[method]])</f>
        <v>plurality-FALSE-DT</v>
      </c>
      <c r="H5" s="1">
        <v>0.79</v>
      </c>
      <c r="I5" s="1">
        <v>0.84</v>
      </c>
      <c r="J5" s="1">
        <v>0.79</v>
      </c>
      <c r="K5" s="1">
        <v>0.78</v>
      </c>
      <c r="L5" s="1">
        <v>0.74</v>
      </c>
      <c r="M5" s="1">
        <v>0.74</v>
      </c>
      <c r="N5" s="1">
        <v>0.77</v>
      </c>
      <c r="O5" s="1">
        <v>0.76</v>
      </c>
      <c r="P5" s="1">
        <v>0.76</v>
      </c>
      <c r="Q5" s="1">
        <v>0.78</v>
      </c>
      <c r="R5" s="1">
        <v>0.81</v>
      </c>
      <c r="S5" s="1">
        <v>0.78</v>
      </c>
      <c r="T5" s="1">
        <f t="shared" si="0"/>
        <v>0.84</v>
      </c>
    </row>
    <row r="6" spans="1:20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t="str">
        <f>_xlfn.TEXTJOIN("-",TRUE,Table13[[#This Row],[attribute]],Table13[[#This Row],[supplemented]],Table13[[#This Row],[method]])</f>
        <v>plurality-FALSE-RF</v>
      </c>
      <c r="H6" s="1">
        <v>0.8</v>
      </c>
      <c r="I6" s="1">
        <v>0.86</v>
      </c>
      <c r="J6" s="1">
        <v>0.83</v>
      </c>
      <c r="K6" s="1">
        <v>0.82</v>
      </c>
      <c r="L6" s="1">
        <v>0.82</v>
      </c>
      <c r="M6" s="1">
        <v>0.82</v>
      </c>
      <c r="N6" s="1">
        <v>0.81</v>
      </c>
      <c r="O6" s="1">
        <v>0.8</v>
      </c>
      <c r="P6" s="1">
        <v>0.8</v>
      </c>
      <c r="Q6" s="1">
        <v>0.81</v>
      </c>
      <c r="R6" s="1">
        <v>0.85</v>
      </c>
      <c r="S6" s="1">
        <v>0.81</v>
      </c>
      <c r="T6" s="1">
        <f t="shared" si="0"/>
        <v>0.86</v>
      </c>
    </row>
    <row r="7" spans="1:20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t="str">
        <f>_xlfn.TEXTJOIN("-",TRUE,Table13[[#This Row],[attribute]],Table13[[#This Row],[supplemented]],Table13[[#This Row],[method]])</f>
        <v>plurality-FALSE-NN</v>
      </c>
      <c r="H7" s="1">
        <v>0.81</v>
      </c>
      <c r="I7" s="1">
        <v>0.8</v>
      </c>
      <c r="J7" s="1">
        <v>0.79</v>
      </c>
      <c r="K7" s="1">
        <v>0.79</v>
      </c>
      <c r="L7" s="1">
        <v>0.78</v>
      </c>
      <c r="M7" s="1">
        <v>0.8</v>
      </c>
      <c r="N7" s="1">
        <v>0.78</v>
      </c>
      <c r="O7" s="1">
        <v>0.78</v>
      </c>
      <c r="P7" s="1">
        <v>0.77</v>
      </c>
      <c r="Q7" s="1">
        <v>0.76</v>
      </c>
      <c r="R7" s="1">
        <v>0.78</v>
      </c>
      <c r="S7" s="1">
        <v>0.78</v>
      </c>
      <c r="T7" s="1">
        <f t="shared" si="0"/>
        <v>0.81</v>
      </c>
    </row>
    <row r="8" spans="1:20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t="str">
        <f>_xlfn.TEXTJOIN("-",TRUE,Table13[[#This Row],[attribute]],Table13[[#This Row],[supplemented]],Table13[[#This Row],[method]])</f>
        <v>gender-TRUE-DT</v>
      </c>
      <c r="H8" s="1">
        <v>0.55000000000000004</v>
      </c>
      <c r="I8" s="1">
        <v>0.53</v>
      </c>
      <c r="J8" s="1">
        <v>0.56000000000000005</v>
      </c>
      <c r="K8" s="1">
        <v>0.53</v>
      </c>
      <c r="L8" s="1">
        <v>0.53</v>
      </c>
      <c r="M8" s="1">
        <v>0.53</v>
      </c>
      <c r="N8" s="1">
        <v>0.51</v>
      </c>
      <c r="O8" s="1">
        <v>0.54</v>
      </c>
      <c r="P8" s="1">
        <v>0.57999999999999996</v>
      </c>
      <c r="Q8" s="1">
        <v>0.51</v>
      </c>
      <c r="R8" s="1">
        <v>0.54</v>
      </c>
      <c r="S8" s="1">
        <v>0.51</v>
      </c>
      <c r="T8" s="1">
        <f t="shared" si="0"/>
        <v>0.57999999999999996</v>
      </c>
    </row>
    <row r="9" spans="1:20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t="str">
        <f>_xlfn.TEXTJOIN("-",TRUE,Table13[[#This Row],[attribute]],Table13[[#This Row],[supplemented]],Table13[[#This Row],[method]])</f>
        <v>gender-TRUE-RF</v>
      </c>
      <c r="H9" s="1">
        <v>0.63</v>
      </c>
      <c r="I9" s="1">
        <v>0.61</v>
      </c>
      <c r="J9" s="1">
        <v>0.66</v>
      </c>
      <c r="K9" s="1">
        <v>0.62</v>
      </c>
      <c r="L9" s="1">
        <v>0.61</v>
      </c>
      <c r="M9" s="1">
        <v>0.6</v>
      </c>
      <c r="N9" s="1">
        <v>0.61</v>
      </c>
      <c r="O9" s="1">
        <v>0.62</v>
      </c>
      <c r="P9" s="1">
        <v>0.56000000000000005</v>
      </c>
      <c r="Q9" s="1">
        <v>0.64</v>
      </c>
      <c r="R9" s="1">
        <v>0.59</v>
      </c>
      <c r="S9" s="1">
        <v>0.56999999999999995</v>
      </c>
      <c r="T9" s="1">
        <f t="shared" si="0"/>
        <v>0.66</v>
      </c>
    </row>
    <row r="10" spans="1:20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t="str">
        <f>_xlfn.TEXTJOIN("-",TRUE,Table13[[#This Row],[attribute]],Table13[[#This Row],[supplemented]],Table13[[#This Row],[method]])</f>
        <v>gender-TRUE-NN</v>
      </c>
      <c r="H10" s="1">
        <v>0.55000000000000004</v>
      </c>
      <c r="I10" s="1">
        <v>0.59</v>
      </c>
      <c r="J10" s="1">
        <v>0.64</v>
      </c>
      <c r="K10" s="1">
        <v>0.57999999999999996</v>
      </c>
      <c r="L10" s="1">
        <v>0.57999999999999996</v>
      </c>
      <c r="M10" s="1">
        <v>0.6</v>
      </c>
      <c r="N10" s="1">
        <v>0.56999999999999995</v>
      </c>
      <c r="O10" s="1">
        <v>0.53</v>
      </c>
      <c r="P10" s="1">
        <v>0.64</v>
      </c>
      <c r="Q10" s="1">
        <v>0.59</v>
      </c>
      <c r="R10" s="1">
        <v>0.55000000000000004</v>
      </c>
      <c r="S10" s="1">
        <v>0.61</v>
      </c>
      <c r="T10" s="1">
        <f t="shared" si="0"/>
        <v>0.64</v>
      </c>
    </row>
    <row r="11" spans="1:20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t="str">
        <f>_xlfn.TEXTJOIN("-",TRUE,Table13[[#This Row],[attribute]],Table13[[#This Row],[supplemented]],Table13[[#This Row],[method]])</f>
        <v>gender-FALSE-DT</v>
      </c>
      <c r="H11" s="1">
        <v>0.51</v>
      </c>
      <c r="I11" s="1">
        <v>0.55000000000000004</v>
      </c>
      <c r="J11" s="1">
        <v>0.56999999999999995</v>
      </c>
      <c r="K11" s="1">
        <v>0.49</v>
      </c>
      <c r="L11" s="1">
        <v>0.51</v>
      </c>
      <c r="M11" s="1">
        <v>0.51</v>
      </c>
      <c r="N11" s="1">
        <v>0.5</v>
      </c>
      <c r="O11" s="1">
        <v>0.51</v>
      </c>
      <c r="P11" s="1">
        <v>0.51</v>
      </c>
      <c r="Q11" s="1">
        <v>0.55000000000000004</v>
      </c>
      <c r="R11" s="1">
        <v>0.51</v>
      </c>
      <c r="S11" s="1">
        <v>0.55000000000000004</v>
      </c>
      <c r="T11" s="1">
        <f t="shared" si="0"/>
        <v>0.56999999999999995</v>
      </c>
    </row>
    <row r="12" spans="1:20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t="str">
        <f>_xlfn.TEXTJOIN("-",TRUE,Table13[[#This Row],[attribute]],Table13[[#This Row],[supplemented]],Table13[[#This Row],[method]])</f>
        <v>gender-FALSE-RF</v>
      </c>
      <c r="H12" s="1">
        <v>0.59</v>
      </c>
      <c r="I12" s="1">
        <v>0.6</v>
      </c>
      <c r="J12" s="1">
        <v>0.66</v>
      </c>
      <c r="K12" s="1">
        <v>0.54</v>
      </c>
      <c r="L12" s="1">
        <v>0.61</v>
      </c>
      <c r="M12" s="1">
        <v>0.59</v>
      </c>
      <c r="N12" s="1">
        <v>0.56000000000000005</v>
      </c>
      <c r="O12" s="1">
        <v>0.62</v>
      </c>
      <c r="P12" s="1">
        <v>0.55000000000000004</v>
      </c>
      <c r="Q12" s="1">
        <v>0.63</v>
      </c>
      <c r="R12" s="1">
        <v>0.59</v>
      </c>
      <c r="S12" s="1">
        <v>0.56999999999999995</v>
      </c>
      <c r="T12" s="1">
        <f t="shared" si="0"/>
        <v>0.66</v>
      </c>
    </row>
    <row r="13" spans="1:20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t="str">
        <f>_xlfn.TEXTJOIN("-",TRUE,Table13[[#This Row],[attribute]],Table13[[#This Row],[supplemented]],Table13[[#This Row],[method]])</f>
        <v>gender-FALSE-NN</v>
      </c>
      <c r="H13" s="1">
        <v>0.54</v>
      </c>
      <c r="I13" s="1">
        <v>0.56000000000000005</v>
      </c>
      <c r="J13" s="1">
        <v>0.65</v>
      </c>
      <c r="K13" s="1">
        <v>0.53</v>
      </c>
      <c r="L13" s="1">
        <v>0.62</v>
      </c>
      <c r="M13" s="1">
        <v>0.63</v>
      </c>
      <c r="N13" s="1">
        <v>0.56999999999999995</v>
      </c>
      <c r="O13" s="1">
        <v>0.55000000000000004</v>
      </c>
      <c r="P13" s="1">
        <v>0.57999999999999996</v>
      </c>
      <c r="Q13" s="1">
        <v>0.56000000000000005</v>
      </c>
      <c r="R13" s="1">
        <v>0.6</v>
      </c>
      <c r="S13" s="1">
        <v>0.57999999999999996</v>
      </c>
      <c r="T13" s="1">
        <f t="shared" si="0"/>
        <v>0.65</v>
      </c>
    </row>
    <row r="14" spans="1:20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t="str">
        <f>_xlfn.TEXTJOIN("-",TRUE,Table13[[#This Row],[attribute]],Table13[[#This Row],[supplemented]],Table13[[#This Row],[method]])</f>
        <v>case-TRUE-DT</v>
      </c>
      <c r="H14" s="1">
        <v>0.34</v>
      </c>
      <c r="I14" s="1">
        <v>0.36</v>
      </c>
      <c r="J14" s="1">
        <v>0.35</v>
      </c>
      <c r="K14" s="1">
        <v>0.38</v>
      </c>
      <c r="L14" s="1">
        <v>0.4</v>
      </c>
      <c r="M14" s="1">
        <v>0.33</v>
      </c>
      <c r="N14" s="1">
        <v>0.33</v>
      </c>
      <c r="O14" s="1">
        <v>0.41</v>
      </c>
      <c r="P14" s="1">
        <v>0.39</v>
      </c>
      <c r="Q14" s="1">
        <v>0.43</v>
      </c>
      <c r="R14" s="1">
        <v>0.36</v>
      </c>
      <c r="S14" s="1">
        <v>0.34</v>
      </c>
      <c r="T14" s="1">
        <f t="shared" si="0"/>
        <v>0.43</v>
      </c>
    </row>
    <row r="15" spans="1:20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t="str">
        <f>_xlfn.TEXTJOIN("-",TRUE,Table13[[#This Row],[attribute]],Table13[[#This Row],[supplemented]],Table13[[#This Row],[method]])</f>
        <v>case-TRUE-RF</v>
      </c>
      <c r="H15" s="1">
        <v>0.44</v>
      </c>
      <c r="I15" s="1">
        <v>0.39</v>
      </c>
      <c r="J15" s="1">
        <v>0.41</v>
      </c>
      <c r="K15" s="1">
        <v>0.46</v>
      </c>
      <c r="L15" s="1">
        <v>0.38</v>
      </c>
      <c r="M15" s="1">
        <v>0.39</v>
      </c>
      <c r="N15" s="1">
        <v>0.46</v>
      </c>
      <c r="O15" s="1">
        <v>0.42</v>
      </c>
      <c r="P15" s="1">
        <v>0.41</v>
      </c>
      <c r="Q15" s="1">
        <v>0.45</v>
      </c>
      <c r="R15" s="1">
        <v>0.43</v>
      </c>
      <c r="S15" s="1">
        <v>0.41</v>
      </c>
      <c r="T15" s="1">
        <f t="shared" si="0"/>
        <v>0.46</v>
      </c>
    </row>
    <row r="16" spans="1:20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t="str">
        <f>_xlfn.TEXTJOIN("-",TRUE,Table13[[#This Row],[attribute]],Table13[[#This Row],[supplemented]],Table13[[#This Row],[method]])</f>
        <v>case-TRUE-NN</v>
      </c>
      <c r="H16" s="1">
        <v>0.34</v>
      </c>
      <c r="I16" s="1">
        <v>0.33</v>
      </c>
      <c r="J16" s="1">
        <v>0.35</v>
      </c>
      <c r="K16" s="1">
        <v>0.35</v>
      </c>
      <c r="L16" s="1">
        <v>0.32</v>
      </c>
      <c r="M16" s="1">
        <v>0.34</v>
      </c>
      <c r="N16" s="1">
        <v>0.38</v>
      </c>
      <c r="O16" s="1">
        <v>0.36</v>
      </c>
      <c r="P16" s="1">
        <v>0.36</v>
      </c>
      <c r="Q16" s="1">
        <v>0.4</v>
      </c>
      <c r="R16" s="1">
        <v>0.38</v>
      </c>
      <c r="S16" s="1">
        <v>0.37</v>
      </c>
      <c r="T16" s="1">
        <f t="shared" si="0"/>
        <v>0.4</v>
      </c>
    </row>
    <row r="17" spans="1:20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t="str">
        <f>_xlfn.TEXTJOIN("-",TRUE,Table13[[#This Row],[attribute]],Table13[[#This Row],[supplemented]],Table13[[#This Row],[method]])</f>
        <v>case-FALSE-DT</v>
      </c>
      <c r="H17" s="1">
        <v>0.35</v>
      </c>
      <c r="I17" s="1">
        <v>0.35</v>
      </c>
      <c r="J17" s="1">
        <v>0.42</v>
      </c>
      <c r="K17" s="1">
        <v>0.37</v>
      </c>
      <c r="L17" s="1">
        <v>0.34</v>
      </c>
      <c r="M17" s="1">
        <v>0.32</v>
      </c>
      <c r="N17" s="1">
        <v>0.36</v>
      </c>
      <c r="O17" s="1">
        <v>0.4</v>
      </c>
      <c r="P17" s="1">
        <v>0.34</v>
      </c>
      <c r="Q17" s="1">
        <v>0.37</v>
      </c>
      <c r="R17" s="1">
        <v>0.35</v>
      </c>
      <c r="S17" s="1">
        <v>0.33</v>
      </c>
      <c r="T17" s="1">
        <f t="shared" si="0"/>
        <v>0.42</v>
      </c>
    </row>
    <row r="18" spans="1:20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t="str">
        <f>_xlfn.TEXTJOIN("-",TRUE,Table13[[#This Row],[attribute]],Table13[[#This Row],[supplemented]],Table13[[#This Row],[method]])</f>
        <v>case-FALSE-RF</v>
      </c>
      <c r="H18" s="1">
        <v>0.4</v>
      </c>
      <c r="I18" s="1">
        <v>0.38</v>
      </c>
      <c r="J18" s="1">
        <v>0.39</v>
      </c>
      <c r="K18" s="1">
        <v>0.46</v>
      </c>
      <c r="L18" s="1">
        <v>0.39</v>
      </c>
      <c r="M18" s="1">
        <v>0.4</v>
      </c>
      <c r="N18" s="1">
        <v>0.38</v>
      </c>
      <c r="O18" s="1">
        <v>0.41</v>
      </c>
      <c r="P18" s="1">
        <v>0.42</v>
      </c>
      <c r="Q18" s="1">
        <v>0.47</v>
      </c>
      <c r="R18" s="1">
        <v>0.44</v>
      </c>
      <c r="S18" s="1">
        <v>0.41</v>
      </c>
      <c r="T18" s="1">
        <f t="shared" si="0"/>
        <v>0.47</v>
      </c>
    </row>
    <row r="19" spans="1:20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t="str">
        <f>_xlfn.TEXTJOIN("-",TRUE,Table13[[#This Row],[attribute]],Table13[[#This Row],[supplemented]],Table13[[#This Row],[method]])</f>
        <v>case-FALSE-NN</v>
      </c>
      <c r="H19" s="1">
        <v>0.35</v>
      </c>
      <c r="I19" s="1">
        <v>0.33</v>
      </c>
      <c r="J19" s="1">
        <v>0.37</v>
      </c>
      <c r="K19" s="1">
        <v>0.37</v>
      </c>
      <c r="L19" s="1">
        <v>0.36</v>
      </c>
      <c r="M19" s="1">
        <v>0.34</v>
      </c>
      <c r="N19" s="1">
        <v>0.28999999999999998</v>
      </c>
      <c r="O19" s="1">
        <v>0.34</v>
      </c>
      <c r="P19" s="1">
        <v>0.34</v>
      </c>
      <c r="Q19" s="1">
        <v>0.37</v>
      </c>
      <c r="R19" s="1">
        <v>0.36</v>
      </c>
      <c r="S19" s="1">
        <v>0.39</v>
      </c>
      <c r="T19" s="1">
        <f t="shared" si="0"/>
        <v>0.39</v>
      </c>
    </row>
    <row r="22" spans="1:20" ht="25" customHeight="1">
      <c r="B22" t="s">
        <v>1</v>
      </c>
      <c r="C22" t="s">
        <v>2</v>
      </c>
      <c r="D22" t="s">
        <v>26</v>
      </c>
      <c r="E22" t="s">
        <v>4</v>
      </c>
      <c r="F22" t="s">
        <v>5</v>
      </c>
      <c r="G22" t="s">
        <v>32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</row>
    <row r="23" spans="1:20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5" t="str">
        <f>_xlfn.TEXTJOIN("-",TRUE,Table14[[#This Row],[attribute]],Table14[[#This Row],[supplemented]],Table14[[#This Row],[method]])</f>
        <v>plurality-TRUE-max</v>
      </c>
      <c r="H23" s="1" cm="1">
        <f t="array" ref="H23">_xlfn.LET(_xlpm.d,H$2:H$19,_xlpm.a,$C$2:$C$19=$C23,_xlpm.b,$D$2:$D$19=$D23,MAX(_xlfn._xlws.FILTER(_xlpm.d,_xlpm.a*_xlpm.b)))</f>
        <v>0.85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0.85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0.84</v>
      </c>
      <c r="M23" s="1" cm="1">
        <f t="array" ref="M23">_xlfn.LET(_xlpm.d,M$2:M$19,_xlpm.a,$C$2:$C$19=$C23,_xlpm.b,$D$2:$D$19=$D23,MAX(_xlfn._xlws.FILTER(_xlpm.d,_xlpm.a*_xlpm.b)))</f>
        <v>0.85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0.82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0.81</v>
      </c>
      <c r="T23" s="1" cm="1">
        <f t="array" ref="T23">_xlfn.LET(_xlpm.d,T$2:T$19,_xlpm.a,$C$2:$C$19=$C23,_xlpm.b,$D$2:$D$19=$D23,MAX(_xlfn._xlws.FILTER(_xlpm.d,_xlpm.a*_xlpm.b)))</f>
        <v>0.89</v>
      </c>
    </row>
    <row r="24" spans="1:20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t="str">
        <f>_xlfn.TEXTJOIN("-",TRUE,Table14[[#This Row],[attribute]],Table14[[#This Row],[supplemented]],Table14[[#This Row],[method]])</f>
        <v>plurality-FALSE-max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0.86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0.81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0.85</v>
      </c>
      <c r="S24" s="1" cm="1">
        <f t="array" ref="S24">_xlfn.LET(_xlpm.d,S$2:S$19,_xlpm.a,$C$2:$C$19=$C24,_xlpm.b,$D$2:$D$19=$D24,MAX(_xlfn._xlws.FILTER(_xlpm.d,_xlpm.a*_xlpm.b)))</f>
        <v>0.81</v>
      </c>
      <c r="T24" s="1" cm="1">
        <f t="array" ref="T24">_xlfn.LET(_xlpm.d,T$2:T$19,_xlpm.a,$C$2:$C$19=$C24,_xlpm.b,$D$2:$D$19=$D24,MAX(_xlfn._xlws.FILTER(_xlpm.d,_xlpm.a*_xlpm.b)))</f>
        <v>0.86</v>
      </c>
    </row>
    <row r="25" spans="1:20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t="str">
        <f>_xlfn.TEXTJOIN("-",TRUE,Table14[[#This Row],[attribute]],Table14[[#This Row],[supplemented]],Table14[[#This Row],[method]])</f>
        <v>gender-TRUE-max</v>
      </c>
      <c r="H25" s="1" cm="1">
        <f t="array" ref="H25">_xlfn.LET(_xlpm.d,H$2:H$19,_xlpm.a,$C$2:$C$19=$C25,_xlpm.b,$D$2:$D$19=$D25,MAX(_xlfn._xlws.FILTER(_xlpm.d,_xlpm.a*_xlpm.b)))</f>
        <v>0.63</v>
      </c>
      <c r="I25" s="1" cm="1">
        <f t="array" ref="I25">_xlfn.LET(_xlpm.d,I$2:I$19,_xlpm.a,$C$2:$C$19=$C25,_xlpm.b,$D$2:$D$19=$D25,MAX(_xlfn._xlws.FILTER(_xlpm.d,_xlpm.a*_xlpm.b)))</f>
        <v>0.61</v>
      </c>
      <c r="J25" s="1" cm="1">
        <f t="array" ref="J25">_xlfn.LET(_xlpm.d,J$2:J$19,_xlpm.a,$C$2:$C$19=$C25,_xlpm.b,$D$2:$D$19=$D25,MAX(_xlfn._xlws.FILTER(_xlpm.d,_xlpm.a*_xlpm.b)))</f>
        <v>0.66</v>
      </c>
      <c r="K25" s="1" cm="1">
        <f t="array" ref="K25">_xlfn.LET(_xlpm.d,K$2:K$19,_xlpm.a,$C$2:$C$19=$C25,_xlpm.b,$D$2:$D$19=$D25,MAX(_xlfn._xlws.FILTER(_xlpm.d,_xlpm.a*_xlpm.b)))</f>
        <v>0.62</v>
      </c>
      <c r="L25" s="1" cm="1">
        <f t="array" ref="L25">_xlfn.LET(_xlpm.d,L$2:L$19,_xlpm.a,$C$2:$C$19=$C25,_xlpm.b,$D$2:$D$19=$D25,MAX(_xlfn._xlws.FILTER(_xlpm.d,_xlpm.a*_xlpm.b)))</f>
        <v>0.61</v>
      </c>
      <c r="M25" s="1" cm="1">
        <f t="array" ref="M25">_xlfn.LET(_xlpm.d,M$2:M$19,_xlpm.a,$C$2:$C$19=$C25,_xlpm.b,$D$2:$D$19=$D25,MAX(_xlfn._xlws.FILTER(_xlpm.d,_xlpm.a*_xlpm.b)))</f>
        <v>0.6</v>
      </c>
      <c r="N25" s="1" cm="1">
        <f t="array" ref="N25">_xlfn.LET(_xlpm.d,N$2:N$19,_xlpm.a,$C$2:$C$19=$C25,_xlpm.b,$D$2:$D$19=$D25,MAX(_xlfn._xlws.FILTER(_xlpm.d,_xlpm.a*_xlpm.b)))</f>
        <v>0.61</v>
      </c>
      <c r="O25" s="1" cm="1">
        <f t="array" ref="O25">_xlfn.LET(_xlpm.d,O$2:O$19,_xlpm.a,$C$2:$C$19=$C25,_xlpm.b,$D$2:$D$19=$D25,MAX(_xlfn._xlws.FILTER(_xlpm.d,_xlpm.a*_xlpm.b)))</f>
        <v>0.62</v>
      </c>
      <c r="P25" s="1" cm="1">
        <f t="array" ref="P25">_xlfn.LET(_xlpm.d,P$2:P$19,_xlpm.a,$C$2:$C$19=$C25,_xlpm.b,$D$2:$D$19=$D25,MAX(_xlfn._xlws.FILTER(_xlpm.d,_xlpm.a*_xlpm.b)))</f>
        <v>0.64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0.59</v>
      </c>
      <c r="S25" s="1" cm="1">
        <f t="array" ref="S25">_xlfn.LET(_xlpm.d,S$2:S$19,_xlpm.a,$C$2:$C$19=$C25,_xlpm.b,$D$2:$D$19=$D25,MAX(_xlfn._xlws.FILTER(_xlpm.d,_xlpm.a*_xlpm.b)))</f>
        <v>0.61</v>
      </c>
      <c r="T25" s="1" cm="1">
        <f t="array" ref="T25">_xlfn.LET(_xlpm.d,T$2:T$19,_xlpm.a,$C$2:$C$19=$C25,_xlpm.b,$D$2:$D$19=$D25,MAX(_xlfn._xlws.FILTER(_xlpm.d,_xlpm.a*_xlpm.b)))</f>
        <v>0.66</v>
      </c>
    </row>
    <row r="26" spans="1:20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t="str">
        <f>_xlfn.TEXTJOIN("-",TRUE,Table14[[#This Row],[attribute]],Table14[[#This Row],[supplemented]],Table14[[#This Row],[method]])</f>
        <v>gender-FALSE-max</v>
      </c>
      <c r="H26" s="1" cm="1">
        <f t="array" ref="H26">_xlfn.LET(_xlpm.d,H$2:H$19,_xlpm.a,$C$2:$C$19=$C26,_xlpm.b,$D$2:$D$19=$D26,MAX(_xlfn._xlws.FILTER(_xlpm.d,_xlpm.a*_xlpm.b)))</f>
        <v>0.59</v>
      </c>
      <c r="I26" s="1" cm="1">
        <f t="array" ref="I26">_xlfn.LET(_xlpm.d,I$2:I$19,_xlpm.a,$C$2:$C$19=$C26,_xlpm.b,$D$2:$D$19=$D26,MAX(_xlfn._xlws.FILTER(_xlpm.d,_xlpm.a*_xlpm.b)))</f>
        <v>0.6</v>
      </c>
      <c r="J26" s="1" cm="1">
        <f t="array" ref="J26">_xlfn.LET(_xlpm.d,J$2:J$19,_xlpm.a,$C$2:$C$19=$C26,_xlpm.b,$D$2:$D$19=$D26,MAX(_xlfn._xlws.FILTER(_xlpm.d,_xlpm.a*_xlpm.b)))</f>
        <v>0.66</v>
      </c>
      <c r="K26" s="1" cm="1">
        <f t="array" ref="K26">_xlfn.LET(_xlpm.d,K$2:K$19,_xlpm.a,$C$2:$C$19=$C26,_xlpm.b,$D$2:$D$19=$D26,MAX(_xlfn._xlws.FILTER(_xlpm.d,_xlpm.a*_xlpm.b)))</f>
        <v>0.54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0.63</v>
      </c>
      <c r="N26" s="1" cm="1">
        <f t="array" ref="N26">_xlfn.LET(_xlpm.d,N$2:N$19,_xlpm.a,$C$2:$C$19=$C26,_xlpm.b,$D$2:$D$19=$D26,MAX(_xlfn._xlws.FILTER(_xlpm.d,_xlpm.a*_xlpm.b)))</f>
        <v>0.56999999999999995</v>
      </c>
      <c r="O26" s="1" cm="1">
        <f t="array" ref="O26">_xlfn.LET(_xlpm.d,O$2:O$19,_xlpm.a,$C$2:$C$19=$C26,_xlpm.b,$D$2:$D$19=$D26,MAX(_xlfn._xlws.FILTER(_xlpm.d,_xlpm.a*_xlpm.b)))</f>
        <v>0.62</v>
      </c>
      <c r="P26" s="1" cm="1">
        <f t="array" ref="P26">_xlfn.LET(_xlpm.d,P$2:P$19,_xlpm.a,$C$2:$C$19=$C26,_xlpm.b,$D$2:$D$19=$D26,MAX(_xlfn._xlws.FILTER(_xlpm.d,_xlpm.a*_xlpm.b)))</f>
        <v>0.57999999999999996</v>
      </c>
      <c r="Q26" s="1" cm="1">
        <f t="array" ref="Q26">_xlfn.LET(_xlpm.d,Q$2:Q$19,_xlpm.a,$C$2:$C$19=$C26,_xlpm.b,$D$2:$D$19=$D26,MAX(_xlfn._xlws.FILTER(_xlpm.d,_xlpm.a*_xlpm.b)))</f>
        <v>0.63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0.57999999999999996</v>
      </c>
      <c r="T26" s="1" cm="1">
        <f t="array" ref="T26">_xlfn.LET(_xlpm.d,T$2:T$19,_xlpm.a,$C$2:$C$19=$C26,_xlpm.b,$D$2:$D$19=$D26,MAX(_xlfn._xlws.FILTER(_xlpm.d,_xlpm.a*_xlpm.b)))</f>
        <v>0.66</v>
      </c>
    </row>
    <row r="27" spans="1:20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t="str">
        <f>_xlfn.TEXTJOIN("-",TRUE,Table14[[#This Row],[attribute]],Table14[[#This Row],[supplemented]],Table14[[#This Row],[method]])</f>
        <v>case-TRUE-max</v>
      </c>
      <c r="H27" s="1" cm="1">
        <f t="array" ref="H27">_xlfn.LET(_xlpm.d,H$2:H$19,_xlpm.a,$C$2:$C$19=$C27,_xlpm.b,$D$2:$D$19=$D27,MAX(_xlfn._xlws.FILTER(_xlpm.d,_xlpm.a*_xlpm.b)))</f>
        <v>0.44</v>
      </c>
      <c r="I27" s="1" cm="1">
        <f t="array" ref="I27">_xlfn.LET(_xlpm.d,I$2:I$19,_xlpm.a,$C$2:$C$19=$C27,_xlpm.b,$D$2:$D$19=$D27,MAX(_xlfn._xlws.FILTER(_xlpm.d,_xlpm.a*_xlpm.b)))</f>
        <v>0.39</v>
      </c>
      <c r="J27" s="1" cm="1">
        <f t="array" ref="J27">_xlfn.LET(_xlpm.d,J$2:J$19,_xlpm.a,$C$2:$C$19=$C27,_xlpm.b,$D$2:$D$19=$D27,MAX(_xlfn._xlws.FILTER(_xlpm.d,_xlpm.a*_xlpm.b)))</f>
        <v>0.41</v>
      </c>
      <c r="K27" s="1" cm="1">
        <f t="array" ref="K27">_xlfn.LET(_xlpm.d,K$2:K$19,_xlpm.a,$C$2:$C$19=$C27,_xlpm.b,$D$2:$D$19=$D27,MAX(_xlfn._xlws.FILTER(_xlpm.d,_xlpm.a*_xlpm.b)))</f>
        <v>0.46</v>
      </c>
      <c r="L27" s="1" cm="1">
        <f t="array" ref="L27">_xlfn.LET(_xlpm.d,L$2:L$19,_xlpm.a,$C$2:$C$19=$C27,_xlpm.b,$D$2:$D$19=$D27,MAX(_xlfn._xlws.FILTER(_xlpm.d,_xlpm.a*_xlpm.b)))</f>
        <v>0.4</v>
      </c>
      <c r="M27" s="1" cm="1">
        <f t="array" ref="M27">_xlfn.LET(_xlpm.d,M$2:M$19,_xlpm.a,$C$2:$C$19=$C27,_xlpm.b,$D$2:$D$19=$D27,MAX(_xlfn._xlws.FILTER(_xlpm.d,_xlpm.a*_xlpm.b)))</f>
        <v>0.39</v>
      </c>
      <c r="N27" s="1" cm="1">
        <f t="array" ref="N27">_xlfn.LET(_xlpm.d,N$2:N$19,_xlpm.a,$C$2:$C$19=$C27,_xlpm.b,$D$2:$D$19=$D27,MAX(_xlfn._xlws.FILTER(_xlpm.d,_xlpm.a*_xlpm.b)))</f>
        <v>0.46</v>
      </c>
      <c r="O27" s="1" cm="1">
        <f t="array" ref="O27">_xlfn.LET(_xlpm.d,O$2:O$19,_xlpm.a,$C$2:$C$19=$C27,_xlpm.b,$D$2:$D$19=$D27,MAX(_xlfn._xlws.FILTER(_xlpm.d,_xlpm.a*_xlpm.b)))</f>
        <v>0.42</v>
      </c>
      <c r="P27" s="1" cm="1">
        <f t="array" ref="P27">_xlfn.LET(_xlpm.d,P$2:P$19,_xlpm.a,$C$2:$C$19=$C27,_xlpm.b,$D$2:$D$19=$D27,MAX(_xlfn._xlws.FILTER(_xlpm.d,_xlpm.a*_xlpm.b)))</f>
        <v>0.41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0.41</v>
      </c>
      <c r="T27" s="1" cm="1">
        <f t="array" ref="T27">_xlfn.LET(_xlpm.d,T$2:T$19,_xlpm.a,$C$2:$C$19=$C27,_xlpm.b,$D$2:$D$19=$D27,MAX(_xlfn._xlws.FILTER(_xlpm.d,_xlpm.a*_xlpm.b)))</f>
        <v>0.46</v>
      </c>
    </row>
    <row r="28" spans="1:20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t="str">
        <f>_xlfn.TEXTJOIN("-",TRUE,Table14[[#This Row],[attribute]],Table14[[#This Row],[supplemented]],Table14[[#This Row],[method]])</f>
        <v>case-FALSE-max</v>
      </c>
      <c r="H28" s="1" cm="1">
        <f t="array" ref="H28">_xlfn.LET(_xlpm.d,H$2:H$19,_xlpm.a,$C$2:$C$19=$C28,_xlpm.b,$D$2:$D$19=$D28,MAX(_xlfn._xlws.FILTER(_xlpm.d,_xlpm.a*_xlpm.b)))</f>
        <v>0.4</v>
      </c>
      <c r="I28" s="1" cm="1">
        <f t="array" ref="I28">_xlfn.LET(_xlpm.d,I$2:I$19,_xlpm.a,$C$2:$C$19=$C28,_xlpm.b,$D$2:$D$19=$D28,MAX(_xlfn._xlws.FILTER(_xlpm.d,_xlpm.a*_xlpm.b)))</f>
        <v>0.38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0.39</v>
      </c>
      <c r="M28" s="1" cm="1">
        <f t="array" ref="M28">_xlfn.LET(_xlpm.d,M$2:M$19,_xlpm.a,$C$2:$C$19=$C28,_xlpm.b,$D$2:$D$19=$D28,MAX(_xlfn._xlws.FILTER(_xlpm.d,_xlpm.a*_xlpm.b)))</f>
        <v>0.4</v>
      </c>
      <c r="N28" s="1" cm="1">
        <f t="array" ref="N28">_xlfn.LET(_xlpm.d,N$2:N$19,_xlpm.a,$C$2:$C$19=$C28,_xlpm.b,$D$2:$D$19=$D28,MAX(_xlfn._xlws.FILTER(_xlpm.d,_xlpm.a*_xlpm.b)))</f>
        <v>0.38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0.47</v>
      </c>
      <c r="R28" s="1" cm="1">
        <f t="array" ref="R28">_xlfn.LET(_xlpm.d,R$2:R$19,_xlpm.a,$C$2:$C$19=$C28,_xlpm.b,$D$2:$D$19=$D28,MAX(_xlfn._xlws.FILTER(_xlpm.d,_xlpm.a*_xlpm.b)))</f>
        <v>0.44</v>
      </c>
      <c r="S28" s="1" cm="1">
        <f t="array" ref="S28">_xlfn.LET(_xlpm.d,S$2:S$19,_xlpm.a,$C$2:$C$19=$C28,_xlpm.b,$D$2:$D$19=$D28,MAX(_xlfn._xlws.FILTER(_xlpm.d,_xlpm.a*_xlpm.b)))</f>
        <v>0.41</v>
      </c>
      <c r="T28" s="1" cm="1">
        <f t="array" ref="T28">_xlfn.LET(_xlpm.d,T$2:T$19,_xlpm.a,$C$2:$C$19=$C28,_xlpm.b,$D$2:$D$19=$D28,MAX(_xlfn._xlws.FILTER(_xlpm.d,_xlpm.a*_xlpm.b)))</f>
        <v>0.47</v>
      </c>
    </row>
    <row r="31" spans="1:20" ht="25" customHeight="1">
      <c r="B31" t="s">
        <v>1</v>
      </c>
      <c r="C31" t="s">
        <v>2</v>
      </c>
      <c r="D31" t="s">
        <v>26</v>
      </c>
      <c r="E31" t="s">
        <v>4</v>
      </c>
      <c r="F31" t="s">
        <v>5</v>
      </c>
      <c r="G31" t="s">
        <v>32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15</v>
      </c>
      <c r="R31" t="s">
        <v>16</v>
      </c>
      <c r="S31" t="s">
        <v>17</v>
      </c>
    </row>
    <row r="32" spans="1:20" ht="25" customHeight="1">
      <c r="B32">
        <v>1</v>
      </c>
      <c r="C32" t="s">
        <v>20</v>
      </c>
      <c r="D32" t="b">
        <v>0</v>
      </c>
      <c r="E32">
        <v>1</v>
      </c>
      <c r="F32" t="s">
        <v>18</v>
      </c>
      <c r="G32" t="str">
        <f>_xlfn.TEXTJOIN("-",TRUE,Table2526[[#This Row],[attribute]],Table2526[[#This Row],[supplemented]],Table2526[[#This Row],[method]])</f>
        <v>plurality-FALSE-max</v>
      </c>
      <c r="H32" s="6">
        <f t="shared" ref="H32:S32" si="1">_xlfn.LET(_xlpm.d,$H23:$S23,RANK(H23,_xlpm.d))</f>
        <v>2</v>
      </c>
      <c r="I32" s="6">
        <f t="shared" si="1"/>
        <v>1</v>
      </c>
      <c r="J32" s="6">
        <f t="shared" si="1"/>
        <v>2</v>
      </c>
      <c r="K32" s="6">
        <f t="shared" si="1"/>
        <v>10</v>
      </c>
      <c r="L32" s="6">
        <f t="shared" si="1"/>
        <v>8</v>
      </c>
      <c r="M32" s="6">
        <f t="shared" si="1"/>
        <v>2</v>
      </c>
      <c r="N32" s="6">
        <f t="shared" si="1"/>
        <v>9</v>
      </c>
      <c r="O32" s="6">
        <f t="shared" si="1"/>
        <v>10</v>
      </c>
      <c r="P32" s="6">
        <f t="shared" si="1"/>
        <v>2</v>
      </c>
      <c r="Q32" s="6">
        <f t="shared" si="1"/>
        <v>2</v>
      </c>
      <c r="R32" s="6">
        <f t="shared" si="1"/>
        <v>2</v>
      </c>
      <c r="S32" s="6">
        <f t="shared" si="1"/>
        <v>12</v>
      </c>
    </row>
    <row r="33" spans="2:19" ht="25" customHeight="1">
      <c r="B33">
        <v>1</v>
      </c>
      <c r="C33" t="s">
        <v>20</v>
      </c>
      <c r="D33" t="b">
        <v>1</v>
      </c>
      <c r="E33">
        <v>1</v>
      </c>
      <c r="F33" t="s">
        <v>18</v>
      </c>
      <c r="G33" t="str">
        <f>_xlfn.TEXTJOIN("-",TRUE,Table2526[[#This Row],[attribute]],Table2526[[#This Row],[supplemented]],Table2526[[#This Row],[method]])</f>
        <v>plurality-TRUE-max</v>
      </c>
      <c r="H33" s="6">
        <f t="shared" ref="H33:S33" si="2">_xlfn.LET(_xlpm.d,$H24:$S24,RANK(H24,_xlpm.d))</f>
        <v>7</v>
      </c>
      <c r="I33" s="6">
        <f t="shared" si="2"/>
        <v>1</v>
      </c>
      <c r="J33" s="6">
        <f t="shared" si="2"/>
        <v>3</v>
      </c>
      <c r="K33" s="6">
        <f t="shared" si="2"/>
        <v>4</v>
      </c>
      <c r="L33" s="6">
        <f t="shared" si="2"/>
        <v>4</v>
      </c>
      <c r="M33" s="6">
        <f t="shared" si="2"/>
        <v>4</v>
      </c>
      <c r="N33" s="6">
        <f t="shared" si="2"/>
        <v>7</v>
      </c>
      <c r="O33" s="6">
        <f t="shared" si="2"/>
        <v>11</v>
      </c>
      <c r="P33" s="6">
        <f t="shared" si="2"/>
        <v>11</v>
      </c>
      <c r="Q33" s="6">
        <f t="shared" si="2"/>
        <v>7</v>
      </c>
      <c r="R33" s="6">
        <f t="shared" si="2"/>
        <v>2</v>
      </c>
      <c r="S33" s="6">
        <f t="shared" si="2"/>
        <v>7</v>
      </c>
    </row>
    <row r="34" spans="2:19" ht="25" customHeight="1">
      <c r="B34">
        <v>2</v>
      </c>
      <c r="C34" t="s">
        <v>24</v>
      </c>
      <c r="D34" t="b">
        <v>0</v>
      </c>
      <c r="E34">
        <v>1</v>
      </c>
      <c r="F34" t="s">
        <v>18</v>
      </c>
      <c r="G34" t="str">
        <f>_xlfn.TEXTJOIN("-",TRUE,Table2526[[#This Row],[attribute]],Table2526[[#This Row],[supplemented]],Table2526[[#This Row],[method]])</f>
        <v>gender-FALSE-max</v>
      </c>
      <c r="H34" s="6">
        <f t="shared" ref="H34:S34" si="3">_xlfn.LET(_xlpm.d,$H25:$S25,RANK(H25,_xlpm.d))</f>
        <v>4</v>
      </c>
      <c r="I34" s="6">
        <f t="shared" si="3"/>
        <v>7</v>
      </c>
      <c r="J34" s="6">
        <f t="shared" si="3"/>
        <v>1</v>
      </c>
      <c r="K34" s="6">
        <f t="shared" si="3"/>
        <v>5</v>
      </c>
      <c r="L34" s="6">
        <f t="shared" si="3"/>
        <v>7</v>
      </c>
      <c r="M34" s="6">
        <f t="shared" si="3"/>
        <v>11</v>
      </c>
      <c r="N34" s="6">
        <f t="shared" si="3"/>
        <v>7</v>
      </c>
      <c r="O34" s="6">
        <f t="shared" si="3"/>
        <v>5</v>
      </c>
      <c r="P34" s="6">
        <f t="shared" si="3"/>
        <v>2</v>
      </c>
      <c r="Q34" s="6">
        <f t="shared" si="3"/>
        <v>2</v>
      </c>
      <c r="R34" s="6">
        <f t="shared" si="3"/>
        <v>12</v>
      </c>
      <c r="S34" s="6">
        <f t="shared" si="3"/>
        <v>7</v>
      </c>
    </row>
    <row r="35" spans="2:19" ht="25" customHeight="1">
      <c r="B35">
        <v>2</v>
      </c>
      <c r="C35" t="s">
        <v>24</v>
      </c>
      <c r="D35" t="b">
        <v>1</v>
      </c>
      <c r="E35">
        <v>1</v>
      </c>
      <c r="F35" t="s">
        <v>18</v>
      </c>
      <c r="G35" t="str">
        <f>_xlfn.TEXTJOIN("-",TRUE,Table2526[[#This Row],[attribute]],Table2526[[#This Row],[supplemented]],Table2526[[#This Row],[method]])</f>
        <v>gender-TRUE-max</v>
      </c>
      <c r="H35" s="6">
        <f t="shared" ref="H35:S35" si="4">_xlfn.LET(_xlpm.d,$H26:$S26,RANK(H26,_xlpm.d))</f>
        <v>8</v>
      </c>
      <c r="I35" s="6">
        <f t="shared" si="4"/>
        <v>6</v>
      </c>
      <c r="J35" s="6">
        <f t="shared" si="4"/>
        <v>1</v>
      </c>
      <c r="K35" s="6">
        <f t="shared" si="4"/>
        <v>12</v>
      </c>
      <c r="L35" s="6">
        <f t="shared" si="4"/>
        <v>4</v>
      </c>
      <c r="M35" s="6">
        <f t="shared" si="4"/>
        <v>2</v>
      </c>
      <c r="N35" s="6">
        <f t="shared" si="4"/>
        <v>11</v>
      </c>
      <c r="O35" s="6">
        <f t="shared" si="4"/>
        <v>4</v>
      </c>
      <c r="P35" s="6">
        <f t="shared" si="4"/>
        <v>9</v>
      </c>
      <c r="Q35" s="6">
        <f t="shared" si="4"/>
        <v>2</v>
      </c>
      <c r="R35" s="6">
        <f t="shared" si="4"/>
        <v>6</v>
      </c>
      <c r="S35" s="6">
        <f t="shared" si="4"/>
        <v>9</v>
      </c>
    </row>
    <row r="36" spans="2:19" ht="25" customHeight="1">
      <c r="B36">
        <v>3</v>
      </c>
      <c r="C36" t="s">
        <v>25</v>
      </c>
      <c r="D36" t="b">
        <v>0</v>
      </c>
      <c r="E36">
        <v>1</v>
      </c>
      <c r="F36" t="s">
        <v>18</v>
      </c>
      <c r="G36" t="str">
        <f>_xlfn.TEXTJOIN("-",TRUE,Table2526[[#This Row],[attribute]],Table2526[[#This Row],[supplemented]],Table2526[[#This Row],[method]])</f>
        <v>case-FALSE-max</v>
      </c>
      <c r="H36" s="6">
        <f t="shared" ref="H36:S36" si="5">_xlfn.LET(_xlpm.d,$H27:$S27,RANK(H27,_xlpm.d))</f>
        <v>4</v>
      </c>
      <c r="I36" s="6">
        <f t="shared" si="5"/>
        <v>11</v>
      </c>
      <c r="J36" s="6">
        <f t="shared" si="5"/>
        <v>7</v>
      </c>
      <c r="K36" s="6">
        <f t="shared" si="5"/>
        <v>1</v>
      </c>
      <c r="L36" s="6">
        <f t="shared" si="5"/>
        <v>10</v>
      </c>
      <c r="M36" s="6">
        <f t="shared" si="5"/>
        <v>11</v>
      </c>
      <c r="N36" s="6">
        <f t="shared" si="5"/>
        <v>1</v>
      </c>
      <c r="O36" s="6">
        <f t="shared" si="5"/>
        <v>6</v>
      </c>
      <c r="P36" s="6">
        <f t="shared" si="5"/>
        <v>7</v>
      </c>
      <c r="Q36" s="6">
        <f t="shared" si="5"/>
        <v>3</v>
      </c>
      <c r="R36" s="6">
        <f t="shared" si="5"/>
        <v>5</v>
      </c>
      <c r="S36" s="6">
        <f t="shared" si="5"/>
        <v>7</v>
      </c>
    </row>
    <row r="37" spans="2:19" ht="25" customHeight="1">
      <c r="B37">
        <v>3</v>
      </c>
      <c r="C37" t="s">
        <v>25</v>
      </c>
      <c r="D37" t="b">
        <v>1</v>
      </c>
      <c r="E37">
        <v>1</v>
      </c>
      <c r="F37" t="s">
        <v>18</v>
      </c>
      <c r="G37" t="str">
        <f>_xlfn.TEXTJOIN("-",TRUE,Table2526[[#This Row],[attribute]],Table2526[[#This Row],[supplemented]],Table2526[[#This Row],[method]])</f>
        <v>case-TRUE-max</v>
      </c>
      <c r="H37" s="6">
        <f t="shared" ref="H37:S37" si="6">_xlfn.LET(_xlpm.d,$H28:$S28,RANK(H28,_xlpm.d))</f>
        <v>8</v>
      </c>
      <c r="I37" s="6">
        <f t="shared" si="6"/>
        <v>11</v>
      </c>
      <c r="J37" s="6">
        <f t="shared" si="6"/>
        <v>4</v>
      </c>
      <c r="K37" s="6">
        <f t="shared" si="6"/>
        <v>2</v>
      </c>
      <c r="L37" s="6">
        <f t="shared" si="6"/>
        <v>10</v>
      </c>
      <c r="M37" s="6">
        <f t="shared" si="6"/>
        <v>8</v>
      </c>
      <c r="N37" s="6">
        <f t="shared" si="6"/>
        <v>11</v>
      </c>
      <c r="O37" s="6">
        <f t="shared" si="6"/>
        <v>6</v>
      </c>
      <c r="P37" s="6">
        <f t="shared" si="6"/>
        <v>4</v>
      </c>
      <c r="Q37" s="6">
        <f t="shared" si="6"/>
        <v>1</v>
      </c>
      <c r="R37" s="6">
        <f t="shared" si="6"/>
        <v>3</v>
      </c>
      <c r="S37" s="6">
        <f t="shared" si="6"/>
        <v>6</v>
      </c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0E28-78BC-7F47-83A3-5D8EB82F42AC}">
  <sheetPr codeName="Sheet5"/>
  <dimension ref="A1:S28"/>
  <sheetViews>
    <sheetView workbookViewId="0">
      <selection activeCell="G22" sqref="G22:S22"/>
    </sheetView>
  </sheetViews>
  <sheetFormatPr baseColWidth="10" defaultRowHeight="25" customHeight="1"/>
  <cols>
    <col min="1" max="6" width="6.75" customWidth="1"/>
    <col min="7" max="19" width="8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0.81</v>
      </c>
      <c r="H2" s="1">
        <v>0.78</v>
      </c>
      <c r="I2" s="1">
        <v>0.81</v>
      </c>
      <c r="J2" s="1">
        <v>0.78</v>
      </c>
      <c r="K2" s="1">
        <v>0.74</v>
      </c>
      <c r="L2" s="1">
        <v>0.81</v>
      </c>
      <c r="M2" s="1">
        <v>0.82</v>
      </c>
      <c r="N2" s="1">
        <v>0.83</v>
      </c>
      <c r="O2" s="1">
        <v>0.87</v>
      </c>
      <c r="P2" s="1">
        <v>0.78</v>
      </c>
      <c r="Q2" s="1">
        <v>0.8</v>
      </c>
      <c r="R2" s="1">
        <v>0.69</v>
      </c>
      <c r="S2" s="1">
        <f t="shared" ref="S2:S19" si="0">MAX($G2:$R2)</f>
        <v>0.87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0.9</v>
      </c>
      <c r="H3" s="1">
        <v>0.88</v>
      </c>
      <c r="I3" s="1">
        <v>0.86</v>
      </c>
      <c r="J3" s="1">
        <v>0.84</v>
      </c>
      <c r="K3" s="1">
        <v>0.83</v>
      </c>
      <c r="L3" s="1">
        <v>0.83</v>
      </c>
      <c r="M3" s="1">
        <v>0.86</v>
      </c>
      <c r="N3" s="1">
        <v>0.88</v>
      </c>
      <c r="O3" s="1">
        <v>0.83</v>
      </c>
      <c r="P3" s="1">
        <v>0.84</v>
      </c>
      <c r="Q3" s="1">
        <v>0.84</v>
      </c>
      <c r="R3" s="1">
        <v>0.78</v>
      </c>
      <c r="S3" s="1">
        <f t="shared" si="0"/>
        <v>0.9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0.84</v>
      </c>
      <c r="H4" s="1">
        <v>0.8</v>
      </c>
      <c r="I4" s="1">
        <v>0.82</v>
      </c>
      <c r="J4" s="1">
        <v>0.8</v>
      </c>
      <c r="K4" s="1">
        <v>0.81</v>
      </c>
      <c r="L4" s="1">
        <v>0.79</v>
      </c>
      <c r="M4" s="1">
        <v>0.83</v>
      </c>
      <c r="N4" s="1">
        <v>0.86</v>
      </c>
      <c r="O4" s="1">
        <v>0.82</v>
      </c>
      <c r="P4" s="1">
        <v>0.81</v>
      </c>
      <c r="Q4" s="1">
        <v>0.81</v>
      </c>
      <c r="R4" s="1">
        <v>0.77</v>
      </c>
      <c r="S4" s="1">
        <f t="shared" si="0"/>
        <v>0.86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0.79</v>
      </c>
      <c r="H5" s="1">
        <v>0.76</v>
      </c>
      <c r="I5" s="1">
        <v>0.8</v>
      </c>
      <c r="J5" s="1">
        <v>0.7</v>
      </c>
      <c r="K5" s="1">
        <v>0.75</v>
      </c>
      <c r="L5" s="1">
        <v>0.75</v>
      </c>
      <c r="M5" s="1">
        <v>0.78</v>
      </c>
      <c r="N5" s="1">
        <v>0.77</v>
      </c>
      <c r="O5" s="1">
        <v>0.81</v>
      </c>
      <c r="P5" s="1">
        <v>0.8</v>
      </c>
      <c r="Q5" s="1">
        <v>0.79</v>
      </c>
      <c r="R5" s="1">
        <v>0.71</v>
      </c>
      <c r="S5" s="1">
        <f t="shared" si="0"/>
        <v>0.81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0.85</v>
      </c>
      <c r="H6" s="1">
        <v>0.81</v>
      </c>
      <c r="I6" s="1">
        <v>0.83</v>
      </c>
      <c r="J6" s="1">
        <v>0.78</v>
      </c>
      <c r="K6" s="1">
        <v>0.82</v>
      </c>
      <c r="L6" s="1">
        <v>0.82</v>
      </c>
      <c r="M6" s="1">
        <v>0.8</v>
      </c>
      <c r="N6" s="1">
        <v>0.83</v>
      </c>
      <c r="O6" s="1">
        <v>0.83</v>
      </c>
      <c r="P6" s="1">
        <v>0.82</v>
      </c>
      <c r="Q6" s="1">
        <v>0.82</v>
      </c>
      <c r="R6" s="1">
        <v>0.8</v>
      </c>
      <c r="S6" s="1">
        <f t="shared" si="0"/>
        <v>0.85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0.78</v>
      </c>
      <c r="H7" s="1">
        <v>0.73</v>
      </c>
      <c r="I7" s="1">
        <v>0.76</v>
      </c>
      <c r="J7" s="1">
        <v>0.75</v>
      </c>
      <c r="K7" s="1">
        <v>0.8</v>
      </c>
      <c r="L7" s="1">
        <v>0.77</v>
      </c>
      <c r="M7" s="1">
        <v>0.74</v>
      </c>
      <c r="N7" s="1">
        <v>0.81</v>
      </c>
      <c r="O7" s="1">
        <v>0.79</v>
      </c>
      <c r="P7" s="1">
        <v>0.8</v>
      </c>
      <c r="Q7" s="1">
        <v>0.83</v>
      </c>
      <c r="R7" s="1">
        <v>0.77</v>
      </c>
      <c r="S7" s="1">
        <f t="shared" si="0"/>
        <v>0.83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0.54</v>
      </c>
      <c r="H8" s="1">
        <v>0.42</v>
      </c>
      <c r="I8" s="1">
        <v>0.51</v>
      </c>
      <c r="J8" s="1">
        <v>0.49</v>
      </c>
      <c r="K8" s="1">
        <v>0.44</v>
      </c>
      <c r="L8" s="1">
        <v>0.54</v>
      </c>
      <c r="M8" s="1">
        <v>0.53</v>
      </c>
      <c r="N8" s="1">
        <v>0.51</v>
      </c>
      <c r="O8" s="1">
        <v>0.53</v>
      </c>
      <c r="P8" s="1">
        <v>0.46</v>
      </c>
      <c r="Q8" s="1">
        <v>0.53</v>
      </c>
      <c r="R8" s="1">
        <v>0.48</v>
      </c>
      <c r="S8" s="1">
        <f t="shared" si="0"/>
        <v>0.54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0.59</v>
      </c>
      <c r="H9" s="1">
        <v>0.55000000000000004</v>
      </c>
      <c r="I9" s="1">
        <v>0.61</v>
      </c>
      <c r="J9" s="1">
        <v>0.6</v>
      </c>
      <c r="K9" s="1">
        <v>0.56000000000000005</v>
      </c>
      <c r="L9" s="1">
        <v>0.55000000000000004</v>
      </c>
      <c r="M9" s="1">
        <v>0.63</v>
      </c>
      <c r="N9" s="1">
        <v>0.61</v>
      </c>
      <c r="O9" s="1">
        <v>0.56999999999999995</v>
      </c>
      <c r="P9" s="1">
        <v>0.59</v>
      </c>
      <c r="Q9" s="1">
        <v>0.63</v>
      </c>
      <c r="R9" s="1">
        <v>0.52</v>
      </c>
      <c r="S9" s="1">
        <f t="shared" si="0"/>
        <v>0.63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0.55000000000000004</v>
      </c>
      <c r="H10" s="1">
        <v>0.57999999999999996</v>
      </c>
      <c r="I10" s="1">
        <v>0.62</v>
      </c>
      <c r="J10" s="1">
        <v>0.57999999999999996</v>
      </c>
      <c r="K10" s="1">
        <v>0.6</v>
      </c>
      <c r="L10" s="1">
        <v>0.6</v>
      </c>
      <c r="M10" s="1">
        <v>0.53</v>
      </c>
      <c r="N10" s="1">
        <v>0.59</v>
      </c>
      <c r="O10" s="1">
        <v>0.6</v>
      </c>
      <c r="P10" s="1">
        <v>0.61</v>
      </c>
      <c r="Q10" s="1">
        <v>0.56000000000000005</v>
      </c>
      <c r="R10" s="1">
        <v>0.52</v>
      </c>
      <c r="S10" s="1">
        <f t="shared" si="0"/>
        <v>0.62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0.54</v>
      </c>
      <c r="H11" s="1">
        <v>0.43</v>
      </c>
      <c r="I11" s="1">
        <v>0.5</v>
      </c>
      <c r="J11" s="1">
        <v>0.45</v>
      </c>
      <c r="K11" s="1">
        <v>0.5</v>
      </c>
      <c r="L11" s="1">
        <v>0.55000000000000004</v>
      </c>
      <c r="M11" s="1">
        <v>0.47</v>
      </c>
      <c r="N11" s="1">
        <v>0.55000000000000004</v>
      </c>
      <c r="O11" s="1">
        <v>0.53</v>
      </c>
      <c r="P11" s="1">
        <v>0.49</v>
      </c>
      <c r="Q11" s="1">
        <v>0.56999999999999995</v>
      </c>
      <c r="R11" s="1">
        <v>0.46</v>
      </c>
      <c r="S11" s="1">
        <f t="shared" si="0"/>
        <v>0.56999999999999995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0.57999999999999996</v>
      </c>
      <c r="H12" s="1">
        <v>0.56999999999999995</v>
      </c>
      <c r="I12" s="1">
        <v>0.59</v>
      </c>
      <c r="J12" s="1">
        <v>0.53</v>
      </c>
      <c r="K12" s="1">
        <v>0.56999999999999995</v>
      </c>
      <c r="L12" s="1">
        <v>0.55000000000000004</v>
      </c>
      <c r="M12" s="1">
        <v>0.54</v>
      </c>
      <c r="N12" s="1">
        <v>0.6</v>
      </c>
      <c r="O12" s="1">
        <v>0.59</v>
      </c>
      <c r="P12" s="1">
        <v>0.56000000000000005</v>
      </c>
      <c r="Q12" s="1">
        <v>0.62</v>
      </c>
      <c r="R12" s="1">
        <v>0.51</v>
      </c>
      <c r="S12" s="1">
        <f t="shared" si="0"/>
        <v>0.62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0.55000000000000004</v>
      </c>
      <c r="H13" s="1">
        <v>0.56999999999999995</v>
      </c>
      <c r="I13" s="1">
        <v>0.6</v>
      </c>
      <c r="J13" s="1">
        <v>0.52</v>
      </c>
      <c r="K13" s="1">
        <v>0.61</v>
      </c>
      <c r="L13" s="1">
        <v>0.62</v>
      </c>
      <c r="M13" s="1">
        <v>0.46</v>
      </c>
      <c r="N13" s="1">
        <v>0.56000000000000005</v>
      </c>
      <c r="O13" s="1">
        <v>0.59</v>
      </c>
      <c r="P13" s="1">
        <v>0.56999999999999995</v>
      </c>
      <c r="Q13" s="1">
        <v>0.52</v>
      </c>
      <c r="R13" s="1">
        <v>0.53</v>
      </c>
      <c r="S13" s="1">
        <f t="shared" si="0"/>
        <v>0.62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0.35</v>
      </c>
      <c r="H14" s="1">
        <v>0.41</v>
      </c>
      <c r="I14" s="1">
        <v>0.32</v>
      </c>
      <c r="J14" s="1">
        <v>0.41</v>
      </c>
      <c r="K14" s="1">
        <v>0.36</v>
      </c>
      <c r="L14" s="1">
        <v>0.35</v>
      </c>
      <c r="M14" s="1">
        <v>0.4</v>
      </c>
      <c r="N14" s="1">
        <v>0.32</v>
      </c>
      <c r="O14" s="1">
        <v>0.41</v>
      </c>
      <c r="P14" s="1">
        <v>0.4</v>
      </c>
      <c r="Q14" s="1">
        <v>0.37</v>
      </c>
      <c r="R14" s="1">
        <v>0.41</v>
      </c>
      <c r="S14" s="1">
        <f t="shared" si="0"/>
        <v>0.41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0.42</v>
      </c>
      <c r="H15" s="1">
        <v>0.38</v>
      </c>
      <c r="I15" s="1">
        <v>0.4</v>
      </c>
      <c r="J15" s="1">
        <v>0.41</v>
      </c>
      <c r="K15" s="1">
        <v>0.42</v>
      </c>
      <c r="L15" s="1">
        <v>0.45</v>
      </c>
      <c r="M15" s="1">
        <v>0.39</v>
      </c>
      <c r="N15" s="1">
        <v>0.47</v>
      </c>
      <c r="O15" s="1">
        <v>0.45</v>
      </c>
      <c r="P15" s="1">
        <v>0.4</v>
      </c>
      <c r="Q15" s="1">
        <v>0.4</v>
      </c>
      <c r="R15" s="1">
        <v>0.43</v>
      </c>
      <c r="S15" s="1">
        <f t="shared" si="0"/>
        <v>0.47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0.31</v>
      </c>
      <c r="H16" s="1">
        <v>0.38</v>
      </c>
      <c r="I16" s="1">
        <v>0.34</v>
      </c>
      <c r="J16" s="1">
        <v>0.37</v>
      </c>
      <c r="K16" s="1">
        <v>0.38</v>
      </c>
      <c r="L16" s="1">
        <v>0.38</v>
      </c>
      <c r="M16" s="1">
        <v>0.38</v>
      </c>
      <c r="N16" s="1">
        <v>0.41</v>
      </c>
      <c r="O16" s="1">
        <v>0.37</v>
      </c>
      <c r="P16" s="1">
        <v>0.39</v>
      </c>
      <c r="Q16" s="1">
        <v>0.35</v>
      </c>
      <c r="R16" s="1">
        <v>0.38</v>
      </c>
      <c r="S16" s="1">
        <f t="shared" si="0"/>
        <v>0.41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0.32</v>
      </c>
      <c r="H17" s="1">
        <v>0.37</v>
      </c>
      <c r="I17" s="1">
        <v>0.36</v>
      </c>
      <c r="J17" s="1">
        <v>0.28999999999999998</v>
      </c>
      <c r="K17" s="1">
        <v>0.32</v>
      </c>
      <c r="L17" s="1">
        <v>0.41</v>
      </c>
      <c r="M17" s="1">
        <v>0.39</v>
      </c>
      <c r="N17" s="1">
        <v>0.41</v>
      </c>
      <c r="O17" s="1">
        <v>0.36</v>
      </c>
      <c r="P17" s="1">
        <v>0.39</v>
      </c>
      <c r="Q17" s="1">
        <v>0.39</v>
      </c>
      <c r="R17" s="1">
        <v>0.38</v>
      </c>
      <c r="S17" s="1">
        <f t="shared" si="0"/>
        <v>0.41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0.39</v>
      </c>
      <c r="H18" s="1">
        <v>0.38</v>
      </c>
      <c r="I18" s="1">
        <v>0.4</v>
      </c>
      <c r="J18" s="1">
        <v>0.41</v>
      </c>
      <c r="K18" s="1">
        <v>0.41</v>
      </c>
      <c r="L18" s="1">
        <v>0.47</v>
      </c>
      <c r="M18" s="1">
        <v>0.42</v>
      </c>
      <c r="N18" s="1">
        <v>0.42</v>
      </c>
      <c r="O18" s="1">
        <v>0.41</v>
      </c>
      <c r="P18" s="1">
        <v>0.38</v>
      </c>
      <c r="Q18" s="1">
        <v>0.37</v>
      </c>
      <c r="R18" s="1">
        <v>0.42</v>
      </c>
      <c r="S18" s="1">
        <f t="shared" si="0"/>
        <v>0.47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0.33</v>
      </c>
      <c r="H19" s="1">
        <v>0.38</v>
      </c>
      <c r="I19" s="1">
        <v>0.34</v>
      </c>
      <c r="J19" s="1">
        <v>0.39</v>
      </c>
      <c r="K19" s="1">
        <v>0.38</v>
      </c>
      <c r="L19" s="1">
        <v>0.41</v>
      </c>
      <c r="M19" s="1">
        <v>0.36</v>
      </c>
      <c r="N19" s="1">
        <v>0.39</v>
      </c>
      <c r="O19" s="1">
        <v>0.35</v>
      </c>
      <c r="P19" s="1">
        <v>0.37</v>
      </c>
      <c r="Q19" s="1">
        <v>0.35</v>
      </c>
      <c r="R19" s="1">
        <v>0.36</v>
      </c>
      <c r="S19" s="1">
        <f t="shared" si="0"/>
        <v>0.41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0.9</v>
      </c>
      <c r="H23" s="1" cm="1">
        <f t="array" ref="H23">_xlfn.LET(_xlpm.d,H$2:H$19,_xlpm.a,$C$2:$C$19=$C23,_xlpm.b,$D$2:$D$19=$D23,MAX(_xlfn._xlws.FILTER(_xlpm.d,_xlpm.a*_xlpm.b)))</f>
        <v>0.88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0.83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0.78</v>
      </c>
      <c r="S23" s="1" cm="1">
        <f t="array" ref="S23">_xlfn.LET(_xlpm.d,S$2:S$19,_xlpm.a,$C$2:$C$19=$C23,_xlpm.b,$D$2:$D$19=$D23,MAX(_xlfn._xlws.FILTER(_xlpm.d,_xlpm.a*_xlpm.b)))</f>
        <v>0.9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0.85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0.78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0.83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0.59</v>
      </c>
      <c r="H25" s="1" cm="1">
        <f t="array" ref="H25">_xlfn.LET(_xlpm.d,H$2:H$19,_xlpm.a,$C$2:$C$19=$C25,_xlpm.b,$D$2:$D$19=$D25,MAX(_xlfn._xlws.FILTER(_xlpm.d,_xlpm.a*_xlpm.b)))</f>
        <v>0.57999999999999996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0.6</v>
      </c>
      <c r="K25" s="1" cm="1">
        <f t="array" ref="K25">_xlfn.LET(_xlpm.d,K$2:K$19,_xlpm.a,$C$2:$C$19=$C25,_xlpm.b,$D$2:$D$19=$D25,MAX(_xlfn._xlws.FILTER(_xlpm.d,_xlpm.a*_xlpm.b)))</f>
        <v>0.6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0.61</v>
      </c>
      <c r="O25" s="1" cm="1">
        <f t="array" ref="O25">_xlfn.LET(_xlpm.d,O$2:O$19,_xlpm.a,$C$2:$C$19=$C25,_xlpm.b,$D$2:$D$19=$D25,MAX(_xlfn._xlws.FILTER(_xlpm.d,_xlpm.a*_xlpm.b)))</f>
        <v>0.6</v>
      </c>
      <c r="P25" s="1" cm="1">
        <f t="array" ref="P25">_xlfn.LET(_xlpm.d,P$2:P$19,_xlpm.a,$C$2:$C$19=$C25,_xlpm.b,$D$2:$D$19=$D25,MAX(_xlfn._xlws.FILTER(_xlpm.d,_xlpm.a*_xlpm.b)))</f>
        <v>0.61</v>
      </c>
      <c r="Q25" s="1" cm="1">
        <f t="array" ref="Q25">_xlfn.LET(_xlpm.d,Q$2:Q$19,_xlpm.a,$C$2:$C$19=$C25,_xlpm.b,$D$2:$D$19=$D25,MAX(_xlfn._xlws.FILTER(_xlpm.d,_xlpm.a*_xlpm.b)))</f>
        <v>0.63</v>
      </c>
      <c r="R25" s="1" cm="1">
        <f t="array" ref="R25">_xlfn.LET(_xlpm.d,R$2:R$19,_xlpm.a,$C$2:$C$19=$C25,_xlpm.b,$D$2:$D$19=$D25,MAX(_xlfn._xlws.FILTER(_xlpm.d,_xlpm.a*_xlpm.b)))</f>
        <v>0.52</v>
      </c>
      <c r="S25" s="1" cm="1">
        <f t="array" ref="S25">_xlfn.LET(_xlpm.d,S$2:S$19,_xlpm.a,$C$2:$C$19=$C25,_xlpm.b,$D$2:$D$19=$D25,MAX(_xlfn._xlws.FILTER(_xlpm.d,_xlpm.a*_xlpm.b)))</f>
        <v>0.63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0.57999999999999996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0.6</v>
      </c>
      <c r="J26" s="1" cm="1">
        <f t="array" ref="J26">_xlfn.LET(_xlpm.d,J$2:J$19,_xlpm.a,$C$2:$C$19=$C26,_xlpm.b,$D$2:$D$19=$D26,MAX(_xlfn._xlws.FILTER(_xlpm.d,_xlpm.a*_xlpm.b)))</f>
        <v>0.53</v>
      </c>
      <c r="K26" s="1" cm="1">
        <f t="array" ref="K26">_xlfn.LET(_xlpm.d,K$2:K$19,_xlpm.a,$C$2:$C$19=$C26,_xlpm.b,$D$2:$D$19=$D26,MAX(_xlfn._xlws.FILTER(_xlpm.d,_xlpm.a*_xlpm.b)))</f>
        <v>0.61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0.54</v>
      </c>
      <c r="N26" s="1" cm="1">
        <f t="array" ref="N26">_xlfn.LET(_xlpm.d,N$2:N$19,_xlpm.a,$C$2:$C$19=$C26,_xlpm.b,$D$2:$D$19=$D26,MAX(_xlfn._xlws.FILTER(_xlpm.d,_xlpm.a*_xlpm.b)))</f>
        <v>0.6</v>
      </c>
      <c r="O26" s="1" cm="1">
        <f t="array" ref="O26">_xlfn.LET(_xlpm.d,O$2:O$19,_xlpm.a,$C$2:$C$19=$C26,_xlpm.b,$D$2:$D$19=$D26,MAX(_xlfn._xlws.FILTER(_xlpm.d,_xlpm.a*_xlpm.b)))</f>
        <v>0.59</v>
      </c>
      <c r="P26" s="1" cm="1">
        <f t="array" ref="P26">_xlfn.LET(_xlpm.d,P$2:P$19,_xlpm.a,$C$2:$C$19=$C26,_xlpm.b,$D$2:$D$19=$D26,MAX(_xlfn._xlws.FILTER(_xlpm.d,_xlpm.a*_xlpm.b)))</f>
        <v>0.56999999999999995</v>
      </c>
      <c r="Q26" s="1" cm="1">
        <f t="array" ref="Q26">_xlfn.LET(_xlpm.d,Q$2:Q$19,_xlpm.a,$C$2:$C$19=$C26,_xlpm.b,$D$2:$D$19=$D26,MAX(_xlfn._xlws.FILTER(_xlpm.d,_xlpm.a*_xlpm.b)))</f>
        <v>0.62</v>
      </c>
      <c r="R26" s="1" cm="1">
        <f t="array" ref="R26">_xlfn.LET(_xlpm.d,R$2:R$19,_xlpm.a,$C$2:$C$19=$C26,_xlpm.b,$D$2:$D$19=$D26,MAX(_xlfn._xlws.FILTER(_xlpm.d,_xlpm.a*_xlpm.b)))</f>
        <v>0.53</v>
      </c>
      <c r="S26" s="1" cm="1">
        <f t="array" ref="S26">_xlfn.LET(_xlpm.d,S$2:S$19,_xlpm.a,$C$2:$C$19=$C26,_xlpm.b,$D$2:$D$19=$D26,MAX(_xlfn._xlws.FILTER(_xlpm.d,_xlpm.a*_xlpm.b)))</f>
        <v>0.62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0.42</v>
      </c>
      <c r="H27" s="1" cm="1">
        <f t="array" ref="H27">_xlfn.LET(_xlpm.d,H$2:H$19,_xlpm.a,$C$2:$C$19=$C27,_xlpm.b,$D$2:$D$19=$D27,MAX(_xlfn._xlws.FILTER(_xlpm.d,_xlpm.a*_xlpm.b)))</f>
        <v>0.41</v>
      </c>
      <c r="I27" s="1" cm="1">
        <f t="array" ref="I27">_xlfn.LET(_xlpm.d,I$2:I$19,_xlpm.a,$C$2:$C$19=$C27,_xlpm.b,$D$2:$D$19=$D27,MAX(_xlfn._xlws.FILTER(_xlpm.d,_xlpm.a*_xlpm.b)))</f>
        <v>0.4</v>
      </c>
      <c r="J27" s="1" cm="1">
        <f t="array" ref="J27">_xlfn.LET(_xlpm.d,J$2:J$19,_xlpm.a,$C$2:$C$19=$C27,_xlpm.b,$D$2:$D$19=$D27,MAX(_xlfn._xlws.FILTER(_xlpm.d,_xlpm.a*_xlpm.b)))</f>
        <v>0.41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0.45</v>
      </c>
      <c r="M27" s="1" cm="1">
        <f t="array" ref="M27">_xlfn.LET(_xlpm.d,M$2:M$19,_xlpm.a,$C$2:$C$19=$C27,_xlpm.b,$D$2:$D$19=$D27,MAX(_xlfn._xlws.FILTER(_xlpm.d,_xlpm.a*_xlpm.b)))</f>
        <v>0.4</v>
      </c>
      <c r="N27" s="1" cm="1">
        <f t="array" ref="N27">_xlfn.LET(_xlpm.d,N$2:N$19,_xlpm.a,$C$2:$C$19=$C27,_xlpm.b,$D$2:$D$19=$D27,MAX(_xlfn._xlws.FILTER(_xlpm.d,_xlpm.a*_xlpm.b)))</f>
        <v>0.47</v>
      </c>
      <c r="O27" s="1" cm="1">
        <f t="array" ref="O27">_xlfn.LET(_xlpm.d,O$2:O$19,_xlpm.a,$C$2:$C$19=$C27,_xlpm.b,$D$2:$D$19=$D27,MAX(_xlfn._xlws.FILTER(_xlpm.d,_xlpm.a*_xlpm.b)))</f>
        <v>0.45</v>
      </c>
      <c r="P27" s="1" cm="1">
        <f t="array" ref="P27">_xlfn.LET(_xlpm.d,P$2:P$19,_xlpm.a,$C$2:$C$19=$C27,_xlpm.b,$D$2:$D$19=$D27,MAX(_xlfn._xlws.FILTER(_xlpm.d,_xlpm.a*_xlpm.b)))</f>
        <v>0.4</v>
      </c>
      <c r="Q27" s="1" cm="1">
        <f t="array" ref="Q27">_xlfn.LET(_xlpm.d,Q$2:Q$19,_xlpm.a,$C$2:$C$19=$C27,_xlpm.b,$D$2:$D$19=$D27,MAX(_xlfn._xlws.FILTER(_xlpm.d,_xlpm.a*_xlpm.b)))</f>
        <v>0.4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0.39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0.41</v>
      </c>
      <c r="K28" s="1" cm="1">
        <f t="array" ref="K28">_xlfn.LET(_xlpm.d,K$2:K$19,_xlpm.a,$C$2:$C$19=$C28,_xlpm.b,$D$2:$D$19=$D28,MAX(_xlfn._xlws.FILTER(_xlpm.d,_xlpm.a*_xlpm.b)))</f>
        <v>0.41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0.42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0.39</v>
      </c>
      <c r="Q28" s="1" cm="1">
        <f t="array" ref="Q28">_xlfn.LET(_xlpm.d,Q$2:Q$19,_xlpm.a,$C$2:$C$19=$C28,_xlpm.b,$D$2:$D$19=$D28,MAX(_xlfn._xlws.FILTER(_xlpm.d,_xlpm.a*_xlpm.b)))</f>
        <v>0.39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0.47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6165-7BE6-D04F-A5B2-B3871C01155C}">
  <sheetPr codeName="Sheet6"/>
  <dimension ref="A1:S28"/>
  <sheetViews>
    <sheetView workbookViewId="0"/>
  </sheetViews>
  <sheetFormatPr baseColWidth="10" defaultRowHeight="25" customHeight="1"/>
  <cols>
    <col min="2" max="2" width="6.875" customWidth="1"/>
    <col min="4" max="4" width="10" customWidth="1"/>
    <col min="5" max="5" width="7" customWidth="1"/>
    <col min="6" max="6" width="7.125" customWidth="1"/>
    <col min="7" max="19" width="7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0.78</v>
      </c>
      <c r="H2" s="1">
        <v>0.77</v>
      </c>
      <c r="I2" s="1">
        <v>0.77</v>
      </c>
      <c r="J2" s="1">
        <v>0.81</v>
      </c>
      <c r="K2" s="1">
        <v>0.72</v>
      </c>
      <c r="L2" s="1">
        <v>0.8</v>
      </c>
      <c r="M2" s="1">
        <v>0.84</v>
      </c>
      <c r="N2" s="1">
        <v>0.82</v>
      </c>
      <c r="O2" s="1">
        <v>0.7</v>
      </c>
      <c r="P2" s="1">
        <v>0.8</v>
      </c>
      <c r="Q2" s="1">
        <v>0.74</v>
      </c>
      <c r="R2" s="1">
        <v>0.77</v>
      </c>
      <c r="S2" s="1">
        <f t="shared" ref="S2:S19" si="0">MAX($G2:$R2)</f>
        <v>0.84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0.84</v>
      </c>
      <c r="H3" s="1">
        <v>0.83</v>
      </c>
      <c r="I3" s="1">
        <v>0.8</v>
      </c>
      <c r="J3" s="1">
        <v>0.85</v>
      </c>
      <c r="K3" s="1">
        <v>0.77</v>
      </c>
      <c r="L3" s="1">
        <v>0.84</v>
      </c>
      <c r="M3" s="1">
        <v>0.85</v>
      </c>
      <c r="N3" s="1">
        <v>0.83</v>
      </c>
      <c r="O3" s="1">
        <v>0.76</v>
      </c>
      <c r="P3" s="1">
        <v>0.83</v>
      </c>
      <c r="Q3" s="1">
        <v>0.81</v>
      </c>
      <c r="R3" s="1">
        <v>0.79</v>
      </c>
      <c r="S3" s="1">
        <f t="shared" si="0"/>
        <v>0.85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0.8</v>
      </c>
      <c r="H4" s="1">
        <v>0.78</v>
      </c>
      <c r="I4" s="1">
        <v>0.78</v>
      </c>
      <c r="J4" s="1">
        <v>0.86</v>
      </c>
      <c r="K4" s="1">
        <v>0.78</v>
      </c>
      <c r="L4" s="1">
        <v>0.82</v>
      </c>
      <c r="M4" s="1">
        <v>0.86</v>
      </c>
      <c r="N4" s="1">
        <v>0.8</v>
      </c>
      <c r="O4" s="1">
        <v>0.74</v>
      </c>
      <c r="P4" s="1">
        <v>0.83</v>
      </c>
      <c r="Q4" s="1">
        <v>0.79</v>
      </c>
      <c r="R4" s="1">
        <v>0.78</v>
      </c>
      <c r="S4" s="1">
        <f t="shared" si="0"/>
        <v>0.86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0.82</v>
      </c>
      <c r="H5" s="1">
        <v>0.76</v>
      </c>
      <c r="I5" s="1">
        <v>0.77</v>
      </c>
      <c r="J5" s="1">
        <v>0.72</v>
      </c>
      <c r="K5" s="1">
        <v>0.71</v>
      </c>
      <c r="L5" s="1">
        <v>0.8</v>
      </c>
      <c r="M5" s="1">
        <v>0.78</v>
      </c>
      <c r="N5" s="1">
        <v>0.74</v>
      </c>
      <c r="O5" s="1">
        <v>0.69</v>
      </c>
      <c r="P5" s="1">
        <v>0.81</v>
      </c>
      <c r="Q5" s="1">
        <v>0.8</v>
      </c>
      <c r="R5" s="1">
        <v>0.78</v>
      </c>
      <c r="S5" s="1">
        <f t="shared" si="0"/>
        <v>0.82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0.8</v>
      </c>
      <c r="H6" s="1">
        <v>0.78</v>
      </c>
      <c r="I6" s="1">
        <v>0.8</v>
      </c>
      <c r="J6" s="1">
        <v>0.85</v>
      </c>
      <c r="K6" s="1">
        <v>0.74</v>
      </c>
      <c r="L6" s="1">
        <v>0.82</v>
      </c>
      <c r="M6" s="1">
        <v>0.82</v>
      </c>
      <c r="N6" s="1">
        <v>0.78</v>
      </c>
      <c r="O6" s="1">
        <v>0.74</v>
      </c>
      <c r="P6" s="1">
        <v>0.83</v>
      </c>
      <c r="Q6" s="1">
        <v>0.79</v>
      </c>
      <c r="R6" s="1">
        <v>0.8</v>
      </c>
      <c r="S6" s="1">
        <f t="shared" si="0"/>
        <v>0.85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0.81</v>
      </c>
      <c r="H7" s="1">
        <v>0.79</v>
      </c>
      <c r="I7" s="1">
        <v>0.72</v>
      </c>
      <c r="J7" s="1">
        <v>0.79</v>
      </c>
      <c r="K7" s="1">
        <v>0.78</v>
      </c>
      <c r="L7" s="1">
        <v>0.84</v>
      </c>
      <c r="M7" s="1">
        <v>0.79</v>
      </c>
      <c r="N7" s="1">
        <v>0.77</v>
      </c>
      <c r="O7" s="1">
        <v>0.71</v>
      </c>
      <c r="P7" s="1">
        <v>0.81</v>
      </c>
      <c r="Q7" s="1">
        <v>0.78</v>
      </c>
      <c r="R7" s="1">
        <v>0.74</v>
      </c>
      <c r="S7" s="1">
        <f t="shared" si="0"/>
        <v>0.84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0.56000000000000005</v>
      </c>
      <c r="H8" s="1">
        <v>0.51</v>
      </c>
      <c r="I8" s="1">
        <v>0.48</v>
      </c>
      <c r="J8" s="1">
        <v>0.48</v>
      </c>
      <c r="K8" s="1">
        <v>0.43</v>
      </c>
      <c r="L8" s="1">
        <v>0.4</v>
      </c>
      <c r="M8" s="1">
        <v>0.43</v>
      </c>
      <c r="N8" s="1">
        <v>0.49</v>
      </c>
      <c r="O8" s="1">
        <v>0.53</v>
      </c>
      <c r="P8" s="1">
        <v>0.55000000000000004</v>
      </c>
      <c r="Q8" s="1">
        <v>0.48</v>
      </c>
      <c r="R8" s="1">
        <v>0.56000000000000005</v>
      </c>
      <c r="S8" s="1">
        <f t="shared" si="0"/>
        <v>0.56000000000000005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0.64</v>
      </c>
      <c r="H9" s="1">
        <v>0.56999999999999995</v>
      </c>
      <c r="I9" s="1">
        <v>0.56000000000000005</v>
      </c>
      <c r="J9" s="1">
        <v>0.65</v>
      </c>
      <c r="K9" s="1">
        <v>0.52</v>
      </c>
      <c r="L9" s="1">
        <v>0.49</v>
      </c>
      <c r="M9" s="1">
        <v>0.63</v>
      </c>
      <c r="N9" s="1">
        <v>0.56999999999999995</v>
      </c>
      <c r="O9" s="1">
        <v>0.62</v>
      </c>
      <c r="P9" s="1">
        <v>0.6</v>
      </c>
      <c r="Q9" s="1">
        <v>0.6</v>
      </c>
      <c r="R9" s="1">
        <v>0.57999999999999996</v>
      </c>
      <c r="S9" s="1">
        <f t="shared" si="0"/>
        <v>0.65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0.6</v>
      </c>
      <c r="H10" s="1">
        <v>0.55000000000000004</v>
      </c>
      <c r="I10" s="1">
        <v>0.59</v>
      </c>
      <c r="J10" s="1">
        <v>0.55000000000000004</v>
      </c>
      <c r="K10" s="1">
        <v>0.56000000000000005</v>
      </c>
      <c r="L10" s="1">
        <v>0.52</v>
      </c>
      <c r="M10" s="1">
        <v>0.54</v>
      </c>
      <c r="N10" s="1">
        <v>0.56000000000000005</v>
      </c>
      <c r="O10" s="1">
        <v>0.62</v>
      </c>
      <c r="P10" s="1">
        <v>0.5</v>
      </c>
      <c r="Q10" s="1">
        <v>0.55000000000000004</v>
      </c>
      <c r="R10" s="1">
        <v>0.53</v>
      </c>
      <c r="S10" s="1">
        <f t="shared" si="0"/>
        <v>0.62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0.51</v>
      </c>
      <c r="H11" s="1">
        <v>0.45</v>
      </c>
      <c r="I11" s="1">
        <v>0.44</v>
      </c>
      <c r="J11" s="1">
        <v>0.51</v>
      </c>
      <c r="K11" s="1">
        <v>0.43</v>
      </c>
      <c r="L11" s="1">
        <v>0.41</v>
      </c>
      <c r="M11" s="1">
        <v>0.38</v>
      </c>
      <c r="N11" s="1">
        <v>0.47</v>
      </c>
      <c r="O11" s="1">
        <v>0.53</v>
      </c>
      <c r="P11" s="1">
        <v>0.53</v>
      </c>
      <c r="Q11" s="1">
        <v>0.42</v>
      </c>
      <c r="R11" s="1">
        <v>0.52</v>
      </c>
      <c r="S11" s="1">
        <f t="shared" si="0"/>
        <v>0.53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0.6</v>
      </c>
      <c r="H12" s="1">
        <v>0.49</v>
      </c>
      <c r="I12" s="1">
        <v>0.54</v>
      </c>
      <c r="J12" s="1">
        <v>0.6</v>
      </c>
      <c r="K12" s="1">
        <v>0.54</v>
      </c>
      <c r="L12" s="1">
        <v>0.5</v>
      </c>
      <c r="M12" s="1">
        <v>0.57999999999999996</v>
      </c>
      <c r="N12" s="1">
        <v>0.56000000000000005</v>
      </c>
      <c r="O12" s="1">
        <v>0.56999999999999995</v>
      </c>
      <c r="P12" s="1">
        <v>0.6</v>
      </c>
      <c r="Q12" s="1">
        <v>0.56000000000000005</v>
      </c>
      <c r="R12" s="1">
        <v>0.55000000000000004</v>
      </c>
      <c r="S12" s="1">
        <f t="shared" si="0"/>
        <v>0.6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0.56000000000000005</v>
      </c>
      <c r="H13" s="1">
        <v>0.55000000000000004</v>
      </c>
      <c r="I13" s="1">
        <v>0.54</v>
      </c>
      <c r="J13" s="1">
        <v>0.57999999999999996</v>
      </c>
      <c r="K13" s="1">
        <v>0.59</v>
      </c>
      <c r="L13" s="1">
        <v>0.56999999999999995</v>
      </c>
      <c r="M13" s="1">
        <v>0.53</v>
      </c>
      <c r="N13" s="1">
        <v>0.55000000000000004</v>
      </c>
      <c r="O13" s="1">
        <v>0.61</v>
      </c>
      <c r="P13" s="1">
        <v>0.5</v>
      </c>
      <c r="Q13" s="1">
        <v>0.53</v>
      </c>
      <c r="R13" s="1">
        <v>0.56999999999999995</v>
      </c>
      <c r="S13" s="1">
        <f t="shared" si="0"/>
        <v>0.61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0.37</v>
      </c>
      <c r="H14" s="1">
        <v>0.42</v>
      </c>
      <c r="I14" s="1">
        <v>0.38</v>
      </c>
      <c r="J14" s="1">
        <v>0.37</v>
      </c>
      <c r="K14" s="1">
        <v>0.36</v>
      </c>
      <c r="L14" s="1">
        <v>0.36</v>
      </c>
      <c r="M14" s="1">
        <v>0.33</v>
      </c>
      <c r="N14" s="1">
        <v>0.39</v>
      </c>
      <c r="O14" s="1">
        <v>0.35</v>
      </c>
      <c r="P14" s="1">
        <v>0.36</v>
      </c>
      <c r="Q14" s="1">
        <v>0.41</v>
      </c>
      <c r="R14" s="1">
        <v>0.36</v>
      </c>
      <c r="S14" s="1">
        <f t="shared" si="0"/>
        <v>0.42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0.4</v>
      </c>
      <c r="H15" s="1">
        <v>0.43</v>
      </c>
      <c r="I15" s="1">
        <v>0.41</v>
      </c>
      <c r="J15" s="1">
        <v>0.39</v>
      </c>
      <c r="K15" s="1">
        <v>0.42</v>
      </c>
      <c r="L15" s="1">
        <v>0.42</v>
      </c>
      <c r="M15" s="1">
        <v>0.39</v>
      </c>
      <c r="N15" s="1">
        <v>0.43</v>
      </c>
      <c r="O15" s="1">
        <v>0.38</v>
      </c>
      <c r="P15" s="1">
        <v>0.42</v>
      </c>
      <c r="Q15" s="1">
        <v>0.45</v>
      </c>
      <c r="R15" s="1">
        <v>0.36</v>
      </c>
      <c r="S15" s="1">
        <f t="shared" si="0"/>
        <v>0.45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0.33</v>
      </c>
      <c r="H16" s="1">
        <v>0.38</v>
      </c>
      <c r="I16" s="1">
        <v>0.27</v>
      </c>
      <c r="J16" s="1">
        <v>0.34</v>
      </c>
      <c r="K16" s="1">
        <v>0.46</v>
      </c>
      <c r="L16" s="1">
        <v>0.39</v>
      </c>
      <c r="M16" s="1">
        <v>0.39</v>
      </c>
      <c r="N16" s="1">
        <v>0.37</v>
      </c>
      <c r="O16" s="1">
        <v>0.35</v>
      </c>
      <c r="P16" s="1">
        <v>0.41</v>
      </c>
      <c r="Q16" s="1">
        <v>0.39</v>
      </c>
      <c r="R16" s="1">
        <v>0.32</v>
      </c>
      <c r="S16" s="1">
        <f t="shared" si="0"/>
        <v>0.46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0.33</v>
      </c>
      <c r="H17" s="1">
        <v>0.43</v>
      </c>
      <c r="I17" s="1">
        <v>0.35</v>
      </c>
      <c r="J17" s="1">
        <v>0.35</v>
      </c>
      <c r="K17" s="1">
        <v>0.32</v>
      </c>
      <c r="L17" s="1">
        <v>0.36</v>
      </c>
      <c r="M17" s="1">
        <v>0.39</v>
      </c>
      <c r="N17" s="1">
        <v>0.45</v>
      </c>
      <c r="O17" s="1">
        <v>0.28000000000000003</v>
      </c>
      <c r="P17" s="1">
        <v>0.39</v>
      </c>
      <c r="Q17" s="1">
        <v>0.46</v>
      </c>
      <c r="R17" s="1">
        <v>0.36</v>
      </c>
      <c r="S17" s="1">
        <f t="shared" si="0"/>
        <v>0.46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0.38</v>
      </c>
      <c r="H18" s="1">
        <v>0.35</v>
      </c>
      <c r="I18" s="1">
        <v>0.36</v>
      </c>
      <c r="J18" s="1">
        <v>0.4</v>
      </c>
      <c r="K18" s="1">
        <v>0.46</v>
      </c>
      <c r="L18" s="1">
        <v>0.4</v>
      </c>
      <c r="M18" s="1">
        <v>0.39</v>
      </c>
      <c r="N18" s="1">
        <v>0.4</v>
      </c>
      <c r="O18" s="1">
        <v>0.34</v>
      </c>
      <c r="P18" s="1">
        <v>0.41</v>
      </c>
      <c r="Q18" s="1">
        <v>0.45</v>
      </c>
      <c r="R18" s="1">
        <v>0.34</v>
      </c>
      <c r="S18" s="1">
        <f t="shared" si="0"/>
        <v>0.46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0.42</v>
      </c>
      <c r="H19" s="1">
        <v>0.4</v>
      </c>
      <c r="I19" s="1">
        <v>0.34</v>
      </c>
      <c r="J19" s="1">
        <v>0.32</v>
      </c>
      <c r="K19" s="1">
        <v>0.41</v>
      </c>
      <c r="L19" s="1">
        <v>0.36</v>
      </c>
      <c r="M19" s="1">
        <v>0.32</v>
      </c>
      <c r="N19" s="1">
        <v>0.35</v>
      </c>
      <c r="O19" s="1">
        <v>0.35</v>
      </c>
      <c r="P19" s="1">
        <v>0.37</v>
      </c>
      <c r="Q19" s="1">
        <v>0.33</v>
      </c>
      <c r="R19" s="1">
        <v>0.32</v>
      </c>
      <c r="S19" s="1">
        <f t="shared" si="0"/>
        <v>0.42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0.84</v>
      </c>
      <c r="H23" s="1" cm="1">
        <f t="array" ref="H23">_xlfn.LET(_xlpm.d,H$2:H$19,_xlpm.a,$C$2:$C$19=$C23,_xlpm.b,$D$2:$D$19=$D23,MAX(_xlfn._xlws.FILTER(_xlpm.d,_xlpm.a*_xlpm.b)))</f>
        <v>0.83</v>
      </c>
      <c r="I23" s="1" cm="1">
        <f t="array" ref="I23">_xlfn.LET(_xlpm.d,I$2:I$19,_xlpm.a,$C$2:$C$19=$C23,_xlpm.b,$D$2:$D$19=$D23,MAX(_xlfn._xlws.FILTER(_xlpm.d,_xlpm.a*_xlpm.b)))</f>
        <v>0.8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0.78</v>
      </c>
      <c r="L23" s="1" cm="1">
        <f t="array" ref="L23">_xlfn.LET(_xlpm.d,L$2:L$19,_xlpm.a,$C$2:$C$19=$C23,_xlpm.b,$D$2:$D$19=$D23,MAX(_xlfn._xlws.FILTER(_xlpm.d,_xlpm.a*_xlpm.b)))</f>
        <v>0.84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0.76</v>
      </c>
      <c r="P23" s="1" cm="1">
        <f t="array" ref="P23">_xlfn.LET(_xlpm.d,P$2:P$19,_xlpm.a,$C$2:$C$19=$C23,_xlpm.b,$D$2:$D$19=$D23,MAX(_xlfn._xlws.FILTER(_xlpm.d,_xlpm.a*_xlpm.b)))</f>
        <v>0.83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0.79</v>
      </c>
      <c r="S23" s="1" cm="1">
        <f t="array" ref="S23">_xlfn.LET(_xlpm.d,S$2:S$19,_xlpm.a,$C$2:$C$19=$C23,_xlpm.b,$D$2:$D$19=$D23,MAX(_xlfn._xlws.FILTER(_xlpm.d,_xlpm.a*_xlpm.b)))</f>
        <v>0.86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0.79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0.85</v>
      </c>
      <c r="K24" s="1" cm="1">
        <f t="array" ref="K24">_xlfn.LET(_xlpm.d,K$2:K$19,_xlpm.a,$C$2:$C$19=$C24,_xlpm.b,$D$2:$D$19=$D24,MAX(_xlfn._xlws.FILTER(_xlpm.d,_xlpm.a*_xlpm.b)))</f>
        <v>0.78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0.78</v>
      </c>
      <c r="O24" s="1" cm="1">
        <f t="array" ref="O24">_xlfn.LET(_xlpm.d,O$2:O$19,_xlpm.a,$C$2:$C$19=$C24,_xlpm.b,$D$2:$D$19=$D24,MAX(_xlfn._xlws.FILTER(_xlpm.d,_xlpm.a*_xlpm.b)))</f>
        <v>0.74</v>
      </c>
      <c r="P24" s="1" cm="1">
        <f t="array" ref="P24">_xlfn.LET(_xlpm.d,P$2:P$19,_xlpm.a,$C$2:$C$19=$C24,_xlpm.b,$D$2:$D$19=$D24,MAX(_xlfn._xlws.FILTER(_xlpm.d,_xlpm.a*_xlpm.b)))</f>
        <v>0.83</v>
      </c>
      <c r="Q24" s="1" cm="1">
        <f t="array" ref="Q24">_xlfn.LET(_xlpm.d,Q$2:Q$19,_xlpm.a,$C$2:$C$19=$C24,_xlpm.b,$D$2:$D$19=$D24,MAX(_xlfn._xlws.FILTER(_xlpm.d,_xlpm.a*_xlpm.b)))</f>
        <v>0.8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0.64</v>
      </c>
      <c r="H25" s="1" cm="1">
        <f t="array" ref="H25">_xlfn.LET(_xlpm.d,H$2:H$19,_xlpm.a,$C$2:$C$19=$C25,_xlpm.b,$D$2:$D$19=$D25,MAX(_xlfn._xlws.FILTER(_xlpm.d,_xlpm.a*_xlpm.b)))</f>
        <v>0.56999999999999995</v>
      </c>
      <c r="I25" s="1" cm="1">
        <f t="array" ref="I25">_xlfn.LET(_xlpm.d,I$2:I$19,_xlpm.a,$C$2:$C$19=$C25,_xlpm.b,$D$2:$D$19=$D25,MAX(_xlfn._xlws.FILTER(_xlpm.d,_xlpm.a*_xlpm.b)))</f>
        <v>0.59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0.56000000000000005</v>
      </c>
      <c r="L25" s="1" cm="1">
        <f t="array" ref="L25">_xlfn.LET(_xlpm.d,L$2:L$19,_xlpm.a,$C$2:$C$19=$C25,_xlpm.b,$D$2:$D$19=$D25,MAX(_xlfn._xlws.FILTER(_xlpm.d,_xlpm.a*_xlpm.b)))</f>
        <v>0.52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0.56999999999999995</v>
      </c>
      <c r="O25" s="1" cm="1">
        <f t="array" ref="O25">_xlfn.LET(_xlpm.d,O$2:O$19,_xlpm.a,$C$2:$C$19=$C25,_xlpm.b,$D$2:$D$19=$D25,MAX(_xlfn._xlws.FILTER(_xlpm.d,_xlpm.a*_xlpm.b)))</f>
        <v>0.62</v>
      </c>
      <c r="P25" s="1" cm="1">
        <f t="array" ref="P25">_xlfn.LET(_xlpm.d,P$2:P$19,_xlpm.a,$C$2:$C$19=$C25,_xlpm.b,$D$2:$D$19=$D25,MAX(_xlfn._xlws.FILTER(_xlpm.d,_xlpm.a*_xlpm.b)))</f>
        <v>0.6</v>
      </c>
      <c r="Q25" s="1" cm="1">
        <f t="array" ref="Q25">_xlfn.LET(_xlpm.d,Q$2:Q$19,_xlpm.a,$C$2:$C$19=$C25,_xlpm.b,$D$2:$D$19=$D25,MAX(_xlfn._xlws.FILTER(_xlpm.d,_xlpm.a*_xlpm.b)))</f>
        <v>0.6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0.65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0.6</v>
      </c>
      <c r="H26" s="1" cm="1">
        <f t="array" ref="H26">_xlfn.LET(_xlpm.d,H$2:H$19,_xlpm.a,$C$2:$C$19=$C26,_xlpm.b,$D$2:$D$19=$D26,MAX(_xlfn._xlws.FILTER(_xlpm.d,_xlpm.a*_xlpm.b)))</f>
        <v>0.55000000000000004</v>
      </c>
      <c r="I26" s="1" cm="1">
        <f t="array" ref="I26">_xlfn.LET(_xlpm.d,I$2:I$19,_xlpm.a,$C$2:$C$19=$C26,_xlpm.b,$D$2:$D$19=$D26,MAX(_xlfn._xlws.FILTER(_xlpm.d,_xlpm.a*_xlpm.b)))</f>
        <v>0.54</v>
      </c>
      <c r="J26" s="1" cm="1">
        <f t="array" ref="J26">_xlfn.LET(_xlpm.d,J$2:J$19,_xlpm.a,$C$2:$C$19=$C26,_xlpm.b,$D$2:$D$19=$D26,MAX(_xlfn._xlws.FILTER(_xlpm.d,_xlpm.a*_xlpm.b)))</f>
        <v>0.6</v>
      </c>
      <c r="K26" s="1" cm="1">
        <f t="array" ref="K26">_xlfn.LET(_xlpm.d,K$2:K$19,_xlpm.a,$C$2:$C$19=$C26,_xlpm.b,$D$2:$D$19=$D26,MAX(_xlfn._xlws.FILTER(_xlpm.d,_xlpm.a*_xlpm.b)))</f>
        <v>0.59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0.56000000000000005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0.56000000000000005</v>
      </c>
      <c r="R26" s="1" cm="1">
        <f t="array" ref="R26">_xlfn.LET(_xlpm.d,R$2:R$19,_xlpm.a,$C$2:$C$19=$C26,_xlpm.b,$D$2:$D$19=$D26,MAX(_xlfn._xlws.FILTER(_xlpm.d,_xlpm.a*_xlpm.b)))</f>
        <v>0.56999999999999995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0.4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0.41</v>
      </c>
      <c r="J27" s="1" cm="1">
        <f t="array" ref="J27">_xlfn.LET(_xlpm.d,J$2:J$19,_xlpm.a,$C$2:$C$19=$C27,_xlpm.b,$D$2:$D$19=$D27,MAX(_xlfn._xlws.FILTER(_xlpm.d,_xlpm.a*_xlpm.b)))</f>
        <v>0.39</v>
      </c>
      <c r="K27" s="1" cm="1">
        <f t="array" ref="K27">_xlfn.LET(_xlpm.d,K$2:K$19,_xlpm.a,$C$2:$C$19=$C27,_xlpm.b,$D$2:$D$19=$D27,MAX(_xlfn._xlws.FILTER(_xlpm.d,_xlpm.a*_xlpm.b)))</f>
        <v>0.46</v>
      </c>
      <c r="L27" s="1" cm="1">
        <f t="array" ref="L27">_xlfn.LET(_xlpm.d,L$2:L$19,_xlpm.a,$C$2:$C$19=$C27,_xlpm.b,$D$2:$D$19=$D27,MAX(_xlfn._xlws.FILTER(_xlpm.d,_xlpm.a*_xlpm.b)))</f>
        <v>0.42</v>
      </c>
      <c r="M27" s="1" cm="1">
        <f t="array" ref="M27">_xlfn.LET(_xlpm.d,M$2:M$19,_xlpm.a,$C$2:$C$19=$C27,_xlpm.b,$D$2:$D$19=$D27,MAX(_xlfn._xlws.FILTER(_xlpm.d,_xlpm.a*_xlpm.b)))</f>
        <v>0.39</v>
      </c>
      <c r="N27" s="1" cm="1">
        <f t="array" ref="N27">_xlfn.LET(_xlpm.d,N$2:N$19,_xlpm.a,$C$2:$C$19=$C27,_xlpm.b,$D$2:$D$19=$D27,MAX(_xlfn._xlws.FILTER(_xlpm.d,_xlpm.a*_xlpm.b)))</f>
        <v>0.43</v>
      </c>
      <c r="O27" s="1" cm="1">
        <f t="array" ref="O27">_xlfn.LET(_xlpm.d,O$2:O$19,_xlpm.a,$C$2:$C$19=$C27,_xlpm.b,$D$2:$D$19=$D27,MAX(_xlfn._xlws.FILTER(_xlpm.d,_xlpm.a*_xlpm.b)))</f>
        <v>0.38</v>
      </c>
      <c r="P27" s="1" cm="1">
        <f t="array" ref="P27">_xlfn.LET(_xlpm.d,P$2:P$19,_xlpm.a,$C$2:$C$19=$C27,_xlpm.b,$D$2:$D$19=$D27,MAX(_xlfn._xlws.FILTER(_xlpm.d,_xlpm.a*_xlpm.b)))</f>
        <v>0.42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0.36</v>
      </c>
      <c r="S27" s="1" cm="1">
        <f t="array" ref="S27">_xlfn.LET(_xlpm.d,S$2:S$19,_xlpm.a,$C$2:$C$19=$C27,_xlpm.b,$D$2:$D$19=$D27,MAX(_xlfn._xlws.FILTER(_xlpm.d,_xlpm.a*_xlpm.b)))</f>
        <v>0.46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0.42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0.36</v>
      </c>
      <c r="J28" s="1" cm="1">
        <f t="array" ref="J28">_xlfn.LET(_xlpm.d,J$2:J$19,_xlpm.a,$C$2:$C$19=$C28,_xlpm.b,$D$2:$D$19=$D28,MAX(_xlfn._xlws.FILTER(_xlpm.d,_xlpm.a*_xlpm.b)))</f>
        <v>0.4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0.4</v>
      </c>
      <c r="M28" s="1" cm="1">
        <f t="array" ref="M28">_xlfn.LET(_xlpm.d,M$2:M$19,_xlpm.a,$C$2:$C$19=$C28,_xlpm.b,$D$2:$D$19=$D28,MAX(_xlfn._xlws.FILTER(_xlpm.d,_xlpm.a*_xlpm.b)))</f>
        <v>0.39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0.35</v>
      </c>
      <c r="P28" s="1" cm="1">
        <f t="array" ref="P28">_xlfn.LET(_xlpm.d,P$2:P$19,_xlpm.a,$C$2:$C$19=$C28,_xlpm.b,$D$2:$D$19=$D28,MAX(_xlfn._xlws.FILTER(_xlpm.d,_xlpm.a*_xlpm.b)))</f>
        <v>0.41</v>
      </c>
      <c r="Q28" s="1" cm="1">
        <f t="array" ref="Q28">_xlfn.LET(_xlpm.d,Q$2:Q$19,_xlpm.a,$C$2:$C$19=$C28,_xlpm.b,$D$2:$D$19=$D28,MAX(_xlfn._xlws.FILTER(_xlpm.d,_xlpm.a*_xlpm.b)))</f>
        <v>0.46</v>
      </c>
      <c r="R28" s="1" cm="1">
        <f t="array" ref="R28">_xlfn.LET(_xlpm.d,R$2:R$19,_xlpm.a,$C$2:$C$19=$C28,_xlpm.b,$D$2:$D$19=$D28,MAX(_xlfn._xlws.FILTER(_xlpm.d,_xlpm.a*_xlpm.b)))</f>
        <v>0.36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CB42-76FB-2E42-9536-1AA9CDBC4158}">
  <sheetPr codeName="Sheet7"/>
  <dimension ref="A1:S28"/>
  <sheetViews>
    <sheetView workbookViewId="0">
      <selection activeCell="J11" sqref="J11"/>
    </sheetView>
  </sheetViews>
  <sheetFormatPr baseColWidth="10" defaultRowHeight="25" customHeight="1"/>
  <cols>
    <col min="2" max="5" width="7.125" customWidth="1"/>
    <col min="7" max="19" width="8.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0.82</v>
      </c>
      <c r="H2" s="1">
        <v>0.8</v>
      </c>
      <c r="I2" s="1">
        <v>0.8</v>
      </c>
      <c r="J2" s="1">
        <v>0.71</v>
      </c>
      <c r="K2" s="1">
        <v>0.8</v>
      </c>
      <c r="L2" s="1">
        <v>0.79</v>
      </c>
      <c r="M2" s="1">
        <v>0.83</v>
      </c>
      <c r="N2" s="1">
        <v>0.81</v>
      </c>
      <c r="O2" s="1">
        <v>0.76</v>
      </c>
      <c r="P2" s="1">
        <v>0.72</v>
      </c>
      <c r="Q2" s="1">
        <v>0.78</v>
      </c>
      <c r="R2" s="1">
        <v>0.78</v>
      </c>
      <c r="S2" s="1">
        <f t="shared" ref="S2:S19" si="0">MAX($G2:$R2)</f>
        <v>0.83</v>
      </c>
    </row>
    <row r="3" spans="1:19" ht="25" customHeight="1">
      <c r="A3" t="s">
        <v>19</v>
      </c>
      <c r="B3">
        <v>1</v>
      </c>
      <c r="C3" t="s">
        <v>20</v>
      </c>
      <c r="D3" t="b">
        <v>0</v>
      </c>
      <c r="E3">
        <v>2</v>
      </c>
      <c r="F3" t="s">
        <v>22</v>
      </c>
      <c r="G3" s="1">
        <v>0.82</v>
      </c>
      <c r="H3" s="1">
        <v>0.85</v>
      </c>
      <c r="I3" s="1">
        <v>0.83</v>
      </c>
      <c r="J3" s="1">
        <v>0.74</v>
      </c>
      <c r="K3" s="1">
        <v>0.79</v>
      </c>
      <c r="L3" s="1">
        <v>0.82</v>
      </c>
      <c r="M3" s="1">
        <v>0.8</v>
      </c>
      <c r="N3" s="1">
        <v>0.79</v>
      </c>
      <c r="O3" s="1">
        <v>0.8</v>
      </c>
      <c r="P3" s="1">
        <v>0.81</v>
      </c>
      <c r="Q3" s="1">
        <v>0.81</v>
      </c>
      <c r="R3" s="1">
        <v>0.81</v>
      </c>
      <c r="S3" s="1">
        <f t="shared" si="0"/>
        <v>0.85</v>
      </c>
    </row>
    <row r="4" spans="1:19" ht="25" customHeight="1">
      <c r="A4" t="s">
        <v>19</v>
      </c>
      <c r="B4">
        <v>1</v>
      </c>
      <c r="C4" t="s">
        <v>20</v>
      </c>
      <c r="D4" t="b">
        <v>0</v>
      </c>
      <c r="E4">
        <v>3</v>
      </c>
      <c r="F4" t="s">
        <v>23</v>
      </c>
      <c r="G4" s="1">
        <v>0.79</v>
      </c>
      <c r="H4" s="1">
        <v>0.83</v>
      </c>
      <c r="I4" s="1">
        <v>0.8</v>
      </c>
      <c r="J4" s="1">
        <v>0.71</v>
      </c>
      <c r="K4" s="1">
        <v>0.73</v>
      </c>
      <c r="L4" s="1">
        <v>0.83</v>
      </c>
      <c r="M4" s="1">
        <v>0.78</v>
      </c>
      <c r="N4" s="1">
        <v>0.79</v>
      </c>
      <c r="O4" s="1">
        <v>0.74</v>
      </c>
      <c r="P4" s="1">
        <v>0.81</v>
      </c>
      <c r="Q4" s="1">
        <v>0.76</v>
      </c>
      <c r="R4" s="1">
        <v>0.77</v>
      </c>
      <c r="S4" s="1">
        <f t="shared" si="0"/>
        <v>0.83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0.76</v>
      </c>
      <c r="H5" s="1">
        <v>0.82</v>
      </c>
      <c r="I5" s="1">
        <v>0.83</v>
      </c>
      <c r="J5" s="1">
        <v>0.69</v>
      </c>
      <c r="K5" s="1">
        <v>0.77</v>
      </c>
      <c r="L5" s="1">
        <v>0.78</v>
      </c>
      <c r="M5" s="1">
        <v>0.77</v>
      </c>
      <c r="N5" s="1">
        <v>0.76</v>
      </c>
      <c r="O5" s="1">
        <v>0.74</v>
      </c>
      <c r="P5" s="1">
        <v>0.74</v>
      </c>
      <c r="Q5" s="1">
        <v>0.74</v>
      </c>
      <c r="R5" s="1">
        <v>0.73</v>
      </c>
      <c r="S5" s="1">
        <f t="shared" si="0"/>
        <v>0.83</v>
      </c>
    </row>
    <row r="6" spans="1:19" ht="25" customHeight="1">
      <c r="A6" t="s">
        <v>19</v>
      </c>
      <c r="B6">
        <v>1</v>
      </c>
      <c r="C6" t="s">
        <v>20</v>
      </c>
      <c r="D6" t="b">
        <v>1</v>
      </c>
      <c r="E6">
        <v>2</v>
      </c>
      <c r="F6" t="s">
        <v>22</v>
      </c>
      <c r="G6" s="1">
        <v>0.85</v>
      </c>
      <c r="H6" s="1">
        <v>0.86</v>
      </c>
      <c r="I6" s="1">
        <v>0.89</v>
      </c>
      <c r="J6" s="1">
        <v>0.77</v>
      </c>
      <c r="K6" s="1">
        <v>0.81</v>
      </c>
      <c r="L6" s="1">
        <v>0.81</v>
      </c>
      <c r="M6" s="1">
        <v>0.86</v>
      </c>
      <c r="N6" s="1">
        <v>0.82</v>
      </c>
      <c r="O6" s="1">
        <v>0.82</v>
      </c>
      <c r="P6" s="1">
        <v>0.82</v>
      </c>
      <c r="Q6" s="1">
        <v>0.81</v>
      </c>
      <c r="R6" s="1">
        <v>0.83</v>
      </c>
      <c r="S6" s="1">
        <f t="shared" si="0"/>
        <v>0.89</v>
      </c>
    </row>
    <row r="7" spans="1:19" ht="25" customHeight="1">
      <c r="A7" t="s">
        <v>19</v>
      </c>
      <c r="B7">
        <v>1</v>
      </c>
      <c r="C7" t="s">
        <v>20</v>
      </c>
      <c r="D7" t="b">
        <v>1</v>
      </c>
      <c r="E7">
        <v>3</v>
      </c>
      <c r="F7" t="s">
        <v>23</v>
      </c>
      <c r="G7" s="1">
        <v>0.81</v>
      </c>
      <c r="H7" s="1">
        <v>0.83</v>
      </c>
      <c r="I7" s="1">
        <v>0.84</v>
      </c>
      <c r="J7" s="1">
        <v>0.76</v>
      </c>
      <c r="K7" s="1">
        <v>0.76</v>
      </c>
      <c r="L7" s="1">
        <v>0.79</v>
      </c>
      <c r="M7" s="1">
        <v>0.84</v>
      </c>
      <c r="N7" s="1">
        <v>0.81</v>
      </c>
      <c r="O7" s="1">
        <v>0.77</v>
      </c>
      <c r="P7" s="1">
        <v>0.81</v>
      </c>
      <c r="Q7" s="1">
        <v>0.81</v>
      </c>
      <c r="R7" s="1">
        <v>0.81</v>
      </c>
      <c r="S7" s="1">
        <f t="shared" si="0"/>
        <v>0.84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2</v>
      </c>
      <c r="F8" t="s">
        <v>22</v>
      </c>
      <c r="G8" s="1">
        <v>0.56000000000000005</v>
      </c>
      <c r="H8" s="1">
        <v>0.57999999999999996</v>
      </c>
      <c r="I8" s="1">
        <v>0.62</v>
      </c>
      <c r="J8" s="1">
        <v>0.59</v>
      </c>
      <c r="K8" s="1">
        <v>0.56999999999999995</v>
      </c>
      <c r="L8" s="1">
        <v>0.59</v>
      </c>
      <c r="M8" s="1">
        <v>0.57999999999999996</v>
      </c>
      <c r="N8" s="1">
        <v>0.6</v>
      </c>
      <c r="O8" s="1">
        <v>0.57999999999999996</v>
      </c>
      <c r="P8" s="1">
        <v>0.68</v>
      </c>
      <c r="Q8" s="1">
        <v>0.55000000000000004</v>
      </c>
      <c r="R8" s="1">
        <v>0.62</v>
      </c>
      <c r="S8" s="1">
        <f t="shared" si="0"/>
        <v>0.68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1</v>
      </c>
      <c r="F9" t="s">
        <v>21</v>
      </c>
      <c r="G9" s="1">
        <v>0.38</v>
      </c>
      <c r="H9" s="1">
        <v>0.53</v>
      </c>
      <c r="I9" s="1">
        <v>0.55000000000000004</v>
      </c>
      <c r="J9" s="1">
        <v>0.51</v>
      </c>
      <c r="K9" s="1">
        <v>0.41</v>
      </c>
      <c r="L9" s="1">
        <v>0.51</v>
      </c>
      <c r="M9" s="1">
        <v>0.51</v>
      </c>
      <c r="N9" s="1">
        <v>0.52</v>
      </c>
      <c r="O9" s="1">
        <v>0.52</v>
      </c>
      <c r="P9" s="1">
        <v>0.51</v>
      </c>
      <c r="Q9" s="1">
        <v>0.54</v>
      </c>
      <c r="R9" s="1">
        <v>0.49</v>
      </c>
      <c r="S9" s="1">
        <f t="shared" si="0"/>
        <v>0.55000000000000004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0.55000000000000004</v>
      </c>
      <c r="H10" s="1">
        <v>0.61</v>
      </c>
      <c r="I10" s="1">
        <v>0.59</v>
      </c>
      <c r="J10" s="1">
        <v>0.56000000000000005</v>
      </c>
      <c r="K10" s="1">
        <v>0.54</v>
      </c>
      <c r="L10" s="1">
        <v>0.53</v>
      </c>
      <c r="M10" s="1">
        <v>0.59</v>
      </c>
      <c r="N10" s="1">
        <v>0.59</v>
      </c>
      <c r="O10" s="1">
        <v>0.55000000000000004</v>
      </c>
      <c r="P10" s="1">
        <v>0.63</v>
      </c>
      <c r="Q10" s="1">
        <v>0.53</v>
      </c>
      <c r="R10" s="1">
        <v>0.57999999999999996</v>
      </c>
      <c r="S10" s="1">
        <f t="shared" si="0"/>
        <v>0.63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2</v>
      </c>
      <c r="F11" t="s">
        <v>22</v>
      </c>
      <c r="G11" s="1">
        <v>0.56999999999999995</v>
      </c>
      <c r="H11" s="1">
        <v>0.56000000000000005</v>
      </c>
      <c r="I11" s="1">
        <v>0.61</v>
      </c>
      <c r="J11" s="1">
        <v>0.55000000000000004</v>
      </c>
      <c r="K11" s="1">
        <v>0.56999999999999995</v>
      </c>
      <c r="L11" s="1">
        <v>0.53</v>
      </c>
      <c r="M11" s="1">
        <v>0.52</v>
      </c>
      <c r="N11" s="1">
        <v>0.6</v>
      </c>
      <c r="O11" s="1">
        <v>0.56999999999999995</v>
      </c>
      <c r="P11" s="1">
        <v>0.64</v>
      </c>
      <c r="Q11" s="1">
        <v>0.53</v>
      </c>
      <c r="R11" s="1">
        <v>0.56999999999999995</v>
      </c>
      <c r="S11" s="1">
        <f t="shared" si="0"/>
        <v>0.64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3</v>
      </c>
      <c r="F12" t="s">
        <v>23</v>
      </c>
      <c r="G12" s="1">
        <v>0.51</v>
      </c>
      <c r="H12" s="1">
        <v>0.61</v>
      </c>
      <c r="I12" s="1">
        <v>0.55000000000000004</v>
      </c>
      <c r="J12" s="1">
        <v>0.55000000000000004</v>
      </c>
      <c r="K12" s="1">
        <v>0.54</v>
      </c>
      <c r="L12" s="1">
        <v>0.55000000000000004</v>
      </c>
      <c r="M12" s="1">
        <v>0.57999999999999996</v>
      </c>
      <c r="N12" s="1">
        <v>0.59</v>
      </c>
      <c r="O12" s="1">
        <v>0.53</v>
      </c>
      <c r="P12" s="1">
        <v>0.65</v>
      </c>
      <c r="Q12" s="1">
        <v>0.53</v>
      </c>
      <c r="R12" s="1">
        <v>0.56999999999999995</v>
      </c>
      <c r="S12" s="1">
        <f t="shared" si="0"/>
        <v>0.65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1</v>
      </c>
      <c r="F13" t="s">
        <v>21</v>
      </c>
      <c r="G13" s="1">
        <v>0.51</v>
      </c>
      <c r="H13" s="1">
        <v>0.51</v>
      </c>
      <c r="I13" s="1">
        <v>0.51</v>
      </c>
      <c r="J13" s="1">
        <v>0.53</v>
      </c>
      <c r="K13" s="1">
        <v>0.49</v>
      </c>
      <c r="L13" s="1">
        <v>0.48</v>
      </c>
      <c r="M13" s="1">
        <v>0.48</v>
      </c>
      <c r="N13" s="1">
        <v>0.56000000000000005</v>
      </c>
      <c r="O13" s="1">
        <v>0.47</v>
      </c>
      <c r="P13" s="1">
        <v>0.54</v>
      </c>
      <c r="Q13" s="1">
        <v>0.52</v>
      </c>
      <c r="R13" s="1">
        <v>0.51</v>
      </c>
      <c r="S13" s="1">
        <f t="shared" si="0"/>
        <v>0.56000000000000005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0.32</v>
      </c>
      <c r="H14" s="1">
        <v>0.36</v>
      </c>
      <c r="I14" s="1">
        <v>0.33</v>
      </c>
      <c r="J14" s="1">
        <v>0.37</v>
      </c>
      <c r="K14" s="1">
        <v>0.36</v>
      </c>
      <c r="L14" s="1">
        <v>0.27</v>
      </c>
      <c r="M14" s="1">
        <v>0.38</v>
      </c>
      <c r="N14" s="1">
        <v>0.36</v>
      </c>
      <c r="O14" s="1">
        <v>0.39</v>
      </c>
      <c r="P14" s="1">
        <v>0.41</v>
      </c>
      <c r="Q14" s="1">
        <v>0.35</v>
      </c>
      <c r="R14" s="1">
        <v>0.45</v>
      </c>
      <c r="S14" s="1">
        <f t="shared" si="0"/>
        <v>0.45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3</v>
      </c>
      <c r="F15" t="s">
        <v>23</v>
      </c>
      <c r="G15" s="1">
        <v>0.36</v>
      </c>
      <c r="H15" s="1">
        <v>0.37</v>
      </c>
      <c r="I15" s="1">
        <v>0.39</v>
      </c>
      <c r="J15" s="1">
        <v>0.3</v>
      </c>
      <c r="K15" s="1">
        <v>0.34</v>
      </c>
      <c r="L15" s="1">
        <v>0.41</v>
      </c>
      <c r="M15" s="1">
        <v>0.36</v>
      </c>
      <c r="N15" s="1">
        <v>0.32</v>
      </c>
      <c r="O15" s="1">
        <v>0.32</v>
      </c>
      <c r="P15" s="1">
        <v>0.39</v>
      </c>
      <c r="Q15" s="1">
        <v>0.41</v>
      </c>
      <c r="R15" s="1">
        <v>0.38</v>
      </c>
      <c r="S15" s="1">
        <f t="shared" si="0"/>
        <v>0.41</v>
      </c>
    </row>
    <row r="16" spans="1:19" ht="25" customHeight="1">
      <c r="A16" t="s">
        <v>19</v>
      </c>
      <c r="B16">
        <v>3</v>
      </c>
      <c r="C16" t="s">
        <v>25</v>
      </c>
      <c r="D16" t="b">
        <v>0</v>
      </c>
      <c r="E16">
        <v>1</v>
      </c>
      <c r="F16" t="s">
        <v>21</v>
      </c>
      <c r="G16" s="1">
        <v>0.38</v>
      </c>
      <c r="H16" s="1">
        <v>0.34</v>
      </c>
      <c r="I16" s="1">
        <v>0.39</v>
      </c>
      <c r="J16" s="1">
        <v>0.38</v>
      </c>
      <c r="K16" s="1">
        <v>0.38</v>
      </c>
      <c r="L16" s="1">
        <v>0.36</v>
      </c>
      <c r="M16" s="1">
        <v>0.39</v>
      </c>
      <c r="N16" s="1">
        <v>0.39</v>
      </c>
      <c r="O16" s="1">
        <v>0.38</v>
      </c>
      <c r="P16" s="1">
        <v>0.36</v>
      </c>
      <c r="Q16" s="1">
        <v>0.34</v>
      </c>
      <c r="R16" s="1">
        <v>0.4</v>
      </c>
      <c r="S16" s="1">
        <f t="shared" si="0"/>
        <v>0.4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2</v>
      </c>
      <c r="F17" t="s">
        <v>22</v>
      </c>
      <c r="G17" s="1">
        <v>0.35</v>
      </c>
      <c r="H17" s="1">
        <v>0.36</v>
      </c>
      <c r="I17" s="1">
        <v>0.42</v>
      </c>
      <c r="J17" s="1">
        <v>0.44</v>
      </c>
      <c r="K17" s="1">
        <v>0.39</v>
      </c>
      <c r="L17" s="1">
        <v>0.42</v>
      </c>
      <c r="M17" s="1">
        <v>0.36</v>
      </c>
      <c r="N17" s="1">
        <v>0.34</v>
      </c>
      <c r="O17" s="1">
        <v>0.4</v>
      </c>
      <c r="P17" s="1">
        <v>0.38</v>
      </c>
      <c r="Q17" s="1">
        <v>0.38</v>
      </c>
      <c r="R17" s="1">
        <v>0.46</v>
      </c>
      <c r="S17" s="1">
        <f t="shared" si="0"/>
        <v>0.46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3</v>
      </c>
      <c r="F18" t="s">
        <v>23</v>
      </c>
      <c r="G18" s="1">
        <v>0.36</v>
      </c>
      <c r="H18" s="1">
        <v>0.34</v>
      </c>
      <c r="I18" s="1">
        <v>0.34</v>
      </c>
      <c r="J18" s="1">
        <v>0.31</v>
      </c>
      <c r="K18" s="1">
        <v>0.39</v>
      </c>
      <c r="L18" s="1">
        <v>0.42</v>
      </c>
      <c r="M18" s="1">
        <v>0.42</v>
      </c>
      <c r="N18" s="1">
        <v>0.3</v>
      </c>
      <c r="O18" s="1">
        <v>0.35</v>
      </c>
      <c r="P18" s="1">
        <v>0.32</v>
      </c>
      <c r="Q18" s="1">
        <v>0.33</v>
      </c>
      <c r="R18" s="1">
        <v>0.38</v>
      </c>
      <c r="S18" s="1">
        <f t="shared" si="0"/>
        <v>0.42</v>
      </c>
    </row>
    <row r="19" spans="1:19" ht="25" customHeight="1">
      <c r="A19" t="s">
        <v>19</v>
      </c>
      <c r="B19">
        <v>3</v>
      </c>
      <c r="C19" t="s">
        <v>25</v>
      </c>
      <c r="D19" t="b">
        <v>1</v>
      </c>
      <c r="E19">
        <v>2</v>
      </c>
      <c r="F19" t="s">
        <v>22</v>
      </c>
      <c r="G19" s="1">
        <v>0.42</v>
      </c>
      <c r="H19" s="1">
        <v>0.4</v>
      </c>
      <c r="I19" s="1">
        <v>0.41</v>
      </c>
      <c r="J19" s="1">
        <v>0.43</v>
      </c>
      <c r="K19" s="1">
        <v>0.41</v>
      </c>
      <c r="L19" s="1">
        <v>0.4</v>
      </c>
      <c r="M19" s="1">
        <v>0.41</v>
      </c>
      <c r="N19" s="1">
        <v>0.41</v>
      </c>
      <c r="O19" s="1">
        <v>0.41</v>
      </c>
      <c r="P19" s="1">
        <v>0.38</v>
      </c>
      <c r="Q19" s="1">
        <v>0.45</v>
      </c>
      <c r="R19" s="1">
        <v>0.45</v>
      </c>
      <c r="S19" s="1">
        <f t="shared" si="0"/>
        <v>0.45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0.85</v>
      </c>
      <c r="H23" s="1" cm="1">
        <f t="array" ref="H23">_xlfn.LET(_xlpm.d,H$2:H$19,_xlpm.a,$C$2:$C$19=$C23,_xlpm.b,$D$2:$D$19=$D23,MAX(_xlfn._xlws.FILTER(_xlpm.d,_xlpm.a*_xlpm.b)))</f>
        <v>0.86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0.77</v>
      </c>
      <c r="K23" s="1" cm="1">
        <f t="array" ref="K23">_xlfn.LET(_xlpm.d,K$2:K$19,_xlpm.a,$C$2:$C$19=$C23,_xlpm.b,$D$2:$D$19=$D23,MAX(_xlfn._xlws.FILTER(_xlpm.d,_xlpm.a*_xlpm.b)))</f>
        <v>0.81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0.82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0.83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0.85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0.74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0.83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0.56000000000000005</v>
      </c>
      <c r="H25" s="1" cm="1">
        <f t="array" ref="H25">_xlfn.LET(_xlpm.d,H$2:H$19,_xlpm.a,$C$2:$C$19=$C25,_xlpm.b,$D$2:$D$19=$D25,MAX(_xlfn._xlws.FILTER(_xlpm.d,_xlpm.a*_xlpm.b)))</f>
        <v>0.61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0.59</v>
      </c>
      <c r="K25" s="1" cm="1">
        <f t="array" ref="K25">_xlfn.LET(_xlpm.d,K$2:K$19,_xlpm.a,$C$2:$C$19=$C25,_xlpm.b,$D$2:$D$19=$D25,MAX(_xlfn._xlws.FILTER(_xlpm.d,_xlpm.a*_xlpm.b)))</f>
        <v>0.56999999999999995</v>
      </c>
      <c r="L25" s="1" cm="1">
        <f t="array" ref="L25">_xlfn.LET(_xlpm.d,L$2:L$19,_xlpm.a,$C$2:$C$19=$C25,_xlpm.b,$D$2:$D$19=$D25,MAX(_xlfn._xlws.FILTER(_xlpm.d,_xlpm.a*_xlpm.b)))</f>
        <v>0.59</v>
      </c>
      <c r="M25" s="1" cm="1">
        <f t="array" ref="M25">_xlfn.LET(_xlpm.d,M$2:M$19,_xlpm.a,$C$2:$C$19=$C25,_xlpm.b,$D$2:$D$19=$D25,MAX(_xlfn._xlws.FILTER(_xlpm.d,_xlpm.a*_xlpm.b)))</f>
        <v>0.59</v>
      </c>
      <c r="N25" s="1" cm="1">
        <f t="array" ref="N25">_xlfn.LET(_xlpm.d,N$2:N$19,_xlpm.a,$C$2:$C$19=$C25,_xlpm.b,$D$2:$D$19=$D25,MAX(_xlfn._xlws.FILTER(_xlpm.d,_xlpm.a*_xlpm.b)))</f>
        <v>0.6</v>
      </c>
      <c r="O25" s="1" cm="1">
        <f t="array" ref="O25">_xlfn.LET(_xlpm.d,O$2:O$19,_xlpm.a,$C$2:$C$19=$C25,_xlpm.b,$D$2:$D$19=$D25,MAX(_xlfn._xlws.FILTER(_xlpm.d,_xlpm.a*_xlpm.b)))</f>
        <v>0.57999999999999996</v>
      </c>
      <c r="P25" s="1" cm="1">
        <f t="array" ref="P25">_xlfn.LET(_xlpm.d,P$2:P$19,_xlpm.a,$C$2:$C$19=$C25,_xlpm.b,$D$2:$D$19=$D25,MAX(_xlfn._xlws.FILTER(_xlpm.d,_xlpm.a*_xlpm.b)))</f>
        <v>0.68</v>
      </c>
      <c r="Q25" s="1" cm="1">
        <f t="array" ref="Q25">_xlfn.LET(_xlpm.d,Q$2:Q$19,_xlpm.a,$C$2:$C$19=$C25,_xlpm.b,$D$2:$D$19=$D25,MAX(_xlfn._xlws.FILTER(_xlpm.d,_xlpm.a*_xlpm.b)))</f>
        <v>0.55000000000000004</v>
      </c>
      <c r="R25" s="1" cm="1">
        <f t="array" ref="R25">_xlfn.LET(_xlpm.d,R$2:R$19,_xlpm.a,$C$2:$C$19=$C25,_xlpm.b,$D$2:$D$19=$D25,MAX(_xlfn._xlws.FILTER(_xlpm.d,_xlpm.a*_xlpm.b)))</f>
        <v>0.62</v>
      </c>
      <c r="S25" s="1" cm="1">
        <f t="array" ref="S25">_xlfn.LET(_xlpm.d,S$2:S$19,_xlpm.a,$C$2:$C$19=$C25,_xlpm.b,$D$2:$D$19=$D25,MAX(_xlfn._xlws.FILTER(_xlpm.d,_xlpm.a*_xlpm.b)))</f>
        <v>0.68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0.56999999999999995</v>
      </c>
      <c r="H26" s="1" cm="1">
        <f t="array" ref="H26">_xlfn.LET(_xlpm.d,H$2:H$19,_xlpm.a,$C$2:$C$19=$C26,_xlpm.b,$D$2:$D$19=$D26,MAX(_xlfn._xlws.FILTER(_xlpm.d,_xlpm.a*_xlpm.b)))</f>
        <v>0.61</v>
      </c>
      <c r="I26" s="1" cm="1">
        <f t="array" ref="I26">_xlfn.LET(_xlpm.d,I$2:I$19,_xlpm.a,$C$2:$C$19=$C26,_xlpm.b,$D$2:$D$19=$D26,MAX(_xlfn._xlws.FILTER(_xlpm.d,_xlpm.a*_xlpm.b)))</f>
        <v>0.61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0.56999999999999995</v>
      </c>
      <c r="L26" s="1" cm="1">
        <f t="array" ref="L26">_xlfn.LET(_xlpm.d,L$2:L$19,_xlpm.a,$C$2:$C$19=$C26,_xlpm.b,$D$2:$D$19=$D26,MAX(_xlfn._xlws.FILTER(_xlpm.d,_xlpm.a*_xlpm.b)))</f>
        <v>0.55000000000000004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0.6</v>
      </c>
      <c r="O26" s="1" cm="1">
        <f t="array" ref="O26">_xlfn.LET(_xlpm.d,O$2:O$19,_xlpm.a,$C$2:$C$19=$C26,_xlpm.b,$D$2:$D$19=$D26,MAX(_xlfn._xlws.FILTER(_xlpm.d,_xlpm.a*_xlpm.b)))</f>
        <v>0.56999999999999995</v>
      </c>
      <c r="P26" s="1" cm="1">
        <f t="array" ref="P26">_xlfn.LET(_xlpm.d,P$2:P$19,_xlpm.a,$C$2:$C$19=$C26,_xlpm.b,$D$2:$D$19=$D26,MAX(_xlfn._xlws.FILTER(_xlpm.d,_xlpm.a*_xlpm.b)))</f>
        <v>0.65</v>
      </c>
      <c r="Q26" s="1" cm="1">
        <f t="array" ref="Q26">_xlfn.LET(_xlpm.d,Q$2:Q$19,_xlpm.a,$C$2:$C$19=$C26,_xlpm.b,$D$2:$D$19=$D26,MAX(_xlfn._xlws.FILTER(_xlpm.d,_xlpm.a*_xlpm.b)))</f>
        <v>0.53</v>
      </c>
      <c r="R26" s="1" cm="1">
        <f t="array" ref="R26">_xlfn.LET(_xlpm.d,R$2:R$19,_xlpm.a,$C$2:$C$19=$C26,_xlpm.b,$D$2:$D$19=$D26,MAX(_xlfn._xlws.FILTER(_xlpm.d,_xlpm.a*_xlpm.b)))</f>
        <v>0.56999999999999995</v>
      </c>
      <c r="S26" s="1" cm="1">
        <f t="array" ref="S26">_xlfn.LET(_xlpm.d,S$2:S$19,_xlpm.a,$C$2:$C$19=$C26,_xlpm.b,$D$2:$D$19=$D26,MAX(_xlfn._xlws.FILTER(_xlpm.d,_xlpm.a*_xlpm.b)))</f>
        <v>0.65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0.42</v>
      </c>
      <c r="H27" s="1" cm="1">
        <f t="array" ref="H27">_xlfn.LET(_xlpm.d,H$2:H$19,_xlpm.a,$C$2:$C$19=$C27,_xlpm.b,$D$2:$D$19=$D27,MAX(_xlfn._xlws.FILTER(_xlpm.d,_xlpm.a*_xlpm.b)))</f>
        <v>0.4</v>
      </c>
      <c r="I27" s="1" cm="1">
        <f t="array" ref="I27">_xlfn.LET(_xlpm.d,I$2:I$19,_xlpm.a,$C$2:$C$19=$C27,_xlpm.b,$D$2:$D$19=$D27,MAX(_xlfn._xlws.FILTER(_xlpm.d,_xlpm.a*_xlpm.b)))</f>
        <v>0.41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0.41</v>
      </c>
      <c r="L27" s="1" cm="1">
        <f t="array" ref="L27">_xlfn.LET(_xlpm.d,L$2:L$19,_xlpm.a,$C$2:$C$19=$C27,_xlpm.b,$D$2:$D$19=$D27,MAX(_xlfn._xlws.FILTER(_xlpm.d,_xlpm.a*_xlpm.b)))</f>
        <v>0.41</v>
      </c>
      <c r="M27" s="1" cm="1">
        <f t="array" ref="M27">_xlfn.LET(_xlpm.d,M$2:M$19,_xlpm.a,$C$2:$C$19=$C27,_xlpm.b,$D$2:$D$19=$D27,MAX(_xlfn._xlws.FILTER(_xlpm.d,_xlpm.a*_xlpm.b)))</f>
        <v>0.41</v>
      </c>
      <c r="N27" s="1" cm="1">
        <f t="array" ref="N27">_xlfn.LET(_xlpm.d,N$2:N$19,_xlpm.a,$C$2:$C$19=$C27,_xlpm.b,$D$2:$D$19=$D27,MAX(_xlfn._xlws.FILTER(_xlpm.d,_xlpm.a*_xlpm.b)))</f>
        <v>0.41</v>
      </c>
      <c r="O27" s="1" cm="1">
        <f t="array" ref="O27">_xlfn.LET(_xlpm.d,O$2:O$19,_xlpm.a,$C$2:$C$19=$C27,_xlpm.b,$D$2:$D$19=$D27,MAX(_xlfn._xlws.FILTER(_xlpm.d,_xlpm.a*_xlpm.b)))</f>
        <v>0.41</v>
      </c>
      <c r="P27" s="1" cm="1">
        <f t="array" ref="P27">_xlfn.LET(_xlpm.d,P$2:P$19,_xlpm.a,$C$2:$C$19=$C27,_xlpm.b,$D$2:$D$19=$D27,MAX(_xlfn._xlws.FILTER(_xlpm.d,_xlpm.a*_xlpm.b)))</f>
        <v>0.41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0.45</v>
      </c>
      <c r="S27" s="1" cm="1">
        <f t="array" ref="S27">_xlfn.LET(_xlpm.d,S$2:S$19,_xlpm.a,$C$2:$C$19=$C27,_xlpm.b,$D$2:$D$19=$D27,MAX(_xlfn._xlws.FILTER(_xlpm.d,_xlpm.a*_xlpm.b)))</f>
        <v>0.45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0.38</v>
      </c>
      <c r="H28" s="1" cm="1">
        <f t="array" ref="H28">_xlfn.LET(_xlpm.d,H$2:H$19,_xlpm.a,$C$2:$C$19=$C28,_xlpm.b,$D$2:$D$19=$D28,MAX(_xlfn._xlws.FILTER(_xlpm.d,_xlpm.a*_xlpm.b)))</f>
        <v>0.36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0.44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0.39</v>
      </c>
      <c r="O28" s="1" cm="1">
        <f t="array" ref="O28">_xlfn.LET(_xlpm.d,O$2:O$19,_xlpm.a,$C$2:$C$19=$C28,_xlpm.b,$D$2:$D$19=$D28,MAX(_xlfn._xlws.FILTER(_xlpm.d,_xlpm.a*_xlpm.b)))</f>
        <v>0.4</v>
      </c>
      <c r="P28" s="1" cm="1">
        <f t="array" ref="P28">_xlfn.LET(_xlpm.d,P$2:P$19,_xlpm.a,$C$2:$C$19=$C28,_xlpm.b,$D$2:$D$19=$D28,MAX(_xlfn._xlws.FILTER(_xlpm.d,_xlpm.a*_xlpm.b)))</f>
        <v>0.38</v>
      </c>
      <c r="Q28" s="1" cm="1">
        <f t="array" ref="Q28">_xlfn.LET(_xlpm.d,Q$2:Q$19,_xlpm.a,$C$2:$C$19=$C28,_xlpm.b,$D$2:$D$19=$D28,MAX(_xlfn._xlws.FILTER(_xlpm.d,_xlpm.a*_xlpm.b)))</f>
        <v>0.38</v>
      </c>
      <c r="R28" s="1" cm="1">
        <f t="array" ref="R28">_xlfn.LET(_xlpm.d,R$2:R$19,_xlpm.a,$C$2:$C$19=$C28,_xlpm.b,$D$2:$D$19=$D28,MAX(_xlfn._xlws.FILTER(_xlpm.d,_xlpm.a*_xlpm.b)))</f>
        <v>0.46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pageSetup paperSize="34" orientation="portrait" horizontalDpi="0" verticalDpi="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276D-B927-D141-8FB4-CA6DD98D5907}">
  <sheetPr codeName="Sheet8"/>
  <dimension ref="A1:S28"/>
  <sheetViews>
    <sheetView workbookViewId="0">
      <selection activeCell="J15" sqref="J15"/>
    </sheetView>
  </sheetViews>
  <sheetFormatPr baseColWidth="10" defaultRowHeight="25" customHeight="1"/>
  <cols>
    <col min="2" max="2" width="6.5" customWidth="1"/>
    <col min="4" max="4" width="10.625" customWidth="1"/>
    <col min="5" max="5" width="6.875" customWidth="1"/>
    <col min="6" max="6" width="9.125" customWidth="1"/>
    <col min="7" max="19" width="8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0.84</v>
      </c>
      <c r="H2" s="1">
        <v>0.82</v>
      </c>
      <c r="I2" s="1">
        <v>0.78</v>
      </c>
      <c r="J2" s="1">
        <v>0.75</v>
      </c>
      <c r="K2" s="1">
        <v>0.75</v>
      </c>
      <c r="L2" s="1">
        <v>0.81</v>
      </c>
      <c r="M2" s="1">
        <v>0.82</v>
      </c>
      <c r="N2" s="1">
        <v>0.83</v>
      </c>
      <c r="O2" s="1">
        <v>0.84</v>
      </c>
      <c r="P2" s="1">
        <v>0.78</v>
      </c>
      <c r="Q2" s="1">
        <v>0.79</v>
      </c>
      <c r="R2" s="1">
        <v>0.75</v>
      </c>
      <c r="S2" s="1">
        <f t="shared" ref="S2:S19" si="0">MAX($G2:$R2)</f>
        <v>0.84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0.82</v>
      </c>
      <c r="H3" s="1">
        <v>0.87</v>
      </c>
      <c r="I3" s="1">
        <v>0.83</v>
      </c>
      <c r="J3" s="1">
        <v>0.78</v>
      </c>
      <c r="K3" s="1">
        <v>0.79</v>
      </c>
      <c r="L3" s="1">
        <v>0.85</v>
      </c>
      <c r="M3" s="1">
        <v>0.79</v>
      </c>
      <c r="N3" s="1">
        <v>0.85</v>
      </c>
      <c r="O3" s="1">
        <v>0.88</v>
      </c>
      <c r="P3" s="1">
        <v>0.82</v>
      </c>
      <c r="Q3" s="1">
        <v>0.79</v>
      </c>
      <c r="R3" s="1">
        <v>0.82</v>
      </c>
      <c r="S3" s="1">
        <f t="shared" si="0"/>
        <v>0.88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0.84</v>
      </c>
      <c r="H4" s="1">
        <v>0.8</v>
      </c>
      <c r="I4" s="1">
        <v>0.78</v>
      </c>
      <c r="J4" s="1">
        <v>0.77</v>
      </c>
      <c r="K4" s="1">
        <v>0.82</v>
      </c>
      <c r="L4" s="1">
        <v>0.78</v>
      </c>
      <c r="M4" s="1">
        <v>0.76</v>
      </c>
      <c r="N4" s="1">
        <v>0.77</v>
      </c>
      <c r="O4" s="1">
        <v>0.74</v>
      </c>
      <c r="P4" s="1">
        <v>0.82</v>
      </c>
      <c r="Q4" s="1">
        <v>0.81</v>
      </c>
      <c r="R4" s="1">
        <v>0.84</v>
      </c>
      <c r="S4" s="1">
        <f t="shared" si="0"/>
        <v>0.84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0.77</v>
      </c>
      <c r="H5" s="1">
        <v>0.8</v>
      </c>
      <c r="I5" s="1">
        <v>0.75</v>
      </c>
      <c r="J5" s="1">
        <v>0.7</v>
      </c>
      <c r="K5" s="1">
        <v>0.78</v>
      </c>
      <c r="L5" s="1">
        <v>0.8</v>
      </c>
      <c r="M5" s="1">
        <v>0.74</v>
      </c>
      <c r="N5" s="1">
        <v>0.78</v>
      </c>
      <c r="O5" s="1">
        <v>0.83</v>
      </c>
      <c r="P5" s="1">
        <v>0.71</v>
      </c>
      <c r="Q5" s="1">
        <v>0.83</v>
      </c>
      <c r="R5" s="1">
        <v>0.72</v>
      </c>
      <c r="S5" s="1">
        <f t="shared" si="0"/>
        <v>0.83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0.82</v>
      </c>
      <c r="H6" s="1">
        <v>0.82</v>
      </c>
      <c r="I6" s="1">
        <v>0.8</v>
      </c>
      <c r="J6" s="1">
        <v>0.75</v>
      </c>
      <c r="K6" s="1">
        <v>0.79</v>
      </c>
      <c r="L6" s="1">
        <v>0.84</v>
      </c>
      <c r="M6" s="1">
        <v>0.74</v>
      </c>
      <c r="N6" s="1">
        <v>0.82</v>
      </c>
      <c r="O6" s="1">
        <v>0.88</v>
      </c>
      <c r="P6" s="1">
        <v>0.82</v>
      </c>
      <c r="Q6" s="1">
        <v>0.77</v>
      </c>
      <c r="R6" s="1">
        <v>0.82</v>
      </c>
      <c r="S6" s="1">
        <f t="shared" si="0"/>
        <v>0.88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0.77</v>
      </c>
      <c r="H7" s="1">
        <v>0.73</v>
      </c>
      <c r="I7" s="1">
        <v>0.74</v>
      </c>
      <c r="J7" s="1">
        <v>0.75</v>
      </c>
      <c r="K7" s="1">
        <v>0.78</v>
      </c>
      <c r="L7" s="1">
        <v>0.77</v>
      </c>
      <c r="M7" s="1">
        <v>0.74</v>
      </c>
      <c r="N7" s="1">
        <v>0.78</v>
      </c>
      <c r="O7" s="1">
        <v>0.76</v>
      </c>
      <c r="P7" s="1">
        <v>0.77</v>
      </c>
      <c r="Q7" s="1">
        <v>0.73</v>
      </c>
      <c r="R7" s="1">
        <v>0.81</v>
      </c>
      <c r="S7" s="1">
        <f t="shared" si="0"/>
        <v>0.81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2</v>
      </c>
      <c r="F8" t="s">
        <v>22</v>
      </c>
      <c r="G8" s="1">
        <v>0.56999999999999995</v>
      </c>
      <c r="H8" s="1">
        <v>0.54</v>
      </c>
      <c r="I8" s="1">
        <v>0.56999999999999995</v>
      </c>
      <c r="J8" s="1">
        <v>0.61</v>
      </c>
      <c r="K8" s="1">
        <v>0.54</v>
      </c>
      <c r="L8" s="1">
        <v>0.55000000000000004</v>
      </c>
      <c r="M8" s="1">
        <v>0.56000000000000005</v>
      </c>
      <c r="N8" s="1">
        <v>0.54</v>
      </c>
      <c r="O8" s="1">
        <v>0.61</v>
      </c>
      <c r="P8" s="1">
        <v>0.56000000000000005</v>
      </c>
      <c r="Q8" s="1">
        <v>0.61</v>
      </c>
      <c r="R8" s="1">
        <v>0.57999999999999996</v>
      </c>
      <c r="S8" s="1">
        <f t="shared" si="0"/>
        <v>0.61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3</v>
      </c>
      <c r="F9" t="s">
        <v>23</v>
      </c>
      <c r="G9" s="1">
        <v>0.52</v>
      </c>
      <c r="H9" s="1">
        <v>0.44</v>
      </c>
      <c r="I9" s="1">
        <v>0.56000000000000005</v>
      </c>
      <c r="J9" s="1">
        <v>0.45</v>
      </c>
      <c r="K9" s="1">
        <v>0.55000000000000004</v>
      </c>
      <c r="L9" s="1">
        <v>0.55000000000000004</v>
      </c>
      <c r="M9" s="1">
        <v>0.46</v>
      </c>
      <c r="N9" s="1">
        <v>0.49</v>
      </c>
      <c r="O9" s="1">
        <v>0.55000000000000004</v>
      </c>
      <c r="P9" s="1">
        <v>0.5</v>
      </c>
      <c r="Q9" s="1">
        <v>0.52</v>
      </c>
      <c r="R9" s="1">
        <v>0.5</v>
      </c>
      <c r="S9" s="1">
        <f t="shared" si="0"/>
        <v>0.56000000000000005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1</v>
      </c>
      <c r="F10" t="s">
        <v>21</v>
      </c>
      <c r="G10" s="1">
        <v>0.52</v>
      </c>
      <c r="H10" s="1">
        <v>0.47</v>
      </c>
      <c r="I10" s="1">
        <v>0.47</v>
      </c>
      <c r="J10" s="1">
        <v>0.56000000000000005</v>
      </c>
      <c r="K10" s="1">
        <v>0.48</v>
      </c>
      <c r="L10" s="1">
        <v>0.45</v>
      </c>
      <c r="M10" s="1">
        <v>0.47</v>
      </c>
      <c r="N10" s="1">
        <v>0.52</v>
      </c>
      <c r="O10" s="1">
        <v>0.5</v>
      </c>
      <c r="P10" s="1">
        <v>0.54</v>
      </c>
      <c r="Q10" s="1">
        <v>0.59</v>
      </c>
      <c r="R10" s="1">
        <v>0.53</v>
      </c>
      <c r="S10" s="1">
        <f t="shared" si="0"/>
        <v>0.59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0.48</v>
      </c>
      <c r="H11" s="1">
        <v>0.48</v>
      </c>
      <c r="I11" s="1">
        <v>0.48</v>
      </c>
      <c r="J11" s="1">
        <v>0.5</v>
      </c>
      <c r="K11" s="1">
        <v>0.45</v>
      </c>
      <c r="L11" s="1">
        <v>0.44</v>
      </c>
      <c r="M11" s="1">
        <v>0.55000000000000004</v>
      </c>
      <c r="N11" s="1">
        <v>0.5</v>
      </c>
      <c r="O11" s="1">
        <v>0.5</v>
      </c>
      <c r="P11" s="1">
        <v>0.44</v>
      </c>
      <c r="Q11" s="1">
        <v>0.51</v>
      </c>
      <c r="R11" s="1">
        <v>0.55000000000000004</v>
      </c>
      <c r="S11" s="1">
        <f t="shared" si="0"/>
        <v>0.55000000000000004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0.57999999999999996</v>
      </c>
      <c r="H12" s="1">
        <v>0.53</v>
      </c>
      <c r="I12" s="1">
        <v>0.53</v>
      </c>
      <c r="J12" s="1">
        <v>0.57999999999999996</v>
      </c>
      <c r="K12" s="1">
        <v>0.55000000000000004</v>
      </c>
      <c r="L12" s="1">
        <v>0.55000000000000004</v>
      </c>
      <c r="M12" s="1">
        <v>0.56000000000000005</v>
      </c>
      <c r="N12" s="1">
        <v>0.54</v>
      </c>
      <c r="O12" s="1">
        <v>0.55000000000000004</v>
      </c>
      <c r="P12" s="1">
        <v>0.56999999999999995</v>
      </c>
      <c r="Q12" s="1">
        <v>0.6</v>
      </c>
      <c r="R12" s="1">
        <v>0.55000000000000004</v>
      </c>
      <c r="S12" s="1">
        <f t="shared" si="0"/>
        <v>0.6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0.52</v>
      </c>
      <c r="H13" s="1">
        <v>0.47</v>
      </c>
      <c r="I13" s="1">
        <v>0.61</v>
      </c>
      <c r="J13" s="1">
        <v>0.45</v>
      </c>
      <c r="K13" s="1">
        <v>0.52</v>
      </c>
      <c r="L13" s="1">
        <v>0.55000000000000004</v>
      </c>
      <c r="M13" s="1">
        <v>0.5</v>
      </c>
      <c r="N13" s="1">
        <v>0.46</v>
      </c>
      <c r="O13" s="1">
        <v>0.51</v>
      </c>
      <c r="P13" s="1">
        <v>0.43</v>
      </c>
      <c r="Q13" s="1">
        <v>0.46</v>
      </c>
      <c r="R13" s="1">
        <v>0.5</v>
      </c>
      <c r="S13" s="1">
        <f t="shared" si="0"/>
        <v>0.61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3</v>
      </c>
      <c r="F14" t="s">
        <v>23</v>
      </c>
      <c r="G14" s="1">
        <v>0.28000000000000003</v>
      </c>
      <c r="H14" s="1">
        <v>0.33</v>
      </c>
      <c r="I14" s="1">
        <v>0.23</v>
      </c>
      <c r="J14" s="1">
        <v>0.47</v>
      </c>
      <c r="K14" s="1">
        <v>0.35</v>
      </c>
      <c r="L14" s="1">
        <v>0.32</v>
      </c>
      <c r="M14" s="1">
        <v>0.26</v>
      </c>
      <c r="N14" s="1">
        <v>0.43</v>
      </c>
      <c r="O14" s="1">
        <v>0.31</v>
      </c>
      <c r="P14" s="1">
        <v>0.42</v>
      </c>
      <c r="Q14" s="1">
        <v>0.32</v>
      </c>
      <c r="R14" s="1">
        <v>0.24</v>
      </c>
      <c r="S14" s="1">
        <f t="shared" si="0"/>
        <v>0.47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1</v>
      </c>
      <c r="F15" t="s">
        <v>21</v>
      </c>
      <c r="G15" s="1">
        <v>0.33</v>
      </c>
      <c r="H15" s="1">
        <v>0.35</v>
      </c>
      <c r="I15" s="1">
        <v>0.32</v>
      </c>
      <c r="J15" s="1">
        <v>0.37</v>
      </c>
      <c r="K15" s="1">
        <v>0.25</v>
      </c>
      <c r="L15" s="1">
        <v>0.33</v>
      </c>
      <c r="M15" s="1">
        <v>0.35</v>
      </c>
      <c r="N15" s="1">
        <v>0.41</v>
      </c>
      <c r="O15" s="1">
        <v>0.28000000000000003</v>
      </c>
      <c r="P15" s="1">
        <v>0.4</v>
      </c>
      <c r="Q15" s="1">
        <v>0.37</v>
      </c>
      <c r="R15" s="1">
        <v>0.33</v>
      </c>
      <c r="S15" s="1">
        <f t="shared" si="0"/>
        <v>0.41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2</v>
      </c>
      <c r="F16" t="s">
        <v>22</v>
      </c>
      <c r="G16" s="1">
        <v>0.37</v>
      </c>
      <c r="H16" s="1">
        <v>0.35</v>
      </c>
      <c r="I16" s="1">
        <v>0.38</v>
      </c>
      <c r="J16" s="1">
        <v>0.42</v>
      </c>
      <c r="K16" s="1">
        <v>0.31</v>
      </c>
      <c r="L16" s="1">
        <v>0.33</v>
      </c>
      <c r="M16" s="1">
        <v>0.3</v>
      </c>
      <c r="N16" s="1">
        <v>0.43</v>
      </c>
      <c r="O16" s="1">
        <v>0.32</v>
      </c>
      <c r="P16" s="1">
        <v>0.47</v>
      </c>
      <c r="Q16" s="1">
        <v>0.46</v>
      </c>
      <c r="R16" s="1">
        <v>0.38</v>
      </c>
      <c r="S16" s="1">
        <f t="shared" si="0"/>
        <v>0.47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2</v>
      </c>
      <c r="F17" t="s">
        <v>22</v>
      </c>
      <c r="G17" s="1">
        <v>0.36</v>
      </c>
      <c r="H17" s="1">
        <v>0.42</v>
      </c>
      <c r="I17" s="1">
        <v>0.28000000000000003</v>
      </c>
      <c r="J17" s="1">
        <v>0.42</v>
      </c>
      <c r="K17" s="1">
        <v>0.33</v>
      </c>
      <c r="L17" s="1">
        <v>0.37</v>
      </c>
      <c r="M17" s="1">
        <v>0.33</v>
      </c>
      <c r="N17" s="1">
        <v>0.44</v>
      </c>
      <c r="O17" s="1">
        <v>0.28999999999999998</v>
      </c>
      <c r="P17" s="1">
        <v>0.43</v>
      </c>
      <c r="Q17" s="1">
        <v>0.44</v>
      </c>
      <c r="R17" s="1">
        <v>0.37</v>
      </c>
      <c r="S17" s="1">
        <f t="shared" si="0"/>
        <v>0.44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1</v>
      </c>
      <c r="F18" t="s">
        <v>21</v>
      </c>
      <c r="G18" s="1">
        <v>0.33</v>
      </c>
      <c r="H18" s="1">
        <v>0.38</v>
      </c>
      <c r="I18" s="1">
        <v>0.37</v>
      </c>
      <c r="J18" s="1">
        <v>0.33</v>
      </c>
      <c r="K18" s="1">
        <v>0.31</v>
      </c>
      <c r="L18" s="1">
        <v>0.33</v>
      </c>
      <c r="M18" s="1">
        <v>0.38</v>
      </c>
      <c r="N18" s="1">
        <v>0.4</v>
      </c>
      <c r="O18" s="1">
        <v>0.32</v>
      </c>
      <c r="P18" s="1">
        <v>0.35</v>
      </c>
      <c r="Q18" s="1">
        <v>0.39</v>
      </c>
      <c r="R18" s="1">
        <v>0.27</v>
      </c>
      <c r="S18" s="1">
        <f t="shared" si="0"/>
        <v>0.4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0.32</v>
      </c>
      <c r="H19" s="1">
        <v>0.32</v>
      </c>
      <c r="I19" s="1">
        <v>0.24</v>
      </c>
      <c r="J19" s="1">
        <v>0.43</v>
      </c>
      <c r="K19" s="1">
        <v>0.37</v>
      </c>
      <c r="L19" s="1">
        <v>0.36</v>
      </c>
      <c r="M19" s="1">
        <v>0.31</v>
      </c>
      <c r="N19" s="1">
        <v>0.45</v>
      </c>
      <c r="O19" s="1">
        <v>0.27</v>
      </c>
      <c r="P19" s="1">
        <v>0.35</v>
      </c>
      <c r="Q19" s="1">
        <v>0.38</v>
      </c>
      <c r="R19" s="1">
        <v>0.21</v>
      </c>
      <c r="S19" s="1">
        <f t="shared" si="0"/>
        <v>0.45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0.84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0.83</v>
      </c>
      <c r="J23" s="1" cm="1">
        <f t="array" ref="J23">_xlfn.LET(_xlpm.d,J$2:J$19,_xlpm.a,$C$2:$C$19=$C23,_xlpm.b,$D$2:$D$19=$D23,MAX(_xlfn._xlws.FILTER(_xlpm.d,_xlpm.a*_xlpm.b)))</f>
        <v>0.78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0.85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0.88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0.82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0.75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0.74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0.88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0.83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0.88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0.56999999999999995</v>
      </c>
      <c r="H25" s="1" cm="1">
        <f t="array" ref="H25">_xlfn.LET(_xlpm.d,H$2:H$19,_xlpm.a,$C$2:$C$19=$C25,_xlpm.b,$D$2:$D$19=$D25,MAX(_xlfn._xlws.FILTER(_xlpm.d,_xlpm.a*_xlpm.b)))</f>
        <v>0.54</v>
      </c>
      <c r="I25" s="1" cm="1">
        <f t="array" ref="I25">_xlfn.LET(_xlpm.d,I$2:I$19,_xlpm.a,$C$2:$C$19=$C25,_xlpm.b,$D$2:$D$19=$D25,MAX(_xlfn._xlws.FILTER(_xlpm.d,_xlpm.a*_xlpm.b)))</f>
        <v>0.56999999999999995</v>
      </c>
      <c r="J25" s="1" cm="1">
        <f t="array" ref="J25">_xlfn.LET(_xlpm.d,J$2:J$19,_xlpm.a,$C$2:$C$19=$C25,_xlpm.b,$D$2:$D$19=$D25,MAX(_xlfn._xlws.FILTER(_xlpm.d,_xlpm.a*_xlpm.b)))</f>
        <v>0.61</v>
      </c>
      <c r="K25" s="1" cm="1">
        <f t="array" ref="K25">_xlfn.LET(_xlpm.d,K$2:K$19,_xlpm.a,$C$2:$C$19=$C25,_xlpm.b,$D$2:$D$19=$D25,MAX(_xlfn._xlws.FILTER(_xlpm.d,_xlpm.a*_xlpm.b)))</f>
        <v>0.55000000000000004</v>
      </c>
      <c r="L25" s="1" cm="1">
        <f t="array" ref="L25">_xlfn.LET(_xlpm.d,L$2:L$19,_xlpm.a,$C$2:$C$19=$C25,_xlpm.b,$D$2:$D$19=$D25,MAX(_xlfn._xlws.FILTER(_xlpm.d,_xlpm.a*_xlpm.b)))</f>
        <v>0.55000000000000004</v>
      </c>
      <c r="M25" s="1" cm="1">
        <f t="array" ref="M25">_xlfn.LET(_xlpm.d,M$2:M$19,_xlpm.a,$C$2:$C$19=$C25,_xlpm.b,$D$2:$D$19=$D25,MAX(_xlfn._xlws.FILTER(_xlpm.d,_xlpm.a*_xlpm.b)))</f>
        <v>0.56000000000000005</v>
      </c>
      <c r="N25" s="1" cm="1">
        <f t="array" ref="N25">_xlfn.LET(_xlpm.d,N$2:N$19,_xlpm.a,$C$2:$C$19=$C25,_xlpm.b,$D$2:$D$19=$D25,MAX(_xlfn._xlws.FILTER(_xlpm.d,_xlpm.a*_xlpm.b)))</f>
        <v>0.54</v>
      </c>
      <c r="O25" s="1" cm="1">
        <f t="array" ref="O25">_xlfn.LET(_xlpm.d,O$2:O$19,_xlpm.a,$C$2:$C$19=$C25,_xlpm.b,$D$2:$D$19=$D25,MAX(_xlfn._xlws.FILTER(_xlpm.d,_xlpm.a*_xlpm.b)))</f>
        <v>0.61</v>
      </c>
      <c r="P25" s="1" cm="1">
        <f t="array" ref="P25">_xlfn.LET(_xlpm.d,P$2:P$19,_xlpm.a,$C$2:$C$19=$C25,_xlpm.b,$D$2:$D$19=$D25,MAX(_xlfn._xlws.FILTER(_xlpm.d,_xlpm.a*_xlpm.b)))</f>
        <v>0.56000000000000005</v>
      </c>
      <c r="Q25" s="1" cm="1">
        <f t="array" ref="Q25">_xlfn.LET(_xlpm.d,Q$2:Q$19,_xlpm.a,$C$2:$C$19=$C25,_xlpm.b,$D$2:$D$19=$D25,MAX(_xlfn._xlws.FILTER(_xlpm.d,_xlpm.a*_xlpm.b)))</f>
        <v>0.61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0.61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0.57999999999999996</v>
      </c>
      <c r="H26" s="1" cm="1">
        <f t="array" ref="H26">_xlfn.LET(_xlpm.d,H$2:H$19,_xlpm.a,$C$2:$C$19=$C26,_xlpm.b,$D$2:$D$19=$D26,MAX(_xlfn._xlws.FILTER(_xlpm.d,_xlpm.a*_xlpm.b)))</f>
        <v>0.53</v>
      </c>
      <c r="I26" s="1" cm="1">
        <f t="array" ref="I26">_xlfn.LET(_xlpm.d,I$2:I$19,_xlpm.a,$C$2:$C$19=$C26,_xlpm.b,$D$2:$D$19=$D26,MAX(_xlfn._xlws.FILTER(_xlpm.d,_xlpm.a*_xlpm.b)))</f>
        <v>0.61</v>
      </c>
      <c r="J26" s="1" cm="1">
        <f t="array" ref="J26">_xlfn.LET(_xlpm.d,J$2:J$19,_xlpm.a,$C$2:$C$19=$C26,_xlpm.b,$D$2:$D$19=$D26,MAX(_xlfn._xlws.FILTER(_xlpm.d,_xlpm.a*_xlpm.b)))</f>
        <v>0.57999999999999996</v>
      </c>
      <c r="K26" s="1" cm="1">
        <f t="array" ref="K26">_xlfn.LET(_xlpm.d,K$2:K$19,_xlpm.a,$C$2:$C$19=$C26,_xlpm.b,$D$2:$D$19=$D26,MAX(_xlfn._xlws.FILTER(_xlpm.d,_xlpm.a*_xlpm.b)))</f>
        <v>0.55000000000000004</v>
      </c>
      <c r="L26" s="1" cm="1">
        <f t="array" ref="L26">_xlfn.LET(_xlpm.d,L$2:L$19,_xlpm.a,$C$2:$C$19=$C26,_xlpm.b,$D$2:$D$19=$D26,MAX(_xlfn._xlws.FILTER(_xlpm.d,_xlpm.a*_xlpm.b)))</f>
        <v>0.55000000000000004</v>
      </c>
      <c r="M26" s="1" cm="1">
        <f t="array" ref="M26">_xlfn.LET(_xlpm.d,M$2:M$19,_xlpm.a,$C$2:$C$19=$C26,_xlpm.b,$D$2:$D$19=$D26,MAX(_xlfn._xlws.FILTER(_xlpm.d,_xlpm.a*_xlpm.b)))</f>
        <v>0.56000000000000005</v>
      </c>
      <c r="N26" s="1" cm="1">
        <f t="array" ref="N26">_xlfn.LET(_xlpm.d,N$2:N$19,_xlpm.a,$C$2:$C$19=$C26,_xlpm.b,$D$2:$D$19=$D26,MAX(_xlfn._xlws.FILTER(_xlpm.d,_xlpm.a*_xlpm.b)))</f>
        <v>0.54</v>
      </c>
      <c r="O26" s="1" cm="1">
        <f t="array" ref="O26">_xlfn.LET(_xlpm.d,O$2:O$19,_xlpm.a,$C$2:$C$19=$C26,_xlpm.b,$D$2:$D$19=$D26,MAX(_xlfn._xlws.FILTER(_xlpm.d,_xlpm.a*_xlpm.b)))</f>
        <v>0.55000000000000004</v>
      </c>
      <c r="P26" s="1" cm="1">
        <f t="array" ref="P26">_xlfn.LET(_xlpm.d,P$2:P$19,_xlpm.a,$C$2:$C$19=$C26,_xlpm.b,$D$2:$D$19=$D26,MAX(_xlfn._xlws.FILTER(_xlpm.d,_xlpm.a*_xlpm.b)))</f>
        <v>0.56999999999999995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0.55000000000000004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0.37</v>
      </c>
      <c r="H27" s="1" cm="1">
        <f t="array" ref="H27">_xlfn.LET(_xlpm.d,H$2:H$19,_xlpm.a,$C$2:$C$19=$C27,_xlpm.b,$D$2:$D$19=$D27,MAX(_xlfn._xlws.FILTER(_xlpm.d,_xlpm.a*_xlpm.b)))</f>
        <v>0.35</v>
      </c>
      <c r="I27" s="1" cm="1">
        <f t="array" ref="I27">_xlfn.LET(_xlpm.d,I$2:I$19,_xlpm.a,$C$2:$C$19=$C27,_xlpm.b,$D$2:$D$19=$D27,MAX(_xlfn._xlws.FILTER(_xlpm.d,_xlpm.a*_xlpm.b)))</f>
        <v>0.38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0.35</v>
      </c>
      <c r="L27" s="1" cm="1">
        <f t="array" ref="L27">_xlfn.LET(_xlpm.d,L$2:L$19,_xlpm.a,$C$2:$C$19=$C27,_xlpm.b,$D$2:$D$19=$D27,MAX(_xlfn._xlws.FILTER(_xlpm.d,_xlpm.a*_xlpm.b)))</f>
        <v>0.33</v>
      </c>
      <c r="M27" s="1" cm="1">
        <f t="array" ref="M27">_xlfn.LET(_xlpm.d,M$2:M$19,_xlpm.a,$C$2:$C$19=$C27,_xlpm.b,$D$2:$D$19=$D27,MAX(_xlfn._xlws.FILTER(_xlpm.d,_xlpm.a*_xlpm.b)))</f>
        <v>0.35</v>
      </c>
      <c r="N27" s="1" cm="1">
        <f t="array" ref="N27">_xlfn.LET(_xlpm.d,N$2:N$19,_xlpm.a,$C$2:$C$19=$C27,_xlpm.b,$D$2:$D$19=$D27,MAX(_xlfn._xlws.FILTER(_xlpm.d,_xlpm.a*_xlpm.b)))</f>
        <v>0.43</v>
      </c>
      <c r="O27" s="1" cm="1">
        <f t="array" ref="O27">_xlfn.LET(_xlpm.d,O$2:O$19,_xlpm.a,$C$2:$C$19=$C27,_xlpm.b,$D$2:$D$19=$D27,MAX(_xlfn._xlws.FILTER(_xlpm.d,_xlpm.a*_xlpm.b)))</f>
        <v>0.32</v>
      </c>
      <c r="P27" s="1" cm="1">
        <f t="array" ref="P27">_xlfn.LET(_xlpm.d,P$2:P$19,_xlpm.a,$C$2:$C$19=$C27,_xlpm.b,$D$2:$D$19=$D27,MAX(_xlfn._xlws.FILTER(_xlpm.d,_xlpm.a*_xlpm.b)))</f>
        <v>0.47</v>
      </c>
      <c r="Q27" s="1" cm="1">
        <f t="array" ref="Q27">_xlfn.LET(_xlpm.d,Q$2:Q$19,_xlpm.a,$C$2:$C$19=$C27,_xlpm.b,$D$2:$D$19=$D27,MAX(_xlfn._xlws.FILTER(_xlpm.d,_xlpm.a*_xlpm.b)))</f>
        <v>0.46</v>
      </c>
      <c r="R27" s="1" cm="1">
        <f t="array" ref="R27">_xlfn.LET(_xlpm.d,R$2:R$19,_xlpm.a,$C$2:$C$19=$C27,_xlpm.b,$D$2:$D$19=$D27,MAX(_xlfn._xlws.FILTER(_xlpm.d,_xlpm.a*_xlpm.b)))</f>
        <v>0.38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0.36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0.37</v>
      </c>
      <c r="J28" s="1" cm="1">
        <f t="array" ref="J28">_xlfn.LET(_xlpm.d,J$2:J$19,_xlpm.a,$C$2:$C$19=$C28,_xlpm.b,$D$2:$D$19=$D28,MAX(_xlfn._xlws.FILTER(_xlpm.d,_xlpm.a*_xlpm.b)))</f>
        <v>0.43</v>
      </c>
      <c r="K28" s="1" cm="1">
        <f t="array" ref="K28">_xlfn.LET(_xlpm.d,K$2:K$19,_xlpm.a,$C$2:$C$19=$C28,_xlpm.b,$D$2:$D$19=$D28,MAX(_xlfn._xlws.FILTER(_xlpm.d,_xlpm.a*_xlpm.b)))</f>
        <v>0.37</v>
      </c>
      <c r="L28" s="1" cm="1">
        <f t="array" ref="L28">_xlfn.LET(_xlpm.d,L$2:L$19,_xlpm.a,$C$2:$C$19=$C28,_xlpm.b,$D$2:$D$19=$D28,MAX(_xlfn._xlws.FILTER(_xlpm.d,_xlpm.a*_xlpm.b)))</f>
        <v>0.37</v>
      </c>
      <c r="M28" s="1" cm="1">
        <f t="array" ref="M28">_xlfn.LET(_xlpm.d,M$2:M$19,_xlpm.a,$C$2:$C$19=$C28,_xlpm.b,$D$2:$D$19=$D28,MAX(_xlfn._xlws.FILTER(_xlpm.d,_xlpm.a*_xlpm.b)))</f>
        <v>0.38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0.32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0.37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CD6D-4D33-0A4D-83B9-597A1060C600}">
  <sheetPr codeName="Sheet9"/>
  <dimension ref="A1:S28"/>
  <sheetViews>
    <sheetView topLeftCell="A4" workbookViewId="0">
      <selection activeCell="J10" sqref="J10"/>
    </sheetView>
  </sheetViews>
  <sheetFormatPr baseColWidth="10" defaultRowHeight="25" customHeight="1"/>
  <cols>
    <col min="1" max="1" width="8.5" customWidth="1"/>
    <col min="2" max="2" width="7.75" customWidth="1"/>
    <col min="3" max="5" width="6.875" customWidth="1"/>
    <col min="6" max="6" width="8.25" customWidth="1"/>
    <col min="7" max="19" width="9.6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0.76</v>
      </c>
      <c r="H2" s="1">
        <v>0.85</v>
      </c>
      <c r="I2" s="1">
        <v>0.78</v>
      </c>
      <c r="J2" s="1">
        <v>0.78</v>
      </c>
      <c r="K2" s="1">
        <v>0.75</v>
      </c>
      <c r="L2" s="1">
        <v>0.8</v>
      </c>
      <c r="M2" s="1">
        <v>0.88</v>
      </c>
      <c r="N2" s="1">
        <v>0.77</v>
      </c>
      <c r="O2" s="1">
        <v>0.86</v>
      </c>
      <c r="P2" s="1">
        <v>0.76</v>
      </c>
      <c r="Q2" s="1">
        <v>0.72</v>
      </c>
      <c r="R2" s="1">
        <v>0.76</v>
      </c>
      <c r="S2" s="1">
        <f t="shared" ref="S2:S19" si="0">MAX($G2:$R2)</f>
        <v>0.88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0.86</v>
      </c>
      <c r="H3" s="1">
        <v>0.87</v>
      </c>
      <c r="I3" s="1">
        <v>0.86</v>
      </c>
      <c r="J3" s="1">
        <v>0.82</v>
      </c>
      <c r="K3" s="1">
        <v>0.83</v>
      </c>
      <c r="L3" s="1">
        <v>0.78</v>
      </c>
      <c r="M3" s="1">
        <v>0.85</v>
      </c>
      <c r="N3" s="1">
        <v>0.87</v>
      </c>
      <c r="O3" s="1">
        <v>0.85</v>
      </c>
      <c r="P3" s="1">
        <v>0.82</v>
      </c>
      <c r="Q3" s="1">
        <v>0.86</v>
      </c>
      <c r="R3" s="1">
        <v>0.82</v>
      </c>
      <c r="S3" s="1">
        <f t="shared" si="0"/>
        <v>0.87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0.78</v>
      </c>
      <c r="H4" s="1">
        <v>0.76</v>
      </c>
      <c r="I4" s="1">
        <v>0.85</v>
      </c>
      <c r="J4" s="1">
        <v>0.77</v>
      </c>
      <c r="K4" s="1">
        <v>0.75</v>
      </c>
      <c r="L4" s="1">
        <v>0.86</v>
      </c>
      <c r="M4" s="1">
        <v>0.82</v>
      </c>
      <c r="N4" s="1">
        <v>0.82</v>
      </c>
      <c r="O4" s="1">
        <v>0.81</v>
      </c>
      <c r="P4" s="1">
        <v>0.79</v>
      </c>
      <c r="Q4" s="1">
        <v>0.77</v>
      </c>
      <c r="R4" s="1">
        <v>0.79</v>
      </c>
      <c r="S4" s="1">
        <f t="shared" si="0"/>
        <v>0.86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0.73</v>
      </c>
      <c r="H5" s="1">
        <v>0.81</v>
      </c>
      <c r="I5" s="1">
        <v>0.82</v>
      </c>
      <c r="J5" s="1">
        <v>0.78</v>
      </c>
      <c r="K5" s="1">
        <v>0.78</v>
      </c>
      <c r="L5" s="1">
        <v>0.83</v>
      </c>
      <c r="M5" s="1">
        <v>0.75</v>
      </c>
      <c r="N5" s="1">
        <v>0.84</v>
      </c>
      <c r="O5" s="1">
        <v>0.81</v>
      </c>
      <c r="P5" s="1">
        <v>0.75</v>
      </c>
      <c r="Q5" s="1">
        <v>0.78</v>
      </c>
      <c r="R5" s="1">
        <v>0.78</v>
      </c>
      <c r="S5" s="1">
        <f t="shared" si="0"/>
        <v>0.84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0.79</v>
      </c>
      <c r="H6" s="1">
        <v>0.81</v>
      </c>
      <c r="I6" s="1">
        <v>0.84</v>
      </c>
      <c r="J6" s="1">
        <v>0.81</v>
      </c>
      <c r="K6" s="1">
        <v>0.79</v>
      </c>
      <c r="L6" s="1">
        <v>0.78</v>
      </c>
      <c r="M6" s="1">
        <v>0.76</v>
      </c>
      <c r="N6" s="1">
        <v>0.83</v>
      </c>
      <c r="O6" s="1">
        <v>0.81</v>
      </c>
      <c r="P6" s="1">
        <v>0.8</v>
      </c>
      <c r="Q6" s="1">
        <v>0.84</v>
      </c>
      <c r="R6" s="1">
        <v>0.78</v>
      </c>
      <c r="S6" s="1">
        <f t="shared" si="0"/>
        <v>0.84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0.7</v>
      </c>
      <c r="H7" s="1">
        <v>0.73</v>
      </c>
      <c r="I7" s="1">
        <v>0.8</v>
      </c>
      <c r="J7" s="1">
        <v>0.78</v>
      </c>
      <c r="K7" s="1">
        <v>0.78</v>
      </c>
      <c r="L7" s="1">
        <v>0.81</v>
      </c>
      <c r="M7" s="1">
        <v>0.75</v>
      </c>
      <c r="N7" s="1">
        <v>0.8</v>
      </c>
      <c r="O7" s="1">
        <v>0.8</v>
      </c>
      <c r="P7" s="1">
        <v>0.77</v>
      </c>
      <c r="Q7" s="1">
        <v>0.79</v>
      </c>
      <c r="R7" s="1">
        <v>0.75</v>
      </c>
      <c r="S7" s="1">
        <f t="shared" si="0"/>
        <v>0.81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0.53</v>
      </c>
      <c r="H8" s="1">
        <v>0.56000000000000005</v>
      </c>
      <c r="I8" s="1">
        <v>0.49</v>
      </c>
      <c r="J8" s="1">
        <v>0.47</v>
      </c>
      <c r="K8" s="1">
        <v>0.47</v>
      </c>
      <c r="L8" s="1">
        <v>0.39</v>
      </c>
      <c r="M8" s="1">
        <v>0.41</v>
      </c>
      <c r="N8" s="1">
        <v>0.53</v>
      </c>
      <c r="O8" s="1">
        <v>0.5</v>
      </c>
      <c r="P8" s="1">
        <v>0.51</v>
      </c>
      <c r="Q8" s="1">
        <v>0.44</v>
      </c>
      <c r="R8" s="1">
        <v>0.49</v>
      </c>
      <c r="S8" s="1">
        <f t="shared" si="0"/>
        <v>0.56000000000000005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0.57999999999999996</v>
      </c>
      <c r="H9" s="1">
        <v>0.52</v>
      </c>
      <c r="I9" s="1">
        <v>0.56000000000000005</v>
      </c>
      <c r="J9" s="1">
        <v>0.6</v>
      </c>
      <c r="K9" s="1">
        <v>0.45</v>
      </c>
      <c r="L9" s="1">
        <v>0.5</v>
      </c>
      <c r="M9" s="1">
        <v>0.55000000000000004</v>
      </c>
      <c r="N9" s="1">
        <v>0.61</v>
      </c>
      <c r="O9" s="1">
        <v>0.54</v>
      </c>
      <c r="P9" s="1">
        <v>0.56000000000000005</v>
      </c>
      <c r="Q9" s="1">
        <v>0.5</v>
      </c>
      <c r="R9" s="1">
        <v>0.53</v>
      </c>
      <c r="S9" s="1">
        <f t="shared" si="0"/>
        <v>0.61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0.55000000000000004</v>
      </c>
      <c r="H10" s="1">
        <v>0.54</v>
      </c>
      <c r="I10" s="1">
        <v>0.48</v>
      </c>
      <c r="J10" s="1">
        <v>0.51</v>
      </c>
      <c r="K10" s="1">
        <v>0.43</v>
      </c>
      <c r="L10" s="1">
        <v>0.49</v>
      </c>
      <c r="M10" s="1">
        <v>0.45</v>
      </c>
      <c r="N10" s="1">
        <v>0.54</v>
      </c>
      <c r="O10" s="1">
        <v>0.51</v>
      </c>
      <c r="P10" s="1">
        <v>0.59</v>
      </c>
      <c r="Q10" s="1">
        <v>0.51</v>
      </c>
      <c r="R10" s="1">
        <v>0.53</v>
      </c>
      <c r="S10" s="1">
        <f t="shared" si="0"/>
        <v>0.59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0.47</v>
      </c>
      <c r="H11" s="1">
        <v>0.45</v>
      </c>
      <c r="I11" s="1">
        <v>0.45</v>
      </c>
      <c r="J11" s="1">
        <v>0.49</v>
      </c>
      <c r="K11" s="1">
        <v>0.45</v>
      </c>
      <c r="L11" s="1">
        <v>0.45</v>
      </c>
      <c r="M11" s="1">
        <v>0.45</v>
      </c>
      <c r="N11" s="1">
        <v>0.55000000000000004</v>
      </c>
      <c r="O11" s="1">
        <v>0.42</v>
      </c>
      <c r="P11" s="1">
        <v>0.47</v>
      </c>
      <c r="Q11" s="1">
        <v>0.48</v>
      </c>
      <c r="R11" s="1">
        <v>0.53</v>
      </c>
      <c r="S11" s="1">
        <f t="shared" si="0"/>
        <v>0.55000000000000004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0.56000000000000005</v>
      </c>
      <c r="H12" s="1">
        <v>0.49</v>
      </c>
      <c r="I12" s="1">
        <v>0.53</v>
      </c>
      <c r="J12" s="1">
        <v>0.55000000000000004</v>
      </c>
      <c r="K12" s="1">
        <v>0.49</v>
      </c>
      <c r="L12" s="1">
        <v>0.49</v>
      </c>
      <c r="M12" s="1">
        <v>0.52</v>
      </c>
      <c r="N12" s="1">
        <v>0.61</v>
      </c>
      <c r="O12" s="1">
        <v>0.52</v>
      </c>
      <c r="P12" s="1">
        <v>0.56000000000000005</v>
      </c>
      <c r="Q12" s="1">
        <v>0.53</v>
      </c>
      <c r="R12" s="1">
        <v>0.52</v>
      </c>
      <c r="S12" s="1">
        <f t="shared" si="0"/>
        <v>0.61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0.52</v>
      </c>
      <c r="H13" s="1">
        <v>0.51</v>
      </c>
      <c r="I13" s="1">
        <v>0.51</v>
      </c>
      <c r="J13" s="1">
        <v>0.52</v>
      </c>
      <c r="K13" s="1">
        <v>0.48</v>
      </c>
      <c r="L13" s="1">
        <v>0.5</v>
      </c>
      <c r="M13" s="1">
        <v>0.44</v>
      </c>
      <c r="N13" s="1">
        <v>0.55000000000000004</v>
      </c>
      <c r="O13" s="1">
        <v>0.57999999999999996</v>
      </c>
      <c r="P13" s="1">
        <v>0.56000000000000005</v>
      </c>
      <c r="Q13" s="1">
        <v>0.5</v>
      </c>
      <c r="R13" s="1">
        <v>0.51</v>
      </c>
      <c r="S13" s="1">
        <f t="shared" si="0"/>
        <v>0.57999999999999996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0.27</v>
      </c>
      <c r="H14" s="1">
        <v>0.37</v>
      </c>
      <c r="I14" s="1">
        <v>0.4</v>
      </c>
      <c r="J14" s="1">
        <v>0.33</v>
      </c>
      <c r="K14" s="1">
        <v>0.35</v>
      </c>
      <c r="L14" s="1">
        <v>0.44</v>
      </c>
      <c r="M14" s="1">
        <v>0.4</v>
      </c>
      <c r="N14" s="1">
        <v>0.41</v>
      </c>
      <c r="O14" s="1">
        <v>0.33</v>
      </c>
      <c r="P14" s="1">
        <v>0.28000000000000003</v>
      </c>
      <c r="Q14" s="1">
        <v>0.34</v>
      </c>
      <c r="R14" s="1">
        <v>0.28000000000000003</v>
      </c>
      <c r="S14" s="1">
        <f t="shared" si="0"/>
        <v>0.44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0.37</v>
      </c>
      <c r="H15" s="1">
        <v>0.43</v>
      </c>
      <c r="I15" s="1">
        <v>0.5</v>
      </c>
      <c r="J15" s="1">
        <v>0.28999999999999998</v>
      </c>
      <c r="K15" s="1">
        <v>0.42</v>
      </c>
      <c r="L15" s="1">
        <v>0.46</v>
      </c>
      <c r="M15" s="1">
        <v>0.38</v>
      </c>
      <c r="N15" s="1">
        <v>0.45</v>
      </c>
      <c r="O15" s="1">
        <v>0.32</v>
      </c>
      <c r="P15" s="1">
        <v>0.38</v>
      </c>
      <c r="Q15" s="1">
        <v>0.38</v>
      </c>
      <c r="R15" s="1">
        <v>0.42</v>
      </c>
      <c r="S15" s="1">
        <f t="shared" si="0"/>
        <v>0.5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0.32</v>
      </c>
      <c r="H16" s="1">
        <v>0.3</v>
      </c>
      <c r="I16" s="1">
        <v>0.37</v>
      </c>
      <c r="J16" s="1">
        <v>0.33</v>
      </c>
      <c r="K16" s="1">
        <v>0.31</v>
      </c>
      <c r="L16" s="1">
        <v>0.34</v>
      </c>
      <c r="M16" s="1">
        <v>0.31</v>
      </c>
      <c r="N16" s="1">
        <v>0.32</v>
      </c>
      <c r="O16" s="1">
        <v>0.39</v>
      </c>
      <c r="P16" s="1">
        <v>0.36</v>
      </c>
      <c r="Q16" s="1">
        <v>0.37</v>
      </c>
      <c r="R16" s="1">
        <v>0.34</v>
      </c>
      <c r="S16" s="1">
        <f t="shared" si="0"/>
        <v>0.39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0.38</v>
      </c>
      <c r="H17" s="1">
        <v>0.39</v>
      </c>
      <c r="I17" s="1">
        <v>0.37</v>
      </c>
      <c r="J17" s="1">
        <v>0.34</v>
      </c>
      <c r="K17" s="1">
        <v>0.36</v>
      </c>
      <c r="L17" s="1">
        <v>0.33</v>
      </c>
      <c r="M17" s="1">
        <v>0.39</v>
      </c>
      <c r="N17" s="1">
        <v>0.43</v>
      </c>
      <c r="O17" s="1">
        <v>0.33</v>
      </c>
      <c r="P17" s="1">
        <v>0.28000000000000003</v>
      </c>
      <c r="Q17" s="1">
        <v>0.36</v>
      </c>
      <c r="R17" s="1">
        <v>0.34</v>
      </c>
      <c r="S17" s="1">
        <f t="shared" si="0"/>
        <v>0.43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0.34</v>
      </c>
      <c r="H18" s="1">
        <v>0.38</v>
      </c>
      <c r="I18" s="1">
        <v>0.46</v>
      </c>
      <c r="J18" s="1">
        <v>0.31</v>
      </c>
      <c r="K18" s="1">
        <v>0.39</v>
      </c>
      <c r="L18" s="1">
        <v>0.42</v>
      </c>
      <c r="M18" s="1">
        <v>0.46</v>
      </c>
      <c r="N18" s="1">
        <v>0.42</v>
      </c>
      <c r="O18" s="1">
        <v>0.33</v>
      </c>
      <c r="P18" s="1">
        <v>0.38</v>
      </c>
      <c r="Q18" s="1">
        <v>0.36</v>
      </c>
      <c r="R18" s="1">
        <v>0.45</v>
      </c>
      <c r="S18" s="1">
        <f t="shared" si="0"/>
        <v>0.46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0.39</v>
      </c>
      <c r="H19" s="1">
        <v>0.32</v>
      </c>
      <c r="I19" s="1">
        <v>0.4</v>
      </c>
      <c r="J19" s="1">
        <v>0.38</v>
      </c>
      <c r="K19" s="1">
        <v>0.35</v>
      </c>
      <c r="L19" s="1">
        <v>0.28999999999999998</v>
      </c>
      <c r="M19" s="1">
        <v>0.36</v>
      </c>
      <c r="N19" s="1">
        <v>0.33</v>
      </c>
      <c r="O19" s="1">
        <v>0.36</v>
      </c>
      <c r="P19" s="1">
        <v>0.36</v>
      </c>
      <c r="Q19" s="1">
        <v>0.35</v>
      </c>
      <c r="R19" s="1">
        <v>0.32</v>
      </c>
      <c r="S19" s="1">
        <f t="shared" si="0"/>
        <v>0.4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0.86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0.83</v>
      </c>
      <c r="L23" s="1" cm="1">
        <f t="array" ref="L23">_xlfn.LET(_xlpm.d,L$2:L$19,_xlpm.a,$C$2:$C$19=$C23,_xlpm.b,$D$2:$D$19=$D23,MAX(_xlfn._xlws.FILTER(_xlpm.d,_xlpm.a*_xlpm.b)))</f>
        <v>0.86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0.87</v>
      </c>
      <c r="O23" s="1" cm="1">
        <f t="array" ref="O23">_xlfn.LET(_xlpm.d,O$2:O$19,_xlpm.a,$C$2:$C$19=$C23,_xlpm.b,$D$2:$D$19=$D23,MAX(_xlfn._xlws.FILTER(_xlpm.d,_xlpm.a*_xlpm.b)))</f>
        <v>0.86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0.88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0.79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0.84</v>
      </c>
      <c r="J24" s="1" cm="1">
        <f t="array" ref="J24">_xlfn.LET(_xlpm.d,J$2:J$19,_xlpm.a,$C$2:$C$19=$C24,_xlpm.b,$D$2:$D$19=$D24,MAX(_xlfn._xlws.FILTER(_xlpm.d,_xlpm.a*_xlpm.b)))</f>
        <v>0.81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0.83</v>
      </c>
      <c r="M24" s="1" cm="1">
        <f t="array" ref="M24">_xlfn.LET(_xlpm.d,M$2:M$19,_xlpm.a,$C$2:$C$19=$C24,_xlpm.b,$D$2:$D$19=$D24,MAX(_xlfn._xlws.FILTER(_xlpm.d,_xlpm.a*_xlpm.b)))</f>
        <v>0.76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0.78</v>
      </c>
      <c r="S24" s="1" cm="1">
        <f t="array" ref="S24">_xlfn.LET(_xlpm.d,S$2:S$19,_xlpm.a,$C$2:$C$19=$C24,_xlpm.b,$D$2:$D$19=$D24,MAX(_xlfn._xlws.FILTER(_xlpm.d,_xlpm.a*_xlpm.b)))</f>
        <v>0.84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0.57999999999999996</v>
      </c>
      <c r="H25" s="1" cm="1">
        <f t="array" ref="H25">_xlfn.LET(_xlpm.d,H$2:H$19,_xlpm.a,$C$2:$C$19=$C25,_xlpm.b,$D$2:$D$19=$D25,MAX(_xlfn._xlws.FILTER(_xlpm.d,_xlpm.a*_xlpm.b)))</f>
        <v>0.56000000000000005</v>
      </c>
      <c r="I25" s="1" cm="1">
        <f t="array" ref="I25">_xlfn.LET(_xlpm.d,I$2:I$19,_xlpm.a,$C$2:$C$19=$C25,_xlpm.b,$D$2:$D$19=$D25,MAX(_xlfn._xlws.FILTER(_xlpm.d,_xlpm.a*_xlpm.b)))</f>
        <v>0.56000000000000005</v>
      </c>
      <c r="J25" s="1" cm="1">
        <f t="array" ref="J25">_xlfn.LET(_xlpm.d,J$2:J$19,_xlpm.a,$C$2:$C$19=$C25,_xlpm.b,$D$2:$D$19=$D25,MAX(_xlfn._xlws.FILTER(_xlpm.d,_xlpm.a*_xlpm.b)))</f>
        <v>0.6</v>
      </c>
      <c r="K25" s="1" cm="1">
        <f t="array" ref="K25">_xlfn.LET(_xlpm.d,K$2:K$19,_xlpm.a,$C$2:$C$19=$C25,_xlpm.b,$D$2:$D$19=$D25,MAX(_xlfn._xlws.FILTER(_xlpm.d,_xlpm.a*_xlpm.b)))</f>
        <v>0.47</v>
      </c>
      <c r="L25" s="1" cm="1">
        <f t="array" ref="L25">_xlfn.LET(_xlpm.d,L$2:L$19,_xlpm.a,$C$2:$C$19=$C25,_xlpm.b,$D$2:$D$19=$D25,MAX(_xlfn._xlws.FILTER(_xlpm.d,_xlpm.a*_xlpm.b)))</f>
        <v>0.5</v>
      </c>
      <c r="M25" s="1" cm="1">
        <f t="array" ref="M25">_xlfn.LET(_xlpm.d,M$2:M$19,_xlpm.a,$C$2:$C$19=$C25,_xlpm.b,$D$2:$D$19=$D25,MAX(_xlfn._xlws.FILTER(_xlpm.d,_xlpm.a*_xlpm.b)))</f>
        <v>0.55000000000000004</v>
      </c>
      <c r="N25" s="1" cm="1">
        <f t="array" ref="N25">_xlfn.LET(_xlpm.d,N$2:N$19,_xlpm.a,$C$2:$C$19=$C25,_xlpm.b,$D$2:$D$19=$D25,MAX(_xlfn._xlws.FILTER(_xlpm.d,_xlpm.a*_xlpm.b)))</f>
        <v>0.61</v>
      </c>
      <c r="O25" s="1" cm="1">
        <f t="array" ref="O25">_xlfn.LET(_xlpm.d,O$2:O$19,_xlpm.a,$C$2:$C$19=$C25,_xlpm.b,$D$2:$D$19=$D25,MAX(_xlfn._xlws.FILTER(_xlpm.d,_xlpm.a*_xlpm.b)))</f>
        <v>0.54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0.51</v>
      </c>
      <c r="R25" s="1" cm="1">
        <f t="array" ref="R25">_xlfn.LET(_xlpm.d,R$2:R$19,_xlpm.a,$C$2:$C$19=$C25,_xlpm.b,$D$2:$D$19=$D25,MAX(_xlfn._xlws.FILTER(_xlpm.d,_xlpm.a*_xlpm.b)))</f>
        <v>0.53</v>
      </c>
      <c r="S25" s="1" cm="1">
        <f t="array" ref="S25">_xlfn.LET(_xlpm.d,S$2:S$19,_xlpm.a,$C$2:$C$19=$C25,_xlpm.b,$D$2:$D$19=$D25,MAX(_xlfn._xlws.FILTER(_xlpm.d,_xlpm.a*_xlpm.b)))</f>
        <v>0.61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0.51</v>
      </c>
      <c r="I26" s="1" cm="1">
        <f t="array" ref="I26">_xlfn.LET(_xlpm.d,I$2:I$19,_xlpm.a,$C$2:$C$19=$C26,_xlpm.b,$D$2:$D$19=$D26,MAX(_xlfn._xlws.FILTER(_xlpm.d,_xlpm.a*_xlpm.b)))</f>
        <v>0.53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0.49</v>
      </c>
      <c r="L26" s="1" cm="1">
        <f t="array" ref="L26">_xlfn.LET(_xlpm.d,L$2:L$19,_xlpm.a,$C$2:$C$19=$C26,_xlpm.b,$D$2:$D$19=$D26,MAX(_xlfn._xlws.FILTER(_xlpm.d,_xlpm.a*_xlpm.b)))</f>
        <v>0.5</v>
      </c>
      <c r="M26" s="1" cm="1">
        <f t="array" ref="M26">_xlfn.LET(_xlpm.d,M$2:M$19,_xlpm.a,$C$2:$C$19=$C26,_xlpm.b,$D$2:$D$19=$D26,MAX(_xlfn._xlws.FILTER(_xlpm.d,_xlpm.a*_xlpm.b)))</f>
        <v>0.52</v>
      </c>
      <c r="N26" s="1" cm="1">
        <f t="array" ref="N26">_xlfn.LET(_xlpm.d,N$2:N$19,_xlpm.a,$C$2:$C$19=$C26,_xlpm.b,$D$2:$D$19=$D26,MAX(_xlfn._xlws.FILTER(_xlpm.d,_xlpm.a*_xlpm.b)))</f>
        <v>0.61</v>
      </c>
      <c r="O26" s="1" cm="1">
        <f t="array" ref="O26">_xlfn.LET(_xlpm.d,O$2:O$19,_xlpm.a,$C$2:$C$19=$C26,_xlpm.b,$D$2:$D$19=$D26,MAX(_xlfn._xlws.FILTER(_xlpm.d,_xlpm.a*_xlpm.b)))</f>
        <v>0.57999999999999996</v>
      </c>
      <c r="P26" s="1" cm="1">
        <f t="array" ref="P26">_xlfn.LET(_xlpm.d,P$2:P$19,_xlpm.a,$C$2:$C$19=$C26,_xlpm.b,$D$2:$D$19=$D26,MAX(_xlfn._xlws.FILTER(_xlpm.d,_xlpm.a*_xlpm.b)))</f>
        <v>0.56000000000000005</v>
      </c>
      <c r="Q26" s="1" cm="1">
        <f t="array" ref="Q26">_xlfn.LET(_xlpm.d,Q$2:Q$19,_xlpm.a,$C$2:$C$19=$C26,_xlpm.b,$D$2:$D$19=$D26,MAX(_xlfn._xlws.FILTER(_xlpm.d,_xlpm.a*_xlpm.b)))</f>
        <v>0.53</v>
      </c>
      <c r="R26" s="1" cm="1">
        <f t="array" ref="R26">_xlfn.LET(_xlpm.d,R$2:R$19,_xlpm.a,$C$2:$C$19=$C26,_xlpm.b,$D$2:$D$19=$D26,MAX(_xlfn._xlws.FILTER(_xlpm.d,_xlpm.a*_xlpm.b)))</f>
        <v>0.53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0.37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0.5</v>
      </c>
      <c r="J27" s="1" cm="1">
        <f t="array" ref="J27">_xlfn.LET(_xlpm.d,J$2:J$19,_xlpm.a,$C$2:$C$19=$C27,_xlpm.b,$D$2:$D$19=$D27,MAX(_xlfn._xlws.FILTER(_xlpm.d,_xlpm.a*_xlpm.b)))</f>
        <v>0.33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0.46</v>
      </c>
      <c r="M27" s="1" cm="1">
        <f t="array" ref="M27">_xlfn.LET(_xlpm.d,M$2:M$19,_xlpm.a,$C$2:$C$19=$C27,_xlpm.b,$D$2:$D$19=$D27,MAX(_xlfn._xlws.FILTER(_xlpm.d,_xlpm.a*_xlpm.b)))</f>
        <v>0.4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0.39</v>
      </c>
      <c r="P27" s="1" cm="1">
        <f t="array" ref="P27">_xlfn.LET(_xlpm.d,P$2:P$19,_xlpm.a,$C$2:$C$19=$C27,_xlpm.b,$D$2:$D$19=$D27,MAX(_xlfn._xlws.FILTER(_xlpm.d,_xlpm.a*_xlpm.b)))</f>
        <v>0.38</v>
      </c>
      <c r="Q27" s="1" cm="1">
        <f t="array" ref="Q27">_xlfn.LET(_xlpm.d,Q$2:Q$19,_xlpm.a,$C$2:$C$19=$C27,_xlpm.b,$D$2:$D$19=$D27,MAX(_xlfn._xlws.FILTER(_xlpm.d,_xlpm.a*_xlpm.b)))</f>
        <v>0.38</v>
      </c>
      <c r="R27" s="1" cm="1">
        <f t="array" ref="R27">_xlfn.LET(_xlpm.d,R$2:R$19,_xlpm.a,$C$2:$C$19=$C27,_xlpm.b,$D$2:$D$19=$D27,MAX(_xlfn._xlws.FILTER(_xlpm.d,_xlpm.a*_xlpm.b)))</f>
        <v>0.42</v>
      </c>
      <c r="S27" s="1" cm="1">
        <f t="array" ref="S27">_xlfn.LET(_xlpm.d,S$2:S$19,_xlpm.a,$C$2:$C$19=$C27,_xlpm.b,$D$2:$D$19=$D27,MAX(_xlfn._xlws.FILTER(_xlpm.d,_xlpm.a*_xlpm.b)))</f>
        <v>0.5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0.39</v>
      </c>
      <c r="H28" s="1" cm="1">
        <f t="array" ref="H28">_xlfn.LET(_xlpm.d,H$2:H$19,_xlpm.a,$C$2:$C$19=$C28,_xlpm.b,$D$2:$D$19=$D28,MAX(_xlfn._xlws.FILTER(_xlpm.d,_xlpm.a*_xlpm.b)))</f>
        <v>0.39</v>
      </c>
      <c r="I28" s="1" cm="1">
        <f t="array" ref="I28">_xlfn.LET(_xlpm.d,I$2:I$19,_xlpm.a,$C$2:$C$19=$C28,_xlpm.b,$D$2:$D$19=$D28,MAX(_xlfn._xlws.FILTER(_xlpm.d,_xlpm.a*_xlpm.b)))</f>
        <v>0.46</v>
      </c>
      <c r="J28" s="1" cm="1">
        <f t="array" ref="J28">_xlfn.LET(_xlpm.d,J$2:J$19,_xlpm.a,$C$2:$C$19=$C28,_xlpm.b,$D$2:$D$19=$D28,MAX(_xlfn._xlws.FILTER(_xlpm.d,_xlpm.a*_xlpm.b)))</f>
        <v>0.38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0.46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0.36</v>
      </c>
      <c r="P28" s="1" cm="1">
        <f t="array" ref="P28">_xlfn.LET(_xlpm.d,P$2:P$19,_xlpm.a,$C$2:$C$19=$C28,_xlpm.b,$D$2:$D$19=$D28,MAX(_xlfn._xlws.FILTER(_xlpm.d,_xlpm.a*_xlpm.b)))</f>
        <v>0.38</v>
      </c>
      <c r="Q28" s="1" cm="1">
        <f t="array" ref="Q28">_xlfn.LET(_xlpm.d,Q$2:Q$19,_xlpm.a,$C$2:$C$19=$C28,_xlpm.b,$D$2:$D$19=$D28,MAX(_xlfn._xlws.FILTER(_xlpm.d,_xlpm.a*_xlpm.b)))</f>
        <v>0.36</v>
      </c>
      <c r="R28" s="1" cm="1">
        <f t="array" ref="R28">_xlfn.LET(_xlpm.d,R$2:R$19,_xlpm.a,$C$2:$C$19=$C28,_xlpm.b,$D$2:$D$19=$D28,MAX(_xlfn._xlws.FILTER(_xlpm.d,_xlpm.a*_xlpm.b)))</f>
        <v>0.45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4E4E-B92A-C448-B18B-D9F7978AAA27}">
  <sheetPr codeName="Sheet10"/>
  <dimension ref="A1:S28"/>
  <sheetViews>
    <sheetView workbookViewId="0">
      <selection activeCell="I11" sqref="I11"/>
    </sheetView>
  </sheetViews>
  <sheetFormatPr baseColWidth="10" defaultRowHeight="25" customHeight="1"/>
  <cols>
    <col min="1" max="1" width="9.125" customWidth="1"/>
    <col min="2" max="2" width="7.375" customWidth="1"/>
    <col min="3" max="6" width="8.125" customWidth="1"/>
    <col min="7" max="19" width="9.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0.81</v>
      </c>
      <c r="H2" s="1">
        <v>0.82</v>
      </c>
      <c r="I2" s="1">
        <v>0.81</v>
      </c>
      <c r="J2" s="1">
        <v>0.82</v>
      </c>
      <c r="K2" s="1">
        <v>0.71</v>
      </c>
      <c r="L2" s="1">
        <v>0.77</v>
      </c>
      <c r="M2" s="1">
        <v>0.86</v>
      </c>
      <c r="N2" s="1">
        <v>0.76</v>
      </c>
      <c r="O2" s="1">
        <v>0.79</v>
      </c>
      <c r="P2" s="1">
        <v>0.82</v>
      </c>
      <c r="Q2" s="1">
        <v>0.81</v>
      </c>
      <c r="R2" s="1">
        <v>0.72</v>
      </c>
      <c r="S2" s="1">
        <f t="shared" ref="S2:S19" si="0">MAX($G2:$R2)</f>
        <v>0.86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0.82</v>
      </c>
      <c r="H3" s="1">
        <v>0.89</v>
      </c>
      <c r="I3" s="1">
        <v>0.82</v>
      </c>
      <c r="J3" s="1">
        <v>0.82</v>
      </c>
      <c r="K3" s="1">
        <v>0.79</v>
      </c>
      <c r="L3" s="1">
        <v>0.81</v>
      </c>
      <c r="M3" s="1">
        <v>0.85</v>
      </c>
      <c r="N3" s="1">
        <v>0.8</v>
      </c>
      <c r="O3" s="1">
        <v>0.84</v>
      </c>
      <c r="P3" s="1">
        <v>0.85</v>
      </c>
      <c r="Q3" s="1">
        <v>0.85</v>
      </c>
      <c r="R3" s="1">
        <v>0.77</v>
      </c>
      <c r="S3" s="1">
        <f t="shared" si="0"/>
        <v>0.89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0.81</v>
      </c>
      <c r="H4" s="1">
        <v>0.84</v>
      </c>
      <c r="I4" s="1">
        <v>0.73</v>
      </c>
      <c r="J4" s="1">
        <v>0.74</v>
      </c>
      <c r="K4" s="1">
        <v>0.74</v>
      </c>
      <c r="L4" s="1">
        <v>0.77</v>
      </c>
      <c r="M4" s="1">
        <v>0.73</v>
      </c>
      <c r="N4" s="1">
        <v>0.72</v>
      </c>
      <c r="O4" s="1">
        <v>0.77</v>
      </c>
      <c r="P4" s="1">
        <v>0.74</v>
      </c>
      <c r="Q4" s="1">
        <v>0.78</v>
      </c>
      <c r="R4" s="1">
        <v>0.72</v>
      </c>
      <c r="S4" s="1">
        <f t="shared" si="0"/>
        <v>0.84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0.73</v>
      </c>
      <c r="H5" s="1">
        <v>0.78</v>
      </c>
      <c r="I5" s="1">
        <v>0.75</v>
      </c>
      <c r="J5" s="1">
        <v>0.7</v>
      </c>
      <c r="K5" s="1">
        <v>0.76</v>
      </c>
      <c r="L5" s="1">
        <v>0.8</v>
      </c>
      <c r="M5" s="1">
        <v>0.76</v>
      </c>
      <c r="N5" s="1">
        <v>0.73</v>
      </c>
      <c r="O5" s="1">
        <v>0.82</v>
      </c>
      <c r="P5" s="1">
        <v>0.74</v>
      </c>
      <c r="Q5" s="1">
        <v>0.79</v>
      </c>
      <c r="R5" s="1">
        <v>0.78</v>
      </c>
      <c r="S5" s="1">
        <f t="shared" si="0"/>
        <v>0.82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0.72</v>
      </c>
      <c r="H6" s="1">
        <v>0.85</v>
      </c>
      <c r="I6" s="1">
        <v>0.73</v>
      </c>
      <c r="J6" s="1">
        <v>0.78</v>
      </c>
      <c r="K6" s="1">
        <v>0.82</v>
      </c>
      <c r="L6" s="1">
        <v>0.78</v>
      </c>
      <c r="M6" s="1">
        <v>0.75</v>
      </c>
      <c r="N6" s="1">
        <v>0.76</v>
      </c>
      <c r="O6" s="1">
        <v>0.82</v>
      </c>
      <c r="P6" s="1">
        <v>0.82</v>
      </c>
      <c r="Q6" s="1">
        <v>0.85</v>
      </c>
      <c r="R6" s="1">
        <v>0.73</v>
      </c>
      <c r="S6" s="1">
        <f t="shared" si="0"/>
        <v>0.85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0.73</v>
      </c>
      <c r="H7" s="1">
        <v>0.76</v>
      </c>
      <c r="I7" s="1">
        <v>0.69</v>
      </c>
      <c r="J7" s="1">
        <v>0.77</v>
      </c>
      <c r="K7" s="1">
        <v>0.79</v>
      </c>
      <c r="L7" s="1">
        <v>0.79</v>
      </c>
      <c r="M7" s="1">
        <v>0.76</v>
      </c>
      <c r="N7" s="1">
        <v>0.68</v>
      </c>
      <c r="O7" s="1">
        <v>0.76</v>
      </c>
      <c r="P7" s="1">
        <v>0.76</v>
      </c>
      <c r="Q7" s="1">
        <v>0.83</v>
      </c>
      <c r="R7" s="1">
        <v>0.73</v>
      </c>
      <c r="S7" s="1">
        <f t="shared" si="0"/>
        <v>0.83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0.5</v>
      </c>
      <c r="H8" s="1">
        <v>0.44</v>
      </c>
      <c r="I8" s="1">
        <v>0.48</v>
      </c>
      <c r="J8" s="1">
        <v>0.5</v>
      </c>
      <c r="K8" s="1">
        <v>0.46</v>
      </c>
      <c r="L8" s="1">
        <v>0.46</v>
      </c>
      <c r="M8" s="1">
        <v>0.45</v>
      </c>
      <c r="N8" s="1">
        <v>0.49</v>
      </c>
      <c r="O8" s="1">
        <v>0.46</v>
      </c>
      <c r="P8" s="1">
        <v>0.52</v>
      </c>
      <c r="Q8" s="1">
        <v>0.41</v>
      </c>
      <c r="R8" s="1">
        <v>0.46</v>
      </c>
      <c r="S8" s="1">
        <f t="shared" si="0"/>
        <v>0.52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0.5</v>
      </c>
      <c r="H9" s="1">
        <v>0.56999999999999995</v>
      </c>
      <c r="I9" s="1">
        <v>0.55000000000000004</v>
      </c>
      <c r="J9" s="1">
        <v>0.53</v>
      </c>
      <c r="K9" s="1">
        <v>0.48</v>
      </c>
      <c r="L9" s="1">
        <v>0.56999999999999995</v>
      </c>
      <c r="M9" s="1">
        <v>0.54</v>
      </c>
      <c r="N9" s="1">
        <v>0.53</v>
      </c>
      <c r="O9" s="1">
        <v>0.54</v>
      </c>
      <c r="P9" s="1">
        <v>0.56999999999999995</v>
      </c>
      <c r="Q9" s="1">
        <v>0.55000000000000004</v>
      </c>
      <c r="R9" s="1">
        <v>0.54</v>
      </c>
      <c r="S9" s="1">
        <f t="shared" si="0"/>
        <v>0.56999999999999995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0.45</v>
      </c>
      <c r="H10" s="1">
        <v>0.55000000000000004</v>
      </c>
      <c r="I10" s="1">
        <v>0.48</v>
      </c>
      <c r="J10" s="1">
        <v>0.52</v>
      </c>
      <c r="K10" s="1">
        <v>0.52</v>
      </c>
      <c r="L10" s="1">
        <v>0.52</v>
      </c>
      <c r="M10" s="1">
        <v>0.48</v>
      </c>
      <c r="N10" s="1">
        <v>0.51</v>
      </c>
      <c r="O10" s="1">
        <v>0.54</v>
      </c>
      <c r="P10" s="1">
        <v>0.55000000000000004</v>
      </c>
      <c r="Q10" s="1">
        <v>0.55000000000000004</v>
      </c>
      <c r="R10" s="1">
        <v>0.57999999999999996</v>
      </c>
      <c r="S10" s="1">
        <f t="shared" si="0"/>
        <v>0.57999999999999996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0.45</v>
      </c>
      <c r="H11" s="1">
        <v>0.55000000000000004</v>
      </c>
      <c r="I11" s="1">
        <v>0.44</v>
      </c>
      <c r="J11" s="1">
        <v>0.52</v>
      </c>
      <c r="K11" s="1">
        <v>0.35</v>
      </c>
      <c r="L11" s="1">
        <v>0.5</v>
      </c>
      <c r="M11" s="1">
        <v>0.44</v>
      </c>
      <c r="N11" s="1">
        <v>0.54</v>
      </c>
      <c r="O11" s="1">
        <v>0.5</v>
      </c>
      <c r="P11" s="1">
        <v>0.5</v>
      </c>
      <c r="Q11" s="1">
        <v>0.5</v>
      </c>
      <c r="R11" s="1">
        <v>0.49</v>
      </c>
      <c r="S11" s="1">
        <f t="shared" si="0"/>
        <v>0.55000000000000004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0.48</v>
      </c>
      <c r="H12" s="1">
        <v>0.56999999999999995</v>
      </c>
      <c r="I12" s="1">
        <v>0.54</v>
      </c>
      <c r="J12" s="1">
        <v>0.55000000000000004</v>
      </c>
      <c r="K12" s="1">
        <v>0.48</v>
      </c>
      <c r="L12" s="1">
        <v>0.63</v>
      </c>
      <c r="M12" s="1">
        <v>0.54</v>
      </c>
      <c r="N12" s="1">
        <v>0.55000000000000004</v>
      </c>
      <c r="O12" s="1">
        <v>0.5</v>
      </c>
      <c r="P12" s="1">
        <v>0.54</v>
      </c>
      <c r="Q12" s="1">
        <v>0.52</v>
      </c>
      <c r="R12" s="1">
        <v>0.56999999999999995</v>
      </c>
      <c r="S12" s="1">
        <f t="shared" si="0"/>
        <v>0.63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0.46</v>
      </c>
      <c r="H13" s="1">
        <v>0.52</v>
      </c>
      <c r="I13" s="1">
        <v>0.46</v>
      </c>
      <c r="J13" s="1">
        <v>0.49</v>
      </c>
      <c r="K13" s="1">
        <v>0.52</v>
      </c>
      <c r="L13" s="1">
        <v>0.54</v>
      </c>
      <c r="M13" s="1">
        <v>0.5</v>
      </c>
      <c r="N13" s="1">
        <v>0.48</v>
      </c>
      <c r="O13" s="1">
        <v>0.52</v>
      </c>
      <c r="P13" s="1">
        <v>0.52</v>
      </c>
      <c r="Q13" s="1">
        <v>0.5</v>
      </c>
      <c r="R13" s="1">
        <v>0.57999999999999996</v>
      </c>
      <c r="S13" s="1">
        <f t="shared" si="0"/>
        <v>0.57999999999999996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0.33</v>
      </c>
      <c r="H14" s="1">
        <v>0.4</v>
      </c>
      <c r="I14" s="1">
        <v>0.24</v>
      </c>
      <c r="J14" s="1">
        <v>0.41</v>
      </c>
      <c r="K14" s="1">
        <v>0.38</v>
      </c>
      <c r="L14" s="1">
        <v>0.38</v>
      </c>
      <c r="M14" s="1">
        <v>0.33</v>
      </c>
      <c r="N14" s="1">
        <v>0.28000000000000003</v>
      </c>
      <c r="O14" s="1">
        <v>0.31</v>
      </c>
      <c r="P14" s="1">
        <v>0.46</v>
      </c>
      <c r="Q14" s="1">
        <v>0.37</v>
      </c>
      <c r="R14" s="1">
        <v>0.31</v>
      </c>
      <c r="S14" s="1">
        <f t="shared" si="0"/>
        <v>0.46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0.39</v>
      </c>
      <c r="H15" s="1">
        <v>0.43</v>
      </c>
      <c r="I15" s="1">
        <v>0.36</v>
      </c>
      <c r="J15" s="1">
        <v>0.43</v>
      </c>
      <c r="K15" s="1">
        <v>0.43</v>
      </c>
      <c r="L15" s="1">
        <v>0.37</v>
      </c>
      <c r="M15" s="1">
        <v>0.36</v>
      </c>
      <c r="N15" s="1">
        <v>0.4</v>
      </c>
      <c r="O15" s="1">
        <v>0.4</v>
      </c>
      <c r="P15" s="1">
        <v>0.48</v>
      </c>
      <c r="Q15" s="1">
        <v>0.41</v>
      </c>
      <c r="R15" s="1">
        <v>0.32</v>
      </c>
      <c r="S15" s="1">
        <f t="shared" si="0"/>
        <v>0.48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0.37</v>
      </c>
      <c r="H16" s="1">
        <v>0.35</v>
      </c>
      <c r="I16" s="1">
        <v>0.33</v>
      </c>
      <c r="J16" s="1">
        <v>0.32</v>
      </c>
      <c r="K16" s="1">
        <v>0.41</v>
      </c>
      <c r="L16" s="1">
        <v>0.3</v>
      </c>
      <c r="M16" s="1">
        <v>0.32</v>
      </c>
      <c r="N16" s="1">
        <v>0.39</v>
      </c>
      <c r="O16" s="1">
        <v>0.28000000000000003</v>
      </c>
      <c r="P16" s="1">
        <v>0.4</v>
      </c>
      <c r="Q16" s="1">
        <v>0.38</v>
      </c>
      <c r="R16" s="1">
        <v>0.33</v>
      </c>
      <c r="S16" s="1">
        <f t="shared" si="0"/>
        <v>0.41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0.4</v>
      </c>
      <c r="H17" s="1">
        <v>0.38</v>
      </c>
      <c r="I17" s="1">
        <v>0.27</v>
      </c>
      <c r="J17" s="1">
        <v>0.38</v>
      </c>
      <c r="K17" s="1">
        <v>0.38</v>
      </c>
      <c r="L17" s="1">
        <v>0.37</v>
      </c>
      <c r="M17" s="1">
        <v>0.31</v>
      </c>
      <c r="N17" s="1">
        <v>0.4</v>
      </c>
      <c r="O17" s="1">
        <v>0.37</v>
      </c>
      <c r="P17" s="1">
        <v>0.35</v>
      </c>
      <c r="Q17" s="1">
        <v>0.41</v>
      </c>
      <c r="R17" s="1">
        <v>0.34</v>
      </c>
      <c r="S17" s="1">
        <f t="shared" si="0"/>
        <v>0.41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0.38</v>
      </c>
      <c r="H18" s="1">
        <v>0.37</v>
      </c>
      <c r="I18" s="1">
        <v>0.28999999999999998</v>
      </c>
      <c r="J18" s="1">
        <v>0.42</v>
      </c>
      <c r="K18" s="1">
        <v>0.41</v>
      </c>
      <c r="L18" s="1">
        <v>0.42</v>
      </c>
      <c r="M18" s="1">
        <v>0.36</v>
      </c>
      <c r="N18" s="1">
        <v>0.38</v>
      </c>
      <c r="O18" s="1">
        <v>0.33</v>
      </c>
      <c r="P18" s="1">
        <v>0.45</v>
      </c>
      <c r="Q18" s="1">
        <v>0.42</v>
      </c>
      <c r="R18" s="1">
        <v>0.34</v>
      </c>
      <c r="S18" s="1">
        <f t="shared" si="0"/>
        <v>0.45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0.37</v>
      </c>
      <c r="H19" s="1">
        <v>0.38</v>
      </c>
      <c r="I19" s="1">
        <v>0.31</v>
      </c>
      <c r="J19" s="1">
        <v>0.31</v>
      </c>
      <c r="K19" s="1">
        <v>0.42</v>
      </c>
      <c r="L19" s="1">
        <v>0.36</v>
      </c>
      <c r="M19" s="1">
        <v>0.35</v>
      </c>
      <c r="N19" s="1">
        <v>0.4</v>
      </c>
      <c r="O19" s="1">
        <v>0.27</v>
      </c>
      <c r="P19" s="1">
        <v>0.41</v>
      </c>
      <c r="Q19" s="1">
        <v>0.33</v>
      </c>
      <c r="R19" s="1">
        <v>0.33</v>
      </c>
      <c r="S19" s="1">
        <f t="shared" si="0"/>
        <v>0.42</v>
      </c>
    </row>
    <row r="22" spans="1:19" ht="25" customHeight="1">
      <c r="B22" t="s">
        <v>1</v>
      </c>
      <c r="C22" t="s">
        <v>2</v>
      </c>
      <c r="D22" t="s">
        <v>26</v>
      </c>
      <c r="E22" t="s">
        <v>4</v>
      </c>
      <c r="F22" t="s">
        <v>27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0</v>
      </c>
      <c r="F23" t="s">
        <v>18</v>
      </c>
      <c r="G23" s="1" cm="1">
        <f t="array" ref="G23">_xlfn.LET(_xlpm.d,G$2:G$19,_xlpm.a,$C$2:$C$19=$C23,_xlpm.b,$D$2:$D$19=$D23,MAX(_xlfn._xlws.FILTER(_xlpm.d,_xlpm.a*_xlpm.b)))</f>
        <v>0.82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0.82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0.79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</v>
      </c>
      <c r="O23" s="1" cm="1">
        <f t="array" ref="O23">_xlfn.LET(_xlpm.d,O$2:O$19,_xlpm.a,$C$2:$C$19=$C23,_xlpm.b,$D$2:$D$19=$D23,MAX(_xlfn._xlws.FILTER(_xlpm.d,_xlpm.a*_xlpm.b)))</f>
        <v>0.84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0.77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20</v>
      </c>
      <c r="D24" t="b">
        <v>0</v>
      </c>
      <c r="E24">
        <v>0</v>
      </c>
      <c r="F24" t="s">
        <v>18</v>
      </c>
      <c r="G24" s="1" cm="1">
        <f t="array" ref="G24">_xlfn.LET(_xlpm.d,G$2:G$19,_xlpm.a,$C$2:$C$19=$C24,_xlpm.b,$D$2:$D$19=$D24,MAX(_xlfn._xlws.FILTER(_xlpm.d,_xlpm.a*_xlpm.b)))</f>
        <v>0.73</v>
      </c>
      <c r="H24" s="1" cm="1">
        <f t="array" ref="H24">_xlfn.LET(_xlpm.d,H$2:H$19,_xlpm.a,$C$2:$C$19=$C24,_xlpm.b,$D$2:$D$19=$D24,MAX(_xlfn._xlws.FILTER(_xlpm.d,_xlpm.a*_xlpm.b)))</f>
        <v>0.85</v>
      </c>
      <c r="I24" s="1" cm="1">
        <f t="array" ref="I24">_xlfn.LET(_xlpm.d,I$2:I$19,_xlpm.a,$C$2:$C$19=$C24,_xlpm.b,$D$2:$D$19=$D24,MAX(_xlfn._xlws.FILTER(_xlpm.d,_xlpm.a*_xlpm.b)))</f>
        <v>0.75</v>
      </c>
      <c r="J24" s="1" cm="1">
        <f t="array" ref="J24">_xlfn.LET(_xlpm.d,J$2:J$19,_xlpm.a,$C$2:$C$19=$C24,_xlpm.b,$D$2:$D$19=$D24,MAX(_xlfn._xlws.FILTER(_xlpm.d,_xlpm.a*_xlpm.b)))</f>
        <v>0.78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0.76</v>
      </c>
      <c r="N24" s="1" cm="1">
        <f t="array" ref="N24">_xlfn.LET(_xlpm.d,N$2:N$19,_xlpm.a,$C$2:$C$19=$C24,_xlpm.b,$D$2:$D$19=$D24,MAX(_xlfn._xlws.FILTER(_xlpm.d,_xlpm.a*_xlpm.b)))</f>
        <v>0.76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0.78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24</v>
      </c>
      <c r="D25" t="b">
        <v>1</v>
      </c>
      <c r="E25">
        <v>0</v>
      </c>
      <c r="F25" t="s">
        <v>18</v>
      </c>
      <c r="G25" s="1" cm="1">
        <f t="array" ref="G25">_xlfn.LET(_xlpm.d,G$2:G$19,_xlpm.a,$C$2:$C$19=$C25,_xlpm.b,$D$2:$D$19=$D25,MAX(_xlfn._xlws.FILTER(_xlpm.d,_xlpm.a*_xlpm.b)))</f>
        <v>0.5</v>
      </c>
      <c r="H25" s="1" cm="1">
        <f t="array" ref="H25">_xlfn.LET(_xlpm.d,H$2:H$19,_xlpm.a,$C$2:$C$19=$C25,_xlpm.b,$D$2:$D$19=$D25,MAX(_xlfn._xlws.FILTER(_xlpm.d,_xlpm.a*_xlpm.b)))</f>
        <v>0.56999999999999995</v>
      </c>
      <c r="I25" s="1" cm="1">
        <f t="array" ref="I25">_xlfn.LET(_xlpm.d,I$2:I$19,_xlpm.a,$C$2:$C$19=$C25,_xlpm.b,$D$2:$D$19=$D25,MAX(_xlfn._xlws.FILTER(_xlpm.d,_xlpm.a*_xlpm.b)))</f>
        <v>0.55000000000000004</v>
      </c>
      <c r="J25" s="1" cm="1">
        <f t="array" ref="J25">_xlfn.LET(_xlpm.d,J$2:J$19,_xlpm.a,$C$2:$C$19=$C25,_xlpm.b,$D$2:$D$19=$D25,MAX(_xlfn._xlws.FILTER(_xlpm.d,_xlpm.a*_xlpm.b)))</f>
        <v>0.53</v>
      </c>
      <c r="K25" s="1" cm="1">
        <f t="array" ref="K25">_xlfn.LET(_xlpm.d,K$2:K$19,_xlpm.a,$C$2:$C$19=$C25,_xlpm.b,$D$2:$D$19=$D25,MAX(_xlfn._xlws.FILTER(_xlpm.d,_xlpm.a*_xlpm.b)))</f>
        <v>0.52</v>
      </c>
      <c r="L25" s="1" cm="1">
        <f t="array" ref="L25">_xlfn.LET(_xlpm.d,L$2:L$19,_xlpm.a,$C$2:$C$19=$C25,_xlpm.b,$D$2:$D$19=$D25,MAX(_xlfn._xlws.FILTER(_xlpm.d,_xlpm.a*_xlpm.b)))</f>
        <v>0.56999999999999995</v>
      </c>
      <c r="M25" s="1" cm="1">
        <f t="array" ref="M25">_xlfn.LET(_xlpm.d,M$2:M$19,_xlpm.a,$C$2:$C$19=$C25,_xlpm.b,$D$2:$D$19=$D25,MAX(_xlfn._xlws.FILTER(_xlpm.d,_xlpm.a*_xlpm.b)))</f>
        <v>0.54</v>
      </c>
      <c r="N25" s="1" cm="1">
        <f t="array" ref="N25">_xlfn.LET(_xlpm.d,N$2:N$19,_xlpm.a,$C$2:$C$19=$C25,_xlpm.b,$D$2:$D$19=$D25,MAX(_xlfn._xlws.FILTER(_xlpm.d,_xlpm.a*_xlpm.b)))</f>
        <v>0.53</v>
      </c>
      <c r="O25" s="1" cm="1">
        <f t="array" ref="O25">_xlfn.LET(_xlpm.d,O$2:O$19,_xlpm.a,$C$2:$C$19=$C25,_xlpm.b,$D$2:$D$19=$D25,MAX(_xlfn._xlws.FILTER(_xlpm.d,_xlpm.a*_xlpm.b)))</f>
        <v>0.54</v>
      </c>
      <c r="P25" s="1" cm="1">
        <f t="array" ref="P25">_xlfn.LET(_xlpm.d,P$2:P$19,_xlpm.a,$C$2:$C$19=$C25,_xlpm.b,$D$2:$D$19=$D25,MAX(_xlfn._xlws.FILTER(_xlpm.d,_xlpm.a*_xlpm.b)))</f>
        <v>0.56999999999999995</v>
      </c>
      <c r="Q25" s="1" cm="1">
        <f t="array" ref="Q25">_xlfn.LET(_xlpm.d,Q$2:Q$19,_xlpm.a,$C$2:$C$19=$C25,_xlpm.b,$D$2:$D$19=$D25,MAX(_xlfn._xlws.FILTER(_xlpm.d,_xlpm.a*_xlpm.b)))</f>
        <v>0.55000000000000004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0.57999999999999996</v>
      </c>
    </row>
    <row r="26" spans="1:19" ht="25" customHeight="1">
      <c r="B26">
        <v>2</v>
      </c>
      <c r="C26" t="s">
        <v>24</v>
      </c>
      <c r="D26" t="b">
        <v>0</v>
      </c>
      <c r="E26">
        <v>0</v>
      </c>
      <c r="F26" t="s">
        <v>18</v>
      </c>
      <c r="G26" s="1" cm="1">
        <f t="array" ref="G26">_xlfn.LET(_xlpm.d,G$2:G$19,_xlpm.a,$C$2:$C$19=$C26,_xlpm.b,$D$2:$D$19=$D26,MAX(_xlfn._xlws.FILTER(_xlpm.d,_xlpm.a*_xlpm.b)))</f>
        <v>0.48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0.54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0.52</v>
      </c>
      <c r="L26" s="1" cm="1">
        <f t="array" ref="L26">_xlfn.LET(_xlpm.d,L$2:L$19,_xlpm.a,$C$2:$C$19=$C26,_xlpm.b,$D$2:$D$19=$D26,MAX(_xlfn._xlws.FILTER(_xlpm.d,_xlpm.a*_xlpm.b)))</f>
        <v>0.63</v>
      </c>
      <c r="M26" s="1" cm="1">
        <f t="array" ref="M26">_xlfn.LET(_xlpm.d,M$2:M$19,_xlpm.a,$C$2:$C$19=$C26,_xlpm.b,$D$2:$D$19=$D26,MAX(_xlfn._xlws.FILTER(_xlpm.d,_xlpm.a*_xlpm.b)))</f>
        <v>0.54</v>
      </c>
      <c r="N26" s="1" cm="1">
        <f t="array" ref="N26">_xlfn.LET(_xlpm.d,N$2:N$19,_xlpm.a,$C$2:$C$19=$C26,_xlpm.b,$D$2:$D$19=$D26,MAX(_xlfn._xlws.FILTER(_xlpm.d,_xlpm.a*_xlpm.b)))</f>
        <v>0.55000000000000004</v>
      </c>
      <c r="O26" s="1" cm="1">
        <f t="array" ref="O26">_xlfn.LET(_xlpm.d,O$2:O$19,_xlpm.a,$C$2:$C$19=$C26,_xlpm.b,$D$2:$D$19=$D26,MAX(_xlfn._xlws.FILTER(_xlpm.d,_xlpm.a*_xlpm.b)))</f>
        <v>0.52</v>
      </c>
      <c r="P26" s="1" cm="1">
        <f t="array" ref="P26">_xlfn.LET(_xlpm.d,P$2:P$19,_xlpm.a,$C$2:$C$19=$C26,_xlpm.b,$D$2:$D$19=$D26,MAX(_xlfn._xlws.FILTER(_xlpm.d,_xlpm.a*_xlpm.b)))</f>
        <v>0.54</v>
      </c>
      <c r="Q26" s="1" cm="1">
        <f t="array" ref="Q26">_xlfn.LET(_xlpm.d,Q$2:Q$19,_xlpm.a,$C$2:$C$19=$C26,_xlpm.b,$D$2:$D$19=$D26,MAX(_xlfn._xlws.FILTER(_xlpm.d,_xlpm.a*_xlpm.b)))</f>
        <v>0.52</v>
      </c>
      <c r="R26" s="1" cm="1">
        <f t="array" ref="R26">_xlfn.LET(_xlpm.d,R$2:R$19,_xlpm.a,$C$2:$C$19=$C26,_xlpm.b,$D$2:$D$19=$D26,MAX(_xlfn._xlws.FILTER(_xlpm.d,_xlpm.a*_xlpm.b)))</f>
        <v>0.57999999999999996</v>
      </c>
      <c r="S26" s="1" cm="1">
        <f t="array" ref="S26">_xlfn.LET(_xlpm.d,S$2:S$19,_xlpm.a,$C$2:$C$19=$C26,_xlpm.b,$D$2:$D$19=$D26,MAX(_xlfn._xlws.FILTER(_xlpm.d,_xlpm.a*_xlpm.b)))</f>
        <v>0.63</v>
      </c>
    </row>
    <row r="27" spans="1:19" ht="25" customHeight="1">
      <c r="B27">
        <v>3</v>
      </c>
      <c r="C27" t="s">
        <v>25</v>
      </c>
      <c r="D27" t="b">
        <v>1</v>
      </c>
      <c r="E27">
        <v>0</v>
      </c>
      <c r="F27" t="s">
        <v>18</v>
      </c>
      <c r="G27" s="1" cm="1">
        <f t="array" ref="G27">_xlfn.LET(_xlpm.d,G$2:G$19,_xlpm.a,$C$2:$C$19=$C27,_xlpm.b,$D$2:$D$19=$D27,MAX(_xlfn._xlws.FILTER(_xlpm.d,_xlpm.a*_xlpm.b)))</f>
        <v>0.39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0.36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0.38</v>
      </c>
      <c r="M27" s="1" cm="1">
        <f t="array" ref="M27">_xlfn.LET(_xlpm.d,M$2:M$19,_xlpm.a,$C$2:$C$19=$C27,_xlpm.b,$D$2:$D$19=$D27,MAX(_xlfn._xlws.FILTER(_xlpm.d,_xlpm.a*_xlpm.b)))</f>
        <v>0.36</v>
      </c>
      <c r="N27" s="1" cm="1">
        <f t="array" ref="N27">_xlfn.LET(_xlpm.d,N$2:N$19,_xlpm.a,$C$2:$C$19=$C27,_xlpm.b,$D$2:$D$19=$D27,MAX(_xlfn._xlws.FILTER(_xlpm.d,_xlpm.a*_xlpm.b)))</f>
        <v>0.4</v>
      </c>
      <c r="O27" s="1" cm="1">
        <f t="array" ref="O27">_xlfn.LET(_xlpm.d,O$2:O$19,_xlpm.a,$C$2:$C$19=$C27,_xlpm.b,$D$2:$D$19=$D27,MAX(_xlfn._xlws.FILTER(_xlpm.d,_xlpm.a*_xlpm.b)))</f>
        <v>0.4</v>
      </c>
      <c r="P27" s="1" cm="1">
        <f t="array" ref="P27">_xlfn.LET(_xlpm.d,P$2:P$19,_xlpm.a,$C$2:$C$19=$C27,_xlpm.b,$D$2:$D$19=$D27,MAX(_xlfn._xlws.FILTER(_xlpm.d,_xlpm.a*_xlpm.b)))</f>
        <v>0.48</v>
      </c>
      <c r="Q27" s="1" cm="1">
        <f t="array" ref="Q27">_xlfn.LET(_xlpm.d,Q$2:Q$19,_xlpm.a,$C$2:$C$19=$C27,_xlpm.b,$D$2:$D$19=$D27,MAX(_xlfn._xlws.FILTER(_xlpm.d,_xlpm.a*_xlpm.b)))</f>
        <v>0.41</v>
      </c>
      <c r="R27" s="1" cm="1">
        <f t="array" ref="R27">_xlfn.LET(_xlpm.d,R$2:R$19,_xlpm.a,$C$2:$C$19=$C27,_xlpm.b,$D$2:$D$19=$D27,MAX(_xlfn._xlws.FILTER(_xlpm.d,_xlpm.a*_xlpm.b)))</f>
        <v>0.33</v>
      </c>
      <c r="S27" s="1" cm="1">
        <f t="array" ref="S27">_xlfn.LET(_xlpm.d,S$2:S$19,_xlpm.a,$C$2:$C$19=$C27,_xlpm.b,$D$2:$D$19=$D27,MAX(_xlfn._xlws.FILTER(_xlpm.d,_xlpm.a*_xlpm.b)))</f>
        <v>0.48</v>
      </c>
    </row>
    <row r="28" spans="1:19" ht="25" customHeight="1">
      <c r="B28">
        <v>3</v>
      </c>
      <c r="C28" t="s">
        <v>25</v>
      </c>
      <c r="D28" t="b">
        <v>0</v>
      </c>
      <c r="E28">
        <v>0</v>
      </c>
      <c r="F28" t="s">
        <v>18</v>
      </c>
      <c r="G28" s="1" cm="1">
        <f t="array" ref="G28">_xlfn.LET(_xlpm.d,G$2:G$19,_xlpm.a,$C$2:$C$19=$C28,_xlpm.b,$D$2:$D$19=$D28,MAX(_xlfn._xlws.FILTER(_xlpm.d,_xlpm.a*_xlpm.b)))</f>
        <v>0.4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0.31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0.42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0.36</v>
      </c>
      <c r="N28" s="1" cm="1">
        <f t="array" ref="N28">_xlfn.LET(_xlpm.d,N$2:N$19,_xlpm.a,$C$2:$C$19=$C28,_xlpm.b,$D$2:$D$19=$D28,MAX(_xlfn._xlws.FILTER(_xlpm.d,_xlpm.a*_xlpm.b)))</f>
        <v>0.4</v>
      </c>
      <c r="O28" s="1" cm="1">
        <f t="array" ref="O28">_xlfn.LET(_xlpm.d,O$2:O$19,_xlpm.a,$C$2:$C$19=$C28,_xlpm.b,$D$2:$D$19=$D28,MAX(_xlfn._xlws.FILTER(_xlpm.d,_xlpm.a*_xlpm.b)))</f>
        <v>0.37</v>
      </c>
      <c r="P28" s="1" cm="1">
        <f t="array" ref="P28">_xlfn.LET(_xlpm.d,P$2:P$19,_xlpm.a,$C$2:$C$19=$C28,_xlpm.b,$D$2:$D$19=$D28,MAX(_xlfn._xlws.FILTER(_xlpm.d,_xlpm.a*_xlpm.b)))</f>
        <v>0.45</v>
      </c>
      <c r="Q28" s="1" cm="1">
        <f t="array" ref="Q28">_xlfn.LET(_xlpm.d,Q$2:Q$19,_xlpm.a,$C$2:$C$19=$C28,_xlpm.b,$D$2:$D$19=$D28,MAX(_xlfn._xlws.FILTER(_xlpm.d,_xlpm.a*_xlpm.b)))</f>
        <v>0.42</v>
      </c>
      <c r="R28" s="1" cm="1">
        <f t="array" ref="R28">_xlfn.LET(_xlpm.d,R$2:R$19,_xlpm.a,$C$2:$C$19=$C28,_xlpm.b,$D$2:$D$19=$D28,MAX(_xlfn._xlws.FILTER(_xlpm.d,_xlpm.a*_xlpm.b)))</f>
        <v>0.34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xsk-3k-mgv9</vt:lpstr>
      <vt:lpstr>xsk-3k-mgv6</vt:lpstr>
      <vt:lpstr>xsk-3k-mgv3</vt:lpstr>
      <vt:lpstr>xsk-2k-mgv9</vt:lpstr>
      <vt:lpstr>xsk-2k-mgv6</vt:lpstr>
      <vt:lpstr>xsk-2k-mgv3</vt:lpstr>
      <vt:lpstr>xsk-1.2k-mgv9</vt:lpstr>
      <vt:lpstr>xsk-1.2k-mgv6</vt:lpstr>
      <vt:lpstr>xsk-1.2k-mgv3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2025-02-25T09:48:25Z</dcterms:created>
  <dcterms:modified xsi:type="dcterms:W3CDTF">2025-03-04T03:52:55Z</dcterms:modified>
  <cp:category/>
</cp:coreProperties>
</file>