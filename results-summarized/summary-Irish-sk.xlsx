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"/>
    </mc:Choice>
  </mc:AlternateContent>
  <xr:revisionPtr revIDLastSave="0" documentId="13_ncr:1_{E0413046-0FD5-6A40-9881-4DB984F84629}" xr6:coauthVersionLast="47" xr6:coauthVersionMax="47" xr10:uidLastSave="{00000000-0000-0000-0000-000000000000}"/>
  <bookViews>
    <workbookView xWindow="5080" yWindow="560" windowWidth="28300" windowHeight="17820" xr2:uid="{95E8D98B-B220-D843-8CD8-CA0579F8DFAA}"/>
  </bookViews>
  <sheets>
    <sheet name="summarized" sheetId="19" r:id="rId1"/>
    <sheet name="sk-3k-mgv9" sheetId="17" r:id="rId2"/>
    <sheet name="sk-3k-mgv6" sheetId="16" r:id="rId3"/>
    <sheet name="sk-3k-mgv3" sheetId="18" r:id="rId4"/>
    <sheet name="sk-2k-mgv9" sheetId="12" r:id="rId5"/>
    <sheet name="sk-2k-mgv6" sheetId="21" r:id="rId6"/>
    <sheet name="sk-2k-mgv3" sheetId="15" r:id="rId7"/>
    <sheet name="sk-1.2k-mgv9" sheetId="11" r:id="rId8"/>
    <sheet name="sk-1.2k-mgv6" sheetId="9" r:id="rId9"/>
    <sheet name="sk-1.2k-mgv3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9" l="1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R28" i="21" a="1"/>
  <c r="R28" i="21" s="1"/>
  <c r="Q28" i="21" a="1"/>
  <c r="Q28" i="21" s="1"/>
  <c r="P28" i="21" a="1"/>
  <c r="P28" i="21" s="1"/>
  <c r="O28" i="21" a="1"/>
  <c r="O28" i="21" s="1"/>
  <c r="N28" i="21" a="1"/>
  <c r="N28" i="21" s="1"/>
  <c r="M28" i="21" a="1"/>
  <c r="M28" i="21" s="1"/>
  <c r="L28" i="21" a="1"/>
  <c r="L28" i="21" s="1"/>
  <c r="K28" i="21" a="1"/>
  <c r="K28" i="21" s="1"/>
  <c r="J28" i="21" a="1"/>
  <c r="J28" i="21" s="1"/>
  <c r="I28" i="21" a="1"/>
  <c r="I28" i="21" s="1"/>
  <c r="H28" i="21" a="1"/>
  <c r="H28" i="21" s="1"/>
  <c r="G28" i="21" a="1"/>
  <c r="G28" i="21" s="1"/>
  <c r="R27" i="21" a="1"/>
  <c r="R27" i="21" s="1"/>
  <c r="Q27" i="21" a="1"/>
  <c r="Q27" i="21" s="1"/>
  <c r="P27" i="21" a="1"/>
  <c r="P27" i="21" s="1"/>
  <c r="O27" i="21" a="1"/>
  <c r="O27" i="21" s="1"/>
  <c r="N27" i="21" a="1"/>
  <c r="N27" i="21" s="1"/>
  <c r="M27" i="21" a="1"/>
  <c r="M27" i="21" s="1"/>
  <c r="L27" i="21" a="1"/>
  <c r="L27" i="21" s="1"/>
  <c r="K27" i="21" a="1"/>
  <c r="K27" i="21" s="1"/>
  <c r="J27" i="21" a="1"/>
  <c r="J27" i="21" s="1"/>
  <c r="I27" i="21" a="1"/>
  <c r="I27" i="21" s="1"/>
  <c r="H27" i="21" a="1"/>
  <c r="H27" i="21" s="1"/>
  <c r="G27" i="21" a="1"/>
  <c r="G27" i="21" s="1"/>
  <c r="R26" i="21" a="1"/>
  <c r="R26" i="21" s="1"/>
  <c r="Q26" i="21" a="1"/>
  <c r="Q26" i="21" s="1"/>
  <c r="P26" i="21" a="1"/>
  <c r="P26" i="21" s="1"/>
  <c r="O26" i="21" a="1"/>
  <c r="O26" i="21" s="1"/>
  <c r="N26" i="21" a="1"/>
  <c r="N26" i="21" s="1"/>
  <c r="M26" i="21" a="1"/>
  <c r="M26" i="21" s="1"/>
  <c r="L26" i="21" a="1"/>
  <c r="L26" i="21" s="1"/>
  <c r="K26" i="21" a="1"/>
  <c r="K26" i="21" s="1"/>
  <c r="J26" i="21" a="1"/>
  <c r="J26" i="21" s="1"/>
  <c r="I26" i="21" a="1"/>
  <c r="I26" i="21" s="1"/>
  <c r="H26" i="21" a="1"/>
  <c r="H26" i="21" s="1"/>
  <c r="G26" i="21" a="1"/>
  <c r="G26" i="21" s="1"/>
  <c r="R25" i="21" a="1"/>
  <c r="R25" i="21" s="1"/>
  <c r="Q25" i="21" a="1"/>
  <c r="Q25" i="21" s="1"/>
  <c r="P25" i="21" a="1"/>
  <c r="P25" i="21" s="1"/>
  <c r="O25" i="21" a="1"/>
  <c r="O25" i="21" s="1"/>
  <c r="N25" i="21" a="1"/>
  <c r="N25" i="21" s="1"/>
  <c r="M25" i="21" a="1"/>
  <c r="M25" i="21" s="1"/>
  <c r="L25" i="21" a="1"/>
  <c r="L25" i="21" s="1"/>
  <c r="K25" i="21" a="1"/>
  <c r="K25" i="21" s="1"/>
  <c r="J25" i="21" a="1"/>
  <c r="J25" i="21" s="1"/>
  <c r="I25" i="21" a="1"/>
  <c r="I25" i="21" s="1"/>
  <c r="H25" i="21" a="1"/>
  <c r="H25" i="21" s="1"/>
  <c r="G25" i="21" a="1"/>
  <c r="G25" i="21" s="1"/>
  <c r="S24" i="21" a="1"/>
  <c r="S24" i="21" s="1"/>
  <c r="R24" i="21" a="1"/>
  <c r="R24" i="21" s="1"/>
  <c r="Q24" i="21" a="1"/>
  <c r="Q24" i="21" s="1"/>
  <c r="P24" i="21" a="1"/>
  <c r="P24" i="21" s="1"/>
  <c r="O24" i="21" a="1"/>
  <c r="O24" i="21" s="1"/>
  <c r="N24" i="21" a="1"/>
  <c r="N24" i="21" s="1"/>
  <c r="M24" i="21" a="1"/>
  <c r="M24" i="21" s="1"/>
  <c r="L24" i="21" a="1"/>
  <c r="L24" i="21" s="1"/>
  <c r="K24" i="21" a="1"/>
  <c r="K24" i="21" s="1"/>
  <c r="J24" i="21" a="1"/>
  <c r="J24" i="21" s="1"/>
  <c r="I24" i="21" a="1"/>
  <c r="I24" i="21" s="1"/>
  <c r="H24" i="21" a="1"/>
  <c r="H24" i="21" s="1"/>
  <c r="G24" i="21" a="1"/>
  <c r="G24" i="21" s="1"/>
  <c r="R23" i="21" a="1"/>
  <c r="R23" i="21" s="1"/>
  <c r="Q23" i="21" a="1"/>
  <c r="Q23" i="21" s="1"/>
  <c r="P23" i="21" a="1"/>
  <c r="P23" i="21" s="1"/>
  <c r="O23" i="21" a="1"/>
  <c r="O23" i="21" s="1"/>
  <c r="N23" i="21" a="1"/>
  <c r="N23" i="21" s="1"/>
  <c r="M23" i="21" a="1"/>
  <c r="M23" i="21" s="1"/>
  <c r="L23" i="21" a="1"/>
  <c r="L23" i="21" s="1"/>
  <c r="K23" i="21" a="1"/>
  <c r="K23" i="21" s="1"/>
  <c r="J23" i="21" a="1"/>
  <c r="J23" i="21" s="1"/>
  <c r="I23" i="21" a="1"/>
  <c r="I23" i="21" s="1"/>
  <c r="H23" i="21" a="1"/>
  <c r="H23" i="21" s="1"/>
  <c r="G23" i="21" a="1"/>
  <c r="G23" i="21" s="1"/>
  <c r="S6" i="21"/>
  <c r="S7" i="21"/>
  <c r="S5" i="21"/>
  <c r="S3" i="21"/>
  <c r="S23" i="21" s="1" a="1"/>
  <c r="S23" i="21" s="1"/>
  <c r="S4" i="21"/>
  <c r="S2" i="21"/>
  <c r="S12" i="21"/>
  <c r="S26" i="21" s="1" a="1"/>
  <c r="S26" i="21" s="1"/>
  <c r="S13" i="21"/>
  <c r="S11" i="21"/>
  <c r="S9" i="21"/>
  <c r="S10" i="21"/>
  <c r="S8" i="21"/>
  <c r="S25" i="21" s="1" a="1"/>
  <c r="S25" i="21" s="1"/>
  <c r="S18" i="21"/>
  <c r="S19" i="21"/>
  <c r="S17" i="21"/>
  <c r="S28" i="21" s="1" a="1"/>
  <c r="S28" i="21" s="1"/>
  <c r="S15" i="21"/>
  <c r="S16" i="21"/>
  <c r="S14" i="21"/>
  <c r="S27" i="21" s="1" a="1"/>
  <c r="S27" i="21" s="1"/>
  <c r="S28" i="18" a="1"/>
  <c r="S28" i="18" s="1"/>
  <c r="R28" i="18" a="1"/>
  <c r="R28" i="18" s="1"/>
  <c r="Q28" i="18" a="1"/>
  <c r="Q28" i="18" s="1"/>
  <c r="P28" i="18" a="1"/>
  <c r="P28" i="18" s="1"/>
  <c r="O28" i="18" a="1"/>
  <c r="O28" i="18" s="1"/>
  <c r="N28" i="18" a="1"/>
  <c r="N28" i="18" s="1"/>
  <c r="M28" i="18" a="1"/>
  <c r="M28" i="18" s="1"/>
  <c r="L28" i="18"/>
  <c r="L28" i="18" a="1"/>
  <c r="K28" i="18" a="1"/>
  <c r="K28" i="18" s="1"/>
  <c r="J28" i="18" a="1"/>
  <c r="J28" i="18" s="1"/>
  <c r="I28" i="18" a="1"/>
  <c r="I28" i="18" s="1"/>
  <c r="H28" i="18" a="1"/>
  <c r="H28" i="18" s="1"/>
  <c r="G28" i="18" a="1"/>
  <c r="G28" i="18" s="1"/>
  <c r="S27" i="18" a="1"/>
  <c r="S27" i="18" s="1"/>
  <c r="R27" i="18" a="1"/>
  <c r="R27" i="18" s="1"/>
  <c r="Q27" i="18"/>
  <c r="Q27" i="18" a="1"/>
  <c r="P27" i="18" a="1"/>
  <c r="P27" i="18" s="1"/>
  <c r="O27" i="18" a="1"/>
  <c r="O27" i="18" s="1"/>
  <c r="N27" i="18" a="1"/>
  <c r="N27" i="18" s="1"/>
  <c r="M27" i="18" a="1"/>
  <c r="M27" i="18" s="1"/>
  <c r="L27" i="18" a="1"/>
  <c r="L27" i="18" s="1"/>
  <c r="K27" i="18" a="1"/>
  <c r="K27" i="18" s="1"/>
  <c r="J27" i="18" a="1"/>
  <c r="J27" i="18" s="1"/>
  <c r="I27" i="18" a="1"/>
  <c r="I27" i="18" s="1"/>
  <c r="H27" i="18" a="1"/>
  <c r="H27" i="18" s="1"/>
  <c r="G27" i="18" a="1"/>
  <c r="G27" i="18" s="1"/>
  <c r="R26" i="18" a="1"/>
  <c r="R26" i="18" s="1"/>
  <c r="Q26" i="18" a="1"/>
  <c r="Q26" i="18" s="1"/>
  <c r="P26" i="18" a="1"/>
  <c r="P26" i="18" s="1"/>
  <c r="O26" i="18" a="1"/>
  <c r="O26" i="18" s="1"/>
  <c r="N26" i="18" a="1"/>
  <c r="N26" i="18" s="1"/>
  <c r="M26" i="18" a="1"/>
  <c r="M26" i="18" s="1"/>
  <c r="L26" i="18" a="1"/>
  <c r="L26" i="18" s="1"/>
  <c r="K26" i="18" a="1"/>
  <c r="K26" i="18" s="1"/>
  <c r="J26" i="18"/>
  <c r="J26" i="18" a="1"/>
  <c r="I26" i="18" a="1"/>
  <c r="I26" i="18" s="1"/>
  <c r="H26" i="18" a="1"/>
  <c r="H26" i="18" s="1"/>
  <c r="G26" i="18" a="1"/>
  <c r="G26" i="18" s="1"/>
  <c r="S25" i="18" a="1"/>
  <c r="S25" i="18" s="1"/>
  <c r="R25" i="18" a="1"/>
  <c r="R25" i="18" s="1"/>
  <c r="Q25" i="18" a="1"/>
  <c r="Q25" i="18" s="1"/>
  <c r="P25" i="18" a="1"/>
  <c r="P25" i="18" s="1"/>
  <c r="O25" i="18" a="1"/>
  <c r="O25" i="18" s="1"/>
  <c r="N25" i="18" a="1"/>
  <c r="N25" i="18" s="1"/>
  <c r="M25" i="18" a="1"/>
  <c r="M25" i="18" s="1"/>
  <c r="L25" i="18" a="1"/>
  <c r="L25" i="18" s="1"/>
  <c r="K25" i="18" a="1"/>
  <c r="K25" i="18" s="1"/>
  <c r="J25" i="18" a="1"/>
  <c r="J25" i="18" s="1"/>
  <c r="I25" i="18" a="1"/>
  <c r="I25" i="18" s="1"/>
  <c r="H25" i="18" a="1"/>
  <c r="H25" i="18" s="1"/>
  <c r="G25" i="18" a="1"/>
  <c r="G25" i="18" s="1"/>
  <c r="R24" i="18" a="1"/>
  <c r="R24" i="18" s="1"/>
  <c r="Q24" i="18" a="1"/>
  <c r="Q24" i="18" s="1"/>
  <c r="P24" i="18" a="1"/>
  <c r="P24" i="18" s="1"/>
  <c r="O24" i="18" a="1"/>
  <c r="O24" i="18" s="1"/>
  <c r="N24" i="18" a="1"/>
  <c r="N24" i="18" s="1"/>
  <c r="M24" i="18" a="1"/>
  <c r="M24" i="18" s="1"/>
  <c r="L24" i="18" a="1"/>
  <c r="L24" i="18" s="1"/>
  <c r="K24" i="18" a="1"/>
  <c r="K24" i="18" s="1"/>
  <c r="J24" i="18" a="1"/>
  <c r="J24" i="18" s="1"/>
  <c r="I24" i="18" a="1"/>
  <c r="I24" i="18" s="1"/>
  <c r="H24" i="18" a="1"/>
  <c r="H24" i="18" s="1"/>
  <c r="G24" i="18" a="1"/>
  <c r="G24" i="18" s="1"/>
  <c r="S23" i="18" a="1"/>
  <c r="S23" i="18" s="1"/>
  <c r="R23" i="18" a="1"/>
  <c r="R23" i="18" s="1"/>
  <c r="Q23" i="18" a="1"/>
  <c r="Q23" i="18" s="1"/>
  <c r="P23" i="18" a="1"/>
  <c r="P23" i="18" s="1"/>
  <c r="O23" i="18" a="1"/>
  <c r="O23" i="18" s="1"/>
  <c r="N23" i="18" a="1"/>
  <c r="N23" i="18" s="1"/>
  <c r="M23" i="18" a="1"/>
  <c r="M23" i="18" s="1"/>
  <c r="L23" i="18" a="1"/>
  <c r="L23" i="18" s="1"/>
  <c r="K23" i="18" a="1"/>
  <c r="K23" i="18" s="1"/>
  <c r="J23" i="18" a="1"/>
  <c r="J23" i="18" s="1"/>
  <c r="I23" i="18" a="1"/>
  <c r="I23" i="18" s="1"/>
  <c r="H23" i="18" a="1"/>
  <c r="H23" i="18" s="1"/>
  <c r="G23" i="18" a="1"/>
  <c r="G23" i="18" s="1"/>
  <c r="S2" i="18"/>
  <c r="S3" i="18"/>
  <c r="S4" i="18"/>
  <c r="S5" i="18"/>
  <c r="S24" i="18" s="1" a="1"/>
  <c r="S24" i="18" s="1"/>
  <c r="S6" i="18"/>
  <c r="S7" i="18"/>
  <c r="S8" i="18"/>
  <c r="S9" i="18"/>
  <c r="S10" i="18"/>
  <c r="S11" i="18"/>
  <c r="S26" i="18" s="1" a="1"/>
  <c r="S26" i="18" s="1"/>
  <c r="S12" i="18"/>
  <c r="S13" i="18"/>
  <c r="S14" i="18"/>
  <c r="S15" i="18"/>
  <c r="S16" i="18"/>
  <c r="S17" i="18"/>
  <c r="S18" i="18"/>
  <c r="S19" i="18"/>
  <c r="R28" i="17" a="1"/>
  <c r="R28" i="17" s="1"/>
  <c r="Q28" i="17" a="1"/>
  <c r="Q28" i="17" s="1"/>
  <c r="P28" i="17" a="1"/>
  <c r="P28" i="17" s="1"/>
  <c r="O28" i="17" a="1"/>
  <c r="O28" i="17" s="1"/>
  <c r="N28" i="17" a="1"/>
  <c r="N28" i="17" s="1"/>
  <c r="M28" i="17" a="1"/>
  <c r="M28" i="17" s="1"/>
  <c r="L28" i="17" a="1"/>
  <c r="L28" i="17" s="1"/>
  <c r="K28" i="17" a="1"/>
  <c r="K28" i="17" s="1"/>
  <c r="J28" i="17" a="1"/>
  <c r="J28" i="17" s="1"/>
  <c r="I28" i="17" a="1"/>
  <c r="I28" i="17" s="1"/>
  <c r="H28" i="17" a="1"/>
  <c r="H28" i="17" s="1"/>
  <c r="G28" i="17" a="1"/>
  <c r="G28" i="17" s="1"/>
  <c r="R27" i="17" a="1"/>
  <c r="R27" i="17" s="1"/>
  <c r="Q27" i="17" a="1"/>
  <c r="Q27" i="17" s="1"/>
  <c r="P27" i="17" a="1"/>
  <c r="P27" i="17" s="1"/>
  <c r="O27" i="17" a="1"/>
  <c r="O27" i="17" s="1"/>
  <c r="N27" i="17" a="1"/>
  <c r="N27" i="17" s="1"/>
  <c r="M27" i="17" a="1"/>
  <c r="M27" i="17" s="1"/>
  <c r="L27" i="17" a="1"/>
  <c r="L27" i="17" s="1"/>
  <c r="K27" i="17" a="1"/>
  <c r="K27" i="17" s="1"/>
  <c r="J27" i="17" a="1"/>
  <c r="J27" i="17" s="1"/>
  <c r="I27" i="17" a="1"/>
  <c r="I27" i="17" s="1"/>
  <c r="H27" i="17" a="1"/>
  <c r="H27" i="17" s="1"/>
  <c r="G27" i="17" a="1"/>
  <c r="G27" i="17" s="1"/>
  <c r="R26" i="17" a="1"/>
  <c r="R26" i="17" s="1"/>
  <c r="Q26" i="17" a="1"/>
  <c r="Q26" i="17" s="1"/>
  <c r="P26" i="17" a="1"/>
  <c r="P26" i="17" s="1"/>
  <c r="O26" i="17" a="1"/>
  <c r="O26" i="17" s="1"/>
  <c r="N26" i="17" a="1"/>
  <c r="N26" i="17" s="1"/>
  <c r="M26" i="17" a="1"/>
  <c r="M26" i="17" s="1"/>
  <c r="L26" i="17" a="1"/>
  <c r="L26" i="17" s="1"/>
  <c r="K26" i="17" a="1"/>
  <c r="K26" i="17" s="1"/>
  <c r="J26" i="17" a="1"/>
  <c r="J26" i="17" s="1"/>
  <c r="I26" i="17" a="1"/>
  <c r="I26" i="17" s="1"/>
  <c r="H26" i="17" a="1"/>
  <c r="H26" i="17" s="1"/>
  <c r="G26" i="17" a="1"/>
  <c r="G26" i="17" s="1"/>
  <c r="R25" i="17" a="1"/>
  <c r="R25" i="17" s="1"/>
  <c r="Q25" i="17" a="1"/>
  <c r="Q25" i="17" s="1"/>
  <c r="P25" i="17" a="1"/>
  <c r="P25" i="17" s="1"/>
  <c r="O25" i="17" a="1"/>
  <c r="O25" i="17" s="1"/>
  <c r="N25" i="17" a="1"/>
  <c r="N25" i="17" s="1"/>
  <c r="M25" i="17" a="1"/>
  <c r="M25" i="17" s="1"/>
  <c r="L25" i="17" a="1"/>
  <c r="L25" i="17" s="1"/>
  <c r="K25" i="17" a="1"/>
  <c r="K25" i="17" s="1"/>
  <c r="J25" i="17" a="1"/>
  <c r="J25" i="17" s="1"/>
  <c r="I25" i="17" a="1"/>
  <c r="I25" i="17" s="1"/>
  <c r="H25" i="17" a="1"/>
  <c r="H25" i="17" s="1"/>
  <c r="G25" i="17" a="1"/>
  <c r="G25" i="17" s="1"/>
  <c r="R24" i="17" a="1"/>
  <c r="R24" i="17" s="1"/>
  <c r="Q24" i="17" a="1"/>
  <c r="Q24" i="17" s="1"/>
  <c r="P24" i="17" a="1"/>
  <c r="P24" i="17" s="1"/>
  <c r="O24" i="17" a="1"/>
  <c r="O24" i="17" s="1"/>
  <c r="N24" i="17" a="1"/>
  <c r="N24" i="17" s="1"/>
  <c r="M24" i="17" a="1"/>
  <c r="M24" i="17" s="1"/>
  <c r="L24" i="17" a="1"/>
  <c r="L24" i="17" s="1"/>
  <c r="K24" i="17" a="1"/>
  <c r="K24" i="17" s="1"/>
  <c r="J24" i="17" a="1"/>
  <c r="J24" i="17" s="1"/>
  <c r="I24" i="17" a="1"/>
  <c r="I24" i="17" s="1"/>
  <c r="H24" i="17" a="1"/>
  <c r="H24" i="17" s="1"/>
  <c r="G24" i="17" a="1"/>
  <c r="G24" i="17" s="1"/>
  <c r="R23" i="17" a="1"/>
  <c r="R23" i="17" s="1"/>
  <c r="Q23" i="17" a="1"/>
  <c r="Q23" i="17" s="1"/>
  <c r="P23" i="17" a="1"/>
  <c r="P23" i="17" s="1"/>
  <c r="O23" i="17" a="1"/>
  <c r="O23" i="17" s="1"/>
  <c r="N23" i="17" a="1"/>
  <c r="N23" i="17" s="1"/>
  <c r="M23" i="17" a="1"/>
  <c r="M23" i="17" s="1"/>
  <c r="L23" i="17" a="1"/>
  <c r="L23" i="17" s="1"/>
  <c r="K23" i="17" a="1"/>
  <c r="K23" i="17" s="1"/>
  <c r="J23" i="17" a="1"/>
  <c r="J23" i="17" s="1"/>
  <c r="I23" i="17" a="1"/>
  <c r="I23" i="17" s="1"/>
  <c r="H23" i="17" a="1"/>
  <c r="H23" i="17" s="1"/>
  <c r="G23" i="17" a="1"/>
  <c r="G23" i="17" s="1"/>
  <c r="S6" i="17"/>
  <c r="S7" i="17"/>
  <c r="S5" i="17"/>
  <c r="S24" i="17" s="1" a="1"/>
  <c r="S24" i="17" s="1"/>
  <c r="S3" i="17"/>
  <c r="S4" i="17"/>
  <c r="S2" i="17"/>
  <c r="S23" i="17" s="1" a="1"/>
  <c r="S23" i="17" s="1"/>
  <c r="S12" i="17"/>
  <c r="S13" i="17"/>
  <c r="S11" i="17"/>
  <c r="S9" i="17"/>
  <c r="S10" i="17"/>
  <c r="S8" i="17"/>
  <c r="S25" i="17" s="1" a="1"/>
  <c r="S25" i="17" s="1"/>
  <c r="S18" i="17"/>
  <c r="S19" i="17"/>
  <c r="S17" i="17"/>
  <c r="S15" i="17"/>
  <c r="S16" i="17"/>
  <c r="S14" i="17"/>
  <c r="G23" i="16" a="1"/>
  <c r="G23" i="16" s="1"/>
  <c r="R28" i="16" a="1"/>
  <c r="R28" i="16" s="1"/>
  <c r="Q28" i="16" a="1"/>
  <c r="Q28" i="16" s="1"/>
  <c r="P28" i="16" a="1"/>
  <c r="P28" i="16" s="1"/>
  <c r="O28" i="16" a="1"/>
  <c r="O28" i="16" s="1"/>
  <c r="N28" i="16" a="1"/>
  <c r="N28" i="16" s="1"/>
  <c r="M28" i="16" a="1"/>
  <c r="M28" i="16" s="1"/>
  <c r="L28" i="16" a="1"/>
  <c r="L28" i="16" s="1"/>
  <c r="K28" i="16" a="1"/>
  <c r="K28" i="16" s="1"/>
  <c r="J28" i="16" a="1"/>
  <c r="J28" i="16" s="1"/>
  <c r="I28" i="16" a="1"/>
  <c r="I28" i="16" s="1"/>
  <c r="H28" i="16" a="1"/>
  <c r="H28" i="16" s="1"/>
  <c r="G28" i="16" a="1"/>
  <c r="G28" i="16" s="1"/>
  <c r="S27" i="16" a="1"/>
  <c r="S27" i="16" s="1"/>
  <c r="R27" i="16" a="1"/>
  <c r="R27" i="16" s="1"/>
  <c r="Q27" i="16" a="1"/>
  <c r="Q27" i="16" s="1"/>
  <c r="P27" i="16" a="1"/>
  <c r="P27" i="16" s="1"/>
  <c r="O27" i="16" a="1"/>
  <c r="O27" i="16" s="1"/>
  <c r="N27" i="16" a="1"/>
  <c r="N27" i="16" s="1"/>
  <c r="M27" i="16" a="1"/>
  <c r="M27" i="16" s="1"/>
  <c r="L27" i="16" a="1"/>
  <c r="L27" i="16" s="1"/>
  <c r="K27" i="16" a="1"/>
  <c r="K27" i="16" s="1"/>
  <c r="J27" i="16" a="1"/>
  <c r="J27" i="16" s="1"/>
  <c r="I27" i="16" a="1"/>
  <c r="I27" i="16" s="1"/>
  <c r="H27" i="16" a="1"/>
  <c r="H27" i="16" s="1"/>
  <c r="G27" i="16" a="1"/>
  <c r="G27" i="16" s="1"/>
  <c r="R26" i="16" a="1"/>
  <c r="R26" i="16" s="1"/>
  <c r="Q26" i="16" a="1"/>
  <c r="Q26" i="16" s="1"/>
  <c r="P26" i="16" a="1"/>
  <c r="P26" i="16" s="1"/>
  <c r="O26" i="16" a="1"/>
  <c r="O26" i="16" s="1"/>
  <c r="N26" i="16" a="1"/>
  <c r="N26" i="16" s="1"/>
  <c r="M26" i="16" a="1"/>
  <c r="M26" i="16" s="1"/>
  <c r="L26" i="16" a="1"/>
  <c r="L26" i="16" s="1"/>
  <c r="K26" i="16" a="1"/>
  <c r="K26" i="16" s="1"/>
  <c r="J26" i="16" a="1"/>
  <c r="J26" i="16" s="1"/>
  <c r="I26" i="16" a="1"/>
  <c r="I26" i="16" s="1"/>
  <c r="H26" i="16" a="1"/>
  <c r="H26" i="16" s="1"/>
  <c r="G26" i="16" a="1"/>
  <c r="G26" i="16" s="1"/>
  <c r="R25" i="16" a="1"/>
  <c r="R25" i="16" s="1"/>
  <c r="Q25" i="16" a="1"/>
  <c r="Q25" i="16" s="1"/>
  <c r="P25" i="16" a="1"/>
  <c r="P25" i="16" s="1"/>
  <c r="O25" i="16" a="1"/>
  <c r="O25" i="16" s="1"/>
  <c r="N25" i="16" a="1"/>
  <c r="N25" i="16" s="1"/>
  <c r="M25" i="16" a="1"/>
  <c r="M25" i="16" s="1"/>
  <c r="L25" i="16" a="1"/>
  <c r="L25" i="16" s="1"/>
  <c r="K25" i="16" a="1"/>
  <c r="K25" i="16" s="1"/>
  <c r="J25" i="16" a="1"/>
  <c r="J25" i="16" s="1"/>
  <c r="I25" i="16" a="1"/>
  <c r="I25" i="16" s="1"/>
  <c r="H25" i="16" a="1"/>
  <c r="H25" i="16" s="1"/>
  <c r="G25" i="16" a="1"/>
  <c r="G25" i="16" s="1"/>
  <c r="R24" i="16" a="1"/>
  <c r="R24" i="16" s="1"/>
  <c r="Q24" i="16" a="1"/>
  <c r="Q24" i="16" s="1"/>
  <c r="P24" i="16" a="1"/>
  <c r="P24" i="16" s="1"/>
  <c r="O24" i="16" a="1"/>
  <c r="O24" i="16" s="1"/>
  <c r="N24" i="16" a="1"/>
  <c r="N24" i="16" s="1"/>
  <c r="M24" i="16" a="1"/>
  <c r="M24" i="16" s="1"/>
  <c r="L24" i="16" a="1"/>
  <c r="L24" i="16" s="1"/>
  <c r="K24" i="16" a="1"/>
  <c r="K24" i="16" s="1"/>
  <c r="J24" i="16" a="1"/>
  <c r="J24" i="16" s="1"/>
  <c r="I24" i="16" a="1"/>
  <c r="I24" i="16" s="1"/>
  <c r="H24" i="16" a="1"/>
  <c r="H24" i="16" s="1"/>
  <c r="G24" i="16" a="1"/>
  <c r="G24" i="16" s="1"/>
  <c r="R23" i="16" a="1"/>
  <c r="R23" i="16" s="1"/>
  <c r="Q23" i="16" a="1"/>
  <c r="Q23" i="16" s="1"/>
  <c r="P23" i="16" a="1"/>
  <c r="P23" i="16" s="1"/>
  <c r="O23" i="16" a="1"/>
  <c r="O23" i="16" s="1"/>
  <c r="N23" i="16" a="1"/>
  <c r="N23" i="16" s="1"/>
  <c r="M23" i="16" a="1"/>
  <c r="M23" i="16" s="1"/>
  <c r="L23" i="16" a="1"/>
  <c r="L23" i="16" s="1"/>
  <c r="K23" i="16" a="1"/>
  <c r="K23" i="16" s="1"/>
  <c r="J23" i="16" a="1"/>
  <c r="J23" i="16" s="1"/>
  <c r="I23" i="16" a="1"/>
  <c r="I23" i="16" s="1"/>
  <c r="H23" i="16" a="1"/>
  <c r="H23" i="16" s="1"/>
  <c r="S2" i="16"/>
  <c r="S23" i="16" s="1" a="1"/>
  <c r="S23" i="16" s="1"/>
  <c r="S5" i="16"/>
  <c r="S24" i="16" s="1" a="1"/>
  <c r="S24" i="16" s="1"/>
  <c r="S6" i="16"/>
  <c r="S3" i="16"/>
  <c r="S7" i="16"/>
  <c r="S4" i="16"/>
  <c r="S11" i="16"/>
  <c r="S26" i="16" s="1" a="1"/>
  <c r="S26" i="16" s="1"/>
  <c r="S12" i="16"/>
  <c r="S13" i="16"/>
  <c r="S8" i="16"/>
  <c r="S25" i="16" s="1" a="1"/>
  <c r="S25" i="16" s="1"/>
  <c r="S9" i="16"/>
  <c r="S10" i="16"/>
  <c r="S14" i="16"/>
  <c r="S15" i="16"/>
  <c r="S16" i="16"/>
  <c r="S17" i="16"/>
  <c r="S28" i="16" s="1" a="1"/>
  <c r="S28" i="16" s="1"/>
  <c r="S18" i="16"/>
  <c r="S19" i="16"/>
  <c r="R28" i="15" a="1"/>
  <c r="R28" i="15" s="1"/>
  <c r="Q28" i="15" a="1"/>
  <c r="Q28" i="15" s="1"/>
  <c r="P28" i="15" a="1"/>
  <c r="P28" i="15" s="1"/>
  <c r="O28" i="15" a="1"/>
  <c r="O28" i="15" s="1"/>
  <c r="N28" i="15" a="1"/>
  <c r="N28" i="15" s="1"/>
  <c r="M28" i="15" a="1"/>
  <c r="M28" i="15" s="1"/>
  <c r="L28" i="15" a="1"/>
  <c r="L28" i="15" s="1"/>
  <c r="K28" i="15" a="1"/>
  <c r="K28" i="15" s="1"/>
  <c r="J28" i="15" a="1"/>
  <c r="J28" i="15" s="1"/>
  <c r="I28" i="15" a="1"/>
  <c r="I28" i="15" s="1"/>
  <c r="H28" i="15" a="1"/>
  <c r="H28" i="15" s="1"/>
  <c r="G28" i="15" a="1"/>
  <c r="G28" i="15" s="1"/>
  <c r="R25" i="15" a="1"/>
  <c r="R25" i="15" s="1"/>
  <c r="Q25" i="15" a="1"/>
  <c r="Q25" i="15" s="1"/>
  <c r="P25" i="15" a="1"/>
  <c r="P25" i="15" s="1"/>
  <c r="O25" i="15" a="1"/>
  <c r="O25" i="15" s="1"/>
  <c r="N25" i="15" a="1"/>
  <c r="N25" i="15" s="1"/>
  <c r="M25" i="15" a="1"/>
  <c r="M25" i="15" s="1"/>
  <c r="L25" i="15" a="1"/>
  <c r="L25" i="15" s="1"/>
  <c r="K25" i="15" a="1"/>
  <c r="K25" i="15" s="1"/>
  <c r="J25" i="15" a="1"/>
  <c r="J25" i="15" s="1"/>
  <c r="I25" i="15" a="1"/>
  <c r="I25" i="15" s="1"/>
  <c r="H25" i="15" a="1"/>
  <c r="H25" i="15" s="1"/>
  <c r="G25" i="15" a="1"/>
  <c r="G25" i="15" s="1"/>
  <c r="R27" i="15" a="1"/>
  <c r="R27" i="15" s="1"/>
  <c r="Q27" i="15" a="1"/>
  <c r="Q27" i="15" s="1"/>
  <c r="P27" i="15" a="1"/>
  <c r="P27" i="15" s="1"/>
  <c r="O27" i="15" a="1"/>
  <c r="O27" i="15" s="1"/>
  <c r="N27" i="15" a="1"/>
  <c r="N27" i="15" s="1"/>
  <c r="M27" i="15" a="1"/>
  <c r="M27" i="15" s="1"/>
  <c r="L27" i="15" a="1"/>
  <c r="L27" i="15" s="1"/>
  <c r="K27" i="15" a="1"/>
  <c r="K27" i="15" s="1"/>
  <c r="J27" i="15" a="1"/>
  <c r="J27" i="15" s="1"/>
  <c r="I27" i="15" a="1"/>
  <c r="I27" i="15" s="1"/>
  <c r="H27" i="15" a="1"/>
  <c r="H27" i="15" s="1"/>
  <c r="G27" i="15" a="1"/>
  <c r="G27" i="15" s="1"/>
  <c r="S24" i="15" a="1"/>
  <c r="S24" i="15" s="1"/>
  <c r="R24" i="15" a="1"/>
  <c r="R24" i="15" s="1"/>
  <c r="Q24" i="15" a="1"/>
  <c r="Q24" i="15" s="1"/>
  <c r="P24" i="15" a="1"/>
  <c r="P24" i="15" s="1"/>
  <c r="O24" i="15" a="1"/>
  <c r="O24" i="15" s="1"/>
  <c r="N24" i="15" a="1"/>
  <c r="N24" i="15" s="1"/>
  <c r="M24" i="15" a="1"/>
  <c r="M24" i="15" s="1"/>
  <c r="L24" i="15" a="1"/>
  <c r="L24" i="15" s="1"/>
  <c r="K24" i="15" a="1"/>
  <c r="K24" i="15" s="1"/>
  <c r="J24" i="15" a="1"/>
  <c r="J24" i="15" s="1"/>
  <c r="I24" i="15" a="1"/>
  <c r="I24" i="15" s="1"/>
  <c r="H24" i="15" a="1"/>
  <c r="H24" i="15" s="1"/>
  <c r="G24" i="15" a="1"/>
  <c r="G24" i="15" s="1"/>
  <c r="S26" i="15" a="1"/>
  <c r="S26" i="15" s="1"/>
  <c r="R26" i="15" a="1"/>
  <c r="R26" i="15" s="1"/>
  <c r="Q26" i="15" a="1"/>
  <c r="Q26" i="15" s="1"/>
  <c r="P26" i="15" a="1"/>
  <c r="P26" i="15" s="1"/>
  <c r="O26" i="15" a="1"/>
  <c r="O26" i="15" s="1"/>
  <c r="N26" i="15" a="1"/>
  <c r="N26" i="15" s="1"/>
  <c r="M26" i="15" a="1"/>
  <c r="M26" i="15" s="1"/>
  <c r="L26" i="15" a="1"/>
  <c r="L26" i="15" s="1"/>
  <c r="K26" i="15" a="1"/>
  <c r="K26" i="15" s="1"/>
  <c r="J26" i="15" a="1"/>
  <c r="J26" i="15" s="1"/>
  <c r="I26" i="15" a="1"/>
  <c r="I26" i="15" s="1"/>
  <c r="H26" i="15" a="1"/>
  <c r="H26" i="15" s="1"/>
  <c r="G26" i="15" a="1"/>
  <c r="G26" i="15" s="1"/>
  <c r="R23" i="15" a="1"/>
  <c r="R23" i="15" s="1"/>
  <c r="Q23" i="15" a="1"/>
  <c r="Q23" i="15" s="1"/>
  <c r="P23" i="15" a="1"/>
  <c r="P23" i="15" s="1"/>
  <c r="O23" i="15" a="1"/>
  <c r="O23" i="15" s="1"/>
  <c r="N23" i="15" a="1"/>
  <c r="N23" i="15" s="1"/>
  <c r="M23" i="15" a="1"/>
  <c r="M23" i="15" s="1"/>
  <c r="L23" i="15" a="1"/>
  <c r="L23" i="15" s="1"/>
  <c r="K23" i="15" a="1"/>
  <c r="K23" i="15" s="1"/>
  <c r="J23" i="15" a="1"/>
  <c r="J23" i="15" s="1"/>
  <c r="I23" i="15" a="1"/>
  <c r="I23" i="15" s="1"/>
  <c r="H23" i="15" a="1"/>
  <c r="H23" i="15" s="1"/>
  <c r="G23" i="15" a="1"/>
  <c r="G23" i="15" s="1"/>
  <c r="S2" i="15"/>
  <c r="S23" i="15" s="1" a="1"/>
  <c r="S23" i="15" s="1"/>
  <c r="S3" i="15"/>
  <c r="S4" i="15"/>
  <c r="S5" i="15"/>
  <c r="S6" i="15"/>
  <c r="S7" i="15"/>
  <c r="S8" i="15"/>
  <c r="S9" i="15"/>
  <c r="S10" i="15"/>
  <c r="S11" i="15"/>
  <c r="S27" i="15" s="1" a="1"/>
  <c r="S27" i="15" s="1"/>
  <c r="S12" i="15"/>
  <c r="S13" i="15"/>
  <c r="S14" i="15"/>
  <c r="S25" i="15" s="1" a="1"/>
  <c r="S25" i="15" s="1"/>
  <c r="S15" i="15"/>
  <c r="S16" i="15"/>
  <c r="S17" i="15"/>
  <c r="S28" i="15" s="1" a="1"/>
  <c r="S28" i="15" s="1"/>
  <c r="S18" i="15"/>
  <c r="S19" i="15"/>
  <c r="S27" i="17" l="1" a="1"/>
  <c r="S27" i="17" s="1"/>
  <c r="S28" i="17" a="1"/>
  <c r="S28" i="17" s="1"/>
  <c r="S26" i="17" a="1"/>
  <c r="S26" i="17" s="1"/>
  <c r="R28" i="12" a="1"/>
  <c r="R28" i="12" s="1"/>
  <c r="Q28" i="12" a="1"/>
  <c r="Q28" i="12" s="1"/>
  <c r="P28" i="12" a="1"/>
  <c r="P28" i="12" s="1"/>
  <c r="O28" i="12" a="1"/>
  <c r="O28" i="12" s="1"/>
  <c r="N28" i="12"/>
  <c r="N28" i="12" a="1"/>
  <c r="M28" i="12" a="1"/>
  <c r="M28" i="12" s="1"/>
  <c r="L28" i="12" a="1"/>
  <c r="L28" i="12" s="1"/>
  <c r="K28" i="12" a="1"/>
  <c r="K28" i="12" s="1"/>
  <c r="J28" i="12" a="1"/>
  <c r="J28" i="12" s="1"/>
  <c r="I28" i="12" a="1"/>
  <c r="I28" i="12" s="1"/>
  <c r="H28" i="12" a="1"/>
  <c r="H28" i="12" s="1"/>
  <c r="G28" i="12" a="1"/>
  <c r="G28" i="12" s="1"/>
  <c r="R27" i="12" a="1"/>
  <c r="R27" i="12" s="1"/>
  <c r="Q27" i="12" a="1"/>
  <c r="Q27" i="12" s="1"/>
  <c r="P27" i="12" a="1"/>
  <c r="P27" i="12" s="1"/>
  <c r="O27" i="12" a="1"/>
  <c r="O27" i="12" s="1"/>
  <c r="N27" i="12" a="1"/>
  <c r="N27" i="12" s="1"/>
  <c r="M27" i="12" a="1"/>
  <c r="M27" i="12" s="1"/>
  <c r="L27" i="12" a="1"/>
  <c r="L27" i="12" s="1"/>
  <c r="K27" i="12" a="1"/>
  <c r="K27" i="12" s="1"/>
  <c r="J27" i="12" a="1"/>
  <c r="J27" i="12" s="1"/>
  <c r="I27" i="12" a="1"/>
  <c r="I27" i="12" s="1"/>
  <c r="H27" i="12" a="1"/>
  <c r="H27" i="12" s="1"/>
  <c r="G27" i="12"/>
  <c r="G27" i="12" a="1"/>
  <c r="R26" i="12" a="1"/>
  <c r="R26" i="12" s="1"/>
  <c r="Q26" i="12" a="1"/>
  <c r="Q26" i="12" s="1"/>
  <c r="P26" i="12" a="1"/>
  <c r="P26" i="12" s="1"/>
  <c r="O26" i="12" a="1"/>
  <c r="O26" i="12" s="1"/>
  <c r="N26" i="12" a="1"/>
  <c r="N26" i="12" s="1"/>
  <c r="M26" i="12" a="1"/>
  <c r="M26" i="12" s="1"/>
  <c r="L26" i="12" a="1"/>
  <c r="L26" i="12" s="1"/>
  <c r="K26" i="12" a="1"/>
  <c r="K26" i="12" s="1"/>
  <c r="J26" i="12" a="1"/>
  <c r="J26" i="12" s="1"/>
  <c r="I26" i="12" a="1"/>
  <c r="I26" i="12" s="1"/>
  <c r="H26" i="12" a="1"/>
  <c r="H26" i="12" s="1"/>
  <c r="G26" i="12" a="1"/>
  <c r="G26" i="12" s="1"/>
  <c r="S25" i="12" a="1"/>
  <c r="S25" i="12" s="1"/>
  <c r="R25" i="12" a="1"/>
  <c r="R25" i="12" s="1"/>
  <c r="Q25" i="12" a="1"/>
  <c r="Q25" i="12" s="1"/>
  <c r="P25" i="12" a="1"/>
  <c r="P25" i="12" s="1"/>
  <c r="O25" i="12" a="1"/>
  <c r="O25" i="12" s="1"/>
  <c r="N25" i="12" a="1"/>
  <c r="N25" i="12" s="1"/>
  <c r="M25" i="12" a="1"/>
  <c r="M25" i="12" s="1"/>
  <c r="L25" i="12" a="1"/>
  <c r="L25" i="12" s="1"/>
  <c r="K25" i="12" a="1"/>
  <c r="K25" i="12" s="1"/>
  <c r="J25" i="12" a="1"/>
  <c r="J25" i="12" s="1"/>
  <c r="I25" i="12" a="1"/>
  <c r="I25" i="12" s="1"/>
  <c r="H25" i="12" a="1"/>
  <c r="H25" i="12" s="1"/>
  <c r="G25" i="12" a="1"/>
  <c r="G25" i="12" s="1"/>
  <c r="R24" i="12" a="1"/>
  <c r="R24" i="12" s="1"/>
  <c r="Q24" i="12" a="1"/>
  <c r="Q24" i="12" s="1"/>
  <c r="P24" i="12" a="1"/>
  <c r="P24" i="12" s="1"/>
  <c r="O24" i="12" a="1"/>
  <c r="O24" i="12" s="1"/>
  <c r="N24" i="12" a="1"/>
  <c r="N24" i="12" s="1"/>
  <c r="M24" i="12" a="1"/>
  <c r="M24" i="12" s="1"/>
  <c r="L24" i="12" a="1"/>
  <c r="L24" i="12" s="1"/>
  <c r="K24" i="12" a="1"/>
  <c r="K24" i="12" s="1"/>
  <c r="J24" i="12" a="1"/>
  <c r="J24" i="12" s="1"/>
  <c r="I24" i="12" a="1"/>
  <c r="I24" i="12" s="1"/>
  <c r="H24" i="12" a="1"/>
  <c r="H24" i="12" s="1"/>
  <c r="G24" i="12" a="1"/>
  <c r="G24" i="12" s="1"/>
  <c r="R23" i="12" a="1"/>
  <c r="R23" i="12" s="1"/>
  <c r="Q23" i="12" a="1"/>
  <c r="Q23" i="12" s="1"/>
  <c r="P23" i="12" a="1"/>
  <c r="P23" i="12" s="1"/>
  <c r="O23" i="12" a="1"/>
  <c r="O23" i="12" s="1"/>
  <c r="N23" i="12" a="1"/>
  <c r="N23" i="12" s="1"/>
  <c r="M23" i="12" a="1"/>
  <c r="M23" i="12" s="1"/>
  <c r="L23" i="12" a="1"/>
  <c r="L23" i="12" s="1"/>
  <c r="K23" i="12" a="1"/>
  <c r="K23" i="12" s="1"/>
  <c r="J23" i="12" a="1"/>
  <c r="J23" i="12" s="1"/>
  <c r="I23" i="12" a="1"/>
  <c r="I23" i="12" s="1"/>
  <c r="H23" i="12" a="1"/>
  <c r="H23" i="12" s="1"/>
  <c r="G23" i="12" a="1"/>
  <c r="G23" i="12" s="1"/>
  <c r="S2" i="12"/>
  <c r="S23" i="12" s="1" a="1"/>
  <c r="S23" i="12" s="1"/>
  <c r="S3" i="12"/>
  <c r="S4" i="12"/>
  <c r="S5" i="12"/>
  <c r="S24" i="12" s="1" a="1"/>
  <c r="S24" i="12" s="1"/>
  <c r="S6" i="12"/>
  <c r="S7" i="12"/>
  <c r="S8" i="12"/>
  <c r="S9" i="12"/>
  <c r="S10" i="12"/>
  <c r="S11" i="12"/>
  <c r="S26" i="12" s="1" a="1"/>
  <c r="S26" i="12" s="1"/>
  <c r="S12" i="12"/>
  <c r="S13" i="12"/>
  <c r="S14" i="12"/>
  <c r="S27" i="12" s="1" a="1"/>
  <c r="S27" i="12" s="1"/>
  <c r="S15" i="12"/>
  <c r="S16" i="12"/>
  <c r="S17" i="12"/>
  <c r="S28" i="12" s="1" a="1"/>
  <c r="S28" i="12" s="1"/>
  <c r="S18" i="12"/>
  <c r="S19" i="12"/>
  <c r="S2" i="11"/>
  <c r="S3" i="11"/>
  <c r="S4" i="11"/>
  <c r="S5" i="11"/>
  <c r="S6" i="11"/>
  <c r="S7" i="11"/>
  <c r="S23" i="11" s="1" a="1"/>
  <c r="S23" i="11" s="1"/>
  <c r="S8" i="11"/>
  <c r="S26" i="11" s="1" a="1"/>
  <c r="S26" i="11" s="1"/>
  <c r="S9" i="11"/>
  <c r="S10" i="11"/>
  <c r="S11" i="11"/>
  <c r="S12" i="11"/>
  <c r="S13" i="11"/>
  <c r="S14" i="11"/>
  <c r="S15" i="11"/>
  <c r="S16" i="11"/>
  <c r="S17" i="11"/>
  <c r="S27" i="11" s="1" a="1"/>
  <c r="S27" i="11" s="1"/>
  <c r="S18" i="11"/>
  <c r="S19" i="11"/>
  <c r="R28" i="11" a="1"/>
  <c r="R28" i="11" s="1"/>
  <c r="Q28" i="11" a="1"/>
  <c r="Q28" i="11" s="1"/>
  <c r="P28" i="11" a="1"/>
  <c r="P28" i="11" s="1"/>
  <c r="O28" i="11" a="1"/>
  <c r="O28" i="11" s="1"/>
  <c r="N28" i="11" a="1"/>
  <c r="N28" i="11" s="1"/>
  <c r="M28" i="11" a="1"/>
  <c r="M28" i="11" s="1"/>
  <c r="L28" i="11" a="1"/>
  <c r="L28" i="11" s="1"/>
  <c r="K28" i="11" a="1"/>
  <c r="K28" i="11" s="1"/>
  <c r="J28" i="11" a="1"/>
  <c r="J28" i="11" s="1"/>
  <c r="I28" i="11" a="1"/>
  <c r="I28" i="11" s="1"/>
  <c r="H28" i="11" a="1"/>
  <c r="H28" i="11" s="1"/>
  <c r="G28" i="11" a="1"/>
  <c r="G28" i="11" s="1"/>
  <c r="R27" i="11" a="1"/>
  <c r="R27" i="11" s="1"/>
  <c r="Q27" i="11" a="1"/>
  <c r="Q27" i="11" s="1"/>
  <c r="P27" i="11" a="1"/>
  <c r="P27" i="11" s="1"/>
  <c r="O27" i="11" a="1"/>
  <c r="O27" i="11" s="1"/>
  <c r="N27" i="11" a="1"/>
  <c r="N27" i="11" s="1"/>
  <c r="M27" i="11" a="1"/>
  <c r="M27" i="11" s="1"/>
  <c r="L27" i="11" a="1"/>
  <c r="L27" i="11" s="1"/>
  <c r="K27" i="11" a="1"/>
  <c r="K27" i="11" s="1"/>
  <c r="J27" i="11" a="1"/>
  <c r="J27" i="11" s="1"/>
  <c r="I27" i="11" a="1"/>
  <c r="I27" i="11" s="1"/>
  <c r="H27" i="11" a="1"/>
  <c r="H27" i="11" s="1"/>
  <c r="G27" i="11" a="1"/>
  <c r="G27" i="11" s="1"/>
  <c r="R26" i="11" a="1"/>
  <c r="R26" i="11" s="1"/>
  <c r="Q26" i="11" a="1"/>
  <c r="Q26" i="11" s="1"/>
  <c r="P26" i="11" a="1"/>
  <c r="P26" i="11" s="1"/>
  <c r="O26" i="11" a="1"/>
  <c r="O26" i="11" s="1"/>
  <c r="N26" i="11" a="1"/>
  <c r="N26" i="11" s="1"/>
  <c r="M26" i="11" a="1"/>
  <c r="M26" i="11" s="1"/>
  <c r="L26" i="11" a="1"/>
  <c r="L26" i="11" s="1"/>
  <c r="K26" i="11" a="1"/>
  <c r="K26" i="11" s="1"/>
  <c r="J26" i="11" a="1"/>
  <c r="J26" i="11" s="1"/>
  <c r="I26" i="11" a="1"/>
  <c r="I26" i="11" s="1"/>
  <c r="H26" i="11" a="1"/>
  <c r="H26" i="11" s="1"/>
  <c r="G26" i="11" a="1"/>
  <c r="G26" i="11" s="1"/>
  <c r="R25" i="11" a="1"/>
  <c r="R25" i="11" s="1"/>
  <c r="Q25" i="11" a="1"/>
  <c r="Q25" i="11" s="1"/>
  <c r="P25" i="11" a="1"/>
  <c r="P25" i="11" s="1"/>
  <c r="O25" i="11" a="1"/>
  <c r="O25" i="11" s="1"/>
  <c r="N25" i="11" a="1"/>
  <c r="N25" i="11" s="1"/>
  <c r="M25" i="11" a="1"/>
  <c r="M25" i="11" s="1"/>
  <c r="L25" i="11" a="1"/>
  <c r="L25" i="11" s="1"/>
  <c r="K25" i="11" a="1"/>
  <c r="K25" i="11" s="1"/>
  <c r="J25" i="11" a="1"/>
  <c r="J25" i="11" s="1"/>
  <c r="I25" i="11" a="1"/>
  <c r="I25" i="11" s="1"/>
  <c r="H25" i="11" a="1"/>
  <c r="H25" i="11" s="1"/>
  <c r="G25" i="11" a="1"/>
  <c r="G25" i="11" s="1"/>
  <c r="R24" i="11" a="1"/>
  <c r="R24" i="11" s="1"/>
  <c r="Q24" i="11" a="1"/>
  <c r="Q24" i="11" s="1"/>
  <c r="P24" i="11" a="1"/>
  <c r="P24" i="11" s="1"/>
  <c r="O24" i="11" a="1"/>
  <c r="O24" i="11" s="1"/>
  <c r="N24" i="11" a="1"/>
  <c r="N24" i="11" s="1"/>
  <c r="M24" i="11" a="1"/>
  <c r="M24" i="11" s="1"/>
  <c r="L24" i="11" a="1"/>
  <c r="L24" i="11" s="1"/>
  <c r="K24" i="11" a="1"/>
  <c r="K24" i="11" s="1"/>
  <c r="J24" i="11" a="1"/>
  <c r="J24" i="11" s="1"/>
  <c r="I24" i="11" a="1"/>
  <c r="I24" i="11" s="1"/>
  <c r="H24" i="11" a="1"/>
  <c r="H24" i="11" s="1"/>
  <c r="G24" i="11" a="1"/>
  <c r="G24" i="11" s="1"/>
  <c r="R23" i="11" a="1"/>
  <c r="R23" i="11" s="1"/>
  <c r="Q23" i="11" a="1"/>
  <c r="Q23" i="11" s="1"/>
  <c r="P23" i="11" a="1"/>
  <c r="P23" i="11" s="1"/>
  <c r="O23" i="11" a="1"/>
  <c r="O23" i="11" s="1"/>
  <c r="N23" i="11" a="1"/>
  <c r="N23" i="11" s="1"/>
  <c r="M23" i="11" a="1"/>
  <c r="M23" i="11" s="1"/>
  <c r="L23" i="11" a="1"/>
  <c r="L23" i="11" s="1"/>
  <c r="K23" i="11" a="1"/>
  <c r="K23" i="11" s="1"/>
  <c r="J23" i="11" a="1"/>
  <c r="J23" i="11" s="1"/>
  <c r="I23" i="11" a="1"/>
  <c r="I23" i="11" s="1"/>
  <c r="H23" i="11" a="1"/>
  <c r="H23" i="11" s="1"/>
  <c r="G23" i="11" a="1"/>
  <c r="G23" i="11" s="1"/>
  <c r="S2" i="9"/>
  <c r="S3" i="9"/>
  <c r="S4" i="9"/>
  <c r="S23" i="9" s="1" a="1"/>
  <c r="S23" i="9" s="1"/>
  <c r="S5" i="9"/>
  <c r="S24" i="9" s="1" a="1"/>
  <c r="S24" i="9" s="1"/>
  <c r="S6" i="9"/>
  <c r="S7" i="9"/>
  <c r="S8" i="9"/>
  <c r="S9" i="9"/>
  <c r="S25" i="9" s="1" a="1"/>
  <c r="S25" i="9" s="1"/>
  <c r="S10" i="9"/>
  <c r="S11" i="9"/>
  <c r="S12" i="9"/>
  <c r="S13" i="9"/>
  <c r="S26" i="9" s="1" a="1"/>
  <c r="S26" i="9" s="1"/>
  <c r="S14" i="9"/>
  <c r="S15" i="9"/>
  <c r="S16" i="9"/>
  <c r="S17" i="9"/>
  <c r="S28" i="9" s="1" a="1"/>
  <c r="S28" i="9" s="1"/>
  <c r="S18" i="9"/>
  <c r="S19" i="9"/>
  <c r="R28" i="9" a="1"/>
  <c r="R28" i="9" s="1"/>
  <c r="Q28" i="9" a="1"/>
  <c r="Q28" i="9" s="1"/>
  <c r="P28" i="9" a="1"/>
  <c r="P28" i="9" s="1"/>
  <c r="O28" i="9" a="1"/>
  <c r="O28" i="9" s="1"/>
  <c r="N28" i="9" a="1"/>
  <c r="N28" i="9" s="1"/>
  <c r="M28" i="9" a="1"/>
  <c r="M28" i="9" s="1"/>
  <c r="L28" i="9" a="1"/>
  <c r="L28" i="9" s="1"/>
  <c r="K28" i="9" a="1"/>
  <c r="K28" i="9" s="1"/>
  <c r="J28" i="9" a="1"/>
  <c r="J28" i="9" s="1"/>
  <c r="I28" i="9" a="1"/>
  <c r="I28" i="9" s="1"/>
  <c r="H28" i="9" a="1"/>
  <c r="H28" i="9" s="1"/>
  <c r="G28" i="9" a="1"/>
  <c r="G28" i="9" s="1"/>
  <c r="R27" i="9" a="1"/>
  <c r="R27" i="9" s="1"/>
  <c r="Q27" i="9" a="1"/>
  <c r="Q27" i="9" s="1"/>
  <c r="P27" i="9" a="1"/>
  <c r="P27" i="9" s="1"/>
  <c r="O27" i="9" a="1"/>
  <c r="O27" i="9" s="1"/>
  <c r="N27" i="9" a="1"/>
  <c r="N27" i="9" s="1"/>
  <c r="M27" i="9" a="1"/>
  <c r="M27" i="9" s="1"/>
  <c r="L27" i="9" a="1"/>
  <c r="L27" i="9" s="1"/>
  <c r="K27" i="9" a="1"/>
  <c r="K27" i="9" s="1"/>
  <c r="J27" i="9" a="1"/>
  <c r="J27" i="9" s="1"/>
  <c r="I27" i="9" a="1"/>
  <c r="I27" i="9" s="1"/>
  <c r="H27" i="9" a="1"/>
  <c r="H27" i="9" s="1"/>
  <c r="G27" i="9" a="1"/>
  <c r="G27" i="9" s="1"/>
  <c r="R26" i="9" a="1"/>
  <c r="R26" i="9" s="1"/>
  <c r="Q26" i="9" a="1"/>
  <c r="Q26" i="9" s="1"/>
  <c r="P26" i="9" a="1"/>
  <c r="P26" i="9" s="1"/>
  <c r="O26" i="9" a="1"/>
  <c r="O26" i="9" s="1"/>
  <c r="N26" i="9" a="1"/>
  <c r="N26" i="9" s="1"/>
  <c r="M26" i="9" a="1"/>
  <c r="M26" i="9" s="1"/>
  <c r="L26" i="9" a="1"/>
  <c r="L26" i="9" s="1"/>
  <c r="K26" i="9" a="1"/>
  <c r="K26" i="9" s="1"/>
  <c r="J26" i="9" a="1"/>
  <c r="J26" i="9" s="1"/>
  <c r="I26" i="9" a="1"/>
  <c r="I26" i="9" s="1"/>
  <c r="H26" i="9" a="1"/>
  <c r="H26" i="9" s="1"/>
  <c r="G26" i="9" a="1"/>
  <c r="G26" i="9" s="1"/>
  <c r="R25" i="9" a="1"/>
  <c r="R25" i="9" s="1"/>
  <c r="Q25" i="9" a="1"/>
  <c r="Q25" i="9" s="1"/>
  <c r="P25" i="9" a="1"/>
  <c r="P25" i="9" s="1"/>
  <c r="O25" i="9" a="1"/>
  <c r="O25" i="9" s="1"/>
  <c r="N25" i="9" a="1"/>
  <c r="N25" i="9" s="1"/>
  <c r="M25" i="9" a="1"/>
  <c r="M25" i="9" s="1"/>
  <c r="L25" i="9" a="1"/>
  <c r="L25" i="9" s="1"/>
  <c r="K25" i="9" a="1"/>
  <c r="K25" i="9" s="1"/>
  <c r="J25" i="9" a="1"/>
  <c r="J25" i="9" s="1"/>
  <c r="I25" i="9" a="1"/>
  <c r="I25" i="9" s="1"/>
  <c r="H25" i="9" a="1"/>
  <c r="H25" i="9" s="1"/>
  <c r="G25" i="9" a="1"/>
  <c r="G25" i="9" s="1"/>
  <c r="R24" i="9" a="1"/>
  <c r="R24" i="9" s="1"/>
  <c r="Q24" i="9" a="1"/>
  <c r="Q24" i="9" s="1"/>
  <c r="P24" i="9" a="1"/>
  <c r="P24" i="9" s="1"/>
  <c r="O24" i="9" a="1"/>
  <c r="O24" i="9" s="1"/>
  <c r="N24" i="9" a="1"/>
  <c r="N24" i="9" s="1"/>
  <c r="M24" i="9" a="1"/>
  <c r="M24" i="9" s="1"/>
  <c r="L24" i="9" a="1"/>
  <c r="L24" i="9" s="1"/>
  <c r="K24" i="9" a="1"/>
  <c r="K24" i="9" s="1"/>
  <c r="J24" i="9" a="1"/>
  <c r="J24" i="9" s="1"/>
  <c r="I24" i="9" a="1"/>
  <c r="I24" i="9" s="1"/>
  <c r="H24" i="9" a="1"/>
  <c r="H24" i="9" s="1"/>
  <c r="G24" i="9" a="1"/>
  <c r="G24" i="9" s="1"/>
  <c r="R23" i="9" a="1"/>
  <c r="R23" i="9" s="1"/>
  <c r="Q23" i="9" a="1"/>
  <c r="Q23" i="9" s="1"/>
  <c r="P23" i="9" a="1"/>
  <c r="P23" i="9" s="1"/>
  <c r="O23" i="9" a="1"/>
  <c r="O23" i="9" s="1"/>
  <c r="N23" i="9" a="1"/>
  <c r="N23" i="9" s="1"/>
  <c r="M23" i="9" a="1"/>
  <c r="M23" i="9" s="1"/>
  <c r="L23" i="9" a="1"/>
  <c r="L23" i="9" s="1"/>
  <c r="K23" i="9" a="1"/>
  <c r="K23" i="9" s="1"/>
  <c r="J23" i="9" a="1"/>
  <c r="J23" i="9" s="1"/>
  <c r="I23" i="9" a="1"/>
  <c r="I23" i="9" s="1"/>
  <c r="H23" i="9" a="1"/>
  <c r="H23" i="9" s="1"/>
  <c r="G23" i="9" a="1"/>
  <c r="G23" i="9" s="1"/>
  <c r="R28" i="8" a="1"/>
  <c r="R28" i="8" s="1"/>
  <c r="Q28" i="8" a="1"/>
  <c r="Q28" i="8" s="1"/>
  <c r="P28" i="8" a="1"/>
  <c r="P28" i="8" s="1"/>
  <c r="O28" i="8" a="1"/>
  <c r="O28" i="8" s="1"/>
  <c r="N28" i="8" a="1"/>
  <c r="N28" i="8" s="1"/>
  <c r="M28" i="8" a="1"/>
  <c r="M28" i="8" s="1"/>
  <c r="L28" i="8" a="1"/>
  <c r="L28" i="8" s="1"/>
  <c r="K28" i="8" a="1"/>
  <c r="K28" i="8" s="1"/>
  <c r="J28" i="8" a="1"/>
  <c r="J28" i="8" s="1"/>
  <c r="I28" i="8" a="1"/>
  <c r="I28" i="8" s="1"/>
  <c r="H28" i="8" a="1"/>
  <c r="H28" i="8" s="1"/>
  <c r="G28" i="8" a="1"/>
  <c r="G28" i="8" s="1"/>
  <c r="R27" i="8" a="1"/>
  <c r="R27" i="8" s="1"/>
  <c r="Q27" i="8" a="1"/>
  <c r="Q27" i="8" s="1"/>
  <c r="P27" i="8" a="1"/>
  <c r="P27" i="8" s="1"/>
  <c r="O27" i="8" a="1"/>
  <c r="O27" i="8" s="1"/>
  <c r="N27" i="8" a="1"/>
  <c r="N27" i="8" s="1"/>
  <c r="M27" i="8" a="1"/>
  <c r="M27" i="8" s="1"/>
  <c r="L27" i="8" a="1"/>
  <c r="L27" i="8" s="1"/>
  <c r="K27" i="8" a="1"/>
  <c r="K27" i="8" s="1"/>
  <c r="J27" i="8" a="1"/>
  <c r="J27" i="8" s="1"/>
  <c r="I27" i="8" a="1"/>
  <c r="I27" i="8" s="1"/>
  <c r="H27" i="8" a="1"/>
  <c r="H27" i="8" s="1"/>
  <c r="G27" i="8" a="1"/>
  <c r="G27" i="8" s="1"/>
  <c r="R26" i="8" a="1"/>
  <c r="R26" i="8" s="1"/>
  <c r="Q26" i="8" a="1"/>
  <c r="Q26" i="8" s="1"/>
  <c r="P26" i="8" a="1"/>
  <c r="P26" i="8" s="1"/>
  <c r="O26" i="8" a="1"/>
  <c r="O26" i="8" s="1"/>
  <c r="N26" i="8" a="1"/>
  <c r="N26" i="8" s="1"/>
  <c r="M26" i="8" a="1"/>
  <c r="M26" i="8" s="1"/>
  <c r="L26" i="8" a="1"/>
  <c r="L26" i="8" s="1"/>
  <c r="K26" i="8" a="1"/>
  <c r="K26" i="8" s="1"/>
  <c r="J26" i="8" a="1"/>
  <c r="J26" i="8" s="1"/>
  <c r="I26" i="8" a="1"/>
  <c r="I26" i="8" s="1"/>
  <c r="H26" i="8" a="1"/>
  <c r="H26" i="8" s="1"/>
  <c r="G26" i="8" a="1"/>
  <c r="G26" i="8" s="1"/>
  <c r="R25" i="8" a="1"/>
  <c r="R25" i="8" s="1"/>
  <c r="Q25" i="8" a="1"/>
  <c r="Q25" i="8" s="1"/>
  <c r="P25" i="8" a="1"/>
  <c r="P25" i="8" s="1"/>
  <c r="O25" i="8" a="1"/>
  <c r="O25" i="8" s="1"/>
  <c r="N25" i="8" a="1"/>
  <c r="N25" i="8" s="1"/>
  <c r="M25" i="8" a="1"/>
  <c r="M25" i="8" s="1"/>
  <c r="L25" i="8" a="1"/>
  <c r="L25" i="8" s="1"/>
  <c r="K25" i="8" a="1"/>
  <c r="K25" i="8" s="1"/>
  <c r="J25" i="8" a="1"/>
  <c r="J25" i="8" s="1"/>
  <c r="I25" i="8" a="1"/>
  <c r="I25" i="8" s="1"/>
  <c r="H25" i="8" a="1"/>
  <c r="H25" i="8" s="1"/>
  <c r="G25" i="8" a="1"/>
  <c r="G25" i="8" s="1"/>
  <c r="R24" i="8" a="1"/>
  <c r="R24" i="8" s="1"/>
  <c r="Q24" i="8" a="1"/>
  <c r="Q24" i="8" s="1"/>
  <c r="P24" i="8" a="1"/>
  <c r="P24" i="8" s="1"/>
  <c r="O24" i="8" a="1"/>
  <c r="O24" i="8" s="1"/>
  <c r="N24" i="8" a="1"/>
  <c r="N24" i="8" s="1"/>
  <c r="M24" i="8" a="1"/>
  <c r="M24" i="8" s="1"/>
  <c r="L24" i="8" a="1"/>
  <c r="L24" i="8" s="1"/>
  <c r="K24" i="8" a="1"/>
  <c r="K24" i="8" s="1"/>
  <c r="J24" i="8" a="1"/>
  <c r="J24" i="8" s="1"/>
  <c r="I24" i="8" a="1"/>
  <c r="I24" i="8" s="1"/>
  <c r="H24" i="8" a="1"/>
  <c r="H24" i="8" s="1"/>
  <c r="G24" i="8" a="1"/>
  <c r="G24" i="8" s="1"/>
  <c r="R23" i="8" a="1"/>
  <c r="R23" i="8" s="1"/>
  <c r="Q23" i="8" a="1"/>
  <c r="Q23" i="8" s="1"/>
  <c r="P23" i="8" a="1"/>
  <c r="P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 s="1"/>
  <c r="G23" i="8" a="1"/>
  <c r="G23" i="8" s="1"/>
  <c r="S2" i="8"/>
  <c r="S7" i="8"/>
  <c r="S5" i="8"/>
  <c r="S3" i="8"/>
  <c r="S6" i="8"/>
  <c r="S4" i="8"/>
  <c r="S11" i="8"/>
  <c r="S12" i="8"/>
  <c r="S8" i="8"/>
  <c r="S9" i="8"/>
  <c r="S10" i="8"/>
  <c r="S13" i="8"/>
  <c r="S17" i="8"/>
  <c r="S14" i="8"/>
  <c r="S16" i="8"/>
  <c r="S15" i="8"/>
  <c r="S19" i="8"/>
  <c r="S18" i="8"/>
  <c r="S28" i="11" l="1" a="1"/>
  <c r="S28" i="11" s="1"/>
  <c r="S25" i="11" a="1"/>
  <c r="S25" i="11" s="1"/>
  <c r="S24" i="11" a="1"/>
  <c r="S24" i="11" s="1"/>
  <c r="S27" i="9" a="1"/>
  <c r="S27" i="9" s="1"/>
  <c r="S28" i="8" a="1"/>
  <c r="S28" i="8" s="1"/>
  <c r="S27" i="8" a="1"/>
  <c r="S27" i="8" s="1"/>
  <c r="S26" i="8" a="1"/>
  <c r="S26" i="8" s="1"/>
  <c r="S25" i="8" a="1"/>
  <c r="S25" i="8" s="1"/>
  <c r="S24" i="8" a="1"/>
  <c r="S24" i="8" s="1"/>
  <c r="S23" i="8" a="1"/>
  <c r="S2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<sst xmlns="http://schemas.openxmlformats.org/spreadsheetml/2006/main" count="1111" uniqueCount="46">
  <si>
    <t>lang</t>
  </si>
  <si>
    <t>attribute</t>
  </si>
  <si>
    <t>supplement</t>
  </si>
  <si>
    <t>method</t>
  </si>
  <si>
    <t>max</t>
  </si>
  <si>
    <t>plurality</t>
  </si>
  <si>
    <t>NN</t>
  </si>
  <si>
    <t>RF</t>
  </si>
  <si>
    <t>DT</t>
  </si>
  <si>
    <t>gender</t>
  </si>
  <si>
    <t>case</t>
  </si>
  <si>
    <t>attribute.index</t>
  </si>
  <si>
    <t>method.index</t>
  </si>
  <si>
    <t>metric</t>
  </si>
  <si>
    <t>supplemented</t>
  </si>
  <si>
    <t>2g-no-hash</t>
  </si>
  <si>
    <t>3g-no-hash</t>
  </si>
  <si>
    <t>4g-no-hash</t>
  </si>
  <si>
    <t>sk2g-no-hash</t>
  </si>
  <si>
    <t>sk3g-no-hash</t>
  </si>
  <si>
    <t>sk4g-no-hash</t>
  </si>
  <si>
    <t>2g-hash-at-both</t>
  </si>
  <si>
    <t>3g-hash-at-both</t>
  </si>
  <si>
    <t>4g-hash-at-both</t>
  </si>
  <si>
    <t>sk2g-hash-at-both</t>
  </si>
  <si>
    <t>sk3g-hash-at-both</t>
  </si>
  <si>
    <t>sk4g-hash-at-both</t>
  </si>
  <si>
    <t>Irish</t>
  </si>
  <si>
    <t>2gram-no-hash</t>
  </si>
  <si>
    <t>3gram-no-hash</t>
  </si>
  <si>
    <t>4gram-no-hash</t>
  </si>
  <si>
    <t>sk2gram-no-hash</t>
  </si>
  <si>
    <t>sk3gram-no-hash</t>
  </si>
  <si>
    <t>sk4gram-no-hash</t>
  </si>
  <si>
    <t>2gram-hash-at-both</t>
  </si>
  <si>
    <t>3gram-hash-at-both</t>
  </si>
  <si>
    <t>4gram-hash-at-both</t>
  </si>
  <si>
    <t>sk2gram-hash-at-both</t>
  </si>
  <si>
    <t>sk3gram-hash-at-both</t>
  </si>
  <si>
    <t>sk4gram-hash-at-both</t>
  </si>
  <si>
    <t>mgv</t>
  </si>
  <si>
    <t>skippiness</t>
  </si>
  <si>
    <t>sample.n</t>
  </si>
  <si>
    <t>sk</t>
  </si>
  <si>
    <t>var</t>
  </si>
  <si>
    <t>attribu.index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</si>
</sst>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b/>
      <sz val="13"/>
      <color theme="0"/>
      <name val="LucidaSansUnicode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3" borderId="1" xfId="0" applyNumberFormat="1" applyFill="1" applyBorder="1"/>
    <xf numFmtId="2" fontId="0" fillId="0" borderId="1" xfId="0" applyNumberFormat="1" applyBorder="1"/>
    <xf numFmtId="0" fontId="1" fillId="2" borderId="0" xfId="0" applyFont="1" applyFill="1"/>
    <xf numFmtId="1" fontId="0" fillId="0" borderId="0" xfId="0" applyNumberFormat="1"/>
    <xf numFmtId="2" fontId="0" fillId="3" borderId="0" xfId="0" applyNumberFormat="1" applyFill="1"/>
  </cellXfs>
  <cellStyles count="1">
    <cellStyle name="Normal" xfId="0" builtinId="0"/>
  </cellStyles>
  <dxfs count="260"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Irish</a:t>
            </a:r>
            <a:r>
              <a:rPr lang="ja-JP" altLang="en-US"/>
              <a:t> </a:t>
            </a:r>
            <a:r>
              <a:rPr lang="en-US" altLang="ja-JP"/>
              <a:t>sk-based</a:t>
            </a:r>
            <a:r>
              <a:rPr lang="ja-JP" altLang="en-US" baseline="0"/>
              <a:t> </a:t>
            </a:r>
            <a:r>
              <a:rPr lang="en-US" altLang="ja-JP" baseline="0"/>
              <a:t>max accuracy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summarized!$J$1</c:f>
              <c:strCache>
                <c:ptCount val="1"/>
                <c:pt idx="0">
                  <c:v>2g-no-hash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3"/>
                <c:pt idx="0">
                  <c:v>cas-suppl:T-mgv:9-sn:1.2k</c:v>
                </c:pt>
                <c:pt idx="1">
                  <c:v>cas-suppl:T-mgv:9-sn:2k</c:v>
                </c:pt>
                <c:pt idx="2">
                  <c:v>cas-suppl:T-mgv:9-sn:3k</c:v>
                </c:pt>
              </c:strCache>
            </c:strRef>
          </c:cat>
          <c:val>
            <c:numRef>
              <c:f>summarized!$J$2:$J$55</c:f>
              <c:numCache>
                <c:formatCode>0.00</c:formatCode>
                <c:ptCount val="3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D-B947-BFC1-9BE9AD54FB51}"/>
            </c:ext>
          </c:extLst>
        </c:ser>
        <c:ser>
          <c:idx val="1"/>
          <c:order val="1"/>
          <c:tx>
            <c:strRef>
              <c:f>summarized!$K$1</c:f>
              <c:strCache>
                <c:ptCount val="1"/>
                <c:pt idx="0">
                  <c:v>3g-no-hash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3"/>
                <c:pt idx="0">
                  <c:v>cas-suppl:T-mgv:9-sn:1.2k</c:v>
                </c:pt>
                <c:pt idx="1">
                  <c:v>cas-suppl:T-mgv:9-sn:2k</c:v>
                </c:pt>
                <c:pt idx="2">
                  <c:v>cas-suppl:T-mgv:9-sn:3k</c:v>
                </c:pt>
              </c:strCache>
            </c:strRef>
          </c:cat>
          <c:val>
            <c:numRef>
              <c:f>summarized!$K$2:$K$55</c:f>
              <c:numCache>
                <c:formatCode>0.00</c:formatCode>
                <c:ptCount val="3"/>
                <c:pt idx="0">
                  <c:v>0.98</c:v>
                </c:pt>
                <c:pt idx="1">
                  <c:v>0.95</c:v>
                </c:pt>
                <c:pt idx="2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D-B947-BFC1-9BE9AD54FB51}"/>
            </c:ext>
          </c:extLst>
        </c:ser>
        <c:ser>
          <c:idx val="2"/>
          <c:order val="2"/>
          <c:tx>
            <c:strRef>
              <c:f>summarized!$L$1</c:f>
              <c:strCache>
                <c:ptCount val="1"/>
                <c:pt idx="0">
                  <c:v>4g-no-hash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3"/>
                <c:pt idx="0">
                  <c:v>cas-suppl:T-mgv:9-sn:1.2k</c:v>
                </c:pt>
                <c:pt idx="1">
                  <c:v>cas-suppl:T-mgv:9-sn:2k</c:v>
                </c:pt>
                <c:pt idx="2">
                  <c:v>cas-suppl:T-mgv:9-sn:3k</c:v>
                </c:pt>
              </c:strCache>
            </c:strRef>
          </c:cat>
          <c:val>
            <c:numRef>
              <c:f>summarized!$L$2:$L$55</c:f>
              <c:numCache>
                <c:formatCode>0.00</c:formatCode>
                <c:ptCount val="3"/>
                <c:pt idx="0">
                  <c:v>0.97</c:v>
                </c:pt>
                <c:pt idx="1">
                  <c:v>0.98</c:v>
                </c:pt>
                <c:pt idx="2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D-B947-BFC1-9BE9AD54FB51}"/>
            </c:ext>
          </c:extLst>
        </c:ser>
        <c:ser>
          <c:idx val="3"/>
          <c:order val="3"/>
          <c:tx>
            <c:strRef>
              <c:f>summarized!$M$1</c:f>
              <c:strCache>
                <c:ptCount val="1"/>
                <c:pt idx="0">
                  <c:v>sk2g-no-hash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3"/>
                <c:pt idx="0">
                  <c:v>cas-suppl:T-mgv:9-sn:1.2k</c:v>
                </c:pt>
                <c:pt idx="1">
                  <c:v>cas-suppl:T-mgv:9-sn:2k</c:v>
                </c:pt>
                <c:pt idx="2">
                  <c:v>cas-suppl:T-mgv:9-sn:3k</c:v>
                </c:pt>
              </c:strCache>
            </c:strRef>
          </c:cat>
          <c:val>
            <c:numRef>
              <c:f>summarized!$M$2:$M$55</c:f>
              <c:numCache>
                <c:formatCode>0.00</c:formatCode>
                <c:ptCount val="3"/>
                <c:pt idx="0">
                  <c:v>0.96</c:v>
                </c:pt>
                <c:pt idx="1">
                  <c:v>0.99</c:v>
                </c:pt>
                <c:pt idx="2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DD-B947-BFC1-9BE9AD54FB51}"/>
            </c:ext>
          </c:extLst>
        </c:ser>
        <c:ser>
          <c:idx val="4"/>
          <c:order val="4"/>
          <c:tx>
            <c:strRef>
              <c:f>summarized!$N$1</c:f>
              <c:strCache>
                <c:ptCount val="1"/>
                <c:pt idx="0">
                  <c:v>sk3g-no-hash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3"/>
                <c:pt idx="0">
                  <c:v>cas-suppl:T-mgv:9-sn:1.2k</c:v>
                </c:pt>
                <c:pt idx="1">
                  <c:v>cas-suppl:T-mgv:9-sn:2k</c:v>
                </c:pt>
                <c:pt idx="2">
                  <c:v>cas-suppl:T-mgv:9-sn:3k</c:v>
                </c:pt>
              </c:strCache>
            </c:strRef>
          </c:cat>
          <c:val>
            <c:numRef>
              <c:f>summarized!$N$2:$N$55</c:f>
              <c:numCache>
                <c:formatCode>0.00</c:formatCode>
                <c:ptCount val="3"/>
                <c:pt idx="0">
                  <c:v>0.97</c:v>
                </c:pt>
                <c:pt idx="1">
                  <c:v>0.97</c:v>
                </c:pt>
                <c:pt idx="2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DD-B947-BFC1-9BE9AD54FB51}"/>
            </c:ext>
          </c:extLst>
        </c:ser>
        <c:ser>
          <c:idx val="5"/>
          <c:order val="5"/>
          <c:tx>
            <c:strRef>
              <c:f>summarized!$O$1</c:f>
              <c:strCache>
                <c:ptCount val="1"/>
                <c:pt idx="0">
                  <c:v>sk4g-no-hash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3"/>
                <c:pt idx="0">
                  <c:v>cas-suppl:T-mgv:9-sn:1.2k</c:v>
                </c:pt>
                <c:pt idx="1">
                  <c:v>cas-suppl:T-mgv:9-sn:2k</c:v>
                </c:pt>
                <c:pt idx="2">
                  <c:v>cas-suppl:T-mgv:9-sn:3k</c:v>
                </c:pt>
              </c:strCache>
            </c:strRef>
          </c:cat>
          <c:val>
            <c:numRef>
              <c:f>summarized!$O$2:$O$55</c:f>
              <c:numCache>
                <c:formatCode>0.00</c:formatCode>
                <c:ptCount val="3"/>
                <c:pt idx="0">
                  <c:v>0.96</c:v>
                </c:pt>
                <c:pt idx="1">
                  <c:v>0.98</c:v>
                </c:pt>
                <c:pt idx="2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DD-B947-BFC1-9BE9AD54FB51}"/>
            </c:ext>
          </c:extLst>
        </c:ser>
        <c:ser>
          <c:idx val="6"/>
          <c:order val="6"/>
          <c:tx>
            <c:strRef>
              <c:f>summarized!$P$1</c:f>
              <c:strCache>
                <c:ptCount val="1"/>
                <c:pt idx="0">
                  <c:v>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3"/>
                <c:pt idx="0">
                  <c:v>cas-suppl:T-mgv:9-sn:1.2k</c:v>
                </c:pt>
                <c:pt idx="1">
                  <c:v>cas-suppl:T-mgv:9-sn:2k</c:v>
                </c:pt>
                <c:pt idx="2">
                  <c:v>cas-suppl:T-mgv:9-sn:3k</c:v>
                </c:pt>
              </c:strCache>
            </c:strRef>
          </c:cat>
          <c:val>
            <c:numRef>
              <c:f>summarized!$P$2:$P$55</c:f>
              <c:numCache>
                <c:formatCode>0.00</c:formatCode>
                <c:ptCount val="3"/>
                <c:pt idx="0">
                  <c:v>0.97</c:v>
                </c:pt>
                <c:pt idx="1">
                  <c:v>0.98</c:v>
                </c:pt>
                <c:pt idx="2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DD-B947-BFC1-9BE9AD54FB51}"/>
            </c:ext>
          </c:extLst>
        </c:ser>
        <c:ser>
          <c:idx val="7"/>
          <c:order val="7"/>
          <c:tx>
            <c:strRef>
              <c:f>summarized!$Q$1</c:f>
              <c:strCache>
                <c:ptCount val="1"/>
                <c:pt idx="0">
                  <c:v>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3"/>
                <c:pt idx="0">
                  <c:v>cas-suppl:T-mgv:9-sn:1.2k</c:v>
                </c:pt>
                <c:pt idx="1">
                  <c:v>cas-suppl:T-mgv:9-sn:2k</c:v>
                </c:pt>
                <c:pt idx="2">
                  <c:v>cas-suppl:T-mgv:9-sn:3k</c:v>
                </c:pt>
              </c:strCache>
            </c:strRef>
          </c:cat>
          <c:val>
            <c:numRef>
              <c:f>summarized!$Q$2:$Q$55</c:f>
              <c:numCache>
                <c:formatCode>0.00</c:formatCode>
                <c:ptCount val="3"/>
                <c:pt idx="0">
                  <c:v>0.98</c:v>
                </c:pt>
                <c:pt idx="1">
                  <c:v>0.95</c:v>
                </c:pt>
                <c:pt idx="2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DD-B947-BFC1-9BE9AD54FB51}"/>
            </c:ext>
          </c:extLst>
        </c:ser>
        <c:ser>
          <c:idx val="8"/>
          <c:order val="8"/>
          <c:tx>
            <c:strRef>
              <c:f>summarized!$R$1</c:f>
              <c:strCache>
                <c:ptCount val="1"/>
                <c:pt idx="0">
                  <c:v>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3"/>
                <c:pt idx="0">
                  <c:v>cas-suppl:T-mgv:9-sn:1.2k</c:v>
                </c:pt>
                <c:pt idx="1">
                  <c:v>cas-suppl:T-mgv:9-sn:2k</c:v>
                </c:pt>
                <c:pt idx="2">
                  <c:v>cas-suppl:T-mgv:9-sn:3k</c:v>
                </c:pt>
              </c:strCache>
            </c:strRef>
          </c:cat>
          <c:val>
            <c:numRef>
              <c:f>summarized!$R$2:$R$55</c:f>
              <c:numCache>
                <c:formatCode>0.00</c:formatCode>
                <c:ptCount val="3"/>
                <c:pt idx="0">
                  <c:v>0.96</c:v>
                </c:pt>
                <c:pt idx="1">
                  <c:v>0.96</c:v>
                </c:pt>
                <c:pt idx="2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DD-B947-BFC1-9BE9AD54FB51}"/>
            </c:ext>
          </c:extLst>
        </c:ser>
        <c:ser>
          <c:idx val="9"/>
          <c:order val="9"/>
          <c:tx>
            <c:strRef>
              <c:f>summarized!$S$1</c:f>
              <c:strCache>
                <c:ptCount val="1"/>
                <c:pt idx="0">
                  <c:v>sk2g-hash-at-both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3"/>
                <c:pt idx="0">
                  <c:v>cas-suppl:T-mgv:9-sn:1.2k</c:v>
                </c:pt>
                <c:pt idx="1">
                  <c:v>cas-suppl:T-mgv:9-sn:2k</c:v>
                </c:pt>
                <c:pt idx="2">
                  <c:v>cas-suppl:T-mgv:9-sn:3k</c:v>
                </c:pt>
              </c:strCache>
            </c:strRef>
          </c:cat>
          <c:val>
            <c:numRef>
              <c:f>summarized!$S$2:$S$55</c:f>
              <c:numCache>
                <c:formatCode>0.00</c:formatCode>
                <c:ptCount val="3"/>
                <c:pt idx="0">
                  <c:v>0.99</c:v>
                </c:pt>
                <c:pt idx="1">
                  <c:v>0.96</c:v>
                </c:pt>
                <c:pt idx="2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3DD-B947-BFC1-9BE9AD54FB51}"/>
            </c:ext>
          </c:extLst>
        </c:ser>
        <c:ser>
          <c:idx val="10"/>
          <c:order val="10"/>
          <c:tx>
            <c:strRef>
              <c:f>summarized!$T$1</c:f>
              <c:strCache>
                <c:ptCount val="1"/>
                <c:pt idx="0">
                  <c:v>sk3g-hash-at-both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3"/>
                <c:pt idx="0">
                  <c:v>cas-suppl:T-mgv:9-sn:1.2k</c:v>
                </c:pt>
                <c:pt idx="1">
                  <c:v>cas-suppl:T-mgv:9-sn:2k</c:v>
                </c:pt>
                <c:pt idx="2">
                  <c:v>cas-suppl:T-mgv:9-sn:3k</c:v>
                </c:pt>
              </c:strCache>
            </c:strRef>
          </c:cat>
          <c:val>
            <c:numRef>
              <c:f>summarized!$T$2:$T$55</c:f>
              <c:numCache>
                <c:formatCode>0.00</c:formatCode>
                <c:ptCount val="3"/>
                <c:pt idx="0">
                  <c:v>0.97</c:v>
                </c:pt>
                <c:pt idx="1">
                  <c:v>0.95</c:v>
                </c:pt>
                <c:pt idx="2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3DD-B947-BFC1-9BE9AD54FB51}"/>
            </c:ext>
          </c:extLst>
        </c:ser>
        <c:ser>
          <c:idx val="11"/>
          <c:order val="11"/>
          <c:tx>
            <c:strRef>
              <c:f>summarized!$U$1</c:f>
              <c:strCache>
                <c:ptCount val="1"/>
                <c:pt idx="0">
                  <c:v>sk4g-hash-at-both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3"/>
                <c:pt idx="0">
                  <c:v>cas-suppl:T-mgv:9-sn:1.2k</c:v>
                </c:pt>
                <c:pt idx="1">
                  <c:v>cas-suppl:T-mgv:9-sn:2k</c:v>
                </c:pt>
                <c:pt idx="2">
                  <c:v>cas-suppl:T-mgv:9-sn:3k</c:v>
                </c:pt>
              </c:strCache>
            </c:strRef>
          </c:cat>
          <c:val>
            <c:numRef>
              <c:f>summarized!$U$2:$U$55</c:f>
              <c:numCache>
                <c:formatCode>0.00</c:formatCode>
                <c:ptCount val="3"/>
                <c:pt idx="0">
                  <c:v>0.95</c:v>
                </c:pt>
                <c:pt idx="1">
                  <c:v>0.96</c:v>
                </c:pt>
                <c:pt idx="2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3DD-B947-BFC1-9BE9AD54F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779807"/>
        <c:axId val="1916505199"/>
      </c:lineChart>
      <c:catAx>
        <c:axId val="175977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916505199"/>
        <c:crosses val="autoZero"/>
        <c:auto val="1"/>
        <c:lblAlgn val="ctr"/>
        <c:lblOffset val="100"/>
        <c:noMultiLvlLbl val="0"/>
      </c:catAx>
      <c:valAx>
        <c:axId val="191650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5977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730250</xdr:colOff>
      <xdr:row>1</xdr:row>
      <xdr:rowOff>4</xdr:rowOff>
    </xdr:from>
    <xdr:to>
      <xdr:col>27</xdr:col>
      <xdr:colOff>12750</xdr:colOff>
      <xdr:row>67</xdr:row>
      <xdr:rowOff>87000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ED458B-6D6C-45B3-E0B2-9F5A49F86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9538D77-B612-9840-84A3-557A62822243}" name="Table25" displayName="Table25" ref="A1:V55" totalsRowShown="0">
  <autoFilter ref="A1:V55" xr:uid="{89538D77-B612-9840-84A3-557A62822243}">
    <filterColumn colId="2">
      <filters>
        <filter val="9"/>
      </filters>
    </filterColumn>
    <filterColumn colId="4">
      <filters>
        <filter val="case"/>
      </filters>
    </filterColumn>
    <filterColumn colId="5">
      <filters>
        <filter val="TRUE"/>
      </filters>
    </filterColumn>
  </autoFilter>
  <sortState xmlns:xlrd2="http://schemas.microsoft.com/office/spreadsheetml/2017/richdata2" ref="A2:V55">
    <sortCondition ref="B1:B55"/>
  </sortState>
  <tableColumns count="22">
    <tableColumn id="1" xr3:uid="{801F95FF-6912-0E40-8AF7-E1B0B15F5073}" name="skippiness"/>
    <tableColumn id="21" xr3:uid="{6FC97938-FB32-2345-AE53-6C103CCC7C8E}" name="sample.n"/>
    <tableColumn id="2" xr3:uid="{AC437637-F6FD-AD43-A279-2562AF76D429}" name="mgv"/>
    <tableColumn id="3" xr3:uid="{517C8706-5432-184A-96B5-CA15CD31AEE5}" name="attribute.index"/>
    <tableColumn id="4" xr3:uid="{10FF6E46-8B45-1640-BD63-04875DA98705}" name="attribute"/>
    <tableColumn id="5" xr3:uid="{D116D69B-6A8B-AD44-B0F8-CC1E58999A9D}" name="supplemented"/>
    <tableColumn id="6" xr3:uid="{E05D5403-B75F-B64D-A79E-B38B5097FCCC}" name="method.index"/>
    <tableColumn id="7" xr3:uid="{25BAF269-D78B-FE46-89AF-363D40F059F3}" name="metric"/>
    <tableColumn id="22" xr3:uid="{541075BA-46DD-A04B-B38B-594834324918}" name="var" dataDxfId="259">
      <calculatedColumnFormula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calculatedColumnFormula>
    </tableColumn>
    <tableColumn id="8" xr3:uid="{8787EEEE-A5EB-6943-A466-0BE88A37C2B7}" name="2g-no-hash" dataDxfId="258"/>
    <tableColumn id="9" xr3:uid="{6C10D82F-6E02-164F-BA64-8DA9489D19BB}" name="3g-no-hash" dataDxfId="257"/>
    <tableColumn id="10" xr3:uid="{9E328456-761C-4A46-B26A-36B6D9D37F19}" name="4g-no-hash" dataDxfId="256"/>
    <tableColumn id="11" xr3:uid="{D8FB2688-C2F3-9849-B2A9-614C9379B297}" name="sk2g-no-hash" dataDxfId="255"/>
    <tableColumn id="12" xr3:uid="{5EFDD077-DBF0-204B-BAB0-38E4A3782F1A}" name="sk3g-no-hash" dataDxfId="254"/>
    <tableColumn id="13" xr3:uid="{29429E94-F8C3-C744-B9FE-326DB226088C}" name="sk4g-no-hash" dataDxfId="253"/>
    <tableColumn id="14" xr3:uid="{3270E4F6-FEAC-5849-857C-D93646458244}" name="2g-hash-at-both" dataDxfId="252"/>
    <tableColumn id="15" xr3:uid="{D7E3DB36-878F-F944-A9C8-0E5434A71713}" name="3g-hash-at-both" dataDxfId="251"/>
    <tableColumn id="16" xr3:uid="{609408AA-5CF4-FF4D-A221-AE4631415EA4}" name="4g-hash-at-both" dataDxfId="250"/>
    <tableColumn id="17" xr3:uid="{76D82F2B-BFC2-1F4B-96DD-D5809F8E5A84}" name="sk2g-hash-at-both" dataDxfId="249"/>
    <tableColumn id="18" xr3:uid="{47A34C86-8E60-9842-B5BF-373406846EE0}" name="sk3g-hash-at-both" dataDxfId="248"/>
    <tableColumn id="19" xr3:uid="{75C09769-46AA-ED42-A07D-F9D70A933DED}" name="sk4g-hash-at-both" dataDxfId="247"/>
    <tableColumn id="20" xr3:uid="{B94ED393-3622-2E4F-8E28-BE1BD2BC529A}" name="max" dataDxfId="2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109D387-33BE-2641-9C0C-774BE7C1B48A}" name="Table21" displayName="Table21" ref="A1:S19" totalsRowShown="0">
  <autoFilter ref="A1:S19" xr:uid="{5109D387-33BE-2641-9C0C-774BE7C1B48A}"/>
  <sortState xmlns:xlrd2="http://schemas.microsoft.com/office/spreadsheetml/2017/richdata2" ref="A2:S19">
    <sortCondition ref="B1:B19"/>
  </sortState>
  <tableColumns count="19">
    <tableColumn id="1" xr3:uid="{9F89615B-276B-6A49-A31C-52D4A08FD10E}" name="lang"/>
    <tableColumn id="2" xr3:uid="{7CC73F49-C8DC-5D44-8667-78D45D298588}" name="attribute.index"/>
    <tableColumn id="3" xr3:uid="{D8D6F988-4645-284D-994C-C531BAE30C59}" name="attribute"/>
    <tableColumn id="4" xr3:uid="{87B049DF-E497-0947-B5E0-41745D25B8C4}" name="supplement"/>
    <tableColumn id="5" xr3:uid="{2598A117-BD2E-3C4C-871D-1725C35C86CB}" name="method.index"/>
    <tableColumn id="6" xr3:uid="{C7B0A410-95E7-CC48-BC5C-8552A527AD8C}" name="method"/>
    <tableColumn id="7" xr3:uid="{D145F459-2F86-9F44-A83F-4FDF5F818B09}" name="2g-no-hash"/>
    <tableColumn id="8" xr3:uid="{6868B34A-5BD6-BC4A-BEAE-96C9F7E341BD}" name="3g-no-hash"/>
    <tableColumn id="9" xr3:uid="{34247E6E-CE12-8A42-BEBD-2C92088AD0F6}" name="4g-no-hash"/>
    <tableColumn id="10" xr3:uid="{E7EED387-56CE-544B-828D-6E87B70027B2}" name="sk2g-no-hash"/>
    <tableColumn id="11" xr3:uid="{1987451B-B904-A34F-9755-ABC2AC98AA11}" name="sk3g-no-hash"/>
    <tableColumn id="12" xr3:uid="{9F37329C-A298-A541-A588-E4B6C2A55A44}" name="sk4g-no-hash"/>
    <tableColumn id="13" xr3:uid="{50C700A0-04D1-CB48-A4B6-68B1D1C03F80}" name="2g-hash-at-both"/>
    <tableColumn id="14" xr3:uid="{6AF9AEDD-C4A4-B94C-AA6B-30F772B6C839}" name="3g-hash-at-both"/>
    <tableColumn id="15" xr3:uid="{9546D859-4421-774F-A10B-C9FFC3EE4316}" name="4g-hash-at-both"/>
    <tableColumn id="16" xr3:uid="{3CA94E09-0A5D-9745-AE27-C91D4CA3C965}" name="sk2g-hash-at-both"/>
    <tableColumn id="17" xr3:uid="{5F296A8A-E510-9F49-B99B-5FC646B42061}" name="sk3g-hash-at-both"/>
    <tableColumn id="18" xr3:uid="{EB61A9E8-9576-5C46-BB8A-9FBB0DF67795}" name="sk4g-hash-at-both"/>
    <tableColumn id="19" xr3:uid="{9654B194-551A-1C46-AE30-BCA3BAA601E5}" name="max" dataDxfId="245">
      <calculatedColumnFormula>MAX($G2:$R2)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AF4C2C5-CB87-8546-93A3-B53734E31567}" name="Table122123" displayName="Table122123" ref="B22:S28" totalsRowShown="0" headerRowDxfId="244" dataDxfId="243" tableBorderDxfId="242">
  <autoFilter ref="B22:S28" xr:uid="{CAF4C2C5-CB87-8546-93A3-B53734E31567}"/>
  <sortState xmlns:xlrd2="http://schemas.microsoft.com/office/spreadsheetml/2017/richdata2" ref="B23:S28">
    <sortCondition ref="B22:B28"/>
  </sortState>
  <tableColumns count="18">
    <tableColumn id="18" xr3:uid="{835883E2-0501-C94E-A4A6-1E7DC6666DCD}" name="attribute.index" dataDxfId="241"/>
    <tableColumn id="1" xr3:uid="{33FCF37B-07E3-2941-8B3A-D1737DBD9F6B}" name="attribute" dataDxfId="240"/>
    <tableColumn id="2" xr3:uid="{02395E08-994B-DF44-9C94-73ACD277BC95}" name="supplemented" dataDxfId="239"/>
    <tableColumn id="3" xr3:uid="{4D65CE60-FB36-294A-8B38-F8B384302034}" name="method.index" dataDxfId="238"/>
    <tableColumn id="4" xr3:uid="{9405C05A-1770-794E-BE7F-716BFDB4631A}" name="metric" dataDxfId="237"/>
    <tableColumn id="5" xr3:uid="{328C780D-0DAA-A846-A530-AED01D89D4E8}" name="2g-no-hash" dataDxfId="236">
      <calculatedColumnFormula array="1">_xlfn.LET(_xlpm.d,G$2:G$19,_xlpm.a,$C$2:$C$19=$C23,_xlpm.b,$D$2:$D$19=$D23,MAX(_xlfn._xlws.FILTER(_xlpm.d,_xlpm.a*_xlpm.b)))</calculatedColumnFormula>
    </tableColumn>
    <tableColumn id="6" xr3:uid="{C12D8879-2835-F749-A344-3118C4711DEB}" name="3g-no-hash" dataDxfId="235">
      <calculatedColumnFormula array="1">_xlfn.LET(_xlpm.d,H$2:H$19,_xlpm.a,$C$2:$C$19=$C23,_xlpm.b,$D$2:$D$19=$D23,MAX(_xlfn._xlws.FILTER(_xlpm.d,_xlpm.a*_xlpm.b)))</calculatedColumnFormula>
    </tableColumn>
    <tableColumn id="7" xr3:uid="{C37F00F9-2DC3-B444-84DC-2526C217AADB}" name="4g-no-hash" dataDxfId="234">
      <calculatedColumnFormula array="1">_xlfn.LET(_xlpm.d,I$2:I$19,_xlpm.a,$C$2:$C$19=$C23,_xlpm.b,$D$2:$D$19=$D23,MAX(_xlfn._xlws.FILTER(_xlpm.d,_xlpm.a*_xlpm.b)))</calculatedColumnFormula>
    </tableColumn>
    <tableColumn id="8" xr3:uid="{A9E20993-DA8B-B14A-B2E2-3680C95F8ADF}" name="sk2g-no-hash" dataDxfId="233">
      <calculatedColumnFormula array="1">_xlfn.LET(_xlpm.d,J$2:J$19,_xlpm.a,$C$2:$C$19=$C23,_xlpm.b,$D$2:$D$19=$D23,MAX(_xlfn._xlws.FILTER(_xlpm.d,_xlpm.a*_xlpm.b)))</calculatedColumnFormula>
    </tableColumn>
    <tableColumn id="9" xr3:uid="{79306E05-E4CB-5048-8795-E0DDEFEC13BF}" name="sk3g-no-hash" dataDxfId="232">
      <calculatedColumnFormula array="1">_xlfn.LET(_xlpm.d,K$2:K$19,_xlpm.a,$C$2:$C$19=$C23,_xlpm.b,$D$2:$D$19=$D23,MAX(_xlfn._xlws.FILTER(_xlpm.d,_xlpm.a*_xlpm.b)))</calculatedColumnFormula>
    </tableColumn>
    <tableColumn id="10" xr3:uid="{EC0EBC7B-65FE-3C49-B06E-1B37C04849E4}" name="sk4g-no-hash" dataDxfId="231">
      <calculatedColumnFormula array="1">_xlfn.LET(_xlpm.d,L$2:L$19,_xlpm.a,$C$2:$C$19=$C23,_xlpm.b,$D$2:$D$19=$D23,MAX(_xlfn._xlws.FILTER(_xlpm.d,_xlpm.a*_xlpm.b)))</calculatedColumnFormula>
    </tableColumn>
    <tableColumn id="11" xr3:uid="{E0495A48-B29A-D948-B5D7-190BE1B42801}" name="2g-hash-at-both" dataDxfId="230">
      <calculatedColumnFormula array="1">_xlfn.LET(_xlpm.d,M$2:M$19,_xlpm.a,$C$2:$C$19=$C23,_xlpm.b,$D$2:$D$19=$D23,MAX(_xlfn._xlws.FILTER(_xlpm.d,_xlpm.a*_xlpm.b)))</calculatedColumnFormula>
    </tableColumn>
    <tableColumn id="12" xr3:uid="{14A1D098-8503-544E-87D9-10CD62385A89}" name="3g-hash-at-both" dataDxfId="229">
      <calculatedColumnFormula array="1">_xlfn.LET(_xlpm.d,N$2:N$19,_xlpm.a,$C$2:$C$19=$C23,_xlpm.b,$D$2:$D$19=$D23,MAX(_xlfn._xlws.FILTER(_xlpm.d,_xlpm.a*_xlpm.b)))</calculatedColumnFormula>
    </tableColumn>
    <tableColumn id="13" xr3:uid="{95C47F16-5513-7249-9744-160678B4DE00}" name="4g-hash-at-both" dataDxfId="228">
      <calculatedColumnFormula array="1">_xlfn.LET(_xlpm.d,O$2:O$19,_xlpm.a,$C$2:$C$19=$C23,_xlpm.b,$D$2:$D$19=$D23,MAX(_xlfn._xlws.FILTER(_xlpm.d,_xlpm.a*_xlpm.b)))</calculatedColumnFormula>
    </tableColumn>
    <tableColumn id="14" xr3:uid="{D402665E-326A-EF48-BABF-329236B52B00}" name="sk2g-hash-at-both" dataDxfId="227">
      <calculatedColumnFormula array="1">_xlfn.LET(_xlpm.d,P$2:P$19,_xlpm.a,$C$2:$C$19=$C23,_xlpm.b,$D$2:$D$19=$D23,MAX(_xlfn._xlws.FILTER(_xlpm.d,_xlpm.a*_xlpm.b)))</calculatedColumnFormula>
    </tableColumn>
    <tableColumn id="15" xr3:uid="{1AB935FD-00CF-9F4B-A8EA-068FC782A5E5}" name="sk3g-hash-at-both" dataDxfId="226">
      <calculatedColumnFormula array="1">_xlfn.LET(_xlpm.d,Q$2:Q$19,_xlpm.a,$C$2:$C$19=$C23,_xlpm.b,$D$2:$D$19=$D23,MAX(_xlfn._xlws.FILTER(_xlpm.d,_xlpm.a*_xlpm.b)))</calculatedColumnFormula>
    </tableColumn>
    <tableColumn id="16" xr3:uid="{5592D04F-08DD-3E45-85B3-B653A03A9B5A}" name="sk4g-hash-at-both" dataDxfId="225">
      <calculatedColumnFormula array="1">_xlfn.LET(_xlpm.d,R$2:R$19,_xlpm.a,$C$2:$C$19=$C23,_xlpm.b,$D$2:$D$19=$D23,MAX(_xlfn._xlws.FILTER(_xlpm.d,_xlpm.a*_xlpm.b)))</calculatedColumnFormula>
    </tableColumn>
    <tableColumn id="17" xr3:uid="{D8C5BB5E-D8C7-0D49-92E2-5605AC94C667}" name="max" dataDxfId="224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66CF23D-623E-3C45-A9B0-D98D31F9A731}" name="Table20" displayName="Table20" ref="A1:S19" totalsRowShown="0">
  <autoFilter ref="A1:S19" xr:uid="{966CF23D-623E-3C45-A9B0-D98D31F9A731}"/>
  <sortState xmlns:xlrd2="http://schemas.microsoft.com/office/spreadsheetml/2017/richdata2" ref="A2:S19">
    <sortCondition ref="B1:B19"/>
  </sortState>
  <tableColumns count="19">
    <tableColumn id="1" xr3:uid="{FE2DC156-DC19-8545-9FAD-3BA9F2282FB5}" name="lang"/>
    <tableColumn id="2" xr3:uid="{8F3DB733-7055-8C4A-9222-6B9AAB8781EB}" name="attribute.index"/>
    <tableColumn id="3" xr3:uid="{702B04F3-18F5-AC46-833A-C5A38B766F21}" name="attribute"/>
    <tableColumn id="4" xr3:uid="{47A1A474-9FBE-9241-A011-3B6C1D2C717A}" name="supplement"/>
    <tableColumn id="5" xr3:uid="{1022C4EC-3C49-A445-A9C7-AA8B69B03158}" name="method.index"/>
    <tableColumn id="6" xr3:uid="{DB648C36-38CF-9D48-9881-2220B0999D57}" name="method"/>
    <tableColumn id="7" xr3:uid="{AA2FDEB8-A072-A142-A6BB-E5C689B8A987}" name="2g-no-hash" dataDxfId="223"/>
    <tableColumn id="8" xr3:uid="{41A57038-7DEA-C846-AB10-30A231F18CE5}" name="3g-no-hash" dataDxfId="222"/>
    <tableColumn id="9" xr3:uid="{A1D1BC9B-219B-A04A-AD40-342806600062}" name="4g-no-hash" dataDxfId="221"/>
    <tableColumn id="10" xr3:uid="{C3488501-F359-8542-99EB-5B5D9A14642B}" name="sk2g-no-hash" dataDxfId="220"/>
    <tableColumn id="11" xr3:uid="{B48C3FA6-DFF4-5742-85B3-E6905A51D970}" name="sk3g-no-hash" dataDxfId="219"/>
    <tableColumn id="12" xr3:uid="{61E14C79-2E1F-424F-BA11-9770C6285722}" name="sk4g-no-hash" dataDxfId="218"/>
    <tableColumn id="13" xr3:uid="{2D9D9793-81BD-B24B-911B-949FCCC468BC}" name="2g-hash-at-both" dataDxfId="217"/>
    <tableColumn id="14" xr3:uid="{EA324E7F-CDC0-594A-AA17-9664DFE3761D}" name="3g-hash-at-both" dataDxfId="216"/>
    <tableColumn id="15" xr3:uid="{B2AC77D2-41A4-C141-9D9D-2264B4FB3408}" name="4g-hash-at-both" dataDxfId="215"/>
    <tableColumn id="16" xr3:uid="{46D8A6FA-B815-1B4E-8929-5977D46EF523}" name="sk2g-hash-at-both" dataDxfId="214"/>
    <tableColumn id="17" xr3:uid="{98A0582E-6389-5443-BE05-8810B114627F}" name="sk3g-hash-at-both" dataDxfId="213"/>
    <tableColumn id="18" xr3:uid="{F07F0654-2E4D-5E43-9845-1C7085CC192C}" name="sk4g-hash-at-both" dataDxfId="212"/>
    <tableColumn id="19" xr3:uid="{09BDEBAF-57DF-484A-8FB2-012EFBF75944}" name="max" dataDxfId="211">
      <calculatedColumnFormula>MAX($G2:$R2)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F36D811-66E5-6D47-A15C-0BF609E2DE6A}" name="Table1221" displayName="Table1221" ref="B22:S28" totalsRowShown="0" headerRowDxfId="210" dataDxfId="209" tableBorderDxfId="208">
  <autoFilter ref="B22:S28" xr:uid="{5F36D811-66E5-6D47-A15C-0BF609E2DE6A}"/>
  <sortState xmlns:xlrd2="http://schemas.microsoft.com/office/spreadsheetml/2017/richdata2" ref="B23:S28">
    <sortCondition ref="B22:B28"/>
  </sortState>
  <tableColumns count="18">
    <tableColumn id="18" xr3:uid="{6DA2B22E-FADF-2E4E-9471-12008F933659}" name="attribute.index" dataDxfId="207"/>
    <tableColumn id="1" xr3:uid="{BA362CDB-6634-AA41-B70B-F5F21F2B2E68}" name="attribute" dataDxfId="206"/>
    <tableColumn id="2" xr3:uid="{D7DC15B2-1C39-2946-ADCA-DEB9EC5838CE}" name="supplemented" dataDxfId="205"/>
    <tableColumn id="3" xr3:uid="{369B345C-FC7F-1E4B-9021-999D40083C58}" name="method.index" dataDxfId="204"/>
    <tableColumn id="4" xr3:uid="{66DB88F1-80A2-1046-A0AC-F3BA57FE69AD}" name="metric" dataDxfId="203"/>
    <tableColumn id="5" xr3:uid="{4BDFCF3C-E102-C043-AC67-6089DCCB7171}" name="2g-no-hash" dataDxfId="202">
      <calculatedColumnFormula array="1">_xlfn.LET(_xlpm.d,G$2:G$19,_xlpm.a,$C$2:$C$19=$C23,_xlpm.b,$D$2:$D$19=$D23,MAX(_xlfn._xlws.FILTER(_xlpm.d,_xlpm.a*_xlpm.b)))</calculatedColumnFormula>
    </tableColumn>
    <tableColumn id="6" xr3:uid="{7FA5952B-EBA9-9B41-ADCB-BE8A8F2A740F}" name="3g-no-hash" dataDxfId="201">
      <calculatedColumnFormula array="1">_xlfn.LET(_xlpm.d,H$2:H$19,_xlpm.a,$C$2:$C$19=$C23,_xlpm.b,$D$2:$D$19=$D23,MAX(_xlfn._xlws.FILTER(_xlpm.d,_xlpm.a*_xlpm.b)))</calculatedColumnFormula>
    </tableColumn>
    <tableColumn id="7" xr3:uid="{216320EB-9F7B-F440-85CC-E70F3579BB4F}" name="4g-no-hash" dataDxfId="200">
      <calculatedColumnFormula array="1">_xlfn.LET(_xlpm.d,I$2:I$19,_xlpm.a,$C$2:$C$19=$C23,_xlpm.b,$D$2:$D$19=$D23,MAX(_xlfn._xlws.FILTER(_xlpm.d,_xlpm.a*_xlpm.b)))</calculatedColumnFormula>
    </tableColumn>
    <tableColumn id="8" xr3:uid="{15FE3825-0F8D-E247-B6E6-38101C905C8F}" name="sk2g-no-hash" dataDxfId="199">
      <calculatedColumnFormula array="1">_xlfn.LET(_xlpm.d,J$2:J$19,_xlpm.a,$C$2:$C$19=$C23,_xlpm.b,$D$2:$D$19=$D23,MAX(_xlfn._xlws.FILTER(_xlpm.d,_xlpm.a*_xlpm.b)))</calculatedColumnFormula>
    </tableColumn>
    <tableColumn id="9" xr3:uid="{CD361DBC-1CD7-EB4F-BB0D-819C3962A159}" name="sk3g-no-hash" dataDxfId="198">
      <calculatedColumnFormula array="1">_xlfn.LET(_xlpm.d,K$2:K$19,_xlpm.a,$C$2:$C$19=$C23,_xlpm.b,$D$2:$D$19=$D23,MAX(_xlfn._xlws.FILTER(_xlpm.d,_xlpm.a*_xlpm.b)))</calculatedColumnFormula>
    </tableColumn>
    <tableColumn id="10" xr3:uid="{5EE141F1-3B6A-2640-B803-E791F5C6F922}" name="sk4g-no-hash" dataDxfId="197">
      <calculatedColumnFormula array="1">_xlfn.LET(_xlpm.d,L$2:L$19,_xlpm.a,$C$2:$C$19=$C23,_xlpm.b,$D$2:$D$19=$D23,MAX(_xlfn._xlws.FILTER(_xlpm.d,_xlpm.a*_xlpm.b)))</calculatedColumnFormula>
    </tableColumn>
    <tableColumn id="11" xr3:uid="{CB4C462B-2DEE-3848-BA64-965D28F7452B}" name="2g-hash-at-both" dataDxfId="196">
      <calculatedColumnFormula array="1">_xlfn.LET(_xlpm.d,M$2:M$19,_xlpm.a,$C$2:$C$19=$C23,_xlpm.b,$D$2:$D$19=$D23,MAX(_xlfn._xlws.FILTER(_xlpm.d,_xlpm.a*_xlpm.b)))</calculatedColumnFormula>
    </tableColumn>
    <tableColumn id="12" xr3:uid="{685597F2-6261-4F40-9F7F-5D7401A9FE55}" name="3g-hash-at-both" dataDxfId="195">
      <calculatedColumnFormula array="1">_xlfn.LET(_xlpm.d,N$2:N$19,_xlpm.a,$C$2:$C$19=$C23,_xlpm.b,$D$2:$D$19=$D23,MAX(_xlfn._xlws.FILTER(_xlpm.d,_xlpm.a*_xlpm.b)))</calculatedColumnFormula>
    </tableColumn>
    <tableColumn id="13" xr3:uid="{4B260B9F-BA49-BF49-933D-741E5B9D72A4}" name="4g-hash-at-both" dataDxfId="194">
      <calculatedColumnFormula array="1">_xlfn.LET(_xlpm.d,O$2:O$19,_xlpm.a,$C$2:$C$19=$C23,_xlpm.b,$D$2:$D$19=$D23,MAX(_xlfn._xlws.FILTER(_xlpm.d,_xlpm.a*_xlpm.b)))</calculatedColumnFormula>
    </tableColumn>
    <tableColumn id="14" xr3:uid="{E44BD0E4-B0BB-4241-AAE6-8D7D7E8591B6}" name="sk2g-hash-at-both" dataDxfId="193">
      <calculatedColumnFormula array="1">_xlfn.LET(_xlpm.d,P$2:P$19,_xlpm.a,$C$2:$C$19=$C23,_xlpm.b,$D$2:$D$19=$D23,MAX(_xlfn._xlws.FILTER(_xlpm.d,_xlpm.a*_xlpm.b)))</calculatedColumnFormula>
    </tableColumn>
    <tableColumn id="15" xr3:uid="{97C51A9F-869B-3140-8D4D-CAA506057D41}" name="sk3g-hash-at-both" dataDxfId="192">
      <calculatedColumnFormula array="1">_xlfn.LET(_xlpm.d,Q$2:Q$19,_xlpm.a,$C$2:$C$19=$C23,_xlpm.b,$D$2:$D$19=$D23,MAX(_xlfn._xlws.FILTER(_xlpm.d,_xlpm.a*_xlpm.b)))</calculatedColumnFormula>
    </tableColumn>
    <tableColumn id="16" xr3:uid="{0264A177-B8CA-EA48-A6F8-403CBB0E01FE}" name="sk4g-hash-at-both" dataDxfId="191">
      <calculatedColumnFormula array="1">_xlfn.LET(_xlpm.d,R$2:R$19,_xlpm.a,$C$2:$C$19=$C23,_xlpm.b,$D$2:$D$19=$D23,MAX(_xlfn._xlws.FILTER(_xlpm.d,_xlpm.a*_xlpm.b)))</calculatedColumnFormula>
    </tableColumn>
    <tableColumn id="17" xr3:uid="{CEA4FC0C-91AB-9645-8C5C-2FE0C5A55B0C}" name="max" dataDxfId="190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615B801-F0B6-484B-A3EE-FB67B6E4B35C}" name="Table23" displayName="Table23" ref="A1:S19" totalsRowShown="0">
  <autoFilter ref="A1:S19" xr:uid="{D615B801-F0B6-484B-A3EE-FB67B6E4B35C}"/>
  <sortState xmlns:xlrd2="http://schemas.microsoft.com/office/spreadsheetml/2017/richdata2" ref="A2:S19">
    <sortCondition ref="B1:B19"/>
  </sortState>
  <tableColumns count="19">
    <tableColumn id="1" xr3:uid="{30FA813B-7E3C-4746-A61D-35ECC4706FA5}" name="lang"/>
    <tableColumn id="2" xr3:uid="{C553EF88-39A3-9F40-ABBC-F85DCD707ECF}" name="attribute.index"/>
    <tableColumn id="3" xr3:uid="{EC7EB263-18E6-9949-9724-73AB6AC45328}" name="attribute"/>
    <tableColumn id="4" xr3:uid="{83A4CC77-E319-0943-9F71-69764F70B57A}" name="supplement"/>
    <tableColumn id="5" xr3:uid="{0C6E9FD2-2337-1D47-9946-00DC90A8A1F7}" name="method.index"/>
    <tableColumn id="6" xr3:uid="{3043494D-D1F3-4A43-87BE-FC09BB8EC419}" name="method"/>
    <tableColumn id="7" xr3:uid="{280F7C4F-F997-8841-A533-51281FC174E7}" name="2gram-no-hash" dataDxfId="189"/>
    <tableColumn id="8" xr3:uid="{8F30C8BD-E35B-2346-8CA6-485FDD67CE4F}" name="3gram-no-hash" dataDxfId="188"/>
    <tableColumn id="9" xr3:uid="{B4DFA548-577F-D241-915D-602FA81371F0}" name="4gram-no-hash" dataDxfId="187"/>
    <tableColumn id="10" xr3:uid="{BDEFF1EC-9200-6F4F-BB22-E16E732B2708}" name="sk2gram-no-hash" dataDxfId="186"/>
    <tableColumn id="11" xr3:uid="{F56C687E-4622-0C46-B288-C86D2EB6DE47}" name="sk3gram-no-hash" dataDxfId="185"/>
    <tableColumn id="12" xr3:uid="{6DA8B1FD-8796-BE46-AF71-ABA6D8A3A122}" name="sk4gram-no-hash" dataDxfId="184"/>
    <tableColumn id="13" xr3:uid="{275C2C64-3D77-C847-A9A1-9E15816842AF}" name="2gram-hash-at-both" dataDxfId="183"/>
    <tableColumn id="14" xr3:uid="{D3A9B215-280B-7246-8D66-B7CB2A80689A}" name="3gram-hash-at-both" dataDxfId="182"/>
    <tableColumn id="15" xr3:uid="{30E32C81-E603-0E41-8B85-F43212673277}" name="4gram-hash-at-both" dataDxfId="181"/>
    <tableColumn id="16" xr3:uid="{FF8ED8CD-B188-8144-BF5A-31426DFFB797}" name="sk2gram-hash-at-both" dataDxfId="180"/>
    <tableColumn id="17" xr3:uid="{EE195CFD-75AB-224B-9176-A6911DE4B2E4}" name="sk3gram-hash-at-both" dataDxfId="179"/>
    <tableColumn id="18" xr3:uid="{F7A20C9B-6D66-6C45-A032-D0ED2B249374}" name="sk4gram-hash-at-both" dataDxfId="178"/>
    <tableColumn id="19" xr3:uid="{39DC9051-76A7-FF4B-8588-22FE43731780}" name="max" dataDxfId="177">
      <calculatedColumnFormula>MAX($G2:$R2)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A3F14B7-1CED-E849-8B1A-6AF060DC984F}" name="Table12212325" displayName="Table12212325" ref="B22:S28" totalsRowShown="0" headerRowDxfId="176" dataDxfId="175" tableBorderDxfId="174">
  <autoFilter ref="B22:S28" xr:uid="{8A3F14B7-1CED-E849-8B1A-6AF060DC984F}"/>
  <sortState xmlns:xlrd2="http://schemas.microsoft.com/office/spreadsheetml/2017/richdata2" ref="B23:S28">
    <sortCondition ref="B22:B28"/>
  </sortState>
  <tableColumns count="18">
    <tableColumn id="18" xr3:uid="{5A47C8CD-379B-3E4B-90A0-7C02A9D56FCB}" name="attribute.index" dataDxfId="173"/>
    <tableColumn id="1" xr3:uid="{A9269DC8-5120-1B41-AE0B-C9592BDEFC07}" name="attribute" dataDxfId="172"/>
    <tableColumn id="2" xr3:uid="{5857FD5E-98F3-3640-805C-44F5EBF492EE}" name="supplemented" dataDxfId="171"/>
    <tableColumn id="3" xr3:uid="{609E9615-478C-D746-B971-9953952BDFDA}" name="method.index" dataDxfId="170"/>
    <tableColumn id="4" xr3:uid="{2829BE97-142D-2141-A71D-A6E60AEA88A2}" name="metric" dataDxfId="169"/>
    <tableColumn id="5" xr3:uid="{DA410808-E0A3-B34B-94A2-7202083921CC}" name="2g-no-hash" dataDxfId="168">
      <calculatedColumnFormula array="1">_xlfn.LET(_xlpm.d,G$2:G$19,_xlpm.a,$C$2:$C$19=$C23,_xlpm.b,$D$2:$D$19=$D23,MAX(_xlfn._xlws.FILTER(_xlpm.d,_xlpm.a*_xlpm.b)))</calculatedColumnFormula>
    </tableColumn>
    <tableColumn id="6" xr3:uid="{644C8DE8-770F-D145-8CF5-91AD99F81FC5}" name="3g-no-hash" dataDxfId="167">
      <calculatedColumnFormula array="1">_xlfn.LET(_xlpm.d,H$2:H$19,_xlpm.a,$C$2:$C$19=$C23,_xlpm.b,$D$2:$D$19=$D23,MAX(_xlfn._xlws.FILTER(_xlpm.d,_xlpm.a*_xlpm.b)))</calculatedColumnFormula>
    </tableColumn>
    <tableColumn id="7" xr3:uid="{F8240174-514A-B04E-8141-2AC48925E9A2}" name="4g-no-hash" dataDxfId="166">
      <calculatedColumnFormula array="1">_xlfn.LET(_xlpm.d,I$2:I$19,_xlpm.a,$C$2:$C$19=$C23,_xlpm.b,$D$2:$D$19=$D23,MAX(_xlfn._xlws.FILTER(_xlpm.d,_xlpm.a*_xlpm.b)))</calculatedColumnFormula>
    </tableColumn>
    <tableColumn id="8" xr3:uid="{4C2A22E8-F41F-2D46-9232-AF0E4C2B8D5E}" name="sk2g-no-hash" dataDxfId="165">
      <calculatedColumnFormula array="1">_xlfn.LET(_xlpm.d,J$2:J$19,_xlpm.a,$C$2:$C$19=$C23,_xlpm.b,$D$2:$D$19=$D23,MAX(_xlfn._xlws.FILTER(_xlpm.d,_xlpm.a*_xlpm.b)))</calculatedColumnFormula>
    </tableColumn>
    <tableColumn id="9" xr3:uid="{07519043-2519-0944-B984-47BFEAEC74E4}" name="sk3g-no-hash" dataDxfId="164">
      <calculatedColumnFormula array="1">_xlfn.LET(_xlpm.d,K$2:K$19,_xlpm.a,$C$2:$C$19=$C23,_xlpm.b,$D$2:$D$19=$D23,MAX(_xlfn._xlws.FILTER(_xlpm.d,_xlpm.a*_xlpm.b)))</calculatedColumnFormula>
    </tableColumn>
    <tableColumn id="10" xr3:uid="{AC8055FB-859B-0F4B-8C8B-518FE0A791E8}" name="sk4g-no-hash" dataDxfId="163">
      <calculatedColumnFormula array="1">_xlfn.LET(_xlpm.d,L$2:L$19,_xlpm.a,$C$2:$C$19=$C23,_xlpm.b,$D$2:$D$19=$D23,MAX(_xlfn._xlws.FILTER(_xlpm.d,_xlpm.a*_xlpm.b)))</calculatedColumnFormula>
    </tableColumn>
    <tableColumn id="11" xr3:uid="{D933E57B-1AB7-B249-BC30-5D8DDB6506F7}" name="2g-hash-at-both" dataDxfId="162">
      <calculatedColumnFormula array="1">_xlfn.LET(_xlpm.d,M$2:M$19,_xlpm.a,$C$2:$C$19=$C23,_xlpm.b,$D$2:$D$19=$D23,MAX(_xlfn._xlws.FILTER(_xlpm.d,_xlpm.a*_xlpm.b)))</calculatedColumnFormula>
    </tableColumn>
    <tableColumn id="12" xr3:uid="{C01C8950-0CA1-D144-BC9A-64C9E1984292}" name="3g-hash-at-both" dataDxfId="161">
      <calculatedColumnFormula array="1">_xlfn.LET(_xlpm.d,N$2:N$19,_xlpm.a,$C$2:$C$19=$C23,_xlpm.b,$D$2:$D$19=$D23,MAX(_xlfn._xlws.FILTER(_xlpm.d,_xlpm.a*_xlpm.b)))</calculatedColumnFormula>
    </tableColumn>
    <tableColumn id="13" xr3:uid="{D57F65DD-C4F7-4B42-A0A3-7AD614EB6C92}" name="4g-hash-at-both" dataDxfId="160">
      <calculatedColumnFormula array="1">_xlfn.LET(_xlpm.d,O$2:O$19,_xlpm.a,$C$2:$C$19=$C23,_xlpm.b,$D$2:$D$19=$D23,MAX(_xlfn._xlws.FILTER(_xlpm.d,_xlpm.a*_xlpm.b)))</calculatedColumnFormula>
    </tableColumn>
    <tableColumn id="14" xr3:uid="{F3AE7256-0F65-784D-B54F-F4526A960B07}" name="sk2g-hash-at-both" dataDxfId="159">
      <calculatedColumnFormula array="1">_xlfn.LET(_xlpm.d,P$2:P$19,_xlpm.a,$C$2:$C$19=$C23,_xlpm.b,$D$2:$D$19=$D23,MAX(_xlfn._xlws.FILTER(_xlpm.d,_xlpm.a*_xlpm.b)))</calculatedColumnFormula>
    </tableColumn>
    <tableColumn id="15" xr3:uid="{4F95693E-E0C8-0C4D-BF67-EE4B6636419A}" name="sk3g-hash-at-both" dataDxfId="158">
      <calculatedColumnFormula array="1">_xlfn.LET(_xlpm.d,Q$2:Q$19,_xlpm.a,$C$2:$C$19=$C23,_xlpm.b,$D$2:$D$19=$D23,MAX(_xlfn._xlws.FILTER(_xlpm.d,_xlpm.a*_xlpm.b)))</calculatedColumnFormula>
    </tableColumn>
    <tableColumn id="16" xr3:uid="{E785DB6E-61AB-0C4C-A5CC-145BD1799464}" name="sk4g-hash-at-both" dataDxfId="157">
      <calculatedColumnFormula array="1">_xlfn.LET(_xlpm.d,R$2:R$19,_xlpm.a,$C$2:$C$19=$C23,_xlpm.b,$D$2:$D$19=$D23,MAX(_xlfn._xlws.FILTER(_xlpm.d,_xlpm.a*_xlpm.b)))</calculatedColumnFormula>
    </tableColumn>
    <tableColumn id="17" xr3:uid="{D70755B3-4695-AD4B-9BB4-DB2BD876B5C6}" name="max" dataDxfId="156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C4F0B78-1385-B340-B028-A160CB0E5F9F}" name="Table14" displayName="Table14" ref="A1:S19" totalsRowShown="0">
  <autoFilter ref="A1:S19" xr:uid="{8C4F0B78-1385-B340-B028-A160CB0E5F9F}"/>
  <sortState xmlns:xlrd2="http://schemas.microsoft.com/office/spreadsheetml/2017/richdata2" ref="A2:S19">
    <sortCondition ref="B1:B19"/>
  </sortState>
  <tableColumns count="19">
    <tableColumn id="1" xr3:uid="{276C59B9-5A55-FA41-825D-F719870EE98C}" name="lang"/>
    <tableColumn id="2" xr3:uid="{6C1EA787-F615-5B4B-B779-7F11FEB6808F}" name="attribute.index"/>
    <tableColumn id="3" xr3:uid="{7BF50B22-FB9D-E04E-8F74-EF1E63547DCE}" name="attribute"/>
    <tableColumn id="4" xr3:uid="{0B5B67EF-3DF3-1D42-9EB3-D76285C36334}" name="supplement"/>
    <tableColumn id="5" xr3:uid="{6906CE20-B10D-A34C-BEE4-B4FC203F1207}" name="method.index"/>
    <tableColumn id="6" xr3:uid="{A65E3E19-F6C1-D248-B38C-08BAA08E484B}" name="method"/>
    <tableColumn id="7" xr3:uid="{CBE5762D-1EA5-9544-BD74-D10F9464CAEC}" name="2gram-no-hash" dataDxfId="155"/>
    <tableColumn id="8" xr3:uid="{30E2A3EA-E61B-C644-92C5-BA9951F6AEEE}" name="3gram-no-hash" dataDxfId="154"/>
    <tableColumn id="9" xr3:uid="{427825B2-FCFA-B845-A300-11177BB46463}" name="4gram-no-hash" dataDxfId="153"/>
    <tableColumn id="10" xr3:uid="{2C803E82-5DDB-3344-9EAB-DF1866D92C49}" name="sk2gram-no-hash" dataDxfId="152"/>
    <tableColumn id="11" xr3:uid="{3348C4CC-4473-4341-843B-84E7C9D2EC2D}" name="sk3gram-no-hash" dataDxfId="151"/>
    <tableColumn id="12" xr3:uid="{8A1B3BA9-6E1A-424F-88C5-265494E916A3}" name="sk4gram-no-hash" dataDxfId="150"/>
    <tableColumn id="13" xr3:uid="{8290EFB8-3620-0A41-B621-FA6167CEA435}" name="2gram-hash-at-both" dataDxfId="149"/>
    <tableColumn id="14" xr3:uid="{42839805-2174-E048-8B0B-6EFCC0047738}" name="3gram-hash-at-both" dataDxfId="148"/>
    <tableColumn id="15" xr3:uid="{F5833FFF-C6EE-F04E-86E1-1EB6E6E0F76D}" name="4gram-hash-at-both" dataDxfId="147"/>
    <tableColumn id="16" xr3:uid="{30A8E825-B207-4B45-A392-3235491A7900}" name="sk2gram-hash-at-both" dataDxfId="146"/>
    <tableColumn id="17" xr3:uid="{C9BCA822-255C-5D4F-A537-4A27134AF509}" name="sk3gram-hash-at-both" dataDxfId="145"/>
    <tableColumn id="18" xr3:uid="{79A291C3-C67C-B84B-8FC2-C82110252298}" name="sk4gram-hash-at-both" dataDxfId="144"/>
    <tableColumn id="19" xr3:uid="{A21C6BBC-949A-4449-AFAC-D718EAA057D0}" name="max" dataDxfId="143">
      <calculatedColumnFormula>MAX($G2:$R2)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99AAF0-5D68-DB49-8D25-5C4E12045122}" name="Table15" displayName="Table15" ref="B22:S28" totalsRowShown="0">
  <autoFilter ref="B22:S28" xr:uid="{DE99AAF0-5D68-DB49-8D25-5C4E12045122}"/>
  <tableColumns count="18">
    <tableColumn id="1" xr3:uid="{3E6CE24D-DDAB-B841-B385-9C1DEE3E4E48}" name="attribute.index"/>
    <tableColumn id="2" xr3:uid="{9C1D1B94-699C-4F4D-A4AC-666AD35A8A16}" name="attribute"/>
    <tableColumn id="3" xr3:uid="{7BC0DA1B-CBBF-7E43-B501-23FCB3498516}" name="supplemented"/>
    <tableColumn id="4" xr3:uid="{362F2C80-277A-9B4E-8054-4160ACDF99EA}" name="method.index"/>
    <tableColumn id="5" xr3:uid="{0674A056-C091-8844-B319-CB9A1B727975}" name="metric"/>
    <tableColumn id="6" xr3:uid="{6BD77BDA-A39E-6249-9835-0D24186C3AB1}" name="2g-no-hash" dataDxfId="142">
      <calculatedColumnFormula array="1">_xlfn.LET(_xlpm.d,G$2:G$19,_xlpm.a,$C$2:$C$19=$C23,_xlpm.b,$D$2:$D$19=$D23,MAX(_xlfn._xlws.FILTER(_xlpm.d,_xlpm.a*_xlpm.b)))</calculatedColumnFormula>
    </tableColumn>
    <tableColumn id="7" xr3:uid="{88672C63-9E74-7546-8DAB-444E743DFA16}" name="3g-no-hash" dataDxfId="141">
      <calculatedColumnFormula array="1">_xlfn.LET(_xlpm.d,H$2:H$19,_xlpm.a,$C$2:$C$19=$C23,_xlpm.b,$D$2:$D$19=$D23,MAX(_xlfn._xlws.FILTER(_xlpm.d,_xlpm.a*_xlpm.b)))</calculatedColumnFormula>
    </tableColumn>
    <tableColumn id="8" xr3:uid="{1241C5EF-2B45-A44D-8C64-EFF6EDC04AFF}" name="4g-no-hash" dataDxfId="140">
      <calculatedColumnFormula array="1">_xlfn.LET(_xlpm.d,I$2:I$19,_xlpm.a,$C$2:$C$19=$C23,_xlpm.b,$D$2:$D$19=$D23,MAX(_xlfn._xlws.FILTER(_xlpm.d,_xlpm.a*_xlpm.b)))</calculatedColumnFormula>
    </tableColumn>
    <tableColumn id="9" xr3:uid="{C8367E14-5C5C-5C4A-BDFE-EBA4DD3C46A0}" name="sk2g-no-hash" dataDxfId="139">
      <calculatedColumnFormula array="1">_xlfn.LET(_xlpm.d,J$2:J$19,_xlpm.a,$C$2:$C$19=$C23,_xlpm.b,$D$2:$D$19=$D23,MAX(_xlfn._xlws.FILTER(_xlpm.d,_xlpm.a*_xlpm.b)))</calculatedColumnFormula>
    </tableColumn>
    <tableColumn id="10" xr3:uid="{F04B40FB-A6FE-1E4D-81EB-4F8A5C1066C6}" name="sk3g-no-hash" dataDxfId="138">
      <calculatedColumnFormula array="1">_xlfn.LET(_xlpm.d,K$2:K$19,_xlpm.a,$C$2:$C$19=$C23,_xlpm.b,$D$2:$D$19=$D23,MAX(_xlfn._xlws.FILTER(_xlpm.d,_xlpm.a*_xlpm.b)))</calculatedColumnFormula>
    </tableColumn>
    <tableColumn id="11" xr3:uid="{7BC5D6D4-A803-C746-A7F7-ED7A012995D2}" name="sk4g-no-hash" dataDxfId="137">
      <calculatedColumnFormula array="1">_xlfn.LET(_xlpm.d,L$2:L$19,_xlpm.a,$C$2:$C$19=$C23,_xlpm.b,$D$2:$D$19=$D23,MAX(_xlfn._xlws.FILTER(_xlpm.d,_xlpm.a*_xlpm.b)))</calculatedColumnFormula>
    </tableColumn>
    <tableColumn id="12" xr3:uid="{E2AE4BAF-B461-EB42-A5C4-409173E3BAF3}" name="2g-hash-at-both" dataDxfId="136">
      <calculatedColumnFormula array="1">_xlfn.LET(_xlpm.d,M$2:M$19,_xlpm.a,$C$2:$C$19=$C23,_xlpm.b,$D$2:$D$19=$D23,MAX(_xlfn._xlws.FILTER(_xlpm.d,_xlpm.a*_xlpm.b)))</calculatedColumnFormula>
    </tableColumn>
    <tableColumn id="13" xr3:uid="{5EAF2F3C-E874-E742-9DA9-C0D80AC9DF0C}" name="3g-hash-at-both" dataDxfId="135">
      <calculatedColumnFormula array="1">_xlfn.LET(_xlpm.d,N$2:N$19,_xlpm.a,$C$2:$C$19=$C23,_xlpm.b,$D$2:$D$19=$D23,MAX(_xlfn._xlws.FILTER(_xlpm.d,_xlpm.a*_xlpm.b)))</calculatedColumnFormula>
    </tableColumn>
    <tableColumn id="14" xr3:uid="{526CD01D-3D1F-2844-B2E5-115A3EF9CF44}" name="4g-hash-at-both" dataDxfId="134">
      <calculatedColumnFormula array="1">_xlfn.LET(_xlpm.d,O$2:O$19,_xlpm.a,$C$2:$C$19=$C23,_xlpm.b,$D$2:$D$19=$D23,MAX(_xlfn._xlws.FILTER(_xlpm.d,_xlpm.a*_xlpm.b)))</calculatedColumnFormula>
    </tableColumn>
    <tableColumn id="15" xr3:uid="{09A00ADF-E8ED-A147-85D9-A33916321B3D}" name="sk2g-hash-at-both" dataDxfId="133">
      <calculatedColumnFormula array="1">_xlfn.LET(_xlpm.d,P$2:P$19,_xlpm.a,$C$2:$C$19=$C23,_xlpm.b,$D$2:$D$19=$D23,MAX(_xlfn._xlws.FILTER(_xlpm.d,_xlpm.a*_xlpm.b)))</calculatedColumnFormula>
    </tableColumn>
    <tableColumn id="16" xr3:uid="{9CEA4961-09E7-5B44-BC51-E7B610AF697F}" name="sk3g-hash-at-both" dataDxfId="132">
      <calculatedColumnFormula array="1">_xlfn.LET(_xlpm.d,Q$2:Q$19,_xlpm.a,$C$2:$C$19=$C23,_xlpm.b,$D$2:$D$19=$D23,MAX(_xlfn._xlws.FILTER(_xlpm.d,_xlpm.a*_xlpm.b)))</calculatedColumnFormula>
    </tableColumn>
    <tableColumn id="17" xr3:uid="{DB44287B-CD8E-F643-8C8F-A88002792972}" name="sk4g-hash-at-both" dataDxfId="131">
      <calculatedColumnFormula array="1">_xlfn.LET(_xlpm.d,R$2:R$19,_xlpm.a,$C$2:$C$19=$C23,_xlpm.b,$D$2:$D$19=$D23,MAX(_xlfn._xlws.FILTER(_xlpm.d,_xlpm.a*_xlpm.b)))</calculatedColumnFormula>
    </tableColumn>
    <tableColumn id="18" xr3:uid="{F0A2286B-6127-D846-8376-95A541FD5726}" name="max" dataDxfId="130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6109DD6-1079-324B-B199-D10F56614568}" name="Table27" displayName="Table27" ref="A1:S19" totalsRowShown="0">
  <sortState xmlns:xlrd2="http://schemas.microsoft.com/office/spreadsheetml/2017/richdata2" ref="A2:S19">
    <sortCondition ref="B1:B19"/>
  </sortState>
  <tableColumns count="19">
    <tableColumn id="1" xr3:uid="{73F10009-41A1-284B-A15C-A58FB468E171}" name="lang"/>
    <tableColumn id="2" xr3:uid="{1E3F4E61-2349-4E4E-A1B6-34F7F2BA1142}" name="attribu.index"/>
    <tableColumn id="3" xr3:uid="{2866DBD9-D606-2F4B-AF47-0D7A6DD051B9}" name="attribute"/>
    <tableColumn id="4" xr3:uid="{AFEABB4E-C5A4-CC45-957F-BEDA080AA2E1}" name="supplement"/>
    <tableColumn id="5" xr3:uid="{0F668165-6090-7340-8D7E-E95F32E243AE}" name="method.index"/>
    <tableColumn id="6" xr3:uid="{384937E9-6119-F547-A0EE-332AC14EB5CA}" name="method"/>
    <tableColumn id="7" xr3:uid="{D6CE781E-48FC-7344-B4D5-980D6DBB250A}" name="2g-no-hash" dataDxfId="129"/>
    <tableColumn id="8" xr3:uid="{F1F8C909-0902-334D-99DE-9483C469FAD7}" name="3g-no-hash" dataDxfId="128"/>
    <tableColumn id="9" xr3:uid="{5E2100CB-FA9D-B548-962E-03FADD1634CF}" name="4g-no-hash" dataDxfId="127"/>
    <tableColumn id="10" xr3:uid="{25317EB5-CAD9-1C48-9566-978B45A6BA8A}" name="sk2g-no-hash" dataDxfId="126"/>
    <tableColumn id="11" xr3:uid="{67FBBFA7-4C94-EC4A-8F3D-19384198CB1E}" name="sk3g-no-hash" dataDxfId="125"/>
    <tableColumn id="12" xr3:uid="{7710037D-0BB7-E64A-8D2A-9770CDA429F8}" name="sk4g-no-hash" dataDxfId="124"/>
    <tableColumn id="13" xr3:uid="{7C45C083-F4F8-654C-B9AB-26F35A74A69F}" name="2g-hash-at-both" dataDxfId="123"/>
    <tableColumn id="14" xr3:uid="{051E5B7F-571A-5341-9499-7F16DF8CC011}" name="3g-hash-at-both" dataDxfId="122"/>
    <tableColumn id="15" xr3:uid="{EAB9C129-CEC5-8F42-BE75-B427C9156FEE}" name="4g-hash-at-both" dataDxfId="121"/>
    <tableColumn id="16" xr3:uid="{18FBB974-7778-7E49-B3B8-A0ED1613CDAE}" name="sk2g-hash-at-both" dataDxfId="120"/>
    <tableColumn id="17" xr3:uid="{EFF07244-3C2A-8F4A-B72B-92BEF9BB652C}" name="sk3g-hash-at-both" dataDxfId="119"/>
    <tableColumn id="18" xr3:uid="{B1578B69-E99E-2C40-AA3F-F0B295D12380}" name="sk4g-hash-at-both" dataDxfId="118"/>
    <tableColumn id="19" xr3:uid="{32718429-73C4-884C-A5A1-045B3B9CB709}" name="max" dataDxfId="117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0DD13A5-2652-6B42-B3D2-B09430BCCF63}" name="Table28" displayName="Table28" ref="B22:S28" totalsRowShown="0">
  <tableColumns count="18">
    <tableColumn id="1" xr3:uid="{835331B5-4616-ED47-96F9-D93787695E2E}" name="attribute.index"/>
    <tableColumn id="2" xr3:uid="{C0666DE9-5FA4-E342-9E82-249BFD6AAD3B}" name="attribute"/>
    <tableColumn id="3" xr3:uid="{ACE2D260-4647-0348-9EF0-5A544173998A}" name="supplemented"/>
    <tableColumn id="4" xr3:uid="{157289D9-5960-3A4E-A872-66CAF7BA5B04}" name="method.index"/>
    <tableColumn id="5" xr3:uid="{2286EEA2-9886-2541-9000-20EC394CC3C5}" name="metric"/>
    <tableColumn id="6" xr3:uid="{901563FF-62A7-0341-9D47-3DF068FAF0F4}" name="2g-no-hash" dataDxfId="116">
      <calculatedColumnFormula array="1">_xlfn.LET(_xlpm.d,G$2:G$19,_xlpm.a,$C$2:$C$19=$C23,_xlpm.b,$D$2:$D$19=$D23,MAX(_xlfn._xlws.FILTER(_xlpm.d,_xlpm.a*_xlpm.b)))</calculatedColumnFormula>
    </tableColumn>
    <tableColumn id="7" xr3:uid="{D89BF83C-361C-5948-A011-21A24ADCB4DF}" name="3g-no-hash" dataDxfId="115">
      <calculatedColumnFormula array="1">_xlfn.LET(_xlpm.d,H$2:H$19,_xlpm.a,$C$2:$C$19=$C23,_xlpm.b,$D$2:$D$19=$D23,MAX(_xlfn._xlws.FILTER(_xlpm.d,_xlpm.a*_xlpm.b)))</calculatedColumnFormula>
    </tableColumn>
    <tableColumn id="8" xr3:uid="{49C444BF-54DE-7F4C-88EA-95990A9208DD}" name="4g-no-hash" dataDxfId="114">
      <calculatedColumnFormula array="1">_xlfn.LET(_xlpm.d,I$2:I$19,_xlpm.a,$C$2:$C$19=$C23,_xlpm.b,$D$2:$D$19=$D23,MAX(_xlfn._xlws.FILTER(_xlpm.d,_xlpm.a*_xlpm.b)))</calculatedColumnFormula>
    </tableColumn>
    <tableColumn id="9" xr3:uid="{66725944-4AF8-384B-B42C-7FCD85FA0924}" name="sk2g-no-hash" dataDxfId="113">
      <calculatedColumnFormula array="1">_xlfn.LET(_xlpm.d,J$2:J$19,_xlpm.a,$C$2:$C$19=$C23,_xlpm.b,$D$2:$D$19=$D23,MAX(_xlfn._xlws.FILTER(_xlpm.d,_xlpm.a*_xlpm.b)))</calculatedColumnFormula>
    </tableColumn>
    <tableColumn id="10" xr3:uid="{F25C8609-0907-424C-A375-8BEEF29FC041}" name="sk3g-no-hash" dataDxfId="112">
      <calculatedColumnFormula array="1">_xlfn.LET(_xlpm.d,K$2:K$19,_xlpm.a,$C$2:$C$19=$C23,_xlpm.b,$D$2:$D$19=$D23,MAX(_xlfn._xlws.FILTER(_xlpm.d,_xlpm.a*_xlpm.b)))</calculatedColumnFormula>
    </tableColumn>
    <tableColumn id="11" xr3:uid="{72BF1046-29CB-5E41-A6CA-10F8F6AC71C5}" name="sk4g-no-hash" dataDxfId="111">
      <calculatedColumnFormula array="1">_xlfn.LET(_xlpm.d,L$2:L$19,_xlpm.a,$C$2:$C$19=$C23,_xlpm.b,$D$2:$D$19=$D23,MAX(_xlfn._xlws.FILTER(_xlpm.d,_xlpm.a*_xlpm.b)))</calculatedColumnFormula>
    </tableColumn>
    <tableColumn id="12" xr3:uid="{D754AC4A-13DC-4E4B-927B-92F8190DD91E}" name="2g-hash-at-both" dataDxfId="110">
      <calculatedColumnFormula array="1">_xlfn.LET(_xlpm.d,M$2:M$19,_xlpm.a,$C$2:$C$19=$C23,_xlpm.b,$D$2:$D$19=$D23,MAX(_xlfn._xlws.FILTER(_xlpm.d,_xlpm.a*_xlpm.b)))</calculatedColumnFormula>
    </tableColumn>
    <tableColumn id="13" xr3:uid="{A9FC2764-B25D-1948-90DD-4A00E0873ADC}" name="3g-hash-at-both" dataDxfId="109">
      <calculatedColumnFormula array="1">_xlfn.LET(_xlpm.d,N$2:N$19,_xlpm.a,$C$2:$C$19=$C23,_xlpm.b,$D$2:$D$19=$D23,MAX(_xlfn._xlws.FILTER(_xlpm.d,_xlpm.a*_xlpm.b)))</calculatedColumnFormula>
    </tableColumn>
    <tableColumn id="14" xr3:uid="{B451676D-9678-DB44-8DB4-77D07B046930}" name="4g-hash-at-both" dataDxfId="108">
      <calculatedColumnFormula array="1">_xlfn.LET(_xlpm.d,O$2:O$19,_xlpm.a,$C$2:$C$19=$C23,_xlpm.b,$D$2:$D$19=$D23,MAX(_xlfn._xlws.FILTER(_xlpm.d,_xlpm.a*_xlpm.b)))</calculatedColumnFormula>
    </tableColumn>
    <tableColumn id="15" xr3:uid="{A7BFF718-482A-5843-9320-FD354148BEE1}" name="sk2g-hash-at-both" dataDxfId="107">
      <calculatedColumnFormula array="1">_xlfn.LET(_xlpm.d,P$2:P$19,_xlpm.a,$C$2:$C$19=$C23,_xlpm.b,$D$2:$D$19=$D23,MAX(_xlfn._xlws.FILTER(_xlpm.d,_xlpm.a*_xlpm.b)))</calculatedColumnFormula>
    </tableColumn>
    <tableColumn id="16" xr3:uid="{05AB9082-0431-8F46-BF68-AFCF26A20E8A}" name="sk3g-hash-at-both" dataDxfId="106">
      <calculatedColumnFormula array="1">_xlfn.LET(_xlpm.d,Q$2:Q$19,_xlpm.a,$C$2:$C$19=$C23,_xlpm.b,$D$2:$D$19=$D23,MAX(_xlfn._xlws.FILTER(_xlpm.d,_xlpm.a*_xlpm.b)))</calculatedColumnFormula>
    </tableColumn>
    <tableColumn id="17" xr3:uid="{CDF5C6C5-BE33-6545-BD46-E7DB29122E42}" name="sk4g-hash-at-both" dataDxfId="105">
      <calculatedColumnFormula array="1">_xlfn.LET(_xlpm.d,R$2:R$19,_xlpm.a,$C$2:$C$19=$C23,_xlpm.b,$D$2:$D$19=$D23,MAX(_xlfn._xlws.FILTER(_xlpm.d,_xlpm.a*_xlpm.b)))</calculatedColumnFormula>
    </tableColumn>
    <tableColumn id="18" xr3:uid="{84733F44-9D25-FD47-914A-1527F81A0946}" name="max" dataDxfId="104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B76619-EFD8-9B45-A6B4-8CC703954504}" name="Table16" displayName="Table16" ref="A1:S19" totalsRowShown="0">
  <autoFilter ref="A1:S19" xr:uid="{5EB76619-EFD8-9B45-A6B4-8CC703954504}"/>
  <sortState xmlns:xlrd2="http://schemas.microsoft.com/office/spreadsheetml/2017/richdata2" ref="A2:S19">
    <sortCondition ref="B1:B19"/>
  </sortState>
  <tableColumns count="19">
    <tableColumn id="1" xr3:uid="{D13018DC-7E11-034B-AEAF-435BC7D7FBB9}" name="lang"/>
    <tableColumn id="2" xr3:uid="{F08FC832-F14B-5645-86CD-E68C392DC5CF}" name="attribute.index"/>
    <tableColumn id="3" xr3:uid="{412FA174-0389-394F-913F-543601962164}" name="attribute"/>
    <tableColumn id="4" xr3:uid="{E87169A4-E09A-184B-B8B9-1FF4E23A73E8}" name="supplement"/>
    <tableColumn id="5" xr3:uid="{9631BEF3-F4AA-094A-8929-37EFD55C0371}" name="method.index"/>
    <tableColumn id="6" xr3:uid="{0C33E4B1-4451-4D4E-8D47-E9093B82185C}" name="method"/>
    <tableColumn id="7" xr3:uid="{F6BDA6A7-AECC-1448-BF35-E1B846C98F80}" name="2gram-no-hash" dataDxfId="103"/>
    <tableColumn id="8" xr3:uid="{31BBFCC1-95DD-C449-BDEB-4E704AA24D70}" name="3gram-no-hash" dataDxfId="102"/>
    <tableColumn id="9" xr3:uid="{DB764C9F-6609-9F43-B6FD-33A29B71B936}" name="4gram-no-hash" dataDxfId="101"/>
    <tableColumn id="10" xr3:uid="{A6A20781-4DF9-6546-90BA-E08F0574DF0A}" name="sk2gram-no-hash" dataDxfId="100"/>
    <tableColumn id="11" xr3:uid="{941F4ED0-4E98-214A-863E-62E47401D5C5}" name="sk3gram-no-hash" dataDxfId="99"/>
    <tableColumn id="12" xr3:uid="{33AF11D8-B4F9-EA40-B28F-4284C363781C}" name="sk4gram-no-hash" dataDxfId="98"/>
    <tableColumn id="13" xr3:uid="{F7C8C43E-6EFF-8147-A125-3E6764473629}" name="2gram-hash-at-both" dataDxfId="97"/>
    <tableColumn id="14" xr3:uid="{B6C2C5B8-AA88-F348-9CE6-0E4433D831C0}" name="3gram-hash-at-both" dataDxfId="96"/>
    <tableColumn id="15" xr3:uid="{E025EA7F-8FB6-D34D-ACB8-261F9B1F7E03}" name="4gram-hash-at-both" dataDxfId="95"/>
    <tableColumn id="16" xr3:uid="{0A6E008F-1A16-934F-82EE-953AC5A9E303}" name="sk2gram-hash-at-both" dataDxfId="94"/>
    <tableColumn id="17" xr3:uid="{9D09BCC6-1D1F-3B44-879A-0F08A13E3140}" name="sk3gram-hash-at-both" dataDxfId="93"/>
    <tableColumn id="18" xr3:uid="{B33B7B43-6FC3-5948-A8F4-D408B4D17B77}" name="sk4gram-hash-at-both" dataDxfId="92"/>
    <tableColumn id="19" xr3:uid="{73A85A61-5DDE-4447-B4C0-E03C4822DD3B}" name="max" dataDxfId="91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C8FC77F-2BCF-EB48-8D08-18AC9A28A33B}" name="Table19" displayName="Table19" ref="B22:S28" totalsRowShown="0">
  <autoFilter ref="B22:S28" xr:uid="{8C8FC77F-2BCF-EB48-8D08-18AC9A28A33B}"/>
  <sortState xmlns:xlrd2="http://schemas.microsoft.com/office/spreadsheetml/2017/richdata2" ref="B23:S28">
    <sortCondition descending="1" ref="D22:D28"/>
  </sortState>
  <tableColumns count="18">
    <tableColumn id="1" xr3:uid="{2C8C0DA5-FC41-3F4E-BBA1-9CF4DDC31E59}" name="attribute.index"/>
    <tableColumn id="2" xr3:uid="{358F1526-0729-E649-B19B-8663A6C0CEE9}" name="attribute"/>
    <tableColumn id="3" xr3:uid="{0C3A33F0-4686-FF4A-9C40-89AF8FBF21B3}" name="supplemented"/>
    <tableColumn id="4" xr3:uid="{0B038292-17BB-8D4B-BC78-6285238196E8}" name="method.index"/>
    <tableColumn id="5" xr3:uid="{2DF3F2CA-27CF-1049-A8FD-FC4DA80B0D01}" name="metric"/>
    <tableColumn id="6" xr3:uid="{3324B68E-5716-8D46-856E-279392167D04}" name="2g-no-hash" dataDxfId="90">
      <calculatedColumnFormula array="1">_xlfn.LET(_xlpm.d,G$2:G$19,_xlpm.a,$C$2:$C$19=$C23,_xlpm.b,$D$2:$D$19=$D23,MAX(_xlfn._xlws.FILTER(_xlpm.d,_xlpm.a*_xlpm.b)))</calculatedColumnFormula>
    </tableColumn>
    <tableColumn id="7" xr3:uid="{6F4A4D66-00AB-DE44-806F-F31C9286E866}" name="3g-no-hash" dataDxfId="89">
      <calculatedColumnFormula array="1">_xlfn.LET(_xlpm.d,H$2:H$19,_xlpm.a,$C$2:$C$19=$C23,_xlpm.b,$D$2:$D$19=$D23,MAX(_xlfn._xlws.FILTER(_xlpm.d,_xlpm.a*_xlpm.b)))</calculatedColumnFormula>
    </tableColumn>
    <tableColumn id="8" xr3:uid="{B3A33682-6E9E-A44B-AF59-3DAB32269C73}" name="4g-no-hash" dataDxfId="88">
      <calculatedColumnFormula array="1">_xlfn.LET(_xlpm.d,I$2:I$19,_xlpm.a,$C$2:$C$19=$C23,_xlpm.b,$D$2:$D$19=$D23,MAX(_xlfn._xlws.FILTER(_xlpm.d,_xlpm.a*_xlpm.b)))</calculatedColumnFormula>
    </tableColumn>
    <tableColumn id="9" xr3:uid="{7FF2E2D3-0301-1642-9F88-478BD2D0F99A}" name="sk2g-no-hash" dataDxfId="87">
      <calculatedColumnFormula array="1">_xlfn.LET(_xlpm.d,J$2:J$19,_xlpm.a,$C$2:$C$19=$C23,_xlpm.b,$D$2:$D$19=$D23,MAX(_xlfn._xlws.FILTER(_xlpm.d,_xlpm.a*_xlpm.b)))</calculatedColumnFormula>
    </tableColumn>
    <tableColumn id="10" xr3:uid="{D918FC1E-79E4-0A42-906B-54C18A800690}" name="sk3g-no-hash" dataDxfId="86">
      <calculatedColumnFormula array="1">_xlfn.LET(_xlpm.d,K$2:K$19,_xlpm.a,$C$2:$C$19=$C23,_xlpm.b,$D$2:$D$19=$D23,MAX(_xlfn._xlws.FILTER(_xlpm.d,_xlpm.a*_xlpm.b)))</calculatedColumnFormula>
    </tableColumn>
    <tableColumn id="11" xr3:uid="{29E7A84B-3F67-E343-AD35-A63373CF8977}" name="sk4g-no-hash" dataDxfId="85">
      <calculatedColumnFormula array="1">_xlfn.LET(_xlpm.d,L$2:L$19,_xlpm.a,$C$2:$C$19=$C23,_xlpm.b,$D$2:$D$19=$D23,MAX(_xlfn._xlws.FILTER(_xlpm.d,_xlpm.a*_xlpm.b)))</calculatedColumnFormula>
    </tableColumn>
    <tableColumn id="12" xr3:uid="{BC73186F-48BE-A44D-A8F0-B897C2C0CFF4}" name="2g-hash-at-both" dataDxfId="84">
      <calculatedColumnFormula array="1">_xlfn.LET(_xlpm.d,M$2:M$19,_xlpm.a,$C$2:$C$19=$C23,_xlpm.b,$D$2:$D$19=$D23,MAX(_xlfn._xlws.FILTER(_xlpm.d,_xlpm.a*_xlpm.b)))</calculatedColumnFormula>
    </tableColumn>
    <tableColumn id="13" xr3:uid="{063F3043-11FA-4447-9E1B-0E6327D9867F}" name="3g-hash-at-both" dataDxfId="83">
      <calculatedColumnFormula array="1">_xlfn.LET(_xlpm.d,N$2:N$19,_xlpm.a,$C$2:$C$19=$C23,_xlpm.b,$D$2:$D$19=$D23,MAX(_xlfn._xlws.FILTER(_xlpm.d,_xlpm.a*_xlpm.b)))</calculatedColumnFormula>
    </tableColumn>
    <tableColumn id="14" xr3:uid="{716C5309-BE6D-044A-BB85-CD900FA502A5}" name="4g-hash-at-both" dataDxfId="82">
      <calculatedColumnFormula array="1">_xlfn.LET(_xlpm.d,O$2:O$19,_xlpm.a,$C$2:$C$19=$C23,_xlpm.b,$D$2:$D$19=$D23,MAX(_xlfn._xlws.FILTER(_xlpm.d,_xlpm.a*_xlpm.b)))</calculatedColumnFormula>
    </tableColumn>
    <tableColumn id="15" xr3:uid="{24B3C4F4-2596-084B-8C13-20D217B6E831}" name="sk2g-hash-at-both" dataDxfId="81">
      <calculatedColumnFormula array="1">_xlfn.LET(_xlpm.d,P$2:P$19,_xlpm.a,$C$2:$C$19=$C23,_xlpm.b,$D$2:$D$19=$D23,MAX(_xlfn._xlws.FILTER(_xlpm.d,_xlpm.a*_xlpm.b)))</calculatedColumnFormula>
    </tableColumn>
    <tableColumn id="16" xr3:uid="{22732FE2-12D0-8A4E-98D1-12A1766091E9}" name="sk3g-hash-at-both" dataDxfId="80">
      <calculatedColumnFormula array="1">_xlfn.LET(_xlpm.d,Q$2:Q$19,_xlpm.a,$C$2:$C$19=$C23,_xlpm.b,$D$2:$D$19=$D23,MAX(_xlfn._xlws.FILTER(_xlpm.d,_xlpm.a*_xlpm.b)))</calculatedColumnFormula>
    </tableColumn>
    <tableColumn id="17" xr3:uid="{9348B8F0-D8F4-C04A-B820-859B7675ABD5}" name="sk4g-hash-at-both" dataDxfId="79">
      <calculatedColumnFormula array="1">_xlfn.LET(_xlpm.d,R$2:R$19,_xlpm.a,$C$2:$C$19=$C23,_xlpm.b,$D$2:$D$19=$D23,MAX(_xlfn._xlws.FILTER(_xlpm.d,_xlpm.a*_xlpm.b)))</calculatedColumnFormula>
    </tableColumn>
    <tableColumn id="18" xr3:uid="{D18CA395-CDF7-8F4D-8D95-9C54A2A24D3A}" name="max" dataDxfId="78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820A0A-1ED5-9A4E-981C-20228DC86833}" name="Table9" displayName="Table9" ref="A1:S19" totalsRowShown="0">
  <autoFilter ref="A1:S19" xr:uid="{57820A0A-1ED5-9A4E-981C-20228DC86833}"/>
  <sortState xmlns:xlrd2="http://schemas.microsoft.com/office/spreadsheetml/2017/richdata2" ref="A2:S19">
    <sortCondition ref="B1:B19"/>
  </sortState>
  <tableColumns count="19">
    <tableColumn id="1" xr3:uid="{11CB47EB-D185-A849-B152-3BAAC708CE83}" name="lang"/>
    <tableColumn id="2" xr3:uid="{8E080190-21BB-5A4F-813B-FC8F063A92D5}" name="attribute.index"/>
    <tableColumn id="3" xr3:uid="{31E2A0DF-9673-6140-A77B-F14C67527E3A}" name="attribute"/>
    <tableColumn id="4" xr3:uid="{5E7E3548-7464-3A4F-B4A2-7A7209157D59}" name="supplement"/>
    <tableColumn id="5" xr3:uid="{5E79A962-E2F8-7149-BE03-D37205AC9419}" name="method.index"/>
    <tableColumn id="6" xr3:uid="{C5183AED-4DDA-3A43-B689-7E1483DCD32A}" name="method"/>
    <tableColumn id="7" xr3:uid="{571ED583-A15F-B743-9392-80A52FE41B32}" name="2g-no-hash" dataDxfId="77"/>
    <tableColumn id="8" xr3:uid="{66645AE8-15CC-4C48-956A-205F88DB6A7D}" name="3g-no-hash" dataDxfId="76"/>
    <tableColumn id="9" xr3:uid="{5C99C2BC-1C88-AD46-82EB-FB377CE35F4A}" name="4g-no-hash" dataDxfId="75"/>
    <tableColumn id="10" xr3:uid="{E07BB76D-87F8-FF4A-91D7-DB15D2F4D2F7}" name="sk2g-no-hash" dataDxfId="74"/>
    <tableColumn id="11" xr3:uid="{DD774C07-F8BD-AE43-BF6B-6D49FD78A171}" name="sk3g-no-hash" dataDxfId="73"/>
    <tableColumn id="12" xr3:uid="{DA6EB6C0-C9BF-C14D-B061-3D3EAEB538D6}" name="sk4g-no-hash" dataDxfId="72"/>
    <tableColumn id="13" xr3:uid="{5EE503AA-3489-394C-BC4C-AF8E6E911976}" name="2g-hash-at-both" dataDxfId="71"/>
    <tableColumn id="14" xr3:uid="{8CEB6A21-2050-D94D-9403-20E12F6C38A7}" name="3g-hash-at-both" dataDxfId="70"/>
    <tableColumn id="15" xr3:uid="{87AF4AE3-AED2-9A47-B5D2-D95DF6C2C0D9}" name="4g-hash-at-both" dataDxfId="69"/>
    <tableColumn id="16" xr3:uid="{D3D3F680-CDD4-4846-848E-7BB04206ECFD}" name="sk2g-hash-at-both" dataDxfId="68"/>
    <tableColumn id="17" xr3:uid="{7AACA364-7B0F-2A40-AAC1-1A02305411E2}" name="sk3g-hash-at-both" dataDxfId="67"/>
    <tableColumn id="18" xr3:uid="{6C58DFB9-593E-F54C-9A8D-C0DE3470BE10}" name="sk4g-hash-at-both" dataDxfId="66"/>
    <tableColumn id="19" xr3:uid="{BF8AF69A-87CB-A349-A54A-9FC121A6BB1B}" name="max" dataDxfId="65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36189D0-59B4-614B-86DD-6859E5060927}" name="Table11" displayName="Table11" ref="B22:S28" totalsRowShown="0">
  <autoFilter ref="B22:S28" xr:uid="{936189D0-59B4-614B-86DD-6859E5060927}"/>
  <tableColumns count="18">
    <tableColumn id="1" xr3:uid="{A2E18B42-97DD-3F43-AD71-842B8DF2828A}" name="attribute.index"/>
    <tableColumn id="2" xr3:uid="{68956B0E-5034-924F-A6EE-34DB409CAA2E}" name="attribute"/>
    <tableColumn id="3" xr3:uid="{FD939742-B1A5-3D4D-A5B5-63671CD80F2D}" name="supplemented"/>
    <tableColumn id="4" xr3:uid="{14BFB3C9-4A1F-7343-A840-5BC329B5FE0F}" name="method.index"/>
    <tableColumn id="5" xr3:uid="{D3C31C18-2FEA-EB41-9A0A-C380233797C9}" name="metric"/>
    <tableColumn id="6" xr3:uid="{B448A896-8E6F-EE4C-8A6C-87FA755F4F9F}" name="2g-no-hash" dataDxfId="64">
      <calculatedColumnFormula array="1">_xlfn.LET(_xlpm.d,G$2:G$19,_xlpm.a,$C$2:$C$19=$C23,_xlpm.b,$D$2:$D$19=$D23,MAX(_xlfn._xlws.FILTER(_xlpm.d,_xlpm.a*_xlpm.b)))</calculatedColumnFormula>
    </tableColumn>
    <tableColumn id="7" xr3:uid="{40AC303A-620D-8C45-95AB-717A5AD3163F}" name="3g-no-hash" dataDxfId="63">
      <calculatedColumnFormula array="1">_xlfn.LET(_xlpm.d,H$2:H$19,_xlpm.a,$C$2:$C$19=$C23,_xlpm.b,$D$2:$D$19=$D23,MAX(_xlfn._xlws.FILTER(_xlpm.d,_xlpm.a*_xlpm.b)))</calculatedColumnFormula>
    </tableColumn>
    <tableColumn id="8" xr3:uid="{489D7293-21D6-6940-8E8A-D28501C88114}" name="4g-no-hash" dataDxfId="62">
      <calculatedColumnFormula array="1">_xlfn.LET(_xlpm.d,I$2:I$19,_xlpm.a,$C$2:$C$19=$C23,_xlpm.b,$D$2:$D$19=$D23,MAX(_xlfn._xlws.FILTER(_xlpm.d,_xlpm.a*_xlpm.b)))</calculatedColumnFormula>
    </tableColumn>
    <tableColumn id="9" xr3:uid="{08D29177-B539-D449-96B7-C0CE15749A50}" name="sk2g-no-hash" dataDxfId="61">
      <calculatedColumnFormula array="1">_xlfn.LET(_xlpm.d,J$2:J$19,_xlpm.a,$C$2:$C$19=$C23,_xlpm.b,$D$2:$D$19=$D23,MAX(_xlfn._xlws.FILTER(_xlpm.d,_xlpm.a*_xlpm.b)))</calculatedColumnFormula>
    </tableColumn>
    <tableColumn id="10" xr3:uid="{271C5DCF-D606-0243-986D-6A8F15A2BAE8}" name="sk3g-no-hash" dataDxfId="60">
      <calculatedColumnFormula array="1">_xlfn.LET(_xlpm.d,K$2:K$19,_xlpm.a,$C$2:$C$19=$C23,_xlpm.b,$D$2:$D$19=$D23,MAX(_xlfn._xlws.FILTER(_xlpm.d,_xlpm.a*_xlpm.b)))</calculatedColumnFormula>
    </tableColumn>
    <tableColumn id="11" xr3:uid="{4E440015-5363-8444-BA10-A5BE3E9A4270}" name="sk4g-no-hash" dataDxfId="59">
      <calculatedColumnFormula array="1">_xlfn.LET(_xlpm.d,L$2:L$19,_xlpm.a,$C$2:$C$19=$C23,_xlpm.b,$D$2:$D$19=$D23,MAX(_xlfn._xlws.FILTER(_xlpm.d,_xlpm.a*_xlpm.b)))</calculatedColumnFormula>
    </tableColumn>
    <tableColumn id="12" xr3:uid="{C95D2342-E574-A74A-BFC9-617C09C40C4D}" name="2g-hash-at-both" dataDxfId="58">
      <calculatedColumnFormula array="1">_xlfn.LET(_xlpm.d,M$2:M$19,_xlpm.a,$C$2:$C$19=$C23,_xlpm.b,$D$2:$D$19=$D23,MAX(_xlfn._xlws.FILTER(_xlpm.d,_xlpm.a*_xlpm.b)))</calculatedColumnFormula>
    </tableColumn>
    <tableColumn id="13" xr3:uid="{F2D24B9A-B170-6D4D-9CD8-EFC7745F528D}" name="3g-hash-at-both" dataDxfId="57">
      <calculatedColumnFormula array="1">_xlfn.LET(_xlpm.d,N$2:N$19,_xlpm.a,$C$2:$C$19=$C23,_xlpm.b,$D$2:$D$19=$D23,MAX(_xlfn._xlws.FILTER(_xlpm.d,_xlpm.a*_xlpm.b)))</calculatedColumnFormula>
    </tableColumn>
    <tableColumn id="14" xr3:uid="{87F826A4-C4C4-784E-BBE1-DDC3DC34BBBE}" name="4g-hash-at-both" dataDxfId="56">
      <calculatedColumnFormula array="1">_xlfn.LET(_xlpm.d,O$2:O$19,_xlpm.a,$C$2:$C$19=$C23,_xlpm.b,$D$2:$D$19=$D23,MAX(_xlfn._xlws.FILTER(_xlpm.d,_xlpm.a*_xlpm.b)))</calculatedColumnFormula>
    </tableColumn>
    <tableColumn id="15" xr3:uid="{4B34B01C-F971-6440-82E6-129DE222681F}" name="sk2g-hash-at-both" dataDxfId="55">
      <calculatedColumnFormula array="1">_xlfn.LET(_xlpm.d,P$2:P$19,_xlpm.a,$C$2:$C$19=$C23,_xlpm.b,$D$2:$D$19=$D23,MAX(_xlfn._xlws.FILTER(_xlpm.d,_xlpm.a*_xlpm.b)))</calculatedColumnFormula>
    </tableColumn>
    <tableColumn id="16" xr3:uid="{D41FE7EF-E9DC-074B-BD1E-7638D91DE41A}" name="sk3g-hash-at-both" dataDxfId="54">
      <calculatedColumnFormula array="1">_xlfn.LET(_xlpm.d,Q$2:Q$19,_xlpm.a,$C$2:$C$19=$C23,_xlpm.b,$D$2:$D$19=$D23,MAX(_xlfn._xlws.FILTER(_xlpm.d,_xlpm.a*_xlpm.b)))</calculatedColumnFormula>
    </tableColumn>
    <tableColumn id="17" xr3:uid="{B381CE4C-DF76-1A46-9843-5FE4A8220253}" name="sk4g-hash-at-both" dataDxfId="53">
      <calculatedColumnFormula array="1">_xlfn.LET(_xlpm.d,R$2:R$19,_xlpm.a,$C$2:$C$19=$C23,_xlpm.b,$D$2:$D$19=$D23,MAX(_xlfn._xlws.FILTER(_xlpm.d,_xlpm.a*_xlpm.b)))</calculatedColumnFormula>
    </tableColumn>
    <tableColumn id="18" xr3:uid="{F509E41D-9A76-474D-A9AD-76681068FC43}" name="max" dataDxfId="52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6CF540-B210-7447-A2AE-737DFA3C5C68}" name="Table5" displayName="Table5" ref="A1:S19" totalsRowShown="0">
  <autoFilter ref="A1:S19" xr:uid="{346CF540-B210-7447-A2AE-737DFA3C5C68}"/>
  <sortState xmlns:xlrd2="http://schemas.microsoft.com/office/spreadsheetml/2017/richdata2" ref="A2:S19">
    <sortCondition ref="B1:B19"/>
  </sortState>
  <tableColumns count="19">
    <tableColumn id="1" xr3:uid="{3760C830-6C42-BF47-A997-CF6629C02452}" name="lang"/>
    <tableColumn id="2" xr3:uid="{2B84B4EB-B91E-7840-8C34-37EAB534BE33}" name="attribute.index"/>
    <tableColumn id="3" xr3:uid="{F12E2DC2-ACAC-C84E-9C26-CDB5B263B9B9}" name="attribute"/>
    <tableColumn id="4" xr3:uid="{565FDE99-9CE2-B94D-9292-EC1CCAD245FD}" name="supplement"/>
    <tableColumn id="5" xr3:uid="{E6A1DCEE-19CC-C94D-9C8A-2CAB4E152752}" name="method.index"/>
    <tableColumn id="6" xr3:uid="{0934ADBD-EE3C-4F4E-90BC-FF7398004559}" name="method"/>
    <tableColumn id="7" xr3:uid="{CADB3F47-0C25-0944-ADDA-5AEDA32D5FC4}" name="2g-hash-at-both" dataDxfId="51"/>
    <tableColumn id="8" xr3:uid="{5F386C68-0CB7-FB48-86E7-E20C5AD00212}" name="3g-hash-at-both" dataDxfId="50"/>
    <tableColumn id="9" xr3:uid="{AEE64355-F1BA-594E-A4CA-7981DD44602D}" name="4g-hash-at-both" dataDxfId="49"/>
    <tableColumn id="10" xr3:uid="{0635796E-AEA7-B045-AC19-1E17F556A257}" name="sk2g-hash-at-both" dataDxfId="48"/>
    <tableColumn id="11" xr3:uid="{518A1BDE-02CF-324F-AE30-373420FC9272}" name="sk3g-hash-at-both" dataDxfId="47"/>
    <tableColumn id="12" xr3:uid="{F2034E51-DCAA-784C-927A-732008D195E7}" name="sk4g-hash-at-both" dataDxfId="46"/>
    <tableColumn id="13" xr3:uid="{14E11BCB-CFB7-DB48-90DC-E957397496D5}" name="2g-no-hash" dataDxfId="45"/>
    <tableColumn id="14" xr3:uid="{4D4BB6B5-41E0-244F-96C4-59C3ED9A1F4F}" name="3g-no-hash" dataDxfId="44"/>
    <tableColumn id="15" xr3:uid="{44E67139-41A3-CE4F-B375-E71F8965E667}" name="4g-no-hash" dataDxfId="43"/>
    <tableColumn id="16" xr3:uid="{843254EF-C734-314E-8807-238E925C5A81}" name="sk2g-no-hash" dataDxfId="42"/>
    <tableColumn id="17" xr3:uid="{DC304EF2-2E5B-3A4F-A1B7-2D7A1CA7DBD5}" name="sk3g-no-hash" dataDxfId="41"/>
    <tableColumn id="18" xr3:uid="{B6EFAB49-467B-3B4C-93F1-98068BF67F42}" name="sk4g-no-hash" dataDxfId="40"/>
    <tableColumn id="19" xr3:uid="{46CE36AE-191E-9C47-9CE8-A0806D4A03F9}" name="max" dataDxfId="39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9E6E69-B3B4-5341-BC05-EDD8EB7F2D26}" name="Table6" displayName="Table6" ref="B22:S28" totalsRowShown="0">
  <autoFilter ref="B22:S28" xr:uid="{009E6E69-B3B4-5341-BC05-EDD8EB7F2D26}"/>
  <tableColumns count="18">
    <tableColumn id="1" xr3:uid="{A7EAEF1A-8372-A145-90A1-8BAB9F8E175D}" name="attribute.index"/>
    <tableColumn id="2" xr3:uid="{2218868E-71E1-E84F-BFD9-DB0C5709B44A}" name="attribute"/>
    <tableColumn id="3" xr3:uid="{39888E91-A92F-934F-875A-EB082D9C4870}" name="supplemented"/>
    <tableColumn id="4" xr3:uid="{2778E8FD-A964-684F-805E-02D85A953D33}" name="method.index"/>
    <tableColumn id="5" xr3:uid="{F89393C5-C37C-EF43-9BA4-AB38E5889119}" name="metric"/>
    <tableColumn id="6" xr3:uid="{600E2E8E-997D-8546-B566-0B3257120356}" name="2g-no-hash" dataDxfId="38">
      <calculatedColumnFormula array="1">_xlfn.LET(_xlpm.d,G$2:G$19,_xlpm.a,$C$2:$C$19=$C23,_xlpm.b,$D$2:$D$19=$D23,MAX(_xlfn._xlws.FILTER(_xlpm.d,_xlpm.a*_xlpm.b)))</calculatedColumnFormula>
    </tableColumn>
    <tableColumn id="7" xr3:uid="{E02D8863-465A-D14E-A2D4-57461163870D}" name="3g-no-hash" dataDxfId="37">
      <calculatedColumnFormula array="1">_xlfn.LET(_xlpm.d,H$2:H$19,_xlpm.a,$C$2:$C$19=$C23,_xlpm.b,$D$2:$D$19=$D23,MAX(_xlfn._xlws.FILTER(_xlpm.d,_xlpm.a*_xlpm.b)))</calculatedColumnFormula>
    </tableColumn>
    <tableColumn id="8" xr3:uid="{8F2ECFFD-907D-114E-8559-2886211A9B5A}" name="4g-no-hash" dataDxfId="36">
      <calculatedColumnFormula array="1">_xlfn.LET(_xlpm.d,I$2:I$19,_xlpm.a,$C$2:$C$19=$C23,_xlpm.b,$D$2:$D$19=$D23,MAX(_xlfn._xlws.FILTER(_xlpm.d,_xlpm.a*_xlpm.b)))</calculatedColumnFormula>
    </tableColumn>
    <tableColumn id="9" xr3:uid="{3C5A32DA-FE2A-234A-8422-494B62A77AD2}" name="sk2g-no-hash" dataDxfId="35">
      <calculatedColumnFormula array="1">_xlfn.LET(_xlpm.d,J$2:J$19,_xlpm.a,$C$2:$C$19=$C23,_xlpm.b,$D$2:$D$19=$D23,MAX(_xlfn._xlws.FILTER(_xlpm.d,_xlpm.a*_xlpm.b)))</calculatedColumnFormula>
    </tableColumn>
    <tableColumn id="10" xr3:uid="{71DC35BC-8FCC-B04B-9788-E74FA978BF53}" name="sk3g-no-hash" dataDxfId="34">
      <calculatedColumnFormula array="1">_xlfn.LET(_xlpm.d,K$2:K$19,_xlpm.a,$C$2:$C$19=$C23,_xlpm.b,$D$2:$D$19=$D23,MAX(_xlfn._xlws.FILTER(_xlpm.d,_xlpm.a*_xlpm.b)))</calculatedColumnFormula>
    </tableColumn>
    <tableColumn id="11" xr3:uid="{B4C5AE20-4AD4-3140-B60C-122F3A4BD9D8}" name="sk4g-no-hash" dataDxfId="33">
      <calculatedColumnFormula array="1">_xlfn.LET(_xlpm.d,L$2:L$19,_xlpm.a,$C$2:$C$19=$C23,_xlpm.b,$D$2:$D$19=$D23,MAX(_xlfn._xlws.FILTER(_xlpm.d,_xlpm.a*_xlpm.b)))</calculatedColumnFormula>
    </tableColumn>
    <tableColumn id="12" xr3:uid="{FDB54EB0-A931-6B48-8A28-ABF47352C33F}" name="2g-hash-at-both" dataDxfId="32">
      <calculatedColumnFormula array="1">_xlfn.LET(_xlpm.d,M$2:M$19,_xlpm.a,$C$2:$C$19=$C23,_xlpm.b,$D$2:$D$19=$D23,MAX(_xlfn._xlws.FILTER(_xlpm.d,_xlpm.a*_xlpm.b)))</calculatedColumnFormula>
    </tableColumn>
    <tableColumn id="13" xr3:uid="{A72F0048-656E-0949-AED3-1F7FAE652F81}" name="3g-hash-at-both" dataDxfId="31">
      <calculatedColumnFormula array="1">_xlfn.LET(_xlpm.d,N$2:N$19,_xlpm.a,$C$2:$C$19=$C23,_xlpm.b,$D$2:$D$19=$D23,MAX(_xlfn._xlws.FILTER(_xlpm.d,_xlpm.a*_xlpm.b)))</calculatedColumnFormula>
    </tableColumn>
    <tableColumn id="14" xr3:uid="{93B6BA56-36F1-CA42-AFAE-19E16A1940EB}" name="4g-hash-at-both" dataDxfId="30">
      <calculatedColumnFormula array="1">_xlfn.LET(_xlpm.d,O$2:O$19,_xlpm.a,$C$2:$C$19=$C23,_xlpm.b,$D$2:$D$19=$D23,MAX(_xlfn._xlws.FILTER(_xlpm.d,_xlpm.a*_xlpm.b)))</calculatedColumnFormula>
    </tableColumn>
    <tableColumn id="15" xr3:uid="{FBAD99CF-BB49-754E-AC9C-8C5B6BF29E48}" name="sk2g-hash-at-both" dataDxfId="29">
      <calculatedColumnFormula array="1">_xlfn.LET(_xlpm.d,P$2:P$19,_xlpm.a,$C$2:$C$19=$C23,_xlpm.b,$D$2:$D$19=$D23,MAX(_xlfn._xlws.FILTER(_xlpm.d,_xlpm.a*_xlpm.b)))</calculatedColumnFormula>
    </tableColumn>
    <tableColumn id="16" xr3:uid="{B57D5B68-E99C-9744-A234-34EE43667595}" name="sk3g-hash-at-both" dataDxfId="28">
      <calculatedColumnFormula array="1">_xlfn.LET(_xlpm.d,Q$2:Q$19,_xlpm.a,$C$2:$C$19=$C23,_xlpm.b,$D$2:$D$19=$D23,MAX(_xlfn._xlws.FILTER(_xlpm.d,_xlpm.a*_xlpm.b)))</calculatedColumnFormula>
    </tableColumn>
    <tableColumn id="17" xr3:uid="{1FCD00A9-BB78-8F4A-BCB7-986A7E1BE7F2}" name="sk4g-hash-at-both" dataDxfId="27">
      <calculatedColumnFormula array="1">_xlfn.LET(_xlpm.d,R$2:R$19,_xlpm.a,$C$2:$C$19=$C23,_xlpm.b,$D$2:$D$19=$D23,MAX(_xlfn._xlws.FILTER(_xlpm.d,_xlpm.a*_xlpm.b)))</calculatedColumnFormula>
    </tableColumn>
    <tableColumn id="18" xr3:uid="{75E1AFFD-0E24-0E48-A614-652934832BB9}" name="max" dataDxfId="26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A554F2-3D37-2B41-BA32-B3ED5D869CF2}" name="Table3" displayName="Table3" ref="A1:S19" totalsRowShown="0">
  <autoFilter ref="A1:S19" xr:uid="{B2A554F2-3D37-2B41-BA32-B3ED5D869CF2}"/>
  <sortState xmlns:xlrd2="http://schemas.microsoft.com/office/spreadsheetml/2017/richdata2" ref="A2:S19">
    <sortCondition ref="B1:B19"/>
  </sortState>
  <tableColumns count="19">
    <tableColumn id="1" xr3:uid="{FABCC2BD-C3EF-C844-8D1F-9244D2678E1D}" name="lang"/>
    <tableColumn id="2" xr3:uid="{B0B8B858-AC8B-A041-9F46-EE9D98357682}" name="attribute.index"/>
    <tableColumn id="3" xr3:uid="{9ADCC972-CB1F-2C4F-B838-F26A051D9AF0}" name="attribute"/>
    <tableColumn id="4" xr3:uid="{F0527ED2-44CA-A542-A241-DC4DFAB2F4A7}" name="supplement"/>
    <tableColumn id="5" xr3:uid="{0B9FA29B-9EA4-7047-8C6A-EEBE7B5EBA4C}" name="method.index"/>
    <tableColumn id="6" xr3:uid="{AE50DB54-FBC9-B44C-A79C-0DC075D8C59F}" name="method"/>
    <tableColumn id="7" xr3:uid="{5CDFBA63-8A7A-D146-A8A6-76DC33E20914}" name="2g-hash-at-both" dataDxfId="25"/>
    <tableColumn id="8" xr3:uid="{64B8A595-64E6-374E-9D57-D4FD883A4252}" name="3g-hash-at-both" dataDxfId="24"/>
    <tableColumn id="9" xr3:uid="{105AA4E9-11ED-7A41-AC09-9BF96E25480F}" name="4g-hash-at-both" dataDxfId="23"/>
    <tableColumn id="10" xr3:uid="{62DF8279-9986-A644-843B-CFB2E74CDAA6}" name="sk2g-hash-at-both" dataDxfId="22"/>
    <tableColumn id="11" xr3:uid="{CB3FFABE-98BF-194A-8AF0-4E34B82696F3}" name="sk3g-hash-at-both" dataDxfId="21"/>
    <tableColumn id="12" xr3:uid="{051A8762-D8A1-7147-9F8E-0643389977E1}" name="sk4g-hash-at-both" dataDxfId="20"/>
    <tableColumn id="13" xr3:uid="{168730C3-E0AC-474C-9756-F4B800FB4D80}" name="2g-no-hash" dataDxfId="19"/>
    <tableColumn id="14" xr3:uid="{D8D8E6A2-D8FA-1E40-A951-F3DC0CE5BEFC}" name="3g-no-hash" dataDxfId="18"/>
    <tableColumn id="15" xr3:uid="{E303727B-A47A-FC4B-9C9E-82CE506CF089}" name="4g-no-hash" dataDxfId="17"/>
    <tableColumn id="16" xr3:uid="{2EAF7EE2-7D13-AC47-80FA-2E535397D8DB}" name="sk2g-no-hash" dataDxfId="16"/>
    <tableColumn id="17" xr3:uid="{7A866F56-AF16-5C41-9CCA-9EC1532E5F7A}" name="sk3g-no-hash" dataDxfId="15"/>
    <tableColumn id="18" xr3:uid="{7865D0B0-4838-AB4A-B822-31EF121D5A3C}" name="sk4g-no-hash" dataDxfId="14"/>
    <tableColumn id="19" xr3:uid="{BF516473-4B67-684F-9924-26AC5965E66A}" name="max" dataDxfId="13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3DD6AA-EB34-CE46-BE2C-6A6A5C64BACB}" name="Table4" displayName="Table4" ref="B22:S28" totalsRowShown="0">
  <autoFilter ref="B22:S28" xr:uid="{2E3DD6AA-EB34-CE46-BE2C-6A6A5C64BACB}"/>
  <tableColumns count="18">
    <tableColumn id="1" xr3:uid="{E9764C65-9A49-A148-A65E-D94B39FD6826}" name="attribute.index"/>
    <tableColumn id="2" xr3:uid="{F8C46C98-C00D-E741-89D1-7DB112534072}" name="attribute"/>
    <tableColumn id="3" xr3:uid="{0AEC6B85-B38A-9B40-86F7-F92019CA67C5}" name="supplemented"/>
    <tableColumn id="4" xr3:uid="{CF60DC49-9026-4346-9E5C-99B056C0914B}" name="method.index"/>
    <tableColumn id="5" xr3:uid="{6BEB94F4-C01A-0F4C-A9CD-6785F3A08892}" name="metric"/>
    <tableColumn id="6" xr3:uid="{D6D97C85-A13F-6145-8A01-9CFF40EEEF24}" name="2g-no-hash" dataDxfId="12">
      <calculatedColumnFormula array="1">_xlfn.LET(_xlpm.d,G$2:G$19,_xlpm.a,$C$2:$C$19=$C23,_xlpm.b,$D$2:$D$19=$D23,MAX(_xlfn._xlws.FILTER(_xlpm.d,_xlpm.a*_xlpm.b)))</calculatedColumnFormula>
    </tableColumn>
    <tableColumn id="7" xr3:uid="{75DEE8F9-9210-D247-B949-2619C76C8D1B}" name="3g-no-hash" dataDxfId="11">
      <calculatedColumnFormula array="1">_xlfn.LET(_xlpm.d,H$2:H$19,_xlpm.a,$C$2:$C$19=$C23,_xlpm.b,$D$2:$D$19=$D23,MAX(_xlfn._xlws.FILTER(_xlpm.d,_xlpm.a*_xlpm.b)))</calculatedColumnFormula>
    </tableColumn>
    <tableColumn id="8" xr3:uid="{87F9E533-0663-7640-BCFB-C378CBD67B57}" name="4g-no-hash" dataDxfId="10">
      <calculatedColumnFormula array="1">_xlfn.LET(_xlpm.d,I$2:I$19,_xlpm.a,$C$2:$C$19=$C23,_xlpm.b,$D$2:$D$19=$D23,MAX(_xlfn._xlws.FILTER(_xlpm.d,_xlpm.a*_xlpm.b)))</calculatedColumnFormula>
    </tableColumn>
    <tableColumn id="9" xr3:uid="{6B460B57-F838-404F-B68B-78998B78C603}" name="sk2g-no-hash" dataDxfId="9">
      <calculatedColumnFormula array="1">_xlfn.LET(_xlpm.d,J$2:J$19,_xlpm.a,$C$2:$C$19=$C23,_xlpm.b,$D$2:$D$19=$D23,MAX(_xlfn._xlws.FILTER(_xlpm.d,_xlpm.a*_xlpm.b)))</calculatedColumnFormula>
    </tableColumn>
    <tableColumn id="10" xr3:uid="{55128BDF-97D9-2845-97F3-66BF7BB33577}" name="sk3g-no-hash" dataDxfId="8">
      <calculatedColumnFormula array="1">_xlfn.LET(_xlpm.d,K$2:K$19,_xlpm.a,$C$2:$C$19=$C23,_xlpm.b,$D$2:$D$19=$D23,MAX(_xlfn._xlws.FILTER(_xlpm.d,_xlpm.a*_xlpm.b)))</calculatedColumnFormula>
    </tableColumn>
    <tableColumn id="11" xr3:uid="{644CFB6B-C3F9-3747-94D2-9693F6C0F570}" name="sk4g-no-hash" dataDxfId="7">
      <calculatedColumnFormula array="1">_xlfn.LET(_xlpm.d,L$2:L$19,_xlpm.a,$C$2:$C$19=$C23,_xlpm.b,$D$2:$D$19=$D23,MAX(_xlfn._xlws.FILTER(_xlpm.d,_xlpm.a*_xlpm.b)))</calculatedColumnFormula>
    </tableColumn>
    <tableColumn id="12" xr3:uid="{D1E3CBF8-B479-2E41-9631-9E5922BDC359}" name="2g-hash-at-both" dataDxfId="6">
      <calculatedColumnFormula array="1">_xlfn.LET(_xlpm.d,M$2:M$19,_xlpm.a,$C$2:$C$19=$C23,_xlpm.b,$D$2:$D$19=$D23,MAX(_xlfn._xlws.FILTER(_xlpm.d,_xlpm.a*_xlpm.b)))</calculatedColumnFormula>
    </tableColumn>
    <tableColumn id="13" xr3:uid="{0B4A56F6-F1B4-F349-9EB0-2253DA8B253E}" name="3g-hash-at-both" dataDxfId="5">
      <calculatedColumnFormula array="1">_xlfn.LET(_xlpm.d,N$2:N$19,_xlpm.a,$C$2:$C$19=$C23,_xlpm.b,$D$2:$D$19=$D23,MAX(_xlfn._xlws.FILTER(_xlpm.d,_xlpm.a*_xlpm.b)))</calculatedColumnFormula>
    </tableColumn>
    <tableColumn id="14" xr3:uid="{A92C89EB-CCC0-A941-9FC9-233B005E6B0F}" name="4g-hash-at-both" dataDxfId="4">
      <calculatedColumnFormula array="1">_xlfn.LET(_xlpm.d,O$2:O$19,_xlpm.a,$C$2:$C$19=$C23,_xlpm.b,$D$2:$D$19=$D23,MAX(_xlfn._xlws.FILTER(_xlpm.d,_xlpm.a*_xlpm.b)))</calculatedColumnFormula>
    </tableColumn>
    <tableColumn id="15" xr3:uid="{1DBA1256-C76E-FD4D-B3BC-414F6D5C5B36}" name="sk2g-hash-at-both" dataDxfId="3">
      <calculatedColumnFormula array="1">_xlfn.LET(_xlpm.d,P$2:P$19,_xlpm.a,$C$2:$C$19=$C23,_xlpm.b,$D$2:$D$19=$D23,MAX(_xlfn._xlws.FILTER(_xlpm.d,_xlpm.a*_xlpm.b)))</calculatedColumnFormula>
    </tableColumn>
    <tableColumn id="16" xr3:uid="{D90119A7-F1D2-1D41-BA0C-44F7E59FED59}" name="sk3g-hash-at-both" dataDxfId="2">
      <calculatedColumnFormula array="1">_xlfn.LET(_xlpm.d,Q$2:Q$19,_xlpm.a,$C$2:$C$19=$C23,_xlpm.b,$D$2:$D$19=$D23,MAX(_xlfn._xlws.FILTER(_xlpm.d,_xlpm.a*_xlpm.b)))</calculatedColumnFormula>
    </tableColumn>
    <tableColumn id="17" xr3:uid="{A84B398D-FF3D-7C4D-B439-81D158F5A340}" name="sk4g-hash-at-both" dataDxfId="1">
      <calculatedColumnFormula array="1">_xlfn.LET(_xlpm.d,R$2:R$19,_xlpm.a,$C$2:$C$19=$C23,_xlpm.b,$D$2:$D$19=$D23,MAX(_xlfn._xlws.FILTER(_xlpm.d,_xlpm.a*_xlpm.b)))</calculatedColumnFormula>
    </tableColumn>
    <tableColumn id="18" xr3:uid="{D649750F-269C-4A44-853E-3EEF7DEC37D9}" name="max" dataDxfId="0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EB27-9274-6F4C-A515-2E8C1B310C79}">
  <dimension ref="A1:V55"/>
  <sheetViews>
    <sheetView tabSelected="1" workbookViewId="0">
      <pane xSplit="14460" ySplit="4080" topLeftCell="W1" activePane="bottomLeft"/>
      <selection activeCell="I19" sqref="I19"/>
      <selection pane="topRight" activeCell="I1" sqref="I1"/>
      <selection pane="bottomLeft" activeCell="F58" sqref="F58:F59"/>
      <selection pane="bottomRight" activeCell="AC60" sqref="AC60"/>
    </sheetView>
  </sheetViews>
  <sheetFormatPr baseColWidth="10" defaultRowHeight="26" customHeight="1"/>
  <cols>
    <col min="1" max="1" width="7.875" customWidth="1"/>
    <col min="2" max="2" width="7.5" customWidth="1"/>
    <col min="3" max="3" width="7.125" customWidth="1"/>
    <col min="4" max="4" width="8.125" customWidth="1"/>
    <col min="6" max="6" width="9.25" customWidth="1"/>
    <col min="7" max="7" width="7.625" customWidth="1"/>
    <col min="8" max="8" width="8.625" customWidth="1"/>
    <col min="9" max="9" width="17.5" customWidth="1"/>
    <col min="10" max="22" width="9" customWidth="1"/>
  </cols>
  <sheetData>
    <row r="1" spans="1:22" ht="26" customHeight="1">
      <c r="A1" t="s">
        <v>41</v>
      </c>
      <c r="B1" t="s">
        <v>42</v>
      </c>
      <c r="C1" t="s">
        <v>40</v>
      </c>
      <c r="D1" t="s">
        <v>11</v>
      </c>
      <c r="E1" t="s">
        <v>1</v>
      </c>
      <c r="F1" t="s">
        <v>14</v>
      </c>
      <c r="G1" t="s">
        <v>12</v>
      </c>
      <c r="H1" t="s">
        <v>13</v>
      </c>
      <c r="I1" t="s">
        <v>44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4</v>
      </c>
    </row>
    <row r="2" spans="1:22" ht="26" hidden="1" customHeight="1">
      <c r="A2" t="s">
        <v>43</v>
      </c>
      <c r="B2">
        <v>1.2</v>
      </c>
      <c r="C2">
        <v>3</v>
      </c>
      <c r="D2">
        <v>1</v>
      </c>
      <c r="E2" t="s">
        <v>5</v>
      </c>
      <c r="F2" t="b">
        <v>0</v>
      </c>
      <c r="G2">
        <v>1</v>
      </c>
      <c r="H2" t="s">
        <v>4</v>
      </c>
      <c r="I2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plu-suppl:F-mgv:3-sn:1.2k</v>
      </c>
      <c r="J2" s="1">
        <v>0.64</v>
      </c>
      <c r="K2" s="1">
        <v>0.63</v>
      </c>
      <c r="L2" s="1">
        <v>0.56000000000000005</v>
      </c>
      <c r="M2" s="1">
        <v>0.57999999999999996</v>
      </c>
      <c r="N2" s="1">
        <v>0.59</v>
      </c>
      <c r="O2" s="1">
        <v>0.7</v>
      </c>
      <c r="P2" s="1">
        <v>0.6</v>
      </c>
      <c r="Q2" s="1">
        <v>0.64</v>
      </c>
      <c r="R2" s="1">
        <v>0.68</v>
      </c>
      <c r="S2" s="1">
        <v>0.69</v>
      </c>
      <c r="T2" s="1">
        <v>0.69</v>
      </c>
      <c r="U2" s="1">
        <v>0.69</v>
      </c>
      <c r="V2" s="1">
        <v>0.7</v>
      </c>
    </row>
    <row r="3" spans="1:22" ht="26" hidden="1" customHeight="1">
      <c r="A3" t="s">
        <v>43</v>
      </c>
      <c r="B3">
        <v>1.2</v>
      </c>
      <c r="C3">
        <v>3</v>
      </c>
      <c r="D3">
        <v>1</v>
      </c>
      <c r="E3" t="s">
        <v>5</v>
      </c>
      <c r="F3" t="b">
        <v>1</v>
      </c>
      <c r="G3">
        <v>1</v>
      </c>
      <c r="H3" t="s">
        <v>4</v>
      </c>
      <c r="I3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plu-suppl:T-mgv:3-sn:1.2k</v>
      </c>
      <c r="J3" s="1">
        <v>0.67</v>
      </c>
      <c r="K3" s="1">
        <v>0.64</v>
      </c>
      <c r="L3" s="1">
        <v>0.57999999999999996</v>
      </c>
      <c r="M3" s="1">
        <v>0.6</v>
      </c>
      <c r="N3" s="1">
        <v>0.63</v>
      </c>
      <c r="O3" s="1">
        <v>0.74</v>
      </c>
      <c r="P3" s="1">
        <v>0.65</v>
      </c>
      <c r="Q3" s="1">
        <v>0.7</v>
      </c>
      <c r="R3" s="1">
        <v>0.7</v>
      </c>
      <c r="S3" s="1">
        <v>0.71</v>
      </c>
      <c r="T3" s="1">
        <v>0.73</v>
      </c>
      <c r="U3" s="1">
        <v>0.72</v>
      </c>
      <c r="V3" s="1">
        <v>0.74</v>
      </c>
    </row>
    <row r="4" spans="1:22" ht="26" hidden="1" customHeight="1">
      <c r="A4" t="s">
        <v>43</v>
      </c>
      <c r="B4">
        <v>1.2</v>
      </c>
      <c r="C4">
        <v>3</v>
      </c>
      <c r="D4">
        <v>2</v>
      </c>
      <c r="E4" t="s">
        <v>9</v>
      </c>
      <c r="F4" t="b">
        <v>0</v>
      </c>
      <c r="G4">
        <v>1</v>
      </c>
      <c r="H4" t="s">
        <v>4</v>
      </c>
      <c r="I4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gen-suppl:F-mgv:3-sn:1.2k</v>
      </c>
      <c r="J4" s="1">
        <v>0.73</v>
      </c>
      <c r="K4" s="1">
        <v>0.77</v>
      </c>
      <c r="L4" s="1">
        <v>0.77</v>
      </c>
      <c r="M4" s="1">
        <v>0.75</v>
      </c>
      <c r="N4" s="1">
        <v>0.7</v>
      </c>
      <c r="O4" s="1">
        <v>0.76</v>
      </c>
      <c r="P4" s="1">
        <v>0.74</v>
      </c>
      <c r="Q4" s="1">
        <v>0.77</v>
      </c>
      <c r="R4" s="1">
        <v>0.71</v>
      </c>
      <c r="S4" s="1">
        <v>0.7</v>
      </c>
      <c r="T4" s="1">
        <v>0.73</v>
      </c>
      <c r="U4" s="1">
        <v>0.74</v>
      </c>
      <c r="V4" s="1">
        <v>0.77</v>
      </c>
    </row>
    <row r="5" spans="1:22" ht="26" hidden="1" customHeight="1">
      <c r="A5" t="s">
        <v>43</v>
      </c>
      <c r="B5">
        <v>1.2</v>
      </c>
      <c r="C5">
        <v>3</v>
      </c>
      <c r="D5">
        <v>2</v>
      </c>
      <c r="E5" t="s">
        <v>9</v>
      </c>
      <c r="F5" t="b">
        <v>1</v>
      </c>
      <c r="G5">
        <v>1</v>
      </c>
      <c r="H5" t="s">
        <v>4</v>
      </c>
      <c r="I5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gen-suppl:T-mgv:3-sn:1.2k</v>
      </c>
      <c r="J5" s="1">
        <v>0.77</v>
      </c>
      <c r="K5" s="1">
        <v>0.79</v>
      </c>
      <c r="L5" s="1">
        <v>0.81</v>
      </c>
      <c r="M5" s="1">
        <v>0.77</v>
      </c>
      <c r="N5" s="1">
        <v>0.75</v>
      </c>
      <c r="O5" s="1">
        <v>0.75</v>
      </c>
      <c r="P5" s="1">
        <v>0.77</v>
      </c>
      <c r="Q5" s="1">
        <v>0.83</v>
      </c>
      <c r="R5" s="1">
        <v>0.74</v>
      </c>
      <c r="S5" s="1">
        <v>0.76</v>
      </c>
      <c r="T5" s="1">
        <v>0.77</v>
      </c>
      <c r="U5" s="1">
        <v>0.78</v>
      </c>
      <c r="V5" s="1">
        <v>0.83</v>
      </c>
    </row>
    <row r="6" spans="1:22" ht="26" hidden="1" customHeight="1">
      <c r="A6" t="s">
        <v>43</v>
      </c>
      <c r="B6">
        <v>1.2</v>
      </c>
      <c r="C6">
        <v>3</v>
      </c>
      <c r="D6">
        <v>3</v>
      </c>
      <c r="E6" t="s">
        <v>10</v>
      </c>
      <c r="F6" t="b">
        <v>0</v>
      </c>
      <c r="G6">
        <v>1</v>
      </c>
      <c r="H6" t="s">
        <v>4</v>
      </c>
      <c r="I6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cas-suppl:F-mgv:3-sn:1.2k</v>
      </c>
      <c r="J6" s="1">
        <v>0.98</v>
      </c>
      <c r="K6" s="1">
        <v>0.99</v>
      </c>
      <c r="L6" s="1">
        <v>0.96</v>
      </c>
      <c r="M6" s="1">
        <v>0.96</v>
      </c>
      <c r="N6" s="1">
        <v>0.98</v>
      </c>
      <c r="O6" s="1">
        <v>0.96</v>
      </c>
      <c r="P6" s="1">
        <v>0.97</v>
      </c>
      <c r="Q6" s="1">
        <v>0.94</v>
      </c>
      <c r="R6" s="1">
        <v>0.96</v>
      </c>
      <c r="S6" s="1">
        <v>0.96</v>
      </c>
      <c r="T6" s="1">
        <v>0.96</v>
      </c>
      <c r="U6" s="1">
        <v>0.96</v>
      </c>
      <c r="V6" s="1">
        <v>0.99</v>
      </c>
    </row>
    <row r="7" spans="1:22" ht="26" hidden="1" customHeight="1">
      <c r="A7" t="s">
        <v>43</v>
      </c>
      <c r="B7">
        <v>1.2</v>
      </c>
      <c r="C7">
        <v>3</v>
      </c>
      <c r="D7">
        <v>3</v>
      </c>
      <c r="E7" t="s">
        <v>10</v>
      </c>
      <c r="F7" t="b">
        <v>1</v>
      </c>
      <c r="G7">
        <v>1</v>
      </c>
      <c r="H7" t="s">
        <v>4</v>
      </c>
      <c r="I7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cas-suppl:T-mgv:3-sn:1.2k</v>
      </c>
      <c r="J7" s="1">
        <v>0.98</v>
      </c>
      <c r="K7" s="1">
        <v>0.99</v>
      </c>
      <c r="L7" s="1">
        <v>0.96</v>
      </c>
      <c r="M7" s="1">
        <v>0.96</v>
      </c>
      <c r="N7" s="1">
        <v>0.98</v>
      </c>
      <c r="O7" s="1">
        <v>0.96</v>
      </c>
      <c r="P7" s="1">
        <v>0.97</v>
      </c>
      <c r="Q7" s="1">
        <v>0.94</v>
      </c>
      <c r="R7" s="1">
        <v>0.96</v>
      </c>
      <c r="S7" s="1">
        <v>0.96</v>
      </c>
      <c r="T7" s="1">
        <v>0.96</v>
      </c>
      <c r="U7" s="1">
        <v>0.96</v>
      </c>
      <c r="V7" s="1">
        <v>0.99</v>
      </c>
    </row>
    <row r="8" spans="1:22" ht="26" hidden="1" customHeight="1">
      <c r="A8" t="s">
        <v>43</v>
      </c>
      <c r="B8">
        <v>1.2</v>
      </c>
      <c r="C8">
        <v>6</v>
      </c>
      <c r="D8">
        <v>1</v>
      </c>
      <c r="E8" t="s">
        <v>5</v>
      </c>
      <c r="F8" t="b">
        <v>0</v>
      </c>
      <c r="G8">
        <v>1</v>
      </c>
      <c r="H8" t="s">
        <v>4</v>
      </c>
      <c r="I8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plu-suppl:F-mgv:6-sn:1.2k</v>
      </c>
      <c r="J8" s="1">
        <v>0.71</v>
      </c>
      <c r="K8" s="1">
        <v>0.68</v>
      </c>
      <c r="L8" s="1">
        <v>0.63</v>
      </c>
      <c r="M8" s="1">
        <v>0.66</v>
      </c>
      <c r="N8" s="1">
        <v>0.61</v>
      </c>
      <c r="O8" s="1">
        <v>0.62</v>
      </c>
      <c r="P8" s="1">
        <v>0.71</v>
      </c>
      <c r="Q8" s="1">
        <v>0.62</v>
      </c>
      <c r="R8" s="1">
        <v>0.64</v>
      </c>
      <c r="S8" s="1">
        <v>0.68</v>
      </c>
      <c r="T8" s="1">
        <v>0.66</v>
      </c>
      <c r="U8" s="1">
        <v>0.7</v>
      </c>
      <c r="V8" s="1">
        <v>0.71</v>
      </c>
    </row>
    <row r="9" spans="1:22" ht="26" hidden="1" customHeight="1">
      <c r="A9" t="s">
        <v>43</v>
      </c>
      <c r="B9">
        <v>1.2</v>
      </c>
      <c r="C9">
        <v>6</v>
      </c>
      <c r="D9">
        <v>1</v>
      </c>
      <c r="E9" t="s">
        <v>5</v>
      </c>
      <c r="F9" t="b">
        <v>1</v>
      </c>
      <c r="G9">
        <v>1</v>
      </c>
      <c r="H9" t="s">
        <v>4</v>
      </c>
      <c r="I9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plu-suppl:T-mgv:6-sn:1.2k</v>
      </c>
      <c r="J9" s="1">
        <v>0.74</v>
      </c>
      <c r="K9" s="1">
        <v>0.77</v>
      </c>
      <c r="L9" s="1">
        <v>0.64</v>
      </c>
      <c r="M9" s="1">
        <v>0.68</v>
      </c>
      <c r="N9" s="1">
        <v>0.64</v>
      </c>
      <c r="O9" s="1">
        <v>0.66</v>
      </c>
      <c r="P9" s="1">
        <v>0.7</v>
      </c>
      <c r="Q9" s="1">
        <v>0.65</v>
      </c>
      <c r="R9" s="1">
        <v>0.68</v>
      </c>
      <c r="S9" s="1">
        <v>0.74</v>
      </c>
      <c r="T9" s="1">
        <v>0.7</v>
      </c>
      <c r="U9" s="1">
        <v>0.7</v>
      </c>
      <c r="V9" s="1">
        <v>0.77</v>
      </c>
    </row>
    <row r="10" spans="1:22" ht="26" hidden="1" customHeight="1">
      <c r="A10" t="s">
        <v>43</v>
      </c>
      <c r="B10">
        <v>1.2</v>
      </c>
      <c r="C10">
        <v>6</v>
      </c>
      <c r="D10">
        <v>2</v>
      </c>
      <c r="E10" t="s">
        <v>9</v>
      </c>
      <c r="F10" t="b">
        <v>0</v>
      </c>
      <c r="G10">
        <v>1</v>
      </c>
      <c r="H10" t="s">
        <v>4</v>
      </c>
      <c r="I10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gen-suppl:F-mgv:6-sn:1.2k</v>
      </c>
      <c r="J10" s="1">
        <v>0.72</v>
      </c>
      <c r="K10" s="1">
        <v>0.72</v>
      </c>
      <c r="L10" s="1">
        <v>0.75</v>
      </c>
      <c r="M10" s="1">
        <v>0.68</v>
      </c>
      <c r="N10" s="1">
        <v>0.71</v>
      </c>
      <c r="O10" s="1">
        <v>0.75</v>
      </c>
      <c r="P10" s="1">
        <v>0.73</v>
      </c>
      <c r="Q10" s="1">
        <v>0.72</v>
      </c>
      <c r="R10" s="1">
        <v>0.7</v>
      </c>
      <c r="S10" s="1">
        <v>0.75</v>
      </c>
      <c r="T10" s="1">
        <v>0.7</v>
      </c>
      <c r="U10" s="1">
        <v>0.75</v>
      </c>
      <c r="V10" s="1">
        <v>0.75</v>
      </c>
    </row>
    <row r="11" spans="1:22" ht="26" hidden="1" customHeight="1">
      <c r="A11" t="s">
        <v>43</v>
      </c>
      <c r="B11">
        <v>1.2</v>
      </c>
      <c r="C11">
        <v>6</v>
      </c>
      <c r="D11">
        <v>2</v>
      </c>
      <c r="E11" t="s">
        <v>9</v>
      </c>
      <c r="F11" t="b">
        <v>1</v>
      </c>
      <c r="G11">
        <v>1</v>
      </c>
      <c r="H11" t="s">
        <v>4</v>
      </c>
      <c r="I11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gen-suppl:T-mgv:6-sn:1.2k</v>
      </c>
      <c r="J11" s="1">
        <v>0.82</v>
      </c>
      <c r="K11" s="1">
        <v>0.76</v>
      </c>
      <c r="L11" s="1">
        <v>0.76</v>
      </c>
      <c r="M11" s="1">
        <v>0.73</v>
      </c>
      <c r="N11" s="1">
        <v>0.73</v>
      </c>
      <c r="O11" s="1">
        <v>0.77</v>
      </c>
      <c r="P11" s="1">
        <v>0.81</v>
      </c>
      <c r="Q11" s="1">
        <v>0.8</v>
      </c>
      <c r="R11" s="1">
        <v>0.76</v>
      </c>
      <c r="S11" s="1">
        <v>0.79</v>
      </c>
      <c r="T11" s="1">
        <v>0.72</v>
      </c>
      <c r="U11" s="1">
        <v>0.78</v>
      </c>
      <c r="V11" s="1">
        <v>0.82</v>
      </c>
    </row>
    <row r="12" spans="1:22" ht="26" hidden="1" customHeight="1">
      <c r="A12" t="s">
        <v>43</v>
      </c>
      <c r="B12">
        <v>1.2</v>
      </c>
      <c r="C12">
        <v>6</v>
      </c>
      <c r="D12">
        <v>3</v>
      </c>
      <c r="E12" t="s">
        <v>10</v>
      </c>
      <c r="F12" t="b">
        <v>0</v>
      </c>
      <c r="G12">
        <v>1</v>
      </c>
      <c r="H12" t="s">
        <v>4</v>
      </c>
      <c r="I12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cas-suppl:F-mgv:6-sn:1.2k</v>
      </c>
      <c r="J12" s="1">
        <v>0.95</v>
      </c>
      <c r="K12" s="1">
        <v>0.97</v>
      </c>
      <c r="L12" s="1">
        <v>0.96</v>
      </c>
      <c r="M12" s="1">
        <v>0.97</v>
      </c>
      <c r="N12" s="1">
        <v>0.96</v>
      </c>
      <c r="O12" s="1">
        <v>0.96</v>
      </c>
      <c r="P12" s="1">
        <v>0.98</v>
      </c>
      <c r="Q12" s="1">
        <v>0.94</v>
      </c>
      <c r="R12" s="1">
        <v>0.98</v>
      </c>
      <c r="S12" s="1">
        <v>0.96</v>
      </c>
      <c r="T12" s="1">
        <v>0.96</v>
      </c>
      <c r="U12" s="1">
        <v>1</v>
      </c>
      <c r="V12" s="1">
        <v>1</v>
      </c>
    </row>
    <row r="13" spans="1:22" ht="26" hidden="1" customHeight="1">
      <c r="A13" t="s">
        <v>43</v>
      </c>
      <c r="B13">
        <v>1.2</v>
      </c>
      <c r="C13">
        <v>6</v>
      </c>
      <c r="D13">
        <v>3</v>
      </c>
      <c r="E13" t="s">
        <v>10</v>
      </c>
      <c r="F13" t="b">
        <v>1</v>
      </c>
      <c r="G13">
        <v>1</v>
      </c>
      <c r="H13" t="s">
        <v>4</v>
      </c>
      <c r="I13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cas-suppl:T-mgv:6-sn:1.2k</v>
      </c>
      <c r="J13" s="1">
        <v>0.95</v>
      </c>
      <c r="K13" s="1">
        <v>0.97</v>
      </c>
      <c r="L13" s="1">
        <v>0.96</v>
      </c>
      <c r="M13" s="1">
        <v>0.97</v>
      </c>
      <c r="N13" s="1">
        <v>0.96</v>
      </c>
      <c r="O13" s="1">
        <v>0.96</v>
      </c>
      <c r="P13" s="1">
        <v>0.98</v>
      </c>
      <c r="Q13" s="1">
        <v>0.95</v>
      </c>
      <c r="R13" s="1">
        <v>0.98</v>
      </c>
      <c r="S13" s="1">
        <v>0.96</v>
      </c>
      <c r="T13" s="1">
        <v>0.96</v>
      </c>
      <c r="U13" s="1">
        <v>0.99</v>
      </c>
      <c r="V13" s="1">
        <v>0.99</v>
      </c>
    </row>
    <row r="14" spans="1:22" ht="26" hidden="1" customHeight="1">
      <c r="A14" t="s">
        <v>43</v>
      </c>
      <c r="B14">
        <v>1.2</v>
      </c>
      <c r="C14">
        <v>9</v>
      </c>
      <c r="D14">
        <v>1</v>
      </c>
      <c r="E14" t="s">
        <v>5</v>
      </c>
      <c r="F14" t="b">
        <v>0</v>
      </c>
      <c r="G14">
        <v>1</v>
      </c>
      <c r="H14" t="s">
        <v>4</v>
      </c>
      <c r="I14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plu-suppl:F-mgv:9-sn:1.2k</v>
      </c>
      <c r="J14" s="1">
        <v>0.65</v>
      </c>
      <c r="K14" s="1">
        <v>0.66</v>
      </c>
      <c r="L14" s="1">
        <v>0.7</v>
      </c>
      <c r="M14" s="1">
        <v>0.67</v>
      </c>
      <c r="N14" s="1">
        <v>0.69</v>
      </c>
      <c r="O14" s="1">
        <v>0.59</v>
      </c>
      <c r="P14" s="1">
        <v>0.66</v>
      </c>
      <c r="Q14" s="1">
        <v>0.64</v>
      </c>
      <c r="R14" s="1">
        <v>0.71</v>
      </c>
      <c r="S14" s="1">
        <v>0.73</v>
      </c>
      <c r="T14" s="1">
        <v>0.64</v>
      </c>
      <c r="U14" s="1">
        <v>0.67</v>
      </c>
      <c r="V14" s="1">
        <v>0.73</v>
      </c>
    </row>
    <row r="15" spans="1:22" ht="26" hidden="1" customHeight="1">
      <c r="A15" t="s">
        <v>43</v>
      </c>
      <c r="B15">
        <v>1.2</v>
      </c>
      <c r="C15">
        <v>9</v>
      </c>
      <c r="D15">
        <v>1</v>
      </c>
      <c r="E15" t="s">
        <v>5</v>
      </c>
      <c r="F15" t="b">
        <v>1</v>
      </c>
      <c r="G15">
        <v>1</v>
      </c>
      <c r="H15" t="s">
        <v>4</v>
      </c>
      <c r="I15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plu-suppl:T-mgv:9-sn:1.2k</v>
      </c>
      <c r="J15" s="1">
        <v>0.67</v>
      </c>
      <c r="K15" s="1">
        <v>0.77</v>
      </c>
      <c r="L15" s="1">
        <v>0.73</v>
      </c>
      <c r="M15" s="1">
        <v>0.68</v>
      </c>
      <c r="N15" s="1">
        <v>0.7</v>
      </c>
      <c r="O15" s="1">
        <v>0.62</v>
      </c>
      <c r="P15" s="1">
        <v>0.7</v>
      </c>
      <c r="Q15" s="1">
        <v>0.68</v>
      </c>
      <c r="R15" s="1">
        <v>0.68</v>
      </c>
      <c r="S15" s="1">
        <v>0.76</v>
      </c>
      <c r="T15" s="1">
        <v>0.66</v>
      </c>
      <c r="U15" s="1">
        <v>0.7</v>
      </c>
      <c r="V15" s="1">
        <v>0.77</v>
      </c>
    </row>
    <row r="16" spans="1:22" ht="26" hidden="1" customHeight="1">
      <c r="A16" t="s">
        <v>43</v>
      </c>
      <c r="B16">
        <v>1.2</v>
      </c>
      <c r="C16">
        <v>9</v>
      </c>
      <c r="D16">
        <v>2</v>
      </c>
      <c r="E16" t="s">
        <v>9</v>
      </c>
      <c r="F16" t="b">
        <v>0</v>
      </c>
      <c r="G16">
        <v>1</v>
      </c>
      <c r="H16" t="s">
        <v>4</v>
      </c>
      <c r="I16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gen-suppl:F-mgv:9-sn:1.2k</v>
      </c>
      <c r="J16" s="1">
        <v>0.71</v>
      </c>
      <c r="K16" s="1">
        <v>0.68</v>
      </c>
      <c r="L16" s="1">
        <v>0.81</v>
      </c>
      <c r="M16" s="1">
        <v>0.71</v>
      </c>
      <c r="N16" s="1">
        <v>0.74</v>
      </c>
      <c r="O16" s="1">
        <v>0.77</v>
      </c>
      <c r="P16" s="1">
        <v>0.72</v>
      </c>
      <c r="Q16" s="1">
        <v>0.73</v>
      </c>
      <c r="R16" s="1">
        <v>0.76</v>
      </c>
      <c r="S16" s="1">
        <v>0.71</v>
      </c>
      <c r="T16" s="1">
        <v>0.75</v>
      </c>
      <c r="U16" s="1">
        <v>0.82</v>
      </c>
      <c r="V16" s="1">
        <v>0.82</v>
      </c>
    </row>
    <row r="17" spans="1:22" ht="26" hidden="1" customHeight="1">
      <c r="A17" t="s">
        <v>43</v>
      </c>
      <c r="B17">
        <v>1.2</v>
      </c>
      <c r="C17">
        <v>9</v>
      </c>
      <c r="D17">
        <v>2</v>
      </c>
      <c r="E17" t="s">
        <v>9</v>
      </c>
      <c r="F17" t="b">
        <v>1</v>
      </c>
      <c r="G17">
        <v>1</v>
      </c>
      <c r="H17" t="s">
        <v>4</v>
      </c>
      <c r="I17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gen-suppl:T-mgv:9-sn:1.2k</v>
      </c>
      <c r="J17" s="1">
        <v>0.73</v>
      </c>
      <c r="K17" s="1">
        <v>0.73</v>
      </c>
      <c r="L17" s="1">
        <v>0.81</v>
      </c>
      <c r="M17" s="1">
        <v>0.82</v>
      </c>
      <c r="N17" s="1">
        <v>0.78</v>
      </c>
      <c r="O17" s="1">
        <v>0.79</v>
      </c>
      <c r="P17" s="1">
        <v>0.77</v>
      </c>
      <c r="Q17" s="1">
        <v>0.73</v>
      </c>
      <c r="R17" s="1">
        <v>0.77</v>
      </c>
      <c r="S17" s="1">
        <v>0.79</v>
      </c>
      <c r="T17" s="1">
        <v>0.76</v>
      </c>
      <c r="U17" s="1">
        <v>0.84</v>
      </c>
      <c r="V17" s="1">
        <v>0.84</v>
      </c>
    </row>
    <row r="18" spans="1:22" ht="26" hidden="1" customHeight="1">
      <c r="A18" t="s">
        <v>43</v>
      </c>
      <c r="B18">
        <v>1.2</v>
      </c>
      <c r="C18">
        <v>9</v>
      </c>
      <c r="D18">
        <v>3</v>
      </c>
      <c r="E18" t="s">
        <v>10</v>
      </c>
      <c r="F18" t="b">
        <v>0</v>
      </c>
      <c r="G18">
        <v>1</v>
      </c>
      <c r="H18" t="s">
        <v>4</v>
      </c>
      <c r="I18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cas-suppl:F-mgv:9-sn:1.2k</v>
      </c>
      <c r="J18" s="1">
        <v>0.99</v>
      </c>
      <c r="K18" s="1">
        <v>0.98</v>
      </c>
      <c r="L18" s="1">
        <v>0.97</v>
      </c>
      <c r="M18" s="1">
        <v>0.96</v>
      </c>
      <c r="N18" s="1">
        <v>0.97</v>
      </c>
      <c r="O18" s="1">
        <v>0.96</v>
      </c>
      <c r="P18" s="1">
        <v>0.97</v>
      </c>
      <c r="Q18" s="1">
        <v>0.98</v>
      </c>
      <c r="R18" s="1">
        <v>0.96</v>
      </c>
      <c r="S18" s="1">
        <v>0.99</v>
      </c>
      <c r="T18" s="1">
        <v>0.97</v>
      </c>
      <c r="U18" s="1">
        <v>0.95</v>
      </c>
      <c r="V18" s="1">
        <v>0.99</v>
      </c>
    </row>
    <row r="19" spans="1:22" ht="26" customHeight="1">
      <c r="A19" t="s">
        <v>43</v>
      </c>
      <c r="B19">
        <v>1.2</v>
      </c>
      <c r="C19">
        <v>9</v>
      </c>
      <c r="D19">
        <v>3</v>
      </c>
      <c r="E19" t="s">
        <v>10</v>
      </c>
      <c r="F19" t="b">
        <v>1</v>
      </c>
      <c r="G19">
        <v>1</v>
      </c>
      <c r="H19" t="s">
        <v>4</v>
      </c>
      <c r="I19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cas-suppl:T-mgv:9-sn:1.2k</v>
      </c>
      <c r="J19" s="1">
        <v>0.99</v>
      </c>
      <c r="K19" s="1">
        <v>0.98</v>
      </c>
      <c r="L19" s="1">
        <v>0.97</v>
      </c>
      <c r="M19" s="1">
        <v>0.96</v>
      </c>
      <c r="N19" s="1">
        <v>0.97</v>
      </c>
      <c r="O19" s="1">
        <v>0.96</v>
      </c>
      <c r="P19" s="1">
        <v>0.97</v>
      </c>
      <c r="Q19" s="1">
        <v>0.98</v>
      </c>
      <c r="R19" s="1">
        <v>0.96</v>
      </c>
      <c r="S19" s="1">
        <v>0.99</v>
      </c>
      <c r="T19" s="1">
        <v>0.97</v>
      </c>
      <c r="U19" s="1">
        <v>0.95</v>
      </c>
      <c r="V19" s="1">
        <v>0.99</v>
      </c>
    </row>
    <row r="20" spans="1:22" ht="26" hidden="1" customHeight="1">
      <c r="A20" t="s">
        <v>43</v>
      </c>
      <c r="B20">
        <v>2</v>
      </c>
      <c r="C20">
        <v>3</v>
      </c>
      <c r="D20">
        <v>1</v>
      </c>
      <c r="E20" t="s">
        <v>5</v>
      </c>
      <c r="F20" t="b">
        <v>0</v>
      </c>
      <c r="G20">
        <v>1</v>
      </c>
      <c r="H20" t="s">
        <v>4</v>
      </c>
      <c r="I20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plu-suppl:F-mgv:3-sn:2k</v>
      </c>
      <c r="J20" s="1">
        <v>0.69</v>
      </c>
      <c r="K20" s="1">
        <v>0.67</v>
      </c>
      <c r="L20" s="1">
        <v>0.72</v>
      </c>
      <c r="M20" s="1">
        <v>0.73</v>
      </c>
      <c r="N20" s="1">
        <v>0.72</v>
      </c>
      <c r="O20" s="1">
        <v>0.66</v>
      </c>
      <c r="P20" s="1">
        <v>0.65</v>
      </c>
      <c r="Q20" s="1">
        <v>0.68</v>
      </c>
      <c r="R20" s="1">
        <v>0.69</v>
      </c>
      <c r="S20" s="1">
        <v>0.74</v>
      </c>
      <c r="T20" s="1">
        <v>0.68</v>
      </c>
      <c r="U20" s="1">
        <v>0.71</v>
      </c>
      <c r="V20" s="1">
        <v>0.74</v>
      </c>
    </row>
    <row r="21" spans="1:22" ht="26" hidden="1" customHeight="1">
      <c r="A21" t="s">
        <v>43</v>
      </c>
      <c r="B21">
        <v>2</v>
      </c>
      <c r="C21">
        <v>3</v>
      </c>
      <c r="D21">
        <v>1</v>
      </c>
      <c r="E21" t="s">
        <v>5</v>
      </c>
      <c r="F21" t="b">
        <v>1</v>
      </c>
      <c r="G21">
        <v>1</v>
      </c>
      <c r="H21" t="s">
        <v>4</v>
      </c>
      <c r="I21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plu-suppl:T-mgv:3-sn:2k</v>
      </c>
      <c r="J21" s="1">
        <v>0.74</v>
      </c>
      <c r="K21" s="1">
        <v>0.7</v>
      </c>
      <c r="L21" s="1">
        <v>0.74</v>
      </c>
      <c r="M21" s="1">
        <v>0.76</v>
      </c>
      <c r="N21" s="1">
        <v>0.75</v>
      </c>
      <c r="O21" s="1">
        <v>0.71</v>
      </c>
      <c r="P21" s="1">
        <v>0.69</v>
      </c>
      <c r="Q21" s="1">
        <v>0.72</v>
      </c>
      <c r="R21" s="1">
        <v>0.74</v>
      </c>
      <c r="S21" s="1">
        <v>0.74</v>
      </c>
      <c r="T21" s="1">
        <v>0.71</v>
      </c>
      <c r="U21" s="1">
        <v>0.74</v>
      </c>
      <c r="V21" s="1">
        <v>0.76</v>
      </c>
    </row>
    <row r="22" spans="1:22" ht="26" hidden="1" customHeight="1">
      <c r="A22" t="s">
        <v>43</v>
      </c>
      <c r="B22">
        <v>2</v>
      </c>
      <c r="C22">
        <v>3</v>
      </c>
      <c r="D22">
        <v>2</v>
      </c>
      <c r="E22" t="s">
        <v>9</v>
      </c>
      <c r="F22" t="b">
        <v>0</v>
      </c>
      <c r="G22">
        <v>1</v>
      </c>
      <c r="H22" t="s">
        <v>4</v>
      </c>
      <c r="I22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gen-suppl:F-mgv:3-sn:2k</v>
      </c>
      <c r="J22" s="1">
        <v>0.74</v>
      </c>
      <c r="K22" s="1">
        <v>0.78</v>
      </c>
      <c r="L22" s="1">
        <v>0.78</v>
      </c>
      <c r="M22" s="1">
        <v>0.73</v>
      </c>
      <c r="N22" s="1">
        <v>0.74</v>
      </c>
      <c r="O22" s="1">
        <v>0.73</v>
      </c>
      <c r="P22" s="1">
        <v>0.65</v>
      </c>
      <c r="Q22" s="1">
        <v>0.72</v>
      </c>
      <c r="R22" s="1">
        <v>0.72</v>
      </c>
      <c r="S22" s="1">
        <v>0.77</v>
      </c>
      <c r="T22" s="1">
        <v>0.75</v>
      </c>
      <c r="U22" s="1">
        <v>0.76</v>
      </c>
      <c r="V22" s="1">
        <v>0.78</v>
      </c>
    </row>
    <row r="23" spans="1:22" ht="26" hidden="1" customHeight="1">
      <c r="A23" t="s">
        <v>43</v>
      </c>
      <c r="B23">
        <v>2</v>
      </c>
      <c r="C23">
        <v>3</v>
      </c>
      <c r="D23">
        <v>2</v>
      </c>
      <c r="E23" t="s">
        <v>9</v>
      </c>
      <c r="F23" t="b">
        <v>1</v>
      </c>
      <c r="G23">
        <v>1</v>
      </c>
      <c r="H23" t="s">
        <v>4</v>
      </c>
      <c r="I23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gen-suppl:T-mgv:3-sn:2k</v>
      </c>
      <c r="J23" s="1">
        <v>0.83</v>
      </c>
      <c r="K23" s="1">
        <v>0.8</v>
      </c>
      <c r="L23" s="1">
        <v>0.8</v>
      </c>
      <c r="M23" s="1">
        <v>0.76</v>
      </c>
      <c r="N23" s="1">
        <v>0.79</v>
      </c>
      <c r="O23" s="1">
        <v>0.78</v>
      </c>
      <c r="P23" s="1">
        <v>0.75</v>
      </c>
      <c r="Q23" s="1">
        <v>0.77</v>
      </c>
      <c r="R23" s="1">
        <v>0.8</v>
      </c>
      <c r="S23" s="1">
        <v>0.81</v>
      </c>
      <c r="T23" s="1">
        <v>0.77</v>
      </c>
      <c r="U23" s="1">
        <v>0.8</v>
      </c>
      <c r="V23" s="1">
        <v>0.83</v>
      </c>
    </row>
    <row r="24" spans="1:22" ht="26" hidden="1" customHeight="1">
      <c r="A24" t="s">
        <v>43</v>
      </c>
      <c r="B24">
        <v>2</v>
      </c>
      <c r="C24">
        <v>3</v>
      </c>
      <c r="D24">
        <v>3</v>
      </c>
      <c r="E24" t="s">
        <v>10</v>
      </c>
      <c r="F24" t="b">
        <v>0</v>
      </c>
      <c r="G24">
        <v>1</v>
      </c>
      <c r="H24" t="s">
        <v>4</v>
      </c>
      <c r="I24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cas-suppl:F-mgv:3-sn:2k</v>
      </c>
      <c r="J24" s="1">
        <v>0.97</v>
      </c>
      <c r="K24" s="1">
        <v>0.96</v>
      </c>
      <c r="L24" s="1">
        <v>0.99</v>
      </c>
      <c r="M24" s="1">
        <v>0.98</v>
      </c>
      <c r="N24" s="1">
        <v>0.95</v>
      </c>
      <c r="O24" s="1">
        <v>0.96</v>
      </c>
      <c r="P24" s="1">
        <v>0.98</v>
      </c>
      <c r="Q24" s="1">
        <v>0.97</v>
      </c>
      <c r="R24" s="1">
        <v>0.95</v>
      </c>
      <c r="S24" s="1">
        <v>0.94</v>
      </c>
      <c r="T24" s="1">
        <v>0.98</v>
      </c>
      <c r="U24" s="1">
        <v>0.96</v>
      </c>
      <c r="V24" s="1">
        <v>0.99</v>
      </c>
    </row>
    <row r="25" spans="1:22" ht="26" hidden="1" customHeight="1">
      <c r="A25" t="s">
        <v>43</v>
      </c>
      <c r="B25">
        <v>2</v>
      </c>
      <c r="C25">
        <v>3</v>
      </c>
      <c r="D25">
        <v>3</v>
      </c>
      <c r="E25" t="s">
        <v>10</v>
      </c>
      <c r="F25" t="b">
        <v>1</v>
      </c>
      <c r="G25">
        <v>1</v>
      </c>
      <c r="H25" t="s">
        <v>4</v>
      </c>
      <c r="I25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cas-suppl:T-mgv:3-sn:2k</v>
      </c>
      <c r="J25" s="1">
        <v>0.97</v>
      </c>
      <c r="K25" s="1">
        <v>0.97</v>
      </c>
      <c r="L25" s="1">
        <v>0.99</v>
      </c>
      <c r="M25" s="1">
        <v>0.98</v>
      </c>
      <c r="N25" s="1">
        <v>0.96</v>
      </c>
      <c r="O25" s="1">
        <v>0.96</v>
      </c>
      <c r="P25" s="1">
        <v>0.98</v>
      </c>
      <c r="Q25" s="1">
        <v>0.97</v>
      </c>
      <c r="R25" s="1">
        <v>0.96</v>
      </c>
      <c r="S25" s="1">
        <v>0.95</v>
      </c>
      <c r="T25" s="1">
        <v>0.98</v>
      </c>
      <c r="U25" s="1">
        <v>0.96</v>
      </c>
      <c r="V25" s="1">
        <v>0.99</v>
      </c>
    </row>
    <row r="26" spans="1:22" ht="26" hidden="1" customHeight="1">
      <c r="A26" t="s">
        <v>43</v>
      </c>
      <c r="B26">
        <v>2</v>
      </c>
      <c r="C26">
        <v>6</v>
      </c>
      <c r="D26">
        <v>1</v>
      </c>
      <c r="E26" t="s">
        <v>5</v>
      </c>
      <c r="F26" t="b">
        <v>0</v>
      </c>
      <c r="G26">
        <v>1</v>
      </c>
      <c r="H26" t="s">
        <v>4</v>
      </c>
      <c r="I26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plu-suppl:F-mgv:6-sn:2k</v>
      </c>
      <c r="J26" s="1">
        <v>0.69</v>
      </c>
      <c r="K26" s="1">
        <v>0.73</v>
      </c>
      <c r="L26" s="1">
        <v>0.7</v>
      </c>
      <c r="M26" s="1">
        <v>0.72</v>
      </c>
      <c r="N26" s="1">
        <v>0.7</v>
      </c>
      <c r="O26" s="1">
        <v>0.7</v>
      </c>
      <c r="P26" s="1">
        <v>0.66</v>
      </c>
      <c r="Q26" s="1">
        <v>0.72</v>
      </c>
      <c r="R26" s="1">
        <v>0.66</v>
      </c>
      <c r="S26" s="1">
        <v>0.64</v>
      </c>
      <c r="T26" s="1">
        <v>0.71</v>
      </c>
      <c r="U26" s="1">
        <v>0.68</v>
      </c>
      <c r="V26" s="1">
        <v>0.73</v>
      </c>
    </row>
    <row r="27" spans="1:22" ht="26" hidden="1" customHeight="1">
      <c r="A27" t="s">
        <v>43</v>
      </c>
      <c r="B27">
        <v>2</v>
      </c>
      <c r="C27">
        <v>6</v>
      </c>
      <c r="D27">
        <v>1</v>
      </c>
      <c r="E27" t="s">
        <v>5</v>
      </c>
      <c r="F27" t="b">
        <v>1</v>
      </c>
      <c r="G27">
        <v>1</v>
      </c>
      <c r="H27" t="s">
        <v>4</v>
      </c>
      <c r="I27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plu-suppl:T-mgv:6-sn:2k</v>
      </c>
      <c r="J27" s="1">
        <v>0.73</v>
      </c>
      <c r="K27" s="1">
        <v>0.71</v>
      </c>
      <c r="L27" s="1">
        <v>0.72</v>
      </c>
      <c r="M27" s="1">
        <v>0.76</v>
      </c>
      <c r="N27" s="1">
        <v>0.69</v>
      </c>
      <c r="O27" s="1">
        <v>0.72</v>
      </c>
      <c r="P27" s="1">
        <v>0.73</v>
      </c>
      <c r="Q27" s="1">
        <v>0.74</v>
      </c>
      <c r="R27" s="1">
        <v>0.66</v>
      </c>
      <c r="S27" s="1">
        <v>0.7</v>
      </c>
      <c r="T27" s="1">
        <v>0.74</v>
      </c>
      <c r="U27" s="1">
        <v>0.73</v>
      </c>
      <c r="V27" s="1">
        <v>0.76</v>
      </c>
    </row>
    <row r="28" spans="1:22" ht="26" hidden="1" customHeight="1">
      <c r="A28" t="s">
        <v>43</v>
      </c>
      <c r="B28">
        <v>2</v>
      </c>
      <c r="C28">
        <v>6</v>
      </c>
      <c r="D28">
        <v>2</v>
      </c>
      <c r="E28" t="s">
        <v>9</v>
      </c>
      <c r="F28" t="b">
        <v>0</v>
      </c>
      <c r="G28">
        <v>1</v>
      </c>
      <c r="H28" t="s">
        <v>4</v>
      </c>
      <c r="I28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gen-suppl:F-mgv:6-sn:2k</v>
      </c>
      <c r="J28" s="1">
        <v>0.73</v>
      </c>
      <c r="K28" s="1">
        <v>0.71</v>
      </c>
      <c r="L28" s="1">
        <v>0.76</v>
      </c>
      <c r="M28" s="1">
        <v>0.75</v>
      </c>
      <c r="N28" s="1">
        <v>0.75</v>
      </c>
      <c r="O28" s="1">
        <v>0.79</v>
      </c>
      <c r="P28" s="1">
        <v>0.72</v>
      </c>
      <c r="Q28" s="1">
        <v>0.76</v>
      </c>
      <c r="R28" s="1">
        <v>0.74</v>
      </c>
      <c r="S28" s="1">
        <v>0.72</v>
      </c>
      <c r="T28" s="1">
        <v>0.74</v>
      </c>
      <c r="U28" s="1">
        <v>0.76</v>
      </c>
      <c r="V28" s="1">
        <v>0.79</v>
      </c>
    </row>
    <row r="29" spans="1:22" ht="26" hidden="1" customHeight="1">
      <c r="A29" t="s">
        <v>43</v>
      </c>
      <c r="B29">
        <v>2</v>
      </c>
      <c r="C29">
        <v>6</v>
      </c>
      <c r="D29">
        <v>2</v>
      </c>
      <c r="E29" t="s">
        <v>9</v>
      </c>
      <c r="F29" t="b">
        <v>1</v>
      </c>
      <c r="G29">
        <v>1</v>
      </c>
      <c r="H29" t="s">
        <v>4</v>
      </c>
      <c r="I29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gen-suppl:T-mgv:6-sn:2k</v>
      </c>
      <c r="J29" s="1">
        <v>0.8</v>
      </c>
      <c r="K29" s="1">
        <v>0.75</v>
      </c>
      <c r="L29" s="1">
        <v>0.78</v>
      </c>
      <c r="M29" s="1">
        <v>0.84</v>
      </c>
      <c r="N29" s="1">
        <v>0.75</v>
      </c>
      <c r="O29" s="1">
        <v>0.81</v>
      </c>
      <c r="P29" s="1">
        <v>0.76</v>
      </c>
      <c r="Q29" s="1">
        <v>0.78</v>
      </c>
      <c r="R29" s="1">
        <v>0.76</v>
      </c>
      <c r="S29" s="1">
        <v>0.79</v>
      </c>
      <c r="T29" s="1">
        <v>0.75</v>
      </c>
      <c r="U29" s="1">
        <v>0.8</v>
      </c>
      <c r="V29" s="1">
        <v>0.84</v>
      </c>
    </row>
    <row r="30" spans="1:22" ht="26" hidden="1" customHeight="1">
      <c r="A30" t="s">
        <v>43</v>
      </c>
      <c r="B30">
        <v>2</v>
      </c>
      <c r="C30">
        <v>6</v>
      </c>
      <c r="D30">
        <v>3</v>
      </c>
      <c r="E30" t="s">
        <v>10</v>
      </c>
      <c r="F30" t="b">
        <v>0</v>
      </c>
      <c r="G30">
        <v>1</v>
      </c>
      <c r="H30" t="s">
        <v>4</v>
      </c>
      <c r="I30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cas-suppl:F-mgv:6-sn:2k</v>
      </c>
      <c r="J30" s="5">
        <v>0.97</v>
      </c>
      <c r="K30" s="5">
        <v>0.97</v>
      </c>
      <c r="L30" s="5">
        <v>0.98</v>
      </c>
      <c r="M30" s="5">
        <v>0.96</v>
      </c>
      <c r="N30" s="5">
        <v>0.97</v>
      </c>
      <c r="O30" s="5">
        <v>0.95</v>
      </c>
      <c r="P30" s="5">
        <v>0.97</v>
      </c>
      <c r="Q30" s="5">
        <v>0.97</v>
      </c>
      <c r="R30" s="5">
        <v>0.97</v>
      </c>
      <c r="S30" s="5">
        <v>0.97</v>
      </c>
      <c r="T30" s="5">
        <v>0.97</v>
      </c>
      <c r="U30" s="5">
        <v>0.97</v>
      </c>
      <c r="V30" s="5">
        <v>0.98</v>
      </c>
    </row>
    <row r="31" spans="1:22" ht="26" hidden="1" customHeight="1">
      <c r="A31" t="s">
        <v>43</v>
      </c>
      <c r="B31">
        <v>2</v>
      </c>
      <c r="C31">
        <v>6</v>
      </c>
      <c r="D31">
        <v>3</v>
      </c>
      <c r="E31" t="s">
        <v>10</v>
      </c>
      <c r="F31" t="b">
        <v>1</v>
      </c>
      <c r="G31">
        <v>1</v>
      </c>
      <c r="H31" t="s">
        <v>4</v>
      </c>
      <c r="I31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cas-suppl:T-mgv:6-sn:2k</v>
      </c>
      <c r="J31" s="5">
        <v>0.98</v>
      </c>
      <c r="K31" s="5">
        <v>0.97</v>
      </c>
      <c r="L31" s="5">
        <v>0.98</v>
      </c>
      <c r="M31" s="5">
        <v>0.96</v>
      </c>
      <c r="N31" s="5">
        <v>0.96</v>
      </c>
      <c r="O31" s="5">
        <v>0.95</v>
      </c>
      <c r="P31" s="5">
        <v>0.97</v>
      </c>
      <c r="Q31" s="5">
        <v>0.97</v>
      </c>
      <c r="R31" s="5">
        <v>0.97</v>
      </c>
      <c r="S31" s="5">
        <v>0.98</v>
      </c>
      <c r="T31" s="5">
        <v>0.97</v>
      </c>
      <c r="U31" s="5">
        <v>0.97</v>
      </c>
      <c r="V31" s="5">
        <v>0.98</v>
      </c>
    </row>
    <row r="32" spans="1:22" ht="26" hidden="1" customHeight="1">
      <c r="A32" t="s">
        <v>43</v>
      </c>
      <c r="B32">
        <v>2</v>
      </c>
      <c r="C32">
        <v>9</v>
      </c>
      <c r="D32">
        <v>1</v>
      </c>
      <c r="E32" t="s">
        <v>5</v>
      </c>
      <c r="F32" t="b">
        <v>0</v>
      </c>
      <c r="G32">
        <v>1</v>
      </c>
      <c r="H32" t="s">
        <v>4</v>
      </c>
      <c r="I32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plu-suppl:F-mgv:9-sn:2k</v>
      </c>
      <c r="J32" s="5">
        <v>0.67</v>
      </c>
      <c r="K32" s="5">
        <v>0.64</v>
      </c>
      <c r="L32" s="5">
        <v>0.67</v>
      </c>
      <c r="M32" s="5">
        <v>0.66</v>
      </c>
      <c r="N32" s="5">
        <v>0.6</v>
      </c>
      <c r="O32" s="5">
        <v>0.66</v>
      </c>
      <c r="P32" s="5">
        <v>0.64</v>
      </c>
      <c r="Q32" s="5">
        <v>0.7</v>
      </c>
      <c r="R32" s="5">
        <v>0.7</v>
      </c>
      <c r="S32" s="5">
        <v>0.65</v>
      </c>
      <c r="T32" s="5">
        <v>0.72</v>
      </c>
      <c r="U32" s="5">
        <v>0.73</v>
      </c>
      <c r="V32" s="5">
        <v>0.73</v>
      </c>
    </row>
    <row r="33" spans="1:22" ht="26" hidden="1" customHeight="1">
      <c r="A33" t="s">
        <v>43</v>
      </c>
      <c r="B33">
        <v>2</v>
      </c>
      <c r="C33">
        <v>9</v>
      </c>
      <c r="D33">
        <v>1</v>
      </c>
      <c r="E33" t="s">
        <v>5</v>
      </c>
      <c r="F33" t="b">
        <v>1</v>
      </c>
      <c r="G33">
        <v>1</v>
      </c>
      <c r="H33" t="s">
        <v>4</v>
      </c>
      <c r="I33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plu-suppl:T-mgv:9-sn:2k</v>
      </c>
      <c r="J33" s="5">
        <v>0.68</v>
      </c>
      <c r="K33" s="5">
        <v>0.74</v>
      </c>
      <c r="L33" s="5">
        <v>0.71</v>
      </c>
      <c r="M33" s="5">
        <v>0.68</v>
      </c>
      <c r="N33" s="5">
        <v>0.6</v>
      </c>
      <c r="O33" s="5">
        <v>0.72</v>
      </c>
      <c r="P33" s="5">
        <v>0.71</v>
      </c>
      <c r="Q33" s="5">
        <v>0.74</v>
      </c>
      <c r="R33" s="5">
        <v>0.72</v>
      </c>
      <c r="S33" s="5">
        <v>0.69</v>
      </c>
      <c r="T33" s="5">
        <v>0.72</v>
      </c>
      <c r="U33" s="5">
        <v>0.74</v>
      </c>
      <c r="V33" s="5">
        <v>0.74</v>
      </c>
    </row>
    <row r="34" spans="1:22" ht="26" hidden="1" customHeight="1">
      <c r="A34" t="s">
        <v>43</v>
      </c>
      <c r="B34">
        <v>2</v>
      </c>
      <c r="C34">
        <v>9</v>
      </c>
      <c r="D34">
        <v>2</v>
      </c>
      <c r="E34" t="s">
        <v>9</v>
      </c>
      <c r="F34" t="b">
        <v>0</v>
      </c>
      <c r="G34">
        <v>1</v>
      </c>
      <c r="H34" t="s">
        <v>4</v>
      </c>
      <c r="I34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gen-suppl:F-mgv:9-sn:2k</v>
      </c>
      <c r="J34" s="5">
        <v>0.69</v>
      </c>
      <c r="K34" s="5">
        <v>0.75</v>
      </c>
      <c r="L34" s="5">
        <v>0.71</v>
      </c>
      <c r="M34" s="5">
        <v>0.72</v>
      </c>
      <c r="N34" s="5">
        <v>0.71</v>
      </c>
      <c r="O34" s="5">
        <v>0.77</v>
      </c>
      <c r="P34" s="5">
        <v>0.72</v>
      </c>
      <c r="Q34" s="5">
        <v>0.73</v>
      </c>
      <c r="R34" s="5">
        <v>0.73</v>
      </c>
      <c r="S34" s="5">
        <v>0.75</v>
      </c>
      <c r="T34" s="5">
        <v>0.74</v>
      </c>
      <c r="U34" s="5">
        <v>0.71</v>
      </c>
      <c r="V34" s="5">
        <v>0.77</v>
      </c>
    </row>
    <row r="35" spans="1:22" ht="26" hidden="1" customHeight="1">
      <c r="A35" t="s">
        <v>43</v>
      </c>
      <c r="B35">
        <v>2</v>
      </c>
      <c r="C35">
        <v>9</v>
      </c>
      <c r="D35">
        <v>2</v>
      </c>
      <c r="E35" t="s">
        <v>9</v>
      </c>
      <c r="F35" t="b">
        <v>1</v>
      </c>
      <c r="G35">
        <v>1</v>
      </c>
      <c r="H35" t="s">
        <v>4</v>
      </c>
      <c r="I35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gen-suppl:T-mgv:9-sn:2k</v>
      </c>
      <c r="J35" s="5">
        <v>0.77</v>
      </c>
      <c r="K35" s="5">
        <v>0.77</v>
      </c>
      <c r="L35" s="5">
        <v>0.75</v>
      </c>
      <c r="M35" s="5">
        <v>0.78</v>
      </c>
      <c r="N35" s="5">
        <v>0.71</v>
      </c>
      <c r="O35" s="5">
        <v>0.81</v>
      </c>
      <c r="P35" s="5">
        <v>0.77</v>
      </c>
      <c r="Q35" s="5">
        <v>0.76</v>
      </c>
      <c r="R35" s="5">
        <v>0.79</v>
      </c>
      <c r="S35" s="5">
        <v>0.78</v>
      </c>
      <c r="T35" s="5">
        <v>0.75</v>
      </c>
      <c r="U35" s="5">
        <v>0.79</v>
      </c>
      <c r="V35" s="5">
        <v>0.81</v>
      </c>
    </row>
    <row r="36" spans="1:22" ht="26" hidden="1" customHeight="1">
      <c r="A36" t="s">
        <v>43</v>
      </c>
      <c r="B36">
        <v>2</v>
      </c>
      <c r="C36">
        <v>9</v>
      </c>
      <c r="D36">
        <v>3</v>
      </c>
      <c r="E36" t="s">
        <v>10</v>
      </c>
      <c r="F36" t="b">
        <v>0</v>
      </c>
      <c r="G36">
        <v>1</v>
      </c>
      <c r="H36" t="s">
        <v>4</v>
      </c>
      <c r="I36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cas-suppl:F-mgv:9-sn:2k</v>
      </c>
      <c r="J36" s="5">
        <v>0.97</v>
      </c>
      <c r="K36" s="5">
        <v>0.95</v>
      </c>
      <c r="L36" s="5">
        <v>0.98</v>
      </c>
      <c r="M36" s="5">
        <v>0.99</v>
      </c>
      <c r="N36" s="5">
        <v>0.97</v>
      </c>
      <c r="O36" s="5">
        <v>0.98</v>
      </c>
      <c r="P36" s="5">
        <v>0.98</v>
      </c>
      <c r="Q36" s="5">
        <v>0.95</v>
      </c>
      <c r="R36" s="5">
        <v>0.96</v>
      </c>
      <c r="S36" s="5">
        <v>0.96</v>
      </c>
      <c r="T36" s="5">
        <v>0.95</v>
      </c>
      <c r="U36" s="5">
        <v>0.96</v>
      </c>
      <c r="V36" s="5">
        <v>0.99</v>
      </c>
    </row>
    <row r="37" spans="1:22" ht="26" customHeight="1">
      <c r="A37" t="s">
        <v>43</v>
      </c>
      <c r="B37">
        <v>2</v>
      </c>
      <c r="C37">
        <v>9</v>
      </c>
      <c r="D37">
        <v>3</v>
      </c>
      <c r="E37" t="s">
        <v>10</v>
      </c>
      <c r="F37" t="b">
        <v>1</v>
      </c>
      <c r="G37">
        <v>1</v>
      </c>
      <c r="H37" t="s">
        <v>4</v>
      </c>
      <c r="I37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cas-suppl:T-mgv:9-sn:2k</v>
      </c>
      <c r="J37" s="5">
        <v>0.98</v>
      </c>
      <c r="K37" s="5">
        <v>0.95</v>
      </c>
      <c r="L37" s="5">
        <v>0.98</v>
      </c>
      <c r="M37" s="5">
        <v>0.99</v>
      </c>
      <c r="N37" s="5">
        <v>0.97</v>
      </c>
      <c r="O37" s="5">
        <v>0.98</v>
      </c>
      <c r="P37" s="5">
        <v>0.98</v>
      </c>
      <c r="Q37" s="5">
        <v>0.95</v>
      </c>
      <c r="R37" s="5">
        <v>0.96</v>
      </c>
      <c r="S37" s="5">
        <v>0.96</v>
      </c>
      <c r="T37" s="5">
        <v>0.95</v>
      </c>
      <c r="U37" s="5">
        <v>0.96</v>
      </c>
      <c r="V37" s="5">
        <v>0.99</v>
      </c>
    </row>
    <row r="38" spans="1:22" ht="26" hidden="1" customHeight="1">
      <c r="A38" t="s">
        <v>43</v>
      </c>
      <c r="B38">
        <v>3</v>
      </c>
      <c r="C38">
        <v>3</v>
      </c>
      <c r="D38">
        <v>1</v>
      </c>
      <c r="E38" t="s">
        <v>5</v>
      </c>
      <c r="F38" t="b">
        <v>0</v>
      </c>
      <c r="G38">
        <v>1</v>
      </c>
      <c r="H38" t="s">
        <v>4</v>
      </c>
      <c r="I38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plu-suppl:F-mgv:3-sn:3k</v>
      </c>
      <c r="J38" s="5">
        <v>0.72</v>
      </c>
      <c r="K38" s="5">
        <v>0.67</v>
      </c>
      <c r="L38" s="5">
        <v>0.7</v>
      </c>
      <c r="M38" s="5">
        <v>0.7</v>
      </c>
      <c r="N38" s="5">
        <v>0.72</v>
      </c>
      <c r="O38" s="5">
        <v>0.67</v>
      </c>
      <c r="P38" s="5">
        <v>0.69</v>
      </c>
      <c r="Q38" s="5">
        <v>0.71</v>
      </c>
      <c r="R38" s="5">
        <v>0.72</v>
      </c>
      <c r="S38" s="5">
        <v>0.7</v>
      </c>
      <c r="T38" s="5">
        <v>0.72</v>
      </c>
      <c r="U38" s="5">
        <v>0.69</v>
      </c>
      <c r="V38" s="5">
        <v>0.72</v>
      </c>
    </row>
    <row r="39" spans="1:22" ht="26" hidden="1" customHeight="1">
      <c r="A39" t="s">
        <v>43</v>
      </c>
      <c r="B39">
        <v>3</v>
      </c>
      <c r="C39">
        <v>3</v>
      </c>
      <c r="D39">
        <v>1</v>
      </c>
      <c r="E39" t="s">
        <v>5</v>
      </c>
      <c r="F39" t="b">
        <v>1</v>
      </c>
      <c r="G39">
        <v>1</v>
      </c>
      <c r="H39" t="s">
        <v>4</v>
      </c>
      <c r="I39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plu-suppl:T-mgv:3-sn:3k</v>
      </c>
      <c r="J39" s="5">
        <v>0.73</v>
      </c>
      <c r="K39" s="5">
        <v>0.71</v>
      </c>
      <c r="L39" s="5">
        <v>0.77</v>
      </c>
      <c r="M39" s="5">
        <v>0.75</v>
      </c>
      <c r="N39" s="5">
        <v>0.72</v>
      </c>
      <c r="O39" s="5">
        <v>0.72</v>
      </c>
      <c r="P39" s="5">
        <v>0.72</v>
      </c>
      <c r="Q39" s="5">
        <v>0.78</v>
      </c>
      <c r="R39" s="5">
        <v>0.75</v>
      </c>
      <c r="S39" s="5">
        <v>0.75</v>
      </c>
      <c r="T39" s="5">
        <v>0.73</v>
      </c>
      <c r="U39" s="5">
        <v>0.71</v>
      </c>
      <c r="V39" s="5">
        <v>0.78</v>
      </c>
    </row>
    <row r="40" spans="1:22" ht="26" hidden="1" customHeight="1">
      <c r="A40" t="s">
        <v>43</v>
      </c>
      <c r="B40">
        <v>3</v>
      </c>
      <c r="C40">
        <v>3</v>
      </c>
      <c r="D40">
        <v>2</v>
      </c>
      <c r="E40" t="s">
        <v>9</v>
      </c>
      <c r="F40" t="b">
        <v>0</v>
      </c>
      <c r="G40">
        <v>1</v>
      </c>
      <c r="H40" t="s">
        <v>4</v>
      </c>
      <c r="I40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gen-suppl:F-mgv:3-sn:3k</v>
      </c>
      <c r="J40" s="5">
        <v>0.72</v>
      </c>
      <c r="K40" s="5">
        <v>0.78</v>
      </c>
      <c r="L40" s="5">
        <v>0.73</v>
      </c>
      <c r="M40" s="5">
        <v>0.75</v>
      </c>
      <c r="N40" s="5">
        <v>0.75</v>
      </c>
      <c r="O40" s="5">
        <v>0.75</v>
      </c>
      <c r="P40" s="5">
        <v>0.73</v>
      </c>
      <c r="Q40" s="5">
        <v>0.82</v>
      </c>
      <c r="R40" s="5">
        <v>0.74</v>
      </c>
      <c r="S40" s="5">
        <v>0.72</v>
      </c>
      <c r="T40" s="5">
        <v>0.74</v>
      </c>
      <c r="U40" s="5">
        <v>0.71</v>
      </c>
      <c r="V40" s="5">
        <v>0.82</v>
      </c>
    </row>
    <row r="41" spans="1:22" ht="26" hidden="1" customHeight="1">
      <c r="A41" t="s">
        <v>43</v>
      </c>
      <c r="B41">
        <v>3</v>
      </c>
      <c r="C41">
        <v>3</v>
      </c>
      <c r="D41">
        <v>2</v>
      </c>
      <c r="E41" t="s">
        <v>9</v>
      </c>
      <c r="F41" t="b">
        <v>1</v>
      </c>
      <c r="G41">
        <v>1</v>
      </c>
      <c r="H41" t="s">
        <v>4</v>
      </c>
      <c r="I41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gen-suppl:T-mgv:3-sn:3k</v>
      </c>
      <c r="J41" s="5">
        <v>0.81</v>
      </c>
      <c r="K41" s="5">
        <v>0.81</v>
      </c>
      <c r="L41" s="5">
        <v>0.79</v>
      </c>
      <c r="M41" s="5">
        <v>0.82</v>
      </c>
      <c r="N41" s="5">
        <v>0.8</v>
      </c>
      <c r="O41" s="5">
        <v>0.78</v>
      </c>
      <c r="P41" s="5">
        <v>0.84</v>
      </c>
      <c r="Q41" s="5">
        <v>0.83</v>
      </c>
      <c r="R41" s="5">
        <v>0.8</v>
      </c>
      <c r="S41" s="5">
        <v>0.8</v>
      </c>
      <c r="T41" s="5">
        <v>0.75</v>
      </c>
      <c r="U41" s="5">
        <v>0.76</v>
      </c>
      <c r="V41" s="5">
        <v>0.84</v>
      </c>
    </row>
    <row r="42" spans="1:22" ht="26" hidden="1" customHeight="1">
      <c r="A42" t="s">
        <v>43</v>
      </c>
      <c r="B42">
        <v>3</v>
      </c>
      <c r="C42">
        <v>3</v>
      </c>
      <c r="D42">
        <v>3</v>
      </c>
      <c r="E42" t="s">
        <v>10</v>
      </c>
      <c r="F42" t="b">
        <v>0</v>
      </c>
      <c r="G42">
        <v>1</v>
      </c>
      <c r="H42" t="s">
        <v>4</v>
      </c>
      <c r="I42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cas-suppl:F-mgv:3-sn:3k</v>
      </c>
      <c r="J42" s="5">
        <v>0.98</v>
      </c>
      <c r="K42" s="5">
        <v>0.96</v>
      </c>
      <c r="L42" s="5">
        <v>0.97</v>
      </c>
      <c r="M42" s="5">
        <v>0.97</v>
      </c>
      <c r="N42" s="5">
        <v>0.97</v>
      </c>
      <c r="O42" s="5">
        <v>0.97</v>
      </c>
      <c r="P42" s="5">
        <v>0.96</v>
      </c>
      <c r="Q42" s="5">
        <v>0.96</v>
      </c>
      <c r="R42" s="5">
        <v>0.97</v>
      </c>
      <c r="S42" s="5">
        <v>0.94</v>
      </c>
      <c r="T42" s="5">
        <v>0.96</v>
      </c>
      <c r="U42" s="5">
        <v>0.97</v>
      </c>
      <c r="V42" s="5">
        <v>0.98</v>
      </c>
    </row>
    <row r="43" spans="1:22" ht="26" hidden="1" customHeight="1">
      <c r="A43" t="s">
        <v>43</v>
      </c>
      <c r="B43">
        <v>3</v>
      </c>
      <c r="C43">
        <v>3</v>
      </c>
      <c r="D43">
        <v>3</v>
      </c>
      <c r="E43" t="s">
        <v>10</v>
      </c>
      <c r="F43" t="b">
        <v>1</v>
      </c>
      <c r="G43">
        <v>1</v>
      </c>
      <c r="H43" t="s">
        <v>4</v>
      </c>
      <c r="I43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cas-suppl:T-mgv:3-sn:3k</v>
      </c>
      <c r="J43" s="5">
        <v>0.98</v>
      </c>
      <c r="K43" s="5">
        <v>0.96</v>
      </c>
      <c r="L43" s="5">
        <v>0.97</v>
      </c>
      <c r="M43" s="5">
        <v>0.98</v>
      </c>
      <c r="N43" s="5">
        <v>0.97</v>
      </c>
      <c r="O43" s="5">
        <v>0.97</v>
      </c>
      <c r="P43" s="5">
        <v>0.97</v>
      </c>
      <c r="Q43" s="5">
        <v>0.97</v>
      </c>
      <c r="R43" s="5">
        <v>0.97</v>
      </c>
      <c r="S43" s="5">
        <v>0.94</v>
      </c>
      <c r="T43" s="5">
        <v>0.96</v>
      </c>
      <c r="U43" s="5">
        <v>0.97</v>
      </c>
      <c r="V43" s="5">
        <v>0.98</v>
      </c>
    </row>
    <row r="44" spans="1:22" ht="26" hidden="1" customHeight="1">
      <c r="A44" t="s">
        <v>43</v>
      </c>
      <c r="B44">
        <v>3</v>
      </c>
      <c r="C44">
        <v>6</v>
      </c>
      <c r="D44">
        <v>1</v>
      </c>
      <c r="E44" t="s">
        <v>5</v>
      </c>
      <c r="F44" t="b">
        <v>0</v>
      </c>
      <c r="G44">
        <v>1</v>
      </c>
      <c r="H44" t="s">
        <v>4</v>
      </c>
      <c r="I44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plu-suppl:F-mgv:6-sn:3k</v>
      </c>
      <c r="J44" s="5">
        <v>0.67</v>
      </c>
      <c r="K44" s="5">
        <v>0.67</v>
      </c>
      <c r="L44" s="5">
        <v>0.74</v>
      </c>
      <c r="M44" s="5">
        <v>0.7</v>
      </c>
      <c r="N44" s="5">
        <v>0.67</v>
      </c>
      <c r="O44" s="5">
        <v>0.73</v>
      </c>
      <c r="P44" s="5">
        <v>0.7</v>
      </c>
      <c r="Q44" s="5">
        <v>0.74</v>
      </c>
      <c r="R44" s="5">
        <v>0.7</v>
      </c>
      <c r="S44" s="5">
        <v>0.69</v>
      </c>
      <c r="T44" s="5">
        <v>0.69</v>
      </c>
      <c r="U44" s="5">
        <v>0.73</v>
      </c>
      <c r="V44" s="5">
        <v>0.74</v>
      </c>
    </row>
    <row r="45" spans="1:22" ht="26" hidden="1" customHeight="1">
      <c r="A45" t="s">
        <v>43</v>
      </c>
      <c r="B45">
        <v>3</v>
      </c>
      <c r="C45">
        <v>6</v>
      </c>
      <c r="D45">
        <v>1</v>
      </c>
      <c r="E45" t="s">
        <v>5</v>
      </c>
      <c r="F45" t="b">
        <v>1</v>
      </c>
      <c r="G45">
        <v>1</v>
      </c>
      <c r="H45" t="s">
        <v>4</v>
      </c>
      <c r="I45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plu-suppl:T-mgv:6-sn:3k</v>
      </c>
      <c r="J45" s="5">
        <v>0.71</v>
      </c>
      <c r="K45" s="5">
        <v>0.7</v>
      </c>
      <c r="L45" s="5">
        <v>0.78</v>
      </c>
      <c r="M45" s="5">
        <v>0.72</v>
      </c>
      <c r="N45" s="5">
        <v>0.7</v>
      </c>
      <c r="O45" s="5">
        <v>0.74</v>
      </c>
      <c r="P45" s="5">
        <v>0.74</v>
      </c>
      <c r="Q45" s="5">
        <v>0.78</v>
      </c>
      <c r="R45" s="5">
        <v>0.72</v>
      </c>
      <c r="S45" s="5">
        <v>0.72</v>
      </c>
      <c r="T45" s="5">
        <v>0.71</v>
      </c>
      <c r="U45" s="5">
        <v>0.74</v>
      </c>
      <c r="V45" s="5">
        <v>0.78</v>
      </c>
    </row>
    <row r="46" spans="1:22" ht="26" hidden="1" customHeight="1">
      <c r="A46" t="s">
        <v>43</v>
      </c>
      <c r="B46">
        <v>3</v>
      </c>
      <c r="C46">
        <v>6</v>
      </c>
      <c r="D46">
        <v>2</v>
      </c>
      <c r="E46" t="s">
        <v>9</v>
      </c>
      <c r="F46" t="b">
        <v>0</v>
      </c>
      <c r="G46">
        <v>1</v>
      </c>
      <c r="H46" t="s">
        <v>4</v>
      </c>
      <c r="I46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gen-suppl:F-mgv:6-sn:3k</v>
      </c>
      <c r="J46" s="5">
        <v>0.82</v>
      </c>
      <c r="K46" s="5">
        <v>0.74</v>
      </c>
      <c r="L46" s="5">
        <v>0.79</v>
      </c>
      <c r="M46" s="5">
        <v>0.75</v>
      </c>
      <c r="N46" s="5">
        <v>0.71</v>
      </c>
      <c r="O46" s="5">
        <v>0.7</v>
      </c>
      <c r="P46" s="5">
        <v>0.76</v>
      </c>
      <c r="Q46" s="5">
        <v>0.76</v>
      </c>
      <c r="R46" s="5">
        <v>0.76</v>
      </c>
      <c r="S46" s="5">
        <v>0.76</v>
      </c>
      <c r="T46" s="5">
        <v>0.77</v>
      </c>
      <c r="U46" s="5">
        <v>0.76</v>
      </c>
      <c r="V46" s="5">
        <v>0.82</v>
      </c>
    </row>
    <row r="47" spans="1:22" ht="26" hidden="1" customHeight="1">
      <c r="A47" t="s">
        <v>43</v>
      </c>
      <c r="B47">
        <v>3</v>
      </c>
      <c r="C47">
        <v>6</v>
      </c>
      <c r="D47">
        <v>2</v>
      </c>
      <c r="E47" t="s">
        <v>9</v>
      </c>
      <c r="F47" t="b">
        <v>1</v>
      </c>
      <c r="G47">
        <v>1</v>
      </c>
      <c r="H47" t="s">
        <v>4</v>
      </c>
      <c r="I47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gen-suppl:T-mgv:6-sn:3k</v>
      </c>
      <c r="J47" s="5">
        <v>0.86</v>
      </c>
      <c r="K47" s="5">
        <v>0.79</v>
      </c>
      <c r="L47" s="5">
        <v>0.83</v>
      </c>
      <c r="M47" s="5">
        <v>0.82</v>
      </c>
      <c r="N47" s="5">
        <v>0.74</v>
      </c>
      <c r="O47" s="5">
        <v>0.75</v>
      </c>
      <c r="P47" s="5">
        <v>0.83</v>
      </c>
      <c r="Q47" s="5">
        <v>0.81</v>
      </c>
      <c r="R47" s="5">
        <v>0.8</v>
      </c>
      <c r="S47" s="5">
        <v>0.74</v>
      </c>
      <c r="T47" s="5">
        <v>0.8</v>
      </c>
      <c r="U47" s="5">
        <v>0.8</v>
      </c>
      <c r="V47" s="5">
        <v>0.86</v>
      </c>
    </row>
    <row r="48" spans="1:22" ht="26" hidden="1" customHeight="1">
      <c r="A48" t="s">
        <v>43</v>
      </c>
      <c r="B48">
        <v>3</v>
      </c>
      <c r="C48">
        <v>6</v>
      </c>
      <c r="D48">
        <v>3</v>
      </c>
      <c r="E48" t="s">
        <v>10</v>
      </c>
      <c r="F48" t="b">
        <v>0</v>
      </c>
      <c r="G48">
        <v>1</v>
      </c>
      <c r="H48" t="s">
        <v>4</v>
      </c>
      <c r="I48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cas-suppl:F-mgv:6-sn:3k</v>
      </c>
      <c r="J48" s="5">
        <v>0.97</v>
      </c>
      <c r="K48" s="5">
        <v>0.96</v>
      </c>
      <c r="L48" s="5">
        <v>0.97</v>
      </c>
      <c r="M48" s="5">
        <v>0.93</v>
      </c>
      <c r="N48" s="5">
        <v>0.97</v>
      </c>
      <c r="O48" s="5">
        <v>0.96</v>
      </c>
      <c r="P48" s="5">
        <v>0.96</v>
      </c>
      <c r="Q48" s="5">
        <v>0.98</v>
      </c>
      <c r="R48" s="5">
        <v>0.96</v>
      </c>
      <c r="S48" s="5">
        <v>0.97</v>
      </c>
      <c r="T48" s="5">
        <v>0.98</v>
      </c>
      <c r="U48" s="5">
        <v>0.96</v>
      </c>
      <c r="V48" s="5">
        <v>0.98</v>
      </c>
    </row>
    <row r="49" spans="1:22" ht="26" hidden="1" customHeight="1">
      <c r="A49" t="s">
        <v>43</v>
      </c>
      <c r="B49">
        <v>3</v>
      </c>
      <c r="C49">
        <v>6</v>
      </c>
      <c r="D49">
        <v>3</v>
      </c>
      <c r="E49" t="s">
        <v>10</v>
      </c>
      <c r="F49" t="b">
        <v>1</v>
      </c>
      <c r="G49">
        <v>1</v>
      </c>
      <c r="H49" t="s">
        <v>4</v>
      </c>
      <c r="I49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cas-suppl:T-mgv:6-sn:3k</v>
      </c>
      <c r="J49" s="5">
        <v>0.97</v>
      </c>
      <c r="K49" s="5">
        <v>0.96</v>
      </c>
      <c r="L49" s="5">
        <v>0.97</v>
      </c>
      <c r="M49" s="5">
        <v>0.93</v>
      </c>
      <c r="N49" s="5">
        <v>0.97</v>
      </c>
      <c r="O49" s="5">
        <v>0.96</v>
      </c>
      <c r="P49" s="5">
        <v>0.96</v>
      </c>
      <c r="Q49" s="5">
        <v>0.99</v>
      </c>
      <c r="R49" s="5">
        <v>0.96</v>
      </c>
      <c r="S49" s="5">
        <v>0.98</v>
      </c>
      <c r="T49" s="5">
        <v>0.98</v>
      </c>
      <c r="U49" s="5">
        <v>0.98</v>
      </c>
      <c r="V49" s="5">
        <v>0.99</v>
      </c>
    </row>
    <row r="50" spans="1:22" ht="26" hidden="1" customHeight="1">
      <c r="A50" t="s">
        <v>43</v>
      </c>
      <c r="B50">
        <v>3</v>
      </c>
      <c r="C50">
        <v>9</v>
      </c>
      <c r="D50">
        <v>1</v>
      </c>
      <c r="E50" t="s">
        <v>5</v>
      </c>
      <c r="F50" t="b">
        <v>0</v>
      </c>
      <c r="G50">
        <v>1</v>
      </c>
      <c r="H50" t="s">
        <v>4</v>
      </c>
      <c r="I50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plu-suppl:F-mgv:9-sn:3k</v>
      </c>
      <c r="J50" s="5">
        <v>0.64</v>
      </c>
      <c r="K50" s="5">
        <v>0.69</v>
      </c>
      <c r="L50" s="5">
        <v>0.7</v>
      </c>
      <c r="M50" s="5">
        <v>0.7</v>
      </c>
      <c r="N50" s="5">
        <v>0.74</v>
      </c>
      <c r="O50" s="5">
        <v>0.71</v>
      </c>
      <c r="P50" s="5">
        <v>0.67</v>
      </c>
      <c r="Q50" s="5">
        <v>0.72</v>
      </c>
      <c r="R50" s="5">
        <v>0.69</v>
      </c>
      <c r="S50" s="5">
        <v>0.71</v>
      </c>
      <c r="T50" s="5">
        <v>0.75</v>
      </c>
      <c r="U50" s="5">
        <v>0.66</v>
      </c>
      <c r="V50" s="5">
        <v>0.75</v>
      </c>
    </row>
    <row r="51" spans="1:22" ht="26" hidden="1" customHeight="1">
      <c r="A51" t="s">
        <v>43</v>
      </c>
      <c r="B51">
        <v>3</v>
      </c>
      <c r="C51">
        <v>9</v>
      </c>
      <c r="D51">
        <v>1</v>
      </c>
      <c r="E51" t="s">
        <v>5</v>
      </c>
      <c r="F51" t="b">
        <v>1</v>
      </c>
      <c r="G51">
        <v>1</v>
      </c>
      <c r="H51" t="s">
        <v>4</v>
      </c>
      <c r="I51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plu-suppl:T-mgv:9-sn:3k</v>
      </c>
      <c r="J51" s="5">
        <v>0.72</v>
      </c>
      <c r="K51" s="5">
        <v>0.69</v>
      </c>
      <c r="L51" s="5">
        <v>0.73</v>
      </c>
      <c r="M51" s="5">
        <v>0.71</v>
      </c>
      <c r="N51" s="5">
        <v>0.72</v>
      </c>
      <c r="O51" s="5">
        <v>0.72</v>
      </c>
      <c r="P51" s="5">
        <v>0.73</v>
      </c>
      <c r="Q51" s="5">
        <v>0.73</v>
      </c>
      <c r="R51" s="5">
        <v>0.71</v>
      </c>
      <c r="S51" s="5">
        <v>0.74</v>
      </c>
      <c r="T51" s="5">
        <v>0.76</v>
      </c>
      <c r="U51" s="5">
        <v>0.7</v>
      </c>
      <c r="V51" s="5">
        <v>0.76</v>
      </c>
    </row>
    <row r="52" spans="1:22" ht="26" hidden="1" customHeight="1">
      <c r="A52" t="s">
        <v>43</v>
      </c>
      <c r="B52">
        <v>3</v>
      </c>
      <c r="C52">
        <v>9</v>
      </c>
      <c r="D52">
        <v>2</v>
      </c>
      <c r="E52" t="s">
        <v>9</v>
      </c>
      <c r="F52" t="b">
        <v>0</v>
      </c>
      <c r="G52">
        <v>1</v>
      </c>
      <c r="H52" t="s">
        <v>4</v>
      </c>
      <c r="I52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gen-suppl:F-mgv:9-sn:3k</v>
      </c>
      <c r="J52" s="5">
        <v>0.77</v>
      </c>
      <c r="K52" s="5">
        <v>0.74</v>
      </c>
      <c r="L52" s="5">
        <v>0.75</v>
      </c>
      <c r="M52" s="5">
        <v>0.75</v>
      </c>
      <c r="N52" s="5">
        <v>0.73</v>
      </c>
      <c r="O52" s="5">
        <v>0.79</v>
      </c>
      <c r="P52" s="5">
        <v>0.75</v>
      </c>
      <c r="Q52" s="5">
        <v>0.76</v>
      </c>
      <c r="R52" s="5">
        <v>0.72</v>
      </c>
      <c r="S52" s="5">
        <v>0.74</v>
      </c>
      <c r="T52" s="5">
        <v>0.78</v>
      </c>
      <c r="U52" s="5">
        <v>0.77</v>
      </c>
      <c r="V52" s="5">
        <v>0.79</v>
      </c>
    </row>
    <row r="53" spans="1:22" ht="26" hidden="1" customHeight="1">
      <c r="A53" t="s">
        <v>43</v>
      </c>
      <c r="B53">
        <v>3</v>
      </c>
      <c r="C53">
        <v>9</v>
      </c>
      <c r="D53">
        <v>2</v>
      </c>
      <c r="E53" t="s">
        <v>9</v>
      </c>
      <c r="F53" t="b">
        <v>1</v>
      </c>
      <c r="G53">
        <v>1</v>
      </c>
      <c r="H53" t="s">
        <v>4</v>
      </c>
      <c r="I53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gen-suppl:T-mgv:9-sn:3k</v>
      </c>
      <c r="J53" s="5">
        <v>0.87</v>
      </c>
      <c r="K53" s="5">
        <v>0.78</v>
      </c>
      <c r="L53" s="5">
        <v>0.79</v>
      </c>
      <c r="M53" s="5">
        <v>0.8</v>
      </c>
      <c r="N53" s="5">
        <v>0.75</v>
      </c>
      <c r="O53" s="5">
        <v>0.8</v>
      </c>
      <c r="P53" s="5">
        <v>0.79</v>
      </c>
      <c r="Q53" s="5">
        <v>0.83</v>
      </c>
      <c r="R53" s="5">
        <v>0.8</v>
      </c>
      <c r="S53" s="5">
        <v>0.78</v>
      </c>
      <c r="T53" s="5">
        <v>0.8</v>
      </c>
      <c r="U53" s="5">
        <v>0.8</v>
      </c>
      <c r="V53" s="5">
        <v>0.87</v>
      </c>
    </row>
    <row r="54" spans="1:22" ht="26" hidden="1" customHeight="1">
      <c r="A54" t="s">
        <v>43</v>
      </c>
      <c r="B54">
        <v>3</v>
      </c>
      <c r="C54">
        <v>9</v>
      </c>
      <c r="D54">
        <v>3</v>
      </c>
      <c r="E54" t="s">
        <v>10</v>
      </c>
      <c r="F54" t="b">
        <v>0</v>
      </c>
      <c r="G54">
        <v>1</v>
      </c>
      <c r="H54" t="s">
        <v>4</v>
      </c>
      <c r="I54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cas-suppl:F-mgv:9-sn:3k</v>
      </c>
      <c r="J54" s="5">
        <v>0.97</v>
      </c>
      <c r="K54" s="5">
        <v>0.97</v>
      </c>
      <c r="L54" s="5">
        <v>0.97</v>
      </c>
      <c r="M54" s="5">
        <v>0.98</v>
      </c>
      <c r="N54" s="5">
        <v>0.98</v>
      </c>
      <c r="O54" s="5">
        <v>0.97</v>
      </c>
      <c r="P54" s="5">
        <v>0.98</v>
      </c>
      <c r="Q54" s="5">
        <v>0.97</v>
      </c>
      <c r="R54" s="5">
        <v>0.98</v>
      </c>
      <c r="S54" s="5">
        <v>0.96</v>
      </c>
      <c r="T54" s="5">
        <v>0.96</v>
      </c>
      <c r="U54" s="5">
        <v>0.98</v>
      </c>
      <c r="V54" s="5">
        <v>0.98</v>
      </c>
    </row>
    <row r="55" spans="1:22" ht="26" customHeight="1">
      <c r="A55" t="s">
        <v>43</v>
      </c>
      <c r="B55">
        <v>3</v>
      </c>
      <c r="C55">
        <v>9</v>
      </c>
      <c r="D55">
        <v>3</v>
      </c>
      <c r="E55" t="s">
        <v>10</v>
      </c>
      <c r="F55" t="b">
        <v>1</v>
      </c>
      <c r="G55">
        <v>1</v>
      </c>
      <c r="H55" t="s">
        <v>4</v>
      </c>
      <c r="I55" t="str">
        <f>_xlfn.LET(_xlpm.sn,_xlfn.SINGLE(Table25[sample.n]),_xlpm.spl,_xlfn.SINGLE(Table25[supplemented]),_xlpm.mgv,_xlfn.SINGLE(Table25[mgv]),_xlpm.attr,_xlfn.SINGLE(Table25[attribute]),_xlfn.TEXTJOIN({"-suppl:","-mgv:","-sn:",""},TRUE,LEFT(_xlpm.attr,3),LEFT(_xlpm.spl,1),_xlpm.mgv,_xlpm.sn,"k"))</f>
        <v>cas-suppl:T-mgv:9-sn:3k</v>
      </c>
      <c r="J55" s="5">
        <v>0.97</v>
      </c>
      <c r="K55" s="5">
        <v>0.97</v>
      </c>
      <c r="L55" s="5">
        <v>0.97</v>
      </c>
      <c r="M55" s="5">
        <v>0.98</v>
      </c>
      <c r="N55" s="5">
        <v>0.98</v>
      </c>
      <c r="O55" s="5">
        <v>0.97</v>
      </c>
      <c r="P55" s="5">
        <v>0.98</v>
      </c>
      <c r="Q55" s="5">
        <v>0.97</v>
      </c>
      <c r="R55" s="5">
        <v>0.98</v>
      </c>
      <c r="S55" s="5">
        <v>0.96</v>
      </c>
      <c r="T55" s="5">
        <v>0.96</v>
      </c>
      <c r="U55" s="5">
        <v>0.98</v>
      </c>
      <c r="V55" s="5">
        <v>0.98</v>
      </c>
    </row>
  </sheetData>
  <conditionalFormatting sqref="J2:V55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60D9-7C87-2647-AB29-E95E4DC9891B}">
  <dimension ref="A1:S28"/>
  <sheetViews>
    <sheetView workbookViewId="0"/>
  </sheetViews>
  <sheetFormatPr baseColWidth="10" defaultRowHeight="25" customHeight="1"/>
  <cols>
    <col min="2" max="2" width="8" customWidth="1"/>
    <col min="4" max="4" width="10" customWidth="1"/>
    <col min="5" max="5" width="7.5" customWidth="1"/>
    <col min="6" max="6" width="8.625" customWidth="1"/>
    <col min="7" max="19" width="8" customWidth="1"/>
  </cols>
  <sheetData>
    <row r="1" spans="1:19" ht="25" customHeight="1">
      <c r="A1" t="s">
        <v>0</v>
      </c>
      <c r="B1" t="s">
        <v>11</v>
      </c>
      <c r="C1" t="s">
        <v>1</v>
      </c>
      <c r="D1" t="s">
        <v>2</v>
      </c>
      <c r="E1" t="s">
        <v>12</v>
      </c>
      <c r="F1" t="s">
        <v>3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4</v>
      </c>
    </row>
    <row r="2" spans="1:19" ht="25" customHeight="1">
      <c r="A2" t="s">
        <v>27</v>
      </c>
      <c r="B2">
        <v>1</v>
      </c>
      <c r="C2" t="s">
        <v>5</v>
      </c>
      <c r="D2" t="b">
        <v>1</v>
      </c>
      <c r="E2">
        <v>1</v>
      </c>
      <c r="F2" t="s">
        <v>8</v>
      </c>
      <c r="G2">
        <v>0.63</v>
      </c>
      <c r="H2">
        <v>0.65</v>
      </c>
      <c r="I2">
        <v>0.68</v>
      </c>
      <c r="J2">
        <v>0.68</v>
      </c>
      <c r="K2">
        <v>0.72</v>
      </c>
      <c r="L2">
        <v>0.72</v>
      </c>
      <c r="M2">
        <v>0.66</v>
      </c>
      <c r="N2">
        <v>0.72</v>
      </c>
      <c r="O2">
        <v>0.67</v>
      </c>
      <c r="P2">
        <v>0.72</v>
      </c>
      <c r="Q2">
        <v>0.7</v>
      </c>
      <c r="R2">
        <v>0.68</v>
      </c>
      <c r="S2">
        <f t="shared" ref="S2:S19" si="0">MAX($G2:$R2)</f>
        <v>0.72</v>
      </c>
    </row>
    <row r="3" spans="1:19" ht="25" customHeight="1">
      <c r="A3" t="s">
        <v>27</v>
      </c>
      <c r="B3">
        <v>1</v>
      </c>
      <c r="C3" t="s">
        <v>5</v>
      </c>
      <c r="D3" t="b">
        <v>1</v>
      </c>
      <c r="E3">
        <v>2</v>
      </c>
      <c r="F3" t="s">
        <v>7</v>
      </c>
      <c r="G3">
        <v>0.72</v>
      </c>
      <c r="H3">
        <v>0.69</v>
      </c>
      <c r="I3">
        <v>0.73</v>
      </c>
      <c r="J3">
        <v>0.71</v>
      </c>
      <c r="K3">
        <v>0.72</v>
      </c>
      <c r="L3">
        <v>0.72</v>
      </c>
      <c r="M3">
        <v>0.73</v>
      </c>
      <c r="N3">
        <v>0.73</v>
      </c>
      <c r="O3">
        <v>0.7</v>
      </c>
      <c r="P3">
        <v>0.74</v>
      </c>
      <c r="Q3">
        <v>0.76</v>
      </c>
      <c r="R3">
        <v>0.69</v>
      </c>
      <c r="S3">
        <f t="shared" si="0"/>
        <v>0.76</v>
      </c>
    </row>
    <row r="4" spans="1:19" ht="25" customHeight="1">
      <c r="A4" t="s">
        <v>27</v>
      </c>
      <c r="B4">
        <v>1</v>
      </c>
      <c r="C4" t="s">
        <v>5</v>
      </c>
      <c r="D4" t="b">
        <v>1</v>
      </c>
      <c r="E4">
        <v>3</v>
      </c>
      <c r="F4" t="s">
        <v>6</v>
      </c>
      <c r="G4">
        <v>0.71</v>
      </c>
      <c r="H4">
        <v>0.66</v>
      </c>
      <c r="I4">
        <v>0.7</v>
      </c>
      <c r="J4">
        <v>0.66</v>
      </c>
      <c r="K4">
        <v>0.68</v>
      </c>
      <c r="L4">
        <v>0.69</v>
      </c>
      <c r="M4">
        <v>0.72</v>
      </c>
      <c r="N4">
        <v>0.7</v>
      </c>
      <c r="O4">
        <v>0.71</v>
      </c>
      <c r="P4">
        <v>0.73</v>
      </c>
      <c r="Q4">
        <v>0.72</v>
      </c>
      <c r="R4">
        <v>0.7</v>
      </c>
      <c r="S4">
        <f t="shared" si="0"/>
        <v>0.73</v>
      </c>
    </row>
    <row r="5" spans="1:19" ht="25" customHeight="1">
      <c r="A5" t="s">
        <v>27</v>
      </c>
      <c r="B5">
        <v>1</v>
      </c>
      <c r="C5" t="s">
        <v>5</v>
      </c>
      <c r="D5" t="b">
        <v>0</v>
      </c>
      <c r="E5">
        <v>1</v>
      </c>
      <c r="F5" t="s">
        <v>8</v>
      </c>
      <c r="G5">
        <v>0.64</v>
      </c>
      <c r="H5">
        <v>0.66</v>
      </c>
      <c r="I5">
        <v>0.61</v>
      </c>
      <c r="J5">
        <v>0.67</v>
      </c>
      <c r="K5">
        <v>0.68</v>
      </c>
      <c r="L5">
        <v>0.71</v>
      </c>
      <c r="M5">
        <v>0.67</v>
      </c>
      <c r="N5">
        <v>0.68</v>
      </c>
      <c r="O5">
        <v>0.69</v>
      </c>
      <c r="P5">
        <v>0.68</v>
      </c>
      <c r="Q5">
        <v>0.66</v>
      </c>
      <c r="R5">
        <v>0.63</v>
      </c>
      <c r="S5">
        <f t="shared" si="0"/>
        <v>0.71</v>
      </c>
    </row>
    <row r="6" spans="1:19" ht="25" customHeight="1">
      <c r="A6" t="s">
        <v>27</v>
      </c>
      <c r="B6">
        <v>1</v>
      </c>
      <c r="C6" t="s">
        <v>5</v>
      </c>
      <c r="D6" t="b">
        <v>0</v>
      </c>
      <c r="E6">
        <v>2</v>
      </c>
      <c r="F6" t="s">
        <v>7</v>
      </c>
      <c r="G6">
        <v>0.64</v>
      </c>
      <c r="H6">
        <v>0.69</v>
      </c>
      <c r="I6">
        <v>0.7</v>
      </c>
      <c r="J6">
        <v>0.7</v>
      </c>
      <c r="K6">
        <v>0.74</v>
      </c>
      <c r="L6">
        <v>0.7</v>
      </c>
      <c r="M6">
        <v>0.67</v>
      </c>
      <c r="N6">
        <v>0.72</v>
      </c>
      <c r="O6">
        <v>0.68</v>
      </c>
      <c r="P6">
        <v>0.71</v>
      </c>
      <c r="Q6">
        <v>0.75</v>
      </c>
      <c r="R6">
        <v>0.66</v>
      </c>
      <c r="S6">
        <f t="shared" si="0"/>
        <v>0.75</v>
      </c>
    </row>
    <row r="7" spans="1:19" ht="25" customHeight="1">
      <c r="A7" t="s">
        <v>27</v>
      </c>
      <c r="B7">
        <v>1</v>
      </c>
      <c r="C7" t="s">
        <v>5</v>
      </c>
      <c r="D7" t="b">
        <v>0</v>
      </c>
      <c r="E7">
        <v>3</v>
      </c>
      <c r="F7" t="s">
        <v>6</v>
      </c>
      <c r="G7">
        <v>0.57999999999999996</v>
      </c>
      <c r="H7">
        <v>0.64</v>
      </c>
      <c r="I7">
        <v>0.61</v>
      </c>
      <c r="J7">
        <v>0.61</v>
      </c>
      <c r="K7">
        <v>0.65</v>
      </c>
      <c r="L7">
        <v>0.65</v>
      </c>
      <c r="M7">
        <v>0.59</v>
      </c>
      <c r="N7">
        <v>0.65</v>
      </c>
      <c r="O7">
        <v>0.65</v>
      </c>
      <c r="P7">
        <v>0.69</v>
      </c>
      <c r="Q7">
        <v>0.68</v>
      </c>
      <c r="R7">
        <v>0.66</v>
      </c>
      <c r="S7">
        <f t="shared" si="0"/>
        <v>0.69</v>
      </c>
    </row>
    <row r="8" spans="1:19" ht="25" customHeight="1">
      <c r="A8" t="s">
        <v>27</v>
      </c>
      <c r="B8">
        <v>2</v>
      </c>
      <c r="C8" t="s">
        <v>9</v>
      </c>
      <c r="D8" t="b">
        <v>1</v>
      </c>
      <c r="E8">
        <v>1</v>
      </c>
      <c r="F8" t="s">
        <v>8</v>
      </c>
      <c r="G8">
        <v>0.81</v>
      </c>
      <c r="H8">
        <v>0.74</v>
      </c>
      <c r="I8">
        <v>0.76</v>
      </c>
      <c r="J8">
        <v>0.72</v>
      </c>
      <c r="K8">
        <v>0.71</v>
      </c>
      <c r="L8">
        <v>0.74</v>
      </c>
      <c r="M8">
        <v>0.76</v>
      </c>
      <c r="N8">
        <v>0.77</v>
      </c>
      <c r="O8">
        <v>0.71</v>
      </c>
      <c r="P8">
        <v>0.72</v>
      </c>
      <c r="Q8">
        <v>0.75</v>
      </c>
      <c r="R8">
        <v>0.77</v>
      </c>
      <c r="S8">
        <f t="shared" si="0"/>
        <v>0.81</v>
      </c>
    </row>
    <row r="9" spans="1:19" ht="25" customHeight="1">
      <c r="A9" t="s">
        <v>27</v>
      </c>
      <c r="B9">
        <v>2</v>
      </c>
      <c r="C9" t="s">
        <v>9</v>
      </c>
      <c r="D9" t="b">
        <v>1</v>
      </c>
      <c r="E9">
        <v>2</v>
      </c>
      <c r="F9" t="s">
        <v>7</v>
      </c>
      <c r="G9">
        <v>0.87</v>
      </c>
      <c r="H9">
        <v>0.78</v>
      </c>
      <c r="I9">
        <v>0.79</v>
      </c>
      <c r="J9">
        <v>0.8</v>
      </c>
      <c r="K9">
        <v>0.74</v>
      </c>
      <c r="L9">
        <v>0.8</v>
      </c>
      <c r="M9">
        <v>0.79</v>
      </c>
      <c r="N9">
        <v>0.83</v>
      </c>
      <c r="O9">
        <v>0.8</v>
      </c>
      <c r="P9">
        <v>0.78</v>
      </c>
      <c r="Q9">
        <v>0.8</v>
      </c>
      <c r="R9">
        <v>0.8</v>
      </c>
      <c r="S9">
        <f t="shared" si="0"/>
        <v>0.87</v>
      </c>
    </row>
    <row r="10" spans="1:19" ht="25" customHeight="1">
      <c r="A10" t="s">
        <v>27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>
        <v>0.8</v>
      </c>
      <c r="H10">
        <v>0.78</v>
      </c>
      <c r="I10">
        <v>0.78</v>
      </c>
      <c r="J10">
        <v>0.77</v>
      </c>
      <c r="K10">
        <v>0.75</v>
      </c>
      <c r="L10">
        <v>0.8</v>
      </c>
      <c r="M10">
        <v>0.77</v>
      </c>
      <c r="N10">
        <v>0.79</v>
      </c>
      <c r="O10">
        <v>0.73</v>
      </c>
      <c r="P10">
        <v>0.77</v>
      </c>
      <c r="Q10">
        <v>0.78</v>
      </c>
      <c r="R10">
        <v>0.78</v>
      </c>
      <c r="S10">
        <f t="shared" si="0"/>
        <v>0.8</v>
      </c>
    </row>
    <row r="11" spans="1:19" ht="25" customHeight="1">
      <c r="A11" t="s">
        <v>27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>
        <v>0.71</v>
      </c>
      <c r="H11">
        <v>0.73</v>
      </c>
      <c r="I11">
        <v>0.7</v>
      </c>
      <c r="J11">
        <v>0.7</v>
      </c>
      <c r="K11">
        <v>0.7</v>
      </c>
      <c r="L11">
        <v>0.75</v>
      </c>
      <c r="M11">
        <v>0.74</v>
      </c>
      <c r="N11">
        <v>0.72</v>
      </c>
      <c r="O11">
        <v>0.66</v>
      </c>
      <c r="P11">
        <v>0.7</v>
      </c>
      <c r="Q11">
        <v>0.77</v>
      </c>
      <c r="R11">
        <v>0.69</v>
      </c>
      <c r="S11">
        <f t="shared" si="0"/>
        <v>0.77</v>
      </c>
    </row>
    <row r="12" spans="1:19" ht="25" customHeight="1">
      <c r="A12" t="s">
        <v>27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>
        <v>0.77</v>
      </c>
      <c r="H12">
        <v>0.74</v>
      </c>
      <c r="I12">
        <v>0.74</v>
      </c>
      <c r="J12">
        <v>0.75</v>
      </c>
      <c r="K12">
        <v>0.72</v>
      </c>
      <c r="L12">
        <v>0.78</v>
      </c>
      <c r="M12">
        <v>0.7</v>
      </c>
      <c r="N12">
        <v>0.76</v>
      </c>
      <c r="O12">
        <v>0.72</v>
      </c>
      <c r="P12">
        <v>0.74</v>
      </c>
      <c r="Q12">
        <v>0.78</v>
      </c>
      <c r="R12">
        <v>0.77</v>
      </c>
      <c r="S12">
        <f t="shared" si="0"/>
        <v>0.78</v>
      </c>
    </row>
    <row r="13" spans="1:19" ht="25" customHeight="1">
      <c r="A13" t="s">
        <v>27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>
        <v>0.71</v>
      </c>
      <c r="H13">
        <v>0.73</v>
      </c>
      <c r="I13">
        <v>0.75</v>
      </c>
      <c r="J13">
        <v>0.73</v>
      </c>
      <c r="K13">
        <v>0.73</v>
      </c>
      <c r="L13">
        <v>0.79</v>
      </c>
      <c r="M13">
        <v>0.75</v>
      </c>
      <c r="N13">
        <v>0.72</v>
      </c>
      <c r="O13">
        <v>0.7</v>
      </c>
      <c r="P13">
        <v>0.71</v>
      </c>
      <c r="Q13">
        <v>0.76</v>
      </c>
      <c r="R13">
        <v>0.73</v>
      </c>
      <c r="S13">
        <f t="shared" si="0"/>
        <v>0.79</v>
      </c>
    </row>
    <row r="14" spans="1:19" ht="25" customHeight="1">
      <c r="A14" t="s">
        <v>27</v>
      </c>
      <c r="B14">
        <v>3</v>
      </c>
      <c r="C14" t="s">
        <v>10</v>
      </c>
      <c r="D14" t="b">
        <v>1</v>
      </c>
      <c r="E14">
        <v>1</v>
      </c>
      <c r="F14" t="s">
        <v>8</v>
      </c>
      <c r="G14">
        <v>0.96</v>
      </c>
      <c r="H14">
        <v>0.96</v>
      </c>
      <c r="I14">
        <v>0.96</v>
      </c>
      <c r="J14">
        <v>0.98</v>
      </c>
      <c r="K14">
        <v>0.95</v>
      </c>
      <c r="L14">
        <v>0.97</v>
      </c>
      <c r="M14">
        <v>0.98</v>
      </c>
      <c r="N14">
        <v>0.97</v>
      </c>
      <c r="O14">
        <v>0.98</v>
      </c>
      <c r="P14">
        <v>0.96</v>
      </c>
      <c r="Q14">
        <v>0.96</v>
      </c>
      <c r="R14">
        <v>0.98</v>
      </c>
      <c r="S14">
        <f t="shared" si="0"/>
        <v>0.98</v>
      </c>
    </row>
    <row r="15" spans="1:19" ht="25" customHeight="1">
      <c r="A15" t="s">
        <v>27</v>
      </c>
      <c r="B15">
        <v>3</v>
      </c>
      <c r="C15" t="s">
        <v>10</v>
      </c>
      <c r="D15" t="b">
        <v>1</v>
      </c>
      <c r="E15">
        <v>2</v>
      </c>
      <c r="F15" t="s">
        <v>7</v>
      </c>
      <c r="G15">
        <v>0.97</v>
      </c>
      <c r="H15">
        <v>0.97</v>
      </c>
      <c r="I15">
        <v>0.97</v>
      </c>
      <c r="J15">
        <v>0.98</v>
      </c>
      <c r="K15">
        <v>0.98</v>
      </c>
      <c r="L15">
        <v>0.97</v>
      </c>
      <c r="M15">
        <v>0.98</v>
      </c>
      <c r="N15">
        <v>0.97</v>
      </c>
      <c r="O15">
        <v>0.98</v>
      </c>
      <c r="P15">
        <v>0.96</v>
      </c>
      <c r="Q15">
        <v>0.96</v>
      </c>
      <c r="R15">
        <v>0.98</v>
      </c>
      <c r="S15">
        <f t="shared" si="0"/>
        <v>0.98</v>
      </c>
    </row>
    <row r="16" spans="1:19" ht="25" customHeight="1">
      <c r="A16" t="s">
        <v>27</v>
      </c>
      <c r="B16">
        <v>3</v>
      </c>
      <c r="C16" t="s">
        <v>10</v>
      </c>
      <c r="D16" t="b">
        <v>1</v>
      </c>
      <c r="E16">
        <v>3</v>
      </c>
      <c r="F16" t="s">
        <v>6</v>
      </c>
      <c r="G16">
        <v>0.97</v>
      </c>
      <c r="H16">
        <v>0.97</v>
      </c>
      <c r="I16">
        <v>0.97</v>
      </c>
      <c r="J16">
        <v>0.98</v>
      </c>
      <c r="K16">
        <v>0.98</v>
      </c>
      <c r="L16">
        <v>0.97</v>
      </c>
      <c r="M16">
        <v>0.98</v>
      </c>
      <c r="N16">
        <v>0.97</v>
      </c>
      <c r="O16">
        <v>0.98</v>
      </c>
      <c r="P16">
        <v>0.96</v>
      </c>
      <c r="Q16">
        <v>0.96</v>
      </c>
      <c r="R16">
        <v>0.98</v>
      </c>
      <c r="S16">
        <f t="shared" si="0"/>
        <v>0.98</v>
      </c>
    </row>
    <row r="17" spans="1:19" ht="25" customHeight="1">
      <c r="A17" t="s">
        <v>27</v>
      </c>
      <c r="B17">
        <v>3</v>
      </c>
      <c r="C17" t="s">
        <v>10</v>
      </c>
      <c r="D17" t="b">
        <v>0</v>
      </c>
      <c r="E17">
        <v>1</v>
      </c>
      <c r="F17" t="s">
        <v>8</v>
      </c>
      <c r="G17">
        <v>0.96</v>
      </c>
      <c r="H17">
        <v>0.97</v>
      </c>
      <c r="I17">
        <v>0.95</v>
      </c>
      <c r="J17">
        <v>0.97</v>
      </c>
      <c r="K17">
        <v>0.98</v>
      </c>
      <c r="L17">
        <v>0.96</v>
      </c>
      <c r="M17">
        <v>0.96</v>
      </c>
      <c r="N17">
        <v>0.97</v>
      </c>
      <c r="O17">
        <v>0.98</v>
      </c>
      <c r="P17">
        <v>0.96</v>
      </c>
      <c r="Q17">
        <v>0.96</v>
      </c>
      <c r="R17">
        <v>0.98</v>
      </c>
      <c r="S17">
        <f t="shared" si="0"/>
        <v>0.98</v>
      </c>
    </row>
    <row r="18" spans="1:19" ht="25" customHeight="1">
      <c r="A18" t="s">
        <v>27</v>
      </c>
      <c r="B18">
        <v>3</v>
      </c>
      <c r="C18" t="s">
        <v>10</v>
      </c>
      <c r="D18" t="b">
        <v>0</v>
      </c>
      <c r="E18">
        <v>2</v>
      </c>
      <c r="F18" t="s">
        <v>7</v>
      </c>
      <c r="G18">
        <v>0.97</v>
      </c>
      <c r="H18">
        <v>0.97</v>
      </c>
      <c r="I18">
        <v>0.97</v>
      </c>
      <c r="J18">
        <v>0.98</v>
      </c>
      <c r="K18">
        <v>0.98</v>
      </c>
      <c r="L18">
        <v>0.97</v>
      </c>
      <c r="M18">
        <v>0.98</v>
      </c>
      <c r="N18">
        <v>0.97</v>
      </c>
      <c r="O18">
        <v>0.98</v>
      </c>
      <c r="P18">
        <v>0.96</v>
      </c>
      <c r="Q18">
        <v>0.96</v>
      </c>
      <c r="R18">
        <v>0.98</v>
      </c>
      <c r="S18">
        <f t="shared" si="0"/>
        <v>0.98</v>
      </c>
    </row>
    <row r="19" spans="1:19" ht="25" customHeight="1">
      <c r="A19" t="s">
        <v>27</v>
      </c>
      <c r="B19">
        <v>3</v>
      </c>
      <c r="C19" t="s">
        <v>10</v>
      </c>
      <c r="D19" t="b">
        <v>0</v>
      </c>
      <c r="E19">
        <v>3</v>
      </c>
      <c r="F19" t="s">
        <v>6</v>
      </c>
      <c r="G19">
        <v>0.97</v>
      </c>
      <c r="H19">
        <v>0.97</v>
      </c>
      <c r="I19">
        <v>0.97</v>
      </c>
      <c r="J19">
        <v>0.98</v>
      </c>
      <c r="K19">
        <v>0.98</v>
      </c>
      <c r="L19">
        <v>0.97</v>
      </c>
      <c r="M19">
        <v>0.98</v>
      </c>
      <c r="N19">
        <v>0.97</v>
      </c>
      <c r="O19">
        <v>0.98</v>
      </c>
      <c r="P19">
        <v>0.96</v>
      </c>
      <c r="Q19">
        <v>0.96</v>
      </c>
      <c r="R19">
        <v>0.98</v>
      </c>
      <c r="S19">
        <f t="shared" si="0"/>
        <v>0.98</v>
      </c>
    </row>
    <row r="22" spans="1:19" ht="25" customHeight="1">
      <c r="B22" s="3" t="s">
        <v>11</v>
      </c>
      <c r="C22" s="3" t="s">
        <v>1</v>
      </c>
      <c r="D22" s="3" t="s">
        <v>14</v>
      </c>
      <c r="E22" s="3" t="s">
        <v>12</v>
      </c>
      <c r="F22" s="3" t="s">
        <v>13</v>
      </c>
      <c r="G22" s="3" t="s">
        <v>15</v>
      </c>
      <c r="H22" s="3" t="s">
        <v>16</v>
      </c>
      <c r="I22" s="3" t="s">
        <v>17</v>
      </c>
      <c r="J22" s="3" t="s">
        <v>18</v>
      </c>
      <c r="K22" s="3" t="s">
        <v>19</v>
      </c>
      <c r="L22" s="3" t="s">
        <v>20</v>
      </c>
      <c r="M22" s="3" t="s">
        <v>21</v>
      </c>
      <c r="N22" s="3" t="s">
        <v>22</v>
      </c>
      <c r="O22" s="3" t="s">
        <v>23</v>
      </c>
      <c r="P22" s="3" t="s">
        <v>24</v>
      </c>
      <c r="Q22" s="3" t="s">
        <v>25</v>
      </c>
      <c r="R22" s="3" t="s">
        <v>26</v>
      </c>
      <c r="S22" s="3" t="s">
        <v>4</v>
      </c>
    </row>
    <row r="23" spans="1:19" ht="25" customHeight="1">
      <c r="B23" s="4">
        <v>1</v>
      </c>
      <c r="C23" t="s">
        <v>5</v>
      </c>
      <c r="D23" t="b">
        <v>1</v>
      </c>
      <c r="E23">
        <v>1</v>
      </c>
      <c r="F23" t="s">
        <v>4</v>
      </c>
      <c r="G23" s="1" cm="1">
        <f t="array" ref="G23">_xlfn.LET(_xlpm.d,G$2:G$19,_xlpm.a,$C$2:$C$19=$C23,_xlpm.b,$D$2:$D$19=$D23,MAX(_xlfn._xlws.FILTER(_xlpm.d,_xlpm.a*_xlpm.b)))</f>
        <v>0.72</v>
      </c>
      <c r="H23" s="1" cm="1">
        <f t="array" ref="H23">_xlfn.LET(_xlpm.d,H$2:H$19,_xlpm.a,$C$2:$C$19=$C23,_xlpm.b,$D$2:$D$19=$D23,MAX(_xlfn._xlws.FILTER(_xlpm.d,_xlpm.a*_xlpm.b)))</f>
        <v>0.69</v>
      </c>
      <c r="I23" s="1" cm="1">
        <f t="array" ref="I23">_xlfn.LET(_xlpm.d,I$2:I$19,_xlpm.a,$C$2:$C$19=$C23,_xlpm.b,$D$2:$D$19=$D23,MAX(_xlfn._xlws.FILTER(_xlpm.d,_xlpm.a*_xlpm.b)))</f>
        <v>0.73</v>
      </c>
      <c r="J23" s="1" cm="1">
        <f t="array" ref="J23">_xlfn.LET(_xlpm.d,J$2:J$19,_xlpm.a,$C$2:$C$19=$C23,_xlpm.b,$D$2:$D$19=$D23,MAX(_xlfn._xlws.FILTER(_xlpm.d,_xlpm.a*_xlpm.b)))</f>
        <v>0.71</v>
      </c>
      <c r="K23" s="1" cm="1">
        <f t="array" ref="K23">_xlfn.LET(_xlpm.d,K$2:K$19,_xlpm.a,$C$2:$C$19=$C23,_xlpm.b,$D$2:$D$19=$D23,MAX(_xlfn._xlws.FILTER(_xlpm.d,_xlpm.a*_xlpm.b)))</f>
        <v>0.72</v>
      </c>
      <c r="L23" s="1" cm="1">
        <f t="array" ref="L23">_xlfn.LET(_xlpm.d,L$2:L$19,_xlpm.a,$C$2:$C$19=$C23,_xlpm.b,$D$2:$D$19=$D23,MAX(_xlfn._xlws.FILTER(_xlpm.d,_xlpm.a*_xlpm.b)))</f>
        <v>0.72</v>
      </c>
      <c r="M23" s="1" cm="1">
        <f t="array" ref="M23">_xlfn.LET(_xlpm.d,M$2:M$19,_xlpm.a,$C$2:$C$19=$C23,_xlpm.b,$D$2:$D$19=$D23,MAX(_xlfn._xlws.FILTER(_xlpm.d,_xlpm.a*_xlpm.b)))</f>
        <v>0.73</v>
      </c>
      <c r="N23" s="1" cm="1">
        <f t="array" ref="N23">_xlfn.LET(_xlpm.d,N$2:N$19,_xlpm.a,$C$2:$C$19=$C23,_xlpm.b,$D$2:$D$19=$D23,MAX(_xlfn._xlws.FILTER(_xlpm.d,_xlpm.a*_xlpm.b)))</f>
        <v>0.73</v>
      </c>
      <c r="O23" s="1" cm="1">
        <f t="array" ref="O23">_xlfn.LET(_xlpm.d,O$2:O$19,_xlpm.a,$C$2:$C$19=$C23,_xlpm.b,$D$2:$D$19=$D23,MAX(_xlfn._xlws.FILTER(_xlpm.d,_xlpm.a*_xlpm.b)))</f>
        <v>0.71</v>
      </c>
      <c r="P23" s="1" cm="1">
        <f t="array" ref="P23">_xlfn.LET(_xlpm.d,P$2:P$19,_xlpm.a,$C$2:$C$19=$C23,_xlpm.b,$D$2:$D$19=$D23,MAX(_xlfn._xlws.FILTER(_xlpm.d,_xlpm.a*_xlpm.b)))</f>
        <v>0.74</v>
      </c>
      <c r="Q23" s="1" cm="1">
        <f t="array" ref="Q23">_xlfn.LET(_xlpm.d,Q$2:Q$19,_xlpm.a,$C$2:$C$19=$C23,_xlpm.b,$D$2:$D$19=$D23,MAX(_xlfn._xlws.FILTER(_xlpm.d,_xlpm.a*_xlpm.b)))</f>
        <v>0.76</v>
      </c>
      <c r="R23" s="1" cm="1">
        <f t="array" ref="R23">_xlfn.LET(_xlpm.d,R$2:R$19,_xlpm.a,$C$2:$C$19=$C23,_xlpm.b,$D$2:$D$19=$D23,MAX(_xlfn._xlws.FILTER(_xlpm.d,_xlpm.a*_xlpm.b)))</f>
        <v>0.7</v>
      </c>
      <c r="S23" s="1" cm="1">
        <f t="array" ref="S23">_xlfn.LET(_xlpm.d,S$2:S$19,_xlpm.a,$C$2:$C$19=$C23,_xlpm.b,$D$2:$D$19=$D23,MAX(_xlfn._xlws.FILTER(_xlpm.d,_xlpm.a*_xlpm.b)))</f>
        <v>0.76</v>
      </c>
    </row>
    <row r="24" spans="1:19" ht="25" customHeight="1">
      <c r="B24" s="4">
        <v>1</v>
      </c>
      <c r="C24" t="s">
        <v>5</v>
      </c>
      <c r="D24" t="b">
        <v>0</v>
      </c>
      <c r="E24">
        <v>1</v>
      </c>
      <c r="F24" t="s">
        <v>4</v>
      </c>
      <c r="G24" s="2" cm="1">
        <f t="array" ref="G24">_xlfn.LET(_xlpm.d,G$2:G$19,_xlpm.a,$C$2:$C$19=$C24,_xlpm.b,$D$2:$D$19=$D24,MAX(_xlfn._xlws.FILTER(_xlpm.d,_xlpm.a*_xlpm.b)))</f>
        <v>0.64</v>
      </c>
      <c r="H24" s="2" cm="1">
        <f t="array" ref="H24">_xlfn.LET(_xlpm.d,H$2:H$19,_xlpm.a,$C$2:$C$19=$C24,_xlpm.b,$D$2:$D$19=$D24,MAX(_xlfn._xlws.FILTER(_xlpm.d,_xlpm.a*_xlpm.b)))</f>
        <v>0.69</v>
      </c>
      <c r="I24" s="2" cm="1">
        <f t="array" ref="I24">_xlfn.LET(_xlpm.d,I$2:I$19,_xlpm.a,$C$2:$C$19=$C24,_xlpm.b,$D$2:$D$19=$D24,MAX(_xlfn._xlws.FILTER(_xlpm.d,_xlpm.a*_xlpm.b)))</f>
        <v>0.7</v>
      </c>
      <c r="J24" s="2" cm="1">
        <f t="array" ref="J24">_xlfn.LET(_xlpm.d,J$2:J$19,_xlpm.a,$C$2:$C$19=$C24,_xlpm.b,$D$2:$D$19=$D24,MAX(_xlfn._xlws.FILTER(_xlpm.d,_xlpm.a*_xlpm.b)))</f>
        <v>0.7</v>
      </c>
      <c r="K24" s="2" cm="1">
        <f t="array" ref="K24">_xlfn.LET(_xlpm.d,K$2:K$19,_xlpm.a,$C$2:$C$19=$C24,_xlpm.b,$D$2:$D$19=$D24,MAX(_xlfn._xlws.FILTER(_xlpm.d,_xlpm.a*_xlpm.b)))</f>
        <v>0.74</v>
      </c>
      <c r="L24" s="2" cm="1">
        <f t="array" ref="L24">_xlfn.LET(_xlpm.d,L$2:L$19,_xlpm.a,$C$2:$C$19=$C24,_xlpm.b,$D$2:$D$19=$D24,MAX(_xlfn._xlws.FILTER(_xlpm.d,_xlpm.a*_xlpm.b)))</f>
        <v>0.71</v>
      </c>
      <c r="M24" s="2" cm="1">
        <f t="array" ref="M24">_xlfn.LET(_xlpm.d,M$2:M$19,_xlpm.a,$C$2:$C$19=$C24,_xlpm.b,$D$2:$D$19=$D24,MAX(_xlfn._xlws.FILTER(_xlpm.d,_xlpm.a*_xlpm.b)))</f>
        <v>0.67</v>
      </c>
      <c r="N24" s="2" cm="1">
        <f t="array" ref="N24">_xlfn.LET(_xlpm.d,N$2:N$19,_xlpm.a,$C$2:$C$19=$C24,_xlpm.b,$D$2:$D$19=$D24,MAX(_xlfn._xlws.FILTER(_xlpm.d,_xlpm.a*_xlpm.b)))</f>
        <v>0.72</v>
      </c>
      <c r="O24" s="2" cm="1">
        <f t="array" ref="O24">_xlfn.LET(_xlpm.d,O$2:O$19,_xlpm.a,$C$2:$C$19=$C24,_xlpm.b,$D$2:$D$19=$D24,MAX(_xlfn._xlws.FILTER(_xlpm.d,_xlpm.a*_xlpm.b)))</f>
        <v>0.69</v>
      </c>
      <c r="P24" s="2" cm="1">
        <f t="array" ref="P24">_xlfn.LET(_xlpm.d,P$2:P$19,_xlpm.a,$C$2:$C$19=$C24,_xlpm.b,$D$2:$D$19=$D24,MAX(_xlfn._xlws.FILTER(_xlpm.d,_xlpm.a*_xlpm.b)))</f>
        <v>0.71</v>
      </c>
      <c r="Q24" s="2" cm="1">
        <f t="array" ref="Q24">_xlfn.LET(_xlpm.d,Q$2:Q$19,_xlpm.a,$C$2:$C$19=$C24,_xlpm.b,$D$2:$D$19=$D24,MAX(_xlfn._xlws.FILTER(_xlpm.d,_xlpm.a*_xlpm.b)))</f>
        <v>0.75</v>
      </c>
      <c r="R24" s="2" cm="1">
        <f t="array" ref="R24">_xlfn.LET(_xlpm.d,R$2:R$19,_xlpm.a,$C$2:$C$19=$C24,_xlpm.b,$D$2:$D$19=$D24,MAX(_xlfn._xlws.FILTER(_xlpm.d,_xlpm.a*_xlpm.b)))</f>
        <v>0.66</v>
      </c>
      <c r="S24" s="2" cm="1">
        <f t="array" ref="S24">_xlfn.LET(_xlpm.d,S$2:S$19,_xlpm.a,$C$2:$C$19=$C24,_xlpm.b,$D$2:$D$19=$D24,MAX(_xlfn._xlws.FILTER(_xlpm.d,_xlpm.a*_xlpm.b)))</f>
        <v>0.75</v>
      </c>
    </row>
    <row r="25" spans="1:19" ht="25" customHeight="1">
      <c r="B25" s="4">
        <v>2</v>
      </c>
      <c r="C25" t="s">
        <v>9</v>
      </c>
      <c r="D25" t="b">
        <v>1</v>
      </c>
      <c r="E25">
        <v>1</v>
      </c>
      <c r="F25" t="s">
        <v>4</v>
      </c>
      <c r="G25" s="1" cm="1">
        <f t="array" ref="G25">_xlfn.LET(_xlpm.d,G$2:G$19,_xlpm.a,$C$2:$C$19=$C25,_xlpm.b,$D$2:$D$19=$D25,MAX(_xlfn._xlws.FILTER(_xlpm.d,_xlpm.a*_xlpm.b)))</f>
        <v>0.87</v>
      </c>
      <c r="H25" s="1" cm="1">
        <f t="array" ref="H25">_xlfn.LET(_xlpm.d,H$2:H$19,_xlpm.a,$C$2:$C$19=$C25,_xlpm.b,$D$2:$D$19=$D25,MAX(_xlfn._xlws.FILTER(_xlpm.d,_xlpm.a*_xlpm.b)))</f>
        <v>0.78</v>
      </c>
      <c r="I25" s="1" cm="1">
        <f t="array" ref="I25">_xlfn.LET(_xlpm.d,I$2:I$19,_xlpm.a,$C$2:$C$19=$C25,_xlpm.b,$D$2:$D$19=$D25,MAX(_xlfn._xlws.FILTER(_xlpm.d,_xlpm.a*_xlpm.b)))</f>
        <v>0.79</v>
      </c>
      <c r="J25" s="1" cm="1">
        <f t="array" ref="J25">_xlfn.LET(_xlpm.d,J$2:J$19,_xlpm.a,$C$2:$C$19=$C25,_xlpm.b,$D$2:$D$19=$D25,MAX(_xlfn._xlws.FILTER(_xlpm.d,_xlpm.a*_xlpm.b)))</f>
        <v>0.8</v>
      </c>
      <c r="K25" s="1" cm="1">
        <f t="array" ref="K25">_xlfn.LET(_xlpm.d,K$2:K$19,_xlpm.a,$C$2:$C$19=$C25,_xlpm.b,$D$2:$D$19=$D25,MAX(_xlfn._xlws.FILTER(_xlpm.d,_xlpm.a*_xlpm.b)))</f>
        <v>0.75</v>
      </c>
      <c r="L25" s="1" cm="1">
        <f t="array" ref="L25">_xlfn.LET(_xlpm.d,L$2:L$19,_xlpm.a,$C$2:$C$19=$C25,_xlpm.b,$D$2:$D$19=$D25,MAX(_xlfn._xlws.FILTER(_xlpm.d,_xlpm.a*_xlpm.b)))</f>
        <v>0.8</v>
      </c>
      <c r="M25" s="1" cm="1">
        <f t="array" ref="M25">_xlfn.LET(_xlpm.d,M$2:M$19,_xlpm.a,$C$2:$C$19=$C25,_xlpm.b,$D$2:$D$19=$D25,MAX(_xlfn._xlws.FILTER(_xlpm.d,_xlpm.a*_xlpm.b)))</f>
        <v>0.79</v>
      </c>
      <c r="N25" s="1" cm="1">
        <f t="array" ref="N25">_xlfn.LET(_xlpm.d,N$2:N$19,_xlpm.a,$C$2:$C$19=$C25,_xlpm.b,$D$2:$D$19=$D25,MAX(_xlfn._xlws.FILTER(_xlpm.d,_xlpm.a*_xlpm.b)))</f>
        <v>0.83</v>
      </c>
      <c r="O25" s="1" cm="1">
        <f t="array" ref="O25">_xlfn.LET(_xlpm.d,O$2:O$19,_xlpm.a,$C$2:$C$19=$C25,_xlpm.b,$D$2:$D$19=$D25,MAX(_xlfn._xlws.FILTER(_xlpm.d,_xlpm.a*_xlpm.b)))</f>
        <v>0.8</v>
      </c>
      <c r="P25" s="1" cm="1">
        <f t="array" ref="P25">_xlfn.LET(_xlpm.d,P$2:P$19,_xlpm.a,$C$2:$C$19=$C25,_xlpm.b,$D$2:$D$19=$D25,MAX(_xlfn._xlws.FILTER(_xlpm.d,_xlpm.a*_xlpm.b)))</f>
        <v>0.78</v>
      </c>
      <c r="Q25" s="1" cm="1">
        <f t="array" ref="Q25">_xlfn.LET(_xlpm.d,Q$2:Q$19,_xlpm.a,$C$2:$C$19=$C25,_xlpm.b,$D$2:$D$19=$D25,MAX(_xlfn._xlws.FILTER(_xlpm.d,_xlpm.a*_xlpm.b)))</f>
        <v>0.8</v>
      </c>
      <c r="R25" s="1" cm="1">
        <f t="array" ref="R25">_xlfn.LET(_xlpm.d,R$2:R$19,_xlpm.a,$C$2:$C$19=$C25,_xlpm.b,$D$2:$D$19=$D25,MAX(_xlfn._xlws.FILTER(_xlpm.d,_xlpm.a*_xlpm.b)))</f>
        <v>0.8</v>
      </c>
      <c r="S25" s="1" cm="1">
        <f t="array" ref="S25">_xlfn.LET(_xlpm.d,S$2:S$19,_xlpm.a,$C$2:$C$19=$C25,_xlpm.b,$D$2:$D$19=$D25,MAX(_xlfn._xlws.FILTER(_xlpm.d,_xlpm.a*_xlpm.b)))</f>
        <v>0.87</v>
      </c>
    </row>
    <row r="26" spans="1:19" ht="25" customHeight="1">
      <c r="B26" s="4">
        <v>2</v>
      </c>
      <c r="C26" t="s">
        <v>9</v>
      </c>
      <c r="D26" t="b">
        <v>0</v>
      </c>
      <c r="E26">
        <v>1</v>
      </c>
      <c r="F26" t="s">
        <v>4</v>
      </c>
      <c r="G26" s="2" cm="1">
        <f t="array" ref="G26">_xlfn.LET(_xlpm.d,G$2:G$19,_xlpm.a,$C$2:$C$19=$C26,_xlpm.b,$D$2:$D$19=$D26,MAX(_xlfn._xlws.FILTER(_xlpm.d,_xlpm.a*_xlpm.b)))</f>
        <v>0.77</v>
      </c>
      <c r="H26" s="2" cm="1">
        <f t="array" ref="H26">_xlfn.LET(_xlpm.d,H$2:H$19,_xlpm.a,$C$2:$C$19=$C26,_xlpm.b,$D$2:$D$19=$D26,MAX(_xlfn._xlws.FILTER(_xlpm.d,_xlpm.a*_xlpm.b)))</f>
        <v>0.74</v>
      </c>
      <c r="I26" s="2" cm="1">
        <f t="array" ref="I26">_xlfn.LET(_xlpm.d,I$2:I$19,_xlpm.a,$C$2:$C$19=$C26,_xlpm.b,$D$2:$D$19=$D26,MAX(_xlfn._xlws.FILTER(_xlpm.d,_xlpm.a*_xlpm.b)))</f>
        <v>0.75</v>
      </c>
      <c r="J26" s="2" cm="1">
        <f t="array" ref="J26">_xlfn.LET(_xlpm.d,J$2:J$19,_xlpm.a,$C$2:$C$19=$C26,_xlpm.b,$D$2:$D$19=$D26,MAX(_xlfn._xlws.FILTER(_xlpm.d,_xlpm.a*_xlpm.b)))</f>
        <v>0.75</v>
      </c>
      <c r="K26" s="2" cm="1">
        <f t="array" ref="K26">_xlfn.LET(_xlpm.d,K$2:K$19,_xlpm.a,$C$2:$C$19=$C26,_xlpm.b,$D$2:$D$19=$D26,MAX(_xlfn._xlws.FILTER(_xlpm.d,_xlpm.a*_xlpm.b)))</f>
        <v>0.73</v>
      </c>
      <c r="L26" s="2" cm="1">
        <f t="array" ref="L26">_xlfn.LET(_xlpm.d,L$2:L$19,_xlpm.a,$C$2:$C$19=$C26,_xlpm.b,$D$2:$D$19=$D26,MAX(_xlfn._xlws.FILTER(_xlpm.d,_xlpm.a*_xlpm.b)))</f>
        <v>0.79</v>
      </c>
      <c r="M26" s="2" cm="1">
        <f t="array" ref="M26">_xlfn.LET(_xlpm.d,M$2:M$19,_xlpm.a,$C$2:$C$19=$C26,_xlpm.b,$D$2:$D$19=$D26,MAX(_xlfn._xlws.FILTER(_xlpm.d,_xlpm.a*_xlpm.b)))</f>
        <v>0.75</v>
      </c>
      <c r="N26" s="2" cm="1">
        <f t="array" ref="N26">_xlfn.LET(_xlpm.d,N$2:N$19,_xlpm.a,$C$2:$C$19=$C26,_xlpm.b,$D$2:$D$19=$D26,MAX(_xlfn._xlws.FILTER(_xlpm.d,_xlpm.a*_xlpm.b)))</f>
        <v>0.76</v>
      </c>
      <c r="O26" s="2" cm="1">
        <f t="array" ref="O26">_xlfn.LET(_xlpm.d,O$2:O$19,_xlpm.a,$C$2:$C$19=$C26,_xlpm.b,$D$2:$D$19=$D26,MAX(_xlfn._xlws.FILTER(_xlpm.d,_xlpm.a*_xlpm.b)))</f>
        <v>0.72</v>
      </c>
      <c r="P26" s="2" cm="1">
        <f t="array" ref="P26">_xlfn.LET(_xlpm.d,P$2:P$19,_xlpm.a,$C$2:$C$19=$C26,_xlpm.b,$D$2:$D$19=$D26,MAX(_xlfn._xlws.FILTER(_xlpm.d,_xlpm.a*_xlpm.b)))</f>
        <v>0.74</v>
      </c>
      <c r="Q26" s="2" cm="1">
        <f t="array" ref="Q26">_xlfn.LET(_xlpm.d,Q$2:Q$19,_xlpm.a,$C$2:$C$19=$C26,_xlpm.b,$D$2:$D$19=$D26,MAX(_xlfn._xlws.FILTER(_xlpm.d,_xlpm.a*_xlpm.b)))</f>
        <v>0.78</v>
      </c>
      <c r="R26" s="2" cm="1">
        <f t="array" ref="R26">_xlfn.LET(_xlpm.d,R$2:R$19,_xlpm.a,$C$2:$C$19=$C26,_xlpm.b,$D$2:$D$19=$D26,MAX(_xlfn._xlws.FILTER(_xlpm.d,_xlpm.a*_xlpm.b)))</f>
        <v>0.77</v>
      </c>
      <c r="S26" s="2" cm="1">
        <f t="array" ref="S26">_xlfn.LET(_xlpm.d,S$2:S$19,_xlpm.a,$C$2:$C$19=$C26,_xlpm.b,$D$2:$D$19=$D26,MAX(_xlfn._xlws.FILTER(_xlpm.d,_xlpm.a*_xlpm.b)))</f>
        <v>0.79</v>
      </c>
    </row>
    <row r="27" spans="1:19" ht="25" customHeight="1">
      <c r="B27" s="4">
        <v>3</v>
      </c>
      <c r="C27" t="s">
        <v>10</v>
      </c>
      <c r="D27" t="b">
        <v>1</v>
      </c>
      <c r="E27">
        <v>1</v>
      </c>
      <c r="F27" t="s">
        <v>4</v>
      </c>
      <c r="G27" s="1" cm="1">
        <f t="array" ref="G27">_xlfn.LET(_xlpm.d,G$2:G$19,_xlpm.a,$C$2:$C$19=$C27,_xlpm.b,$D$2:$D$19=$D27,MAX(_xlfn._xlws.FILTER(_xlpm.d,_xlpm.a*_xlpm.b)))</f>
        <v>0.97</v>
      </c>
      <c r="H27" s="1" cm="1">
        <f t="array" ref="H27">_xlfn.LET(_xlpm.d,H$2:H$19,_xlpm.a,$C$2:$C$19=$C27,_xlpm.b,$D$2:$D$19=$D27,MAX(_xlfn._xlws.FILTER(_xlpm.d,_xlpm.a*_xlpm.b)))</f>
        <v>0.97</v>
      </c>
      <c r="I27" s="1" cm="1">
        <f t="array" ref="I27">_xlfn.LET(_xlpm.d,I$2:I$19,_xlpm.a,$C$2:$C$19=$C27,_xlpm.b,$D$2:$D$19=$D27,MAX(_xlfn._xlws.FILTER(_xlpm.d,_xlpm.a*_xlpm.b)))</f>
        <v>0.97</v>
      </c>
      <c r="J27" s="1" cm="1">
        <f t="array" ref="J27">_xlfn.LET(_xlpm.d,J$2:J$19,_xlpm.a,$C$2:$C$19=$C27,_xlpm.b,$D$2:$D$19=$D27,MAX(_xlfn._xlws.FILTER(_xlpm.d,_xlpm.a*_xlpm.b)))</f>
        <v>0.98</v>
      </c>
      <c r="K27" s="1" cm="1">
        <f t="array" ref="K27">_xlfn.LET(_xlpm.d,K$2:K$19,_xlpm.a,$C$2:$C$19=$C27,_xlpm.b,$D$2:$D$19=$D27,MAX(_xlfn._xlws.FILTER(_xlpm.d,_xlpm.a*_xlpm.b)))</f>
        <v>0.98</v>
      </c>
      <c r="L27" s="1" cm="1">
        <f t="array" ref="L27">_xlfn.LET(_xlpm.d,L$2:L$19,_xlpm.a,$C$2:$C$19=$C27,_xlpm.b,$D$2:$D$19=$D27,MAX(_xlfn._xlws.FILTER(_xlpm.d,_xlpm.a*_xlpm.b)))</f>
        <v>0.97</v>
      </c>
      <c r="M27" s="1" cm="1">
        <f t="array" ref="M27">_xlfn.LET(_xlpm.d,M$2:M$19,_xlpm.a,$C$2:$C$19=$C27,_xlpm.b,$D$2:$D$19=$D27,MAX(_xlfn._xlws.FILTER(_xlpm.d,_xlpm.a*_xlpm.b)))</f>
        <v>0.98</v>
      </c>
      <c r="N27" s="1" cm="1">
        <f t="array" ref="N27">_xlfn.LET(_xlpm.d,N$2:N$19,_xlpm.a,$C$2:$C$19=$C27,_xlpm.b,$D$2:$D$19=$D27,MAX(_xlfn._xlws.FILTER(_xlpm.d,_xlpm.a*_xlpm.b)))</f>
        <v>0.97</v>
      </c>
      <c r="O27" s="1" cm="1">
        <f t="array" ref="O27">_xlfn.LET(_xlpm.d,O$2:O$19,_xlpm.a,$C$2:$C$19=$C27,_xlpm.b,$D$2:$D$19=$D27,MAX(_xlfn._xlws.FILTER(_xlpm.d,_xlpm.a*_xlpm.b)))</f>
        <v>0.98</v>
      </c>
      <c r="P27" s="1" cm="1">
        <f t="array" ref="P27">_xlfn.LET(_xlpm.d,P$2:P$19,_xlpm.a,$C$2:$C$19=$C27,_xlpm.b,$D$2:$D$19=$D27,MAX(_xlfn._xlws.FILTER(_xlpm.d,_xlpm.a*_xlpm.b)))</f>
        <v>0.96</v>
      </c>
      <c r="Q27" s="1" cm="1">
        <f t="array" ref="Q27">_xlfn.LET(_xlpm.d,Q$2:Q$19,_xlpm.a,$C$2:$C$19=$C27,_xlpm.b,$D$2:$D$19=$D27,MAX(_xlfn._xlws.FILTER(_xlpm.d,_xlpm.a*_xlpm.b)))</f>
        <v>0.96</v>
      </c>
      <c r="R27" s="1" cm="1">
        <f t="array" ref="R27">_xlfn.LET(_xlpm.d,R$2:R$19,_xlpm.a,$C$2:$C$19=$C27,_xlpm.b,$D$2:$D$19=$D27,MAX(_xlfn._xlws.FILTER(_xlpm.d,_xlpm.a*_xlpm.b)))</f>
        <v>0.98</v>
      </c>
      <c r="S27" s="1" cm="1">
        <f t="array" ref="S27">_xlfn.LET(_xlpm.d,S$2:S$19,_xlpm.a,$C$2:$C$19=$C27,_xlpm.b,$D$2:$D$19=$D27,MAX(_xlfn._xlws.FILTER(_xlpm.d,_xlpm.a*_xlpm.b)))</f>
        <v>0.98</v>
      </c>
    </row>
    <row r="28" spans="1:19" ht="25" customHeight="1">
      <c r="B28" s="4">
        <v>3</v>
      </c>
      <c r="C28" t="s">
        <v>10</v>
      </c>
      <c r="D28" t="b">
        <v>0</v>
      </c>
      <c r="E28">
        <v>1</v>
      </c>
      <c r="F28" t="s">
        <v>4</v>
      </c>
      <c r="G28" s="2" cm="1">
        <f t="array" ref="G28">_xlfn.LET(_xlpm.d,G$2:G$19,_xlpm.a,$C$2:$C$19=$C28,_xlpm.b,$D$2:$D$19=$D28,MAX(_xlfn._xlws.FILTER(_xlpm.d,_xlpm.a*_xlpm.b)))</f>
        <v>0.97</v>
      </c>
      <c r="H28" s="2" cm="1">
        <f t="array" ref="H28">_xlfn.LET(_xlpm.d,H$2:H$19,_xlpm.a,$C$2:$C$19=$C28,_xlpm.b,$D$2:$D$19=$D28,MAX(_xlfn._xlws.FILTER(_xlpm.d,_xlpm.a*_xlpm.b)))</f>
        <v>0.97</v>
      </c>
      <c r="I28" s="2" cm="1">
        <f t="array" ref="I28">_xlfn.LET(_xlpm.d,I$2:I$19,_xlpm.a,$C$2:$C$19=$C28,_xlpm.b,$D$2:$D$19=$D28,MAX(_xlfn._xlws.FILTER(_xlpm.d,_xlpm.a*_xlpm.b)))</f>
        <v>0.97</v>
      </c>
      <c r="J28" s="2" cm="1">
        <f t="array" ref="J28">_xlfn.LET(_xlpm.d,J$2:J$19,_xlpm.a,$C$2:$C$19=$C28,_xlpm.b,$D$2:$D$19=$D28,MAX(_xlfn._xlws.FILTER(_xlpm.d,_xlpm.a*_xlpm.b)))</f>
        <v>0.98</v>
      </c>
      <c r="K28" s="2" cm="1">
        <f t="array" ref="K28">_xlfn.LET(_xlpm.d,K$2:K$19,_xlpm.a,$C$2:$C$19=$C28,_xlpm.b,$D$2:$D$19=$D28,MAX(_xlfn._xlws.FILTER(_xlpm.d,_xlpm.a*_xlpm.b)))</f>
        <v>0.98</v>
      </c>
      <c r="L28" s="2" cm="1">
        <f t="array" ref="L28">_xlfn.LET(_xlpm.d,L$2:L$19,_xlpm.a,$C$2:$C$19=$C28,_xlpm.b,$D$2:$D$19=$D28,MAX(_xlfn._xlws.FILTER(_xlpm.d,_xlpm.a*_xlpm.b)))</f>
        <v>0.97</v>
      </c>
      <c r="M28" s="2" cm="1">
        <f t="array" ref="M28">_xlfn.LET(_xlpm.d,M$2:M$19,_xlpm.a,$C$2:$C$19=$C28,_xlpm.b,$D$2:$D$19=$D28,MAX(_xlfn._xlws.FILTER(_xlpm.d,_xlpm.a*_xlpm.b)))</f>
        <v>0.98</v>
      </c>
      <c r="N28" s="2" cm="1">
        <f t="array" ref="N28">_xlfn.LET(_xlpm.d,N$2:N$19,_xlpm.a,$C$2:$C$19=$C28,_xlpm.b,$D$2:$D$19=$D28,MAX(_xlfn._xlws.FILTER(_xlpm.d,_xlpm.a*_xlpm.b)))</f>
        <v>0.97</v>
      </c>
      <c r="O28" s="2" cm="1">
        <f t="array" ref="O28">_xlfn.LET(_xlpm.d,O$2:O$19,_xlpm.a,$C$2:$C$19=$C28,_xlpm.b,$D$2:$D$19=$D28,MAX(_xlfn._xlws.FILTER(_xlpm.d,_xlpm.a*_xlpm.b)))</f>
        <v>0.98</v>
      </c>
      <c r="P28" s="2" cm="1">
        <f t="array" ref="P28">_xlfn.LET(_xlpm.d,P$2:P$19,_xlpm.a,$C$2:$C$19=$C28,_xlpm.b,$D$2:$D$19=$D28,MAX(_xlfn._xlws.FILTER(_xlpm.d,_xlpm.a*_xlpm.b)))</f>
        <v>0.96</v>
      </c>
      <c r="Q28" s="2" cm="1">
        <f t="array" ref="Q28">_xlfn.LET(_xlpm.d,Q$2:Q$19,_xlpm.a,$C$2:$C$19=$C28,_xlpm.b,$D$2:$D$19=$D28,MAX(_xlfn._xlws.FILTER(_xlpm.d,_xlpm.a*_xlpm.b)))</f>
        <v>0.96</v>
      </c>
      <c r="R28" s="2" cm="1">
        <f t="array" ref="R28">_xlfn.LET(_xlpm.d,R$2:R$19,_xlpm.a,$C$2:$C$19=$C28,_xlpm.b,$D$2:$D$19=$D28,MAX(_xlfn._xlws.FILTER(_xlpm.d,_xlpm.a*_xlpm.b)))</f>
        <v>0.98</v>
      </c>
      <c r="S28" s="2" cm="1">
        <f t="array" ref="S28">_xlfn.LET(_xlpm.d,S$2:S$19,_xlpm.a,$C$2:$C$19=$C28,_xlpm.b,$D$2:$D$19=$D28,MAX(_xlfn._xlws.FILTER(_xlpm.d,_xlpm.a*_xlpm.b)))</f>
        <v>0.98</v>
      </c>
    </row>
  </sheetData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4725-A2D4-C348-AFD0-9C0A939CE005}">
  <dimension ref="A1:S28"/>
  <sheetViews>
    <sheetView workbookViewId="0"/>
  </sheetViews>
  <sheetFormatPr baseColWidth="10" defaultRowHeight="25" customHeight="1"/>
  <cols>
    <col min="2" max="2" width="6.25" customWidth="1"/>
    <col min="4" max="4" width="11.875" customWidth="1"/>
    <col min="5" max="5" width="6.5" customWidth="1"/>
    <col min="7" max="19" width="8.625" customWidth="1"/>
  </cols>
  <sheetData>
    <row r="1" spans="1:19" ht="25" customHeight="1">
      <c r="A1" t="s">
        <v>0</v>
      </c>
      <c r="B1" t="s">
        <v>11</v>
      </c>
      <c r="C1" t="s">
        <v>1</v>
      </c>
      <c r="D1" t="s">
        <v>2</v>
      </c>
      <c r="E1" t="s">
        <v>12</v>
      </c>
      <c r="F1" t="s">
        <v>3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4</v>
      </c>
    </row>
    <row r="2" spans="1:19" ht="25" customHeight="1">
      <c r="A2" t="s">
        <v>27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0.71</v>
      </c>
      <c r="H2" s="1">
        <v>0.64</v>
      </c>
      <c r="I2" s="1">
        <v>0.73</v>
      </c>
      <c r="J2" s="1">
        <v>0.71</v>
      </c>
      <c r="K2" s="1">
        <v>0.6</v>
      </c>
      <c r="L2" s="1">
        <v>0.69</v>
      </c>
      <c r="M2" s="1">
        <v>0.74</v>
      </c>
      <c r="N2" s="1">
        <v>0.75</v>
      </c>
      <c r="O2" s="1">
        <v>0.71</v>
      </c>
      <c r="P2" s="1">
        <v>0.7</v>
      </c>
      <c r="Q2" s="1">
        <v>0.69</v>
      </c>
      <c r="R2" s="1">
        <v>0.74</v>
      </c>
      <c r="S2" s="1">
        <f t="shared" ref="S2:S19" si="0">MAX($G2:$R2)</f>
        <v>0.75</v>
      </c>
    </row>
    <row r="3" spans="1:19" ht="25" customHeight="1">
      <c r="A3" t="s">
        <v>27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0.7</v>
      </c>
      <c r="H3" s="1">
        <v>0.7</v>
      </c>
      <c r="I3" s="1">
        <v>0.78</v>
      </c>
      <c r="J3" s="1">
        <v>0.72</v>
      </c>
      <c r="K3" s="1">
        <v>0.7</v>
      </c>
      <c r="L3" s="1">
        <v>0.72</v>
      </c>
      <c r="M3" s="1">
        <v>0.73</v>
      </c>
      <c r="N3" s="1">
        <v>0.78</v>
      </c>
      <c r="O3" s="1">
        <v>0.71</v>
      </c>
      <c r="P3" s="1">
        <v>0.72</v>
      </c>
      <c r="Q3" s="1">
        <v>0.71</v>
      </c>
      <c r="R3" s="1">
        <v>0.74</v>
      </c>
      <c r="S3" s="1">
        <f t="shared" si="0"/>
        <v>0.78</v>
      </c>
    </row>
    <row r="4" spans="1:19" ht="25" customHeight="1">
      <c r="A4" t="s">
        <v>27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0.71</v>
      </c>
      <c r="H4" s="1">
        <v>0.66</v>
      </c>
      <c r="I4" s="1">
        <v>0.7</v>
      </c>
      <c r="J4" s="1">
        <v>0.67</v>
      </c>
      <c r="K4" s="1">
        <v>0.67</v>
      </c>
      <c r="L4" s="1">
        <v>0.74</v>
      </c>
      <c r="M4" s="1">
        <v>0.7</v>
      </c>
      <c r="N4" s="1">
        <v>0.73</v>
      </c>
      <c r="O4" s="1">
        <v>0.72</v>
      </c>
      <c r="P4" s="1">
        <v>0.71</v>
      </c>
      <c r="Q4" s="1">
        <v>0.67</v>
      </c>
      <c r="R4" s="1">
        <v>0.67</v>
      </c>
      <c r="S4" s="1">
        <f t="shared" si="0"/>
        <v>0.74</v>
      </c>
    </row>
    <row r="5" spans="1:19" ht="25" customHeight="1">
      <c r="A5" t="s">
        <v>27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0.65</v>
      </c>
      <c r="H5" s="1">
        <v>0.63</v>
      </c>
      <c r="I5" s="1">
        <v>0.69</v>
      </c>
      <c r="J5" s="1">
        <v>0.68</v>
      </c>
      <c r="K5" s="1">
        <v>0.65</v>
      </c>
      <c r="L5" s="1">
        <v>0.69</v>
      </c>
      <c r="M5" s="1">
        <v>0.7</v>
      </c>
      <c r="N5" s="1">
        <v>0.74</v>
      </c>
      <c r="O5" s="1">
        <v>0.69</v>
      </c>
      <c r="P5" s="1">
        <v>0.68</v>
      </c>
      <c r="Q5" s="1">
        <v>0.67</v>
      </c>
      <c r="R5" s="1">
        <v>0.7</v>
      </c>
      <c r="S5" s="1">
        <f t="shared" si="0"/>
        <v>0.74</v>
      </c>
    </row>
    <row r="6" spans="1:19" ht="25" customHeight="1">
      <c r="A6" t="s">
        <v>27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0.67</v>
      </c>
      <c r="H6" s="1">
        <v>0.67</v>
      </c>
      <c r="I6" s="1">
        <v>0.74</v>
      </c>
      <c r="J6" s="1">
        <v>0.7</v>
      </c>
      <c r="K6" s="1">
        <v>0.67</v>
      </c>
      <c r="L6" s="1">
        <v>0.73</v>
      </c>
      <c r="M6" s="1">
        <v>0.7</v>
      </c>
      <c r="N6" s="1">
        <v>0.74</v>
      </c>
      <c r="O6" s="1">
        <v>0.7</v>
      </c>
      <c r="P6" s="1">
        <v>0.69</v>
      </c>
      <c r="Q6" s="1">
        <v>0.69</v>
      </c>
      <c r="R6" s="1">
        <v>0.73</v>
      </c>
      <c r="S6" s="1">
        <f t="shared" si="0"/>
        <v>0.74</v>
      </c>
    </row>
    <row r="7" spans="1:19" ht="25" customHeight="1">
      <c r="A7" t="s">
        <v>27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0.61</v>
      </c>
      <c r="H7" s="1">
        <v>0.65</v>
      </c>
      <c r="I7" s="1">
        <v>0.67</v>
      </c>
      <c r="J7" s="1">
        <v>0.64</v>
      </c>
      <c r="K7" s="1">
        <v>0.64</v>
      </c>
      <c r="L7" s="1">
        <v>0.66</v>
      </c>
      <c r="M7" s="1">
        <v>0.64</v>
      </c>
      <c r="N7" s="1">
        <v>0.67</v>
      </c>
      <c r="O7" s="1">
        <v>0.61</v>
      </c>
      <c r="P7" s="1">
        <v>0.67</v>
      </c>
      <c r="Q7" s="1">
        <v>0.68</v>
      </c>
      <c r="R7" s="1">
        <v>0.6</v>
      </c>
      <c r="S7" s="1">
        <f t="shared" si="0"/>
        <v>0.68</v>
      </c>
    </row>
    <row r="8" spans="1:19" ht="25" customHeight="1">
      <c r="A8" t="s">
        <v>27</v>
      </c>
      <c r="B8">
        <v>2</v>
      </c>
      <c r="C8" t="s">
        <v>9</v>
      </c>
      <c r="D8" t="b">
        <v>1</v>
      </c>
      <c r="E8">
        <v>2</v>
      </c>
      <c r="F8" t="s">
        <v>7</v>
      </c>
      <c r="G8" s="1">
        <v>0.86</v>
      </c>
      <c r="H8" s="1">
        <v>0.79</v>
      </c>
      <c r="I8" s="1">
        <v>0.83</v>
      </c>
      <c r="J8" s="1">
        <v>0.82</v>
      </c>
      <c r="K8" s="1">
        <v>0.74</v>
      </c>
      <c r="L8" s="1">
        <v>0.75</v>
      </c>
      <c r="M8" s="1">
        <v>0.83</v>
      </c>
      <c r="N8" s="1">
        <v>0.81</v>
      </c>
      <c r="O8" s="1">
        <v>0.8</v>
      </c>
      <c r="P8" s="1">
        <v>0.74</v>
      </c>
      <c r="Q8" s="1">
        <v>0.77</v>
      </c>
      <c r="R8" s="1">
        <v>0.8</v>
      </c>
      <c r="S8" s="1">
        <f t="shared" si="0"/>
        <v>0.86</v>
      </c>
    </row>
    <row r="9" spans="1:19" ht="25" customHeight="1">
      <c r="A9" t="s">
        <v>27</v>
      </c>
      <c r="B9">
        <v>2</v>
      </c>
      <c r="C9" t="s">
        <v>9</v>
      </c>
      <c r="D9" t="b">
        <v>1</v>
      </c>
      <c r="E9">
        <v>3</v>
      </c>
      <c r="F9" t="s">
        <v>6</v>
      </c>
      <c r="G9" s="1">
        <v>0.77</v>
      </c>
      <c r="H9" s="1">
        <v>0.77</v>
      </c>
      <c r="I9" s="1">
        <v>0.78</v>
      </c>
      <c r="J9" s="1">
        <v>0.74</v>
      </c>
      <c r="K9" s="1">
        <v>0.74</v>
      </c>
      <c r="L9" s="1">
        <v>0.75</v>
      </c>
      <c r="M9" s="1">
        <v>0.77</v>
      </c>
      <c r="N9" s="1">
        <v>0.78</v>
      </c>
      <c r="O9" s="1">
        <v>0.78</v>
      </c>
      <c r="P9" s="1">
        <v>0.74</v>
      </c>
      <c r="Q9" s="1">
        <v>0.8</v>
      </c>
      <c r="R9" s="1">
        <v>0.78</v>
      </c>
      <c r="S9" s="1">
        <f t="shared" si="0"/>
        <v>0.8</v>
      </c>
    </row>
    <row r="10" spans="1:19" ht="25" customHeight="1">
      <c r="A10" t="s">
        <v>27</v>
      </c>
      <c r="B10">
        <v>2</v>
      </c>
      <c r="C10" t="s">
        <v>9</v>
      </c>
      <c r="D10" t="b">
        <v>1</v>
      </c>
      <c r="E10">
        <v>1</v>
      </c>
      <c r="F10" t="s">
        <v>8</v>
      </c>
      <c r="G10" s="1">
        <v>0.83</v>
      </c>
      <c r="H10" s="1">
        <v>0.76</v>
      </c>
      <c r="I10" s="1">
        <v>0.78</v>
      </c>
      <c r="J10" s="1">
        <v>0.76</v>
      </c>
      <c r="K10" s="1">
        <v>0.69</v>
      </c>
      <c r="L10" s="1">
        <v>0.7</v>
      </c>
      <c r="M10" s="1">
        <v>0.78</v>
      </c>
      <c r="N10" s="1">
        <v>0.81</v>
      </c>
      <c r="O10" s="1">
        <v>0.74</v>
      </c>
      <c r="P10" s="1">
        <v>0.74</v>
      </c>
      <c r="Q10" s="1">
        <v>0.72</v>
      </c>
      <c r="R10" s="1">
        <v>0.73</v>
      </c>
      <c r="S10" s="1">
        <f t="shared" si="0"/>
        <v>0.83</v>
      </c>
    </row>
    <row r="11" spans="1:19" ht="25" customHeight="1">
      <c r="A11" t="s">
        <v>27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0.77</v>
      </c>
      <c r="H11" s="1">
        <v>0.72</v>
      </c>
      <c r="I11" s="1">
        <v>0.74</v>
      </c>
      <c r="J11" s="1">
        <v>0.66</v>
      </c>
      <c r="K11" s="1">
        <v>0.62</v>
      </c>
      <c r="L11" s="1">
        <v>0.67</v>
      </c>
      <c r="M11" s="1">
        <v>0.73</v>
      </c>
      <c r="N11" s="1">
        <v>0.72</v>
      </c>
      <c r="O11" s="1">
        <v>0.69</v>
      </c>
      <c r="P11" s="1">
        <v>0.72</v>
      </c>
      <c r="Q11" s="1">
        <v>0.72</v>
      </c>
      <c r="R11" s="1">
        <v>0.73</v>
      </c>
      <c r="S11" s="1">
        <f t="shared" si="0"/>
        <v>0.77</v>
      </c>
    </row>
    <row r="12" spans="1:19" ht="25" customHeight="1">
      <c r="A12" t="s">
        <v>27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0.82</v>
      </c>
      <c r="H12" s="1">
        <v>0.74</v>
      </c>
      <c r="I12" s="1">
        <v>0.79</v>
      </c>
      <c r="J12" s="1">
        <v>0.75</v>
      </c>
      <c r="K12" s="1">
        <v>0.69</v>
      </c>
      <c r="L12" s="1">
        <v>0.7</v>
      </c>
      <c r="M12" s="1">
        <v>0.74</v>
      </c>
      <c r="N12" s="1">
        <v>0.76</v>
      </c>
      <c r="O12" s="1">
        <v>0.72</v>
      </c>
      <c r="P12" s="1">
        <v>0.76</v>
      </c>
      <c r="Q12" s="1">
        <v>0.74</v>
      </c>
      <c r="R12" s="1">
        <v>0.76</v>
      </c>
      <c r="S12" s="1">
        <f t="shared" si="0"/>
        <v>0.82</v>
      </c>
    </row>
    <row r="13" spans="1:19" ht="25" customHeight="1">
      <c r="A13" t="s">
        <v>27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0.75</v>
      </c>
      <c r="H13" s="1">
        <v>0.73</v>
      </c>
      <c r="I13" s="1">
        <v>0.75</v>
      </c>
      <c r="J13" s="1">
        <v>0.74</v>
      </c>
      <c r="K13" s="1">
        <v>0.71</v>
      </c>
      <c r="L13" s="1">
        <v>0.68</v>
      </c>
      <c r="M13" s="1">
        <v>0.76</v>
      </c>
      <c r="N13" s="1">
        <v>0.72</v>
      </c>
      <c r="O13" s="1">
        <v>0.76</v>
      </c>
      <c r="P13" s="1">
        <v>0.73</v>
      </c>
      <c r="Q13" s="1">
        <v>0.77</v>
      </c>
      <c r="R13" s="1">
        <v>0.74</v>
      </c>
      <c r="S13" s="1">
        <f t="shared" si="0"/>
        <v>0.77</v>
      </c>
    </row>
    <row r="14" spans="1:19" ht="25" customHeight="1">
      <c r="A14" t="s">
        <v>27</v>
      </c>
      <c r="B14">
        <v>3</v>
      </c>
      <c r="C14" t="s">
        <v>10</v>
      </c>
      <c r="D14" t="b">
        <v>1</v>
      </c>
      <c r="E14">
        <v>3</v>
      </c>
      <c r="F14" t="s">
        <v>6</v>
      </c>
      <c r="G14" s="1">
        <v>0.97</v>
      </c>
      <c r="H14" s="1">
        <v>0.96</v>
      </c>
      <c r="I14" s="1">
        <v>0.97</v>
      </c>
      <c r="J14" s="1">
        <v>0.93</v>
      </c>
      <c r="K14" s="1">
        <v>0.97</v>
      </c>
      <c r="L14" s="1">
        <v>0.96</v>
      </c>
      <c r="M14" s="1">
        <v>0.96</v>
      </c>
      <c r="N14" s="1">
        <v>0.98</v>
      </c>
      <c r="O14" s="1">
        <v>0.95</v>
      </c>
      <c r="P14" s="1">
        <v>0.97</v>
      </c>
      <c r="Q14" s="1">
        <v>0.98</v>
      </c>
      <c r="R14" s="1">
        <v>0.96</v>
      </c>
      <c r="S14" s="1">
        <f t="shared" si="0"/>
        <v>0.98</v>
      </c>
    </row>
    <row r="15" spans="1:19" ht="25" customHeight="1">
      <c r="A15" t="s">
        <v>27</v>
      </c>
      <c r="B15">
        <v>3</v>
      </c>
      <c r="C15" t="s">
        <v>10</v>
      </c>
      <c r="D15" t="b">
        <v>1</v>
      </c>
      <c r="E15">
        <v>1</v>
      </c>
      <c r="F15" t="s">
        <v>8</v>
      </c>
      <c r="G15" s="1">
        <v>0.97</v>
      </c>
      <c r="H15" s="1">
        <v>0.94</v>
      </c>
      <c r="I15" s="1">
        <v>0.96</v>
      </c>
      <c r="J15" s="1">
        <v>0.93</v>
      </c>
      <c r="K15" s="1">
        <v>0.93</v>
      </c>
      <c r="L15" s="1">
        <v>0.92</v>
      </c>
      <c r="M15" s="1">
        <v>0.95</v>
      </c>
      <c r="N15" s="1">
        <v>0.98</v>
      </c>
      <c r="O15" s="1">
        <v>0.96</v>
      </c>
      <c r="P15" s="1">
        <v>0.96</v>
      </c>
      <c r="Q15" s="1">
        <v>0.98</v>
      </c>
      <c r="R15" s="1">
        <v>0.98</v>
      </c>
      <c r="S15" s="1">
        <f t="shared" si="0"/>
        <v>0.98</v>
      </c>
    </row>
    <row r="16" spans="1:19" ht="25" customHeight="1">
      <c r="A16" t="s">
        <v>27</v>
      </c>
      <c r="B16">
        <v>3</v>
      </c>
      <c r="C16" t="s">
        <v>10</v>
      </c>
      <c r="D16" t="b">
        <v>1</v>
      </c>
      <c r="E16">
        <v>2</v>
      </c>
      <c r="F16" t="s">
        <v>7</v>
      </c>
      <c r="G16" s="1">
        <v>0.97</v>
      </c>
      <c r="H16" s="1">
        <v>0.96</v>
      </c>
      <c r="I16" s="1">
        <v>0.97</v>
      </c>
      <c r="J16" s="1">
        <v>0.93</v>
      </c>
      <c r="K16" s="1">
        <v>0.97</v>
      </c>
      <c r="L16" s="1">
        <v>0.96</v>
      </c>
      <c r="M16" s="1">
        <v>0.96</v>
      </c>
      <c r="N16" s="1">
        <v>0.99</v>
      </c>
      <c r="O16" s="1">
        <v>0.96</v>
      </c>
      <c r="P16" s="1">
        <v>0.98</v>
      </c>
      <c r="Q16" s="1">
        <v>0.98</v>
      </c>
      <c r="R16" s="1">
        <v>0.96</v>
      </c>
      <c r="S16" s="1">
        <f t="shared" si="0"/>
        <v>0.99</v>
      </c>
    </row>
    <row r="17" spans="1:19" ht="25" customHeight="1">
      <c r="A17" t="s">
        <v>27</v>
      </c>
      <c r="B17">
        <v>3</v>
      </c>
      <c r="C17" t="s">
        <v>10</v>
      </c>
      <c r="D17" t="b">
        <v>0</v>
      </c>
      <c r="E17">
        <v>2</v>
      </c>
      <c r="F17" t="s">
        <v>7</v>
      </c>
      <c r="G17" s="1">
        <v>0.97</v>
      </c>
      <c r="H17" s="1">
        <v>0.96</v>
      </c>
      <c r="I17" s="1">
        <v>0.97</v>
      </c>
      <c r="J17" s="1">
        <v>0.93</v>
      </c>
      <c r="K17" s="1">
        <v>0.97</v>
      </c>
      <c r="L17" s="1">
        <v>0.96</v>
      </c>
      <c r="M17" s="1">
        <v>0.96</v>
      </c>
      <c r="N17" s="1">
        <v>0.98</v>
      </c>
      <c r="O17" s="1">
        <v>0.95</v>
      </c>
      <c r="P17" s="1">
        <v>0.97</v>
      </c>
      <c r="Q17" s="1">
        <v>0.98</v>
      </c>
      <c r="R17" s="1">
        <v>0.96</v>
      </c>
      <c r="S17" s="1">
        <f t="shared" si="0"/>
        <v>0.98</v>
      </c>
    </row>
    <row r="18" spans="1:19" ht="25" customHeight="1">
      <c r="A18" t="s">
        <v>27</v>
      </c>
      <c r="B18">
        <v>3</v>
      </c>
      <c r="C18" t="s">
        <v>10</v>
      </c>
      <c r="D18" t="b">
        <v>0</v>
      </c>
      <c r="E18">
        <v>1</v>
      </c>
      <c r="F18" t="s">
        <v>8</v>
      </c>
      <c r="G18" s="1">
        <v>0.96</v>
      </c>
      <c r="H18" s="1">
        <v>0.96</v>
      </c>
      <c r="I18" s="1">
        <v>0.96</v>
      </c>
      <c r="J18" s="1">
        <v>0.93</v>
      </c>
      <c r="K18" s="1">
        <v>0.97</v>
      </c>
      <c r="L18" s="1">
        <v>0.95</v>
      </c>
      <c r="M18" s="1">
        <v>0.96</v>
      </c>
      <c r="N18" s="1">
        <v>0.97</v>
      </c>
      <c r="O18" s="1">
        <v>0.96</v>
      </c>
      <c r="P18" s="1">
        <v>0.97</v>
      </c>
      <c r="Q18" s="1">
        <v>0.97</v>
      </c>
      <c r="R18" s="1">
        <v>0.95</v>
      </c>
      <c r="S18" s="1">
        <f t="shared" si="0"/>
        <v>0.97</v>
      </c>
    </row>
    <row r="19" spans="1:19" ht="25" customHeight="1">
      <c r="A19" t="s">
        <v>27</v>
      </c>
      <c r="B19">
        <v>3</v>
      </c>
      <c r="C19" t="s">
        <v>10</v>
      </c>
      <c r="D19" t="b">
        <v>0</v>
      </c>
      <c r="E19">
        <v>3</v>
      </c>
      <c r="F19" t="s">
        <v>6</v>
      </c>
      <c r="G19" s="1">
        <v>0.97</v>
      </c>
      <c r="H19" s="1">
        <v>0.96</v>
      </c>
      <c r="I19" s="1">
        <v>0.97</v>
      </c>
      <c r="J19" s="1">
        <v>0.93</v>
      </c>
      <c r="K19" s="1">
        <v>0.97</v>
      </c>
      <c r="L19" s="1">
        <v>0.96</v>
      </c>
      <c r="M19" s="1">
        <v>0.96</v>
      </c>
      <c r="N19" s="1">
        <v>0.98</v>
      </c>
      <c r="O19" s="1">
        <v>0.95</v>
      </c>
      <c r="P19" s="1">
        <v>0.97</v>
      </c>
      <c r="Q19" s="1">
        <v>0.98</v>
      </c>
      <c r="R19" s="1">
        <v>0.96</v>
      </c>
      <c r="S19" s="1">
        <f t="shared" si="0"/>
        <v>0.98</v>
      </c>
    </row>
    <row r="22" spans="1:19" ht="25" customHeight="1">
      <c r="B22" s="3" t="s">
        <v>11</v>
      </c>
      <c r="C22" s="3" t="s">
        <v>1</v>
      </c>
      <c r="D22" s="3" t="s">
        <v>14</v>
      </c>
      <c r="E22" s="3" t="s">
        <v>12</v>
      </c>
      <c r="F22" s="3" t="s">
        <v>13</v>
      </c>
      <c r="G22" s="3" t="s">
        <v>15</v>
      </c>
      <c r="H22" s="3" t="s">
        <v>16</v>
      </c>
      <c r="I22" s="3" t="s">
        <v>17</v>
      </c>
      <c r="J22" s="3" t="s">
        <v>18</v>
      </c>
      <c r="K22" s="3" t="s">
        <v>19</v>
      </c>
      <c r="L22" s="3" t="s">
        <v>20</v>
      </c>
      <c r="M22" s="3" t="s">
        <v>21</v>
      </c>
      <c r="N22" s="3" t="s">
        <v>22</v>
      </c>
      <c r="O22" s="3" t="s">
        <v>23</v>
      </c>
      <c r="P22" s="3" t="s">
        <v>24</v>
      </c>
      <c r="Q22" s="3" t="s">
        <v>25</v>
      </c>
      <c r="R22" s="3" t="s">
        <v>26</v>
      </c>
      <c r="S22" s="3" t="s">
        <v>4</v>
      </c>
    </row>
    <row r="23" spans="1:19" ht="25" customHeight="1">
      <c r="B23" s="4">
        <v>1</v>
      </c>
      <c r="C23" t="s">
        <v>5</v>
      </c>
      <c r="D23" t="b">
        <v>1</v>
      </c>
      <c r="E23">
        <v>1</v>
      </c>
      <c r="F23" t="s">
        <v>4</v>
      </c>
      <c r="G23" s="1" cm="1">
        <f t="array" ref="G23">_xlfn.LET(_xlpm.d,G$2:G$19,_xlpm.a,$C$2:$C$19=$C23,_xlpm.b,$D$2:$D$19=$D23,MAX(_xlfn._xlws.FILTER(_xlpm.d,_xlpm.a*_xlpm.b)))</f>
        <v>0.71</v>
      </c>
      <c r="H23" s="1" cm="1">
        <f t="array" ref="H23">_xlfn.LET(_xlpm.d,H$2:H$19,_xlpm.a,$C$2:$C$19=$C23,_xlpm.b,$D$2:$D$19=$D23,MAX(_xlfn._xlws.FILTER(_xlpm.d,_xlpm.a*_xlpm.b)))</f>
        <v>0.7</v>
      </c>
      <c r="I23" s="1" cm="1">
        <f t="array" ref="I23">_xlfn.LET(_xlpm.d,I$2:I$19,_xlpm.a,$C$2:$C$19=$C23,_xlpm.b,$D$2:$D$19=$D23,MAX(_xlfn._xlws.FILTER(_xlpm.d,_xlpm.a*_xlpm.b)))</f>
        <v>0.78</v>
      </c>
      <c r="J23" s="1" cm="1">
        <f t="array" ref="J23">_xlfn.LET(_xlpm.d,J$2:J$19,_xlpm.a,$C$2:$C$19=$C23,_xlpm.b,$D$2:$D$19=$D23,MAX(_xlfn._xlws.FILTER(_xlpm.d,_xlpm.a*_xlpm.b)))</f>
        <v>0.72</v>
      </c>
      <c r="K23" s="1" cm="1">
        <f t="array" ref="K23">_xlfn.LET(_xlpm.d,K$2:K$19,_xlpm.a,$C$2:$C$19=$C23,_xlpm.b,$D$2:$D$19=$D23,MAX(_xlfn._xlws.FILTER(_xlpm.d,_xlpm.a*_xlpm.b)))</f>
        <v>0.7</v>
      </c>
      <c r="L23" s="1" cm="1">
        <f t="array" ref="L23">_xlfn.LET(_xlpm.d,L$2:L$19,_xlpm.a,$C$2:$C$19=$C23,_xlpm.b,$D$2:$D$19=$D23,MAX(_xlfn._xlws.FILTER(_xlpm.d,_xlpm.a*_xlpm.b)))</f>
        <v>0.74</v>
      </c>
      <c r="M23" s="1" cm="1">
        <f t="array" ref="M23">_xlfn.LET(_xlpm.d,M$2:M$19,_xlpm.a,$C$2:$C$19=$C23,_xlpm.b,$D$2:$D$19=$D23,MAX(_xlfn._xlws.FILTER(_xlpm.d,_xlpm.a*_xlpm.b)))</f>
        <v>0.74</v>
      </c>
      <c r="N23" s="1" cm="1">
        <f t="array" ref="N23">_xlfn.LET(_xlpm.d,N$2:N$19,_xlpm.a,$C$2:$C$19=$C23,_xlpm.b,$D$2:$D$19=$D23,MAX(_xlfn._xlws.FILTER(_xlpm.d,_xlpm.a*_xlpm.b)))</f>
        <v>0.78</v>
      </c>
      <c r="O23" s="1" cm="1">
        <f t="array" ref="O23">_xlfn.LET(_xlpm.d,O$2:O$19,_xlpm.a,$C$2:$C$19=$C23,_xlpm.b,$D$2:$D$19=$D23,MAX(_xlfn._xlws.FILTER(_xlpm.d,_xlpm.a*_xlpm.b)))</f>
        <v>0.72</v>
      </c>
      <c r="P23" s="1" cm="1">
        <f t="array" ref="P23">_xlfn.LET(_xlpm.d,P$2:P$19,_xlpm.a,$C$2:$C$19=$C23,_xlpm.b,$D$2:$D$19=$D23,MAX(_xlfn._xlws.FILTER(_xlpm.d,_xlpm.a*_xlpm.b)))</f>
        <v>0.72</v>
      </c>
      <c r="Q23" s="1" cm="1">
        <f t="array" ref="Q23">_xlfn.LET(_xlpm.d,Q$2:Q$19,_xlpm.a,$C$2:$C$19=$C23,_xlpm.b,$D$2:$D$19=$D23,MAX(_xlfn._xlws.FILTER(_xlpm.d,_xlpm.a*_xlpm.b)))</f>
        <v>0.71</v>
      </c>
      <c r="R23" s="1" cm="1">
        <f t="array" ref="R23">_xlfn.LET(_xlpm.d,R$2:R$19,_xlpm.a,$C$2:$C$19=$C23,_xlpm.b,$D$2:$D$19=$D23,MAX(_xlfn._xlws.FILTER(_xlpm.d,_xlpm.a*_xlpm.b)))</f>
        <v>0.74</v>
      </c>
      <c r="S23" s="1" cm="1">
        <f t="array" ref="S23">_xlfn.LET(_xlpm.d,S$2:S$19,_xlpm.a,$C$2:$C$19=$C23,_xlpm.b,$D$2:$D$19=$D23,MAX(_xlfn._xlws.FILTER(_xlpm.d,_xlpm.a*_xlpm.b)))</f>
        <v>0.78</v>
      </c>
    </row>
    <row r="24" spans="1:19" ht="25" customHeight="1">
      <c r="B24" s="4">
        <v>1</v>
      </c>
      <c r="C24" t="s">
        <v>5</v>
      </c>
      <c r="D24" t="b">
        <v>0</v>
      </c>
      <c r="E24">
        <v>1</v>
      </c>
      <c r="F24" t="s">
        <v>4</v>
      </c>
      <c r="G24" s="2" cm="1">
        <f t="array" ref="G24">_xlfn.LET(_xlpm.d,G$2:G$19,_xlpm.a,$C$2:$C$19=$C24,_xlpm.b,$D$2:$D$19=$D24,MAX(_xlfn._xlws.FILTER(_xlpm.d,_xlpm.a*_xlpm.b)))</f>
        <v>0.67</v>
      </c>
      <c r="H24" s="2" cm="1">
        <f t="array" ref="H24">_xlfn.LET(_xlpm.d,H$2:H$19,_xlpm.a,$C$2:$C$19=$C24,_xlpm.b,$D$2:$D$19=$D24,MAX(_xlfn._xlws.FILTER(_xlpm.d,_xlpm.a*_xlpm.b)))</f>
        <v>0.67</v>
      </c>
      <c r="I24" s="2" cm="1">
        <f t="array" ref="I24">_xlfn.LET(_xlpm.d,I$2:I$19,_xlpm.a,$C$2:$C$19=$C24,_xlpm.b,$D$2:$D$19=$D24,MAX(_xlfn._xlws.FILTER(_xlpm.d,_xlpm.a*_xlpm.b)))</f>
        <v>0.74</v>
      </c>
      <c r="J24" s="2" cm="1">
        <f t="array" ref="J24">_xlfn.LET(_xlpm.d,J$2:J$19,_xlpm.a,$C$2:$C$19=$C24,_xlpm.b,$D$2:$D$19=$D24,MAX(_xlfn._xlws.FILTER(_xlpm.d,_xlpm.a*_xlpm.b)))</f>
        <v>0.7</v>
      </c>
      <c r="K24" s="2" cm="1">
        <f t="array" ref="K24">_xlfn.LET(_xlpm.d,K$2:K$19,_xlpm.a,$C$2:$C$19=$C24,_xlpm.b,$D$2:$D$19=$D24,MAX(_xlfn._xlws.FILTER(_xlpm.d,_xlpm.a*_xlpm.b)))</f>
        <v>0.67</v>
      </c>
      <c r="L24" s="2" cm="1">
        <f t="array" ref="L24">_xlfn.LET(_xlpm.d,L$2:L$19,_xlpm.a,$C$2:$C$19=$C24,_xlpm.b,$D$2:$D$19=$D24,MAX(_xlfn._xlws.FILTER(_xlpm.d,_xlpm.a*_xlpm.b)))</f>
        <v>0.73</v>
      </c>
      <c r="M24" s="2" cm="1">
        <f t="array" ref="M24">_xlfn.LET(_xlpm.d,M$2:M$19,_xlpm.a,$C$2:$C$19=$C24,_xlpm.b,$D$2:$D$19=$D24,MAX(_xlfn._xlws.FILTER(_xlpm.d,_xlpm.a*_xlpm.b)))</f>
        <v>0.7</v>
      </c>
      <c r="N24" s="2" cm="1">
        <f t="array" ref="N24">_xlfn.LET(_xlpm.d,N$2:N$19,_xlpm.a,$C$2:$C$19=$C24,_xlpm.b,$D$2:$D$19=$D24,MAX(_xlfn._xlws.FILTER(_xlpm.d,_xlpm.a*_xlpm.b)))</f>
        <v>0.74</v>
      </c>
      <c r="O24" s="2" cm="1">
        <f t="array" ref="O24">_xlfn.LET(_xlpm.d,O$2:O$19,_xlpm.a,$C$2:$C$19=$C24,_xlpm.b,$D$2:$D$19=$D24,MAX(_xlfn._xlws.FILTER(_xlpm.d,_xlpm.a*_xlpm.b)))</f>
        <v>0.7</v>
      </c>
      <c r="P24" s="2" cm="1">
        <f t="array" ref="P24">_xlfn.LET(_xlpm.d,P$2:P$19,_xlpm.a,$C$2:$C$19=$C24,_xlpm.b,$D$2:$D$19=$D24,MAX(_xlfn._xlws.FILTER(_xlpm.d,_xlpm.a*_xlpm.b)))</f>
        <v>0.69</v>
      </c>
      <c r="Q24" s="2" cm="1">
        <f t="array" ref="Q24">_xlfn.LET(_xlpm.d,Q$2:Q$19,_xlpm.a,$C$2:$C$19=$C24,_xlpm.b,$D$2:$D$19=$D24,MAX(_xlfn._xlws.FILTER(_xlpm.d,_xlpm.a*_xlpm.b)))</f>
        <v>0.69</v>
      </c>
      <c r="R24" s="2" cm="1">
        <f t="array" ref="R24">_xlfn.LET(_xlpm.d,R$2:R$19,_xlpm.a,$C$2:$C$19=$C24,_xlpm.b,$D$2:$D$19=$D24,MAX(_xlfn._xlws.FILTER(_xlpm.d,_xlpm.a*_xlpm.b)))</f>
        <v>0.73</v>
      </c>
      <c r="S24" s="2" cm="1">
        <f t="array" ref="S24">_xlfn.LET(_xlpm.d,S$2:S$19,_xlpm.a,$C$2:$C$19=$C24,_xlpm.b,$D$2:$D$19=$D24,MAX(_xlfn._xlws.FILTER(_xlpm.d,_xlpm.a*_xlpm.b)))</f>
        <v>0.74</v>
      </c>
    </row>
    <row r="25" spans="1:19" ht="25" customHeight="1">
      <c r="B25" s="4">
        <v>2</v>
      </c>
      <c r="C25" t="s">
        <v>9</v>
      </c>
      <c r="D25" t="b">
        <v>1</v>
      </c>
      <c r="E25">
        <v>1</v>
      </c>
      <c r="F25" t="s">
        <v>4</v>
      </c>
      <c r="G25" s="1" cm="1">
        <f t="array" ref="G25">_xlfn.LET(_xlpm.d,G$2:G$19,_xlpm.a,$C$2:$C$19=$C25,_xlpm.b,$D$2:$D$19=$D25,MAX(_xlfn._xlws.FILTER(_xlpm.d,_xlpm.a*_xlpm.b)))</f>
        <v>0.86</v>
      </c>
      <c r="H25" s="1" cm="1">
        <f t="array" ref="H25">_xlfn.LET(_xlpm.d,H$2:H$19,_xlpm.a,$C$2:$C$19=$C25,_xlpm.b,$D$2:$D$19=$D25,MAX(_xlfn._xlws.FILTER(_xlpm.d,_xlpm.a*_xlpm.b)))</f>
        <v>0.79</v>
      </c>
      <c r="I25" s="1" cm="1">
        <f t="array" ref="I25">_xlfn.LET(_xlpm.d,I$2:I$19,_xlpm.a,$C$2:$C$19=$C25,_xlpm.b,$D$2:$D$19=$D25,MAX(_xlfn._xlws.FILTER(_xlpm.d,_xlpm.a*_xlpm.b)))</f>
        <v>0.83</v>
      </c>
      <c r="J25" s="1" cm="1">
        <f t="array" ref="J25">_xlfn.LET(_xlpm.d,J$2:J$19,_xlpm.a,$C$2:$C$19=$C25,_xlpm.b,$D$2:$D$19=$D25,MAX(_xlfn._xlws.FILTER(_xlpm.d,_xlpm.a*_xlpm.b)))</f>
        <v>0.82</v>
      </c>
      <c r="K25" s="1" cm="1">
        <f t="array" ref="K25">_xlfn.LET(_xlpm.d,K$2:K$19,_xlpm.a,$C$2:$C$19=$C25,_xlpm.b,$D$2:$D$19=$D25,MAX(_xlfn._xlws.FILTER(_xlpm.d,_xlpm.a*_xlpm.b)))</f>
        <v>0.74</v>
      </c>
      <c r="L25" s="1" cm="1">
        <f t="array" ref="L25">_xlfn.LET(_xlpm.d,L$2:L$19,_xlpm.a,$C$2:$C$19=$C25,_xlpm.b,$D$2:$D$19=$D25,MAX(_xlfn._xlws.FILTER(_xlpm.d,_xlpm.a*_xlpm.b)))</f>
        <v>0.75</v>
      </c>
      <c r="M25" s="1" cm="1">
        <f t="array" ref="M25">_xlfn.LET(_xlpm.d,M$2:M$19,_xlpm.a,$C$2:$C$19=$C25,_xlpm.b,$D$2:$D$19=$D25,MAX(_xlfn._xlws.FILTER(_xlpm.d,_xlpm.a*_xlpm.b)))</f>
        <v>0.83</v>
      </c>
      <c r="N25" s="1" cm="1">
        <f t="array" ref="N25">_xlfn.LET(_xlpm.d,N$2:N$19,_xlpm.a,$C$2:$C$19=$C25,_xlpm.b,$D$2:$D$19=$D25,MAX(_xlfn._xlws.FILTER(_xlpm.d,_xlpm.a*_xlpm.b)))</f>
        <v>0.81</v>
      </c>
      <c r="O25" s="1" cm="1">
        <f t="array" ref="O25">_xlfn.LET(_xlpm.d,O$2:O$19,_xlpm.a,$C$2:$C$19=$C25,_xlpm.b,$D$2:$D$19=$D25,MAX(_xlfn._xlws.FILTER(_xlpm.d,_xlpm.a*_xlpm.b)))</f>
        <v>0.8</v>
      </c>
      <c r="P25" s="1" cm="1">
        <f t="array" ref="P25">_xlfn.LET(_xlpm.d,P$2:P$19,_xlpm.a,$C$2:$C$19=$C25,_xlpm.b,$D$2:$D$19=$D25,MAX(_xlfn._xlws.FILTER(_xlpm.d,_xlpm.a*_xlpm.b)))</f>
        <v>0.74</v>
      </c>
      <c r="Q25" s="1" cm="1">
        <f t="array" ref="Q25">_xlfn.LET(_xlpm.d,Q$2:Q$19,_xlpm.a,$C$2:$C$19=$C25,_xlpm.b,$D$2:$D$19=$D25,MAX(_xlfn._xlws.FILTER(_xlpm.d,_xlpm.a*_xlpm.b)))</f>
        <v>0.8</v>
      </c>
      <c r="R25" s="1" cm="1">
        <f t="array" ref="R25">_xlfn.LET(_xlpm.d,R$2:R$19,_xlpm.a,$C$2:$C$19=$C25,_xlpm.b,$D$2:$D$19=$D25,MAX(_xlfn._xlws.FILTER(_xlpm.d,_xlpm.a*_xlpm.b)))</f>
        <v>0.8</v>
      </c>
      <c r="S25" s="1" cm="1">
        <f t="array" ref="S25">_xlfn.LET(_xlpm.d,S$2:S$19,_xlpm.a,$C$2:$C$19=$C25,_xlpm.b,$D$2:$D$19=$D25,MAX(_xlfn._xlws.FILTER(_xlpm.d,_xlpm.a*_xlpm.b)))</f>
        <v>0.86</v>
      </c>
    </row>
    <row r="26" spans="1:19" ht="25" customHeight="1">
      <c r="B26" s="4">
        <v>2</v>
      </c>
      <c r="C26" t="s">
        <v>9</v>
      </c>
      <c r="D26" t="b">
        <v>0</v>
      </c>
      <c r="E26">
        <v>1</v>
      </c>
      <c r="F26" t="s">
        <v>4</v>
      </c>
      <c r="G26" s="2" cm="1">
        <f t="array" ref="G26">_xlfn.LET(_xlpm.d,G$2:G$19,_xlpm.a,$C$2:$C$19=$C26,_xlpm.b,$D$2:$D$19=$D26,MAX(_xlfn._xlws.FILTER(_xlpm.d,_xlpm.a*_xlpm.b)))</f>
        <v>0.82</v>
      </c>
      <c r="H26" s="2" cm="1">
        <f t="array" ref="H26">_xlfn.LET(_xlpm.d,H$2:H$19,_xlpm.a,$C$2:$C$19=$C26,_xlpm.b,$D$2:$D$19=$D26,MAX(_xlfn._xlws.FILTER(_xlpm.d,_xlpm.a*_xlpm.b)))</f>
        <v>0.74</v>
      </c>
      <c r="I26" s="2" cm="1">
        <f t="array" ref="I26">_xlfn.LET(_xlpm.d,I$2:I$19,_xlpm.a,$C$2:$C$19=$C26,_xlpm.b,$D$2:$D$19=$D26,MAX(_xlfn._xlws.FILTER(_xlpm.d,_xlpm.a*_xlpm.b)))</f>
        <v>0.79</v>
      </c>
      <c r="J26" s="2" cm="1">
        <f t="array" ref="J26">_xlfn.LET(_xlpm.d,J$2:J$19,_xlpm.a,$C$2:$C$19=$C26,_xlpm.b,$D$2:$D$19=$D26,MAX(_xlfn._xlws.FILTER(_xlpm.d,_xlpm.a*_xlpm.b)))</f>
        <v>0.75</v>
      </c>
      <c r="K26" s="2" cm="1">
        <f t="array" ref="K26">_xlfn.LET(_xlpm.d,K$2:K$19,_xlpm.a,$C$2:$C$19=$C26,_xlpm.b,$D$2:$D$19=$D26,MAX(_xlfn._xlws.FILTER(_xlpm.d,_xlpm.a*_xlpm.b)))</f>
        <v>0.71</v>
      </c>
      <c r="L26" s="2" cm="1">
        <f t="array" ref="L26">_xlfn.LET(_xlpm.d,L$2:L$19,_xlpm.a,$C$2:$C$19=$C26,_xlpm.b,$D$2:$D$19=$D26,MAX(_xlfn._xlws.FILTER(_xlpm.d,_xlpm.a*_xlpm.b)))</f>
        <v>0.7</v>
      </c>
      <c r="M26" s="2" cm="1">
        <f t="array" ref="M26">_xlfn.LET(_xlpm.d,M$2:M$19,_xlpm.a,$C$2:$C$19=$C26,_xlpm.b,$D$2:$D$19=$D26,MAX(_xlfn._xlws.FILTER(_xlpm.d,_xlpm.a*_xlpm.b)))</f>
        <v>0.76</v>
      </c>
      <c r="N26" s="2" cm="1">
        <f t="array" ref="N26">_xlfn.LET(_xlpm.d,N$2:N$19,_xlpm.a,$C$2:$C$19=$C26,_xlpm.b,$D$2:$D$19=$D26,MAX(_xlfn._xlws.FILTER(_xlpm.d,_xlpm.a*_xlpm.b)))</f>
        <v>0.76</v>
      </c>
      <c r="O26" s="2" cm="1">
        <f t="array" ref="O26">_xlfn.LET(_xlpm.d,O$2:O$19,_xlpm.a,$C$2:$C$19=$C26,_xlpm.b,$D$2:$D$19=$D26,MAX(_xlfn._xlws.FILTER(_xlpm.d,_xlpm.a*_xlpm.b)))</f>
        <v>0.76</v>
      </c>
      <c r="P26" s="2" cm="1">
        <f t="array" ref="P26">_xlfn.LET(_xlpm.d,P$2:P$19,_xlpm.a,$C$2:$C$19=$C26,_xlpm.b,$D$2:$D$19=$D26,MAX(_xlfn._xlws.FILTER(_xlpm.d,_xlpm.a*_xlpm.b)))</f>
        <v>0.76</v>
      </c>
      <c r="Q26" s="2" cm="1">
        <f t="array" ref="Q26">_xlfn.LET(_xlpm.d,Q$2:Q$19,_xlpm.a,$C$2:$C$19=$C26,_xlpm.b,$D$2:$D$19=$D26,MAX(_xlfn._xlws.FILTER(_xlpm.d,_xlpm.a*_xlpm.b)))</f>
        <v>0.77</v>
      </c>
      <c r="R26" s="2" cm="1">
        <f t="array" ref="R26">_xlfn.LET(_xlpm.d,R$2:R$19,_xlpm.a,$C$2:$C$19=$C26,_xlpm.b,$D$2:$D$19=$D26,MAX(_xlfn._xlws.FILTER(_xlpm.d,_xlpm.a*_xlpm.b)))</f>
        <v>0.76</v>
      </c>
      <c r="S26" s="2" cm="1">
        <f t="array" ref="S26">_xlfn.LET(_xlpm.d,S$2:S$19,_xlpm.a,$C$2:$C$19=$C26,_xlpm.b,$D$2:$D$19=$D26,MAX(_xlfn._xlws.FILTER(_xlpm.d,_xlpm.a*_xlpm.b)))</f>
        <v>0.82</v>
      </c>
    </row>
    <row r="27" spans="1:19" ht="25" customHeight="1">
      <c r="B27" s="4">
        <v>3</v>
      </c>
      <c r="C27" t="s">
        <v>10</v>
      </c>
      <c r="D27" t="b">
        <v>1</v>
      </c>
      <c r="E27">
        <v>1</v>
      </c>
      <c r="F27" t="s">
        <v>4</v>
      </c>
      <c r="G27" s="1" cm="1">
        <f t="array" ref="G27">_xlfn.LET(_xlpm.d,G$2:G$19,_xlpm.a,$C$2:$C$19=$C27,_xlpm.b,$D$2:$D$19=$D27,MAX(_xlfn._xlws.FILTER(_xlpm.d,_xlpm.a*_xlpm.b)))</f>
        <v>0.97</v>
      </c>
      <c r="H27" s="1" cm="1">
        <f t="array" ref="H27">_xlfn.LET(_xlpm.d,H$2:H$19,_xlpm.a,$C$2:$C$19=$C27,_xlpm.b,$D$2:$D$19=$D27,MAX(_xlfn._xlws.FILTER(_xlpm.d,_xlpm.a*_xlpm.b)))</f>
        <v>0.96</v>
      </c>
      <c r="I27" s="1" cm="1">
        <f t="array" ref="I27">_xlfn.LET(_xlpm.d,I$2:I$19,_xlpm.a,$C$2:$C$19=$C27,_xlpm.b,$D$2:$D$19=$D27,MAX(_xlfn._xlws.FILTER(_xlpm.d,_xlpm.a*_xlpm.b)))</f>
        <v>0.97</v>
      </c>
      <c r="J27" s="1" cm="1">
        <f t="array" ref="J27">_xlfn.LET(_xlpm.d,J$2:J$19,_xlpm.a,$C$2:$C$19=$C27,_xlpm.b,$D$2:$D$19=$D27,MAX(_xlfn._xlws.FILTER(_xlpm.d,_xlpm.a*_xlpm.b)))</f>
        <v>0.93</v>
      </c>
      <c r="K27" s="1" cm="1">
        <f t="array" ref="K27">_xlfn.LET(_xlpm.d,K$2:K$19,_xlpm.a,$C$2:$C$19=$C27,_xlpm.b,$D$2:$D$19=$D27,MAX(_xlfn._xlws.FILTER(_xlpm.d,_xlpm.a*_xlpm.b)))</f>
        <v>0.97</v>
      </c>
      <c r="L27" s="1" cm="1">
        <f t="array" ref="L27">_xlfn.LET(_xlpm.d,L$2:L$19,_xlpm.a,$C$2:$C$19=$C27,_xlpm.b,$D$2:$D$19=$D27,MAX(_xlfn._xlws.FILTER(_xlpm.d,_xlpm.a*_xlpm.b)))</f>
        <v>0.96</v>
      </c>
      <c r="M27" s="1" cm="1">
        <f t="array" ref="M27">_xlfn.LET(_xlpm.d,M$2:M$19,_xlpm.a,$C$2:$C$19=$C27,_xlpm.b,$D$2:$D$19=$D27,MAX(_xlfn._xlws.FILTER(_xlpm.d,_xlpm.a*_xlpm.b)))</f>
        <v>0.96</v>
      </c>
      <c r="N27" s="1" cm="1">
        <f t="array" ref="N27">_xlfn.LET(_xlpm.d,N$2:N$19,_xlpm.a,$C$2:$C$19=$C27,_xlpm.b,$D$2:$D$19=$D27,MAX(_xlfn._xlws.FILTER(_xlpm.d,_xlpm.a*_xlpm.b)))</f>
        <v>0.99</v>
      </c>
      <c r="O27" s="1" cm="1">
        <f t="array" ref="O27">_xlfn.LET(_xlpm.d,O$2:O$19,_xlpm.a,$C$2:$C$19=$C27,_xlpm.b,$D$2:$D$19=$D27,MAX(_xlfn._xlws.FILTER(_xlpm.d,_xlpm.a*_xlpm.b)))</f>
        <v>0.96</v>
      </c>
      <c r="P27" s="1" cm="1">
        <f t="array" ref="P27">_xlfn.LET(_xlpm.d,P$2:P$19,_xlpm.a,$C$2:$C$19=$C27,_xlpm.b,$D$2:$D$19=$D27,MAX(_xlfn._xlws.FILTER(_xlpm.d,_xlpm.a*_xlpm.b)))</f>
        <v>0.98</v>
      </c>
      <c r="Q27" s="1" cm="1">
        <f t="array" ref="Q27">_xlfn.LET(_xlpm.d,Q$2:Q$19,_xlpm.a,$C$2:$C$19=$C27,_xlpm.b,$D$2:$D$19=$D27,MAX(_xlfn._xlws.FILTER(_xlpm.d,_xlpm.a*_xlpm.b)))</f>
        <v>0.98</v>
      </c>
      <c r="R27" s="1" cm="1">
        <f t="array" ref="R27">_xlfn.LET(_xlpm.d,R$2:R$19,_xlpm.a,$C$2:$C$19=$C27,_xlpm.b,$D$2:$D$19=$D27,MAX(_xlfn._xlws.FILTER(_xlpm.d,_xlpm.a*_xlpm.b)))</f>
        <v>0.98</v>
      </c>
      <c r="S27" s="1" cm="1">
        <f t="array" ref="S27">_xlfn.LET(_xlpm.d,S$2:S$19,_xlpm.a,$C$2:$C$19=$C27,_xlpm.b,$D$2:$D$19=$D27,MAX(_xlfn._xlws.FILTER(_xlpm.d,_xlpm.a*_xlpm.b)))</f>
        <v>0.99</v>
      </c>
    </row>
    <row r="28" spans="1:19" ht="25" customHeight="1">
      <c r="B28" s="4">
        <v>3</v>
      </c>
      <c r="C28" t="s">
        <v>10</v>
      </c>
      <c r="D28" t="b">
        <v>0</v>
      </c>
      <c r="E28">
        <v>1</v>
      </c>
      <c r="F28" t="s">
        <v>4</v>
      </c>
      <c r="G28" s="2" cm="1">
        <f t="array" ref="G28">_xlfn.LET(_xlpm.d,G$2:G$19,_xlpm.a,$C$2:$C$19=$C28,_xlpm.b,$D$2:$D$19=$D28,MAX(_xlfn._xlws.FILTER(_xlpm.d,_xlpm.a*_xlpm.b)))</f>
        <v>0.97</v>
      </c>
      <c r="H28" s="2" cm="1">
        <f t="array" ref="H28">_xlfn.LET(_xlpm.d,H$2:H$19,_xlpm.a,$C$2:$C$19=$C28,_xlpm.b,$D$2:$D$19=$D28,MAX(_xlfn._xlws.FILTER(_xlpm.d,_xlpm.a*_xlpm.b)))</f>
        <v>0.96</v>
      </c>
      <c r="I28" s="2" cm="1">
        <f t="array" ref="I28">_xlfn.LET(_xlpm.d,I$2:I$19,_xlpm.a,$C$2:$C$19=$C28,_xlpm.b,$D$2:$D$19=$D28,MAX(_xlfn._xlws.FILTER(_xlpm.d,_xlpm.a*_xlpm.b)))</f>
        <v>0.97</v>
      </c>
      <c r="J28" s="2" cm="1">
        <f t="array" ref="J28">_xlfn.LET(_xlpm.d,J$2:J$19,_xlpm.a,$C$2:$C$19=$C28,_xlpm.b,$D$2:$D$19=$D28,MAX(_xlfn._xlws.FILTER(_xlpm.d,_xlpm.a*_xlpm.b)))</f>
        <v>0.93</v>
      </c>
      <c r="K28" s="2" cm="1">
        <f t="array" ref="K28">_xlfn.LET(_xlpm.d,K$2:K$19,_xlpm.a,$C$2:$C$19=$C28,_xlpm.b,$D$2:$D$19=$D28,MAX(_xlfn._xlws.FILTER(_xlpm.d,_xlpm.a*_xlpm.b)))</f>
        <v>0.97</v>
      </c>
      <c r="L28" s="2" cm="1">
        <f t="array" ref="L28">_xlfn.LET(_xlpm.d,L$2:L$19,_xlpm.a,$C$2:$C$19=$C28,_xlpm.b,$D$2:$D$19=$D28,MAX(_xlfn._xlws.FILTER(_xlpm.d,_xlpm.a*_xlpm.b)))</f>
        <v>0.96</v>
      </c>
      <c r="M28" s="2" cm="1">
        <f t="array" ref="M28">_xlfn.LET(_xlpm.d,M$2:M$19,_xlpm.a,$C$2:$C$19=$C28,_xlpm.b,$D$2:$D$19=$D28,MAX(_xlfn._xlws.FILTER(_xlpm.d,_xlpm.a*_xlpm.b)))</f>
        <v>0.96</v>
      </c>
      <c r="N28" s="2" cm="1">
        <f t="array" ref="N28">_xlfn.LET(_xlpm.d,N$2:N$19,_xlpm.a,$C$2:$C$19=$C28,_xlpm.b,$D$2:$D$19=$D28,MAX(_xlfn._xlws.FILTER(_xlpm.d,_xlpm.a*_xlpm.b)))</f>
        <v>0.98</v>
      </c>
      <c r="O28" s="2" cm="1">
        <f t="array" ref="O28">_xlfn.LET(_xlpm.d,O$2:O$19,_xlpm.a,$C$2:$C$19=$C28,_xlpm.b,$D$2:$D$19=$D28,MAX(_xlfn._xlws.FILTER(_xlpm.d,_xlpm.a*_xlpm.b)))</f>
        <v>0.96</v>
      </c>
      <c r="P28" s="2" cm="1">
        <f t="array" ref="P28">_xlfn.LET(_xlpm.d,P$2:P$19,_xlpm.a,$C$2:$C$19=$C28,_xlpm.b,$D$2:$D$19=$D28,MAX(_xlfn._xlws.FILTER(_xlpm.d,_xlpm.a*_xlpm.b)))</f>
        <v>0.97</v>
      </c>
      <c r="Q28" s="2" cm="1">
        <f t="array" ref="Q28">_xlfn.LET(_xlpm.d,Q$2:Q$19,_xlpm.a,$C$2:$C$19=$C28,_xlpm.b,$D$2:$D$19=$D28,MAX(_xlfn._xlws.FILTER(_xlpm.d,_xlpm.a*_xlpm.b)))</f>
        <v>0.98</v>
      </c>
      <c r="R28" s="2" cm="1">
        <f t="array" ref="R28">_xlfn.LET(_xlpm.d,R$2:R$19,_xlpm.a,$C$2:$C$19=$C28,_xlpm.b,$D$2:$D$19=$D28,MAX(_xlfn._xlws.FILTER(_xlpm.d,_xlpm.a*_xlpm.b)))</f>
        <v>0.96</v>
      </c>
      <c r="S28" s="2" cm="1">
        <f t="array" ref="S28">_xlfn.LET(_xlpm.d,S$2:S$19,_xlpm.a,$C$2:$C$19=$C28,_xlpm.b,$D$2:$D$19=$D28,MAX(_xlfn._xlws.FILTER(_xlpm.d,_xlpm.a*_xlpm.b)))</f>
        <v>0.98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E1D0-A9C7-274D-9503-A57A96864AE6}">
  <dimension ref="A1:S28"/>
  <sheetViews>
    <sheetView workbookViewId="0"/>
  </sheetViews>
  <sheetFormatPr baseColWidth="10" defaultRowHeight="25" customHeight="1"/>
  <cols>
    <col min="2" max="2" width="8.625" customWidth="1"/>
    <col min="4" max="4" width="11.875" customWidth="1"/>
    <col min="5" max="5" width="9.375" customWidth="1"/>
    <col min="7" max="19" width="7.75" customWidth="1"/>
  </cols>
  <sheetData>
    <row r="1" spans="1:19" ht="25" customHeight="1">
      <c r="A1" t="s">
        <v>0</v>
      </c>
      <c r="B1" t="s">
        <v>11</v>
      </c>
      <c r="C1" t="s">
        <v>1</v>
      </c>
      <c r="D1" t="s">
        <v>2</v>
      </c>
      <c r="E1" t="s">
        <v>12</v>
      </c>
      <c r="F1" t="s">
        <v>3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</v>
      </c>
    </row>
    <row r="2" spans="1:19" ht="25" customHeight="1">
      <c r="A2" t="s">
        <v>27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0.7</v>
      </c>
      <c r="H2" s="1">
        <v>0.68</v>
      </c>
      <c r="I2" s="1">
        <v>0.77</v>
      </c>
      <c r="J2" s="1">
        <v>0.72</v>
      </c>
      <c r="K2" s="1">
        <v>0.67</v>
      </c>
      <c r="L2" s="1">
        <v>0.67</v>
      </c>
      <c r="M2" s="1">
        <v>0.67</v>
      </c>
      <c r="N2" s="1">
        <v>0.78</v>
      </c>
      <c r="O2" s="1">
        <v>0.74</v>
      </c>
      <c r="P2" s="1">
        <v>0.7</v>
      </c>
      <c r="Q2" s="1">
        <v>0.69</v>
      </c>
      <c r="R2" s="1">
        <v>0.65</v>
      </c>
      <c r="S2" s="1">
        <f t="shared" ref="S2:S19" si="0">MAX($G2:$R2)</f>
        <v>0.78</v>
      </c>
    </row>
    <row r="3" spans="1:19" ht="25" customHeight="1">
      <c r="A3" t="s">
        <v>27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0.73</v>
      </c>
      <c r="H3" s="1">
        <v>0.71</v>
      </c>
      <c r="I3" s="1">
        <v>0.74</v>
      </c>
      <c r="J3" s="1">
        <v>0.75</v>
      </c>
      <c r="K3" s="1">
        <v>0.72</v>
      </c>
      <c r="L3" s="1">
        <v>0.69</v>
      </c>
      <c r="M3" s="1">
        <v>0.72</v>
      </c>
      <c r="N3" s="1">
        <v>0.77</v>
      </c>
      <c r="O3" s="1">
        <v>0.75</v>
      </c>
      <c r="P3" s="1">
        <v>0.75</v>
      </c>
      <c r="Q3" s="1">
        <v>0.73</v>
      </c>
      <c r="R3" s="1">
        <v>0.71</v>
      </c>
      <c r="S3" s="1">
        <f t="shared" si="0"/>
        <v>0.77</v>
      </c>
    </row>
    <row r="4" spans="1:19" ht="25" customHeight="1">
      <c r="A4" t="s">
        <v>27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0.65</v>
      </c>
      <c r="H4" s="1">
        <v>0.69</v>
      </c>
      <c r="I4" s="1">
        <v>0.68</v>
      </c>
      <c r="J4" s="1">
        <v>0.73</v>
      </c>
      <c r="K4" s="1">
        <v>0.63</v>
      </c>
      <c r="L4" s="1">
        <v>0.72</v>
      </c>
      <c r="M4" s="1">
        <v>0.68</v>
      </c>
      <c r="N4" s="1">
        <v>0.7</v>
      </c>
      <c r="O4" s="1">
        <v>0.74</v>
      </c>
      <c r="P4" s="1">
        <v>0.67</v>
      </c>
      <c r="Q4" s="1">
        <v>0.71</v>
      </c>
      <c r="R4" s="1">
        <v>0.65</v>
      </c>
      <c r="S4" s="1">
        <f t="shared" si="0"/>
        <v>0.74</v>
      </c>
    </row>
    <row r="5" spans="1:19" ht="25" customHeight="1">
      <c r="A5" t="s">
        <v>27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0.67</v>
      </c>
      <c r="H5" s="1">
        <v>0.65</v>
      </c>
      <c r="I5" s="1">
        <v>0.67</v>
      </c>
      <c r="J5" s="1">
        <v>0.68</v>
      </c>
      <c r="K5" s="1">
        <v>0.7</v>
      </c>
      <c r="L5" s="1">
        <v>0.64</v>
      </c>
      <c r="M5" s="1">
        <v>0.67</v>
      </c>
      <c r="N5" s="1">
        <v>0.71</v>
      </c>
      <c r="O5" s="1">
        <v>0.67</v>
      </c>
      <c r="P5" s="1">
        <v>0.64</v>
      </c>
      <c r="Q5" s="1">
        <v>0.67</v>
      </c>
      <c r="R5" s="1">
        <v>0.6</v>
      </c>
      <c r="S5" s="1">
        <f t="shared" si="0"/>
        <v>0.71</v>
      </c>
    </row>
    <row r="6" spans="1:19" ht="25" customHeight="1">
      <c r="A6" t="s">
        <v>27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0.72</v>
      </c>
      <c r="H6" s="1">
        <v>0.67</v>
      </c>
      <c r="I6" s="1">
        <v>0.7</v>
      </c>
      <c r="J6" s="1">
        <v>0.7</v>
      </c>
      <c r="K6" s="1">
        <v>0.72</v>
      </c>
      <c r="L6" s="1">
        <v>0.67</v>
      </c>
      <c r="M6" s="1">
        <v>0.69</v>
      </c>
      <c r="N6" s="1">
        <v>0.7</v>
      </c>
      <c r="O6" s="1">
        <v>0.72</v>
      </c>
      <c r="P6" s="1">
        <v>0.7</v>
      </c>
      <c r="Q6" s="1">
        <v>0.72</v>
      </c>
      <c r="R6" s="1">
        <v>0.69</v>
      </c>
      <c r="S6" s="1">
        <f t="shared" si="0"/>
        <v>0.72</v>
      </c>
    </row>
    <row r="7" spans="1:19" ht="25" customHeight="1">
      <c r="A7" t="s">
        <v>27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0.6</v>
      </c>
      <c r="H7" s="1">
        <v>0.66</v>
      </c>
      <c r="I7" s="1">
        <v>0.6</v>
      </c>
      <c r="J7" s="1">
        <v>0.69</v>
      </c>
      <c r="K7" s="1">
        <v>0.61</v>
      </c>
      <c r="L7" s="1">
        <v>0.64</v>
      </c>
      <c r="M7" s="1">
        <v>0.64</v>
      </c>
      <c r="N7" s="1">
        <v>0.67</v>
      </c>
      <c r="O7" s="1">
        <v>0.68</v>
      </c>
      <c r="P7" s="1">
        <v>0.62</v>
      </c>
      <c r="Q7" s="1">
        <v>0.63</v>
      </c>
      <c r="R7" s="1">
        <v>0.65</v>
      </c>
      <c r="S7" s="1">
        <f t="shared" si="0"/>
        <v>0.69</v>
      </c>
    </row>
    <row r="8" spans="1:19" ht="25" customHeight="1">
      <c r="A8" t="s">
        <v>27</v>
      </c>
      <c r="B8">
        <v>2</v>
      </c>
      <c r="C8" t="s">
        <v>9</v>
      </c>
      <c r="D8" t="b">
        <v>1</v>
      </c>
      <c r="E8">
        <v>1</v>
      </c>
      <c r="F8" t="s">
        <v>8</v>
      </c>
      <c r="G8" s="1">
        <v>0.78</v>
      </c>
      <c r="H8" s="1">
        <v>0.79</v>
      </c>
      <c r="I8" s="1">
        <v>0.73</v>
      </c>
      <c r="J8" s="1">
        <v>0.77</v>
      </c>
      <c r="K8" s="1">
        <v>0.74</v>
      </c>
      <c r="L8" s="1">
        <v>0.76</v>
      </c>
      <c r="M8" s="1">
        <v>0.82</v>
      </c>
      <c r="N8" s="1">
        <v>0.83</v>
      </c>
      <c r="O8" s="1">
        <v>0.8</v>
      </c>
      <c r="P8" s="1">
        <v>0.79</v>
      </c>
      <c r="Q8" s="1">
        <v>0.7</v>
      </c>
      <c r="R8" s="1">
        <v>0.71</v>
      </c>
      <c r="S8" s="1">
        <f t="shared" si="0"/>
        <v>0.83</v>
      </c>
    </row>
    <row r="9" spans="1:19" ht="25" customHeight="1">
      <c r="A9" t="s">
        <v>27</v>
      </c>
      <c r="B9">
        <v>2</v>
      </c>
      <c r="C9" t="s">
        <v>9</v>
      </c>
      <c r="D9" t="b">
        <v>1</v>
      </c>
      <c r="E9">
        <v>2</v>
      </c>
      <c r="F9" t="s">
        <v>7</v>
      </c>
      <c r="G9" s="1">
        <v>0.81</v>
      </c>
      <c r="H9" s="1">
        <v>0.81</v>
      </c>
      <c r="I9" s="1">
        <v>0.79</v>
      </c>
      <c r="J9" s="1">
        <v>0.82</v>
      </c>
      <c r="K9" s="1">
        <v>0.8</v>
      </c>
      <c r="L9" s="1">
        <v>0.78</v>
      </c>
      <c r="M9" s="1">
        <v>0.84</v>
      </c>
      <c r="N9" s="1">
        <v>0.83</v>
      </c>
      <c r="O9" s="1">
        <v>0.8</v>
      </c>
      <c r="P9" s="1">
        <v>0.8</v>
      </c>
      <c r="Q9" s="1">
        <v>0.75</v>
      </c>
      <c r="R9" s="1">
        <v>0.74</v>
      </c>
      <c r="S9" s="1">
        <f t="shared" si="0"/>
        <v>0.84</v>
      </c>
    </row>
    <row r="10" spans="1:19" ht="25" customHeight="1">
      <c r="A10" t="s">
        <v>27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1">
        <v>0.76</v>
      </c>
      <c r="H10" s="1">
        <v>0.81</v>
      </c>
      <c r="I10" s="1">
        <v>0.77</v>
      </c>
      <c r="J10" s="1">
        <v>0.76</v>
      </c>
      <c r="K10" s="1">
        <v>0.76</v>
      </c>
      <c r="L10" s="1">
        <v>0.76</v>
      </c>
      <c r="M10" s="1">
        <v>0.8</v>
      </c>
      <c r="N10" s="1">
        <v>0.8</v>
      </c>
      <c r="O10" s="1">
        <v>0.8</v>
      </c>
      <c r="P10" s="1">
        <v>0.75</v>
      </c>
      <c r="Q10" s="1">
        <v>0.74</v>
      </c>
      <c r="R10" s="1">
        <v>0.76</v>
      </c>
      <c r="S10" s="1">
        <f t="shared" si="0"/>
        <v>0.81</v>
      </c>
    </row>
    <row r="11" spans="1:19" ht="25" customHeight="1">
      <c r="A11" t="s">
        <v>27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0.7</v>
      </c>
      <c r="H11" s="1">
        <v>0.74</v>
      </c>
      <c r="I11" s="1">
        <v>0.7</v>
      </c>
      <c r="J11" s="1">
        <v>0.7</v>
      </c>
      <c r="K11" s="1">
        <v>0.73</v>
      </c>
      <c r="L11" s="1">
        <v>0.71</v>
      </c>
      <c r="M11" s="1">
        <v>0.72</v>
      </c>
      <c r="N11" s="1">
        <v>0.76</v>
      </c>
      <c r="O11" s="1">
        <v>0.67</v>
      </c>
      <c r="P11" s="1">
        <v>0.71</v>
      </c>
      <c r="Q11" s="1">
        <v>0.67</v>
      </c>
      <c r="R11" s="1">
        <v>0.67</v>
      </c>
      <c r="S11" s="1">
        <f t="shared" si="0"/>
        <v>0.76</v>
      </c>
    </row>
    <row r="12" spans="1:19" ht="25" customHeight="1">
      <c r="A12" t="s">
        <v>27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0.72</v>
      </c>
      <c r="H12" s="1">
        <v>0.78</v>
      </c>
      <c r="I12" s="1">
        <v>0.72</v>
      </c>
      <c r="J12" s="1">
        <v>0.75</v>
      </c>
      <c r="K12" s="1">
        <v>0.75</v>
      </c>
      <c r="L12" s="1">
        <v>0.75</v>
      </c>
      <c r="M12" s="1">
        <v>0.73</v>
      </c>
      <c r="N12" s="1">
        <v>0.82</v>
      </c>
      <c r="O12" s="1">
        <v>0.74</v>
      </c>
      <c r="P12" s="1">
        <v>0.72</v>
      </c>
      <c r="Q12" s="1">
        <v>0.74</v>
      </c>
      <c r="R12" s="1">
        <v>0.69</v>
      </c>
      <c r="S12" s="1">
        <f t="shared" si="0"/>
        <v>0.82</v>
      </c>
    </row>
    <row r="13" spans="1:19" ht="25" customHeight="1">
      <c r="A13" t="s">
        <v>27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0.72</v>
      </c>
      <c r="H13" s="1">
        <v>0.78</v>
      </c>
      <c r="I13" s="1">
        <v>0.73</v>
      </c>
      <c r="J13" s="1">
        <v>0.73</v>
      </c>
      <c r="K13" s="1">
        <v>0.72</v>
      </c>
      <c r="L13" s="1">
        <v>0.75</v>
      </c>
      <c r="M13" s="1">
        <v>0.7</v>
      </c>
      <c r="N13" s="1">
        <v>0.77</v>
      </c>
      <c r="O13" s="1">
        <v>0.71</v>
      </c>
      <c r="P13" s="1">
        <v>0.72</v>
      </c>
      <c r="Q13" s="1">
        <v>0.69</v>
      </c>
      <c r="R13" s="1">
        <v>0.71</v>
      </c>
      <c r="S13" s="1">
        <f t="shared" si="0"/>
        <v>0.78</v>
      </c>
    </row>
    <row r="14" spans="1:19" ht="25" customHeight="1">
      <c r="A14" t="s">
        <v>27</v>
      </c>
      <c r="B14">
        <v>3</v>
      </c>
      <c r="C14" t="s">
        <v>10</v>
      </c>
      <c r="D14" t="b">
        <v>1</v>
      </c>
      <c r="E14">
        <v>1</v>
      </c>
      <c r="F14" t="s">
        <v>8</v>
      </c>
      <c r="G14" s="1">
        <v>0.98</v>
      </c>
      <c r="H14" s="1">
        <v>0.95</v>
      </c>
      <c r="I14" s="1">
        <v>0.97</v>
      </c>
      <c r="J14" s="1">
        <v>0.97</v>
      </c>
      <c r="K14" s="1">
        <v>0.96</v>
      </c>
      <c r="L14" s="1">
        <v>0.96</v>
      </c>
      <c r="M14" s="1">
        <v>0.96</v>
      </c>
      <c r="N14" s="1">
        <v>0.97</v>
      </c>
      <c r="O14" s="1">
        <v>0.95</v>
      </c>
      <c r="P14" s="1">
        <v>0.94</v>
      </c>
      <c r="Q14" s="1">
        <v>0.96</v>
      </c>
      <c r="R14" s="1">
        <v>0.95</v>
      </c>
      <c r="S14" s="1">
        <f t="shared" si="0"/>
        <v>0.98</v>
      </c>
    </row>
    <row r="15" spans="1:19" ht="25" customHeight="1">
      <c r="A15" t="s">
        <v>27</v>
      </c>
      <c r="B15">
        <v>3</v>
      </c>
      <c r="C15" t="s">
        <v>10</v>
      </c>
      <c r="D15" t="b">
        <v>1</v>
      </c>
      <c r="E15">
        <v>2</v>
      </c>
      <c r="F15" t="s">
        <v>7</v>
      </c>
      <c r="G15" s="1">
        <v>0.98</v>
      </c>
      <c r="H15" s="1">
        <v>0.96</v>
      </c>
      <c r="I15" s="1">
        <v>0.97</v>
      </c>
      <c r="J15" s="1">
        <v>0.98</v>
      </c>
      <c r="K15" s="1">
        <v>0.97</v>
      </c>
      <c r="L15" s="1">
        <v>0.97</v>
      </c>
      <c r="M15" s="1">
        <v>0.97</v>
      </c>
      <c r="N15" s="1">
        <v>0.96</v>
      </c>
      <c r="O15" s="1">
        <v>0.97</v>
      </c>
      <c r="P15" s="1">
        <v>0.94</v>
      </c>
      <c r="Q15" s="1">
        <v>0.96</v>
      </c>
      <c r="R15" s="1">
        <v>0.97</v>
      </c>
      <c r="S15" s="1">
        <f t="shared" si="0"/>
        <v>0.98</v>
      </c>
    </row>
    <row r="16" spans="1:19" ht="25" customHeight="1">
      <c r="A16" t="s">
        <v>27</v>
      </c>
      <c r="B16">
        <v>3</v>
      </c>
      <c r="C16" t="s">
        <v>10</v>
      </c>
      <c r="D16" t="b">
        <v>1</v>
      </c>
      <c r="E16">
        <v>3</v>
      </c>
      <c r="F16" t="s">
        <v>6</v>
      </c>
      <c r="G16" s="1">
        <v>0.98</v>
      </c>
      <c r="H16" s="1">
        <v>0.96</v>
      </c>
      <c r="I16" s="1">
        <v>0.97</v>
      </c>
      <c r="J16" s="1">
        <v>0.97</v>
      </c>
      <c r="K16" s="1">
        <v>0.97</v>
      </c>
      <c r="L16" s="1">
        <v>0.97</v>
      </c>
      <c r="M16" s="1">
        <v>0.96</v>
      </c>
      <c r="N16" s="1">
        <v>0.96</v>
      </c>
      <c r="O16" s="1">
        <v>0.97</v>
      </c>
      <c r="P16" s="1">
        <v>0.94</v>
      </c>
      <c r="Q16" s="1">
        <v>0.96</v>
      </c>
      <c r="R16" s="1">
        <v>0.97</v>
      </c>
      <c r="S16" s="1">
        <f t="shared" si="0"/>
        <v>0.98</v>
      </c>
    </row>
    <row r="17" spans="1:19" ht="25" customHeight="1">
      <c r="A17" t="s">
        <v>27</v>
      </c>
      <c r="B17">
        <v>3</v>
      </c>
      <c r="C17" t="s">
        <v>10</v>
      </c>
      <c r="D17" t="b">
        <v>0</v>
      </c>
      <c r="E17">
        <v>1</v>
      </c>
      <c r="F17" t="s">
        <v>8</v>
      </c>
      <c r="G17" s="1">
        <v>0.96</v>
      </c>
      <c r="H17" s="1">
        <v>0.96</v>
      </c>
      <c r="I17" s="1">
        <v>0.96</v>
      </c>
      <c r="J17" s="1">
        <v>0.96</v>
      </c>
      <c r="K17" s="1">
        <v>0.97</v>
      </c>
      <c r="L17" s="1">
        <v>0.96</v>
      </c>
      <c r="M17" s="1">
        <v>0.95</v>
      </c>
      <c r="N17" s="1">
        <v>0.96</v>
      </c>
      <c r="O17" s="1">
        <v>0.96</v>
      </c>
      <c r="P17" s="1">
        <v>0.94</v>
      </c>
      <c r="Q17" s="1">
        <v>0.96</v>
      </c>
      <c r="R17" s="1">
        <v>0.96</v>
      </c>
      <c r="S17" s="1">
        <f t="shared" si="0"/>
        <v>0.97</v>
      </c>
    </row>
    <row r="18" spans="1:19" ht="25" customHeight="1">
      <c r="A18" t="s">
        <v>27</v>
      </c>
      <c r="B18">
        <v>3</v>
      </c>
      <c r="C18" t="s">
        <v>10</v>
      </c>
      <c r="D18" t="b">
        <v>0</v>
      </c>
      <c r="E18">
        <v>2</v>
      </c>
      <c r="F18" t="s">
        <v>7</v>
      </c>
      <c r="G18" s="1">
        <v>0.98</v>
      </c>
      <c r="H18" s="1">
        <v>0.96</v>
      </c>
      <c r="I18" s="1">
        <v>0.97</v>
      </c>
      <c r="J18" s="1">
        <v>0.97</v>
      </c>
      <c r="K18" s="1">
        <v>0.97</v>
      </c>
      <c r="L18" s="1">
        <v>0.97</v>
      </c>
      <c r="M18" s="1">
        <v>0.96</v>
      </c>
      <c r="N18" s="1">
        <v>0.96</v>
      </c>
      <c r="O18" s="1">
        <v>0.97</v>
      </c>
      <c r="P18" s="1">
        <v>0.94</v>
      </c>
      <c r="Q18" s="1">
        <v>0.96</v>
      </c>
      <c r="R18" s="1">
        <v>0.97</v>
      </c>
      <c r="S18" s="1">
        <f t="shared" si="0"/>
        <v>0.98</v>
      </c>
    </row>
    <row r="19" spans="1:19" ht="25" customHeight="1">
      <c r="A19" t="s">
        <v>27</v>
      </c>
      <c r="B19">
        <v>3</v>
      </c>
      <c r="C19" t="s">
        <v>10</v>
      </c>
      <c r="D19" t="b">
        <v>0</v>
      </c>
      <c r="E19">
        <v>3</v>
      </c>
      <c r="F19" t="s">
        <v>6</v>
      </c>
      <c r="G19" s="1">
        <v>0.98</v>
      </c>
      <c r="H19" s="1">
        <v>0.96</v>
      </c>
      <c r="I19" s="1">
        <v>0.97</v>
      </c>
      <c r="J19" s="1">
        <v>0.97</v>
      </c>
      <c r="K19" s="1">
        <v>0.97</v>
      </c>
      <c r="L19" s="1">
        <v>0.97</v>
      </c>
      <c r="M19" s="1">
        <v>0.96</v>
      </c>
      <c r="N19" s="1">
        <v>0.96</v>
      </c>
      <c r="O19" s="1">
        <v>0.97</v>
      </c>
      <c r="P19" s="1">
        <v>0.94</v>
      </c>
      <c r="Q19" s="1">
        <v>0.96</v>
      </c>
      <c r="R19" s="1">
        <v>0.97</v>
      </c>
      <c r="S19" s="1">
        <f t="shared" si="0"/>
        <v>0.98</v>
      </c>
    </row>
    <row r="22" spans="1:19" ht="25" customHeight="1">
      <c r="B22" s="3" t="s">
        <v>11</v>
      </c>
      <c r="C22" s="3" t="s">
        <v>1</v>
      </c>
      <c r="D22" s="3" t="s">
        <v>14</v>
      </c>
      <c r="E22" s="3" t="s">
        <v>12</v>
      </c>
      <c r="F22" s="3" t="s">
        <v>13</v>
      </c>
      <c r="G22" s="3" t="s">
        <v>15</v>
      </c>
      <c r="H22" s="3" t="s">
        <v>16</v>
      </c>
      <c r="I22" s="3" t="s">
        <v>17</v>
      </c>
      <c r="J22" s="3" t="s">
        <v>18</v>
      </c>
      <c r="K22" s="3" t="s">
        <v>19</v>
      </c>
      <c r="L22" s="3" t="s">
        <v>20</v>
      </c>
      <c r="M22" s="3" t="s">
        <v>21</v>
      </c>
      <c r="N22" s="3" t="s">
        <v>22</v>
      </c>
      <c r="O22" s="3" t="s">
        <v>23</v>
      </c>
      <c r="P22" s="3" t="s">
        <v>24</v>
      </c>
      <c r="Q22" s="3" t="s">
        <v>25</v>
      </c>
      <c r="R22" s="3" t="s">
        <v>26</v>
      </c>
      <c r="S22" s="3" t="s">
        <v>4</v>
      </c>
    </row>
    <row r="23" spans="1:19" ht="25" customHeight="1">
      <c r="B23" s="4">
        <v>1</v>
      </c>
      <c r="C23" t="s">
        <v>5</v>
      </c>
      <c r="D23" t="b">
        <v>1</v>
      </c>
      <c r="E23">
        <v>1</v>
      </c>
      <c r="F23" t="s">
        <v>4</v>
      </c>
      <c r="G23" s="1" cm="1">
        <f t="array" ref="G23">_xlfn.LET(_xlpm.d,G$2:G$19,_xlpm.a,$C$2:$C$19=$C23,_xlpm.b,$D$2:$D$19=$D23,MAX(_xlfn._xlws.FILTER(_xlpm.d,_xlpm.a*_xlpm.b)))</f>
        <v>0.73</v>
      </c>
      <c r="H23" s="1" cm="1">
        <f t="array" ref="H23">_xlfn.LET(_xlpm.d,H$2:H$19,_xlpm.a,$C$2:$C$19=$C23,_xlpm.b,$D$2:$D$19=$D23,MAX(_xlfn._xlws.FILTER(_xlpm.d,_xlpm.a*_xlpm.b)))</f>
        <v>0.71</v>
      </c>
      <c r="I23" s="1" cm="1">
        <f t="array" ref="I23">_xlfn.LET(_xlpm.d,I$2:I$19,_xlpm.a,$C$2:$C$19=$C23,_xlpm.b,$D$2:$D$19=$D23,MAX(_xlfn._xlws.FILTER(_xlpm.d,_xlpm.a*_xlpm.b)))</f>
        <v>0.77</v>
      </c>
      <c r="J23" s="1" cm="1">
        <f t="array" ref="J23">_xlfn.LET(_xlpm.d,J$2:J$19,_xlpm.a,$C$2:$C$19=$C23,_xlpm.b,$D$2:$D$19=$D23,MAX(_xlfn._xlws.FILTER(_xlpm.d,_xlpm.a*_xlpm.b)))</f>
        <v>0.75</v>
      </c>
      <c r="K23" s="1" cm="1">
        <f t="array" ref="K23">_xlfn.LET(_xlpm.d,K$2:K$19,_xlpm.a,$C$2:$C$19=$C23,_xlpm.b,$D$2:$D$19=$D23,MAX(_xlfn._xlws.FILTER(_xlpm.d,_xlpm.a*_xlpm.b)))</f>
        <v>0.72</v>
      </c>
      <c r="L23" s="1" cm="1">
        <f t="array" ref="L23">_xlfn.LET(_xlpm.d,L$2:L$19,_xlpm.a,$C$2:$C$19=$C23,_xlpm.b,$D$2:$D$19=$D23,MAX(_xlfn._xlws.FILTER(_xlpm.d,_xlpm.a*_xlpm.b)))</f>
        <v>0.72</v>
      </c>
      <c r="M23" s="1" cm="1">
        <f t="array" ref="M23">_xlfn.LET(_xlpm.d,M$2:M$19,_xlpm.a,$C$2:$C$19=$C23,_xlpm.b,$D$2:$D$19=$D23,MAX(_xlfn._xlws.FILTER(_xlpm.d,_xlpm.a*_xlpm.b)))</f>
        <v>0.72</v>
      </c>
      <c r="N23" s="1" cm="1">
        <f t="array" ref="N23">_xlfn.LET(_xlpm.d,N$2:N$19,_xlpm.a,$C$2:$C$19=$C23,_xlpm.b,$D$2:$D$19=$D23,MAX(_xlfn._xlws.FILTER(_xlpm.d,_xlpm.a*_xlpm.b)))</f>
        <v>0.78</v>
      </c>
      <c r="O23" s="1" cm="1">
        <f t="array" ref="O23">_xlfn.LET(_xlpm.d,O$2:O$19,_xlpm.a,$C$2:$C$19=$C23,_xlpm.b,$D$2:$D$19=$D23,MAX(_xlfn._xlws.FILTER(_xlpm.d,_xlpm.a*_xlpm.b)))</f>
        <v>0.75</v>
      </c>
      <c r="P23" s="1" cm="1">
        <f t="array" ref="P23">_xlfn.LET(_xlpm.d,P$2:P$19,_xlpm.a,$C$2:$C$19=$C23,_xlpm.b,$D$2:$D$19=$D23,MAX(_xlfn._xlws.FILTER(_xlpm.d,_xlpm.a*_xlpm.b)))</f>
        <v>0.75</v>
      </c>
      <c r="Q23" s="1" cm="1">
        <f t="array" ref="Q23">_xlfn.LET(_xlpm.d,Q$2:Q$19,_xlpm.a,$C$2:$C$19=$C23,_xlpm.b,$D$2:$D$19=$D23,MAX(_xlfn._xlws.FILTER(_xlpm.d,_xlpm.a*_xlpm.b)))</f>
        <v>0.73</v>
      </c>
      <c r="R23" s="1" cm="1">
        <f t="array" ref="R23">_xlfn.LET(_xlpm.d,R$2:R$19,_xlpm.a,$C$2:$C$19=$C23,_xlpm.b,$D$2:$D$19=$D23,MAX(_xlfn._xlws.FILTER(_xlpm.d,_xlpm.a*_xlpm.b)))</f>
        <v>0.71</v>
      </c>
      <c r="S23" s="1" cm="1">
        <f t="array" ref="S23">_xlfn.LET(_xlpm.d,S$2:S$19,_xlpm.a,$C$2:$C$19=$C23,_xlpm.b,$D$2:$D$19=$D23,MAX(_xlfn._xlws.FILTER(_xlpm.d,_xlpm.a*_xlpm.b)))</f>
        <v>0.78</v>
      </c>
    </row>
    <row r="24" spans="1:19" ht="25" customHeight="1">
      <c r="B24" s="4">
        <v>1</v>
      </c>
      <c r="C24" t="s">
        <v>5</v>
      </c>
      <c r="D24" t="b">
        <v>0</v>
      </c>
      <c r="E24">
        <v>1</v>
      </c>
      <c r="F24" t="s">
        <v>4</v>
      </c>
      <c r="G24" s="2" cm="1">
        <f t="array" ref="G24">_xlfn.LET(_xlpm.d,G$2:G$19,_xlpm.a,$C$2:$C$19=$C24,_xlpm.b,$D$2:$D$19=$D24,MAX(_xlfn._xlws.FILTER(_xlpm.d,_xlpm.a*_xlpm.b)))</f>
        <v>0.72</v>
      </c>
      <c r="H24" s="2" cm="1">
        <f t="array" ref="H24">_xlfn.LET(_xlpm.d,H$2:H$19,_xlpm.a,$C$2:$C$19=$C24,_xlpm.b,$D$2:$D$19=$D24,MAX(_xlfn._xlws.FILTER(_xlpm.d,_xlpm.a*_xlpm.b)))</f>
        <v>0.67</v>
      </c>
      <c r="I24" s="2" cm="1">
        <f t="array" ref="I24">_xlfn.LET(_xlpm.d,I$2:I$19,_xlpm.a,$C$2:$C$19=$C24,_xlpm.b,$D$2:$D$19=$D24,MAX(_xlfn._xlws.FILTER(_xlpm.d,_xlpm.a*_xlpm.b)))</f>
        <v>0.7</v>
      </c>
      <c r="J24" s="2" cm="1">
        <f t="array" ref="J24">_xlfn.LET(_xlpm.d,J$2:J$19,_xlpm.a,$C$2:$C$19=$C24,_xlpm.b,$D$2:$D$19=$D24,MAX(_xlfn._xlws.FILTER(_xlpm.d,_xlpm.a*_xlpm.b)))</f>
        <v>0.7</v>
      </c>
      <c r="K24" s="2" cm="1">
        <f t="array" ref="K24">_xlfn.LET(_xlpm.d,K$2:K$19,_xlpm.a,$C$2:$C$19=$C24,_xlpm.b,$D$2:$D$19=$D24,MAX(_xlfn._xlws.FILTER(_xlpm.d,_xlpm.a*_xlpm.b)))</f>
        <v>0.72</v>
      </c>
      <c r="L24" s="2" cm="1">
        <f t="array" ref="L24">_xlfn.LET(_xlpm.d,L$2:L$19,_xlpm.a,$C$2:$C$19=$C24,_xlpm.b,$D$2:$D$19=$D24,MAX(_xlfn._xlws.FILTER(_xlpm.d,_xlpm.a*_xlpm.b)))</f>
        <v>0.67</v>
      </c>
      <c r="M24" s="2" cm="1">
        <f t="array" ref="M24">_xlfn.LET(_xlpm.d,M$2:M$19,_xlpm.a,$C$2:$C$19=$C24,_xlpm.b,$D$2:$D$19=$D24,MAX(_xlfn._xlws.FILTER(_xlpm.d,_xlpm.a*_xlpm.b)))</f>
        <v>0.69</v>
      </c>
      <c r="N24" s="2" cm="1">
        <f t="array" ref="N24">_xlfn.LET(_xlpm.d,N$2:N$19,_xlpm.a,$C$2:$C$19=$C24,_xlpm.b,$D$2:$D$19=$D24,MAX(_xlfn._xlws.FILTER(_xlpm.d,_xlpm.a*_xlpm.b)))</f>
        <v>0.71</v>
      </c>
      <c r="O24" s="2" cm="1">
        <f t="array" ref="O24">_xlfn.LET(_xlpm.d,O$2:O$19,_xlpm.a,$C$2:$C$19=$C24,_xlpm.b,$D$2:$D$19=$D24,MAX(_xlfn._xlws.FILTER(_xlpm.d,_xlpm.a*_xlpm.b)))</f>
        <v>0.72</v>
      </c>
      <c r="P24" s="2" cm="1">
        <f t="array" ref="P24">_xlfn.LET(_xlpm.d,P$2:P$19,_xlpm.a,$C$2:$C$19=$C24,_xlpm.b,$D$2:$D$19=$D24,MAX(_xlfn._xlws.FILTER(_xlpm.d,_xlpm.a*_xlpm.b)))</f>
        <v>0.7</v>
      </c>
      <c r="Q24" s="2" cm="1">
        <f t="array" ref="Q24">_xlfn.LET(_xlpm.d,Q$2:Q$19,_xlpm.a,$C$2:$C$19=$C24,_xlpm.b,$D$2:$D$19=$D24,MAX(_xlfn._xlws.FILTER(_xlpm.d,_xlpm.a*_xlpm.b)))</f>
        <v>0.72</v>
      </c>
      <c r="R24" s="2" cm="1">
        <f t="array" ref="R24">_xlfn.LET(_xlpm.d,R$2:R$19,_xlpm.a,$C$2:$C$19=$C24,_xlpm.b,$D$2:$D$19=$D24,MAX(_xlfn._xlws.FILTER(_xlpm.d,_xlpm.a*_xlpm.b)))</f>
        <v>0.69</v>
      </c>
      <c r="S24" s="2" cm="1">
        <f t="array" ref="S24">_xlfn.LET(_xlpm.d,S$2:S$19,_xlpm.a,$C$2:$C$19=$C24,_xlpm.b,$D$2:$D$19=$D24,MAX(_xlfn._xlws.FILTER(_xlpm.d,_xlpm.a*_xlpm.b)))</f>
        <v>0.72</v>
      </c>
    </row>
    <row r="25" spans="1:19" ht="25" customHeight="1">
      <c r="B25" s="4">
        <v>2</v>
      </c>
      <c r="C25" t="s">
        <v>9</v>
      </c>
      <c r="D25" t="b">
        <v>1</v>
      </c>
      <c r="E25">
        <v>1</v>
      </c>
      <c r="F25" t="s">
        <v>4</v>
      </c>
      <c r="G25" s="1" cm="1">
        <f t="array" ref="G25">_xlfn.LET(_xlpm.d,G$2:G$19,_xlpm.a,$C$2:$C$19=$C25,_xlpm.b,$D$2:$D$19=$D25,MAX(_xlfn._xlws.FILTER(_xlpm.d,_xlpm.a*_xlpm.b)))</f>
        <v>0.81</v>
      </c>
      <c r="H25" s="1" cm="1">
        <f t="array" ref="H25">_xlfn.LET(_xlpm.d,H$2:H$19,_xlpm.a,$C$2:$C$19=$C25,_xlpm.b,$D$2:$D$19=$D25,MAX(_xlfn._xlws.FILTER(_xlpm.d,_xlpm.a*_xlpm.b)))</f>
        <v>0.81</v>
      </c>
      <c r="I25" s="1" cm="1">
        <f t="array" ref="I25">_xlfn.LET(_xlpm.d,I$2:I$19,_xlpm.a,$C$2:$C$19=$C25,_xlpm.b,$D$2:$D$19=$D25,MAX(_xlfn._xlws.FILTER(_xlpm.d,_xlpm.a*_xlpm.b)))</f>
        <v>0.79</v>
      </c>
      <c r="J25" s="1" cm="1">
        <f t="array" ref="J25">_xlfn.LET(_xlpm.d,J$2:J$19,_xlpm.a,$C$2:$C$19=$C25,_xlpm.b,$D$2:$D$19=$D25,MAX(_xlfn._xlws.FILTER(_xlpm.d,_xlpm.a*_xlpm.b)))</f>
        <v>0.82</v>
      </c>
      <c r="K25" s="1" cm="1">
        <f t="array" ref="K25">_xlfn.LET(_xlpm.d,K$2:K$19,_xlpm.a,$C$2:$C$19=$C25,_xlpm.b,$D$2:$D$19=$D25,MAX(_xlfn._xlws.FILTER(_xlpm.d,_xlpm.a*_xlpm.b)))</f>
        <v>0.8</v>
      </c>
      <c r="L25" s="1" cm="1">
        <f t="array" ref="L25">_xlfn.LET(_xlpm.d,L$2:L$19,_xlpm.a,$C$2:$C$19=$C25,_xlpm.b,$D$2:$D$19=$D25,MAX(_xlfn._xlws.FILTER(_xlpm.d,_xlpm.a*_xlpm.b)))</f>
        <v>0.78</v>
      </c>
      <c r="M25" s="1" cm="1">
        <f t="array" ref="M25">_xlfn.LET(_xlpm.d,M$2:M$19,_xlpm.a,$C$2:$C$19=$C25,_xlpm.b,$D$2:$D$19=$D25,MAX(_xlfn._xlws.FILTER(_xlpm.d,_xlpm.a*_xlpm.b)))</f>
        <v>0.84</v>
      </c>
      <c r="N25" s="1" cm="1">
        <f t="array" ref="N25">_xlfn.LET(_xlpm.d,N$2:N$19,_xlpm.a,$C$2:$C$19=$C25,_xlpm.b,$D$2:$D$19=$D25,MAX(_xlfn._xlws.FILTER(_xlpm.d,_xlpm.a*_xlpm.b)))</f>
        <v>0.83</v>
      </c>
      <c r="O25" s="1" cm="1">
        <f t="array" ref="O25">_xlfn.LET(_xlpm.d,O$2:O$19,_xlpm.a,$C$2:$C$19=$C25,_xlpm.b,$D$2:$D$19=$D25,MAX(_xlfn._xlws.FILTER(_xlpm.d,_xlpm.a*_xlpm.b)))</f>
        <v>0.8</v>
      </c>
      <c r="P25" s="1" cm="1">
        <f t="array" ref="P25">_xlfn.LET(_xlpm.d,P$2:P$19,_xlpm.a,$C$2:$C$19=$C25,_xlpm.b,$D$2:$D$19=$D25,MAX(_xlfn._xlws.FILTER(_xlpm.d,_xlpm.a*_xlpm.b)))</f>
        <v>0.8</v>
      </c>
      <c r="Q25" s="1" cm="1">
        <f t="array" ref="Q25">_xlfn.LET(_xlpm.d,Q$2:Q$19,_xlpm.a,$C$2:$C$19=$C25,_xlpm.b,$D$2:$D$19=$D25,MAX(_xlfn._xlws.FILTER(_xlpm.d,_xlpm.a*_xlpm.b)))</f>
        <v>0.75</v>
      </c>
      <c r="R25" s="1" cm="1">
        <f t="array" ref="R25">_xlfn.LET(_xlpm.d,R$2:R$19,_xlpm.a,$C$2:$C$19=$C25,_xlpm.b,$D$2:$D$19=$D25,MAX(_xlfn._xlws.FILTER(_xlpm.d,_xlpm.a*_xlpm.b)))</f>
        <v>0.76</v>
      </c>
      <c r="S25" s="1" cm="1">
        <f t="array" ref="S25">_xlfn.LET(_xlpm.d,S$2:S$19,_xlpm.a,$C$2:$C$19=$C25,_xlpm.b,$D$2:$D$19=$D25,MAX(_xlfn._xlws.FILTER(_xlpm.d,_xlpm.a*_xlpm.b)))</f>
        <v>0.84</v>
      </c>
    </row>
    <row r="26" spans="1:19" ht="25" customHeight="1">
      <c r="B26" s="4">
        <v>2</v>
      </c>
      <c r="C26" t="s">
        <v>9</v>
      </c>
      <c r="D26" t="b">
        <v>0</v>
      </c>
      <c r="E26">
        <v>1</v>
      </c>
      <c r="F26" t="s">
        <v>4</v>
      </c>
      <c r="G26" s="2" cm="1">
        <f t="array" ref="G26">_xlfn.LET(_xlpm.d,G$2:G$19,_xlpm.a,$C$2:$C$19=$C26,_xlpm.b,$D$2:$D$19=$D26,MAX(_xlfn._xlws.FILTER(_xlpm.d,_xlpm.a*_xlpm.b)))</f>
        <v>0.72</v>
      </c>
      <c r="H26" s="2" cm="1">
        <f t="array" ref="H26">_xlfn.LET(_xlpm.d,H$2:H$19,_xlpm.a,$C$2:$C$19=$C26,_xlpm.b,$D$2:$D$19=$D26,MAX(_xlfn._xlws.FILTER(_xlpm.d,_xlpm.a*_xlpm.b)))</f>
        <v>0.78</v>
      </c>
      <c r="I26" s="2" cm="1">
        <f t="array" ref="I26">_xlfn.LET(_xlpm.d,I$2:I$19,_xlpm.a,$C$2:$C$19=$C26,_xlpm.b,$D$2:$D$19=$D26,MAX(_xlfn._xlws.FILTER(_xlpm.d,_xlpm.a*_xlpm.b)))</f>
        <v>0.73</v>
      </c>
      <c r="J26" s="2" cm="1">
        <f t="array" ref="J26">_xlfn.LET(_xlpm.d,J$2:J$19,_xlpm.a,$C$2:$C$19=$C26,_xlpm.b,$D$2:$D$19=$D26,MAX(_xlfn._xlws.FILTER(_xlpm.d,_xlpm.a*_xlpm.b)))</f>
        <v>0.75</v>
      </c>
      <c r="K26" s="2" cm="1">
        <f t="array" ref="K26">_xlfn.LET(_xlpm.d,K$2:K$19,_xlpm.a,$C$2:$C$19=$C26,_xlpm.b,$D$2:$D$19=$D26,MAX(_xlfn._xlws.FILTER(_xlpm.d,_xlpm.a*_xlpm.b)))</f>
        <v>0.75</v>
      </c>
      <c r="L26" s="2" cm="1">
        <f t="array" ref="L26">_xlfn.LET(_xlpm.d,L$2:L$19,_xlpm.a,$C$2:$C$19=$C26,_xlpm.b,$D$2:$D$19=$D26,MAX(_xlfn._xlws.FILTER(_xlpm.d,_xlpm.a*_xlpm.b)))</f>
        <v>0.75</v>
      </c>
      <c r="M26" s="2" cm="1">
        <f t="array" ref="M26">_xlfn.LET(_xlpm.d,M$2:M$19,_xlpm.a,$C$2:$C$19=$C26,_xlpm.b,$D$2:$D$19=$D26,MAX(_xlfn._xlws.FILTER(_xlpm.d,_xlpm.a*_xlpm.b)))</f>
        <v>0.73</v>
      </c>
      <c r="N26" s="2" cm="1">
        <f t="array" ref="N26">_xlfn.LET(_xlpm.d,N$2:N$19,_xlpm.a,$C$2:$C$19=$C26,_xlpm.b,$D$2:$D$19=$D26,MAX(_xlfn._xlws.FILTER(_xlpm.d,_xlpm.a*_xlpm.b)))</f>
        <v>0.82</v>
      </c>
      <c r="O26" s="2" cm="1">
        <f t="array" ref="O26">_xlfn.LET(_xlpm.d,O$2:O$19,_xlpm.a,$C$2:$C$19=$C26,_xlpm.b,$D$2:$D$19=$D26,MAX(_xlfn._xlws.FILTER(_xlpm.d,_xlpm.a*_xlpm.b)))</f>
        <v>0.74</v>
      </c>
      <c r="P26" s="2" cm="1">
        <f t="array" ref="P26">_xlfn.LET(_xlpm.d,P$2:P$19,_xlpm.a,$C$2:$C$19=$C26,_xlpm.b,$D$2:$D$19=$D26,MAX(_xlfn._xlws.FILTER(_xlpm.d,_xlpm.a*_xlpm.b)))</f>
        <v>0.72</v>
      </c>
      <c r="Q26" s="2" cm="1">
        <f t="array" ref="Q26">_xlfn.LET(_xlpm.d,Q$2:Q$19,_xlpm.a,$C$2:$C$19=$C26,_xlpm.b,$D$2:$D$19=$D26,MAX(_xlfn._xlws.FILTER(_xlpm.d,_xlpm.a*_xlpm.b)))</f>
        <v>0.74</v>
      </c>
      <c r="R26" s="2" cm="1">
        <f t="array" ref="R26">_xlfn.LET(_xlpm.d,R$2:R$19,_xlpm.a,$C$2:$C$19=$C26,_xlpm.b,$D$2:$D$19=$D26,MAX(_xlfn._xlws.FILTER(_xlpm.d,_xlpm.a*_xlpm.b)))</f>
        <v>0.71</v>
      </c>
      <c r="S26" s="2" cm="1">
        <f t="array" ref="S26">_xlfn.LET(_xlpm.d,S$2:S$19,_xlpm.a,$C$2:$C$19=$C26,_xlpm.b,$D$2:$D$19=$D26,MAX(_xlfn._xlws.FILTER(_xlpm.d,_xlpm.a*_xlpm.b)))</f>
        <v>0.82</v>
      </c>
    </row>
    <row r="27" spans="1:19" ht="25" customHeight="1">
      <c r="B27" s="4">
        <v>3</v>
      </c>
      <c r="C27" t="s">
        <v>10</v>
      </c>
      <c r="D27" t="b">
        <v>1</v>
      </c>
      <c r="E27">
        <v>1</v>
      </c>
      <c r="F27" t="s">
        <v>4</v>
      </c>
      <c r="G27" s="1" cm="1">
        <f t="array" ref="G27">_xlfn.LET(_xlpm.d,G$2:G$19,_xlpm.a,$C$2:$C$19=$C27,_xlpm.b,$D$2:$D$19=$D27,MAX(_xlfn._xlws.FILTER(_xlpm.d,_xlpm.a*_xlpm.b)))</f>
        <v>0.98</v>
      </c>
      <c r="H27" s="1" cm="1">
        <f t="array" ref="H27">_xlfn.LET(_xlpm.d,H$2:H$19,_xlpm.a,$C$2:$C$19=$C27,_xlpm.b,$D$2:$D$19=$D27,MAX(_xlfn._xlws.FILTER(_xlpm.d,_xlpm.a*_xlpm.b)))</f>
        <v>0.96</v>
      </c>
      <c r="I27" s="1" cm="1">
        <f t="array" ref="I27">_xlfn.LET(_xlpm.d,I$2:I$19,_xlpm.a,$C$2:$C$19=$C27,_xlpm.b,$D$2:$D$19=$D27,MAX(_xlfn._xlws.FILTER(_xlpm.d,_xlpm.a*_xlpm.b)))</f>
        <v>0.97</v>
      </c>
      <c r="J27" s="1" cm="1">
        <f t="array" ref="J27">_xlfn.LET(_xlpm.d,J$2:J$19,_xlpm.a,$C$2:$C$19=$C27,_xlpm.b,$D$2:$D$19=$D27,MAX(_xlfn._xlws.FILTER(_xlpm.d,_xlpm.a*_xlpm.b)))</f>
        <v>0.98</v>
      </c>
      <c r="K27" s="1" cm="1">
        <f t="array" ref="K27">_xlfn.LET(_xlpm.d,K$2:K$19,_xlpm.a,$C$2:$C$19=$C27,_xlpm.b,$D$2:$D$19=$D27,MAX(_xlfn._xlws.FILTER(_xlpm.d,_xlpm.a*_xlpm.b)))</f>
        <v>0.97</v>
      </c>
      <c r="L27" s="1" cm="1">
        <f t="array" ref="L27">_xlfn.LET(_xlpm.d,L$2:L$19,_xlpm.a,$C$2:$C$19=$C27,_xlpm.b,$D$2:$D$19=$D27,MAX(_xlfn._xlws.FILTER(_xlpm.d,_xlpm.a*_xlpm.b)))</f>
        <v>0.97</v>
      </c>
      <c r="M27" s="1" cm="1">
        <f t="array" ref="M27">_xlfn.LET(_xlpm.d,M$2:M$19,_xlpm.a,$C$2:$C$19=$C27,_xlpm.b,$D$2:$D$19=$D27,MAX(_xlfn._xlws.FILTER(_xlpm.d,_xlpm.a*_xlpm.b)))</f>
        <v>0.97</v>
      </c>
      <c r="N27" s="1" cm="1">
        <f t="array" ref="N27">_xlfn.LET(_xlpm.d,N$2:N$19,_xlpm.a,$C$2:$C$19=$C27,_xlpm.b,$D$2:$D$19=$D27,MAX(_xlfn._xlws.FILTER(_xlpm.d,_xlpm.a*_xlpm.b)))</f>
        <v>0.97</v>
      </c>
      <c r="O27" s="1" cm="1">
        <f t="array" ref="O27">_xlfn.LET(_xlpm.d,O$2:O$19,_xlpm.a,$C$2:$C$19=$C27,_xlpm.b,$D$2:$D$19=$D27,MAX(_xlfn._xlws.FILTER(_xlpm.d,_xlpm.a*_xlpm.b)))</f>
        <v>0.97</v>
      </c>
      <c r="P27" s="1" cm="1">
        <f t="array" ref="P27">_xlfn.LET(_xlpm.d,P$2:P$19,_xlpm.a,$C$2:$C$19=$C27,_xlpm.b,$D$2:$D$19=$D27,MAX(_xlfn._xlws.FILTER(_xlpm.d,_xlpm.a*_xlpm.b)))</f>
        <v>0.94</v>
      </c>
      <c r="Q27" s="1" cm="1">
        <f t="array" ref="Q27">_xlfn.LET(_xlpm.d,Q$2:Q$19,_xlpm.a,$C$2:$C$19=$C27,_xlpm.b,$D$2:$D$19=$D27,MAX(_xlfn._xlws.FILTER(_xlpm.d,_xlpm.a*_xlpm.b)))</f>
        <v>0.96</v>
      </c>
      <c r="R27" s="1" cm="1">
        <f t="array" ref="R27">_xlfn.LET(_xlpm.d,R$2:R$19,_xlpm.a,$C$2:$C$19=$C27,_xlpm.b,$D$2:$D$19=$D27,MAX(_xlfn._xlws.FILTER(_xlpm.d,_xlpm.a*_xlpm.b)))</f>
        <v>0.97</v>
      </c>
      <c r="S27" s="1" cm="1">
        <f t="array" ref="S27">_xlfn.LET(_xlpm.d,S$2:S$19,_xlpm.a,$C$2:$C$19=$C27,_xlpm.b,$D$2:$D$19=$D27,MAX(_xlfn._xlws.FILTER(_xlpm.d,_xlpm.a*_xlpm.b)))</f>
        <v>0.98</v>
      </c>
    </row>
    <row r="28" spans="1:19" ht="25" customHeight="1">
      <c r="B28" s="4">
        <v>3</v>
      </c>
      <c r="C28" t="s">
        <v>10</v>
      </c>
      <c r="D28" t="b">
        <v>0</v>
      </c>
      <c r="E28">
        <v>1</v>
      </c>
      <c r="F28" t="s">
        <v>4</v>
      </c>
      <c r="G28" s="2" cm="1">
        <f t="array" ref="G28">_xlfn.LET(_xlpm.d,G$2:G$19,_xlpm.a,$C$2:$C$19=$C28,_xlpm.b,$D$2:$D$19=$D28,MAX(_xlfn._xlws.FILTER(_xlpm.d,_xlpm.a*_xlpm.b)))</f>
        <v>0.98</v>
      </c>
      <c r="H28" s="2" cm="1">
        <f t="array" ref="H28">_xlfn.LET(_xlpm.d,H$2:H$19,_xlpm.a,$C$2:$C$19=$C28,_xlpm.b,$D$2:$D$19=$D28,MAX(_xlfn._xlws.FILTER(_xlpm.d,_xlpm.a*_xlpm.b)))</f>
        <v>0.96</v>
      </c>
      <c r="I28" s="2" cm="1">
        <f t="array" ref="I28">_xlfn.LET(_xlpm.d,I$2:I$19,_xlpm.a,$C$2:$C$19=$C28,_xlpm.b,$D$2:$D$19=$D28,MAX(_xlfn._xlws.FILTER(_xlpm.d,_xlpm.a*_xlpm.b)))</f>
        <v>0.97</v>
      </c>
      <c r="J28" s="2" cm="1">
        <f t="array" ref="J28">_xlfn.LET(_xlpm.d,J$2:J$19,_xlpm.a,$C$2:$C$19=$C28,_xlpm.b,$D$2:$D$19=$D28,MAX(_xlfn._xlws.FILTER(_xlpm.d,_xlpm.a*_xlpm.b)))</f>
        <v>0.97</v>
      </c>
      <c r="K28" s="2" cm="1">
        <f t="array" ref="K28">_xlfn.LET(_xlpm.d,K$2:K$19,_xlpm.a,$C$2:$C$19=$C28,_xlpm.b,$D$2:$D$19=$D28,MAX(_xlfn._xlws.FILTER(_xlpm.d,_xlpm.a*_xlpm.b)))</f>
        <v>0.97</v>
      </c>
      <c r="L28" s="2" cm="1">
        <f t="array" ref="L28">_xlfn.LET(_xlpm.d,L$2:L$19,_xlpm.a,$C$2:$C$19=$C28,_xlpm.b,$D$2:$D$19=$D28,MAX(_xlfn._xlws.FILTER(_xlpm.d,_xlpm.a*_xlpm.b)))</f>
        <v>0.97</v>
      </c>
      <c r="M28" s="2" cm="1">
        <f t="array" ref="M28">_xlfn.LET(_xlpm.d,M$2:M$19,_xlpm.a,$C$2:$C$19=$C28,_xlpm.b,$D$2:$D$19=$D28,MAX(_xlfn._xlws.FILTER(_xlpm.d,_xlpm.a*_xlpm.b)))</f>
        <v>0.96</v>
      </c>
      <c r="N28" s="2" cm="1">
        <f t="array" ref="N28">_xlfn.LET(_xlpm.d,N$2:N$19,_xlpm.a,$C$2:$C$19=$C28,_xlpm.b,$D$2:$D$19=$D28,MAX(_xlfn._xlws.FILTER(_xlpm.d,_xlpm.a*_xlpm.b)))</f>
        <v>0.96</v>
      </c>
      <c r="O28" s="2" cm="1">
        <f t="array" ref="O28">_xlfn.LET(_xlpm.d,O$2:O$19,_xlpm.a,$C$2:$C$19=$C28,_xlpm.b,$D$2:$D$19=$D28,MAX(_xlfn._xlws.FILTER(_xlpm.d,_xlpm.a*_xlpm.b)))</f>
        <v>0.97</v>
      </c>
      <c r="P28" s="2" cm="1">
        <f t="array" ref="P28">_xlfn.LET(_xlpm.d,P$2:P$19,_xlpm.a,$C$2:$C$19=$C28,_xlpm.b,$D$2:$D$19=$D28,MAX(_xlfn._xlws.FILTER(_xlpm.d,_xlpm.a*_xlpm.b)))</f>
        <v>0.94</v>
      </c>
      <c r="Q28" s="2" cm="1">
        <f t="array" ref="Q28">_xlfn.LET(_xlpm.d,Q$2:Q$19,_xlpm.a,$C$2:$C$19=$C28,_xlpm.b,$D$2:$D$19=$D28,MAX(_xlfn._xlws.FILTER(_xlpm.d,_xlpm.a*_xlpm.b)))</f>
        <v>0.96</v>
      </c>
      <c r="R28" s="2" cm="1">
        <f t="array" ref="R28">_xlfn.LET(_xlpm.d,R$2:R$19,_xlpm.a,$C$2:$C$19=$C28,_xlpm.b,$D$2:$D$19=$D28,MAX(_xlfn._xlws.FILTER(_xlpm.d,_xlpm.a*_xlpm.b)))</f>
        <v>0.97</v>
      </c>
      <c r="S28" s="2" cm="1">
        <f t="array" ref="S28">_xlfn.LET(_xlpm.d,S$2:S$19,_xlpm.a,$C$2:$C$19=$C28,_xlpm.b,$D$2:$D$19=$D28,MAX(_xlfn._xlws.FILTER(_xlpm.d,_xlpm.a*_xlpm.b)))</f>
        <v>0.98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97AD-F94B-0242-BE62-B8F6BBCF46F6}">
  <dimension ref="A1:S28"/>
  <sheetViews>
    <sheetView workbookViewId="0"/>
  </sheetViews>
  <sheetFormatPr baseColWidth="10" defaultRowHeight="25" customHeight="1"/>
  <cols>
    <col min="2" max="2" width="6.875" customWidth="1"/>
    <col min="4" max="4" width="9.625" customWidth="1"/>
    <col min="5" max="5" width="6" customWidth="1"/>
    <col min="6" max="19" width="7.375" customWidth="1"/>
  </cols>
  <sheetData>
    <row r="1" spans="1:19" ht="25" customHeight="1">
      <c r="A1" t="s">
        <v>0</v>
      </c>
      <c r="B1" t="s">
        <v>11</v>
      </c>
      <c r="C1" t="s">
        <v>1</v>
      </c>
      <c r="D1" t="s">
        <v>2</v>
      </c>
      <c r="E1" t="s">
        <v>12</v>
      </c>
      <c r="F1" t="s">
        <v>3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</v>
      </c>
    </row>
    <row r="2" spans="1:19" ht="25" customHeight="1">
      <c r="A2" t="s">
        <v>27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0.68</v>
      </c>
      <c r="H2" s="1">
        <v>0.62</v>
      </c>
      <c r="I2" s="1">
        <v>0.67</v>
      </c>
      <c r="J2" s="1">
        <v>0.67</v>
      </c>
      <c r="K2" s="1">
        <v>0.56999999999999995</v>
      </c>
      <c r="L2" s="1">
        <v>0.64</v>
      </c>
      <c r="M2" s="1">
        <v>0.67</v>
      </c>
      <c r="N2" s="1">
        <v>0.73</v>
      </c>
      <c r="O2" s="1">
        <v>0.68</v>
      </c>
      <c r="P2" s="1">
        <v>0.63</v>
      </c>
      <c r="Q2" s="1">
        <v>0.69</v>
      </c>
      <c r="R2" s="1">
        <v>0.7</v>
      </c>
      <c r="S2" s="1">
        <f t="shared" ref="S2:S19" si="0">MAX($G2:$R2)</f>
        <v>0.73</v>
      </c>
    </row>
    <row r="3" spans="1:19" ht="25" customHeight="1">
      <c r="A3" t="s">
        <v>27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0.68</v>
      </c>
      <c r="H3" s="1">
        <v>0.74</v>
      </c>
      <c r="I3" s="1">
        <v>0.71</v>
      </c>
      <c r="J3" s="1">
        <v>0.68</v>
      </c>
      <c r="K3" s="1">
        <v>0.6</v>
      </c>
      <c r="L3" s="1">
        <v>0.72</v>
      </c>
      <c r="M3" s="1">
        <v>0.71</v>
      </c>
      <c r="N3" s="1">
        <v>0.74</v>
      </c>
      <c r="O3" s="1">
        <v>0.72</v>
      </c>
      <c r="P3" s="1">
        <v>0.69</v>
      </c>
      <c r="Q3" s="1">
        <v>0.72</v>
      </c>
      <c r="R3" s="1">
        <v>0.74</v>
      </c>
      <c r="S3" s="1">
        <f t="shared" si="0"/>
        <v>0.74</v>
      </c>
    </row>
    <row r="4" spans="1:19" ht="25" customHeight="1">
      <c r="A4" t="s">
        <v>27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0.63</v>
      </c>
      <c r="H4" s="1">
        <v>0.62</v>
      </c>
      <c r="I4" s="1">
        <v>0.67</v>
      </c>
      <c r="J4" s="1">
        <v>0.65</v>
      </c>
      <c r="K4" s="1">
        <v>0.6</v>
      </c>
      <c r="L4" s="1">
        <v>0.65</v>
      </c>
      <c r="M4" s="1">
        <v>0.71</v>
      </c>
      <c r="N4" s="1">
        <v>0.73</v>
      </c>
      <c r="O4" s="1">
        <v>0.68</v>
      </c>
      <c r="P4" s="1">
        <v>0.68</v>
      </c>
      <c r="Q4" s="1">
        <v>0.68</v>
      </c>
      <c r="R4" s="1">
        <v>0.73</v>
      </c>
      <c r="S4" s="1">
        <f t="shared" si="0"/>
        <v>0.73</v>
      </c>
    </row>
    <row r="5" spans="1:19" ht="25" customHeight="1">
      <c r="A5" t="s">
        <v>27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0.66</v>
      </c>
      <c r="H5" s="1">
        <v>0.62</v>
      </c>
      <c r="I5" s="1">
        <v>0.61</v>
      </c>
      <c r="J5" s="1">
        <v>0.63</v>
      </c>
      <c r="K5" s="1">
        <v>0.56000000000000005</v>
      </c>
      <c r="L5" s="1">
        <v>0.62</v>
      </c>
      <c r="M5" s="1">
        <v>0.62</v>
      </c>
      <c r="N5" s="1">
        <v>0.7</v>
      </c>
      <c r="O5" s="1">
        <v>0.65</v>
      </c>
      <c r="P5" s="1">
        <v>0.61</v>
      </c>
      <c r="Q5" s="1">
        <v>0.68</v>
      </c>
      <c r="R5" s="1">
        <v>0.65</v>
      </c>
      <c r="S5" s="1">
        <f t="shared" si="0"/>
        <v>0.7</v>
      </c>
    </row>
    <row r="6" spans="1:19" ht="25" customHeight="1">
      <c r="A6" t="s">
        <v>27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0.67</v>
      </c>
      <c r="H6" s="1">
        <v>0.64</v>
      </c>
      <c r="I6" s="1">
        <v>0.67</v>
      </c>
      <c r="J6" s="1">
        <v>0.66</v>
      </c>
      <c r="K6" s="1">
        <v>0.6</v>
      </c>
      <c r="L6" s="1">
        <v>0.66</v>
      </c>
      <c r="M6" s="1">
        <v>0.64</v>
      </c>
      <c r="N6" s="1">
        <v>0.7</v>
      </c>
      <c r="O6" s="1">
        <v>0.7</v>
      </c>
      <c r="P6" s="1">
        <v>0.65</v>
      </c>
      <c r="Q6" s="1">
        <v>0.72</v>
      </c>
      <c r="R6" s="1">
        <v>0.73</v>
      </c>
      <c r="S6" s="1">
        <f t="shared" si="0"/>
        <v>0.73</v>
      </c>
    </row>
    <row r="7" spans="1:19" ht="25" customHeight="1">
      <c r="A7" t="s">
        <v>27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0.59</v>
      </c>
      <c r="H7" s="1">
        <v>0.59</v>
      </c>
      <c r="I7" s="1">
        <v>0.54</v>
      </c>
      <c r="J7" s="1">
        <v>0.57999999999999996</v>
      </c>
      <c r="K7" s="1">
        <v>0.53</v>
      </c>
      <c r="L7" s="1">
        <v>0.63</v>
      </c>
      <c r="M7" s="1">
        <v>0.62</v>
      </c>
      <c r="N7" s="1">
        <v>0.56999999999999995</v>
      </c>
      <c r="O7" s="1">
        <v>0.6</v>
      </c>
      <c r="P7" s="1">
        <v>0.63</v>
      </c>
      <c r="Q7" s="1">
        <v>0.71</v>
      </c>
      <c r="R7" s="1">
        <v>0.68</v>
      </c>
      <c r="S7" s="1">
        <f t="shared" si="0"/>
        <v>0.71</v>
      </c>
    </row>
    <row r="8" spans="1:19" ht="25" customHeight="1">
      <c r="A8" t="s">
        <v>27</v>
      </c>
      <c r="B8">
        <v>2</v>
      </c>
      <c r="C8" t="s">
        <v>9</v>
      </c>
      <c r="D8" t="b">
        <v>1</v>
      </c>
      <c r="E8">
        <v>1</v>
      </c>
      <c r="F8" t="s">
        <v>8</v>
      </c>
      <c r="G8" s="1">
        <v>0.77</v>
      </c>
      <c r="H8" s="1">
        <v>0.76</v>
      </c>
      <c r="I8" s="1">
        <v>0.69</v>
      </c>
      <c r="J8" s="1">
        <v>0.76</v>
      </c>
      <c r="K8" s="1">
        <v>0.66</v>
      </c>
      <c r="L8" s="1">
        <v>0.7</v>
      </c>
      <c r="M8" s="1">
        <v>0.72</v>
      </c>
      <c r="N8" s="1">
        <v>0.7</v>
      </c>
      <c r="O8" s="1">
        <v>0.72</v>
      </c>
      <c r="P8" s="1">
        <v>0.7</v>
      </c>
      <c r="Q8" s="1">
        <v>0.72</v>
      </c>
      <c r="R8" s="1">
        <v>0.72</v>
      </c>
      <c r="S8" s="1">
        <f t="shared" si="0"/>
        <v>0.77</v>
      </c>
    </row>
    <row r="9" spans="1:19" ht="25" customHeight="1">
      <c r="A9" t="s">
        <v>27</v>
      </c>
      <c r="B9">
        <v>2</v>
      </c>
      <c r="C9" t="s">
        <v>9</v>
      </c>
      <c r="D9" t="b">
        <v>1</v>
      </c>
      <c r="E9">
        <v>2</v>
      </c>
      <c r="F9" t="s">
        <v>7</v>
      </c>
      <c r="G9" s="1">
        <v>0.74</v>
      </c>
      <c r="H9" s="1">
        <v>0.77</v>
      </c>
      <c r="I9" s="1">
        <v>0.75</v>
      </c>
      <c r="J9" s="1">
        <v>0.78</v>
      </c>
      <c r="K9" s="1">
        <v>0.71</v>
      </c>
      <c r="L9" s="1">
        <v>0.81</v>
      </c>
      <c r="M9" s="1">
        <v>0.77</v>
      </c>
      <c r="N9" s="1">
        <v>0.76</v>
      </c>
      <c r="O9" s="1">
        <v>0.79</v>
      </c>
      <c r="P9" s="1">
        <v>0.78</v>
      </c>
      <c r="Q9" s="1">
        <v>0.74</v>
      </c>
      <c r="R9" s="1">
        <v>0.79</v>
      </c>
      <c r="S9" s="1">
        <f t="shared" si="0"/>
        <v>0.81</v>
      </c>
    </row>
    <row r="10" spans="1:19" ht="25" customHeight="1">
      <c r="A10" t="s">
        <v>27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1">
        <v>0.75</v>
      </c>
      <c r="H10" s="1">
        <v>0.72</v>
      </c>
      <c r="I10" s="1">
        <v>0.71</v>
      </c>
      <c r="J10" s="1">
        <v>0.78</v>
      </c>
      <c r="K10" s="1">
        <v>0.71</v>
      </c>
      <c r="L10" s="1">
        <v>0.8</v>
      </c>
      <c r="M10" s="1">
        <v>0.76</v>
      </c>
      <c r="N10" s="1">
        <v>0.71</v>
      </c>
      <c r="O10" s="1">
        <v>0.72</v>
      </c>
      <c r="P10" s="1">
        <v>0.7</v>
      </c>
      <c r="Q10" s="1">
        <v>0.75</v>
      </c>
      <c r="R10" s="1">
        <v>0.74</v>
      </c>
      <c r="S10" s="1">
        <f t="shared" si="0"/>
        <v>0.8</v>
      </c>
    </row>
    <row r="11" spans="1:19" ht="25" customHeight="1">
      <c r="A11" t="s">
        <v>27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0.69</v>
      </c>
      <c r="H11" s="1">
        <v>0.68</v>
      </c>
      <c r="I11" s="1">
        <v>0.69</v>
      </c>
      <c r="J11" s="1">
        <v>0.68</v>
      </c>
      <c r="K11" s="1">
        <v>0.66</v>
      </c>
      <c r="L11" s="1">
        <v>0.74</v>
      </c>
      <c r="M11" s="1">
        <v>0.66</v>
      </c>
      <c r="N11" s="1">
        <v>0.68</v>
      </c>
      <c r="O11" s="1">
        <v>0.73</v>
      </c>
      <c r="P11" s="1">
        <v>0.66</v>
      </c>
      <c r="Q11" s="1">
        <v>0.7</v>
      </c>
      <c r="R11" s="1">
        <v>0.68</v>
      </c>
      <c r="S11" s="1">
        <f t="shared" si="0"/>
        <v>0.74</v>
      </c>
    </row>
    <row r="12" spans="1:19" ht="25" customHeight="1">
      <c r="A12" t="s">
        <v>27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0.69</v>
      </c>
      <c r="H12" s="1">
        <v>0.75</v>
      </c>
      <c r="I12" s="1">
        <v>0.71</v>
      </c>
      <c r="J12" s="1">
        <v>0.72</v>
      </c>
      <c r="K12" s="1">
        <v>0.69</v>
      </c>
      <c r="L12" s="1">
        <v>0.76</v>
      </c>
      <c r="M12" s="1">
        <v>0.72</v>
      </c>
      <c r="N12" s="1">
        <v>0.73</v>
      </c>
      <c r="O12" s="1">
        <v>0.73</v>
      </c>
      <c r="P12" s="1">
        <v>0.75</v>
      </c>
      <c r="Q12" s="1">
        <v>0.74</v>
      </c>
      <c r="R12" s="1">
        <v>0.71</v>
      </c>
      <c r="S12" s="1">
        <f t="shared" si="0"/>
        <v>0.76</v>
      </c>
    </row>
    <row r="13" spans="1:19" ht="25" customHeight="1">
      <c r="A13" t="s">
        <v>27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0.65</v>
      </c>
      <c r="H13" s="1">
        <v>0.68</v>
      </c>
      <c r="I13" s="1">
        <v>0.7</v>
      </c>
      <c r="J13" s="1">
        <v>0.7</v>
      </c>
      <c r="K13" s="1">
        <v>0.71</v>
      </c>
      <c r="L13" s="1">
        <v>0.77</v>
      </c>
      <c r="M13" s="1">
        <v>0.7</v>
      </c>
      <c r="N13" s="1">
        <v>0.69</v>
      </c>
      <c r="O13" s="1">
        <v>0.69</v>
      </c>
      <c r="P13" s="1">
        <v>0.68</v>
      </c>
      <c r="Q13" s="1">
        <v>0.74</v>
      </c>
      <c r="R13" s="1">
        <v>0.71</v>
      </c>
      <c r="S13" s="1">
        <f t="shared" si="0"/>
        <v>0.77</v>
      </c>
    </row>
    <row r="14" spans="1:19" ht="25" customHeight="1">
      <c r="A14" t="s">
        <v>27</v>
      </c>
      <c r="B14">
        <v>3</v>
      </c>
      <c r="C14" t="s">
        <v>10</v>
      </c>
      <c r="D14" t="b">
        <v>1</v>
      </c>
      <c r="E14">
        <v>1</v>
      </c>
      <c r="F14" t="s">
        <v>8</v>
      </c>
      <c r="G14" s="1">
        <v>0.97</v>
      </c>
      <c r="H14" s="1">
        <v>0.91</v>
      </c>
      <c r="I14" s="1">
        <v>0.98</v>
      </c>
      <c r="J14" s="1">
        <v>0.98</v>
      </c>
      <c r="K14" s="1">
        <v>0.97</v>
      </c>
      <c r="L14" s="1">
        <v>0.96</v>
      </c>
      <c r="M14" s="1">
        <v>0.98</v>
      </c>
      <c r="N14" s="1">
        <v>0.95</v>
      </c>
      <c r="O14" s="1">
        <v>0.95</v>
      </c>
      <c r="P14" s="1">
        <v>0.95</v>
      </c>
      <c r="Q14" s="1">
        <v>0.95</v>
      </c>
      <c r="R14" s="1">
        <v>0.96</v>
      </c>
      <c r="S14" s="1">
        <f t="shared" si="0"/>
        <v>0.98</v>
      </c>
    </row>
    <row r="15" spans="1:19" ht="25" customHeight="1">
      <c r="A15" t="s">
        <v>27</v>
      </c>
      <c r="B15">
        <v>3</v>
      </c>
      <c r="C15" t="s">
        <v>10</v>
      </c>
      <c r="D15" t="b">
        <v>1</v>
      </c>
      <c r="E15">
        <v>2</v>
      </c>
      <c r="F15" t="s">
        <v>7</v>
      </c>
      <c r="G15" s="1">
        <v>0.98</v>
      </c>
      <c r="H15" s="1">
        <v>0.94</v>
      </c>
      <c r="I15" s="1">
        <v>0.98</v>
      </c>
      <c r="J15" s="1">
        <v>0.99</v>
      </c>
      <c r="K15" s="1">
        <v>0.97</v>
      </c>
      <c r="L15" s="1">
        <v>0.98</v>
      </c>
      <c r="M15" s="1">
        <v>0.98</v>
      </c>
      <c r="N15" s="1">
        <v>0.95</v>
      </c>
      <c r="O15" s="1">
        <v>0.96</v>
      </c>
      <c r="P15" s="1">
        <v>0.96</v>
      </c>
      <c r="Q15" s="1">
        <v>0.95</v>
      </c>
      <c r="R15" s="1">
        <v>0.96</v>
      </c>
      <c r="S15" s="1">
        <f t="shared" si="0"/>
        <v>0.99</v>
      </c>
    </row>
    <row r="16" spans="1:19" ht="25" customHeight="1">
      <c r="A16" t="s">
        <v>27</v>
      </c>
      <c r="B16">
        <v>3</v>
      </c>
      <c r="C16" t="s">
        <v>10</v>
      </c>
      <c r="D16" t="b">
        <v>1</v>
      </c>
      <c r="E16">
        <v>3</v>
      </c>
      <c r="F16" t="s">
        <v>6</v>
      </c>
      <c r="G16" s="1">
        <v>0.97</v>
      </c>
      <c r="H16" s="1">
        <v>0.95</v>
      </c>
      <c r="I16" s="1">
        <v>0.98</v>
      </c>
      <c r="J16" s="1">
        <v>0.99</v>
      </c>
      <c r="K16" s="1">
        <v>0.97</v>
      </c>
      <c r="L16" s="1">
        <v>0.98</v>
      </c>
      <c r="M16" s="1">
        <v>0.98</v>
      </c>
      <c r="N16" s="1">
        <v>0.95</v>
      </c>
      <c r="O16" s="1">
        <v>0.96</v>
      </c>
      <c r="P16" s="1">
        <v>0.96</v>
      </c>
      <c r="Q16" s="1">
        <v>0.95</v>
      </c>
      <c r="R16" s="1">
        <v>0.96</v>
      </c>
      <c r="S16" s="1">
        <f t="shared" si="0"/>
        <v>0.99</v>
      </c>
    </row>
    <row r="17" spans="1:19" ht="25" customHeight="1">
      <c r="A17" t="s">
        <v>27</v>
      </c>
      <c r="B17">
        <v>3</v>
      </c>
      <c r="C17" t="s">
        <v>10</v>
      </c>
      <c r="D17" t="b">
        <v>0</v>
      </c>
      <c r="E17">
        <v>1</v>
      </c>
      <c r="F17" t="s">
        <v>8</v>
      </c>
      <c r="G17" s="1">
        <v>0.97</v>
      </c>
      <c r="H17" s="1">
        <v>0.95</v>
      </c>
      <c r="I17" s="1">
        <v>0.98</v>
      </c>
      <c r="J17" s="1">
        <v>0.98</v>
      </c>
      <c r="K17" s="1">
        <v>0.97</v>
      </c>
      <c r="L17" s="1">
        <v>0.98</v>
      </c>
      <c r="M17" s="1">
        <v>0.96</v>
      </c>
      <c r="N17" s="1">
        <v>0.95</v>
      </c>
      <c r="O17" s="1">
        <v>0.94</v>
      </c>
      <c r="P17" s="1">
        <v>0.96</v>
      </c>
      <c r="Q17" s="1">
        <v>0.94</v>
      </c>
      <c r="R17" s="1">
        <v>0.95</v>
      </c>
      <c r="S17" s="1">
        <f t="shared" si="0"/>
        <v>0.98</v>
      </c>
    </row>
    <row r="18" spans="1:19" ht="25" customHeight="1">
      <c r="A18" t="s">
        <v>27</v>
      </c>
      <c r="B18">
        <v>3</v>
      </c>
      <c r="C18" t="s">
        <v>10</v>
      </c>
      <c r="D18" t="b">
        <v>0</v>
      </c>
      <c r="E18">
        <v>2</v>
      </c>
      <c r="F18" t="s">
        <v>7</v>
      </c>
      <c r="G18" s="1">
        <v>0.97</v>
      </c>
      <c r="H18" s="1">
        <v>0.95</v>
      </c>
      <c r="I18" s="1">
        <v>0.98</v>
      </c>
      <c r="J18" s="1">
        <v>0.98</v>
      </c>
      <c r="K18" s="1">
        <v>0.97</v>
      </c>
      <c r="L18" s="1">
        <v>0.98</v>
      </c>
      <c r="M18" s="1">
        <v>0.98</v>
      </c>
      <c r="N18" s="1">
        <v>0.95</v>
      </c>
      <c r="O18" s="1">
        <v>0.96</v>
      </c>
      <c r="P18" s="1">
        <v>0.96</v>
      </c>
      <c r="Q18" s="1">
        <v>0.95</v>
      </c>
      <c r="R18" s="1">
        <v>0.96</v>
      </c>
      <c r="S18" s="1">
        <f t="shared" si="0"/>
        <v>0.98</v>
      </c>
    </row>
    <row r="19" spans="1:19" ht="25" customHeight="1">
      <c r="A19" t="s">
        <v>27</v>
      </c>
      <c r="B19">
        <v>3</v>
      </c>
      <c r="C19" t="s">
        <v>10</v>
      </c>
      <c r="D19" t="b">
        <v>0</v>
      </c>
      <c r="E19">
        <v>3</v>
      </c>
      <c r="F19" t="s">
        <v>6</v>
      </c>
      <c r="G19" s="1">
        <v>0.97</v>
      </c>
      <c r="H19" s="1">
        <v>0.95</v>
      </c>
      <c r="I19" s="1">
        <v>0.98</v>
      </c>
      <c r="J19" s="1">
        <v>0.99</v>
      </c>
      <c r="K19" s="1">
        <v>0.97</v>
      </c>
      <c r="L19" s="1">
        <v>0.98</v>
      </c>
      <c r="M19" s="1">
        <v>0.98</v>
      </c>
      <c r="N19" s="1">
        <v>0.95</v>
      </c>
      <c r="O19" s="1">
        <v>0.96</v>
      </c>
      <c r="P19" s="1">
        <v>0.96</v>
      </c>
      <c r="Q19" s="1">
        <v>0.95</v>
      </c>
      <c r="R19" s="1">
        <v>0.96</v>
      </c>
      <c r="S19" s="1">
        <f t="shared" si="0"/>
        <v>0.99</v>
      </c>
    </row>
    <row r="22" spans="1:19" ht="25" customHeight="1">
      <c r="B22" t="s">
        <v>11</v>
      </c>
      <c r="C22" t="s">
        <v>1</v>
      </c>
      <c r="D22" t="s">
        <v>14</v>
      </c>
      <c r="E22" t="s">
        <v>12</v>
      </c>
      <c r="F22" t="s">
        <v>13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  <c r="L22" t="s">
        <v>20</v>
      </c>
      <c r="M22" t="s">
        <v>21</v>
      </c>
      <c r="N22" t="s">
        <v>22</v>
      </c>
      <c r="O22" t="s">
        <v>23</v>
      </c>
      <c r="P22" t="s">
        <v>24</v>
      </c>
      <c r="Q22" t="s">
        <v>25</v>
      </c>
      <c r="R22" t="s">
        <v>26</v>
      </c>
      <c r="S22" t="s">
        <v>4</v>
      </c>
    </row>
    <row r="23" spans="1:19" ht="25" customHeight="1">
      <c r="B23">
        <v>1</v>
      </c>
      <c r="C23" t="s">
        <v>5</v>
      </c>
      <c r="D23" t="b">
        <v>1</v>
      </c>
      <c r="E23">
        <v>1</v>
      </c>
      <c r="F23" t="s">
        <v>4</v>
      </c>
      <c r="G23" s="1" cm="1">
        <f t="array" ref="G23">_xlfn.LET(_xlpm.d,G$2:G$19,_xlpm.a,$C$2:$C$19=$C23,_xlpm.b,$D$2:$D$19=$D23,MAX(_xlfn._xlws.FILTER(_xlpm.d,_xlpm.a*_xlpm.b)))</f>
        <v>0.68</v>
      </c>
      <c r="H23" s="1" cm="1">
        <f t="array" ref="H23">_xlfn.LET(_xlpm.d,H$2:H$19,_xlpm.a,$C$2:$C$19=$C23,_xlpm.b,$D$2:$D$19=$D23,MAX(_xlfn._xlws.FILTER(_xlpm.d,_xlpm.a*_xlpm.b)))</f>
        <v>0.74</v>
      </c>
      <c r="I23" s="1" cm="1">
        <f t="array" ref="I23">_xlfn.LET(_xlpm.d,I$2:I$19,_xlpm.a,$C$2:$C$19=$C23,_xlpm.b,$D$2:$D$19=$D23,MAX(_xlfn._xlws.FILTER(_xlpm.d,_xlpm.a*_xlpm.b)))</f>
        <v>0.71</v>
      </c>
      <c r="J23" s="1" cm="1">
        <f t="array" ref="J23">_xlfn.LET(_xlpm.d,J$2:J$19,_xlpm.a,$C$2:$C$19=$C23,_xlpm.b,$D$2:$D$19=$D23,MAX(_xlfn._xlws.FILTER(_xlpm.d,_xlpm.a*_xlpm.b)))</f>
        <v>0.68</v>
      </c>
      <c r="K23" s="1" cm="1">
        <f t="array" ref="K23">_xlfn.LET(_xlpm.d,K$2:K$19,_xlpm.a,$C$2:$C$19=$C23,_xlpm.b,$D$2:$D$19=$D23,MAX(_xlfn._xlws.FILTER(_xlpm.d,_xlpm.a*_xlpm.b)))</f>
        <v>0.6</v>
      </c>
      <c r="L23" s="1" cm="1">
        <f t="array" ref="L23">_xlfn.LET(_xlpm.d,L$2:L$19,_xlpm.a,$C$2:$C$19=$C23,_xlpm.b,$D$2:$D$19=$D23,MAX(_xlfn._xlws.FILTER(_xlpm.d,_xlpm.a*_xlpm.b)))</f>
        <v>0.72</v>
      </c>
      <c r="M23" s="1" cm="1">
        <f t="array" ref="M23">_xlfn.LET(_xlpm.d,M$2:M$19,_xlpm.a,$C$2:$C$19=$C23,_xlpm.b,$D$2:$D$19=$D23,MAX(_xlfn._xlws.FILTER(_xlpm.d,_xlpm.a*_xlpm.b)))</f>
        <v>0.71</v>
      </c>
      <c r="N23" s="1" cm="1">
        <f t="array" ref="N23">_xlfn.LET(_xlpm.d,N$2:N$19,_xlpm.a,$C$2:$C$19=$C23,_xlpm.b,$D$2:$D$19=$D23,MAX(_xlfn._xlws.FILTER(_xlpm.d,_xlpm.a*_xlpm.b)))</f>
        <v>0.74</v>
      </c>
      <c r="O23" s="1" cm="1">
        <f t="array" ref="O23">_xlfn.LET(_xlpm.d,O$2:O$19,_xlpm.a,$C$2:$C$19=$C23,_xlpm.b,$D$2:$D$19=$D23,MAX(_xlfn._xlws.FILTER(_xlpm.d,_xlpm.a*_xlpm.b)))</f>
        <v>0.72</v>
      </c>
      <c r="P23" s="1" cm="1">
        <f t="array" ref="P23">_xlfn.LET(_xlpm.d,P$2:P$19,_xlpm.a,$C$2:$C$19=$C23,_xlpm.b,$D$2:$D$19=$D23,MAX(_xlfn._xlws.FILTER(_xlpm.d,_xlpm.a*_xlpm.b)))</f>
        <v>0.69</v>
      </c>
      <c r="Q23" s="1" cm="1">
        <f t="array" ref="Q23">_xlfn.LET(_xlpm.d,Q$2:Q$19,_xlpm.a,$C$2:$C$19=$C23,_xlpm.b,$D$2:$D$19=$D23,MAX(_xlfn._xlws.FILTER(_xlpm.d,_xlpm.a*_xlpm.b)))</f>
        <v>0.72</v>
      </c>
      <c r="R23" s="1" cm="1">
        <f t="array" ref="R23">_xlfn.LET(_xlpm.d,R$2:R$19,_xlpm.a,$C$2:$C$19=$C23,_xlpm.b,$D$2:$D$19=$D23,MAX(_xlfn._xlws.FILTER(_xlpm.d,_xlpm.a*_xlpm.b)))</f>
        <v>0.74</v>
      </c>
      <c r="S23" s="1" cm="1">
        <f t="array" ref="S23">_xlfn.LET(_xlpm.d,S$2:S$19,_xlpm.a,$C$2:$C$19=$C23,_xlpm.b,$D$2:$D$19=$D23,MAX(_xlfn._xlws.FILTER(_xlpm.d,_xlpm.a*_xlpm.b)))</f>
        <v>0.74</v>
      </c>
    </row>
    <row r="24" spans="1:19" ht="25" customHeight="1">
      <c r="B24">
        <v>1</v>
      </c>
      <c r="C24" t="s">
        <v>5</v>
      </c>
      <c r="D24" t="b">
        <v>0</v>
      </c>
      <c r="E24">
        <v>1</v>
      </c>
      <c r="F24" t="s">
        <v>4</v>
      </c>
      <c r="G24" s="1" cm="1">
        <f t="array" ref="G24">_xlfn.LET(_xlpm.d,G$2:G$19,_xlpm.a,$C$2:$C$19=$C24,_xlpm.b,$D$2:$D$19=$D24,MAX(_xlfn._xlws.FILTER(_xlpm.d,_xlpm.a*_xlpm.b)))</f>
        <v>0.67</v>
      </c>
      <c r="H24" s="1" cm="1">
        <f t="array" ref="H24">_xlfn.LET(_xlpm.d,H$2:H$19,_xlpm.a,$C$2:$C$19=$C24,_xlpm.b,$D$2:$D$19=$D24,MAX(_xlfn._xlws.FILTER(_xlpm.d,_xlpm.a*_xlpm.b)))</f>
        <v>0.64</v>
      </c>
      <c r="I24" s="1" cm="1">
        <f t="array" ref="I24">_xlfn.LET(_xlpm.d,I$2:I$19,_xlpm.a,$C$2:$C$19=$C24,_xlpm.b,$D$2:$D$19=$D24,MAX(_xlfn._xlws.FILTER(_xlpm.d,_xlpm.a*_xlpm.b)))</f>
        <v>0.67</v>
      </c>
      <c r="J24" s="1" cm="1">
        <f t="array" ref="J24">_xlfn.LET(_xlpm.d,J$2:J$19,_xlpm.a,$C$2:$C$19=$C24,_xlpm.b,$D$2:$D$19=$D24,MAX(_xlfn._xlws.FILTER(_xlpm.d,_xlpm.a*_xlpm.b)))</f>
        <v>0.66</v>
      </c>
      <c r="K24" s="1" cm="1">
        <f t="array" ref="K24">_xlfn.LET(_xlpm.d,K$2:K$19,_xlpm.a,$C$2:$C$19=$C24,_xlpm.b,$D$2:$D$19=$D24,MAX(_xlfn._xlws.FILTER(_xlpm.d,_xlpm.a*_xlpm.b)))</f>
        <v>0.6</v>
      </c>
      <c r="L24" s="1" cm="1">
        <f t="array" ref="L24">_xlfn.LET(_xlpm.d,L$2:L$19,_xlpm.a,$C$2:$C$19=$C24,_xlpm.b,$D$2:$D$19=$D24,MAX(_xlfn._xlws.FILTER(_xlpm.d,_xlpm.a*_xlpm.b)))</f>
        <v>0.66</v>
      </c>
      <c r="M24" s="1" cm="1">
        <f t="array" ref="M24">_xlfn.LET(_xlpm.d,M$2:M$19,_xlpm.a,$C$2:$C$19=$C24,_xlpm.b,$D$2:$D$19=$D24,MAX(_xlfn._xlws.FILTER(_xlpm.d,_xlpm.a*_xlpm.b)))</f>
        <v>0.64</v>
      </c>
      <c r="N24" s="1" cm="1">
        <f t="array" ref="N24">_xlfn.LET(_xlpm.d,N$2:N$19,_xlpm.a,$C$2:$C$19=$C24,_xlpm.b,$D$2:$D$19=$D24,MAX(_xlfn._xlws.FILTER(_xlpm.d,_xlpm.a*_xlpm.b)))</f>
        <v>0.7</v>
      </c>
      <c r="O24" s="1" cm="1">
        <f t="array" ref="O24">_xlfn.LET(_xlpm.d,O$2:O$19,_xlpm.a,$C$2:$C$19=$C24,_xlpm.b,$D$2:$D$19=$D24,MAX(_xlfn._xlws.FILTER(_xlpm.d,_xlpm.a*_xlpm.b)))</f>
        <v>0.7</v>
      </c>
      <c r="P24" s="1" cm="1">
        <f t="array" ref="P24">_xlfn.LET(_xlpm.d,P$2:P$19,_xlpm.a,$C$2:$C$19=$C24,_xlpm.b,$D$2:$D$19=$D24,MAX(_xlfn._xlws.FILTER(_xlpm.d,_xlpm.a*_xlpm.b)))</f>
        <v>0.65</v>
      </c>
      <c r="Q24" s="1" cm="1">
        <f t="array" ref="Q24">_xlfn.LET(_xlpm.d,Q$2:Q$19,_xlpm.a,$C$2:$C$19=$C24,_xlpm.b,$D$2:$D$19=$D24,MAX(_xlfn._xlws.FILTER(_xlpm.d,_xlpm.a*_xlpm.b)))</f>
        <v>0.72</v>
      </c>
      <c r="R24" s="1" cm="1">
        <f t="array" ref="R24">_xlfn.LET(_xlpm.d,R$2:R$19,_xlpm.a,$C$2:$C$19=$C24,_xlpm.b,$D$2:$D$19=$D24,MAX(_xlfn._xlws.FILTER(_xlpm.d,_xlpm.a*_xlpm.b)))</f>
        <v>0.73</v>
      </c>
      <c r="S24" s="1" cm="1">
        <f t="array" ref="S24">_xlfn.LET(_xlpm.d,S$2:S$19,_xlpm.a,$C$2:$C$19=$C24,_xlpm.b,$D$2:$D$19=$D24,MAX(_xlfn._xlws.FILTER(_xlpm.d,_xlpm.a*_xlpm.b)))</f>
        <v>0.73</v>
      </c>
    </row>
    <row r="25" spans="1:19" ht="25" customHeight="1">
      <c r="B25">
        <v>2</v>
      </c>
      <c r="C25" t="s">
        <v>9</v>
      </c>
      <c r="D25" t="b">
        <v>1</v>
      </c>
      <c r="E25">
        <v>1</v>
      </c>
      <c r="F25" t="s">
        <v>4</v>
      </c>
      <c r="G25" s="1" cm="1">
        <f t="array" ref="G25">_xlfn.LET(_xlpm.d,G$2:G$19,_xlpm.a,$C$2:$C$19=$C25,_xlpm.b,$D$2:$D$19=$D25,MAX(_xlfn._xlws.FILTER(_xlpm.d,_xlpm.a*_xlpm.b)))</f>
        <v>0.77</v>
      </c>
      <c r="H25" s="1" cm="1">
        <f t="array" ref="H25">_xlfn.LET(_xlpm.d,H$2:H$19,_xlpm.a,$C$2:$C$19=$C25,_xlpm.b,$D$2:$D$19=$D25,MAX(_xlfn._xlws.FILTER(_xlpm.d,_xlpm.a*_xlpm.b)))</f>
        <v>0.77</v>
      </c>
      <c r="I25" s="1" cm="1">
        <f t="array" ref="I25">_xlfn.LET(_xlpm.d,I$2:I$19,_xlpm.a,$C$2:$C$19=$C25,_xlpm.b,$D$2:$D$19=$D25,MAX(_xlfn._xlws.FILTER(_xlpm.d,_xlpm.a*_xlpm.b)))</f>
        <v>0.75</v>
      </c>
      <c r="J25" s="1" cm="1">
        <f t="array" ref="J25">_xlfn.LET(_xlpm.d,J$2:J$19,_xlpm.a,$C$2:$C$19=$C25,_xlpm.b,$D$2:$D$19=$D25,MAX(_xlfn._xlws.FILTER(_xlpm.d,_xlpm.a*_xlpm.b)))</f>
        <v>0.78</v>
      </c>
      <c r="K25" s="1" cm="1">
        <f t="array" ref="K25">_xlfn.LET(_xlpm.d,K$2:K$19,_xlpm.a,$C$2:$C$19=$C25,_xlpm.b,$D$2:$D$19=$D25,MAX(_xlfn._xlws.FILTER(_xlpm.d,_xlpm.a*_xlpm.b)))</f>
        <v>0.71</v>
      </c>
      <c r="L25" s="1" cm="1">
        <f t="array" ref="L25">_xlfn.LET(_xlpm.d,L$2:L$19,_xlpm.a,$C$2:$C$19=$C25,_xlpm.b,$D$2:$D$19=$D25,MAX(_xlfn._xlws.FILTER(_xlpm.d,_xlpm.a*_xlpm.b)))</f>
        <v>0.81</v>
      </c>
      <c r="M25" s="1" cm="1">
        <f t="array" ref="M25">_xlfn.LET(_xlpm.d,M$2:M$19,_xlpm.a,$C$2:$C$19=$C25,_xlpm.b,$D$2:$D$19=$D25,MAX(_xlfn._xlws.FILTER(_xlpm.d,_xlpm.a*_xlpm.b)))</f>
        <v>0.77</v>
      </c>
      <c r="N25" s="1" cm="1">
        <f t="array" ref="N25">_xlfn.LET(_xlpm.d,N$2:N$19,_xlpm.a,$C$2:$C$19=$C25,_xlpm.b,$D$2:$D$19=$D25,MAX(_xlfn._xlws.FILTER(_xlpm.d,_xlpm.a*_xlpm.b)))</f>
        <v>0.76</v>
      </c>
      <c r="O25" s="1" cm="1">
        <f t="array" ref="O25">_xlfn.LET(_xlpm.d,O$2:O$19,_xlpm.a,$C$2:$C$19=$C25,_xlpm.b,$D$2:$D$19=$D25,MAX(_xlfn._xlws.FILTER(_xlpm.d,_xlpm.a*_xlpm.b)))</f>
        <v>0.79</v>
      </c>
      <c r="P25" s="1" cm="1">
        <f t="array" ref="P25">_xlfn.LET(_xlpm.d,P$2:P$19,_xlpm.a,$C$2:$C$19=$C25,_xlpm.b,$D$2:$D$19=$D25,MAX(_xlfn._xlws.FILTER(_xlpm.d,_xlpm.a*_xlpm.b)))</f>
        <v>0.78</v>
      </c>
      <c r="Q25" s="1" cm="1">
        <f t="array" ref="Q25">_xlfn.LET(_xlpm.d,Q$2:Q$19,_xlpm.a,$C$2:$C$19=$C25,_xlpm.b,$D$2:$D$19=$D25,MAX(_xlfn._xlws.FILTER(_xlpm.d,_xlpm.a*_xlpm.b)))</f>
        <v>0.75</v>
      </c>
      <c r="R25" s="1" cm="1">
        <f t="array" ref="R25">_xlfn.LET(_xlpm.d,R$2:R$19,_xlpm.a,$C$2:$C$19=$C25,_xlpm.b,$D$2:$D$19=$D25,MAX(_xlfn._xlws.FILTER(_xlpm.d,_xlpm.a*_xlpm.b)))</f>
        <v>0.79</v>
      </c>
      <c r="S25" s="1" cm="1">
        <f t="array" ref="S25">_xlfn.LET(_xlpm.d,S$2:S$19,_xlpm.a,$C$2:$C$19=$C25,_xlpm.b,$D$2:$D$19=$D25,MAX(_xlfn._xlws.FILTER(_xlpm.d,_xlpm.a*_xlpm.b)))</f>
        <v>0.81</v>
      </c>
    </row>
    <row r="26" spans="1:19" ht="25" customHeight="1">
      <c r="B26">
        <v>2</v>
      </c>
      <c r="C26" t="s">
        <v>9</v>
      </c>
      <c r="D26" t="b">
        <v>0</v>
      </c>
      <c r="E26">
        <v>1</v>
      </c>
      <c r="F26" t="s">
        <v>4</v>
      </c>
      <c r="G26" s="1" cm="1">
        <f t="array" ref="G26">_xlfn.LET(_xlpm.d,G$2:G$19,_xlpm.a,$C$2:$C$19=$C26,_xlpm.b,$D$2:$D$19=$D26,MAX(_xlfn._xlws.FILTER(_xlpm.d,_xlpm.a*_xlpm.b)))</f>
        <v>0.69</v>
      </c>
      <c r="H26" s="1" cm="1">
        <f t="array" ref="H26">_xlfn.LET(_xlpm.d,H$2:H$19,_xlpm.a,$C$2:$C$19=$C26,_xlpm.b,$D$2:$D$19=$D26,MAX(_xlfn._xlws.FILTER(_xlpm.d,_xlpm.a*_xlpm.b)))</f>
        <v>0.75</v>
      </c>
      <c r="I26" s="1" cm="1">
        <f t="array" ref="I26">_xlfn.LET(_xlpm.d,I$2:I$19,_xlpm.a,$C$2:$C$19=$C26,_xlpm.b,$D$2:$D$19=$D26,MAX(_xlfn._xlws.FILTER(_xlpm.d,_xlpm.a*_xlpm.b)))</f>
        <v>0.71</v>
      </c>
      <c r="J26" s="1" cm="1">
        <f t="array" ref="J26">_xlfn.LET(_xlpm.d,J$2:J$19,_xlpm.a,$C$2:$C$19=$C26,_xlpm.b,$D$2:$D$19=$D26,MAX(_xlfn._xlws.FILTER(_xlpm.d,_xlpm.a*_xlpm.b)))</f>
        <v>0.72</v>
      </c>
      <c r="K26" s="1" cm="1">
        <f t="array" ref="K26">_xlfn.LET(_xlpm.d,K$2:K$19,_xlpm.a,$C$2:$C$19=$C26,_xlpm.b,$D$2:$D$19=$D26,MAX(_xlfn._xlws.FILTER(_xlpm.d,_xlpm.a*_xlpm.b)))</f>
        <v>0.71</v>
      </c>
      <c r="L26" s="1" cm="1">
        <f t="array" ref="L26">_xlfn.LET(_xlpm.d,L$2:L$19,_xlpm.a,$C$2:$C$19=$C26,_xlpm.b,$D$2:$D$19=$D26,MAX(_xlfn._xlws.FILTER(_xlpm.d,_xlpm.a*_xlpm.b)))</f>
        <v>0.77</v>
      </c>
      <c r="M26" s="1" cm="1">
        <f t="array" ref="M26">_xlfn.LET(_xlpm.d,M$2:M$19,_xlpm.a,$C$2:$C$19=$C26,_xlpm.b,$D$2:$D$19=$D26,MAX(_xlfn._xlws.FILTER(_xlpm.d,_xlpm.a*_xlpm.b)))</f>
        <v>0.72</v>
      </c>
      <c r="N26" s="1" cm="1">
        <f t="array" ref="N26">_xlfn.LET(_xlpm.d,N$2:N$19,_xlpm.a,$C$2:$C$19=$C26,_xlpm.b,$D$2:$D$19=$D26,MAX(_xlfn._xlws.FILTER(_xlpm.d,_xlpm.a*_xlpm.b)))</f>
        <v>0.73</v>
      </c>
      <c r="O26" s="1" cm="1">
        <f t="array" ref="O26">_xlfn.LET(_xlpm.d,O$2:O$19,_xlpm.a,$C$2:$C$19=$C26,_xlpm.b,$D$2:$D$19=$D26,MAX(_xlfn._xlws.FILTER(_xlpm.d,_xlpm.a*_xlpm.b)))</f>
        <v>0.73</v>
      </c>
      <c r="P26" s="1" cm="1">
        <f t="array" ref="P26">_xlfn.LET(_xlpm.d,P$2:P$19,_xlpm.a,$C$2:$C$19=$C26,_xlpm.b,$D$2:$D$19=$D26,MAX(_xlfn._xlws.FILTER(_xlpm.d,_xlpm.a*_xlpm.b)))</f>
        <v>0.75</v>
      </c>
      <c r="Q26" s="1" cm="1">
        <f t="array" ref="Q26">_xlfn.LET(_xlpm.d,Q$2:Q$19,_xlpm.a,$C$2:$C$19=$C26,_xlpm.b,$D$2:$D$19=$D26,MAX(_xlfn._xlws.FILTER(_xlpm.d,_xlpm.a*_xlpm.b)))</f>
        <v>0.74</v>
      </c>
      <c r="R26" s="1" cm="1">
        <f t="array" ref="R26">_xlfn.LET(_xlpm.d,R$2:R$19,_xlpm.a,$C$2:$C$19=$C26,_xlpm.b,$D$2:$D$19=$D26,MAX(_xlfn._xlws.FILTER(_xlpm.d,_xlpm.a*_xlpm.b)))</f>
        <v>0.71</v>
      </c>
      <c r="S26" s="1" cm="1">
        <f t="array" ref="S26">_xlfn.LET(_xlpm.d,S$2:S$19,_xlpm.a,$C$2:$C$19=$C26,_xlpm.b,$D$2:$D$19=$D26,MAX(_xlfn._xlws.FILTER(_xlpm.d,_xlpm.a*_xlpm.b)))</f>
        <v>0.77</v>
      </c>
    </row>
    <row r="27" spans="1:19" ht="25" customHeight="1">
      <c r="B27">
        <v>3</v>
      </c>
      <c r="C27" t="s">
        <v>10</v>
      </c>
      <c r="D27" t="b">
        <v>1</v>
      </c>
      <c r="E27">
        <v>1</v>
      </c>
      <c r="F27" t="s">
        <v>4</v>
      </c>
      <c r="G27" s="1" cm="1">
        <f t="array" ref="G27">_xlfn.LET(_xlpm.d,G$2:G$19,_xlpm.a,$C$2:$C$19=$C27,_xlpm.b,$D$2:$D$19=$D27,MAX(_xlfn._xlws.FILTER(_xlpm.d,_xlpm.a*_xlpm.b)))</f>
        <v>0.98</v>
      </c>
      <c r="H27" s="1" cm="1">
        <f t="array" ref="H27">_xlfn.LET(_xlpm.d,H$2:H$19,_xlpm.a,$C$2:$C$19=$C27,_xlpm.b,$D$2:$D$19=$D27,MAX(_xlfn._xlws.FILTER(_xlpm.d,_xlpm.a*_xlpm.b)))</f>
        <v>0.95</v>
      </c>
      <c r="I27" s="1" cm="1">
        <f t="array" ref="I27">_xlfn.LET(_xlpm.d,I$2:I$19,_xlpm.a,$C$2:$C$19=$C27,_xlpm.b,$D$2:$D$19=$D27,MAX(_xlfn._xlws.FILTER(_xlpm.d,_xlpm.a*_xlpm.b)))</f>
        <v>0.98</v>
      </c>
      <c r="J27" s="1" cm="1">
        <f t="array" ref="J27">_xlfn.LET(_xlpm.d,J$2:J$19,_xlpm.a,$C$2:$C$19=$C27,_xlpm.b,$D$2:$D$19=$D27,MAX(_xlfn._xlws.FILTER(_xlpm.d,_xlpm.a*_xlpm.b)))</f>
        <v>0.99</v>
      </c>
      <c r="K27" s="1" cm="1">
        <f t="array" ref="K27">_xlfn.LET(_xlpm.d,K$2:K$19,_xlpm.a,$C$2:$C$19=$C27,_xlpm.b,$D$2:$D$19=$D27,MAX(_xlfn._xlws.FILTER(_xlpm.d,_xlpm.a*_xlpm.b)))</f>
        <v>0.97</v>
      </c>
      <c r="L27" s="1" cm="1">
        <f t="array" ref="L27">_xlfn.LET(_xlpm.d,L$2:L$19,_xlpm.a,$C$2:$C$19=$C27,_xlpm.b,$D$2:$D$19=$D27,MAX(_xlfn._xlws.FILTER(_xlpm.d,_xlpm.a*_xlpm.b)))</f>
        <v>0.98</v>
      </c>
      <c r="M27" s="1" cm="1">
        <f t="array" ref="M27">_xlfn.LET(_xlpm.d,M$2:M$19,_xlpm.a,$C$2:$C$19=$C27,_xlpm.b,$D$2:$D$19=$D27,MAX(_xlfn._xlws.FILTER(_xlpm.d,_xlpm.a*_xlpm.b)))</f>
        <v>0.98</v>
      </c>
      <c r="N27" s="1" cm="1">
        <f t="array" ref="N27">_xlfn.LET(_xlpm.d,N$2:N$19,_xlpm.a,$C$2:$C$19=$C27,_xlpm.b,$D$2:$D$19=$D27,MAX(_xlfn._xlws.FILTER(_xlpm.d,_xlpm.a*_xlpm.b)))</f>
        <v>0.95</v>
      </c>
      <c r="O27" s="1" cm="1">
        <f t="array" ref="O27">_xlfn.LET(_xlpm.d,O$2:O$19,_xlpm.a,$C$2:$C$19=$C27,_xlpm.b,$D$2:$D$19=$D27,MAX(_xlfn._xlws.FILTER(_xlpm.d,_xlpm.a*_xlpm.b)))</f>
        <v>0.96</v>
      </c>
      <c r="P27" s="1" cm="1">
        <f t="array" ref="P27">_xlfn.LET(_xlpm.d,P$2:P$19,_xlpm.a,$C$2:$C$19=$C27,_xlpm.b,$D$2:$D$19=$D27,MAX(_xlfn._xlws.FILTER(_xlpm.d,_xlpm.a*_xlpm.b)))</f>
        <v>0.96</v>
      </c>
      <c r="Q27" s="1" cm="1">
        <f t="array" ref="Q27">_xlfn.LET(_xlpm.d,Q$2:Q$19,_xlpm.a,$C$2:$C$19=$C27,_xlpm.b,$D$2:$D$19=$D27,MAX(_xlfn._xlws.FILTER(_xlpm.d,_xlpm.a*_xlpm.b)))</f>
        <v>0.95</v>
      </c>
      <c r="R27" s="1" cm="1">
        <f t="array" ref="R27">_xlfn.LET(_xlpm.d,R$2:R$19,_xlpm.a,$C$2:$C$19=$C27,_xlpm.b,$D$2:$D$19=$D27,MAX(_xlfn._xlws.FILTER(_xlpm.d,_xlpm.a*_xlpm.b)))</f>
        <v>0.96</v>
      </c>
      <c r="S27" s="1" cm="1">
        <f t="array" ref="S27">_xlfn.LET(_xlpm.d,S$2:S$19,_xlpm.a,$C$2:$C$19=$C27,_xlpm.b,$D$2:$D$19=$D27,MAX(_xlfn._xlws.FILTER(_xlpm.d,_xlpm.a*_xlpm.b)))</f>
        <v>0.99</v>
      </c>
    </row>
    <row r="28" spans="1:19" ht="25" customHeight="1">
      <c r="B28">
        <v>3</v>
      </c>
      <c r="C28" t="s">
        <v>10</v>
      </c>
      <c r="D28" t="b">
        <v>0</v>
      </c>
      <c r="E28">
        <v>1</v>
      </c>
      <c r="F28" t="s">
        <v>4</v>
      </c>
      <c r="G28" s="1" cm="1">
        <f t="array" ref="G28">_xlfn.LET(_xlpm.d,G$2:G$19,_xlpm.a,$C$2:$C$19=$C28,_xlpm.b,$D$2:$D$19=$D28,MAX(_xlfn._xlws.FILTER(_xlpm.d,_xlpm.a*_xlpm.b)))</f>
        <v>0.97</v>
      </c>
      <c r="H28" s="1" cm="1">
        <f t="array" ref="H28">_xlfn.LET(_xlpm.d,H$2:H$19,_xlpm.a,$C$2:$C$19=$C28,_xlpm.b,$D$2:$D$19=$D28,MAX(_xlfn._xlws.FILTER(_xlpm.d,_xlpm.a*_xlpm.b)))</f>
        <v>0.95</v>
      </c>
      <c r="I28" s="1" cm="1">
        <f t="array" ref="I28">_xlfn.LET(_xlpm.d,I$2:I$19,_xlpm.a,$C$2:$C$19=$C28,_xlpm.b,$D$2:$D$19=$D28,MAX(_xlfn._xlws.FILTER(_xlpm.d,_xlpm.a*_xlpm.b)))</f>
        <v>0.98</v>
      </c>
      <c r="J28" s="1" cm="1">
        <f t="array" ref="J28">_xlfn.LET(_xlpm.d,J$2:J$19,_xlpm.a,$C$2:$C$19=$C28,_xlpm.b,$D$2:$D$19=$D28,MAX(_xlfn._xlws.FILTER(_xlpm.d,_xlpm.a*_xlpm.b)))</f>
        <v>0.99</v>
      </c>
      <c r="K28" s="1" cm="1">
        <f t="array" ref="K28">_xlfn.LET(_xlpm.d,K$2:K$19,_xlpm.a,$C$2:$C$19=$C28,_xlpm.b,$D$2:$D$19=$D28,MAX(_xlfn._xlws.FILTER(_xlpm.d,_xlpm.a*_xlpm.b)))</f>
        <v>0.97</v>
      </c>
      <c r="L28" s="1" cm="1">
        <f t="array" ref="L28">_xlfn.LET(_xlpm.d,L$2:L$19,_xlpm.a,$C$2:$C$19=$C28,_xlpm.b,$D$2:$D$19=$D28,MAX(_xlfn._xlws.FILTER(_xlpm.d,_xlpm.a*_xlpm.b)))</f>
        <v>0.98</v>
      </c>
      <c r="M28" s="1" cm="1">
        <f t="array" ref="M28">_xlfn.LET(_xlpm.d,M$2:M$19,_xlpm.a,$C$2:$C$19=$C28,_xlpm.b,$D$2:$D$19=$D28,MAX(_xlfn._xlws.FILTER(_xlpm.d,_xlpm.a*_xlpm.b)))</f>
        <v>0.98</v>
      </c>
      <c r="N28" s="1" cm="1">
        <f t="array" ref="N28">_xlfn.LET(_xlpm.d,N$2:N$19,_xlpm.a,$C$2:$C$19=$C28,_xlpm.b,$D$2:$D$19=$D28,MAX(_xlfn._xlws.FILTER(_xlpm.d,_xlpm.a*_xlpm.b)))</f>
        <v>0.95</v>
      </c>
      <c r="O28" s="1" cm="1">
        <f t="array" ref="O28">_xlfn.LET(_xlpm.d,O$2:O$19,_xlpm.a,$C$2:$C$19=$C28,_xlpm.b,$D$2:$D$19=$D28,MAX(_xlfn._xlws.FILTER(_xlpm.d,_xlpm.a*_xlpm.b)))</f>
        <v>0.96</v>
      </c>
      <c r="P28" s="1" cm="1">
        <f t="array" ref="P28">_xlfn.LET(_xlpm.d,P$2:P$19,_xlpm.a,$C$2:$C$19=$C28,_xlpm.b,$D$2:$D$19=$D28,MAX(_xlfn._xlws.FILTER(_xlpm.d,_xlpm.a*_xlpm.b)))</f>
        <v>0.96</v>
      </c>
      <c r="Q28" s="1" cm="1">
        <f t="array" ref="Q28">_xlfn.LET(_xlpm.d,Q$2:Q$19,_xlpm.a,$C$2:$C$19=$C28,_xlpm.b,$D$2:$D$19=$D28,MAX(_xlfn._xlws.FILTER(_xlpm.d,_xlpm.a*_xlpm.b)))</f>
        <v>0.95</v>
      </c>
      <c r="R28" s="1" cm="1">
        <f t="array" ref="R28">_xlfn.LET(_xlpm.d,R$2:R$19,_xlpm.a,$C$2:$C$19=$C28,_xlpm.b,$D$2:$D$19=$D28,MAX(_xlfn._xlws.FILTER(_xlpm.d,_xlpm.a*_xlpm.b)))</f>
        <v>0.96</v>
      </c>
      <c r="S28" s="1" cm="1">
        <f t="array" ref="S28">_xlfn.LET(_xlpm.d,S$2:S$19,_xlpm.a,$C$2:$C$19=$C28,_xlpm.b,$D$2:$D$19=$D28,MAX(_xlfn._xlws.FILTER(_xlpm.d,_xlpm.a*_xlpm.b)))</f>
        <v>0.99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90E9-9A38-AD47-9B47-BF6D3B4EA53D}">
  <dimension ref="A1:S28"/>
  <sheetViews>
    <sheetView workbookViewId="0"/>
  </sheetViews>
  <sheetFormatPr baseColWidth="10" defaultRowHeight="25" customHeight="1"/>
  <cols>
    <col min="2" max="2" width="8" customWidth="1"/>
    <col min="4" max="5" width="7.375" customWidth="1"/>
    <col min="6" max="19" width="8.125" customWidth="1"/>
  </cols>
  <sheetData>
    <row r="1" spans="1:19" ht="25" customHeight="1">
      <c r="A1" t="s">
        <v>0</v>
      </c>
      <c r="B1" t="s">
        <v>45</v>
      </c>
      <c r="C1" t="s">
        <v>1</v>
      </c>
      <c r="D1" t="s">
        <v>2</v>
      </c>
      <c r="E1" t="s">
        <v>12</v>
      </c>
      <c r="F1" t="s">
        <v>3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4</v>
      </c>
    </row>
    <row r="2" spans="1:19" ht="25" customHeight="1">
      <c r="A2" t="s">
        <v>27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0.64</v>
      </c>
      <c r="H2" s="1">
        <v>0.67</v>
      </c>
      <c r="I2" s="1">
        <v>0.72</v>
      </c>
      <c r="J2" s="1">
        <v>0.67</v>
      </c>
      <c r="K2" s="1">
        <v>0.65</v>
      </c>
      <c r="L2" s="1">
        <v>0.7</v>
      </c>
      <c r="M2" s="1">
        <v>0.65</v>
      </c>
      <c r="N2" s="1">
        <v>0.69</v>
      </c>
      <c r="O2" s="1">
        <v>0.63</v>
      </c>
      <c r="P2" s="1">
        <v>0.68</v>
      </c>
      <c r="Q2" s="1">
        <v>0.69</v>
      </c>
      <c r="R2" s="1">
        <v>0.63</v>
      </c>
      <c r="S2" s="1">
        <f t="shared" ref="S2:S19" si="0">MAX($G2:$R2)</f>
        <v>0.72</v>
      </c>
    </row>
    <row r="3" spans="1:19" ht="25" customHeight="1">
      <c r="A3" t="s">
        <v>27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0.73</v>
      </c>
      <c r="H3" s="1">
        <v>0.71</v>
      </c>
      <c r="I3" s="1">
        <v>0.72</v>
      </c>
      <c r="J3" s="1">
        <v>0.76</v>
      </c>
      <c r="K3" s="1">
        <v>0.69</v>
      </c>
      <c r="L3" s="1">
        <v>0.72</v>
      </c>
      <c r="M3" s="1">
        <v>0.73</v>
      </c>
      <c r="N3" s="1">
        <v>0.74</v>
      </c>
      <c r="O3" s="1">
        <v>0.66</v>
      </c>
      <c r="P3" s="1">
        <v>0.7</v>
      </c>
      <c r="Q3" s="1">
        <v>0.71</v>
      </c>
      <c r="R3" s="1">
        <v>0.73</v>
      </c>
      <c r="S3" s="1">
        <f t="shared" si="0"/>
        <v>0.76</v>
      </c>
    </row>
    <row r="4" spans="1:19" ht="25" customHeight="1">
      <c r="A4" t="s">
        <v>27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0.69</v>
      </c>
      <c r="H4" s="1">
        <v>0.69</v>
      </c>
      <c r="I4" s="1">
        <v>0.67</v>
      </c>
      <c r="J4" s="1">
        <v>0.69</v>
      </c>
      <c r="K4" s="1">
        <v>0.68</v>
      </c>
      <c r="L4" s="1">
        <v>0.6</v>
      </c>
      <c r="M4" s="1">
        <v>0.69</v>
      </c>
      <c r="N4" s="1">
        <v>0.69</v>
      </c>
      <c r="O4" s="1">
        <v>0.62</v>
      </c>
      <c r="P4" s="1">
        <v>0.66</v>
      </c>
      <c r="Q4" s="1">
        <v>0.74</v>
      </c>
      <c r="R4" s="1">
        <v>0.63</v>
      </c>
      <c r="S4" s="1">
        <f t="shared" si="0"/>
        <v>0.74</v>
      </c>
    </row>
    <row r="5" spans="1:19" ht="25" customHeight="1">
      <c r="A5" t="s">
        <v>27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0.65</v>
      </c>
      <c r="H5" s="1">
        <v>0.7</v>
      </c>
      <c r="I5" s="1">
        <v>0.7</v>
      </c>
      <c r="J5" s="1">
        <v>0.67</v>
      </c>
      <c r="K5" s="1">
        <v>0.66</v>
      </c>
      <c r="L5" s="1">
        <v>0.66</v>
      </c>
      <c r="M5" s="1">
        <v>0.62</v>
      </c>
      <c r="N5" s="1">
        <v>0.69</v>
      </c>
      <c r="O5" s="1">
        <v>0.59</v>
      </c>
      <c r="P5" s="1">
        <v>0.62</v>
      </c>
      <c r="Q5" s="1">
        <v>0.69</v>
      </c>
      <c r="R5" s="1">
        <v>0.66</v>
      </c>
      <c r="S5" s="1">
        <f t="shared" si="0"/>
        <v>0.7</v>
      </c>
    </row>
    <row r="6" spans="1:19" ht="25" customHeight="1">
      <c r="A6" t="s">
        <v>27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0.69</v>
      </c>
      <c r="H6" s="1">
        <v>0.73</v>
      </c>
      <c r="I6" s="1">
        <v>0.69</v>
      </c>
      <c r="J6" s="1">
        <v>0.72</v>
      </c>
      <c r="K6" s="1">
        <v>0.7</v>
      </c>
      <c r="L6" s="1">
        <v>0.7</v>
      </c>
      <c r="M6" s="1">
        <v>0.66</v>
      </c>
      <c r="N6" s="1">
        <v>0.72</v>
      </c>
      <c r="O6" s="1">
        <v>0.66</v>
      </c>
      <c r="P6" s="1">
        <v>0.64</v>
      </c>
      <c r="Q6" s="1">
        <v>0.71</v>
      </c>
      <c r="R6" s="1">
        <v>0.68</v>
      </c>
      <c r="S6" s="1">
        <f t="shared" si="0"/>
        <v>0.73</v>
      </c>
    </row>
    <row r="7" spans="1:19" ht="25" customHeight="1">
      <c r="A7" t="s">
        <v>27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0.64</v>
      </c>
      <c r="H7" s="1">
        <v>0.67</v>
      </c>
      <c r="I7" s="1">
        <v>0.65</v>
      </c>
      <c r="J7" s="1">
        <v>0.63</v>
      </c>
      <c r="K7" s="1">
        <v>0.66</v>
      </c>
      <c r="L7" s="1">
        <v>0.61</v>
      </c>
      <c r="M7" s="1">
        <v>0.66</v>
      </c>
      <c r="N7" s="1">
        <v>0.57999999999999996</v>
      </c>
      <c r="O7" s="1">
        <v>0.57999999999999996</v>
      </c>
      <c r="P7" s="1">
        <v>0.62</v>
      </c>
      <c r="Q7" s="1">
        <v>0.64</v>
      </c>
      <c r="R7" s="1">
        <v>0.59</v>
      </c>
      <c r="S7" s="1">
        <f t="shared" si="0"/>
        <v>0.67</v>
      </c>
    </row>
    <row r="8" spans="1:19" ht="25" customHeight="1">
      <c r="A8" t="s">
        <v>27</v>
      </c>
      <c r="B8">
        <v>2</v>
      </c>
      <c r="C8" t="s">
        <v>9</v>
      </c>
      <c r="D8" t="b">
        <v>1</v>
      </c>
      <c r="E8">
        <v>1</v>
      </c>
      <c r="F8" t="s">
        <v>8</v>
      </c>
      <c r="G8" s="1">
        <v>0.76</v>
      </c>
      <c r="H8" s="1">
        <v>0.69</v>
      </c>
      <c r="I8" s="1">
        <v>0.75</v>
      </c>
      <c r="J8" s="1">
        <v>0.77</v>
      </c>
      <c r="K8" s="1">
        <v>0.7</v>
      </c>
      <c r="L8" s="1">
        <v>0.74</v>
      </c>
      <c r="M8" s="1">
        <v>0.65</v>
      </c>
      <c r="N8" s="1">
        <v>0.78</v>
      </c>
      <c r="O8" s="1">
        <v>0.76</v>
      </c>
      <c r="P8" s="1">
        <v>0.78</v>
      </c>
      <c r="Q8" s="1">
        <v>0.67</v>
      </c>
      <c r="R8" s="1">
        <v>0.75</v>
      </c>
      <c r="S8" s="1">
        <f t="shared" si="0"/>
        <v>0.78</v>
      </c>
    </row>
    <row r="9" spans="1:19" ht="25" customHeight="1">
      <c r="A9" t="s">
        <v>27</v>
      </c>
      <c r="B9">
        <v>2</v>
      </c>
      <c r="C9" t="s">
        <v>9</v>
      </c>
      <c r="D9" t="b">
        <v>1</v>
      </c>
      <c r="E9">
        <v>2</v>
      </c>
      <c r="F9" t="s">
        <v>7</v>
      </c>
      <c r="G9" s="1">
        <v>0.8</v>
      </c>
      <c r="H9" s="1">
        <v>0.75</v>
      </c>
      <c r="I9" s="1">
        <v>0.78</v>
      </c>
      <c r="J9" s="1">
        <v>0.84</v>
      </c>
      <c r="K9" s="1">
        <v>0.75</v>
      </c>
      <c r="L9" s="1">
        <v>0.78</v>
      </c>
      <c r="M9" s="1">
        <v>0.76</v>
      </c>
      <c r="N9" s="1">
        <v>0.78</v>
      </c>
      <c r="O9" s="1">
        <v>0.76</v>
      </c>
      <c r="P9" s="1">
        <v>0.79</v>
      </c>
      <c r="Q9" s="1">
        <v>0.72</v>
      </c>
      <c r="R9" s="1">
        <v>0.8</v>
      </c>
      <c r="S9" s="1">
        <f t="shared" si="0"/>
        <v>0.84</v>
      </c>
    </row>
    <row r="10" spans="1:19" ht="25" customHeight="1">
      <c r="A10" t="s">
        <v>27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1">
        <v>0.78</v>
      </c>
      <c r="H10" s="1">
        <v>0.73</v>
      </c>
      <c r="I10" s="1">
        <v>0.74</v>
      </c>
      <c r="J10" s="1">
        <v>0.76</v>
      </c>
      <c r="K10" s="1">
        <v>0.75</v>
      </c>
      <c r="L10" s="1">
        <v>0.81</v>
      </c>
      <c r="M10" s="1">
        <v>0.74</v>
      </c>
      <c r="N10" s="1">
        <v>0.75</v>
      </c>
      <c r="O10" s="1">
        <v>0.76</v>
      </c>
      <c r="P10" s="1">
        <v>0.74</v>
      </c>
      <c r="Q10" s="1">
        <v>0.75</v>
      </c>
      <c r="R10" s="1">
        <v>0.74</v>
      </c>
      <c r="S10" s="1">
        <f t="shared" si="0"/>
        <v>0.81</v>
      </c>
    </row>
    <row r="11" spans="1:19" ht="25" customHeight="1">
      <c r="A11" t="s">
        <v>27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0.69</v>
      </c>
      <c r="H11" s="1">
        <v>0.68</v>
      </c>
      <c r="I11" s="1">
        <v>0.76</v>
      </c>
      <c r="J11" s="1">
        <v>0.72</v>
      </c>
      <c r="K11" s="1">
        <v>0.7</v>
      </c>
      <c r="L11" s="1">
        <v>0.74</v>
      </c>
      <c r="M11" s="1">
        <v>0.65</v>
      </c>
      <c r="N11" s="1">
        <v>0.69</v>
      </c>
      <c r="O11" s="1">
        <v>0.69</v>
      </c>
      <c r="P11" s="1">
        <v>0.7</v>
      </c>
      <c r="Q11" s="1">
        <v>0.71</v>
      </c>
      <c r="R11" s="1">
        <v>0.75</v>
      </c>
      <c r="S11" s="1">
        <f t="shared" si="0"/>
        <v>0.76</v>
      </c>
    </row>
    <row r="12" spans="1:19" ht="25" customHeight="1">
      <c r="A12" t="s">
        <v>27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0.73</v>
      </c>
      <c r="H12" s="1">
        <v>0.71</v>
      </c>
      <c r="I12" s="1">
        <v>0.76</v>
      </c>
      <c r="J12" s="1">
        <v>0.75</v>
      </c>
      <c r="K12" s="1">
        <v>0.73</v>
      </c>
      <c r="L12" s="1">
        <v>0.78</v>
      </c>
      <c r="M12" s="1">
        <v>0.72</v>
      </c>
      <c r="N12" s="1">
        <v>0.76</v>
      </c>
      <c r="O12" s="1">
        <v>0.73</v>
      </c>
      <c r="P12" s="1">
        <v>0.71</v>
      </c>
      <c r="Q12" s="1">
        <v>0.67</v>
      </c>
      <c r="R12" s="1">
        <v>0.76</v>
      </c>
      <c r="S12" s="1">
        <f t="shared" si="0"/>
        <v>0.78</v>
      </c>
    </row>
    <row r="13" spans="1:19" ht="25" customHeight="1">
      <c r="A13" t="s">
        <v>27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0.7</v>
      </c>
      <c r="H13" s="1">
        <v>0.71</v>
      </c>
      <c r="I13" s="1">
        <v>0.71</v>
      </c>
      <c r="J13" s="1">
        <v>0.71</v>
      </c>
      <c r="K13" s="1">
        <v>0.75</v>
      </c>
      <c r="L13" s="1">
        <v>0.79</v>
      </c>
      <c r="M13" s="1">
        <v>0.64</v>
      </c>
      <c r="N13" s="1">
        <v>0.75</v>
      </c>
      <c r="O13" s="1">
        <v>0.74</v>
      </c>
      <c r="P13" s="1">
        <v>0.72</v>
      </c>
      <c r="Q13" s="1">
        <v>0.74</v>
      </c>
      <c r="R13" s="1">
        <v>0.72</v>
      </c>
      <c r="S13" s="1">
        <f t="shared" si="0"/>
        <v>0.79</v>
      </c>
    </row>
    <row r="14" spans="1:19" ht="25" customHeight="1">
      <c r="A14" t="s">
        <v>27</v>
      </c>
      <c r="B14">
        <v>3</v>
      </c>
      <c r="C14" t="s">
        <v>10</v>
      </c>
      <c r="D14" t="b">
        <v>1</v>
      </c>
      <c r="E14">
        <v>1</v>
      </c>
      <c r="F14" t="s">
        <v>8</v>
      </c>
      <c r="G14" s="1">
        <v>0.98</v>
      </c>
      <c r="H14" s="1">
        <v>0.97</v>
      </c>
      <c r="I14" s="1">
        <v>0.97</v>
      </c>
      <c r="J14" s="1">
        <v>0.96</v>
      </c>
      <c r="K14" s="1">
        <v>0.95</v>
      </c>
      <c r="L14" s="1">
        <v>0.94</v>
      </c>
      <c r="M14" s="1">
        <v>0.97</v>
      </c>
      <c r="N14" s="1">
        <v>0.97</v>
      </c>
      <c r="O14" s="1">
        <v>0.97</v>
      </c>
      <c r="P14" s="1">
        <v>0.97</v>
      </c>
      <c r="Q14" s="1">
        <v>0.97</v>
      </c>
      <c r="R14" s="1">
        <v>0.97</v>
      </c>
      <c r="S14" s="1">
        <f t="shared" si="0"/>
        <v>0.98</v>
      </c>
    </row>
    <row r="15" spans="1:19" ht="25" customHeight="1">
      <c r="A15" t="s">
        <v>27</v>
      </c>
      <c r="B15">
        <v>3</v>
      </c>
      <c r="C15" t="s">
        <v>10</v>
      </c>
      <c r="D15" t="b">
        <v>1</v>
      </c>
      <c r="E15">
        <v>2</v>
      </c>
      <c r="F15" t="s">
        <v>7</v>
      </c>
      <c r="G15" s="1">
        <v>0.97</v>
      </c>
      <c r="H15" s="1">
        <v>0.97</v>
      </c>
      <c r="I15" s="1">
        <v>0.97</v>
      </c>
      <c r="J15" s="1">
        <v>0.96</v>
      </c>
      <c r="K15" s="1">
        <v>0.96</v>
      </c>
      <c r="L15" s="1">
        <v>0.95</v>
      </c>
      <c r="M15" s="1">
        <v>0.97</v>
      </c>
      <c r="N15" s="1">
        <v>0.97</v>
      </c>
      <c r="O15" s="1">
        <v>0.97</v>
      </c>
      <c r="P15" s="1">
        <v>0.98</v>
      </c>
      <c r="Q15" s="1">
        <v>0.97</v>
      </c>
      <c r="R15" s="1">
        <v>0.97</v>
      </c>
      <c r="S15" s="1">
        <f t="shared" si="0"/>
        <v>0.98</v>
      </c>
    </row>
    <row r="16" spans="1:19" ht="25" customHeight="1">
      <c r="A16" t="s">
        <v>27</v>
      </c>
      <c r="B16">
        <v>3</v>
      </c>
      <c r="C16" t="s">
        <v>10</v>
      </c>
      <c r="D16" t="b">
        <v>1</v>
      </c>
      <c r="E16">
        <v>3</v>
      </c>
      <c r="F16" t="s">
        <v>6</v>
      </c>
      <c r="G16" s="1">
        <v>0.97</v>
      </c>
      <c r="H16" s="1">
        <v>0.97</v>
      </c>
      <c r="I16" s="1">
        <v>0.98</v>
      </c>
      <c r="J16" s="1">
        <v>0.96</v>
      </c>
      <c r="K16" s="1">
        <v>0.96</v>
      </c>
      <c r="L16" s="1">
        <v>0.95</v>
      </c>
      <c r="M16" s="1">
        <v>0.97</v>
      </c>
      <c r="N16" s="1">
        <v>0.97</v>
      </c>
      <c r="O16" s="1">
        <v>0.97</v>
      </c>
      <c r="P16" s="1">
        <v>0.97</v>
      </c>
      <c r="Q16" s="1">
        <v>0.97</v>
      </c>
      <c r="R16" s="1">
        <v>0.97</v>
      </c>
      <c r="S16" s="1">
        <f t="shared" si="0"/>
        <v>0.98</v>
      </c>
    </row>
    <row r="17" spans="1:19" ht="25" customHeight="1">
      <c r="A17" t="s">
        <v>27</v>
      </c>
      <c r="B17">
        <v>3</v>
      </c>
      <c r="C17" t="s">
        <v>10</v>
      </c>
      <c r="D17" t="b">
        <v>0</v>
      </c>
      <c r="E17">
        <v>1</v>
      </c>
      <c r="F17" t="s">
        <v>8</v>
      </c>
      <c r="G17" s="1">
        <v>0.96</v>
      </c>
      <c r="H17" s="1">
        <v>0.96</v>
      </c>
      <c r="I17" s="1">
        <v>0.94</v>
      </c>
      <c r="J17" s="1">
        <v>0.94</v>
      </c>
      <c r="K17" s="1">
        <v>0.97</v>
      </c>
      <c r="L17" s="1">
        <v>0.94</v>
      </c>
      <c r="M17" s="1">
        <v>0.96</v>
      </c>
      <c r="N17" s="1">
        <v>0.97</v>
      </c>
      <c r="O17" s="1">
        <v>0.97</v>
      </c>
      <c r="P17" s="1">
        <v>0.97</v>
      </c>
      <c r="Q17" s="1">
        <v>0.97</v>
      </c>
      <c r="R17" s="1">
        <v>0.97</v>
      </c>
      <c r="S17" s="1">
        <f t="shared" si="0"/>
        <v>0.97</v>
      </c>
    </row>
    <row r="18" spans="1:19" ht="25" customHeight="1">
      <c r="A18" t="s">
        <v>27</v>
      </c>
      <c r="B18">
        <v>3</v>
      </c>
      <c r="C18" t="s">
        <v>10</v>
      </c>
      <c r="D18" t="b">
        <v>0</v>
      </c>
      <c r="E18">
        <v>2</v>
      </c>
      <c r="F18" t="s">
        <v>7</v>
      </c>
      <c r="G18" s="1">
        <v>0.97</v>
      </c>
      <c r="H18" s="1">
        <v>0.97</v>
      </c>
      <c r="I18" s="1">
        <v>0.98</v>
      </c>
      <c r="J18" s="1">
        <v>0.96</v>
      </c>
      <c r="K18" s="1">
        <v>0.96</v>
      </c>
      <c r="L18" s="1">
        <v>0.95</v>
      </c>
      <c r="M18" s="1">
        <v>0.97</v>
      </c>
      <c r="N18" s="1">
        <v>0.97</v>
      </c>
      <c r="O18" s="1">
        <v>0.97</v>
      </c>
      <c r="P18" s="1">
        <v>0.97</v>
      </c>
      <c r="Q18" s="1">
        <v>0.97</v>
      </c>
      <c r="R18" s="1">
        <v>0.97</v>
      </c>
      <c r="S18" s="1">
        <f t="shared" si="0"/>
        <v>0.98</v>
      </c>
    </row>
    <row r="19" spans="1:19" ht="25" customHeight="1">
      <c r="A19" t="s">
        <v>27</v>
      </c>
      <c r="B19">
        <v>3</v>
      </c>
      <c r="C19" t="s">
        <v>10</v>
      </c>
      <c r="D19" t="b">
        <v>0</v>
      </c>
      <c r="E19">
        <v>3</v>
      </c>
      <c r="F19" t="s">
        <v>6</v>
      </c>
      <c r="G19" s="1">
        <v>0.97</v>
      </c>
      <c r="H19" s="1">
        <v>0.97</v>
      </c>
      <c r="I19" s="1">
        <v>0.98</v>
      </c>
      <c r="J19" s="1">
        <v>0.96</v>
      </c>
      <c r="K19" s="1">
        <v>0.96</v>
      </c>
      <c r="L19" s="1">
        <v>0.95</v>
      </c>
      <c r="M19" s="1">
        <v>0.97</v>
      </c>
      <c r="N19" s="1">
        <v>0.97</v>
      </c>
      <c r="O19" s="1">
        <v>0.97</v>
      </c>
      <c r="P19" s="1">
        <v>0.97</v>
      </c>
      <c r="Q19" s="1">
        <v>0.97</v>
      </c>
      <c r="R19" s="1">
        <v>0.97</v>
      </c>
      <c r="S19" s="1">
        <f t="shared" si="0"/>
        <v>0.98</v>
      </c>
    </row>
    <row r="22" spans="1:19" ht="25" customHeight="1">
      <c r="B22" t="s">
        <v>11</v>
      </c>
      <c r="C22" t="s">
        <v>1</v>
      </c>
      <c r="D22" t="s">
        <v>14</v>
      </c>
      <c r="E22" t="s">
        <v>12</v>
      </c>
      <c r="F22" t="s">
        <v>13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  <c r="L22" t="s">
        <v>20</v>
      </c>
      <c r="M22" t="s">
        <v>21</v>
      </c>
      <c r="N22" t="s">
        <v>22</v>
      </c>
      <c r="O22" t="s">
        <v>23</v>
      </c>
      <c r="P22" t="s">
        <v>24</v>
      </c>
      <c r="Q22" t="s">
        <v>25</v>
      </c>
      <c r="R22" t="s">
        <v>26</v>
      </c>
      <c r="S22" t="s">
        <v>4</v>
      </c>
    </row>
    <row r="23" spans="1:19" ht="25" customHeight="1">
      <c r="B23">
        <v>1</v>
      </c>
      <c r="C23" t="s">
        <v>5</v>
      </c>
      <c r="D23" t="b">
        <v>1</v>
      </c>
      <c r="E23">
        <v>1</v>
      </c>
      <c r="F23" t="s">
        <v>4</v>
      </c>
      <c r="G23" s="1" cm="1">
        <f t="array" ref="G23">_xlfn.LET(_xlpm.d,G$2:G$19,_xlpm.a,$C$2:$C$19=$C23,_xlpm.b,$D$2:$D$19=$D23,MAX(_xlfn._xlws.FILTER(_xlpm.d,_xlpm.a*_xlpm.b)))</f>
        <v>0.73</v>
      </c>
      <c r="H23" s="1" cm="1">
        <f t="array" ref="H23">_xlfn.LET(_xlpm.d,H$2:H$19,_xlpm.a,$C$2:$C$19=$C23,_xlpm.b,$D$2:$D$19=$D23,MAX(_xlfn._xlws.FILTER(_xlpm.d,_xlpm.a*_xlpm.b)))</f>
        <v>0.71</v>
      </c>
      <c r="I23" s="1" cm="1">
        <f t="array" ref="I23">_xlfn.LET(_xlpm.d,I$2:I$19,_xlpm.a,$C$2:$C$19=$C23,_xlpm.b,$D$2:$D$19=$D23,MAX(_xlfn._xlws.FILTER(_xlpm.d,_xlpm.a*_xlpm.b)))</f>
        <v>0.72</v>
      </c>
      <c r="J23" s="1" cm="1">
        <f t="array" ref="J23">_xlfn.LET(_xlpm.d,J$2:J$19,_xlpm.a,$C$2:$C$19=$C23,_xlpm.b,$D$2:$D$19=$D23,MAX(_xlfn._xlws.FILTER(_xlpm.d,_xlpm.a*_xlpm.b)))</f>
        <v>0.76</v>
      </c>
      <c r="K23" s="1" cm="1">
        <f t="array" ref="K23">_xlfn.LET(_xlpm.d,K$2:K$19,_xlpm.a,$C$2:$C$19=$C23,_xlpm.b,$D$2:$D$19=$D23,MAX(_xlfn._xlws.FILTER(_xlpm.d,_xlpm.a*_xlpm.b)))</f>
        <v>0.69</v>
      </c>
      <c r="L23" s="1" cm="1">
        <f t="array" ref="L23">_xlfn.LET(_xlpm.d,L$2:L$19,_xlpm.a,$C$2:$C$19=$C23,_xlpm.b,$D$2:$D$19=$D23,MAX(_xlfn._xlws.FILTER(_xlpm.d,_xlpm.a*_xlpm.b)))</f>
        <v>0.72</v>
      </c>
      <c r="M23" s="1" cm="1">
        <f t="array" ref="M23">_xlfn.LET(_xlpm.d,M$2:M$19,_xlpm.a,$C$2:$C$19=$C23,_xlpm.b,$D$2:$D$19=$D23,MAX(_xlfn._xlws.FILTER(_xlpm.d,_xlpm.a*_xlpm.b)))</f>
        <v>0.73</v>
      </c>
      <c r="N23" s="1" cm="1">
        <f t="array" ref="N23">_xlfn.LET(_xlpm.d,N$2:N$19,_xlpm.a,$C$2:$C$19=$C23,_xlpm.b,$D$2:$D$19=$D23,MAX(_xlfn._xlws.FILTER(_xlpm.d,_xlpm.a*_xlpm.b)))</f>
        <v>0.74</v>
      </c>
      <c r="O23" s="1" cm="1">
        <f t="array" ref="O23">_xlfn.LET(_xlpm.d,O$2:O$19,_xlpm.a,$C$2:$C$19=$C23,_xlpm.b,$D$2:$D$19=$D23,MAX(_xlfn._xlws.FILTER(_xlpm.d,_xlpm.a*_xlpm.b)))</f>
        <v>0.66</v>
      </c>
      <c r="P23" s="1" cm="1">
        <f t="array" ref="P23">_xlfn.LET(_xlpm.d,P$2:P$19,_xlpm.a,$C$2:$C$19=$C23,_xlpm.b,$D$2:$D$19=$D23,MAX(_xlfn._xlws.FILTER(_xlpm.d,_xlpm.a*_xlpm.b)))</f>
        <v>0.7</v>
      </c>
      <c r="Q23" s="1" cm="1">
        <f t="array" ref="Q23">_xlfn.LET(_xlpm.d,Q$2:Q$19,_xlpm.a,$C$2:$C$19=$C23,_xlpm.b,$D$2:$D$19=$D23,MAX(_xlfn._xlws.FILTER(_xlpm.d,_xlpm.a*_xlpm.b)))</f>
        <v>0.74</v>
      </c>
      <c r="R23" s="1" cm="1">
        <f t="array" ref="R23">_xlfn.LET(_xlpm.d,R$2:R$19,_xlpm.a,$C$2:$C$19=$C23,_xlpm.b,$D$2:$D$19=$D23,MAX(_xlfn._xlws.FILTER(_xlpm.d,_xlpm.a*_xlpm.b)))</f>
        <v>0.73</v>
      </c>
      <c r="S23" s="1" cm="1">
        <f t="array" ref="S23">_xlfn.LET(_xlpm.d,S$2:S$19,_xlpm.a,$C$2:$C$19=$C23,_xlpm.b,$D$2:$D$19=$D23,MAX(_xlfn._xlws.FILTER(_xlpm.d,_xlpm.a*_xlpm.b)))</f>
        <v>0.76</v>
      </c>
    </row>
    <row r="24" spans="1:19" ht="25" customHeight="1">
      <c r="B24">
        <v>1</v>
      </c>
      <c r="C24" t="s">
        <v>5</v>
      </c>
      <c r="D24" t="b">
        <v>0</v>
      </c>
      <c r="E24">
        <v>1</v>
      </c>
      <c r="F24" t="s">
        <v>4</v>
      </c>
      <c r="G24" s="1" cm="1">
        <f t="array" ref="G24">_xlfn.LET(_xlpm.d,G$2:G$19,_xlpm.a,$C$2:$C$19=$C24,_xlpm.b,$D$2:$D$19=$D24,MAX(_xlfn._xlws.FILTER(_xlpm.d,_xlpm.a*_xlpm.b)))</f>
        <v>0.69</v>
      </c>
      <c r="H24" s="1" cm="1">
        <f t="array" ref="H24">_xlfn.LET(_xlpm.d,H$2:H$19,_xlpm.a,$C$2:$C$19=$C24,_xlpm.b,$D$2:$D$19=$D24,MAX(_xlfn._xlws.FILTER(_xlpm.d,_xlpm.a*_xlpm.b)))</f>
        <v>0.73</v>
      </c>
      <c r="I24" s="1" cm="1">
        <f t="array" ref="I24">_xlfn.LET(_xlpm.d,I$2:I$19,_xlpm.a,$C$2:$C$19=$C24,_xlpm.b,$D$2:$D$19=$D24,MAX(_xlfn._xlws.FILTER(_xlpm.d,_xlpm.a*_xlpm.b)))</f>
        <v>0.7</v>
      </c>
      <c r="J24" s="1" cm="1">
        <f t="array" ref="J24">_xlfn.LET(_xlpm.d,J$2:J$19,_xlpm.a,$C$2:$C$19=$C24,_xlpm.b,$D$2:$D$19=$D24,MAX(_xlfn._xlws.FILTER(_xlpm.d,_xlpm.a*_xlpm.b)))</f>
        <v>0.72</v>
      </c>
      <c r="K24" s="1" cm="1">
        <f t="array" ref="K24">_xlfn.LET(_xlpm.d,K$2:K$19,_xlpm.a,$C$2:$C$19=$C24,_xlpm.b,$D$2:$D$19=$D24,MAX(_xlfn._xlws.FILTER(_xlpm.d,_xlpm.a*_xlpm.b)))</f>
        <v>0.7</v>
      </c>
      <c r="L24" s="1" cm="1">
        <f t="array" ref="L24">_xlfn.LET(_xlpm.d,L$2:L$19,_xlpm.a,$C$2:$C$19=$C24,_xlpm.b,$D$2:$D$19=$D24,MAX(_xlfn._xlws.FILTER(_xlpm.d,_xlpm.a*_xlpm.b)))</f>
        <v>0.7</v>
      </c>
      <c r="M24" s="1" cm="1">
        <f t="array" ref="M24">_xlfn.LET(_xlpm.d,M$2:M$19,_xlpm.a,$C$2:$C$19=$C24,_xlpm.b,$D$2:$D$19=$D24,MAX(_xlfn._xlws.FILTER(_xlpm.d,_xlpm.a*_xlpm.b)))</f>
        <v>0.66</v>
      </c>
      <c r="N24" s="1" cm="1">
        <f t="array" ref="N24">_xlfn.LET(_xlpm.d,N$2:N$19,_xlpm.a,$C$2:$C$19=$C24,_xlpm.b,$D$2:$D$19=$D24,MAX(_xlfn._xlws.FILTER(_xlpm.d,_xlpm.a*_xlpm.b)))</f>
        <v>0.72</v>
      </c>
      <c r="O24" s="1" cm="1">
        <f t="array" ref="O24">_xlfn.LET(_xlpm.d,O$2:O$19,_xlpm.a,$C$2:$C$19=$C24,_xlpm.b,$D$2:$D$19=$D24,MAX(_xlfn._xlws.FILTER(_xlpm.d,_xlpm.a*_xlpm.b)))</f>
        <v>0.66</v>
      </c>
      <c r="P24" s="1" cm="1">
        <f t="array" ref="P24">_xlfn.LET(_xlpm.d,P$2:P$19,_xlpm.a,$C$2:$C$19=$C24,_xlpm.b,$D$2:$D$19=$D24,MAX(_xlfn._xlws.FILTER(_xlpm.d,_xlpm.a*_xlpm.b)))</f>
        <v>0.64</v>
      </c>
      <c r="Q24" s="1" cm="1">
        <f t="array" ref="Q24">_xlfn.LET(_xlpm.d,Q$2:Q$19,_xlpm.a,$C$2:$C$19=$C24,_xlpm.b,$D$2:$D$19=$D24,MAX(_xlfn._xlws.FILTER(_xlpm.d,_xlpm.a*_xlpm.b)))</f>
        <v>0.71</v>
      </c>
      <c r="R24" s="1" cm="1">
        <f t="array" ref="R24">_xlfn.LET(_xlpm.d,R$2:R$19,_xlpm.a,$C$2:$C$19=$C24,_xlpm.b,$D$2:$D$19=$D24,MAX(_xlfn._xlws.FILTER(_xlpm.d,_xlpm.a*_xlpm.b)))</f>
        <v>0.68</v>
      </c>
      <c r="S24" s="1" cm="1">
        <f t="array" ref="S24">_xlfn.LET(_xlpm.d,S$2:S$19,_xlpm.a,$C$2:$C$19=$C24,_xlpm.b,$D$2:$D$19=$D24,MAX(_xlfn._xlws.FILTER(_xlpm.d,_xlpm.a*_xlpm.b)))</f>
        <v>0.73</v>
      </c>
    </row>
    <row r="25" spans="1:19" ht="25" customHeight="1">
      <c r="B25">
        <v>2</v>
      </c>
      <c r="C25" t="s">
        <v>9</v>
      </c>
      <c r="D25" t="b">
        <v>1</v>
      </c>
      <c r="E25">
        <v>1</v>
      </c>
      <c r="F25" t="s">
        <v>4</v>
      </c>
      <c r="G25" s="1" cm="1">
        <f t="array" ref="G25">_xlfn.LET(_xlpm.d,G$2:G$19,_xlpm.a,$C$2:$C$19=$C25,_xlpm.b,$D$2:$D$19=$D25,MAX(_xlfn._xlws.FILTER(_xlpm.d,_xlpm.a*_xlpm.b)))</f>
        <v>0.8</v>
      </c>
      <c r="H25" s="1" cm="1">
        <f t="array" ref="H25">_xlfn.LET(_xlpm.d,H$2:H$19,_xlpm.a,$C$2:$C$19=$C25,_xlpm.b,$D$2:$D$19=$D25,MAX(_xlfn._xlws.FILTER(_xlpm.d,_xlpm.a*_xlpm.b)))</f>
        <v>0.75</v>
      </c>
      <c r="I25" s="1" cm="1">
        <f t="array" ref="I25">_xlfn.LET(_xlpm.d,I$2:I$19,_xlpm.a,$C$2:$C$19=$C25,_xlpm.b,$D$2:$D$19=$D25,MAX(_xlfn._xlws.FILTER(_xlpm.d,_xlpm.a*_xlpm.b)))</f>
        <v>0.78</v>
      </c>
      <c r="J25" s="1" cm="1">
        <f t="array" ref="J25">_xlfn.LET(_xlpm.d,J$2:J$19,_xlpm.a,$C$2:$C$19=$C25,_xlpm.b,$D$2:$D$19=$D25,MAX(_xlfn._xlws.FILTER(_xlpm.d,_xlpm.a*_xlpm.b)))</f>
        <v>0.84</v>
      </c>
      <c r="K25" s="1" cm="1">
        <f t="array" ref="K25">_xlfn.LET(_xlpm.d,K$2:K$19,_xlpm.a,$C$2:$C$19=$C25,_xlpm.b,$D$2:$D$19=$D25,MAX(_xlfn._xlws.FILTER(_xlpm.d,_xlpm.a*_xlpm.b)))</f>
        <v>0.75</v>
      </c>
      <c r="L25" s="1" cm="1">
        <f t="array" ref="L25">_xlfn.LET(_xlpm.d,L$2:L$19,_xlpm.a,$C$2:$C$19=$C25,_xlpm.b,$D$2:$D$19=$D25,MAX(_xlfn._xlws.FILTER(_xlpm.d,_xlpm.a*_xlpm.b)))</f>
        <v>0.81</v>
      </c>
      <c r="M25" s="1" cm="1">
        <f t="array" ref="M25">_xlfn.LET(_xlpm.d,M$2:M$19,_xlpm.a,$C$2:$C$19=$C25,_xlpm.b,$D$2:$D$19=$D25,MAX(_xlfn._xlws.FILTER(_xlpm.d,_xlpm.a*_xlpm.b)))</f>
        <v>0.76</v>
      </c>
      <c r="N25" s="1" cm="1">
        <f t="array" ref="N25">_xlfn.LET(_xlpm.d,N$2:N$19,_xlpm.a,$C$2:$C$19=$C25,_xlpm.b,$D$2:$D$19=$D25,MAX(_xlfn._xlws.FILTER(_xlpm.d,_xlpm.a*_xlpm.b)))</f>
        <v>0.78</v>
      </c>
      <c r="O25" s="1" cm="1">
        <f t="array" ref="O25">_xlfn.LET(_xlpm.d,O$2:O$19,_xlpm.a,$C$2:$C$19=$C25,_xlpm.b,$D$2:$D$19=$D25,MAX(_xlfn._xlws.FILTER(_xlpm.d,_xlpm.a*_xlpm.b)))</f>
        <v>0.76</v>
      </c>
      <c r="P25" s="1" cm="1">
        <f t="array" ref="P25">_xlfn.LET(_xlpm.d,P$2:P$19,_xlpm.a,$C$2:$C$19=$C25,_xlpm.b,$D$2:$D$19=$D25,MAX(_xlfn._xlws.FILTER(_xlpm.d,_xlpm.a*_xlpm.b)))</f>
        <v>0.79</v>
      </c>
      <c r="Q25" s="1" cm="1">
        <f t="array" ref="Q25">_xlfn.LET(_xlpm.d,Q$2:Q$19,_xlpm.a,$C$2:$C$19=$C25,_xlpm.b,$D$2:$D$19=$D25,MAX(_xlfn._xlws.FILTER(_xlpm.d,_xlpm.a*_xlpm.b)))</f>
        <v>0.75</v>
      </c>
      <c r="R25" s="1" cm="1">
        <f t="array" ref="R25">_xlfn.LET(_xlpm.d,R$2:R$19,_xlpm.a,$C$2:$C$19=$C25,_xlpm.b,$D$2:$D$19=$D25,MAX(_xlfn._xlws.FILTER(_xlpm.d,_xlpm.a*_xlpm.b)))</f>
        <v>0.8</v>
      </c>
      <c r="S25" s="1" cm="1">
        <f t="array" ref="S25">_xlfn.LET(_xlpm.d,S$2:S$19,_xlpm.a,$C$2:$C$19=$C25,_xlpm.b,$D$2:$D$19=$D25,MAX(_xlfn._xlws.FILTER(_xlpm.d,_xlpm.a*_xlpm.b)))</f>
        <v>0.84</v>
      </c>
    </row>
    <row r="26" spans="1:19" ht="25" customHeight="1">
      <c r="B26">
        <v>2</v>
      </c>
      <c r="C26" t="s">
        <v>9</v>
      </c>
      <c r="D26" t="b">
        <v>0</v>
      </c>
      <c r="E26">
        <v>1</v>
      </c>
      <c r="F26" t="s">
        <v>4</v>
      </c>
      <c r="G26" s="1" cm="1">
        <f t="array" ref="G26">_xlfn.LET(_xlpm.d,G$2:G$19,_xlpm.a,$C$2:$C$19=$C26,_xlpm.b,$D$2:$D$19=$D26,MAX(_xlfn._xlws.FILTER(_xlpm.d,_xlpm.a*_xlpm.b)))</f>
        <v>0.73</v>
      </c>
      <c r="H26" s="1" cm="1">
        <f t="array" ref="H26">_xlfn.LET(_xlpm.d,H$2:H$19,_xlpm.a,$C$2:$C$19=$C26,_xlpm.b,$D$2:$D$19=$D26,MAX(_xlfn._xlws.FILTER(_xlpm.d,_xlpm.a*_xlpm.b)))</f>
        <v>0.71</v>
      </c>
      <c r="I26" s="1" cm="1">
        <f t="array" ref="I26">_xlfn.LET(_xlpm.d,I$2:I$19,_xlpm.a,$C$2:$C$19=$C26,_xlpm.b,$D$2:$D$19=$D26,MAX(_xlfn._xlws.FILTER(_xlpm.d,_xlpm.a*_xlpm.b)))</f>
        <v>0.76</v>
      </c>
      <c r="J26" s="1" cm="1">
        <f t="array" ref="J26">_xlfn.LET(_xlpm.d,J$2:J$19,_xlpm.a,$C$2:$C$19=$C26,_xlpm.b,$D$2:$D$19=$D26,MAX(_xlfn._xlws.FILTER(_xlpm.d,_xlpm.a*_xlpm.b)))</f>
        <v>0.75</v>
      </c>
      <c r="K26" s="1" cm="1">
        <f t="array" ref="K26">_xlfn.LET(_xlpm.d,K$2:K$19,_xlpm.a,$C$2:$C$19=$C26,_xlpm.b,$D$2:$D$19=$D26,MAX(_xlfn._xlws.FILTER(_xlpm.d,_xlpm.a*_xlpm.b)))</f>
        <v>0.75</v>
      </c>
      <c r="L26" s="1" cm="1">
        <f t="array" ref="L26">_xlfn.LET(_xlpm.d,L$2:L$19,_xlpm.a,$C$2:$C$19=$C26,_xlpm.b,$D$2:$D$19=$D26,MAX(_xlfn._xlws.FILTER(_xlpm.d,_xlpm.a*_xlpm.b)))</f>
        <v>0.79</v>
      </c>
      <c r="M26" s="1" cm="1">
        <f t="array" ref="M26">_xlfn.LET(_xlpm.d,M$2:M$19,_xlpm.a,$C$2:$C$19=$C26,_xlpm.b,$D$2:$D$19=$D26,MAX(_xlfn._xlws.FILTER(_xlpm.d,_xlpm.a*_xlpm.b)))</f>
        <v>0.72</v>
      </c>
      <c r="N26" s="1" cm="1">
        <f t="array" ref="N26">_xlfn.LET(_xlpm.d,N$2:N$19,_xlpm.a,$C$2:$C$19=$C26,_xlpm.b,$D$2:$D$19=$D26,MAX(_xlfn._xlws.FILTER(_xlpm.d,_xlpm.a*_xlpm.b)))</f>
        <v>0.76</v>
      </c>
      <c r="O26" s="1" cm="1">
        <f t="array" ref="O26">_xlfn.LET(_xlpm.d,O$2:O$19,_xlpm.a,$C$2:$C$19=$C26,_xlpm.b,$D$2:$D$19=$D26,MAX(_xlfn._xlws.FILTER(_xlpm.d,_xlpm.a*_xlpm.b)))</f>
        <v>0.74</v>
      </c>
      <c r="P26" s="1" cm="1">
        <f t="array" ref="P26">_xlfn.LET(_xlpm.d,P$2:P$19,_xlpm.a,$C$2:$C$19=$C26,_xlpm.b,$D$2:$D$19=$D26,MAX(_xlfn._xlws.FILTER(_xlpm.d,_xlpm.a*_xlpm.b)))</f>
        <v>0.72</v>
      </c>
      <c r="Q26" s="1" cm="1">
        <f t="array" ref="Q26">_xlfn.LET(_xlpm.d,Q$2:Q$19,_xlpm.a,$C$2:$C$19=$C26,_xlpm.b,$D$2:$D$19=$D26,MAX(_xlfn._xlws.FILTER(_xlpm.d,_xlpm.a*_xlpm.b)))</f>
        <v>0.74</v>
      </c>
      <c r="R26" s="1" cm="1">
        <f t="array" ref="R26">_xlfn.LET(_xlpm.d,R$2:R$19,_xlpm.a,$C$2:$C$19=$C26,_xlpm.b,$D$2:$D$19=$D26,MAX(_xlfn._xlws.FILTER(_xlpm.d,_xlpm.a*_xlpm.b)))</f>
        <v>0.76</v>
      </c>
      <c r="S26" s="1" cm="1">
        <f t="array" ref="S26">_xlfn.LET(_xlpm.d,S$2:S$19,_xlpm.a,$C$2:$C$19=$C26,_xlpm.b,$D$2:$D$19=$D26,MAX(_xlfn._xlws.FILTER(_xlpm.d,_xlpm.a*_xlpm.b)))</f>
        <v>0.79</v>
      </c>
    </row>
    <row r="27" spans="1:19" ht="25" customHeight="1">
      <c r="B27">
        <v>3</v>
      </c>
      <c r="C27" t="s">
        <v>10</v>
      </c>
      <c r="D27" t="b">
        <v>1</v>
      </c>
      <c r="E27">
        <v>1</v>
      </c>
      <c r="F27" t="s">
        <v>4</v>
      </c>
      <c r="G27" s="1" cm="1">
        <f t="array" ref="G27">_xlfn.LET(_xlpm.d,G$2:G$19,_xlpm.a,$C$2:$C$19=$C27,_xlpm.b,$D$2:$D$19=$D27,MAX(_xlfn._xlws.FILTER(_xlpm.d,_xlpm.a*_xlpm.b)))</f>
        <v>0.98</v>
      </c>
      <c r="H27" s="1" cm="1">
        <f t="array" ref="H27">_xlfn.LET(_xlpm.d,H$2:H$19,_xlpm.a,$C$2:$C$19=$C27,_xlpm.b,$D$2:$D$19=$D27,MAX(_xlfn._xlws.FILTER(_xlpm.d,_xlpm.a*_xlpm.b)))</f>
        <v>0.97</v>
      </c>
      <c r="I27" s="1" cm="1">
        <f t="array" ref="I27">_xlfn.LET(_xlpm.d,I$2:I$19,_xlpm.a,$C$2:$C$19=$C27,_xlpm.b,$D$2:$D$19=$D27,MAX(_xlfn._xlws.FILTER(_xlpm.d,_xlpm.a*_xlpm.b)))</f>
        <v>0.98</v>
      </c>
      <c r="J27" s="1" cm="1">
        <f t="array" ref="J27">_xlfn.LET(_xlpm.d,J$2:J$19,_xlpm.a,$C$2:$C$19=$C27,_xlpm.b,$D$2:$D$19=$D27,MAX(_xlfn._xlws.FILTER(_xlpm.d,_xlpm.a*_xlpm.b)))</f>
        <v>0.96</v>
      </c>
      <c r="K27" s="1" cm="1">
        <f t="array" ref="K27">_xlfn.LET(_xlpm.d,K$2:K$19,_xlpm.a,$C$2:$C$19=$C27,_xlpm.b,$D$2:$D$19=$D27,MAX(_xlfn._xlws.FILTER(_xlpm.d,_xlpm.a*_xlpm.b)))</f>
        <v>0.96</v>
      </c>
      <c r="L27" s="1" cm="1">
        <f t="array" ref="L27">_xlfn.LET(_xlpm.d,L$2:L$19,_xlpm.a,$C$2:$C$19=$C27,_xlpm.b,$D$2:$D$19=$D27,MAX(_xlfn._xlws.FILTER(_xlpm.d,_xlpm.a*_xlpm.b)))</f>
        <v>0.95</v>
      </c>
      <c r="M27" s="1" cm="1">
        <f t="array" ref="M27">_xlfn.LET(_xlpm.d,M$2:M$19,_xlpm.a,$C$2:$C$19=$C27,_xlpm.b,$D$2:$D$19=$D27,MAX(_xlfn._xlws.FILTER(_xlpm.d,_xlpm.a*_xlpm.b)))</f>
        <v>0.97</v>
      </c>
      <c r="N27" s="1" cm="1">
        <f t="array" ref="N27">_xlfn.LET(_xlpm.d,N$2:N$19,_xlpm.a,$C$2:$C$19=$C27,_xlpm.b,$D$2:$D$19=$D27,MAX(_xlfn._xlws.FILTER(_xlpm.d,_xlpm.a*_xlpm.b)))</f>
        <v>0.97</v>
      </c>
      <c r="O27" s="1" cm="1">
        <f t="array" ref="O27">_xlfn.LET(_xlpm.d,O$2:O$19,_xlpm.a,$C$2:$C$19=$C27,_xlpm.b,$D$2:$D$19=$D27,MAX(_xlfn._xlws.FILTER(_xlpm.d,_xlpm.a*_xlpm.b)))</f>
        <v>0.97</v>
      </c>
      <c r="P27" s="1" cm="1">
        <f t="array" ref="P27">_xlfn.LET(_xlpm.d,P$2:P$19,_xlpm.a,$C$2:$C$19=$C27,_xlpm.b,$D$2:$D$19=$D27,MAX(_xlfn._xlws.FILTER(_xlpm.d,_xlpm.a*_xlpm.b)))</f>
        <v>0.98</v>
      </c>
      <c r="Q27" s="1" cm="1">
        <f t="array" ref="Q27">_xlfn.LET(_xlpm.d,Q$2:Q$19,_xlpm.a,$C$2:$C$19=$C27,_xlpm.b,$D$2:$D$19=$D27,MAX(_xlfn._xlws.FILTER(_xlpm.d,_xlpm.a*_xlpm.b)))</f>
        <v>0.97</v>
      </c>
      <c r="R27" s="1" cm="1">
        <f t="array" ref="R27">_xlfn.LET(_xlpm.d,R$2:R$19,_xlpm.a,$C$2:$C$19=$C27,_xlpm.b,$D$2:$D$19=$D27,MAX(_xlfn._xlws.FILTER(_xlpm.d,_xlpm.a*_xlpm.b)))</f>
        <v>0.97</v>
      </c>
      <c r="S27" s="1" cm="1">
        <f t="array" ref="S27">_xlfn.LET(_xlpm.d,S$2:S$19,_xlpm.a,$C$2:$C$19=$C27,_xlpm.b,$D$2:$D$19=$D27,MAX(_xlfn._xlws.FILTER(_xlpm.d,_xlpm.a*_xlpm.b)))</f>
        <v>0.98</v>
      </c>
    </row>
    <row r="28" spans="1:19" ht="25" customHeight="1">
      <c r="B28">
        <v>3</v>
      </c>
      <c r="C28" t="s">
        <v>10</v>
      </c>
      <c r="D28" t="b">
        <v>0</v>
      </c>
      <c r="E28">
        <v>1</v>
      </c>
      <c r="F28" t="s">
        <v>4</v>
      </c>
      <c r="G28" s="1" cm="1">
        <f t="array" ref="G28">_xlfn.LET(_xlpm.d,G$2:G$19,_xlpm.a,$C$2:$C$19=$C28,_xlpm.b,$D$2:$D$19=$D28,MAX(_xlfn._xlws.FILTER(_xlpm.d,_xlpm.a*_xlpm.b)))</f>
        <v>0.97</v>
      </c>
      <c r="H28" s="1" cm="1">
        <f t="array" ref="H28">_xlfn.LET(_xlpm.d,H$2:H$19,_xlpm.a,$C$2:$C$19=$C28,_xlpm.b,$D$2:$D$19=$D28,MAX(_xlfn._xlws.FILTER(_xlpm.d,_xlpm.a*_xlpm.b)))</f>
        <v>0.97</v>
      </c>
      <c r="I28" s="1" cm="1">
        <f t="array" ref="I28">_xlfn.LET(_xlpm.d,I$2:I$19,_xlpm.a,$C$2:$C$19=$C28,_xlpm.b,$D$2:$D$19=$D28,MAX(_xlfn._xlws.FILTER(_xlpm.d,_xlpm.a*_xlpm.b)))</f>
        <v>0.98</v>
      </c>
      <c r="J28" s="1" cm="1">
        <f t="array" ref="J28">_xlfn.LET(_xlpm.d,J$2:J$19,_xlpm.a,$C$2:$C$19=$C28,_xlpm.b,$D$2:$D$19=$D28,MAX(_xlfn._xlws.FILTER(_xlpm.d,_xlpm.a*_xlpm.b)))</f>
        <v>0.96</v>
      </c>
      <c r="K28" s="1" cm="1">
        <f t="array" ref="K28">_xlfn.LET(_xlpm.d,K$2:K$19,_xlpm.a,$C$2:$C$19=$C28,_xlpm.b,$D$2:$D$19=$D28,MAX(_xlfn._xlws.FILTER(_xlpm.d,_xlpm.a*_xlpm.b)))</f>
        <v>0.97</v>
      </c>
      <c r="L28" s="1" cm="1">
        <f t="array" ref="L28">_xlfn.LET(_xlpm.d,L$2:L$19,_xlpm.a,$C$2:$C$19=$C28,_xlpm.b,$D$2:$D$19=$D28,MAX(_xlfn._xlws.FILTER(_xlpm.d,_xlpm.a*_xlpm.b)))</f>
        <v>0.95</v>
      </c>
      <c r="M28" s="1" cm="1">
        <f t="array" ref="M28">_xlfn.LET(_xlpm.d,M$2:M$19,_xlpm.a,$C$2:$C$19=$C28,_xlpm.b,$D$2:$D$19=$D28,MAX(_xlfn._xlws.FILTER(_xlpm.d,_xlpm.a*_xlpm.b)))</f>
        <v>0.97</v>
      </c>
      <c r="N28" s="1" cm="1">
        <f t="array" ref="N28">_xlfn.LET(_xlpm.d,N$2:N$19,_xlpm.a,$C$2:$C$19=$C28,_xlpm.b,$D$2:$D$19=$D28,MAX(_xlfn._xlws.FILTER(_xlpm.d,_xlpm.a*_xlpm.b)))</f>
        <v>0.97</v>
      </c>
      <c r="O28" s="1" cm="1">
        <f t="array" ref="O28">_xlfn.LET(_xlpm.d,O$2:O$19,_xlpm.a,$C$2:$C$19=$C28,_xlpm.b,$D$2:$D$19=$D28,MAX(_xlfn._xlws.FILTER(_xlpm.d,_xlpm.a*_xlpm.b)))</f>
        <v>0.97</v>
      </c>
      <c r="P28" s="1" cm="1">
        <f t="array" ref="P28">_xlfn.LET(_xlpm.d,P$2:P$19,_xlpm.a,$C$2:$C$19=$C28,_xlpm.b,$D$2:$D$19=$D28,MAX(_xlfn._xlws.FILTER(_xlpm.d,_xlpm.a*_xlpm.b)))</f>
        <v>0.97</v>
      </c>
      <c r="Q28" s="1" cm="1">
        <f t="array" ref="Q28">_xlfn.LET(_xlpm.d,Q$2:Q$19,_xlpm.a,$C$2:$C$19=$C28,_xlpm.b,$D$2:$D$19=$D28,MAX(_xlfn._xlws.FILTER(_xlpm.d,_xlpm.a*_xlpm.b)))</f>
        <v>0.97</v>
      </c>
      <c r="R28" s="1" cm="1">
        <f t="array" ref="R28">_xlfn.LET(_xlpm.d,R$2:R$19,_xlpm.a,$C$2:$C$19=$C28,_xlpm.b,$D$2:$D$19=$D28,MAX(_xlfn._xlws.FILTER(_xlpm.d,_xlpm.a*_xlpm.b)))</f>
        <v>0.97</v>
      </c>
      <c r="S28" s="1" cm="1">
        <f t="array" ref="S28">_xlfn.LET(_xlpm.d,S$2:S$19,_xlpm.a,$C$2:$C$19=$C28,_xlpm.b,$D$2:$D$19=$D28,MAX(_xlfn._xlws.FILTER(_xlpm.d,_xlpm.a*_xlpm.b)))</f>
        <v>0.98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9323-F5FC-ED47-87A0-952A2D84336B}">
  <dimension ref="A1:S28"/>
  <sheetViews>
    <sheetView workbookViewId="0"/>
  </sheetViews>
  <sheetFormatPr baseColWidth="10" defaultRowHeight="25" customHeight="1"/>
  <cols>
    <col min="2" max="2" width="7.75" customWidth="1"/>
    <col min="4" max="4" width="8.875" customWidth="1"/>
    <col min="5" max="5" width="6.875" customWidth="1"/>
    <col min="6" max="6" width="7.625" customWidth="1"/>
    <col min="7" max="19" width="9.75" customWidth="1"/>
  </cols>
  <sheetData>
    <row r="1" spans="1:19" ht="25" customHeight="1">
      <c r="A1" t="s">
        <v>0</v>
      </c>
      <c r="B1" t="s">
        <v>11</v>
      </c>
      <c r="C1" t="s">
        <v>1</v>
      </c>
      <c r="D1" t="s">
        <v>2</v>
      </c>
      <c r="E1" t="s">
        <v>12</v>
      </c>
      <c r="F1" t="s">
        <v>3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</v>
      </c>
    </row>
    <row r="2" spans="1:19" ht="25" customHeight="1">
      <c r="A2" t="s">
        <v>27</v>
      </c>
      <c r="B2">
        <v>1</v>
      </c>
      <c r="C2" t="s">
        <v>5</v>
      </c>
      <c r="D2" t="b">
        <v>1</v>
      </c>
      <c r="E2">
        <v>1</v>
      </c>
      <c r="F2" t="s">
        <v>8</v>
      </c>
      <c r="G2" s="2">
        <v>0.7</v>
      </c>
      <c r="H2" s="2">
        <v>0.65</v>
      </c>
      <c r="I2" s="2">
        <v>0.71</v>
      </c>
      <c r="J2" s="2">
        <v>0.65</v>
      </c>
      <c r="K2" s="2">
        <v>0.72</v>
      </c>
      <c r="L2" s="2">
        <v>0.68</v>
      </c>
      <c r="M2" s="2">
        <v>0.69</v>
      </c>
      <c r="N2" s="2">
        <v>0.72</v>
      </c>
      <c r="O2" s="2">
        <v>0.71</v>
      </c>
      <c r="P2" s="2">
        <v>0.69</v>
      </c>
      <c r="Q2" s="2">
        <v>0.69</v>
      </c>
      <c r="R2" s="2">
        <v>0.7</v>
      </c>
      <c r="S2" s="2">
        <f t="shared" ref="S2:S19" si="0">MAX($G2:$R2)</f>
        <v>0.72</v>
      </c>
    </row>
    <row r="3" spans="1:19" ht="25" customHeight="1">
      <c r="A3" t="s">
        <v>27</v>
      </c>
      <c r="B3">
        <v>1</v>
      </c>
      <c r="C3" t="s">
        <v>5</v>
      </c>
      <c r="D3" t="b">
        <v>1</v>
      </c>
      <c r="E3">
        <v>2</v>
      </c>
      <c r="F3" t="s">
        <v>7</v>
      </c>
      <c r="G3" s="2">
        <v>0.74</v>
      </c>
      <c r="H3" s="2">
        <v>0.7</v>
      </c>
      <c r="I3" s="2">
        <v>0.74</v>
      </c>
      <c r="J3" s="2">
        <v>0.76</v>
      </c>
      <c r="K3" s="2">
        <v>0.75</v>
      </c>
      <c r="L3" s="2">
        <v>0.71</v>
      </c>
      <c r="M3" s="2">
        <v>0.69</v>
      </c>
      <c r="N3" s="2">
        <v>0.71</v>
      </c>
      <c r="O3" s="2">
        <v>0.74</v>
      </c>
      <c r="P3" s="2">
        <v>0.74</v>
      </c>
      <c r="Q3" s="2">
        <v>0.71</v>
      </c>
      <c r="R3" s="2">
        <v>0.74</v>
      </c>
      <c r="S3" s="2">
        <f t="shared" si="0"/>
        <v>0.76</v>
      </c>
    </row>
    <row r="4" spans="1:19" ht="25" customHeight="1">
      <c r="A4" t="s">
        <v>27</v>
      </c>
      <c r="B4">
        <v>1</v>
      </c>
      <c r="C4" t="s">
        <v>5</v>
      </c>
      <c r="D4" t="b">
        <v>1</v>
      </c>
      <c r="E4">
        <v>3</v>
      </c>
      <c r="F4" t="s">
        <v>6</v>
      </c>
      <c r="G4" s="2">
        <v>0.65</v>
      </c>
      <c r="H4" s="2">
        <v>0.59</v>
      </c>
      <c r="I4" s="2">
        <v>0.7</v>
      </c>
      <c r="J4" s="2">
        <v>0.69</v>
      </c>
      <c r="K4" s="2">
        <v>0.69</v>
      </c>
      <c r="L4" s="2">
        <v>0.69</v>
      </c>
      <c r="M4" s="2">
        <v>0.62</v>
      </c>
      <c r="N4" s="2">
        <v>0.69</v>
      </c>
      <c r="O4" s="2">
        <v>0.67</v>
      </c>
      <c r="P4" s="2">
        <v>0.71</v>
      </c>
      <c r="Q4" s="2">
        <v>0.62</v>
      </c>
      <c r="R4" s="2">
        <v>0.7</v>
      </c>
      <c r="S4" s="2">
        <f t="shared" si="0"/>
        <v>0.71</v>
      </c>
    </row>
    <row r="5" spans="1:19" ht="25" customHeight="1">
      <c r="A5" t="s">
        <v>27</v>
      </c>
      <c r="B5">
        <v>1</v>
      </c>
      <c r="C5" t="s">
        <v>5</v>
      </c>
      <c r="D5" t="b">
        <v>0</v>
      </c>
      <c r="E5">
        <v>1</v>
      </c>
      <c r="F5" t="s">
        <v>8</v>
      </c>
      <c r="G5" s="2">
        <v>0.64</v>
      </c>
      <c r="H5" s="2">
        <v>0.67</v>
      </c>
      <c r="I5" s="2">
        <v>0.69</v>
      </c>
      <c r="J5" s="2">
        <v>0.71</v>
      </c>
      <c r="K5" s="2">
        <v>0.62</v>
      </c>
      <c r="L5" s="2">
        <v>0.65</v>
      </c>
      <c r="M5" s="2">
        <v>0.65</v>
      </c>
      <c r="N5" s="2">
        <v>0.67</v>
      </c>
      <c r="O5" s="2">
        <v>0.65</v>
      </c>
      <c r="P5" s="2">
        <v>0.71</v>
      </c>
      <c r="Q5" s="2">
        <v>0.68</v>
      </c>
      <c r="R5" s="2">
        <v>0.71</v>
      </c>
      <c r="S5" s="2">
        <f t="shared" si="0"/>
        <v>0.71</v>
      </c>
    </row>
    <row r="6" spans="1:19" ht="25" customHeight="1">
      <c r="A6" t="s">
        <v>27</v>
      </c>
      <c r="B6">
        <v>1</v>
      </c>
      <c r="C6" t="s">
        <v>5</v>
      </c>
      <c r="D6" t="b">
        <v>0</v>
      </c>
      <c r="E6">
        <v>2</v>
      </c>
      <c r="F6" t="s">
        <v>7</v>
      </c>
      <c r="G6" s="2">
        <v>0.69</v>
      </c>
      <c r="H6" s="2">
        <v>0.66</v>
      </c>
      <c r="I6" s="2">
        <v>0.72</v>
      </c>
      <c r="J6" s="2">
        <v>0.73</v>
      </c>
      <c r="K6" s="2">
        <v>0.72</v>
      </c>
      <c r="L6" s="2">
        <v>0.66</v>
      </c>
      <c r="M6" s="2">
        <v>0.65</v>
      </c>
      <c r="N6" s="2">
        <v>0.68</v>
      </c>
      <c r="O6" s="2">
        <v>0.69</v>
      </c>
      <c r="P6" s="2">
        <v>0.74</v>
      </c>
      <c r="Q6" s="2">
        <v>0.67</v>
      </c>
      <c r="R6" s="2">
        <v>0.71</v>
      </c>
      <c r="S6" s="2">
        <f t="shared" si="0"/>
        <v>0.74</v>
      </c>
    </row>
    <row r="7" spans="1:19" ht="25" customHeight="1">
      <c r="A7" t="s">
        <v>27</v>
      </c>
      <c r="B7">
        <v>1</v>
      </c>
      <c r="C7" t="s">
        <v>5</v>
      </c>
      <c r="D7" t="b">
        <v>0</v>
      </c>
      <c r="E7">
        <v>3</v>
      </c>
      <c r="F7" t="s">
        <v>6</v>
      </c>
      <c r="G7" s="2">
        <v>0.59</v>
      </c>
      <c r="H7" s="2">
        <v>0.56999999999999995</v>
      </c>
      <c r="I7" s="2">
        <v>0.6</v>
      </c>
      <c r="J7" s="2">
        <v>0.62</v>
      </c>
      <c r="K7" s="2">
        <v>0.61</v>
      </c>
      <c r="L7" s="2">
        <v>0.61</v>
      </c>
      <c r="M7" s="2">
        <v>0.6</v>
      </c>
      <c r="N7" s="2">
        <v>0.56999999999999995</v>
      </c>
      <c r="O7" s="2">
        <v>0.6</v>
      </c>
      <c r="P7" s="2">
        <v>0.65</v>
      </c>
      <c r="Q7" s="2">
        <v>0.64</v>
      </c>
      <c r="R7" s="2">
        <v>0.68</v>
      </c>
      <c r="S7" s="2">
        <f t="shared" si="0"/>
        <v>0.68</v>
      </c>
    </row>
    <row r="8" spans="1:19" ht="25" customHeight="1">
      <c r="A8" t="s">
        <v>27</v>
      </c>
      <c r="B8">
        <v>2</v>
      </c>
      <c r="C8" t="s">
        <v>9</v>
      </c>
      <c r="D8" t="b">
        <v>1</v>
      </c>
      <c r="E8">
        <v>1</v>
      </c>
      <c r="F8" t="s">
        <v>8</v>
      </c>
      <c r="G8" s="2">
        <v>0.83</v>
      </c>
      <c r="H8" s="2">
        <v>0.78</v>
      </c>
      <c r="I8" s="2">
        <v>0.79</v>
      </c>
      <c r="J8" s="2">
        <v>0.74</v>
      </c>
      <c r="K8" s="2">
        <v>0.74</v>
      </c>
      <c r="L8" s="2">
        <v>0.72</v>
      </c>
      <c r="M8" s="2">
        <v>0.75</v>
      </c>
      <c r="N8" s="2">
        <v>0.68</v>
      </c>
      <c r="O8" s="2">
        <v>0.77</v>
      </c>
      <c r="P8" s="2">
        <v>0.75</v>
      </c>
      <c r="Q8" s="2">
        <v>0.71</v>
      </c>
      <c r="R8" s="2">
        <v>0.74</v>
      </c>
      <c r="S8" s="2">
        <f t="shared" si="0"/>
        <v>0.83</v>
      </c>
    </row>
    <row r="9" spans="1:19" ht="25" customHeight="1">
      <c r="A9" t="s">
        <v>27</v>
      </c>
      <c r="B9">
        <v>2</v>
      </c>
      <c r="C9" t="s">
        <v>9</v>
      </c>
      <c r="D9" t="b">
        <v>1</v>
      </c>
      <c r="E9">
        <v>2</v>
      </c>
      <c r="F9" t="s">
        <v>7</v>
      </c>
      <c r="G9" s="2">
        <v>0.8</v>
      </c>
      <c r="H9" s="2">
        <v>0.8</v>
      </c>
      <c r="I9" s="2">
        <v>0.8</v>
      </c>
      <c r="J9" s="2">
        <v>0.76</v>
      </c>
      <c r="K9" s="2">
        <v>0.79</v>
      </c>
      <c r="L9" s="2">
        <v>0.78</v>
      </c>
      <c r="M9" s="2">
        <v>0.74</v>
      </c>
      <c r="N9" s="2">
        <v>0.74</v>
      </c>
      <c r="O9" s="2">
        <v>0.8</v>
      </c>
      <c r="P9" s="2">
        <v>0.81</v>
      </c>
      <c r="Q9" s="2">
        <v>0.77</v>
      </c>
      <c r="R9" s="2">
        <v>0.79</v>
      </c>
      <c r="S9" s="2">
        <f t="shared" si="0"/>
        <v>0.81</v>
      </c>
    </row>
    <row r="10" spans="1:19" ht="25" customHeight="1">
      <c r="A10" t="s">
        <v>27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2">
        <v>0.78</v>
      </c>
      <c r="H10" s="2">
        <v>0.77</v>
      </c>
      <c r="I10" s="2">
        <v>0.73</v>
      </c>
      <c r="J10" s="2">
        <v>0.72</v>
      </c>
      <c r="K10" s="2">
        <v>0.78</v>
      </c>
      <c r="L10" s="2">
        <v>0.77</v>
      </c>
      <c r="M10" s="2">
        <v>0.72</v>
      </c>
      <c r="N10" s="2">
        <v>0.77</v>
      </c>
      <c r="O10" s="2">
        <v>0.74</v>
      </c>
      <c r="P10" s="2">
        <v>0.77</v>
      </c>
      <c r="Q10" s="2">
        <v>0.76</v>
      </c>
      <c r="R10" s="2">
        <v>0.8</v>
      </c>
      <c r="S10" s="2">
        <f t="shared" si="0"/>
        <v>0.8</v>
      </c>
    </row>
    <row r="11" spans="1:19" ht="25" customHeight="1">
      <c r="A11" t="s">
        <v>27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2">
        <v>0.71</v>
      </c>
      <c r="H11" s="2">
        <v>0.68</v>
      </c>
      <c r="I11" s="2">
        <v>0.71</v>
      </c>
      <c r="J11" s="2">
        <v>0.67</v>
      </c>
      <c r="K11" s="2">
        <v>0.69</v>
      </c>
      <c r="L11" s="2">
        <v>0.71</v>
      </c>
      <c r="M11" s="2">
        <v>0.64</v>
      </c>
      <c r="N11" s="2">
        <v>0.67</v>
      </c>
      <c r="O11" s="2">
        <v>0.71</v>
      </c>
      <c r="P11" s="2">
        <v>0.75</v>
      </c>
      <c r="Q11" s="2">
        <v>0.7</v>
      </c>
      <c r="R11" s="2">
        <v>0.72</v>
      </c>
      <c r="S11" s="2">
        <f t="shared" si="0"/>
        <v>0.75</v>
      </c>
    </row>
    <row r="12" spans="1:19" ht="25" customHeight="1">
      <c r="A12" t="s">
        <v>27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2">
        <v>0.74</v>
      </c>
      <c r="H12" s="2">
        <v>0.78</v>
      </c>
      <c r="I12" s="2">
        <v>0.76</v>
      </c>
      <c r="J12" s="2">
        <v>0.73</v>
      </c>
      <c r="K12" s="2">
        <v>0.74</v>
      </c>
      <c r="L12" s="2">
        <v>0.73</v>
      </c>
      <c r="M12" s="2">
        <v>0.65</v>
      </c>
      <c r="N12" s="2">
        <v>0.71</v>
      </c>
      <c r="O12" s="2">
        <v>0.72</v>
      </c>
      <c r="P12" s="2">
        <v>0.77</v>
      </c>
      <c r="Q12" s="2">
        <v>0.75</v>
      </c>
      <c r="R12" s="2">
        <v>0.76</v>
      </c>
      <c r="S12" s="2">
        <f t="shared" si="0"/>
        <v>0.78</v>
      </c>
    </row>
    <row r="13" spans="1:19" ht="25" customHeight="1">
      <c r="A13" t="s">
        <v>27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2">
        <v>0.72</v>
      </c>
      <c r="H13" s="2">
        <v>0.71</v>
      </c>
      <c r="I13" s="2">
        <v>0.78</v>
      </c>
      <c r="J13" s="2">
        <v>0.71</v>
      </c>
      <c r="K13" s="2">
        <v>0.7</v>
      </c>
      <c r="L13" s="2">
        <v>0.72</v>
      </c>
      <c r="M13" s="2">
        <v>0.64</v>
      </c>
      <c r="N13" s="2">
        <v>0.72</v>
      </c>
      <c r="O13" s="2">
        <v>0.71</v>
      </c>
      <c r="P13" s="2">
        <v>0.73</v>
      </c>
      <c r="Q13" s="2">
        <v>0.74</v>
      </c>
      <c r="R13" s="2">
        <v>0.72</v>
      </c>
      <c r="S13" s="2">
        <f t="shared" si="0"/>
        <v>0.78</v>
      </c>
    </row>
    <row r="14" spans="1:19" ht="25" customHeight="1">
      <c r="A14" t="s">
        <v>27</v>
      </c>
      <c r="B14">
        <v>3</v>
      </c>
      <c r="C14" t="s">
        <v>10</v>
      </c>
      <c r="D14" t="b">
        <v>1</v>
      </c>
      <c r="E14">
        <v>1</v>
      </c>
      <c r="F14" t="s">
        <v>8</v>
      </c>
      <c r="G14" s="2">
        <v>0.95</v>
      </c>
      <c r="H14" s="2">
        <v>0.97</v>
      </c>
      <c r="I14" s="2">
        <v>0.99</v>
      </c>
      <c r="J14" s="2">
        <v>0.97</v>
      </c>
      <c r="K14" s="2">
        <v>0.96</v>
      </c>
      <c r="L14" s="2">
        <v>0.96</v>
      </c>
      <c r="M14" s="2">
        <v>0.97</v>
      </c>
      <c r="N14" s="2">
        <v>0.97</v>
      </c>
      <c r="O14" s="2">
        <v>0.93</v>
      </c>
      <c r="P14" s="2">
        <v>0.95</v>
      </c>
      <c r="Q14" s="2">
        <v>0.98</v>
      </c>
      <c r="R14" s="2">
        <v>0.96</v>
      </c>
      <c r="S14" s="2">
        <f t="shared" si="0"/>
        <v>0.99</v>
      </c>
    </row>
    <row r="15" spans="1:19" ht="25" customHeight="1">
      <c r="A15" t="s">
        <v>27</v>
      </c>
      <c r="B15">
        <v>3</v>
      </c>
      <c r="C15" t="s">
        <v>10</v>
      </c>
      <c r="D15" t="b">
        <v>1</v>
      </c>
      <c r="E15">
        <v>2</v>
      </c>
      <c r="F15" t="s">
        <v>7</v>
      </c>
      <c r="G15" s="2">
        <v>0.97</v>
      </c>
      <c r="H15" s="2">
        <v>0.96</v>
      </c>
      <c r="I15" s="2">
        <v>0.99</v>
      </c>
      <c r="J15" s="2">
        <v>0.98</v>
      </c>
      <c r="K15" s="2">
        <v>0.95</v>
      </c>
      <c r="L15" s="2">
        <v>0.96</v>
      </c>
      <c r="M15" s="2">
        <v>0.98</v>
      </c>
      <c r="N15" s="2">
        <v>0.97</v>
      </c>
      <c r="O15" s="2">
        <v>0.96</v>
      </c>
      <c r="P15" s="2">
        <v>0.94</v>
      </c>
      <c r="Q15" s="2">
        <v>0.98</v>
      </c>
      <c r="R15" s="2">
        <v>0.96</v>
      </c>
      <c r="S15" s="2">
        <f t="shared" si="0"/>
        <v>0.99</v>
      </c>
    </row>
    <row r="16" spans="1:19" ht="25" customHeight="1">
      <c r="A16" t="s">
        <v>27</v>
      </c>
      <c r="B16">
        <v>3</v>
      </c>
      <c r="C16" t="s">
        <v>10</v>
      </c>
      <c r="D16" t="b">
        <v>1</v>
      </c>
      <c r="E16">
        <v>3</v>
      </c>
      <c r="F16" t="s">
        <v>6</v>
      </c>
      <c r="G16" s="2">
        <v>0.97</v>
      </c>
      <c r="H16" s="2">
        <v>0.96</v>
      </c>
      <c r="I16" s="2">
        <v>0.99</v>
      </c>
      <c r="J16" s="2">
        <v>0.98</v>
      </c>
      <c r="K16" s="2">
        <v>0.95</v>
      </c>
      <c r="L16" s="2">
        <v>0.96</v>
      </c>
      <c r="M16" s="2">
        <v>0.98</v>
      </c>
      <c r="N16" s="2">
        <v>0.97</v>
      </c>
      <c r="O16" s="2">
        <v>0.95</v>
      </c>
      <c r="P16" s="2">
        <v>0.94</v>
      </c>
      <c r="Q16" s="2">
        <v>0.98</v>
      </c>
      <c r="R16" s="2">
        <v>0.96</v>
      </c>
      <c r="S16" s="2">
        <f t="shared" si="0"/>
        <v>0.99</v>
      </c>
    </row>
    <row r="17" spans="1:19" ht="25" customHeight="1">
      <c r="A17" t="s">
        <v>27</v>
      </c>
      <c r="B17">
        <v>3</v>
      </c>
      <c r="C17" t="s">
        <v>10</v>
      </c>
      <c r="D17" t="b">
        <v>0</v>
      </c>
      <c r="E17">
        <v>1</v>
      </c>
      <c r="F17" t="s">
        <v>8</v>
      </c>
      <c r="G17" s="2">
        <v>0.97</v>
      </c>
      <c r="H17" s="2">
        <v>0.95</v>
      </c>
      <c r="I17" s="2">
        <v>0.98</v>
      </c>
      <c r="J17" s="2">
        <v>0.98</v>
      </c>
      <c r="K17" s="2">
        <v>0.93</v>
      </c>
      <c r="L17" s="2">
        <v>0.96</v>
      </c>
      <c r="M17" s="2">
        <v>0.97</v>
      </c>
      <c r="N17" s="2">
        <v>0.97</v>
      </c>
      <c r="O17" s="2">
        <v>0.95</v>
      </c>
      <c r="P17" s="2">
        <v>0.94</v>
      </c>
      <c r="Q17" s="2">
        <v>0.97</v>
      </c>
      <c r="R17" s="2">
        <v>0.95</v>
      </c>
      <c r="S17" s="2">
        <f t="shared" si="0"/>
        <v>0.98</v>
      </c>
    </row>
    <row r="18" spans="1:19" ht="25" customHeight="1">
      <c r="A18" t="s">
        <v>27</v>
      </c>
      <c r="B18">
        <v>3</v>
      </c>
      <c r="C18" t="s">
        <v>10</v>
      </c>
      <c r="D18" t="b">
        <v>0</v>
      </c>
      <c r="E18">
        <v>2</v>
      </c>
      <c r="F18" t="s">
        <v>7</v>
      </c>
      <c r="G18" s="2">
        <v>0.97</v>
      </c>
      <c r="H18" s="2">
        <v>0.96</v>
      </c>
      <c r="I18" s="2">
        <v>0.99</v>
      </c>
      <c r="J18" s="2">
        <v>0.98</v>
      </c>
      <c r="K18" s="2">
        <v>0.95</v>
      </c>
      <c r="L18" s="2">
        <v>0.96</v>
      </c>
      <c r="M18" s="2">
        <v>0.98</v>
      </c>
      <c r="N18" s="2">
        <v>0.97</v>
      </c>
      <c r="O18" s="2">
        <v>0.95</v>
      </c>
      <c r="P18" s="2">
        <v>0.94</v>
      </c>
      <c r="Q18" s="2">
        <v>0.98</v>
      </c>
      <c r="R18" s="2">
        <v>0.96</v>
      </c>
      <c r="S18" s="2">
        <f t="shared" si="0"/>
        <v>0.99</v>
      </c>
    </row>
    <row r="19" spans="1:19" ht="25" customHeight="1">
      <c r="A19" t="s">
        <v>27</v>
      </c>
      <c r="B19">
        <v>3</v>
      </c>
      <c r="C19" t="s">
        <v>10</v>
      </c>
      <c r="D19" t="b">
        <v>0</v>
      </c>
      <c r="E19">
        <v>3</v>
      </c>
      <c r="F19" t="s">
        <v>6</v>
      </c>
      <c r="G19" s="2">
        <v>0.97</v>
      </c>
      <c r="H19" s="2">
        <v>0.96</v>
      </c>
      <c r="I19" s="2">
        <v>0.99</v>
      </c>
      <c r="J19" s="2">
        <v>0.98</v>
      </c>
      <c r="K19" s="2">
        <v>0.95</v>
      </c>
      <c r="L19" s="2">
        <v>0.96</v>
      </c>
      <c r="M19" s="2">
        <v>0.98</v>
      </c>
      <c r="N19" s="2">
        <v>0.97</v>
      </c>
      <c r="O19" s="2">
        <v>0.95</v>
      </c>
      <c r="P19" s="2">
        <v>0.94</v>
      </c>
      <c r="Q19" s="2">
        <v>0.98</v>
      </c>
      <c r="R19" s="2">
        <v>0.96</v>
      </c>
      <c r="S19" s="2">
        <f t="shared" si="0"/>
        <v>0.99</v>
      </c>
    </row>
    <row r="22" spans="1:19" ht="25" customHeight="1">
      <c r="B22" t="s">
        <v>11</v>
      </c>
      <c r="C22" t="s">
        <v>1</v>
      </c>
      <c r="D22" t="s">
        <v>14</v>
      </c>
      <c r="E22" t="s">
        <v>12</v>
      </c>
      <c r="F22" t="s">
        <v>13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  <c r="L22" t="s">
        <v>20</v>
      </c>
      <c r="M22" t="s">
        <v>21</v>
      </c>
      <c r="N22" t="s">
        <v>22</v>
      </c>
      <c r="O22" t="s">
        <v>23</v>
      </c>
      <c r="P22" t="s">
        <v>24</v>
      </c>
      <c r="Q22" t="s">
        <v>25</v>
      </c>
      <c r="R22" t="s">
        <v>26</v>
      </c>
      <c r="S22" t="s">
        <v>4</v>
      </c>
    </row>
    <row r="23" spans="1:19" ht="25" customHeight="1">
      <c r="B23">
        <v>1</v>
      </c>
      <c r="C23" t="s">
        <v>5</v>
      </c>
      <c r="D23" t="b">
        <v>1</v>
      </c>
      <c r="E23">
        <v>1</v>
      </c>
      <c r="F23" t="s">
        <v>4</v>
      </c>
      <c r="G23" s="2" cm="1">
        <f t="array" ref="G23">_xlfn.LET(_xlpm.d,G$2:G$19,_xlpm.a,$C$2:$C$19=$C23,_xlpm.b,$D$2:$D$19=$D23,MAX(_xlfn._xlws.FILTER(_xlpm.d,_xlpm.a*_xlpm.b)))</f>
        <v>0.74</v>
      </c>
      <c r="H23" s="2" cm="1">
        <f t="array" ref="H23">_xlfn.LET(_xlpm.d,H$2:H$19,_xlpm.a,$C$2:$C$19=$C23,_xlpm.b,$D$2:$D$19=$D23,MAX(_xlfn._xlws.FILTER(_xlpm.d,_xlpm.a*_xlpm.b)))</f>
        <v>0.7</v>
      </c>
      <c r="I23" s="2" cm="1">
        <f t="array" ref="I23">_xlfn.LET(_xlpm.d,I$2:I$19,_xlpm.a,$C$2:$C$19=$C23,_xlpm.b,$D$2:$D$19=$D23,MAX(_xlfn._xlws.FILTER(_xlpm.d,_xlpm.a*_xlpm.b)))</f>
        <v>0.74</v>
      </c>
      <c r="J23" s="2" cm="1">
        <f t="array" ref="J23">_xlfn.LET(_xlpm.d,J$2:J$19,_xlpm.a,$C$2:$C$19=$C23,_xlpm.b,$D$2:$D$19=$D23,MAX(_xlfn._xlws.FILTER(_xlpm.d,_xlpm.a*_xlpm.b)))</f>
        <v>0.76</v>
      </c>
      <c r="K23" s="2" cm="1">
        <f t="array" ref="K23">_xlfn.LET(_xlpm.d,K$2:K$19,_xlpm.a,$C$2:$C$19=$C23,_xlpm.b,$D$2:$D$19=$D23,MAX(_xlfn._xlws.FILTER(_xlpm.d,_xlpm.a*_xlpm.b)))</f>
        <v>0.75</v>
      </c>
      <c r="L23" s="2" cm="1">
        <f t="array" ref="L23">_xlfn.LET(_xlpm.d,L$2:L$19,_xlpm.a,$C$2:$C$19=$C23,_xlpm.b,$D$2:$D$19=$D23,MAX(_xlfn._xlws.FILTER(_xlpm.d,_xlpm.a*_xlpm.b)))</f>
        <v>0.71</v>
      </c>
      <c r="M23" s="2" cm="1">
        <f t="array" ref="M23">_xlfn.LET(_xlpm.d,M$2:M$19,_xlpm.a,$C$2:$C$19=$C23,_xlpm.b,$D$2:$D$19=$D23,MAX(_xlfn._xlws.FILTER(_xlpm.d,_xlpm.a*_xlpm.b)))</f>
        <v>0.69</v>
      </c>
      <c r="N23" s="2" cm="1">
        <f t="array" ref="N23">_xlfn.LET(_xlpm.d,N$2:N$19,_xlpm.a,$C$2:$C$19=$C23,_xlpm.b,$D$2:$D$19=$D23,MAX(_xlfn._xlws.FILTER(_xlpm.d,_xlpm.a*_xlpm.b)))</f>
        <v>0.72</v>
      </c>
      <c r="O23" s="2" cm="1">
        <f t="array" ref="O23">_xlfn.LET(_xlpm.d,O$2:O$19,_xlpm.a,$C$2:$C$19=$C23,_xlpm.b,$D$2:$D$19=$D23,MAX(_xlfn._xlws.FILTER(_xlpm.d,_xlpm.a*_xlpm.b)))</f>
        <v>0.74</v>
      </c>
      <c r="P23" s="2" cm="1">
        <f t="array" ref="P23">_xlfn.LET(_xlpm.d,P$2:P$19,_xlpm.a,$C$2:$C$19=$C23,_xlpm.b,$D$2:$D$19=$D23,MAX(_xlfn._xlws.FILTER(_xlpm.d,_xlpm.a*_xlpm.b)))</f>
        <v>0.74</v>
      </c>
      <c r="Q23" s="2" cm="1">
        <f t="array" ref="Q23">_xlfn.LET(_xlpm.d,Q$2:Q$19,_xlpm.a,$C$2:$C$19=$C23,_xlpm.b,$D$2:$D$19=$D23,MAX(_xlfn._xlws.FILTER(_xlpm.d,_xlpm.a*_xlpm.b)))</f>
        <v>0.71</v>
      </c>
      <c r="R23" s="2" cm="1">
        <f t="array" ref="R23">_xlfn.LET(_xlpm.d,R$2:R$19,_xlpm.a,$C$2:$C$19=$C23,_xlpm.b,$D$2:$D$19=$D23,MAX(_xlfn._xlws.FILTER(_xlpm.d,_xlpm.a*_xlpm.b)))</f>
        <v>0.74</v>
      </c>
      <c r="S23" s="2" cm="1">
        <f t="array" ref="S23">_xlfn.LET(_xlpm.d,S$2:S$19,_xlpm.a,$C$2:$C$19=$C23,_xlpm.b,$D$2:$D$19=$D23,MAX(_xlfn._xlws.FILTER(_xlpm.d,_xlpm.a*_xlpm.b)))</f>
        <v>0.76</v>
      </c>
    </row>
    <row r="24" spans="1:19" ht="25" customHeight="1">
      <c r="B24">
        <v>2</v>
      </c>
      <c r="C24" t="s">
        <v>9</v>
      </c>
      <c r="D24" t="b">
        <v>1</v>
      </c>
      <c r="E24">
        <v>1</v>
      </c>
      <c r="F24" t="s">
        <v>4</v>
      </c>
      <c r="G24" s="2" cm="1">
        <f t="array" ref="G24">_xlfn.LET(_xlpm.d,G$2:G$19,_xlpm.a,$C$2:$C$19=$C24,_xlpm.b,$D$2:$D$19=$D24,MAX(_xlfn._xlws.FILTER(_xlpm.d,_xlpm.a*_xlpm.b)))</f>
        <v>0.83</v>
      </c>
      <c r="H24" s="2" cm="1">
        <f t="array" ref="H24">_xlfn.LET(_xlpm.d,H$2:H$19,_xlpm.a,$C$2:$C$19=$C24,_xlpm.b,$D$2:$D$19=$D24,MAX(_xlfn._xlws.FILTER(_xlpm.d,_xlpm.a*_xlpm.b)))</f>
        <v>0.8</v>
      </c>
      <c r="I24" s="2" cm="1">
        <f t="array" ref="I24">_xlfn.LET(_xlpm.d,I$2:I$19,_xlpm.a,$C$2:$C$19=$C24,_xlpm.b,$D$2:$D$19=$D24,MAX(_xlfn._xlws.FILTER(_xlpm.d,_xlpm.a*_xlpm.b)))</f>
        <v>0.8</v>
      </c>
      <c r="J24" s="2" cm="1">
        <f t="array" ref="J24">_xlfn.LET(_xlpm.d,J$2:J$19,_xlpm.a,$C$2:$C$19=$C24,_xlpm.b,$D$2:$D$19=$D24,MAX(_xlfn._xlws.FILTER(_xlpm.d,_xlpm.a*_xlpm.b)))</f>
        <v>0.76</v>
      </c>
      <c r="K24" s="2" cm="1">
        <f t="array" ref="K24">_xlfn.LET(_xlpm.d,K$2:K$19,_xlpm.a,$C$2:$C$19=$C24,_xlpm.b,$D$2:$D$19=$D24,MAX(_xlfn._xlws.FILTER(_xlpm.d,_xlpm.a*_xlpm.b)))</f>
        <v>0.79</v>
      </c>
      <c r="L24" s="2" cm="1">
        <f t="array" ref="L24">_xlfn.LET(_xlpm.d,L$2:L$19,_xlpm.a,$C$2:$C$19=$C24,_xlpm.b,$D$2:$D$19=$D24,MAX(_xlfn._xlws.FILTER(_xlpm.d,_xlpm.a*_xlpm.b)))</f>
        <v>0.78</v>
      </c>
      <c r="M24" s="2" cm="1">
        <f t="array" ref="M24">_xlfn.LET(_xlpm.d,M$2:M$19,_xlpm.a,$C$2:$C$19=$C24,_xlpm.b,$D$2:$D$19=$D24,MAX(_xlfn._xlws.FILTER(_xlpm.d,_xlpm.a*_xlpm.b)))</f>
        <v>0.75</v>
      </c>
      <c r="N24" s="2" cm="1">
        <f t="array" ref="N24">_xlfn.LET(_xlpm.d,N$2:N$19,_xlpm.a,$C$2:$C$19=$C24,_xlpm.b,$D$2:$D$19=$D24,MAX(_xlfn._xlws.FILTER(_xlpm.d,_xlpm.a*_xlpm.b)))</f>
        <v>0.77</v>
      </c>
      <c r="O24" s="2" cm="1">
        <f t="array" ref="O24">_xlfn.LET(_xlpm.d,O$2:O$19,_xlpm.a,$C$2:$C$19=$C24,_xlpm.b,$D$2:$D$19=$D24,MAX(_xlfn._xlws.FILTER(_xlpm.d,_xlpm.a*_xlpm.b)))</f>
        <v>0.8</v>
      </c>
      <c r="P24" s="2" cm="1">
        <f t="array" ref="P24">_xlfn.LET(_xlpm.d,P$2:P$19,_xlpm.a,$C$2:$C$19=$C24,_xlpm.b,$D$2:$D$19=$D24,MAX(_xlfn._xlws.FILTER(_xlpm.d,_xlpm.a*_xlpm.b)))</f>
        <v>0.81</v>
      </c>
      <c r="Q24" s="2" cm="1">
        <f t="array" ref="Q24">_xlfn.LET(_xlpm.d,Q$2:Q$19,_xlpm.a,$C$2:$C$19=$C24,_xlpm.b,$D$2:$D$19=$D24,MAX(_xlfn._xlws.FILTER(_xlpm.d,_xlpm.a*_xlpm.b)))</f>
        <v>0.77</v>
      </c>
      <c r="R24" s="2" cm="1">
        <f t="array" ref="R24">_xlfn.LET(_xlpm.d,R$2:R$19,_xlpm.a,$C$2:$C$19=$C24,_xlpm.b,$D$2:$D$19=$D24,MAX(_xlfn._xlws.FILTER(_xlpm.d,_xlpm.a*_xlpm.b)))</f>
        <v>0.8</v>
      </c>
      <c r="S24" s="2" cm="1">
        <f t="array" ref="S24">_xlfn.LET(_xlpm.d,S$2:S$19,_xlpm.a,$C$2:$C$19=$C24,_xlpm.b,$D$2:$D$19=$D24,MAX(_xlfn._xlws.FILTER(_xlpm.d,_xlpm.a*_xlpm.b)))</f>
        <v>0.83</v>
      </c>
    </row>
    <row r="25" spans="1:19" ht="25" customHeight="1">
      <c r="B25">
        <v>3</v>
      </c>
      <c r="C25" t="s">
        <v>10</v>
      </c>
      <c r="D25" t="b">
        <v>1</v>
      </c>
      <c r="E25">
        <v>1</v>
      </c>
      <c r="F25" t="s">
        <v>4</v>
      </c>
      <c r="G25" s="2" cm="1">
        <f t="array" ref="G25">_xlfn.LET(_xlpm.d,G$2:G$19,_xlpm.a,$C$2:$C$19=$C25,_xlpm.b,$D$2:$D$19=$D25,MAX(_xlfn._xlws.FILTER(_xlpm.d,_xlpm.a*_xlpm.b)))</f>
        <v>0.97</v>
      </c>
      <c r="H25" s="2" cm="1">
        <f t="array" ref="H25">_xlfn.LET(_xlpm.d,H$2:H$19,_xlpm.a,$C$2:$C$19=$C25,_xlpm.b,$D$2:$D$19=$D25,MAX(_xlfn._xlws.FILTER(_xlpm.d,_xlpm.a*_xlpm.b)))</f>
        <v>0.97</v>
      </c>
      <c r="I25" s="2" cm="1">
        <f t="array" ref="I25">_xlfn.LET(_xlpm.d,I$2:I$19,_xlpm.a,$C$2:$C$19=$C25,_xlpm.b,$D$2:$D$19=$D25,MAX(_xlfn._xlws.FILTER(_xlpm.d,_xlpm.a*_xlpm.b)))</f>
        <v>0.99</v>
      </c>
      <c r="J25" s="2" cm="1">
        <f t="array" ref="J25">_xlfn.LET(_xlpm.d,J$2:J$19,_xlpm.a,$C$2:$C$19=$C25,_xlpm.b,$D$2:$D$19=$D25,MAX(_xlfn._xlws.FILTER(_xlpm.d,_xlpm.a*_xlpm.b)))</f>
        <v>0.98</v>
      </c>
      <c r="K25" s="2" cm="1">
        <f t="array" ref="K25">_xlfn.LET(_xlpm.d,K$2:K$19,_xlpm.a,$C$2:$C$19=$C25,_xlpm.b,$D$2:$D$19=$D25,MAX(_xlfn._xlws.FILTER(_xlpm.d,_xlpm.a*_xlpm.b)))</f>
        <v>0.96</v>
      </c>
      <c r="L25" s="2" cm="1">
        <f t="array" ref="L25">_xlfn.LET(_xlpm.d,L$2:L$19,_xlpm.a,$C$2:$C$19=$C25,_xlpm.b,$D$2:$D$19=$D25,MAX(_xlfn._xlws.FILTER(_xlpm.d,_xlpm.a*_xlpm.b)))</f>
        <v>0.96</v>
      </c>
      <c r="M25" s="2" cm="1">
        <f t="array" ref="M25">_xlfn.LET(_xlpm.d,M$2:M$19,_xlpm.a,$C$2:$C$19=$C25,_xlpm.b,$D$2:$D$19=$D25,MAX(_xlfn._xlws.FILTER(_xlpm.d,_xlpm.a*_xlpm.b)))</f>
        <v>0.98</v>
      </c>
      <c r="N25" s="2" cm="1">
        <f t="array" ref="N25">_xlfn.LET(_xlpm.d,N$2:N$19,_xlpm.a,$C$2:$C$19=$C25,_xlpm.b,$D$2:$D$19=$D25,MAX(_xlfn._xlws.FILTER(_xlpm.d,_xlpm.a*_xlpm.b)))</f>
        <v>0.97</v>
      </c>
      <c r="O25" s="2" cm="1">
        <f t="array" ref="O25">_xlfn.LET(_xlpm.d,O$2:O$19,_xlpm.a,$C$2:$C$19=$C25,_xlpm.b,$D$2:$D$19=$D25,MAX(_xlfn._xlws.FILTER(_xlpm.d,_xlpm.a*_xlpm.b)))</f>
        <v>0.96</v>
      </c>
      <c r="P25" s="2" cm="1">
        <f t="array" ref="P25">_xlfn.LET(_xlpm.d,P$2:P$19,_xlpm.a,$C$2:$C$19=$C25,_xlpm.b,$D$2:$D$19=$D25,MAX(_xlfn._xlws.FILTER(_xlpm.d,_xlpm.a*_xlpm.b)))</f>
        <v>0.95</v>
      </c>
      <c r="Q25" s="2" cm="1">
        <f t="array" ref="Q25">_xlfn.LET(_xlpm.d,Q$2:Q$19,_xlpm.a,$C$2:$C$19=$C25,_xlpm.b,$D$2:$D$19=$D25,MAX(_xlfn._xlws.FILTER(_xlpm.d,_xlpm.a*_xlpm.b)))</f>
        <v>0.98</v>
      </c>
      <c r="R25" s="2" cm="1">
        <f t="array" ref="R25">_xlfn.LET(_xlpm.d,R$2:R$19,_xlpm.a,$C$2:$C$19=$C25,_xlpm.b,$D$2:$D$19=$D25,MAX(_xlfn._xlws.FILTER(_xlpm.d,_xlpm.a*_xlpm.b)))</f>
        <v>0.96</v>
      </c>
      <c r="S25" s="2" cm="1">
        <f t="array" ref="S25">_xlfn.LET(_xlpm.d,S$2:S$19,_xlpm.a,$C$2:$C$19=$C25,_xlpm.b,$D$2:$D$19=$D25,MAX(_xlfn._xlws.FILTER(_xlpm.d,_xlpm.a*_xlpm.b)))</f>
        <v>0.99</v>
      </c>
    </row>
    <row r="26" spans="1:19" ht="25" customHeight="1">
      <c r="B26">
        <v>1</v>
      </c>
      <c r="C26" t="s">
        <v>5</v>
      </c>
      <c r="D26" t="b">
        <v>0</v>
      </c>
      <c r="E26">
        <v>1</v>
      </c>
      <c r="F26" t="s">
        <v>4</v>
      </c>
      <c r="G26" s="2" cm="1">
        <f t="array" ref="G26">_xlfn.LET(_xlpm.d,G$2:G$19,_xlpm.a,$C$2:$C$19=$C26,_xlpm.b,$D$2:$D$19=$D26,MAX(_xlfn._xlws.FILTER(_xlpm.d,_xlpm.a*_xlpm.b)))</f>
        <v>0.69</v>
      </c>
      <c r="H26" s="2" cm="1">
        <f t="array" ref="H26">_xlfn.LET(_xlpm.d,H$2:H$19,_xlpm.a,$C$2:$C$19=$C26,_xlpm.b,$D$2:$D$19=$D26,MAX(_xlfn._xlws.FILTER(_xlpm.d,_xlpm.a*_xlpm.b)))</f>
        <v>0.67</v>
      </c>
      <c r="I26" s="2" cm="1">
        <f t="array" ref="I26">_xlfn.LET(_xlpm.d,I$2:I$19,_xlpm.a,$C$2:$C$19=$C26,_xlpm.b,$D$2:$D$19=$D26,MAX(_xlfn._xlws.FILTER(_xlpm.d,_xlpm.a*_xlpm.b)))</f>
        <v>0.72</v>
      </c>
      <c r="J26" s="2" cm="1">
        <f t="array" ref="J26">_xlfn.LET(_xlpm.d,J$2:J$19,_xlpm.a,$C$2:$C$19=$C26,_xlpm.b,$D$2:$D$19=$D26,MAX(_xlfn._xlws.FILTER(_xlpm.d,_xlpm.a*_xlpm.b)))</f>
        <v>0.73</v>
      </c>
      <c r="K26" s="2" cm="1">
        <f t="array" ref="K26">_xlfn.LET(_xlpm.d,K$2:K$19,_xlpm.a,$C$2:$C$19=$C26,_xlpm.b,$D$2:$D$19=$D26,MAX(_xlfn._xlws.FILTER(_xlpm.d,_xlpm.a*_xlpm.b)))</f>
        <v>0.72</v>
      </c>
      <c r="L26" s="2" cm="1">
        <f t="array" ref="L26">_xlfn.LET(_xlpm.d,L$2:L$19,_xlpm.a,$C$2:$C$19=$C26,_xlpm.b,$D$2:$D$19=$D26,MAX(_xlfn._xlws.FILTER(_xlpm.d,_xlpm.a*_xlpm.b)))</f>
        <v>0.66</v>
      </c>
      <c r="M26" s="2" cm="1">
        <f t="array" ref="M26">_xlfn.LET(_xlpm.d,M$2:M$19,_xlpm.a,$C$2:$C$19=$C26,_xlpm.b,$D$2:$D$19=$D26,MAX(_xlfn._xlws.FILTER(_xlpm.d,_xlpm.a*_xlpm.b)))</f>
        <v>0.65</v>
      </c>
      <c r="N26" s="2" cm="1">
        <f t="array" ref="N26">_xlfn.LET(_xlpm.d,N$2:N$19,_xlpm.a,$C$2:$C$19=$C26,_xlpm.b,$D$2:$D$19=$D26,MAX(_xlfn._xlws.FILTER(_xlpm.d,_xlpm.a*_xlpm.b)))</f>
        <v>0.68</v>
      </c>
      <c r="O26" s="2" cm="1">
        <f t="array" ref="O26">_xlfn.LET(_xlpm.d,O$2:O$19,_xlpm.a,$C$2:$C$19=$C26,_xlpm.b,$D$2:$D$19=$D26,MAX(_xlfn._xlws.FILTER(_xlpm.d,_xlpm.a*_xlpm.b)))</f>
        <v>0.69</v>
      </c>
      <c r="P26" s="2" cm="1">
        <f t="array" ref="P26">_xlfn.LET(_xlpm.d,P$2:P$19,_xlpm.a,$C$2:$C$19=$C26,_xlpm.b,$D$2:$D$19=$D26,MAX(_xlfn._xlws.FILTER(_xlpm.d,_xlpm.a*_xlpm.b)))</f>
        <v>0.74</v>
      </c>
      <c r="Q26" s="2" cm="1">
        <f t="array" ref="Q26">_xlfn.LET(_xlpm.d,Q$2:Q$19,_xlpm.a,$C$2:$C$19=$C26,_xlpm.b,$D$2:$D$19=$D26,MAX(_xlfn._xlws.FILTER(_xlpm.d,_xlpm.a*_xlpm.b)))</f>
        <v>0.68</v>
      </c>
      <c r="R26" s="2" cm="1">
        <f t="array" ref="R26">_xlfn.LET(_xlpm.d,R$2:R$19,_xlpm.a,$C$2:$C$19=$C26,_xlpm.b,$D$2:$D$19=$D26,MAX(_xlfn._xlws.FILTER(_xlpm.d,_xlpm.a*_xlpm.b)))</f>
        <v>0.71</v>
      </c>
      <c r="S26" s="2" cm="1">
        <f t="array" ref="S26">_xlfn.LET(_xlpm.d,S$2:S$19,_xlpm.a,$C$2:$C$19=$C26,_xlpm.b,$D$2:$D$19=$D26,MAX(_xlfn._xlws.FILTER(_xlpm.d,_xlpm.a*_xlpm.b)))</f>
        <v>0.74</v>
      </c>
    </row>
    <row r="27" spans="1:19" ht="25" customHeight="1">
      <c r="B27">
        <v>2</v>
      </c>
      <c r="C27" t="s">
        <v>9</v>
      </c>
      <c r="D27" t="b">
        <v>0</v>
      </c>
      <c r="E27">
        <v>1</v>
      </c>
      <c r="F27" t="s">
        <v>4</v>
      </c>
      <c r="G27" s="2" cm="1">
        <f t="array" ref="G27">_xlfn.LET(_xlpm.d,G$2:G$19,_xlpm.a,$C$2:$C$19=$C27,_xlpm.b,$D$2:$D$19=$D27,MAX(_xlfn._xlws.FILTER(_xlpm.d,_xlpm.a*_xlpm.b)))</f>
        <v>0.74</v>
      </c>
      <c r="H27" s="2" cm="1">
        <f t="array" ref="H27">_xlfn.LET(_xlpm.d,H$2:H$19,_xlpm.a,$C$2:$C$19=$C27,_xlpm.b,$D$2:$D$19=$D27,MAX(_xlfn._xlws.FILTER(_xlpm.d,_xlpm.a*_xlpm.b)))</f>
        <v>0.78</v>
      </c>
      <c r="I27" s="2" cm="1">
        <f t="array" ref="I27">_xlfn.LET(_xlpm.d,I$2:I$19,_xlpm.a,$C$2:$C$19=$C27,_xlpm.b,$D$2:$D$19=$D27,MAX(_xlfn._xlws.FILTER(_xlpm.d,_xlpm.a*_xlpm.b)))</f>
        <v>0.78</v>
      </c>
      <c r="J27" s="2" cm="1">
        <f t="array" ref="J27">_xlfn.LET(_xlpm.d,J$2:J$19,_xlpm.a,$C$2:$C$19=$C27,_xlpm.b,$D$2:$D$19=$D27,MAX(_xlfn._xlws.FILTER(_xlpm.d,_xlpm.a*_xlpm.b)))</f>
        <v>0.73</v>
      </c>
      <c r="K27" s="2" cm="1">
        <f t="array" ref="K27">_xlfn.LET(_xlpm.d,K$2:K$19,_xlpm.a,$C$2:$C$19=$C27,_xlpm.b,$D$2:$D$19=$D27,MAX(_xlfn._xlws.FILTER(_xlpm.d,_xlpm.a*_xlpm.b)))</f>
        <v>0.74</v>
      </c>
      <c r="L27" s="2" cm="1">
        <f t="array" ref="L27">_xlfn.LET(_xlpm.d,L$2:L$19,_xlpm.a,$C$2:$C$19=$C27,_xlpm.b,$D$2:$D$19=$D27,MAX(_xlfn._xlws.FILTER(_xlpm.d,_xlpm.a*_xlpm.b)))</f>
        <v>0.73</v>
      </c>
      <c r="M27" s="2" cm="1">
        <f t="array" ref="M27">_xlfn.LET(_xlpm.d,M$2:M$19,_xlpm.a,$C$2:$C$19=$C27,_xlpm.b,$D$2:$D$19=$D27,MAX(_xlfn._xlws.FILTER(_xlpm.d,_xlpm.a*_xlpm.b)))</f>
        <v>0.65</v>
      </c>
      <c r="N27" s="2" cm="1">
        <f t="array" ref="N27">_xlfn.LET(_xlpm.d,N$2:N$19,_xlpm.a,$C$2:$C$19=$C27,_xlpm.b,$D$2:$D$19=$D27,MAX(_xlfn._xlws.FILTER(_xlpm.d,_xlpm.a*_xlpm.b)))</f>
        <v>0.72</v>
      </c>
      <c r="O27" s="2" cm="1">
        <f t="array" ref="O27">_xlfn.LET(_xlpm.d,O$2:O$19,_xlpm.a,$C$2:$C$19=$C27,_xlpm.b,$D$2:$D$19=$D27,MAX(_xlfn._xlws.FILTER(_xlpm.d,_xlpm.a*_xlpm.b)))</f>
        <v>0.72</v>
      </c>
      <c r="P27" s="2" cm="1">
        <f t="array" ref="P27">_xlfn.LET(_xlpm.d,P$2:P$19,_xlpm.a,$C$2:$C$19=$C27,_xlpm.b,$D$2:$D$19=$D27,MAX(_xlfn._xlws.FILTER(_xlpm.d,_xlpm.a*_xlpm.b)))</f>
        <v>0.77</v>
      </c>
      <c r="Q27" s="2" cm="1">
        <f t="array" ref="Q27">_xlfn.LET(_xlpm.d,Q$2:Q$19,_xlpm.a,$C$2:$C$19=$C27,_xlpm.b,$D$2:$D$19=$D27,MAX(_xlfn._xlws.FILTER(_xlpm.d,_xlpm.a*_xlpm.b)))</f>
        <v>0.75</v>
      </c>
      <c r="R27" s="2" cm="1">
        <f t="array" ref="R27">_xlfn.LET(_xlpm.d,R$2:R$19,_xlpm.a,$C$2:$C$19=$C27,_xlpm.b,$D$2:$D$19=$D27,MAX(_xlfn._xlws.FILTER(_xlpm.d,_xlpm.a*_xlpm.b)))</f>
        <v>0.76</v>
      </c>
      <c r="S27" s="2" cm="1">
        <f t="array" ref="S27">_xlfn.LET(_xlpm.d,S$2:S$19,_xlpm.a,$C$2:$C$19=$C27,_xlpm.b,$D$2:$D$19=$D27,MAX(_xlfn._xlws.FILTER(_xlpm.d,_xlpm.a*_xlpm.b)))</f>
        <v>0.78</v>
      </c>
    </row>
    <row r="28" spans="1:19" ht="25" customHeight="1">
      <c r="B28">
        <v>3</v>
      </c>
      <c r="C28" t="s">
        <v>10</v>
      </c>
      <c r="D28" t="b">
        <v>0</v>
      </c>
      <c r="E28">
        <v>1</v>
      </c>
      <c r="F28" t="s">
        <v>4</v>
      </c>
      <c r="G28" s="2" cm="1">
        <f t="array" ref="G28">_xlfn.LET(_xlpm.d,G$2:G$19,_xlpm.a,$C$2:$C$19=$C28,_xlpm.b,$D$2:$D$19=$D28,MAX(_xlfn._xlws.FILTER(_xlpm.d,_xlpm.a*_xlpm.b)))</f>
        <v>0.97</v>
      </c>
      <c r="H28" s="2" cm="1">
        <f t="array" ref="H28">_xlfn.LET(_xlpm.d,H$2:H$19,_xlpm.a,$C$2:$C$19=$C28,_xlpm.b,$D$2:$D$19=$D28,MAX(_xlfn._xlws.FILTER(_xlpm.d,_xlpm.a*_xlpm.b)))</f>
        <v>0.96</v>
      </c>
      <c r="I28" s="2" cm="1">
        <f t="array" ref="I28">_xlfn.LET(_xlpm.d,I$2:I$19,_xlpm.a,$C$2:$C$19=$C28,_xlpm.b,$D$2:$D$19=$D28,MAX(_xlfn._xlws.FILTER(_xlpm.d,_xlpm.a*_xlpm.b)))</f>
        <v>0.99</v>
      </c>
      <c r="J28" s="2" cm="1">
        <f t="array" ref="J28">_xlfn.LET(_xlpm.d,J$2:J$19,_xlpm.a,$C$2:$C$19=$C28,_xlpm.b,$D$2:$D$19=$D28,MAX(_xlfn._xlws.FILTER(_xlpm.d,_xlpm.a*_xlpm.b)))</f>
        <v>0.98</v>
      </c>
      <c r="K28" s="2" cm="1">
        <f t="array" ref="K28">_xlfn.LET(_xlpm.d,K$2:K$19,_xlpm.a,$C$2:$C$19=$C28,_xlpm.b,$D$2:$D$19=$D28,MAX(_xlfn._xlws.FILTER(_xlpm.d,_xlpm.a*_xlpm.b)))</f>
        <v>0.95</v>
      </c>
      <c r="L28" s="2" cm="1">
        <f t="array" ref="L28">_xlfn.LET(_xlpm.d,L$2:L$19,_xlpm.a,$C$2:$C$19=$C28,_xlpm.b,$D$2:$D$19=$D28,MAX(_xlfn._xlws.FILTER(_xlpm.d,_xlpm.a*_xlpm.b)))</f>
        <v>0.96</v>
      </c>
      <c r="M28" s="2" cm="1">
        <f t="array" ref="M28">_xlfn.LET(_xlpm.d,M$2:M$19,_xlpm.a,$C$2:$C$19=$C28,_xlpm.b,$D$2:$D$19=$D28,MAX(_xlfn._xlws.FILTER(_xlpm.d,_xlpm.a*_xlpm.b)))</f>
        <v>0.98</v>
      </c>
      <c r="N28" s="2" cm="1">
        <f t="array" ref="N28">_xlfn.LET(_xlpm.d,N$2:N$19,_xlpm.a,$C$2:$C$19=$C28,_xlpm.b,$D$2:$D$19=$D28,MAX(_xlfn._xlws.FILTER(_xlpm.d,_xlpm.a*_xlpm.b)))</f>
        <v>0.97</v>
      </c>
      <c r="O28" s="2" cm="1">
        <f t="array" ref="O28">_xlfn.LET(_xlpm.d,O$2:O$19,_xlpm.a,$C$2:$C$19=$C28,_xlpm.b,$D$2:$D$19=$D28,MAX(_xlfn._xlws.FILTER(_xlpm.d,_xlpm.a*_xlpm.b)))</f>
        <v>0.95</v>
      </c>
      <c r="P28" s="2" cm="1">
        <f t="array" ref="P28">_xlfn.LET(_xlpm.d,P$2:P$19,_xlpm.a,$C$2:$C$19=$C28,_xlpm.b,$D$2:$D$19=$D28,MAX(_xlfn._xlws.FILTER(_xlpm.d,_xlpm.a*_xlpm.b)))</f>
        <v>0.94</v>
      </c>
      <c r="Q28" s="2" cm="1">
        <f t="array" ref="Q28">_xlfn.LET(_xlpm.d,Q$2:Q$19,_xlpm.a,$C$2:$C$19=$C28,_xlpm.b,$D$2:$D$19=$D28,MAX(_xlfn._xlws.FILTER(_xlpm.d,_xlpm.a*_xlpm.b)))</f>
        <v>0.98</v>
      </c>
      <c r="R28" s="2" cm="1">
        <f t="array" ref="R28">_xlfn.LET(_xlpm.d,R$2:R$19,_xlpm.a,$C$2:$C$19=$C28,_xlpm.b,$D$2:$D$19=$D28,MAX(_xlfn._xlws.FILTER(_xlpm.d,_xlpm.a*_xlpm.b)))</f>
        <v>0.96</v>
      </c>
      <c r="S28" s="2" cm="1">
        <f t="array" ref="S28">_xlfn.LET(_xlpm.d,S$2:S$19,_xlpm.a,$C$2:$C$19=$C28,_xlpm.b,$D$2:$D$19=$D28,MAX(_xlfn._xlws.FILTER(_xlpm.d,_xlpm.a*_xlpm.b)))</f>
        <v>0.99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38DC-89F4-404D-B383-9DB2BA5FBAE3}">
  <dimension ref="A1:S28"/>
  <sheetViews>
    <sheetView workbookViewId="0"/>
  </sheetViews>
  <sheetFormatPr baseColWidth="10" defaultRowHeight="25" customHeight="1"/>
  <cols>
    <col min="2" max="2" width="7.25" customWidth="1"/>
    <col min="4" max="4" width="8.25" customWidth="1"/>
    <col min="5" max="5" width="7.625" customWidth="1"/>
    <col min="7" max="19" width="7.25" customWidth="1"/>
  </cols>
  <sheetData>
    <row r="1" spans="1:19" ht="25" customHeight="1">
      <c r="A1" t="s">
        <v>0</v>
      </c>
      <c r="B1" t="s">
        <v>11</v>
      </c>
      <c r="C1" t="s">
        <v>1</v>
      </c>
      <c r="D1" t="s">
        <v>2</v>
      </c>
      <c r="E1" t="s">
        <v>12</v>
      </c>
      <c r="F1" t="s">
        <v>3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4</v>
      </c>
    </row>
    <row r="2" spans="1:19" ht="25" customHeight="1">
      <c r="A2" t="s">
        <v>27</v>
      </c>
      <c r="B2">
        <v>1</v>
      </c>
      <c r="C2" t="s">
        <v>5</v>
      </c>
      <c r="D2" t="b">
        <v>0</v>
      </c>
      <c r="E2">
        <v>1</v>
      </c>
      <c r="F2" t="s">
        <v>8</v>
      </c>
      <c r="G2" s="1">
        <v>0.64</v>
      </c>
      <c r="H2" s="1">
        <v>0.61</v>
      </c>
      <c r="I2" s="1">
        <v>0.69</v>
      </c>
      <c r="J2" s="1">
        <v>0.64</v>
      </c>
      <c r="K2" s="1">
        <v>0.67</v>
      </c>
      <c r="L2" s="1">
        <v>0.56999999999999995</v>
      </c>
      <c r="M2" s="1">
        <v>0.63</v>
      </c>
      <c r="N2" s="1">
        <v>0.6</v>
      </c>
      <c r="O2" s="1">
        <v>0.64</v>
      </c>
      <c r="P2" s="1">
        <v>0.7</v>
      </c>
      <c r="Q2" s="1">
        <v>0.59</v>
      </c>
      <c r="R2" s="1">
        <v>0.63</v>
      </c>
      <c r="S2" s="1">
        <f t="shared" ref="S2:S19" si="0">MAX($G2:$R2)</f>
        <v>0.7</v>
      </c>
    </row>
    <row r="3" spans="1:19" ht="25" customHeight="1">
      <c r="A3" t="s">
        <v>27</v>
      </c>
      <c r="B3">
        <v>1</v>
      </c>
      <c r="C3" t="s">
        <v>5</v>
      </c>
      <c r="D3" t="b">
        <v>0</v>
      </c>
      <c r="E3">
        <v>2</v>
      </c>
      <c r="F3" t="s">
        <v>7</v>
      </c>
      <c r="G3" s="1">
        <v>0.65</v>
      </c>
      <c r="H3" s="1">
        <v>0.66</v>
      </c>
      <c r="I3" s="1">
        <v>0.7</v>
      </c>
      <c r="J3" s="1">
        <v>0.67</v>
      </c>
      <c r="K3" s="1">
        <v>0.69</v>
      </c>
      <c r="L3" s="1">
        <v>0.59</v>
      </c>
      <c r="M3" s="1">
        <v>0.66</v>
      </c>
      <c r="N3" s="1">
        <v>0.64</v>
      </c>
      <c r="O3" s="1">
        <v>0.71</v>
      </c>
      <c r="P3" s="1">
        <v>0.73</v>
      </c>
      <c r="Q3" s="1">
        <v>0.64</v>
      </c>
      <c r="R3" s="1">
        <v>0.67</v>
      </c>
      <c r="S3" s="1">
        <f t="shared" si="0"/>
        <v>0.73</v>
      </c>
    </row>
    <row r="4" spans="1:19" ht="25" customHeight="1">
      <c r="A4" t="s">
        <v>27</v>
      </c>
      <c r="B4">
        <v>1</v>
      </c>
      <c r="C4" t="s">
        <v>5</v>
      </c>
      <c r="D4" t="b">
        <v>0</v>
      </c>
      <c r="E4">
        <v>3</v>
      </c>
      <c r="F4" t="s">
        <v>6</v>
      </c>
      <c r="G4" s="1">
        <v>0.57999999999999996</v>
      </c>
      <c r="H4" s="1">
        <v>0.55000000000000004</v>
      </c>
      <c r="I4" s="1">
        <v>0.64</v>
      </c>
      <c r="J4" s="1">
        <v>0.64</v>
      </c>
      <c r="K4" s="1">
        <v>0.65</v>
      </c>
      <c r="L4" s="1">
        <v>0.54</v>
      </c>
      <c r="M4" s="1">
        <v>0.6</v>
      </c>
      <c r="N4" s="1">
        <v>0.56000000000000005</v>
      </c>
      <c r="O4" s="1">
        <v>0.61</v>
      </c>
      <c r="P4" s="1">
        <v>0.59</v>
      </c>
      <c r="Q4" s="1">
        <v>0.54</v>
      </c>
      <c r="R4" s="1">
        <v>0.56999999999999995</v>
      </c>
      <c r="S4" s="1">
        <f t="shared" si="0"/>
        <v>0.65</v>
      </c>
    </row>
    <row r="5" spans="1:19" ht="25" customHeight="1">
      <c r="A5" t="s">
        <v>27</v>
      </c>
      <c r="B5">
        <v>1</v>
      </c>
      <c r="C5" t="s">
        <v>5</v>
      </c>
      <c r="D5" t="b">
        <v>1</v>
      </c>
      <c r="E5">
        <v>1</v>
      </c>
      <c r="F5" t="s">
        <v>8</v>
      </c>
      <c r="G5" s="1">
        <v>0.56999999999999995</v>
      </c>
      <c r="H5" s="1">
        <v>0.77</v>
      </c>
      <c r="I5" s="1">
        <v>0.7</v>
      </c>
      <c r="J5" s="1">
        <v>0.64</v>
      </c>
      <c r="K5" s="1">
        <v>0.65</v>
      </c>
      <c r="L5" s="1">
        <v>0.56999999999999995</v>
      </c>
      <c r="M5" s="1">
        <v>0.7</v>
      </c>
      <c r="N5" s="1">
        <v>0.64</v>
      </c>
      <c r="O5" s="1">
        <v>0.68</v>
      </c>
      <c r="P5" s="1">
        <v>0.72</v>
      </c>
      <c r="Q5" s="1">
        <v>0.66</v>
      </c>
      <c r="R5" s="1">
        <v>0.64</v>
      </c>
      <c r="S5" s="1">
        <f t="shared" si="0"/>
        <v>0.77</v>
      </c>
    </row>
    <row r="6" spans="1:19" ht="25" customHeight="1">
      <c r="A6" t="s">
        <v>27</v>
      </c>
      <c r="B6">
        <v>1</v>
      </c>
      <c r="C6" t="s">
        <v>5</v>
      </c>
      <c r="D6" t="b">
        <v>1</v>
      </c>
      <c r="E6">
        <v>2</v>
      </c>
      <c r="F6" t="s">
        <v>7</v>
      </c>
      <c r="G6" s="1">
        <v>0.67</v>
      </c>
      <c r="H6" s="1">
        <v>0.75</v>
      </c>
      <c r="I6" s="1">
        <v>0.73</v>
      </c>
      <c r="J6" s="1">
        <v>0.66</v>
      </c>
      <c r="K6" s="1">
        <v>0.7</v>
      </c>
      <c r="L6" s="1">
        <v>0.62</v>
      </c>
      <c r="M6" s="1">
        <v>0.68</v>
      </c>
      <c r="N6" s="1">
        <v>0.66</v>
      </c>
      <c r="O6" s="1">
        <v>0.68</v>
      </c>
      <c r="P6" s="1">
        <v>0.76</v>
      </c>
      <c r="Q6" s="1">
        <v>0.65</v>
      </c>
      <c r="R6" s="1">
        <v>0.7</v>
      </c>
      <c r="S6" s="1">
        <f t="shared" si="0"/>
        <v>0.76</v>
      </c>
    </row>
    <row r="7" spans="1:19" ht="25" customHeight="1">
      <c r="A7" t="s">
        <v>27</v>
      </c>
      <c r="B7">
        <v>1</v>
      </c>
      <c r="C7" t="s">
        <v>5</v>
      </c>
      <c r="D7" t="b">
        <v>1</v>
      </c>
      <c r="E7">
        <v>3</v>
      </c>
      <c r="F7" t="s">
        <v>6</v>
      </c>
      <c r="G7" s="1">
        <v>0.59</v>
      </c>
      <c r="H7" s="1">
        <v>0.65</v>
      </c>
      <c r="I7" s="1">
        <v>0.65</v>
      </c>
      <c r="J7" s="1">
        <v>0.68</v>
      </c>
      <c r="K7" s="1">
        <v>0.63</v>
      </c>
      <c r="L7" s="1">
        <v>0.59</v>
      </c>
      <c r="M7" s="1">
        <v>0.7</v>
      </c>
      <c r="N7" s="1">
        <v>0.68</v>
      </c>
      <c r="O7" s="1">
        <v>0.68</v>
      </c>
      <c r="P7" s="1">
        <v>0.65</v>
      </c>
      <c r="Q7" s="1">
        <v>0.57999999999999996</v>
      </c>
      <c r="R7" s="1">
        <v>0.57999999999999996</v>
      </c>
      <c r="S7" s="1">
        <f t="shared" si="0"/>
        <v>0.7</v>
      </c>
    </row>
    <row r="8" spans="1:19" ht="25" customHeight="1">
      <c r="A8" t="s">
        <v>27</v>
      </c>
      <c r="B8">
        <v>2</v>
      </c>
      <c r="C8" t="s">
        <v>9</v>
      </c>
      <c r="D8" t="b">
        <v>0</v>
      </c>
      <c r="E8">
        <v>1</v>
      </c>
      <c r="F8" t="s">
        <v>8</v>
      </c>
      <c r="G8" s="1">
        <v>0.68</v>
      </c>
      <c r="H8" s="1">
        <v>0.68</v>
      </c>
      <c r="I8" s="1">
        <v>0.77</v>
      </c>
      <c r="J8" s="1">
        <v>0.64</v>
      </c>
      <c r="K8" s="1">
        <v>0.73</v>
      </c>
      <c r="L8" s="1">
        <v>0.72</v>
      </c>
      <c r="M8" s="1">
        <v>0.69</v>
      </c>
      <c r="N8" s="1">
        <v>0.66</v>
      </c>
      <c r="O8" s="1">
        <v>0.75</v>
      </c>
      <c r="P8" s="1">
        <v>0.68</v>
      </c>
      <c r="Q8" s="1">
        <v>0.72</v>
      </c>
      <c r="R8" s="1">
        <v>0.81</v>
      </c>
      <c r="S8" s="1">
        <f t="shared" si="0"/>
        <v>0.81</v>
      </c>
    </row>
    <row r="9" spans="1:19" ht="25" customHeight="1">
      <c r="A9" t="s">
        <v>27</v>
      </c>
      <c r="B9">
        <v>2</v>
      </c>
      <c r="C9" t="s">
        <v>9</v>
      </c>
      <c r="D9" t="b">
        <v>0</v>
      </c>
      <c r="E9">
        <v>2</v>
      </c>
      <c r="F9" t="s">
        <v>7</v>
      </c>
      <c r="G9" s="1">
        <v>0.71</v>
      </c>
      <c r="H9" s="1">
        <v>0.67</v>
      </c>
      <c r="I9" s="1">
        <v>0.81</v>
      </c>
      <c r="J9" s="1">
        <v>0.71</v>
      </c>
      <c r="K9" s="1">
        <v>0.74</v>
      </c>
      <c r="L9" s="1">
        <v>0.77</v>
      </c>
      <c r="M9" s="1">
        <v>0.72</v>
      </c>
      <c r="N9" s="1">
        <v>0.67</v>
      </c>
      <c r="O9" s="1">
        <v>0.76</v>
      </c>
      <c r="P9" s="1">
        <v>0.71</v>
      </c>
      <c r="Q9" s="1">
        <v>0.75</v>
      </c>
      <c r="R9" s="1">
        <v>0.82</v>
      </c>
      <c r="S9" s="1">
        <f t="shared" si="0"/>
        <v>0.82</v>
      </c>
    </row>
    <row r="10" spans="1:19" ht="25" customHeight="1">
      <c r="A10" t="s">
        <v>27</v>
      </c>
      <c r="B10">
        <v>2</v>
      </c>
      <c r="C10" t="s">
        <v>9</v>
      </c>
      <c r="D10" t="b">
        <v>0</v>
      </c>
      <c r="E10">
        <v>3</v>
      </c>
      <c r="F10" t="s">
        <v>6</v>
      </c>
      <c r="G10" s="1">
        <v>0.67</v>
      </c>
      <c r="H10" s="1">
        <v>0.65</v>
      </c>
      <c r="I10" s="1">
        <v>0.68</v>
      </c>
      <c r="J10" s="1">
        <v>0.68</v>
      </c>
      <c r="K10" s="1">
        <v>0.7</v>
      </c>
      <c r="L10" s="1">
        <v>0.68</v>
      </c>
      <c r="M10" s="1">
        <v>0.65</v>
      </c>
      <c r="N10" s="1">
        <v>0.73</v>
      </c>
      <c r="O10" s="1">
        <v>0.69</v>
      </c>
      <c r="P10" s="1">
        <v>0.68</v>
      </c>
      <c r="Q10" s="1">
        <v>0.75</v>
      </c>
      <c r="R10" s="1">
        <v>0.78</v>
      </c>
      <c r="S10" s="1">
        <f t="shared" si="0"/>
        <v>0.78</v>
      </c>
    </row>
    <row r="11" spans="1:19" ht="25" customHeight="1">
      <c r="A11" t="s">
        <v>27</v>
      </c>
      <c r="B11">
        <v>2</v>
      </c>
      <c r="C11" t="s">
        <v>9</v>
      </c>
      <c r="D11" t="b">
        <v>1</v>
      </c>
      <c r="E11">
        <v>1</v>
      </c>
      <c r="F11" t="s">
        <v>8</v>
      </c>
      <c r="G11" s="1">
        <v>0.73</v>
      </c>
      <c r="H11" s="1">
        <v>0.73</v>
      </c>
      <c r="I11" s="1">
        <v>0.77</v>
      </c>
      <c r="J11" s="1">
        <v>0.78</v>
      </c>
      <c r="K11" s="1">
        <v>0.66</v>
      </c>
      <c r="L11" s="1">
        <v>0.74</v>
      </c>
      <c r="M11" s="1">
        <v>0.7</v>
      </c>
      <c r="N11" s="1">
        <v>0.72</v>
      </c>
      <c r="O11" s="1">
        <v>0.75</v>
      </c>
      <c r="P11" s="1">
        <v>0.71</v>
      </c>
      <c r="Q11" s="1">
        <v>0.7</v>
      </c>
      <c r="R11" s="1">
        <v>0.79</v>
      </c>
      <c r="S11" s="1">
        <f t="shared" si="0"/>
        <v>0.79</v>
      </c>
    </row>
    <row r="12" spans="1:19" ht="25" customHeight="1">
      <c r="A12" t="s">
        <v>27</v>
      </c>
      <c r="B12">
        <v>2</v>
      </c>
      <c r="C12" t="s">
        <v>9</v>
      </c>
      <c r="D12" t="b">
        <v>1</v>
      </c>
      <c r="E12">
        <v>2</v>
      </c>
      <c r="F12" t="s">
        <v>7</v>
      </c>
      <c r="G12" s="1">
        <v>0.72</v>
      </c>
      <c r="H12" s="1">
        <v>0.73</v>
      </c>
      <c r="I12" s="1">
        <v>0.81</v>
      </c>
      <c r="J12" s="1">
        <v>0.82</v>
      </c>
      <c r="K12" s="1">
        <v>0.78</v>
      </c>
      <c r="L12" s="1">
        <v>0.79</v>
      </c>
      <c r="M12" s="1">
        <v>0.77</v>
      </c>
      <c r="N12" s="1">
        <v>0.73</v>
      </c>
      <c r="O12" s="1">
        <v>0.77</v>
      </c>
      <c r="P12" s="1">
        <v>0.79</v>
      </c>
      <c r="Q12" s="1">
        <v>0.76</v>
      </c>
      <c r="R12" s="1">
        <v>0.84</v>
      </c>
      <c r="S12" s="1">
        <f t="shared" si="0"/>
        <v>0.84</v>
      </c>
    </row>
    <row r="13" spans="1:19" ht="25" customHeight="1">
      <c r="A13" t="s">
        <v>27</v>
      </c>
      <c r="B13">
        <v>2</v>
      </c>
      <c r="C13" t="s">
        <v>9</v>
      </c>
      <c r="D13" t="b">
        <v>1</v>
      </c>
      <c r="E13">
        <v>3</v>
      </c>
      <c r="F13" t="s">
        <v>6</v>
      </c>
      <c r="G13" s="1">
        <v>0.68</v>
      </c>
      <c r="H13" s="1">
        <v>0.68</v>
      </c>
      <c r="I13" s="1">
        <v>0.73</v>
      </c>
      <c r="J13" s="1">
        <v>0.77</v>
      </c>
      <c r="K13" s="1">
        <v>0.73</v>
      </c>
      <c r="L13" s="1">
        <v>0.69</v>
      </c>
      <c r="M13" s="1">
        <v>0.71</v>
      </c>
      <c r="N13" s="1">
        <v>0.7</v>
      </c>
      <c r="O13" s="1">
        <v>0.73</v>
      </c>
      <c r="P13" s="1">
        <v>0.73</v>
      </c>
      <c r="Q13" s="1">
        <v>0.76</v>
      </c>
      <c r="R13" s="1">
        <v>0.78</v>
      </c>
      <c r="S13" s="1">
        <f t="shared" si="0"/>
        <v>0.78</v>
      </c>
    </row>
    <row r="14" spans="1:19" ht="25" customHeight="1">
      <c r="A14" t="s">
        <v>27</v>
      </c>
      <c r="B14">
        <v>3</v>
      </c>
      <c r="C14" t="s">
        <v>10</v>
      </c>
      <c r="D14" t="b">
        <v>0</v>
      </c>
      <c r="E14">
        <v>1</v>
      </c>
      <c r="F14" t="s">
        <v>8</v>
      </c>
      <c r="G14" s="1">
        <v>0.98</v>
      </c>
      <c r="H14" s="1">
        <v>0.92</v>
      </c>
      <c r="I14" s="1">
        <v>0.96</v>
      </c>
      <c r="J14" s="1">
        <v>0.94</v>
      </c>
      <c r="K14" s="1">
        <v>0.96</v>
      </c>
      <c r="L14" s="1">
        <v>0.93</v>
      </c>
      <c r="M14" s="1">
        <v>0.97</v>
      </c>
      <c r="N14" s="1">
        <v>0.97</v>
      </c>
      <c r="O14" s="1">
        <v>0.96</v>
      </c>
      <c r="P14" s="1">
        <v>0.99</v>
      </c>
      <c r="Q14" s="1">
        <v>0.97</v>
      </c>
      <c r="R14" s="1">
        <v>0.93</v>
      </c>
      <c r="S14" s="1">
        <f t="shared" si="0"/>
        <v>0.99</v>
      </c>
    </row>
    <row r="15" spans="1:19" ht="25" customHeight="1">
      <c r="A15" t="s">
        <v>27</v>
      </c>
      <c r="B15">
        <v>3</v>
      </c>
      <c r="C15" t="s">
        <v>10</v>
      </c>
      <c r="D15" t="b">
        <v>0</v>
      </c>
      <c r="E15">
        <v>2</v>
      </c>
      <c r="F15" t="s">
        <v>7</v>
      </c>
      <c r="G15" s="1">
        <v>0.99</v>
      </c>
      <c r="H15" s="1">
        <v>0.98</v>
      </c>
      <c r="I15" s="1">
        <v>0.96</v>
      </c>
      <c r="J15" s="1">
        <v>0.96</v>
      </c>
      <c r="K15" s="1">
        <v>0.97</v>
      </c>
      <c r="L15" s="1">
        <v>0.96</v>
      </c>
      <c r="M15" s="1">
        <v>0.97</v>
      </c>
      <c r="N15" s="1">
        <v>0.98</v>
      </c>
      <c r="O15" s="1">
        <v>0.96</v>
      </c>
      <c r="P15" s="1">
        <v>0.98</v>
      </c>
      <c r="Q15" s="1">
        <v>0.97</v>
      </c>
      <c r="R15" s="1">
        <v>0.95</v>
      </c>
      <c r="S15" s="1">
        <f t="shared" si="0"/>
        <v>0.99</v>
      </c>
    </row>
    <row r="16" spans="1:19" ht="25" customHeight="1">
      <c r="A16" t="s">
        <v>27</v>
      </c>
      <c r="B16">
        <v>3</v>
      </c>
      <c r="C16" t="s">
        <v>10</v>
      </c>
      <c r="D16" t="b">
        <v>0</v>
      </c>
      <c r="E16">
        <v>3</v>
      </c>
      <c r="F16" t="s">
        <v>6</v>
      </c>
      <c r="G16" s="1">
        <v>0.99</v>
      </c>
      <c r="H16" s="1">
        <v>0.98</v>
      </c>
      <c r="I16" s="1">
        <v>0.97</v>
      </c>
      <c r="J16" s="1">
        <v>0.96</v>
      </c>
      <c r="K16" s="1">
        <v>0.96</v>
      </c>
      <c r="L16" s="1">
        <v>0.96</v>
      </c>
      <c r="M16" s="1">
        <v>0.97</v>
      </c>
      <c r="N16" s="1">
        <v>0.98</v>
      </c>
      <c r="O16" s="1">
        <v>0.96</v>
      </c>
      <c r="P16" s="1">
        <v>0.99</v>
      </c>
      <c r="Q16" s="1">
        <v>0.97</v>
      </c>
      <c r="R16" s="1">
        <v>0.95</v>
      </c>
      <c r="S16" s="1">
        <f t="shared" si="0"/>
        <v>0.99</v>
      </c>
    </row>
    <row r="17" spans="1:19" ht="25" customHeight="1">
      <c r="A17" t="s">
        <v>27</v>
      </c>
      <c r="B17">
        <v>3</v>
      </c>
      <c r="C17" t="s">
        <v>10</v>
      </c>
      <c r="D17" t="b">
        <v>1</v>
      </c>
      <c r="E17">
        <v>1</v>
      </c>
      <c r="F17" t="s">
        <v>8</v>
      </c>
      <c r="G17" s="1">
        <v>0.97</v>
      </c>
      <c r="H17" s="1">
        <v>0.97</v>
      </c>
      <c r="I17" s="1">
        <v>0.97</v>
      </c>
      <c r="J17" s="1">
        <v>0.95</v>
      </c>
      <c r="K17" s="1">
        <v>0.96</v>
      </c>
      <c r="L17" s="1">
        <v>0.95</v>
      </c>
      <c r="M17" s="1">
        <v>0.97</v>
      </c>
      <c r="N17" s="1">
        <v>0.97</v>
      </c>
      <c r="O17" s="1">
        <v>0.96</v>
      </c>
      <c r="P17" s="1">
        <v>0.99</v>
      </c>
      <c r="Q17" s="1">
        <v>0.97</v>
      </c>
      <c r="R17" s="1">
        <v>0.95</v>
      </c>
      <c r="S17" s="1">
        <f t="shared" si="0"/>
        <v>0.99</v>
      </c>
    </row>
    <row r="18" spans="1:19" ht="25" customHeight="1">
      <c r="A18" t="s">
        <v>27</v>
      </c>
      <c r="B18">
        <v>3</v>
      </c>
      <c r="C18" t="s">
        <v>10</v>
      </c>
      <c r="D18" t="b">
        <v>1</v>
      </c>
      <c r="E18">
        <v>2</v>
      </c>
      <c r="F18" t="s">
        <v>7</v>
      </c>
      <c r="G18" s="1">
        <v>0.99</v>
      </c>
      <c r="H18" s="1">
        <v>0.98</v>
      </c>
      <c r="I18" s="1">
        <v>0.97</v>
      </c>
      <c r="J18" s="1">
        <v>0.96</v>
      </c>
      <c r="K18" s="1">
        <v>0.97</v>
      </c>
      <c r="L18" s="1">
        <v>0.96</v>
      </c>
      <c r="M18" s="1">
        <v>0.97</v>
      </c>
      <c r="N18" s="1">
        <v>0.98</v>
      </c>
      <c r="O18" s="1">
        <v>0.96</v>
      </c>
      <c r="P18" s="1">
        <v>0.98</v>
      </c>
      <c r="Q18" s="1">
        <v>0.97</v>
      </c>
      <c r="R18" s="1">
        <v>0.95</v>
      </c>
      <c r="S18" s="1">
        <f t="shared" si="0"/>
        <v>0.99</v>
      </c>
    </row>
    <row r="19" spans="1:19" ht="25" customHeight="1">
      <c r="A19" t="s">
        <v>27</v>
      </c>
      <c r="B19">
        <v>3</v>
      </c>
      <c r="C19" t="s">
        <v>10</v>
      </c>
      <c r="D19" t="b">
        <v>1</v>
      </c>
      <c r="E19">
        <v>3</v>
      </c>
      <c r="F19" t="s">
        <v>6</v>
      </c>
      <c r="G19" s="1">
        <v>0.99</v>
      </c>
      <c r="H19" s="1">
        <v>0.98</v>
      </c>
      <c r="I19" s="1">
        <v>0.97</v>
      </c>
      <c r="J19" s="1">
        <v>0.96</v>
      </c>
      <c r="K19" s="1">
        <v>0.97</v>
      </c>
      <c r="L19" s="1">
        <v>0.96</v>
      </c>
      <c r="M19" s="1">
        <v>0.97</v>
      </c>
      <c r="N19" s="1">
        <v>0.98</v>
      </c>
      <c r="O19" s="1">
        <v>0.96</v>
      </c>
      <c r="P19" s="1">
        <v>0.99</v>
      </c>
      <c r="Q19" s="1">
        <v>0.97</v>
      </c>
      <c r="R19" s="1">
        <v>0.95</v>
      </c>
      <c r="S19" s="1">
        <f t="shared" si="0"/>
        <v>0.99</v>
      </c>
    </row>
    <row r="22" spans="1:19" ht="25" customHeight="1">
      <c r="B22" t="s">
        <v>11</v>
      </c>
      <c r="C22" t="s">
        <v>1</v>
      </c>
      <c r="D22" t="s">
        <v>14</v>
      </c>
      <c r="E22" t="s">
        <v>12</v>
      </c>
      <c r="F22" t="s">
        <v>13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  <c r="L22" t="s">
        <v>20</v>
      </c>
      <c r="M22" t="s">
        <v>21</v>
      </c>
      <c r="N22" t="s">
        <v>22</v>
      </c>
      <c r="O22" t="s">
        <v>23</v>
      </c>
      <c r="P22" t="s">
        <v>24</v>
      </c>
      <c r="Q22" t="s">
        <v>25</v>
      </c>
      <c r="R22" t="s">
        <v>26</v>
      </c>
      <c r="S22" t="s">
        <v>4</v>
      </c>
    </row>
    <row r="23" spans="1:19" ht="25" customHeight="1">
      <c r="B23">
        <v>1</v>
      </c>
      <c r="C23" t="s">
        <v>5</v>
      </c>
      <c r="D23" t="b">
        <v>1</v>
      </c>
      <c r="E23">
        <v>1</v>
      </c>
      <c r="F23" t="s">
        <v>4</v>
      </c>
      <c r="G23" s="1" cm="1">
        <f t="array" ref="G23">_xlfn.LET(_xlpm.d,G$2:G$19,_xlpm.a,$C$2:$C$19=$C23,_xlpm.b,$D$2:$D$19=$D23,MAX(_xlfn._xlws.FILTER(_xlpm.d,_xlpm.a*_xlpm.b)))</f>
        <v>0.67</v>
      </c>
      <c r="H23" s="1" cm="1">
        <f t="array" ref="H23">_xlfn.LET(_xlpm.d,H$2:H$19,_xlpm.a,$C$2:$C$19=$C23,_xlpm.b,$D$2:$D$19=$D23,MAX(_xlfn._xlws.FILTER(_xlpm.d,_xlpm.a*_xlpm.b)))</f>
        <v>0.77</v>
      </c>
      <c r="I23" s="1" cm="1">
        <f t="array" ref="I23">_xlfn.LET(_xlpm.d,I$2:I$19,_xlpm.a,$C$2:$C$19=$C23,_xlpm.b,$D$2:$D$19=$D23,MAX(_xlfn._xlws.FILTER(_xlpm.d,_xlpm.a*_xlpm.b)))</f>
        <v>0.73</v>
      </c>
      <c r="J23" s="1" cm="1">
        <f t="array" ref="J23">_xlfn.LET(_xlpm.d,J$2:J$19,_xlpm.a,$C$2:$C$19=$C23,_xlpm.b,$D$2:$D$19=$D23,MAX(_xlfn._xlws.FILTER(_xlpm.d,_xlpm.a*_xlpm.b)))</f>
        <v>0.68</v>
      </c>
      <c r="K23" s="1" cm="1">
        <f t="array" ref="K23">_xlfn.LET(_xlpm.d,K$2:K$19,_xlpm.a,$C$2:$C$19=$C23,_xlpm.b,$D$2:$D$19=$D23,MAX(_xlfn._xlws.FILTER(_xlpm.d,_xlpm.a*_xlpm.b)))</f>
        <v>0.7</v>
      </c>
      <c r="L23" s="1" cm="1">
        <f t="array" ref="L23">_xlfn.LET(_xlpm.d,L$2:L$19,_xlpm.a,$C$2:$C$19=$C23,_xlpm.b,$D$2:$D$19=$D23,MAX(_xlfn._xlws.FILTER(_xlpm.d,_xlpm.a*_xlpm.b)))</f>
        <v>0.62</v>
      </c>
      <c r="M23" s="1" cm="1">
        <f t="array" ref="M23">_xlfn.LET(_xlpm.d,M$2:M$19,_xlpm.a,$C$2:$C$19=$C23,_xlpm.b,$D$2:$D$19=$D23,MAX(_xlfn._xlws.FILTER(_xlpm.d,_xlpm.a*_xlpm.b)))</f>
        <v>0.7</v>
      </c>
      <c r="N23" s="1" cm="1">
        <f t="array" ref="N23">_xlfn.LET(_xlpm.d,N$2:N$19,_xlpm.a,$C$2:$C$19=$C23,_xlpm.b,$D$2:$D$19=$D23,MAX(_xlfn._xlws.FILTER(_xlpm.d,_xlpm.a*_xlpm.b)))</f>
        <v>0.68</v>
      </c>
      <c r="O23" s="1" cm="1">
        <f t="array" ref="O23">_xlfn.LET(_xlpm.d,O$2:O$19,_xlpm.a,$C$2:$C$19=$C23,_xlpm.b,$D$2:$D$19=$D23,MAX(_xlfn._xlws.FILTER(_xlpm.d,_xlpm.a*_xlpm.b)))</f>
        <v>0.68</v>
      </c>
      <c r="P23" s="1" cm="1">
        <f t="array" ref="P23">_xlfn.LET(_xlpm.d,P$2:P$19,_xlpm.a,$C$2:$C$19=$C23,_xlpm.b,$D$2:$D$19=$D23,MAX(_xlfn._xlws.FILTER(_xlpm.d,_xlpm.a*_xlpm.b)))</f>
        <v>0.76</v>
      </c>
      <c r="Q23" s="1" cm="1">
        <f t="array" ref="Q23">_xlfn.LET(_xlpm.d,Q$2:Q$19,_xlpm.a,$C$2:$C$19=$C23,_xlpm.b,$D$2:$D$19=$D23,MAX(_xlfn._xlws.FILTER(_xlpm.d,_xlpm.a*_xlpm.b)))</f>
        <v>0.66</v>
      </c>
      <c r="R23" s="1" cm="1">
        <f t="array" ref="R23">_xlfn.LET(_xlpm.d,R$2:R$19,_xlpm.a,$C$2:$C$19=$C23,_xlpm.b,$D$2:$D$19=$D23,MAX(_xlfn._xlws.FILTER(_xlpm.d,_xlpm.a*_xlpm.b)))</f>
        <v>0.7</v>
      </c>
      <c r="S23" s="1" cm="1">
        <f t="array" ref="S23">_xlfn.LET(_xlpm.d,S$2:S$19,_xlpm.a,$C$2:$C$19=$C23,_xlpm.b,$D$2:$D$19=$D23,MAX(_xlfn._xlws.FILTER(_xlpm.d,_xlpm.a*_xlpm.b)))</f>
        <v>0.77</v>
      </c>
    </row>
    <row r="24" spans="1:19" ht="25" customHeight="1">
      <c r="B24">
        <v>1</v>
      </c>
      <c r="C24" t="s">
        <v>5</v>
      </c>
      <c r="D24" t="b">
        <v>0</v>
      </c>
      <c r="E24">
        <v>1</v>
      </c>
      <c r="F24" t="s">
        <v>4</v>
      </c>
      <c r="G24" s="1" cm="1">
        <f t="array" ref="G24">_xlfn.LET(_xlpm.d,G$2:G$19,_xlpm.a,$C$2:$C$19=$C24,_xlpm.b,$D$2:$D$19=$D24,MAX(_xlfn._xlws.FILTER(_xlpm.d,_xlpm.a*_xlpm.b)))</f>
        <v>0.65</v>
      </c>
      <c r="H24" s="1" cm="1">
        <f t="array" ref="H24">_xlfn.LET(_xlpm.d,H$2:H$19,_xlpm.a,$C$2:$C$19=$C24,_xlpm.b,$D$2:$D$19=$D24,MAX(_xlfn._xlws.FILTER(_xlpm.d,_xlpm.a*_xlpm.b)))</f>
        <v>0.66</v>
      </c>
      <c r="I24" s="1" cm="1">
        <f t="array" ref="I24">_xlfn.LET(_xlpm.d,I$2:I$19,_xlpm.a,$C$2:$C$19=$C24,_xlpm.b,$D$2:$D$19=$D24,MAX(_xlfn._xlws.FILTER(_xlpm.d,_xlpm.a*_xlpm.b)))</f>
        <v>0.7</v>
      </c>
      <c r="J24" s="1" cm="1">
        <f t="array" ref="J24">_xlfn.LET(_xlpm.d,J$2:J$19,_xlpm.a,$C$2:$C$19=$C24,_xlpm.b,$D$2:$D$19=$D24,MAX(_xlfn._xlws.FILTER(_xlpm.d,_xlpm.a*_xlpm.b)))</f>
        <v>0.67</v>
      </c>
      <c r="K24" s="1" cm="1">
        <f t="array" ref="K24">_xlfn.LET(_xlpm.d,K$2:K$19,_xlpm.a,$C$2:$C$19=$C24,_xlpm.b,$D$2:$D$19=$D24,MAX(_xlfn._xlws.FILTER(_xlpm.d,_xlpm.a*_xlpm.b)))</f>
        <v>0.69</v>
      </c>
      <c r="L24" s="1" cm="1">
        <f t="array" ref="L24">_xlfn.LET(_xlpm.d,L$2:L$19,_xlpm.a,$C$2:$C$19=$C24,_xlpm.b,$D$2:$D$19=$D24,MAX(_xlfn._xlws.FILTER(_xlpm.d,_xlpm.a*_xlpm.b)))</f>
        <v>0.59</v>
      </c>
      <c r="M24" s="1" cm="1">
        <f t="array" ref="M24">_xlfn.LET(_xlpm.d,M$2:M$19,_xlpm.a,$C$2:$C$19=$C24,_xlpm.b,$D$2:$D$19=$D24,MAX(_xlfn._xlws.FILTER(_xlpm.d,_xlpm.a*_xlpm.b)))</f>
        <v>0.66</v>
      </c>
      <c r="N24" s="1" cm="1">
        <f t="array" ref="N24">_xlfn.LET(_xlpm.d,N$2:N$19,_xlpm.a,$C$2:$C$19=$C24,_xlpm.b,$D$2:$D$19=$D24,MAX(_xlfn._xlws.FILTER(_xlpm.d,_xlpm.a*_xlpm.b)))</f>
        <v>0.64</v>
      </c>
      <c r="O24" s="1" cm="1">
        <f t="array" ref="O24">_xlfn.LET(_xlpm.d,O$2:O$19,_xlpm.a,$C$2:$C$19=$C24,_xlpm.b,$D$2:$D$19=$D24,MAX(_xlfn._xlws.FILTER(_xlpm.d,_xlpm.a*_xlpm.b)))</f>
        <v>0.71</v>
      </c>
      <c r="P24" s="1" cm="1">
        <f t="array" ref="P24">_xlfn.LET(_xlpm.d,P$2:P$19,_xlpm.a,$C$2:$C$19=$C24,_xlpm.b,$D$2:$D$19=$D24,MAX(_xlfn._xlws.FILTER(_xlpm.d,_xlpm.a*_xlpm.b)))</f>
        <v>0.73</v>
      </c>
      <c r="Q24" s="1" cm="1">
        <f t="array" ref="Q24">_xlfn.LET(_xlpm.d,Q$2:Q$19,_xlpm.a,$C$2:$C$19=$C24,_xlpm.b,$D$2:$D$19=$D24,MAX(_xlfn._xlws.FILTER(_xlpm.d,_xlpm.a*_xlpm.b)))</f>
        <v>0.64</v>
      </c>
      <c r="R24" s="1" cm="1">
        <f t="array" ref="R24">_xlfn.LET(_xlpm.d,R$2:R$19,_xlpm.a,$C$2:$C$19=$C24,_xlpm.b,$D$2:$D$19=$D24,MAX(_xlfn._xlws.FILTER(_xlpm.d,_xlpm.a*_xlpm.b)))</f>
        <v>0.67</v>
      </c>
      <c r="S24" s="1" cm="1">
        <f t="array" ref="S24">_xlfn.LET(_xlpm.d,S$2:S$19,_xlpm.a,$C$2:$C$19=$C24,_xlpm.b,$D$2:$D$19=$D24,MAX(_xlfn._xlws.FILTER(_xlpm.d,_xlpm.a*_xlpm.b)))</f>
        <v>0.73</v>
      </c>
    </row>
    <row r="25" spans="1:19" ht="25" customHeight="1">
      <c r="B25">
        <v>2</v>
      </c>
      <c r="C25" t="s">
        <v>9</v>
      </c>
      <c r="D25" t="b">
        <v>1</v>
      </c>
      <c r="E25">
        <v>1</v>
      </c>
      <c r="F25" t="s">
        <v>4</v>
      </c>
      <c r="G25" s="1" cm="1">
        <f t="array" ref="G25">_xlfn.LET(_xlpm.d,G$2:G$19,_xlpm.a,$C$2:$C$19=$C25,_xlpm.b,$D$2:$D$19=$D25,MAX(_xlfn._xlws.FILTER(_xlpm.d,_xlpm.a*_xlpm.b)))</f>
        <v>0.73</v>
      </c>
      <c r="H25" s="1" cm="1">
        <f t="array" ref="H25">_xlfn.LET(_xlpm.d,H$2:H$19,_xlpm.a,$C$2:$C$19=$C25,_xlpm.b,$D$2:$D$19=$D25,MAX(_xlfn._xlws.FILTER(_xlpm.d,_xlpm.a*_xlpm.b)))</f>
        <v>0.73</v>
      </c>
      <c r="I25" s="1" cm="1">
        <f t="array" ref="I25">_xlfn.LET(_xlpm.d,I$2:I$19,_xlpm.a,$C$2:$C$19=$C25,_xlpm.b,$D$2:$D$19=$D25,MAX(_xlfn._xlws.FILTER(_xlpm.d,_xlpm.a*_xlpm.b)))</f>
        <v>0.81</v>
      </c>
      <c r="J25" s="1" cm="1">
        <f t="array" ref="J25">_xlfn.LET(_xlpm.d,J$2:J$19,_xlpm.a,$C$2:$C$19=$C25,_xlpm.b,$D$2:$D$19=$D25,MAX(_xlfn._xlws.FILTER(_xlpm.d,_xlpm.a*_xlpm.b)))</f>
        <v>0.82</v>
      </c>
      <c r="K25" s="1" cm="1">
        <f t="array" ref="K25">_xlfn.LET(_xlpm.d,K$2:K$19,_xlpm.a,$C$2:$C$19=$C25,_xlpm.b,$D$2:$D$19=$D25,MAX(_xlfn._xlws.FILTER(_xlpm.d,_xlpm.a*_xlpm.b)))</f>
        <v>0.78</v>
      </c>
      <c r="L25" s="1" cm="1">
        <f t="array" ref="L25">_xlfn.LET(_xlpm.d,L$2:L$19,_xlpm.a,$C$2:$C$19=$C25,_xlpm.b,$D$2:$D$19=$D25,MAX(_xlfn._xlws.FILTER(_xlpm.d,_xlpm.a*_xlpm.b)))</f>
        <v>0.79</v>
      </c>
      <c r="M25" s="1" cm="1">
        <f t="array" ref="M25">_xlfn.LET(_xlpm.d,M$2:M$19,_xlpm.a,$C$2:$C$19=$C25,_xlpm.b,$D$2:$D$19=$D25,MAX(_xlfn._xlws.FILTER(_xlpm.d,_xlpm.a*_xlpm.b)))</f>
        <v>0.77</v>
      </c>
      <c r="N25" s="1" cm="1">
        <f t="array" ref="N25">_xlfn.LET(_xlpm.d,N$2:N$19,_xlpm.a,$C$2:$C$19=$C25,_xlpm.b,$D$2:$D$19=$D25,MAX(_xlfn._xlws.FILTER(_xlpm.d,_xlpm.a*_xlpm.b)))</f>
        <v>0.73</v>
      </c>
      <c r="O25" s="1" cm="1">
        <f t="array" ref="O25">_xlfn.LET(_xlpm.d,O$2:O$19,_xlpm.a,$C$2:$C$19=$C25,_xlpm.b,$D$2:$D$19=$D25,MAX(_xlfn._xlws.FILTER(_xlpm.d,_xlpm.a*_xlpm.b)))</f>
        <v>0.77</v>
      </c>
      <c r="P25" s="1" cm="1">
        <f t="array" ref="P25">_xlfn.LET(_xlpm.d,P$2:P$19,_xlpm.a,$C$2:$C$19=$C25,_xlpm.b,$D$2:$D$19=$D25,MAX(_xlfn._xlws.FILTER(_xlpm.d,_xlpm.a*_xlpm.b)))</f>
        <v>0.79</v>
      </c>
      <c r="Q25" s="1" cm="1">
        <f t="array" ref="Q25">_xlfn.LET(_xlpm.d,Q$2:Q$19,_xlpm.a,$C$2:$C$19=$C25,_xlpm.b,$D$2:$D$19=$D25,MAX(_xlfn._xlws.FILTER(_xlpm.d,_xlpm.a*_xlpm.b)))</f>
        <v>0.76</v>
      </c>
      <c r="R25" s="1" cm="1">
        <f t="array" ref="R25">_xlfn.LET(_xlpm.d,R$2:R$19,_xlpm.a,$C$2:$C$19=$C25,_xlpm.b,$D$2:$D$19=$D25,MAX(_xlfn._xlws.FILTER(_xlpm.d,_xlpm.a*_xlpm.b)))</f>
        <v>0.84</v>
      </c>
      <c r="S25" s="1" cm="1">
        <f t="array" ref="S25">_xlfn.LET(_xlpm.d,S$2:S$19,_xlpm.a,$C$2:$C$19=$C25,_xlpm.b,$D$2:$D$19=$D25,MAX(_xlfn._xlws.FILTER(_xlpm.d,_xlpm.a*_xlpm.b)))</f>
        <v>0.84</v>
      </c>
    </row>
    <row r="26" spans="1:19" ht="25" customHeight="1">
      <c r="B26">
        <v>2</v>
      </c>
      <c r="C26" t="s">
        <v>9</v>
      </c>
      <c r="D26" t="b">
        <v>0</v>
      </c>
      <c r="E26">
        <v>1</v>
      </c>
      <c r="F26" t="s">
        <v>4</v>
      </c>
      <c r="G26" s="1" cm="1">
        <f t="array" ref="G26">_xlfn.LET(_xlpm.d,G$2:G$19,_xlpm.a,$C$2:$C$19=$C26,_xlpm.b,$D$2:$D$19=$D26,MAX(_xlfn._xlws.FILTER(_xlpm.d,_xlpm.a*_xlpm.b)))</f>
        <v>0.71</v>
      </c>
      <c r="H26" s="1" cm="1">
        <f t="array" ref="H26">_xlfn.LET(_xlpm.d,H$2:H$19,_xlpm.a,$C$2:$C$19=$C26,_xlpm.b,$D$2:$D$19=$D26,MAX(_xlfn._xlws.FILTER(_xlpm.d,_xlpm.a*_xlpm.b)))</f>
        <v>0.68</v>
      </c>
      <c r="I26" s="1" cm="1">
        <f t="array" ref="I26">_xlfn.LET(_xlpm.d,I$2:I$19,_xlpm.a,$C$2:$C$19=$C26,_xlpm.b,$D$2:$D$19=$D26,MAX(_xlfn._xlws.FILTER(_xlpm.d,_xlpm.a*_xlpm.b)))</f>
        <v>0.81</v>
      </c>
      <c r="J26" s="1" cm="1">
        <f t="array" ref="J26">_xlfn.LET(_xlpm.d,J$2:J$19,_xlpm.a,$C$2:$C$19=$C26,_xlpm.b,$D$2:$D$19=$D26,MAX(_xlfn._xlws.FILTER(_xlpm.d,_xlpm.a*_xlpm.b)))</f>
        <v>0.71</v>
      </c>
      <c r="K26" s="1" cm="1">
        <f t="array" ref="K26">_xlfn.LET(_xlpm.d,K$2:K$19,_xlpm.a,$C$2:$C$19=$C26,_xlpm.b,$D$2:$D$19=$D26,MAX(_xlfn._xlws.FILTER(_xlpm.d,_xlpm.a*_xlpm.b)))</f>
        <v>0.74</v>
      </c>
      <c r="L26" s="1" cm="1">
        <f t="array" ref="L26">_xlfn.LET(_xlpm.d,L$2:L$19,_xlpm.a,$C$2:$C$19=$C26,_xlpm.b,$D$2:$D$19=$D26,MAX(_xlfn._xlws.FILTER(_xlpm.d,_xlpm.a*_xlpm.b)))</f>
        <v>0.77</v>
      </c>
      <c r="M26" s="1" cm="1">
        <f t="array" ref="M26">_xlfn.LET(_xlpm.d,M$2:M$19,_xlpm.a,$C$2:$C$19=$C26,_xlpm.b,$D$2:$D$19=$D26,MAX(_xlfn._xlws.FILTER(_xlpm.d,_xlpm.a*_xlpm.b)))</f>
        <v>0.72</v>
      </c>
      <c r="N26" s="1" cm="1">
        <f t="array" ref="N26">_xlfn.LET(_xlpm.d,N$2:N$19,_xlpm.a,$C$2:$C$19=$C26,_xlpm.b,$D$2:$D$19=$D26,MAX(_xlfn._xlws.FILTER(_xlpm.d,_xlpm.a*_xlpm.b)))</f>
        <v>0.73</v>
      </c>
      <c r="O26" s="1" cm="1">
        <f t="array" ref="O26">_xlfn.LET(_xlpm.d,O$2:O$19,_xlpm.a,$C$2:$C$19=$C26,_xlpm.b,$D$2:$D$19=$D26,MAX(_xlfn._xlws.FILTER(_xlpm.d,_xlpm.a*_xlpm.b)))</f>
        <v>0.76</v>
      </c>
      <c r="P26" s="1" cm="1">
        <f t="array" ref="P26">_xlfn.LET(_xlpm.d,P$2:P$19,_xlpm.a,$C$2:$C$19=$C26,_xlpm.b,$D$2:$D$19=$D26,MAX(_xlfn._xlws.FILTER(_xlpm.d,_xlpm.a*_xlpm.b)))</f>
        <v>0.71</v>
      </c>
      <c r="Q26" s="1" cm="1">
        <f t="array" ref="Q26">_xlfn.LET(_xlpm.d,Q$2:Q$19,_xlpm.a,$C$2:$C$19=$C26,_xlpm.b,$D$2:$D$19=$D26,MAX(_xlfn._xlws.FILTER(_xlpm.d,_xlpm.a*_xlpm.b)))</f>
        <v>0.75</v>
      </c>
      <c r="R26" s="1" cm="1">
        <f t="array" ref="R26">_xlfn.LET(_xlpm.d,R$2:R$19,_xlpm.a,$C$2:$C$19=$C26,_xlpm.b,$D$2:$D$19=$D26,MAX(_xlfn._xlws.FILTER(_xlpm.d,_xlpm.a*_xlpm.b)))</f>
        <v>0.82</v>
      </c>
      <c r="S26" s="1" cm="1">
        <f t="array" ref="S26">_xlfn.LET(_xlpm.d,S$2:S$19,_xlpm.a,$C$2:$C$19=$C26,_xlpm.b,$D$2:$D$19=$D26,MAX(_xlfn._xlws.FILTER(_xlpm.d,_xlpm.a*_xlpm.b)))</f>
        <v>0.82</v>
      </c>
    </row>
    <row r="27" spans="1:19" ht="25" customHeight="1">
      <c r="B27">
        <v>3</v>
      </c>
      <c r="C27" t="s">
        <v>10</v>
      </c>
      <c r="D27" t="b">
        <v>1</v>
      </c>
      <c r="E27">
        <v>1</v>
      </c>
      <c r="F27" t="s">
        <v>4</v>
      </c>
      <c r="G27" s="1" cm="1">
        <f t="array" ref="G27">_xlfn.LET(_xlpm.d,G$2:G$19,_xlpm.a,$C$2:$C$19=$C27,_xlpm.b,$D$2:$D$19=$D27,MAX(_xlfn._xlws.FILTER(_xlpm.d,_xlpm.a*_xlpm.b)))</f>
        <v>0.99</v>
      </c>
      <c r="H27" s="1" cm="1">
        <f t="array" ref="H27">_xlfn.LET(_xlpm.d,H$2:H$19,_xlpm.a,$C$2:$C$19=$C27,_xlpm.b,$D$2:$D$19=$D27,MAX(_xlfn._xlws.FILTER(_xlpm.d,_xlpm.a*_xlpm.b)))</f>
        <v>0.98</v>
      </c>
      <c r="I27" s="1" cm="1">
        <f t="array" ref="I27">_xlfn.LET(_xlpm.d,I$2:I$19,_xlpm.a,$C$2:$C$19=$C27,_xlpm.b,$D$2:$D$19=$D27,MAX(_xlfn._xlws.FILTER(_xlpm.d,_xlpm.a*_xlpm.b)))</f>
        <v>0.97</v>
      </c>
      <c r="J27" s="1" cm="1">
        <f t="array" ref="J27">_xlfn.LET(_xlpm.d,J$2:J$19,_xlpm.a,$C$2:$C$19=$C27,_xlpm.b,$D$2:$D$19=$D27,MAX(_xlfn._xlws.FILTER(_xlpm.d,_xlpm.a*_xlpm.b)))</f>
        <v>0.96</v>
      </c>
      <c r="K27" s="1" cm="1">
        <f t="array" ref="K27">_xlfn.LET(_xlpm.d,K$2:K$19,_xlpm.a,$C$2:$C$19=$C27,_xlpm.b,$D$2:$D$19=$D27,MAX(_xlfn._xlws.FILTER(_xlpm.d,_xlpm.a*_xlpm.b)))</f>
        <v>0.97</v>
      </c>
      <c r="L27" s="1" cm="1">
        <f t="array" ref="L27">_xlfn.LET(_xlpm.d,L$2:L$19,_xlpm.a,$C$2:$C$19=$C27,_xlpm.b,$D$2:$D$19=$D27,MAX(_xlfn._xlws.FILTER(_xlpm.d,_xlpm.a*_xlpm.b)))</f>
        <v>0.96</v>
      </c>
      <c r="M27" s="1" cm="1">
        <f t="array" ref="M27">_xlfn.LET(_xlpm.d,M$2:M$19,_xlpm.a,$C$2:$C$19=$C27,_xlpm.b,$D$2:$D$19=$D27,MAX(_xlfn._xlws.FILTER(_xlpm.d,_xlpm.a*_xlpm.b)))</f>
        <v>0.97</v>
      </c>
      <c r="N27" s="1" cm="1">
        <f t="array" ref="N27">_xlfn.LET(_xlpm.d,N$2:N$19,_xlpm.a,$C$2:$C$19=$C27,_xlpm.b,$D$2:$D$19=$D27,MAX(_xlfn._xlws.FILTER(_xlpm.d,_xlpm.a*_xlpm.b)))</f>
        <v>0.98</v>
      </c>
      <c r="O27" s="1" cm="1">
        <f t="array" ref="O27">_xlfn.LET(_xlpm.d,O$2:O$19,_xlpm.a,$C$2:$C$19=$C27,_xlpm.b,$D$2:$D$19=$D27,MAX(_xlfn._xlws.FILTER(_xlpm.d,_xlpm.a*_xlpm.b)))</f>
        <v>0.96</v>
      </c>
      <c r="P27" s="1" cm="1">
        <f t="array" ref="P27">_xlfn.LET(_xlpm.d,P$2:P$19,_xlpm.a,$C$2:$C$19=$C27,_xlpm.b,$D$2:$D$19=$D27,MAX(_xlfn._xlws.FILTER(_xlpm.d,_xlpm.a*_xlpm.b)))</f>
        <v>0.99</v>
      </c>
      <c r="Q27" s="1" cm="1">
        <f t="array" ref="Q27">_xlfn.LET(_xlpm.d,Q$2:Q$19,_xlpm.a,$C$2:$C$19=$C27,_xlpm.b,$D$2:$D$19=$D27,MAX(_xlfn._xlws.FILTER(_xlpm.d,_xlpm.a*_xlpm.b)))</f>
        <v>0.97</v>
      </c>
      <c r="R27" s="1" cm="1">
        <f t="array" ref="R27">_xlfn.LET(_xlpm.d,R$2:R$19,_xlpm.a,$C$2:$C$19=$C27,_xlpm.b,$D$2:$D$19=$D27,MAX(_xlfn._xlws.FILTER(_xlpm.d,_xlpm.a*_xlpm.b)))</f>
        <v>0.95</v>
      </c>
      <c r="S27" s="1" cm="1">
        <f t="array" ref="S27">_xlfn.LET(_xlpm.d,S$2:S$19,_xlpm.a,$C$2:$C$19=$C27,_xlpm.b,$D$2:$D$19=$D27,MAX(_xlfn._xlws.FILTER(_xlpm.d,_xlpm.a*_xlpm.b)))</f>
        <v>0.99</v>
      </c>
    </row>
    <row r="28" spans="1:19" ht="25" customHeight="1">
      <c r="B28">
        <v>3</v>
      </c>
      <c r="C28" t="s">
        <v>10</v>
      </c>
      <c r="D28" t="b">
        <v>0</v>
      </c>
      <c r="E28">
        <v>1</v>
      </c>
      <c r="F28" t="s">
        <v>4</v>
      </c>
      <c r="G28" s="1" cm="1">
        <f t="array" ref="G28">_xlfn.LET(_xlpm.d,G$2:G$19,_xlpm.a,$C$2:$C$19=$C28,_xlpm.b,$D$2:$D$19=$D28,MAX(_xlfn._xlws.FILTER(_xlpm.d,_xlpm.a*_xlpm.b)))</f>
        <v>0.99</v>
      </c>
      <c r="H28" s="1" cm="1">
        <f t="array" ref="H28">_xlfn.LET(_xlpm.d,H$2:H$19,_xlpm.a,$C$2:$C$19=$C28,_xlpm.b,$D$2:$D$19=$D28,MAX(_xlfn._xlws.FILTER(_xlpm.d,_xlpm.a*_xlpm.b)))</f>
        <v>0.98</v>
      </c>
      <c r="I28" s="1" cm="1">
        <f t="array" ref="I28">_xlfn.LET(_xlpm.d,I$2:I$19,_xlpm.a,$C$2:$C$19=$C28,_xlpm.b,$D$2:$D$19=$D28,MAX(_xlfn._xlws.FILTER(_xlpm.d,_xlpm.a*_xlpm.b)))</f>
        <v>0.97</v>
      </c>
      <c r="J28" s="1" cm="1">
        <f t="array" ref="J28">_xlfn.LET(_xlpm.d,J$2:J$19,_xlpm.a,$C$2:$C$19=$C28,_xlpm.b,$D$2:$D$19=$D28,MAX(_xlfn._xlws.FILTER(_xlpm.d,_xlpm.a*_xlpm.b)))</f>
        <v>0.96</v>
      </c>
      <c r="K28" s="1" cm="1">
        <f t="array" ref="K28">_xlfn.LET(_xlpm.d,K$2:K$19,_xlpm.a,$C$2:$C$19=$C28,_xlpm.b,$D$2:$D$19=$D28,MAX(_xlfn._xlws.FILTER(_xlpm.d,_xlpm.a*_xlpm.b)))</f>
        <v>0.97</v>
      </c>
      <c r="L28" s="1" cm="1">
        <f t="array" ref="L28">_xlfn.LET(_xlpm.d,L$2:L$19,_xlpm.a,$C$2:$C$19=$C28,_xlpm.b,$D$2:$D$19=$D28,MAX(_xlfn._xlws.FILTER(_xlpm.d,_xlpm.a*_xlpm.b)))</f>
        <v>0.96</v>
      </c>
      <c r="M28" s="1" cm="1">
        <f t="array" ref="M28">_xlfn.LET(_xlpm.d,M$2:M$19,_xlpm.a,$C$2:$C$19=$C28,_xlpm.b,$D$2:$D$19=$D28,MAX(_xlfn._xlws.FILTER(_xlpm.d,_xlpm.a*_xlpm.b)))</f>
        <v>0.97</v>
      </c>
      <c r="N28" s="1" cm="1">
        <f t="array" ref="N28">_xlfn.LET(_xlpm.d,N$2:N$19,_xlpm.a,$C$2:$C$19=$C28,_xlpm.b,$D$2:$D$19=$D28,MAX(_xlfn._xlws.FILTER(_xlpm.d,_xlpm.a*_xlpm.b)))</f>
        <v>0.98</v>
      </c>
      <c r="O28" s="1" cm="1">
        <f t="array" ref="O28">_xlfn.LET(_xlpm.d,O$2:O$19,_xlpm.a,$C$2:$C$19=$C28,_xlpm.b,$D$2:$D$19=$D28,MAX(_xlfn._xlws.FILTER(_xlpm.d,_xlpm.a*_xlpm.b)))</f>
        <v>0.96</v>
      </c>
      <c r="P28" s="1" cm="1">
        <f t="array" ref="P28">_xlfn.LET(_xlpm.d,P$2:P$19,_xlpm.a,$C$2:$C$19=$C28,_xlpm.b,$D$2:$D$19=$D28,MAX(_xlfn._xlws.FILTER(_xlpm.d,_xlpm.a*_xlpm.b)))</f>
        <v>0.99</v>
      </c>
      <c r="Q28" s="1" cm="1">
        <f t="array" ref="Q28">_xlfn.LET(_xlpm.d,Q$2:Q$19,_xlpm.a,$C$2:$C$19=$C28,_xlpm.b,$D$2:$D$19=$D28,MAX(_xlfn._xlws.FILTER(_xlpm.d,_xlpm.a*_xlpm.b)))</f>
        <v>0.97</v>
      </c>
      <c r="R28" s="1" cm="1">
        <f t="array" ref="R28">_xlfn.LET(_xlpm.d,R$2:R$19,_xlpm.a,$C$2:$C$19=$C28,_xlpm.b,$D$2:$D$19=$D28,MAX(_xlfn._xlws.FILTER(_xlpm.d,_xlpm.a*_xlpm.b)))</f>
        <v>0.95</v>
      </c>
      <c r="S28" s="1" cm="1">
        <f t="array" ref="S28">_xlfn.LET(_xlpm.d,S$2:S$19,_xlpm.a,$C$2:$C$19=$C28,_xlpm.b,$D$2:$D$19=$D28,MAX(_xlfn._xlws.FILTER(_xlpm.d,_xlpm.a*_xlpm.b)))</f>
        <v>0.99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EDB1-6FE3-B646-97ED-CF1AF45022E6}">
  <dimension ref="A1:S28"/>
  <sheetViews>
    <sheetView workbookViewId="0"/>
  </sheetViews>
  <sheetFormatPr baseColWidth="10" defaultRowHeight="25" customHeight="1"/>
  <cols>
    <col min="2" max="2" width="6.125" customWidth="1"/>
    <col min="4" max="4" width="9.375" customWidth="1"/>
    <col min="5" max="5" width="6" customWidth="1"/>
    <col min="7" max="19" width="8.875" customWidth="1"/>
  </cols>
  <sheetData>
    <row r="1" spans="1:19" ht="25" customHeight="1">
      <c r="A1" t="s">
        <v>0</v>
      </c>
      <c r="B1" t="s">
        <v>11</v>
      </c>
      <c r="C1" t="s">
        <v>1</v>
      </c>
      <c r="D1" t="s">
        <v>2</v>
      </c>
      <c r="E1" t="s">
        <v>12</v>
      </c>
      <c r="F1" t="s">
        <v>3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4</v>
      </c>
    </row>
    <row r="2" spans="1:19" ht="25" customHeight="1">
      <c r="A2" t="s">
        <v>27</v>
      </c>
      <c r="B2">
        <v>1</v>
      </c>
      <c r="C2" t="s">
        <v>5</v>
      </c>
      <c r="D2" t="b">
        <v>1</v>
      </c>
      <c r="E2">
        <v>1</v>
      </c>
      <c r="F2" t="s">
        <v>8</v>
      </c>
      <c r="G2" s="1">
        <v>0.69</v>
      </c>
      <c r="H2" s="1">
        <v>0.63</v>
      </c>
      <c r="I2" s="1">
        <v>0.63</v>
      </c>
      <c r="J2" s="1">
        <v>0.63</v>
      </c>
      <c r="K2" s="1">
        <v>0.59</v>
      </c>
      <c r="L2" s="1">
        <v>0.6</v>
      </c>
      <c r="M2" s="1">
        <v>0.63</v>
      </c>
      <c r="N2" s="1">
        <v>0.59</v>
      </c>
      <c r="O2" s="1">
        <v>0.63</v>
      </c>
      <c r="P2" s="1">
        <v>0.74</v>
      </c>
      <c r="Q2" s="1">
        <v>0.63</v>
      </c>
      <c r="R2" s="1">
        <v>0.69</v>
      </c>
      <c r="S2" s="1">
        <f t="shared" ref="S2:S19" si="0">MAX($G2:$R2)</f>
        <v>0.74</v>
      </c>
    </row>
    <row r="3" spans="1:19" ht="25" customHeight="1">
      <c r="A3" t="s">
        <v>27</v>
      </c>
      <c r="B3">
        <v>1</v>
      </c>
      <c r="C3" t="s">
        <v>5</v>
      </c>
      <c r="D3" t="b">
        <v>1</v>
      </c>
      <c r="E3">
        <v>2</v>
      </c>
      <c r="F3" t="s">
        <v>7</v>
      </c>
      <c r="G3" s="1">
        <v>0.74</v>
      </c>
      <c r="H3" s="1">
        <v>0.77</v>
      </c>
      <c r="I3" s="1">
        <v>0.64</v>
      </c>
      <c r="J3" s="1">
        <v>0.68</v>
      </c>
      <c r="K3" s="1">
        <v>0.64</v>
      </c>
      <c r="L3" s="1">
        <v>0.66</v>
      </c>
      <c r="M3" s="1">
        <v>0.7</v>
      </c>
      <c r="N3" s="1">
        <v>0.65</v>
      </c>
      <c r="O3" s="1">
        <v>0.68</v>
      </c>
      <c r="P3" s="1">
        <v>0.69</v>
      </c>
      <c r="Q3" s="1">
        <v>0.7</v>
      </c>
      <c r="R3" s="1">
        <v>0.7</v>
      </c>
      <c r="S3" s="1">
        <f t="shared" si="0"/>
        <v>0.77</v>
      </c>
    </row>
    <row r="4" spans="1:19" ht="25" customHeight="1">
      <c r="A4" t="s">
        <v>27</v>
      </c>
      <c r="B4">
        <v>1</v>
      </c>
      <c r="C4" t="s">
        <v>5</v>
      </c>
      <c r="D4" t="b">
        <v>1</v>
      </c>
      <c r="E4">
        <v>3</v>
      </c>
      <c r="F4" t="s">
        <v>6</v>
      </c>
      <c r="G4" s="1">
        <v>0.66</v>
      </c>
      <c r="H4" s="1">
        <v>0.63</v>
      </c>
      <c r="I4" s="1">
        <v>0.63</v>
      </c>
      <c r="J4" s="1">
        <v>0.61</v>
      </c>
      <c r="K4" s="1">
        <v>0.61</v>
      </c>
      <c r="L4" s="1">
        <v>0.57999999999999996</v>
      </c>
      <c r="M4" s="1">
        <v>0.54</v>
      </c>
      <c r="N4" s="1">
        <v>0.65</v>
      </c>
      <c r="O4" s="1">
        <v>0.6</v>
      </c>
      <c r="P4" s="1">
        <v>0.59</v>
      </c>
      <c r="Q4" s="1">
        <v>0.62</v>
      </c>
      <c r="R4" s="1">
        <v>0.67</v>
      </c>
      <c r="S4" s="1">
        <f t="shared" si="0"/>
        <v>0.67</v>
      </c>
    </row>
    <row r="5" spans="1:19" ht="25" customHeight="1">
      <c r="A5" t="s">
        <v>27</v>
      </c>
      <c r="B5">
        <v>1</v>
      </c>
      <c r="C5" t="s">
        <v>5</v>
      </c>
      <c r="D5" t="b">
        <v>0</v>
      </c>
      <c r="E5">
        <v>1</v>
      </c>
      <c r="F5" t="s">
        <v>8</v>
      </c>
      <c r="G5" s="1">
        <v>0.63</v>
      </c>
      <c r="H5" s="1">
        <v>0.66</v>
      </c>
      <c r="I5" s="1">
        <v>0.61</v>
      </c>
      <c r="J5" s="1">
        <v>0.62</v>
      </c>
      <c r="K5" s="1">
        <v>0.56999999999999995</v>
      </c>
      <c r="L5" s="1">
        <v>0.57999999999999996</v>
      </c>
      <c r="M5" s="1">
        <v>0.69</v>
      </c>
      <c r="N5" s="1">
        <v>0.61</v>
      </c>
      <c r="O5" s="1">
        <v>0.59</v>
      </c>
      <c r="P5" s="1">
        <v>0.57999999999999996</v>
      </c>
      <c r="Q5" s="1">
        <v>0.66</v>
      </c>
      <c r="R5" s="1">
        <v>0.63</v>
      </c>
      <c r="S5" s="1">
        <f t="shared" si="0"/>
        <v>0.69</v>
      </c>
    </row>
    <row r="6" spans="1:19" ht="25" customHeight="1">
      <c r="A6" t="s">
        <v>27</v>
      </c>
      <c r="B6">
        <v>1</v>
      </c>
      <c r="C6" t="s">
        <v>5</v>
      </c>
      <c r="D6" t="b">
        <v>0</v>
      </c>
      <c r="E6">
        <v>2</v>
      </c>
      <c r="F6" t="s">
        <v>7</v>
      </c>
      <c r="G6" s="1">
        <v>0.71</v>
      </c>
      <c r="H6" s="1">
        <v>0.68</v>
      </c>
      <c r="I6" s="1">
        <v>0.63</v>
      </c>
      <c r="J6" s="1">
        <v>0.66</v>
      </c>
      <c r="K6" s="1">
        <v>0.6</v>
      </c>
      <c r="L6" s="1">
        <v>0.62</v>
      </c>
      <c r="M6" s="1">
        <v>0.71</v>
      </c>
      <c r="N6" s="1">
        <v>0.62</v>
      </c>
      <c r="O6" s="1">
        <v>0.64</v>
      </c>
      <c r="P6" s="1">
        <v>0.68</v>
      </c>
      <c r="Q6" s="1">
        <v>0.65</v>
      </c>
      <c r="R6" s="1">
        <v>0.7</v>
      </c>
      <c r="S6" s="1">
        <f t="shared" si="0"/>
        <v>0.71</v>
      </c>
    </row>
    <row r="7" spans="1:19" ht="25" customHeight="1">
      <c r="A7" t="s">
        <v>27</v>
      </c>
      <c r="B7">
        <v>1</v>
      </c>
      <c r="C7" t="s">
        <v>5</v>
      </c>
      <c r="D7" t="b">
        <v>0</v>
      </c>
      <c r="E7">
        <v>3</v>
      </c>
      <c r="F7" t="s">
        <v>6</v>
      </c>
      <c r="G7" s="1">
        <v>0.53</v>
      </c>
      <c r="H7" s="1">
        <v>0.55000000000000004</v>
      </c>
      <c r="I7" s="1">
        <v>0.52</v>
      </c>
      <c r="J7" s="1">
        <v>0.61</v>
      </c>
      <c r="K7" s="1">
        <v>0.61</v>
      </c>
      <c r="L7" s="1">
        <v>0.56999999999999995</v>
      </c>
      <c r="M7" s="1">
        <v>0.5</v>
      </c>
      <c r="N7" s="1">
        <v>0.6</v>
      </c>
      <c r="O7" s="1">
        <v>0.57999999999999996</v>
      </c>
      <c r="P7" s="1">
        <v>0.55000000000000004</v>
      </c>
      <c r="Q7" s="1">
        <v>0.59</v>
      </c>
      <c r="R7" s="1">
        <v>0.61</v>
      </c>
      <c r="S7" s="1">
        <f t="shared" si="0"/>
        <v>0.61</v>
      </c>
    </row>
    <row r="8" spans="1:19" ht="25" customHeight="1">
      <c r="A8" t="s">
        <v>27</v>
      </c>
      <c r="B8">
        <v>2</v>
      </c>
      <c r="C8" t="s">
        <v>9</v>
      </c>
      <c r="D8" t="b">
        <v>1</v>
      </c>
      <c r="E8">
        <v>1</v>
      </c>
      <c r="F8" t="s">
        <v>8</v>
      </c>
      <c r="G8" s="1">
        <v>0.73</v>
      </c>
      <c r="H8" s="1">
        <v>0.73</v>
      </c>
      <c r="I8" s="1">
        <v>0.68</v>
      </c>
      <c r="J8" s="1">
        <v>0.7</v>
      </c>
      <c r="K8" s="1">
        <v>0.71</v>
      </c>
      <c r="L8" s="1">
        <v>0.77</v>
      </c>
      <c r="M8" s="1">
        <v>0.79</v>
      </c>
      <c r="N8" s="1">
        <v>0.79</v>
      </c>
      <c r="O8" s="1">
        <v>0.76</v>
      </c>
      <c r="P8" s="1">
        <v>0.75</v>
      </c>
      <c r="Q8" s="1">
        <v>0.69</v>
      </c>
      <c r="R8" s="1">
        <v>0.75</v>
      </c>
      <c r="S8" s="1">
        <f t="shared" si="0"/>
        <v>0.79</v>
      </c>
    </row>
    <row r="9" spans="1:19" ht="25" customHeight="1">
      <c r="A9" t="s">
        <v>27</v>
      </c>
      <c r="B9">
        <v>2</v>
      </c>
      <c r="C9" t="s">
        <v>9</v>
      </c>
      <c r="D9" t="b">
        <v>1</v>
      </c>
      <c r="E9">
        <v>2</v>
      </c>
      <c r="F9" t="s">
        <v>7</v>
      </c>
      <c r="G9" s="1">
        <v>0.82</v>
      </c>
      <c r="H9" s="1">
        <v>0.76</v>
      </c>
      <c r="I9" s="1">
        <v>0.76</v>
      </c>
      <c r="J9" s="1">
        <v>0.73</v>
      </c>
      <c r="K9" s="1">
        <v>0.73</v>
      </c>
      <c r="L9" s="1">
        <v>0.75</v>
      </c>
      <c r="M9" s="1">
        <v>0.81</v>
      </c>
      <c r="N9" s="1">
        <v>0.8</v>
      </c>
      <c r="O9" s="1">
        <v>0.76</v>
      </c>
      <c r="P9" s="1">
        <v>0.79</v>
      </c>
      <c r="Q9" s="1">
        <v>0.7</v>
      </c>
      <c r="R9" s="1">
        <v>0.78</v>
      </c>
      <c r="S9" s="1">
        <f t="shared" si="0"/>
        <v>0.82</v>
      </c>
    </row>
    <row r="10" spans="1:19" ht="25" customHeight="1">
      <c r="A10" t="s">
        <v>27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1">
        <v>0.73</v>
      </c>
      <c r="H10" s="1">
        <v>0.68</v>
      </c>
      <c r="I10" s="1">
        <v>0.68</v>
      </c>
      <c r="J10" s="1">
        <v>0.68</v>
      </c>
      <c r="K10" s="1">
        <v>0.7</v>
      </c>
      <c r="L10" s="1">
        <v>0.69</v>
      </c>
      <c r="M10" s="1">
        <v>0.75</v>
      </c>
      <c r="N10" s="1">
        <v>0.75</v>
      </c>
      <c r="O10" s="1">
        <v>0.7</v>
      </c>
      <c r="P10" s="1">
        <v>0.78</v>
      </c>
      <c r="Q10" s="1">
        <v>0.72</v>
      </c>
      <c r="R10" s="1">
        <v>0.75</v>
      </c>
      <c r="S10" s="1">
        <f t="shared" si="0"/>
        <v>0.78</v>
      </c>
    </row>
    <row r="11" spans="1:19" ht="25" customHeight="1">
      <c r="A11" t="s">
        <v>27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1">
        <v>0.72</v>
      </c>
      <c r="H11" s="1">
        <v>0.67</v>
      </c>
      <c r="I11" s="1">
        <v>0.73</v>
      </c>
      <c r="J11" s="1">
        <v>0.62</v>
      </c>
      <c r="K11" s="1">
        <v>0.71</v>
      </c>
      <c r="L11" s="1">
        <v>0.7</v>
      </c>
      <c r="M11" s="1">
        <v>0.68</v>
      </c>
      <c r="N11" s="1">
        <v>0.63</v>
      </c>
      <c r="O11" s="1">
        <v>0.7</v>
      </c>
      <c r="P11" s="1">
        <v>0.75</v>
      </c>
      <c r="Q11" s="1">
        <v>0.69</v>
      </c>
      <c r="R11" s="1">
        <v>0.69</v>
      </c>
      <c r="S11" s="1">
        <f t="shared" si="0"/>
        <v>0.75</v>
      </c>
    </row>
    <row r="12" spans="1:19" ht="25" customHeight="1">
      <c r="A12" t="s">
        <v>27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1">
        <v>0.71</v>
      </c>
      <c r="H12" s="1">
        <v>0.72</v>
      </c>
      <c r="I12" s="1">
        <v>0.75</v>
      </c>
      <c r="J12" s="1">
        <v>0.68</v>
      </c>
      <c r="K12" s="1">
        <v>0.71</v>
      </c>
      <c r="L12" s="1">
        <v>0.75</v>
      </c>
      <c r="M12" s="1">
        <v>0.73</v>
      </c>
      <c r="N12" s="1">
        <v>0.72</v>
      </c>
      <c r="O12" s="1">
        <v>0.7</v>
      </c>
      <c r="P12" s="1">
        <v>0.75</v>
      </c>
      <c r="Q12" s="1">
        <v>0.7</v>
      </c>
      <c r="R12" s="1">
        <v>0.75</v>
      </c>
      <c r="S12" s="1">
        <f t="shared" si="0"/>
        <v>0.75</v>
      </c>
    </row>
    <row r="13" spans="1:19" ht="25" customHeight="1">
      <c r="A13" t="s">
        <v>27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1">
        <v>0.68</v>
      </c>
      <c r="H13" s="1">
        <v>0.68</v>
      </c>
      <c r="I13" s="1">
        <v>0.62</v>
      </c>
      <c r="J13" s="1">
        <v>0.61</v>
      </c>
      <c r="K13" s="1">
        <v>0.71</v>
      </c>
      <c r="L13" s="1">
        <v>0.68</v>
      </c>
      <c r="M13" s="1">
        <v>0.67</v>
      </c>
      <c r="N13" s="1">
        <v>0.67</v>
      </c>
      <c r="O13" s="1">
        <v>0.63</v>
      </c>
      <c r="P13" s="1">
        <v>0.68</v>
      </c>
      <c r="Q13" s="1">
        <v>0.64</v>
      </c>
      <c r="R13" s="1">
        <v>0.72</v>
      </c>
      <c r="S13" s="1">
        <f t="shared" si="0"/>
        <v>0.72</v>
      </c>
    </row>
    <row r="14" spans="1:19" ht="25" customHeight="1">
      <c r="A14" t="s">
        <v>27</v>
      </c>
      <c r="B14">
        <v>3</v>
      </c>
      <c r="C14" t="s">
        <v>10</v>
      </c>
      <c r="D14" t="b">
        <v>1</v>
      </c>
      <c r="E14">
        <v>1</v>
      </c>
      <c r="F14" t="s">
        <v>8</v>
      </c>
      <c r="G14" s="1">
        <v>0.93</v>
      </c>
      <c r="H14" s="1">
        <v>0.97</v>
      </c>
      <c r="I14" s="1">
        <v>0.96</v>
      </c>
      <c r="J14" s="1">
        <v>0.96</v>
      </c>
      <c r="K14" s="1">
        <v>0.92</v>
      </c>
      <c r="L14" s="1">
        <v>0.95</v>
      </c>
      <c r="M14" s="1">
        <v>0.98</v>
      </c>
      <c r="N14" s="1">
        <v>0.91</v>
      </c>
      <c r="O14" s="1">
        <v>0.97</v>
      </c>
      <c r="P14" s="1">
        <v>0.96</v>
      </c>
      <c r="Q14" s="1">
        <v>0.96</v>
      </c>
      <c r="R14" s="1">
        <v>0.98</v>
      </c>
      <c r="S14" s="1">
        <f t="shared" si="0"/>
        <v>0.98</v>
      </c>
    </row>
    <row r="15" spans="1:19" ht="25" customHeight="1">
      <c r="A15" t="s">
        <v>27</v>
      </c>
      <c r="B15">
        <v>3</v>
      </c>
      <c r="C15" t="s">
        <v>10</v>
      </c>
      <c r="D15" t="b">
        <v>1</v>
      </c>
      <c r="E15">
        <v>2</v>
      </c>
      <c r="F15" t="s">
        <v>7</v>
      </c>
      <c r="G15" s="1">
        <v>0.95</v>
      </c>
      <c r="H15" s="1">
        <v>0.97</v>
      </c>
      <c r="I15" s="1">
        <v>0.96</v>
      </c>
      <c r="J15" s="1">
        <v>0.97</v>
      </c>
      <c r="K15" s="1">
        <v>0.96</v>
      </c>
      <c r="L15" s="1">
        <v>0.95</v>
      </c>
      <c r="M15" s="1">
        <v>0.98</v>
      </c>
      <c r="N15" s="1">
        <v>0.95</v>
      </c>
      <c r="O15" s="1">
        <v>0.98</v>
      </c>
      <c r="P15" s="1">
        <v>0.96</v>
      </c>
      <c r="Q15" s="1">
        <v>0.96</v>
      </c>
      <c r="R15" s="1">
        <v>0.99</v>
      </c>
      <c r="S15" s="1">
        <f t="shared" si="0"/>
        <v>0.99</v>
      </c>
    </row>
    <row r="16" spans="1:19" ht="25" customHeight="1">
      <c r="A16" t="s">
        <v>27</v>
      </c>
      <c r="B16">
        <v>3</v>
      </c>
      <c r="C16" t="s">
        <v>10</v>
      </c>
      <c r="D16" t="b">
        <v>1</v>
      </c>
      <c r="E16">
        <v>3</v>
      </c>
      <c r="F16" t="s">
        <v>6</v>
      </c>
      <c r="G16" s="1">
        <v>0.95</v>
      </c>
      <c r="H16" s="1">
        <v>0.97</v>
      </c>
      <c r="I16" s="1">
        <v>0.96</v>
      </c>
      <c r="J16" s="1">
        <v>0.97</v>
      </c>
      <c r="K16" s="1">
        <v>0.96</v>
      </c>
      <c r="L16" s="1">
        <v>0.96</v>
      </c>
      <c r="M16" s="1">
        <v>0.98</v>
      </c>
      <c r="N16" s="1">
        <v>0.94</v>
      </c>
      <c r="O16" s="1">
        <v>0.98</v>
      </c>
      <c r="P16" s="1">
        <v>0.96</v>
      </c>
      <c r="Q16" s="1">
        <v>0.96</v>
      </c>
      <c r="R16" s="1">
        <v>0.99</v>
      </c>
      <c r="S16" s="1">
        <f t="shared" si="0"/>
        <v>0.99</v>
      </c>
    </row>
    <row r="17" spans="1:19" ht="25" customHeight="1">
      <c r="A17" t="s">
        <v>27</v>
      </c>
      <c r="B17">
        <v>3</v>
      </c>
      <c r="C17" t="s">
        <v>10</v>
      </c>
      <c r="D17" t="b">
        <v>0</v>
      </c>
      <c r="E17">
        <v>1</v>
      </c>
      <c r="F17" t="s">
        <v>8</v>
      </c>
      <c r="G17" s="1">
        <v>0.92</v>
      </c>
      <c r="H17" s="1">
        <v>0.97</v>
      </c>
      <c r="I17" s="1">
        <v>0.95</v>
      </c>
      <c r="J17" s="1">
        <v>0.96</v>
      </c>
      <c r="K17" s="1">
        <v>0.96</v>
      </c>
      <c r="L17" s="1">
        <v>0.94</v>
      </c>
      <c r="M17" s="1">
        <v>0.97</v>
      </c>
      <c r="N17" s="1">
        <v>0.94</v>
      </c>
      <c r="O17" s="1">
        <v>0.97</v>
      </c>
      <c r="P17" s="1">
        <v>0.9</v>
      </c>
      <c r="Q17" s="1">
        <v>0.96</v>
      </c>
      <c r="R17" s="1">
        <v>0.96</v>
      </c>
      <c r="S17" s="1">
        <f t="shared" si="0"/>
        <v>0.97</v>
      </c>
    </row>
    <row r="18" spans="1:19" ht="25" customHeight="1">
      <c r="A18" t="s">
        <v>27</v>
      </c>
      <c r="B18">
        <v>3</v>
      </c>
      <c r="C18" t="s">
        <v>10</v>
      </c>
      <c r="D18" t="b">
        <v>0</v>
      </c>
      <c r="E18">
        <v>2</v>
      </c>
      <c r="F18" t="s">
        <v>7</v>
      </c>
      <c r="G18" s="1">
        <v>0.95</v>
      </c>
      <c r="H18" s="1">
        <v>0.97</v>
      </c>
      <c r="I18" s="1">
        <v>0.93</v>
      </c>
      <c r="J18" s="1">
        <v>0.97</v>
      </c>
      <c r="K18" s="1">
        <v>0.96</v>
      </c>
      <c r="L18" s="1">
        <v>0.96</v>
      </c>
      <c r="M18" s="1">
        <v>0.98</v>
      </c>
      <c r="N18" s="1">
        <v>0.94</v>
      </c>
      <c r="O18" s="1">
        <v>0.98</v>
      </c>
      <c r="P18" s="1">
        <v>0.96</v>
      </c>
      <c r="Q18" s="1">
        <v>0.96</v>
      </c>
      <c r="R18" s="1">
        <v>1</v>
      </c>
      <c r="S18" s="1">
        <f t="shared" si="0"/>
        <v>1</v>
      </c>
    </row>
    <row r="19" spans="1:19" ht="25" customHeight="1">
      <c r="A19" t="s">
        <v>27</v>
      </c>
      <c r="B19">
        <v>3</v>
      </c>
      <c r="C19" t="s">
        <v>10</v>
      </c>
      <c r="D19" t="b">
        <v>0</v>
      </c>
      <c r="E19">
        <v>3</v>
      </c>
      <c r="F19" t="s">
        <v>6</v>
      </c>
      <c r="G19" s="1">
        <v>0.95</v>
      </c>
      <c r="H19" s="1">
        <v>0.97</v>
      </c>
      <c r="I19" s="1">
        <v>0.96</v>
      </c>
      <c r="J19" s="1">
        <v>0.97</v>
      </c>
      <c r="K19" s="1">
        <v>0.96</v>
      </c>
      <c r="L19" s="1">
        <v>0.96</v>
      </c>
      <c r="M19" s="1">
        <v>0.98</v>
      </c>
      <c r="N19" s="1">
        <v>0.94</v>
      </c>
      <c r="O19" s="1">
        <v>0.98</v>
      </c>
      <c r="P19" s="1">
        <v>0.96</v>
      </c>
      <c r="Q19" s="1">
        <v>0.96</v>
      </c>
      <c r="R19" s="1">
        <v>0.99</v>
      </c>
      <c r="S19" s="1">
        <f t="shared" si="0"/>
        <v>0.99</v>
      </c>
    </row>
    <row r="22" spans="1:19" ht="25" customHeight="1">
      <c r="B22" t="s">
        <v>11</v>
      </c>
      <c r="C22" t="s">
        <v>1</v>
      </c>
      <c r="D22" t="s">
        <v>14</v>
      </c>
      <c r="E22" t="s">
        <v>12</v>
      </c>
      <c r="F22" t="s">
        <v>13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  <c r="L22" t="s">
        <v>20</v>
      </c>
      <c r="M22" t="s">
        <v>21</v>
      </c>
      <c r="N22" t="s">
        <v>22</v>
      </c>
      <c r="O22" t="s">
        <v>23</v>
      </c>
      <c r="P22" t="s">
        <v>24</v>
      </c>
      <c r="Q22" t="s">
        <v>25</v>
      </c>
      <c r="R22" t="s">
        <v>26</v>
      </c>
      <c r="S22" t="s">
        <v>4</v>
      </c>
    </row>
    <row r="23" spans="1:19" ht="25" customHeight="1">
      <c r="B23">
        <v>1</v>
      </c>
      <c r="C23" t="s">
        <v>5</v>
      </c>
      <c r="D23" t="b">
        <v>1</v>
      </c>
      <c r="E23">
        <v>1</v>
      </c>
      <c r="F23" t="s">
        <v>4</v>
      </c>
      <c r="G23" s="1" cm="1">
        <f t="array" ref="G23">_xlfn.LET(_xlpm.d,G$2:G$19,_xlpm.a,$C$2:$C$19=$C23,_xlpm.b,$D$2:$D$19=$D23,MAX(_xlfn._xlws.FILTER(_xlpm.d,_xlpm.a*_xlpm.b)))</f>
        <v>0.74</v>
      </c>
      <c r="H23" s="1" cm="1">
        <f t="array" ref="H23">_xlfn.LET(_xlpm.d,H$2:H$19,_xlpm.a,$C$2:$C$19=$C23,_xlpm.b,$D$2:$D$19=$D23,MAX(_xlfn._xlws.FILTER(_xlpm.d,_xlpm.a*_xlpm.b)))</f>
        <v>0.77</v>
      </c>
      <c r="I23" s="1" cm="1">
        <f t="array" ref="I23">_xlfn.LET(_xlpm.d,I$2:I$19,_xlpm.a,$C$2:$C$19=$C23,_xlpm.b,$D$2:$D$19=$D23,MAX(_xlfn._xlws.FILTER(_xlpm.d,_xlpm.a*_xlpm.b)))</f>
        <v>0.64</v>
      </c>
      <c r="J23" s="1" cm="1">
        <f t="array" ref="J23">_xlfn.LET(_xlpm.d,J$2:J$19,_xlpm.a,$C$2:$C$19=$C23,_xlpm.b,$D$2:$D$19=$D23,MAX(_xlfn._xlws.FILTER(_xlpm.d,_xlpm.a*_xlpm.b)))</f>
        <v>0.68</v>
      </c>
      <c r="K23" s="1" cm="1">
        <f t="array" ref="K23">_xlfn.LET(_xlpm.d,K$2:K$19,_xlpm.a,$C$2:$C$19=$C23,_xlpm.b,$D$2:$D$19=$D23,MAX(_xlfn._xlws.FILTER(_xlpm.d,_xlpm.a*_xlpm.b)))</f>
        <v>0.64</v>
      </c>
      <c r="L23" s="1" cm="1">
        <f t="array" ref="L23">_xlfn.LET(_xlpm.d,L$2:L$19,_xlpm.a,$C$2:$C$19=$C23,_xlpm.b,$D$2:$D$19=$D23,MAX(_xlfn._xlws.FILTER(_xlpm.d,_xlpm.a*_xlpm.b)))</f>
        <v>0.66</v>
      </c>
      <c r="M23" s="1" cm="1">
        <f t="array" ref="M23">_xlfn.LET(_xlpm.d,M$2:M$19,_xlpm.a,$C$2:$C$19=$C23,_xlpm.b,$D$2:$D$19=$D23,MAX(_xlfn._xlws.FILTER(_xlpm.d,_xlpm.a*_xlpm.b)))</f>
        <v>0.7</v>
      </c>
      <c r="N23" s="1" cm="1">
        <f t="array" ref="N23">_xlfn.LET(_xlpm.d,N$2:N$19,_xlpm.a,$C$2:$C$19=$C23,_xlpm.b,$D$2:$D$19=$D23,MAX(_xlfn._xlws.FILTER(_xlpm.d,_xlpm.a*_xlpm.b)))</f>
        <v>0.65</v>
      </c>
      <c r="O23" s="1" cm="1">
        <f t="array" ref="O23">_xlfn.LET(_xlpm.d,O$2:O$19,_xlpm.a,$C$2:$C$19=$C23,_xlpm.b,$D$2:$D$19=$D23,MAX(_xlfn._xlws.FILTER(_xlpm.d,_xlpm.a*_xlpm.b)))</f>
        <v>0.68</v>
      </c>
      <c r="P23" s="1" cm="1">
        <f t="array" ref="P23">_xlfn.LET(_xlpm.d,P$2:P$19,_xlpm.a,$C$2:$C$19=$C23,_xlpm.b,$D$2:$D$19=$D23,MAX(_xlfn._xlws.FILTER(_xlpm.d,_xlpm.a*_xlpm.b)))</f>
        <v>0.74</v>
      </c>
      <c r="Q23" s="1" cm="1">
        <f t="array" ref="Q23">_xlfn.LET(_xlpm.d,Q$2:Q$19,_xlpm.a,$C$2:$C$19=$C23,_xlpm.b,$D$2:$D$19=$D23,MAX(_xlfn._xlws.FILTER(_xlpm.d,_xlpm.a*_xlpm.b)))</f>
        <v>0.7</v>
      </c>
      <c r="R23" s="1" cm="1">
        <f t="array" ref="R23">_xlfn.LET(_xlpm.d,R$2:R$19,_xlpm.a,$C$2:$C$19=$C23,_xlpm.b,$D$2:$D$19=$D23,MAX(_xlfn._xlws.FILTER(_xlpm.d,_xlpm.a*_xlpm.b)))</f>
        <v>0.7</v>
      </c>
      <c r="S23" s="1" cm="1">
        <f t="array" ref="S23">_xlfn.LET(_xlpm.d,S$2:S$19,_xlpm.a,$C$2:$C$19=$C23,_xlpm.b,$D$2:$D$19=$D23,MAX(_xlfn._xlws.FILTER(_xlpm.d,_xlpm.a*_xlpm.b)))</f>
        <v>0.77</v>
      </c>
    </row>
    <row r="24" spans="1:19" ht="25" customHeight="1">
      <c r="B24">
        <v>1</v>
      </c>
      <c r="C24" t="s">
        <v>5</v>
      </c>
      <c r="D24" t="b">
        <v>0</v>
      </c>
      <c r="E24">
        <v>1</v>
      </c>
      <c r="F24" t="s">
        <v>4</v>
      </c>
      <c r="G24" s="1" cm="1">
        <f t="array" ref="G24">_xlfn.LET(_xlpm.d,G$2:G$19,_xlpm.a,$C$2:$C$19=$C24,_xlpm.b,$D$2:$D$19=$D24,MAX(_xlfn._xlws.FILTER(_xlpm.d,_xlpm.a*_xlpm.b)))</f>
        <v>0.71</v>
      </c>
      <c r="H24" s="1" cm="1">
        <f t="array" ref="H24">_xlfn.LET(_xlpm.d,H$2:H$19,_xlpm.a,$C$2:$C$19=$C24,_xlpm.b,$D$2:$D$19=$D24,MAX(_xlfn._xlws.FILTER(_xlpm.d,_xlpm.a*_xlpm.b)))</f>
        <v>0.68</v>
      </c>
      <c r="I24" s="1" cm="1">
        <f t="array" ref="I24">_xlfn.LET(_xlpm.d,I$2:I$19,_xlpm.a,$C$2:$C$19=$C24,_xlpm.b,$D$2:$D$19=$D24,MAX(_xlfn._xlws.FILTER(_xlpm.d,_xlpm.a*_xlpm.b)))</f>
        <v>0.63</v>
      </c>
      <c r="J24" s="1" cm="1">
        <f t="array" ref="J24">_xlfn.LET(_xlpm.d,J$2:J$19,_xlpm.a,$C$2:$C$19=$C24,_xlpm.b,$D$2:$D$19=$D24,MAX(_xlfn._xlws.FILTER(_xlpm.d,_xlpm.a*_xlpm.b)))</f>
        <v>0.66</v>
      </c>
      <c r="K24" s="1" cm="1">
        <f t="array" ref="K24">_xlfn.LET(_xlpm.d,K$2:K$19,_xlpm.a,$C$2:$C$19=$C24,_xlpm.b,$D$2:$D$19=$D24,MAX(_xlfn._xlws.FILTER(_xlpm.d,_xlpm.a*_xlpm.b)))</f>
        <v>0.61</v>
      </c>
      <c r="L24" s="1" cm="1">
        <f t="array" ref="L24">_xlfn.LET(_xlpm.d,L$2:L$19,_xlpm.a,$C$2:$C$19=$C24,_xlpm.b,$D$2:$D$19=$D24,MAX(_xlfn._xlws.FILTER(_xlpm.d,_xlpm.a*_xlpm.b)))</f>
        <v>0.62</v>
      </c>
      <c r="M24" s="1" cm="1">
        <f t="array" ref="M24">_xlfn.LET(_xlpm.d,M$2:M$19,_xlpm.a,$C$2:$C$19=$C24,_xlpm.b,$D$2:$D$19=$D24,MAX(_xlfn._xlws.FILTER(_xlpm.d,_xlpm.a*_xlpm.b)))</f>
        <v>0.71</v>
      </c>
      <c r="N24" s="1" cm="1">
        <f t="array" ref="N24">_xlfn.LET(_xlpm.d,N$2:N$19,_xlpm.a,$C$2:$C$19=$C24,_xlpm.b,$D$2:$D$19=$D24,MAX(_xlfn._xlws.FILTER(_xlpm.d,_xlpm.a*_xlpm.b)))</f>
        <v>0.62</v>
      </c>
      <c r="O24" s="1" cm="1">
        <f t="array" ref="O24">_xlfn.LET(_xlpm.d,O$2:O$19,_xlpm.a,$C$2:$C$19=$C24,_xlpm.b,$D$2:$D$19=$D24,MAX(_xlfn._xlws.FILTER(_xlpm.d,_xlpm.a*_xlpm.b)))</f>
        <v>0.64</v>
      </c>
      <c r="P24" s="1" cm="1">
        <f t="array" ref="P24">_xlfn.LET(_xlpm.d,P$2:P$19,_xlpm.a,$C$2:$C$19=$C24,_xlpm.b,$D$2:$D$19=$D24,MAX(_xlfn._xlws.FILTER(_xlpm.d,_xlpm.a*_xlpm.b)))</f>
        <v>0.68</v>
      </c>
      <c r="Q24" s="1" cm="1">
        <f t="array" ref="Q24">_xlfn.LET(_xlpm.d,Q$2:Q$19,_xlpm.a,$C$2:$C$19=$C24,_xlpm.b,$D$2:$D$19=$D24,MAX(_xlfn._xlws.FILTER(_xlpm.d,_xlpm.a*_xlpm.b)))</f>
        <v>0.66</v>
      </c>
      <c r="R24" s="1" cm="1">
        <f t="array" ref="R24">_xlfn.LET(_xlpm.d,R$2:R$19,_xlpm.a,$C$2:$C$19=$C24,_xlpm.b,$D$2:$D$19=$D24,MAX(_xlfn._xlws.FILTER(_xlpm.d,_xlpm.a*_xlpm.b)))</f>
        <v>0.7</v>
      </c>
      <c r="S24" s="1" cm="1">
        <f t="array" ref="S24">_xlfn.LET(_xlpm.d,S$2:S$19,_xlpm.a,$C$2:$C$19=$C24,_xlpm.b,$D$2:$D$19=$D24,MAX(_xlfn._xlws.FILTER(_xlpm.d,_xlpm.a*_xlpm.b)))</f>
        <v>0.71</v>
      </c>
    </row>
    <row r="25" spans="1:19" ht="25" customHeight="1">
      <c r="B25">
        <v>2</v>
      </c>
      <c r="C25" t="s">
        <v>9</v>
      </c>
      <c r="D25" t="b">
        <v>1</v>
      </c>
      <c r="E25">
        <v>1</v>
      </c>
      <c r="F25" t="s">
        <v>4</v>
      </c>
      <c r="G25" s="1" cm="1">
        <f t="array" ref="G25">_xlfn.LET(_xlpm.d,G$2:G$19,_xlpm.a,$C$2:$C$19=$C25,_xlpm.b,$D$2:$D$19=$D25,MAX(_xlfn._xlws.FILTER(_xlpm.d,_xlpm.a*_xlpm.b)))</f>
        <v>0.82</v>
      </c>
      <c r="H25" s="1" cm="1">
        <f t="array" ref="H25">_xlfn.LET(_xlpm.d,H$2:H$19,_xlpm.a,$C$2:$C$19=$C25,_xlpm.b,$D$2:$D$19=$D25,MAX(_xlfn._xlws.FILTER(_xlpm.d,_xlpm.a*_xlpm.b)))</f>
        <v>0.76</v>
      </c>
      <c r="I25" s="1" cm="1">
        <f t="array" ref="I25">_xlfn.LET(_xlpm.d,I$2:I$19,_xlpm.a,$C$2:$C$19=$C25,_xlpm.b,$D$2:$D$19=$D25,MAX(_xlfn._xlws.FILTER(_xlpm.d,_xlpm.a*_xlpm.b)))</f>
        <v>0.76</v>
      </c>
      <c r="J25" s="1" cm="1">
        <f t="array" ref="J25">_xlfn.LET(_xlpm.d,J$2:J$19,_xlpm.a,$C$2:$C$19=$C25,_xlpm.b,$D$2:$D$19=$D25,MAX(_xlfn._xlws.FILTER(_xlpm.d,_xlpm.a*_xlpm.b)))</f>
        <v>0.73</v>
      </c>
      <c r="K25" s="1" cm="1">
        <f t="array" ref="K25">_xlfn.LET(_xlpm.d,K$2:K$19,_xlpm.a,$C$2:$C$19=$C25,_xlpm.b,$D$2:$D$19=$D25,MAX(_xlfn._xlws.FILTER(_xlpm.d,_xlpm.a*_xlpm.b)))</f>
        <v>0.73</v>
      </c>
      <c r="L25" s="1" cm="1">
        <f t="array" ref="L25">_xlfn.LET(_xlpm.d,L$2:L$19,_xlpm.a,$C$2:$C$19=$C25,_xlpm.b,$D$2:$D$19=$D25,MAX(_xlfn._xlws.FILTER(_xlpm.d,_xlpm.a*_xlpm.b)))</f>
        <v>0.77</v>
      </c>
      <c r="M25" s="1" cm="1">
        <f t="array" ref="M25">_xlfn.LET(_xlpm.d,M$2:M$19,_xlpm.a,$C$2:$C$19=$C25,_xlpm.b,$D$2:$D$19=$D25,MAX(_xlfn._xlws.FILTER(_xlpm.d,_xlpm.a*_xlpm.b)))</f>
        <v>0.81</v>
      </c>
      <c r="N25" s="1" cm="1">
        <f t="array" ref="N25">_xlfn.LET(_xlpm.d,N$2:N$19,_xlpm.a,$C$2:$C$19=$C25,_xlpm.b,$D$2:$D$19=$D25,MAX(_xlfn._xlws.FILTER(_xlpm.d,_xlpm.a*_xlpm.b)))</f>
        <v>0.8</v>
      </c>
      <c r="O25" s="1" cm="1">
        <f t="array" ref="O25">_xlfn.LET(_xlpm.d,O$2:O$19,_xlpm.a,$C$2:$C$19=$C25,_xlpm.b,$D$2:$D$19=$D25,MAX(_xlfn._xlws.FILTER(_xlpm.d,_xlpm.a*_xlpm.b)))</f>
        <v>0.76</v>
      </c>
      <c r="P25" s="1" cm="1">
        <f t="array" ref="P25">_xlfn.LET(_xlpm.d,P$2:P$19,_xlpm.a,$C$2:$C$19=$C25,_xlpm.b,$D$2:$D$19=$D25,MAX(_xlfn._xlws.FILTER(_xlpm.d,_xlpm.a*_xlpm.b)))</f>
        <v>0.79</v>
      </c>
      <c r="Q25" s="1" cm="1">
        <f t="array" ref="Q25">_xlfn.LET(_xlpm.d,Q$2:Q$19,_xlpm.a,$C$2:$C$19=$C25,_xlpm.b,$D$2:$D$19=$D25,MAX(_xlfn._xlws.FILTER(_xlpm.d,_xlpm.a*_xlpm.b)))</f>
        <v>0.72</v>
      </c>
      <c r="R25" s="1" cm="1">
        <f t="array" ref="R25">_xlfn.LET(_xlpm.d,R$2:R$19,_xlpm.a,$C$2:$C$19=$C25,_xlpm.b,$D$2:$D$19=$D25,MAX(_xlfn._xlws.FILTER(_xlpm.d,_xlpm.a*_xlpm.b)))</f>
        <v>0.78</v>
      </c>
      <c r="S25" s="1" cm="1">
        <f t="array" ref="S25">_xlfn.LET(_xlpm.d,S$2:S$19,_xlpm.a,$C$2:$C$19=$C25,_xlpm.b,$D$2:$D$19=$D25,MAX(_xlfn._xlws.FILTER(_xlpm.d,_xlpm.a*_xlpm.b)))</f>
        <v>0.82</v>
      </c>
    </row>
    <row r="26" spans="1:19" ht="25" customHeight="1">
      <c r="B26">
        <v>2</v>
      </c>
      <c r="C26" t="s">
        <v>9</v>
      </c>
      <c r="D26" t="b">
        <v>0</v>
      </c>
      <c r="E26">
        <v>1</v>
      </c>
      <c r="F26" t="s">
        <v>4</v>
      </c>
      <c r="G26" s="1" cm="1">
        <f t="array" ref="G26">_xlfn.LET(_xlpm.d,G$2:G$19,_xlpm.a,$C$2:$C$19=$C26,_xlpm.b,$D$2:$D$19=$D26,MAX(_xlfn._xlws.FILTER(_xlpm.d,_xlpm.a*_xlpm.b)))</f>
        <v>0.72</v>
      </c>
      <c r="H26" s="1" cm="1">
        <f t="array" ref="H26">_xlfn.LET(_xlpm.d,H$2:H$19,_xlpm.a,$C$2:$C$19=$C26,_xlpm.b,$D$2:$D$19=$D26,MAX(_xlfn._xlws.FILTER(_xlpm.d,_xlpm.a*_xlpm.b)))</f>
        <v>0.72</v>
      </c>
      <c r="I26" s="1" cm="1">
        <f t="array" ref="I26">_xlfn.LET(_xlpm.d,I$2:I$19,_xlpm.a,$C$2:$C$19=$C26,_xlpm.b,$D$2:$D$19=$D26,MAX(_xlfn._xlws.FILTER(_xlpm.d,_xlpm.a*_xlpm.b)))</f>
        <v>0.75</v>
      </c>
      <c r="J26" s="1" cm="1">
        <f t="array" ref="J26">_xlfn.LET(_xlpm.d,J$2:J$19,_xlpm.a,$C$2:$C$19=$C26,_xlpm.b,$D$2:$D$19=$D26,MAX(_xlfn._xlws.FILTER(_xlpm.d,_xlpm.a*_xlpm.b)))</f>
        <v>0.68</v>
      </c>
      <c r="K26" s="1" cm="1">
        <f t="array" ref="K26">_xlfn.LET(_xlpm.d,K$2:K$19,_xlpm.a,$C$2:$C$19=$C26,_xlpm.b,$D$2:$D$19=$D26,MAX(_xlfn._xlws.FILTER(_xlpm.d,_xlpm.a*_xlpm.b)))</f>
        <v>0.71</v>
      </c>
      <c r="L26" s="1" cm="1">
        <f t="array" ref="L26">_xlfn.LET(_xlpm.d,L$2:L$19,_xlpm.a,$C$2:$C$19=$C26,_xlpm.b,$D$2:$D$19=$D26,MAX(_xlfn._xlws.FILTER(_xlpm.d,_xlpm.a*_xlpm.b)))</f>
        <v>0.75</v>
      </c>
      <c r="M26" s="1" cm="1">
        <f t="array" ref="M26">_xlfn.LET(_xlpm.d,M$2:M$19,_xlpm.a,$C$2:$C$19=$C26,_xlpm.b,$D$2:$D$19=$D26,MAX(_xlfn._xlws.FILTER(_xlpm.d,_xlpm.a*_xlpm.b)))</f>
        <v>0.73</v>
      </c>
      <c r="N26" s="1" cm="1">
        <f t="array" ref="N26">_xlfn.LET(_xlpm.d,N$2:N$19,_xlpm.a,$C$2:$C$19=$C26,_xlpm.b,$D$2:$D$19=$D26,MAX(_xlfn._xlws.FILTER(_xlpm.d,_xlpm.a*_xlpm.b)))</f>
        <v>0.72</v>
      </c>
      <c r="O26" s="1" cm="1">
        <f t="array" ref="O26">_xlfn.LET(_xlpm.d,O$2:O$19,_xlpm.a,$C$2:$C$19=$C26,_xlpm.b,$D$2:$D$19=$D26,MAX(_xlfn._xlws.FILTER(_xlpm.d,_xlpm.a*_xlpm.b)))</f>
        <v>0.7</v>
      </c>
      <c r="P26" s="1" cm="1">
        <f t="array" ref="P26">_xlfn.LET(_xlpm.d,P$2:P$19,_xlpm.a,$C$2:$C$19=$C26,_xlpm.b,$D$2:$D$19=$D26,MAX(_xlfn._xlws.FILTER(_xlpm.d,_xlpm.a*_xlpm.b)))</f>
        <v>0.75</v>
      </c>
      <c r="Q26" s="1" cm="1">
        <f t="array" ref="Q26">_xlfn.LET(_xlpm.d,Q$2:Q$19,_xlpm.a,$C$2:$C$19=$C26,_xlpm.b,$D$2:$D$19=$D26,MAX(_xlfn._xlws.FILTER(_xlpm.d,_xlpm.a*_xlpm.b)))</f>
        <v>0.7</v>
      </c>
      <c r="R26" s="1" cm="1">
        <f t="array" ref="R26">_xlfn.LET(_xlpm.d,R$2:R$19,_xlpm.a,$C$2:$C$19=$C26,_xlpm.b,$D$2:$D$19=$D26,MAX(_xlfn._xlws.FILTER(_xlpm.d,_xlpm.a*_xlpm.b)))</f>
        <v>0.75</v>
      </c>
      <c r="S26" s="1" cm="1">
        <f t="array" ref="S26">_xlfn.LET(_xlpm.d,S$2:S$19,_xlpm.a,$C$2:$C$19=$C26,_xlpm.b,$D$2:$D$19=$D26,MAX(_xlfn._xlws.FILTER(_xlpm.d,_xlpm.a*_xlpm.b)))</f>
        <v>0.75</v>
      </c>
    </row>
    <row r="27" spans="1:19" ht="25" customHeight="1">
      <c r="B27">
        <v>3</v>
      </c>
      <c r="C27" t="s">
        <v>10</v>
      </c>
      <c r="D27" t="b">
        <v>1</v>
      </c>
      <c r="E27">
        <v>1</v>
      </c>
      <c r="F27" t="s">
        <v>4</v>
      </c>
      <c r="G27" s="1" cm="1">
        <f t="array" ref="G27">_xlfn.LET(_xlpm.d,G$2:G$19,_xlpm.a,$C$2:$C$19=$C27,_xlpm.b,$D$2:$D$19=$D27,MAX(_xlfn._xlws.FILTER(_xlpm.d,_xlpm.a*_xlpm.b)))</f>
        <v>0.95</v>
      </c>
      <c r="H27" s="1" cm="1">
        <f t="array" ref="H27">_xlfn.LET(_xlpm.d,H$2:H$19,_xlpm.a,$C$2:$C$19=$C27,_xlpm.b,$D$2:$D$19=$D27,MAX(_xlfn._xlws.FILTER(_xlpm.d,_xlpm.a*_xlpm.b)))</f>
        <v>0.97</v>
      </c>
      <c r="I27" s="1" cm="1">
        <f t="array" ref="I27">_xlfn.LET(_xlpm.d,I$2:I$19,_xlpm.a,$C$2:$C$19=$C27,_xlpm.b,$D$2:$D$19=$D27,MAX(_xlfn._xlws.FILTER(_xlpm.d,_xlpm.a*_xlpm.b)))</f>
        <v>0.96</v>
      </c>
      <c r="J27" s="1" cm="1">
        <f t="array" ref="J27">_xlfn.LET(_xlpm.d,J$2:J$19,_xlpm.a,$C$2:$C$19=$C27,_xlpm.b,$D$2:$D$19=$D27,MAX(_xlfn._xlws.FILTER(_xlpm.d,_xlpm.a*_xlpm.b)))</f>
        <v>0.97</v>
      </c>
      <c r="K27" s="1" cm="1">
        <f t="array" ref="K27">_xlfn.LET(_xlpm.d,K$2:K$19,_xlpm.a,$C$2:$C$19=$C27,_xlpm.b,$D$2:$D$19=$D27,MAX(_xlfn._xlws.FILTER(_xlpm.d,_xlpm.a*_xlpm.b)))</f>
        <v>0.96</v>
      </c>
      <c r="L27" s="1" cm="1">
        <f t="array" ref="L27">_xlfn.LET(_xlpm.d,L$2:L$19,_xlpm.a,$C$2:$C$19=$C27,_xlpm.b,$D$2:$D$19=$D27,MAX(_xlfn._xlws.FILTER(_xlpm.d,_xlpm.a*_xlpm.b)))</f>
        <v>0.96</v>
      </c>
      <c r="M27" s="1" cm="1">
        <f t="array" ref="M27">_xlfn.LET(_xlpm.d,M$2:M$19,_xlpm.a,$C$2:$C$19=$C27,_xlpm.b,$D$2:$D$19=$D27,MAX(_xlfn._xlws.FILTER(_xlpm.d,_xlpm.a*_xlpm.b)))</f>
        <v>0.98</v>
      </c>
      <c r="N27" s="1" cm="1">
        <f t="array" ref="N27">_xlfn.LET(_xlpm.d,N$2:N$19,_xlpm.a,$C$2:$C$19=$C27,_xlpm.b,$D$2:$D$19=$D27,MAX(_xlfn._xlws.FILTER(_xlpm.d,_xlpm.a*_xlpm.b)))</f>
        <v>0.95</v>
      </c>
      <c r="O27" s="1" cm="1">
        <f t="array" ref="O27">_xlfn.LET(_xlpm.d,O$2:O$19,_xlpm.a,$C$2:$C$19=$C27,_xlpm.b,$D$2:$D$19=$D27,MAX(_xlfn._xlws.FILTER(_xlpm.d,_xlpm.a*_xlpm.b)))</f>
        <v>0.98</v>
      </c>
      <c r="P27" s="1" cm="1">
        <f t="array" ref="P27">_xlfn.LET(_xlpm.d,P$2:P$19,_xlpm.a,$C$2:$C$19=$C27,_xlpm.b,$D$2:$D$19=$D27,MAX(_xlfn._xlws.FILTER(_xlpm.d,_xlpm.a*_xlpm.b)))</f>
        <v>0.96</v>
      </c>
      <c r="Q27" s="1" cm="1">
        <f t="array" ref="Q27">_xlfn.LET(_xlpm.d,Q$2:Q$19,_xlpm.a,$C$2:$C$19=$C27,_xlpm.b,$D$2:$D$19=$D27,MAX(_xlfn._xlws.FILTER(_xlpm.d,_xlpm.a*_xlpm.b)))</f>
        <v>0.96</v>
      </c>
      <c r="R27" s="1" cm="1">
        <f t="array" ref="R27">_xlfn.LET(_xlpm.d,R$2:R$19,_xlpm.a,$C$2:$C$19=$C27,_xlpm.b,$D$2:$D$19=$D27,MAX(_xlfn._xlws.FILTER(_xlpm.d,_xlpm.a*_xlpm.b)))</f>
        <v>0.99</v>
      </c>
      <c r="S27" s="1" cm="1">
        <f t="array" ref="S27">_xlfn.LET(_xlpm.d,S$2:S$19,_xlpm.a,$C$2:$C$19=$C27,_xlpm.b,$D$2:$D$19=$D27,MAX(_xlfn._xlws.FILTER(_xlpm.d,_xlpm.a*_xlpm.b)))</f>
        <v>0.99</v>
      </c>
    </row>
    <row r="28" spans="1:19" ht="25" customHeight="1">
      <c r="B28">
        <v>3</v>
      </c>
      <c r="C28" t="s">
        <v>10</v>
      </c>
      <c r="D28" t="b">
        <v>0</v>
      </c>
      <c r="E28">
        <v>1</v>
      </c>
      <c r="F28" t="s">
        <v>4</v>
      </c>
      <c r="G28" s="1" cm="1">
        <f t="array" ref="G28">_xlfn.LET(_xlpm.d,G$2:G$19,_xlpm.a,$C$2:$C$19=$C28,_xlpm.b,$D$2:$D$19=$D28,MAX(_xlfn._xlws.FILTER(_xlpm.d,_xlpm.a*_xlpm.b)))</f>
        <v>0.95</v>
      </c>
      <c r="H28" s="1" cm="1">
        <f t="array" ref="H28">_xlfn.LET(_xlpm.d,H$2:H$19,_xlpm.a,$C$2:$C$19=$C28,_xlpm.b,$D$2:$D$19=$D28,MAX(_xlfn._xlws.FILTER(_xlpm.d,_xlpm.a*_xlpm.b)))</f>
        <v>0.97</v>
      </c>
      <c r="I28" s="1" cm="1">
        <f t="array" ref="I28">_xlfn.LET(_xlpm.d,I$2:I$19,_xlpm.a,$C$2:$C$19=$C28,_xlpm.b,$D$2:$D$19=$D28,MAX(_xlfn._xlws.FILTER(_xlpm.d,_xlpm.a*_xlpm.b)))</f>
        <v>0.96</v>
      </c>
      <c r="J28" s="1" cm="1">
        <f t="array" ref="J28">_xlfn.LET(_xlpm.d,J$2:J$19,_xlpm.a,$C$2:$C$19=$C28,_xlpm.b,$D$2:$D$19=$D28,MAX(_xlfn._xlws.FILTER(_xlpm.d,_xlpm.a*_xlpm.b)))</f>
        <v>0.97</v>
      </c>
      <c r="K28" s="1" cm="1">
        <f t="array" ref="K28">_xlfn.LET(_xlpm.d,K$2:K$19,_xlpm.a,$C$2:$C$19=$C28,_xlpm.b,$D$2:$D$19=$D28,MAX(_xlfn._xlws.FILTER(_xlpm.d,_xlpm.a*_xlpm.b)))</f>
        <v>0.96</v>
      </c>
      <c r="L28" s="1" cm="1">
        <f t="array" ref="L28">_xlfn.LET(_xlpm.d,L$2:L$19,_xlpm.a,$C$2:$C$19=$C28,_xlpm.b,$D$2:$D$19=$D28,MAX(_xlfn._xlws.FILTER(_xlpm.d,_xlpm.a*_xlpm.b)))</f>
        <v>0.96</v>
      </c>
      <c r="M28" s="1" cm="1">
        <f t="array" ref="M28">_xlfn.LET(_xlpm.d,M$2:M$19,_xlpm.a,$C$2:$C$19=$C28,_xlpm.b,$D$2:$D$19=$D28,MAX(_xlfn._xlws.FILTER(_xlpm.d,_xlpm.a*_xlpm.b)))</f>
        <v>0.98</v>
      </c>
      <c r="N28" s="1" cm="1">
        <f t="array" ref="N28">_xlfn.LET(_xlpm.d,N$2:N$19,_xlpm.a,$C$2:$C$19=$C28,_xlpm.b,$D$2:$D$19=$D28,MAX(_xlfn._xlws.FILTER(_xlpm.d,_xlpm.a*_xlpm.b)))</f>
        <v>0.94</v>
      </c>
      <c r="O28" s="1" cm="1">
        <f t="array" ref="O28">_xlfn.LET(_xlpm.d,O$2:O$19,_xlpm.a,$C$2:$C$19=$C28,_xlpm.b,$D$2:$D$19=$D28,MAX(_xlfn._xlws.FILTER(_xlpm.d,_xlpm.a*_xlpm.b)))</f>
        <v>0.98</v>
      </c>
      <c r="P28" s="1" cm="1">
        <f t="array" ref="P28">_xlfn.LET(_xlpm.d,P$2:P$19,_xlpm.a,$C$2:$C$19=$C28,_xlpm.b,$D$2:$D$19=$D28,MAX(_xlfn._xlws.FILTER(_xlpm.d,_xlpm.a*_xlpm.b)))</f>
        <v>0.96</v>
      </c>
      <c r="Q28" s="1" cm="1">
        <f t="array" ref="Q28">_xlfn.LET(_xlpm.d,Q$2:Q$19,_xlpm.a,$C$2:$C$19=$C28,_xlpm.b,$D$2:$D$19=$D28,MAX(_xlfn._xlws.FILTER(_xlpm.d,_xlpm.a*_xlpm.b)))</f>
        <v>0.96</v>
      </c>
      <c r="R28" s="1" cm="1">
        <f t="array" ref="R28">_xlfn.LET(_xlpm.d,R$2:R$19,_xlpm.a,$C$2:$C$19=$C28,_xlpm.b,$D$2:$D$19=$D28,MAX(_xlfn._xlws.FILTER(_xlpm.d,_xlpm.a*_xlpm.b)))</f>
        <v>1</v>
      </c>
      <c r="S28" s="1" cm="1">
        <f t="array" ref="S28">_xlfn.LET(_xlpm.d,S$2:S$19,_xlpm.a,$C$2:$C$19=$C28,_xlpm.b,$D$2:$D$19=$D28,MAX(_xlfn._xlws.FILTER(_xlpm.d,_xlpm.a*_xlpm.b)))</f>
        <v>1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A0B1-7D14-224D-A608-59606371584D}">
  <dimension ref="A1:S28"/>
  <sheetViews>
    <sheetView workbookViewId="0"/>
  </sheetViews>
  <sheetFormatPr baseColWidth="10" defaultRowHeight="25" customHeight="1"/>
  <cols>
    <col min="2" max="2" width="6" customWidth="1"/>
    <col min="4" max="4" width="7.375" customWidth="1"/>
    <col min="5" max="5" width="7.75" customWidth="1"/>
    <col min="7" max="19" width="9" customWidth="1"/>
  </cols>
  <sheetData>
    <row r="1" spans="1:19" ht="25" customHeight="1">
      <c r="A1" t="s">
        <v>0</v>
      </c>
      <c r="B1" t="s">
        <v>11</v>
      </c>
      <c r="C1" t="s">
        <v>1</v>
      </c>
      <c r="D1" t="s">
        <v>2</v>
      </c>
      <c r="E1" t="s">
        <v>12</v>
      </c>
      <c r="F1" t="s">
        <v>3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4</v>
      </c>
    </row>
    <row r="2" spans="1:19" ht="25" customHeight="1">
      <c r="A2" t="s">
        <v>27</v>
      </c>
      <c r="B2">
        <v>1</v>
      </c>
      <c r="C2" t="s">
        <v>5</v>
      </c>
      <c r="D2" t="b">
        <v>1</v>
      </c>
      <c r="E2">
        <v>1</v>
      </c>
      <c r="F2" t="s">
        <v>8</v>
      </c>
      <c r="G2" s="2">
        <v>0.63</v>
      </c>
      <c r="H2" s="2">
        <v>0.6</v>
      </c>
      <c r="I2" s="2">
        <v>0.54</v>
      </c>
      <c r="J2" s="2">
        <v>0.57999999999999996</v>
      </c>
      <c r="K2" s="2">
        <v>0.6</v>
      </c>
      <c r="L2" s="2">
        <v>0.7</v>
      </c>
      <c r="M2" s="2">
        <v>0.63</v>
      </c>
      <c r="N2" s="2">
        <v>0.66</v>
      </c>
      <c r="O2" s="2">
        <v>0.7</v>
      </c>
      <c r="P2" s="2">
        <v>0.71</v>
      </c>
      <c r="Q2" s="2">
        <v>0.7</v>
      </c>
      <c r="R2" s="2">
        <v>0.64</v>
      </c>
      <c r="S2" s="2">
        <f t="shared" ref="S2:S19" si="0">MAX($G2:$R2)</f>
        <v>0.71</v>
      </c>
    </row>
    <row r="3" spans="1:19" ht="25" customHeight="1">
      <c r="A3" t="s">
        <v>27</v>
      </c>
      <c r="B3">
        <v>1</v>
      </c>
      <c r="C3" t="s">
        <v>5</v>
      </c>
      <c r="D3" t="b">
        <v>1</v>
      </c>
      <c r="E3">
        <v>2</v>
      </c>
      <c r="F3" t="s">
        <v>7</v>
      </c>
      <c r="G3" s="2">
        <v>0.67</v>
      </c>
      <c r="H3" s="2">
        <v>0.64</v>
      </c>
      <c r="I3" s="2">
        <v>0.57999999999999996</v>
      </c>
      <c r="J3" s="2">
        <v>0.6</v>
      </c>
      <c r="K3" s="2">
        <v>0.63</v>
      </c>
      <c r="L3" s="2">
        <v>0.74</v>
      </c>
      <c r="M3" s="2">
        <v>0.65</v>
      </c>
      <c r="N3" s="2">
        <v>0.67</v>
      </c>
      <c r="O3" s="2">
        <v>0.68</v>
      </c>
      <c r="P3" s="2">
        <v>0.69</v>
      </c>
      <c r="Q3" s="2">
        <v>0.73</v>
      </c>
      <c r="R3" s="2">
        <v>0.72</v>
      </c>
      <c r="S3" s="2">
        <f t="shared" si="0"/>
        <v>0.74</v>
      </c>
    </row>
    <row r="4" spans="1:19" ht="25" customHeight="1">
      <c r="A4" t="s">
        <v>27</v>
      </c>
      <c r="B4">
        <v>1</v>
      </c>
      <c r="C4" t="s">
        <v>5</v>
      </c>
      <c r="D4" t="b">
        <v>1</v>
      </c>
      <c r="E4">
        <v>3</v>
      </c>
      <c r="F4" t="s">
        <v>6</v>
      </c>
      <c r="G4" s="2">
        <v>0.63</v>
      </c>
      <c r="H4" s="2">
        <v>0.54</v>
      </c>
      <c r="I4" s="2">
        <v>0.52</v>
      </c>
      <c r="J4" s="2">
        <v>0.51</v>
      </c>
      <c r="K4" s="2">
        <v>0.62</v>
      </c>
      <c r="L4" s="2">
        <v>0.68</v>
      </c>
      <c r="M4" s="2">
        <v>0.64</v>
      </c>
      <c r="N4" s="2">
        <v>0.7</v>
      </c>
      <c r="O4" s="2">
        <v>0.67</v>
      </c>
      <c r="P4" s="2">
        <v>0.67</v>
      </c>
      <c r="Q4" s="2">
        <v>0.68</v>
      </c>
      <c r="R4" s="2">
        <v>0.63</v>
      </c>
      <c r="S4" s="2">
        <f t="shared" si="0"/>
        <v>0.7</v>
      </c>
    </row>
    <row r="5" spans="1:19" ht="25" customHeight="1">
      <c r="A5" t="s">
        <v>27</v>
      </c>
      <c r="B5">
        <v>1</v>
      </c>
      <c r="C5" t="s">
        <v>5</v>
      </c>
      <c r="D5" t="b">
        <v>0</v>
      </c>
      <c r="E5">
        <v>1</v>
      </c>
      <c r="F5" t="s">
        <v>8</v>
      </c>
      <c r="G5" s="2">
        <v>0.62</v>
      </c>
      <c r="H5" s="2">
        <v>0.62</v>
      </c>
      <c r="I5" s="2">
        <v>0.55000000000000004</v>
      </c>
      <c r="J5" s="2">
        <v>0.56999999999999995</v>
      </c>
      <c r="K5" s="2">
        <v>0.59</v>
      </c>
      <c r="L5" s="2">
        <v>0.7</v>
      </c>
      <c r="M5" s="2">
        <v>0.6</v>
      </c>
      <c r="N5" s="2">
        <v>0.62</v>
      </c>
      <c r="O5" s="2">
        <v>0.68</v>
      </c>
      <c r="P5" s="2">
        <v>0.61</v>
      </c>
      <c r="Q5" s="2">
        <v>0.67</v>
      </c>
      <c r="R5" s="2">
        <v>0.68</v>
      </c>
      <c r="S5" s="2">
        <f t="shared" si="0"/>
        <v>0.7</v>
      </c>
    </row>
    <row r="6" spans="1:19" ht="25" customHeight="1">
      <c r="A6" t="s">
        <v>27</v>
      </c>
      <c r="B6">
        <v>1</v>
      </c>
      <c r="C6" t="s">
        <v>5</v>
      </c>
      <c r="D6" t="b">
        <v>0</v>
      </c>
      <c r="E6">
        <v>2</v>
      </c>
      <c r="F6" t="s">
        <v>7</v>
      </c>
      <c r="G6" s="2">
        <v>0.64</v>
      </c>
      <c r="H6" s="2">
        <v>0.63</v>
      </c>
      <c r="I6" s="2">
        <v>0.56000000000000005</v>
      </c>
      <c r="J6" s="2">
        <v>0.57999999999999996</v>
      </c>
      <c r="K6" s="2">
        <v>0.59</v>
      </c>
      <c r="L6" s="2">
        <v>0.7</v>
      </c>
      <c r="M6" s="2">
        <v>0.57999999999999996</v>
      </c>
      <c r="N6" s="2">
        <v>0.64</v>
      </c>
      <c r="O6" s="2">
        <v>0.67</v>
      </c>
      <c r="P6" s="2">
        <v>0.69</v>
      </c>
      <c r="Q6" s="2">
        <v>0.69</v>
      </c>
      <c r="R6" s="2">
        <v>0.69</v>
      </c>
      <c r="S6" s="2">
        <f t="shared" si="0"/>
        <v>0.7</v>
      </c>
    </row>
    <row r="7" spans="1:19" ht="25" customHeight="1">
      <c r="A7" t="s">
        <v>27</v>
      </c>
      <c r="B7">
        <v>1</v>
      </c>
      <c r="C7" t="s">
        <v>5</v>
      </c>
      <c r="D7" t="b">
        <v>0</v>
      </c>
      <c r="E7">
        <v>3</v>
      </c>
      <c r="F7" t="s">
        <v>6</v>
      </c>
      <c r="G7" s="2">
        <v>0.56999999999999995</v>
      </c>
      <c r="H7" s="2">
        <v>0.59</v>
      </c>
      <c r="I7" s="2">
        <v>0.52</v>
      </c>
      <c r="J7" s="2">
        <v>0.44</v>
      </c>
      <c r="K7" s="2">
        <v>0.57999999999999996</v>
      </c>
      <c r="L7" s="2">
        <v>0.65</v>
      </c>
      <c r="M7" s="2">
        <v>0.57999999999999996</v>
      </c>
      <c r="N7" s="2">
        <v>0.64</v>
      </c>
      <c r="O7" s="2">
        <v>0.64</v>
      </c>
      <c r="P7" s="2">
        <v>0.56000000000000005</v>
      </c>
      <c r="Q7" s="2">
        <v>0.59</v>
      </c>
      <c r="R7" s="2">
        <v>0.57999999999999996</v>
      </c>
      <c r="S7" s="2">
        <f t="shared" si="0"/>
        <v>0.65</v>
      </c>
    </row>
    <row r="8" spans="1:19" ht="25" customHeight="1">
      <c r="A8" t="s">
        <v>27</v>
      </c>
      <c r="B8">
        <v>2</v>
      </c>
      <c r="C8" t="s">
        <v>9</v>
      </c>
      <c r="D8" t="b">
        <v>1</v>
      </c>
      <c r="E8">
        <v>1</v>
      </c>
      <c r="F8" t="s">
        <v>8</v>
      </c>
      <c r="G8" s="2">
        <v>0.77</v>
      </c>
      <c r="H8" s="2">
        <v>0.77</v>
      </c>
      <c r="I8" s="2">
        <v>0.77</v>
      </c>
      <c r="J8" s="2">
        <v>0.65</v>
      </c>
      <c r="K8" s="2">
        <v>0.73</v>
      </c>
      <c r="L8" s="2">
        <v>0.72</v>
      </c>
      <c r="M8" s="2">
        <v>0.75</v>
      </c>
      <c r="N8" s="2">
        <v>0.74</v>
      </c>
      <c r="O8" s="2">
        <v>0.69</v>
      </c>
      <c r="P8" s="2">
        <v>0.73</v>
      </c>
      <c r="Q8" s="2">
        <v>0.7</v>
      </c>
      <c r="R8" s="2">
        <v>0.73</v>
      </c>
      <c r="S8" s="2">
        <f t="shared" si="0"/>
        <v>0.77</v>
      </c>
    </row>
    <row r="9" spans="1:19" ht="25" customHeight="1">
      <c r="A9" t="s">
        <v>27</v>
      </c>
      <c r="B9">
        <v>2</v>
      </c>
      <c r="C9" t="s">
        <v>9</v>
      </c>
      <c r="D9" t="b">
        <v>1</v>
      </c>
      <c r="E9">
        <v>2</v>
      </c>
      <c r="F9" t="s">
        <v>7</v>
      </c>
      <c r="G9" s="2">
        <v>0.75</v>
      </c>
      <c r="H9" s="2">
        <v>0.78</v>
      </c>
      <c r="I9" s="2">
        <v>0.81</v>
      </c>
      <c r="J9" s="2">
        <v>0.77</v>
      </c>
      <c r="K9" s="2">
        <v>0.75</v>
      </c>
      <c r="L9" s="2">
        <v>0.75</v>
      </c>
      <c r="M9" s="2">
        <v>0.77</v>
      </c>
      <c r="N9" s="2">
        <v>0.83</v>
      </c>
      <c r="O9" s="2">
        <v>0.74</v>
      </c>
      <c r="P9" s="2">
        <v>0.76</v>
      </c>
      <c r="Q9" s="2">
        <v>0.77</v>
      </c>
      <c r="R9" s="2">
        <v>0.78</v>
      </c>
      <c r="S9" s="2">
        <f t="shared" si="0"/>
        <v>0.83</v>
      </c>
    </row>
    <row r="10" spans="1:19" ht="25" customHeight="1">
      <c r="A10" t="s">
        <v>27</v>
      </c>
      <c r="B10">
        <v>2</v>
      </c>
      <c r="C10" t="s">
        <v>9</v>
      </c>
      <c r="D10" t="b">
        <v>1</v>
      </c>
      <c r="E10">
        <v>3</v>
      </c>
      <c r="F10" t="s">
        <v>6</v>
      </c>
      <c r="G10" s="2">
        <v>0.7</v>
      </c>
      <c r="H10" s="2">
        <v>0.79</v>
      </c>
      <c r="I10" s="2">
        <v>0.81</v>
      </c>
      <c r="J10" s="2">
        <v>0.69</v>
      </c>
      <c r="K10" s="2">
        <v>0.75</v>
      </c>
      <c r="L10" s="2">
        <v>0.72</v>
      </c>
      <c r="M10" s="2">
        <v>0.77</v>
      </c>
      <c r="N10" s="2">
        <v>0.72</v>
      </c>
      <c r="O10" s="2">
        <v>0.72</v>
      </c>
      <c r="P10" s="2">
        <v>0.74</v>
      </c>
      <c r="Q10" s="2">
        <v>0.72</v>
      </c>
      <c r="R10" s="2">
        <v>0.73</v>
      </c>
      <c r="S10" s="2">
        <f t="shared" si="0"/>
        <v>0.81</v>
      </c>
    </row>
    <row r="11" spans="1:19" ht="25" customHeight="1">
      <c r="A11" t="s">
        <v>27</v>
      </c>
      <c r="B11">
        <v>2</v>
      </c>
      <c r="C11" t="s">
        <v>9</v>
      </c>
      <c r="D11" t="b">
        <v>0</v>
      </c>
      <c r="E11">
        <v>1</v>
      </c>
      <c r="F11" t="s">
        <v>8</v>
      </c>
      <c r="G11" s="2">
        <v>0.66</v>
      </c>
      <c r="H11" s="2">
        <v>0.72</v>
      </c>
      <c r="I11" s="2">
        <v>0.75</v>
      </c>
      <c r="J11" s="2">
        <v>0.68</v>
      </c>
      <c r="K11" s="2">
        <v>0.7</v>
      </c>
      <c r="L11" s="2">
        <v>0.76</v>
      </c>
      <c r="M11" s="2">
        <v>0.69</v>
      </c>
      <c r="N11" s="2">
        <v>0.7</v>
      </c>
      <c r="O11" s="2">
        <v>0.66</v>
      </c>
      <c r="P11" s="2">
        <v>0.68</v>
      </c>
      <c r="Q11" s="2">
        <v>0.73</v>
      </c>
      <c r="R11" s="2">
        <v>0.7</v>
      </c>
      <c r="S11" s="2">
        <f t="shared" si="0"/>
        <v>0.76</v>
      </c>
    </row>
    <row r="12" spans="1:19" ht="25" customHeight="1">
      <c r="A12" t="s">
        <v>27</v>
      </c>
      <c r="B12">
        <v>2</v>
      </c>
      <c r="C12" t="s">
        <v>9</v>
      </c>
      <c r="D12" t="b">
        <v>0</v>
      </c>
      <c r="E12">
        <v>2</v>
      </c>
      <c r="F12" t="s">
        <v>7</v>
      </c>
      <c r="G12" s="2">
        <v>0.73</v>
      </c>
      <c r="H12" s="2">
        <v>0.77</v>
      </c>
      <c r="I12" s="2">
        <v>0.73</v>
      </c>
      <c r="J12" s="2">
        <v>0.75</v>
      </c>
      <c r="K12" s="2">
        <v>0.68</v>
      </c>
      <c r="L12" s="2">
        <v>0.75</v>
      </c>
      <c r="M12" s="2">
        <v>0.7</v>
      </c>
      <c r="N12" s="2">
        <v>0.77</v>
      </c>
      <c r="O12" s="2">
        <v>0.71</v>
      </c>
      <c r="P12" s="2">
        <v>0.67</v>
      </c>
      <c r="Q12" s="2">
        <v>0.73</v>
      </c>
      <c r="R12" s="2">
        <v>0.74</v>
      </c>
      <c r="S12" s="2">
        <f t="shared" si="0"/>
        <v>0.77</v>
      </c>
    </row>
    <row r="13" spans="1:19" ht="25" customHeight="1">
      <c r="A13" t="s">
        <v>27</v>
      </c>
      <c r="B13">
        <v>2</v>
      </c>
      <c r="C13" t="s">
        <v>9</v>
      </c>
      <c r="D13" t="b">
        <v>0</v>
      </c>
      <c r="E13">
        <v>3</v>
      </c>
      <c r="F13" t="s">
        <v>6</v>
      </c>
      <c r="G13" s="2">
        <v>0.66</v>
      </c>
      <c r="H13" s="2">
        <v>0.7</v>
      </c>
      <c r="I13" s="2">
        <v>0.77</v>
      </c>
      <c r="J13" s="2">
        <v>0.67</v>
      </c>
      <c r="K13" s="2">
        <v>0.69</v>
      </c>
      <c r="L13" s="2">
        <v>0.69</v>
      </c>
      <c r="M13" s="2">
        <v>0.74</v>
      </c>
      <c r="N13" s="2">
        <v>0.72</v>
      </c>
      <c r="O13" s="2">
        <v>0.65</v>
      </c>
      <c r="P13" s="2">
        <v>0.7</v>
      </c>
      <c r="Q13" s="2">
        <v>0.72</v>
      </c>
      <c r="R13" s="2">
        <v>0.73</v>
      </c>
      <c r="S13" s="2">
        <f t="shared" si="0"/>
        <v>0.77</v>
      </c>
    </row>
    <row r="14" spans="1:19" ht="25" customHeight="1">
      <c r="A14" t="s">
        <v>27</v>
      </c>
      <c r="B14">
        <v>3</v>
      </c>
      <c r="C14" t="s">
        <v>10</v>
      </c>
      <c r="D14" t="b">
        <v>1</v>
      </c>
      <c r="E14">
        <v>1</v>
      </c>
      <c r="F14" t="s">
        <v>8</v>
      </c>
      <c r="G14" s="2">
        <v>0.98</v>
      </c>
      <c r="H14" s="2">
        <v>0.98</v>
      </c>
      <c r="I14" s="2">
        <v>0.96</v>
      </c>
      <c r="J14" s="2">
        <v>0.94</v>
      </c>
      <c r="K14" s="2">
        <v>0.98</v>
      </c>
      <c r="L14" s="2">
        <v>0.96</v>
      </c>
      <c r="M14" s="2">
        <v>0.96</v>
      </c>
      <c r="N14" s="2">
        <v>0.94</v>
      </c>
      <c r="O14" s="2">
        <v>0.96</v>
      </c>
      <c r="P14" s="2">
        <v>0.96</v>
      </c>
      <c r="Q14" s="2">
        <v>0.95</v>
      </c>
      <c r="R14" s="2">
        <v>0.89</v>
      </c>
      <c r="S14" s="2">
        <f t="shared" si="0"/>
        <v>0.98</v>
      </c>
    </row>
    <row r="15" spans="1:19" ht="25" customHeight="1">
      <c r="A15" t="s">
        <v>27</v>
      </c>
      <c r="B15">
        <v>3</v>
      </c>
      <c r="C15" t="s">
        <v>10</v>
      </c>
      <c r="D15" t="b">
        <v>1</v>
      </c>
      <c r="E15">
        <v>2</v>
      </c>
      <c r="F15" t="s">
        <v>7</v>
      </c>
      <c r="G15" s="2">
        <v>0.98</v>
      </c>
      <c r="H15" s="2">
        <v>0.99</v>
      </c>
      <c r="I15" s="2">
        <v>0.96</v>
      </c>
      <c r="J15" s="2">
        <v>0.96</v>
      </c>
      <c r="K15" s="2">
        <v>0.98</v>
      </c>
      <c r="L15" s="2">
        <v>0.96</v>
      </c>
      <c r="M15" s="2">
        <v>0.97</v>
      </c>
      <c r="N15" s="2">
        <v>0.94</v>
      </c>
      <c r="O15" s="2">
        <v>0.96</v>
      </c>
      <c r="P15" s="2">
        <v>0.96</v>
      </c>
      <c r="Q15" s="2">
        <v>0.96</v>
      </c>
      <c r="R15" s="2">
        <v>0.96</v>
      </c>
      <c r="S15" s="2">
        <f t="shared" si="0"/>
        <v>0.99</v>
      </c>
    </row>
    <row r="16" spans="1:19" ht="25" customHeight="1">
      <c r="A16" t="s">
        <v>27</v>
      </c>
      <c r="B16">
        <v>3</v>
      </c>
      <c r="C16" t="s">
        <v>10</v>
      </c>
      <c r="D16" t="b">
        <v>1</v>
      </c>
      <c r="E16">
        <v>3</v>
      </c>
      <c r="F16" t="s">
        <v>6</v>
      </c>
      <c r="G16" s="2">
        <v>0.98</v>
      </c>
      <c r="H16" s="2">
        <v>0.99</v>
      </c>
      <c r="I16" s="2">
        <v>0.96</v>
      </c>
      <c r="J16" s="2">
        <v>0.96</v>
      </c>
      <c r="K16" s="2">
        <v>0.98</v>
      </c>
      <c r="L16" s="2">
        <v>0.96</v>
      </c>
      <c r="M16" s="2">
        <v>0.97</v>
      </c>
      <c r="N16" s="2">
        <v>0.94</v>
      </c>
      <c r="O16" s="2">
        <v>0.96</v>
      </c>
      <c r="P16" s="2">
        <v>0.96</v>
      </c>
      <c r="Q16" s="2">
        <v>0.96</v>
      </c>
      <c r="R16" s="2">
        <v>0.96</v>
      </c>
      <c r="S16" s="2">
        <f t="shared" si="0"/>
        <v>0.99</v>
      </c>
    </row>
    <row r="17" spans="1:19" ht="25" customHeight="1">
      <c r="A17" t="s">
        <v>27</v>
      </c>
      <c r="B17">
        <v>3</v>
      </c>
      <c r="C17" t="s">
        <v>10</v>
      </c>
      <c r="D17" t="b">
        <v>0</v>
      </c>
      <c r="E17">
        <v>1</v>
      </c>
      <c r="F17" t="s">
        <v>8</v>
      </c>
      <c r="G17" s="2">
        <v>0.96</v>
      </c>
      <c r="H17" s="2">
        <v>0.99</v>
      </c>
      <c r="I17" s="2">
        <v>0.96</v>
      </c>
      <c r="J17" s="2">
        <v>0.94</v>
      </c>
      <c r="K17" s="2">
        <v>0.97</v>
      </c>
      <c r="L17" s="2">
        <v>0.94</v>
      </c>
      <c r="M17" s="2">
        <v>0.97</v>
      </c>
      <c r="N17" s="2">
        <v>0.91</v>
      </c>
      <c r="O17" s="2">
        <v>0.94</v>
      </c>
      <c r="P17" s="2">
        <v>0.9</v>
      </c>
      <c r="Q17" s="2">
        <v>0.96</v>
      </c>
      <c r="R17" s="2">
        <v>0.93</v>
      </c>
      <c r="S17" s="2">
        <f t="shared" si="0"/>
        <v>0.99</v>
      </c>
    </row>
    <row r="18" spans="1:19" ht="25" customHeight="1">
      <c r="A18" t="s">
        <v>27</v>
      </c>
      <c r="B18">
        <v>3</v>
      </c>
      <c r="C18" t="s">
        <v>10</v>
      </c>
      <c r="D18" t="b">
        <v>0</v>
      </c>
      <c r="E18">
        <v>2</v>
      </c>
      <c r="F18" t="s">
        <v>7</v>
      </c>
      <c r="G18" s="2">
        <v>0.98</v>
      </c>
      <c r="H18" s="2">
        <v>0.99</v>
      </c>
      <c r="I18" s="2">
        <v>0.96</v>
      </c>
      <c r="J18" s="2">
        <v>0.96</v>
      </c>
      <c r="K18" s="2">
        <v>0.98</v>
      </c>
      <c r="L18" s="2">
        <v>0.96</v>
      </c>
      <c r="M18" s="2">
        <v>0.97</v>
      </c>
      <c r="N18" s="2">
        <v>0.94</v>
      </c>
      <c r="O18" s="2">
        <v>0.96</v>
      </c>
      <c r="P18" s="2">
        <v>0.96</v>
      </c>
      <c r="Q18" s="2">
        <v>0.96</v>
      </c>
      <c r="R18" s="2">
        <v>0.96</v>
      </c>
      <c r="S18" s="2">
        <f t="shared" si="0"/>
        <v>0.99</v>
      </c>
    </row>
    <row r="19" spans="1:19" ht="25" customHeight="1">
      <c r="A19" t="s">
        <v>27</v>
      </c>
      <c r="B19">
        <v>3</v>
      </c>
      <c r="C19" t="s">
        <v>10</v>
      </c>
      <c r="D19" t="b">
        <v>0</v>
      </c>
      <c r="E19">
        <v>3</v>
      </c>
      <c r="F19" t="s">
        <v>6</v>
      </c>
      <c r="G19" s="2">
        <v>0.98</v>
      </c>
      <c r="H19" s="2">
        <v>0.99</v>
      </c>
      <c r="I19" s="2">
        <v>0.96</v>
      </c>
      <c r="J19" s="2">
        <v>0.96</v>
      </c>
      <c r="K19" s="2">
        <v>0.98</v>
      </c>
      <c r="L19" s="2">
        <v>0.96</v>
      </c>
      <c r="M19" s="2">
        <v>0.97</v>
      </c>
      <c r="N19" s="2">
        <v>0.94</v>
      </c>
      <c r="O19" s="2">
        <v>0.96</v>
      </c>
      <c r="P19" s="2">
        <v>0.96</v>
      </c>
      <c r="Q19" s="2">
        <v>0.96</v>
      </c>
      <c r="R19" s="2">
        <v>0.96</v>
      </c>
      <c r="S19" s="2">
        <f t="shared" si="0"/>
        <v>0.99</v>
      </c>
    </row>
    <row r="22" spans="1:19" ht="25" customHeight="1">
      <c r="B22" t="s">
        <v>11</v>
      </c>
      <c r="C22" t="s">
        <v>1</v>
      </c>
      <c r="D22" t="s">
        <v>14</v>
      </c>
      <c r="E22" t="s">
        <v>12</v>
      </c>
      <c r="F22" t="s">
        <v>13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  <c r="L22" t="s">
        <v>20</v>
      </c>
      <c r="M22" t="s">
        <v>21</v>
      </c>
      <c r="N22" t="s">
        <v>22</v>
      </c>
      <c r="O22" t="s">
        <v>23</v>
      </c>
      <c r="P22" t="s">
        <v>24</v>
      </c>
      <c r="Q22" t="s">
        <v>25</v>
      </c>
      <c r="R22" t="s">
        <v>26</v>
      </c>
      <c r="S22" t="s">
        <v>4</v>
      </c>
    </row>
    <row r="23" spans="1:19" ht="25" customHeight="1">
      <c r="B23">
        <v>1</v>
      </c>
      <c r="C23" t="s">
        <v>5</v>
      </c>
      <c r="D23" t="b">
        <v>1</v>
      </c>
      <c r="E23">
        <v>1</v>
      </c>
      <c r="F23" t="s">
        <v>4</v>
      </c>
      <c r="G23" s="2" cm="1">
        <f t="array" ref="G23">_xlfn.LET(_xlpm.d,G$2:G$19,_xlpm.a,$C$2:$C$19=$C23,_xlpm.b,$D$2:$D$19=$D23,MAX(_xlfn._xlws.FILTER(_xlpm.d,_xlpm.a*_xlpm.b)))</f>
        <v>0.67</v>
      </c>
      <c r="H23" s="2" cm="1">
        <f t="array" ref="H23">_xlfn.LET(_xlpm.d,H$2:H$19,_xlpm.a,$C$2:$C$19=$C23,_xlpm.b,$D$2:$D$19=$D23,MAX(_xlfn._xlws.FILTER(_xlpm.d,_xlpm.a*_xlpm.b)))</f>
        <v>0.64</v>
      </c>
      <c r="I23" s="2" cm="1">
        <f t="array" ref="I23">_xlfn.LET(_xlpm.d,I$2:I$19,_xlpm.a,$C$2:$C$19=$C23,_xlpm.b,$D$2:$D$19=$D23,MAX(_xlfn._xlws.FILTER(_xlpm.d,_xlpm.a*_xlpm.b)))</f>
        <v>0.57999999999999996</v>
      </c>
      <c r="J23" s="2" cm="1">
        <f t="array" ref="J23">_xlfn.LET(_xlpm.d,J$2:J$19,_xlpm.a,$C$2:$C$19=$C23,_xlpm.b,$D$2:$D$19=$D23,MAX(_xlfn._xlws.FILTER(_xlpm.d,_xlpm.a*_xlpm.b)))</f>
        <v>0.6</v>
      </c>
      <c r="K23" s="2" cm="1">
        <f t="array" ref="K23">_xlfn.LET(_xlpm.d,K$2:K$19,_xlpm.a,$C$2:$C$19=$C23,_xlpm.b,$D$2:$D$19=$D23,MAX(_xlfn._xlws.FILTER(_xlpm.d,_xlpm.a*_xlpm.b)))</f>
        <v>0.63</v>
      </c>
      <c r="L23" s="2" cm="1">
        <f t="array" ref="L23">_xlfn.LET(_xlpm.d,L$2:L$19,_xlpm.a,$C$2:$C$19=$C23,_xlpm.b,$D$2:$D$19=$D23,MAX(_xlfn._xlws.FILTER(_xlpm.d,_xlpm.a*_xlpm.b)))</f>
        <v>0.74</v>
      </c>
      <c r="M23" s="2" cm="1">
        <f t="array" ref="M23">_xlfn.LET(_xlpm.d,M$2:M$19,_xlpm.a,$C$2:$C$19=$C23,_xlpm.b,$D$2:$D$19=$D23,MAX(_xlfn._xlws.FILTER(_xlpm.d,_xlpm.a*_xlpm.b)))</f>
        <v>0.65</v>
      </c>
      <c r="N23" s="2" cm="1">
        <f t="array" ref="N23">_xlfn.LET(_xlpm.d,N$2:N$19,_xlpm.a,$C$2:$C$19=$C23,_xlpm.b,$D$2:$D$19=$D23,MAX(_xlfn._xlws.FILTER(_xlpm.d,_xlpm.a*_xlpm.b)))</f>
        <v>0.7</v>
      </c>
      <c r="O23" s="2" cm="1">
        <f t="array" ref="O23">_xlfn.LET(_xlpm.d,O$2:O$19,_xlpm.a,$C$2:$C$19=$C23,_xlpm.b,$D$2:$D$19=$D23,MAX(_xlfn._xlws.FILTER(_xlpm.d,_xlpm.a*_xlpm.b)))</f>
        <v>0.7</v>
      </c>
      <c r="P23" s="2" cm="1">
        <f t="array" ref="P23">_xlfn.LET(_xlpm.d,P$2:P$19,_xlpm.a,$C$2:$C$19=$C23,_xlpm.b,$D$2:$D$19=$D23,MAX(_xlfn._xlws.FILTER(_xlpm.d,_xlpm.a*_xlpm.b)))</f>
        <v>0.71</v>
      </c>
      <c r="Q23" s="2" cm="1">
        <f t="array" ref="Q23">_xlfn.LET(_xlpm.d,Q$2:Q$19,_xlpm.a,$C$2:$C$19=$C23,_xlpm.b,$D$2:$D$19=$D23,MAX(_xlfn._xlws.FILTER(_xlpm.d,_xlpm.a*_xlpm.b)))</f>
        <v>0.73</v>
      </c>
      <c r="R23" s="2" cm="1">
        <f t="array" ref="R23">_xlfn.LET(_xlpm.d,R$2:R$19,_xlpm.a,$C$2:$C$19=$C23,_xlpm.b,$D$2:$D$19=$D23,MAX(_xlfn._xlws.FILTER(_xlpm.d,_xlpm.a*_xlpm.b)))</f>
        <v>0.72</v>
      </c>
      <c r="S23" s="2" cm="1">
        <f t="array" ref="S23">_xlfn.LET(_xlpm.d,S$2:S$19,_xlpm.a,$C$2:$C$19=$C23,_xlpm.b,$D$2:$D$19=$D23,MAX(_xlfn._xlws.FILTER(_xlpm.d,_xlpm.a*_xlpm.b)))</f>
        <v>0.74</v>
      </c>
    </row>
    <row r="24" spans="1:19" ht="25" customHeight="1">
      <c r="B24">
        <v>1</v>
      </c>
      <c r="C24" t="s">
        <v>5</v>
      </c>
      <c r="D24" t="b">
        <v>0</v>
      </c>
      <c r="E24">
        <v>1</v>
      </c>
      <c r="F24" t="s">
        <v>4</v>
      </c>
      <c r="G24" s="2" cm="1">
        <f t="array" ref="G24">_xlfn.LET(_xlpm.d,G$2:G$19,_xlpm.a,$C$2:$C$19=$C24,_xlpm.b,$D$2:$D$19=$D24,MAX(_xlfn._xlws.FILTER(_xlpm.d,_xlpm.a*_xlpm.b)))</f>
        <v>0.64</v>
      </c>
      <c r="H24" s="2" cm="1">
        <f t="array" ref="H24">_xlfn.LET(_xlpm.d,H$2:H$19,_xlpm.a,$C$2:$C$19=$C24,_xlpm.b,$D$2:$D$19=$D24,MAX(_xlfn._xlws.FILTER(_xlpm.d,_xlpm.a*_xlpm.b)))</f>
        <v>0.63</v>
      </c>
      <c r="I24" s="2" cm="1">
        <f t="array" ref="I24">_xlfn.LET(_xlpm.d,I$2:I$19,_xlpm.a,$C$2:$C$19=$C24,_xlpm.b,$D$2:$D$19=$D24,MAX(_xlfn._xlws.FILTER(_xlpm.d,_xlpm.a*_xlpm.b)))</f>
        <v>0.56000000000000005</v>
      </c>
      <c r="J24" s="2" cm="1">
        <f t="array" ref="J24">_xlfn.LET(_xlpm.d,J$2:J$19,_xlpm.a,$C$2:$C$19=$C24,_xlpm.b,$D$2:$D$19=$D24,MAX(_xlfn._xlws.FILTER(_xlpm.d,_xlpm.a*_xlpm.b)))</f>
        <v>0.57999999999999996</v>
      </c>
      <c r="K24" s="2" cm="1">
        <f t="array" ref="K24">_xlfn.LET(_xlpm.d,K$2:K$19,_xlpm.a,$C$2:$C$19=$C24,_xlpm.b,$D$2:$D$19=$D24,MAX(_xlfn._xlws.FILTER(_xlpm.d,_xlpm.a*_xlpm.b)))</f>
        <v>0.59</v>
      </c>
      <c r="L24" s="2" cm="1">
        <f t="array" ref="L24">_xlfn.LET(_xlpm.d,L$2:L$19,_xlpm.a,$C$2:$C$19=$C24,_xlpm.b,$D$2:$D$19=$D24,MAX(_xlfn._xlws.FILTER(_xlpm.d,_xlpm.a*_xlpm.b)))</f>
        <v>0.7</v>
      </c>
      <c r="M24" s="2" cm="1">
        <f t="array" ref="M24">_xlfn.LET(_xlpm.d,M$2:M$19,_xlpm.a,$C$2:$C$19=$C24,_xlpm.b,$D$2:$D$19=$D24,MAX(_xlfn._xlws.FILTER(_xlpm.d,_xlpm.a*_xlpm.b)))</f>
        <v>0.6</v>
      </c>
      <c r="N24" s="2" cm="1">
        <f t="array" ref="N24">_xlfn.LET(_xlpm.d,N$2:N$19,_xlpm.a,$C$2:$C$19=$C24,_xlpm.b,$D$2:$D$19=$D24,MAX(_xlfn._xlws.FILTER(_xlpm.d,_xlpm.a*_xlpm.b)))</f>
        <v>0.64</v>
      </c>
      <c r="O24" s="2" cm="1">
        <f t="array" ref="O24">_xlfn.LET(_xlpm.d,O$2:O$19,_xlpm.a,$C$2:$C$19=$C24,_xlpm.b,$D$2:$D$19=$D24,MAX(_xlfn._xlws.FILTER(_xlpm.d,_xlpm.a*_xlpm.b)))</f>
        <v>0.68</v>
      </c>
      <c r="P24" s="2" cm="1">
        <f t="array" ref="P24">_xlfn.LET(_xlpm.d,P$2:P$19,_xlpm.a,$C$2:$C$19=$C24,_xlpm.b,$D$2:$D$19=$D24,MAX(_xlfn._xlws.FILTER(_xlpm.d,_xlpm.a*_xlpm.b)))</f>
        <v>0.69</v>
      </c>
      <c r="Q24" s="2" cm="1">
        <f t="array" ref="Q24">_xlfn.LET(_xlpm.d,Q$2:Q$19,_xlpm.a,$C$2:$C$19=$C24,_xlpm.b,$D$2:$D$19=$D24,MAX(_xlfn._xlws.FILTER(_xlpm.d,_xlpm.a*_xlpm.b)))</f>
        <v>0.69</v>
      </c>
      <c r="R24" s="2" cm="1">
        <f t="array" ref="R24">_xlfn.LET(_xlpm.d,R$2:R$19,_xlpm.a,$C$2:$C$19=$C24,_xlpm.b,$D$2:$D$19=$D24,MAX(_xlfn._xlws.FILTER(_xlpm.d,_xlpm.a*_xlpm.b)))</f>
        <v>0.69</v>
      </c>
      <c r="S24" s="2" cm="1">
        <f t="array" ref="S24">_xlfn.LET(_xlpm.d,S$2:S$19,_xlpm.a,$C$2:$C$19=$C24,_xlpm.b,$D$2:$D$19=$D24,MAX(_xlfn._xlws.FILTER(_xlpm.d,_xlpm.a*_xlpm.b)))</f>
        <v>0.7</v>
      </c>
    </row>
    <row r="25" spans="1:19" ht="25" customHeight="1">
      <c r="B25">
        <v>2</v>
      </c>
      <c r="C25" t="s">
        <v>9</v>
      </c>
      <c r="D25" t="b">
        <v>1</v>
      </c>
      <c r="E25">
        <v>1</v>
      </c>
      <c r="F25" t="s">
        <v>4</v>
      </c>
      <c r="G25" s="2" cm="1">
        <f t="array" ref="G25">_xlfn.LET(_xlpm.d,G$2:G$19,_xlpm.a,$C$2:$C$19=$C25,_xlpm.b,$D$2:$D$19=$D25,MAX(_xlfn._xlws.FILTER(_xlpm.d,_xlpm.a*_xlpm.b)))</f>
        <v>0.77</v>
      </c>
      <c r="H25" s="2" cm="1">
        <f t="array" ref="H25">_xlfn.LET(_xlpm.d,H$2:H$19,_xlpm.a,$C$2:$C$19=$C25,_xlpm.b,$D$2:$D$19=$D25,MAX(_xlfn._xlws.FILTER(_xlpm.d,_xlpm.a*_xlpm.b)))</f>
        <v>0.79</v>
      </c>
      <c r="I25" s="2" cm="1">
        <f t="array" ref="I25">_xlfn.LET(_xlpm.d,I$2:I$19,_xlpm.a,$C$2:$C$19=$C25,_xlpm.b,$D$2:$D$19=$D25,MAX(_xlfn._xlws.FILTER(_xlpm.d,_xlpm.a*_xlpm.b)))</f>
        <v>0.81</v>
      </c>
      <c r="J25" s="2" cm="1">
        <f t="array" ref="J25">_xlfn.LET(_xlpm.d,J$2:J$19,_xlpm.a,$C$2:$C$19=$C25,_xlpm.b,$D$2:$D$19=$D25,MAX(_xlfn._xlws.FILTER(_xlpm.d,_xlpm.a*_xlpm.b)))</f>
        <v>0.77</v>
      </c>
      <c r="K25" s="2" cm="1">
        <f t="array" ref="K25">_xlfn.LET(_xlpm.d,K$2:K$19,_xlpm.a,$C$2:$C$19=$C25,_xlpm.b,$D$2:$D$19=$D25,MAX(_xlfn._xlws.FILTER(_xlpm.d,_xlpm.a*_xlpm.b)))</f>
        <v>0.75</v>
      </c>
      <c r="L25" s="2" cm="1">
        <f t="array" ref="L25">_xlfn.LET(_xlpm.d,L$2:L$19,_xlpm.a,$C$2:$C$19=$C25,_xlpm.b,$D$2:$D$19=$D25,MAX(_xlfn._xlws.FILTER(_xlpm.d,_xlpm.a*_xlpm.b)))</f>
        <v>0.75</v>
      </c>
      <c r="M25" s="2" cm="1">
        <f t="array" ref="M25">_xlfn.LET(_xlpm.d,M$2:M$19,_xlpm.a,$C$2:$C$19=$C25,_xlpm.b,$D$2:$D$19=$D25,MAX(_xlfn._xlws.FILTER(_xlpm.d,_xlpm.a*_xlpm.b)))</f>
        <v>0.77</v>
      </c>
      <c r="N25" s="2" cm="1">
        <f t="array" ref="N25">_xlfn.LET(_xlpm.d,N$2:N$19,_xlpm.a,$C$2:$C$19=$C25,_xlpm.b,$D$2:$D$19=$D25,MAX(_xlfn._xlws.FILTER(_xlpm.d,_xlpm.a*_xlpm.b)))</f>
        <v>0.83</v>
      </c>
      <c r="O25" s="2" cm="1">
        <f t="array" ref="O25">_xlfn.LET(_xlpm.d,O$2:O$19,_xlpm.a,$C$2:$C$19=$C25,_xlpm.b,$D$2:$D$19=$D25,MAX(_xlfn._xlws.FILTER(_xlpm.d,_xlpm.a*_xlpm.b)))</f>
        <v>0.74</v>
      </c>
      <c r="P25" s="2" cm="1">
        <f t="array" ref="P25">_xlfn.LET(_xlpm.d,P$2:P$19,_xlpm.a,$C$2:$C$19=$C25,_xlpm.b,$D$2:$D$19=$D25,MAX(_xlfn._xlws.FILTER(_xlpm.d,_xlpm.a*_xlpm.b)))</f>
        <v>0.76</v>
      </c>
      <c r="Q25" s="2" cm="1">
        <f t="array" ref="Q25">_xlfn.LET(_xlpm.d,Q$2:Q$19,_xlpm.a,$C$2:$C$19=$C25,_xlpm.b,$D$2:$D$19=$D25,MAX(_xlfn._xlws.FILTER(_xlpm.d,_xlpm.a*_xlpm.b)))</f>
        <v>0.77</v>
      </c>
      <c r="R25" s="2" cm="1">
        <f t="array" ref="R25">_xlfn.LET(_xlpm.d,R$2:R$19,_xlpm.a,$C$2:$C$19=$C25,_xlpm.b,$D$2:$D$19=$D25,MAX(_xlfn._xlws.FILTER(_xlpm.d,_xlpm.a*_xlpm.b)))</f>
        <v>0.78</v>
      </c>
      <c r="S25" s="2" cm="1">
        <f t="array" ref="S25">_xlfn.LET(_xlpm.d,S$2:S$19,_xlpm.a,$C$2:$C$19=$C25,_xlpm.b,$D$2:$D$19=$D25,MAX(_xlfn._xlws.FILTER(_xlpm.d,_xlpm.a*_xlpm.b)))</f>
        <v>0.83</v>
      </c>
    </row>
    <row r="26" spans="1:19" ht="25" customHeight="1">
      <c r="B26">
        <v>2</v>
      </c>
      <c r="C26" t="s">
        <v>9</v>
      </c>
      <c r="D26" t="b">
        <v>0</v>
      </c>
      <c r="E26">
        <v>1</v>
      </c>
      <c r="F26" t="s">
        <v>4</v>
      </c>
      <c r="G26" s="2" cm="1">
        <f t="array" ref="G26">_xlfn.LET(_xlpm.d,G$2:G$19,_xlpm.a,$C$2:$C$19=$C26,_xlpm.b,$D$2:$D$19=$D26,MAX(_xlfn._xlws.FILTER(_xlpm.d,_xlpm.a*_xlpm.b)))</f>
        <v>0.73</v>
      </c>
      <c r="H26" s="2" cm="1">
        <f t="array" ref="H26">_xlfn.LET(_xlpm.d,H$2:H$19,_xlpm.a,$C$2:$C$19=$C26,_xlpm.b,$D$2:$D$19=$D26,MAX(_xlfn._xlws.FILTER(_xlpm.d,_xlpm.a*_xlpm.b)))</f>
        <v>0.77</v>
      </c>
      <c r="I26" s="2" cm="1">
        <f t="array" ref="I26">_xlfn.LET(_xlpm.d,I$2:I$19,_xlpm.a,$C$2:$C$19=$C26,_xlpm.b,$D$2:$D$19=$D26,MAX(_xlfn._xlws.FILTER(_xlpm.d,_xlpm.a*_xlpm.b)))</f>
        <v>0.77</v>
      </c>
      <c r="J26" s="2" cm="1">
        <f t="array" ref="J26">_xlfn.LET(_xlpm.d,J$2:J$19,_xlpm.a,$C$2:$C$19=$C26,_xlpm.b,$D$2:$D$19=$D26,MAX(_xlfn._xlws.FILTER(_xlpm.d,_xlpm.a*_xlpm.b)))</f>
        <v>0.75</v>
      </c>
      <c r="K26" s="2" cm="1">
        <f t="array" ref="K26">_xlfn.LET(_xlpm.d,K$2:K$19,_xlpm.a,$C$2:$C$19=$C26,_xlpm.b,$D$2:$D$19=$D26,MAX(_xlfn._xlws.FILTER(_xlpm.d,_xlpm.a*_xlpm.b)))</f>
        <v>0.7</v>
      </c>
      <c r="L26" s="2" cm="1">
        <f t="array" ref="L26">_xlfn.LET(_xlpm.d,L$2:L$19,_xlpm.a,$C$2:$C$19=$C26,_xlpm.b,$D$2:$D$19=$D26,MAX(_xlfn._xlws.FILTER(_xlpm.d,_xlpm.a*_xlpm.b)))</f>
        <v>0.76</v>
      </c>
      <c r="M26" s="2" cm="1">
        <f t="array" ref="M26">_xlfn.LET(_xlpm.d,M$2:M$19,_xlpm.a,$C$2:$C$19=$C26,_xlpm.b,$D$2:$D$19=$D26,MAX(_xlfn._xlws.FILTER(_xlpm.d,_xlpm.a*_xlpm.b)))</f>
        <v>0.74</v>
      </c>
      <c r="N26" s="2" cm="1">
        <f t="array" ref="N26">_xlfn.LET(_xlpm.d,N$2:N$19,_xlpm.a,$C$2:$C$19=$C26,_xlpm.b,$D$2:$D$19=$D26,MAX(_xlfn._xlws.FILTER(_xlpm.d,_xlpm.a*_xlpm.b)))</f>
        <v>0.77</v>
      </c>
      <c r="O26" s="2" cm="1">
        <f t="array" ref="O26">_xlfn.LET(_xlpm.d,O$2:O$19,_xlpm.a,$C$2:$C$19=$C26,_xlpm.b,$D$2:$D$19=$D26,MAX(_xlfn._xlws.FILTER(_xlpm.d,_xlpm.a*_xlpm.b)))</f>
        <v>0.71</v>
      </c>
      <c r="P26" s="2" cm="1">
        <f t="array" ref="P26">_xlfn.LET(_xlpm.d,P$2:P$19,_xlpm.a,$C$2:$C$19=$C26,_xlpm.b,$D$2:$D$19=$D26,MAX(_xlfn._xlws.FILTER(_xlpm.d,_xlpm.a*_xlpm.b)))</f>
        <v>0.7</v>
      </c>
      <c r="Q26" s="2" cm="1">
        <f t="array" ref="Q26">_xlfn.LET(_xlpm.d,Q$2:Q$19,_xlpm.a,$C$2:$C$19=$C26,_xlpm.b,$D$2:$D$19=$D26,MAX(_xlfn._xlws.FILTER(_xlpm.d,_xlpm.a*_xlpm.b)))</f>
        <v>0.73</v>
      </c>
      <c r="R26" s="2" cm="1">
        <f t="array" ref="R26">_xlfn.LET(_xlpm.d,R$2:R$19,_xlpm.a,$C$2:$C$19=$C26,_xlpm.b,$D$2:$D$19=$D26,MAX(_xlfn._xlws.FILTER(_xlpm.d,_xlpm.a*_xlpm.b)))</f>
        <v>0.74</v>
      </c>
      <c r="S26" s="2" cm="1">
        <f t="array" ref="S26">_xlfn.LET(_xlpm.d,S$2:S$19,_xlpm.a,$C$2:$C$19=$C26,_xlpm.b,$D$2:$D$19=$D26,MAX(_xlfn._xlws.FILTER(_xlpm.d,_xlpm.a*_xlpm.b)))</f>
        <v>0.77</v>
      </c>
    </row>
    <row r="27" spans="1:19" ht="25" customHeight="1">
      <c r="B27">
        <v>3</v>
      </c>
      <c r="C27" t="s">
        <v>10</v>
      </c>
      <c r="D27" t="b">
        <v>1</v>
      </c>
      <c r="E27">
        <v>1</v>
      </c>
      <c r="F27" t="s">
        <v>4</v>
      </c>
      <c r="G27" s="2" cm="1">
        <f t="array" ref="G27">_xlfn.LET(_xlpm.d,G$2:G$19,_xlpm.a,$C$2:$C$19=$C27,_xlpm.b,$D$2:$D$19=$D27,MAX(_xlfn._xlws.FILTER(_xlpm.d,_xlpm.a*_xlpm.b)))</f>
        <v>0.98</v>
      </c>
      <c r="H27" s="2" cm="1">
        <f t="array" ref="H27">_xlfn.LET(_xlpm.d,H$2:H$19,_xlpm.a,$C$2:$C$19=$C27,_xlpm.b,$D$2:$D$19=$D27,MAX(_xlfn._xlws.FILTER(_xlpm.d,_xlpm.a*_xlpm.b)))</f>
        <v>0.99</v>
      </c>
      <c r="I27" s="2" cm="1">
        <f t="array" ref="I27">_xlfn.LET(_xlpm.d,I$2:I$19,_xlpm.a,$C$2:$C$19=$C27,_xlpm.b,$D$2:$D$19=$D27,MAX(_xlfn._xlws.FILTER(_xlpm.d,_xlpm.a*_xlpm.b)))</f>
        <v>0.96</v>
      </c>
      <c r="J27" s="2" cm="1">
        <f t="array" ref="J27">_xlfn.LET(_xlpm.d,J$2:J$19,_xlpm.a,$C$2:$C$19=$C27,_xlpm.b,$D$2:$D$19=$D27,MAX(_xlfn._xlws.FILTER(_xlpm.d,_xlpm.a*_xlpm.b)))</f>
        <v>0.96</v>
      </c>
      <c r="K27" s="2" cm="1">
        <f t="array" ref="K27">_xlfn.LET(_xlpm.d,K$2:K$19,_xlpm.a,$C$2:$C$19=$C27,_xlpm.b,$D$2:$D$19=$D27,MAX(_xlfn._xlws.FILTER(_xlpm.d,_xlpm.a*_xlpm.b)))</f>
        <v>0.98</v>
      </c>
      <c r="L27" s="2" cm="1">
        <f t="array" ref="L27">_xlfn.LET(_xlpm.d,L$2:L$19,_xlpm.a,$C$2:$C$19=$C27,_xlpm.b,$D$2:$D$19=$D27,MAX(_xlfn._xlws.FILTER(_xlpm.d,_xlpm.a*_xlpm.b)))</f>
        <v>0.96</v>
      </c>
      <c r="M27" s="2" cm="1">
        <f t="array" ref="M27">_xlfn.LET(_xlpm.d,M$2:M$19,_xlpm.a,$C$2:$C$19=$C27,_xlpm.b,$D$2:$D$19=$D27,MAX(_xlfn._xlws.FILTER(_xlpm.d,_xlpm.a*_xlpm.b)))</f>
        <v>0.97</v>
      </c>
      <c r="N27" s="2" cm="1">
        <f t="array" ref="N27">_xlfn.LET(_xlpm.d,N$2:N$19,_xlpm.a,$C$2:$C$19=$C27,_xlpm.b,$D$2:$D$19=$D27,MAX(_xlfn._xlws.FILTER(_xlpm.d,_xlpm.a*_xlpm.b)))</f>
        <v>0.94</v>
      </c>
      <c r="O27" s="2" cm="1">
        <f t="array" ref="O27">_xlfn.LET(_xlpm.d,O$2:O$19,_xlpm.a,$C$2:$C$19=$C27,_xlpm.b,$D$2:$D$19=$D27,MAX(_xlfn._xlws.FILTER(_xlpm.d,_xlpm.a*_xlpm.b)))</f>
        <v>0.96</v>
      </c>
      <c r="P27" s="2" cm="1">
        <f t="array" ref="P27">_xlfn.LET(_xlpm.d,P$2:P$19,_xlpm.a,$C$2:$C$19=$C27,_xlpm.b,$D$2:$D$19=$D27,MAX(_xlfn._xlws.FILTER(_xlpm.d,_xlpm.a*_xlpm.b)))</f>
        <v>0.96</v>
      </c>
      <c r="Q27" s="2" cm="1">
        <f t="array" ref="Q27">_xlfn.LET(_xlpm.d,Q$2:Q$19,_xlpm.a,$C$2:$C$19=$C27,_xlpm.b,$D$2:$D$19=$D27,MAX(_xlfn._xlws.FILTER(_xlpm.d,_xlpm.a*_xlpm.b)))</f>
        <v>0.96</v>
      </c>
      <c r="R27" s="2" cm="1">
        <f t="array" ref="R27">_xlfn.LET(_xlpm.d,R$2:R$19,_xlpm.a,$C$2:$C$19=$C27,_xlpm.b,$D$2:$D$19=$D27,MAX(_xlfn._xlws.FILTER(_xlpm.d,_xlpm.a*_xlpm.b)))</f>
        <v>0.96</v>
      </c>
      <c r="S27" s="2" cm="1">
        <f t="array" ref="S27">_xlfn.LET(_xlpm.d,S$2:S$19,_xlpm.a,$C$2:$C$19=$C27,_xlpm.b,$D$2:$D$19=$D27,MAX(_xlfn._xlws.FILTER(_xlpm.d,_xlpm.a*_xlpm.b)))</f>
        <v>0.99</v>
      </c>
    </row>
    <row r="28" spans="1:19" ht="25" customHeight="1">
      <c r="B28">
        <v>3</v>
      </c>
      <c r="C28" t="s">
        <v>10</v>
      </c>
      <c r="D28" t="b">
        <v>0</v>
      </c>
      <c r="E28">
        <v>1</v>
      </c>
      <c r="F28" t="s">
        <v>4</v>
      </c>
      <c r="G28" s="2" cm="1">
        <f t="array" ref="G28">_xlfn.LET(_xlpm.d,G$2:G$19,_xlpm.a,$C$2:$C$19=$C28,_xlpm.b,$D$2:$D$19=$D28,MAX(_xlfn._xlws.FILTER(_xlpm.d,_xlpm.a*_xlpm.b)))</f>
        <v>0.98</v>
      </c>
      <c r="H28" s="2" cm="1">
        <f t="array" ref="H28">_xlfn.LET(_xlpm.d,H$2:H$19,_xlpm.a,$C$2:$C$19=$C28,_xlpm.b,$D$2:$D$19=$D28,MAX(_xlfn._xlws.FILTER(_xlpm.d,_xlpm.a*_xlpm.b)))</f>
        <v>0.99</v>
      </c>
      <c r="I28" s="2" cm="1">
        <f t="array" ref="I28">_xlfn.LET(_xlpm.d,I$2:I$19,_xlpm.a,$C$2:$C$19=$C28,_xlpm.b,$D$2:$D$19=$D28,MAX(_xlfn._xlws.FILTER(_xlpm.d,_xlpm.a*_xlpm.b)))</f>
        <v>0.96</v>
      </c>
      <c r="J28" s="2" cm="1">
        <f t="array" ref="J28">_xlfn.LET(_xlpm.d,J$2:J$19,_xlpm.a,$C$2:$C$19=$C28,_xlpm.b,$D$2:$D$19=$D28,MAX(_xlfn._xlws.FILTER(_xlpm.d,_xlpm.a*_xlpm.b)))</f>
        <v>0.96</v>
      </c>
      <c r="K28" s="2" cm="1">
        <f t="array" ref="K28">_xlfn.LET(_xlpm.d,K$2:K$19,_xlpm.a,$C$2:$C$19=$C28,_xlpm.b,$D$2:$D$19=$D28,MAX(_xlfn._xlws.FILTER(_xlpm.d,_xlpm.a*_xlpm.b)))</f>
        <v>0.98</v>
      </c>
      <c r="L28" s="2" cm="1">
        <f t="array" ref="L28">_xlfn.LET(_xlpm.d,L$2:L$19,_xlpm.a,$C$2:$C$19=$C28,_xlpm.b,$D$2:$D$19=$D28,MAX(_xlfn._xlws.FILTER(_xlpm.d,_xlpm.a*_xlpm.b)))</f>
        <v>0.96</v>
      </c>
      <c r="M28" s="2" cm="1">
        <f t="array" ref="M28">_xlfn.LET(_xlpm.d,M$2:M$19,_xlpm.a,$C$2:$C$19=$C28,_xlpm.b,$D$2:$D$19=$D28,MAX(_xlfn._xlws.FILTER(_xlpm.d,_xlpm.a*_xlpm.b)))</f>
        <v>0.97</v>
      </c>
      <c r="N28" s="2" cm="1">
        <f t="array" ref="N28">_xlfn.LET(_xlpm.d,N$2:N$19,_xlpm.a,$C$2:$C$19=$C28,_xlpm.b,$D$2:$D$19=$D28,MAX(_xlfn._xlws.FILTER(_xlpm.d,_xlpm.a*_xlpm.b)))</f>
        <v>0.94</v>
      </c>
      <c r="O28" s="2" cm="1">
        <f t="array" ref="O28">_xlfn.LET(_xlpm.d,O$2:O$19,_xlpm.a,$C$2:$C$19=$C28,_xlpm.b,$D$2:$D$19=$D28,MAX(_xlfn._xlws.FILTER(_xlpm.d,_xlpm.a*_xlpm.b)))</f>
        <v>0.96</v>
      </c>
      <c r="P28" s="2" cm="1">
        <f t="array" ref="P28">_xlfn.LET(_xlpm.d,P$2:P$19,_xlpm.a,$C$2:$C$19=$C28,_xlpm.b,$D$2:$D$19=$D28,MAX(_xlfn._xlws.FILTER(_xlpm.d,_xlpm.a*_xlpm.b)))</f>
        <v>0.96</v>
      </c>
      <c r="Q28" s="2" cm="1">
        <f t="array" ref="Q28">_xlfn.LET(_xlpm.d,Q$2:Q$19,_xlpm.a,$C$2:$C$19=$C28,_xlpm.b,$D$2:$D$19=$D28,MAX(_xlfn._xlws.FILTER(_xlpm.d,_xlpm.a*_xlpm.b)))</f>
        <v>0.96</v>
      </c>
      <c r="R28" s="2" cm="1">
        <f t="array" ref="R28">_xlfn.LET(_xlpm.d,R$2:R$19,_xlpm.a,$C$2:$C$19=$C28,_xlpm.b,$D$2:$D$19=$D28,MAX(_xlfn._xlws.FILTER(_xlpm.d,_xlpm.a*_xlpm.b)))</f>
        <v>0.96</v>
      </c>
      <c r="S28" s="2" cm="1">
        <f t="array" ref="S28">_xlfn.LET(_xlpm.d,S$2:S$19,_xlpm.a,$C$2:$C$19=$C28,_xlpm.b,$D$2:$D$19=$D28,MAX(_xlfn._xlws.FILTER(_xlpm.d,_xlpm.a*_xlpm.b)))</f>
        <v>0.99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summarized</vt:lpstr>
      <vt:lpstr>sk-3k-mgv9</vt:lpstr>
      <vt:lpstr>sk-3k-mgv6</vt:lpstr>
      <vt:lpstr>sk-3k-mgv3</vt:lpstr>
      <vt:lpstr>sk-2k-mgv9</vt:lpstr>
      <vt:lpstr>sk-2k-mgv6</vt:lpstr>
      <vt:lpstr>sk-2k-mgv3</vt:lpstr>
      <vt:lpstr>sk-1.2k-mgv9</vt:lpstr>
      <vt:lpstr>sk-1.2k-mgv6</vt:lpstr>
      <vt:lpstr>sk-1.2k-mgv3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2025-02-21T03:59:26Z</dcterms:created>
  <dcterms:modified xsi:type="dcterms:W3CDTF">2025-02-28T03:35:19Z</dcterms:modified>
  <cp:category/>
</cp:coreProperties>
</file>