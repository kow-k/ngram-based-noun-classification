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summarized/"/>
    </mc:Choice>
  </mc:AlternateContent>
  <xr:revisionPtr revIDLastSave="0" documentId="13_ncr:1_{7FA48146-BD95-6C43-BC41-B0796CB6A521}" xr6:coauthVersionLast="47" xr6:coauthVersionMax="47" xr10:uidLastSave="{00000000-0000-0000-0000-000000000000}"/>
  <bookViews>
    <workbookView xWindow="1140" yWindow="580" windowWidth="25280" windowHeight="16980" activeTab="1" xr2:uid="{BB3EDF9E-7DFC-6847-BB98-981BF133B1AF}"/>
  </bookViews>
  <sheets>
    <sheet name="czech.gr067" sheetId="1" r:id="rId1"/>
    <sheet name="czech.gr100" sheetId="3" r:id="rId2"/>
    <sheet name="french.gr067" sheetId="5" r:id="rId3"/>
    <sheet name="french.gr100" sheetId="6" r:id="rId4"/>
    <sheet name="german.gr067" sheetId="2" r:id="rId5"/>
    <sheet name="german.gr100" sheetId="4" r:id="rId6"/>
    <sheet name="irish.gr067" sheetId="7" r:id="rId7"/>
    <sheet name="irish.gr100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8" l="1"/>
  <c r="N44" i="8"/>
  <c r="M44" i="8"/>
  <c r="L44" i="8"/>
  <c r="K44" i="8"/>
  <c r="J44" i="8"/>
  <c r="I44" i="8"/>
  <c r="H44" i="8"/>
  <c r="G44" i="8"/>
  <c r="F44" i="8"/>
  <c r="E44" i="8"/>
  <c r="D44" i="8"/>
  <c r="O40" i="8"/>
  <c r="N40" i="8"/>
  <c r="M40" i="8"/>
  <c r="L40" i="8"/>
  <c r="K40" i="8"/>
  <c r="J40" i="8"/>
  <c r="I40" i="8"/>
  <c r="H40" i="8"/>
  <c r="G40" i="8"/>
  <c r="F40" i="8"/>
  <c r="E40" i="8"/>
  <c r="D40" i="8"/>
  <c r="P39" i="8"/>
  <c r="P38" i="8"/>
  <c r="P37" i="8"/>
  <c r="O33" i="8"/>
  <c r="O47" i="8" s="1"/>
  <c r="N33" i="8"/>
  <c r="N47" i="8" s="1"/>
  <c r="M33" i="8"/>
  <c r="M47" i="8" s="1"/>
  <c r="L33" i="8"/>
  <c r="L47" i="8" s="1"/>
  <c r="K33" i="8"/>
  <c r="K47" i="8" s="1"/>
  <c r="J33" i="8"/>
  <c r="J47" i="8" s="1"/>
  <c r="I33" i="8"/>
  <c r="I47" i="8" s="1"/>
  <c r="H33" i="8"/>
  <c r="H47" i="8" s="1"/>
  <c r="G33" i="8"/>
  <c r="G47" i="8" s="1"/>
  <c r="F33" i="8"/>
  <c r="F47" i="8" s="1"/>
  <c r="E33" i="8"/>
  <c r="E47" i="8" s="1"/>
  <c r="D33" i="8"/>
  <c r="D47" i="8" s="1"/>
  <c r="P32" i="8"/>
  <c r="P31" i="8"/>
  <c r="P30" i="8"/>
  <c r="O26" i="8"/>
  <c r="N26" i="8"/>
  <c r="M26" i="8"/>
  <c r="L26" i="8"/>
  <c r="K26" i="8"/>
  <c r="J26" i="8"/>
  <c r="I26" i="8"/>
  <c r="H26" i="8"/>
  <c r="G26" i="8"/>
  <c r="F26" i="8"/>
  <c r="E26" i="8"/>
  <c r="D26" i="8"/>
  <c r="P25" i="8"/>
  <c r="P24" i="8"/>
  <c r="P23" i="8"/>
  <c r="O19" i="8"/>
  <c r="O46" i="8" s="1"/>
  <c r="N19" i="8"/>
  <c r="N46" i="8" s="1"/>
  <c r="M19" i="8"/>
  <c r="M46" i="8" s="1"/>
  <c r="L19" i="8"/>
  <c r="L46" i="8" s="1"/>
  <c r="K19" i="8"/>
  <c r="K46" i="8" s="1"/>
  <c r="J19" i="8"/>
  <c r="J46" i="8" s="1"/>
  <c r="I19" i="8"/>
  <c r="I46" i="8" s="1"/>
  <c r="H19" i="8"/>
  <c r="H46" i="8" s="1"/>
  <c r="G19" i="8"/>
  <c r="G46" i="8" s="1"/>
  <c r="F19" i="8"/>
  <c r="F46" i="8" s="1"/>
  <c r="E19" i="8"/>
  <c r="E46" i="8" s="1"/>
  <c r="D19" i="8"/>
  <c r="D46" i="8" s="1"/>
  <c r="P18" i="8"/>
  <c r="P17" i="8"/>
  <c r="P16" i="8"/>
  <c r="O12" i="8"/>
  <c r="N12" i="8"/>
  <c r="M12" i="8"/>
  <c r="L12" i="8"/>
  <c r="K12" i="8"/>
  <c r="J12" i="8"/>
  <c r="I12" i="8"/>
  <c r="H12" i="8"/>
  <c r="G12" i="8"/>
  <c r="F12" i="8"/>
  <c r="E12" i="8"/>
  <c r="D12" i="8"/>
  <c r="P11" i="8"/>
  <c r="P10" i="8"/>
  <c r="P9" i="8"/>
  <c r="O5" i="8"/>
  <c r="O45" i="8" s="1"/>
  <c r="N5" i="8"/>
  <c r="N45" i="8" s="1"/>
  <c r="M5" i="8"/>
  <c r="M45" i="8" s="1"/>
  <c r="L5" i="8"/>
  <c r="L45" i="8" s="1"/>
  <c r="K5" i="8"/>
  <c r="K45" i="8" s="1"/>
  <c r="J5" i="8"/>
  <c r="J45" i="8" s="1"/>
  <c r="I5" i="8"/>
  <c r="I45" i="8" s="1"/>
  <c r="H5" i="8"/>
  <c r="H45" i="8" s="1"/>
  <c r="G5" i="8"/>
  <c r="G45" i="8" s="1"/>
  <c r="F5" i="8"/>
  <c r="F45" i="8" s="1"/>
  <c r="E5" i="8"/>
  <c r="E45" i="8" s="1"/>
  <c r="D5" i="8"/>
  <c r="D45" i="8" s="1"/>
  <c r="P4" i="8"/>
  <c r="P3" i="8"/>
  <c r="P2" i="8"/>
  <c r="D5" i="3" a="1"/>
  <c r="D5" i="3" s="1"/>
  <c r="D45" i="3" s="1"/>
  <c r="P23" i="7"/>
  <c r="P24" i="7"/>
  <c r="P25" i="7"/>
  <c r="P16" i="7"/>
  <c r="P17" i="7"/>
  <c r="P18" i="7"/>
  <c r="O44" i="7"/>
  <c r="N44" i="7"/>
  <c r="M44" i="7"/>
  <c r="L44" i="7"/>
  <c r="K44" i="7"/>
  <c r="J44" i="7"/>
  <c r="I44" i="7"/>
  <c r="H44" i="7"/>
  <c r="G44" i="7"/>
  <c r="F44" i="7"/>
  <c r="E44" i="7"/>
  <c r="D44" i="7"/>
  <c r="O40" i="7"/>
  <c r="N40" i="7"/>
  <c r="M40" i="7"/>
  <c r="L40" i="7"/>
  <c r="K40" i="7"/>
  <c r="J40" i="7"/>
  <c r="I40" i="7"/>
  <c r="H40" i="7"/>
  <c r="G40" i="7"/>
  <c r="F40" i="7"/>
  <c r="E40" i="7"/>
  <c r="D40" i="7"/>
  <c r="P39" i="7"/>
  <c r="P38" i="7"/>
  <c r="P37" i="7"/>
  <c r="O33" i="7"/>
  <c r="O47" i="7" s="1"/>
  <c r="N33" i="7"/>
  <c r="N47" i="7" s="1"/>
  <c r="M33" i="7"/>
  <c r="M47" i="7" s="1"/>
  <c r="L33" i="7"/>
  <c r="L47" i="7" s="1"/>
  <c r="K33" i="7"/>
  <c r="K47" i="7" s="1"/>
  <c r="J33" i="7"/>
  <c r="J47" i="7" s="1"/>
  <c r="I33" i="7"/>
  <c r="I47" i="7" s="1"/>
  <c r="H33" i="7"/>
  <c r="H47" i="7" s="1"/>
  <c r="G33" i="7"/>
  <c r="G47" i="7" s="1"/>
  <c r="F33" i="7"/>
  <c r="F47" i="7" s="1"/>
  <c r="E33" i="7"/>
  <c r="E47" i="7" s="1"/>
  <c r="D33" i="7"/>
  <c r="D47" i="7" s="1"/>
  <c r="P32" i="7"/>
  <c r="P31" i="7"/>
  <c r="P30" i="7"/>
  <c r="O26" i="7"/>
  <c r="N26" i="7"/>
  <c r="M26" i="7"/>
  <c r="L26" i="7"/>
  <c r="K26" i="7"/>
  <c r="J26" i="7"/>
  <c r="I26" i="7"/>
  <c r="H26" i="7"/>
  <c r="G26" i="7"/>
  <c r="F26" i="7"/>
  <c r="E26" i="7"/>
  <c r="D26" i="7"/>
  <c r="O19" i="7"/>
  <c r="O46" i="7" s="1"/>
  <c r="N19" i="7"/>
  <c r="N46" i="7" s="1"/>
  <c r="M19" i="7"/>
  <c r="M46" i="7" s="1"/>
  <c r="L19" i="7"/>
  <c r="L46" i="7" s="1"/>
  <c r="K19" i="7"/>
  <c r="K46" i="7" s="1"/>
  <c r="J19" i="7"/>
  <c r="J46" i="7" s="1"/>
  <c r="I19" i="7"/>
  <c r="I46" i="7" s="1"/>
  <c r="H19" i="7"/>
  <c r="H46" i="7" s="1"/>
  <c r="G19" i="7"/>
  <c r="G46" i="7" s="1"/>
  <c r="F19" i="7"/>
  <c r="F46" i="7" s="1"/>
  <c r="E19" i="7"/>
  <c r="E46" i="7" s="1"/>
  <c r="D19" i="7"/>
  <c r="D46" i="7" s="1"/>
  <c r="O12" i="7"/>
  <c r="N12" i="7"/>
  <c r="M12" i="7"/>
  <c r="L12" i="7"/>
  <c r="K12" i="7"/>
  <c r="J12" i="7"/>
  <c r="I12" i="7"/>
  <c r="H12" i="7"/>
  <c r="G12" i="7"/>
  <c r="F12" i="7"/>
  <c r="E12" i="7"/>
  <c r="D12" i="7"/>
  <c r="P11" i="7"/>
  <c r="P10" i="7"/>
  <c r="P9" i="7"/>
  <c r="O5" i="7"/>
  <c r="O45" i="7" s="1"/>
  <c r="N5" i="7"/>
  <c r="N45" i="7" s="1"/>
  <c r="M5" i="7"/>
  <c r="M45" i="7" s="1"/>
  <c r="L5" i="7"/>
  <c r="L45" i="7" s="1"/>
  <c r="K5" i="7"/>
  <c r="K45" i="7" s="1"/>
  <c r="J5" i="7"/>
  <c r="J45" i="7" s="1"/>
  <c r="I5" i="7"/>
  <c r="I45" i="7" s="1"/>
  <c r="H5" i="7"/>
  <c r="H45" i="7" s="1"/>
  <c r="G5" i="7"/>
  <c r="G45" i="7" s="1"/>
  <c r="F5" i="7"/>
  <c r="F45" i="7" s="1"/>
  <c r="E5" i="7"/>
  <c r="E45" i="7" s="1"/>
  <c r="D5" i="7"/>
  <c r="D45" i="7" s="1"/>
  <c r="P4" i="7"/>
  <c r="P3" i="7"/>
  <c r="P2" i="7"/>
  <c r="I32" i="6"/>
  <c r="O30" i="6"/>
  <c r="N30" i="6"/>
  <c r="M30" i="6"/>
  <c r="L30" i="6"/>
  <c r="K30" i="6"/>
  <c r="J30" i="6"/>
  <c r="I30" i="6"/>
  <c r="H30" i="6"/>
  <c r="G30" i="6"/>
  <c r="F30" i="6"/>
  <c r="E30" i="6"/>
  <c r="D30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P25" i="6"/>
  <c r="P24" i="6"/>
  <c r="P23" i="6"/>
  <c r="O19" i="6"/>
  <c r="O32" i="6" s="1"/>
  <c r="N19" i="6"/>
  <c r="N32" i="6" s="1"/>
  <c r="M19" i="6"/>
  <c r="M32" i="6" s="1"/>
  <c r="L19" i="6"/>
  <c r="L32" i="6" s="1"/>
  <c r="K19" i="6"/>
  <c r="K32" i="6" s="1"/>
  <c r="J19" i="6"/>
  <c r="J32" i="6" s="1"/>
  <c r="I19" i="6"/>
  <c r="H19" i="6"/>
  <c r="H32" i="6" s="1"/>
  <c r="G19" i="6"/>
  <c r="G32" i="6" s="1"/>
  <c r="F19" i="6"/>
  <c r="F32" i="6" s="1"/>
  <c r="E19" i="6"/>
  <c r="E32" i="6" s="1"/>
  <c r="D19" i="6"/>
  <c r="D32" i="6" s="1"/>
  <c r="P18" i="6"/>
  <c r="P19" i="6" s="1"/>
  <c r="P32" i="6" s="1"/>
  <c r="P17" i="6"/>
  <c r="P16" i="6"/>
  <c r="O12" i="6"/>
  <c r="N12" i="6"/>
  <c r="M12" i="6"/>
  <c r="L12" i="6"/>
  <c r="K12" i="6"/>
  <c r="J12" i="6"/>
  <c r="I12" i="6"/>
  <c r="H12" i="6"/>
  <c r="G12" i="6"/>
  <c r="F12" i="6"/>
  <c r="E12" i="6"/>
  <c r="D12" i="6"/>
  <c r="P11" i="6"/>
  <c r="P10" i="6"/>
  <c r="P9" i="6"/>
  <c r="P12" i="6" s="1"/>
  <c r="P5" i="6"/>
  <c r="P31" i="6" s="1"/>
  <c r="O5" i="6"/>
  <c r="O31" i="6" s="1"/>
  <c r="N5" i="6"/>
  <c r="N31" i="6" s="1"/>
  <c r="M5" i="6"/>
  <c r="M31" i="6" s="1"/>
  <c r="L5" i="6"/>
  <c r="L31" i="6" s="1"/>
  <c r="K5" i="6"/>
  <c r="K31" i="6" s="1"/>
  <c r="J5" i="6"/>
  <c r="J31" i="6" s="1"/>
  <c r="I5" i="6"/>
  <c r="I31" i="6" s="1"/>
  <c r="H5" i="6"/>
  <c r="H31" i="6" s="1"/>
  <c r="G5" i="6"/>
  <c r="G31" i="6" s="1"/>
  <c r="F5" i="6"/>
  <c r="F31" i="6" s="1"/>
  <c r="E5" i="6"/>
  <c r="E31" i="6" s="1"/>
  <c r="D5" i="6"/>
  <c r="D31" i="6" s="1"/>
  <c r="P4" i="6"/>
  <c r="P3" i="6"/>
  <c r="P2" i="6"/>
  <c r="O33" i="3"/>
  <c r="O47" i="3" s="1"/>
  <c r="N33" i="3"/>
  <c r="N47" i="3" s="1"/>
  <c r="M33" i="3"/>
  <c r="M47" i="3" s="1"/>
  <c r="G33" i="3"/>
  <c r="G47" i="3" s="1"/>
  <c r="H33" i="3"/>
  <c r="H47" i="3" s="1"/>
  <c r="I33" i="3"/>
  <c r="I47" i="3" s="1"/>
  <c r="N5" i="5"/>
  <c r="N30" i="5" s="1"/>
  <c r="O29" i="5"/>
  <c r="N29" i="5"/>
  <c r="M29" i="5"/>
  <c r="L29" i="5"/>
  <c r="K29" i="5"/>
  <c r="J29" i="5"/>
  <c r="I29" i="5"/>
  <c r="H29" i="5"/>
  <c r="G29" i="5"/>
  <c r="F29" i="5"/>
  <c r="E29" i="5"/>
  <c r="D29" i="5"/>
  <c r="O26" i="5"/>
  <c r="N26" i="5"/>
  <c r="M26" i="5"/>
  <c r="L26" i="5"/>
  <c r="K26" i="5"/>
  <c r="J26" i="5"/>
  <c r="I26" i="5"/>
  <c r="H26" i="5"/>
  <c r="G26" i="5"/>
  <c r="F26" i="5"/>
  <c r="E26" i="5"/>
  <c r="D26" i="5"/>
  <c r="P25" i="5"/>
  <c r="P24" i="5"/>
  <c r="P23" i="5"/>
  <c r="O19" i="5"/>
  <c r="O31" i="5" s="1"/>
  <c r="N19" i="5"/>
  <c r="N31" i="5" s="1"/>
  <c r="M19" i="5"/>
  <c r="M31" i="5" s="1"/>
  <c r="L19" i="5"/>
  <c r="L31" i="5" s="1"/>
  <c r="K19" i="5"/>
  <c r="K31" i="5" s="1"/>
  <c r="J19" i="5"/>
  <c r="J31" i="5" s="1"/>
  <c r="I19" i="5"/>
  <c r="I31" i="5" s="1"/>
  <c r="H19" i="5"/>
  <c r="H31" i="5" s="1"/>
  <c r="G19" i="5"/>
  <c r="G31" i="5" s="1"/>
  <c r="F19" i="5"/>
  <c r="F31" i="5" s="1"/>
  <c r="E19" i="5"/>
  <c r="E31" i="5" s="1"/>
  <c r="D19" i="5"/>
  <c r="D31" i="5" s="1"/>
  <c r="P18" i="5"/>
  <c r="P17" i="5"/>
  <c r="P16" i="5"/>
  <c r="O12" i="5"/>
  <c r="N12" i="5"/>
  <c r="M12" i="5"/>
  <c r="L12" i="5"/>
  <c r="K12" i="5"/>
  <c r="J12" i="5"/>
  <c r="I12" i="5"/>
  <c r="H12" i="5"/>
  <c r="G12" i="5"/>
  <c r="F12" i="5"/>
  <c r="E12" i="5"/>
  <c r="D12" i="5"/>
  <c r="P11" i="5"/>
  <c r="P10" i="5"/>
  <c r="P9" i="5"/>
  <c r="O5" i="5"/>
  <c r="O30" i="5" s="1"/>
  <c r="M5" i="5"/>
  <c r="M30" i="5" s="1"/>
  <c r="L5" i="5"/>
  <c r="L30" i="5" s="1"/>
  <c r="K5" i="5"/>
  <c r="K30" i="5" s="1"/>
  <c r="J5" i="5"/>
  <c r="J30" i="5" s="1"/>
  <c r="I5" i="5"/>
  <c r="I30" i="5" s="1"/>
  <c r="H5" i="5"/>
  <c r="H30" i="5" s="1"/>
  <c r="G5" i="5"/>
  <c r="G30" i="5" s="1"/>
  <c r="F5" i="5"/>
  <c r="F30" i="5" s="1"/>
  <c r="E5" i="5"/>
  <c r="E30" i="5" s="1"/>
  <c r="D5" i="5"/>
  <c r="D30" i="5" s="1"/>
  <c r="P4" i="5"/>
  <c r="P3" i="5"/>
  <c r="P2" i="5"/>
  <c r="G5" i="4"/>
  <c r="G45" i="4" s="1"/>
  <c r="O44" i="4"/>
  <c r="N44" i="4"/>
  <c r="M44" i="4"/>
  <c r="L44" i="4"/>
  <c r="K44" i="4"/>
  <c r="J44" i="4"/>
  <c r="I44" i="4"/>
  <c r="H44" i="4"/>
  <c r="G44" i="4"/>
  <c r="F44" i="4"/>
  <c r="E44" i="4"/>
  <c r="D44" i="4"/>
  <c r="O40" i="4"/>
  <c r="N40" i="4"/>
  <c r="M40" i="4"/>
  <c r="L40" i="4"/>
  <c r="K40" i="4"/>
  <c r="J40" i="4"/>
  <c r="I40" i="4"/>
  <c r="H40" i="4"/>
  <c r="G40" i="4"/>
  <c r="F40" i="4"/>
  <c r="E40" i="4"/>
  <c r="D40" i="4"/>
  <c r="P39" i="4"/>
  <c r="P38" i="4"/>
  <c r="P37" i="4"/>
  <c r="O33" i="4"/>
  <c r="O47" i="4" s="1"/>
  <c r="N33" i="4"/>
  <c r="N47" i="4" s="1"/>
  <c r="M33" i="4"/>
  <c r="M47" i="4" s="1"/>
  <c r="L33" i="4"/>
  <c r="L47" i="4" s="1"/>
  <c r="K33" i="4"/>
  <c r="K47" i="4" s="1"/>
  <c r="J33" i="4"/>
  <c r="J47" i="4" s="1"/>
  <c r="I33" i="4"/>
  <c r="I47" i="4" s="1"/>
  <c r="H33" i="4"/>
  <c r="H47" i="4" s="1"/>
  <c r="G33" i="4"/>
  <c r="G47" i="4" s="1"/>
  <c r="F33" i="4"/>
  <c r="F47" i="4" s="1"/>
  <c r="E33" i="4"/>
  <c r="E47" i="4" s="1"/>
  <c r="D33" i="4"/>
  <c r="D47" i="4" s="1"/>
  <c r="P32" i="4"/>
  <c r="P31" i="4"/>
  <c r="P30" i="4"/>
  <c r="O26" i="4"/>
  <c r="N26" i="4"/>
  <c r="M26" i="4"/>
  <c r="L26" i="4"/>
  <c r="K26" i="4"/>
  <c r="J26" i="4"/>
  <c r="I26" i="4"/>
  <c r="H26" i="4"/>
  <c r="G26" i="4"/>
  <c r="F26" i="4"/>
  <c r="E26" i="4"/>
  <c r="D26" i="4"/>
  <c r="P25" i="4"/>
  <c r="P24" i="4"/>
  <c r="P23" i="4"/>
  <c r="O19" i="4"/>
  <c r="O46" i="4" s="1"/>
  <c r="N19" i="4"/>
  <c r="N46" i="4" s="1"/>
  <c r="M19" i="4"/>
  <c r="M46" i="4" s="1"/>
  <c r="L19" i="4"/>
  <c r="L46" i="4" s="1"/>
  <c r="K19" i="4"/>
  <c r="K46" i="4" s="1"/>
  <c r="J19" i="4"/>
  <c r="J46" i="4" s="1"/>
  <c r="I19" i="4"/>
  <c r="I46" i="4" s="1"/>
  <c r="H19" i="4"/>
  <c r="H46" i="4" s="1"/>
  <c r="G19" i="4"/>
  <c r="G46" i="4" s="1"/>
  <c r="F19" i="4"/>
  <c r="F46" i="4" s="1"/>
  <c r="E19" i="4"/>
  <c r="E46" i="4" s="1"/>
  <c r="D19" i="4"/>
  <c r="D46" i="4" s="1"/>
  <c r="P18" i="4"/>
  <c r="P17" i="4"/>
  <c r="P16" i="4"/>
  <c r="O12" i="4"/>
  <c r="N12" i="4"/>
  <c r="M12" i="4"/>
  <c r="L12" i="4"/>
  <c r="K12" i="4"/>
  <c r="J12" i="4"/>
  <c r="I12" i="4"/>
  <c r="H12" i="4"/>
  <c r="G12" i="4"/>
  <c r="F12" i="4"/>
  <c r="E12" i="4"/>
  <c r="D12" i="4"/>
  <c r="P11" i="4"/>
  <c r="P10" i="4"/>
  <c r="P9" i="4"/>
  <c r="O5" i="4"/>
  <c r="O45" i="4" s="1"/>
  <c r="N5" i="4"/>
  <c r="N45" i="4" s="1"/>
  <c r="M5" i="4"/>
  <c r="M45" i="4" s="1"/>
  <c r="L5" i="4"/>
  <c r="L45" i="4" s="1"/>
  <c r="K5" i="4"/>
  <c r="K45" i="4" s="1"/>
  <c r="J5" i="4"/>
  <c r="J45" i="4" s="1"/>
  <c r="I5" i="4"/>
  <c r="I45" i="4" s="1"/>
  <c r="H5" i="4"/>
  <c r="H45" i="4" s="1"/>
  <c r="F5" i="4"/>
  <c r="F45" i="4" s="1"/>
  <c r="E5" i="4"/>
  <c r="E45" i="4" s="1"/>
  <c r="D5" i="4"/>
  <c r="D45" i="4" s="1"/>
  <c r="P4" i="4"/>
  <c r="P3" i="4"/>
  <c r="P2" i="4"/>
  <c r="G40" i="3"/>
  <c r="H40" i="3"/>
  <c r="I40" i="3"/>
  <c r="J40" i="3"/>
  <c r="K40" i="3"/>
  <c r="L40" i="3"/>
  <c r="M40" i="3"/>
  <c r="N40" i="3"/>
  <c r="O40" i="3"/>
  <c r="G26" i="3"/>
  <c r="H26" i="3"/>
  <c r="I26" i="3"/>
  <c r="J26" i="3"/>
  <c r="K26" i="3"/>
  <c r="L26" i="3"/>
  <c r="M26" i="3"/>
  <c r="N26" i="3"/>
  <c r="O26" i="3"/>
  <c r="G12" i="3"/>
  <c r="H12" i="3"/>
  <c r="I12" i="3"/>
  <c r="J12" i="3"/>
  <c r="K12" i="3"/>
  <c r="L12" i="3"/>
  <c r="M12" i="3"/>
  <c r="N12" i="3"/>
  <c r="O12" i="3"/>
  <c r="G5" i="3"/>
  <c r="G45" i="3" s="1"/>
  <c r="H5" i="3"/>
  <c r="H45" i="3" s="1"/>
  <c r="I5" i="3"/>
  <c r="I45" i="3" s="1"/>
  <c r="J5" i="3"/>
  <c r="J45" i="3" s="1"/>
  <c r="K5" i="3"/>
  <c r="K45" i="3" s="1"/>
  <c r="L5" i="3"/>
  <c r="L45" i="3" s="1"/>
  <c r="M5" i="3"/>
  <c r="M45" i="3" s="1"/>
  <c r="N5" i="3"/>
  <c r="O5" i="3"/>
  <c r="O45" i="3" s="1"/>
  <c r="O44" i="3"/>
  <c r="N44" i="3"/>
  <c r="M44" i="3"/>
  <c r="L44" i="3"/>
  <c r="K44" i="3"/>
  <c r="J44" i="3"/>
  <c r="I44" i="3"/>
  <c r="H44" i="3"/>
  <c r="G44" i="3"/>
  <c r="F44" i="3"/>
  <c r="E44" i="3"/>
  <c r="D44" i="3"/>
  <c r="F40" i="3"/>
  <c r="E40" i="3"/>
  <c r="D40" i="3"/>
  <c r="P39" i="3"/>
  <c r="P38" i="3"/>
  <c r="P37" i="3"/>
  <c r="L33" i="3"/>
  <c r="L47" i="3" s="1"/>
  <c r="K33" i="3"/>
  <c r="K47" i="3" s="1"/>
  <c r="J33" i="3"/>
  <c r="J47" i="3" s="1"/>
  <c r="F33" i="3"/>
  <c r="F47" i="3" s="1"/>
  <c r="E33" i="3"/>
  <c r="E47" i="3" s="1"/>
  <c r="D33" i="3"/>
  <c r="D47" i="3" s="1"/>
  <c r="P32" i="3"/>
  <c r="P31" i="3"/>
  <c r="P30" i="3"/>
  <c r="F26" i="3"/>
  <c r="E26" i="3"/>
  <c r="D26" i="3"/>
  <c r="P25" i="3"/>
  <c r="P24" i="3"/>
  <c r="P23" i="3"/>
  <c r="O19" i="3"/>
  <c r="O46" i="3" s="1"/>
  <c r="N19" i="3"/>
  <c r="N46" i="3" s="1"/>
  <c r="M19" i="3"/>
  <c r="M46" i="3" s="1"/>
  <c r="L19" i="3"/>
  <c r="L46" i="3" s="1"/>
  <c r="K19" i="3"/>
  <c r="K46" i="3" s="1"/>
  <c r="J19" i="3"/>
  <c r="J46" i="3" s="1"/>
  <c r="I19" i="3"/>
  <c r="I46" i="3" s="1"/>
  <c r="H19" i="3"/>
  <c r="H46" i="3" s="1"/>
  <c r="G19" i="3"/>
  <c r="G46" i="3" s="1"/>
  <c r="F19" i="3"/>
  <c r="F46" i="3" s="1"/>
  <c r="E19" i="3"/>
  <c r="E46" i="3" s="1"/>
  <c r="D19" i="3"/>
  <c r="D46" i="3" s="1"/>
  <c r="P18" i="3"/>
  <c r="P17" i="3"/>
  <c r="P16" i="3"/>
  <c r="F12" i="3"/>
  <c r="E12" i="3"/>
  <c r="D12" i="3"/>
  <c r="P11" i="3"/>
  <c r="P10" i="3"/>
  <c r="P9" i="3"/>
  <c r="N45" i="3"/>
  <c r="F5" i="3"/>
  <c r="F45" i="3" s="1"/>
  <c r="E5" i="3"/>
  <c r="E45" i="3" s="1"/>
  <c r="P4" i="3"/>
  <c r="P3" i="3"/>
  <c r="P2" i="3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P38" i="2"/>
  <c r="P37" i="2"/>
  <c r="O33" i="2"/>
  <c r="O47" i="2" s="1"/>
  <c r="N33" i="2"/>
  <c r="N47" i="2" s="1"/>
  <c r="M33" i="2"/>
  <c r="M47" i="2" s="1"/>
  <c r="L33" i="2"/>
  <c r="L47" i="2" s="1"/>
  <c r="K33" i="2"/>
  <c r="K47" i="2" s="1"/>
  <c r="J33" i="2"/>
  <c r="J47" i="2" s="1"/>
  <c r="I33" i="2"/>
  <c r="I47" i="2" s="1"/>
  <c r="H33" i="2"/>
  <c r="H47" i="2" s="1"/>
  <c r="G33" i="2"/>
  <c r="G47" i="2" s="1"/>
  <c r="F33" i="2"/>
  <c r="F47" i="2" s="1"/>
  <c r="E33" i="2"/>
  <c r="E47" i="2" s="1"/>
  <c r="D33" i="2"/>
  <c r="D47" i="2" s="1"/>
  <c r="P32" i="2"/>
  <c r="P31" i="2"/>
  <c r="P30" i="2"/>
  <c r="O26" i="2"/>
  <c r="N26" i="2"/>
  <c r="M26" i="2"/>
  <c r="L26" i="2"/>
  <c r="K26" i="2"/>
  <c r="J26" i="2"/>
  <c r="I26" i="2"/>
  <c r="H26" i="2"/>
  <c r="G26" i="2"/>
  <c r="F26" i="2"/>
  <c r="E26" i="2"/>
  <c r="D26" i="2"/>
  <c r="P25" i="2"/>
  <c r="P24" i="2"/>
  <c r="P23" i="2"/>
  <c r="O19" i="2"/>
  <c r="O46" i="2" s="1"/>
  <c r="N19" i="2"/>
  <c r="N46" i="2" s="1"/>
  <c r="M19" i="2"/>
  <c r="M46" i="2" s="1"/>
  <c r="L19" i="2"/>
  <c r="L46" i="2" s="1"/>
  <c r="K19" i="2"/>
  <c r="K46" i="2" s="1"/>
  <c r="J19" i="2"/>
  <c r="J46" i="2" s="1"/>
  <c r="I19" i="2"/>
  <c r="I46" i="2" s="1"/>
  <c r="H19" i="2"/>
  <c r="H46" i="2" s="1"/>
  <c r="G19" i="2"/>
  <c r="G46" i="2" s="1"/>
  <c r="F19" i="2"/>
  <c r="F46" i="2" s="1"/>
  <c r="E19" i="2"/>
  <c r="E46" i="2" s="1"/>
  <c r="D19" i="2"/>
  <c r="D46" i="2" s="1"/>
  <c r="P18" i="2"/>
  <c r="P17" i="2"/>
  <c r="P16" i="2"/>
  <c r="O12" i="2"/>
  <c r="N12" i="2"/>
  <c r="M12" i="2"/>
  <c r="L12" i="2"/>
  <c r="K12" i="2"/>
  <c r="J12" i="2"/>
  <c r="I12" i="2"/>
  <c r="H12" i="2"/>
  <c r="G12" i="2"/>
  <c r="F12" i="2"/>
  <c r="E12" i="2"/>
  <c r="D12" i="2"/>
  <c r="P11" i="2"/>
  <c r="P10" i="2"/>
  <c r="P9" i="2"/>
  <c r="O5" i="2"/>
  <c r="O45" i="2" s="1"/>
  <c r="N5" i="2"/>
  <c r="N45" i="2" s="1"/>
  <c r="M5" i="2"/>
  <c r="M45" i="2" s="1"/>
  <c r="L5" i="2"/>
  <c r="L45" i="2" s="1"/>
  <c r="K5" i="2"/>
  <c r="K45" i="2" s="1"/>
  <c r="J5" i="2"/>
  <c r="J45" i="2" s="1"/>
  <c r="I5" i="2"/>
  <c r="I45" i="2" s="1"/>
  <c r="H5" i="2"/>
  <c r="H45" i="2" s="1"/>
  <c r="G5" i="2"/>
  <c r="G45" i="2" s="1"/>
  <c r="F5" i="2"/>
  <c r="F45" i="2" s="1"/>
  <c r="E5" i="2"/>
  <c r="E45" i="2" s="1"/>
  <c r="D5" i="2"/>
  <c r="D45" i="2" s="1"/>
  <c r="P4" i="2"/>
  <c r="P3" i="2"/>
  <c r="P2" i="2"/>
  <c r="O44" i="1"/>
  <c r="E44" i="1"/>
  <c r="F44" i="1"/>
  <c r="G44" i="1"/>
  <c r="H44" i="1"/>
  <c r="I44" i="1"/>
  <c r="J44" i="1"/>
  <c r="K44" i="1"/>
  <c r="L44" i="1"/>
  <c r="M44" i="1"/>
  <c r="N44" i="1"/>
  <c r="D44" i="1"/>
  <c r="O40" i="1"/>
  <c r="N40" i="1"/>
  <c r="M40" i="1"/>
  <c r="L40" i="1"/>
  <c r="K40" i="1"/>
  <c r="J40" i="1"/>
  <c r="I40" i="1"/>
  <c r="H40" i="1"/>
  <c r="G40" i="1"/>
  <c r="F40" i="1"/>
  <c r="E40" i="1"/>
  <c r="D40" i="1"/>
  <c r="O33" i="1"/>
  <c r="O47" i="1" s="1"/>
  <c r="N33" i="1"/>
  <c r="N47" i="1" s="1"/>
  <c r="M33" i="1"/>
  <c r="M47" i="1" s="1"/>
  <c r="L33" i="1"/>
  <c r="L47" i="1" s="1"/>
  <c r="K33" i="1"/>
  <c r="K47" i="1" s="1"/>
  <c r="J33" i="1"/>
  <c r="J47" i="1" s="1"/>
  <c r="I33" i="1"/>
  <c r="I47" i="1" s="1"/>
  <c r="H33" i="1"/>
  <c r="H47" i="1" s="1"/>
  <c r="G33" i="1"/>
  <c r="G47" i="1" s="1"/>
  <c r="F33" i="1"/>
  <c r="F47" i="1" s="1"/>
  <c r="E33" i="1"/>
  <c r="E47" i="1" s="1"/>
  <c r="D33" i="1"/>
  <c r="D47" i="1" s="1"/>
  <c r="O26" i="1"/>
  <c r="N26" i="1"/>
  <c r="M26" i="1"/>
  <c r="L26" i="1"/>
  <c r="K26" i="1"/>
  <c r="J26" i="1"/>
  <c r="I26" i="1"/>
  <c r="H26" i="1"/>
  <c r="G26" i="1"/>
  <c r="F26" i="1"/>
  <c r="E26" i="1"/>
  <c r="D26" i="1"/>
  <c r="O19" i="1"/>
  <c r="O46" i="1" s="1"/>
  <c r="N19" i="1"/>
  <c r="N46" i="1" s="1"/>
  <c r="M19" i="1"/>
  <c r="M46" i="1" s="1"/>
  <c r="L19" i="1"/>
  <c r="L46" i="1" s="1"/>
  <c r="K19" i="1"/>
  <c r="K46" i="1" s="1"/>
  <c r="J19" i="1"/>
  <c r="J46" i="1" s="1"/>
  <c r="I19" i="1"/>
  <c r="I46" i="1" s="1"/>
  <c r="H19" i="1"/>
  <c r="H46" i="1" s="1"/>
  <c r="G19" i="1"/>
  <c r="G46" i="1" s="1"/>
  <c r="F19" i="1"/>
  <c r="F46" i="1" s="1"/>
  <c r="E19" i="1"/>
  <c r="E46" i="1" s="1"/>
  <c r="D19" i="1"/>
  <c r="D46" i="1" s="1"/>
  <c r="O12" i="1"/>
  <c r="N12" i="1"/>
  <c r="M12" i="1"/>
  <c r="L12" i="1"/>
  <c r="K12" i="1"/>
  <c r="J12" i="1"/>
  <c r="I12" i="1"/>
  <c r="H12" i="1"/>
  <c r="G12" i="1"/>
  <c r="F12" i="1"/>
  <c r="E12" i="1"/>
  <c r="D12" i="1"/>
  <c r="E5" i="1"/>
  <c r="E45" i="1" s="1"/>
  <c r="F5" i="1"/>
  <c r="F45" i="1" s="1"/>
  <c r="G5" i="1"/>
  <c r="G45" i="1" s="1"/>
  <c r="H5" i="1"/>
  <c r="H45" i="1" s="1"/>
  <c r="I5" i="1"/>
  <c r="I45" i="1" s="1"/>
  <c r="J5" i="1"/>
  <c r="J45" i="1" s="1"/>
  <c r="K5" i="1"/>
  <c r="K45" i="1" s="1"/>
  <c r="L5" i="1"/>
  <c r="L45" i="1" s="1"/>
  <c r="M5" i="1"/>
  <c r="M45" i="1" s="1"/>
  <c r="N5" i="1"/>
  <c r="N45" i="1" s="1"/>
  <c r="O5" i="1"/>
  <c r="O45" i="1" s="1"/>
  <c r="D5" i="1"/>
  <c r="D45" i="1" s="1"/>
  <c r="P37" i="1"/>
  <c r="P38" i="1"/>
  <c r="P39" i="1"/>
  <c r="P30" i="1"/>
  <c r="P31" i="1"/>
  <c r="P32" i="1"/>
  <c r="P23" i="1"/>
  <c r="P24" i="1"/>
  <c r="P25" i="1"/>
  <c r="P16" i="1"/>
  <c r="P17" i="1"/>
  <c r="P18" i="1"/>
  <c r="P9" i="1"/>
  <c r="P10" i="1"/>
  <c r="P11" i="1"/>
  <c r="P2" i="1"/>
  <c r="P3" i="1"/>
  <c r="P4" i="1"/>
  <c r="P19" i="8" l="1"/>
  <c r="P46" i="8" s="1"/>
  <c r="P26" i="8"/>
  <c r="P33" i="8"/>
  <c r="P47" i="8" s="1"/>
  <c r="P40" i="8"/>
  <c r="P5" i="8"/>
  <c r="P45" i="8" s="1"/>
  <c r="P12" i="8"/>
  <c r="P33" i="1"/>
  <c r="P47" i="1" s="1"/>
  <c r="P19" i="1"/>
  <c r="P46" i="1" s="1"/>
  <c r="P40" i="7"/>
  <c r="P19" i="7"/>
  <c r="P46" i="7" s="1"/>
  <c r="P5" i="7"/>
  <c r="P45" i="7" s="1"/>
  <c r="P33" i="7"/>
  <c r="P47" i="7" s="1"/>
  <c r="P12" i="7"/>
  <c r="P26" i="7"/>
  <c r="P12" i="3"/>
  <c r="P26" i="3"/>
  <c r="P5" i="3"/>
  <c r="P45" i="3" s="1"/>
  <c r="P40" i="3"/>
  <c r="P5" i="5"/>
  <c r="P30" i="5" s="1"/>
  <c r="P19" i="5"/>
  <c r="P31" i="5" s="1"/>
  <c r="P26" i="5"/>
  <c r="P12" i="5"/>
  <c r="P5" i="4"/>
  <c r="P45" i="4" s="1"/>
  <c r="P12" i="4"/>
  <c r="P19" i="4"/>
  <c r="P46" i="4" s="1"/>
  <c r="P33" i="4"/>
  <c r="P47" i="4" s="1"/>
  <c r="P40" i="4"/>
  <c r="P26" i="4"/>
  <c r="P19" i="3"/>
  <c r="P46" i="3" s="1"/>
  <c r="P33" i="3"/>
  <c r="P47" i="3" s="1"/>
  <c r="P40" i="2"/>
  <c r="P33" i="2"/>
  <c r="P47" i="2" s="1"/>
  <c r="P19" i="2"/>
  <c r="P46" i="2" s="1"/>
  <c r="P26" i="2"/>
  <c r="P12" i="2"/>
  <c r="P5" i="2"/>
  <c r="P45" i="2" s="1"/>
  <c r="P40" i="1"/>
  <c r="P26" i="1"/>
  <c r="P12" i="1"/>
  <c r="P5" i="1"/>
  <c r="P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<sst xmlns="http://schemas.openxmlformats.org/spreadsheetml/2006/main" count="1238" uniqueCount="34">
  <si>
    <t>DT</t>
  </si>
  <si>
    <t>RF</t>
  </si>
  <si>
    <t>Method</t>
  </si>
  <si>
    <t>Case</t>
  </si>
  <si>
    <t>Target</t>
  </si>
  <si>
    <t>Supplement</t>
  </si>
  <si>
    <t>Yes</t>
  </si>
  <si>
    <t>Note</t>
  </si>
  <si>
    <t>No</t>
  </si>
  <si>
    <t>Gender</t>
  </si>
  <si>
    <t>Plurality</t>
  </si>
  <si>
    <t>max</t>
  </si>
  <si>
    <t>Pluraity</t>
  </si>
  <si>
    <t>rank</t>
  </si>
  <si>
    <t>NN</t>
  </si>
  <si>
    <t>2g</t>
  </si>
  <si>
    <t>3g</t>
  </si>
  <si>
    <t>4g</t>
  </si>
  <si>
    <t>sk2g</t>
  </si>
  <si>
    <t>sk3g</t>
  </si>
  <si>
    <t>sk4g</t>
  </si>
  <si>
    <t>1:3g,2:sk2g,</t>
  </si>
  <si>
    <t>1:sk3g;2:sk4g+h,</t>
  </si>
  <si>
    <t>1:sk2g+h;2:2g,</t>
  </si>
  <si>
    <t>1:4g;2:2g,2g+h,sk2g+h,</t>
  </si>
  <si>
    <t>1:sk2g+h,2:sk2g,3g+h,4g+h,</t>
  </si>
  <si>
    <t>1:sk3g;2:3g,4g,2g+h,sk4g+h,</t>
  </si>
  <si>
    <t>2g-hash</t>
  </si>
  <si>
    <t>3g-hash</t>
  </si>
  <si>
    <t>4g-hash</t>
  </si>
  <si>
    <t>sk2g-hash</t>
  </si>
  <si>
    <t>sk3g-hash</t>
  </si>
  <si>
    <t>sk4g-hash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</si>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</sst>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116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'czech.gr067'!$C$45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'czech.gr067'!$D$44:$O$44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'czech.gr067'!$D$45:$P$45</c:f>
              <c:numCache>
                <c:formatCode>0.00</c:formatCode>
                <c:ptCount val="13"/>
                <c:pt idx="0">
                  <c:v>0.73</c:v>
                </c:pt>
                <c:pt idx="1">
                  <c:v>0.71</c:v>
                </c:pt>
                <c:pt idx="2">
                  <c:v>0.71</c:v>
                </c:pt>
                <c:pt idx="3">
                  <c:v>0.7</c:v>
                </c:pt>
                <c:pt idx="4">
                  <c:v>0.66</c:v>
                </c:pt>
                <c:pt idx="5">
                  <c:v>0.69</c:v>
                </c:pt>
                <c:pt idx="6">
                  <c:v>0.69</c:v>
                </c:pt>
                <c:pt idx="7">
                  <c:v>0.68</c:v>
                </c:pt>
                <c:pt idx="8">
                  <c:v>0.73</c:v>
                </c:pt>
                <c:pt idx="9">
                  <c:v>0.76</c:v>
                </c:pt>
                <c:pt idx="10">
                  <c:v>0.64</c:v>
                </c:pt>
                <c:pt idx="11">
                  <c:v>0.7</c:v>
                </c:pt>
                <c:pt idx="1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6-3A4D-B46C-738F06ACBB2E}"/>
            </c:ext>
          </c:extLst>
        </c:ser>
        <c:ser>
          <c:idx val="1"/>
          <c:order val="1"/>
          <c:tx>
            <c:strRef>
              <c:f>'czech.gr067'!$C$46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'czech.gr067'!$D$44:$O$44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'czech.gr067'!$D$46:$P$46</c:f>
              <c:numCache>
                <c:formatCode>0.00</c:formatCode>
                <c:ptCount val="13"/>
                <c:pt idx="0">
                  <c:v>0.9</c:v>
                </c:pt>
                <c:pt idx="1">
                  <c:v>0.86</c:v>
                </c:pt>
                <c:pt idx="2">
                  <c:v>0.91</c:v>
                </c:pt>
                <c:pt idx="3">
                  <c:v>0.89</c:v>
                </c:pt>
                <c:pt idx="4">
                  <c:v>0.83</c:v>
                </c:pt>
                <c:pt idx="5">
                  <c:v>0.88</c:v>
                </c:pt>
                <c:pt idx="6">
                  <c:v>0.9</c:v>
                </c:pt>
                <c:pt idx="7">
                  <c:v>0.89</c:v>
                </c:pt>
                <c:pt idx="8">
                  <c:v>0.89</c:v>
                </c:pt>
                <c:pt idx="9">
                  <c:v>0.9</c:v>
                </c:pt>
                <c:pt idx="10">
                  <c:v>0.88</c:v>
                </c:pt>
                <c:pt idx="11">
                  <c:v>0.89</c:v>
                </c:pt>
                <c:pt idx="1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6-3A4D-B46C-738F06ACBB2E}"/>
            </c:ext>
          </c:extLst>
        </c:ser>
        <c:ser>
          <c:idx val="2"/>
          <c:order val="2"/>
          <c:tx>
            <c:strRef>
              <c:f>'czech.gr067'!$C$47</c:f>
              <c:strCache>
                <c:ptCount val="1"/>
                <c:pt idx="0">
                  <c:v>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'czech.gr067'!$D$44:$O$44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'czech.gr067'!$D$47:$P$47</c:f>
              <c:numCache>
                <c:formatCode>0.00</c:formatCode>
                <c:ptCount val="13"/>
                <c:pt idx="0">
                  <c:v>0.53</c:v>
                </c:pt>
                <c:pt idx="1">
                  <c:v>0.56999999999999995</c:v>
                </c:pt>
                <c:pt idx="2">
                  <c:v>0.56999999999999995</c:v>
                </c:pt>
                <c:pt idx="3">
                  <c:v>0.54</c:v>
                </c:pt>
                <c:pt idx="4">
                  <c:v>0.59</c:v>
                </c:pt>
                <c:pt idx="5">
                  <c:v>0.54</c:v>
                </c:pt>
                <c:pt idx="6">
                  <c:v>0.56999999999999995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0.56000000000000005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6-3A4D-B46C-738F06ACB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'czech.gr100'!$C$45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'czech.gr100'!$D$44:$O$44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'czech.gr100'!$D$45:$P$45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5-1D48-81E1-A10F7E737D7A}"/>
            </c:ext>
          </c:extLst>
        </c:ser>
        <c:ser>
          <c:idx val="1"/>
          <c:order val="1"/>
          <c:tx>
            <c:strRef>
              <c:f>'czech.gr100'!$C$46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'czech.gr100'!$D$44:$O$44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'czech.gr100'!$D$46:$P$46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5-1D48-81E1-A10F7E737D7A}"/>
            </c:ext>
          </c:extLst>
        </c:ser>
        <c:ser>
          <c:idx val="2"/>
          <c:order val="2"/>
          <c:tx>
            <c:strRef>
              <c:f>'czech.gr100'!$C$47</c:f>
              <c:strCache>
                <c:ptCount val="1"/>
                <c:pt idx="0">
                  <c:v>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'czech.gr100'!$D$44:$O$44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'czech.gr100'!$D$47:$P$47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5-1D48-81E1-A10F7E73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french.gr067!$C$30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french.gr067!$D$29:$O$29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french.gr067!$D$30:$P$30</c:f>
              <c:numCache>
                <c:formatCode>0.00</c:formatCode>
                <c:ptCount val="13"/>
                <c:pt idx="0">
                  <c:v>0.77</c:v>
                </c:pt>
                <c:pt idx="1">
                  <c:v>0.81</c:v>
                </c:pt>
                <c:pt idx="2">
                  <c:v>0.81</c:v>
                </c:pt>
                <c:pt idx="3">
                  <c:v>0.82</c:v>
                </c:pt>
                <c:pt idx="4">
                  <c:v>0.82</c:v>
                </c:pt>
                <c:pt idx="5">
                  <c:v>0.84</c:v>
                </c:pt>
                <c:pt idx="6">
                  <c:v>0.8</c:v>
                </c:pt>
                <c:pt idx="7">
                  <c:v>0.82</c:v>
                </c:pt>
                <c:pt idx="8">
                  <c:v>0.76</c:v>
                </c:pt>
                <c:pt idx="9">
                  <c:v>0.8</c:v>
                </c:pt>
                <c:pt idx="10">
                  <c:v>0.79</c:v>
                </c:pt>
                <c:pt idx="11">
                  <c:v>0.8</c:v>
                </c:pt>
                <c:pt idx="12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B-8A4E-A59D-E579A1E9747F}"/>
            </c:ext>
          </c:extLst>
        </c:ser>
        <c:ser>
          <c:idx val="1"/>
          <c:order val="1"/>
          <c:tx>
            <c:strRef>
              <c:f>french.gr067!$C$31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french.gr067!$D$29:$O$29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french.gr067!$D$31:$P$31</c:f>
              <c:numCache>
                <c:formatCode>0.00</c:formatCode>
                <c:ptCount val="13"/>
                <c:pt idx="0">
                  <c:v>0.92</c:v>
                </c:pt>
                <c:pt idx="1">
                  <c:v>0.95</c:v>
                </c:pt>
                <c:pt idx="2">
                  <c:v>0.91</c:v>
                </c:pt>
                <c:pt idx="3">
                  <c:v>0.95</c:v>
                </c:pt>
                <c:pt idx="4">
                  <c:v>0.94</c:v>
                </c:pt>
                <c:pt idx="5">
                  <c:v>0.94</c:v>
                </c:pt>
                <c:pt idx="6">
                  <c:v>0.93</c:v>
                </c:pt>
                <c:pt idx="7">
                  <c:v>0.96</c:v>
                </c:pt>
                <c:pt idx="8">
                  <c:v>0.93</c:v>
                </c:pt>
                <c:pt idx="9">
                  <c:v>0.94</c:v>
                </c:pt>
                <c:pt idx="10">
                  <c:v>0.93</c:v>
                </c:pt>
                <c:pt idx="11">
                  <c:v>0.95</c:v>
                </c:pt>
                <c:pt idx="12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6B-8A4E-A59D-E579A1E97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french.gr100!$C$31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french.gr100!$D$30:$O$30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french.gr100!$D$31:$P$31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4-9A43-946B-742FB940F06D}"/>
            </c:ext>
          </c:extLst>
        </c:ser>
        <c:ser>
          <c:idx val="1"/>
          <c:order val="1"/>
          <c:tx>
            <c:strRef>
              <c:f>french.gr100!$C$32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french.gr100!$D$30:$O$30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french.gr100!$D$32:$P$32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C4-9A43-946B-742FB940F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german.gr067!$C$45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german.gr067!$D$44:$O$44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german.gr067!$D$45:$P$45</c:f>
              <c:numCache>
                <c:formatCode>0.00</c:formatCode>
                <c:ptCount val="13"/>
                <c:pt idx="0">
                  <c:v>0.62</c:v>
                </c:pt>
                <c:pt idx="1">
                  <c:v>0.56000000000000005</c:v>
                </c:pt>
                <c:pt idx="2">
                  <c:v>0.63</c:v>
                </c:pt>
                <c:pt idx="3">
                  <c:v>0.59</c:v>
                </c:pt>
                <c:pt idx="4">
                  <c:v>0.61</c:v>
                </c:pt>
                <c:pt idx="5">
                  <c:v>0.59</c:v>
                </c:pt>
                <c:pt idx="6">
                  <c:v>0.61</c:v>
                </c:pt>
                <c:pt idx="7">
                  <c:v>0.56999999999999995</c:v>
                </c:pt>
                <c:pt idx="8">
                  <c:v>0.68</c:v>
                </c:pt>
                <c:pt idx="9">
                  <c:v>0.57999999999999996</c:v>
                </c:pt>
                <c:pt idx="10">
                  <c:v>0.54</c:v>
                </c:pt>
                <c:pt idx="11">
                  <c:v>0.65</c:v>
                </c:pt>
                <c:pt idx="12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7-0D4E-813E-DDCF23620FFE}"/>
            </c:ext>
          </c:extLst>
        </c:ser>
        <c:ser>
          <c:idx val="1"/>
          <c:order val="1"/>
          <c:tx>
            <c:strRef>
              <c:f>german.gr067!$C$46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german.gr067!$D$44:$O$44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german.gr067!$D$46:$P$46</c:f>
              <c:numCache>
                <c:formatCode>0.00</c:formatCode>
                <c:ptCount val="13"/>
                <c:pt idx="0">
                  <c:v>0.85</c:v>
                </c:pt>
                <c:pt idx="1">
                  <c:v>0.88</c:v>
                </c:pt>
                <c:pt idx="2">
                  <c:v>0.89</c:v>
                </c:pt>
                <c:pt idx="3">
                  <c:v>0.9</c:v>
                </c:pt>
                <c:pt idx="4">
                  <c:v>0.83</c:v>
                </c:pt>
                <c:pt idx="5">
                  <c:v>0.86</c:v>
                </c:pt>
                <c:pt idx="6">
                  <c:v>0.85</c:v>
                </c:pt>
                <c:pt idx="7">
                  <c:v>0.83</c:v>
                </c:pt>
                <c:pt idx="8">
                  <c:v>0.84</c:v>
                </c:pt>
                <c:pt idx="9">
                  <c:v>0.84</c:v>
                </c:pt>
                <c:pt idx="10">
                  <c:v>0.83</c:v>
                </c:pt>
                <c:pt idx="11">
                  <c:v>0.83</c:v>
                </c:pt>
                <c:pt idx="12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7-0D4E-813E-DDCF23620FFE}"/>
            </c:ext>
          </c:extLst>
        </c:ser>
        <c:ser>
          <c:idx val="2"/>
          <c:order val="2"/>
          <c:tx>
            <c:strRef>
              <c:f>german.gr067!$C$47</c:f>
              <c:strCache>
                <c:ptCount val="1"/>
                <c:pt idx="0">
                  <c:v>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german.gr067!$D$44:$O$44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german.gr067!$D$47:$P$47</c:f>
              <c:numCache>
                <c:formatCode>0.00</c:formatCode>
                <c:ptCount val="13"/>
                <c:pt idx="0">
                  <c:v>0.44</c:v>
                </c:pt>
                <c:pt idx="1">
                  <c:v>0.4</c:v>
                </c:pt>
                <c:pt idx="2">
                  <c:v>0.41</c:v>
                </c:pt>
                <c:pt idx="3">
                  <c:v>0.38</c:v>
                </c:pt>
                <c:pt idx="4">
                  <c:v>0.47</c:v>
                </c:pt>
                <c:pt idx="5">
                  <c:v>0.43</c:v>
                </c:pt>
                <c:pt idx="6">
                  <c:v>0.4</c:v>
                </c:pt>
                <c:pt idx="7">
                  <c:v>0.44</c:v>
                </c:pt>
                <c:pt idx="8">
                  <c:v>0.39</c:v>
                </c:pt>
                <c:pt idx="9">
                  <c:v>0.39</c:v>
                </c:pt>
                <c:pt idx="10">
                  <c:v>0.41</c:v>
                </c:pt>
                <c:pt idx="11">
                  <c:v>0.38</c:v>
                </c:pt>
                <c:pt idx="12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67-0D4E-813E-DDCF23620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german.gr100!$C$45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german.gr100!$D$44:$O$44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german.gr100!$D$45:$P$45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3E-8B4C-8A99-FEB7E4ED8496}"/>
            </c:ext>
          </c:extLst>
        </c:ser>
        <c:ser>
          <c:idx val="1"/>
          <c:order val="1"/>
          <c:tx>
            <c:strRef>
              <c:f>german.gr100!$C$46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german.gr100!$D$44:$O$44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german.gr100!$D$46:$P$46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3E-8B4C-8A99-FEB7E4ED8496}"/>
            </c:ext>
          </c:extLst>
        </c:ser>
        <c:ser>
          <c:idx val="2"/>
          <c:order val="2"/>
          <c:tx>
            <c:strRef>
              <c:f>german.gr100!$C$47</c:f>
              <c:strCache>
                <c:ptCount val="1"/>
                <c:pt idx="0">
                  <c:v>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german.gr100!$D$44:$O$44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german.gr100!$D$47:$P$47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3E-8B4C-8A99-FEB7E4ED8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irish.gr067!$C$45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irish.gr067!$D$44:$O$44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irish.gr067!$D$45:$P$45</c:f>
              <c:numCache>
                <c:formatCode>0.00</c:formatCode>
                <c:ptCount val="13"/>
                <c:pt idx="0">
                  <c:v>0.8</c:v>
                </c:pt>
                <c:pt idx="1">
                  <c:v>0.75</c:v>
                </c:pt>
                <c:pt idx="2">
                  <c:v>0.78</c:v>
                </c:pt>
                <c:pt idx="3">
                  <c:v>0.84</c:v>
                </c:pt>
                <c:pt idx="4">
                  <c:v>0.75</c:v>
                </c:pt>
                <c:pt idx="5">
                  <c:v>0.81</c:v>
                </c:pt>
                <c:pt idx="6">
                  <c:v>0.76</c:v>
                </c:pt>
                <c:pt idx="7">
                  <c:v>0.78</c:v>
                </c:pt>
                <c:pt idx="8">
                  <c:v>0.76</c:v>
                </c:pt>
                <c:pt idx="9">
                  <c:v>0.79</c:v>
                </c:pt>
                <c:pt idx="10">
                  <c:v>0.75</c:v>
                </c:pt>
                <c:pt idx="11">
                  <c:v>0.8</c:v>
                </c:pt>
                <c:pt idx="12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2E-B646-9183-80A7DE7A6C87}"/>
            </c:ext>
          </c:extLst>
        </c:ser>
        <c:ser>
          <c:idx val="1"/>
          <c:order val="1"/>
          <c:tx>
            <c:strRef>
              <c:f>irish.gr067!$C$46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irish.gr067!$D$44:$O$44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irish.gr067!$D$46:$P$46</c:f>
              <c:numCache>
                <c:formatCode>0.00</c:formatCode>
                <c:ptCount val="13"/>
                <c:pt idx="0">
                  <c:v>0.73</c:v>
                </c:pt>
                <c:pt idx="1">
                  <c:v>0.71</c:v>
                </c:pt>
                <c:pt idx="2">
                  <c:v>0.72</c:v>
                </c:pt>
                <c:pt idx="3">
                  <c:v>0.76</c:v>
                </c:pt>
                <c:pt idx="4">
                  <c:v>0.69</c:v>
                </c:pt>
                <c:pt idx="5">
                  <c:v>0.72</c:v>
                </c:pt>
                <c:pt idx="6">
                  <c:v>0.73</c:v>
                </c:pt>
                <c:pt idx="7">
                  <c:v>0.74</c:v>
                </c:pt>
                <c:pt idx="8">
                  <c:v>0.66</c:v>
                </c:pt>
                <c:pt idx="9">
                  <c:v>0.7</c:v>
                </c:pt>
                <c:pt idx="10">
                  <c:v>0.74</c:v>
                </c:pt>
                <c:pt idx="11">
                  <c:v>0.73</c:v>
                </c:pt>
                <c:pt idx="12">
                  <c:v>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2E-B646-9183-80A7DE7A6C87}"/>
            </c:ext>
          </c:extLst>
        </c:ser>
        <c:ser>
          <c:idx val="2"/>
          <c:order val="2"/>
          <c:tx>
            <c:strRef>
              <c:f>irish.gr067!$C$47</c:f>
              <c:strCache>
                <c:ptCount val="1"/>
                <c:pt idx="0">
                  <c:v>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irish.gr067!$D$44:$O$44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irish.gr067!$D$47:$P$47</c:f>
              <c:numCache>
                <c:formatCode>0.00</c:formatCode>
                <c:ptCount val="13"/>
                <c:pt idx="0">
                  <c:v>0.98</c:v>
                </c:pt>
                <c:pt idx="1">
                  <c:v>0.97</c:v>
                </c:pt>
                <c:pt idx="2">
                  <c:v>0.98</c:v>
                </c:pt>
                <c:pt idx="3">
                  <c:v>0.96</c:v>
                </c:pt>
                <c:pt idx="4">
                  <c:v>0.96</c:v>
                </c:pt>
                <c:pt idx="5">
                  <c:v>0.95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0.98</c:v>
                </c:pt>
                <c:pt idx="10">
                  <c:v>0.97</c:v>
                </c:pt>
                <c:pt idx="11">
                  <c:v>0.97</c:v>
                </c:pt>
                <c:pt idx="12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2E-B646-9183-80A7DE7A6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irish.gr100!$C$45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irish.gr100!$D$44:$O$44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irish.gr100!$D$45:$P$45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D-C949-A0B5-2C225E42FDF2}"/>
            </c:ext>
          </c:extLst>
        </c:ser>
        <c:ser>
          <c:idx val="1"/>
          <c:order val="1"/>
          <c:tx>
            <c:strRef>
              <c:f>irish.gr100!$C$46</c:f>
              <c:strCache>
                <c:ptCount val="1"/>
                <c:pt idx="0">
                  <c:v>Pluraity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irish.gr100!$D$44:$O$44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irish.gr100!$D$46:$P$46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D-C949-A0B5-2C225E42FDF2}"/>
            </c:ext>
          </c:extLst>
        </c:ser>
        <c:ser>
          <c:idx val="2"/>
          <c:order val="2"/>
          <c:tx>
            <c:strRef>
              <c:f>irish.gr100!$C$47</c:f>
              <c:strCache>
                <c:ptCount val="1"/>
                <c:pt idx="0">
                  <c:v>Case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irish.gr100!$D$44:$O$44</c:f>
              <c:strCache>
                <c:ptCount val="12"/>
                <c:pt idx="0">
                  <c:v>2g</c:v>
                </c:pt>
                <c:pt idx="1">
                  <c:v>3g</c:v>
                </c:pt>
                <c:pt idx="2">
                  <c:v>4g</c:v>
                </c:pt>
                <c:pt idx="3">
                  <c:v>sk2g</c:v>
                </c:pt>
                <c:pt idx="4">
                  <c:v>sk3g</c:v>
                </c:pt>
                <c:pt idx="5">
                  <c:v>sk4g</c:v>
                </c:pt>
                <c:pt idx="6">
                  <c:v>2g-hash</c:v>
                </c:pt>
                <c:pt idx="7">
                  <c:v>3g-hash</c:v>
                </c:pt>
                <c:pt idx="8">
                  <c:v>4g-hash</c:v>
                </c:pt>
                <c:pt idx="9">
                  <c:v>sk2g-hash</c:v>
                </c:pt>
                <c:pt idx="10">
                  <c:v>sk3g-hash</c:v>
                </c:pt>
                <c:pt idx="11">
                  <c:v>sk4g-hash</c:v>
                </c:pt>
              </c:strCache>
            </c:strRef>
          </c:cat>
          <c:val>
            <c:numRef>
              <c:f>irish.gr100!$D$47:$P$47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CD-C949-A0B5-2C225E42F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933408"/>
        <c:axId val="1706316351"/>
      </c:lineChart>
      <c:catAx>
        <c:axId val="109393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06316351"/>
        <c:crosses val="autoZero"/>
        <c:auto val="1"/>
        <c:lblAlgn val="ctr"/>
        <c:lblOffset val="100"/>
        <c:noMultiLvlLbl val="0"/>
      </c:catAx>
      <c:valAx>
        <c:axId val="170631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09393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48</xdr:row>
      <xdr:rowOff>165097</xdr:rowOff>
    </xdr:from>
    <xdr:to>
      <xdr:col>12</xdr:col>
      <xdr:colOff>294600</xdr:colOff>
      <xdr:row>58</xdr:row>
      <xdr:rowOff>336097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E0D9D7-1362-AE8E-AA82-15445DE17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48</xdr:row>
      <xdr:rowOff>165097</xdr:rowOff>
    </xdr:from>
    <xdr:to>
      <xdr:col>12</xdr:col>
      <xdr:colOff>294600</xdr:colOff>
      <xdr:row>58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98D6D7-4F3F-C94C-898D-6C3B5D020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32</xdr:row>
      <xdr:rowOff>165097</xdr:rowOff>
    </xdr:from>
    <xdr:to>
      <xdr:col>12</xdr:col>
      <xdr:colOff>294600</xdr:colOff>
      <xdr:row>42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51639-B70E-D641-A801-EFD113587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33</xdr:row>
      <xdr:rowOff>165097</xdr:rowOff>
    </xdr:from>
    <xdr:to>
      <xdr:col>12</xdr:col>
      <xdr:colOff>294600</xdr:colOff>
      <xdr:row>43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5BB81-FA5C-8A42-B240-BAF5E02C1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48</xdr:row>
      <xdr:rowOff>165097</xdr:rowOff>
    </xdr:from>
    <xdr:to>
      <xdr:col>11</xdr:col>
      <xdr:colOff>637500</xdr:colOff>
      <xdr:row>58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C598F3-049A-774A-B0AA-4A8EDF4D3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48</xdr:row>
      <xdr:rowOff>165097</xdr:rowOff>
    </xdr:from>
    <xdr:to>
      <xdr:col>12</xdr:col>
      <xdr:colOff>294600</xdr:colOff>
      <xdr:row>58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E55D7-42BC-3E40-B500-02193D1F5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48</xdr:row>
      <xdr:rowOff>165097</xdr:rowOff>
    </xdr:from>
    <xdr:to>
      <xdr:col>12</xdr:col>
      <xdr:colOff>294600</xdr:colOff>
      <xdr:row>58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95BAAA-7D02-A548-A8C6-E70F0FCEF8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139700</xdr:colOff>
      <xdr:row>48</xdr:row>
      <xdr:rowOff>165097</xdr:rowOff>
    </xdr:from>
    <xdr:to>
      <xdr:col>12</xdr:col>
      <xdr:colOff>294600</xdr:colOff>
      <xdr:row>58</xdr:row>
      <xdr:rowOff>336097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A77A2-F99C-CD41-97B9-560EBD6EB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B34886-E579-B04A-BB74-0B33E45A88FA}" name="Table1" displayName="Table1" ref="A1:Q5" totalsRowCount="1" headerRowDxfId="954">
  <autoFilter ref="A1:Q4" xr:uid="{45B34886-E579-B04A-BB74-0B33E45A88FA}"/>
  <tableColumns count="17">
    <tableColumn id="1" xr3:uid="{CE36E62A-7C19-4F4C-82F6-6CE888A87E6B}" name="Target"/>
    <tableColumn id="2" xr3:uid="{7AB845A4-F1B0-B744-B460-BB90EFE9EE7C}" name="Supplement"/>
    <tableColumn id="3" xr3:uid="{C4D61F22-F234-5B40-9512-30E3A888435E}" name="Method" totalsRowLabel="max"/>
    <tableColumn id="4" xr3:uid="{66D0DE50-E618-5443-867F-C52C49CB6EBD}" name="2g" totalsRowFunction="custom" dataDxfId="953" totalsRowDxfId="952">
      <totalsRowFormula>_xlfn.LET(_xlpm.d,D2:D4,MAX(_xlpm.d))</totalsRowFormula>
    </tableColumn>
    <tableColumn id="5" xr3:uid="{2E8A4301-345F-044E-8620-F261D1754E80}" name="3g" totalsRowFunction="custom" dataDxfId="951" totalsRowDxfId="950">
      <totalsRowFormula>_xlfn.LET(_xlpm.d,E2:E4,MAX(_xlpm.d))</totalsRowFormula>
    </tableColumn>
    <tableColumn id="6" xr3:uid="{0F249E06-547C-9C47-B12E-C05307E4639F}" name="4g" totalsRowFunction="custom" dataDxfId="949" totalsRowDxfId="948">
      <totalsRowFormula>_xlfn.LET(_xlpm.d,F2:F4,MAX(_xlpm.d))</totalsRowFormula>
    </tableColumn>
    <tableColumn id="7" xr3:uid="{AB1185AF-03AD-E04C-9662-664D719427EB}" name="sk2g" totalsRowFunction="custom" dataDxfId="947" totalsRowDxfId="946">
      <totalsRowFormula>_xlfn.LET(_xlpm.d,G2:G4,MAX(_xlpm.d))</totalsRowFormula>
    </tableColumn>
    <tableColumn id="8" xr3:uid="{D062F3A9-6B25-284B-8578-2E0985F6E1A9}" name="sk3g" totalsRowFunction="custom" dataDxfId="945" totalsRowDxfId="944">
      <totalsRowFormula>_xlfn.LET(_xlpm.d,H2:H4,MAX(_xlpm.d))</totalsRowFormula>
    </tableColumn>
    <tableColumn id="9" xr3:uid="{029A8882-884E-CC49-A552-68BFF62C58FF}" name="sk4g" totalsRowFunction="custom" dataDxfId="943" totalsRowDxfId="942">
      <totalsRowFormula>_xlfn.LET(_xlpm.d,I2:I4,MAX(_xlpm.d))</totalsRowFormula>
    </tableColumn>
    <tableColumn id="16" xr3:uid="{D40EF0E2-5E7A-614B-8E22-0996B8EE9447}" name="2g-hash" totalsRowFunction="custom" dataDxfId="941" totalsRowDxfId="940">
      <totalsRowFormula>_xlfn.LET(_xlpm.d,J2:J4,MAX(_xlpm.d))</totalsRowFormula>
    </tableColumn>
    <tableColumn id="15" xr3:uid="{22CCB389-FA4B-3C4A-B9EE-E3409A0263B6}" name="3g-hash" totalsRowFunction="custom" dataDxfId="939" totalsRowDxfId="938">
      <totalsRowFormula>_xlfn.LET(_xlpm.d,K2:K4,MAX(_xlpm.d))</totalsRowFormula>
    </tableColumn>
    <tableColumn id="14" xr3:uid="{D8FA2903-2A89-814F-97C2-5702DB8B0B65}" name="4g-hash" totalsRowFunction="custom" dataDxfId="937" totalsRowDxfId="936">
      <totalsRowFormula>_xlfn.LET(_xlpm.d,L2:L4,MAX(_xlpm.d))</totalsRowFormula>
    </tableColumn>
    <tableColumn id="10" xr3:uid="{AA63C7B5-B093-CF4F-87A0-656BA1FA817B}" name="sk2g-hash" totalsRowFunction="custom" dataDxfId="935" totalsRowDxfId="934">
      <totalsRowFormula>_xlfn.LET(_xlpm.d,M2:M4,MAX(_xlpm.d))</totalsRowFormula>
    </tableColumn>
    <tableColumn id="11" xr3:uid="{76D9421C-0B89-4443-932A-E2BAA4DEA765}" name="sk3g-hash" totalsRowFunction="custom" dataDxfId="933" totalsRowDxfId="932">
      <totalsRowFormula>_xlfn.LET(_xlpm.d,N2:N4,MAX(_xlpm.d))</totalsRowFormula>
    </tableColumn>
    <tableColumn id="12" xr3:uid="{8C3247BF-A8A4-7146-8BA1-AFC8B2A8CF1D}" name="sk4g-hash" totalsRowFunction="custom" dataDxfId="931" totalsRowDxfId="930">
      <totalsRowFormula>_xlfn.LET(_xlpm.d,O2:O4,MAX(_xlpm.d))</totalsRowFormula>
    </tableColumn>
    <tableColumn id="17" xr3:uid="{5742282E-7BE4-E14E-8360-EE4B79A10F2A}" name="max" totalsRowFunction="custom" dataDxfId="929" totalsRowDxfId="928">
      <calculatedColumnFormula>_xlfn.LET(_xlpm.d,D2:O2,MAX(_xlpm.d))</calculatedColumnFormula>
      <totalsRowFormula>_xlfn.LET(_xlpm.d,P2:P4,MAX(_xlpm.d))</totalsRowFormula>
    </tableColumn>
    <tableColumn id="13" xr3:uid="{87445E0A-3D81-5647-8C3C-3662A5B6D914}" name="Note" totalsRowLabel="1:sk2g+h;2:2g,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BAB1EF-B2F2-FD48-B115-FE786BAC46D2}" name="Table13" displayName="Table13" ref="A8:Q12" totalsRowCount="1">
  <autoFilter ref="A8:Q11" xr:uid="{91BAB1EF-B2F2-FD48-B115-FE786BAC46D2}"/>
  <tableColumns count="17">
    <tableColumn id="1" xr3:uid="{C4539D8A-5066-7A47-904F-066B69AB03F8}" name="Target"/>
    <tableColumn id="2" xr3:uid="{31BE5C67-001B-F143-BDDD-41AB490235F5}" name="Supplement"/>
    <tableColumn id="3" xr3:uid="{2025B0E6-9A56-754D-9981-42555F80FAF4}" name="Method" totalsRowLabel="max"/>
    <tableColumn id="4" xr3:uid="{FE17E112-E2E2-354F-B766-D5DACDC2286D}" name="2g" totalsRowFunction="custom" dataDxfId="927" totalsRowDxfId="926">
      <totalsRowFormula>_xlfn.LET(_xlpm.d,D9:D11,MAX(_xlpm.d))</totalsRowFormula>
    </tableColumn>
    <tableColumn id="5" xr3:uid="{266FE086-A259-0048-B75D-4EDC5818F40E}" name="3g" totalsRowFunction="custom" dataDxfId="925" totalsRowDxfId="924">
      <totalsRowFormula>_xlfn.LET(_xlpm.d,E9:E11,MAX(_xlpm.d))</totalsRowFormula>
    </tableColumn>
    <tableColumn id="6" xr3:uid="{A063E8D2-51C9-EA4E-9293-4FB44CD64537}" name="4g" totalsRowFunction="custom" dataDxfId="923" totalsRowDxfId="922">
      <totalsRowFormula>_xlfn.LET(_xlpm.d,F9:F11,MAX(_xlpm.d))</totalsRowFormula>
    </tableColumn>
    <tableColumn id="7" xr3:uid="{D211BE6C-9A43-7C4D-96FA-DE7377A35E40}" name="sk2g" totalsRowFunction="custom" dataDxfId="921" totalsRowDxfId="920">
      <totalsRowFormula>_xlfn.LET(_xlpm.d,G9:G11,MAX(_xlpm.d))</totalsRowFormula>
    </tableColumn>
    <tableColumn id="8" xr3:uid="{A9349B21-9307-E641-B881-EE90451899F4}" name="sk3g" totalsRowFunction="custom" dataDxfId="919" totalsRowDxfId="918">
      <totalsRowFormula>_xlfn.LET(_xlpm.d,H9:H11,MAX(_xlpm.d))</totalsRowFormula>
    </tableColumn>
    <tableColumn id="9" xr3:uid="{383B4573-5989-B34C-9395-40E348FF5368}" name="sk4g" totalsRowFunction="custom" dataDxfId="917" totalsRowDxfId="916">
      <totalsRowFormula>_xlfn.LET(_xlpm.d,I9:I11,MAX(_xlpm.d))</totalsRowFormula>
    </tableColumn>
    <tableColumn id="16" xr3:uid="{9C62A835-912B-2840-955F-EEEECAB5C034}" name="2g-hash" totalsRowFunction="custom" dataDxfId="915" totalsRowDxfId="914">
      <totalsRowFormula>_xlfn.LET(_xlpm.d,J9:J11,MAX(_xlpm.d))</totalsRowFormula>
    </tableColumn>
    <tableColumn id="15" xr3:uid="{70BCB67D-EB20-E943-A3F0-B3FAC031B2AB}" name="3g-hash" totalsRowFunction="custom" dataDxfId="913" totalsRowDxfId="912">
      <totalsRowFormula>_xlfn.LET(_xlpm.d,K9:K11,MAX(_xlpm.d))</totalsRowFormula>
    </tableColumn>
    <tableColumn id="14" xr3:uid="{A6E89A0F-2C1D-A440-90BC-2EECFD231FDD}" name="4g-hash" totalsRowFunction="custom" dataDxfId="911" totalsRowDxfId="910">
      <totalsRowFormula>_xlfn.LET(_xlpm.d,L9:L11,MAX(_xlpm.d))</totalsRowFormula>
    </tableColumn>
    <tableColumn id="10" xr3:uid="{2B2380FD-7699-174F-8DE5-79D3B7B92FAE}" name="sk2g-hash" totalsRowFunction="custom" dataDxfId="909" totalsRowDxfId="908">
      <totalsRowFormula>_xlfn.LET(_xlpm.d,M9:M11,MAX(_xlpm.d))</totalsRowFormula>
    </tableColumn>
    <tableColumn id="11" xr3:uid="{D2A1C4B2-4B60-0D4F-A942-DF91DD01F790}" name="sk3g-hash" totalsRowFunction="custom" dataDxfId="907" totalsRowDxfId="906">
      <totalsRowFormula>_xlfn.LET(_xlpm.d,N9:N11,MAX(_xlpm.d))</totalsRowFormula>
    </tableColumn>
    <tableColumn id="12" xr3:uid="{F1A45A9F-FF43-594E-8E75-9AB7B1575491}" name="sk4g-hash" totalsRowFunction="custom" dataDxfId="905" totalsRowDxfId="904">
      <totalsRowFormula>_xlfn.LET(_xlpm.d,O9:O11,MAX(_xlpm.d))</totalsRowFormula>
    </tableColumn>
    <tableColumn id="17" xr3:uid="{95DF1CC4-6B22-9C43-B0FC-B9929C7FF505}" name="max" totalsRowFunction="custom" dataDxfId="903" totalsRowDxfId="902">
      <calculatedColumnFormula>_xlfn.LET(_xlpm.d,D9:O9,MAX(_xlpm.d))</calculatedColumnFormula>
      <totalsRowFormula>_xlfn.LET(_xlpm.d,P9:P11,MAX(_xlpm.d))</totalsRowFormula>
    </tableColumn>
    <tableColumn id="13" xr3:uid="{9FCB699C-AFC8-AC4A-B9A9-FFEB3A990724}" name="Note" totalsRowLabel="1:3g,2:sk2g,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44D348-02B7-6944-AEA9-DF3D29ADB135}" name="Table14" displayName="Table14" ref="A15:Q19" totalsRowCount="1">
  <autoFilter ref="A15:Q18" xr:uid="{8544D348-02B7-6944-AEA9-DF3D29ADB135}"/>
  <tableColumns count="17">
    <tableColumn id="1" xr3:uid="{76BC655F-482A-B945-98B0-3896637FE338}" name="Target"/>
    <tableColumn id="2" xr3:uid="{C97713D1-6249-6942-BA22-DB1C8EB132C6}" name="Supplement"/>
    <tableColumn id="3" xr3:uid="{F68B1C05-5A90-B74B-85BC-B516F4E97B86}" name="Method" totalsRowLabel="max"/>
    <tableColumn id="4" xr3:uid="{DFFEA6F4-9C4C-234E-8B30-CEFE1D6033AF}" name="2g" totalsRowFunction="custom" dataDxfId="901" totalsRowDxfId="900">
      <totalsRowFormula>_xlfn.LET(_xlpm.d,D16:D18,MAX(_xlpm.d))</totalsRowFormula>
    </tableColumn>
    <tableColumn id="5" xr3:uid="{2C86E4C8-96A1-C242-94AF-9C6920231EE6}" name="3g" totalsRowFunction="custom" dataDxfId="899" totalsRowDxfId="898">
      <totalsRowFormula>_xlfn.LET(_xlpm.d,E16:E18,MAX(_xlpm.d))</totalsRowFormula>
    </tableColumn>
    <tableColumn id="6" xr3:uid="{961CE5DA-86D2-964B-8B0D-7F11FC5106FA}" name="4g" totalsRowFunction="custom" dataDxfId="897" totalsRowDxfId="896">
      <totalsRowFormula>_xlfn.LET(_xlpm.d,F16:F18,MAX(_xlpm.d))</totalsRowFormula>
    </tableColumn>
    <tableColumn id="7" xr3:uid="{28126330-1C91-E34B-AD5F-AAC82D9A3ABD}" name="sk2g" totalsRowFunction="custom" dataDxfId="895" totalsRowDxfId="894">
      <totalsRowFormula>_xlfn.LET(_xlpm.d,G16:G18,MAX(_xlpm.d))</totalsRowFormula>
    </tableColumn>
    <tableColumn id="8" xr3:uid="{55388EC8-3A8B-F045-9E9A-EF7AC3FCE343}" name="sk3g" totalsRowFunction="custom" dataDxfId="893" totalsRowDxfId="892">
      <totalsRowFormula>_xlfn.LET(_xlpm.d,H16:H18,MAX(_xlpm.d))</totalsRowFormula>
    </tableColumn>
    <tableColumn id="9" xr3:uid="{B4F40304-72DE-C84B-90BD-760A14CFE658}" name="sk4g" totalsRowFunction="custom" dataDxfId="891" totalsRowDxfId="890">
      <totalsRowFormula>_xlfn.LET(_xlpm.d,I16:I18,MAX(_xlpm.d))</totalsRowFormula>
    </tableColumn>
    <tableColumn id="16" xr3:uid="{26752F72-514C-7741-8011-397327A293FC}" name="2g-hash" totalsRowFunction="custom" dataDxfId="889" totalsRowDxfId="888">
      <totalsRowFormula>_xlfn.LET(_xlpm.d,J16:J18,MAX(_xlpm.d))</totalsRowFormula>
    </tableColumn>
    <tableColumn id="15" xr3:uid="{9907F327-3C4E-A740-B001-75ACDE960293}" name="3g-hash" totalsRowFunction="custom" dataDxfId="887" totalsRowDxfId="886">
      <totalsRowFormula>_xlfn.LET(_xlpm.d,K16:K18,MAX(_xlpm.d))</totalsRowFormula>
    </tableColumn>
    <tableColumn id="14" xr3:uid="{3B416171-9486-6944-A3EB-DB79911F516C}" name="4g-hash" totalsRowFunction="custom" dataDxfId="885" totalsRowDxfId="884">
      <totalsRowFormula>_xlfn.LET(_xlpm.d,L16:L18,MAX(_xlpm.d))</totalsRowFormula>
    </tableColumn>
    <tableColumn id="10" xr3:uid="{21BE5C0C-CF43-5B4B-8516-71F819C81B72}" name="sk2g-hash" totalsRowFunction="custom" dataDxfId="883" totalsRowDxfId="882">
      <totalsRowFormula>_xlfn.LET(_xlpm.d,M16:M18,MAX(_xlpm.d))</totalsRowFormula>
    </tableColumn>
    <tableColumn id="11" xr3:uid="{3E813567-EA79-014E-8FEF-AAB46CE741E2}" name="sk3g-hash" totalsRowFunction="custom" dataDxfId="881" totalsRowDxfId="880">
      <totalsRowFormula>_xlfn.LET(_xlpm.d,N16:N18,MAX(_xlpm.d))</totalsRowFormula>
    </tableColumn>
    <tableColumn id="12" xr3:uid="{918BD49A-431B-F946-81A0-CF2F4A24EC28}" name="sk4g-hash" totalsRowFunction="custom" dataDxfId="879" totalsRowDxfId="878">
      <totalsRowFormula>_xlfn.LET(_xlpm.d,O16:O18,MAX(_xlpm.d))</totalsRowFormula>
    </tableColumn>
    <tableColumn id="17" xr3:uid="{5E0086BF-D2AD-994E-A6FA-B452411DCDE9}" name="max" totalsRowFunction="custom" dataDxfId="877" totalsRowDxfId="876">
      <calculatedColumnFormula>_xlfn.LET(_xlpm.d,D16:O16,MAX(_xlpm.d))</calculatedColumnFormula>
      <totalsRowFormula>_xlfn.LET(_xlpm.d,P16:P18,MAX(_xlpm.d))</totalsRowFormula>
    </tableColumn>
    <tableColumn id="13" xr3:uid="{50B34DC1-DBD8-7449-B31A-EBC9D44D668A}" name="Note" totalsRowLabel="1:4g;2:2g,2g+h,sk2g+h,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B0E1C2-31F2-354C-8ED1-4E99A40A361A}" name="Table135" displayName="Table135" ref="A22:Q26" totalsRowCount="1">
  <autoFilter ref="A22:Q25" xr:uid="{46B0E1C2-31F2-354C-8ED1-4E99A40A361A}"/>
  <tableColumns count="17">
    <tableColumn id="1" xr3:uid="{1E4C998B-AC3E-5E4C-BA53-64A2B919C746}" name="Target"/>
    <tableColumn id="2" xr3:uid="{6AAFF9B3-8BD9-DB45-BEC2-7B83D8DD85D9}" name="Supplement"/>
    <tableColumn id="3" xr3:uid="{B03E9C3B-9DCC-304E-B0D9-57DF7AC40760}" name="Method" totalsRowLabel="max"/>
    <tableColumn id="4" xr3:uid="{61797A26-5B40-444E-8769-657D5A1E1071}" name="2g" totalsRowFunction="custom" dataDxfId="875" totalsRowDxfId="874">
      <totalsRowFormula>_xlfn.LET(_xlpm.d,D23:D25,MAX(_xlpm.d))</totalsRowFormula>
    </tableColumn>
    <tableColumn id="5" xr3:uid="{7B851295-D18C-CE4E-97BB-F0B9EE2B7E36}" name="3g" totalsRowFunction="custom" dataDxfId="873" totalsRowDxfId="872">
      <totalsRowFormula>_xlfn.LET(_xlpm.d,E23:E25,MAX(_xlpm.d))</totalsRowFormula>
    </tableColumn>
    <tableColumn id="6" xr3:uid="{DA29946D-D7F3-EE42-A8C9-3096433F3584}" name="4g" totalsRowFunction="custom" dataDxfId="871" totalsRowDxfId="870">
      <totalsRowFormula>_xlfn.LET(_xlpm.d,F23:F25,MAX(_xlpm.d))</totalsRowFormula>
    </tableColumn>
    <tableColumn id="7" xr3:uid="{5A07172C-B78B-3C49-8806-2F2CBFABBE54}" name="sk2g" totalsRowFunction="custom" dataDxfId="869" totalsRowDxfId="868">
      <totalsRowFormula>_xlfn.LET(_xlpm.d,G23:G25,MAX(_xlpm.d))</totalsRowFormula>
    </tableColumn>
    <tableColumn id="8" xr3:uid="{9C75FDE6-33BD-9D43-ACAF-A4A33F5D0146}" name="sk3g" totalsRowFunction="custom" dataDxfId="867" totalsRowDxfId="866">
      <totalsRowFormula>_xlfn.LET(_xlpm.d,H23:H25,MAX(_xlpm.d))</totalsRowFormula>
    </tableColumn>
    <tableColumn id="9" xr3:uid="{4521A6CC-446F-E948-B7C9-E24C077180D0}" name="sk4g" totalsRowFunction="custom" dataDxfId="865" totalsRowDxfId="864">
      <totalsRowFormula>_xlfn.LET(_xlpm.d,I23:I25,MAX(_xlpm.d))</totalsRowFormula>
    </tableColumn>
    <tableColumn id="16" xr3:uid="{D84D123B-EFCD-F841-AC96-AB145769FFBE}" name="2g-hash" totalsRowFunction="custom" dataDxfId="863" totalsRowDxfId="862">
      <totalsRowFormula>_xlfn.LET(_xlpm.d,J23:J25,MAX(_xlpm.d))</totalsRowFormula>
    </tableColumn>
    <tableColumn id="15" xr3:uid="{D3560523-D51E-8946-A57F-EFDA7B1BD639}" name="3g-hash" totalsRowFunction="custom" dataDxfId="861" totalsRowDxfId="860">
      <totalsRowFormula>_xlfn.LET(_xlpm.d,K23:K25,MAX(_xlpm.d))</totalsRowFormula>
    </tableColumn>
    <tableColumn id="14" xr3:uid="{70948B77-70E7-3641-AE5B-16BD67A396CC}" name="4g-hash" totalsRowFunction="custom" dataDxfId="859" totalsRowDxfId="858">
      <totalsRowFormula>_xlfn.LET(_xlpm.d,L23:L25,MAX(_xlpm.d))</totalsRowFormula>
    </tableColumn>
    <tableColumn id="10" xr3:uid="{772B0DD6-ED16-144A-A397-82FD44250086}" name="sk2g-hash" totalsRowFunction="custom" dataDxfId="857" totalsRowDxfId="856">
      <totalsRowFormula>_xlfn.LET(_xlpm.d,M23:M25,MAX(_xlpm.d))</totalsRowFormula>
    </tableColumn>
    <tableColumn id="11" xr3:uid="{460F3889-4142-FB44-9251-2ABD0CE7710D}" name="sk3g-hash" totalsRowFunction="custom" dataDxfId="855" totalsRowDxfId="854">
      <totalsRowFormula>_xlfn.LET(_xlpm.d,N23:N25,MAX(_xlpm.d))</totalsRowFormula>
    </tableColumn>
    <tableColumn id="12" xr3:uid="{6B695E85-AB5B-A345-94EB-8DBF5C43C0CF}" name="sk4g-hash" totalsRowFunction="custom" dataDxfId="853" totalsRowDxfId="852">
      <totalsRowFormula>_xlfn.LET(_xlpm.d,O23:O25,MAX(_xlpm.d))</totalsRowFormula>
    </tableColumn>
    <tableColumn id="17" xr3:uid="{BFFD6D0B-535D-664B-A07C-AD8ED8386F4C}" name="max" totalsRowFunction="custom" dataDxfId="851" totalsRowDxfId="850">
      <calculatedColumnFormula>_xlfn.LET(_xlpm.d,D23:O23,MAX(_xlpm.d))</calculatedColumnFormula>
      <totalsRowFormula>_xlfn.LET(_xlpm.d,P23:P25,MAX(_xlpm.d))</totalsRowFormula>
    </tableColumn>
    <tableColumn id="13" xr3:uid="{030C734E-8662-614D-89D6-71C74FF01523}" name="Note" totalsRowLabel="1:sk2g+h,2:sk2g,3g+h,4g+h,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8576D6-A841-2144-A01C-5F10F995E97C}" name="Table146" displayName="Table146" ref="A29:Q33" totalsRowCount="1">
  <autoFilter ref="A29:Q32" xr:uid="{AE8576D6-A841-2144-A01C-5F10F995E97C}"/>
  <tableColumns count="17">
    <tableColumn id="1" xr3:uid="{E858F940-001E-704A-B53D-D700EF917CBE}" name="Target"/>
    <tableColumn id="2" xr3:uid="{BDBEDEA3-59A8-4F46-99AE-C1CB8E5B7B4F}" name="Supplement"/>
    <tableColumn id="3" xr3:uid="{A68E41B4-19C1-6343-95D1-E90391000B5C}" name="Method" totalsRowLabel="max"/>
    <tableColumn id="4" xr3:uid="{0BF82165-564C-A349-BC4E-7921A419C11F}" name="2g" totalsRowFunction="custom" dataDxfId="849" totalsRowDxfId="848">
      <totalsRowFormula>_xlfn.LET(_xlpm.d,D30:D32,MAX(_xlpm.d))</totalsRowFormula>
    </tableColumn>
    <tableColumn id="5" xr3:uid="{3B411626-1549-284D-A521-AB46BA2D2C07}" name="3g" totalsRowFunction="custom" dataDxfId="847" totalsRowDxfId="846">
      <totalsRowFormula>_xlfn.LET(_xlpm.d,E30:E32,MAX(_xlpm.d))</totalsRowFormula>
    </tableColumn>
    <tableColumn id="6" xr3:uid="{AF4A2C9E-194F-5C40-92F2-90099915CE6D}" name="4g" totalsRowFunction="custom" dataDxfId="845" totalsRowDxfId="844">
      <totalsRowFormula>_xlfn.LET(_xlpm.d,F30:F32,MAX(_xlpm.d))</totalsRowFormula>
    </tableColumn>
    <tableColumn id="7" xr3:uid="{0BE7C6A4-994A-D642-A92C-9371EDD9C1EE}" name="sk2g" totalsRowFunction="custom" dataDxfId="843" totalsRowDxfId="842">
      <totalsRowFormula>_xlfn.LET(_xlpm.d,G30:G32,MAX(_xlpm.d))</totalsRowFormula>
    </tableColumn>
    <tableColumn id="8" xr3:uid="{20B742E0-AEF1-224A-9529-6021646ABBE0}" name="sk3g" totalsRowFunction="custom" dataDxfId="841" totalsRowDxfId="840">
      <totalsRowFormula>_xlfn.LET(_xlpm.d,H30:H32,MAX(_xlpm.d))</totalsRowFormula>
    </tableColumn>
    <tableColumn id="16" xr3:uid="{B2A5ABFB-20F1-9C4F-B339-4CB6A97EF27D}" name="sk4g" totalsRowFunction="custom" dataDxfId="839" totalsRowDxfId="838">
      <totalsRowFormula>_xlfn.LET(_xlpm.d,I30:I32,MAX(_xlpm.d))</totalsRowFormula>
    </tableColumn>
    <tableColumn id="15" xr3:uid="{4A3869D0-8532-134E-B644-D463864479EC}" name="2g-hash" totalsRowFunction="custom" dataDxfId="837" totalsRowDxfId="836">
      <totalsRowFormula>_xlfn.LET(_xlpm.d,J30:J32,MAX(_xlpm.d))</totalsRowFormula>
    </tableColumn>
    <tableColumn id="14" xr3:uid="{AD1E4E47-862A-0844-9A11-1C03A850E6CE}" name="3g-hash" totalsRowFunction="custom" dataDxfId="835" totalsRowDxfId="834">
      <totalsRowFormula>_xlfn.LET(_xlpm.d,K30:K32,MAX(_xlpm.d))</totalsRowFormula>
    </tableColumn>
    <tableColumn id="9" xr3:uid="{9394B451-04F1-944B-BB56-FA9BCB50B789}" name="4g-hash" totalsRowFunction="custom" dataDxfId="833" totalsRowDxfId="832">
      <totalsRowFormula>_xlfn.LET(_xlpm.d,L30:L32,MAX(_xlpm.d))</totalsRowFormula>
    </tableColumn>
    <tableColumn id="10" xr3:uid="{D1826060-499B-5E45-9922-98D3AED7CBB6}" name="sk2g-hash" totalsRowFunction="custom" dataDxfId="831" totalsRowDxfId="830">
      <totalsRowFormula>_xlfn.LET(_xlpm.d,M30:M32,MAX(_xlpm.d))</totalsRowFormula>
    </tableColumn>
    <tableColumn id="11" xr3:uid="{0D5672CF-4B77-3143-A769-AE60BA099F34}" name="sk3g-hash" totalsRowFunction="custom" dataDxfId="829" totalsRowDxfId="828">
      <totalsRowFormula>_xlfn.LET(_xlpm.d,N30:N32,MAX(_xlpm.d))</totalsRowFormula>
    </tableColumn>
    <tableColumn id="12" xr3:uid="{5120879B-8C73-3042-9AD6-231884FC826E}" name="sk4g-hash" totalsRowFunction="custom" dataDxfId="827" totalsRowDxfId="826">
      <totalsRowFormula>_xlfn.LET(_xlpm.d,O30:O32,MAX(_xlpm.d))</totalsRowFormula>
    </tableColumn>
    <tableColumn id="17" xr3:uid="{2A1E174B-D03A-9B45-AA6A-192138CD2804}" name="max" totalsRowFunction="custom" dataDxfId="825" totalsRowDxfId="824">
      <calculatedColumnFormula>_xlfn.LET(_xlpm.d,D30:O30,MAX(_xlpm.d))</calculatedColumnFormula>
      <totalsRowFormula>_xlfn.LET(_xlpm.d,P30:P32,MAX(_xlpm.d))</totalsRowFormula>
    </tableColumn>
    <tableColumn id="13" xr3:uid="{BB30646A-AD09-FC48-9818-FB1D9D7F6E05}" name="Note" totalsRowLabel="1:sk3g;2:3g,4g,2g+h,sk4g+h,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30A6F5-5D38-AD42-B882-A8D0FE891640}" name="Table1357" displayName="Table1357" ref="A36:Q40" totalsRowCount="1">
  <autoFilter ref="A36:Q39" xr:uid="{2D30A6F5-5D38-AD42-B882-A8D0FE891640}"/>
  <tableColumns count="17">
    <tableColumn id="1" xr3:uid="{8E46DB18-6E25-A84D-805B-A865ABF2E9C6}" name="Target"/>
    <tableColumn id="2" xr3:uid="{F4D87E34-54F3-2143-BEC8-06B06D3AB022}" name="Supplement"/>
    <tableColumn id="3" xr3:uid="{6BAFF4F5-737B-9E4A-9368-4F3BC3941960}" name="Method" totalsRowLabel="max"/>
    <tableColumn id="4" xr3:uid="{D3B99471-126E-D349-ABDC-9870555E40B8}" name="2g" totalsRowFunction="custom" dataDxfId="823" totalsRowDxfId="822">
      <totalsRowFormula>_xlfn.LET(_xlpm.d,D37:D39,MAX(_xlpm.d))</totalsRowFormula>
    </tableColumn>
    <tableColumn id="5" xr3:uid="{35E94AC5-7736-EB4D-B806-0DC67250815F}" name="3g" totalsRowFunction="custom" dataDxfId="821" totalsRowDxfId="820">
      <totalsRowFormula>_xlfn.LET(_xlpm.d,E37:E39,MAX(_xlpm.d))</totalsRowFormula>
    </tableColumn>
    <tableColumn id="6" xr3:uid="{B218C2A8-16B5-DE46-9010-938AB477F6B7}" name="4g" totalsRowFunction="custom" dataDxfId="819" totalsRowDxfId="818">
      <totalsRowFormula>_xlfn.LET(_xlpm.d,F37:F39,MAX(_xlpm.d))</totalsRowFormula>
    </tableColumn>
    <tableColumn id="7" xr3:uid="{9EC9757C-B15B-2A4D-944D-A9FD044DC19B}" name="sk2g" totalsRowFunction="custom" dataDxfId="817" totalsRowDxfId="816">
      <totalsRowFormula>_xlfn.LET(_xlpm.d,G37:G39,MAX(_xlpm.d))</totalsRowFormula>
    </tableColumn>
    <tableColumn id="8" xr3:uid="{8BB24172-7EBE-0C48-8C17-5D8CC2F9873E}" name="sk3g" totalsRowFunction="custom" dataDxfId="815" totalsRowDxfId="814">
      <totalsRowFormula>_xlfn.LET(_xlpm.d,H37:H39,MAX(_xlpm.d))</totalsRowFormula>
    </tableColumn>
    <tableColumn id="9" xr3:uid="{575EF389-408C-1F47-9037-F0444A6EF4EA}" name="sk4g" totalsRowFunction="custom" dataDxfId="813" totalsRowDxfId="812">
      <totalsRowFormula>_xlfn.LET(_xlpm.d,I37:I39,MAX(_xlpm.d))</totalsRowFormula>
    </tableColumn>
    <tableColumn id="16" xr3:uid="{C8131FDF-8BC9-AB42-A6A5-6ED20D5EBA2F}" name="2g-hash" totalsRowFunction="custom" dataDxfId="811" totalsRowDxfId="810">
      <totalsRowFormula>_xlfn.LET(_xlpm.d,J37:J39,MAX(_xlpm.d))</totalsRowFormula>
    </tableColumn>
    <tableColumn id="15" xr3:uid="{BAFBA6AD-DB9C-434B-945D-1CD77BBDA658}" name="3g-hash" totalsRowFunction="custom" dataDxfId="809" totalsRowDxfId="808">
      <totalsRowFormula>_xlfn.LET(_xlpm.d,K37:K39,MAX(_xlpm.d))</totalsRowFormula>
    </tableColumn>
    <tableColumn id="14" xr3:uid="{1FDE0512-7BCE-E641-A8A8-D095D168C03F}" name="4g-hash" totalsRowFunction="custom" dataDxfId="807" totalsRowDxfId="806">
      <totalsRowFormula>_xlfn.LET(_xlpm.d,L37:L39,MAX(_xlpm.d))</totalsRowFormula>
    </tableColumn>
    <tableColumn id="10" xr3:uid="{F7D03837-D86A-3B47-B2F1-E2B42FD3E7DA}" name="sk2g-hash" totalsRowFunction="custom" dataDxfId="805" totalsRowDxfId="804">
      <totalsRowFormula>_xlfn.LET(_xlpm.d,M37:M39,MAX(_xlpm.d))</totalsRowFormula>
    </tableColumn>
    <tableColumn id="11" xr3:uid="{7B71D35D-53EC-2F4E-B058-050115CD4BCB}" name="sk3g-hash" totalsRowFunction="custom" dataDxfId="803" totalsRowDxfId="802">
      <totalsRowFormula>_xlfn.LET(_xlpm.d,N37:N39,MAX(_xlpm.d))</totalsRowFormula>
    </tableColumn>
    <tableColumn id="12" xr3:uid="{3D9F6CEE-2A01-3F4A-A869-7BCD85760511}" name="sk4g-hash" totalsRowFunction="custom" dataDxfId="801" totalsRowDxfId="800">
      <totalsRowFormula>_xlfn.LET(_xlpm.d,O37:O39,MAX(_xlpm.d))</totalsRowFormula>
    </tableColumn>
    <tableColumn id="17" xr3:uid="{2F8D7073-530A-F543-890C-8B7D9C573502}" name="max" totalsRowFunction="custom" dataDxfId="799" totalsRowDxfId="798">
      <calculatedColumnFormula>_xlfn.LET(_xlpm.d,D37:O37,MAX(_xlpm.d))</calculatedColumnFormula>
      <totalsRowFormula>_xlfn.LET(_xlpm.d,P37:P39,MAX(_xlpm.d))</totalsRowFormula>
    </tableColumn>
    <tableColumn id="13" xr3:uid="{F4CF46B5-B9C5-DF41-A2D8-8D2B4EF5E539}" name="Note" totalsRowLabel="1:sk3g;2:sk4g+h,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ABBBD24-F201-D145-A564-A545FF1A0C0C}" name="Table114" displayName="Table114" ref="A1:Q5" totalsRowCount="1" headerRowDxfId="797">
  <autoFilter ref="A1:Q4" xr:uid="{45B34886-E579-B04A-BB74-0B33E45A88FA}"/>
  <tableColumns count="17">
    <tableColumn id="1" xr3:uid="{C07F5AB9-7FC9-954A-B300-DCAD230F1FD5}" name="Target"/>
    <tableColumn id="2" xr3:uid="{F72C4668-8C78-8547-8305-568A59CF4A9F}" name="Supplement"/>
    <tableColumn id="3" xr3:uid="{4AA1783C-995B-5E46-8270-AB5320DFC6F7}" name="Method" totalsRowLabel="max"/>
    <tableColumn id="4" xr3:uid="{0BED2B17-C9B0-674D-A2D8-93B2FA3BAD87}" name="2g" totalsRowFunction="custom" dataDxfId="796" totalsRowDxfId="795">
      <totalsRowFormula array="1">_xlfn.LET(_xlpm.d,D2:D4,MAX(_xlpm.d))</totalsRowFormula>
    </tableColumn>
    <tableColumn id="5" xr3:uid="{8FA75FBD-022B-0E45-AE9C-A6518FF4D363}" name="3g" totalsRowFunction="custom" dataDxfId="794" totalsRowDxfId="793">
      <totalsRowFormula>_xlfn.LET(_xlpm.d,E2:E4,MAX(_xlpm.d))</totalsRowFormula>
    </tableColumn>
    <tableColumn id="6" xr3:uid="{C024E16D-7664-D349-B195-101E062796E9}" name="4g" totalsRowFunction="custom" dataDxfId="792" totalsRowDxfId="791">
      <totalsRowFormula>_xlfn.LET(_xlpm.d,F2:F4,MAX(_xlpm.d))</totalsRowFormula>
    </tableColumn>
    <tableColumn id="7" xr3:uid="{BA038075-65F3-1B44-A1DD-9096DBDA04B0}" name="sk2g" totalsRowFunction="custom" dataDxfId="790" totalsRowDxfId="789">
      <totalsRowFormula>_xlfn.LET(_xlpm.d,G2:G4,MAX(_xlpm.d))</totalsRowFormula>
    </tableColumn>
    <tableColumn id="8" xr3:uid="{B88D2760-BF08-0149-8BCD-4E09AC30F89D}" name="sk3g" totalsRowFunction="custom" dataDxfId="788" totalsRowDxfId="787">
      <totalsRowFormula>_xlfn.LET(_xlpm.d,H2:H4,MAX(_xlpm.d))</totalsRowFormula>
    </tableColumn>
    <tableColumn id="9" xr3:uid="{9AC26E8E-279D-1340-BA2D-F1D6BA35E560}" name="sk4g" totalsRowFunction="custom" dataDxfId="786" totalsRowDxfId="785">
      <totalsRowFormula>_xlfn.LET(_xlpm.d,I2:I4,MAX(_xlpm.d))</totalsRowFormula>
    </tableColumn>
    <tableColumn id="16" xr3:uid="{ABACC050-B83D-9E44-B00D-65E83B08E4FF}" name="2g-hash" totalsRowFunction="custom" dataDxfId="784" totalsRowDxfId="783">
      <totalsRowFormula>_xlfn.LET(_xlpm.d,J2:J4,MAX(_xlpm.d))</totalsRowFormula>
    </tableColumn>
    <tableColumn id="15" xr3:uid="{56476F22-E362-DF4C-BEF6-883B00083F9F}" name="3g-hash" totalsRowFunction="custom" dataDxfId="782" totalsRowDxfId="781">
      <totalsRowFormula>_xlfn.LET(_xlpm.d,K2:K4,MAX(_xlpm.d))</totalsRowFormula>
    </tableColumn>
    <tableColumn id="14" xr3:uid="{85F1F4F5-22D5-BE43-A7CE-0BCB8F10D241}" name="4g-hash" totalsRowFunction="custom" dataDxfId="780" totalsRowDxfId="779">
      <totalsRowFormula>_xlfn.LET(_xlpm.d,L2:L4,MAX(_xlpm.d))</totalsRowFormula>
    </tableColumn>
    <tableColumn id="10" xr3:uid="{33AB305D-931E-CA46-A44D-50A41725F141}" name="sk2g-hash" totalsRowFunction="custom" dataDxfId="778" totalsRowDxfId="777">
      <totalsRowFormula>_xlfn.LET(_xlpm.d,M2:M4,MAX(_xlpm.d))</totalsRowFormula>
    </tableColumn>
    <tableColumn id="11" xr3:uid="{0AD42547-9F96-B244-B9DE-40862CD3B887}" name="sk3g-hash" totalsRowFunction="custom" dataDxfId="776" totalsRowDxfId="775">
      <totalsRowFormula>_xlfn.LET(_xlpm.d,N2:N4,MAX(_xlpm.d))</totalsRowFormula>
    </tableColumn>
    <tableColumn id="12" xr3:uid="{B1AD26BD-CCC3-C143-8874-E69A708C01F8}" name="sk4g-hash" totalsRowFunction="custom" dataDxfId="774" totalsRowDxfId="773">
      <totalsRowFormula>_xlfn.LET(_xlpm.d,O2:O4,MAX(_xlpm.d))</totalsRowFormula>
    </tableColumn>
    <tableColumn id="17" xr3:uid="{610BF772-DC89-0844-BA18-32BCC68C3B17}" name="max" totalsRowFunction="custom" dataDxfId="772" totalsRowDxfId="771">
      <calculatedColumnFormula>_xlfn.LET(_xlpm.d,D2:O2,MAX(_xlpm.d))</calculatedColumnFormula>
      <totalsRowFormula>_xlfn.LET(_xlpm.d,P2:P4,MAX(_xlpm.d))</totalsRowFormula>
    </tableColumn>
    <tableColumn id="13" xr3:uid="{23127B8D-D727-DB45-8FF5-DD7E85C647B9}" name="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4E1A30-1447-E84D-9D41-598D69E9B124}" name="Table1315" displayName="Table1315" ref="A8:Q12" totalsRowCount="1">
  <autoFilter ref="A8:Q11" xr:uid="{91BAB1EF-B2F2-FD48-B115-FE786BAC46D2}"/>
  <tableColumns count="17">
    <tableColumn id="1" xr3:uid="{EC8FEB4D-09DB-4940-A7F7-2894ED9E5E0B}" name="Target"/>
    <tableColumn id="2" xr3:uid="{777414FE-BC60-FD49-A389-A8029C567BD0}" name="Supplement"/>
    <tableColumn id="3" xr3:uid="{A5D945C2-17BF-4744-AE21-69127B78ACEC}" name="Method" totalsRowLabel="max"/>
    <tableColumn id="4" xr3:uid="{6CCC0891-50A8-664E-909D-E8D2595080BC}" name="2g" totalsRowFunction="custom" dataDxfId="770" totalsRowDxfId="769">
      <totalsRowFormula>_xlfn.LET(_xlpm.d,D9:D11,MAX(_xlpm.d))</totalsRowFormula>
    </tableColumn>
    <tableColumn id="5" xr3:uid="{5FB9DF6F-AF92-F14E-BCF4-0F2B29EA0EB3}" name="3g" totalsRowFunction="custom" dataDxfId="768" totalsRowDxfId="767">
      <totalsRowFormula>_xlfn.LET(_xlpm.d,E9:E11,MAX(_xlpm.d))</totalsRowFormula>
    </tableColumn>
    <tableColumn id="6" xr3:uid="{F525BA65-C009-5947-B591-A11AD894BE80}" name="4g" totalsRowFunction="custom" dataDxfId="766" totalsRowDxfId="765">
      <totalsRowFormula>_xlfn.LET(_xlpm.d,F9:F11,MAX(_xlpm.d))</totalsRowFormula>
    </tableColumn>
    <tableColumn id="7" xr3:uid="{07F61700-EEDD-8546-A523-65478A9CBBE3}" name="sk2g" totalsRowFunction="custom" dataDxfId="764" totalsRowDxfId="763">
      <totalsRowFormula>_xlfn.LET(_xlpm.d,G9:G11,MAX(_xlpm.d))</totalsRowFormula>
    </tableColumn>
    <tableColumn id="8" xr3:uid="{E5A3CBA1-547E-D540-9853-3BA7F296CC50}" name="sk3g" totalsRowFunction="custom" dataDxfId="762" totalsRowDxfId="761">
      <totalsRowFormula>_xlfn.LET(_xlpm.d,H9:H11,MAX(_xlpm.d))</totalsRowFormula>
    </tableColumn>
    <tableColumn id="9" xr3:uid="{CB1F91BF-4D4B-824F-9F8F-B0B9D6A461F0}" name="sk4g" totalsRowFunction="custom" dataDxfId="760" totalsRowDxfId="759">
      <totalsRowFormula>_xlfn.LET(_xlpm.d,I9:I11,MAX(_xlpm.d))</totalsRowFormula>
    </tableColumn>
    <tableColumn id="16" xr3:uid="{E9647F86-7243-1349-8385-4ACC0BFF83E1}" name="2g-hash" totalsRowFunction="custom" dataDxfId="758" totalsRowDxfId="757">
      <totalsRowFormula>_xlfn.LET(_xlpm.d,J9:J11,MAX(_xlpm.d))</totalsRowFormula>
    </tableColumn>
    <tableColumn id="15" xr3:uid="{6A826552-58E1-B148-BBA2-91D20F26F255}" name="3g-hash" totalsRowFunction="custom" dataDxfId="756" totalsRowDxfId="755">
      <totalsRowFormula>_xlfn.LET(_xlpm.d,K9:K11,MAX(_xlpm.d))</totalsRowFormula>
    </tableColumn>
    <tableColumn id="14" xr3:uid="{07364271-C978-0246-B967-07D00135CB17}" name="4g-hash" totalsRowFunction="custom" dataDxfId="754" totalsRowDxfId="753">
      <totalsRowFormula>_xlfn.LET(_xlpm.d,L9:L11,MAX(_xlpm.d))</totalsRowFormula>
    </tableColumn>
    <tableColumn id="10" xr3:uid="{784D6E94-8378-6842-8E84-FBDB7C72EF56}" name="sk2g-hash" totalsRowFunction="custom" dataDxfId="752" totalsRowDxfId="751">
      <totalsRowFormula>_xlfn.LET(_xlpm.d,M9:M11,MAX(_xlpm.d))</totalsRowFormula>
    </tableColumn>
    <tableColumn id="11" xr3:uid="{3950D17F-2043-4D4E-9982-A0D7194C265C}" name="sk3g-hash" totalsRowFunction="custom" dataDxfId="750" totalsRowDxfId="749">
      <totalsRowFormula>_xlfn.LET(_xlpm.d,N9:N11,MAX(_xlpm.d))</totalsRowFormula>
    </tableColumn>
    <tableColumn id="12" xr3:uid="{9E4AAB6C-A24A-DF48-A46E-9C940F1FE28A}" name="sk4g-hash" totalsRowFunction="custom" dataDxfId="748" totalsRowDxfId="747">
      <totalsRowFormula>_xlfn.LET(_xlpm.d,O9:O11,MAX(_xlpm.d))</totalsRowFormula>
    </tableColumn>
    <tableColumn id="17" xr3:uid="{829B1FDE-962B-7E41-826B-2A198374D704}" name="max" totalsRowFunction="custom" dataDxfId="746" totalsRowDxfId="745">
      <calculatedColumnFormula>_xlfn.LET(_xlpm.d,D9:O9,MAX(_xlpm.d))</calculatedColumnFormula>
      <totalsRowFormula>_xlfn.LET(_xlpm.d,P9:P11,MAX(_xlpm.d))</totalsRowFormula>
    </tableColumn>
    <tableColumn id="13" xr3:uid="{5BE3983E-B50D-B840-BE0C-7EE3366F0338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203433-5D1C-354D-932F-124D481E8ACF}" name="Table1416" displayName="Table1416" ref="A15:Q19" totalsRowCount="1">
  <autoFilter ref="A15:Q18" xr:uid="{8544D348-02B7-6944-AEA9-DF3D29ADB135}"/>
  <tableColumns count="17">
    <tableColumn id="1" xr3:uid="{D3B674FE-1F00-5A44-924B-6CAB6B371D3C}" name="Target"/>
    <tableColumn id="2" xr3:uid="{F26C76EE-72CE-7342-BD9A-772BD3D8500B}" name="Supplement"/>
    <tableColumn id="3" xr3:uid="{055A3DFC-2CB6-BF48-B9BE-861914A88535}" name="Method" totalsRowLabel="max"/>
    <tableColumn id="4" xr3:uid="{487F8049-E3B3-AD4E-8944-6968B1BCE054}" name="2g" totalsRowFunction="custom" dataDxfId="744" totalsRowDxfId="743">
      <totalsRowFormula>_xlfn.LET(_xlpm.d,D16:D18,MAX(_xlpm.d))</totalsRowFormula>
    </tableColumn>
    <tableColumn id="5" xr3:uid="{F81B2B6F-FBF3-274A-987E-AE3CC2ED1689}" name="3g" totalsRowFunction="custom" dataDxfId="742" totalsRowDxfId="741">
      <totalsRowFormula>_xlfn.LET(_xlpm.d,E16:E18,MAX(_xlpm.d))</totalsRowFormula>
    </tableColumn>
    <tableColumn id="6" xr3:uid="{EE3263BB-8D6F-014C-BB0B-F52717F42B4B}" name="4g" totalsRowFunction="custom" dataDxfId="740" totalsRowDxfId="739">
      <totalsRowFormula>_xlfn.LET(_xlpm.d,F16:F18,MAX(_xlpm.d))</totalsRowFormula>
    </tableColumn>
    <tableColumn id="7" xr3:uid="{B3B290A7-ABFC-2541-A99C-3042445EC765}" name="sk2g" totalsRowFunction="custom" dataDxfId="738" totalsRowDxfId="737">
      <totalsRowFormula>_xlfn.LET(_xlpm.d,G16:G18,MAX(_xlpm.d))</totalsRowFormula>
    </tableColumn>
    <tableColumn id="8" xr3:uid="{1C1457E7-6DA0-A241-993D-694B299B65B0}" name="sk3g" totalsRowFunction="custom" dataDxfId="736" totalsRowDxfId="735">
      <totalsRowFormula>_xlfn.LET(_xlpm.d,H16:H18,MAX(_xlpm.d))</totalsRowFormula>
    </tableColumn>
    <tableColumn id="9" xr3:uid="{20B69CD5-3C2B-A64C-80BF-918052A8335B}" name="sk4g" totalsRowFunction="custom" dataDxfId="734" totalsRowDxfId="733">
      <totalsRowFormula>_xlfn.LET(_xlpm.d,I16:I18,MAX(_xlpm.d))</totalsRowFormula>
    </tableColumn>
    <tableColumn id="16" xr3:uid="{1494CC1E-9BAE-0D40-9839-C61D02698F08}" name="2g-hash" totalsRowFunction="custom" dataDxfId="732" totalsRowDxfId="731">
      <totalsRowFormula>_xlfn.LET(_xlpm.d,J16:J18,MAX(_xlpm.d))</totalsRowFormula>
    </tableColumn>
    <tableColumn id="15" xr3:uid="{B42050B5-4550-8D40-81D7-55BC1E27E241}" name="3g-hash" totalsRowFunction="custom" dataDxfId="730" totalsRowDxfId="729">
      <totalsRowFormula>_xlfn.LET(_xlpm.d,K16:K18,MAX(_xlpm.d))</totalsRowFormula>
    </tableColumn>
    <tableColumn id="14" xr3:uid="{CB05228A-6D51-524E-8FA6-BD4C5196FB54}" name="4g-hash" totalsRowFunction="custom" dataDxfId="728" totalsRowDxfId="727">
      <totalsRowFormula>_xlfn.LET(_xlpm.d,L16:L18,MAX(_xlpm.d))</totalsRowFormula>
    </tableColumn>
    <tableColumn id="10" xr3:uid="{F9AC337C-569F-0E4E-9308-2BDAC3598CB5}" name="sk2g-hash" totalsRowFunction="custom" dataDxfId="726" totalsRowDxfId="725">
      <totalsRowFormula>_xlfn.LET(_xlpm.d,M16:M18,MAX(_xlpm.d))</totalsRowFormula>
    </tableColumn>
    <tableColumn id="11" xr3:uid="{915741B7-2CCB-1143-98FD-573998E79B43}" name="sk3g-hash" totalsRowFunction="custom" dataDxfId="724" totalsRowDxfId="723">
      <totalsRowFormula>_xlfn.LET(_xlpm.d,N16:N18,MAX(_xlpm.d))</totalsRowFormula>
    </tableColumn>
    <tableColumn id="12" xr3:uid="{BC4C476D-EC83-7740-91BE-5CDC73E088C8}" name="sk4g-hash" totalsRowFunction="custom" dataDxfId="722" totalsRowDxfId="721">
      <totalsRowFormula>_xlfn.LET(_xlpm.d,O16:O18,MAX(_xlpm.d))</totalsRowFormula>
    </tableColumn>
    <tableColumn id="17" xr3:uid="{ABA6B4F1-E3C3-B246-B633-5F9B2D2BCAFF}" name="max" totalsRowFunction="custom" dataDxfId="720" totalsRowDxfId="719">
      <calculatedColumnFormula>_xlfn.LET(_xlpm.d,D16:O16,MAX(_xlpm.d))</calculatedColumnFormula>
      <totalsRowFormula>_xlfn.LET(_xlpm.d,P16:P18,MAX(_xlpm.d))</totalsRowFormula>
    </tableColumn>
    <tableColumn id="13" xr3:uid="{8F4F36E8-D71A-D04F-A148-0A632DE43A9A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876FAB3-DBF6-134B-B0CB-899A40340A72}" name="Table13517" displayName="Table13517" ref="A22:Q26" totalsRowCount="1">
  <autoFilter ref="A22:Q25" xr:uid="{46B0E1C2-31F2-354C-8ED1-4E99A40A361A}"/>
  <tableColumns count="17">
    <tableColumn id="1" xr3:uid="{D576E9DD-DFAE-B24B-99C2-ABBBADFE21BD}" name="Target"/>
    <tableColumn id="2" xr3:uid="{324A943D-E93C-E24A-ADA3-7BF3AC3C72B3}" name="Supplement"/>
    <tableColumn id="3" xr3:uid="{18E77167-18DD-1D42-A1C9-FD5D9E83840C}" name="Method" totalsRowLabel="max"/>
    <tableColumn id="4" xr3:uid="{AE4EF842-4AB0-A747-89E3-215B8010F523}" name="2g" totalsRowFunction="custom" dataDxfId="718" totalsRowDxfId="717">
      <totalsRowFormula>_xlfn.LET(_xlpm.d,D23:D25,MAX(_xlpm.d))</totalsRowFormula>
    </tableColumn>
    <tableColumn id="5" xr3:uid="{61F21FE5-E8C1-0745-8407-5CCE8D4E8CC4}" name="3g" totalsRowFunction="custom" dataDxfId="716" totalsRowDxfId="715">
      <totalsRowFormula>_xlfn.LET(_xlpm.d,E23:E25,MAX(_xlpm.d))</totalsRowFormula>
    </tableColumn>
    <tableColumn id="6" xr3:uid="{BBF08DB3-3362-D147-91A2-77D6FF0BCF10}" name="4g" totalsRowFunction="custom" dataDxfId="714" totalsRowDxfId="713">
      <totalsRowFormula>_xlfn.LET(_xlpm.d,F23:F25,MAX(_xlpm.d))</totalsRowFormula>
    </tableColumn>
    <tableColumn id="7" xr3:uid="{6B4988FE-4BAC-114E-88CB-995BCCFFF195}" name="sk2g" totalsRowFunction="custom" dataDxfId="712" totalsRowDxfId="711">
      <totalsRowFormula>_xlfn.LET(_xlpm.d,G23:G25,MAX(_xlpm.d))</totalsRowFormula>
    </tableColumn>
    <tableColumn id="8" xr3:uid="{41C80033-478E-9840-A8CD-58094AC1CC3B}" name="sk3g" totalsRowFunction="custom" dataDxfId="710" totalsRowDxfId="709">
      <totalsRowFormula>_xlfn.LET(_xlpm.d,H23:H25,MAX(_xlpm.d))</totalsRowFormula>
    </tableColumn>
    <tableColumn id="9" xr3:uid="{5F7C9D43-396E-3F4C-AB87-58AE83EA88A7}" name="sk4g" totalsRowFunction="custom" dataDxfId="708" totalsRowDxfId="707">
      <totalsRowFormula>_xlfn.LET(_xlpm.d,I23:I25,MAX(_xlpm.d))</totalsRowFormula>
    </tableColumn>
    <tableColumn id="16" xr3:uid="{2EDEB83C-FB55-224E-B38D-BA43B5DDEB72}" name="2g-hash" totalsRowFunction="custom" dataDxfId="706" totalsRowDxfId="705">
      <totalsRowFormula>_xlfn.LET(_xlpm.d,J23:J25,MAX(_xlpm.d))</totalsRowFormula>
    </tableColumn>
    <tableColumn id="15" xr3:uid="{342CE0FE-F4E7-954A-9E5E-8A36132728CA}" name="3g-hash" totalsRowFunction="custom" dataDxfId="704" totalsRowDxfId="703">
      <totalsRowFormula>_xlfn.LET(_xlpm.d,K23:K25,MAX(_xlpm.d))</totalsRowFormula>
    </tableColumn>
    <tableColumn id="14" xr3:uid="{022AD45E-3C3C-F143-8427-EE67030349CF}" name="4g-hash" totalsRowFunction="custom" dataDxfId="702" totalsRowDxfId="701">
      <totalsRowFormula>_xlfn.LET(_xlpm.d,L23:L25,MAX(_xlpm.d))</totalsRowFormula>
    </tableColumn>
    <tableColumn id="10" xr3:uid="{248547EE-6746-DB4D-BC74-C78D0FED4105}" name="sk2g-hash" totalsRowFunction="custom" dataDxfId="700" totalsRowDxfId="699">
      <totalsRowFormula>_xlfn.LET(_xlpm.d,M23:M25,MAX(_xlpm.d))</totalsRowFormula>
    </tableColumn>
    <tableColumn id="11" xr3:uid="{0A8FF81B-902E-6B46-8A1F-4849414BAEFC}" name="sk3g-hash" totalsRowFunction="custom" dataDxfId="698" totalsRowDxfId="697">
      <totalsRowFormula>_xlfn.LET(_xlpm.d,N23:N25,MAX(_xlpm.d))</totalsRowFormula>
    </tableColumn>
    <tableColumn id="12" xr3:uid="{1FEED769-2AF4-EE49-A580-AAF0E2B9E14F}" name="sk4g-hash" totalsRowFunction="custom" dataDxfId="696" totalsRowDxfId="695">
      <totalsRowFormula>_xlfn.LET(_xlpm.d,O23:O25,MAX(_xlpm.d))</totalsRowFormula>
    </tableColumn>
    <tableColumn id="17" xr3:uid="{9C7F0F81-5C25-5E4D-85A2-14AED1470131}" name="max" totalsRowFunction="custom" dataDxfId="694" totalsRowDxfId="693">
      <calculatedColumnFormula>_xlfn.LET(_xlpm.d,D23:O23,MAX(_xlpm.d))</calculatedColumnFormula>
      <totalsRowFormula>_xlfn.LET(_xlpm.d,P23:P25,MAX(_xlpm.d))</totalsRowFormula>
    </tableColumn>
    <tableColumn id="13" xr3:uid="{C3D1F923-D551-B943-8A21-0D4636538C87}" name="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7B966D-0811-574B-A4C7-5DB70F2E3570}" name="Table14618" displayName="Table14618" ref="A29:Q33" totalsRowCount="1">
  <autoFilter ref="A29:Q32" xr:uid="{AE8576D6-A841-2144-A01C-5F10F995E97C}"/>
  <tableColumns count="17">
    <tableColumn id="1" xr3:uid="{5D8963F3-2D98-4446-82AD-64CDF77CF1EC}" name="Target"/>
    <tableColumn id="2" xr3:uid="{6E8405C2-C76D-DE4D-9D10-75D8D42E732B}" name="Supplement"/>
    <tableColumn id="3" xr3:uid="{1E891FF7-C06D-9C44-8FF2-91C112297886}" name="Method" totalsRowLabel="max"/>
    <tableColumn id="4" xr3:uid="{A82D47EB-35B9-A842-9615-FDA4615C2E8C}" name="2g" totalsRowFunction="custom" dataDxfId="692" totalsRowDxfId="691">
      <totalsRowFormula>_xlfn.LET(_xlpm.d,D30:D32,MAX(_xlpm.d))</totalsRowFormula>
    </tableColumn>
    <tableColumn id="5" xr3:uid="{E33A3FC4-87A5-E445-AD2E-8B79665BE5FA}" name="3g" totalsRowFunction="custom" dataDxfId="690" totalsRowDxfId="689">
      <totalsRowFormula>_xlfn.LET(_xlpm.d,E30:E32,MAX(_xlpm.d))</totalsRowFormula>
    </tableColumn>
    <tableColumn id="6" xr3:uid="{2C97F819-C678-D342-BA3B-7F841D3236E0}" name="4g" totalsRowFunction="custom" dataDxfId="688" totalsRowDxfId="687">
      <totalsRowFormula>_xlfn.LET(_xlpm.d,F30:F32,MAX(_xlpm.d))</totalsRowFormula>
    </tableColumn>
    <tableColumn id="7" xr3:uid="{98D3DB4B-F603-8547-8C90-135213DDC270}" name="sk2g" totalsRowFunction="custom" dataDxfId="686" totalsRowDxfId="685">
      <totalsRowFormula>_xlfn.LET(_xlpm.d,G30:G32,MAX(_xlpm.d))</totalsRowFormula>
    </tableColumn>
    <tableColumn id="8" xr3:uid="{5408395B-2429-DD4C-A636-169C81607999}" name="sk3g" totalsRowFunction="custom" dataDxfId="684" totalsRowDxfId="683">
      <totalsRowFormula>_xlfn.LET(_xlpm.d,H30:H32,MAX(_xlpm.d))</totalsRowFormula>
    </tableColumn>
    <tableColumn id="16" xr3:uid="{9834CAA6-4D31-774C-B2EC-0884DC649FF0}" name="sk4g" totalsRowFunction="custom" dataDxfId="682" totalsRowDxfId="681">
      <totalsRowFormula>_xlfn.LET(_xlpm.d,I30:I32,MAX(_xlpm.d))</totalsRowFormula>
    </tableColumn>
    <tableColumn id="15" xr3:uid="{C40B4024-D16E-D94B-B42D-C2285D62EA4E}" name="2g-hash" totalsRowFunction="custom" dataDxfId="680" totalsRowDxfId="679">
      <totalsRowFormula>_xlfn.LET(_xlpm.d,J30:J32,MAX(_xlpm.d))</totalsRowFormula>
    </tableColumn>
    <tableColumn id="14" xr3:uid="{231AAF4D-5549-0842-9B27-D17C6A0DB650}" name="3g-hash" totalsRowFunction="custom" dataDxfId="678" totalsRowDxfId="677">
      <totalsRowFormula>_xlfn.LET(_xlpm.d,K30:K32,MAX(_xlpm.d))</totalsRowFormula>
    </tableColumn>
    <tableColumn id="9" xr3:uid="{FC21204D-08D2-3342-9A60-0B6A4FF48F85}" name="4g-hash" totalsRowFunction="custom" dataDxfId="676" totalsRowDxfId="675">
      <totalsRowFormula>_xlfn.LET(_xlpm.d,L30:L32,MAX(_xlpm.d))</totalsRowFormula>
    </tableColumn>
    <tableColumn id="10" xr3:uid="{D0E4C9FB-B063-C448-B3E2-E0B300050A5F}" name="sk2g-hash" totalsRowFunction="custom" dataDxfId="674" totalsRowDxfId="673">
      <totalsRowFormula>_xlfn.LET(_xlpm.d,M30:M32,MAX(_xlpm.d))</totalsRowFormula>
    </tableColumn>
    <tableColumn id="11" xr3:uid="{6A3AB1F4-D6A8-A248-A9F3-9B2B7F3A11CB}" name="sk3g-hash" totalsRowFunction="custom" dataDxfId="672" totalsRowDxfId="671">
      <totalsRowFormula>_xlfn.LET(_xlpm.d,N30:N32,MAX(_xlpm.d))</totalsRowFormula>
    </tableColumn>
    <tableColumn id="12" xr3:uid="{10A94D10-128F-924D-889F-D30249FE9325}" name="sk4g-hash" totalsRowFunction="custom" dataDxfId="670" totalsRowDxfId="669">
      <totalsRowFormula>_xlfn.LET(_xlpm.d,O30:O32,MAX(_xlpm.d))</totalsRowFormula>
    </tableColumn>
    <tableColumn id="17" xr3:uid="{5A566FBC-564C-3C46-A5B0-557EB40EB1E5}" name="max" totalsRowFunction="custom" dataDxfId="668" totalsRowDxfId="667">
      <calculatedColumnFormula>_xlfn.LET(_xlpm.d,D30:O30,MAX(_xlpm.d))</calculatedColumnFormula>
      <totalsRowFormula>_xlfn.LET(_xlpm.d,P30:P32,MAX(_xlpm.d))</totalsRowFormula>
    </tableColumn>
    <tableColumn id="13" xr3:uid="{28C3E014-2F22-F845-8551-A08863F3A504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3D9B1F0-C1B9-DF4D-B56B-6C6E65FF4AD5}" name="Table135719" displayName="Table135719" ref="A36:Q40" totalsRowCount="1">
  <autoFilter ref="A36:Q39" xr:uid="{2D30A6F5-5D38-AD42-B882-A8D0FE891640}"/>
  <tableColumns count="17">
    <tableColumn id="1" xr3:uid="{D9DA32CC-1AFF-8541-B7DE-BE83C2517BB1}" name="Target"/>
    <tableColumn id="2" xr3:uid="{46ADAB9A-6D79-B747-8729-C4F0EBDBC072}" name="Supplement"/>
    <tableColumn id="3" xr3:uid="{741B419C-9FA3-A14F-A2C8-12CEA0B54CEB}" name="Method" totalsRowLabel="max"/>
    <tableColumn id="4" xr3:uid="{C6C31ED8-DCAE-E445-B2A3-3DF414DAC282}" name="2g" totalsRowFunction="custom" dataDxfId="666" totalsRowDxfId="665">
      <totalsRowFormula>_xlfn.LET(_xlpm.d,D37:D39,MAX(_xlpm.d))</totalsRowFormula>
    </tableColumn>
    <tableColumn id="5" xr3:uid="{7B9D1A23-6BF2-7A4D-912A-5BDA87F2C7CD}" name="3g" totalsRowFunction="custom" dataDxfId="664" totalsRowDxfId="663">
      <totalsRowFormula>_xlfn.LET(_xlpm.d,E37:E39,MAX(_xlpm.d))</totalsRowFormula>
    </tableColumn>
    <tableColumn id="6" xr3:uid="{13A86EB5-B6E8-AB45-934C-B7EE154859B7}" name="4g" totalsRowFunction="custom" dataDxfId="662" totalsRowDxfId="661">
      <totalsRowFormula>_xlfn.LET(_xlpm.d,F37:F39,MAX(_xlpm.d))</totalsRowFormula>
    </tableColumn>
    <tableColumn id="7" xr3:uid="{F69457E0-1768-274B-9567-DBE72E3B8393}" name="sk2g" totalsRowFunction="custom" dataDxfId="660" totalsRowDxfId="659">
      <totalsRowFormula>_xlfn.LET(_xlpm.d,G37:G39,MAX(_xlpm.d))</totalsRowFormula>
    </tableColumn>
    <tableColumn id="8" xr3:uid="{ADDB096B-1B06-3D43-A65D-834FC70CD0D6}" name="sk3g" totalsRowFunction="custom" dataDxfId="658" totalsRowDxfId="657">
      <totalsRowFormula>_xlfn.LET(_xlpm.d,H37:H39,MAX(_xlpm.d))</totalsRowFormula>
    </tableColumn>
    <tableColumn id="9" xr3:uid="{822E7626-2907-E247-B13F-E5508EBA274B}" name="sk4g" totalsRowFunction="custom" dataDxfId="656" totalsRowDxfId="655">
      <totalsRowFormula>_xlfn.LET(_xlpm.d,I37:I39,MAX(_xlpm.d))</totalsRowFormula>
    </tableColumn>
    <tableColumn id="16" xr3:uid="{EE4E2AD8-A9AC-BB40-8924-A6D3DA296735}" name="2g-hash" totalsRowFunction="custom" dataDxfId="654" totalsRowDxfId="653">
      <totalsRowFormula>_xlfn.LET(_xlpm.d,J37:J39,MAX(_xlpm.d))</totalsRowFormula>
    </tableColumn>
    <tableColumn id="15" xr3:uid="{3C1C7272-922C-6142-8E13-AB37A168D0E9}" name="3g-hash" totalsRowFunction="custom" dataDxfId="652" totalsRowDxfId="651">
      <totalsRowFormula>_xlfn.LET(_xlpm.d,K37:K39,MAX(_xlpm.d))</totalsRowFormula>
    </tableColumn>
    <tableColumn id="14" xr3:uid="{86B4CB4E-8B81-424E-BDAC-3651DBB7602D}" name="4g-hash" totalsRowFunction="custom" dataDxfId="650" totalsRowDxfId="649">
      <totalsRowFormula>_xlfn.LET(_xlpm.d,L37:L39,MAX(_xlpm.d))</totalsRowFormula>
    </tableColumn>
    <tableColumn id="10" xr3:uid="{857FB2E1-C92C-284A-9D13-41296B3F495B}" name="sk2g-hash" totalsRowFunction="custom" dataDxfId="648" totalsRowDxfId="647">
      <totalsRowFormula>_xlfn.LET(_xlpm.d,M37:M39,MAX(_xlpm.d))</totalsRowFormula>
    </tableColumn>
    <tableColumn id="11" xr3:uid="{519F9DEA-A69F-FC45-8366-C2B49FC3AB62}" name="sk3g-hash" totalsRowFunction="custom" dataDxfId="646" totalsRowDxfId="645">
      <totalsRowFormula>_xlfn.LET(_xlpm.d,N37:N39,MAX(_xlpm.d))</totalsRowFormula>
    </tableColumn>
    <tableColumn id="12" xr3:uid="{83DD9582-EE48-B341-893D-8C6C25E082A2}" name="sk4g-hash" totalsRowFunction="custom" dataDxfId="644" totalsRowDxfId="643">
      <totalsRowFormula>_xlfn.LET(_xlpm.d,O37:O39,MAX(_xlpm.d))</totalsRowFormula>
    </tableColumn>
    <tableColumn id="17" xr3:uid="{811CB928-7C83-B54B-A7D5-E0B76AB48E35}" name="max" totalsRowFunction="custom" dataDxfId="642" totalsRowDxfId="641">
      <calculatedColumnFormula>_xlfn.LET(_xlpm.d,D37:O37,MAX(_xlpm.d))</calculatedColumnFormula>
      <totalsRowFormula>_xlfn.LET(_xlpm.d,P37:P39,MAX(_xlpm.d))</totalsRowFormula>
    </tableColumn>
    <tableColumn id="13" xr3:uid="{DFAC4E94-BB68-554B-A86C-6D4CE993E878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3F298B8-69EA-664D-8BB5-26C63C99623A}" name="Table126" displayName="Table126" ref="A1:Q5" totalsRowCount="1" headerRowDxfId="1164">
  <autoFilter ref="A1:Q4" xr:uid="{45B34886-E579-B04A-BB74-0B33E45A88FA}"/>
  <tableColumns count="17">
    <tableColumn id="1" xr3:uid="{CF413EAE-D7B2-1440-891A-3EC154D574E0}" name="Target"/>
    <tableColumn id="2" xr3:uid="{7BAD977F-7342-F446-BFB8-AD8319E4B77A}" name="Supplement"/>
    <tableColumn id="3" xr3:uid="{8CF863FA-6D5F-DF41-A6C4-C95A546CA6DB}" name="Method" totalsRowLabel="max"/>
    <tableColumn id="4" xr3:uid="{FE53B5AA-ED99-2A4A-BE33-FF3C362571EF}" name="2g" totalsRowFunction="custom" dataDxfId="1163" totalsRowDxfId="1162">
      <totalsRowFormula>_xlfn.LET(_xlpm.d,D2:D4,MAX(_xlpm.d))</totalsRowFormula>
    </tableColumn>
    <tableColumn id="5" xr3:uid="{F0710F56-C582-DF49-A474-3CE339C9D024}" name="3g" totalsRowFunction="custom" dataDxfId="1161" totalsRowDxfId="1160">
      <totalsRowFormula>_xlfn.LET(_xlpm.d,E2:E4,MAX(_xlpm.d))</totalsRowFormula>
    </tableColumn>
    <tableColumn id="6" xr3:uid="{585EDCF2-C95B-7847-821C-FE3E1A1090D7}" name="4g" totalsRowFunction="custom" dataDxfId="1159" totalsRowDxfId="1158">
      <totalsRowFormula>_xlfn.LET(_xlpm.d,F2:F4,MAX(_xlpm.d))</totalsRowFormula>
    </tableColumn>
    <tableColumn id="7" xr3:uid="{6662D079-39E4-3E44-8D42-FCE99EED942D}" name="sk2g" totalsRowFunction="custom" dataDxfId="1157" totalsRowDxfId="1156">
      <totalsRowFormula>_xlfn.LET(_xlpm.d,G2:G4,MAX(_xlpm.d))</totalsRowFormula>
    </tableColumn>
    <tableColumn id="8" xr3:uid="{BCE9E58A-BD1D-7A40-AB55-F599DC3DCFE8}" name="sk3g" totalsRowFunction="custom" dataDxfId="1155" totalsRowDxfId="1154">
      <totalsRowFormula>_xlfn.LET(_xlpm.d,H2:H4,MAX(_xlpm.d))</totalsRowFormula>
    </tableColumn>
    <tableColumn id="9" xr3:uid="{68705613-3891-4046-BA5B-944C6C6BE678}" name="sk4g" totalsRowFunction="custom" dataDxfId="1153" totalsRowDxfId="1152">
      <totalsRowFormula>_xlfn.LET(_xlpm.d,I2:I4,MAX(_xlpm.d))</totalsRowFormula>
    </tableColumn>
    <tableColumn id="16" xr3:uid="{5B05DA2E-B632-A34B-BAAD-08775EBC5C12}" name="2g-hash" totalsRowFunction="custom" dataDxfId="1151" totalsRowDxfId="1150">
      <totalsRowFormula>_xlfn.LET(_xlpm.d,J2:J4,MAX(_xlpm.d))</totalsRowFormula>
    </tableColumn>
    <tableColumn id="15" xr3:uid="{268FFE12-B105-C645-8BEE-6F18A6F78C25}" name="3g-hash" totalsRowFunction="custom" dataDxfId="1149" totalsRowDxfId="1148">
      <totalsRowFormula>_xlfn.LET(_xlpm.d,K2:K4,MAX(_xlpm.d))</totalsRowFormula>
    </tableColumn>
    <tableColumn id="14" xr3:uid="{EAF88FB3-69F1-6F4E-B398-225393A963B9}" name="4g-hash" totalsRowFunction="custom" dataDxfId="1147" totalsRowDxfId="1146">
      <totalsRowFormula>_xlfn.LET(_xlpm.d,L2:L4,MAX(_xlpm.d))</totalsRowFormula>
    </tableColumn>
    <tableColumn id="10" xr3:uid="{789BA8A9-A9CF-BB4A-A437-B176075B7AA1}" name="sk2g-hash" totalsRowFunction="custom" dataDxfId="1145" totalsRowDxfId="1144">
      <totalsRowFormula>_xlfn.LET(_xlpm.d,M2:M4,MAX(_xlpm.d))</totalsRowFormula>
    </tableColumn>
    <tableColumn id="11" xr3:uid="{A0D7E4B1-9973-FA49-8B5A-ADB9AA0ABA17}" name="sk3g-hash" totalsRowFunction="custom" dataDxfId="1143" totalsRowDxfId="1142">
      <totalsRowFormula>_xlfn.LET(_xlpm.d,N2:N4,MAX(_xlpm.d))</totalsRowFormula>
    </tableColumn>
    <tableColumn id="12" xr3:uid="{39F1C94A-D735-9546-A7D7-FA9F27527B5F}" name="sk4g-hash" totalsRowFunction="custom" dataDxfId="1141" totalsRowDxfId="1140">
      <totalsRowFormula>_xlfn.LET(_xlpm.d,O2:O4,MAX(_xlpm.d))</totalsRowFormula>
    </tableColumn>
    <tableColumn id="17" xr3:uid="{678435DC-632C-9948-89E6-23655BA8B494}" name="max" totalsRowFunction="custom" dataDxfId="1139" totalsRowDxfId="1138">
      <calculatedColumnFormula>_xlfn.LET(_xlpm.d,D2:O2,MAX(_xlpm.d))</calculatedColumnFormula>
      <totalsRowFormula>_xlfn.LET(_xlpm.d,P2:P4,MAX(_xlpm.d))</totalsRowFormula>
    </tableColumn>
    <tableColumn id="13" xr3:uid="{15C2C6FA-3A21-AF4A-9B8B-E06D6B087C52}" name="ran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7D9CC1-BA65-6E44-91AD-F270A356DC3D}" name="Table1327" displayName="Table1327" ref="A8:Q12" totalsRowCount="1">
  <autoFilter ref="A8:Q11" xr:uid="{91BAB1EF-B2F2-FD48-B115-FE786BAC46D2}"/>
  <tableColumns count="17">
    <tableColumn id="1" xr3:uid="{3EE46D8F-36E7-AE4D-9D44-5348A970EC5B}" name="Target"/>
    <tableColumn id="2" xr3:uid="{5F06C9AC-64AD-0B4C-AB94-78B95E79545F}" name="Supplement"/>
    <tableColumn id="3" xr3:uid="{0396D99D-2003-A244-91BD-5CCB88516999}" name="Method" totalsRowLabel="max"/>
    <tableColumn id="4" xr3:uid="{B5737DF8-2910-A94F-B219-1DA6E2F6F367}" name="2g" totalsRowFunction="custom" dataDxfId="1137" totalsRowDxfId="1136">
      <totalsRowFormula>_xlfn.LET(_xlpm.d,D9:D11,MAX(_xlpm.d))</totalsRowFormula>
    </tableColumn>
    <tableColumn id="5" xr3:uid="{42E1D0B8-7281-ED4B-8C77-D798ED93186E}" name="3g" totalsRowFunction="custom" dataDxfId="1135" totalsRowDxfId="1134">
      <totalsRowFormula>_xlfn.LET(_xlpm.d,E9:E11,MAX(_xlpm.d))</totalsRowFormula>
    </tableColumn>
    <tableColumn id="6" xr3:uid="{72AE38FA-BC46-7C41-B052-B4950B5DABBD}" name="4g" totalsRowFunction="custom" dataDxfId="1133" totalsRowDxfId="1132">
      <totalsRowFormula>_xlfn.LET(_xlpm.d,F9:F11,MAX(_xlpm.d))</totalsRowFormula>
    </tableColumn>
    <tableColumn id="7" xr3:uid="{096F9D9E-AE0F-9C49-94B5-316EAB4B704D}" name="sk2g" totalsRowFunction="custom" dataDxfId="1131" totalsRowDxfId="1130">
      <totalsRowFormula>_xlfn.LET(_xlpm.d,G9:G11,MAX(_xlpm.d))</totalsRowFormula>
    </tableColumn>
    <tableColumn id="8" xr3:uid="{F3D92775-5F44-4846-BEE1-50315D047843}" name="sk3g" totalsRowFunction="custom" dataDxfId="1129" totalsRowDxfId="1128">
      <totalsRowFormula>_xlfn.LET(_xlpm.d,H9:H11,MAX(_xlpm.d))</totalsRowFormula>
    </tableColumn>
    <tableColumn id="9" xr3:uid="{CCE0AD63-325B-B64F-8957-8CDCD29B170D}" name="sk4g" totalsRowFunction="custom" dataDxfId="1127" totalsRowDxfId="1126">
      <totalsRowFormula>_xlfn.LET(_xlpm.d,I9:I11,MAX(_xlpm.d))</totalsRowFormula>
    </tableColumn>
    <tableColumn id="16" xr3:uid="{D86B0E39-DCEE-3240-996E-6AB00B49E050}" name="2g-hash" totalsRowFunction="custom" dataDxfId="1125" totalsRowDxfId="1124">
      <totalsRowFormula>_xlfn.LET(_xlpm.d,J9:J11,MAX(_xlpm.d))</totalsRowFormula>
    </tableColumn>
    <tableColumn id="15" xr3:uid="{8B3424FB-93DB-0648-BAA1-F85541ADAE6E}" name="3g-hash" totalsRowFunction="custom" dataDxfId="1123" totalsRowDxfId="1122">
      <totalsRowFormula>_xlfn.LET(_xlpm.d,K9:K11,MAX(_xlpm.d))</totalsRowFormula>
    </tableColumn>
    <tableColumn id="14" xr3:uid="{EFD8BCDE-AFF7-894F-A965-909E23CA2BBD}" name="4g-hash" totalsRowFunction="custom" dataDxfId="1121" totalsRowDxfId="1120">
      <totalsRowFormula>_xlfn.LET(_xlpm.d,L9:L11,MAX(_xlpm.d))</totalsRowFormula>
    </tableColumn>
    <tableColumn id="10" xr3:uid="{23E94937-57FB-4843-9B5E-E15839ADEA10}" name="sk2g-hash" totalsRowFunction="custom" dataDxfId="1119" totalsRowDxfId="1118">
      <totalsRowFormula>_xlfn.LET(_xlpm.d,M9:M11,MAX(_xlpm.d))</totalsRowFormula>
    </tableColumn>
    <tableColumn id="11" xr3:uid="{AC1E0A1E-2968-2C4F-A3AB-6C0FF9557E8C}" name="sk3g-hash" totalsRowFunction="custom" dataDxfId="1117" totalsRowDxfId="1116">
      <totalsRowFormula>_xlfn.LET(_xlpm.d,N9:N11,MAX(_xlpm.d))</totalsRowFormula>
    </tableColumn>
    <tableColumn id="12" xr3:uid="{9670BDE2-73D4-0A47-AD01-B8C0C46EDD07}" name="sk4g-hash" totalsRowFunction="custom" dataDxfId="1115" totalsRowDxfId="1114">
      <totalsRowFormula>_xlfn.LET(_xlpm.d,O9:O11,MAX(_xlpm.d))</totalsRowFormula>
    </tableColumn>
    <tableColumn id="17" xr3:uid="{94C7CF96-AE61-004E-BAA1-EA015154BDEB}" name="max" totalsRowFunction="custom" dataDxfId="1113" totalsRowDxfId="1112">
      <calculatedColumnFormula>_xlfn.LET(_xlpm.d,D9:O9,MAX(_xlpm.d))</calculatedColumnFormula>
      <totalsRowFormula>_xlfn.LET(_xlpm.d,P9:P11,MAX(_xlpm.d))</totalsRowFormula>
    </tableColumn>
    <tableColumn id="13" xr3:uid="{C1D1AC38-F937-104F-8E84-F1967602C5DE}" name="ran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5B5148F-E99C-ED40-BD19-4AADB2E594CF}" name="Table1428" displayName="Table1428" ref="A15:Q19" totalsRowCount="1">
  <autoFilter ref="A15:Q18" xr:uid="{8544D348-02B7-6944-AEA9-DF3D29ADB135}"/>
  <tableColumns count="17">
    <tableColumn id="1" xr3:uid="{BFD223C7-03EC-A14F-945D-AC32A780BE56}" name="Target"/>
    <tableColumn id="2" xr3:uid="{A068C7B2-B682-F044-8002-A93C68E307ED}" name="Supplement"/>
    <tableColumn id="3" xr3:uid="{E394746F-8D8F-3A40-852B-776B3F6D781E}" name="Method" totalsRowLabel="max"/>
    <tableColumn id="4" xr3:uid="{B37D25BD-909E-E34F-9131-435D0B30716B}" name="2g" totalsRowFunction="custom" dataDxfId="1111" totalsRowDxfId="1110">
      <totalsRowFormula>_xlfn.LET(_xlpm.d,D16:D18,MAX(_xlpm.d))</totalsRowFormula>
    </tableColumn>
    <tableColumn id="5" xr3:uid="{CD7E1277-75BF-934C-8C6B-A6433EF5C840}" name="3g" totalsRowFunction="custom" dataDxfId="1109" totalsRowDxfId="1108">
      <totalsRowFormula>_xlfn.LET(_xlpm.d,E16:E18,MAX(_xlpm.d))</totalsRowFormula>
    </tableColumn>
    <tableColumn id="6" xr3:uid="{C9B48602-76A1-DD47-9B68-A679B1DD1366}" name="4g" totalsRowFunction="custom" dataDxfId="1107" totalsRowDxfId="1106">
      <totalsRowFormula>_xlfn.LET(_xlpm.d,F16:F18,MAX(_xlpm.d))</totalsRowFormula>
    </tableColumn>
    <tableColumn id="7" xr3:uid="{6C6BAEE9-3F42-2643-963B-23B11A933EB2}" name="sk2g" totalsRowFunction="custom" dataDxfId="1105" totalsRowDxfId="1104">
      <totalsRowFormula>_xlfn.LET(_xlpm.d,G16:G18,MAX(_xlpm.d))</totalsRowFormula>
    </tableColumn>
    <tableColumn id="8" xr3:uid="{5185F552-CC66-AE49-81CA-C4934C2E9893}" name="sk3g" totalsRowFunction="custom" dataDxfId="1103" totalsRowDxfId="1102">
      <totalsRowFormula>_xlfn.LET(_xlpm.d,H16:H18,MAX(_xlpm.d))</totalsRowFormula>
    </tableColumn>
    <tableColumn id="9" xr3:uid="{50AD297B-D331-C44E-83E0-063AA9424490}" name="sk4g" totalsRowFunction="custom" dataDxfId="1101" totalsRowDxfId="1100">
      <totalsRowFormula>_xlfn.LET(_xlpm.d,I16:I18,MAX(_xlpm.d))</totalsRowFormula>
    </tableColumn>
    <tableColumn id="16" xr3:uid="{CB65CF28-04D5-834A-B0C5-8194042E70C5}" name="2g-hash" totalsRowFunction="custom" dataDxfId="1099" totalsRowDxfId="1098">
      <totalsRowFormula>_xlfn.LET(_xlpm.d,J16:J18,MAX(_xlpm.d))</totalsRowFormula>
    </tableColumn>
    <tableColumn id="15" xr3:uid="{6FC4D036-6B83-644D-871B-F72FF438F277}" name="3g-hash" totalsRowFunction="custom" dataDxfId="1097" totalsRowDxfId="1096">
      <totalsRowFormula>_xlfn.LET(_xlpm.d,K16:K18,MAX(_xlpm.d))</totalsRowFormula>
    </tableColumn>
    <tableColumn id="14" xr3:uid="{0B0B6A52-AEE2-7346-A558-B09210633077}" name="4g-hash" totalsRowFunction="custom" dataDxfId="1095" totalsRowDxfId="1094">
      <totalsRowFormula>_xlfn.LET(_xlpm.d,L16:L18,MAX(_xlpm.d))</totalsRowFormula>
    </tableColumn>
    <tableColumn id="10" xr3:uid="{0B4F1237-A606-AF46-9319-123BD65AA2F4}" name="sk2g-hash" totalsRowFunction="custom" dataDxfId="1093" totalsRowDxfId="1092">
      <totalsRowFormula>_xlfn.LET(_xlpm.d,M16:M18,MAX(_xlpm.d))</totalsRowFormula>
    </tableColumn>
    <tableColumn id="11" xr3:uid="{56BE7420-6773-774E-BE5B-C48257B71264}" name="sk3g-hash" totalsRowFunction="custom" dataDxfId="1091" totalsRowDxfId="1090">
      <totalsRowFormula>_xlfn.LET(_xlpm.d,N16:N18,MAX(_xlpm.d))</totalsRowFormula>
    </tableColumn>
    <tableColumn id="12" xr3:uid="{23170974-D583-8C4A-AC59-D76832979F89}" name="sk4g-hash" totalsRowFunction="custom" dataDxfId="1089" totalsRowDxfId="1088">
      <totalsRowFormula>_xlfn.LET(_xlpm.d,O16:O18,MAX(_xlpm.d))</totalsRowFormula>
    </tableColumn>
    <tableColumn id="17" xr3:uid="{FC30F38F-93E7-374B-8821-F22CC5D1AFAC}" name="max" totalsRowFunction="custom" dataDxfId="1087" totalsRowDxfId="1086">
      <calculatedColumnFormula>_xlfn.LET(_xlpm.d,D16:O16,MAX(_xlpm.d))</calculatedColumnFormula>
      <totalsRowFormula>_xlfn.LET(_xlpm.d,P16:P18,MAX(_xlpm.d))</totalsRowFormula>
    </tableColumn>
    <tableColumn id="13" xr3:uid="{352FC688-DCAD-A240-AD85-34E892E27541}" name="ra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3F4ED57-735D-D246-B302-3AC66642364F}" name="Table13529" displayName="Table13529" ref="A22:Q26" totalsRowCount="1">
  <autoFilter ref="A22:Q25" xr:uid="{46B0E1C2-31F2-354C-8ED1-4E99A40A361A}"/>
  <tableColumns count="17">
    <tableColumn id="1" xr3:uid="{3F31D50C-591B-D144-95E2-2DA412B86E21}" name="Target"/>
    <tableColumn id="2" xr3:uid="{01A87667-53BE-7F44-8729-E51EDA536EAC}" name="Supplement"/>
    <tableColumn id="3" xr3:uid="{B3725889-E7DF-C344-8FC8-567B27A1461C}" name="Method" totalsRowLabel="max"/>
    <tableColumn id="4" xr3:uid="{E4483922-FE80-8549-8ACA-46571EA7D074}" name="2g" totalsRowFunction="custom" dataDxfId="1085" totalsRowDxfId="1084">
      <totalsRowFormula>_xlfn.LET(_xlpm.d,D23:D25,MAX(_xlpm.d))</totalsRowFormula>
    </tableColumn>
    <tableColumn id="5" xr3:uid="{016C2DBB-D6F5-2940-9C36-C322B8949C3F}" name="3g" totalsRowFunction="custom" dataDxfId="1083" totalsRowDxfId="1082">
      <totalsRowFormula>_xlfn.LET(_xlpm.d,E23:E25,MAX(_xlpm.d))</totalsRowFormula>
    </tableColumn>
    <tableColumn id="6" xr3:uid="{FB7643BE-5C30-6742-9C5D-7DEEE376586D}" name="4g" totalsRowFunction="custom" dataDxfId="1081" totalsRowDxfId="1080">
      <totalsRowFormula>_xlfn.LET(_xlpm.d,F23:F25,MAX(_xlpm.d))</totalsRowFormula>
    </tableColumn>
    <tableColumn id="7" xr3:uid="{A9B158F2-067B-6445-AB08-933996C4E36A}" name="sk2g" totalsRowFunction="custom" dataDxfId="1079" totalsRowDxfId="1078">
      <totalsRowFormula>_xlfn.LET(_xlpm.d,G23:G25,MAX(_xlpm.d))</totalsRowFormula>
    </tableColumn>
    <tableColumn id="8" xr3:uid="{814D6B47-8DDF-8344-B711-D638DDC586F5}" name="sk3g" totalsRowFunction="custom" dataDxfId="1077" totalsRowDxfId="1076">
      <totalsRowFormula>_xlfn.LET(_xlpm.d,H23:H25,MAX(_xlpm.d))</totalsRowFormula>
    </tableColumn>
    <tableColumn id="9" xr3:uid="{86C42111-7523-2642-A2D5-00DDA898F193}" name="sk4g" totalsRowFunction="custom" dataDxfId="1075" totalsRowDxfId="1074">
      <totalsRowFormula>_xlfn.LET(_xlpm.d,I23:I25,MAX(_xlpm.d))</totalsRowFormula>
    </tableColumn>
    <tableColumn id="16" xr3:uid="{420C57ED-3507-8344-BE1E-654D91333999}" name="2g-hash" totalsRowFunction="custom" dataDxfId="1073" totalsRowDxfId="1072">
      <totalsRowFormula>_xlfn.LET(_xlpm.d,J23:J25,MAX(_xlpm.d))</totalsRowFormula>
    </tableColumn>
    <tableColumn id="15" xr3:uid="{47080C60-855F-FF46-AE2A-87EC8440ABA6}" name="3g-hash" totalsRowFunction="custom" dataDxfId="1071" totalsRowDxfId="1070">
      <totalsRowFormula>_xlfn.LET(_xlpm.d,K23:K25,MAX(_xlpm.d))</totalsRowFormula>
    </tableColumn>
    <tableColumn id="14" xr3:uid="{57F2BD99-562E-D34D-9A74-872B64B2EDF1}" name="4g-hash" totalsRowFunction="custom" dataDxfId="1069" totalsRowDxfId="1068">
      <totalsRowFormula>_xlfn.LET(_xlpm.d,L23:L25,MAX(_xlpm.d))</totalsRowFormula>
    </tableColumn>
    <tableColumn id="10" xr3:uid="{14D2270F-54C1-E94D-AADA-BC5257026E4A}" name="sk2g-hash" totalsRowFunction="custom" dataDxfId="1067" totalsRowDxfId="1066">
      <totalsRowFormula>_xlfn.LET(_xlpm.d,M23:M25,MAX(_xlpm.d))</totalsRowFormula>
    </tableColumn>
    <tableColumn id="11" xr3:uid="{65637DD0-0FE9-354E-B706-080AAA12DAC5}" name="sk3g-hash" totalsRowFunction="custom" dataDxfId="1065" totalsRowDxfId="1064">
      <totalsRowFormula>_xlfn.LET(_xlpm.d,N23:N25,MAX(_xlpm.d))</totalsRowFormula>
    </tableColumn>
    <tableColumn id="12" xr3:uid="{0E7482B8-9173-9542-A74D-9DC84154E2E1}" name="sk4g-hash" totalsRowFunction="custom" dataDxfId="1063" totalsRowDxfId="1062">
      <totalsRowFormula>_xlfn.LET(_xlpm.d,O23:O25,MAX(_xlpm.d))</totalsRowFormula>
    </tableColumn>
    <tableColumn id="17" xr3:uid="{F9AE9636-E64D-1346-8DCA-85DE5707D446}" name="max" totalsRowFunction="custom" dataDxfId="1061" totalsRowDxfId="1060">
      <calculatedColumnFormula>_xlfn.LET(_xlpm.d,D23:O23,MAX(_xlpm.d))</calculatedColumnFormula>
      <totalsRowFormula>_xlfn.LET(_xlpm.d,P23:P25,MAX(_xlpm.d))</totalsRowFormula>
    </tableColumn>
    <tableColumn id="13" xr3:uid="{37005BFF-79B6-AB43-9344-B50760D9D987}" name="rank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7960D70-A1BB-7D49-AFF9-C8D7E8B42BF8}" name="Table12630" displayName="Table12630" ref="A1:Q5" totalsRowCount="1" headerRowDxfId="1059">
  <autoFilter ref="A1:Q4" xr:uid="{45B34886-E579-B04A-BB74-0B33E45A88FA}"/>
  <tableColumns count="17">
    <tableColumn id="1" xr3:uid="{98FEC05A-8D7E-0E45-B547-CBD5074FF5FA}" name="Target"/>
    <tableColumn id="2" xr3:uid="{0A16F893-B633-E14D-87F6-271454A938A3}" name="Supplement"/>
    <tableColumn id="3" xr3:uid="{BE193A8B-8450-5841-8B1C-5E72E34419E4}" name="Method" totalsRowLabel="max"/>
    <tableColumn id="4" xr3:uid="{330F7BBF-BC13-F443-9662-B7262FE1F831}" name="2g" totalsRowFunction="custom" dataDxfId="1058" totalsRowDxfId="1057">
      <totalsRowFormula>_xlfn.LET(_xlpm.d,D2:D4,MAX(_xlpm.d))</totalsRowFormula>
    </tableColumn>
    <tableColumn id="5" xr3:uid="{70672D4B-E0D1-2F4C-9873-5C5E564AFD65}" name="3g" totalsRowFunction="custom" dataDxfId="1056" totalsRowDxfId="1055">
      <totalsRowFormula>_xlfn.LET(_xlpm.d,E2:E4,MAX(_xlpm.d))</totalsRowFormula>
    </tableColumn>
    <tableColumn id="6" xr3:uid="{432D6E37-1743-7045-974B-C469196BE4A4}" name="4g" totalsRowFunction="custom" dataDxfId="1054" totalsRowDxfId="1053">
      <totalsRowFormula>_xlfn.LET(_xlpm.d,F2:F4,MAX(_xlpm.d))</totalsRowFormula>
    </tableColumn>
    <tableColumn id="7" xr3:uid="{1AE21943-573D-8A45-9F23-C8A14879D9D3}" name="sk2g" totalsRowFunction="custom" dataDxfId="1052" totalsRowDxfId="1051">
      <totalsRowFormula>_xlfn.LET(_xlpm.d,G2:G4,MAX(_xlpm.d))</totalsRowFormula>
    </tableColumn>
    <tableColumn id="8" xr3:uid="{1F49139C-605C-5C4D-9F98-B2A311AA0A90}" name="sk3g" totalsRowFunction="custom" dataDxfId="1050" totalsRowDxfId="1049">
      <totalsRowFormula>_xlfn.LET(_xlpm.d,H2:H4,MAX(_xlpm.d))</totalsRowFormula>
    </tableColumn>
    <tableColumn id="9" xr3:uid="{6E55B917-32C9-0E40-AEB5-CDEFBE8EDF02}" name="sk4g" totalsRowFunction="custom" dataDxfId="1048" totalsRowDxfId="1047">
      <totalsRowFormula>_xlfn.LET(_xlpm.d,I2:I4,MAX(_xlpm.d))</totalsRowFormula>
    </tableColumn>
    <tableColumn id="16" xr3:uid="{A57D2ACF-6A80-DE4D-ACE9-7E7CCBF9B80F}" name="2g-hash" totalsRowFunction="custom" dataDxfId="1046" totalsRowDxfId="1045">
      <totalsRowFormula>_xlfn.LET(_xlpm.d,J2:J4,MAX(_xlpm.d))</totalsRowFormula>
    </tableColumn>
    <tableColumn id="15" xr3:uid="{7BC8B575-FBED-4C44-8D49-3A4F6AE7DA90}" name="3g-hash" totalsRowFunction="custom" dataDxfId="1044" totalsRowDxfId="1043">
      <totalsRowFormula>_xlfn.LET(_xlpm.d,K2:K4,MAX(_xlpm.d))</totalsRowFormula>
    </tableColumn>
    <tableColumn id="14" xr3:uid="{AD81F728-7108-104E-B753-FA11FBB52D57}" name="4g-hash" totalsRowFunction="custom" dataDxfId="1042" totalsRowDxfId="1041">
      <totalsRowFormula>_xlfn.LET(_xlpm.d,L2:L4,MAX(_xlpm.d))</totalsRowFormula>
    </tableColumn>
    <tableColumn id="10" xr3:uid="{0D744899-7ACE-1444-8506-4C3FF65ECC6E}" name="sk2g-hash" totalsRowFunction="custom" dataDxfId="1040" totalsRowDxfId="1039">
      <totalsRowFormula>_xlfn.LET(_xlpm.d,M2:M4,MAX(_xlpm.d))</totalsRowFormula>
    </tableColumn>
    <tableColumn id="11" xr3:uid="{CFA5903A-A3B5-A148-8CD2-39C8C44E17A4}" name="sk3g-hash" totalsRowFunction="custom" dataDxfId="1038" totalsRowDxfId="1037">
      <totalsRowFormula>_xlfn.LET(_xlpm.d,N2:N4,MAX(_xlpm.d))</totalsRowFormula>
    </tableColumn>
    <tableColumn id="12" xr3:uid="{BCD8C092-55CE-9C46-AE39-6614B4E42E48}" name="sk4g-hash" totalsRowFunction="custom" dataDxfId="1036" totalsRowDxfId="1035">
      <totalsRowFormula>_xlfn.LET(_xlpm.d,O2:O4,MAX(_xlpm.d))</totalsRowFormula>
    </tableColumn>
    <tableColumn id="17" xr3:uid="{EB5FA760-2BFC-7A46-8261-C668E666384B}" name="max" totalsRowFunction="custom" dataDxfId="1034" totalsRowDxfId="1033">
      <calculatedColumnFormula>_xlfn.LET(_xlpm.d,D2:O2,MAX(_xlpm.d))</calculatedColumnFormula>
      <totalsRowFormula>_xlfn.LET(_xlpm.d,P2:P4,MAX(_xlpm.d))</totalsRowFormula>
    </tableColumn>
    <tableColumn id="13" xr3:uid="{F9921F9E-80F9-3740-910A-42DB3523E44F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24E1871-1B67-3E44-BB52-93E29BA7A489}" name="Table132731" displayName="Table132731" ref="A8:Q12" totalsRowCount="1">
  <autoFilter ref="A8:Q11" xr:uid="{91BAB1EF-B2F2-FD48-B115-FE786BAC46D2}"/>
  <tableColumns count="17">
    <tableColumn id="1" xr3:uid="{FFCCA156-E035-1447-8B01-71C754177A44}" name="Target"/>
    <tableColumn id="2" xr3:uid="{3A171C07-E098-2B4D-A99A-BE5AD2A94656}" name="Supplement"/>
    <tableColumn id="3" xr3:uid="{0F859BBE-F672-4241-BA75-E93916355232}" name="Method" totalsRowLabel="max"/>
    <tableColumn id="4" xr3:uid="{0F0621CE-30AE-FC4D-8A93-77625CEB760B}" name="2g" totalsRowFunction="custom" dataDxfId="1032" totalsRowDxfId="1031">
      <totalsRowFormula>_xlfn.LET(_xlpm.d,D9:D11,MAX(_xlpm.d))</totalsRowFormula>
    </tableColumn>
    <tableColumn id="5" xr3:uid="{5FAAE1B7-E8D4-7243-9C22-CC6185D0C8A4}" name="3g" totalsRowFunction="custom" dataDxfId="1030" totalsRowDxfId="1029">
      <totalsRowFormula>_xlfn.LET(_xlpm.d,E9:E11,MAX(_xlpm.d))</totalsRowFormula>
    </tableColumn>
    <tableColumn id="6" xr3:uid="{4D834A56-A49C-1543-BF6F-72C530DF947C}" name="4g" totalsRowFunction="custom" dataDxfId="1028" totalsRowDxfId="1027">
      <totalsRowFormula>_xlfn.LET(_xlpm.d,F9:F11,MAX(_xlpm.d))</totalsRowFormula>
    </tableColumn>
    <tableColumn id="7" xr3:uid="{05B4281F-89B3-6D4F-A787-CD4A46A69CE8}" name="sk2g" totalsRowFunction="custom" dataDxfId="1026" totalsRowDxfId="1025">
      <totalsRowFormula>_xlfn.LET(_xlpm.d,G9:G11,MAX(_xlpm.d))</totalsRowFormula>
    </tableColumn>
    <tableColumn id="8" xr3:uid="{54075BBF-B058-DB49-BC43-CAD27D780F2C}" name="sk3g" totalsRowFunction="custom" dataDxfId="1024" totalsRowDxfId="1023">
      <totalsRowFormula>_xlfn.LET(_xlpm.d,H9:H11,MAX(_xlpm.d))</totalsRowFormula>
    </tableColumn>
    <tableColumn id="9" xr3:uid="{222B8CD3-D63B-864C-ABB1-02568AA815F7}" name="sk4g" totalsRowFunction="custom" dataDxfId="1022" totalsRowDxfId="1021">
      <totalsRowFormula>_xlfn.LET(_xlpm.d,I9:I11,MAX(_xlpm.d))</totalsRowFormula>
    </tableColumn>
    <tableColumn id="16" xr3:uid="{10FA0B93-CE5C-014A-A693-CBFB3CD8160D}" name="2g-hash" totalsRowFunction="custom" dataDxfId="1020" totalsRowDxfId="1019">
      <totalsRowFormula>_xlfn.LET(_xlpm.d,J9:J11,MAX(_xlpm.d))</totalsRowFormula>
    </tableColumn>
    <tableColumn id="15" xr3:uid="{D4685B96-6AE6-104A-9666-F56C41B5D5AA}" name="3g-hash" totalsRowFunction="custom" dataDxfId="1018" totalsRowDxfId="1017">
      <totalsRowFormula>_xlfn.LET(_xlpm.d,K9:K11,MAX(_xlpm.d))</totalsRowFormula>
    </tableColumn>
    <tableColumn id="14" xr3:uid="{5D1CC593-7E09-2241-AE58-15677164D22E}" name="4g-hash" totalsRowFunction="custom" dataDxfId="1016" totalsRowDxfId="1015">
      <totalsRowFormula>_xlfn.LET(_xlpm.d,L9:L11,MAX(_xlpm.d))</totalsRowFormula>
    </tableColumn>
    <tableColumn id="10" xr3:uid="{82B3F042-E3BB-EC4B-AE20-5A4217C38C6E}" name="sk2g-hash" totalsRowFunction="custom" dataDxfId="1014" totalsRowDxfId="1013">
      <totalsRowFormula>_xlfn.LET(_xlpm.d,M9:M11,MAX(_xlpm.d))</totalsRowFormula>
    </tableColumn>
    <tableColumn id="11" xr3:uid="{EB105960-D127-5448-8084-7D825EA7B577}" name="sk3g-hash" totalsRowFunction="custom" dataDxfId="1012" totalsRowDxfId="1011">
      <totalsRowFormula>_xlfn.LET(_xlpm.d,N9:N11,MAX(_xlpm.d))</totalsRowFormula>
    </tableColumn>
    <tableColumn id="12" xr3:uid="{D40865BF-2C96-9047-A984-8C11DE4B3743}" name="sk4g-hash" totalsRowFunction="custom" dataDxfId="1010" totalsRowDxfId="1009">
      <totalsRowFormula>_xlfn.LET(_xlpm.d,O9:O11,MAX(_xlpm.d))</totalsRowFormula>
    </tableColumn>
    <tableColumn id="17" xr3:uid="{1E762E02-6D5C-E546-88F8-BCC0FF1C42A9}" name="max" totalsRowFunction="custom" dataDxfId="1008" totalsRowDxfId="1007">
      <calculatedColumnFormula>_xlfn.LET(_xlpm.d,D9:O9,MAX(_xlpm.d))</calculatedColumnFormula>
      <totalsRowFormula>_xlfn.LET(_xlpm.d,P9:P11,MAX(_xlpm.d))</totalsRowFormula>
    </tableColumn>
    <tableColumn id="13" xr3:uid="{BE8D62A4-F51E-B54E-8235-BCC59FB84F6A}" name="Not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A21A619-734C-AB45-A263-189EEEF9CFF1}" name="Table142832" displayName="Table142832" ref="A15:Q19" totalsRowCount="1">
  <autoFilter ref="A15:Q18" xr:uid="{8544D348-02B7-6944-AEA9-DF3D29ADB135}"/>
  <tableColumns count="17">
    <tableColumn id="1" xr3:uid="{D0FF0F6D-D835-CD49-AC3F-88853C04EF85}" name="Target"/>
    <tableColumn id="2" xr3:uid="{75CFB831-0CC4-CC40-A587-EFA90D86F17D}" name="Supplement"/>
    <tableColumn id="3" xr3:uid="{49755E22-EAA7-B34D-BEB1-D59CAD63D100}" name="Method" totalsRowLabel="max"/>
    <tableColumn id="4" xr3:uid="{D8F26F0C-4F12-C440-A044-BF5BB865D886}" name="2g" totalsRowFunction="custom" dataDxfId="1006" totalsRowDxfId="1005">
      <totalsRowFormula>_xlfn.LET(_xlpm.d,D16:D18,MAX(_xlpm.d))</totalsRowFormula>
    </tableColumn>
    <tableColumn id="5" xr3:uid="{A7630930-484C-F14B-9014-B9F4D98B9163}" name="3g" totalsRowFunction="custom" dataDxfId="1004" totalsRowDxfId="1003">
      <totalsRowFormula>_xlfn.LET(_xlpm.d,E16:E18,MAX(_xlpm.d))</totalsRowFormula>
    </tableColumn>
    <tableColumn id="6" xr3:uid="{8E1E6ADE-5582-6246-B1BF-086533DABD16}" name="4g" totalsRowFunction="custom" dataDxfId="1002" totalsRowDxfId="1001">
      <totalsRowFormula>_xlfn.LET(_xlpm.d,F16:F18,MAX(_xlpm.d))</totalsRowFormula>
    </tableColumn>
    <tableColumn id="7" xr3:uid="{63451071-4E6F-7F46-8AFB-1B582F80622A}" name="sk2g" totalsRowFunction="custom" dataDxfId="1000" totalsRowDxfId="999">
      <totalsRowFormula>_xlfn.LET(_xlpm.d,G16:G18,MAX(_xlpm.d))</totalsRowFormula>
    </tableColumn>
    <tableColumn id="8" xr3:uid="{4F5A710D-B321-AA46-BA57-2FA69027E4BA}" name="sk3g" totalsRowFunction="custom" dataDxfId="998" totalsRowDxfId="997">
      <totalsRowFormula>_xlfn.LET(_xlpm.d,H16:H18,MAX(_xlpm.d))</totalsRowFormula>
    </tableColumn>
    <tableColumn id="9" xr3:uid="{A5D023C2-713E-C541-A599-9C4A30982FFB}" name="sk4g" totalsRowFunction="custom" dataDxfId="996" totalsRowDxfId="995">
      <totalsRowFormula>_xlfn.LET(_xlpm.d,I16:I18,MAX(_xlpm.d))</totalsRowFormula>
    </tableColumn>
    <tableColumn id="16" xr3:uid="{69FA5371-6C9F-0747-8A48-F27A3210FED4}" name="2g-hash" totalsRowFunction="custom" dataDxfId="994" totalsRowDxfId="993">
      <totalsRowFormula>_xlfn.LET(_xlpm.d,J16:J18,MAX(_xlpm.d))</totalsRowFormula>
    </tableColumn>
    <tableColumn id="15" xr3:uid="{B697EFE7-AABE-E341-BABF-1F46F1E2C6D3}" name="3g-hash" totalsRowFunction="custom" dataDxfId="992" totalsRowDxfId="991">
      <totalsRowFormula>_xlfn.LET(_xlpm.d,K16:K18,MAX(_xlpm.d))</totalsRowFormula>
    </tableColumn>
    <tableColumn id="14" xr3:uid="{6783426B-FE64-A04F-9855-983B8EA12607}" name="4g-hash" totalsRowFunction="custom" dataDxfId="990" totalsRowDxfId="989">
      <totalsRowFormula>_xlfn.LET(_xlpm.d,L16:L18,MAX(_xlpm.d))</totalsRowFormula>
    </tableColumn>
    <tableColumn id="10" xr3:uid="{FD0488B9-7FEE-BA42-A454-2F4E5212C8FC}" name="sk2g-hash" totalsRowFunction="custom" dataDxfId="988" totalsRowDxfId="987">
      <totalsRowFormula>_xlfn.LET(_xlpm.d,M16:M18,MAX(_xlpm.d))</totalsRowFormula>
    </tableColumn>
    <tableColumn id="11" xr3:uid="{F1A13E52-B3D4-AA4A-8B78-E0E6137A6A7C}" name="sk3g-hash" totalsRowFunction="custom" dataDxfId="986" totalsRowDxfId="985">
      <totalsRowFormula>_xlfn.LET(_xlpm.d,N16:N18,MAX(_xlpm.d))</totalsRowFormula>
    </tableColumn>
    <tableColumn id="12" xr3:uid="{800AEC76-1435-D747-BD02-AC83867CF583}" name="sk4g-hash" totalsRowFunction="custom" dataDxfId="984" totalsRowDxfId="983">
      <totalsRowFormula>_xlfn.LET(_xlpm.d,O16:O18,MAX(_xlpm.d))</totalsRowFormula>
    </tableColumn>
    <tableColumn id="17" xr3:uid="{C21A0BBD-6017-1644-B5C9-7102913DE71B}" name="max" totalsRowFunction="custom" dataDxfId="982" totalsRowDxfId="981">
      <calculatedColumnFormula>_xlfn.LET(_xlpm.d,D16:O16,MAX(_xlpm.d))</calculatedColumnFormula>
      <totalsRowFormula>_xlfn.LET(_xlpm.d,P16:P18,MAX(_xlpm.d))</totalsRowFormula>
    </tableColumn>
    <tableColumn id="13" xr3:uid="{E28B5814-6231-5442-9A9B-364C35699178}" name="Not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3F163D5-30EA-DA45-906A-D6139E54B578}" name="Table1352933" displayName="Table1352933" ref="A22:Q26" totalsRowCount="1">
  <autoFilter ref="A22:Q25" xr:uid="{46B0E1C2-31F2-354C-8ED1-4E99A40A361A}"/>
  <tableColumns count="17">
    <tableColumn id="1" xr3:uid="{E5D82D56-222C-8E45-97AE-DCFD08FA1C7A}" name="Target"/>
    <tableColumn id="2" xr3:uid="{9F6F87A2-8E67-3346-B5CA-4F6193BFC4CE}" name="Supplement"/>
    <tableColumn id="3" xr3:uid="{D7AFFF58-D744-CA47-81DD-E6C674D0FD15}" name="Method" totalsRowLabel="max"/>
    <tableColumn id="4" xr3:uid="{0DF6BDF5-FBA3-B54B-9EDC-14CD313ABF3B}" name="2g" totalsRowFunction="custom" dataDxfId="980" totalsRowDxfId="979">
      <totalsRowFormula>_xlfn.LET(_xlpm.d,D23:D25,MAX(_xlpm.d))</totalsRowFormula>
    </tableColumn>
    <tableColumn id="5" xr3:uid="{58C7B3F9-43A2-CE4A-A919-87D429B44767}" name="3g" totalsRowFunction="custom" dataDxfId="978" totalsRowDxfId="977">
      <totalsRowFormula>_xlfn.LET(_xlpm.d,E23:E25,MAX(_xlpm.d))</totalsRowFormula>
    </tableColumn>
    <tableColumn id="6" xr3:uid="{50705949-5296-EE47-8BA0-4887CA4BF5E7}" name="4g" totalsRowFunction="custom" dataDxfId="976" totalsRowDxfId="975">
      <totalsRowFormula>_xlfn.LET(_xlpm.d,F23:F25,MAX(_xlpm.d))</totalsRowFormula>
    </tableColumn>
    <tableColumn id="7" xr3:uid="{1A03761D-33CE-C64C-AB45-75CDB0C9974E}" name="sk2g" totalsRowFunction="custom" dataDxfId="974" totalsRowDxfId="973">
      <totalsRowFormula>_xlfn.LET(_xlpm.d,G23:G25,MAX(_xlpm.d))</totalsRowFormula>
    </tableColumn>
    <tableColumn id="8" xr3:uid="{AAB435B0-F362-4C4E-9CC5-56D64BF604FB}" name="sk3g" totalsRowFunction="custom" dataDxfId="972" totalsRowDxfId="971">
      <totalsRowFormula>_xlfn.LET(_xlpm.d,H23:H25,MAX(_xlpm.d))</totalsRowFormula>
    </tableColumn>
    <tableColumn id="9" xr3:uid="{F56B8B2A-C281-C948-8FCF-3F32825A732C}" name="sk4g" totalsRowFunction="custom" dataDxfId="970" totalsRowDxfId="969">
      <totalsRowFormula>_xlfn.LET(_xlpm.d,I23:I25,MAX(_xlpm.d))</totalsRowFormula>
    </tableColumn>
    <tableColumn id="16" xr3:uid="{1DD51454-CDBF-284E-BBE1-30E7E9088C5E}" name="2g-hash" totalsRowFunction="custom" dataDxfId="968" totalsRowDxfId="967">
      <totalsRowFormula>_xlfn.LET(_xlpm.d,J23:J25,MAX(_xlpm.d))</totalsRowFormula>
    </tableColumn>
    <tableColumn id="15" xr3:uid="{41972AF8-FF28-BD46-AAEF-E046BDEA8BBD}" name="3g-hash" totalsRowFunction="custom" dataDxfId="966" totalsRowDxfId="965">
      <totalsRowFormula>_xlfn.LET(_xlpm.d,K23:K25,MAX(_xlpm.d))</totalsRowFormula>
    </tableColumn>
    <tableColumn id="14" xr3:uid="{D6D0A90C-4E54-7449-B53C-187EFFB6589F}" name="4g-hash" totalsRowFunction="custom" dataDxfId="964" totalsRowDxfId="963">
      <totalsRowFormula>_xlfn.LET(_xlpm.d,L23:L25,MAX(_xlpm.d))</totalsRowFormula>
    </tableColumn>
    <tableColumn id="10" xr3:uid="{0610E0B1-3DB8-1E43-84D5-7F20DEC7AF37}" name="sk2g-hash" totalsRowFunction="custom" dataDxfId="962" totalsRowDxfId="961">
      <totalsRowFormula>_xlfn.LET(_xlpm.d,M23:M25,MAX(_xlpm.d))</totalsRowFormula>
    </tableColumn>
    <tableColumn id="11" xr3:uid="{8416F51B-F638-824B-86D1-2A0BF7EB4CCE}" name="sk3g-hash" totalsRowFunction="custom" dataDxfId="960" totalsRowDxfId="959">
      <totalsRowFormula>_xlfn.LET(_xlpm.d,N23:N25,MAX(_xlpm.d))</totalsRowFormula>
    </tableColumn>
    <tableColumn id="12" xr3:uid="{FD110F08-D716-3D4F-AAC4-1EDF186C4454}" name="sk4g-hash" totalsRowFunction="custom" dataDxfId="958" totalsRowDxfId="957">
      <totalsRowFormula>_xlfn.LET(_xlpm.d,O23:O25,MAX(_xlpm.d))</totalsRowFormula>
    </tableColumn>
    <tableColumn id="17" xr3:uid="{A54FB1D7-F654-6C47-9990-6BC09BEBC179}" name="max" totalsRowFunction="custom" dataDxfId="956" totalsRowDxfId="955">
      <calculatedColumnFormula>_xlfn.LET(_xlpm.d,D23:O23,MAX(_xlpm.d))</calculatedColumnFormula>
      <totalsRowFormula>_xlfn.LET(_xlpm.d,P23:P25,MAX(_xlpm.d))</totalsRowFormula>
    </tableColumn>
    <tableColumn id="13" xr3:uid="{8AAC693E-910F-A94E-9A0F-ACCCBF029333}" name="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6DEE86-6AFA-4649-8BCF-22BBAF421423}" name="Table18" displayName="Table18" ref="A1:Q5" totalsRowCount="1" headerRowDxfId="640">
  <autoFilter ref="A1:Q4" xr:uid="{45B34886-E579-B04A-BB74-0B33E45A88FA}"/>
  <tableColumns count="17">
    <tableColumn id="1" xr3:uid="{E0CCAFEE-66DE-2E42-A9AD-FF7C9046252B}" name="Target"/>
    <tableColumn id="2" xr3:uid="{3B54291F-72E1-9F43-8360-12CD27811140}" name="Supplement"/>
    <tableColumn id="3" xr3:uid="{CE7FCF23-3F8F-E64C-9E19-CDEA1B4A2637}" name="Method" totalsRowLabel="max"/>
    <tableColumn id="4" xr3:uid="{A4BCC1E5-7BCC-0C4D-9286-216B809B4869}" name="2g" totalsRowFunction="custom" dataDxfId="639" totalsRowDxfId="90">
      <totalsRowFormula>_xlfn.LET(_xlpm.d,D2:D4,MAX(_xlpm.d))</totalsRowFormula>
    </tableColumn>
    <tableColumn id="5" xr3:uid="{35ABA8F5-37EF-0443-A453-2467CDBBB354}" name="3g" totalsRowFunction="custom" dataDxfId="638" totalsRowDxfId="89">
      <totalsRowFormula>_xlfn.LET(_xlpm.d,E2:E4,MAX(_xlpm.d))</totalsRowFormula>
    </tableColumn>
    <tableColumn id="6" xr3:uid="{5A2A6D19-DA23-054C-80A7-5684B4F5794B}" name="4g" totalsRowFunction="custom" dataDxfId="637" totalsRowDxfId="88">
      <totalsRowFormula>_xlfn.LET(_xlpm.d,F2:F4,MAX(_xlpm.d))</totalsRowFormula>
    </tableColumn>
    <tableColumn id="7" xr3:uid="{9C00EAEA-45C0-6E45-AA0C-1B3292E3F118}" name="sk2g" totalsRowFunction="custom" dataDxfId="636" totalsRowDxfId="87">
      <totalsRowFormula>_xlfn.LET(_xlpm.d,G2:G4,MAX(_xlpm.d))</totalsRowFormula>
    </tableColumn>
    <tableColumn id="8" xr3:uid="{C00BCA19-04C6-A944-A671-5FA03E87C57B}" name="sk3g" totalsRowFunction="custom" dataDxfId="635" totalsRowDxfId="86">
      <totalsRowFormula>_xlfn.LET(_xlpm.d,H2:H4,MAX(_xlpm.d))</totalsRowFormula>
    </tableColumn>
    <tableColumn id="9" xr3:uid="{E35BD473-07B5-5448-9002-E6424D78DCD6}" name="sk4g" totalsRowFunction="custom" dataDxfId="634" totalsRowDxfId="85">
      <totalsRowFormula>_xlfn.LET(_xlpm.d,I2:I4,MAX(_xlpm.d))</totalsRowFormula>
    </tableColumn>
    <tableColumn id="16" xr3:uid="{82EEAD12-4826-8844-AB71-1AE67EAB08DC}" name="2g-hash" totalsRowFunction="custom" dataDxfId="633" totalsRowDxfId="84">
      <totalsRowFormula>_xlfn.LET(_xlpm.d,J2:J4,MAX(_xlpm.d))</totalsRowFormula>
    </tableColumn>
    <tableColumn id="15" xr3:uid="{CA2F707D-13C6-E342-AC8A-77BBCF43F304}" name="3g-hash" totalsRowFunction="custom" dataDxfId="632" totalsRowDxfId="83">
      <totalsRowFormula>_xlfn.LET(_xlpm.d,K2:K4,MAX(_xlpm.d))</totalsRowFormula>
    </tableColumn>
    <tableColumn id="14" xr3:uid="{26D9E625-1A5F-AC45-858C-35FE4CB11529}" name="4g-hash" totalsRowFunction="custom" dataDxfId="631" totalsRowDxfId="82">
      <totalsRowFormula>_xlfn.LET(_xlpm.d,L2:L4,MAX(_xlpm.d))</totalsRowFormula>
    </tableColumn>
    <tableColumn id="10" xr3:uid="{F1031877-48E8-4F47-AA08-D9CA22E33E85}" name="sk2g-hash" totalsRowFunction="custom" dataDxfId="630" totalsRowDxfId="81">
      <totalsRowFormula>_xlfn.LET(_xlpm.d,M2:M4,MAX(_xlpm.d))</totalsRowFormula>
    </tableColumn>
    <tableColumn id="11" xr3:uid="{5CF42EC0-C994-BD49-B9C2-0A4124F05E5D}" name="sk3g-hash" totalsRowFunction="custom" dataDxfId="629" totalsRowDxfId="80">
      <totalsRowFormula>_xlfn.LET(_xlpm.d,N2:N4,MAX(_xlpm.d))</totalsRowFormula>
    </tableColumn>
    <tableColumn id="12" xr3:uid="{479D2203-7AAD-9C40-BDF1-BB5EAC79026A}" name="sk4g-hash" totalsRowFunction="custom" dataDxfId="628" totalsRowDxfId="79">
      <totalsRowFormula>_xlfn.LET(_xlpm.d,O2:O4,MAX(_xlpm.d))</totalsRowFormula>
    </tableColumn>
    <tableColumn id="17" xr3:uid="{C1BFB796-A11A-9740-9039-DB5E87EA3522}" name="max" totalsRowFunction="custom" dataDxfId="627" totalsRowDxfId="78">
      <calculatedColumnFormula>_xlfn.LET(_xlpm.d,D2:O2,MAX(_xlpm.d))</calculatedColumnFormula>
      <totalsRowFormula>_xlfn.LET(_xlpm.d,P2:P4,MAX(_xlpm.d))</totalsRowFormula>
    </tableColumn>
    <tableColumn id="13" xr3:uid="{2B221368-D452-F049-BA7A-4CD8D0A8A96B}" name="Not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C4B401-DD58-DB42-A3CA-B3B03BD25619}" name="Table139" displayName="Table139" ref="A8:Q12" totalsRowCount="1">
  <autoFilter ref="A8:Q11" xr:uid="{91BAB1EF-B2F2-FD48-B115-FE786BAC46D2}"/>
  <tableColumns count="17">
    <tableColumn id="1" xr3:uid="{F41B6803-90AC-CE4E-8F25-0154F6EB3438}" name="Target"/>
    <tableColumn id="2" xr3:uid="{9E26C641-0AC6-0841-8434-E1E4AAE4416A}" name="Supplement"/>
    <tableColumn id="3" xr3:uid="{60F93B46-352A-CA41-98F7-DDF7F09848BD}" name="Method" totalsRowLabel="max"/>
    <tableColumn id="4" xr3:uid="{E04C2E44-6423-CC49-B0A3-44FDA07CEC4A}" name="2g" totalsRowFunction="custom" dataDxfId="626" totalsRowDxfId="77">
      <totalsRowFormula>_xlfn.LET(_xlpm.d,D9:D11,MAX(_xlpm.d))</totalsRowFormula>
    </tableColumn>
    <tableColumn id="5" xr3:uid="{1FA0DF05-1AC1-CB4F-9E7A-9632884E91D6}" name="3g" totalsRowFunction="custom" dataDxfId="625" totalsRowDxfId="76">
      <totalsRowFormula>_xlfn.LET(_xlpm.d,E9:E11,MAX(_xlpm.d))</totalsRowFormula>
    </tableColumn>
    <tableColumn id="6" xr3:uid="{F2DDF1AA-260D-5A49-A234-E31C845AD6D7}" name="4g" totalsRowFunction="custom" dataDxfId="624" totalsRowDxfId="75">
      <totalsRowFormula>_xlfn.LET(_xlpm.d,F9:F11,MAX(_xlpm.d))</totalsRowFormula>
    </tableColumn>
    <tableColumn id="7" xr3:uid="{38E00CDE-D5C5-B94D-8631-4BE6372FAFE6}" name="sk2g" totalsRowFunction="custom" dataDxfId="623" totalsRowDxfId="74">
      <totalsRowFormula>_xlfn.LET(_xlpm.d,G9:G11,MAX(_xlpm.d))</totalsRowFormula>
    </tableColumn>
    <tableColumn id="8" xr3:uid="{A1E78EE2-F56E-3F46-BD7D-354AD3AC452C}" name="sk3g" totalsRowFunction="custom" dataDxfId="622" totalsRowDxfId="73">
      <totalsRowFormula>_xlfn.LET(_xlpm.d,H9:H11,MAX(_xlpm.d))</totalsRowFormula>
    </tableColumn>
    <tableColumn id="9" xr3:uid="{025FBCE7-3C27-7046-8B9E-34EF3CEC347F}" name="sk4g" totalsRowFunction="custom" dataDxfId="621" totalsRowDxfId="72">
      <totalsRowFormula>_xlfn.LET(_xlpm.d,I9:I11,MAX(_xlpm.d))</totalsRowFormula>
    </tableColumn>
    <tableColumn id="16" xr3:uid="{663B2101-1C40-BD4C-92EE-658A2845E430}" name="2g-hash" totalsRowFunction="custom" dataDxfId="620" totalsRowDxfId="71">
      <totalsRowFormula>_xlfn.LET(_xlpm.d,J9:J11,MAX(_xlpm.d))</totalsRowFormula>
    </tableColumn>
    <tableColumn id="15" xr3:uid="{80375787-2564-AE47-91E1-1B0B3131C896}" name="3g-hash" totalsRowFunction="custom" dataDxfId="619" totalsRowDxfId="70">
      <totalsRowFormula>_xlfn.LET(_xlpm.d,K9:K11,MAX(_xlpm.d))</totalsRowFormula>
    </tableColumn>
    <tableColumn id="14" xr3:uid="{3E8DA8EF-FD72-C44C-9A32-8837227BB56D}" name="4g-hash" totalsRowFunction="custom" dataDxfId="618" totalsRowDxfId="69">
      <totalsRowFormula>_xlfn.LET(_xlpm.d,L9:L11,MAX(_xlpm.d))</totalsRowFormula>
    </tableColumn>
    <tableColumn id="10" xr3:uid="{902204BA-4A03-EE41-924D-E45A7A8F5C58}" name="sk2g-hash" totalsRowFunction="custom" dataDxfId="617" totalsRowDxfId="68">
      <totalsRowFormula>_xlfn.LET(_xlpm.d,M9:M11,MAX(_xlpm.d))</totalsRowFormula>
    </tableColumn>
    <tableColumn id="11" xr3:uid="{20153A37-53B3-AC43-A6DA-0F6A0D9D8746}" name="sk3g-hash" totalsRowFunction="custom" dataDxfId="616" totalsRowDxfId="67">
      <totalsRowFormula>_xlfn.LET(_xlpm.d,N9:N11,MAX(_xlpm.d))</totalsRowFormula>
    </tableColumn>
    <tableColumn id="12" xr3:uid="{9E587FDA-2951-0542-B1FD-3FC0539C8AD7}" name="sk4g-hash" totalsRowFunction="custom" dataDxfId="615" totalsRowDxfId="66">
      <totalsRowFormula>_xlfn.LET(_xlpm.d,O9:O11,MAX(_xlpm.d))</totalsRowFormula>
    </tableColumn>
    <tableColumn id="17" xr3:uid="{E70AF5E4-3249-2345-8829-183F8BBEBFE2}" name="max" totalsRowFunction="custom" dataDxfId="614" totalsRowDxfId="65">
      <calculatedColumnFormula>_xlfn.LET(_xlpm.d,D9:O9,MAX(_xlpm.d))</calculatedColumnFormula>
      <totalsRowFormula>_xlfn.LET(_xlpm.d,P9:P11,MAX(_xlpm.d))</totalsRowFormula>
    </tableColumn>
    <tableColumn id="13" xr3:uid="{9D6C0C41-6526-BE4B-B8FD-3DAB82AFB0DD}" name="Not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B56EE7-B379-F448-95C0-405D03C78E27}" name="Table1410" displayName="Table1410" ref="A15:Q19" totalsRowCount="1">
  <autoFilter ref="A15:Q18" xr:uid="{8544D348-02B7-6944-AEA9-DF3D29ADB135}"/>
  <tableColumns count="17">
    <tableColumn id="1" xr3:uid="{70E2D63B-52E3-314E-B476-694B46C0E3CF}" name="Target"/>
    <tableColumn id="2" xr3:uid="{C4276498-385D-5A47-B1EA-B0D23C84D9E6}" name="Supplement"/>
    <tableColumn id="3" xr3:uid="{E30DB8E0-5D72-294A-BBB4-B26A3E58A26A}" name="Method" totalsRowLabel="max"/>
    <tableColumn id="4" xr3:uid="{F092C948-DDC9-304A-9B2E-66CD074399A6}" name="2g" totalsRowFunction="custom" dataDxfId="613" totalsRowDxfId="64">
      <totalsRowFormula>_xlfn.LET(_xlpm.d,D16:D18,MAX(_xlpm.d))</totalsRowFormula>
    </tableColumn>
    <tableColumn id="5" xr3:uid="{4A252F21-C4AE-3E4F-8EB1-043FA2D6B16E}" name="3g" totalsRowFunction="custom" dataDxfId="612" totalsRowDxfId="63">
      <totalsRowFormula>_xlfn.LET(_xlpm.d,E16:E18,MAX(_xlpm.d))</totalsRowFormula>
    </tableColumn>
    <tableColumn id="6" xr3:uid="{0877DD24-BAF0-CB48-AC38-52D58770E4F1}" name="4g" totalsRowFunction="custom" dataDxfId="611" totalsRowDxfId="62">
      <totalsRowFormula>_xlfn.LET(_xlpm.d,F16:F18,MAX(_xlpm.d))</totalsRowFormula>
    </tableColumn>
    <tableColumn id="7" xr3:uid="{110BED4F-6394-FC4F-989B-8F2682DF4D6C}" name="sk2g" totalsRowFunction="custom" dataDxfId="610" totalsRowDxfId="61">
      <totalsRowFormula>_xlfn.LET(_xlpm.d,G16:G18,MAX(_xlpm.d))</totalsRowFormula>
    </tableColumn>
    <tableColumn id="8" xr3:uid="{EF721C80-6F2B-B84F-AA08-6B473C75A5C2}" name="sk3g" totalsRowFunction="custom" dataDxfId="609" totalsRowDxfId="60">
      <totalsRowFormula>_xlfn.LET(_xlpm.d,H16:H18,MAX(_xlpm.d))</totalsRowFormula>
    </tableColumn>
    <tableColumn id="9" xr3:uid="{6049E678-1BEF-684E-9CCF-46A93CAF78B0}" name="sk4g" totalsRowFunction="custom" dataDxfId="608" totalsRowDxfId="59">
      <totalsRowFormula>_xlfn.LET(_xlpm.d,I16:I18,MAX(_xlpm.d))</totalsRowFormula>
    </tableColumn>
    <tableColumn id="16" xr3:uid="{15E9F2B7-F860-B448-89D0-12C19093ED6D}" name="2g-hash" totalsRowFunction="custom" dataDxfId="607" totalsRowDxfId="58">
      <totalsRowFormula>_xlfn.LET(_xlpm.d,J16:J18,MAX(_xlpm.d))</totalsRowFormula>
    </tableColumn>
    <tableColumn id="15" xr3:uid="{18D3488D-60C8-AE42-9BE5-9015B0B44A48}" name="3g-hash" totalsRowFunction="custom" dataDxfId="606" totalsRowDxfId="57">
      <totalsRowFormula>_xlfn.LET(_xlpm.d,K16:K18,MAX(_xlpm.d))</totalsRowFormula>
    </tableColumn>
    <tableColumn id="14" xr3:uid="{9DE13838-7465-1946-9AF8-576104C03695}" name="4g-hash" totalsRowFunction="custom" dataDxfId="605" totalsRowDxfId="56">
      <totalsRowFormula>_xlfn.LET(_xlpm.d,L16:L18,MAX(_xlpm.d))</totalsRowFormula>
    </tableColumn>
    <tableColumn id="10" xr3:uid="{1D62AF4E-C5C1-4D4A-BEE9-3796AD4F3746}" name="sk2g-hash" totalsRowFunction="custom" dataDxfId="604" totalsRowDxfId="55">
      <totalsRowFormula>_xlfn.LET(_xlpm.d,M16:M18,MAX(_xlpm.d))</totalsRowFormula>
    </tableColumn>
    <tableColumn id="11" xr3:uid="{63DAB78A-E9C4-B541-AE40-7D15C5AE66CB}" name="sk3g-hash" totalsRowFunction="custom" dataDxfId="603" totalsRowDxfId="54">
      <totalsRowFormula>_xlfn.LET(_xlpm.d,N16:N18,MAX(_xlpm.d))</totalsRowFormula>
    </tableColumn>
    <tableColumn id="12" xr3:uid="{D115831E-A7ED-7543-8C63-59B36107B1CC}" name="sk4g-hash" totalsRowFunction="custom" dataDxfId="602" totalsRowDxfId="53">
      <totalsRowFormula>_xlfn.LET(_xlpm.d,O16:O18,MAX(_xlpm.d))</totalsRowFormula>
    </tableColumn>
    <tableColumn id="17" xr3:uid="{96EA6450-AA0F-AD4D-8042-F7DCEB6133C3}" name="max" totalsRowFunction="custom" dataDxfId="601" totalsRowDxfId="52">
      <calculatedColumnFormula>_xlfn.LET(_xlpm.d,D16:O16,MAX(_xlpm.d))</calculatedColumnFormula>
      <totalsRowFormula>_xlfn.LET(_xlpm.d,P16:P18,MAX(_xlpm.d))</totalsRowFormula>
    </tableColumn>
    <tableColumn id="13" xr3:uid="{D6D0AA68-01C4-4742-9ABC-9BA7C490C90D}" name="Not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566178-81F0-5746-832A-F3895E75C2C4}" name="Table13511" displayName="Table13511" ref="A22:Q26" totalsRowCount="1">
  <autoFilter ref="A22:Q25" xr:uid="{46B0E1C2-31F2-354C-8ED1-4E99A40A361A}"/>
  <tableColumns count="17">
    <tableColumn id="1" xr3:uid="{79CCAD22-B769-2B48-9EAC-1618BAB9B0D4}" name="Target"/>
    <tableColumn id="2" xr3:uid="{BBFA1DA3-58CF-B644-B4FF-7B686813A286}" name="Supplement"/>
    <tableColumn id="3" xr3:uid="{B4EE2009-CDA4-C941-B2C5-6FB99CA2BC84}" name="Method" totalsRowLabel="max"/>
    <tableColumn id="4" xr3:uid="{1B70CC5B-05ED-1547-8F15-B98DE9FF4624}" name="2g" totalsRowFunction="custom" dataDxfId="600" totalsRowDxfId="51">
      <totalsRowFormula>_xlfn.LET(_xlpm.d,D23:D25,MAX(_xlpm.d))</totalsRowFormula>
    </tableColumn>
    <tableColumn id="5" xr3:uid="{600EB433-0E2C-064B-A733-C2B27F292070}" name="3g" totalsRowFunction="custom" dataDxfId="599" totalsRowDxfId="50">
      <totalsRowFormula>_xlfn.LET(_xlpm.d,E23:E25,MAX(_xlpm.d))</totalsRowFormula>
    </tableColumn>
    <tableColumn id="6" xr3:uid="{7450031D-7F7E-9445-B7FB-DB981B01B77E}" name="4g" totalsRowFunction="custom" dataDxfId="598" totalsRowDxfId="49">
      <totalsRowFormula>_xlfn.LET(_xlpm.d,F23:F25,MAX(_xlpm.d))</totalsRowFormula>
    </tableColumn>
    <tableColumn id="7" xr3:uid="{0B8EF723-9A57-E249-A0DE-518EE56D1391}" name="sk2g" totalsRowFunction="custom" dataDxfId="597" totalsRowDxfId="48">
      <totalsRowFormula>_xlfn.LET(_xlpm.d,G23:G25,MAX(_xlpm.d))</totalsRowFormula>
    </tableColumn>
    <tableColumn id="8" xr3:uid="{69193051-8147-564D-B80C-01BBAEDCD51D}" name="sk3g" totalsRowFunction="custom" dataDxfId="596" totalsRowDxfId="47">
      <totalsRowFormula>_xlfn.LET(_xlpm.d,H23:H25,MAX(_xlpm.d))</totalsRowFormula>
    </tableColumn>
    <tableColumn id="9" xr3:uid="{304EE11D-2317-F342-82C9-BD60FF4E2693}" name="sk4g" totalsRowFunction="custom" dataDxfId="595" totalsRowDxfId="46">
      <totalsRowFormula>_xlfn.LET(_xlpm.d,I23:I25,MAX(_xlpm.d))</totalsRowFormula>
    </tableColumn>
    <tableColumn id="16" xr3:uid="{CEA15D40-0B91-2B44-BF7B-88D04275253E}" name="2g-hash" totalsRowFunction="custom" dataDxfId="594" totalsRowDxfId="45">
      <totalsRowFormula>_xlfn.LET(_xlpm.d,J23:J25,MAX(_xlpm.d))</totalsRowFormula>
    </tableColumn>
    <tableColumn id="15" xr3:uid="{E9105E15-91CC-7842-966A-C893923C79D9}" name="3g-hash" totalsRowFunction="custom" dataDxfId="593" totalsRowDxfId="44">
      <totalsRowFormula>_xlfn.LET(_xlpm.d,K23:K25,MAX(_xlpm.d))</totalsRowFormula>
    </tableColumn>
    <tableColumn id="14" xr3:uid="{48741A2E-1F5A-1A47-894A-A182B2FD73E2}" name="4g-hash" totalsRowFunction="custom" dataDxfId="592" totalsRowDxfId="43">
      <totalsRowFormula>_xlfn.LET(_xlpm.d,L23:L25,MAX(_xlpm.d))</totalsRowFormula>
    </tableColumn>
    <tableColumn id="10" xr3:uid="{1B79E034-5173-DE4B-9079-17B90E4FA5D1}" name="sk2g-hash" totalsRowFunction="custom" dataDxfId="591" totalsRowDxfId="42">
      <totalsRowFormula>_xlfn.LET(_xlpm.d,M23:M25,MAX(_xlpm.d))</totalsRowFormula>
    </tableColumn>
    <tableColumn id="11" xr3:uid="{85BA9D3D-5362-D84B-9F5E-F59F0F425BC2}" name="sk3g-hash" totalsRowFunction="custom" dataDxfId="590" totalsRowDxfId="41">
      <totalsRowFormula>_xlfn.LET(_xlpm.d,N23:N25,MAX(_xlpm.d))</totalsRowFormula>
    </tableColumn>
    <tableColumn id="12" xr3:uid="{72386A2A-255D-964B-A837-17315FF839CA}" name="sk4g-hash" totalsRowFunction="custom" dataDxfId="589" totalsRowDxfId="40">
      <totalsRowFormula>_xlfn.LET(_xlpm.d,O23:O25,MAX(_xlpm.d))</totalsRowFormula>
    </tableColumn>
    <tableColumn id="17" xr3:uid="{9AFD981A-B934-6F49-939D-2CCC840D489B}" name="max" totalsRowFunction="custom" dataDxfId="588" totalsRowDxfId="39">
      <calculatedColumnFormula>_xlfn.LET(_xlpm.d,D23:O23,MAX(_xlpm.d))</calculatedColumnFormula>
      <totalsRowFormula>_xlfn.LET(_xlpm.d,P23:P25,MAX(_xlpm.d))</totalsRowFormula>
    </tableColumn>
    <tableColumn id="13" xr3:uid="{BD5B83D8-4166-3E48-830A-E61494EC136E}" name="Not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FEBD23E-8A43-0240-9699-099227D321D0}" name="Table14612" displayName="Table14612" ref="A29:Q33" totalsRowCount="1">
  <autoFilter ref="A29:Q32" xr:uid="{AE8576D6-A841-2144-A01C-5F10F995E97C}"/>
  <tableColumns count="17">
    <tableColumn id="1" xr3:uid="{08DC38AF-FBDA-4648-AAC8-738F2E16EE3F}" name="Target"/>
    <tableColumn id="2" xr3:uid="{D422A813-F350-BD46-8E7C-3773098B4397}" name="Supplement"/>
    <tableColumn id="3" xr3:uid="{67258C33-3D4B-3D40-B4CF-96881FAAD1CA}" name="Method" totalsRowLabel="max"/>
    <tableColumn id="4" xr3:uid="{DE320B62-913F-0B4F-9BD3-8CD1197AE1B5}" name="2g" totalsRowFunction="custom" dataDxfId="587" totalsRowDxfId="38">
      <totalsRowFormula>_xlfn.LET(_xlpm.d,D30:D32,MAX(_xlpm.d))</totalsRowFormula>
    </tableColumn>
    <tableColumn id="5" xr3:uid="{B6E457FE-709C-4445-9F6E-FF41B57D1B81}" name="3g" totalsRowFunction="custom" dataDxfId="586" totalsRowDxfId="37">
      <totalsRowFormula>_xlfn.LET(_xlpm.d,E30:E32,MAX(_xlpm.d))</totalsRowFormula>
    </tableColumn>
    <tableColumn id="6" xr3:uid="{56996DAF-D2AA-B449-9D15-A323963946DE}" name="4g" totalsRowFunction="custom" dataDxfId="585" totalsRowDxfId="36">
      <totalsRowFormula>_xlfn.LET(_xlpm.d,F30:F32,MAX(_xlpm.d))</totalsRowFormula>
    </tableColumn>
    <tableColumn id="7" xr3:uid="{CB0F0A56-1D4F-2149-ACF0-C73302F04DC4}" name="sk2g" totalsRowFunction="custom" dataDxfId="584" totalsRowDxfId="35">
      <totalsRowFormula>_xlfn.LET(_xlpm.d,G30:G32,MAX(_xlpm.d))</totalsRowFormula>
    </tableColumn>
    <tableColumn id="8" xr3:uid="{089DD5B4-E5CC-3540-8A39-AE881EFE5D2D}" name="sk3g" totalsRowFunction="custom" dataDxfId="583" totalsRowDxfId="34">
      <totalsRowFormula>_xlfn.LET(_xlpm.d,H30:H32,MAX(_xlpm.d))</totalsRowFormula>
    </tableColumn>
    <tableColumn id="16" xr3:uid="{ECA04D7E-A7BD-2B4B-BB85-C5A5E214CD8A}" name="sk4g" totalsRowFunction="custom" dataDxfId="582" totalsRowDxfId="33">
      <totalsRowFormula>_xlfn.LET(_xlpm.d,I30:I32,MAX(_xlpm.d))</totalsRowFormula>
    </tableColumn>
    <tableColumn id="15" xr3:uid="{1F52A7AB-A706-1940-B8EF-60DB6C81FA08}" name="2g-hash" totalsRowFunction="custom" dataDxfId="581" totalsRowDxfId="32">
      <totalsRowFormula>_xlfn.LET(_xlpm.d,J30:J32,MAX(_xlpm.d))</totalsRowFormula>
    </tableColumn>
    <tableColumn id="14" xr3:uid="{0329B562-0F10-3D4F-80C0-31DA4A020411}" name="3g-hash" totalsRowFunction="custom" dataDxfId="580" totalsRowDxfId="31">
      <totalsRowFormula>_xlfn.LET(_xlpm.d,K30:K32,MAX(_xlpm.d))</totalsRowFormula>
    </tableColumn>
    <tableColumn id="9" xr3:uid="{BAD04B4D-D0FB-9145-86BE-B579B34D668B}" name="4g-hash" totalsRowFunction="custom" dataDxfId="579" totalsRowDxfId="30">
      <totalsRowFormula>_xlfn.LET(_xlpm.d,L30:L32,MAX(_xlpm.d))</totalsRowFormula>
    </tableColumn>
    <tableColumn id="10" xr3:uid="{1A9B7900-385E-6B41-8422-B866BE568ABF}" name="sk2g-hash" totalsRowFunction="custom" dataDxfId="578" totalsRowDxfId="29">
      <totalsRowFormula>_xlfn.LET(_xlpm.d,M30:M32,MAX(_xlpm.d))</totalsRowFormula>
    </tableColumn>
    <tableColumn id="11" xr3:uid="{1326AA3A-872F-A644-B0A2-65971B172D68}" name="sk3g-hash" totalsRowFunction="custom" dataDxfId="577" totalsRowDxfId="28">
      <totalsRowFormula>_xlfn.LET(_xlpm.d,N30:N32,MAX(_xlpm.d))</totalsRowFormula>
    </tableColumn>
    <tableColumn id="12" xr3:uid="{3328A85F-983B-E345-B2EF-F5FF0D590B1A}" name="sk4g-hash" totalsRowFunction="custom" dataDxfId="576" totalsRowDxfId="27">
      <totalsRowFormula>_xlfn.LET(_xlpm.d,O30:O32,MAX(_xlpm.d))</totalsRowFormula>
    </tableColumn>
    <tableColumn id="17" xr3:uid="{9C29BD83-BEA4-B04B-AD98-B72AD89B9889}" name="max" totalsRowFunction="custom" dataDxfId="575" totalsRowDxfId="26">
      <calculatedColumnFormula>_xlfn.LET(_xlpm.d,D30:O30,MAX(_xlpm.d))</calculatedColumnFormula>
      <totalsRowFormula>_xlfn.LET(_xlpm.d,P30:P32,MAX(_xlpm.d))</totalsRowFormula>
    </tableColumn>
    <tableColumn id="13" xr3:uid="{8B8312E7-CBAC-234F-AA0B-DC4188C11685}" name="Not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55A80E-54D4-1A45-919D-0E58839514CE}" name="Table135713" displayName="Table135713" ref="A36:Q40" totalsRowCount="1">
  <autoFilter ref="A36:Q39" xr:uid="{2D30A6F5-5D38-AD42-B882-A8D0FE891640}"/>
  <tableColumns count="17">
    <tableColumn id="1" xr3:uid="{8AA1A0A7-93E1-5443-92ED-1464A7D4698D}" name="Target"/>
    <tableColumn id="2" xr3:uid="{54ABE857-0FE6-7D4C-8479-2E63047E2758}" name="Supplement"/>
    <tableColumn id="3" xr3:uid="{35C60AF7-BE32-2148-89FD-A372D5CF7800}" name="Method" totalsRowLabel="max"/>
    <tableColumn id="4" xr3:uid="{39781002-9858-4747-961C-1BF983979188}" name="2g" totalsRowFunction="custom" dataDxfId="574" totalsRowDxfId="25">
      <totalsRowFormula>_xlfn.LET(_xlpm.d,D37:D39,MAX(_xlpm.d))</totalsRowFormula>
    </tableColumn>
    <tableColumn id="5" xr3:uid="{356C2CA1-3D16-834D-8BA2-D53A29D0EA2E}" name="3g" totalsRowFunction="custom" dataDxfId="573" totalsRowDxfId="24">
      <totalsRowFormula>_xlfn.LET(_xlpm.d,E37:E39,MAX(_xlpm.d))</totalsRowFormula>
    </tableColumn>
    <tableColumn id="6" xr3:uid="{EF2B7357-E67F-8F44-9CD8-1692956E9BD8}" name="4g" totalsRowFunction="custom" dataDxfId="572" totalsRowDxfId="23">
      <totalsRowFormula>_xlfn.LET(_xlpm.d,F37:F39,MAX(_xlpm.d))</totalsRowFormula>
    </tableColumn>
    <tableColumn id="7" xr3:uid="{F5C07DDC-B193-1F46-87ED-CA2B7FB5560D}" name="sk2g" totalsRowFunction="custom" dataDxfId="571" totalsRowDxfId="22">
      <totalsRowFormula>_xlfn.LET(_xlpm.d,G37:G39,MAX(_xlpm.d))</totalsRowFormula>
    </tableColumn>
    <tableColumn id="8" xr3:uid="{3FAEC113-47B6-3343-8247-226E49374C4E}" name="sk3g" totalsRowFunction="custom" dataDxfId="570" totalsRowDxfId="21">
      <totalsRowFormula>_xlfn.LET(_xlpm.d,H37:H39,MAX(_xlpm.d))</totalsRowFormula>
    </tableColumn>
    <tableColumn id="9" xr3:uid="{DB6AF9F4-455E-BD4C-B49E-AC915F09A3CF}" name="sk4g" totalsRowFunction="custom" dataDxfId="569" totalsRowDxfId="20">
      <totalsRowFormula>_xlfn.LET(_xlpm.d,I37:I39,MAX(_xlpm.d))</totalsRowFormula>
    </tableColumn>
    <tableColumn id="16" xr3:uid="{CB54B8E1-E32E-4443-94D4-297FA7FF3B9E}" name="2g-hash" totalsRowFunction="custom" dataDxfId="568" totalsRowDxfId="19">
      <totalsRowFormula>_xlfn.LET(_xlpm.d,J37:J39,MAX(_xlpm.d))</totalsRowFormula>
    </tableColumn>
    <tableColumn id="15" xr3:uid="{F0E9CA5A-C961-FE45-A4AC-B80DC96F19A2}" name="3g-hash" totalsRowFunction="custom" dataDxfId="567" totalsRowDxfId="18">
      <totalsRowFormula>_xlfn.LET(_xlpm.d,K37:K39,MAX(_xlpm.d))</totalsRowFormula>
    </tableColumn>
    <tableColumn id="14" xr3:uid="{65DB45B2-27FE-864C-9B4D-69C811E0C401}" name="4g-hash" totalsRowFunction="custom" dataDxfId="566" totalsRowDxfId="17">
      <totalsRowFormula>_xlfn.LET(_xlpm.d,L37:L39,MAX(_xlpm.d))</totalsRowFormula>
    </tableColumn>
    <tableColumn id="10" xr3:uid="{42AAC79E-5BF4-5A49-A2C9-A7189D6901BD}" name="sk2g-hash" totalsRowFunction="custom" dataDxfId="565" totalsRowDxfId="16">
      <totalsRowFormula>_xlfn.LET(_xlpm.d,M37:M39,MAX(_xlpm.d))</totalsRowFormula>
    </tableColumn>
    <tableColumn id="11" xr3:uid="{5FD17FB4-2CC4-1C49-AADD-056E7827E8BD}" name="sk3g-hash" totalsRowFunction="custom" dataDxfId="564" totalsRowDxfId="15">
      <totalsRowFormula>_xlfn.LET(_xlpm.d,N37:N39,MAX(_xlpm.d))</totalsRowFormula>
    </tableColumn>
    <tableColumn id="12" xr3:uid="{FD74657C-B1DF-054D-A080-2F72395A7CE8}" name="sk4g-hash" totalsRowFunction="custom" dataDxfId="563" totalsRowDxfId="14">
      <totalsRowFormula>_xlfn.LET(_xlpm.d,O37:O39,MAX(_xlpm.d))</totalsRowFormula>
    </tableColumn>
    <tableColumn id="17" xr3:uid="{84FA8274-B630-9F45-90A4-D118D740048F}" name="max" totalsRowFunction="custom" dataDxfId="562" totalsRowDxfId="13">
      <calculatedColumnFormula>_xlfn.LET(_xlpm.d,D37:O37,MAX(_xlpm.d))</calculatedColumnFormula>
      <totalsRowFormula>_xlfn.LET(_xlpm.d,P37:P39,MAX(_xlpm.d))</totalsRowFormula>
    </tableColumn>
    <tableColumn id="13" xr3:uid="{76051AFB-FE0B-9246-B55D-C89A1FDC817C}" name="Not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A9E5A7BC-FF89-964D-9AB0-C8727CA3FF97}" name="Table45" displayName="Table45" ref="C44:P47" totalsRowShown="0">
  <autoFilter ref="C44:P47" xr:uid="{A9E5A7BC-FF89-964D-9AB0-C8727CA3FF97}"/>
  <tableColumns count="14">
    <tableColumn id="1" xr3:uid="{0503879D-832F-264B-B947-6C6CF696EFF9}" name="Method"/>
    <tableColumn id="2" xr3:uid="{BADC3548-55EF-904C-9D38-0F81252E1B8F}" name="2g" dataDxfId="12"/>
    <tableColumn id="3" xr3:uid="{87A903EA-1A58-2548-8AD9-DE0911C9B601}" name="3g" dataDxfId="11"/>
    <tableColumn id="4" xr3:uid="{784E7C33-D0C7-314B-99B5-533EF5D085BC}" name="4g" dataDxfId="10"/>
    <tableColumn id="5" xr3:uid="{B6847941-817F-CF4E-83B3-A7E8090A4B89}" name="sk2g" dataDxfId="9"/>
    <tableColumn id="6" xr3:uid="{D727138D-5419-EA4A-8F55-2C04CD1EBB23}" name="sk3g" dataDxfId="8"/>
    <tableColumn id="7" xr3:uid="{461036D5-85F2-5444-9834-C16F84DDE220}" name="sk4g" dataDxfId="7"/>
    <tableColumn id="8" xr3:uid="{21889967-3974-0C4A-89C9-30EC8D0334FB}" name="2g-hash" dataDxfId="6"/>
    <tableColumn id="9" xr3:uid="{A4FD4369-B74A-4F44-A6E3-6D8498AFB113}" name="3g-hash" dataDxfId="5"/>
    <tableColumn id="10" xr3:uid="{038CA048-4C2D-9349-88A9-F38925451AE2}" name="4g-hash" dataDxfId="4"/>
    <tableColumn id="11" xr3:uid="{6DF3A33B-449F-C748-8843-35A8277FB8D5}" name="sk2g-hash" dataDxfId="3"/>
    <tableColumn id="12" xr3:uid="{82181E2A-F9B1-2445-832F-4587E1B1D01D}" name="sk3g-hash" dataDxfId="2"/>
    <tableColumn id="13" xr3:uid="{B4FADEB8-1B37-D94C-8500-9DC42A4A0ED9}" name="sk4g-hash" dataDxfId="1"/>
    <tableColumn id="14" xr3:uid="{A27E11CC-B868-D248-A34F-363CB93B4B95}" name="Column1" dataDxfId="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0545A24-C35A-B646-9CEC-95C14804E51E}" name="Table1820" displayName="Table1820" ref="A1:Q5" totalsRowCount="1" headerRowDxfId="561">
  <autoFilter ref="A1:Q4" xr:uid="{45B34886-E579-B04A-BB74-0B33E45A88FA}"/>
  <tableColumns count="17">
    <tableColumn id="1" xr3:uid="{9C383A8E-F685-9748-9178-9069AB77F685}" name="Target"/>
    <tableColumn id="2" xr3:uid="{25C95014-B29C-0243-B30D-2C9CB010C4FB}" name="Supplement"/>
    <tableColumn id="3" xr3:uid="{E487E5C4-15DF-564B-9557-3706ECF827C9}" name="Method" totalsRowLabel="max"/>
    <tableColumn id="4" xr3:uid="{B1537B70-CB61-5143-ACD2-92FB2F1D044B}" name="2g" totalsRowFunction="custom" dataDxfId="560" totalsRowDxfId="559">
      <totalsRowFormula>_xlfn.LET(_xlpm.d,D2:D4,MAX(_xlpm.d))</totalsRowFormula>
    </tableColumn>
    <tableColumn id="5" xr3:uid="{BD84AF83-887F-4346-9466-68A1441AA104}" name="3g" totalsRowFunction="custom" dataDxfId="558" totalsRowDxfId="557">
      <totalsRowFormula>_xlfn.LET(_xlpm.d,E2:E4,MAX(_xlpm.d))</totalsRowFormula>
    </tableColumn>
    <tableColumn id="6" xr3:uid="{92FA465D-E699-6446-BFD4-34AA110FBABF}" name="4g" totalsRowFunction="custom" dataDxfId="556" totalsRowDxfId="555">
      <totalsRowFormula>_xlfn.LET(_xlpm.d,F2:F4,MAX(_xlpm.d))</totalsRowFormula>
    </tableColumn>
    <tableColumn id="7" xr3:uid="{A058719B-EB4C-F24F-B232-EB022A2D6AB5}" name="sk2g" totalsRowFunction="custom" dataDxfId="554" totalsRowDxfId="553">
      <totalsRowFormula>_xlfn.LET(_xlpm.d,G2:G4,MAX(_xlpm.d))</totalsRowFormula>
    </tableColumn>
    <tableColumn id="8" xr3:uid="{E994B1A5-55BA-1140-B756-F24AC11A755C}" name="sk3g" totalsRowFunction="custom" dataDxfId="552" totalsRowDxfId="551">
      <totalsRowFormula>_xlfn.LET(_xlpm.d,H2:H4,MAX(_xlpm.d))</totalsRowFormula>
    </tableColumn>
    <tableColumn id="9" xr3:uid="{F8F0F7A5-9F42-FF4E-ABBC-118436EE36E2}" name="sk4g" totalsRowFunction="custom" dataDxfId="550" totalsRowDxfId="549">
      <totalsRowFormula>_xlfn.LET(_xlpm.d,I2:I4,MAX(_xlpm.d))</totalsRowFormula>
    </tableColumn>
    <tableColumn id="16" xr3:uid="{746B7E67-D8D3-1A40-9E81-241FA160E0F2}" name="2g-hash" totalsRowFunction="custom" dataDxfId="548" totalsRowDxfId="547">
      <totalsRowFormula>_xlfn.LET(_xlpm.d,J2:J4,MAX(_xlpm.d))</totalsRowFormula>
    </tableColumn>
    <tableColumn id="15" xr3:uid="{B8E28D21-2DFB-5140-AF85-1F1147C778A2}" name="3g-hash" totalsRowFunction="custom" dataDxfId="546" totalsRowDxfId="545">
      <totalsRowFormula>_xlfn.LET(_xlpm.d,K2:K4,MAX(_xlpm.d))</totalsRowFormula>
    </tableColumn>
    <tableColumn id="14" xr3:uid="{2CEE4A42-6FDC-A04C-BE1B-C1A5D6465F96}" name="4g-hash" totalsRowFunction="custom" dataDxfId="544" totalsRowDxfId="543">
      <totalsRowFormula>_xlfn.LET(_xlpm.d,L2:L4,MAX(_xlpm.d))</totalsRowFormula>
    </tableColumn>
    <tableColumn id="10" xr3:uid="{B08FBA37-36FF-C94C-A696-FB895A991527}" name="sk2g-hash" totalsRowFunction="custom" dataDxfId="542" totalsRowDxfId="541">
      <totalsRowFormula>_xlfn.LET(_xlpm.d,M2:M4,MAX(_xlpm.d))</totalsRowFormula>
    </tableColumn>
    <tableColumn id="11" xr3:uid="{DEA9F707-61C1-4846-A651-A14429DA6183}" name="sk3g-hash" totalsRowFunction="custom" dataDxfId="540" totalsRowDxfId="539">
      <totalsRowFormula>_xlfn.LET(_xlpm.d,N2:N4,MAX(_xlpm.d))</totalsRowFormula>
    </tableColumn>
    <tableColumn id="12" xr3:uid="{36976678-16D2-DE49-81C7-2CAAF6B60188}" name="sk4g-hash" totalsRowFunction="custom" dataDxfId="538" totalsRowDxfId="537">
      <totalsRowFormula>_xlfn.LET(_xlpm.d,O2:O4,MAX(_xlpm.d))</totalsRowFormula>
    </tableColumn>
    <tableColumn id="17" xr3:uid="{0E500ED5-E39F-D747-9316-594442D4DF64}" name="max" totalsRowFunction="custom" dataDxfId="536" totalsRowDxfId="535">
      <calculatedColumnFormula>_xlfn.LET(_xlpm.d,D2:O2,MAX(_xlpm.d))</calculatedColumnFormula>
      <totalsRowFormula>_xlfn.LET(_xlpm.d,P2:P4,MAX(_xlpm.d))</totalsRowFormula>
    </tableColumn>
    <tableColumn id="13" xr3:uid="{2F003F29-546F-2E44-8A60-800ED13F7F1B}" name="Not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A27B9C7-0AE4-BB49-9212-BB8A94AF5574}" name="Table13921" displayName="Table13921" ref="A8:Q12" totalsRowCount="1">
  <autoFilter ref="A8:Q11" xr:uid="{91BAB1EF-B2F2-FD48-B115-FE786BAC46D2}"/>
  <tableColumns count="17">
    <tableColumn id="1" xr3:uid="{8C4F4798-86DC-1149-A578-E7BA02D1572B}" name="Target"/>
    <tableColumn id="2" xr3:uid="{2FE90C80-BAC5-7B49-9C59-383C04CCB6E7}" name="Supplement"/>
    <tableColumn id="3" xr3:uid="{4BD4D218-99B4-E44F-9F1A-19E849D6D7C7}" name="Method" totalsRowLabel="max"/>
    <tableColumn id="4" xr3:uid="{489BA5CB-F812-7F49-8E66-61249545DC1E}" name="2g" totalsRowFunction="custom" dataDxfId="534" totalsRowDxfId="533">
      <totalsRowFormula>_xlfn.LET(_xlpm.d,D9:D11,MAX(_xlpm.d))</totalsRowFormula>
    </tableColumn>
    <tableColumn id="5" xr3:uid="{1EF6AECC-3E2D-D744-9D03-E39CF76B30CC}" name="3g" totalsRowFunction="custom" dataDxfId="532" totalsRowDxfId="531">
      <totalsRowFormula>_xlfn.LET(_xlpm.d,E9:E11,MAX(_xlpm.d))</totalsRowFormula>
    </tableColumn>
    <tableColumn id="6" xr3:uid="{BED5E430-FFB4-0D49-844B-5E60655DB48C}" name="4g" totalsRowFunction="custom" dataDxfId="530" totalsRowDxfId="529">
      <totalsRowFormula>_xlfn.LET(_xlpm.d,F9:F11,MAX(_xlpm.d))</totalsRowFormula>
    </tableColumn>
    <tableColumn id="7" xr3:uid="{07C896FA-58E4-1D4F-9CE5-177450818B12}" name="sk2g" totalsRowFunction="custom" dataDxfId="528" totalsRowDxfId="527">
      <totalsRowFormula>_xlfn.LET(_xlpm.d,G2:G4,MAX(_xlpm.d))</totalsRowFormula>
    </tableColumn>
    <tableColumn id="8" xr3:uid="{9E07C2F0-B781-1740-8242-A86D18C97763}" name="sk3g" totalsRowFunction="custom" dataDxfId="526" totalsRowDxfId="525">
      <totalsRowFormula>_xlfn.LET(_xlpm.d,H9:H11,MAX(_xlpm.d))</totalsRowFormula>
    </tableColumn>
    <tableColumn id="9" xr3:uid="{538247BA-749C-6145-B457-1A0633FD3657}" name="sk4g" totalsRowFunction="custom" dataDxfId="524" totalsRowDxfId="523">
      <totalsRowFormula>_xlfn.LET(_xlpm.d,I9:I11,MAX(_xlpm.d))</totalsRowFormula>
    </tableColumn>
    <tableColumn id="16" xr3:uid="{422DAEFA-9043-6147-A797-6CA2C17BB2C7}" name="2g-hash" totalsRowFunction="custom" dataDxfId="522" totalsRowDxfId="521">
      <totalsRowFormula>_xlfn.LET(_xlpm.d,J9:J11,MAX(_xlpm.d))</totalsRowFormula>
    </tableColumn>
    <tableColumn id="15" xr3:uid="{DDDE035E-C63E-214F-98EF-E33C71F48129}" name="3g-hash" totalsRowFunction="custom" dataDxfId="520" totalsRowDxfId="519">
      <totalsRowFormula>_xlfn.LET(_xlpm.d,K9:K11,MAX(_xlpm.d))</totalsRowFormula>
    </tableColumn>
    <tableColumn id="14" xr3:uid="{B5FBCAEC-5E2B-EC4A-AAAC-23EDC9D235F5}" name="4g-hash" totalsRowFunction="custom" dataDxfId="518" totalsRowDxfId="517">
      <totalsRowFormula>_xlfn.LET(_xlpm.d,L9:L11,MAX(_xlpm.d))</totalsRowFormula>
    </tableColumn>
    <tableColumn id="10" xr3:uid="{83AF848C-9902-7C43-97A6-F784DF2FFF4F}" name="sk2g-hash" totalsRowFunction="custom" dataDxfId="516" totalsRowDxfId="515">
      <totalsRowFormula>_xlfn.LET(_xlpm.d,M9:M11,MAX(_xlpm.d))</totalsRowFormula>
    </tableColumn>
    <tableColumn id="11" xr3:uid="{3F642EE4-6AA4-3041-B3EE-B6E7F267E19B}" name="sk3g-hash" totalsRowFunction="custom" dataDxfId="514" totalsRowDxfId="513">
      <totalsRowFormula>_xlfn.LET(_xlpm.d,N9:N11,MAX(_xlpm.d))</totalsRowFormula>
    </tableColumn>
    <tableColumn id="12" xr3:uid="{AE49A562-8BC4-4E43-8FA2-ABF7C5F9B960}" name="sk4g-hash" totalsRowFunction="custom" dataDxfId="512" totalsRowDxfId="511">
      <totalsRowFormula>_xlfn.LET(_xlpm.d,O9:O11,MAX(_xlpm.d))</totalsRowFormula>
    </tableColumn>
    <tableColumn id="17" xr3:uid="{AA3FB003-B526-C74E-A063-B0B402209BE1}" name="max" totalsRowFunction="custom" dataDxfId="510" totalsRowDxfId="509">
      <calculatedColumnFormula>_xlfn.LET(_xlpm.d,D9:O9,MAX(_xlpm.d))</calculatedColumnFormula>
      <totalsRowFormula>_xlfn.LET(_xlpm.d,P9:P11,MAX(_xlpm.d))</totalsRowFormula>
    </tableColumn>
    <tableColumn id="13" xr3:uid="{97D41F64-0C3B-CF42-97B1-A7DB05698824}" name="Not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EF627E3-3F54-5041-9328-B36F8CB9B8B7}" name="Table141022" displayName="Table141022" ref="A15:Q19" totalsRowCount="1">
  <autoFilter ref="A15:Q18" xr:uid="{8544D348-02B7-6944-AEA9-DF3D29ADB135}"/>
  <tableColumns count="17">
    <tableColumn id="1" xr3:uid="{217ED333-F5A2-B04B-9E30-9268265C2FB5}" name="Target"/>
    <tableColumn id="2" xr3:uid="{49A7C678-7E8D-BB4D-A095-0B551EAB792F}" name="Supplement"/>
    <tableColumn id="3" xr3:uid="{70CA559D-5615-9840-A6D2-56A09B06D632}" name="Method" totalsRowLabel="max"/>
    <tableColumn id="4" xr3:uid="{1C33CB69-B102-3D49-B7B6-B6F85D6CB67F}" name="2g" totalsRowFunction="custom" dataDxfId="508" totalsRowDxfId="507">
      <totalsRowFormula>_xlfn.LET(_xlpm.d,D16:D18,MAX(_xlpm.d))</totalsRowFormula>
    </tableColumn>
    <tableColumn id="5" xr3:uid="{4AE32193-331C-D54E-B4EE-F070C5847AB7}" name="3g" totalsRowFunction="custom" dataDxfId="506" totalsRowDxfId="505">
      <totalsRowFormula>_xlfn.LET(_xlpm.d,E16:E18,MAX(_xlpm.d))</totalsRowFormula>
    </tableColumn>
    <tableColumn id="6" xr3:uid="{E856E9A8-9AFE-9E45-97CD-5AE0AB11A8CC}" name="4g" totalsRowFunction="custom" dataDxfId="504" totalsRowDxfId="503">
      <totalsRowFormula>_xlfn.LET(_xlpm.d,F16:F18,MAX(_xlpm.d))</totalsRowFormula>
    </tableColumn>
    <tableColumn id="7" xr3:uid="{E33A40D8-51BD-3048-854A-610DA9818FF3}" name="sk2g" totalsRowFunction="custom" dataDxfId="502" totalsRowDxfId="501">
      <totalsRowFormula>_xlfn.LET(_xlpm.d,G16:G18,MAX(_xlpm.d))</totalsRowFormula>
    </tableColumn>
    <tableColumn id="8" xr3:uid="{80A415F3-C634-BE4F-A15E-1D43FC52B8A0}" name="sk3g" totalsRowFunction="custom" dataDxfId="500" totalsRowDxfId="499">
      <totalsRowFormula>_xlfn.LET(_xlpm.d,H16:H18,MAX(_xlpm.d))</totalsRowFormula>
    </tableColumn>
    <tableColumn id="9" xr3:uid="{B64676CB-43B4-9A44-8EAA-AE9802ADD003}" name="sk4g" totalsRowFunction="custom" dataDxfId="498" totalsRowDxfId="497">
      <totalsRowFormula>_xlfn.LET(_xlpm.d,I16:I18,MAX(_xlpm.d))</totalsRowFormula>
    </tableColumn>
    <tableColumn id="16" xr3:uid="{CB420A99-7DB0-634C-95D8-A2496304FCF4}" name="2g-hash" totalsRowFunction="custom" dataDxfId="496" totalsRowDxfId="495">
      <totalsRowFormula>_xlfn.LET(_xlpm.d,J16:J18,MAX(_xlpm.d))</totalsRowFormula>
    </tableColumn>
    <tableColumn id="15" xr3:uid="{D185F99F-621E-6D4A-ABFC-59F085B8403C}" name="3g-hash" totalsRowFunction="custom" dataDxfId="494" totalsRowDxfId="493">
      <totalsRowFormula>_xlfn.LET(_xlpm.d,K16:K18,MAX(_xlpm.d))</totalsRowFormula>
    </tableColumn>
    <tableColumn id="14" xr3:uid="{E12858BD-40F4-DC4D-BE84-EFE403E836A0}" name="4g-hash" totalsRowFunction="custom" dataDxfId="492" totalsRowDxfId="491">
      <totalsRowFormula>_xlfn.LET(_xlpm.d,L16:L18,MAX(_xlpm.d))</totalsRowFormula>
    </tableColumn>
    <tableColumn id="10" xr3:uid="{EC929CB8-7403-C943-9620-456E870C3F26}" name="sk2g-hash" totalsRowFunction="custom" dataDxfId="490" totalsRowDxfId="489">
      <totalsRowFormula>_xlfn.LET(_xlpm.d,M16:M18,MAX(_xlpm.d))</totalsRowFormula>
    </tableColumn>
    <tableColumn id="11" xr3:uid="{1AB9DC91-47E1-6340-8873-F55AE88C8E72}" name="sk3g-hash" totalsRowFunction="custom" dataDxfId="488" totalsRowDxfId="487">
      <totalsRowFormula>_xlfn.LET(_xlpm.d,N16:N18,MAX(_xlpm.d))</totalsRowFormula>
    </tableColumn>
    <tableColumn id="12" xr3:uid="{DE659407-8EB7-704B-BD2B-316477F97D2F}" name="sk4g-hash" totalsRowFunction="custom" dataDxfId="486" totalsRowDxfId="485">
      <totalsRowFormula>_xlfn.LET(_xlpm.d,O16:O18,MAX(_xlpm.d))</totalsRowFormula>
    </tableColumn>
    <tableColumn id="17" xr3:uid="{BC7917E1-06CF-2447-B430-ED207B3A7C49}" name="max" totalsRowFunction="custom" dataDxfId="484" totalsRowDxfId="483">
      <calculatedColumnFormula>_xlfn.LET(_xlpm.d,D16:O16,MAX(_xlpm.d))</calculatedColumnFormula>
      <totalsRowFormula>_xlfn.LET(_xlpm.d,P16:P18,MAX(_xlpm.d))</totalsRowFormula>
    </tableColumn>
    <tableColumn id="13" xr3:uid="{E5E8977E-17F4-A445-856A-F7DB6EE5163C}" name="Not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2FA7B62-3F35-9D48-912E-A4E538719005}" name="Table1351123" displayName="Table1351123" ref="A22:Q26" totalsRowCount="1">
  <autoFilter ref="A22:Q25" xr:uid="{46B0E1C2-31F2-354C-8ED1-4E99A40A361A}"/>
  <tableColumns count="17">
    <tableColumn id="1" xr3:uid="{2FEBE99B-AF1E-EE4A-B13F-78C18BFEEC76}" name="Target"/>
    <tableColumn id="2" xr3:uid="{9EE77074-D621-AB4F-BF64-0505642A242D}" name="Supplement"/>
    <tableColumn id="3" xr3:uid="{48E328DB-61B6-4642-9F5D-25A617904AD3}" name="Method" totalsRowLabel="max"/>
    <tableColumn id="4" xr3:uid="{28F9083B-FFF2-FB4C-B09D-543384F074B2}" name="2g" totalsRowFunction="custom" dataDxfId="482" totalsRowDxfId="481">
      <totalsRowFormula>_xlfn.LET(_xlpm.d,D23:D25,MAX(_xlpm.d))</totalsRowFormula>
    </tableColumn>
    <tableColumn id="5" xr3:uid="{5BFFA031-B065-6E42-BD64-F86B939E5EDB}" name="3g" totalsRowFunction="custom" dataDxfId="480" totalsRowDxfId="479">
      <totalsRowFormula>_xlfn.LET(_xlpm.d,E23:E25,MAX(_xlpm.d))</totalsRowFormula>
    </tableColumn>
    <tableColumn id="6" xr3:uid="{C2498662-2325-7A47-AFAA-906694385C5E}" name="4g" totalsRowFunction="custom" dataDxfId="478" totalsRowDxfId="477">
      <totalsRowFormula>_xlfn.LET(_xlpm.d,F23:F25,MAX(_xlpm.d))</totalsRowFormula>
    </tableColumn>
    <tableColumn id="7" xr3:uid="{13BC4E12-FFA5-2341-821F-E642C4FB042A}" name="sk2g" totalsRowFunction="custom" dataDxfId="476" totalsRowDxfId="475">
      <totalsRowFormula>_xlfn.LET(_xlpm.d,G23:G25,MAX(_xlpm.d))</totalsRowFormula>
    </tableColumn>
    <tableColumn id="8" xr3:uid="{93AC580E-97F2-3840-9079-D16527019564}" name="sk3g" totalsRowFunction="custom" dataDxfId="474" totalsRowDxfId="473">
      <totalsRowFormula>_xlfn.LET(_xlpm.d,H23:H25,MAX(_xlpm.d))</totalsRowFormula>
    </tableColumn>
    <tableColumn id="9" xr3:uid="{E291E03B-A3B6-FB4F-A0C8-FFBE5ECCD576}" name="sk4g" totalsRowFunction="custom" dataDxfId="472" totalsRowDxfId="471">
      <totalsRowFormula>_xlfn.LET(_xlpm.d,I23:I25,MAX(_xlpm.d))</totalsRowFormula>
    </tableColumn>
    <tableColumn id="16" xr3:uid="{B9ED3C62-2F9A-614D-9E90-512014AF16A0}" name="2g-hash" totalsRowFunction="custom" dataDxfId="470" totalsRowDxfId="469">
      <totalsRowFormula>_xlfn.LET(_xlpm.d,J23:J25,MAX(_xlpm.d))</totalsRowFormula>
    </tableColumn>
    <tableColumn id="15" xr3:uid="{5BB92714-D278-7A43-A661-336AB190DCE3}" name="3g-hash" totalsRowFunction="custom" dataDxfId="468" totalsRowDxfId="467">
      <totalsRowFormula>_xlfn.LET(_xlpm.d,K23:K25,MAX(_xlpm.d))</totalsRowFormula>
    </tableColumn>
    <tableColumn id="14" xr3:uid="{3E31B764-190E-9249-A968-F74EFCB8CAD3}" name="4g-hash" totalsRowFunction="custom" dataDxfId="466" totalsRowDxfId="465">
      <totalsRowFormula>_xlfn.LET(_xlpm.d,L23:L25,MAX(_xlpm.d))</totalsRowFormula>
    </tableColumn>
    <tableColumn id="10" xr3:uid="{2C7B9A8A-BD19-734B-A1EE-5B582C9D06C3}" name="sk2g-hash" totalsRowFunction="custom" dataDxfId="464" totalsRowDxfId="463">
      <totalsRowFormula>_xlfn.LET(_xlpm.d,M23:M25,MAX(_xlpm.d))</totalsRowFormula>
    </tableColumn>
    <tableColumn id="11" xr3:uid="{9EE5A6F1-F046-3D42-8CFB-4D36EAC4B706}" name="sk3g-hash" totalsRowFunction="custom" dataDxfId="462" totalsRowDxfId="461">
      <totalsRowFormula>_xlfn.LET(_xlpm.d,N23:N25,MAX(_xlpm.d))</totalsRowFormula>
    </tableColumn>
    <tableColumn id="12" xr3:uid="{A96198A4-7F35-464F-90C1-2B810565701B}" name="sk4g-hash" totalsRowFunction="custom" dataDxfId="460" totalsRowDxfId="459">
      <totalsRowFormula>_xlfn.LET(_xlpm.d,O23:O25,MAX(_xlpm.d))</totalsRowFormula>
    </tableColumn>
    <tableColumn id="17" xr3:uid="{C687BBCD-53E1-8346-94E5-35F217E3BDC6}" name="max" totalsRowFunction="custom" dataDxfId="458" totalsRowDxfId="457">
      <calculatedColumnFormula>_xlfn.LET(_xlpm.d,D23:O23,MAX(_xlpm.d))</calculatedColumnFormula>
      <totalsRowFormula>_xlfn.LET(_xlpm.d,P23:P25,MAX(_xlpm.d))</totalsRowFormula>
    </tableColumn>
    <tableColumn id="13" xr3:uid="{9DCA87F9-888F-B44D-AA5B-9B180887793A}" name="Not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76A36F2-BD26-2C4C-AC17-0BF424CBAD6C}" name="Table1461224" displayName="Table1461224" ref="A29:Q33" totalsRowCount="1">
  <autoFilter ref="A29:Q32" xr:uid="{AE8576D6-A841-2144-A01C-5F10F995E97C}"/>
  <tableColumns count="17">
    <tableColumn id="1" xr3:uid="{3A886CEA-9498-9E47-AE3B-C9E886E8C196}" name="Target"/>
    <tableColumn id="2" xr3:uid="{396E1FCC-4C5A-EA4C-B7CA-33B0E9F7332C}" name="Supplement"/>
    <tableColumn id="3" xr3:uid="{3E4E75C6-9042-584A-AFA3-ADC174DA33BD}" name="Method" totalsRowLabel="max"/>
    <tableColumn id="4" xr3:uid="{768019EA-2D34-4D43-B9B2-32B38AAC33F5}" name="2g" totalsRowFunction="custom" dataDxfId="456" totalsRowDxfId="455">
      <totalsRowFormula>_xlfn.LET(_xlpm.d,D30:D32,MAX(_xlpm.d))</totalsRowFormula>
    </tableColumn>
    <tableColumn id="5" xr3:uid="{A92D0735-00F4-8448-B0AE-2ABC31164B9B}" name="3g" totalsRowFunction="custom" dataDxfId="454" totalsRowDxfId="453">
      <totalsRowFormula>_xlfn.LET(_xlpm.d,E30:E32,MAX(_xlpm.d))</totalsRowFormula>
    </tableColumn>
    <tableColumn id="6" xr3:uid="{F7F752CE-99DB-514B-B989-354C51A8BF43}" name="4g" totalsRowFunction="custom" dataDxfId="452" totalsRowDxfId="451">
      <totalsRowFormula>_xlfn.LET(_xlpm.d,F30:F32,MAX(_xlpm.d))</totalsRowFormula>
    </tableColumn>
    <tableColumn id="7" xr3:uid="{6601E352-A5C7-344E-81D0-C03FC3B1F205}" name="sk2g" totalsRowFunction="custom" dataDxfId="450" totalsRowDxfId="449">
      <totalsRowFormula>_xlfn.LET(_xlpm.d,G30:G32,MAX(_xlpm.d))</totalsRowFormula>
    </tableColumn>
    <tableColumn id="8" xr3:uid="{301A50A8-C423-A247-ADAD-4E2F33C63BC1}" name="sk3g" totalsRowFunction="custom" dataDxfId="448" totalsRowDxfId="447">
      <totalsRowFormula>_xlfn.LET(_xlpm.d,H30:H32,MAX(_xlpm.d))</totalsRowFormula>
    </tableColumn>
    <tableColumn id="16" xr3:uid="{625ECA37-377B-3E4A-BB9C-99805DC20811}" name="sk4g" totalsRowFunction="custom" dataDxfId="446" totalsRowDxfId="445">
      <totalsRowFormula>_xlfn.LET(_xlpm.d,I30:I32,MAX(_xlpm.d))</totalsRowFormula>
    </tableColumn>
    <tableColumn id="15" xr3:uid="{DAA53042-31EE-A140-AC9B-BBFE6F17AED1}" name="2g-hash" totalsRowFunction="custom" dataDxfId="444" totalsRowDxfId="443">
      <totalsRowFormula>_xlfn.LET(_xlpm.d,J30:J32,MAX(_xlpm.d))</totalsRowFormula>
    </tableColumn>
    <tableColumn id="14" xr3:uid="{FFDB39E7-2FAB-B742-BF41-31E66F44430C}" name="3g-hash" totalsRowFunction="custom" dataDxfId="442" totalsRowDxfId="441">
      <totalsRowFormula>_xlfn.LET(_xlpm.d,K30:K32,MAX(_xlpm.d))</totalsRowFormula>
    </tableColumn>
    <tableColumn id="9" xr3:uid="{5A07B859-B658-0948-876C-470551934524}" name="4g-hash" totalsRowFunction="custom" dataDxfId="440" totalsRowDxfId="439">
      <totalsRowFormula>_xlfn.LET(_xlpm.d,L30:L32,MAX(_xlpm.d))</totalsRowFormula>
    </tableColumn>
    <tableColumn id="10" xr3:uid="{6CEC0445-E461-BD47-9796-1029C537E502}" name="sk2g-hash" totalsRowFunction="custom" dataDxfId="438" totalsRowDxfId="437">
      <totalsRowFormula>_xlfn.LET(_xlpm.d,M30:M32,MAX(_xlpm.d))</totalsRowFormula>
    </tableColumn>
    <tableColumn id="11" xr3:uid="{3037AE02-B1A1-7840-B694-3D401520310D}" name="sk3g-hash" totalsRowFunction="custom" dataDxfId="436" totalsRowDxfId="435">
      <totalsRowFormula>_xlfn.LET(_xlpm.d,N30:N32,MAX(_xlpm.d))</totalsRowFormula>
    </tableColumn>
    <tableColumn id="12" xr3:uid="{88D10D4D-2C73-4141-9901-36525ADCF3DA}" name="sk4g-hash" totalsRowFunction="custom" dataDxfId="434" totalsRowDxfId="433">
      <totalsRowFormula>_xlfn.LET(_xlpm.d,O30:O32,MAX(_xlpm.d))</totalsRowFormula>
    </tableColumn>
    <tableColumn id="17" xr3:uid="{40E3E4F3-95C6-D64F-A515-4CF10D15AF97}" name="max" totalsRowFunction="custom" dataDxfId="432" totalsRowDxfId="431">
      <calculatedColumnFormula>_xlfn.LET(_xlpm.d,D30:O30,MAX(_xlpm.d))</calculatedColumnFormula>
      <totalsRowFormula>_xlfn.LET(_xlpm.d,P30:P32,MAX(_xlpm.d))</totalsRowFormula>
    </tableColumn>
    <tableColumn id="13" xr3:uid="{7DCA754D-C7D0-9045-AAF5-502A0BB91391}" name="Not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DCCF7FA-C984-F44F-8C5B-8C4CE726E6D9}" name="Table13571325" displayName="Table13571325" ref="A36:Q40" totalsRowCount="1">
  <autoFilter ref="A36:Q39" xr:uid="{2D30A6F5-5D38-AD42-B882-A8D0FE891640}"/>
  <tableColumns count="17">
    <tableColumn id="1" xr3:uid="{D790D04F-9829-204B-81E9-03291C58B5D4}" name="Target"/>
    <tableColumn id="2" xr3:uid="{B805DCCD-A1F9-2A44-B6EF-10997108254A}" name="Supplement"/>
    <tableColumn id="3" xr3:uid="{3B080E55-C285-EC43-A258-1A843EB9083C}" name="Method" totalsRowLabel="max"/>
    <tableColumn id="4" xr3:uid="{5DE16233-0866-9D4A-B05B-5A4F7AC08744}" name="2g" totalsRowFunction="custom" dataDxfId="430" totalsRowDxfId="429">
      <totalsRowFormula>_xlfn.LET(_xlpm.d,D37:D39,MAX(_xlpm.d))</totalsRowFormula>
    </tableColumn>
    <tableColumn id="5" xr3:uid="{2118390B-EFAE-8243-A077-39EBFA2248C5}" name="3g" totalsRowFunction="custom" dataDxfId="428" totalsRowDxfId="427">
      <totalsRowFormula>_xlfn.LET(_xlpm.d,E37:E39,MAX(_xlpm.d))</totalsRowFormula>
    </tableColumn>
    <tableColumn id="6" xr3:uid="{84E603F8-8000-9947-944B-C3CCBE91E03A}" name="4g" totalsRowFunction="custom" dataDxfId="426" totalsRowDxfId="425">
      <totalsRowFormula>_xlfn.LET(_xlpm.d,F37:F39,MAX(_xlpm.d))</totalsRowFormula>
    </tableColumn>
    <tableColumn id="7" xr3:uid="{6644DAE7-2F8A-5E41-8F0E-8FA2960F0700}" name="sk2g" totalsRowFunction="custom" dataDxfId="424" totalsRowDxfId="423">
      <totalsRowFormula>_xlfn.LET(_xlpm.d,G37:G39,MAX(_xlpm.d))</totalsRowFormula>
    </tableColumn>
    <tableColumn id="8" xr3:uid="{2208A0F9-371A-4B4D-8129-C7105EB6C930}" name="sk3g" totalsRowFunction="custom" dataDxfId="422" totalsRowDxfId="421">
      <totalsRowFormula>_xlfn.LET(_xlpm.d,H37:H39,MAX(_xlpm.d))</totalsRowFormula>
    </tableColumn>
    <tableColumn id="9" xr3:uid="{DE86741D-259E-4E4B-BEA9-15BDB2B87193}" name="sk4g" totalsRowFunction="custom" dataDxfId="420" totalsRowDxfId="419">
      <totalsRowFormula>_xlfn.LET(_xlpm.d,I37:I39,MAX(_xlpm.d))</totalsRowFormula>
    </tableColumn>
    <tableColumn id="16" xr3:uid="{D2F17170-746A-6B48-AC0F-97CDB8F4181C}" name="2g-hash" totalsRowFunction="custom" dataDxfId="418" totalsRowDxfId="417">
      <totalsRowFormula>_xlfn.LET(_xlpm.d,J37:J39,MAX(_xlpm.d))</totalsRowFormula>
    </tableColumn>
    <tableColumn id="15" xr3:uid="{F86BD745-0A24-A746-8FA3-6C41D7C3213E}" name="3g-hash" totalsRowFunction="custom" dataDxfId="416" totalsRowDxfId="415">
      <totalsRowFormula>_xlfn.LET(_xlpm.d,K37:K39,MAX(_xlpm.d))</totalsRowFormula>
    </tableColumn>
    <tableColumn id="14" xr3:uid="{889D04F2-99E5-9447-B073-C47BC23A2D35}" name="4g-hash" totalsRowFunction="custom" dataDxfId="414" totalsRowDxfId="413">
      <totalsRowFormula>_xlfn.LET(_xlpm.d,L37:L39,MAX(_xlpm.d))</totalsRowFormula>
    </tableColumn>
    <tableColumn id="10" xr3:uid="{E14860DA-A5D4-554F-B895-40CDAAA1F036}" name="sk2g-hash" totalsRowFunction="custom" dataDxfId="412" totalsRowDxfId="411">
      <totalsRowFormula>_xlfn.LET(_xlpm.d,M37:M39,MAX(_xlpm.d))</totalsRowFormula>
    </tableColumn>
    <tableColumn id="11" xr3:uid="{27261BD4-B51A-134B-9D32-EBF01B61467A}" name="sk3g-hash" totalsRowFunction="custom" dataDxfId="410" totalsRowDxfId="409">
      <totalsRowFormula>_xlfn.LET(_xlpm.d,N37:N39,MAX(_xlpm.d))</totalsRowFormula>
    </tableColumn>
    <tableColumn id="12" xr3:uid="{3BD668FF-193D-CA4C-B6A7-FD4876DA8780}" name="sk4g-hash" totalsRowFunction="custom" dataDxfId="408" totalsRowDxfId="407">
      <totalsRowFormula>_xlfn.LET(_xlpm.d,O37:O39,MAX(_xlpm.d))</totalsRowFormula>
    </tableColumn>
    <tableColumn id="17" xr3:uid="{853CB5AC-D371-C44E-B85C-87DFC46606B4}" name="max" totalsRowFunction="custom" dataDxfId="406" totalsRowDxfId="405">
      <calculatedColumnFormula>_xlfn.LET(_xlpm.d,D37:O37,MAX(_xlpm.d))</calculatedColumnFormula>
      <totalsRowFormula>_xlfn.LET(_xlpm.d,P37:P39,MAX(_xlpm.d))</totalsRowFormula>
    </tableColumn>
    <tableColumn id="13" xr3:uid="{26E1A535-F6DB-EB4C-ACE9-ABCADD2F13D5}" name="Not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B694100-44B7-6D40-B742-1952D6BCF15E}" name="Table134" displayName="Table134" ref="A1:Q5" totalsRowCount="1" headerRowDxfId="404">
  <autoFilter ref="A1:Q4" xr:uid="{45B34886-E579-B04A-BB74-0B33E45A88FA}"/>
  <tableColumns count="17">
    <tableColumn id="1" xr3:uid="{E1922DB0-7A13-5E4E-9DE5-13B67BB5C129}" name="Target"/>
    <tableColumn id="2" xr3:uid="{F6521011-3557-FA4D-84B8-ECFA7287CEF5}" name="Supplement"/>
    <tableColumn id="3" xr3:uid="{1CE5342C-CF39-7843-A7E0-673CC9BD0422}" name="Method" totalsRowLabel="max"/>
    <tableColumn id="4" xr3:uid="{3BC3AFC4-42CE-2D42-9640-0142E87DDDFD}" name="2g" totalsRowFunction="custom" dataDxfId="403" totalsRowDxfId="168">
      <totalsRowFormula>_xlfn.LET(_xlpm.d,D2:D4,MAX(_xlpm.d))</totalsRowFormula>
    </tableColumn>
    <tableColumn id="5" xr3:uid="{1A8AF1D2-1F56-134D-9973-710951E4AD57}" name="3g" totalsRowFunction="custom" dataDxfId="402" totalsRowDxfId="167">
      <totalsRowFormula>_xlfn.LET(_xlpm.d,E2:E4,MAX(_xlpm.d))</totalsRowFormula>
    </tableColumn>
    <tableColumn id="6" xr3:uid="{AE93A40D-FF16-A54F-93D1-FEB7D2103E2F}" name="4g" totalsRowFunction="custom" dataDxfId="401" totalsRowDxfId="166">
      <totalsRowFormula>_xlfn.LET(_xlpm.d,F2:F4,MAX(_xlpm.d))</totalsRowFormula>
    </tableColumn>
    <tableColumn id="7" xr3:uid="{6D2142E8-4EE4-0B47-BD67-D65F4076556D}" name="sk2g" totalsRowFunction="custom" dataDxfId="400" totalsRowDxfId="165">
      <totalsRowFormula>_xlfn.LET(_xlpm.d,G2:G4,MAX(_xlpm.d))</totalsRowFormula>
    </tableColumn>
    <tableColumn id="8" xr3:uid="{72D2E32D-CBC0-E44E-A713-D252FCA110D6}" name="sk3g" totalsRowFunction="custom" dataDxfId="399" totalsRowDxfId="164">
      <totalsRowFormula>_xlfn.LET(_xlpm.d,H2:H4,MAX(_xlpm.d))</totalsRowFormula>
    </tableColumn>
    <tableColumn id="9" xr3:uid="{E3CB839E-5395-444F-93CF-9C0D48F32358}" name="sk4g" totalsRowFunction="custom" dataDxfId="398" totalsRowDxfId="163">
      <totalsRowFormula>_xlfn.LET(_xlpm.d,I2:I4,MAX(_xlpm.d))</totalsRowFormula>
    </tableColumn>
    <tableColumn id="16" xr3:uid="{20516A29-88D7-E343-AD6F-762D3B5CB858}" name="2g-hash" totalsRowFunction="custom" dataDxfId="397" totalsRowDxfId="162">
      <totalsRowFormula>_xlfn.LET(_xlpm.d,J2:J4,MAX(_xlpm.d))</totalsRowFormula>
    </tableColumn>
    <tableColumn id="15" xr3:uid="{D617BB14-E2E9-864A-A7C4-1DAEEF275507}" name="3g-hash" totalsRowFunction="custom" dataDxfId="396" totalsRowDxfId="161">
      <totalsRowFormula>_xlfn.LET(_xlpm.d,K2:K4,MAX(_xlpm.d))</totalsRowFormula>
    </tableColumn>
    <tableColumn id="14" xr3:uid="{D054BC2A-5841-504A-986E-BCAABCE6F8B9}" name="4g-hash" totalsRowFunction="custom" dataDxfId="395" totalsRowDxfId="160">
      <totalsRowFormula>_xlfn.LET(_xlpm.d,L2:L4,MAX(_xlpm.d))</totalsRowFormula>
    </tableColumn>
    <tableColumn id="10" xr3:uid="{AD880BFA-C7F1-4C4C-A596-3A6E2A8F22E1}" name="sk2g-hash" totalsRowFunction="custom" dataDxfId="394" totalsRowDxfId="159">
      <totalsRowFormula>_xlfn.LET(_xlpm.d,M2:M4,MAX(_xlpm.d))</totalsRowFormula>
    </tableColumn>
    <tableColumn id="11" xr3:uid="{43B8C60E-F135-7141-A921-F0757234618E}" name="sk3g-hash" totalsRowFunction="custom" dataDxfId="393" totalsRowDxfId="158">
      <totalsRowFormula>_xlfn.LET(_xlpm.d,N2:N4,MAX(_xlpm.d))</totalsRowFormula>
    </tableColumn>
    <tableColumn id="12" xr3:uid="{3E0D4BF9-2D01-524A-AE3C-4F20EA6869C7}" name="sk4g-hash" totalsRowFunction="custom" dataDxfId="392" totalsRowDxfId="157">
      <totalsRowFormula>_xlfn.LET(_xlpm.d,O2:O4,MAX(_xlpm.d))</totalsRowFormula>
    </tableColumn>
    <tableColumn id="17" xr3:uid="{D7C99224-357F-EE45-AF23-32823C8A503A}" name="max" totalsRowFunction="custom" dataDxfId="391" totalsRowDxfId="156">
      <calculatedColumnFormula>_xlfn.LET(_xlpm.d,D2:O2,MAX(_xlpm.d))</calculatedColumnFormula>
      <totalsRowFormula>_xlfn.LET(_xlpm.d,P2:P4,MAX(_xlpm.d))</totalsRowFormula>
    </tableColumn>
    <tableColumn id="13" xr3:uid="{DF519EBE-45F9-5849-95D5-AA4F230D426B}" name="Not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8233D35-2492-9E46-8850-FCEDE0718417}" name="Table1335" displayName="Table1335" ref="A8:Q12" totalsRowCount="1">
  <autoFilter ref="A8:Q11" xr:uid="{91BAB1EF-B2F2-FD48-B115-FE786BAC46D2}"/>
  <tableColumns count="17">
    <tableColumn id="1" xr3:uid="{4C76832D-B89E-784C-AD5A-4973651F7D5F}" name="Target"/>
    <tableColumn id="2" xr3:uid="{2F9DAA8C-01F9-1749-A34C-13C9CC9FCC46}" name="Supplement"/>
    <tableColumn id="3" xr3:uid="{101B6AA3-E6E8-F94A-95B3-9B48B015DA89}" name="Method" totalsRowLabel="max"/>
    <tableColumn id="4" xr3:uid="{A0AE669E-C67B-DD4F-B83A-BC4508B974F2}" name="2g" totalsRowFunction="custom" dataDxfId="390" totalsRowDxfId="155">
      <totalsRowFormula>_xlfn.LET(_xlpm.d,D9:D11,MAX(_xlpm.d))</totalsRowFormula>
    </tableColumn>
    <tableColumn id="5" xr3:uid="{E079DB1F-A519-5D49-857E-685D29FA1725}" name="3g" totalsRowFunction="custom" dataDxfId="389" totalsRowDxfId="154">
      <totalsRowFormula>_xlfn.LET(_xlpm.d,E9:E11,MAX(_xlpm.d))</totalsRowFormula>
    </tableColumn>
    <tableColumn id="6" xr3:uid="{16F37867-65A7-1541-A18E-DEDED1411365}" name="4g" totalsRowFunction="custom" dataDxfId="388" totalsRowDxfId="153">
      <totalsRowFormula>_xlfn.LET(_xlpm.d,F9:F11,MAX(_xlpm.d))</totalsRowFormula>
    </tableColumn>
    <tableColumn id="7" xr3:uid="{2CDFE6CD-BE25-7244-82AF-927EF06E6E2F}" name="sk2g" totalsRowFunction="custom" dataDxfId="387" totalsRowDxfId="152">
      <totalsRowFormula>_xlfn.LET(_xlpm.d,G9:G11,MAX(_xlpm.d))</totalsRowFormula>
    </tableColumn>
    <tableColumn id="8" xr3:uid="{E580D727-7610-D846-98BB-5A9A91821109}" name="sk3g" totalsRowFunction="custom" dataDxfId="386" totalsRowDxfId="151">
      <totalsRowFormula>_xlfn.LET(_xlpm.d,H9:H11,MAX(_xlpm.d))</totalsRowFormula>
    </tableColumn>
    <tableColumn id="9" xr3:uid="{F4C3AD35-F981-2849-89D2-7D6A626A3C51}" name="sk4g" totalsRowFunction="custom" dataDxfId="385" totalsRowDxfId="150">
      <totalsRowFormula>_xlfn.LET(_xlpm.d,I9:I11,MAX(_xlpm.d))</totalsRowFormula>
    </tableColumn>
    <tableColumn id="16" xr3:uid="{591E545C-098E-4C4B-80F6-0BF41C10E9A5}" name="2g-hash" totalsRowFunction="custom" dataDxfId="384" totalsRowDxfId="149">
      <totalsRowFormula>_xlfn.LET(_xlpm.d,J9:J11,MAX(_xlpm.d))</totalsRowFormula>
    </tableColumn>
    <tableColumn id="15" xr3:uid="{9D6EF147-C62A-6F48-A32B-EB3AE741C343}" name="3g-hash" totalsRowFunction="custom" dataDxfId="383" totalsRowDxfId="148">
      <totalsRowFormula>_xlfn.LET(_xlpm.d,K9:K11,MAX(_xlpm.d))</totalsRowFormula>
    </tableColumn>
    <tableColumn id="14" xr3:uid="{92DBA7BE-7FC9-9341-BACF-691DADE59686}" name="4g-hash" totalsRowFunction="custom" dataDxfId="382" totalsRowDxfId="147">
      <totalsRowFormula>_xlfn.LET(_xlpm.d,L9:L11,MAX(_xlpm.d))</totalsRowFormula>
    </tableColumn>
    <tableColumn id="10" xr3:uid="{5FA597F4-2E83-3648-813A-33EDDFBCBBB9}" name="sk2g-hash" totalsRowFunction="custom" dataDxfId="381" totalsRowDxfId="146">
      <totalsRowFormula>_xlfn.LET(_xlpm.d,M9:M11,MAX(_xlpm.d))</totalsRowFormula>
    </tableColumn>
    <tableColumn id="11" xr3:uid="{1AFA1E83-0B2C-3E47-AECC-654D463DE88A}" name="sk3g-hash" totalsRowFunction="custom" dataDxfId="380" totalsRowDxfId="145">
      <totalsRowFormula>_xlfn.LET(_xlpm.d,N9:N11,MAX(_xlpm.d))</totalsRowFormula>
    </tableColumn>
    <tableColumn id="12" xr3:uid="{C05ED3D6-076D-3B44-9839-7A7B32E1E2D3}" name="sk4g-hash" totalsRowFunction="custom" dataDxfId="379" totalsRowDxfId="144">
      <totalsRowFormula>_xlfn.LET(_xlpm.d,O9:O11,MAX(_xlpm.d))</totalsRowFormula>
    </tableColumn>
    <tableColumn id="17" xr3:uid="{4A9FA472-6F52-4F49-A2CB-4F4337E050D3}" name="max" totalsRowFunction="custom" dataDxfId="378" totalsRowDxfId="143">
      <calculatedColumnFormula>_xlfn.LET(_xlpm.d,D9:O9,MAX(_xlpm.d))</calculatedColumnFormula>
      <totalsRowFormula>_xlfn.LET(_xlpm.d,P9:P11,MAX(_xlpm.d))</totalsRowFormula>
    </tableColumn>
    <tableColumn id="13" xr3:uid="{ABCB08DC-B808-FB43-A571-7CD907D71C7E}" name="Not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988FAA2-062D-C34D-AA33-F231F9DD8F7A}" name="Table1436" displayName="Table1436" ref="A15:Q19" totalsRowCount="1">
  <autoFilter ref="A15:Q18" xr:uid="{8544D348-02B7-6944-AEA9-DF3D29ADB135}"/>
  <tableColumns count="17">
    <tableColumn id="1" xr3:uid="{3ED05C59-0B04-834B-8204-3868F8CB57D9}" name="Target"/>
    <tableColumn id="2" xr3:uid="{BF234460-DD00-F648-AFB2-E5F16FE2FAD9}" name="Supplement"/>
    <tableColumn id="3" xr3:uid="{9198184D-A2F4-5341-9C9E-5A3897A53AF3}" name="Method" totalsRowLabel="max"/>
    <tableColumn id="4" xr3:uid="{7E12A9E3-E44C-6549-A357-4451F76E20C3}" name="2g" totalsRowFunction="custom" dataDxfId="377" totalsRowDxfId="142">
      <totalsRowFormula>_xlfn.LET(_xlpm.d,D16:D18,MAX(_xlpm.d))</totalsRowFormula>
    </tableColumn>
    <tableColumn id="5" xr3:uid="{0148AEF1-7774-C242-9C38-9B5F51DEEC36}" name="3g" totalsRowFunction="custom" dataDxfId="376" totalsRowDxfId="141">
      <totalsRowFormula>_xlfn.LET(_xlpm.d,E16:E18,MAX(_xlpm.d))</totalsRowFormula>
    </tableColumn>
    <tableColumn id="6" xr3:uid="{D54560D4-BCF6-134B-8CD1-1E75DABD2185}" name="4g" totalsRowFunction="custom" dataDxfId="375" totalsRowDxfId="140">
      <totalsRowFormula>_xlfn.LET(_xlpm.d,F16:F18,MAX(_xlpm.d))</totalsRowFormula>
    </tableColumn>
    <tableColumn id="7" xr3:uid="{1E171DFC-78B3-D74D-8F1F-0C00CF652BC9}" name="sk2g" totalsRowFunction="custom" dataDxfId="374" totalsRowDxfId="139">
      <totalsRowFormula>_xlfn.LET(_xlpm.d,G16:G18,MAX(_xlpm.d))</totalsRowFormula>
    </tableColumn>
    <tableColumn id="8" xr3:uid="{0C2E3E53-1DB9-3947-AD8F-AE9DAAF5B5D1}" name="sk3g" totalsRowFunction="custom" dataDxfId="373" totalsRowDxfId="138">
      <totalsRowFormula>_xlfn.LET(_xlpm.d,H16:H18,MAX(_xlpm.d))</totalsRowFormula>
    </tableColumn>
    <tableColumn id="9" xr3:uid="{83C57F83-5E88-4B4F-B2D7-4956CD87053B}" name="sk4g" totalsRowFunction="custom" dataDxfId="372" totalsRowDxfId="137">
      <totalsRowFormula>_xlfn.LET(_xlpm.d,I16:I18,MAX(_xlpm.d))</totalsRowFormula>
    </tableColumn>
    <tableColumn id="16" xr3:uid="{02C8C044-8C34-4540-9EAE-75224849E894}" name="2g-hash" totalsRowFunction="custom" dataDxfId="371" totalsRowDxfId="136">
      <totalsRowFormula>_xlfn.LET(_xlpm.d,J16:J18,MAX(_xlpm.d))</totalsRowFormula>
    </tableColumn>
    <tableColumn id="15" xr3:uid="{040B78A5-C114-C540-A045-C7DD9CDC3F90}" name="3g-hash" totalsRowFunction="custom" dataDxfId="370" totalsRowDxfId="135">
      <totalsRowFormula>_xlfn.LET(_xlpm.d,K16:K18,MAX(_xlpm.d))</totalsRowFormula>
    </tableColumn>
    <tableColumn id="14" xr3:uid="{3D9F88CF-7AE3-A74D-8D3C-0E7F0AD0F498}" name="4g-hash" totalsRowFunction="custom" dataDxfId="369" totalsRowDxfId="134">
      <totalsRowFormula>_xlfn.LET(_xlpm.d,L16:L18,MAX(_xlpm.d))</totalsRowFormula>
    </tableColumn>
    <tableColumn id="10" xr3:uid="{585814EC-A3F4-0A46-A698-7BFD9A0F3403}" name="sk2g-hash" totalsRowFunction="custom" dataDxfId="368" totalsRowDxfId="133">
      <totalsRowFormula>_xlfn.LET(_xlpm.d,M16:M18,MAX(_xlpm.d))</totalsRowFormula>
    </tableColumn>
    <tableColumn id="11" xr3:uid="{F7EC7E60-53D3-544F-AC67-0C3CFD3BBDD9}" name="sk3g-hash" totalsRowFunction="custom" dataDxfId="367" totalsRowDxfId="132">
      <totalsRowFormula>_xlfn.LET(_xlpm.d,N16:N18,MAX(_xlpm.d))</totalsRowFormula>
    </tableColumn>
    <tableColumn id="12" xr3:uid="{A6A25CE4-755C-6C4B-8FA2-056BFC5C7E3E}" name="sk4g-hash" totalsRowFunction="custom" dataDxfId="366" totalsRowDxfId="131">
      <totalsRowFormula>_xlfn.LET(_xlpm.d,O16:O18,MAX(_xlpm.d))</totalsRowFormula>
    </tableColumn>
    <tableColumn id="17" xr3:uid="{AC4468EE-2E96-3043-9DE3-474FDAB95B58}" name="max" totalsRowFunction="custom" dataDxfId="365" totalsRowDxfId="130">
      <calculatedColumnFormula>_xlfn.LET(_xlpm.d,D16:O16,MAX(_xlpm.d))</calculatedColumnFormula>
      <totalsRowFormula>_xlfn.LET(_xlpm.d,P16:P18,MAX(_xlpm.d))</totalsRowFormula>
    </tableColumn>
    <tableColumn id="13" xr3:uid="{20917A58-0362-414F-9955-C3561ECD7D9F}" name="Not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09F438D-72B6-6A4D-A3BE-D9CCE31BBED0}" name="Table13537" displayName="Table13537" ref="A22:Q26" totalsRowCount="1">
  <autoFilter ref="A22:Q25" xr:uid="{46B0E1C2-31F2-354C-8ED1-4E99A40A361A}"/>
  <tableColumns count="17">
    <tableColumn id="1" xr3:uid="{EBE962C1-D264-E44B-B5EC-F276691A81FE}" name="Target"/>
    <tableColumn id="2" xr3:uid="{34A2D849-EB56-714E-A8C8-C82C30B61DFC}" name="Supplement"/>
    <tableColumn id="3" xr3:uid="{B9E45652-FE78-C04D-8A92-30EECE61115C}" name="Method" totalsRowLabel="max"/>
    <tableColumn id="4" xr3:uid="{4AFF1126-E64C-4D4C-BB76-3B183BDB62C8}" name="2g" totalsRowFunction="custom" dataDxfId="364" totalsRowDxfId="129">
      <totalsRowFormula>_xlfn.LET(_xlpm.d,D23:D25,MAX(_xlpm.d))</totalsRowFormula>
    </tableColumn>
    <tableColumn id="5" xr3:uid="{E7032E26-786A-DF40-9EBA-CAF7A4F56D44}" name="3g" totalsRowFunction="custom" dataDxfId="363" totalsRowDxfId="128">
      <totalsRowFormula>_xlfn.LET(_xlpm.d,E23:E25,MAX(_xlpm.d))</totalsRowFormula>
    </tableColumn>
    <tableColumn id="6" xr3:uid="{B3ECC7C7-DE7C-B944-A8AA-A0209AD42E5B}" name="4g" totalsRowFunction="custom" dataDxfId="362" totalsRowDxfId="127">
      <totalsRowFormula>_xlfn.LET(_xlpm.d,F23:F25,MAX(_xlpm.d))</totalsRowFormula>
    </tableColumn>
    <tableColumn id="7" xr3:uid="{148018BC-29F2-704D-B573-E09580BC35AF}" name="sk2g" totalsRowFunction="custom" dataDxfId="361" totalsRowDxfId="126">
      <totalsRowFormula>_xlfn.LET(_xlpm.d,G23:G25,MAX(_xlpm.d))</totalsRowFormula>
    </tableColumn>
    <tableColumn id="8" xr3:uid="{7AE65F34-2EB8-944E-955E-BDC0CEB39A17}" name="sk3g" totalsRowFunction="custom" dataDxfId="360" totalsRowDxfId="125">
      <totalsRowFormula>_xlfn.LET(_xlpm.d,H23:H25,MAX(_xlpm.d))</totalsRowFormula>
    </tableColumn>
    <tableColumn id="9" xr3:uid="{919552E1-65EC-0D49-9E8C-F857C96FF157}" name="sk4g" totalsRowFunction="custom" dataDxfId="359" totalsRowDxfId="124">
      <totalsRowFormula>_xlfn.LET(_xlpm.d,I23:I25,MAX(_xlpm.d))</totalsRowFormula>
    </tableColumn>
    <tableColumn id="16" xr3:uid="{1628D408-7C93-004D-BDDA-1CA968F70B5A}" name="2g-hash" totalsRowFunction="custom" dataDxfId="358" totalsRowDxfId="123">
      <totalsRowFormula>_xlfn.LET(_xlpm.d,J23:J25,MAX(_xlpm.d))</totalsRowFormula>
    </tableColumn>
    <tableColumn id="15" xr3:uid="{BC505027-4F78-1445-8B1E-79423C02B9D2}" name="3g-hash" totalsRowFunction="custom" dataDxfId="357" totalsRowDxfId="122">
      <totalsRowFormula>_xlfn.LET(_xlpm.d,K23:K25,MAX(_xlpm.d))</totalsRowFormula>
    </tableColumn>
    <tableColumn id="14" xr3:uid="{526D74AD-F841-B647-A5B2-AC0E078F537E}" name="4g-hash" totalsRowFunction="custom" dataDxfId="356" totalsRowDxfId="121">
      <totalsRowFormula>_xlfn.LET(_xlpm.d,L23:L25,MAX(_xlpm.d))</totalsRowFormula>
    </tableColumn>
    <tableColumn id="10" xr3:uid="{710BDF7F-10F3-2B49-9FF1-A7B1697951E8}" name="sk2g-hash" totalsRowFunction="custom" dataDxfId="355" totalsRowDxfId="120">
      <totalsRowFormula>_xlfn.LET(_xlpm.d,M23:M25,MAX(_xlpm.d))</totalsRowFormula>
    </tableColumn>
    <tableColumn id="11" xr3:uid="{550D2344-A2DC-BE4A-B6C2-27096EB9B6DA}" name="sk3g-hash" totalsRowFunction="custom" dataDxfId="354" totalsRowDxfId="119">
      <totalsRowFormula>_xlfn.LET(_xlpm.d,N23:N25,MAX(_xlpm.d))</totalsRowFormula>
    </tableColumn>
    <tableColumn id="12" xr3:uid="{68830A8A-FBA3-6747-A696-5B5A80CA49B6}" name="sk4g-hash" totalsRowFunction="custom" dataDxfId="353" totalsRowDxfId="118">
      <totalsRowFormula>_xlfn.LET(_xlpm.d,O23:O25,MAX(_xlpm.d))</totalsRowFormula>
    </tableColumn>
    <tableColumn id="17" xr3:uid="{D335B6E6-C8B9-2C4E-8CF2-DA8CB2348E69}" name="max" totalsRowFunction="custom" dataDxfId="352" totalsRowDxfId="117">
      <calculatedColumnFormula>_xlfn.LET(_xlpm.d,D23:O23,MAX(_xlpm.d))</calculatedColumnFormula>
      <totalsRowFormula>_xlfn.LET(_xlpm.d,P23:P25,MAX(_xlpm.d))</totalsRowFormula>
    </tableColumn>
    <tableColumn id="13" xr3:uid="{6B39EBA4-FA04-3743-9EFE-723795324699}" name="Not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AEB82B5-380C-104D-AE98-379FAFCD73BB}" name="Table14638" displayName="Table14638" ref="A29:Q33" totalsRowCount="1">
  <autoFilter ref="A29:Q32" xr:uid="{AE8576D6-A841-2144-A01C-5F10F995E97C}"/>
  <tableColumns count="17">
    <tableColumn id="1" xr3:uid="{F07852C0-A6E0-AB4C-8205-D94A004B277A}" name="Target"/>
    <tableColumn id="2" xr3:uid="{14B1A28D-CD67-C140-B8CB-29AB9A5CA902}" name="Supplement"/>
    <tableColumn id="3" xr3:uid="{F78D7941-556C-7F45-ADFB-18932E4B90D7}" name="Method" totalsRowLabel="max"/>
    <tableColumn id="4" xr3:uid="{FC663631-5477-5A41-A160-3D5BE1907AA1}" name="2g" totalsRowFunction="custom" dataDxfId="351" totalsRowDxfId="116">
      <totalsRowFormula>_xlfn.LET(_xlpm.d,D30:D32,MAX(_xlpm.d))</totalsRowFormula>
    </tableColumn>
    <tableColumn id="5" xr3:uid="{2FF0E0EF-330C-CE41-B01F-58C9D8DEEC29}" name="3g" totalsRowFunction="custom" dataDxfId="350" totalsRowDxfId="115">
      <totalsRowFormula>_xlfn.LET(_xlpm.d,E30:E32,MAX(_xlpm.d))</totalsRowFormula>
    </tableColumn>
    <tableColumn id="6" xr3:uid="{04454936-70D3-3640-B028-E77D36A5BDC9}" name="4g" totalsRowFunction="custom" dataDxfId="349" totalsRowDxfId="114">
      <totalsRowFormula>_xlfn.LET(_xlpm.d,F30:F32,MAX(_xlpm.d))</totalsRowFormula>
    </tableColumn>
    <tableColumn id="7" xr3:uid="{F84DCE66-B521-104E-AC1A-C48A836690DD}" name="sk2g" totalsRowFunction="custom" dataDxfId="348" totalsRowDxfId="113">
      <totalsRowFormula>_xlfn.LET(_xlpm.d,G30:G32,MAX(_xlpm.d))</totalsRowFormula>
    </tableColumn>
    <tableColumn id="8" xr3:uid="{866DAC45-E6E7-CD40-849C-58A1DA72C9B8}" name="sk3g" totalsRowFunction="custom" dataDxfId="347" totalsRowDxfId="112">
      <totalsRowFormula>_xlfn.LET(_xlpm.d,H30:H32,MAX(_xlpm.d))</totalsRowFormula>
    </tableColumn>
    <tableColumn id="16" xr3:uid="{5F56B239-1B51-DB4E-92D6-DC0ADAE8B16D}" name="sk4g" totalsRowFunction="custom" dataDxfId="346" totalsRowDxfId="111">
      <totalsRowFormula>_xlfn.LET(_xlpm.d,I30:I32,MAX(_xlpm.d))</totalsRowFormula>
    </tableColumn>
    <tableColumn id="15" xr3:uid="{DF050D96-AFAB-D446-A932-13D2056955A1}" name="2g-hash" totalsRowFunction="custom" dataDxfId="345" totalsRowDxfId="110">
      <totalsRowFormula>_xlfn.LET(_xlpm.d,J30:J32,MAX(_xlpm.d))</totalsRowFormula>
    </tableColumn>
    <tableColumn id="14" xr3:uid="{2DFB455D-77DB-E24B-AC61-FAAC0ED5B6BB}" name="3g-hash" totalsRowFunction="custom" dataDxfId="344" totalsRowDxfId="109">
      <totalsRowFormula>_xlfn.LET(_xlpm.d,K30:K32,MAX(_xlpm.d))</totalsRowFormula>
    </tableColumn>
    <tableColumn id="9" xr3:uid="{CD63D7F1-B96A-674B-8407-45251416260E}" name="4g-hash" totalsRowFunction="custom" dataDxfId="343" totalsRowDxfId="108">
      <totalsRowFormula>_xlfn.LET(_xlpm.d,L30:L32,MAX(_xlpm.d))</totalsRowFormula>
    </tableColumn>
    <tableColumn id="10" xr3:uid="{C8B590B3-559C-0F46-8780-4436ABF98892}" name="sk2g-hash" totalsRowFunction="custom" dataDxfId="342" totalsRowDxfId="107">
      <totalsRowFormula>_xlfn.LET(_xlpm.d,M30:M32,MAX(_xlpm.d))</totalsRowFormula>
    </tableColumn>
    <tableColumn id="11" xr3:uid="{60AEB933-B867-6D46-B060-6EB7C6485F53}" name="sk3g-hash" totalsRowFunction="custom" dataDxfId="341" totalsRowDxfId="106">
      <totalsRowFormula>_xlfn.LET(_xlpm.d,N30:N32,MAX(_xlpm.d))</totalsRowFormula>
    </tableColumn>
    <tableColumn id="12" xr3:uid="{C9459E14-AFAC-C34F-AD45-A5CD936195BC}" name="sk4g-hash" totalsRowFunction="custom" dataDxfId="340" totalsRowDxfId="105">
      <totalsRowFormula>_xlfn.LET(_xlpm.d,O30:O32,MAX(_xlpm.d))</totalsRowFormula>
    </tableColumn>
    <tableColumn id="17" xr3:uid="{81A00D37-478E-5940-BCCF-E4B435053237}" name="max" totalsRowFunction="custom" dataDxfId="339" totalsRowDxfId="104">
      <calculatedColumnFormula>_xlfn.LET(_xlpm.d,D30:O30,MAX(_xlpm.d))</calculatedColumnFormula>
      <totalsRowFormula>_xlfn.LET(_xlpm.d,P30:P32,MAX(_xlpm.d))</totalsRowFormula>
    </tableColumn>
    <tableColumn id="13" xr3:uid="{5058E4A8-A468-844B-8273-E1336F10BE22}" name="Not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B943C90D-D3AE-DC4F-ACD1-1B79E45F7585}" name="Table135739" displayName="Table135739" ref="A36:Q40" totalsRowCount="1">
  <autoFilter ref="A36:Q39" xr:uid="{2D30A6F5-5D38-AD42-B882-A8D0FE891640}"/>
  <tableColumns count="17">
    <tableColumn id="1" xr3:uid="{DCF1B499-D5EE-224B-98EA-60E441FE48C1}" name="Target"/>
    <tableColumn id="2" xr3:uid="{D3ECDD74-7DF5-7F49-8602-8D4CE3110F92}" name="Supplement"/>
    <tableColumn id="3" xr3:uid="{F3822586-7185-4A4F-B90D-0326EB32B70B}" name="Method" totalsRowLabel="max"/>
    <tableColumn id="4" xr3:uid="{7E98F3A0-FB6F-DF4D-8789-FCA0E9D83205}" name="2g" totalsRowFunction="custom" dataDxfId="338" totalsRowDxfId="103">
      <totalsRowFormula>_xlfn.LET(_xlpm.d,D37:D39,MAX(_xlpm.d))</totalsRowFormula>
    </tableColumn>
    <tableColumn id="5" xr3:uid="{E28824FD-12AC-2D41-9D0E-1AABBCF68CF5}" name="3g" totalsRowFunction="custom" dataDxfId="337" totalsRowDxfId="102">
      <totalsRowFormula>_xlfn.LET(_xlpm.d,E37:E39,MAX(_xlpm.d))</totalsRowFormula>
    </tableColumn>
    <tableColumn id="6" xr3:uid="{E00C48A6-E745-C94D-9F3C-299CB046B852}" name="4g" totalsRowFunction="custom" dataDxfId="336" totalsRowDxfId="101">
      <totalsRowFormula>_xlfn.LET(_xlpm.d,F37:F39,MAX(_xlpm.d))</totalsRowFormula>
    </tableColumn>
    <tableColumn id="7" xr3:uid="{7D7BA9DB-273E-2C41-8765-68A9AEB9252B}" name="sk2g" totalsRowFunction="custom" dataDxfId="335" totalsRowDxfId="100">
      <totalsRowFormula>_xlfn.LET(_xlpm.d,G37:G39,MAX(_xlpm.d))</totalsRowFormula>
    </tableColumn>
    <tableColumn id="8" xr3:uid="{D0AB0B9E-4CC3-3648-9871-C4A5980A0C2B}" name="sk3g" totalsRowFunction="custom" dataDxfId="334" totalsRowDxfId="99">
      <totalsRowFormula>_xlfn.LET(_xlpm.d,H37:H39,MAX(_xlpm.d))</totalsRowFormula>
    </tableColumn>
    <tableColumn id="9" xr3:uid="{9F87CB21-7C8B-E746-96AD-26ACC406DF79}" name="sk4g" totalsRowFunction="custom" dataDxfId="333" totalsRowDxfId="98">
      <totalsRowFormula>_xlfn.LET(_xlpm.d,I37:I39,MAX(_xlpm.d))</totalsRowFormula>
    </tableColumn>
    <tableColumn id="16" xr3:uid="{443A4A2F-3337-F747-A3B6-9AE2D48359BD}" name="2g-hash" totalsRowFunction="custom" dataDxfId="332" totalsRowDxfId="97">
      <totalsRowFormula>_xlfn.LET(_xlpm.d,J37:J39,MAX(_xlpm.d))</totalsRowFormula>
    </tableColumn>
    <tableColumn id="15" xr3:uid="{ABC74E03-F8D3-4748-965F-455A0D5D32DE}" name="3g-hash" totalsRowFunction="custom" dataDxfId="331" totalsRowDxfId="96">
      <totalsRowFormula>_xlfn.LET(_xlpm.d,K37:K39,MAX(_xlpm.d))</totalsRowFormula>
    </tableColumn>
    <tableColumn id="14" xr3:uid="{FAF77A4D-BED4-944E-B533-8CCF53114B1A}" name="4g-hash" totalsRowFunction="custom" dataDxfId="330" totalsRowDxfId="95">
      <totalsRowFormula>_xlfn.LET(_xlpm.d,L37:L39,MAX(_xlpm.d))</totalsRowFormula>
    </tableColumn>
    <tableColumn id="10" xr3:uid="{F1E4BD28-A72B-F749-85FD-A640DC9839C0}" name="sk2g-hash" totalsRowFunction="custom" dataDxfId="329" totalsRowDxfId="94">
      <totalsRowFormula>_xlfn.LET(_xlpm.d,M37:M39,MAX(_xlpm.d))</totalsRowFormula>
    </tableColumn>
    <tableColumn id="11" xr3:uid="{A7F76183-72CD-484C-AF76-4A176D88936F}" name="sk3g-hash" totalsRowFunction="custom" dataDxfId="328" totalsRowDxfId="93">
      <totalsRowFormula>_xlfn.LET(_xlpm.d,N37:N39,MAX(_xlpm.d))</totalsRowFormula>
    </tableColumn>
    <tableColumn id="12" xr3:uid="{F58899AD-AC36-C44F-AC3E-FB609909032E}" name="sk4g-hash" totalsRowFunction="custom" dataDxfId="327" totalsRowDxfId="92">
      <totalsRowFormula>_xlfn.LET(_xlpm.d,O37:O39,MAX(_xlpm.d))</totalsRowFormula>
    </tableColumn>
    <tableColumn id="17" xr3:uid="{214C3830-6C1B-A447-8472-A2736D23A704}" name="max" totalsRowFunction="custom" dataDxfId="326" totalsRowDxfId="91">
      <calculatedColumnFormula>_xlfn.LET(_xlpm.d,D37:O37,MAX(_xlpm.d))</calculatedColumnFormula>
      <totalsRowFormula>_xlfn.LET(_xlpm.d,P37:P39,MAX(_xlpm.d))</totalsRowFormula>
    </tableColumn>
    <tableColumn id="13" xr3:uid="{7A38FAB9-EA46-F947-B1DA-96E1AFFD4B2D}" name="Not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D1391E80-DD53-D748-A58D-66ADD83DDE30}" name="Table13440" displayName="Table13440" ref="A1:Q5" totalsRowCount="1" headerRowDxfId="325">
  <autoFilter ref="A1:Q4" xr:uid="{45B34886-E579-B04A-BB74-0B33E45A88FA}"/>
  <tableColumns count="17">
    <tableColumn id="1" xr3:uid="{E6DFFF81-28E1-1646-A836-D1E7932A70CC}" name="Target"/>
    <tableColumn id="2" xr3:uid="{696AABFD-26D0-3142-A2DD-C475DC515E32}" name="Supplement"/>
    <tableColumn id="3" xr3:uid="{DAA85D07-3537-8543-B2F2-5973C632B2E8}" name="Method" totalsRowLabel="max"/>
    <tableColumn id="4" xr3:uid="{6BC3D960-B80E-C54A-8EDC-178E95AD9AE5}" name="2g" totalsRowFunction="custom" dataDxfId="324" totalsRowDxfId="323">
      <totalsRowFormula>_xlfn.LET(_xlpm.d,D2:D4,MAX(_xlpm.d))</totalsRowFormula>
    </tableColumn>
    <tableColumn id="5" xr3:uid="{CA4608E1-EDB9-E246-A4CB-3796D12B3315}" name="3g" totalsRowFunction="custom" dataDxfId="322" totalsRowDxfId="321">
      <totalsRowFormula>_xlfn.LET(_xlpm.d,E2:E4,MAX(_xlpm.d))</totalsRowFormula>
    </tableColumn>
    <tableColumn id="6" xr3:uid="{B0F3B87F-169D-C649-844C-0C00927BC0B5}" name="4g" totalsRowFunction="custom" dataDxfId="320" totalsRowDxfId="319">
      <totalsRowFormula>_xlfn.LET(_xlpm.d,F2:F4,MAX(_xlpm.d))</totalsRowFormula>
    </tableColumn>
    <tableColumn id="7" xr3:uid="{FBCAF0B5-A2DE-374A-9F0B-BBC60ED3CABC}" name="sk2g" totalsRowFunction="custom" dataDxfId="318" totalsRowDxfId="317">
      <totalsRowFormula>_xlfn.LET(_xlpm.d,G2:G4,MAX(_xlpm.d))</totalsRowFormula>
    </tableColumn>
    <tableColumn id="8" xr3:uid="{B8AA2ED5-BE15-814C-9C90-D937C51BAD9F}" name="sk3g" totalsRowFunction="custom" dataDxfId="316" totalsRowDxfId="315">
      <totalsRowFormula>_xlfn.LET(_xlpm.d,H2:H4,MAX(_xlpm.d))</totalsRowFormula>
    </tableColumn>
    <tableColumn id="9" xr3:uid="{835E063A-A344-F04A-BD05-66BC8C3758C0}" name="sk4g" totalsRowFunction="custom" dataDxfId="314" totalsRowDxfId="313">
      <totalsRowFormula>_xlfn.LET(_xlpm.d,I2:I4,MAX(_xlpm.d))</totalsRowFormula>
    </tableColumn>
    <tableColumn id="16" xr3:uid="{14286C12-7371-4943-8ABC-CAD0ABDFF629}" name="2g-hash" totalsRowFunction="custom" dataDxfId="312" totalsRowDxfId="311">
      <totalsRowFormula>_xlfn.LET(_xlpm.d,J2:J4,MAX(_xlpm.d))</totalsRowFormula>
    </tableColumn>
    <tableColumn id="15" xr3:uid="{D37ABD8C-8C69-0345-9E4A-1DFA11EA535B}" name="3g-hash" totalsRowFunction="custom" dataDxfId="310" totalsRowDxfId="309">
      <totalsRowFormula>_xlfn.LET(_xlpm.d,K2:K4,MAX(_xlpm.d))</totalsRowFormula>
    </tableColumn>
    <tableColumn id="14" xr3:uid="{1E4D22FA-7D69-4649-9164-E1D2F280D4F4}" name="4g-hash" totalsRowFunction="custom" dataDxfId="308" totalsRowDxfId="307">
      <totalsRowFormula>_xlfn.LET(_xlpm.d,L2:L4,MAX(_xlpm.d))</totalsRowFormula>
    </tableColumn>
    <tableColumn id="10" xr3:uid="{B2995C50-A361-0F49-8321-D67114CA65D1}" name="sk2g-hash" totalsRowFunction="custom" dataDxfId="306" totalsRowDxfId="305">
      <totalsRowFormula>_xlfn.LET(_xlpm.d,M2:M4,MAX(_xlpm.d))</totalsRowFormula>
    </tableColumn>
    <tableColumn id="11" xr3:uid="{D0E79C15-F70C-E34F-83A2-70860EC63F27}" name="sk3g-hash" totalsRowFunction="custom" dataDxfId="304" totalsRowDxfId="303">
      <totalsRowFormula>_xlfn.LET(_xlpm.d,N2:N4,MAX(_xlpm.d))</totalsRowFormula>
    </tableColumn>
    <tableColumn id="12" xr3:uid="{08ABD0CF-A434-C646-8088-16E36919BA56}" name="sk4g-hash" totalsRowFunction="custom" dataDxfId="302" totalsRowDxfId="301">
      <totalsRowFormula>_xlfn.LET(_xlpm.d,O2:O4,MAX(_xlpm.d))</totalsRowFormula>
    </tableColumn>
    <tableColumn id="17" xr3:uid="{9A4AA993-0430-C042-9C21-2026EFBAC897}" name="max" totalsRowFunction="custom" dataDxfId="300" totalsRowDxfId="299">
      <calculatedColumnFormula>_xlfn.LET(_xlpm.d,D2:O2,MAX(_xlpm.d))</calculatedColumnFormula>
      <totalsRowFormula>_xlfn.LET(_xlpm.d,P2:P4,MAX(_xlpm.d))</totalsRowFormula>
    </tableColumn>
    <tableColumn id="13" xr3:uid="{37AD2A7B-F3EE-4B46-807B-B7B34BAE550E}" name="Not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7B005F4-B4FB-6F48-8100-D045C600FA3D}" name="Table133541" displayName="Table133541" ref="A8:Q12" totalsRowCount="1">
  <autoFilter ref="A8:Q11" xr:uid="{91BAB1EF-B2F2-FD48-B115-FE786BAC46D2}"/>
  <tableColumns count="17">
    <tableColumn id="1" xr3:uid="{6BD6E6D1-4A6B-E04B-B993-B33DBEAEAAC4}" name="Target"/>
    <tableColumn id="2" xr3:uid="{08CC8C99-44F1-EA41-B3BF-1EC8BBDA031F}" name="Supplement"/>
    <tableColumn id="3" xr3:uid="{68E73E27-0324-1D4D-BF2C-A4F8D1B13B7C}" name="Method" totalsRowLabel="max"/>
    <tableColumn id="4" xr3:uid="{2F8326B2-3AE2-EF4A-A7DB-47BD5D22CD83}" name="2g" totalsRowFunction="custom" dataDxfId="298" totalsRowDxfId="297">
      <totalsRowFormula>_xlfn.LET(_xlpm.d,D9:D11,MAX(_xlpm.d))</totalsRowFormula>
    </tableColumn>
    <tableColumn id="5" xr3:uid="{94EE7203-1857-2D4B-B98A-3DB818253840}" name="3g" totalsRowFunction="custom" dataDxfId="296" totalsRowDxfId="295">
      <totalsRowFormula>_xlfn.LET(_xlpm.d,E9:E11,MAX(_xlpm.d))</totalsRowFormula>
    </tableColumn>
    <tableColumn id="6" xr3:uid="{751C7C30-42AD-AA43-946A-A0C1101AAF3E}" name="4g" totalsRowFunction="custom" dataDxfId="294" totalsRowDxfId="293">
      <totalsRowFormula>_xlfn.LET(_xlpm.d,F9:F11,MAX(_xlpm.d))</totalsRowFormula>
    </tableColumn>
    <tableColumn id="7" xr3:uid="{4124A7B2-0812-6F49-B07B-43AB1EA8A69E}" name="sk2g" totalsRowFunction="custom" dataDxfId="292" totalsRowDxfId="291">
      <totalsRowFormula>_xlfn.LET(_xlpm.d,G9:G11,MAX(_xlpm.d))</totalsRowFormula>
    </tableColumn>
    <tableColumn id="8" xr3:uid="{E5B92864-761A-CF46-8FA5-17A865941AB2}" name="sk3g" totalsRowFunction="custom" dataDxfId="290" totalsRowDxfId="289">
      <totalsRowFormula>_xlfn.LET(_xlpm.d,H9:H11,MAX(_xlpm.d))</totalsRowFormula>
    </tableColumn>
    <tableColumn id="9" xr3:uid="{67133B71-4D1C-4C47-9126-FA8EFCD7D2FF}" name="sk4g" totalsRowFunction="custom" dataDxfId="288" totalsRowDxfId="287">
      <totalsRowFormula>_xlfn.LET(_xlpm.d,I9:I11,MAX(_xlpm.d))</totalsRowFormula>
    </tableColumn>
    <tableColumn id="16" xr3:uid="{7473ACE0-7013-C54E-8550-93A4F1DAAC44}" name="2g-hash" totalsRowFunction="custom" dataDxfId="286" totalsRowDxfId="285">
      <totalsRowFormula>_xlfn.LET(_xlpm.d,J9:J11,MAX(_xlpm.d))</totalsRowFormula>
    </tableColumn>
    <tableColumn id="15" xr3:uid="{EE48D680-4C4A-BF48-9AF3-A0FB9B1D9F13}" name="3g-hash" totalsRowFunction="custom" dataDxfId="284" totalsRowDxfId="283">
      <totalsRowFormula>_xlfn.LET(_xlpm.d,K9:K11,MAX(_xlpm.d))</totalsRowFormula>
    </tableColumn>
    <tableColumn id="14" xr3:uid="{ABC86BC0-FBDC-BB4E-8F80-1927486944E9}" name="4g-hash" totalsRowFunction="custom" dataDxfId="282" totalsRowDxfId="281">
      <totalsRowFormula>_xlfn.LET(_xlpm.d,L9:L11,MAX(_xlpm.d))</totalsRowFormula>
    </tableColumn>
    <tableColumn id="10" xr3:uid="{A19BDF8C-5CB9-B94B-B4CF-E1A617DEA282}" name="sk2g-hash" totalsRowFunction="custom" dataDxfId="280" totalsRowDxfId="279">
      <totalsRowFormula>_xlfn.LET(_xlpm.d,M9:M11,MAX(_xlpm.d))</totalsRowFormula>
    </tableColumn>
    <tableColumn id="11" xr3:uid="{4412F94D-44F9-C343-95D3-EB8B9B9E1CE4}" name="sk3g-hash" totalsRowFunction="custom" dataDxfId="278" totalsRowDxfId="277">
      <totalsRowFormula>_xlfn.LET(_xlpm.d,N9:N11,MAX(_xlpm.d))</totalsRowFormula>
    </tableColumn>
    <tableColumn id="12" xr3:uid="{5AEF5C52-23A6-8E46-BF10-A22CA61642FF}" name="sk4g-hash" totalsRowFunction="custom" dataDxfId="276" totalsRowDxfId="275">
      <totalsRowFormula>_xlfn.LET(_xlpm.d,O9:O11,MAX(_xlpm.d))</totalsRowFormula>
    </tableColumn>
    <tableColumn id="17" xr3:uid="{741E9A28-905F-C048-958C-9927E7C99D76}" name="max" totalsRowFunction="custom" dataDxfId="274" totalsRowDxfId="273">
      <calculatedColumnFormula>_xlfn.LET(_xlpm.d,D9:O9,MAX(_xlpm.d))</calculatedColumnFormula>
      <totalsRowFormula>_xlfn.LET(_xlpm.d,P9:P11,MAX(_xlpm.d))</totalsRowFormula>
    </tableColumn>
    <tableColumn id="13" xr3:uid="{B3850244-9A1F-6642-9E0B-587CB01D714C}" name="Not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54BE77D-2893-9E49-83E6-C2FBB6F60E07}" name="Table143642" displayName="Table143642" ref="A15:Q19" totalsRowCount="1">
  <autoFilter ref="A15:Q18" xr:uid="{8544D348-02B7-6944-AEA9-DF3D29ADB135}"/>
  <tableColumns count="17">
    <tableColumn id="1" xr3:uid="{CCEB4DAA-1902-0F43-8E07-267F5FD4E880}" name="Target"/>
    <tableColumn id="2" xr3:uid="{F560FB3C-5426-EF4D-BC25-E3E92127A42B}" name="Supplement"/>
    <tableColumn id="3" xr3:uid="{491C6321-84D2-1246-AC31-BE112BB73FF4}" name="Method" totalsRowLabel="max"/>
    <tableColumn id="4" xr3:uid="{3B4CB691-2848-474D-AAB4-BA1CDEA63C02}" name="2g" totalsRowFunction="custom" dataDxfId="272" totalsRowDxfId="271">
      <totalsRowFormula>_xlfn.LET(_xlpm.d,D16:D18,MAX(_xlpm.d))</totalsRowFormula>
    </tableColumn>
    <tableColumn id="5" xr3:uid="{C4170752-8A4D-0B42-92EE-AAC7E186D939}" name="3g" totalsRowFunction="custom" dataDxfId="270" totalsRowDxfId="269">
      <totalsRowFormula>_xlfn.LET(_xlpm.d,E16:E18,MAX(_xlpm.d))</totalsRowFormula>
    </tableColumn>
    <tableColumn id="6" xr3:uid="{B4A19AF9-8C50-EA46-93F1-F6D064472330}" name="4g" totalsRowFunction="custom" dataDxfId="268" totalsRowDxfId="267">
      <totalsRowFormula>_xlfn.LET(_xlpm.d,F16:F18,MAX(_xlpm.d))</totalsRowFormula>
    </tableColumn>
    <tableColumn id="7" xr3:uid="{73185554-07C2-724F-8363-B70A99CF5B35}" name="sk2g" totalsRowFunction="custom" dataDxfId="266" totalsRowDxfId="265">
      <totalsRowFormula>_xlfn.LET(_xlpm.d,G16:G18,MAX(_xlpm.d))</totalsRowFormula>
    </tableColumn>
    <tableColumn id="8" xr3:uid="{1379B482-2FB5-E641-BEBA-60C56E752B94}" name="sk3g" totalsRowFunction="custom" dataDxfId="264" totalsRowDxfId="263">
      <totalsRowFormula>_xlfn.LET(_xlpm.d,H16:H18,MAX(_xlpm.d))</totalsRowFormula>
    </tableColumn>
    <tableColumn id="9" xr3:uid="{32D9EA13-4E74-1843-A5FA-AA2B7FCF5B39}" name="sk4g" totalsRowFunction="custom" dataDxfId="262" totalsRowDxfId="261">
      <totalsRowFormula>_xlfn.LET(_xlpm.d,I16:I18,MAX(_xlpm.d))</totalsRowFormula>
    </tableColumn>
    <tableColumn id="16" xr3:uid="{2FD831E6-C390-5B4C-AFC6-000A0F9BC4DD}" name="2g-hash" totalsRowFunction="custom" dataDxfId="260" totalsRowDxfId="259">
      <totalsRowFormula>_xlfn.LET(_xlpm.d,J16:J18,MAX(_xlpm.d))</totalsRowFormula>
    </tableColumn>
    <tableColumn id="15" xr3:uid="{7486BD2E-3AF3-3947-9B2E-75E0DBD103FA}" name="3g-hash" totalsRowFunction="custom" dataDxfId="258" totalsRowDxfId="257">
      <totalsRowFormula>_xlfn.LET(_xlpm.d,K16:K18,MAX(_xlpm.d))</totalsRowFormula>
    </tableColumn>
    <tableColumn id="14" xr3:uid="{16495E76-609E-AC4A-B93C-A658C0FE2D4A}" name="4g-hash" totalsRowFunction="custom" dataDxfId="256" totalsRowDxfId="255">
      <totalsRowFormula>_xlfn.LET(_xlpm.d,L16:L18,MAX(_xlpm.d))</totalsRowFormula>
    </tableColumn>
    <tableColumn id="10" xr3:uid="{6FF11CDF-4509-034C-BF9F-03F9D36DB917}" name="sk2g-hash" totalsRowFunction="custom" dataDxfId="254" totalsRowDxfId="253">
      <totalsRowFormula>_xlfn.LET(_xlpm.d,M16:M18,MAX(_xlpm.d))</totalsRowFormula>
    </tableColumn>
    <tableColumn id="11" xr3:uid="{7F8E6F31-7A4D-184F-972B-59B7DB215A5F}" name="sk3g-hash" totalsRowFunction="custom" dataDxfId="252" totalsRowDxfId="251">
      <totalsRowFormula>_xlfn.LET(_xlpm.d,N16:N18,MAX(_xlpm.d))</totalsRowFormula>
    </tableColumn>
    <tableColumn id="12" xr3:uid="{532DF415-395D-FA4C-AFC3-D512177FFBDB}" name="sk4g-hash" totalsRowFunction="custom" dataDxfId="250" totalsRowDxfId="249">
      <totalsRowFormula>_xlfn.LET(_xlpm.d,O16:O18,MAX(_xlpm.d))</totalsRowFormula>
    </tableColumn>
    <tableColumn id="17" xr3:uid="{34866409-1C89-5D4E-8967-71F393D2EBDC}" name="max" totalsRowFunction="custom" dataDxfId="248" totalsRowDxfId="247">
      <calculatedColumnFormula>_xlfn.LET(_xlpm.d,D16:O16,MAX(_xlpm.d))</calculatedColumnFormula>
      <totalsRowFormula>_xlfn.LET(_xlpm.d,P16:P18,MAX(_xlpm.d))</totalsRowFormula>
    </tableColumn>
    <tableColumn id="13" xr3:uid="{86A89BE3-C2EA-7149-ABDA-D13EC3DD8F2A}" name="Not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A64B8FD-9B11-184E-BDA0-DAD686A72815}" name="Table1353743" displayName="Table1353743" ref="A22:Q26" totalsRowCount="1">
  <autoFilter ref="A22:Q25" xr:uid="{46B0E1C2-31F2-354C-8ED1-4E99A40A361A}"/>
  <tableColumns count="17">
    <tableColumn id="1" xr3:uid="{E1B0693F-1684-554B-BCBF-2EBC1AC689E2}" name="Target"/>
    <tableColumn id="2" xr3:uid="{7BBA0285-4643-BD40-9436-1C51ACE8948B}" name="Supplement"/>
    <tableColumn id="3" xr3:uid="{A0573853-6260-1045-BFE9-44A49F7AAD5B}" name="Method" totalsRowLabel="max"/>
    <tableColumn id="4" xr3:uid="{DCD22F28-21E2-3640-BE19-2B9C4896A2FC}" name="2g" totalsRowFunction="custom" dataDxfId="246" totalsRowDxfId="245">
      <totalsRowFormula>_xlfn.LET(_xlpm.d,D23:D25,MAX(_xlpm.d))</totalsRowFormula>
    </tableColumn>
    <tableColumn id="5" xr3:uid="{C08AF5B7-2C07-6142-973F-C2A40AB74F7C}" name="3g" totalsRowFunction="custom" dataDxfId="244" totalsRowDxfId="243">
      <totalsRowFormula>_xlfn.LET(_xlpm.d,E23:E25,MAX(_xlpm.d))</totalsRowFormula>
    </tableColumn>
    <tableColumn id="6" xr3:uid="{3CC80806-D5C3-8E41-9045-7882E1EF7B68}" name="4g" totalsRowFunction="custom" dataDxfId="242" totalsRowDxfId="241">
      <totalsRowFormula>_xlfn.LET(_xlpm.d,F23:F25,MAX(_xlpm.d))</totalsRowFormula>
    </tableColumn>
    <tableColumn id="7" xr3:uid="{0F3EDA9E-76D9-FF4C-A320-41333296F33F}" name="sk2g" totalsRowFunction="custom" dataDxfId="240" totalsRowDxfId="239">
      <totalsRowFormula>_xlfn.LET(_xlpm.d,G23:G25,MAX(_xlpm.d))</totalsRowFormula>
    </tableColumn>
    <tableColumn id="8" xr3:uid="{1CF655FB-5C64-2A4A-88BD-19B497B9828B}" name="sk3g" totalsRowFunction="custom" dataDxfId="238" totalsRowDxfId="237">
      <totalsRowFormula>_xlfn.LET(_xlpm.d,H23:H25,MAX(_xlpm.d))</totalsRowFormula>
    </tableColumn>
    <tableColumn id="9" xr3:uid="{82079F3E-F281-C04A-B8E2-656736D3457A}" name="sk4g" totalsRowFunction="custom" dataDxfId="236" totalsRowDxfId="235">
      <totalsRowFormula>_xlfn.LET(_xlpm.d,I23:I25,MAX(_xlpm.d))</totalsRowFormula>
    </tableColumn>
    <tableColumn id="16" xr3:uid="{B0274035-C667-CA4B-9624-AF6E91501EC0}" name="2g-hash" totalsRowFunction="custom" dataDxfId="234" totalsRowDxfId="233">
      <totalsRowFormula>_xlfn.LET(_xlpm.d,J23:J25,MAX(_xlpm.d))</totalsRowFormula>
    </tableColumn>
    <tableColumn id="15" xr3:uid="{10028224-17D4-DD48-B0E2-0B32C2C54748}" name="3g-hash" totalsRowFunction="custom" dataDxfId="232" totalsRowDxfId="231">
      <totalsRowFormula>_xlfn.LET(_xlpm.d,K23:K25,MAX(_xlpm.d))</totalsRowFormula>
    </tableColumn>
    <tableColumn id="14" xr3:uid="{98715FA7-4789-3B43-9A5F-CCFA74768802}" name="4g-hash" totalsRowFunction="custom" dataDxfId="230" totalsRowDxfId="229">
      <totalsRowFormula>_xlfn.LET(_xlpm.d,L23:L25,MAX(_xlpm.d))</totalsRowFormula>
    </tableColumn>
    <tableColumn id="10" xr3:uid="{65BD4A99-CA20-BC40-84B2-479944BCC227}" name="sk2g-hash" totalsRowFunction="custom" dataDxfId="228" totalsRowDxfId="227">
      <totalsRowFormula>_xlfn.LET(_xlpm.d,M23:M25,MAX(_xlpm.d))</totalsRowFormula>
    </tableColumn>
    <tableColumn id="11" xr3:uid="{F59CFF2C-307B-8447-95DD-D70FFFAD957F}" name="sk3g-hash" totalsRowFunction="custom" dataDxfId="226" totalsRowDxfId="225">
      <totalsRowFormula>_xlfn.LET(_xlpm.d,N23:N25,MAX(_xlpm.d))</totalsRowFormula>
    </tableColumn>
    <tableColumn id="12" xr3:uid="{02ECD953-7C13-8945-BDB9-94DF7856C3FA}" name="sk4g-hash" totalsRowFunction="custom" dataDxfId="224" totalsRowDxfId="223">
      <totalsRowFormula>_xlfn.LET(_xlpm.d,O23:O25,MAX(_xlpm.d))</totalsRowFormula>
    </tableColumn>
    <tableColumn id="17" xr3:uid="{261A65A0-F2E2-3348-BF7B-DB3C14F96751}" name="max" totalsRowFunction="custom" dataDxfId="222" totalsRowDxfId="221">
      <calculatedColumnFormula>_xlfn.LET(_xlpm.d,D23:O23,MAX(_xlpm.d))</calculatedColumnFormula>
      <totalsRowFormula>_xlfn.LET(_xlpm.d,P23:P25,MAX(_xlpm.d))</totalsRowFormula>
    </tableColumn>
    <tableColumn id="13" xr3:uid="{B1DAC991-A051-DF42-8B03-0386AE682B69}" name="Not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793BE8A-FBEC-E545-BB4F-E97909E39D79}" name="Table1463844" displayName="Table1463844" ref="A29:Q33" totalsRowCount="1">
  <autoFilter ref="A29:Q32" xr:uid="{AE8576D6-A841-2144-A01C-5F10F995E97C}"/>
  <tableColumns count="17">
    <tableColumn id="1" xr3:uid="{DB6F14E5-7E29-5547-AAAD-D871E9807EC1}" name="Target"/>
    <tableColumn id="2" xr3:uid="{4284D03D-FAE5-AF45-93F4-0550CD7921E3}" name="Supplement"/>
    <tableColumn id="3" xr3:uid="{9F51408C-0B9D-1E4C-BFD5-51ABC98C9EE8}" name="Method" totalsRowLabel="max"/>
    <tableColumn id="4" xr3:uid="{9EF7BACD-5E3B-A047-812E-0BCB706651C5}" name="2g" totalsRowFunction="custom" dataDxfId="220" totalsRowDxfId="219">
      <totalsRowFormula>_xlfn.LET(_xlpm.d,D30:D32,MAX(_xlpm.d))</totalsRowFormula>
    </tableColumn>
    <tableColumn id="5" xr3:uid="{179040CB-EED0-8748-A824-AF2CD1DB3421}" name="3g" totalsRowFunction="custom" dataDxfId="218" totalsRowDxfId="217">
      <totalsRowFormula>_xlfn.LET(_xlpm.d,E30:E32,MAX(_xlpm.d))</totalsRowFormula>
    </tableColumn>
    <tableColumn id="6" xr3:uid="{6368F2F5-2F05-9A43-A3A0-1583B6E9D1EE}" name="4g" totalsRowFunction="custom" dataDxfId="216" totalsRowDxfId="215">
      <totalsRowFormula>_xlfn.LET(_xlpm.d,F30:F32,MAX(_xlpm.d))</totalsRowFormula>
    </tableColumn>
    <tableColumn id="7" xr3:uid="{C5D19F86-34D9-F547-A674-A5FB5B0AD6FC}" name="sk2g" totalsRowFunction="custom" dataDxfId="214" totalsRowDxfId="213">
      <totalsRowFormula>_xlfn.LET(_xlpm.d,G30:G32,MAX(_xlpm.d))</totalsRowFormula>
    </tableColumn>
    <tableColumn id="8" xr3:uid="{008124C1-B77F-9046-B0E1-9900DCC065B2}" name="sk3g" totalsRowFunction="custom" dataDxfId="212" totalsRowDxfId="211">
      <totalsRowFormula>_xlfn.LET(_xlpm.d,H30:H32,MAX(_xlpm.d))</totalsRowFormula>
    </tableColumn>
    <tableColumn id="16" xr3:uid="{6BC41F2D-6737-7543-847C-3EA58D543B11}" name="sk4g" totalsRowFunction="custom" dataDxfId="210" totalsRowDxfId="209">
      <totalsRowFormula>_xlfn.LET(_xlpm.d,I30:I32,MAX(_xlpm.d))</totalsRowFormula>
    </tableColumn>
    <tableColumn id="15" xr3:uid="{4CBD11ED-F8AC-BC48-94E8-BF48DAE1AC1A}" name="2g-hash" totalsRowFunction="custom" dataDxfId="208" totalsRowDxfId="207">
      <totalsRowFormula>_xlfn.LET(_xlpm.d,J30:J32,MAX(_xlpm.d))</totalsRowFormula>
    </tableColumn>
    <tableColumn id="14" xr3:uid="{DFF1462D-537B-4842-90D4-E097B80F0023}" name="3g-hash" totalsRowFunction="custom" dataDxfId="206" totalsRowDxfId="205">
      <totalsRowFormula>_xlfn.LET(_xlpm.d,K30:K32,MAX(_xlpm.d))</totalsRowFormula>
    </tableColumn>
    <tableColumn id="9" xr3:uid="{461A01BD-8852-3545-B419-687E83A57895}" name="4g-hash" totalsRowFunction="custom" dataDxfId="204" totalsRowDxfId="203">
      <totalsRowFormula>_xlfn.LET(_xlpm.d,L30:L32,MAX(_xlpm.d))</totalsRowFormula>
    </tableColumn>
    <tableColumn id="10" xr3:uid="{DC30BCAE-718F-F346-9E86-4AA269C7461C}" name="sk2g-hash" totalsRowFunction="custom" dataDxfId="202" totalsRowDxfId="201">
      <totalsRowFormula>_xlfn.LET(_xlpm.d,M30:M32,MAX(_xlpm.d))</totalsRowFormula>
    </tableColumn>
    <tableColumn id="11" xr3:uid="{75FC4514-AECD-784A-8BE3-AB0A255AF47F}" name="sk3g-hash" totalsRowFunction="custom" dataDxfId="200" totalsRowDxfId="199">
      <totalsRowFormula>_xlfn.LET(_xlpm.d,N30:N32,MAX(_xlpm.d))</totalsRowFormula>
    </tableColumn>
    <tableColumn id="12" xr3:uid="{C6CB5111-2724-8A4B-B964-D94BAB8DB2AE}" name="sk4g-hash" totalsRowFunction="custom" dataDxfId="198" totalsRowDxfId="197">
      <totalsRowFormula>_xlfn.LET(_xlpm.d,O30:O32,MAX(_xlpm.d))</totalsRowFormula>
    </tableColumn>
    <tableColumn id="17" xr3:uid="{8407581B-42E3-064C-B88F-7578DEAE5B84}" name="max" totalsRowFunction="custom" dataDxfId="196" totalsRowDxfId="195">
      <calculatedColumnFormula>_xlfn.LET(_xlpm.d,D30:O30,MAX(_xlpm.d))</calculatedColumnFormula>
      <totalsRowFormula>_xlfn.LET(_xlpm.d,P30:P32,MAX(_xlpm.d))</totalsRowFormula>
    </tableColumn>
    <tableColumn id="13" xr3:uid="{AD173482-5065-D241-8F7D-99E54E84F853}" name="Not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42B5990-68BC-8642-89F0-F6A0587CB89E}" name="Table13573945" displayName="Table13573945" ref="A36:Q40" totalsRowCount="1">
  <autoFilter ref="A36:Q39" xr:uid="{2D30A6F5-5D38-AD42-B882-A8D0FE891640}"/>
  <tableColumns count="17">
    <tableColumn id="1" xr3:uid="{3C752161-4F76-744D-861F-D9050C8DBD68}" name="Target"/>
    <tableColumn id="2" xr3:uid="{5EF42BB4-F8AB-7340-87F3-7478C7D5736A}" name="Supplement"/>
    <tableColumn id="3" xr3:uid="{35BEA582-47D4-4742-8CA5-B3389000BB38}" name="Method" totalsRowLabel="max"/>
    <tableColumn id="4" xr3:uid="{A6BA7F24-1BF6-EB42-A88E-4C74B5898A0A}" name="2g" totalsRowFunction="custom" dataDxfId="194" totalsRowDxfId="193">
      <totalsRowFormula>_xlfn.LET(_xlpm.d,D37:D39,MAX(_xlpm.d))</totalsRowFormula>
    </tableColumn>
    <tableColumn id="5" xr3:uid="{AA8F8CFC-498D-5F41-BF2D-2EFA6FACE62C}" name="3g" totalsRowFunction="custom" dataDxfId="192" totalsRowDxfId="191">
      <totalsRowFormula>_xlfn.LET(_xlpm.d,E37:E39,MAX(_xlpm.d))</totalsRowFormula>
    </tableColumn>
    <tableColumn id="6" xr3:uid="{7C62C912-0548-8846-9733-571216F3E719}" name="4g" totalsRowFunction="custom" dataDxfId="190" totalsRowDxfId="189">
      <totalsRowFormula>_xlfn.LET(_xlpm.d,F37:F39,MAX(_xlpm.d))</totalsRowFormula>
    </tableColumn>
    <tableColumn id="7" xr3:uid="{9916C9C8-E382-7C40-888F-EC1AE92563AA}" name="sk2g" totalsRowFunction="custom" dataDxfId="188" totalsRowDxfId="187">
      <totalsRowFormula>_xlfn.LET(_xlpm.d,G37:G39,MAX(_xlpm.d))</totalsRowFormula>
    </tableColumn>
    <tableColumn id="8" xr3:uid="{FDB74533-589A-5242-980F-683F92DB54DA}" name="sk3g" totalsRowFunction="custom" dataDxfId="186" totalsRowDxfId="185">
      <totalsRowFormula>_xlfn.LET(_xlpm.d,H37:H39,MAX(_xlpm.d))</totalsRowFormula>
    </tableColumn>
    <tableColumn id="9" xr3:uid="{717A8CD6-63F4-BB4B-92E0-C73D0493A4F1}" name="sk4g" totalsRowFunction="custom" dataDxfId="184" totalsRowDxfId="183">
      <totalsRowFormula>_xlfn.LET(_xlpm.d,I37:I39,MAX(_xlpm.d))</totalsRowFormula>
    </tableColumn>
    <tableColumn id="16" xr3:uid="{D6F9CA0C-40A0-A546-B322-C6B6C9B773E5}" name="2g-hash" totalsRowFunction="custom" dataDxfId="182" totalsRowDxfId="181">
      <totalsRowFormula>_xlfn.LET(_xlpm.d,J37:J39,MAX(_xlpm.d))</totalsRowFormula>
    </tableColumn>
    <tableColumn id="15" xr3:uid="{CE11EBDA-F657-C445-BDD5-E992D0E7752E}" name="3g-hash" totalsRowFunction="custom" dataDxfId="180" totalsRowDxfId="179">
      <totalsRowFormula>_xlfn.LET(_xlpm.d,K37:K39,MAX(_xlpm.d))</totalsRowFormula>
    </tableColumn>
    <tableColumn id="14" xr3:uid="{431BA552-F964-E74A-9C18-47B1197F33E6}" name="4g-hash" totalsRowFunction="custom" dataDxfId="178" totalsRowDxfId="177">
      <totalsRowFormula>_xlfn.LET(_xlpm.d,L37:L39,MAX(_xlpm.d))</totalsRowFormula>
    </tableColumn>
    <tableColumn id="10" xr3:uid="{B4D5D7CD-B874-FA4B-99EC-3ED0DDF211DE}" name="sk2g-hash" totalsRowFunction="custom" dataDxfId="176" totalsRowDxfId="175">
      <totalsRowFormula>_xlfn.LET(_xlpm.d,M37:M39,MAX(_xlpm.d))</totalsRowFormula>
    </tableColumn>
    <tableColumn id="11" xr3:uid="{ED8AB9BB-CB62-894C-8429-8C1C4EF14B8D}" name="sk3g-hash" totalsRowFunction="custom" dataDxfId="174" totalsRowDxfId="173">
      <totalsRowFormula>_xlfn.LET(_xlpm.d,N37:N39,MAX(_xlpm.d))</totalsRowFormula>
    </tableColumn>
    <tableColumn id="12" xr3:uid="{BCAAA696-862E-8645-990C-A19A3939E26F}" name="sk4g-hash" totalsRowFunction="custom" dataDxfId="172" totalsRowDxfId="171">
      <totalsRowFormula>_xlfn.LET(_xlpm.d,O37:O39,MAX(_xlpm.d))</totalsRowFormula>
    </tableColumn>
    <tableColumn id="17" xr3:uid="{BDBD79F1-1777-C249-8395-2EC58C3EB77A}" name="max" totalsRowFunction="custom" dataDxfId="170" totalsRowDxfId="169">
      <calculatedColumnFormula>_xlfn.LET(_xlpm.d,D37:O37,MAX(_xlpm.d))</calculatedColumnFormula>
      <totalsRowFormula>_xlfn.LET(_xlpm.d,P37:P39,MAX(_xlpm.d))</totalsRowFormula>
    </tableColumn>
    <tableColumn id="13" xr3:uid="{EC32DA5D-3E9E-8440-9278-EA4B807BD0F6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3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drawing" Target="../drawings/drawing5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6.xml"/><Relationship Id="rId6" Type="http://schemas.openxmlformats.org/officeDocument/2006/relationships/table" Target="../tables/table31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drawing" Target="../drawings/drawing7.xm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7" Type="http://schemas.openxmlformats.org/officeDocument/2006/relationships/table" Target="../tables/table45.xml"/><Relationship Id="rId2" Type="http://schemas.openxmlformats.org/officeDocument/2006/relationships/table" Target="../tables/table40.xml"/><Relationship Id="rId1" Type="http://schemas.openxmlformats.org/officeDocument/2006/relationships/drawing" Target="../drawings/drawing8.xml"/><Relationship Id="rId6" Type="http://schemas.openxmlformats.org/officeDocument/2006/relationships/table" Target="../tables/table44.xml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B648-A9EF-8946-A368-5126C288FFEC}">
  <dimension ref="A1:AC47"/>
  <sheetViews>
    <sheetView topLeftCell="B5" workbookViewId="0">
      <pane xSplit="5740" ySplit="2440" topLeftCell="E1" activePane="bottomRight"/>
      <selection activeCell="D39" sqref="D7:D39"/>
      <selection pane="topRight" sqref="A1:Q5"/>
      <selection pane="bottomLeft" activeCell="D13" sqref="D13"/>
      <selection pane="bottomRight" activeCell="Q34" sqref="Q34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  <col min="17" max="17" width="16.125" customWidth="1"/>
  </cols>
  <sheetData>
    <row r="1" spans="1:29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9" ht="27" customHeight="1">
      <c r="A2" t="s">
        <v>9</v>
      </c>
      <c r="B2" t="s">
        <v>6</v>
      </c>
      <c r="C2" t="s">
        <v>0</v>
      </c>
      <c r="D2" s="2">
        <v>0.66</v>
      </c>
      <c r="E2" s="2">
        <v>0.54</v>
      </c>
      <c r="F2" s="2">
        <v>0.54</v>
      </c>
      <c r="G2" s="2">
        <v>0.52</v>
      </c>
      <c r="H2" s="2">
        <v>0.47</v>
      </c>
      <c r="I2" s="2">
        <v>0.57999999999999996</v>
      </c>
      <c r="J2" s="2">
        <v>0.6</v>
      </c>
      <c r="K2" s="2">
        <v>0.59</v>
      </c>
      <c r="L2" s="2">
        <v>0.49</v>
      </c>
      <c r="M2" s="2">
        <v>0.56999999999999995</v>
      </c>
      <c r="N2" s="2">
        <v>0.51</v>
      </c>
      <c r="O2" s="2">
        <v>0.52</v>
      </c>
      <c r="P2" s="2">
        <f t="shared" ref="P2:P4" si="0">_xlfn.LET(_xlpm.d,D2:O2,MAX(_xlpm.d))</f>
        <v>0.66</v>
      </c>
      <c r="Q2">
        <v>3</v>
      </c>
    </row>
    <row r="3" spans="1:29" ht="27" customHeight="1">
      <c r="A3" t="s">
        <v>9</v>
      </c>
      <c r="B3" t="s">
        <v>6</v>
      </c>
      <c r="C3" t="s">
        <v>1</v>
      </c>
      <c r="D3" s="2">
        <v>0.73</v>
      </c>
      <c r="E3" s="2">
        <v>0.71</v>
      </c>
      <c r="F3" s="2">
        <v>0.71</v>
      </c>
      <c r="G3" s="2">
        <v>0.64</v>
      </c>
      <c r="H3" s="2">
        <v>0.66</v>
      </c>
      <c r="I3" s="2">
        <v>0.64</v>
      </c>
      <c r="J3" s="2">
        <v>0.69</v>
      </c>
      <c r="K3" s="2">
        <v>0.68</v>
      </c>
      <c r="L3" s="2">
        <v>0.7</v>
      </c>
      <c r="M3" s="2">
        <v>0.71</v>
      </c>
      <c r="N3" s="2">
        <v>0.6</v>
      </c>
      <c r="O3" s="2">
        <v>0.7</v>
      </c>
      <c r="P3" s="2">
        <f t="shared" si="0"/>
        <v>0.73</v>
      </c>
      <c r="Q3">
        <v>2</v>
      </c>
    </row>
    <row r="4" spans="1:29" ht="27" customHeight="1">
      <c r="A4" t="s">
        <v>9</v>
      </c>
      <c r="B4" t="s">
        <v>6</v>
      </c>
      <c r="C4" t="s">
        <v>14</v>
      </c>
      <c r="D4" s="2">
        <v>0.7</v>
      </c>
      <c r="E4" s="2">
        <v>0.7</v>
      </c>
      <c r="F4" s="2">
        <v>0.66</v>
      </c>
      <c r="G4" s="2">
        <v>0.7</v>
      </c>
      <c r="H4" s="2">
        <v>0.66</v>
      </c>
      <c r="I4" s="2">
        <v>0.69</v>
      </c>
      <c r="J4" s="2">
        <v>0.6</v>
      </c>
      <c r="K4" s="2">
        <v>0.67</v>
      </c>
      <c r="L4" s="2">
        <v>0.73</v>
      </c>
      <c r="M4" s="2">
        <v>0.76</v>
      </c>
      <c r="N4" s="2">
        <v>0.64</v>
      </c>
      <c r="O4" s="2">
        <v>0.68</v>
      </c>
      <c r="P4" s="2">
        <f t="shared" si="0"/>
        <v>0.76</v>
      </c>
      <c r="Q4">
        <v>1</v>
      </c>
    </row>
    <row r="5" spans="1:29" ht="27" customHeight="1">
      <c r="C5" t="s">
        <v>11</v>
      </c>
      <c r="D5" s="2">
        <f>_xlfn.LET(_xlpm.d,D2:D4,MAX(_xlpm.d))</f>
        <v>0.73</v>
      </c>
      <c r="E5" s="2">
        <f t="shared" ref="E5:P5" si="1">_xlfn.LET(_xlpm.d,E2:E4,MAX(_xlpm.d))</f>
        <v>0.71</v>
      </c>
      <c r="F5" s="2">
        <f t="shared" si="1"/>
        <v>0.71</v>
      </c>
      <c r="G5" s="2">
        <f t="shared" si="1"/>
        <v>0.7</v>
      </c>
      <c r="H5" s="2">
        <f t="shared" si="1"/>
        <v>0.66</v>
      </c>
      <c r="I5" s="2">
        <f t="shared" si="1"/>
        <v>0.69</v>
      </c>
      <c r="J5" s="2">
        <f t="shared" si="1"/>
        <v>0.69</v>
      </c>
      <c r="K5" s="2">
        <f t="shared" si="1"/>
        <v>0.68</v>
      </c>
      <c r="L5" s="2">
        <f t="shared" si="1"/>
        <v>0.73</v>
      </c>
      <c r="M5" s="2">
        <f t="shared" si="1"/>
        <v>0.76</v>
      </c>
      <c r="N5" s="2">
        <f t="shared" si="1"/>
        <v>0.64</v>
      </c>
      <c r="O5" s="2">
        <f t="shared" si="1"/>
        <v>0.7</v>
      </c>
      <c r="P5" s="2">
        <f t="shared" si="1"/>
        <v>0.76</v>
      </c>
      <c r="Q5" t="s">
        <v>23</v>
      </c>
    </row>
    <row r="8" spans="1:29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" customHeight="1">
      <c r="A9" t="s">
        <v>9</v>
      </c>
      <c r="B9" t="s">
        <v>8</v>
      </c>
      <c r="C9" t="s">
        <v>0</v>
      </c>
      <c r="D9" s="2">
        <v>0.57999999999999996</v>
      </c>
      <c r="E9" s="2">
        <v>0.54</v>
      </c>
      <c r="F9" s="2">
        <v>0.56999999999999995</v>
      </c>
      <c r="G9" s="2">
        <v>0.51</v>
      </c>
      <c r="H9" s="2">
        <v>0.53</v>
      </c>
      <c r="I9" s="2">
        <v>0.51</v>
      </c>
      <c r="J9" s="2">
        <v>0.53</v>
      </c>
      <c r="K9" s="2">
        <v>0.6</v>
      </c>
      <c r="L9" s="2">
        <v>0.6</v>
      </c>
      <c r="M9" s="2">
        <v>0.61</v>
      </c>
      <c r="N9" s="2">
        <v>0.5</v>
      </c>
      <c r="O9" s="2">
        <v>0.6</v>
      </c>
      <c r="P9" s="2">
        <f>_xlfn.LET(_xlpm.d,D9:O9,MAX(_xlpm.d))</f>
        <v>0.61</v>
      </c>
      <c r="Q9">
        <v>3</v>
      </c>
    </row>
    <row r="10" spans="1:29" ht="27" customHeight="1">
      <c r="A10" t="s">
        <v>9</v>
      </c>
      <c r="B10" t="s">
        <v>8</v>
      </c>
      <c r="C10" t="s">
        <v>1</v>
      </c>
      <c r="D10" s="2">
        <v>0.71</v>
      </c>
      <c r="E10" s="2">
        <v>0.76</v>
      </c>
      <c r="F10" s="2">
        <v>0.66</v>
      </c>
      <c r="G10" s="2">
        <v>0.63</v>
      </c>
      <c r="H10" s="2">
        <v>0.56000000000000005</v>
      </c>
      <c r="I10" s="2">
        <v>0.63</v>
      </c>
      <c r="J10" s="2">
        <v>0.67</v>
      </c>
      <c r="K10" s="2">
        <v>0.65</v>
      </c>
      <c r="L10" s="2">
        <v>0.7</v>
      </c>
      <c r="M10" s="2">
        <v>0.68</v>
      </c>
      <c r="N10" s="2">
        <v>0.56000000000000005</v>
      </c>
      <c r="O10" s="2">
        <v>0.69</v>
      </c>
      <c r="P10" s="2">
        <f t="shared" ref="P10:P11" si="2">_xlfn.LET(_xlpm.d,D10:O10,MAX(_xlpm.d))</f>
        <v>0.76</v>
      </c>
      <c r="Q10">
        <v>1</v>
      </c>
    </row>
    <row r="11" spans="1:29" ht="27" customHeight="1">
      <c r="A11" t="s">
        <v>9</v>
      </c>
      <c r="B11" t="s">
        <v>8</v>
      </c>
      <c r="C11" t="s">
        <v>14</v>
      </c>
      <c r="D11" s="2">
        <v>0.71</v>
      </c>
      <c r="E11" s="2">
        <v>0.65</v>
      </c>
      <c r="F11" s="2">
        <v>0.66</v>
      </c>
      <c r="G11" s="2">
        <v>0.7</v>
      </c>
      <c r="H11" s="2">
        <v>0.65</v>
      </c>
      <c r="I11" s="2">
        <v>0.67</v>
      </c>
      <c r="J11" s="2">
        <v>0.62</v>
      </c>
      <c r="K11" s="2">
        <v>0.65</v>
      </c>
      <c r="L11" s="2">
        <v>0.72</v>
      </c>
      <c r="M11" s="2">
        <v>0.74</v>
      </c>
      <c r="N11" s="2">
        <v>0.64</v>
      </c>
      <c r="O11" s="2">
        <v>0.7</v>
      </c>
      <c r="P11" s="2">
        <f t="shared" si="2"/>
        <v>0.74</v>
      </c>
      <c r="Q11">
        <v>2</v>
      </c>
    </row>
    <row r="12" spans="1:29" ht="27" customHeight="1">
      <c r="C12" t="s">
        <v>11</v>
      </c>
      <c r="D12" s="2">
        <f>_xlfn.LET(_xlpm.d,D9:D11,MAX(_xlpm.d))</f>
        <v>0.71</v>
      </c>
      <c r="E12" s="2">
        <f t="shared" ref="E12" si="3">_xlfn.LET(_xlpm.d,E9:E11,MAX(_xlpm.d))</f>
        <v>0.76</v>
      </c>
      <c r="F12" s="2">
        <f t="shared" ref="F12" si="4">_xlfn.LET(_xlpm.d,F9:F11,MAX(_xlpm.d))</f>
        <v>0.66</v>
      </c>
      <c r="G12" s="2">
        <f t="shared" ref="G12" si="5">_xlfn.LET(_xlpm.d,G9:G11,MAX(_xlpm.d))</f>
        <v>0.7</v>
      </c>
      <c r="H12" s="2">
        <f t="shared" ref="H12" si="6">_xlfn.LET(_xlpm.d,H9:H11,MAX(_xlpm.d))</f>
        <v>0.65</v>
      </c>
      <c r="I12" s="2">
        <f t="shared" ref="I12" si="7">_xlfn.LET(_xlpm.d,I9:I11,MAX(_xlpm.d))</f>
        <v>0.67</v>
      </c>
      <c r="J12" s="2">
        <f t="shared" ref="J12" si="8">_xlfn.LET(_xlpm.d,J9:J11,MAX(_xlpm.d))</f>
        <v>0.67</v>
      </c>
      <c r="K12" s="2">
        <f t="shared" ref="K12" si="9">_xlfn.LET(_xlpm.d,K9:K11,MAX(_xlpm.d))</f>
        <v>0.65</v>
      </c>
      <c r="L12" s="2">
        <f t="shared" ref="L12" si="10">_xlfn.LET(_xlpm.d,L9:L11,MAX(_xlpm.d))</f>
        <v>0.72</v>
      </c>
      <c r="M12" s="2">
        <f t="shared" ref="M12" si="11">_xlfn.LET(_xlpm.d,M9:M11,MAX(_xlpm.d))</f>
        <v>0.74</v>
      </c>
      <c r="N12" s="2">
        <f t="shared" ref="N12" si="12">_xlfn.LET(_xlpm.d,N9:N11,MAX(_xlpm.d))</f>
        <v>0.64</v>
      </c>
      <c r="O12" s="2">
        <f t="shared" ref="O12" si="13">_xlfn.LET(_xlpm.d,O9:O11,MAX(_xlpm.d))</f>
        <v>0.7</v>
      </c>
      <c r="P12" s="2">
        <f t="shared" ref="P12" si="14">_xlfn.LET(_xlpm.d,P9:P11,MAX(_xlpm.d))</f>
        <v>0.76</v>
      </c>
      <c r="Q12" t="s">
        <v>21</v>
      </c>
    </row>
    <row r="15" spans="1:29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9" ht="27" customHeight="1">
      <c r="A16" t="s">
        <v>10</v>
      </c>
      <c r="B16" t="s">
        <v>6</v>
      </c>
      <c r="C16" t="s">
        <v>0</v>
      </c>
      <c r="D16" s="2">
        <v>0.83</v>
      </c>
      <c r="E16" s="2">
        <v>0.79</v>
      </c>
      <c r="F16" s="2">
        <v>0.9</v>
      </c>
      <c r="G16" s="2">
        <v>0.85</v>
      </c>
      <c r="H16" s="2">
        <v>0.79</v>
      </c>
      <c r="I16" s="2">
        <v>0.84</v>
      </c>
      <c r="J16" s="2">
        <v>0.89</v>
      </c>
      <c r="K16" s="2">
        <v>0.85</v>
      </c>
      <c r="L16" s="2">
        <v>0.86</v>
      </c>
      <c r="M16" s="2">
        <v>0.87</v>
      </c>
      <c r="N16" s="2">
        <v>0.88</v>
      </c>
      <c r="O16" s="2">
        <v>0.8</v>
      </c>
      <c r="P16" s="2">
        <f t="shared" ref="P16:P18" si="15">_xlfn.LET(_xlpm.d,D16:O16,MAX(_xlpm.d))</f>
        <v>0.9</v>
      </c>
      <c r="Q16">
        <v>2</v>
      </c>
    </row>
    <row r="17" spans="1:17" ht="27" customHeight="1">
      <c r="A17" t="s">
        <v>10</v>
      </c>
      <c r="B17" t="s">
        <v>6</v>
      </c>
      <c r="C17" t="s">
        <v>1</v>
      </c>
      <c r="D17" s="2">
        <v>0.9</v>
      </c>
      <c r="E17" s="2">
        <v>0.86</v>
      </c>
      <c r="F17" s="2">
        <v>0.91</v>
      </c>
      <c r="G17" s="2">
        <v>0.89</v>
      </c>
      <c r="H17" s="2">
        <v>0.81</v>
      </c>
      <c r="I17" s="2">
        <v>0.88</v>
      </c>
      <c r="J17" s="2">
        <v>0.9</v>
      </c>
      <c r="K17" s="2">
        <v>0.89</v>
      </c>
      <c r="L17" s="2">
        <v>0.89</v>
      </c>
      <c r="M17" s="2">
        <v>0.9</v>
      </c>
      <c r="N17" s="2">
        <v>0.87</v>
      </c>
      <c r="O17" s="2">
        <v>0.89</v>
      </c>
      <c r="P17" s="2">
        <f t="shared" si="15"/>
        <v>0.91</v>
      </c>
      <c r="Q17">
        <v>1</v>
      </c>
    </row>
    <row r="18" spans="1:17" ht="27" customHeight="1">
      <c r="A18" t="s">
        <v>10</v>
      </c>
      <c r="B18" t="s">
        <v>6</v>
      </c>
      <c r="C18" t="s">
        <v>14</v>
      </c>
      <c r="D18" s="2">
        <v>0.9</v>
      </c>
      <c r="E18" s="2">
        <v>0.85</v>
      </c>
      <c r="F18" s="2">
        <v>0.89</v>
      </c>
      <c r="G18" s="2">
        <v>0.88</v>
      </c>
      <c r="H18" s="2">
        <v>0.83</v>
      </c>
      <c r="I18" s="2">
        <v>0.88</v>
      </c>
      <c r="J18" s="2">
        <v>0.89</v>
      </c>
      <c r="K18" s="2">
        <v>0.89</v>
      </c>
      <c r="L18" s="2">
        <v>0.86</v>
      </c>
      <c r="M18" s="2">
        <v>0.88</v>
      </c>
      <c r="N18" s="2">
        <v>0.82</v>
      </c>
      <c r="O18" s="2">
        <v>0.84</v>
      </c>
      <c r="P18" s="2">
        <f t="shared" si="15"/>
        <v>0.9</v>
      </c>
      <c r="Q18">
        <v>2</v>
      </c>
    </row>
    <row r="19" spans="1:17" ht="27" customHeight="1">
      <c r="C19" t="s">
        <v>11</v>
      </c>
      <c r="D19" s="2">
        <f>_xlfn.LET(_xlpm.d,D16:D18,MAX(_xlpm.d))</f>
        <v>0.9</v>
      </c>
      <c r="E19" s="2">
        <f t="shared" ref="E19" si="16">_xlfn.LET(_xlpm.d,E16:E18,MAX(_xlpm.d))</f>
        <v>0.86</v>
      </c>
      <c r="F19" s="2">
        <f t="shared" ref="F19" si="17">_xlfn.LET(_xlpm.d,F16:F18,MAX(_xlpm.d))</f>
        <v>0.91</v>
      </c>
      <c r="G19" s="2">
        <f t="shared" ref="G19" si="18">_xlfn.LET(_xlpm.d,G16:G18,MAX(_xlpm.d))</f>
        <v>0.89</v>
      </c>
      <c r="H19" s="2">
        <f t="shared" ref="H19" si="19">_xlfn.LET(_xlpm.d,H16:H18,MAX(_xlpm.d))</f>
        <v>0.83</v>
      </c>
      <c r="I19" s="2">
        <f t="shared" ref="I19" si="20">_xlfn.LET(_xlpm.d,I16:I18,MAX(_xlpm.d))</f>
        <v>0.88</v>
      </c>
      <c r="J19" s="2">
        <f t="shared" ref="J19" si="21">_xlfn.LET(_xlpm.d,J16:J18,MAX(_xlpm.d))</f>
        <v>0.9</v>
      </c>
      <c r="K19" s="2">
        <f t="shared" ref="K19" si="22">_xlfn.LET(_xlpm.d,K16:K18,MAX(_xlpm.d))</f>
        <v>0.89</v>
      </c>
      <c r="L19" s="2">
        <f t="shared" ref="L19" si="23">_xlfn.LET(_xlpm.d,L16:L18,MAX(_xlpm.d))</f>
        <v>0.89</v>
      </c>
      <c r="M19" s="2">
        <f t="shared" ref="M19" si="24">_xlfn.LET(_xlpm.d,M16:M18,MAX(_xlpm.d))</f>
        <v>0.9</v>
      </c>
      <c r="N19" s="2">
        <f t="shared" ref="N19" si="25">_xlfn.LET(_xlpm.d,N16:N18,MAX(_xlpm.d))</f>
        <v>0.88</v>
      </c>
      <c r="O19" s="2">
        <f t="shared" ref="O19" si="26">_xlfn.LET(_xlpm.d,O16:O18,MAX(_xlpm.d))</f>
        <v>0.89</v>
      </c>
      <c r="P19" s="2">
        <f t="shared" ref="P19" si="27">_xlfn.LET(_xlpm.d,P16:P18,MAX(_xlpm.d))</f>
        <v>0.91</v>
      </c>
      <c r="Q19" t="s">
        <v>24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>
        <v>0.81</v>
      </c>
      <c r="E23" s="2">
        <v>0.79</v>
      </c>
      <c r="F23" s="2">
        <v>0.83</v>
      </c>
      <c r="G23" s="2">
        <v>0.75</v>
      </c>
      <c r="H23" s="2">
        <v>0.81</v>
      </c>
      <c r="I23" s="2">
        <v>0.81</v>
      </c>
      <c r="J23" s="2">
        <v>0.82</v>
      </c>
      <c r="K23" s="2">
        <v>0.84</v>
      </c>
      <c r="L23" s="2">
        <v>0.83</v>
      </c>
      <c r="M23" s="2">
        <v>0.81</v>
      </c>
      <c r="N23" s="2">
        <v>0.76</v>
      </c>
      <c r="O23" s="2">
        <v>0.81</v>
      </c>
      <c r="P23" s="2">
        <f t="shared" ref="P23:P25" si="28">_xlfn.LET(_xlpm.d,D23:O23,MAX(_xlpm.d))</f>
        <v>0.84</v>
      </c>
      <c r="Q23">
        <v>2</v>
      </c>
    </row>
    <row r="24" spans="1:17" ht="27" customHeight="1">
      <c r="A24" t="s">
        <v>10</v>
      </c>
      <c r="B24" t="s">
        <v>8</v>
      </c>
      <c r="C24" t="s">
        <v>1</v>
      </c>
      <c r="D24" s="2">
        <v>0.83</v>
      </c>
      <c r="E24" s="2">
        <v>0.79</v>
      </c>
      <c r="F24" s="2">
        <v>0.85</v>
      </c>
      <c r="G24" s="2">
        <v>0.85</v>
      </c>
      <c r="H24" s="2">
        <v>0.81</v>
      </c>
      <c r="I24" s="2">
        <v>0.84</v>
      </c>
      <c r="J24" s="2">
        <v>0.85</v>
      </c>
      <c r="K24" s="2">
        <v>0.85</v>
      </c>
      <c r="L24" s="2">
        <v>0.84</v>
      </c>
      <c r="M24" s="2">
        <v>0.86</v>
      </c>
      <c r="N24" s="2">
        <v>0.84</v>
      </c>
      <c r="O24" s="2">
        <v>0.81</v>
      </c>
      <c r="P24" s="2">
        <f t="shared" si="28"/>
        <v>0.86</v>
      </c>
      <c r="Q24">
        <v>1</v>
      </c>
    </row>
    <row r="25" spans="1:17" ht="27" customHeight="1">
      <c r="A25" t="s">
        <v>10</v>
      </c>
      <c r="B25" t="s">
        <v>8</v>
      </c>
      <c r="C25" t="s">
        <v>14</v>
      </c>
      <c r="D25" s="2">
        <v>0.79</v>
      </c>
      <c r="E25" s="2">
        <v>0.77</v>
      </c>
      <c r="F25" s="2">
        <v>0.81</v>
      </c>
      <c r="G25" s="2">
        <v>0.81</v>
      </c>
      <c r="H25" s="2">
        <v>0.83</v>
      </c>
      <c r="I25" s="2">
        <v>0.83</v>
      </c>
      <c r="J25" s="2">
        <v>0.8</v>
      </c>
      <c r="K25" s="2">
        <v>0.82</v>
      </c>
      <c r="L25" s="2">
        <v>0.79</v>
      </c>
      <c r="M25" s="2">
        <v>0.82</v>
      </c>
      <c r="N25" s="2">
        <v>0.81</v>
      </c>
      <c r="O25" s="2">
        <v>0.81</v>
      </c>
      <c r="P25" s="2">
        <f t="shared" si="28"/>
        <v>0.83</v>
      </c>
      <c r="Q25">
        <v>3</v>
      </c>
    </row>
    <row r="26" spans="1:17" ht="27" customHeight="1">
      <c r="C26" t="s">
        <v>11</v>
      </c>
      <c r="D26" s="2">
        <f>_xlfn.LET(_xlpm.d,D23:D25,MAX(_xlpm.d))</f>
        <v>0.83</v>
      </c>
      <c r="E26" s="2">
        <f t="shared" ref="E26" si="29">_xlfn.LET(_xlpm.d,E23:E25,MAX(_xlpm.d))</f>
        <v>0.79</v>
      </c>
      <c r="F26" s="2">
        <f t="shared" ref="F26" si="30">_xlfn.LET(_xlpm.d,F23:F25,MAX(_xlpm.d))</f>
        <v>0.85</v>
      </c>
      <c r="G26" s="2">
        <f t="shared" ref="G26" si="31">_xlfn.LET(_xlpm.d,G23:G25,MAX(_xlpm.d))</f>
        <v>0.85</v>
      </c>
      <c r="H26" s="2">
        <f t="shared" ref="H26" si="32">_xlfn.LET(_xlpm.d,H23:H25,MAX(_xlpm.d))</f>
        <v>0.83</v>
      </c>
      <c r="I26" s="2">
        <f t="shared" ref="I26" si="33">_xlfn.LET(_xlpm.d,I23:I25,MAX(_xlpm.d))</f>
        <v>0.84</v>
      </c>
      <c r="J26" s="2">
        <f t="shared" ref="J26" si="34">_xlfn.LET(_xlpm.d,J23:J25,MAX(_xlpm.d))</f>
        <v>0.85</v>
      </c>
      <c r="K26" s="2">
        <f t="shared" ref="K26" si="35">_xlfn.LET(_xlpm.d,K23:K25,MAX(_xlpm.d))</f>
        <v>0.85</v>
      </c>
      <c r="L26" s="2">
        <f t="shared" ref="L26" si="36">_xlfn.LET(_xlpm.d,L23:L25,MAX(_xlpm.d))</f>
        <v>0.84</v>
      </c>
      <c r="M26" s="2">
        <f t="shared" ref="M26" si="37">_xlfn.LET(_xlpm.d,M23:M25,MAX(_xlpm.d))</f>
        <v>0.86</v>
      </c>
      <c r="N26" s="2">
        <f t="shared" ref="N26" si="38">_xlfn.LET(_xlpm.d,N23:N25,MAX(_xlpm.d))</f>
        <v>0.84</v>
      </c>
      <c r="O26" s="2">
        <f t="shared" ref="O26" si="39">_xlfn.LET(_xlpm.d,O23:O25,MAX(_xlpm.d))</f>
        <v>0.81</v>
      </c>
      <c r="P26" s="2">
        <f t="shared" ref="P26" si="40">_xlfn.LET(_xlpm.d,P23:P25,MAX(_xlpm.d))</f>
        <v>0.86</v>
      </c>
      <c r="Q26" t="s">
        <v>25</v>
      </c>
    </row>
    <row r="29" spans="1:17" ht="27" customHeight="1">
      <c r="A29" t="s">
        <v>4</v>
      </c>
      <c r="B29" t="s">
        <v>5</v>
      </c>
      <c r="C29" t="s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1" t="s">
        <v>27</v>
      </c>
      <c r="K29" s="1" t="s">
        <v>28</v>
      </c>
      <c r="L29" s="1" t="s">
        <v>29</v>
      </c>
      <c r="M29" t="s">
        <v>30</v>
      </c>
      <c r="N29" t="s">
        <v>31</v>
      </c>
      <c r="O29" t="s">
        <v>32</v>
      </c>
      <c r="P29" t="s">
        <v>11</v>
      </c>
      <c r="Q29" t="s">
        <v>7</v>
      </c>
    </row>
    <row r="30" spans="1:17" ht="27" customHeight="1">
      <c r="A30" t="s">
        <v>3</v>
      </c>
      <c r="B30" t="s">
        <v>6</v>
      </c>
      <c r="C30" t="s">
        <v>0</v>
      </c>
      <c r="D30" s="2">
        <v>0.49</v>
      </c>
      <c r="E30" s="2">
        <v>0.52</v>
      </c>
      <c r="F30" s="2">
        <v>0.51</v>
      </c>
      <c r="G30" s="2">
        <v>0.48</v>
      </c>
      <c r="H30" s="2">
        <v>0.38</v>
      </c>
      <c r="I30" s="2">
        <v>0.43</v>
      </c>
      <c r="J30" s="2">
        <v>0.45</v>
      </c>
      <c r="K30" s="2">
        <v>0.52</v>
      </c>
      <c r="L30" s="2">
        <v>0.45</v>
      </c>
      <c r="M30" s="2">
        <v>0.51</v>
      </c>
      <c r="N30" s="2">
        <v>0.4</v>
      </c>
      <c r="O30" s="2">
        <v>0.49</v>
      </c>
      <c r="P30" s="2">
        <f t="shared" ref="P30:P32" si="41">_xlfn.LET(_xlpm.d,D30:O30,MAX(_xlpm.d))</f>
        <v>0.52</v>
      </c>
      <c r="Q30">
        <v>3</v>
      </c>
    </row>
    <row r="31" spans="1:17" ht="27" customHeight="1">
      <c r="A31" t="s">
        <v>3</v>
      </c>
      <c r="B31" t="s">
        <v>6</v>
      </c>
      <c r="C31" t="s">
        <v>1</v>
      </c>
      <c r="D31" s="2">
        <v>0.53</v>
      </c>
      <c r="E31" s="2">
        <v>0.56999999999999995</v>
      </c>
      <c r="F31" s="2">
        <v>0.56999999999999995</v>
      </c>
      <c r="G31" s="2">
        <v>0.54</v>
      </c>
      <c r="H31" s="2">
        <v>0.59</v>
      </c>
      <c r="I31" s="2">
        <v>0.54</v>
      </c>
      <c r="J31" s="2">
        <v>0.56999999999999995</v>
      </c>
      <c r="K31" s="2">
        <v>0.54</v>
      </c>
      <c r="L31" s="2">
        <v>0.55000000000000004</v>
      </c>
      <c r="M31" s="2">
        <v>0.56000000000000005</v>
      </c>
      <c r="N31" s="2">
        <v>0.56999999999999995</v>
      </c>
      <c r="O31" s="2">
        <v>0.56999999999999995</v>
      </c>
      <c r="P31" s="2">
        <f t="shared" si="41"/>
        <v>0.59</v>
      </c>
      <c r="Q31">
        <v>1</v>
      </c>
    </row>
    <row r="32" spans="1:17" ht="27" customHeight="1">
      <c r="A32" t="s">
        <v>3</v>
      </c>
      <c r="B32" t="s">
        <v>6</v>
      </c>
      <c r="C32" t="s">
        <v>14</v>
      </c>
      <c r="D32" s="2">
        <v>0.53</v>
      </c>
      <c r="E32" s="2">
        <v>0.47</v>
      </c>
      <c r="F32" s="2">
        <v>0.51</v>
      </c>
      <c r="G32" s="2">
        <v>0.44</v>
      </c>
      <c r="H32" s="2">
        <v>0.43</v>
      </c>
      <c r="I32" s="2">
        <v>0.51</v>
      </c>
      <c r="J32" s="2">
        <v>0.52</v>
      </c>
      <c r="K32" s="2">
        <v>0.53</v>
      </c>
      <c r="L32" s="2">
        <v>0.47</v>
      </c>
      <c r="M32" s="2">
        <v>0.52</v>
      </c>
      <c r="N32" s="2">
        <v>0.44</v>
      </c>
      <c r="O32" s="2">
        <v>0.48</v>
      </c>
      <c r="P32" s="2">
        <f t="shared" si="41"/>
        <v>0.53</v>
      </c>
      <c r="Q32">
        <v>2</v>
      </c>
    </row>
    <row r="33" spans="1:17" ht="27" customHeight="1">
      <c r="C33" t="s">
        <v>11</v>
      </c>
      <c r="D33" s="2">
        <f>_xlfn.LET(_xlpm.d,D30:D32,MAX(_xlpm.d))</f>
        <v>0.53</v>
      </c>
      <c r="E33" s="2">
        <f t="shared" ref="E33" si="42">_xlfn.LET(_xlpm.d,E30:E32,MAX(_xlpm.d))</f>
        <v>0.56999999999999995</v>
      </c>
      <c r="F33" s="2">
        <f t="shared" ref="F33" si="43">_xlfn.LET(_xlpm.d,F30:F32,MAX(_xlpm.d))</f>
        <v>0.56999999999999995</v>
      </c>
      <c r="G33" s="2">
        <f t="shared" ref="G33" si="44">_xlfn.LET(_xlpm.d,G30:G32,MAX(_xlpm.d))</f>
        <v>0.54</v>
      </c>
      <c r="H33" s="2">
        <f t="shared" ref="H33" si="45">_xlfn.LET(_xlpm.d,H30:H32,MAX(_xlpm.d))</f>
        <v>0.59</v>
      </c>
      <c r="I33" s="2">
        <f t="shared" ref="I33" si="46">_xlfn.LET(_xlpm.d,I30:I32,MAX(_xlpm.d))</f>
        <v>0.54</v>
      </c>
      <c r="J33" s="2">
        <f t="shared" ref="J33" si="47">_xlfn.LET(_xlpm.d,J30:J32,MAX(_xlpm.d))</f>
        <v>0.56999999999999995</v>
      </c>
      <c r="K33" s="2">
        <f t="shared" ref="K33" si="48">_xlfn.LET(_xlpm.d,K30:K32,MAX(_xlpm.d))</f>
        <v>0.54</v>
      </c>
      <c r="L33" s="2">
        <f t="shared" ref="L33" si="49">_xlfn.LET(_xlpm.d,L30:L32,MAX(_xlpm.d))</f>
        <v>0.55000000000000004</v>
      </c>
      <c r="M33" s="2">
        <f t="shared" ref="M33" si="50">_xlfn.LET(_xlpm.d,M30:M32,MAX(_xlpm.d))</f>
        <v>0.56000000000000005</v>
      </c>
      <c r="N33" s="2">
        <f t="shared" ref="N33" si="51">_xlfn.LET(_xlpm.d,N30:N32,MAX(_xlpm.d))</f>
        <v>0.56999999999999995</v>
      </c>
      <c r="O33" s="2">
        <f t="shared" ref="O33" si="52">_xlfn.LET(_xlpm.d,O30:O32,MAX(_xlpm.d))</f>
        <v>0.56999999999999995</v>
      </c>
      <c r="P33" s="2">
        <f t="shared" ref="P33" si="53">_xlfn.LET(_xlpm.d,P30:P32,MAX(_xlpm.d))</f>
        <v>0.59</v>
      </c>
      <c r="Q33" t="s">
        <v>26</v>
      </c>
    </row>
    <row r="36" spans="1:17" ht="27" customHeight="1">
      <c r="A36" t="s">
        <v>4</v>
      </c>
      <c r="B36" t="s">
        <v>5</v>
      </c>
      <c r="C36" t="s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s="1" t="s">
        <v>27</v>
      </c>
      <c r="K36" s="1" t="s">
        <v>28</v>
      </c>
      <c r="L36" s="1" t="s">
        <v>29</v>
      </c>
      <c r="M36" t="s">
        <v>30</v>
      </c>
      <c r="N36" t="s">
        <v>31</v>
      </c>
      <c r="O36" t="s">
        <v>32</v>
      </c>
      <c r="P36" t="s">
        <v>11</v>
      </c>
      <c r="Q36" t="s">
        <v>7</v>
      </c>
    </row>
    <row r="37" spans="1:17" ht="27" customHeight="1">
      <c r="A37" t="s">
        <v>3</v>
      </c>
      <c r="B37" t="s">
        <v>8</v>
      </c>
      <c r="C37" t="s">
        <v>0</v>
      </c>
      <c r="D37" s="2">
        <v>0.4</v>
      </c>
      <c r="E37" s="2">
        <v>0.41</v>
      </c>
      <c r="F37" s="2">
        <v>0.46</v>
      </c>
      <c r="G37" s="2">
        <v>0.39</v>
      </c>
      <c r="H37" s="2">
        <v>0.39</v>
      </c>
      <c r="I37" s="2">
        <v>0.36</v>
      </c>
      <c r="J37" s="2">
        <v>0.42</v>
      </c>
      <c r="K37" s="2">
        <v>0.39</v>
      </c>
      <c r="L37" s="2">
        <v>0.4</v>
      </c>
      <c r="M37" s="2">
        <v>0.41</v>
      </c>
      <c r="N37" s="2">
        <v>0.43</v>
      </c>
      <c r="O37" s="2">
        <v>0.39</v>
      </c>
      <c r="P37" s="2">
        <f t="shared" ref="P37:P39" si="54">_xlfn.LET(_xlpm.d,D37:O37,MAX(_xlpm.d))</f>
        <v>0.46</v>
      </c>
      <c r="Q37">
        <v>2</v>
      </c>
    </row>
    <row r="38" spans="1:17" ht="27" customHeight="1">
      <c r="A38" t="s">
        <v>3</v>
      </c>
      <c r="B38" t="s">
        <v>8</v>
      </c>
      <c r="C38" t="s">
        <v>1</v>
      </c>
      <c r="D38" s="2">
        <v>0.45</v>
      </c>
      <c r="E38" s="2">
        <v>0.44</v>
      </c>
      <c r="F38" s="2">
        <v>0.49</v>
      </c>
      <c r="G38" s="2">
        <v>0.41</v>
      </c>
      <c r="H38" s="2">
        <v>0.51</v>
      </c>
      <c r="I38" s="2">
        <v>0.47</v>
      </c>
      <c r="J38" s="2">
        <v>0.44</v>
      </c>
      <c r="K38" s="2">
        <v>0.44</v>
      </c>
      <c r="L38" s="2">
        <v>0.44</v>
      </c>
      <c r="M38" s="2">
        <v>0.45</v>
      </c>
      <c r="N38" s="2">
        <v>0.48</v>
      </c>
      <c r="O38" s="2">
        <v>0.5</v>
      </c>
      <c r="P38" s="2">
        <f t="shared" si="54"/>
        <v>0.51</v>
      </c>
      <c r="Q38">
        <v>1</v>
      </c>
    </row>
    <row r="39" spans="1:17" ht="27" customHeight="1">
      <c r="A39" t="s">
        <v>3</v>
      </c>
      <c r="B39" t="s">
        <v>8</v>
      </c>
      <c r="C39" t="s">
        <v>14</v>
      </c>
      <c r="D39" s="2">
        <v>0.4</v>
      </c>
      <c r="E39" s="2">
        <v>0.37</v>
      </c>
      <c r="F39" s="2">
        <v>0.44</v>
      </c>
      <c r="G39" s="2">
        <v>0.39</v>
      </c>
      <c r="H39" s="2">
        <v>0.39</v>
      </c>
      <c r="I39" s="2">
        <v>0.4</v>
      </c>
      <c r="J39" s="2">
        <v>0.42</v>
      </c>
      <c r="K39" s="2">
        <v>0.42</v>
      </c>
      <c r="L39" s="2">
        <v>0.41</v>
      </c>
      <c r="M39" s="2">
        <v>0.4</v>
      </c>
      <c r="N39" s="2">
        <v>0.38</v>
      </c>
      <c r="O39" s="2">
        <v>0.4</v>
      </c>
      <c r="P39" s="2">
        <f t="shared" si="54"/>
        <v>0.44</v>
      </c>
      <c r="Q39">
        <v>3</v>
      </c>
    </row>
    <row r="40" spans="1:17" ht="27" customHeight="1">
      <c r="C40" t="s">
        <v>11</v>
      </c>
      <c r="D40" s="2">
        <f>_xlfn.LET(_xlpm.d,D37:D39,MAX(_xlpm.d))</f>
        <v>0.45</v>
      </c>
      <c r="E40" s="2">
        <f t="shared" ref="E40" si="55">_xlfn.LET(_xlpm.d,E37:E39,MAX(_xlpm.d))</f>
        <v>0.44</v>
      </c>
      <c r="F40" s="2">
        <f t="shared" ref="F40" si="56">_xlfn.LET(_xlpm.d,F37:F39,MAX(_xlpm.d))</f>
        <v>0.49</v>
      </c>
      <c r="G40" s="2">
        <f t="shared" ref="G40" si="57">_xlfn.LET(_xlpm.d,G37:G39,MAX(_xlpm.d))</f>
        <v>0.41</v>
      </c>
      <c r="H40" s="2">
        <f t="shared" ref="H40" si="58">_xlfn.LET(_xlpm.d,H37:H39,MAX(_xlpm.d))</f>
        <v>0.51</v>
      </c>
      <c r="I40" s="2">
        <f t="shared" ref="I40" si="59">_xlfn.LET(_xlpm.d,I37:I39,MAX(_xlpm.d))</f>
        <v>0.47</v>
      </c>
      <c r="J40" s="2">
        <f t="shared" ref="J40" si="60">_xlfn.LET(_xlpm.d,J37:J39,MAX(_xlpm.d))</f>
        <v>0.44</v>
      </c>
      <c r="K40" s="2">
        <f t="shared" ref="K40" si="61">_xlfn.LET(_xlpm.d,K37:K39,MAX(_xlpm.d))</f>
        <v>0.44</v>
      </c>
      <c r="L40" s="2">
        <f t="shared" ref="L40" si="62">_xlfn.LET(_xlpm.d,L37:L39,MAX(_xlpm.d))</f>
        <v>0.44</v>
      </c>
      <c r="M40" s="2">
        <f t="shared" ref="M40" si="63">_xlfn.LET(_xlpm.d,M37:M39,MAX(_xlpm.d))</f>
        <v>0.45</v>
      </c>
      <c r="N40" s="2">
        <f t="shared" ref="N40" si="64">_xlfn.LET(_xlpm.d,N37:N39,MAX(_xlpm.d))</f>
        <v>0.48</v>
      </c>
      <c r="O40" s="2">
        <f t="shared" ref="O40" si="65">_xlfn.LET(_xlpm.d,O37:O39,MAX(_xlpm.d))</f>
        <v>0.5</v>
      </c>
      <c r="P40" s="2">
        <f t="shared" ref="P40" si="66">_xlfn.LET(_xlpm.d,P37:P39,MAX(_xlpm.d))</f>
        <v>0.51</v>
      </c>
      <c r="Q40" t="s">
        <v>22</v>
      </c>
    </row>
    <row r="44" spans="1:17" ht="27" customHeight="1">
      <c r="C44" t="s">
        <v>2</v>
      </c>
      <c r="D44" t="str">
        <f>D$1</f>
        <v>2g</v>
      </c>
      <c r="E44" t="str">
        <f t="shared" ref="E44:N44" si="67">E$1</f>
        <v>3g</v>
      </c>
      <c r="F44" t="str">
        <f t="shared" si="67"/>
        <v>4g</v>
      </c>
      <c r="G44" t="str">
        <f t="shared" si="67"/>
        <v>sk2g</v>
      </c>
      <c r="H44" t="str">
        <f t="shared" si="67"/>
        <v>sk3g</v>
      </c>
      <c r="I44" t="str">
        <f t="shared" si="67"/>
        <v>sk4g</v>
      </c>
      <c r="J44" t="str">
        <f t="shared" si="67"/>
        <v>2g-hash</v>
      </c>
      <c r="K44" t="str">
        <f t="shared" si="67"/>
        <v>3g-hash</v>
      </c>
      <c r="L44" t="str">
        <f t="shared" si="67"/>
        <v>4g-hash</v>
      </c>
      <c r="M44" t="str">
        <f t="shared" si="67"/>
        <v>sk2g-hash</v>
      </c>
      <c r="N44" t="str">
        <f t="shared" si="67"/>
        <v>sk3g-hash</v>
      </c>
      <c r="O44" t="str">
        <f>O$1</f>
        <v>sk4g-hash</v>
      </c>
    </row>
    <row r="45" spans="1:17" ht="27" customHeight="1">
      <c r="C45" t="s">
        <v>9</v>
      </c>
      <c r="D45" s="2">
        <f>D5</f>
        <v>0.73</v>
      </c>
      <c r="E45" s="2">
        <f t="shared" ref="E45:P45" si="68">E5</f>
        <v>0.71</v>
      </c>
      <c r="F45" s="2">
        <f t="shared" si="68"/>
        <v>0.71</v>
      </c>
      <c r="G45" s="2">
        <f t="shared" si="68"/>
        <v>0.7</v>
      </c>
      <c r="H45" s="2">
        <f t="shared" si="68"/>
        <v>0.66</v>
      </c>
      <c r="I45" s="2">
        <f t="shared" si="68"/>
        <v>0.69</v>
      </c>
      <c r="J45" s="2">
        <f t="shared" si="68"/>
        <v>0.69</v>
      </c>
      <c r="K45" s="2">
        <f t="shared" si="68"/>
        <v>0.68</v>
      </c>
      <c r="L45" s="2">
        <f t="shared" si="68"/>
        <v>0.73</v>
      </c>
      <c r="M45" s="2">
        <f t="shared" si="68"/>
        <v>0.76</v>
      </c>
      <c r="N45" s="2">
        <f t="shared" si="68"/>
        <v>0.64</v>
      </c>
      <c r="O45" s="2">
        <f t="shared" si="68"/>
        <v>0.7</v>
      </c>
      <c r="P45" s="2">
        <f t="shared" si="68"/>
        <v>0.76</v>
      </c>
    </row>
    <row r="46" spans="1:17" ht="27" customHeight="1">
      <c r="C46" t="s">
        <v>12</v>
      </c>
      <c r="D46" s="2">
        <f>D19</f>
        <v>0.9</v>
      </c>
      <c r="E46" s="2">
        <f t="shared" ref="E46:P46" si="69">E19</f>
        <v>0.86</v>
      </c>
      <c r="F46" s="2">
        <f t="shared" si="69"/>
        <v>0.91</v>
      </c>
      <c r="G46" s="2">
        <f t="shared" si="69"/>
        <v>0.89</v>
      </c>
      <c r="H46" s="2">
        <f t="shared" si="69"/>
        <v>0.83</v>
      </c>
      <c r="I46" s="2">
        <f t="shared" si="69"/>
        <v>0.88</v>
      </c>
      <c r="J46" s="2">
        <f t="shared" si="69"/>
        <v>0.9</v>
      </c>
      <c r="K46" s="2">
        <f t="shared" si="69"/>
        <v>0.89</v>
      </c>
      <c r="L46" s="2">
        <f t="shared" si="69"/>
        <v>0.89</v>
      </c>
      <c r="M46" s="2">
        <f t="shared" si="69"/>
        <v>0.9</v>
      </c>
      <c r="N46" s="2">
        <f t="shared" si="69"/>
        <v>0.88</v>
      </c>
      <c r="O46" s="2">
        <f t="shared" si="69"/>
        <v>0.89</v>
      </c>
      <c r="P46" s="2">
        <f t="shared" si="69"/>
        <v>0.91</v>
      </c>
    </row>
    <row r="47" spans="1:17" ht="27" customHeight="1">
      <c r="C47" t="s">
        <v>3</v>
      </c>
      <c r="D47" s="2">
        <f>D33</f>
        <v>0.53</v>
      </c>
      <c r="E47" s="2">
        <f t="shared" ref="E47:P47" si="70">E33</f>
        <v>0.56999999999999995</v>
      </c>
      <c r="F47" s="2">
        <f t="shared" si="70"/>
        <v>0.56999999999999995</v>
      </c>
      <c r="G47" s="2">
        <f t="shared" si="70"/>
        <v>0.54</v>
      </c>
      <c r="H47" s="2">
        <f t="shared" si="70"/>
        <v>0.59</v>
      </c>
      <c r="I47" s="2">
        <f t="shared" si="70"/>
        <v>0.54</v>
      </c>
      <c r="J47" s="2">
        <f t="shared" si="70"/>
        <v>0.56999999999999995</v>
      </c>
      <c r="K47" s="2">
        <f t="shared" si="70"/>
        <v>0.54</v>
      </c>
      <c r="L47" s="2">
        <f t="shared" si="70"/>
        <v>0.55000000000000004</v>
      </c>
      <c r="M47" s="2">
        <f t="shared" si="70"/>
        <v>0.56000000000000005</v>
      </c>
      <c r="N47" s="2">
        <f t="shared" si="70"/>
        <v>0.56999999999999995</v>
      </c>
      <c r="O47" s="2">
        <f t="shared" si="70"/>
        <v>0.56999999999999995</v>
      </c>
      <c r="P47" s="2">
        <f t="shared" si="70"/>
        <v>0.59</v>
      </c>
    </row>
  </sheetData>
  <conditionalFormatting sqref="D2:P5 D9:P12 D16:P19 D23:P26 D30:P33">
    <cfRule type="colorScale" priority="2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D37:P4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3A4A-2531-1340-891D-FCF5CF51E725}">
  <dimension ref="A1:AC47"/>
  <sheetViews>
    <sheetView tabSelected="1" workbookViewId="0">
      <pane xSplit="6920" ySplit="3440" activePane="bottomRight"/>
      <selection activeCell="C5" sqref="C5"/>
      <selection pane="topRight" activeCell="D6" sqref="D6"/>
      <selection pane="bottomLeft" activeCell="C1" sqref="C1"/>
      <selection pane="bottomRight" activeCell="E7" sqref="E7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</cols>
  <sheetData>
    <row r="1" spans="1:29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9" ht="27" customHeight="1">
      <c r="A2" t="s">
        <v>9</v>
      </c>
      <c r="B2" t="s">
        <v>6</v>
      </c>
      <c r="C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>
        <f t="shared" ref="P2:P4" si="0">_xlfn.LET(_xlpm.d,D2:O2,MAX(_xlpm.d))</f>
        <v>0</v>
      </c>
    </row>
    <row r="3" spans="1:29" ht="27" customHeight="1">
      <c r="A3" t="s">
        <v>9</v>
      </c>
      <c r="B3" t="s">
        <v>6</v>
      </c>
      <c r="C3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f t="shared" si="0"/>
        <v>0</v>
      </c>
    </row>
    <row r="4" spans="1:29" ht="27" customHeight="1">
      <c r="A4" t="s">
        <v>9</v>
      </c>
      <c r="B4" t="s">
        <v>6</v>
      </c>
      <c r="C4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f t="shared" si="0"/>
        <v>0</v>
      </c>
    </row>
    <row r="5" spans="1:29" ht="27" customHeight="1">
      <c r="C5" t="s">
        <v>11</v>
      </c>
      <c r="D5" s="2" cm="1">
        <f t="array" ref="D5">_xlfn.LET(_xlpm.d,D2:D4,MAX(_xlpm.d))</f>
        <v>0</v>
      </c>
      <c r="E5" s="2">
        <f t="shared" ref="E5:P5" si="1">_xlfn.LET(_xlpm.d,E2:E4,MAX(_xlpm.d))</f>
        <v>0</v>
      </c>
      <c r="F5" s="2">
        <f t="shared" si="1"/>
        <v>0</v>
      </c>
      <c r="G5" s="2">
        <f t="shared" si="1"/>
        <v>0</v>
      </c>
      <c r="H5" s="2">
        <f t="shared" si="1"/>
        <v>0</v>
      </c>
      <c r="I5" s="2">
        <f t="shared" si="1"/>
        <v>0</v>
      </c>
      <c r="J5" s="2">
        <f t="shared" si="1"/>
        <v>0</v>
      </c>
      <c r="K5" s="2">
        <f t="shared" si="1"/>
        <v>0</v>
      </c>
      <c r="L5" s="2">
        <f t="shared" si="1"/>
        <v>0</v>
      </c>
      <c r="M5" s="2">
        <f t="shared" si="1"/>
        <v>0</v>
      </c>
      <c r="N5" s="2">
        <f t="shared" si="1"/>
        <v>0</v>
      </c>
      <c r="O5" s="2">
        <f t="shared" si="1"/>
        <v>0</v>
      </c>
      <c r="P5" s="2">
        <f t="shared" si="1"/>
        <v>0</v>
      </c>
    </row>
    <row r="8" spans="1:29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" customHeight="1">
      <c r="A9" t="s">
        <v>9</v>
      </c>
      <c r="B9" t="s">
        <v>8</v>
      </c>
      <c r="C9" t="s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f>_xlfn.LET(_xlpm.d,D9:O9,MAX(_xlpm.d))</f>
        <v>0</v>
      </c>
    </row>
    <row r="10" spans="1:29" ht="27" customHeight="1">
      <c r="A10" t="s">
        <v>9</v>
      </c>
      <c r="B10" t="s">
        <v>8</v>
      </c>
      <c r="C10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 t="shared" ref="P10:P11" si="2">_xlfn.LET(_xlpm.d,D10:O10,MAX(_xlpm.d))</f>
        <v>0</v>
      </c>
    </row>
    <row r="11" spans="1:29" ht="27" customHeight="1">
      <c r="A11" t="s">
        <v>9</v>
      </c>
      <c r="B11" t="s">
        <v>8</v>
      </c>
      <c r="C11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 t="shared" si="2"/>
        <v>0</v>
      </c>
    </row>
    <row r="12" spans="1:29" ht="27" customHeight="1">
      <c r="C12" t="s">
        <v>11</v>
      </c>
      <c r="D12" s="2">
        <f>_xlfn.LET(_xlpm.d,D9:D11,MAX(_xlpm.d))</f>
        <v>0</v>
      </c>
      <c r="E12" s="2">
        <f t="shared" ref="E12:P12" si="3">_xlfn.LET(_xlpm.d,E9:E11,MAX(_xlpm.d))</f>
        <v>0</v>
      </c>
      <c r="F12" s="2">
        <f t="shared" si="3"/>
        <v>0</v>
      </c>
      <c r="G12" s="2">
        <f t="shared" si="3"/>
        <v>0</v>
      </c>
      <c r="H12" s="2">
        <f t="shared" si="3"/>
        <v>0</v>
      </c>
      <c r="I12" s="2">
        <f t="shared" si="3"/>
        <v>0</v>
      </c>
      <c r="J12" s="2">
        <f t="shared" si="3"/>
        <v>0</v>
      </c>
      <c r="K12" s="2">
        <f t="shared" si="3"/>
        <v>0</v>
      </c>
      <c r="L12" s="2">
        <f t="shared" si="3"/>
        <v>0</v>
      </c>
      <c r="M12" s="2">
        <f t="shared" si="3"/>
        <v>0</v>
      </c>
      <c r="N12" s="2">
        <f t="shared" si="3"/>
        <v>0</v>
      </c>
      <c r="O12" s="2">
        <f t="shared" si="3"/>
        <v>0</v>
      </c>
      <c r="P12" s="2">
        <f t="shared" si="3"/>
        <v>0</v>
      </c>
    </row>
    <row r="15" spans="1:29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9" ht="27" customHeight="1">
      <c r="A16" t="s">
        <v>10</v>
      </c>
      <c r="B16" t="s">
        <v>6</v>
      </c>
      <c r="C16" t="s"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f t="shared" ref="P16:P18" si="4">_xlfn.LET(_xlpm.d,D16:O16,MAX(_xlpm.d))</f>
        <v>0</v>
      </c>
    </row>
    <row r="17" spans="1:17" ht="27" customHeight="1">
      <c r="A17" t="s">
        <v>10</v>
      </c>
      <c r="B17" t="s">
        <v>6</v>
      </c>
      <c r="C17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f t="shared" si="4"/>
        <v>0</v>
      </c>
    </row>
    <row r="18" spans="1:17" ht="27" customHeight="1">
      <c r="A18" t="s">
        <v>10</v>
      </c>
      <c r="B18" t="s">
        <v>6</v>
      </c>
      <c r="C18" t="s">
        <v>14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f t="shared" si="4"/>
        <v>0</v>
      </c>
    </row>
    <row r="19" spans="1:17" ht="27" customHeight="1">
      <c r="C19" t="s">
        <v>11</v>
      </c>
      <c r="D19" s="2">
        <f>_xlfn.LET(_xlpm.d,D16:D18,MAX(_xlpm.d))</f>
        <v>0</v>
      </c>
      <c r="E19" s="2">
        <f t="shared" ref="E19:P19" si="5">_xlfn.LET(_xlpm.d,E16:E18,MAX(_xlpm.d))</f>
        <v>0</v>
      </c>
      <c r="F19" s="2">
        <f t="shared" si="5"/>
        <v>0</v>
      </c>
      <c r="G19" s="2">
        <f t="shared" si="5"/>
        <v>0</v>
      </c>
      <c r="H19" s="2">
        <f t="shared" si="5"/>
        <v>0</v>
      </c>
      <c r="I19" s="2">
        <f t="shared" si="5"/>
        <v>0</v>
      </c>
      <c r="J19" s="2">
        <f t="shared" si="5"/>
        <v>0</v>
      </c>
      <c r="K19" s="2">
        <f t="shared" si="5"/>
        <v>0</v>
      </c>
      <c r="L19" s="2">
        <f t="shared" si="5"/>
        <v>0</v>
      </c>
      <c r="M19" s="2">
        <f t="shared" si="5"/>
        <v>0</v>
      </c>
      <c r="N19" s="2">
        <f t="shared" si="5"/>
        <v>0</v>
      </c>
      <c r="O19" s="2">
        <f t="shared" si="5"/>
        <v>0</v>
      </c>
      <c r="P19" s="2">
        <f t="shared" si="5"/>
        <v>0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 t="shared" ref="P23:P25" si="6">_xlfn.LET(_xlpm.d,D23:O23,MAX(_xlpm.d))</f>
        <v>0</v>
      </c>
    </row>
    <row r="24" spans="1:17" ht="27" customHeight="1">
      <c r="A24" t="s">
        <v>10</v>
      </c>
      <c r="B24" t="s">
        <v>8</v>
      </c>
      <c r="C24" t="s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 t="shared" si="6"/>
        <v>0</v>
      </c>
    </row>
    <row r="25" spans="1:17" ht="27" customHeight="1">
      <c r="A25" t="s">
        <v>10</v>
      </c>
      <c r="B25" t="s">
        <v>8</v>
      </c>
      <c r="C25" t="s">
        <v>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 t="shared" si="6"/>
        <v>0</v>
      </c>
    </row>
    <row r="26" spans="1:17" ht="27" customHeight="1">
      <c r="C26" t="s">
        <v>11</v>
      </c>
      <c r="D26" s="2">
        <f>_xlfn.LET(_xlpm.d,D23:D25,MAX(_xlpm.d))</f>
        <v>0</v>
      </c>
      <c r="E26" s="2">
        <f t="shared" ref="E26:P26" si="7">_xlfn.LET(_xlpm.d,E23:E25,MAX(_xlpm.d))</f>
        <v>0</v>
      </c>
      <c r="F26" s="2">
        <f t="shared" si="7"/>
        <v>0</v>
      </c>
      <c r="G26" s="2">
        <f t="shared" si="7"/>
        <v>0</v>
      </c>
      <c r="H26" s="2">
        <f t="shared" si="7"/>
        <v>0</v>
      </c>
      <c r="I26" s="2">
        <f t="shared" si="7"/>
        <v>0</v>
      </c>
      <c r="J26" s="2">
        <f t="shared" si="7"/>
        <v>0</v>
      </c>
      <c r="K26" s="2">
        <f t="shared" si="7"/>
        <v>0</v>
      </c>
      <c r="L26" s="2">
        <f t="shared" si="7"/>
        <v>0</v>
      </c>
      <c r="M26" s="2">
        <f t="shared" si="7"/>
        <v>0</v>
      </c>
      <c r="N26" s="2">
        <f t="shared" si="7"/>
        <v>0</v>
      </c>
      <c r="O26" s="2">
        <f t="shared" si="7"/>
        <v>0</v>
      </c>
      <c r="P26" s="2">
        <f t="shared" si="7"/>
        <v>0</v>
      </c>
    </row>
    <row r="29" spans="1:17" ht="27" customHeight="1">
      <c r="A29" t="s">
        <v>4</v>
      </c>
      <c r="B29" t="s">
        <v>5</v>
      </c>
      <c r="C29" t="s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1" t="s">
        <v>27</v>
      </c>
      <c r="K29" s="1" t="s">
        <v>28</v>
      </c>
      <c r="L29" s="1" t="s">
        <v>29</v>
      </c>
      <c r="M29" t="s">
        <v>30</v>
      </c>
      <c r="N29" t="s">
        <v>31</v>
      </c>
      <c r="O29" t="s">
        <v>32</v>
      </c>
      <c r="P29" t="s">
        <v>11</v>
      </c>
      <c r="Q29" t="s">
        <v>7</v>
      </c>
    </row>
    <row r="30" spans="1:17" ht="27" customHeight="1">
      <c r="A30" t="s">
        <v>3</v>
      </c>
      <c r="B30" t="s">
        <v>6</v>
      </c>
      <c r="C30" t="s"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f t="shared" ref="P30:P32" si="8">_xlfn.LET(_xlpm.d,D30:O30,MAX(_xlpm.d))</f>
        <v>0</v>
      </c>
    </row>
    <row r="31" spans="1:17" ht="27" customHeight="1">
      <c r="A31" t="s">
        <v>3</v>
      </c>
      <c r="B31" t="s">
        <v>6</v>
      </c>
      <c r="C31" t="s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f t="shared" si="8"/>
        <v>0</v>
      </c>
    </row>
    <row r="32" spans="1:17" ht="27" customHeight="1">
      <c r="A32" t="s">
        <v>3</v>
      </c>
      <c r="B32" t="s">
        <v>6</v>
      </c>
      <c r="C32" t="s">
        <v>14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 t="shared" si="8"/>
        <v>0</v>
      </c>
    </row>
    <row r="33" spans="1:17" ht="27" customHeight="1">
      <c r="C33" t="s">
        <v>11</v>
      </c>
      <c r="D33" s="2">
        <f>_xlfn.LET(_xlpm.d,D30:D32,MAX(_xlpm.d))</f>
        <v>0</v>
      </c>
      <c r="E33" s="2">
        <f t="shared" ref="E33:P33" si="9">_xlfn.LET(_xlpm.d,E30:E32,MAX(_xlpm.d))</f>
        <v>0</v>
      </c>
      <c r="F33" s="2">
        <f t="shared" si="9"/>
        <v>0</v>
      </c>
      <c r="G33" s="2">
        <f t="shared" si="9"/>
        <v>0</v>
      </c>
      <c r="H33" s="2">
        <f t="shared" si="9"/>
        <v>0</v>
      </c>
      <c r="I33" s="2">
        <f t="shared" si="9"/>
        <v>0</v>
      </c>
      <c r="J33" s="2">
        <f t="shared" si="9"/>
        <v>0</v>
      </c>
      <c r="K33" s="2">
        <f t="shared" si="9"/>
        <v>0</v>
      </c>
      <c r="L33" s="2">
        <f t="shared" si="9"/>
        <v>0</v>
      </c>
      <c r="M33" s="2">
        <f t="shared" si="9"/>
        <v>0</v>
      </c>
      <c r="N33" s="2">
        <f t="shared" si="9"/>
        <v>0</v>
      </c>
      <c r="O33" s="2">
        <f t="shared" si="9"/>
        <v>0</v>
      </c>
      <c r="P33" s="2">
        <f t="shared" si="9"/>
        <v>0</v>
      </c>
    </row>
    <row r="36" spans="1:17" ht="27" customHeight="1">
      <c r="A36" t="s">
        <v>4</v>
      </c>
      <c r="B36" t="s">
        <v>5</v>
      </c>
      <c r="C36" t="s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s="1" t="s">
        <v>27</v>
      </c>
      <c r="K36" s="1" t="s">
        <v>28</v>
      </c>
      <c r="L36" s="1" t="s">
        <v>29</v>
      </c>
      <c r="M36" t="s">
        <v>30</v>
      </c>
      <c r="N36" t="s">
        <v>31</v>
      </c>
      <c r="O36" t="s">
        <v>32</v>
      </c>
      <c r="P36" t="s">
        <v>11</v>
      </c>
      <c r="Q36" t="s">
        <v>7</v>
      </c>
    </row>
    <row r="37" spans="1:17" ht="27" customHeight="1">
      <c r="A37" t="s">
        <v>3</v>
      </c>
      <c r="B37" t="s">
        <v>8</v>
      </c>
      <c r="C37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f t="shared" ref="P37:P39" si="10">_xlfn.LET(_xlpm.d,D37:O37,MAX(_xlpm.d))</f>
        <v>0</v>
      </c>
    </row>
    <row r="38" spans="1:17" ht="27" customHeight="1">
      <c r="A38" t="s">
        <v>3</v>
      </c>
      <c r="B38" t="s">
        <v>8</v>
      </c>
      <c r="C38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f t="shared" si="10"/>
        <v>0</v>
      </c>
    </row>
    <row r="39" spans="1:17" ht="27" customHeight="1">
      <c r="A39" t="s">
        <v>3</v>
      </c>
      <c r="B39" t="s">
        <v>8</v>
      </c>
      <c r="C39" t="s">
        <v>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f t="shared" si="10"/>
        <v>0</v>
      </c>
    </row>
    <row r="40" spans="1:17" ht="27" customHeight="1">
      <c r="C40" t="s">
        <v>11</v>
      </c>
      <c r="D40" s="2">
        <f>_xlfn.LET(_xlpm.d,D37:D39,MAX(_xlpm.d))</f>
        <v>0</v>
      </c>
      <c r="E40" s="2">
        <f t="shared" ref="E40:P40" si="11">_xlfn.LET(_xlpm.d,E37:E39,MAX(_xlpm.d))</f>
        <v>0</v>
      </c>
      <c r="F40" s="2">
        <f t="shared" si="11"/>
        <v>0</v>
      </c>
      <c r="G40" s="2">
        <f t="shared" si="11"/>
        <v>0</v>
      </c>
      <c r="H40" s="2">
        <f t="shared" si="11"/>
        <v>0</v>
      </c>
      <c r="I40" s="2">
        <f t="shared" si="11"/>
        <v>0</v>
      </c>
      <c r="J40" s="2">
        <f t="shared" si="11"/>
        <v>0</v>
      </c>
      <c r="K40" s="2">
        <f t="shared" si="11"/>
        <v>0</v>
      </c>
      <c r="L40" s="2">
        <f t="shared" si="11"/>
        <v>0</v>
      </c>
      <c r="M40" s="2">
        <f t="shared" si="11"/>
        <v>0</v>
      </c>
      <c r="N40" s="2">
        <f t="shared" si="11"/>
        <v>0</v>
      </c>
      <c r="O40" s="2">
        <f t="shared" si="11"/>
        <v>0</v>
      </c>
      <c r="P40" s="2">
        <f t="shared" si="11"/>
        <v>0</v>
      </c>
    </row>
    <row r="44" spans="1:17" ht="27" customHeight="1">
      <c r="C44" t="s">
        <v>2</v>
      </c>
      <c r="D44" t="str">
        <f>D$1</f>
        <v>2g</v>
      </c>
      <c r="E44" t="str">
        <f t="shared" ref="E44:N44" si="12">E$1</f>
        <v>3g</v>
      </c>
      <c r="F44" t="str">
        <f t="shared" si="12"/>
        <v>4g</v>
      </c>
      <c r="G44" t="str">
        <f t="shared" si="12"/>
        <v>sk2g</v>
      </c>
      <c r="H44" t="str">
        <f t="shared" si="12"/>
        <v>sk3g</v>
      </c>
      <c r="I44" t="str">
        <f t="shared" si="12"/>
        <v>sk4g</v>
      </c>
      <c r="J44" t="str">
        <f t="shared" si="12"/>
        <v>2g-hash</v>
      </c>
      <c r="K44" t="str">
        <f t="shared" si="12"/>
        <v>3g-hash</v>
      </c>
      <c r="L44" t="str">
        <f t="shared" si="12"/>
        <v>4g-hash</v>
      </c>
      <c r="M44" t="str">
        <f t="shared" si="12"/>
        <v>sk2g-hash</v>
      </c>
      <c r="N44" t="str">
        <f t="shared" si="12"/>
        <v>sk3g-hash</v>
      </c>
      <c r="O44" t="str">
        <f>O$1</f>
        <v>sk4g-hash</v>
      </c>
    </row>
    <row r="45" spans="1:17" ht="27" customHeight="1">
      <c r="C45" t="s">
        <v>9</v>
      </c>
      <c r="D45" s="2">
        <f>D5</f>
        <v>0</v>
      </c>
      <c r="E45" s="2">
        <f t="shared" ref="E45:O45" si="13">E5</f>
        <v>0</v>
      </c>
      <c r="F45" s="2">
        <f t="shared" si="13"/>
        <v>0</v>
      </c>
      <c r="G45" s="2">
        <f t="shared" si="13"/>
        <v>0</v>
      </c>
      <c r="H45" s="2">
        <f t="shared" si="13"/>
        <v>0</v>
      </c>
      <c r="I45" s="2">
        <f t="shared" si="13"/>
        <v>0</v>
      </c>
      <c r="J45" s="2">
        <f t="shared" si="13"/>
        <v>0</v>
      </c>
      <c r="K45" s="2">
        <f t="shared" si="13"/>
        <v>0</v>
      </c>
      <c r="L45" s="2">
        <f t="shared" si="13"/>
        <v>0</v>
      </c>
      <c r="M45" s="2">
        <f t="shared" si="13"/>
        <v>0</v>
      </c>
      <c r="N45" s="2">
        <f t="shared" si="13"/>
        <v>0</v>
      </c>
      <c r="O45" s="2">
        <f t="shared" si="13"/>
        <v>0</v>
      </c>
      <c r="P45" s="2">
        <f>P5</f>
        <v>0</v>
      </c>
    </row>
    <row r="46" spans="1:17" ht="27" customHeight="1">
      <c r="C46" t="s">
        <v>12</v>
      </c>
      <c r="D46" s="2">
        <f>D19</f>
        <v>0</v>
      </c>
      <c r="E46" s="2">
        <f t="shared" ref="E46:P46" si="14">E19</f>
        <v>0</v>
      </c>
      <c r="F46" s="2">
        <f t="shared" si="14"/>
        <v>0</v>
      </c>
      <c r="G46" s="2">
        <f t="shared" si="14"/>
        <v>0</v>
      </c>
      <c r="H46" s="2">
        <f t="shared" si="14"/>
        <v>0</v>
      </c>
      <c r="I46" s="2">
        <f t="shared" si="14"/>
        <v>0</v>
      </c>
      <c r="J46" s="2">
        <f t="shared" si="14"/>
        <v>0</v>
      </c>
      <c r="K46" s="2">
        <f t="shared" si="14"/>
        <v>0</v>
      </c>
      <c r="L46" s="2">
        <f t="shared" si="14"/>
        <v>0</v>
      </c>
      <c r="M46" s="2">
        <f t="shared" si="14"/>
        <v>0</v>
      </c>
      <c r="N46" s="2">
        <f t="shared" si="14"/>
        <v>0</v>
      </c>
      <c r="O46" s="2">
        <f t="shared" si="14"/>
        <v>0</v>
      </c>
      <c r="P46" s="2">
        <f t="shared" si="14"/>
        <v>0</v>
      </c>
    </row>
    <row r="47" spans="1:17" ht="27" customHeight="1">
      <c r="C47" t="s">
        <v>3</v>
      </c>
      <c r="D47" s="2">
        <f>D33</f>
        <v>0</v>
      </c>
      <c r="E47" s="2">
        <f t="shared" ref="E47:P47" si="15">E33</f>
        <v>0</v>
      </c>
      <c r="F47" s="2">
        <f t="shared" si="15"/>
        <v>0</v>
      </c>
      <c r="G47" s="2">
        <f t="shared" si="15"/>
        <v>0</v>
      </c>
      <c r="H47" s="2">
        <f t="shared" si="15"/>
        <v>0</v>
      </c>
      <c r="I47" s="2">
        <f t="shared" si="15"/>
        <v>0</v>
      </c>
      <c r="J47" s="2">
        <f t="shared" si="15"/>
        <v>0</v>
      </c>
      <c r="K47" s="2">
        <f t="shared" si="15"/>
        <v>0</v>
      </c>
      <c r="L47" s="2">
        <f t="shared" si="15"/>
        <v>0</v>
      </c>
      <c r="M47" s="2">
        <f t="shared" si="15"/>
        <v>0</v>
      </c>
      <c r="N47" s="2">
        <f t="shared" si="15"/>
        <v>0</v>
      </c>
      <c r="O47" s="2">
        <f t="shared" si="15"/>
        <v>0</v>
      </c>
      <c r="P47" s="2">
        <f t="shared" si="15"/>
        <v>0</v>
      </c>
    </row>
  </sheetData>
  <conditionalFormatting sqref="D37:P4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P9:P11 P16:P18 P23:P25 P30:P32 D19:P19 D2:P5 D12:P12 D26:P26 D33:P33">
    <cfRule type="colorScale" priority="1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D5BA-393C-4848-8594-29D4CFEEA676}">
  <dimension ref="A1:AC31"/>
  <sheetViews>
    <sheetView zoomScaleNormal="100" workbookViewId="0">
      <pane xSplit="4560" ySplit="3860" topLeftCell="E4" activePane="bottomRight"/>
      <selection activeCell="A28" sqref="A28"/>
      <selection pane="topRight" activeCell="J3" sqref="J3"/>
      <selection pane="bottomLeft" activeCell="A28" sqref="A28:XFD28"/>
      <selection pane="bottomRight" activeCell="O26" sqref="O26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  <col min="17" max="17" width="17" customWidth="1"/>
  </cols>
  <sheetData>
    <row r="1" spans="1:29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13</v>
      </c>
    </row>
    <row r="2" spans="1:29" ht="27" customHeight="1">
      <c r="A2" t="s">
        <v>9</v>
      </c>
      <c r="B2" t="s">
        <v>6</v>
      </c>
      <c r="C2" t="s">
        <v>0</v>
      </c>
      <c r="D2" s="2">
        <v>0.65</v>
      </c>
      <c r="E2" s="2">
        <v>0.81</v>
      </c>
      <c r="F2" s="2">
        <v>0.76</v>
      </c>
      <c r="G2" s="2">
        <v>0.74</v>
      </c>
      <c r="H2" s="2">
        <v>0.8</v>
      </c>
      <c r="I2" s="2">
        <v>0.78</v>
      </c>
      <c r="J2" s="2">
        <v>0.67</v>
      </c>
      <c r="K2" s="2">
        <v>0.73</v>
      </c>
      <c r="L2" s="2">
        <v>0.7</v>
      </c>
      <c r="M2" s="2">
        <v>0.68</v>
      </c>
      <c r="N2" s="2">
        <v>0.7</v>
      </c>
      <c r="O2" s="2">
        <v>0.71</v>
      </c>
      <c r="P2" s="2">
        <f t="shared" ref="P2:P4" si="0">_xlfn.LET(_xlpm.d,D2:O2,MAX(_xlpm.d))</f>
        <v>0.81</v>
      </c>
      <c r="Q2">
        <v>3</v>
      </c>
    </row>
    <row r="3" spans="1:29" ht="27" customHeight="1">
      <c r="A3" t="s">
        <v>9</v>
      </c>
      <c r="B3" t="s">
        <v>6</v>
      </c>
      <c r="C3" t="s">
        <v>1</v>
      </c>
      <c r="D3" s="2">
        <v>0.76</v>
      </c>
      <c r="E3" s="2">
        <v>0.81</v>
      </c>
      <c r="F3" s="2">
        <v>0.81</v>
      </c>
      <c r="G3" s="2">
        <v>0.82</v>
      </c>
      <c r="H3" s="2">
        <v>0.82</v>
      </c>
      <c r="I3" s="2">
        <v>0.84</v>
      </c>
      <c r="J3" s="2">
        <v>0.8</v>
      </c>
      <c r="K3" s="2">
        <v>0.82</v>
      </c>
      <c r="L3" s="2">
        <v>0.76</v>
      </c>
      <c r="M3" s="2">
        <v>0.8</v>
      </c>
      <c r="N3" s="2">
        <v>0.79</v>
      </c>
      <c r="O3" s="2">
        <v>0.77</v>
      </c>
      <c r="P3" s="2">
        <f t="shared" si="0"/>
        <v>0.84</v>
      </c>
      <c r="Q3">
        <v>2</v>
      </c>
    </row>
    <row r="4" spans="1:29" ht="27" customHeight="1">
      <c r="A4" t="s">
        <v>9</v>
      </c>
      <c r="B4" t="s">
        <v>6</v>
      </c>
      <c r="C4" t="s">
        <v>14</v>
      </c>
      <c r="D4" s="2">
        <v>0.77</v>
      </c>
      <c r="E4" s="2">
        <v>0.78</v>
      </c>
      <c r="F4" s="2">
        <v>0.78</v>
      </c>
      <c r="G4" s="2">
        <v>0.78</v>
      </c>
      <c r="H4" s="2">
        <v>0.8</v>
      </c>
      <c r="I4" s="2">
        <v>0.8</v>
      </c>
      <c r="J4" s="2">
        <v>0.78</v>
      </c>
      <c r="K4" s="2">
        <v>0.8</v>
      </c>
      <c r="L4" s="2">
        <v>0.75</v>
      </c>
      <c r="M4" s="2">
        <v>0.78</v>
      </c>
      <c r="N4" s="2">
        <v>0.76</v>
      </c>
      <c r="O4" s="2">
        <v>0.8</v>
      </c>
      <c r="P4" s="2">
        <f t="shared" si="0"/>
        <v>0.8</v>
      </c>
      <c r="Q4">
        <v>1</v>
      </c>
    </row>
    <row r="5" spans="1:29" ht="27" customHeight="1">
      <c r="C5" t="s">
        <v>11</v>
      </c>
      <c r="D5" s="2">
        <f>_xlfn.LET(_xlpm.d,D2:D4,MAX(_xlpm.d))</f>
        <v>0.77</v>
      </c>
      <c r="E5" s="2">
        <f t="shared" ref="E5:P5" si="1">_xlfn.LET(_xlpm.d,E2:E4,MAX(_xlpm.d))</f>
        <v>0.81</v>
      </c>
      <c r="F5" s="2">
        <f t="shared" si="1"/>
        <v>0.81</v>
      </c>
      <c r="G5" s="2">
        <f t="shared" si="1"/>
        <v>0.82</v>
      </c>
      <c r="H5" s="2">
        <f t="shared" si="1"/>
        <v>0.82</v>
      </c>
      <c r="I5" s="2">
        <f t="shared" si="1"/>
        <v>0.84</v>
      </c>
      <c r="J5" s="2">
        <f t="shared" si="1"/>
        <v>0.8</v>
      </c>
      <c r="K5" s="2">
        <f t="shared" si="1"/>
        <v>0.82</v>
      </c>
      <c r="L5" s="2">
        <f t="shared" si="1"/>
        <v>0.76</v>
      </c>
      <c r="M5" s="2">
        <f t="shared" si="1"/>
        <v>0.8</v>
      </c>
      <c r="N5" s="2">
        <f t="shared" si="1"/>
        <v>0.79</v>
      </c>
      <c r="O5" s="2">
        <f t="shared" si="1"/>
        <v>0.8</v>
      </c>
      <c r="P5" s="2">
        <f t="shared" si="1"/>
        <v>0.84</v>
      </c>
    </row>
    <row r="8" spans="1:29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13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" customHeight="1">
      <c r="A9" t="s">
        <v>9</v>
      </c>
      <c r="B9" t="s">
        <v>8</v>
      </c>
      <c r="C9" t="s">
        <v>0</v>
      </c>
      <c r="D9" s="2">
        <v>0.72</v>
      </c>
      <c r="E9" s="2">
        <v>0.69</v>
      </c>
      <c r="F9" s="2">
        <v>0.71</v>
      </c>
      <c r="G9" s="2">
        <v>0.75</v>
      </c>
      <c r="H9" s="2">
        <v>0.75</v>
      </c>
      <c r="I9" s="2">
        <v>0.77</v>
      </c>
      <c r="J9" s="2">
        <v>0.72</v>
      </c>
      <c r="K9" s="2">
        <v>0.78</v>
      </c>
      <c r="L9" s="2">
        <v>0.7</v>
      </c>
      <c r="M9" s="2">
        <v>0.67</v>
      </c>
      <c r="N9" s="2">
        <v>0.68</v>
      </c>
      <c r="O9" s="2">
        <v>0.75</v>
      </c>
      <c r="P9" s="2">
        <f>_xlfn.LET(_xlpm.d,D9:O9,MAX(_xlpm.d))</f>
        <v>0.78</v>
      </c>
      <c r="Q9">
        <v>3</v>
      </c>
    </row>
    <row r="10" spans="1:29" ht="27" customHeight="1">
      <c r="A10" t="s">
        <v>9</v>
      </c>
      <c r="B10" t="s">
        <v>8</v>
      </c>
      <c r="C10" t="s">
        <v>1</v>
      </c>
      <c r="D10" s="2">
        <v>0.76</v>
      </c>
      <c r="E10" s="2">
        <v>0.8</v>
      </c>
      <c r="F10" s="2">
        <v>0.79</v>
      </c>
      <c r="G10" s="2">
        <v>0.8</v>
      </c>
      <c r="H10" s="2">
        <v>0.83</v>
      </c>
      <c r="I10" s="2">
        <v>0.84</v>
      </c>
      <c r="J10" s="2">
        <v>0.76</v>
      </c>
      <c r="K10" s="2">
        <v>0.82</v>
      </c>
      <c r="L10" s="2">
        <v>0.76</v>
      </c>
      <c r="M10" s="2">
        <v>0.79</v>
      </c>
      <c r="N10" s="2">
        <v>0.8</v>
      </c>
      <c r="O10" s="2">
        <v>0.8</v>
      </c>
      <c r="P10" s="2">
        <f t="shared" ref="P10:P11" si="2">_xlfn.LET(_xlpm.d,D10:O10,MAX(_xlpm.d))</f>
        <v>0.84</v>
      </c>
      <c r="Q10">
        <v>2</v>
      </c>
    </row>
    <row r="11" spans="1:29" ht="27" customHeight="1">
      <c r="A11" t="s">
        <v>9</v>
      </c>
      <c r="B11" t="s">
        <v>8</v>
      </c>
      <c r="C11" t="s">
        <v>14</v>
      </c>
      <c r="D11" s="2">
        <v>0.76</v>
      </c>
      <c r="E11" s="2">
        <v>0.8</v>
      </c>
      <c r="F11" s="2">
        <v>0.78</v>
      </c>
      <c r="G11" s="2">
        <v>0.79</v>
      </c>
      <c r="H11" s="2">
        <v>0.8</v>
      </c>
      <c r="I11" s="2">
        <v>0.8</v>
      </c>
      <c r="J11" s="2">
        <v>0.75</v>
      </c>
      <c r="K11" s="2">
        <v>0.81</v>
      </c>
      <c r="L11" s="2">
        <v>0.75</v>
      </c>
      <c r="M11" s="2">
        <v>0.8</v>
      </c>
      <c r="N11" s="2">
        <v>0.76</v>
      </c>
      <c r="O11" s="2">
        <v>0.81</v>
      </c>
      <c r="P11" s="2">
        <f t="shared" si="2"/>
        <v>0.81</v>
      </c>
      <c r="Q11">
        <v>1</v>
      </c>
    </row>
    <row r="12" spans="1:29" ht="27" customHeight="1">
      <c r="C12" t="s">
        <v>11</v>
      </c>
      <c r="D12" s="2">
        <f>_xlfn.LET(_xlpm.d,D9:D11,MAX(_xlpm.d))</f>
        <v>0.76</v>
      </c>
      <c r="E12" s="2">
        <f t="shared" ref="E12:P12" si="3">_xlfn.LET(_xlpm.d,E9:E11,MAX(_xlpm.d))</f>
        <v>0.8</v>
      </c>
      <c r="F12" s="2">
        <f t="shared" si="3"/>
        <v>0.79</v>
      </c>
      <c r="G12" s="2">
        <f t="shared" si="3"/>
        <v>0.8</v>
      </c>
      <c r="H12" s="2">
        <f t="shared" si="3"/>
        <v>0.83</v>
      </c>
      <c r="I12" s="2">
        <f t="shared" si="3"/>
        <v>0.84</v>
      </c>
      <c r="J12" s="2">
        <f t="shared" si="3"/>
        <v>0.76</v>
      </c>
      <c r="K12" s="2">
        <f t="shared" si="3"/>
        <v>0.82</v>
      </c>
      <c r="L12" s="2">
        <f t="shared" si="3"/>
        <v>0.76</v>
      </c>
      <c r="M12" s="2">
        <f t="shared" si="3"/>
        <v>0.8</v>
      </c>
      <c r="N12" s="2">
        <f t="shared" si="3"/>
        <v>0.8</v>
      </c>
      <c r="O12" s="2">
        <f t="shared" si="3"/>
        <v>0.81</v>
      </c>
      <c r="P12" s="2">
        <f t="shared" si="3"/>
        <v>0.84</v>
      </c>
    </row>
    <row r="15" spans="1:29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13</v>
      </c>
    </row>
    <row r="16" spans="1:29" ht="27" customHeight="1">
      <c r="A16" t="s">
        <v>10</v>
      </c>
      <c r="B16" t="s">
        <v>6</v>
      </c>
      <c r="C16" t="s">
        <v>0</v>
      </c>
      <c r="D16" s="2">
        <v>0.89</v>
      </c>
      <c r="E16" s="2">
        <v>0.89</v>
      </c>
      <c r="F16" s="2">
        <v>0.86</v>
      </c>
      <c r="G16" s="2">
        <v>0.92</v>
      </c>
      <c r="H16" s="2">
        <v>0.9</v>
      </c>
      <c r="I16" s="2">
        <v>0.86</v>
      </c>
      <c r="J16" s="2">
        <v>0.9</v>
      </c>
      <c r="K16" s="2">
        <v>0.83</v>
      </c>
      <c r="L16" s="2">
        <v>0.88</v>
      </c>
      <c r="M16" s="2">
        <v>0.89</v>
      </c>
      <c r="N16" s="2">
        <v>0.83</v>
      </c>
      <c r="O16" s="2">
        <v>0.92</v>
      </c>
      <c r="P16" s="2">
        <f t="shared" ref="P16:P18" si="4">_xlfn.LET(_xlpm.d,D16:O16,MAX(_xlpm.d))</f>
        <v>0.92</v>
      </c>
      <c r="Q16">
        <v>3</v>
      </c>
    </row>
    <row r="17" spans="1:17" ht="27" customHeight="1">
      <c r="A17" t="s">
        <v>10</v>
      </c>
      <c r="B17" t="s">
        <v>6</v>
      </c>
      <c r="C17" t="s">
        <v>1</v>
      </c>
      <c r="D17" s="2">
        <v>0.9</v>
      </c>
      <c r="E17" s="2">
        <v>0.94</v>
      </c>
      <c r="F17" s="2">
        <v>0.87</v>
      </c>
      <c r="G17" s="2">
        <v>0.93</v>
      </c>
      <c r="H17" s="2">
        <v>0.92</v>
      </c>
      <c r="I17" s="2">
        <v>0.93</v>
      </c>
      <c r="J17" s="2">
        <v>0.93</v>
      </c>
      <c r="K17" s="2">
        <v>0.93</v>
      </c>
      <c r="L17" s="2">
        <v>0.92</v>
      </c>
      <c r="M17" s="2">
        <v>0.93</v>
      </c>
      <c r="N17" s="2">
        <v>0.93</v>
      </c>
      <c r="O17" s="2">
        <v>0.95</v>
      </c>
      <c r="P17" s="2">
        <f t="shared" si="4"/>
        <v>0.95</v>
      </c>
      <c r="Q17">
        <v>2</v>
      </c>
    </row>
    <row r="18" spans="1:17" ht="27" customHeight="1">
      <c r="A18" t="s">
        <v>10</v>
      </c>
      <c r="B18" t="s">
        <v>6</v>
      </c>
      <c r="C18" t="s">
        <v>14</v>
      </c>
      <c r="D18" s="2">
        <v>0.92</v>
      </c>
      <c r="E18" s="2">
        <v>0.95</v>
      </c>
      <c r="F18" s="2">
        <v>0.91</v>
      </c>
      <c r="G18" s="2">
        <v>0.95</v>
      </c>
      <c r="H18" s="2">
        <v>0.94</v>
      </c>
      <c r="I18" s="2">
        <v>0.94</v>
      </c>
      <c r="J18" s="2">
        <v>0.93</v>
      </c>
      <c r="K18" s="2">
        <v>0.96</v>
      </c>
      <c r="L18" s="2">
        <v>0.93</v>
      </c>
      <c r="M18" s="2">
        <v>0.94</v>
      </c>
      <c r="N18" s="2">
        <v>0.93</v>
      </c>
      <c r="O18" s="2">
        <v>0.95</v>
      </c>
      <c r="P18" s="2">
        <f t="shared" si="4"/>
        <v>0.96</v>
      </c>
      <c r="Q18">
        <v>1</v>
      </c>
    </row>
    <row r="19" spans="1:17" ht="27" customHeight="1">
      <c r="C19" t="s">
        <v>11</v>
      </c>
      <c r="D19" s="2">
        <f>_xlfn.LET(_xlpm.d,D16:D18,MAX(_xlpm.d))</f>
        <v>0.92</v>
      </c>
      <c r="E19" s="2">
        <f t="shared" ref="E19:P19" si="5">_xlfn.LET(_xlpm.d,E16:E18,MAX(_xlpm.d))</f>
        <v>0.95</v>
      </c>
      <c r="F19" s="2">
        <f t="shared" si="5"/>
        <v>0.91</v>
      </c>
      <c r="G19" s="2">
        <f t="shared" si="5"/>
        <v>0.95</v>
      </c>
      <c r="H19" s="2">
        <f t="shared" si="5"/>
        <v>0.94</v>
      </c>
      <c r="I19" s="2">
        <f t="shared" si="5"/>
        <v>0.94</v>
      </c>
      <c r="J19" s="2">
        <f t="shared" si="5"/>
        <v>0.93</v>
      </c>
      <c r="K19" s="2">
        <f t="shared" si="5"/>
        <v>0.96</v>
      </c>
      <c r="L19" s="2">
        <f t="shared" si="5"/>
        <v>0.93</v>
      </c>
      <c r="M19" s="2">
        <f t="shared" si="5"/>
        <v>0.94</v>
      </c>
      <c r="N19" s="2">
        <f t="shared" si="5"/>
        <v>0.93</v>
      </c>
      <c r="O19" s="2">
        <f t="shared" si="5"/>
        <v>0.95</v>
      </c>
      <c r="P19" s="2">
        <f t="shared" si="5"/>
        <v>0.96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13</v>
      </c>
    </row>
    <row r="23" spans="1:17" ht="27" customHeight="1">
      <c r="A23" t="s">
        <v>10</v>
      </c>
      <c r="B23" t="s">
        <v>8</v>
      </c>
      <c r="C23" t="s">
        <v>0</v>
      </c>
      <c r="D23" s="2">
        <v>0.88</v>
      </c>
      <c r="E23" s="2">
        <v>0.92</v>
      </c>
      <c r="F23" s="2">
        <v>0.82</v>
      </c>
      <c r="G23" s="2">
        <v>0.88</v>
      </c>
      <c r="H23" s="2">
        <v>0.86</v>
      </c>
      <c r="I23" s="2">
        <v>0.92</v>
      </c>
      <c r="J23" s="2">
        <v>0.9</v>
      </c>
      <c r="K23" s="2">
        <v>0.9</v>
      </c>
      <c r="L23" s="2">
        <v>0.91</v>
      </c>
      <c r="M23" s="2">
        <v>0.93</v>
      </c>
      <c r="N23" s="2">
        <v>0.87</v>
      </c>
      <c r="O23" s="2">
        <v>0.9</v>
      </c>
      <c r="P23" s="2">
        <f t="shared" ref="P23:P25" si="6">_xlfn.LET(_xlpm.d,D23:O23,MAX(_xlpm.d))</f>
        <v>0.93</v>
      </c>
      <c r="Q23">
        <v>3</v>
      </c>
    </row>
    <row r="24" spans="1:17" ht="27" customHeight="1">
      <c r="A24" t="s">
        <v>10</v>
      </c>
      <c r="B24" t="s">
        <v>8</v>
      </c>
      <c r="C24" t="s">
        <v>1</v>
      </c>
      <c r="D24" s="2">
        <v>0.9</v>
      </c>
      <c r="E24" s="2">
        <v>0.94</v>
      </c>
      <c r="F24" s="2">
        <v>0.88</v>
      </c>
      <c r="G24" s="2">
        <v>0.92</v>
      </c>
      <c r="H24" s="2">
        <v>0.92</v>
      </c>
      <c r="I24" s="2">
        <v>0.92</v>
      </c>
      <c r="J24" s="2">
        <v>0.91</v>
      </c>
      <c r="K24" s="2">
        <v>0.91</v>
      </c>
      <c r="L24" s="2">
        <v>0.91</v>
      </c>
      <c r="M24" s="2">
        <v>0.93</v>
      </c>
      <c r="N24" s="2">
        <v>0.9</v>
      </c>
      <c r="O24" s="2">
        <v>0.93</v>
      </c>
      <c r="P24" s="2">
        <f t="shared" si="6"/>
        <v>0.94</v>
      </c>
      <c r="Q24">
        <v>2</v>
      </c>
    </row>
    <row r="25" spans="1:17" ht="27" customHeight="1">
      <c r="A25" t="s">
        <v>10</v>
      </c>
      <c r="B25" t="s">
        <v>8</v>
      </c>
      <c r="C25" t="s">
        <v>14</v>
      </c>
      <c r="D25" s="2">
        <v>0.95</v>
      </c>
      <c r="E25" s="2">
        <v>0.93</v>
      </c>
      <c r="F25" s="2">
        <v>0.88</v>
      </c>
      <c r="G25" s="2">
        <v>0.95</v>
      </c>
      <c r="H25" s="2">
        <v>0.93</v>
      </c>
      <c r="I25" s="2">
        <v>0.93</v>
      </c>
      <c r="J25" s="2">
        <v>0.94</v>
      </c>
      <c r="K25" s="2">
        <v>0.95</v>
      </c>
      <c r="L25" s="2">
        <v>0.92</v>
      </c>
      <c r="M25" s="2">
        <v>0.94</v>
      </c>
      <c r="N25" s="2">
        <v>0.93</v>
      </c>
      <c r="O25" s="2">
        <v>0.94</v>
      </c>
      <c r="P25" s="2">
        <f t="shared" si="6"/>
        <v>0.95</v>
      </c>
      <c r="Q25">
        <v>1</v>
      </c>
    </row>
    <row r="26" spans="1:17" ht="27" customHeight="1">
      <c r="C26" t="s">
        <v>11</v>
      </c>
      <c r="D26" s="2">
        <f>_xlfn.LET(_xlpm.d,D23:D25,MAX(_xlpm.d))</f>
        <v>0.95</v>
      </c>
      <c r="E26" s="2">
        <f t="shared" ref="E26:P26" si="7">_xlfn.LET(_xlpm.d,E23:E25,MAX(_xlpm.d))</f>
        <v>0.94</v>
      </c>
      <c r="F26" s="2">
        <f t="shared" si="7"/>
        <v>0.88</v>
      </c>
      <c r="G26" s="2">
        <f t="shared" si="7"/>
        <v>0.95</v>
      </c>
      <c r="H26" s="2">
        <f t="shared" si="7"/>
        <v>0.93</v>
      </c>
      <c r="I26" s="2">
        <f t="shared" si="7"/>
        <v>0.93</v>
      </c>
      <c r="J26" s="2">
        <f t="shared" si="7"/>
        <v>0.94</v>
      </c>
      <c r="K26" s="2">
        <f t="shared" si="7"/>
        <v>0.95</v>
      </c>
      <c r="L26" s="2">
        <f t="shared" si="7"/>
        <v>0.92</v>
      </c>
      <c r="M26" s="2">
        <f t="shared" si="7"/>
        <v>0.94</v>
      </c>
      <c r="N26" s="2">
        <f t="shared" si="7"/>
        <v>0.93</v>
      </c>
      <c r="O26" s="2">
        <f t="shared" si="7"/>
        <v>0.94</v>
      </c>
      <c r="P26" s="2">
        <f t="shared" si="7"/>
        <v>0.95</v>
      </c>
    </row>
    <row r="29" spans="1:17" ht="27" customHeight="1">
      <c r="C29" t="s">
        <v>2</v>
      </c>
      <c r="D29" t="str">
        <f>D$1</f>
        <v>2g</v>
      </c>
      <c r="E29" t="str">
        <f t="shared" ref="E29:N29" si="8">E$1</f>
        <v>3g</v>
      </c>
      <c r="F29" t="str">
        <f t="shared" si="8"/>
        <v>4g</v>
      </c>
      <c r="G29" t="str">
        <f t="shared" si="8"/>
        <v>sk2g</v>
      </c>
      <c r="H29" t="str">
        <f t="shared" si="8"/>
        <v>sk3g</v>
      </c>
      <c r="I29" t="str">
        <f t="shared" si="8"/>
        <v>sk4g</v>
      </c>
      <c r="J29" t="str">
        <f t="shared" si="8"/>
        <v>2g-hash</v>
      </c>
      <c r="K29" t="str">
        <f t="shared" si="8"/>
        <v>3g-hash</v>
      </c>
      <c r="L29" t="str">
        <f t="shared" si="8"/>
        <v>4g-hash</v>
      </c>
      <c r="M29" t="str">
        <f t="shared" si="8"/>
        <v>sk2g-hash</v>
      </c>
      <c r="N29" t="str">
        <f t="shared" si="8"/>
        <v>sk3g-hash</v>
      </c>
      <c r="O29" t="str">
        <f>O$1</f>
        <v>sk4g-hash</v>
      </c>
    </row>
    <row r="30" spans="1:17" ht="27" customHeight="1">
      <c r="C30" t="s">
        <v>9</v>
      </c>
      <c r="D30" s="2">
        <f t="shared" ref="D30:P30" si="9">D5</f>
        <v>0.77</v>
      </c>
      <c r="E30" s="2">
        <f t="shared" si="9"/>
        <v>0.81</v>
      </c>
      <c r="F30" s="2">
        <f t="shared" si="9"/>
        <v>0.81</v>
      </c>
      <c r="G30" s="2">
        <f t="shared" si="9"/>
        <v>0.82</v>
      </c>
      <c r="H30" s="2">
        <f t="shared" si="9"/>
        <v>0.82</v>
      </c>
      <c r="I30" s="2">
        <f t="shared" si="9"/>
        <v>0.84</v>
      </c>
      <c r="J30" s="2">
        <f t="shared" si="9"/>
        <v>0.8</v>
      </c>
      <c r="K30" s="2">
        <f t="shared" si="9"/>
        <v>0.82</v>
      </c>
      <c r="L30" s="2">
        <f t="shared" si="9"/>
        <v>0.76</v>
      </c>
      <c r="M30" s="2">
        <f t="shared" si="9"/>
        <v>0.8</v>
      </c>
      <c r="N30" s="2">
        <f t="shared" si="9"/>
        <v>0.79</v>
      </c>
      <c r="O30" s="2">
        <f t="shared" si="9"/>
        <v>0.8</v>
      </c>
      <c r="P30" s="2">
        <f t="shared" si="9"/>
        <v>0.84</v>
      </c>
    </row>
    <row r="31" spans="1:17" ht="27" customHeight="1">
      <c r="C31" t="s">
        <v>12</v>
      </c>
      <c r="D31" s="2">
        <f t="shared" ref="D31:P31" si="10">D19</f>
        <v>0.92</v>
      </c>
      <c r="E31" s="2">
        <f t="shared" si="10"/>
        <v>0.95</v>
      </c>
      <c r="F31" s="2">
        <f t="shared" si="10"/>
        <v>0.91</v>
      </c>
      <c r="G31" s="2">
        <f t="shared" si="10"/>
        <v>0.95</v>
      </c>
      <c r="H31" s="2">
        <f t="shared" si="10"/>
        <v>0.94</v>
      </c>
      <c r="I31" s="2">
        <f t="shared" si="10"/>
        <v>0.94</v>
      </c>
      <c r="J31" s="2">
        <f t="shared" si="10"/>
        <v>0.93</v>
      </c>
      <c r="K31" s="2">
        <f t="shared" si="10"/>
        <v>0.96</v>
      </c>
      <c r="L31" s="2">
        <f t="shared" si="10"/>
        <v>0.93</v>
      </c>
      <c r="M31" s="2">
        <f t="shared" si="10"/>
        <v>0.94</v>
      </c>
      <c r="N31" s="2">
        <f t="shared" si="10"/>
        <v>0.93</v>
      </c>
      <c r="O31" s="2">
        <f t="shared" si="10"/>
        <v>0.95</v>
      </c>
      <c r="P31" s="2">
        <f t="shared" si="10"/>
        <v>0.96</v>
      </c>
    </row>
  </sheetData>
  <conditionalFormatting sqref="D2:P5 D16:P19 D23:P26 D9:P12">
    <cfRule type="colorScale" priority="1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4580-AF10-CC42-8CB6-BC924986C79F}">
  <dimension ref="A1:AC32"/>
  <sheetViews>
    <sheetView workbookViewId="0">
      <pane xSplit="4560" ySplit="3680" activePane="topRight"/>
      <selection activeCell="A28" sqref="A28"/>
      <selection pane="topRight" activeCell="G3" sqref="G3"/>
      <selection pane="bottomLeft" activeCell="A28" sqref="A28:XFD29"/>
      <selection pane="bottomRight" activeCell="D23" sqref="D23:P26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</cols>
  <sheetData>
    <row r="1" spans="1:29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9" ht="27" customHeight="1">
      <c r="A2" t="s">
        <v>9</v>
      </c>
      <c r="B2" t="s">
        <v>6</v>
      </c>
      <c r="C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>
        <f t="shared" ref="P2:P4" si="0">_xlfn.LET(_xlpm.d,D2:O2,MAX(_xlpm.d))</f>
        <v>0</v>
      </c>
    </row>
    <row r="3" spans="1:29" ht="27" customHeight="1">
      <c r="A3" t="s">
        <v>9</v>
      </c>
      <c r="B3" t="s">
        <v>6</v>
      </c>
      <c r="C3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f t="shared" si="0"/>
        <v>0</v>
      </c>
    </row>
    <row r="4" spans="1:29" ht="27" customHeight="1">
      <c r="A4" t="s">
        <v>9</v>
      </c>
      <c r="B4" t="s">
        <v>6</v>
      </c>
      <c r="C4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f t="shared" si="0"/>
        <v>0</v>
      </c>
    </row>
    <row r="5" spans="1:29" ht="27" customHeight="1">
      <c r="C5" t="s">
        <v>11</v>
      </c>
      <c r="D5" s="2">
        <f>_xlfn.LET(_xlpm.d,D2:D4,MAX(_xlpm.d))</f>
        <v>0</v>
      </c>
      <c r="E5" s="2">
        <f t="shared" ref="E5:P5" si="1">_xlfn.LET(_xlpm.d,E2:E4,MAX(_xlpm.d))</f>
        <v>0</v>
      </c>
      <c r="F5" s="2">
        <f t="shared" si="1"/>
        <v>0</v>
      </c>
      <c r="G5" s="2">
        <f t="shared" si="1"/>
        <v>0</v>
      </c>
      <c r="H5" s="2">
        <f t="shared" si="1"/>
        <v>0</v>
      </c>
      <c r="I5" s="2">
        <f t="shared" si="1"/>
        <v>0</v>
      </c>
      <c r="J5" s="2">
        <f t="shared" si="1"/>
        <v>0</v>
      </c>
      <c r="K5" s="2">
        <f t="shared" si="1"/>
        <v>0</v>
      </c>
      <c r="L5" s="2">
        <f t="shared" si="1"/>
        <v>0</v>
      </c>
      <c r="M5" s="2">
        <f t="shared" si="1"/>
        <v>0</v>
      </c>
      <c r="N5" s="2">
        <f t="shared" si="1"/>
        <v>0</v>
      </c>
      <c r="O5" s="2">
        <f t="shared" si="1"/>
        <v>0</v>
      </c>
      <c r="P5" s="2">
        <f t="shared" si="1"/>
        <v>0</v>
      </c>
    </row>
    <row r="8" spans="1:29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" customHeight="1">
      <c r="A9" t="s">
        <v>9</v>
      </c>
      <c r="B9" t="s">
        <v>8</v>
      </c>
      <c r="C9" t="s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f>_xlfn.LET(_xlpm.d,D9:O9,MAX(_xlpm.d))</f>
        <v>0</v>
      </c>
    </row>
    <row r="10" spans="1:29" ht="27" customHeight="1">
      <c r="A10" t="s">
        <v>9</v>
      </c>
      <c r="B10" t="s">
        <v>8</v>
      </c>
      <c r="C10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 t="shared" ref="P10:P11" si="2">_xlfn.LET(_xlpm.d,D10:O10,MAX(_xlpm.d))</f>
        <v>0</v>
      </c>
    </row>
    <row r="11" spans="1:29" ht="27" customHeight="1">
      <c r="A11" t="s">
        <v>9</v>
      </c>
      <c r="B11" t="s">
        <v>8</v>
      </c>
      <c r="C11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 t="shared" si="2"/>
        <v>0</v>
      </c>
    </row>
    <row r="12" spans="1:29" ht="27" customHeight="1">
      <c r="C12" t="s">
        <v>11</v>
      </c>
      <c r="D12" s="2">
        <f>_xlfn.LET(_xlpm.d,D9:D11,MAX(_xlpm.d))</f>
        <v>0</v>
      </c>
      <c r="E12" s="2">
        <f t="shared" ref="E12:P12" si="3">_xlfn.LET(_xlpm.d,E9:E11,MAX(_xlpm.d))</f>
        <v>0</v>
      </c>
      <c r="F12" s="2">
        <f t="shared" si="3"/>
        <v>0</v>
      </c>
      <c r="G12" s="2">
        <f t="shared" si="3"/>
        <v>0</v>
      </c>
      <c r="H12" s="2">
        <f t="shared" si="3"/>
        <v>0</v>
      </c>
      <c r="I12" s="2">
        <f t="shared" si="3"/>
        <v>0</v>
      </c>
      <c r="J12" s="2">
        <f t="shared" si="3"/>
        <v>0</v>
      </c>
      <c r="K12" s="2">
        <f t="shared" si="3"/>
        <v>0</v>
      </c>
      <c r="L12" s="2">
        <f t="shared" si="3"/>
        <v>0</v>
      </c>
      <c r="M12" s="2">
        <f t="shared" si="3"/>
        <v>0</v>
      </c>
      <c r="N12" s="2">
        <f t="shared" si="3"/>
        <v>0</v>
      </c>
      <c r="O12" s="2">
        <f t="shared" si="3"/>
        <v>0</v>
      </c>
      <c r="P12" s="2">
        <f t="shared" si="3"/>
        <v>0</v>
      </c>
    </row>
    <row r="15" spans="1:29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9" ht="27" customHeight="1">
      <c r="A16" t="s">
        <v>10</v>
      </c>
      <c r="B16" t="s">
        <v>6</v>
      </c>
      <c r="C16" t="s"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f t="shared" ref="P16:P18" si="4">_xlfn.LET(_xlpm.d,D16:O16,MAX(_xlpm.d))</f>
        <v>0</v>
      </c>
    </row>
    <row r="17" spans="1:17" ht="27" customHeight="1">
      <c r="A17" t="s">
        <v>10</v>
      </c>
      <c r="B17" t="s">
        <v>6</v>
      </c>
      <c r="C17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f t="shared" si="4"/>
        <v>0</v>
      </c>
    </row>
    <row r="18" spans="1:17" ht="27" customHeight="1">
      <c r="A18" t="s">
        <v>10</v>
      </c>
      <c r="B18" t="s">
        <v>6</v>
      </c>
      <c r="C18" t="s">
        <v>14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f t="shared" si="4"/>
        <v>0</v>
      </c>
    </row>
    <row r="19" spans="1:17" ht="27" customHeight="1">
      <c r="C19" t="s">
        <v>11</v>
      </c>
      <c r="D19" s="2">
        <f>_xlfn.LET(_xlpm.d,D16:D18,MAX(_xlpm.d))</f>
        <v>0</v>
      </c>
      <c r="E19" s="2">
        <f t="shared" ref="E19:P19" si="5">_xlfn.LET(_xlpm.d,E16:E18,MAX(_xlpm.d))</f>
        <v>0</v>
      </c>
      <c r="F19" s="2">
        <f t="shared" si="5"/>
        <v>0</v>
      </c>
      <c r="G19" s="2">
        <f t="shared" si="5"/>
        <v>0</v>
      </c>
      <c r="H19" s="2">
        <f t="shared" si="5"/>
        <v>0</v>
      </c>
      <c r="I19" s="2">
        <f t="shared" si="5"/>
        <v>0</v>
      </c>
      <c r="J19" s="2">
        <f t="shared" si="5"/>
        <v>0</v>
      </c>
      <c r="K19" s="2">
        <f t="shared" si="5"/>
        <v>0</v>
      </c>
      <c r="L19" s="2">
        <f t="shared" si="5"/>
        <v>0</v>
      </c>
      <c r="M19" s="2">
        <f t="shared" si="5"/>
        <v>0</v>
      </c>
      <c r="N19" s="2">
        <f t="shared" si="5"/>
        <v>0</v>
      </c>
      <c r="O19" s="2">
        <f t="shared" si="5"/>
        <v>0</v>
      </c>
      <c r="P19" s="2">
        <f t="shared" si="5"/>
        <v>0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 t="shared" ref="P23:P25" si="6">_xlfn.LET(_xlpm.d,D23:O23,MAX(_xlpm.d))</f>
        <v>0</v>
      </c>
    </row>
    <row r="24" spans="1:17" ht="27" customHeight="1">
      <c r="A24" t="s">
        <v>10</v>
      </c>
      <c r="B24" t="s">
        <v>8</v>
      </c>
      <c r="C24" t="s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 t="shared" si="6"/>
        <v>0</v>
      </c>
    </row>
    <row r="25" spans="1:17" ht="27" customHeight="1">
      <c r="A25" t="s">
        <v>10</v>
      </c>
      <c r="B25" t="s">
        <v>8</v>
      </c>
      <c r="C25" t="s">
        <v>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 t="shared" si="6"/>
        <v>0</v>
      </c>
    </row>
    <row r="26" spans="1:17" ht="27" customHeight="1">
      <c r="C26" t="s">
        <v>11</v>
      </c>
      <c r="D26" s="2">
        <f>_xlfn.LET(_xlpm.d,D23:D25,MAX(_xlpm.d))</f>
        <v>0</v>
      </c>
      <c r="E26" s="2">
        <f t="shared" ref="E26:P26" si="7">_xlfn.LET(_xlpm.d,E23:E25,MAX(_xlpm.d))</f>
        <v>0</v>
      </c>
      <c r="F26" s="2">
        <f t="shared" si="7"/>
        <v>0</v>
      </c>
      <c r="G26" s="2">
        <f t="shared" si="7"/>
        <v>0</v>
      </c>
      <c r="H26" s="2">
        <f t="shared" si="7"/>
        <v>0</v>
      </c>
      <c r="I26" s="2">
        <f t="shared" si="7"/>
        <v>0</v>
      </c>
      <c r="J26" s="2">
        <f t="shared" si="7"/>
        <v>0</v>
      </c>
      <c r="K26" s="2">
        <f t="shared" si="7"/>
        <v>0</v>
      </c>
      <c r="L26" s="2">
        <f t="shared" si="7"/>
        <v>0</v>
      </c>
      <c r="M26" s="2">
        <f t="shared" si="7"/>
        <v>0</v>
      </c>
      <c r="N26" s="2">
        <f t="shared" si="7"/>
        <v>0</v>
      </c>
      <c r="O26" s="2">
        <f t="shared" si="7"/>
        <v>0</v>
      </c>
      <c r="P26" s="2">
        <f t="shared" si="7"/>
        <v>0</v>
      </c>
    </row>
    <row r="30" spans="1:17" ht="27" customHeight="1">
      <c r="C30" t="s">
        <v>2</v>
      </c>
      <c r="D30" t="str">
        <f>D$1</f>
        <v>2g</v>
      </c>
      <c r="E30" t="str">
        <f t="shared" ref="E30:N30" si="8">E$1</f>
        <v>3g</v>
      </c>
      <c r="F30" t="str">
        <f t="shared" si="8"/>
        <v>4g</v>
      </c>
      <c r="G30" t="str">
        <f t="shared" si="8"/>
        <v>sk2g</v>
      </c>
      <c r="H30" t="str">
        <f t="shared" si="8"/>
        <v>sk3g</v>
      </c>
      <c r="I30" t="str">
        <f t="shared" si="8"/>
        <v>sk4g</v>
      </c>
      <c r="J30" t="str">
        <f t="shared" si="8"/>
        <v>2g-hash</v>
      </c>
      <c r="K30" t="str">
        <f t="shared" si="8"/>
        <v>3g-hash</v>
      </c>
      <c r="L30" t="str">
        <f t="shared" si="8"/>
        <v>4g-hash</v>
      </c>
      <c r="M30" t="str">
        <f t="shared" si="8"/>
        <v>sk2g-hash</v>
      </c>
      <c r="N30" t="str">
        <f t="shared" si="8"/>
        <v>sk3g-hash</v>
      </c>
      <c r="O30" t="str">
        <f>O$1</f>
        <v>sk4g-hash</v>
      </c>
    </row>
    <row r="31" spans="1:17" ht="27" customHeight="1">
      <c r="C31" t="s">
        <v>9</v>
      </c>
      <c r="D31" s="2">
        <f t="shared" ref="D31:P31" si="9">D5</f>
        <v>0</v>
      </c>
      <c r="E31" s="2">
        <f t="shared" si="9"/>
        <v>0</v>
      </c>
      <c r="F31" s="2">
        <f t="shared" si="9"/>
        <v>0</v>
      </c>
      <c r="G31" s="2">
        <f t="shared" si="9"/>
        <v>0</v>
      </c>
      <c r="H31" s="2">
        <f t="shared" si="9"/>
        <v>0</v>
      </c>
      <c r="I31" s="2">
        <f t="shared" si="9"/>
        <v>0</v>
      </c>
      <c r="J31" s="2">
        <f t="shared" si="9"/>
        <v>0</v>
      </c>
      <c r="K31" s="2">
        <f t="shared" si="9"/>
        <v>0</v>
      </c>
      <c r="L31" s="2">
        <f t="shared" si="9"/>
        <v>0</v>
      </c>
      <c r="M31" s="2">
        <f t="shared" si="9"/>
        <v>0</v>
      </c>
      <c r="N31" s="2">
        <f t="shared" si="9"/>
        <v>0</v>
      </c>
      <c r="O31" s="2">
        <f t="shared" si="9"/>
        <v>0</v>
      </c>
      <c r="P31" s="2">
        <f t="shared" si="9"/>
        <v>0</v>
      </c>
    </row>
    <row r="32" spans="1:17" ht="27" customHeight="1">
      <c r="C32" t="s">
        <v>12</v>
      </c>
      <c r="D32" s="2">
        <f t="shared" ref="D32:P32" si="10">D19</f>
        <v>0</v>
      </c>
      <c r="E32" s="2">
        <f t="shared" si="10"/>
        <v>0</v>
      </c>
      <c r="F32" s="2">
        <f t="shared" si="10"/>
        <v>0</v>
      </c>
      <c r="G32" s="2">
        <f t="shared" si="10"/>
        <v>0</v>
      </c>
      <c r="H32" s="2">
        <f t="shared" si="10"/>
        <v>0</v>
      </c>
      <c r="I32" s="2">
        <f t="shared" si="10"/>
        <v>0</v>
      </c>
      <c r="J32" s="2">
        <f t="shared" si="10"/>
        <v>0</v>
      </c>
      <c r="K32" s="2">
        <f t="shared" si="10"/>
        <v>0</v>
      </c>
      <c r="L32" s="2">
        <f t="shared" si="10"/>
        <v>0</v>
      </c>
      <c r="M32" s="2">
        <f t="shared" si="10"/>
        <v>0</v>
      </c>
      <c r="N32" s="2">
        <f t="shared" si="10"/>
        <v>0</v>
      </c>
      <c r="O32" s="2">
        <f t="shared" si="10"/>
        <v>0</v>
      </c>
      <c r="P32" s="2">
        <f t="shared" si="10"/>
        <v>0</v>
      </c>
    </row>
  </sheetData>
  <conditionalFormatting sqref="P9:P11 P16:P18 P23:P25 D12:P12 D19:P19 D26:P26 D2:P5">
    <cfRule type="colorScale" priority="9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legacyDrawing r:id="rId2"/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16B4-D2A3-834A-9EFD-818E54689F0E}">
  <dimension ref="A1:AC47"/>
  <sheetViews>
    <sheetView workbookViewId="0">
      <pane xSplit="3320" ySplit="2600" topLeftCell="A12" activePane="bottomRight"/>
      <selection activeCell="N39" sqref="N39"/>
      <selection pane="topRight" activeCell="D1" sqref="D1:D1048576"/>
      <selection pane="bottomLeft" activeCell="A20" sqref="A20"/>
      <selection pane="bottomRight" activeCell="J16" sqref="J16:J18"/>
    </sheetView>
  </sheetViews>
  <sheetFormatPr baseColWidth="10" defaultRowHeight="27" customHeight="1"/>
  <cols>
    <col min="1" max="1" width="8.375" customWidth="1"/>
    <col min="2" max="2" width="8.75" customWidth="1"/>
    <col min="3" max="3" width="8.5" customWidth="1"/>
    <col min="4" max="9" width="7.375" customWidth="1"/>
    <col min="10" max="12" width="9.375" customWidth="1"/>
    <col min="13" max="15" width="11.25" customWidth="1"/>
    <col min="16" max="16" width="9.75" customWidth="1"/>
  </cols>
  <sheetData>
    <row r="1" spans="1:29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9" ht="27" customHeight="1">
      <c r="A2" t="s">
        <v>9</v>
      </c>
      <c r="B2" t="s">
        <v>6</v>
      </c>
      <c r="C2" t="s">
        <v>0</v>
      </c>
      <c r="D2" s="2">
        <v>0.56999999999999995</v>
      </c>
      <c r="E2" s="2">
        <v>0.5</v>
      </c>
      <c r="F2" s="2">
        <v>0.57999999999999996</v>
      </c>
      <c r="G2" s="2">
        <v>0.47</v>
      </c>
      <c r="H2" s="2">
        <v>0.48</v>
      </c>
      <c r="I2" s="2">
        <v>0.53</v>
      </c>
      <c r="J2" s="2">
        <v>0.54</v>
      </c>
      <c r="K2" s="2">
        <v>0.46</v>
      </c>
      <c r="L2" s="2">
        <v>0.54</v>
      </c>
      <c r="M2" s="2">
        <v>0.51</v>
      </c>
      <c r="N2" s="2">
        <v>0.5</v>
      </c>
      <c r="O2" s="2">
        <v>0.53</v>
      </c>
      <c r="P2" s="2">
        <f t="shared" ref="P2:P4" si="0">_xlfn.LET(_xlpm.d,D2:O2,MAX(_xlpm.d))</f>
        <v>0.57999999999999996</v>
      </c>
    </row>
    <row r="3" spans="1:29" ht="27" customHeight="1">
      <c r="A3" t="s">
        <v>9</v>
      </c>
      <c r="B3" t="s">
        <v>6</v>
      </c>
      <c r="C3" t="s">
        <v>1</v>
      </c>
      <c r="D3" s="2">
        <v>0.62</v>
      </c>
      <c r="E3" s="2">
        <v>0.51</v>
      </c>
      <c r="F3" s="2">
        <v>0.63</v>
      </c>
      <c r="G3" s="2">
        <v>0.59</v>
      </c>
      <c r="H3" s="2">
        <v>0.61</v>
      </c>
      <c r="I3" s="2">
        <v>0.59</v>
      </c>
      <c r="J3" s="2">
        <v>0.61</v>
      </c>
      <c r="K3" s="2">
        <v>0.56999999999999995</v>
      </c>
      <c r="L3" s="2">
        <v>0.68</v>
      </c>
      <c r="M3" s="2">
        <v>0.57999999999999996</v>
      </c>
      <c r="N3" s="2">
        <v>0.52</v>
      </c>
      <c r="O3" s="2">
        <v>0.59</v>
      </c>
      <c r="P3" s="2">
        <f t="shared" si="0"/>
        <v>0.68</v>
      </c>
    </row>
    <row r="4" spans="1:29" ht="27" customHeight="1">
      <c r="A4" t="s">
        <v>9</v>
      </c>
      <c r="B4" t="s">
        <v>6</v>
      </c>
      <c r="C4" t="s">
        <v>14</v>
      </c>
      <c r="D4" s="2">
        <v>0.54</v>
      </c>
      <c r="E4" s="2">
        <v>0.56000000000000005</v>
      </c>
      <c r="F4" s="2">
        <v>0.56000000000000005</v>
      </c>
      <c r="G4" s="2">
        <v>0.55000000000000004</v>
      </c>
      <c r="H4" s="2">
        <v>0.59</v>
      </c>
      <c r="I4" s="2">
        <v>0.56999999999999995</v>
      </c>
      <c r="J4" s="2">
        <v>0.6</v>
      </c>
      <c r="K4" s="2">
        <v>0.54</v>
      </c>
      <c r="L4" s="2">
        <v>0.59</v>
      </c>
      <c r="M4" s="2">
        <v>0.53</v>
      </c>
      <c r="N4" s="2">
        <v>0.54</v>
      </c>
      <c r="O4" s="2">
        <v>0.65</v>
      </c>
      <c r="P4" s="2">
        <f t="shared" si="0"/>
        <v>0.65</v>
      </c>
    </row>
    <row r="5" spans="1:29" ht="27" customHeight="1">
      <c r="C5" t="s">
        <v>11</v>
      </c>
      <c r="D5" s="2">
        <f>_xlfn.LET(_xlpm.d,D2:D4,MAX(_xlpm.d))</f>
        <v>0.62</v>
      </c>
      <c r="E5" s="2">
        <f t="shared" ref="E5:P5" si="1">_xlfn.LET(_xlpm.d,E2:E4,MAX(_xlpm.d))</f>
        <v>0.56000000000000005</v>
      </c>
      <c r="F5" s="2">
        <f t="shared" si="1"/>
        <v>0.63</v>
      </c>
      <c r="G5" s="2">
        <f t="shared" si="1"/>
        <v>0.59</v>
      </c>
      <c r="H5" s="2">
        <f t="shared" si="1"/>
        <v>0.61</v>
      </c>
      <c r="I5" s="2">
        <f t="shared" si="1"/>
        <v>0.59</v>
      </c>
      <c r="J5" s="2">
        <f t="shared" si="1"/>
        <v>0.61</v>
      </c>
      <c r="K5" s="2">
        <f t="shared" si="1"/>
        <v>0.56999999999999995</v>
      </c>
      <c r="L5" s="2">
        <f t="shared" si="1"/>
        <v>0.68</v>
      </c>
      <c r="M5" s="2">
        <f t="shared" si="1"/>
        <v>0.57999999999999996</v>
      </c>
      <c r="N5" s="2">
        <f t="shared" si="1"/>
        <v>0.54</v>
      </c>
      <c r="O5" s="2">
        <f t="shared" si="1"/>
        <v>0.65</v>
      </c>
      <c r="P5" s="2">
        <f t="shared" si="1"/>
        <v>0.68</v>
      </c>
    </row>
    <row r="8" spans="1:29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" customHeight="1">
      <c r="A9" t="s">
        <v>9</v>
      </c>
      <c r="B9" t="s">
        <v>8</v>
      </c>
      <c r="C9" t="s">
        <v>0</v>
      </c>
      <c r="D9" s="2">
        <v>0.49</v>
      </c>
      <c r="E9" s="2">
        <v>0.56000000000000005</v>
      </c>
      <c r="F9" s="2">
        <v>0.52</v>
      </c>
      <c r="G9" s="2">
        <v>0.52</v>
      </c>
      <c r="H9" s="2">
        <v>0.54</v>
      </c>
      <c r="I9" s="2">
        <v>0.54</v>
      </c>
      <c r="J9" s="2">
        <v>0.51</v>
      </c>
      <c r="K9" s="2">
        <v>0.46</v>
      </c>
      <c r="L9" s="2">
        <v>0.56000000000000005</v>
      </c>
      <c r="M9" s="2">
        <v>0.54</v>
      </c>
      <c r="N9" s="2">
        <v>0.5</v>
      </c>
      <c r="O9" s="2">
        <v>0.51</v>
      </c>
      <c r="P9" s="2">
        <f>_xlfn.LET(_xlpm.d,D9:O9,MAX(_xlpm.d))</f>
        <v>0.56000000000000005</v>
      </c>
    </row>
    <row r="10" spans="1:29" ht="27" customHeight="1">
      <c r="A10" t="s">
        <v>9</v>
      </c>
      <c r="B10" t="s">
        <v>8</v>
      </c>
      <c r="C10" t="s">
        <v>1</v>
      </c>
      <c r="D10" s="2">
        <v>0.57999999999999996</v>
      </c>
      <c r="E10" s="2">
        <v>0.54</v>
      </c>
      <c r="F10" s="2">
        <v>0.6</v>
      </c>
      <c r="G10" s="2">
        <v>0.56999999999999995</v>
      </c>
      <c r="H10" s="2">
        <v>0.6</v>
      </c>
      <c r="I10" s="2">
        <v>0.56999999999999995</v>
      </c>
      <c r="J10" s="2">
        <v>0.59</v>
      </c>
      <c r="K10" s="2">
        <v>0.54</v>
      </c>
      <c r="L10" s="2">
        <v>0.6</v>
      </c>
      <c r="M10" s="2">
        <v>0.6</v>
      </c>
      <c r="N10" s="2">
        <v>0.51</v>
      </c>
      <c r="O10" s="2">
        <v>0.52</v>
      </c>
      <c r="P10" s="2">
        <f t="shared" ref="P10:P11" si="2">_xlfn.LET(_xlpm.d,D10:O10,MAX(_xlpm.d))</f>
        <v>0.6</v>
      </c>
    </row>
    <row r="11" spans="1:29" ht="27" customHeight="1">
      <c r="A11" t="s">
        <v>9</v>
      </c>
      <c r="B11" t="s">
        <v>8</v>
      </c>
      <c r="C11" t="s">
        <v>14</v>
      </c>
      <c r="D11" s="2">
        <v>0.5</v>
      </c>
      <c r="E11" s="2">
        <v>0.56999999999999995</v>
      </c>
      <c r="F11" s="2">
        <v>0.54</v>
      </c>
      <c r="G11" s="2">
        <v>0.55000000000000004</v>
      </c>
      <c r="H11" s="2">
        <v>0.57999999999999996</v>
      </c>
      <c r="I11" s="2">
        <v>0.59</v>
      </c>
      <c r="J11" s="2">
        <v>0.56999999999999995</v>
      </c>
      <c r="K11" s="2">
        <v>0.52</v>
      </c>
      <c r="L11" s="2">
        <v>0.55000000000000004</v>
      </c>
      <c r="M11" s="2">
        <v>0.52</v>
      </c>
      <c r="N11" s="2">
        <v>0.51</v>
      </c>
      <c r="O11" s="2">
        <v>0.61</v>
      </c>
      <c r="P11" s="2">
        <f t="shared" si="2"/>
        <v>0.61</v>
      </c>
    </row>
    <row r="12" spans="1:29" ht="27" customHeight="1">
      <c r="C12" t="s">
        <v>11</v>
      </c>
      <c r="D12" s="2">
        <f>_xlfn.LET(_xlpm.d,D9:D11,MAX(_xlpm.d))</f>
        <v>0.57999999999999996</v>
      </c>
      <c r="E12" s="2">
        <f t="shared" ref="E12:P12" si="3">_xlfn.LET(_xlpm.d,E9:E11,MAX(_xlpm.d))</f>
        <v>0.56999999999999995</v>
      </c>
      <c r="F12" s="2">
        <f t="shared" si="3"/>
        <v>0.6</v>
      </c>
      <c r="G12" s="2">
        <f t="shared" si="3"/>
        <v>0.56999999999999995</v>
      </c>
      <c r="H12" s="2">
        <f t="shared" si="3"/>
        <v>0.6</v>
      </c>
      <c r="I12" s="2">
        <f t="shared" si="3"/>
        <v>0.59</v>
      </c>
      <c r="J12" s="2">
        <f t="shared" si="3"/>
        <v>0.59</v>
      </c>
      <c r="K12" s="2">
        <f t="shared" si="3"/>
        <v>0.54</v>
      </c>
      <c r="L12" s="2">
        <f t="shared" si="3"/>
        <v>0.6</v>
      </c>
      <c r="M12" s="2">
        <f t="shared" si="3"/>
        <v>0.6</v>
      </c>
      <c r="N12" s="2">
        <f t="shared" si="3"/>
        <v>0.51</v>
      </c>
      <c r="O12" s="2">
        <f t="shared" si="3"/>
        <v>0.61</v>
      </c>
      <c r="P12" s="2">
        <f t="shared" si="3"/>
        <v>0.61</v>
      </c>
    </row>
    <row r="15" spans="1:29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9" ht="27" customHeight="1">
      <c r="A16" t="s">
        <v>10</v>
      </c>
      <c r="B16" t="s">
        <v>6</v>
      </c>
      <c r="C16" t="s">
        <v>0</v>
      </c>
      <c r="D16" s="2">
        <v>0.84</v>
      </c>
      <c r="E16" s="2">
        <v>0.81</v>
      </c>
      <c r="F16" s="2">
        <v>0.83</v>
      </c>
      <c r="G16" s="2">
        <v>0.81</v>
      </c>
      <c r="H16" s="2">
        <v>0.81</v>
      </c>
      <c r="I16" s="2">
        <v>0.83</v>
      </c>
      <c r="J16" s="2">
        <v>0.81</v>
      </c>
      <c r="K16" s="2">
        <v>0.83</v>
      </c>
      <c r="L16" s="2">
        <v>0.82</v>
      </c>
      <c r="M16" s="2">
        <v>0.8</v>
      </c>
      <c r="N16" s="2">
        <v>0.81</v>
      </c>
      <c r="O16" s="2">
        <v>0.82</v>
      </c>
      <c r="P16" s="2">
        <f t="shared" ref="P16:P18" si="4">_xlfn.LET(_xlpm.d,D16:O16,MAX(_xlpm.d))</f>
        <v>0.84</v>
      </c>
    </row>
    <row r="17" spans="1:17" ht="27" customHeight="1">
      <c r="A17" t="s">
        <v>10</v>
      </c>
      <c r="B17" t="s">
        <v>6</v>
      </c>
      <c r="C17" t="s">
        <v>1</v>
      </c>
      <c r="D17" s="2">
        <v>0.85</v>
      </c>
      <c r="E17" s="2">
        <v>0.88</v>
      </c>
      <c r="F17" s="2">
        <v>0.89</v>
      </c>
      <c r="G17" s="2">
        <v>0.9</v>
      </c>
      <c r="H17" s="2">
        <v>0.83</v>
      </c>
      <c r="I17" s="2">
        <v>0.86</v>
      </c>
      <c r="J17" s="2">
        <v>0.85</v>
      </c>
      <c r="K17" s="2">
        <v>0.83</v>
      </c>
      <c r="L17" s="2">
        <v>0.84</v>
      </c>
      <c r="M17" s="2">
        <v>0.84</v>
      </c>
      <c r="N17" s="2">
        <v>0.83</v>
      </c>
      <c r="O17" s="2">
        <v>0.83</v>
      </c>
      <c r="P17" s="2">
        <f t="shared" si="4"/>
        <v>0.9</v>
      </c>
    </row>
    <row r="18" spans="1:17" ht="27" customHeight="1">
      <c r="A18" t="s">
        <v>10</v>
      </c>
      <c r="B18" t="s">
        <v>6</v>
      </c>
      <c r="C18" t="s">
        <v>14</v>
      </c>
      <c r="D18" s="2">
        <v>0.83</v>
      </c>
      <c r="E18" s="2">
        <v>0.83</v>
      </c>
      <c r="F18" s="2">
        <v>0.82</v>
      </c>
      <c r="G18" s="2">
        <v>0.87</v>
      </c>
      <c r="H18" s="2">
        <v>0.78</v>
      </c>
      <c r="I18" s="2">
        <v>0.84</v>
      </c>
      <c r="J18" s="2">
        <v>0.81</v>
      </c>
      <c r="K18" s="2">
        <v>0.83</v>
      </c>
      <c r="L18" s="2">
        <v>0.8</v>
      </c>
      <c r="M18" s="2">
        <v>0.82</v>
      </c>
      <c r="N18" s="2">
        <v>0.81</v>
      </c>
      <c r="O18" s="2">
        <v>0.78</v>
      </c>
      <c r="P18" s="2">
        <f t="shared" si="4"/>
        <v>0.87</v>
      </c>
    </row>
    <row r="19" spans="1:17" ht="27" customHeight="1">
      <c r="C19" t="s">
        <v>11</v>
      </c>
      <c r="D19" s="2">
        <f>_xlfn.LET(_xlpm.d,D16:D18,MAX(_xlpm.d))</f>
        <v>0.85</v>
      </c>
      <c r="E19" s="2">
        <f t="shared" ref="E19:P19" si="5">_xlfn.LET(_xlpm.d,E16:E18,MAX(_xlpm.d))</f>
        <v>0.88</v>
      </c>
      <c r="F19" s="2">
        <f t="shared" si="5"/>
        <v>0.89</v>
      </c>
      <c r="G19" s="2">
        <f t="shared" si="5"/>
        <v>0.9</v>
      </c>
      <c r="H19" s="2">
        <f t="shared" si="5"/>
        <v>0.83</v>
      </c>
      <c r="I19" s="2">
        <f t="shared" si="5"/>
        <v>0.86</v>
      </c>
      <c r="J19" s="2">
        <f t="shared" si="5"/>
        <v>0.85</v>
      </c>
      <c r="K19" s="2">
        <f t="shared" si="5"/>
        <v>0.83</v>
      </c>
      <c r="L19" s="2">
        <f t="shared" si="5"/>
        <v>0.84</v>
      </c>
      <c r="M19" s="2">
        <f t="shared" si="5"/>
        <v>0.84</v>
      </c>
      <c r="N19" s="2">
        <f t="shared" si="5"/>
        <v>0.83</v>
      </c>
      <c r="O19" s="2">
        <f t="shared" si="5"/>
        <v>0.83</v>
      </c>
      <c r="P19" s="2">
        <f t="shared" si="5"/>
        <v>0.9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>
        <v>0.77</v>
      </c>
      <c r="E23" s="2">
        <v>0.78</v>
      </c>
      <c r="F23" s="2">
        <v>0.79</v>
      </c>
      <c r="G23" s="2">
        <v>0.83</v>
      </c>
      <c r="H23" s="2">
        <v>0.81</v>
      </c>
      <c r="I23" s="2">
        <v>0.85</v>
      </c>
      <c r="J23" s="2">
        <v>0.79</v>
      </c>
      <c r="K23" s="2">
        <v>0.76</v>
      </c>
      <c r="L23" s="2">
        <v>0.8</v>
      </c>
      <c r="M23" s="2">
        <v>0.8</v>
      </c>
      <c r="N23" s="2">
        <v>0.79</v>
      </c>
      <c r="O23" s="2">
        <v>0.81</v>
      </c>
      <c r="P23" s="2">
        <f t="shared" ref="P23:P25" si="6">_xlfn.LET(_xlpm.d,D23:O23,MAX(_xlpm.d))</f>
        <v>0.85</v>
      </c>
    </row>
    <row r="24" spans="1:17" ht="27" customHeight="1">
      <c r="A24" t="s">
        <v>10</v>
      </c>
      <c r="B24" t="s">
        <v>8</v>
      </c>
      <c r="C24" t="s">
        <v>1</v>
      </c>
      <c r="D24" s="2">
        <v>0.82</v>
      </c>
      <c r="E24" s="2">
        <v>0.81</v>
      </c>
      <c r="F24" s="2">
        <v>0.81</v>
      </c>
      <c r="G24" s="2">
        <v>0.86</v>
      </c>
      <c r="H24" s="2">
        <v>0.83</v>
      </c>
      <c r="I24" s="2">
        <v>0.83</v>
      </c>
      <c r="J24" s="2">
        <v>0.84</v>
      </c>
      <c r="K24" s="2">
        <v>0.8</v>
      </c>
      <c r="L24" s="2">
        <v>0.81</v>
      </c>
      <c r="M24" s="2">
        <v>0.81</v>
      </c>
      <c r="N24" s="2">
        <v>0.83</v>
      </c>
      <c r="O24" s="2">
        <v>0.82</v>
      </c>
      <c r="P24" s="2">
        <f t="shared" si="6"/>
        <v>0.86</v>
      </c>
    </row>
    <row r="25" spans="1:17" ht="27" customHeight="1">
      <c r="A25" t="s">
        <v>10</v>
      </c>
      <c r="B25" t="s">
        <v>8</v>
      </c>
      <c r="C25" t="s">
        <v>14</v>
      </c>
      <c r="D25" s="2">
        <v>0.78</v>
      </c>
      <c r="E25" s="2">
        <v>0.77</v>
      </c>
      <c r="F25" s="2">
        <v>0.79</v>
      </c>
      <c r="G25" s="2">
        <v>0.82</v>
      </c>
      <c r="H25" s="2">
        <v>0.79</v>
      </c>
      <c r="I25" s="2">
        <v>0.81</v>
      </c>
      <c r="J25" s="2">
        <v>0.79</v>
      </c>
      <c r="K25" s="2">
        <v>0.78</v>
      </c>
      <c r="L25" s="2">
        <v>0.74</v>
      </c>
      <c r="M25" s="2">
        <v>0.78</v>
      </c>
      <c r="N25" s="2">
        <v>0.81</v>
      </c>
      <c r="O25" s="2">
        <v>0.75</v>
      </c>
      <c r="P25" s="2">
        <f t="shared" si="6"/>
        <v>0.82</v>
      </c>
    </row>
    <row r="26" spans="1:17" ht="27" customHeight="1">
      <c r="C26" t="s">
        <v>11</v>
      </c>
      <c r="D26" s="2">
        <f>_xlfn.LET(_xlpm.d,D23:D25,MAX(_xlpm.d))</f>
        <v>0.82</v>
      </c>
      <c r="E26" s="2">
        <f t="shared" ref="E26:P26" si="7">_xlfn.LET(_xlpm.d,E23:E25,MAX(_xlpm.d))</f>
        <v>0.81</v>
      </c>
      <c r="F26" s="2">
        <f t="shared" si="7"/>
        <v>0.81</v>
      </c>
      <c r="G26" s="2">
        <f t="shared" si="7"/>
        <v>0.86</v>
      </c>
      <c r="H26" s="2">
        <f t="shared" si="7"/>
        <v>0.83</v>
      </c>
      <c r="I26" s="2">
        <f t="shared" si="7"/>
        <v>0.85</v>
      </c>
      <c r="J26" s="2">
        <f t="shared" si="7"/>
        <v>0.84</v>
      </c>
      <c r="K26" s="2">
        <f t="shared" si="7"/>
        <v>0.8</v>
      </c>
      <c r="L26" s="2">
        <f t="shared" si="7"/>
        <v>0.81</v>
      </c>
      <c r="M26" s="2">
        <f t="shared" si="7"/>
        <v>0.81</v>
      </c>
      <c r="N26" s="2">
        <f t="shared" si="7"/>
        <v>0.83</v>
      </c>
      <c r="O26" s="2">
        <f t="shared" si="7"/>
        <v>0.82</v>
      </c>
      <c r="P26" s="2">
        <f t="shared" si="7"/>
        <v>0.86</v>
      </c>
    </row>
    <row r="29" spans="1:17" ht="27" customHeight="1">
      <c r="A29" t="s">
        <v>4</v>
      </c>
      <c r="B29" t="s">
        <v>5</v>
      </c>
      <c r="C29" t="s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1" t="s">
        <v>27</v>
      </c>
      <c r="K29" s="1" t="s">
        <v>28</v>
      </c>
      <c r="L29" s="1" t="s">
        <v>29</v>
      </c>
      <c r="M29" t="s">
        <v>30</v>
      </c>
      <c r="N29" t="s">
        <v>31</v>
      </c>
      <c r="O29" t="s">
        <v>32</v>
      </c>
      <c r="P29" t="s">
        <v>11</v>
      </c>
      <c r="Q29" t="s">
        <v>7</v>
      </c>
    </row>
    <row r="30" spans="1:17" ht="27" customHeight="1">
      <c r="A30" t="s">
        <v>3</v>
      </c>
      <c r="B30" t="s">
        <v>6</v>
      </c>
      <c r="C30" t="s">
        <v>0</v>
      </c>
      <c r="D30" s="2">
        <v>0.39</v>
      </c>
      <c r="E30" s="2">
        <v>0.34</v>
      </c>
      <c r="F30" s="2">
        <v>0.34</v>
      </c>
      <c r="G30" s="2">
        <v>0.33</v>
      </c>
      <c r="H30" s="2">
        <v>0.38</v>
      </c>
      <c r="I30" s="2">
        <v>0.28999999999999998</v>
      </c>
      <c r="J30" s="2">
        <v>0.31</v>
      </c>
      <c r="K30" s="2">
        <v>0.39</v>
      </c>
      <c r="L30" s="2">
        <v>0.39</v>
      </c>
      <c r="M30" s="2">
        <v>0.37</v>
      </c>
      <c r="N30" s="2">
        <v>0.37</v>
      </c>
      <c r="O30" s="2">
        <v>0.38</v>
      </c>
      <c r="P30" s="2">
        <f t="shared" ref="P30:P32" si="8">_xlfn.LET(_xlpm.d,D30:O30,MAX(_xlpm.d))</f>
        <v>0.39</v>
      </c>
    </row>
    <row r="31" spans="1:17" ht="27" customHeight="1">
      <c r="A31" t="s">
        <v>3</v>
      </c>
      <c r="B31" t="s">
        <v>6</v>
      </c>
      <c r="C31" t="s">
        <v>1</v>
      </c>
      <c r="D31" s="2">
        <v>0.44</v>
      </c>
      <c r="E31" s="2">
        <v>0.4</v>
      </c>
      <c r="F31" s="2">
        <v>0.41</v>
      </c>
      <c r="G31" s="2">
        <v>0.38</v>
      </c>
      <c r="H31" s="2">
        <v>0.47</v>
      </c>
      <c r="I31" s="2">
        <v>0.43</v>
      </c>
      <c r="J31" s="2">
        <v>0.39</v>
      </c>
      <c r="K31" s="2">
        <v>0.44</v>
      </c>
      <c r="L31" s="2">
        <v>0.39</v>
      </c>
      <c r="M31" s="2">
        <v>0.39</v>
      </c>
      <c r="N31" s="2">
        <v>0.41</v>
      </c>
      <c r="O31" s="2">
        <v>0.34</v>
      </c>
      <c r="P31" s="2">
        <f t="shared" si="8"/>
        <v>0.47</v>
      </c>
    </row>
    <row r="32" spans="1:17" ht="27" customHeight="1">
      <c r="A32" t="s">
        <v>3</v>
      </c>
      <c r="B32" t="s">
        <v>6</v>
      </c>
      <c r="C32" t="s">
        <v>14</v>
      </c>
      <c r="D32" s="2">
        <v>0.32</v>
      </c>
      <c r="E32" s="2">
        <v>0.36</v>
      </c>
      <c r="F32" s="2">
        <v>0.35</v>
      </c>
      <c r="G32" s="2">
        <v>0.3</v>
      </c>
      <c r="H32" s="2">
        <v>0.4</v>
      </c>
      <c r="I32" s="2">
        <v>0.35</v>
      </c>
      <c r="J32" s="2">
        <v>0.4</v>
      </c>
      <c r="K32" s="2">
        <v>0.37</v>
      </c>
      <c r="L32" s="2">
        <v>0.36</v>
      </c>
      <c r="M32" s="2">
        <v>0.34</v>
      </c>
      <c r="N32" s="2">
        <v>0.38</v>
      </c>
      <c r="O32" s="2">
        <v>0.38</v>
      </c>
      <c r="P32" s="2">
        <f t="shared" si="8"/>
        <v>0.4</v>
      </c>
    </row>
    <row r="33" spans="1:17" ht="27" customHeight="1">
      <c r="C33" t="s">
        <v>11</v>
      </c>
      <c r="D33" s="2">
        <f>_xlfn.LET(_xlpm.d,D30:D32,MAX(_xlpm.d))</f>
        <v>0.44</v>
      </c>
      <c r="E33" s="2">
        <f t="shared" ref="E33:P33" si="9">_xlfn.LET(_xlpm.d,E30:E32,MAX(_xlpm.d))</f>
        <v>0.4</v>
      </c>
      <c r="F33" s="2">
        <f t="shared" si="9"/>
        <v>0.41</v>
      </c>
      <c r="G33" s="2">
        <f t="shared" si="9"/>
        <v>0.38</v>
      </c>
      <c r="H33" s="2">
        <f t="shared" si="9"/>
        <v>0.47</v>
      </c>
      <c r="I33" s="2">
        <f t="shared" si="9"/>
        <v>0.43</v>
      </c>
      <c r="J33" s="2">
        <f t="shared" si="9"/>
        <v>0.4</v>
      </c>
      <c r="K33" s="2">
        <f t="shared" si="9"/>
        <v>0.44</v>
      </c>
      <c r="L33" s="2">
        <f t="shared" si="9"/>
        <v>0.39</v>
      </c>
      <c r="M33" s="2">
        <f t="shared" si="9"/>
        <v>0.39</v>
      </c>
      <c r="N33" s="2">
        <f t="shared" si="9"/>
        <v>0.41</v>
      </c>
      <c r="O33" s="2">
        <f t="shared" si="9"/>
        <v>0.38</v>
      </c>
      <c r="P33" s="2">
        <f t="shared" si="9"/>
        <v>0.47</v>
      </c>
    </row>
    <row r="36" spans="1:17" ht="27" customHeight="1">
      <c r="A36" t="s">
        <v>4</v>
      </c>
      <c r="B36" t="s">
        <v>5</v>
      </c>
      <c r="C36" t="s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s="1" t="s">
        <v>27</v>
      </c>
      <c r="K36" s="1" t="s">
        <v>28</v>
      </c>
      <c r="L36" s="1" t="s">
        <v>29</v>
      </c>
      <c r="M36" t="s">
        <v>30</v>
      </c>
      <c r="N36" t="s">
        <v>31</v>
      </c>
      <c r="O36" t="s">
        <v>32</v>
      </c>
      <c r="P36" t="s">
        <v>11</v>
      </c>
      <c r="Q36" t="s">
        <v>7</v>
      </c>
    </row>
    <row r="37" spans="1:17" ht="27" customHeight="1">
      <c r="A37" t="s">
        <v>3</v>
      </c>
      <c r="B37" t="s">
        <v>8</v>
      </c>
      <c r="C37" t="s">
        <v>0</v>
      </c>
      <c r="D37" s="2">
        <v>0.33</v>
      </c>
      <c r="E37" s="2">
        <v>0.39</v>
      </c>
      <c r="F37" s="2">
        <v>0.36</v>
      </c>
      <c r="G37" s="2">
        <v>0.38</v>
      </c>
      <c r="H37" s="2">
        <v>0.39</v>
      </c>
      <c r="I37" s="2">
        <v>0.35</v>
      </c>
      <c r="J37" s="2">
        <v>0.28000000000000003</v>
      </c>
      <c r="K37" s="2">
        <v>0.41</v>
      </c>
      <c r="L37" s="2">
        <v>0.4</v>
      </c>
      <c r="M37" s="2">
        <v>0.42</v>
      </c>
      <c r="N37" s="2">
        <v>0.34</v>
      </c>
      <c r="O37" s="2">
        <v>0.35</v>
      </c>
      <c r="P37" s="2">
        <f t="shared" ref="P37:P39" si="10">_xlfn.LET(_xlpm.d,D37:O37,MAX(_xlpm.d))</f>
        <v>0.42</v>
      </c>
    </row>
    <row r="38" spans="1:17" ht="27" customHeight="1">
      <c r="A38" t="s">
        <v>3</v>
      </c>
      <c r="B38" t="s">
        <v>8</v>
      </c>
      <c r="C38" t="s">
        <v>1</v>
      </c>
      <c r="D38" s="2">
        <v>0.37</v>
      </c>
      <c r="E38" s="2">
        <v>0.36</v>
      </c>
      <c r="F38" s="2">
        <v>0.39</v>
      </c>
      <c r="G38" s="2">
        <v>0.34</v>
      </c>
      <c r="H38" s="2">
        <v>0.46</v>
      </c>
      <c r="I38" s="2">
        <v>0.4</v>
      </c>
      <c r="J38" s="2">
        <v>0.42</v>
      </c>
      <c r="K38" s="2">
        <v>0.42</v>
      </c>
      <c r="L38" s="2">
        <v>0.41</v>
      </c>
      <c r="M38" s="2">
        <v>0.43</v>
      </c>
      <c r="N38" s="2">
        <v>0.39</v>
      </c>
      <c r="O38" s="2">
        <v>0.38</v>
      </c>
      <c r="P38" s="2">
        <f t="shared" si="10"/>
        <v>0.46</v>
      </c>
    </row>
    <row r="39" spans="1:17" ht="27" customHeight="1">
      <c r="A39" t="s">
        <v>3</v>
      </c>
      <c r="B39" t="s">
        <v>8</v>
      </c>
      <c r="C39" t="s">
        <v>14</v>
      </c>
      <c r="D39" s="2">
        <v>0.34</v>
      </c>
      <c r="E39" s="2">
        <v>0.32</v>
      </c>
      <c r="F39" s="2">
        <v>0.36</v>
      </c>
      <c r="G39" s="2">
        <v>0.35</v>
      </c>
      <c r="H39" s="2">
        <v>0.42</v>
      </c>
      <c r="I39" s="2">
        <v>0.35</v>
      </c>
      <c r="J39" s="2">
        <v>0.39</v>
      </c>
      <c r="K39" s="2">
        <v>0.33</v>
      </c>
      <c r="L39" s="2">
        <v>0.39</v>
      </c>
      <c r="M39" s="2">
        <v>0.36</v>
      </c>
      <c r="N39" s="2">
        <v>0.41</v>
      </c>
      <c r="O39" s="2">
        <v>0.36</v>
      </c>
      <c r="P39" s="2">
        <f t="shared" si="10"/>
        <v>0.42</v>
      </c>
    </row>
    <row r="40" spans="1:17" ht="27" customHeight="1">
      <c r="C40" t="s">
        <v>11</v>
      </c>
      <c r="D40" s="2">
        <f>_xlfn.LET(_xlpm.d,D37:D39,MAX(_xlpm.d))</f>
        <v>0.37</v>
      </c>
      <c r="E40" s="2">
        <f t="shared" ref="E40:P40" si="11">_xlfn.LET(_xlpm.d,E37:E39,MAX(_xlpm.d))</f>
        <v>0.39</v>
      </c>
      <c r="F40" s="2">
        <f t="shared" si="11"/>
        <v>0.39</v>
      </c>
      <c r="G40" s="2">
        <f t="shared" si="11"/>
        <v>0.38</v>
      </c>
      <c r="H40" s="2">
        <f t="shared" si="11"/>
        <v>0.46</v>
      </c>
      <c r="I40" s="2">
        <f t="shared" si="11"/>
        <v>0.4</v>
      </c>
      <c r="J40" s="2">
        <f t="shared" si="11"/>
        <v>0.42</v>
      </c>
      <c r="K40" s="2">
        <f t="shared" si="11"/>
        <v>0.42</v>
      </c>
      <c r="L40" s="2">
        <f t="shared" si="11"/>
        <v>0.41</v>
      </c>
      <c r="M40" s="2">
        <f t="shared" si="11"/>
        <v>0.43</v>
      </c>
      <c r="N40" s="2">
        <f t="shared" si="11"/>
        <v>0.41</v>
      </c>
      <c r="O40" s="2">
        <f t="shared" si="11"/>
        <v>0.38</v>
      </c>
      <c r="P40" s="2">
        <f t="shared" si="11"/>
        <v>0.46</v>
      </c>
    </row>
    <row r="44" spans="1:17" ht="27" customHeight="1">
      <c r="C44" t="s">
        <v>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27</v>
      </c>
      <c r="K44" t="s">
        <v>28</v>
      </c>
      <c r="L44" t="s">
        <v>29</v>
      </c>
      <c r="M44" t="s">
        <v>30</v>
      </c>
      <c r="N44" t="s">
        <v>31</v>
      </c>
      <c r="O44" t="s">
        <v>32</v>
      </c>
      <c r="P44" t="s">
        <v>33</v>
      </c>
    </row>
    <row r="45" spans="1:17" ht="27" customHeight="1">
      <c r="C45" t="s">
        <v>9</v>
      </c>
      <c r="D45" s="2">
        <f>D5</f>
        <v>0.62</v>
      </c>
      <c r="E45" s="2">
        <f t="shared" ref="E45:P45" si="12">E5</f>
        <v>0.56000000000000005</v>
      </c>
      <c r="F45" s="2">
        <f t="shared" si="12"/>
        <v>0.63</v>
      </c>
      <c r="G45" s="2">
        <f t="shared" si="12"/>
        <v>0.59</v>
      </c>
      <c r="H45" s="2">
        <f t="shared" si="12"/>
        <v>0.61</v>
      </c>
      <c r="I45" s="2">
        <f t="shared" si="12"/>
        <v>0.59</v>
      </c>
      <c r="J45" s="2">
        <f t="shared" si="12"/>
        <v>0.61</v>
      </c>
      <c r="K45" s="2">
        <f t="shared" si="12"/>
        <v>0.56999999999999995</v>
      </c>
      <c r="L45" s="2">
        <f t="shared" si="12"/>
        <v>0.68</v>
      </c>
      <c r="M45" s="2">
        <f t="shared" si="12"/>
        <v>0.57999999999999996</v>
      </c>
      <c r="N45" s="2">
        <f t="shared" si="12"/>
        <v>0.54</v>
      </c>
      <c r="O45" s="2">
        <f t="shared" si="12"/>
        <v>0.65</v>
      </c>
      <c r="P45" s="2">
        <f t="shared" si="12"/>
        <v>0.68</v>
      </c>
    </row>
    <row r="46" spans="1:17" ht="27" customHeight="1">
      <c r="C46" t="s">
        <v>12</v>
      </c>
      <c r="D46" s="2">
        <f>D19</f>
        <v>0.85</v>
      </c>
      <c r="E46" s="2">
        <f t="shared" ref="E46:P46" si="13">E19</f>
        <v>0.88</v>
      </c>
      <c r="F46" s="2">
        <f t="shared" si="13"/>
        <v>0.89</v>
      </c>
      <c r="G46" s="2">
        <f t="shared" si="13"/>
        <v>0.9</v>
      </c>
      <c r="H46" s="2">
        <f t="shared" si="13"/>
        <v>0.83</v>
      </c>
      <c r="I46" s="2">
        <f t="shared" si="13"/>
        <v>0.86</v>
      </c>
      <c r="J46" s="2">
        <f t="shared" si="13"/>
        <v>0.85</v>
      </c>
      <c r="K46" s="2">
        <f t="shared" si="13"/>
        <v>0.83</v>
      </c>
      <c r="L46" s="2">
        <f t="shared" si="13"/>
        <v>0.84</v>
      </c>
      <c r="M46" s="2">
        <f t="shared" si="13"/>
        <v>0.84</v>
      </c>
      <c r="N46" s="2">
        <f t="shared" si="13"/>
        <v>0.83</v>
      </c>
      <c r="O46" s="2">
        <f t="shared" si="13"/>
        <v>0.83</v>
      </c>
      <c r="P46" s="2">
        <f t="shared" si="13"/>
        <v>0.9</v>
      </c>
    </row>
    <row r="47" spans="1:17" ht="27" customHeight="1">
      <c r="C47" t="s">
        <v>3</v>
      </c>
      <c r="D47" s="2">
        <f>D33</f>
        <v>0.44</v>
      </c>
      <c r="E47" s="2">
        <f t="shared" ref="E47:P47" si="14">E33</f>
        <v>0.4</v>
      </c>
      <c r="F47" s="2">
        <f t="shared" si="14"/>
        <v>0.41</v>
      </c>
      <c r="G47" s="2">
        <f t="shared" si="14"/>
        <v>0.38</v>
      </c>
      <c r="H47" s="2">
        <f t="shared" si="14"/>
        <v>0.47</v>
      </c>
      <c r="I47" s="2">
        <f t="shared" si="14"/>
        <v>0.43</v>
      </c>
      <c r="J47" s="2">
        <f t="shared" si="14"/>
        <v>0.4</v>
      </c>
      <c r="K47" s="2">
        <f t="shared" si="14"/>
        <v>0.44</v>
      </c>
      <c r="L47" s="2">
        <f t="shared" si="14"/>
        <v>0.39</v>
      </c>
      <c r="M47" s="2">
        <f t="shared" si="14"/>
        <v>0.39</v>
      </c>
      <c r="N47" s="2">
        <f t="shared" si="14"/>
        <v>0.41</v>
      </c>
      <c r="O47" s="2">
        <f t="shared" si="14"/>
        <v>0.38</v>
      </c>
      <c r="P47" s="2">
        <f t="shared" si="14"/>
        <v>0.47</v>
      </c>
    </row>
  </sheetData>
  <conditionalFormatting sqref="D2:P5 D16:P19 D9:P12 D23:P26 D30:P33">
    <cfRule type="colorScale" priority="1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D37:P4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08BE6-5753-D344-B52A-D8D5C37853C7}">
  <dimension ref="A1:AC47"/>
  <sheetViews>
    <sheetView workbookViewId="0">
      <pane xSplit="6920" ySplit="4520" topLeftCell="B1" activePane="bottomRight"/>
      <selection pane="topRight" activeCell="G39" sqref="G39"/>
      <selection pane="bottomLeft" activeCell="A7" sqref="A7"/>
      <selection pane="bottomRight" activeCell="D37" sqref="D37:P40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</cols>
  <sheetData>
    <row r="1" spans="1:29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9" ht="27" customHeight="1">
      <c r="A2" t="s">
        <v>9</v>
      </c>
      <c r="B2" t="s">
        <v>6</v>
      </c>
      <c r="C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>
        <f t="shared" ref="P2:P4" si="0">_xlfn.LET(_xlpm.d,D2:O2,MAX(_xlpm.d))</f>
        <v>0</v>
      </c>
    </row>
    <row r="3" spans="1:29" ht="27" customHeight="1">
      <c r="A3" t="s">
        <v>9</v>
      </c>
      <c r="B3" t="s">
        <v>6</v>
      </c>
      <c r="C3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f t="shared" si="0"/>
        <v>0</v>
      </c>
    </row>
    <row r="4" spans="1:29" ht="27" customHeight="1">
      <c r="A4" t="s">
        <v>9</v>
      </c>
      <c r="B4" t="s">
        <v>6</v>
      </c>
      <c r="C4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f t="shared" si="0"/>
        <v>0</v>
      </c>
    </row>
    <row r="5" spans="1:29" ht="27" customHeight="1">
      <c r="C5" t="s">
        <v>11</v>
      </c>
      <c r="D5" s="2">
        <f>_xlfn.LET(_xlpm.d,D2:D4,MAX(_xlpm.d))</f>
        <v>0</v>
      </c>
      <c r="E5" s="2">
        <f t="shared" ref="E5:P5" si="1">_xlfn.LET(_xlpm.d,E2:E4,MAX(_xlpm.d))</f>
        <v>0</v>
      </c>
      <c r="F5" s="2">
        <f t="shared" si="1"/>
        <v>0</v>
      </c>
      <c r="G5" s="2">
        <f t="shared" si="1"/>
        <v>0</v>
      </c>
      <c r="H5" s="2">
        <f t="shared" si="1"/>
        <v>0</v>
      </c>
      <c r="I5" s="2">
        <f t="shared" si="1"/>
        <v>0</v>
      </c>
      <c r="J5" s="2">
        <f t="shared" si="1"/>
        <v>0</v>
      </c>
      <c r="K5" s="2">
        <f t="shared" si="1"/>
        <v>0</v>
      </c>
      <c r="L5" s="2">
        <f t="shared" si="1"/>
        <v>0</v>
      </c>
      <c r="M5" s="2">
        <f t="shared" si="1"/>
        <v>0</v>
      </c>
      <c r="N5" s="2">
        <f t="shared" si="1"/>
        <v>0</v>
      </c>
      <c r="O5" s="2">
        <f t="shared" si="1"/>
        <v>0</v>
      </c>
      <c r="P5" s="2">
        <f t="shared" si="1"/>
        <v>0</v>
      </c>
    </row>
    <row r="8" spans="1:29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7" customHeight="1">
      <c r="A9" t="s">
        <v>9</v>
      </c>
      <c r="B9" t="s">
        <v>8</v>
      </c>
      <c r="C9" t="s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f>_xlfn.LET(_xlpm.d,D9:O9,MAX(_xlpm.d))</f>
        <v>0</v>
      </c>
    </row>
    <row r="10" spans="1:29" ht="27" customHeight="1">
      <c r="A10" t="s">
        <v>9</v>
      </c>
      <c r="B10" t="s">
        <v>8</v>
      </c>
      <c r="C10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 t="shared" ref="P10:P11" si="2">_xlfn.LET(_xlpm.d,D10:O10,MAX(_xlpm.d))</f>
        <v>0</v>
      </c>
    </row>
    <row r="11" spans="1:29" ht="27" customHeight="1">
      <c r="A11" t="s">
        <v>9</v>
      </c>
      <c r="B11" t="s">
        <v>8</v>
      </c>
      <c r="C11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 t="shared" si="2"/>
        <v>0</v>
      </c>
    </row>
    <row r="12" spans="1:29" ht="27" customHeight="1">
      <c r="C12" t="s">
        <v>11</v>
      </c>
      <c r="D12" s="2">
        <f>_xlfn.LET(_xlpm.d,D9:D11,MAX(_xlpm.d))</f>
        <v>0</v>
      </c>
      <c r="E12" s="2">
        <f t="shared" ref="E12:P12" si="3">_xlfn.LET(_xlpm.d,E9:E11,MAX(_xlpm.d))</f>
        <v>0</v>
      </c>
      <c r="F12" s="2">
        <f t="shared" si="3"/>
        <v>0</v>
      </c>
      <c r="G12" s="2">
        <f>_xlfn.LET(_xlpm.d,G2:G4,MAX(_xlpm.d))</f>
        <v>0</v>
      </c>
      <c r="H12" s="2">
        <f t="shared" si="3"/>
        <v>0</v>
      </c>
      <c r="I12" s="2">
        <f t="shared" si="3"/>
        <v>0</v>
      </c>
      <c r="J12" s="2">
        <f t="shared" si="3"/>
        <v>0</v>
      </c>
      <c r="K12" s="2">
        <f t="shared" si="3"/>
        <v>0</v>
      </c>
      <c r="L12" s="2">
        <f t="shared" si="3"/>
        <v>0</v>
      </c>
      <c r="M12" s="2">
        <f t="shared" si="3"/>
        <v>0</v>
      </c>
      <c r="N12" s="2">
        <f t="shared" si="3"/>
        <v>0</v>
      </c>
      <c r="O12" s="2">
        <f t="shared" si="3"/>
        <v>0</v>
      </c>
      <c r="P12" s="2">
        <f t="shared" si="3"/>
        <v>0</v>
      </c>
    </row>
    <row r="15" spans="1:29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9" ht="27" customHeight="1">
      <c r="A16" t="s">
        <v>10</v>
      </c>
      <c r="B16" t="s">
        <v>6</v>
      </c>
      <c r="C16" t="s"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f t="shared" ref="P16:P18" si="4">_xlfn.LET(_xlpm.d,D16:O16,MAX(_xlpm.d))</f>
        <v>0</v>
      </c>
    </row>
    <row r="17" spans="1:17" ht="27" customHeight="1">
      <c r="A17" t="s">
        <v>10</v>
      </c>
      <c r="B17" t="s">
        <v>6</v>
      </c>
      <c r="C17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f t="shared" si="4"/>
        <v>0</v>
      </c>
    </row>
    <row r="18" spans="1:17" ht="27" customHeight="1">
      <c r="A18" t="s">
        <v>10</v>
      </c>
      <c r="B18" t="s">
        <v>6</v>
      </c>
      <c r="C18" t="s">
        <v>14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f t="shared" si="4"/>
        <v>0</v>
      </c>
    </row>
    <row r="19" spans="1:17" ht="27" customHeight="1">
      <c r="C19" t="s">
        <v>11</v>
      </c>
      <c r="D19" s="2">
        <f>_xlfn.LET(_xlpm.d,D16:D18,MAX(_xlpm.d))</f>
        <v>0</v>
      </c>
      <c r="E19" s="2">
        <f t="shared" ref="E19:P19" si="5">_xlfn.LET(_xlpm.d,E16:E18,MAX(_xlpm.d))</f>
        <v>0</v>
      </c>
      <c r="F19" s="2">
        <f t="shared" si="5"/>
        <v>0</v>
      </c>
      <c r="G19" s="2">
        <f t="shared" si="5"/>
        <v>0</v>
      </c>
      <c r="H19" s="2">
        <f t="shared" si="5"/>
        <v>0</v>
      </c>
      <c r="I19" s="2">
        <f t="shared" si="5"/>
        <v>0</v>
      </c>
      <c r="J19" s="2">
        <f t="shared" si="5"/>
        <v>0</v>
      </c>
      <c r="K19" s="2">
        <f t="shared" si="5"/>
        <v>0</v>
      </c>
      <c r="L19" s="2">
        <f t="shared" si="5"/>
        <v>0</v>
      </c>
      <c r="M19" s="2">
        <f t="shared" si="5"/>
        <v>0</v>
      </c>
      <c r="N19" s="2">
        <f t="shared" si="5"/>
        <v>0</v>
      </c>
      <c r="O19" s="2">
        <f t="shared" si="5"/>
        <v>0</v>
      </c>
      <c r="P19" s="2">
        <f t="shared" si="5"/>
        <v>0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 t="shared" ref="P23:P25" si="6">_xlfn.LET(_xlpm.d,D23:O23,MAX(_xlpm.d))</f>
        <v>0</v>
      </c>
    </row>
    <row r="24" spans="1:17" ht="27" customHeight="1">
      <c r="A24" t="s">
        <v>10</v>
      </c>
      <c r="B24" t="s">
        <v>8</v>
      </c>
      <c r="C24" t="s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 t="shared" si="6"/>
        <v>0</v>
      </c>
    </row>
    <row r="25" spans="1:17" ht="27" customHeight="1">
      <c r="A25" t="s">
        <v>10</v>
      </c>
      <c r="B25" t="s">
        <v>8</v>
      </c>
      <c r="C25" t="s">
        <v>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 t="shared" si="6"/>
        <v>0</v>
      </c>
    </row>
    <row r="26" spans="1:17" ht="27" customHeight="1">
      <c r="C26" t="s">
        <v>11</v>
      </c>
      <c r="D26" s="2">
        <f>_xlfn.LET(_xlpm.d,D23:D25,MAX(_xlpm.d))</f>
        <v>0</v>
      </c>
      <c r="E26" s="2">
        <f t="shared" ref="E26:P26" si="7">_xlfn.LET(_xlpm.d,E23:E25,MAX(_xlpm.d))</f>
        <v>0</v>
      </c>
      <c r="F26" s="2">
        <f t="shared" si="7"/>
        <v>0</v>
      </c>
      <c r="G26" s="2">
        <f t="shared" si="7"/>
        <v>0</v>
      </c>
      <c r="H26" s="2">
        <f t="shared" si="7"/>
        <v>0</v>
      </c>
      <c r="I26" s="2">
        <f t="shared" si="7"/>
        <v>0</v>
      </c>
      <c r="J26" s="2">
        <f t="shared" si="7"/>
        <v>0</v>
      </c>
      <c r="K26" s="2">
        <f t="shared" si="7"/>
        <v>0</v>
      </c>
      <c r="L26" s="2">
        <f t="shared" si="7"/>
        <v>0</v>
      </c>
      <c r="M26" s="2">
        <f t="shared" si="7"/>
        <v>0</v>
      </c>
      <c r="N26" s="2">
        <f t="shared" si="7"/>
        <v>0</v>
      </c>
      <c r="O26" s="2">
        <f t="shared" si="7"/>
        <v>0</v>
      </c>
      <c r="P26" s="2">
        <f t="shared" si="7"/>
        <v>0</v>
      </c>
    </row>
    <row r="29" spans="1:17" ht="27" customHeight="1">
      <c r="A29" t="s">
        <v>4</v>
      </c>
      <c r="B29" t="s">
        <v>5</v>
      </c>
      <c r="C29" t="s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1" t="s">
        <v>27</v>
      </c>
      <c r="K29" s="1" t="s">
        <v>28</v>
      </c>
      <c r="L29" s="1" t="s">
        <v>29</v>
      </c>
      <c r="M29" t="s">
        <v>30</v>
      </c>
      <c r="N29" t="s">
        <v>31</v>
      </c>
      <c r="O29" t="s">
        <v>32</v>
      </c>
      <c r="P29" t="s">
        <v>11</v>
      </c>
      <c r="Q29" t="s">
        <v>7</v>
      </c>
    </row>
    <row r="30" spans="1:17" ht="27" customHeight="1">
      <c r="A30" t="s">
        <v>3</v>
      </c>
      <c r="B30" t="s">
        <v>6</v>
      </c>
      <c r="C30" t="s"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f t="shared" ref="P30:P32" si="8">_xlfn.LET(_xlpm.d,D30:O30,MAX(_xlpm.d))</f>
        <v>0</v>
      </c>
    </row>
    <row r="31" spans="1:17" ht="27" customHeight="1">
      <c r="A31" t="s">
        <v>3</v>
      </c>
      <c r="B31" t="s">
        <v>6</v>
      </c>
      <c r="C31" t="s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f t="shared" si="8"/>
        <v>0</v>
      </c>
    </row>
    <row r="32" spans="1:17" ht="27" customHeight="1">
      <c r="A32" t="s">
        <v>3</v>
      </c>
      <c r="B32" t="s">
        <v>6</v>
      </c>
      <c r="C32" t="s">
        <v>14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 t="shared" si="8"/>
        <v>0</v>
      </c>
    </row>
    <row r="33" spans="1:17" ht="27" customHeight="1">
      <c r="C33" t="s">
        <v>11</v>
      </c>
      <c r="D33" s="2">
        <f>_xlfn.LET(_xlpm.d,D30:D32,MAX(_xlpm.d))</f>
        <v>0</v>
      </c>
      <c r="E33" s="2">
        <f t="shared" ref="E33:P33" si="9">_xlfn.LET(_xlpm.d,E30:E32,MAX(_xlpm.d))</f>
        <v>0</v>
      </c>
      <c r="F33" s="2">
        <f t="shared" si="9"/>
        <v>0</v>
      </c>
      <c r="G33" s="2">
        <f t="shared" si="9"/>
        <v>0</v>
      </c>
      <c r="H33" s="2">
        <f t="shared" si="9"/>
        <v>0</v>
      </c>
      <c r="I33" s="2">
        <f t="shared" si="9"/>
        <v>0</v>
      </c>
      <c r="J33" s="2">
        <f t="shared" si="9"/>
        <v>0</v>
      </c>
      <c r="K33" s="2">
        <f t="shared" si="9"/>
        <v>0</v>
      </c>
      <c r="L33" s="2">
        <f t="shared" si="9"/>
        <v>0</v>
      </c>
      <c r="M33" s="2">
        <f t="shared" si="9"/>
        <v>0</v>
      </c>
      <c r="N33" s="2">
        <f t="shared" si="9"/>
        <v>0</v>
      </c>
      <c r="O33" s="2">
        <f t="shared" si="9"/>
        <v>0</v>
      </c>
      <c r="P33" s="2">
        <f t="shared" si="9"/>
        <v>0</v>
      </c>
    </row>
    <row r="36" spans="1:17" ht="27" customHeight="1">
      <c r="A36" t="s">
        <v>4</v>
      </c>
      <c r="B36" t="s">
        <v>5</v>
      </c>
      <c r="C36" t="s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s="1" t="s">
        <v>27</v>
      </c>
      <c r="K36" s="1" t="s">
        <v>28</v>
      </c>
      <c r="L36" s="1" t="s">
        <v>29</v>
      </c>
      <c r="M36" t="s">
        <v>30</v>
      </c>
      <c r="N36" t="s">
        <v>31</v>
      </c>
      <c r="O36" t="s">
        <v>32</v>
      </c>
      <c r="P36" t="s">
        <v>11</v>
      </c>
      <c r="Q36" t="s">
        <v>7</v>
      </c>
    </row>
    <row r="37" spans="1:17" ht="27" customHeight="1">
      <c r="A37" t="s">
        <v>3</v>
      </c>
      <c r="B37" t="s">
        <v>8</v>
      </c>
      <c r="C37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f t="shared" ref="P37:P39" si="10">_xlfn.LET(_xlpm.d,D37:O37,MAX(_xlpm.d))</f>
        <v>0</v>
      </c>
    </row>
    <row r="38" spans="1:17" ht="27" customHeight="1">
      <c r="A38" t="s">
        <v>3</v>
      </c>
      <c r="B38" t="s">
        <v>8</v>
      </c>
      <c r="C38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f t="shared" si="10"/>
        <v>0</v>
      </c>
    </row>
    <row r="39" spans="1:17" ht="27" customHeight="1">
      <c r="A39" t="s">
        <v>3</v>
      </c>
      <c r="B39" t="s">
        <v>8</v>
      </c>
      <c r="C39" t="s">
        <v>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f t="shared" si="10"/>
        <v>0</v>
      </c>
    </row>
    <row r="40" spans="1:17" ht="27" customHeight="1">
      <c r="C40" t="s">
        <v>11</v>
      </c>
      <c r="D40" s="2">
        <f>_xlfn.LET(_xlpm.d,D37:D39,MAX(_xlpm.d))</f>
        <v>0</v>
      </c>
      <c r="E40" s="2">
        <f t="shared" ref="E40:P40" si="11">_xlfn.LET(_xlpm.d,E37:E39,MAX(_xlpm.d))</f>
        <v>0</v>
      </c>
      <c r="F40" s="2">
        <f t="shared" si="11"/>
        <v>0</v>
      </c>
      <c r="G40" s="2">
        <f>_xlfn.LET(_xlpm.d,G37:G39,MAX(_xlpm.d))</f>
        <v>0</v>
      </c>
      <c r="H40" s="2">
        <f t="shared" si="11"/>
        <v>0</v>
      </c>
      <c r="I40" s="2">
        <f t="shared" si="11"/>
        <v>0</v>
      </c>
      <c r="J40" s="2">
        <f t="shared" si="11"/>
        <v>0</v>
      </c>
      <c r="K40" s="2">
        <f t="shared" si="11"/>
        <v>0</v>
      </c>
      <c r="L40" s="2">
        <f t="shared" si="11"/>
        <v>0</v>
      </c>
      <c r="M40" s="2">
        <f t="shared" si="11"/>
        <v>0</v>
      </c>
      <c r="N40" s="2">
        <f t="shared" si="11"/>
        <v>0</v>
      </c>
      <c r="O40" s="2">
        <f t="shared" si="11"/>
        <v>0</v>
      </c>
      <c r="P40" s="2">
        <f t="shared" si="11"/>
        <v>0</v>
      </c>
    </row>
    <row r="44" spans="1:17" ht="27" customHeight="1">
      <c r="C44" t="s">
        <v>2</v>
      </c>
      <c r="D44" t="str">
        <f>D$1</f>
        <v>2g</v>
      </c>
      <c r="E44" t="str">
        <f t="shared" ref="E44:N44" si="12">E$1</f>
        <v>3g</v>
      </c>
      <c r="F44" t="str">
        <f t="shared" si="12"/>
        <v>4g</v>
      </c>
      <c r="G44" t="str">
        <f t="shared" si="12"/>
        <v>sk2g</v>
      </c>
      <c r="H44" t="str">
        <f t="shared" si="12"/>
        <v>sk3g</v>
      </c>
      <c r="I44" t="str">
        <f t="shared" si="12"/>
        <v>sk4g</v>
      </c>
      <c r="J44" t="str">
        <f t="shared" si="12"/>
        <v>2g-hash</v>
      </c>
      <c r="K44" t="str">
        <f t="shared" si="12"/>
        <v>3g-hash</v>
      </c>
      <c r="L44" t="str">
        <f t="shared" si="12"/>
        <v>4g-hash</v>
      </c>
      <c r="M44" t="str">
        <f t="shared" si="12"/>
        <v>sk2g-hash</v>
      </c>
      <c r="N44" t="str">
        <f t="shared" si="12"/>
        <v>sk3g-hash</v>
      </c>
      <c r="O44" t="str">
        <f>O$1</f>
        <v>sk4g-hash</v>
      </c>
    </row>
    <row r="45" spans="1:17" ht="27" customHeight="1">
      <c r="C45" t="s">
        <v>9</v>
      </c>
      <c r="D45" s="2">
        <f>D5</f>
        <v>0</v>
      </c>
      <c r="E45" s="2">
        <f t="shared" ref="E45:P45" si="13">E5</f>
        <v>0</v>
      </c>
      <c r="F45" s="2">
        <f t="shared" si="13"/>
        <v>0</v>
      </c>
      <c r="G45" s="2">
        <f t="shared" si="13"/>
        <v>0</v>
      </c>
      <c r="H45" s="2">
        <f t="shared" si="13"/>
        <v>0</v>
      </c>
      <c r="I45" s="2">
        <f t="shared" si="13"/>
        <v>0</v>
      </c>
      <c r="J45" s="2">
        <f t="shared" si="13"/>
        <v>0</v>
      </c>
      <c r="K45" s="2">
        <f t="shared" si="13"/>
        <v>0</v>
      </c>
      <c r="L45" s="2">
        <f t="shared" si="13"/>
        <v>0</v>
      </c>
      <c r="M45" s="2">
        <f t="shared" si="13"/>
        <v>0</v>
      </c>
      <c r="N45" s="2">
        <f t="shared" si="13"/>
        <v>0</v>
      </c>
      <c r="O45" s="2">
        <f t="shared" si="13"/>
        <v>0</v>
      </c>
      <c r="P45" s="2">
        <f t="shared" si="13"/>
        <v>0</v>
      </c>
    </row>
    <row r="46" spans="1:17" ht="27" customHeight="1">
      <c r="C46" t="s">
        <v>12</v>
      </c>
      <c r="D46" s="2">
        <f>D19</f>
        <v>0</v>
      </c>
      <c r="E46" s="2">
        <f t="shared" ref="E46:P46" si="14">E19</f>
        <v>0</v>
      </c>
      <c r="F46" s="2">
        <f t="shared" si="14"/>
        <v>0</v>
      </c>
      <c r="G46" s="2">
        <f t="shared" si="14"/>
        <v>0</v>
      </c>
      <c r="H46" s="2">
        <f t="shared" si="14"/>
        <v>0</v>
      </c>
      <c r="I46" s="2">
        <f t="shared" si="14"/>
        <v>0</v>
      </c>
      <c r="J46" s="2">
        <f t="shared" si="14"/>
        <v>0</v>
      </c>
      <c r="K46" s="2">
        <f t="shared" si="14"/>
        <v>0</v>
      </c>
      <c r="L46" s="2">
        <f t="shared" si="14"/>
        <v>0</v>
      </c>
      <c r="M46" s="2">
        <f t="shared" si="14"/>
        <v>0</v>
      </c>
      <c r="N46" s="2">
        <f t="shared" si="14"/>
        <v>0</v>
      </c>
      <c r="O46" s="2">
        <f t="shared" si="14"/>
        <v>0</v>
      </c>
      <c r="P46" s="2">
        <f t="shared" si="14"/>
        <v>0</v>
      </c>
    </row>
    <row r="47" spans="1:17" ht="27" customHeight="1">
      <c r="C47" t="s">
        <v>3</v>
      </c>
      <c r="D47" s="2">
        <f>D33</f>
        <v>0</v>
      </c>
      <c r="E47" s="2">
        <f t="shared" ref="E47:P47" si="15">E33</f>
        <v>0</v>
      </c>
      <c r="F47" s="2">
        <f t="shared" si="15"/>
        <v>0</v>
      </c>
      <c r="G47" s="2">
        <f t="shared" si="15"/>
        <v>0</v>
      </c>
      <c r="H47" s="2">
        <f t="shared" si="15"/>
        <v>0</v>
      </c>
      <c r="I47" s="2">
        <f t="shared" si="15"/>
        <v>0</v>
      </c>
      <c r="J47" s="2">
        <f t="shared" si="15"/>
        <v>0</v>
      </c>
      <c r="K47" s="2">
        <f t="shared" si="15"/>
        <v>0</v>
      </c>
      <c r="L47" s="2">
        <f t="shared" si="15"/>
        <v>0</v>
      </c>
      <c r="M47" s="2">
        <f t="shared" si="15"/>
        <v>0</v>
      </c>
      <c r="N47" s="2">
        <f t="shared" si="15"/>
        <v>0</v>
      </c>
      <c r="O47" s="2">
        <f t="shared" si="15"/>
        <v>0</v>
      </c>
      <c r="P47" s="2">
        <f t="shared" si="15"/>
        <v>0</v>
      </c>
    </row>
  </sheetData>
  <conditionalFormatting sqref="D37:P4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P9:P11 P23:P25 P30:P32 D12:P12 D26:P26 D33:P33 D16:P19 D2:P5">
    <cfRule type="colorScale" priority="1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legacy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ACE6-1033-EC48-B0CD-577ED375B4E3}">
  <dimension ref="A1:AB47"/>
  <sheetViews>
    <sheetView topLeftCell="A31" workbookViewId="0">
      <selection activeCell="P45" sqref="P45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  <col min="17" max="17" width="7.5" customWidth="1"/>
  </cols>
  <sheetData>
    <row r="1" spans="1:28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8" ht="27" customHeight="1">
      <c r="A2" t="s">
        <v>9</v>
      </c>
      <c r="B2" t="s">
        <v>6</v>
      </c>
      <c r="C2" t="s">
        <v>0</v>
      </c>
      <c r="D2" s="2">
        <v>0.76</v>
      </c>
      <c r="E2" s="2">
        <v>0.69</v>
      </c>
      <c r="F2" s="2">
        <v>0.75</v>
      </c>
      <c r="G2" s="2">
        <v>0.77</v>
      </c>
      <c r="H2" s="2">
        <v>0.7</v>
      </c>
      <c r="I2" s="2">
        <v>0.74</v>
      </c>
      <c r="J2" s="2">
        <v>0.65</v>
      </c>
      <c r="K2" s="2">
        <v>0.78</v>
      </c>
      <c r="L2" s="2">
        <v>0.76</v>
      </c>
      <c r="M2" s="2">
        <v>0.78</v>
      </c>
      <c r="N2" s="2">
        <v>0.67</v>
      </c>
      <c r="O2" s="2">
        <v>0.75</v>
      </c>
      <c r="P2" s="2">
        <f>_xlfn.LET(_xlpm.d,D2:O2,MAX(_xlpm.d))</f>
        <v>0.78</v>
      </c>
    </row>
    <row r="3" spans="1:28" ht="27" customHeight="1">
      <c r="A3" t="s">
        <v>9</v>
      </c>
      <c r="B3" t="s">
        <v>6</v>
      </c>
      <c r="C3" t="s">
        <v>1</v>
      </c>
      <c r="D3" s="2">
        <v>0.8</v>
      </c>
      <c r="E3" s="2">
        <v>0.75</v>
      </c>
      <c r="F3" s="2">
        <v>0.78</v>
      </c>
      <c r="G3" s="2">
        <v>0.84</v>
      </c>
      <c r="H3" s="2">
        <v>0.75</v>
      </c>
      <c r="I3" s="2">
        <v>0.78</v>
      </c>
      <c r="J3" s="2">
        <v>0.76</v>
      </c>
      <c r="K3" s="2">
        <v>0.78</v>
      </c>
      <c r="L3" s="2">
        <v>0.76</v>
      </c>
      <c r="M3" s="2">
        <v>0.79</v>
      </c>
      <c r="N3" s="2">
        <v>0.72</v>
      </c>
      <c r="O3" s="2">
        <v>0.8</v>
      </c>
      <c r="P3" s="2">
        <f>_xlfn.LET(_xlpm.d,D3:O3,MAX(_xlpm.d))</f>
        <v>0.84</v>
      </c>
    </row>
    <row r="4" spans="1:28" ht="27" customHeight="1">
      <c r="A4" t="s">
        <v>9</v>
      </c>
      <c r="B4" t="s">
        <v>6</v>
      </c>
      <c r="C4" t="s">
        <v>14</v>
      </c>
      <c r="D4" s="2">
        <v>0.78</v>
      </c>
      <c r="E4" s="2">
        <v>0.73</v>
      </c>
      <c r="F4" s="2">
        <v>0.74</v>
      </c>
      <c r="G4" s="2">
        <v>0.76</v>
      </c>
      <c r="H4" s="2">
        <v>0.75</v>
      </c>
      <c r="I4" s="2">
        <v>0.81</v>
      </c>
      <c r="J4" s="2">
        <v>0.74</v>
      </c>
      <c r="K4" s="2">
        <v>0.75</v>
      </c>
      <c r="L4" s="2">
        <v>0.76</v>
      </c>
      <c r="M4" s="2">
        <v>0.74</v>
      </c>
      <c r="N4" s="2">
        <v>0.75</v>
      </c>
      <c r="O4" s="2">
        <v>0.74</v>
      </c>
      <c r="P4" s="2">
        <f>_xlfn.LET(_xlpm.d,D4:O4,MAX(_xlpm.d))</f>
        <v>0.81</v>
      </c>
    </row>
    <row r="5" spans="1:28" ht="27" customHeight="1">
      <c r="C5" t="s">
        <v>11</v>
      </c>
      <c r="D5" s="2">
        <f>_xlfn.LET(_xlpm.d,D2:D4,MAX(_xlpm.d))</f>
        <v>0.8</v>
      </c>
      <c r="E5" s="2">
        <f t="shared" ref="E5:P5" si="0">_xlfn.LET(_xlpm.d,E2:E4,MAX(_xlpm.d))</f>
        <v>0.75</v>
      </c>
      <c r="F5" s="2">
        <f t="shared" si="0"/>
        <v>0.78</v>
      </c>
      <c r="G5" s="2">
        <f t="shared" si="0"/>
        <v>0.84</v>
      </c>
      <c r="H5" s="2">
        <f t="shared" si="0"/>
        <v>0.75</v>
      </c>
      <c r="I5" s="2">
        <f t="shared" si="0"/>
        <v>0.81</v>
      </c>
      <c r="J5" s="2">
        <f t="shared" si="0"/>
        <v>0.76</v>
      </c>
      <c r="K5" s="2">
        <f t="shared" si="0"/>
        <v>0.78</v>
      </c>
      <c r="L5" s="2">
        <f t="shared" si="0"/>
        <v>0.76</v>
      </c>
      <c r="M5" s="2">
        <f t="shared" si="0"/>
        <v>0.79</v>
      </c>
      <c r="N5" s="2">
        <f t="shared" si="0"/>
        <v>0.75</v>
      </c>
      <c r="O5" s="2">
        <f t="shared" si="0"/>
        <v>0.8</v>
      </c>
      <c r="P5" s="2">
        <f t="shared" si="0"/>
        <v>0.84</v>
      </c>
    </row>
    <row r="8" spans="1:28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7" customHeight="1">
      <c r="A9" t="s">
        <v>9</v>
      </c>
      <c r="B9" t="s">
        <v>8</v>
      </c>
      <c r="C9" t="s">
        <v>0</v>
      </c>
      <c r="D9" s="2">
        <v>0.69</v>
      </c>
      <c r="E9" s="2">
        <v>0.68</v>
      </c>
      <c r="F9" s="2">
        <v>0.76</v>
      </c>
      <c r="G9" s="2">
        <v>0.72</v>
      </c>
      <c r="H9" s="2">
        <v>0.7</v>
      </c>
      <c r="I9" s="2">
        <v>0.74</v>
      </c>
      <c r="J9" s="2">
        <v>0.65</v>
      </c>
      <c r="K9" s="2">
        <v>0.69</v>
      </c>
      <c r="L9" s="2">
        <v>0.69</v>
      </c>
      <c r="M9" s="2">
        <v>0.7</v>
      </c>
      <c r="N9" s="2">
        <v>0.71</v>
      </c>
      <c r="O9" s="2">
        <v>0.75</v>
      </c>
      <c r="P9" s="2">
        <f>_xlfn.LET(_xlpm.d,D9:O9,MAX(_xlpm.d))</f>
        <v>0.76</v>
      </c>
    </row>
    <row r="10" spans="1:28" ht="27" customHeight="1">
      <c r="A10" t="s">
        <v>9</v>
      </c>
      <c r="B10" t="s">
        <v>8</v>
      </c>
      <c r="C10" t="s">
        <v>1</v>
      </c>
      <c r="D10" s="2">
        <v>0.73</v>
      </c>
      <c r="E10" s="2">
        <v>0.71</v>
      </c>
      <c r="F10" s="2">
        <v>0.76</v>
      </c>
      <c r="G10" s="2">
        <v>0.75</v>
      </c>
      <c r="H10" s="2">
        <v>0.73</v>
      </c>
      <c r="I10" s="2">
        <v>0.78</v>
      </c>
      <c r="J10" s="2">
        <v>0.72</v>
      </c>
      <c r="K10" s="2">
        <v>0.76</v>
      </c>
      <c r="L10" s="2">
        <v>0.73</v>
      </c>
      <c r="M10" s="2">
        <v>0.71</v>
      </c>
      <c r="N10" s="2">
        <v>0.67</v>
      </c>
      <c r="O10" s="2">
        <v>0.76</v>
      </c>
      <c r="P10" s="2">
        <f>_xlfn.LET(_xlpm.d,D10:O10,MAX(_xlpm.d))</f>
        <v>0.78</v>
      </c>
    </row>
    <row r="11" spans="1:28" ht="27" customHeight="1">
      <c r="A11" t="s">
        <v>9</v>
      </c>
      <c r="B11" t="s">
        <v>8</v>
      </c>
      <c r="C11" t="s">
        <v>14</v>
      </c>
      <c r="D11" s="2">
        <v>0.7</v>
      </c>
      <c r="E11" s="2">
        <v>0.71</v>
      </c>
      <c r="F11" s="2">
        <v>0.71</v>
      </c>
      <c r="G11" s="2">
        <v>0.71</v>
      </c>
      <c r="H11" s="2">
        <v>0.75</v>
      </c>
      <c r="I11" s="2">
        <v>0.79</v>
      </c>
      <c r="J11" s="2">
        <v>0.64</v>
      </c>
      <c r="K11" s="2">
        <v>0.75</v>
      </c>
      <c r="L11" s="2">
        <v>0.74</v>
      </c>
      <c r="M11" s="2">
        <v>0.72</v>
      </c>
      <c r="N11" s="2">
        <v>0.74</v>
      </c>
      <c r="O11" s="2">
        <v>0.72</v>
      </c>
      <c r="P11" s="2">
        <f>_xlfn.LET(_xlpm.d,D11:O11,MAX(_xlpm.d))</f>
        <v>0.79</v>
      </c>
    </row>
    <row r="12" spans="1:28" ht="27" customHeight="1">
      <c r="C12" t="s">
        <v>11</v>
      </c>
      <c r="D12" s="2">
        <f>_xlfn.LET(_xlpm.d,D9:D11,MAX(_xlpm.d))</f>
        <v>0.73</v>
      </c>
      <c r="E12" s="2">
        <f t="shared" ref="E12:P12" si="1">_xlfn.LET(_xlpm.d,E9:E11,MAX(_xlpm.d))</f>
        <v>0.71</v>
      </c>
      <c r="F12" s="2">
        <f t="shared" si="1"/>
        <v>0.76</v>
      </c>
      <c r="G12" s="2">
        <f t="shared" si="1"/>
        <v>0.75</v>
      </c>
      <c r="H12" s="2">
        <f t="shared" si="1"/>
        <v>0.75</v>
      </c>
      <c r="I12" s="2">
        <f t="shared" si="1"/>
        <v>0.79</v>
      </c>
      <c r="J12" s="2">
        <f t="shared" si="1"/>
        <v>0.72</v>
      </c>
      <c r="K12" s="2">
        <f t="shared" si="1"/>
        <v>0.76</v>
      </c>
      <c r="L12" s="2">
        <f t="shared" si="1"/>
        <v>0.74</v>
      </c>
      <c r="M12" s="2">
        <f t="shared" si="1"/>
        <v>0.72</v>
      </c>
      <c r="N12" s="2">
        <f t="shared" si="1"/>
        <v>0.74</v>
      </c>
      <c r="O12" s="2">
        <f t="shared" si="1"/>
        <v>0.76</v>
      </c>
      <c r="P12" s="2">
        <f t="shared" si="1"/>
        <v>0.79</v>
      </c>
    </row>
    <row r="15" spans="1:28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8" ht="27" customHeight="1">
      <c r="A16" t="s">
        <v>10</v>
      </c>
      <c r="B16" t="s">
        <v>6</v>
      </c>
      <c r="C16" t="s">
        <v>0</v>
      </c>
      <c r="D16" s="2">
        <v>0.64</v>
      </c>
      <c r="E16" s="2">
        <v>0.67</v>
      </c>
      <c r="F16" s="2">
        <v>0.72</v>
      </c>
      <c r="G16" s="2">
        <v>0.67</v>
      </c>
      <c r="H16" s="2">
        <v>0.65</v>
      </c>
      <c r="I16" s="2">
        <v>0.7</v>
      </c>
      <c r="J16" s="2">
        <v>0.65</v>
      </c>
      <c r="K16" s="2">
        <v>0.69</v>
      </c>
      <c r="L16" s="2">
        <v>0.63</v>
      </c>
      <c r="M16" s="2">
        <v>0.68</v>
      </c>
      <c r="N16" s="2">
        <v>0.69</v>
      </c>
      <c r="O16" s="2">
        <v>0.63</v>
      </c>
      <c r="P16" s="2">
        <f>_xlfn.LET(_xlpm.d,D16:O16,MAX(_xlpm.d))</f>
        <v>0.72</v>
      </c>
    </row>
    <row r="17" spans="1:17" ht="27" customHeight="1">
      <c r="A17" t="s">
        <v>10</v>
      </c>
      <c r="B17" t="s">
        <v>6</v>
      </c>
      <c r="C17" t="s">
        <v>1</v>
      </c>
      <c r="D17" s="2">
        <v>0.73</v>
      </c>
      <c r="E17" s="2">
        <v>0.71</v>
      </c>
      <c r="F17" s="2">
        <v>0.72</v>
      </c>
      <c r="G17" s="2">
        <v>0.76</v>
      </c>
      <c r="H17" s="2">
        <v>0.69</v>
      </c>
      <c r="I17" s="2">
        <v>0.72</v>
      </c>
      <c r="J17" s="2">
        <v>0.73</v>
      </c>
      <c r="K17" s="2">
        <v>0.74</v>
      </c>
      <c r="L17" s="2">
        <v>0.66</v>
      </c>
      <c r="M17" s="2">
        <v>0.7</v>
      </c>
      <c r="N17" s="2">
        <v>0.71</v>
      </c>
      <c r="O17" s="2">
        <v>0.73</v>
      </c>
      <c r="P17" s="2">
        <f>_xlfn.LET(_xlpm.d,D17:O17,MAX(_xlpm.d))</f>
        <v>0.76</v>
      </c>
    </row>
    <row r="18" spans="1:17" ht="27" customHeight="1">
      <c r="A18" t="s">
        <v>10</v>
      </c>
      <c r="B18" t="s">
        <v>6</v>
      </c>
      <c r="C18" t="s">
        <v>14</v>
      </c>
      <c r="D18" s="2">
        <v>0.69</v>
      </c>
      <c r="E18" s="2">
        <v>0.69</v>
      </c>
      <c r="F18" s="2">
        <v>0.67</v>
      </c>
      <c r="G18" s="2">
        <v>0.69</v>
      </c>
      <c r="H18" s="2">
        <v>0.68</v>
      </c>
      <c r="I18" s="2">
        <v>0.6</v>
      </c>
      <c r="J18" s="2">
        <v>0.69</v>
      </c>
      <c r="K18" s="2">
        <v>0.69</v>
      </c>
      <c r="L18" s="2">
        <v>0.62</v>
      </c>
      <c r="M18" s="2">
        <v>0.66</v>
      </c>
      <c r="N18" s="2">
        <v>0.74</v>
      </c>
      <c r="O18" s="2">
        <v>0.63</v>
      </c>
      <c r="P18" s="2">
        <f>_xlfn.LET(_xlpm.d,D18:O18,MAX(_xlpm.d))</f>
        <v>0.74</v>
      </c>
    </row>
    <row r="19" spans="1:17" ht="27" customHeight="1">
      <c r="C19" t="s">
        <v>11</v>
      </c>
      <c r="D19" s="2">
        <f>_xlfn.LET(_xlpm.d,D16:D18,MAX(_xlpm.d))</f>
        <v>0.73</v>
      </c>
      <c r="E19" s="2">
        <f t="shared" ref="E19:P19" si="2">_xlfn.LET(_xlpm.d,E16:E18,MAX(_xlpm.d))</f>
        <v>0.71</v>
      </c>
      <c r="F19" s="2">
        <f t="shared" si="2"/>
        <v>0.72</v>
      </c>
      <c r="G19" s="2">
        <f t="shared" si="2"/>
        <v>0.76</v>
      </c>
      <c r="H19" s="2">
        <f t="shared" si="2"/>
        <v>0.69</v>
      </c>
      <c r="I19" s="2">
        <f t="shared" si="2"/>
        <v>0.72</v>
      </c>
      <c r="J19" s="2">
        <f t="shared" si="2"/>
        <v>0.73</v>
      </c>
      <c r="K19" s="2">
        <f t="shared" si="2"/>
        <v>0.74</v>
      </c>
      <c r="L19" s="2">
        <f t="shared" si="2"/>
        <v>0.66</v>
      </c>
      <c r="M19" s="2">
        <f t="shared" si="2"/>
        <v>0.7</v>
      </c>
      <c r="N19" s="2">
        <f t="shared" si="2"/>
        <v>0.74</v>
      </c>
      <c r="O19" s="2">
        <f t="shared" si="2"/>
        <v>0.73</v>
      </c>
      <c r="P19" s="2">
        <f t="shared" si="2"/>
        <v>0.76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>
        <v>0.65</v>
      </c>
      <c r="E23" s="2">
        <v>0.7</v>
      </c>
      <c r="F23" s="2">
        <v>0.7</v>
      </c>
      <c r="G23" s="2">
        <v>0.67</v>
      </c>
      <c r="H23" s="2">
        <v>0.66</v>
      </c>
      <c r="I23" s="2">
        <v>0.66</v>
      </c>
      <c r="J23" s="2">
        <v>0.62</v>
      </c>
      <c r="K23" s="2">
        <v>0.69</v>
      </c>
      <c r="L23" s="2">
        <v>0.59</v>
      </c>
      <c r="M23" s="2">
        <v>0.62</v>
      </c>
      <c r="N23" s="2">
        <v>0.69</v>
      </c>
      <c r="O23" s="2">
        <v>0.66</v>
      </c>
      <c r="P23" s="2">
        <f>_xlfn.LET(_xlpm.d,D23:O23,MAX(_xlpm.d))</f>
        <v>0.7</v>
      </c>
    </row>
    <row r="24" spans="1:17" ht="27" customHeight="1">
      <c r="A24" t="s">
        <v>10</v>
      </c>
      <c r="B24" t="s">
        <v>8</v>
      </c>
      <c r="C24" t="s">
        <v>1</v>
      </c>
      <c r="D24" s="2">
        <v>0.69</v>
      </c>
      <c r="E24" s="2">
        <v>0.73</v>
      </c>
      <c r="F24" s="2">
        <v>0.69</v>
      </c>
      <c r="G24" s="2">
        <v>0.72</v>
      </c>
      <c r="H24" s="2">
        <v>0.7</v>
      </c>
      <c r="I24" s="2">
        <v>0.7</v>
      </c>
      <c r="J24" s="2">
        <v>0.66</v>
      </c>
      <c r="K24" s="2">
        <v>0.72</v>
      </c>
      <c r="L24" s="2">
        <v>0.66</v>
      </c>
      <c r="M24" s="2">
        <v>0.64</v>
      </c>
      <c r="N24" s="2">
        <v>0.71</v>
      </c>
      <c r="O24" s="2">
        <v>0.68</v>
      </c>
      <c r="P24" s="2">
        <f>_xlfn.LET(_xlpm.d,D24:O24,MAX(_xlpm.d))</f>
        <v>0.73</v>
      </c>
    </row>
    <row r="25" spans="1:17" ht="27" customHeight="1">
      <c r="A25" t="s">
        <v>10</v>
      </c>
      <c r="B25" t="s">
        <v>8</v>
      </c>
      <c r="C25" t="s">
        <v>14</v>
      </c>
      <c r="D25" s="2">
        <v>0.64</v>
      </c>
      <c r="E25" s="2">
        <v>0.67</v>
      </c>
      <c r="F25" s="2">
        <v>0.65</v>
      </c>
      <c r="G25" s="2">
        <v>0.63</v>
      </c>
      <c r="H25" s="2">
        <v>0.66</v>
      </c>
      <c r="I25" s="2">
        <v>0.61</v>
      </c>
      <c r="J25" s="2">
        <v>0.66</v>
      </c>
      <c r="K25" s="2">
        <v>0.57999999999999996</v>
      </c>
      <c r="L25" s="2">
        <v>0.57999999999999996</v>
      </c>
      <c r="M25" s="2">
        <v>0.62</v>
      </c>
      <c r="N25" s="2">
        <v>0.64</v>
      </c>
      <c r="O25" s="2">
        <v>0.59</v>
      </c>
      <c r="P25" s="2">
        <f>_xlfn.LET(_xlpm.d,D25:O25,MAX(_xlpm.d))</f>
        <v>0.67</v>
      </c>
    </row>
    <row r="26" spans="1:17" ht="27" customHeight="1">
      <c r="C26" t="s">
        <v>11</v>
      </c>
      <c r="D26" s="2">
        <f>_xlfn.LET(_xlpm.d,D23:D25,MAX(_xlpm.d))</f>
        <v>0.69</v>
      </c>
      <c r="E26" s="2">
        <f t="shared" ref="E26:P26" si="3">_xlfn.LET(_xlpm.d,E23:E25,MAX(_xlpm.d))</f>
        <v>0.73</v>
      </c>
      <c r="F26" s="2">
        <f t="shared" si="3"/>
        <v>0.7</v>
      </c>
      <c r="G26" s="2">
        <f t="shared" si="3"/>
        <v>0.72</v>
      </c>
      <c r="H26" s="2">
        <f t="shared" si="3"/>
        <v>0.7</v>
      </c>
      <c r="I26" s="2">
        <f t="shared" si="3"/>
        <v>0.7</v>
      </c>
      <c r="J26" s="2">
        <f t="shared" si="3"/>
        <v>0.66</v>
      </c>
      <c r="K26" s="2">
        <f t="shared" si="3"/>
        <v>0.72</v>
      </c>
      <c r="L26" s="2">
        <f t="shared" si="3"/>
        <v>0.66</v>
      </c>
      <c r="M26" s="2">
        <f t="shared" si="3"/>
        <v>0.64</v>
      </c>
      <c r="N26" s="2">
        <f t="shared" si="3"/>
        <v>0.71</v>
      </c>
      <c r="O26" s="2">
        <f t="shared" si="3"/>
        <v>0.68</v>
      </c>
      <c r="P26" s="2">
        <f t="shared" si="3"/>
        <v>0.73</v>
      </c>
    </row>
    <row r="29" spans="1:17" ht="27" customHeight="1">
      <c r="A29" t="s">
        <v>4</v>
      </c>
      <c r="B29" t="s">
        <v>5</v>
      </c>
      <c r="C29" t="s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1" t="s">
        <v>27</v>
      </c>
      <c r="K29" s="1" t="s">
        <v>28</v>
      </c>
      <c r="L29" s="1" t="s">
        <v>29</v>
      </c>
      <c r="M29" t="s">
        <v>30</v>
      </c>
      <c r="N29" t="s">
        <v>31</v>
      </c>
      <c r="O29" t="s">
        <v>32</v>
      </c>
      <c r="P29" t="s">
        <v>11</v>
      </c>
      <c r="Q29" t="s">
        <v>7</v>
      </c>
    </row>
    <row r="30" spans="1:17" ht="27" customHeight="1">
      <c r="A30" t="s">
        <v>3</v>
      </c>
      <c r="B30" t="s">
        <v>6</v>
      </c>
      <c r="C30" t="s">
        <v>0</v>
      </c>
      <c r="D30" s="2">
        <v>0.98</v>
      </c>
      <c r="E30" s="2">
        <v>0.97</v>
      </c>
      <c r="F30" s="2">
        <v>0.97</v>
      </c>
      <c r="G30" s="2">
        <v>0.96</v>
      </c>
      <c r="H30" s="2">
        <v>0.95</v>
      </c>
      <c r="I30" s="2">
        <v>0.94</v>
      </c>
      <c r="J30" s="2">
        <v>0.97</v>
      </c>
      <c r="K30" s="2">
        <v>0.97</v>
      </c>
      <c r="L30" s="2">
        <v>0.97</v>
      </c>
      <c r="M30" s="2">
        <v>0.97</v>
      </c>
      <c r="N30" s="2">
        <v>0.97</v>
      </c>
      <c r="O30" s="2">
        <v>0.97</v>
      </c>
      <c r="P30" s="2">
        <f>_xlfn.LET(_xlpm.d,D30:O30,MAX(_xlpm.d))</f>
        <v>0.98</v>
      </c>
    </row>
    <row r="31" spans="1:17" ht="27" customHeight="1">
      <c r="A31" t="s">
        <v>3</v>
      </c>
      <c r="B31" t="s">
        <v>6</v>
      </c>
      <c r="C31" t="s">
        <v>1</v>
      </c>
      <c r="D31" s="2">
        <v>0.97</v>
      </c>
      <c r="E31" s="2">
        <v>0.97</v>
      </c>
      <c r="F31" s="2">
        <v>0.97</v>
      </c>
      <c r="G31" s="2">
        <v>0.96</v>
      </c>
      <c r="H31" s="2">
        <v>0.96</v>
      </c>
      <c r="I31" s="2">
        <v>0.95</v>
      </c>
      <c r="J31" s="2">
        <v>0.97</v>
      </c>
      <c r="K31" s="2">
        <v>0.97</v>
      </c>
      <c r="L31" s="2">
        <v>0.97</v>
      </c>
      <c r="M31" s="2">
        <v>0.98</v>
      </c>
      <c r="N31" s="2">
        <v>0.97</v>
      </c>
      <c r="O31" s="2">
        <v>0.97</v>
      </c>
      <c r="P31" s="2">
        <f>_xlfn.LET(_xlpm.d,D31:O31,MAX(_xlpm.d))</f>
        <v>0.98</v>
      </c>
    </row>
    <row r="32" spans="1:17" ht="27" customHeight="1">
      <c r="A32" t="s">
        <v>3</v>
      </c>
      <c r="B32" t="s">
        <v>6</v>
      </c>
      <c r="C32" t="s">
        <v>14</v>
      </c>
      <c r="D32" s="2">
        <v>0.97</v>
      </c>
      <c r="E32" s="2">
        <v>0.97</v>
      </c>
      <c r="F32" s="2">
        <v>0.98</v>
      </c>
      <c r="G32" s="2">
        <v>0.96</v>
      </c>
      <c r="H32" s="2">
        <v>0.96</v>
      </c>
      <c r="I32" s="2">
        <v>0.95</v>
      </c>
      <c r="J32" s="2">
        <v>0.97</v>
      </c>
      <c r="K32" s="2">
        <v>0.97</v>
      </c>
      <c r="L32" s="2">
        <v>0.97</v>
      </c>
      <c r="M32" s="2">
        <v>0.97</v>
      </c>
      <c r="N32" s="2">
        <v>0.97</v>
      </c>
      <c r="O32" s="2">
        <v>0.97</v>
      </c>
      <c r="P32" s="2">
        <f>_xlfn.LET(_xlpm.d,D32:O32,MAX(_xlpm.d))</f>
        <v>0.98</v>
      </c>
    </row>
    <row r="33" spans="1:17" ht="27" customHeight="1">
      <c r="C33" t="s">
        <v>11</v>
      </c>
      <c r="D33" s="2">
        <f>_xlfn.LET(_xlpm.d,D30:D32,MAX(_xlpm.d))</f>
        <v>0.98</v>
      </c>
      <c r="E33" s="2">
        <f t="shared" ref="E33:P33" si="4">_xlfn.LET(_xlpm.d,E30:E32,MAX(_xlpm.d))</f>
        <v>0.97</v>
      </c>
      <c r="F33" s="2">
        <f t="shared" si="4"/>
        <v>0.98</v>
      </c>
      <c r="G33" s="2">
        <f t="shared" si="4"/>
        <v>0.96</v>
      </c>
      <c r="H33" s="2">
        <f t="shared" si="4"/>
        <v>0.96</v>
      </c>
      <c r="I33" s="2">
        <f t="shared" si="4"/>
        <v>0.95</v>
      </c>
      <c r="J33" s="2">
        <f t="shared" si="4"/>
        <v>0.97</v>
      </c>
      <c r="K33" s="2">
        <f t="shared" si="4"/>
        <v>0.97</v>
      </c>
      <c r="L33" s="2">
        <f t="shared" si="4"/>
        <v>0.97</v>
      </c>
      <c r="M33" s="2">
        <f t="shared" si="4"/>
        <v>0.98</v>
      </c>
      <c r="N33" s="2">
        <f t="shared" si="4"/>
        <v>0.97</v>
      </c>
      <c r="O33" s="2">
        <f t="shared" si="4"/>
        <v>0.97</v>
      </c>
      <c r="P33" s="2">
        <f t="shared" si="4"/>
        <v>0.98</v>
      </c>
    </row>
    <row r="36" spans="1:17" ht="27" customHeight="1">
      <c r="A36" t="s">
        <v>4</v>
      </c>
      <c r="B36" t="s">
        <v>5</v>
      </c>
      <c r="C36" t="s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s="1" t="s">
        <v>27</v>
      </c>
      <c r="K36" s="1" t="s">
        <v>28</v>
      </c>
      <c r="L36" s="1" t="s">
        <v>29</v>
      </c>
      <c r="M36" t="s">
        <v>30</v>
      </c>
      <c r="N36" t="s">
        <v>31</v>
      </c>
      <c r="O36" t="s">
        <v>32</v>
      </c>
      <c r="P36" t="s">
        <v>11</v>
      </c>
      <c r="Q36" t="s">
        <v>7</v>
      </c>
    </row>
    <row r="37" spans="1:17" ht="27" customHeight="1">
      <c r="A37" t="s">
        <v>3</v>
      </c>
      <c r="B37" t="s">
        <v>8</v>
      </c>
      <c r="C37" t="s">
        <v>0</v>
      </c>
      <c r="D37" s="2">
        <v>0.96</v>
      </c>
      <c r="E37" s="2">
        <v>0.96</v>
      </c>
      <c r="F37" s="2">
        <v>0.94</v>
      </c>
      <c r="G37" s="2">
        <v>0.94</v>
      </c>
      <c r="H37" s="2">
        <v>0.97</v>
      </c>
      <c r="I37" s="2">
        <v>0.94</v>
      </c>
      <c r="J37" s="2">
        <v>0.96</v>
      </c>
      <c r="K37" s="2">
        <v>0.97</v>
      </c>
      <c r="L37" s="2">
        <v>0.97</v>
      </c>
      <c r="M37" s="2">
        <v>0.97</v>
      </c>
      <c r="N37" s="2">
        <v>0.97</v>
      </c>
      <c r="O37" s="2">
        <v>0.97</v>
      </c>
      <c r="P37" s="2">
        <f>_xlfn.LET(_xlpm.d,D37:O37,MAX(_xlpm.d))</f>
        <v>0.97</v>
      </c>
    </row>
    <row r="38" spans="1:17" ht="27" customHeight="1">
      <c r="A38" t="s">
        <v>3</v>
      </c>
      <c r="B38" t="s">
        <v>8</v>
      </c>
      <c r="C38" t="s">
        <v>1</v>
      </c>
      <c r="D38" s="2">
        <v>0.97</v>
      </c>
      <c r="E38" s="2">
        <v>0.97</v>
      </c>
      <c r="F38" s="2">
        <v>0.98</v>
      </c>
      <c r="G38" s="2">
        <v>0.96</v>
      </c>
      <c r="H38" s="2">
        <v>0.96</v>
      </c>
      <c r="I38" s="2">
        <v>0.95</v>
      </c>
      <c r="J38" s="2">
        <v>0.97</v>
      </c>
      <c r="K38" s="2">
        <v>0.97</v>
      </c>
      <c r="L38" s="2">
        <v>0.97</v>
      </c>
      <c r="M38" s="2">
        <v>0.97</v>
      </c>
      <c r="N38" s="2">
        <v>0.97</v>
      </c>
      <c r="O38" s="2">
        <v>0.97</v>
      </c>
      <c r="P38" s="2">
        <f>_xlfn.LET(_xlpm.d,D38:O38,MAX(_xlpm.d))</f>
        <v>0.98</v>
      </c>
    </row>
    <row r="39" spans="1:17" ht="27" customHeight="1">
      <c r="A39" t="s">
        <v>3</v>
      </c>
      <c r="B39" t="s">
        <v>8</v>
      </c>
      <c r="C39" t="s">
        <v>14</v>
      </c>
      <c r="D39" s="2">
        <v>0.97</v>
      </c>
      <c r="E39" s="2">
        <v>0.97</v>
      </c>
      <c r="F39" s="2">
        <v>0.98</v>
      </c>
      <c r="G39" s="2">
        <v>0.96</v>
      </c>
      <c r="H39" s="2">
        <v>0.96</v>
      </c>
      <c r="I39" s="2">
        <v>0.95</v>
      </c>
      <c r="J39" s="2">
        <v>0.97</v>
      </c>
      <c r="K39" s="2">
        <v>0.97</v>
      </c>
      <c r="L39" s="2">
        <v>0.97</v>
      </c>
      <c r="M39" s="2">
        <v>0.97</v>
      </c>
      <c r="N39" s="2">
        <v>0.97</v>
      </c>
      <c r="O39" s="2">
        <v>0.97</v>
      </c>
      <c r="P39" s="2">
        <f>_xlfn.LET(_xlpm.d,D39:O39,MAX(_xlpm.d))</f>
        <v>0.98</v>
      </c>
    </row>
    <row r="40" spans="1:17" ht="27" customHeight="1">
      <c r="C40" t="s">
        <v>11</v>
      </c>
      <c r="D40" s="2">
        <f>_xlfn.LET(_xlpm.d,D37:D39,MAX(_xlpm.d))</f>
        <v>0.97</v>
      </c>
      <c r="E40" s="2">
        <f t="shared" ref="E40:P40" si="5">_xlfn.LET(_xlpm.d,E37:E39,MAX(_xlpm.d))</f>
        <v>0.97</v>
      </c>
      <c r="F40" s="2">
        <f t="shared" si="5"/>
        <v>0.98</v>
      </c>
      <c r="G40" s="2">
        <f t="shared" si="5"/>
        <v>0.96</v>
      </c>
      <c r="H40" s="2">
        <f t="shared" si="5"/>
        <v>0.97</v>
      </c>
      <c r="I40" s="2">
        <f t="shared" si="5"/>
        <v>0.95</v>
      </c>
      <c r="J40" s="2">
        <f t="shared" si="5"/>
        <v>0.97</v>
      </c>
      <c r="K40" s="2">
        <f t="shared" si="5"/>
        <v>0.97</v>
      </c>
      <c r="L40" s="2">
        <f t="shared" si="5"/>
        <v>0.97</v>
      </c>
      <c r="M40" s="2">
        <f t="shared" si="5"/>
        <v>0.97</v>
      </c>
      <c r="N40" s="2">
        <f t="shared" si="5"/>
        <v>0.97</v>
      </c>
      <c r="O40" s="2">
        <f t="shared" si="5"/>
        <v>0.97</v>
      </c>
      <c r="P40" s="2">
        <f t="shared" si="5"/>
        <v>0.98</v>
      </c>
    </row>
    <row r="44" spans="1:17" ht="27" customHeight="1">
      <c r="C44" t="s">
        <v>2</v>
      </c>
      <c r="D44" t="str">
        <f>D$1</f>
        <v>2g</v>
      </c>
      <c r="E44" t="str">
        <f t="shared" ref="E44:F44" si="6">E$1</f>
        <v>3g</v>
      </c>
      <c r="F44" t="str">
        <f t="shared" si="6"/>
        <v>4g</v>
      </c>
      <c r="G44" t="str">
        <f>G$1</f>
        <v>sk2g</v>
      </c>
      <c r="H44" t="str">
        <f>H$1</f>
        <v>sk3g</v>
      </c>
      <c r="I44" t="str">
        <f>I$1</f>
        <v>sk4g</v>
      </c>
      <c r="J44" t="str">
        <f>J$1</f>
        <v>2g-hash</v>
      </c>
      <c r="K44" t="str">
        <f>K$1</f>
        <v>3g-hash</v>
      </c>
      <c r="L44" t="str">
        <f>L$1</f>
        <v>4g-hash</v>
      </c>
      <c r="M44" t="str">
        <f>M$1</f>
        <v>sk2g-hash</v>
      </c>
      <c r="N44" t="str">
        <f>N$1</f>
        <v>sk3g-hash</v>
      </c>
      <c r="O44" t="str">
        <f>O$1</f>
        <v>sk4g-hash</v>
      </c>
      <c r="P44" t="s">
        <v>11</v>
      </c>
    </row>
    <row r="45" spans="1:17" ht="27" customHeight="1">
      <c r="C45" t="s">
        <v>9</v>
      </c>
      <c r="D45" s="2">
        <f>D5</f>
        <v>0.8</v>
      </c>
      <c r="E45" s="2">
        <f t="shared" ref="E45:F45" si="7">E5</f>
        <v>0.75</v>
      </c>
      <c r="F45" s="2">
        <f t="shared" si="7"/>
        <v>0.78</v>
      </c>
      <c r="G45" s="2">
        <f>G5</f>
        <v>0.84</v>
      </c>
      <c r="H45" s="2">
        <f>H5</f>
        <v>0.75</v>
      </c>
      <c r="I45" s="2">
        <f>I5</f>
        <v>0.81</v>
      </c>
      <c r="J45" s="2">
        <f>J5</f>
        <v>0.76</v>
      </c>
      <c r="K45" s="2">
        <f>K5</f>
        <v>0.78</v>
      </c>
      <c r="L45" s="2">
        <f>L5</f>
        <v>0.76</v>
      </c>
      <c r="M45" s="2">
        <f>M5</f>
        <v>0.79</v>
      </c>
      <c r="N45" s="2">
        <f>N5</f>
        <v>0.75</v>
      </c>
      <c r="O45" s="2">
        <f>O5</f>
        <v>0.8</v>
      </c>
      <c r="P45" s="2">
        <f>P5</f>
        <v>0.84</v>
      </c>
    </row>
    <row r="46" spans="1:17" ht="27" customHeight="1">
      <c r="C46" t="s">
        <v>12</v>
      </c>
      <c r="D46" s="2">
        <f>D19</f>
        <v>0.73</v>
      </c>
      <c r="E46" s="2">
        <f t="shared" ref="E46:F46" si="8">E19</f>
        <v>0.71</v>
      </c>
      <c r="F46" s="2">
        <f t="shared" si="8"/>
        <v>0.72</v>
      </c>
      <c r="G46" s="2">
        <f>G19</f>
        <v>0.76</v>
      </c>
      <c r="H46" s="2">
        <f>H19</f>
        <v>0.69</v>
      </c>
      <c r="I46" s="2">
        <f>I19</f>
        <v>0.72</v>
      </c>
      <c r="J46" s="2">
        <f>J19</f>
        <v>0.73</v>
      </c>
      <c r="K46" s="2">
        <f>K19</f>
        <v>0.74</v>
      </c>
      <c r="L46" s="2">
        <f>L19</f>
        <v>0.66</v>
      </c>
      <c r="M46" s="2">
        <f>M19</f>
        <v>0.7</v>
      </c>
      <c r="N46" s="2">
        <f>N19</f>
        <v>0.74</v>
      </c>
      <c r="O46" s="2">
        <f>O19</f>
        <v>0.73</v>
      </c>
      <c r="P46" s="2">
        <f>P19</f>
        <v>0.76</v>
      </c>
    </row>
    <row r="47" spans="1:17" ht="27" customHeight="1">
      <c r="C47" t="s">
        <v>3</v>
      </c>
      <c r="D47" s="2">
        <f>D33</f>
        <v>0.98</v>
      </c>
      <c r="E47" s="2">
        <f t="shared" ref="E47:F47" si="9">E33</f>
        <v>0.97</v>
      </c>
      <c r="F47" s="2">
        <f t="shared" si="9"/>
        <v>0.98</v>
      </c>
      <c r="G47" s="2">
        <f t="shared" ref="G47:P47" si="10">G33</f>
        <v>0.96</v>
      </c>
      <c r="H47" s="2">
        <f t="shared" si="10"/>
        <v>0.96</v>
      </c>
      <c r="I47" s="2">
        <f t="shared" si="10"/>
        <v>0.95</v>
      </c>
      <c r="J47" s="2">
        <f t="shared" si="10"/>
        <v>0.97</v>
      </c>
      <c r="K47" s="2">
        <f t="shared" si="10"/>
        <v>0.97</v>
      </c>
      <c r="L47" s="2">
        <f t="shared" si="10"/>
        <v>0.97</v>
      </c>
      <c r="M47" s="2">
        <f t="shared" si="10"/>
        <v>0.98</v>
      </c>
      <c r="N47" s="2">
        <f t="shared" si="10"/>
        <v>0.97</v>
      </c>
      <c r="O47" s="2">
        <f t="shared" si="10"/>
        <v>0.97</v>
      </c>
      <c r="P47" s="2">
        <f t="shared" si="10"/>
        <v>0.98</v>
      </c>
    </row>
  </sheetData>
  <conditionalFormatting sqref="D2:P5 D9:P12 D16:P19 D23:P26 D30:P33 D37:P4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9857-FC00-B44C-8BFF-9BF9C95BF535}">
  <dimension ref="A1:AB47"/>
  <sheetViews>
    <sheetView topLeftCell="A27" workbookViewId="0">
      <selection activeCell="G44" sqref="G44:G47"/>
    </sheetView>
  </sheetViews>
  <sheetFormatPr baseColWidth="10" defaultRowHeight="27" customHeight="1"/>
  <cols>
    <col min="1" max="1" width="8.375" customWidth="1"/>
    <col min="2" max="2" width="8.75" customWidth="1"/>
    <col min="3" max="3" width="7.75" customWidth="1"/>
    <col min="4" max="15" width="7.375" customWidth="1"/>
    <col min="16" max="16" width="6.75" customWidth="1"/>
    <col min="17" max="17" width="7.5" customWidth="1"/>
  </cols>
  <sheetData>
    <row r="1" spans="1:28" ht="46">
      <c r="A1" s="1" t="s">
        <v>4</v>
      </c>
      <c r="B1" s="1" t="s">
        <v>5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11</v>
      </c>
      <c r="Q1" s="1" t="s">
        <v>7</v>
      </c>
    </row>
    <row r="2" spans="1:28" ht="27" customHeight="1">
      <c r="A2" t="s">
        <v>9</v>
      </c>
      <c r="B2" t="s">
        <v>6</v>
      </c>
      <c r="C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>
        <f>_xlfn.LET(_xlpm.d,D2:O2,MAX(_xlpm.d))</f>
        <v>0</v>
      </c>
    </row>
    <row r="3" spans="1:28" ht="27" customHeight="1">
      <c r="A3" t="s">
        <v>9</v>
      </c>
      <c r="B3" t="s">
        <v>6</v>
      </c>
      <c r="C3" t="s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>
        <f>_xlfn.LET(_xlpm.d,D3:O3,MAX(_xlpm.d))</f>
        <v>0</v>
      </c>
    </row>
    <row r="4" spans="1:28" ht="27" customHeight="1">
      <c r="A4" t="s">
        <v>9</v>
      </c>
      <c r="B4" t="s">
        <v>6</v>
      </c>
      <c r="C4" t="s">
        <v>14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f>_xlfn.LET(_xlpm.d,D4:O4,MAX(_xlpm.d))</f>
        <v>0</v>
      </c>
    </row>
    <row r="5" spans="1:28" ht="27" customHeight="1">
      <c r="C5" t="s">
        <v>11</v>
      </c>
      <c r="D5" s="2">
        <f>_xlfn.LET(_xlpm.d,D2:D4,MAX(_xlpm.d))</f>
        <v>0</v>
      </c>
      <c r="E5" s="2">
        <f t="shared" ref="E5:P5" si="0">_xlfn.LET(_xlpm.d,E2:E4,MAX(_xlpm.d))</f>
        <v>0</v>
      </c>
      <c r="F5" s="2">
        <f t="shared" si="0"/>
        <v>0</v>
      </c>
      <c r="G5" s="2">
        <f t="shared" si="0"/>
        <v>0</v>
      </c>
      <c r="H5" s="2">
        <f t="shared" si="0"/>
        <v>0</v>
      </c>
      <c r="I5" s="2">
        <f t="shared" si="0"/>
        <v>0</v>
      </c>
      <c r="J5" s="2">
        <f t="shared" si="0"/>
        <v>0</v>
      </c>
      <c r="K5" s="2">
        <f t="shared" si="0"/>
        <v>0</v>
      </c>
      <c r="L5" s="2">
        <f t="shared" si="0"/>
        <v>0</v>
      </c>
      <c r="M5" s="2">
        <f t="shared" si="0"/>
        <v>0</v>
      </c>
      <c r="N5" s="2">
        <f t="shared" si="0"/>
        <v>0</v>
      </c>
      <c r="O5" s="2">
        <f t="shared" si="0"/>
        <v>0</v>
      </c>
      <c r="P5" s="2">
        <f t="shared" si="0"/>
        <v>0</v>
      </c>
    </row>
    <row r="8" spans="1:28" ht="27" customHeight="1">
      <c r="A8" t="s">
        <v>4</v>
      </c>
      <c r="B8" t="s">
        <v>5</v>
      </c>
      <c r="C8" t="s">
        <v>2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s="1" t="s">
        <v>27</v>
      </c>
      <c r="K8" s="1" t="s">
        <v>28</v>
      </c>
      <c r="L8" s="1" t="s">
        <v>29</v>
      </c>
      <c r="M8" t="s">
        <v>30</v>
      </c>
      <c r="N8" t="s">
        <v>31</v>
      </c>
      <c r="O8" t="s">
        <v>32</v>
      </c>
      <c r="P8" t="s">
        <v>11</v>
      </c>
      <c r="Q8" s="1" t="s">
        <v>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27" customHeight="1">
      <c r="A9" t="s">
        <v>9</v>
      </c>
      <c r="B9" t="s">
        <v>8</v>
      </c>
      <c r="C9" t="s">
        <v>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f>_xlfn.LET(_xlpm.d,D9:O9,MAX(_xlpm.d))</f>
        <v>0</v>
      </c>
    </row>
    <row r="10" spans="1:28" ht="27" customHeight="1">
      <c r="A10" t="s">
        <v>9</v>
      </c>
      <c r="B10" t="s">
        <v>8</v>
      </c>
      <c r="C10" t="s">
        <v>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>_xlfn.LET(_xlpm.d,D10:O10,MAX(_xlpm.d))</f>
        <v>0</v>
      </c>
    </row>
    <row r="11" spans="1:28" ht="27" customHeight="1">
      <c r="A11" t="s">
        <v>9</v>
      </c>
      <c r="B11" t="s">
        <v>8</v>
      </c>
      <c r="C11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>
        <f>_xlfn.LET(_xlpm.d,D11:O11,MAX(_xlpm.d))</f>
        <v>0</v>
      </c>
    </row>
    <row r="12" spans="1:28" ht="27" customHeight="1">
      <c r="C12" t="s">
        <v>11</v>
      </c>
      <c r="D12" s="2">
        <f>_xlfn.LET(_xlpm.d,D9:D11,MAX(_xlpm.d))</f>
        <v>0</v>
      </c>
      <c r="E12" s="2">
        <f t="shared" ref="E12:P12" si="1">_xlfn.LET(_xlpm.d,E9:E11,MAX(_xlpm.d))</f>
        <v>0</v>
      </c>
      <c r="F12" s="2">
        <f t="shared" si="1"/>
        <v>0</v>
      </c>
      <c r="G12" s="2">
        <f t="shared" si="1"/>
        <v>0</v>
      </c>
      <c r="H12" s="2">
        <f t="shared" si="1"/>
        <v>0</v>
      </c>
      <c r="I12" s="2">
        <f t="shared" si="1"/>
        <v>0</v>
      </c>
      <c r="J12" s="2">
        <f t="shared" si="1"/>
        <v>0</v>
      </c>
      <c r="K12" s="2">
        <f t="shared" si="1"/>
        <v>0</v>
      </c>
      <c r="L12" s="2">
        <f t="shared" si="1"/>
        <v>0</v>
      </c>
      <c r="M12" s="2">
        <f t="shared" si="1"/>
        <v>0</v>
      </c>
      <c r="N12" s="2">
        <f t="shared" si="1"/>
        <v>0</v>
      </c>
      <c r="O12" s="2">
        <f t="shared" si="1"/>
        <v>0</v>
      </c>
      <c r="P12" s="2">
        <f t="shared" si="1"/>
        <v>0</v>
      </c>
    </row>
    <row r="15" spans="1:28" ht="27" customHeight="1">
      <c r="A15" t="s">
        <v>4</v>
      </c>
      <c r="B15" t="s">
        <v>5</v>
      </c>
      <c r="C15" t="s">
        <v>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s="1" t="s">
        <v>27</v>
      </c>
      <c r="K15" s="1" t="s">
        <v>28</v>
      </c>
      <c r="L15" s="1" t="s">
        <v>29</v>
      </c>
      <c r="M15" t="s">
        <v>30</v>
      </c>
      <c r="N15" t="s">
        <v>31</v>
      </c>
      <c r="O15" t="s">
        <v>32</v>
      </c>
      <c r="P15" t="s">
        <v>11</v>
      </c>
      <c r="Q15" t="s">
        <v>7</v>
      </c>
    </row>
    <row r="16" spans="1:28" ht="27" customHeight="1">
      <c r="A16" t="s">
        <v>10</v>
      </c>
      <c r="B16" t="s">
        <v>6</v>
      </c>
      <c r="C16" t="s"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>
        <f>_xlfn.LET(_xlpm.d,D16:O16,MAX(_xlpm.d))</f>
        <v>0</v>
      </c>
    </row>
    <row r="17" spans="1:17" ht="27" customHeight="1">
      <c r="A17" t="s">
        <v>10</v>
      </c>
      <c r="B17" t="s">
        <v>6</v>
      </c>
      <c r="C17" t="s">
        <v>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>
        <f>_xlfn.LET(_xlpm.d,D17:O17,MAX(_xlpm.d))</f>
        <v>0</v>
      </c>
    </row>
    <row r="18" spans="1:17" ht="27" customHeight="1">
      <c r="A18" t="s">
        <v>10</v>
      </c>
      <c r="B18" t="s">
        <v>6</v>
      </c>
      <c r="C18" t="s">
        <v>14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f>_xlfn.LET(_xlpm.d,D18:O18,MAX(_xlpm.d))</f>
        <v>0</v>
      </c>
    </row>
    <row r="19" spans="1:17" ht="27" customHeight="1">
      <c r="C19" t="s">
        <v>11</v>
      </c>
      <c r="D19" s="2">
        <f>_xlfn.LET(_xlpm.d,D16:D18,MAX(_xlpm.d))</f>
        <v>0</v>
      </c>
      <c r="E19" s="2">
        <f t="shared" ref="E19:P19" si="2">_xlfn.LET(_xlpm.d,E16:E18,MAX(_xlpm.d))</f>
        <v>0</v>
      </c>
      <c r="F19" s="2">
        <f t="shared" si="2"/>
        <v>0</v>
      </c>
      <c r="G19" s="2">
        <f t="shared" si="2"/>
        <v>0</v>
      </c>
      <c r="H19" s="2">
        <f t="shared" si="2"/>
        <v>0</v>
      </c>
      <c r="I19" s="2">
        <f t="shared" si="2"/>
        <v>0</v>
      </c>
      <c r="J19" s="2">
        <f t="shared" si="2"/>
        <v>0</v>
      </c>
      <c r="K19" s="2">
        <f t="shared" si="2"/>
        <v>0</v>
      </c>
      <c r="L19" s="2">
        <f t="shared" si="2"/>
        <v>0</v>
      </c>
      <c r="M19" s="2">
        <f t="shared" si="2"/>
        <v>0</v>
      </c>
      <c r="N19" s="2">
        <f t="shared" si="2"/>
        <v>0</v>
      </c>
      <c r="O19" s="2">
        <f t="shared" si="2"/>
        <v>0</v>
      </c>
      <c r="P19" s="2">
        <f t="shared" si="2"/>
        <v>0</v>
      </c>
    </row>
    <row r="22" spans="1:17" ht="27" customHeight="1">
      <c r="A22" t="s">
        <v>4</v>
      </c>
      <c r="B22" t="s">
        <v>5</v>
      </c>
      <c r="C22" t="s">
        <v>2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s="1" t="s">
        <v>27</v>
      </c>
      <c r="K22" s="1" t="s">
        <v>28</v>
      </c>
      <c r="L22" s="1" t="s">
        <v>29</v>
      </c>
      <c r="M22" t="s">
        <v>30</v>
      </c>
      <c r="N22" t="s">
        <v>31</v>
      </c>
      <c r="O22" t="s">
        <v>32</v>
      </c>
      <c r="P22" t="s">
        <v>11</v>
      </c>
      <c r="Q22" t="s">
        <v>7</v>
      </c>
    </row>
    <row r="23" spans="1:17" ht="27" customHeight="1">
      <c r="A23" t="s">
        <v>10</v>
      </c>
      <c r="B23" t="s">
        <v>8</v>
      </c>
      <c r="C23" t="s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f>_xlfn.LET(_xlpm.d,D23:O23,MAX(_xlpm.d))</f>
        <v>0</v>
      </c>
    </row>
    <row r="24" spans="1:17" ht="27" customHeight="1">
      <c r="A24" t="s">
        <v>10</v>
      </c>
      <c r="B24" t="s">
        <v>8</v>
      </c>
      <c r="C24" t="s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f>_xlfn.LET(_xlpm.d,D24:O24,MAX(_xlpm.d))</f>
        <v>0</v>
      </c>
    </row>
    <row r="25" spans="1:17" ht="27" customHeight="1">
      <c r="A25" t="s">
        <v>10</v>
      </c>
      <c r="B25" t="s">
        <v>8</v>
      </c>
      <c r="C25" t="s">
        <v>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f>_xlfn.LET(_xlpm.d,D25:O25,MAX(_xlpm.d))</f>
        <v>0</v>
      </c>
    </row>
    <row r="26" spans="1:17" ht="27" customHeight="1">
      <c r="C26" t="s">
        <v>11</v>
      </c>
      <c r="D26" s="2">
        <f>_xlfn.LET(_xlpm.d,D23:D25,MAX(_xlpm.d))</f>
        <v>0</v>
      </c>
      <c r="E26" s="2">
        <f t="shared" ref="E26:P26" si="3">_xlfn.LET(_xlpm.d,E23:E25,MAX(_xlpm.d))</f>
        <v>0</v>
      </c>
      <c r="F26" s="2">
        <f t="shared" si="3"/>
        <v>0</v>
      </c>
      <c r="G26" s="2">
        <f t="shared" si="3"/>
        <v>0</v>
      </c>
      <c r="H26" s="2">
        <f t="shared" si="3"/>
        <v>0</v>
      </c>
      <c r="I26" s="2">
        <f t="shared" si="3"/>
        <v>0</v>
      </c>
      <c r="J26" s="2">
        <f t="shared" si="3"/>
        <v>0</v>
      </c>
      <c r="K26" s="2">
        <f t="shared" si="3"/>
        <v>0</v>
      </c>
      <c r="L26" s="2">
        <f t="shared" si="3"/>
        <v>0</v>
      </c>
      <c r="M26" s="2">
        <f t="shared" si="3"/>
        <v>0</v>
      </c>
      <c r="N26" s="2">
        <f t="shared" si="3"/>
        <v>0</v>
      </c>
      <c r="O26" s="2">
        <f t="shared" si="3"/>
        <v>0</v>
      </c>
      <c r="P26" s="2">
        <f t="shared" si="3"/>
        <v>0</v>
      </c>
    </row>
    <row r="29" spans="1:17" ht="27" customHeight="1">
      <c r="A29" t="s">
        <v>4</v>
      </c>
      <c r="B29" t="s">
        <v>5</v>
      </c>
      <c r="C29" t="s">
        <v>2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s="1" t="s">
        <v>27</v>
      </c>
      <c r="K29" s="1" t="s">
        <v>28</v>
      </c>
      <c r="L29" s="1" t="s">
        <v>29</v>
      </c>
      <c r="M29" t="s">
        <v>30</v>
      </c>
      <c r="N29" t="s">
        <v>31</v>
      </c>
      <c r="O29" t="s">
        <v>32</v>
      </c>
      <c r="P29" t="s">
        <v>11</v>
      </c>
      <c r="Q29" t="s">
        <v>7</v>
      </c>
    </row>
    <row r="30" spans="1:17" ht="27" customHeight="1">
      <c r="A30" t="s">
        <v>3</v>
      </c>
      <c r="B30" t="s">
        <v>6</v>
      </c>
      <c r="C30" t="s"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f>_xlfn.LET(_xlpm.d,D30:O30,MAX(_xlpm.d))</f>
        <v>0</v>
      </c>
    </row>
    <row r="31" spans="1:17" ht="27" customHeight="1">
      <c r="A31" t="s">
        <v>3</v>
      </c>
      <c r="B31" t="s">
        <v>6</v>
      </c>
      <c r="C31" t="s">
        <v>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>
        <f>_xlfn.LET(_xlpm.d,D31:O31,MAX(_xlpm.d))</f>
        <v>0</v>
      </c>
    </row>
    <row r="32" spans="1:17" ht="27" customHeight="1">
      <c r="A32" t="s">
        <v>3</v>
      </c>
      <c r="B32" t="s">
        <v>6</v>
      </c>
      <c r="C32" t="s">
        <v>14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>
        <f>_xlfn.LET(_xlpm.d,D32:O32,MAX(_xlpm.d))</f>
        <v>0</v>
      </c>
    </row>
    <row r="33" spans="1:17" ht="27" customHeight="1">
      <c r="C33" t="s">
        <v>11</v>
      </c>
      <c r="D33" s="2">
        <f>_xlfn.LET(_xlpm.d,D30:D32,MAX(_xlpm.d))</f>
        <v>0</v>
      </c>
      <c r="E33" s="2">
        <f t="shared" ref="E33:P33" si="4">_xlfn.LET(_xlpm.d,E30:E32,MAX(_xlpm.d))</f>
        <v>0</v>
      </c>
      <c r="F33" s="2">
        <f t="shared" si="4"/>
        <v>0</v>
      </c>
      <c r="G33" s="2">
        <f t="shared" si="4"/>
        <v>0</v>
      </c>
      <c r="H33" s="2">
        <f t="shared" si="4"/>
        <v>0</v>
      </c>
      <c r="I33" s="2">
        <f t="shared" si="4"/>
        <v>0</v>
      </c>
      <c r="J33" s="2">
        <f t="shared" si="4"/>
        <v>0</v>
      </c>
      <c r="K33" s="2">
        <f t="shared" si="4"/>
        <v>0</v>
      </c>
      <c r="L33" s="2">
        <f t="shared" si="4"/>
        <v>0</v>
      </c>
      <c r="M33" s="2">
        <f t="shared" si="4"/>
        <v>0</v>
      </c>
      <c r="N33" s="2">
        <f t="shared" si="4"/>
        <v>0</v>
      </c>
      <c r="O33" s="2">
        <f t="shared" si="4"/>
        <v>0</v>
      </c>
      <c r="P33" s="2">
        <f t="shared" si="4"/>
        <v>0</v>
      </c>
    </row>
    <row r="36" spans="1:17" ht="27" customHeight="1">
      <c r="A36" t="s">
        <v>4</v>
      </c>
      <c r="B36" t="s">
        <v>5</v>
      </c>
      <c r="C36" t="s">
        <v>2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s="1" t="s">
        <v>27</v>
      </c>
      <c r="K36" s="1" t="s">
        <v>28</v>
      </c>
      <c r="L36" s="1" t="s">
        <v>29</v>
      </c>
      <c r="M36" t="s">
        <v>30</v>
      </c>
      <c r="N36" t="s">
        <v>31</v>
      </c>
      <c r="O36" t="s">
        <v>32</v>
      </c>
      <c r="P36" t="s">
        <v>11</v>
      </c>
      <c r="Q36" t="s">
        <v>7</v>
      </c>
    </row>
    <row r="37" spans="1:17" ht="27" customHeight="1">
      <c r="A37" t="s">
        <v>3</v>
      </c>
      <c r="B37" t="s">
        <v>8</v>
      </c>
      <c r="C37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f>_xlfn.LET(_xlpm.d,D37:O37,MAX(_xlpm.d))</f>
        <v>0</v>
      </c>
    </row>
    <row r="38" spans="1:17" ht="27" customHeight="1">
      <c r="A38" t="s">
        <v>3</v>
      </c>
      <c r="B38" t="s">
        <v>8</v>
      </c>
      <c r="C38" t="s">
        <v>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f>_xlfn.LET(_xlpm.d,D38:O38,MAX(_xlpm.d))</f>
        <v>0</v>
      </c>
    </row>
    <row r="39" spans="1:17" ht="27" customHeight="1">
      <c r="A39" t="s">
        <v>3</v>
      </c>
      <c r="B39" t="s">
        <v>8</v>
      </c>
      <c r="C39" t="s">
        <v>14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f>_xlfn.LET(_xlpm.d,D39:O39,MAX(_xlpm.d))</f>
        <v>0</v>
      </c>
    </row>
    <row r="40" spans="1:17" ht="27" customHeight="1">
      <c r="C40" t="s">
        <v>11</v>
      </c>
      <c r="D40" s="2">
        <f>_xlfn.LET(_xlpm.d,D37:D39,MAX(_xlpm.d))</f>
        <v>0</v>
      </c>
      <c r="E40" s="2">
        <f t="shared" ref="E40:P40" si="5">_xlfn.LET(_xlpm.d,E37:E39,MAX(_xlpm.d))</f>
        <v>0</v>
      </c>
      <c r="F40" s="2">
        <f t="shared" si="5"/>
        <v>0</v>
      </c>
      <c r="G40" s="2">
        <f t="shared" si="5"/>
        <v>0</v>
      </c>
      <c r="H40" s="2">
        <f t="shared" si="5"/>
        <v>0</v>
      </c>
      <c r="I40" s="2">
        <f t="shared" si="5"/>
        <v>0</v>
      </c>
      <c r="J40" s="2">
        <f t="shared" si="5"/>
        <v>0</v>
      </c>
      <c r="K40" s="2">
        <f t="shared" si="5"/>
        <v>0</v>
      </c>
      <c r="L40" s="2">
        <f t="shared" si="5"/>
        <v>0</v>
      </c>
      <c r="M40" s="2">
        <f t="shared" si="5"/>
        <v>0</v>
      </c>
      <c r="N40" s="2">
        <f t="shared" si="5"/>
        <v>0</v>
      </c>
      <c r="O40" s="2">
        <f t="shared" si="5"/>
        <v>0</v>
      </c>
      <c r="P40" s="2">
        <f t="shared" si="5"/>
        <v>0</v>
      </c>
    </row>
    <row r="44" spans="1:17" ht="27" customHeight="1">
      <c r="C44" t="s">
        <v>2</v>
      </c>
      <c r="D44" t="str">
        <f>D$1</f>
        <v>2g</v>
      </c>
      <c r="E44" t="str">
        <f t="shared" ref="E44:F44" si="6">E$1</f>
        <v>3g</v>
      </c>
      <c r="F44" t="str">
        <f t="shared" si="6"/>
        <v>4g</v>
      </c>
      <c r="G44" t="str">
        <f>G$1</f>
        <v>sk2g</v>
      </c>
      <c r="H44" t="str">
        <f>H$1</f>
        <v>sk3g</v>
      </c>
      <c r="I44" t="str">
        <f>I$1</f>
        <v>sk4g</v>
      </c>
      <c r="J44" t="str">
        <f>J$1</f>
        <v>2g-hash</v>
      </c>
      <c r="K44" t="str">
        <f>K$1</f>
        <v>3g-hash</v>
      </c>
      <c r="L44" t="str">
        <f>L$1</f>
        <v>4g-hash</v>
      </c>
      <c r="M44" t="str">
        <f>M$1</f>
        <v>sk2g-hash</v>
      </c>
      <c r="N44" t="str">
        <f>N$1</f>
        <v>sk3g-hash</v>
      </c>
      <c r="O44" t="str">
        <f>O$1</f>
        <v>sk4g-hash</v>
      </c>
    </row>
    <row r="45" spans="1:17" ht="27" customHeight="1">
      <c r="C45" t="s">
        <v>9</v>
      </c>
      <c r="D45" s="2">
        <f>D5</f>
        <v>0</v>
      </c>
      <c r="E45" s="2">
        <f t="shared" ref="E45:F45" si="7">E5</f>
        <v>0</v>
      </c>
      <c r="F45" s="2">
        <f t="shared" si="7"/>
        <v>0</v>
      </c>
      <c r="G45" s="2">
        <f>G5</f>
        <v>0</v>
      </c>
      <c r="H45" s="2">
        <f>H5</f>
        <v>0</v>
      </c>
      <c r="I45" s="2">
        <f>I5</f>
        <v>0</v>
      </c>
      <c r="J45" s="2">
        <f>J5</f>
        <v>0</v>
      </c>
      <c r="K45" s="2">
        <f>K5</f>
        <v>0</v>
      </c>
      <c r="L45" s="2">
        <f>L5</f>
        <v>0</v>
      </c>
      <c r="M45" s="2">
        <f>M5</f>
        <v>0</v>
      </c>
      <c r="N45" s="2">
        <f>N5</f>
        <v>0</v>
      </c>
      <c r="O45" s="2">
        <f>O5</f>
        <v>0</v>
      </c>
      <c r="P45" s="2">
        <f>P5</f>
        <v>0</v>
      </c>
    </row>
    <row r="46" spans="1:17" ht="27" customHeight="1">
      <c r="C46" t="s">
        <v>12</v>
      </c>
      <c r="D46" s="2">
        <f>D19</f>
        <v>0</v>
      </c>
      <c r="E46" s="2">
        <f t="shared" ref="E46:F46" si="8">E19</f>
        <v>0</v>
      </c>
      <c r="F46" s="2">
        <f t="shared" si="8"/>
        <v>0</v>
      </c>
      <c r="G46" s="2">
        <f>G19</f>
        <v>0</v>
      </c>
      <c r="H46" s="2">
        <f>H19</f>
        <v>0</v>
      </c>
      <c r="I46" s="2">
        <f>I19</f>
        <v>0</v>
      </c>
      <c r="J46" s="2">
        <f>J19</f>
        <v>0</v>
      </c>
      <c r="K46" s="2">
        <f>K19</f>
        <v>0</v>
      </c>
      <c r="L46" s="2">
        <f>L19</f>
        <v>0</v>
      </c>
      <c r="M46" s="2">
        <f>M19</f>
        <v>0</v>
      </c>
      <c r="N46" s="2">
        <f>N19</f>
        <v>0</v>
      </c>
      <c r="O46" s="2">
        <f>O19</f>
        <v>0</v>
      </c>
      <c r="P46" s="2">
        <f>P19</f>
        <v>0</v>
      </c>
    </row>
    <row r="47" spans="1:17" ht="27" customHeight="1">
      <c r="C47" t="s">
        <v>3</v>
      </c>
      <c r="D47" s="2">
        <f>D33</f>
        <v>0</v>
      </c>
      <c r="E47" s="2">
        <f t="shared" ref="E47:F47" si="9">E33</f>
        <v>0</v>
      </c>
      <c r="F47" s="2">
        <f t="shared" si="9"/>
        <v>0</v>
      </c>
      <c r="G47" s="2">
        <f>G33</f>
        <v>0</v>
      </c>
      <c r="H47" s="2">
        <f>H33</f>
        <v>0</v>
      </c>
      <c r="I47" s="2">
        <f>I33</f>
        <v>0</v>
      </c>
      <c r="J47" s="2">
        <f>J33</f>
        <v>0</v>
      </c>
      <c r="K47" s="2">
        <f>K33</f>
        <v>0</v>
      </c>
      <c r="L47" s="2">
        <f>L33</f>
        <v>0</v>
      </c>
      <c r="M47" s="2">
        <f>M33</f>
        <v>0</v>
      </c>
      <c r="N47" s="2">
        <f>N33</f>
        <v>0</v>
      </c>
      <c r="O47" s="2">
        <f>O33</f>
        <v>0</v>
      </c>
      <c r="P47" s="2">
        <f>P33</f>
        <v>0</v>
      </c>
    </row>
  </sheetData>
  <conditionalFormatting sqref="D2:P5 D9:P12 D16:P19 D23:P26 D30:P33 D37:P40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czech.gr067</vt:lpstr>
      <vt:lpstr>czech.gr100</vt:lpstr>
      <vt:lpstr>french.gr067</vt:lpstr>
      <vt:lpstr>french.gr100</vt:lpstr>
      <vt:lpstr>german.gr067</vt:lpstr>
      <vt:lpstr>german.gr100</vt:lpstr>
      <vt:lpstr>irish.gr067</vt:lpstr>
      <vt:lpstr>irish.gr100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Kow Kuroda</cp:lastModifiedBy>
  <dcterms:created xsi:type="dcterms:W3CDTF">2024-12-12T05:13:36Z</dcterms:created>
  <dcterms:modified xsi:type="dcterms:W3CDTF">2025-02-18T11:32:25Z</dcterms:modified>
  <cp:category/>
</cp:coreProperties>
</file>