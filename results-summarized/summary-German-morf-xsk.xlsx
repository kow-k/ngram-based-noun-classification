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/GitHub/ngram-based-noun-classification/results/"/>
    </mc:Choice>
  </mc:AlternateContent>
  <xr:revisionPtr revIDLastSave="0" documentId="13_ncr:1_{C10F5908-F707-D74D-B0CA-B3A382CB8424}" xr6:coauthVersionLast="47" xr6:coauthVersionMax="47" xr10:uidLastSave="{00000000-0000-0000-0000-000000000000}"/>
  <bookViews>
    <workbookView xWindow="4520" yWindow="1880" windowWidth="30360" windowHeight="17420" xr2:uid="{F93E9898-A028-3840-BE37-DF8ADAD35830}"/>
  </bookViews>
  <sheets>
    <sheet name="summarized" sheetId="7" r:id="rId1"/>
    <sheet name="ml2.0-2k-xsk-mgv9" sheetId="2" r:id="rId2"/>
    <sheet name="ml2.0-1.2k-xsk-mgv9" sheetId="1" r:id="rId3"/>
    <sheet name="ml3.0-2k-xsk-mgv9" sheetId="6" r:id="rId4"/>
    <sheet name="ml3.0-1.2k-xsk-mgv9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7" l="1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X18" i="7"/>
  <c r="X15" i="7"/>
  <c r="X24" i="7"/>
  <c r="X21" i="7"/>
  <c r="X30" i="7"/>
  <c r="X27" i="7"/>
  <c r="X36" i="7"/>
  <c r="X33" i="7"/>
  <c r="X16" i="7"/>
  <c r="X17" i="7"/>
  <c r="X22" i="7"/>
  <c r="X23" i="7"/>
  <c r="X28" i="7"/>
  <c r="X29" i="7"/>
  <c r="X34" i="7"/>
  <c r="X35" i="7"/>
  <c r="X14" i="7"/>
  <c r="X19" i="7"/>
  <c r="X20" i="7"/>
  <c r="X25" i="7"/>
  <c r="X26" i="7"/>
  <c r="X31" i="7"/>
  <c r="X32" i="7"/>
  <c r="X37" i="7"/>
  <c r="X2" i="7"/>
  <c r="X3" i="7"/>
  <c r="X4" i="7"/>
  <c r="X5" i="7"/>
  <c r="X6" i="7"/>
  <c r="X7" i="7"/>
  <c r="X8" i="7"/>
  <c r="X9" i="7"/>
  <c r="X10" i="7"/>
  <c r="X11" i="7"/>
  <c r="X12" i="7"/>
  <c r="X13" i="7"/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S28" i="6" a="1"/>
  <c r="S28" i="6" s="1"/>
  <c r="R28" i="6" a="1"/>
  <c r="R28" i="6" s="1"/>
  <c r="Q28" i="6" a="1"/>
  <c r="Q28" i="6" s="1"/>
  <c r="P28" i="6" a="1"/>
  <c r="P28" i="6" s="1"/>
  <c r="O28" i="6" a="1"/>
  <c r="O28" i="6" s="1"/>
  <c r="N28" i="6" a="1"/>
  <c r="N28" i="6" s="1"/>
  <c r="M28" i="6" a="1"/>
  <c r="M28" i="6" s="1"/>
  <c r="L28" i="6" a="1"/>
  <c r="L28" i="6" s="1"/>
  <c r="K28" i="6" a="1"/>
  <c r="K28" i="6" s="1"/>
  <c r="J28" i="6" a="1"/>
  <c r="J28" i="6" s="1"/>
  <c r="I28" i="6" a="1"/>
  <c r="I28" i="6" s="1"/>
  <c r="H28" i="6" a="1"/>
  <c r="H28" i="6" s="1"/>
  <c r="G28" i="6"/>
  <c r="S27" i="6"/>
  <c r="S27" i="6" a="1"/>
  <c r="R27" i="6" a="1"/>
  <c r="R27" i="6" s="1"/>
  <c r="Q27" i="6" a="1"/>
  <c r="Q27" i="6" s="1"/>
  <c r="P27" i="6" a="1"/>
  <c r="P27" i="6" s="1"/>
  <c r="O27" i="6" a="1"/>
  <c r="O27" i="6" s="1"/>
  <c r="N27" i="6" a="1"/>
  <c r="N27" i="6" s="1"/>
  <c r="M27" i="6" a="1"/>
  <c r="M27" i="6" s="1"/>
  <c r="L27" i="6" a="1"/>
  <c r="L27" i="6" s="1"/>
  <c r="K27" i="6" a="1"/>
  <c r="K27" i="6" s="1"/>
  <c r="J27" i="6"/>
  <c r="J27" i="6" a="1"/>
  <c r="I27" i="6" a="1"/>
  <c r="I27" i="6" s="1"/>
  <c r="H27" i="6" a="1"/>
  <c r="H27" i="6" s="1"/>
  <c r="G27" i="6"/>
  <c r="S26" i="6" a="1"/>
  <c r="S26" i="6" s="1"/>
  <c r="R26" i="6" a="1"/>
  <c r="R26" i="6" s="1"/>
  <c r="Q26" i="6" a="1"/>
  <c r="Q26" i="6" s="1"/>
  <c r="P26" i="6" a="1"/>
  <c r="P26" i="6" s="1"/>
  <c r="O26" i="6" a="1"/>
  <c r="O26" i="6" s="1"/>
  <c r="N26" i="6" a="1"/>
  <c r="N26" i="6" s="1"/>
  <c r="M26" i="6" a="1"/>
  <c r="M26" i="6" s="1"/>
  <c r="L26" i="6" a="1"/>
  <c r="L26" i="6" s="1"/>
  <c r="K26" i="6" a="1"/>
  <c r="K26" i="6" s="1"/>
  <c r="J26" i="6" a="1"/>
  <c r="J26" i="6" s="1"/>
  <c r="I26" i="6" a="1"/>
  <c r="I26" i="6" s="1"/>
  <c r="H26" i="6" a="1"/>
  <c r="H26" i="6" s="1"/>
  <c r="G26" i="6"/>
  <c r="S25" i="6" a="1"/>
  <c r="S25" i="6" s="1"/>
  <c r="R25" i="6" a="1"/>
  <c r="R25" i="6" s="1"/>
  <c r="Q25" i="6"/>
  <c r="Q25" i="6" a="1"/>
  <c r="P25" i="6" a="1"/>
  <c r="P25" i="6" s="1"/>
  <c r="O25" i="6" a="1"/>
  <c r="O25" i="6" s="1"/>
  <c r="N25" i="6"/>
  <c r="N25" i="6" a="1"/>
  <c r="M25" i="6" a="1"/>
  <c r="M25" i="6" s="1"/>
  <c r="L25" i="6" a="1"/>
  <c r="L25" i="6" s="1"/>
  <c r="K25" i="6" a="1"/>
  <c r="K25" i="6" s="1"/>
  <c r="J25" i="6" a="1"/>
  <c r="J25" i="6" s="1"/>
  <c r="I25" i="6"/>
  <c r="I25" i="6" a="1"/>
  <c r="H25" i="6" a="1"/>
  <c r="H25" i="6" s="1"/>
  <c r="G25" i="6"/>
  <c r="S24" i="6" a="1"/>
  <c r="S24" i="6" s="1"/>
  <c r="R24" i="6" a="1"/>
  <c r="R24" i="6" s="1"/>
  <c r="Q24" i="6" a="1"/>
  <c r="Q24" i="6" s="1"/>
  <c r="P24" i="6" a="1"/>
  <c r="P24" i="6" s="1"/>
  <c r="O24" i="6" a="1"/>
  <c r="O24" i="6" s="1"/>
  <c r="N24" i="6" a="1"/>
  <c r="N24" i="6" s="1"/>
  <c r="M24" i="6" a="1"/>
  <c r="M24" i="6" s="1"/>
  <c r="L24" i="6" a="1"/>
  <c r="L24" i="6" s="1"/>
  <c r="K24" i="6" a="1"/>
  <c r="K24" i="6" s="1"/>
  <c r="J24" i="6" a="1"/>
  <c r="J24" i="6" s="1"/>
  <c r="I24" i="6" a="1"/>
  <c r="I24" i="6" s="1"/>
  <c r="H24" i="6" a="1"/>
  <c r="H24" i="6" s="1"/>
  <c r="G24" i="6"/>
  <c r="S23" i="6"/>
  <c r="S23" i="6" a="1"/>
  <c r="R23" i="6" a="1"/>
  <c r="R23" i="6" s="1"/>
  <c r="Q23" i="6" a="1"/>
  <c r="Q23" i="6" s="1"/>
  <c r="P23" i="6" a="1"/>
  <c r="P23" i="6" s="1"/>
  <c r="O23" i="6" a="1"/>
  <c r="O23" i="6" s="1"/>
  <c r="N23" i="6" a="1"/>
  <c r="N23" i="6" s="1"/>
  <c r="M23" i="6" a="1"/>
  <c r="M23" i="6" s="1"/>
  <c r="L23" i="6" a="1"/>
  <c r="L23" i="6" s="1"/>
  <c r="K23" i="6" a="1"/>
  <c r="K23" i="6" s="1"/>
  <c r="J23" i="6" a="1"/>
  <c r="J23" i="6" s="1"/>
  <c r="I23" i="6"/>
  <c r="I23" i="6" a="1"/>
  <c r="H23" i="6" a="1"/>
  <c r="H23" i="6" s="1"/>
  <c r="G23" i="6"/>
  <c r="T28" i="1" a="1"/>
  <c r="T28" i="1" s="1"/>
  <c r="S28" i="1"/>
  <c r="S28" i="1" a="1"/>
  <c r="R28" i="1" a="1"/>
  <c r="R28" i="1" s="1"/>
  <c r="Q28" i="1" a="1"/>
  <c r="Q28" i="1" s="1"/>
  <c r="P28" i="1" a="1"/>
  <c r="P28" i="1" s="1"/>
  <c r="O28" i="1"/>
  <c r="O28" i="1" a="1"/>
  <c r="N28" i="1" a="1"/>
  <c r="N28" i="1" s="1"/>
  <c r="M28" i="1" a="1"/>
  <c r="M28" i="1" s="1"/>
  <c r="L28" i="1" a="1"/>
  <c r="L28" i="1" s="1"/>
  <c r="K28" i="1"/>
  <c r="K28" i="1" a="1"/>
  <c r="J28" i="1" a="1"/>
  <c r="J28" i="1" s="1"/>
  <c r="I28" i="1" a="1"/>
  <c r="I28" i="1" s="1"/>
  <c r="H28" i="1" a="1"/>
  <c r="H28" i="1" s="1"/>
  <c r="G28" i="1"/>
  <c r="T27" i="1" a="1"/>
  <c r="T27" i="1" s="1"/>
  <c r="S27" i="1" a="1"/>
  <c r="S27" i="1" s="1"/>
  <c r="R27" i="1"/>
  <c r="R27" i="1" a="1"/>
  <c r="Q27" i="1" a="1"/>
  <c r="Q27" i="1" s="1"/>
  <c r="P27" i="1" a="1"/>
  <c r="P27" i="1" s="1"/>
  <c r="O27" i="1" a="1"/>
  <c r="O27" i="1" s="1"/>
  <c r="N27" i="1"/>
  <c r="N27" i="1" a="1"/>
  <c r="M27" i="1" a="1"/>
  <c r="M27" i="1" s="1"/>
  <c r="L27" i="1" a="1"/>
  <c r="L27" i="1" s="1"/>
  <c r="K27" i="1" a="1"/>
  <c r="K27" i="1" s="1"/>
  <c r="J27" i="1"/>
  <c r="J27" i="1" a="1"/>
  <c r="I27" i="1" a="1"/>
  <c r="I27" i="1" s="1"/>
  <c r="H27" i="1" a="1"/>
  <c r="H27" i="1" s="1"/>
  <c r="G27" i="1"/>
  <c r="T26" i="1" a="1"/>
  <c r="T26" i="1" s="1"/>
  <c r="S26" i="1" a="1"/>
  <c r="S26" i="1" s="1"/>
  <c r="R26" i="1"/>
  <c r="R26" i="1" a="1"/>
  <c r="Q26" i="1" a="1"/>
  <c r="Q26" i="1" s="1"/>
  <c r="P26" i="1" a="1"/>
  <c r="P26" i="1" s="1"/>
  <c r="O26" i="1" a="1"/>
  <c r="O26" i="1" s="1"/>
  <c r="N26" i="1"/>
  <c r="N26" i="1" a="1"/>
  <c r="M26" i="1" a="1"/>
  <c r="M26" i="1" s="1"/>
  <c r="L26" i="1" a="1"/>
  <c r="L26" i="1" s="1"/>
  <c r="K26" i="1" a="1"/>
  <c r="K26" i="1" s="1"/>
  <c r="J26" i="1"/>
  <c r="J26" i="1" a="1"/>
  <c r="I26" i="1" a="1"/>
  <c r="I26" i="1" s="1"/>
  <c r="H26" i="1" a="1"/>
  <c r="H26" i="1" s="1"/>
  <c r="G26" i="1"/>
  <c r="T25" i="1" a="1"/>
  <c r="T25" i="1" s="1"/>
  <c r="S25" i="1" a="1"/>
  <c r="S25" i="1" s="1"/>
  <c r="R25" i="1" a="1"/>
  <c r="R25" i="1" s="1"/>
  <c r="Q25" i="1"/>
  <c r="Q25" i="1" a="1"/>
  <c r="P25" i="1" a="1"/>
  <c r="P25" i="1" s="1"/>
  <c r="O25" i="1" a="1"/>
  <c r="O25" i="1" s="1"/>
  <c r="N25" i="1" a="1"/>
  <c r="N25" i="1" s="1"/>
  <c r="M25" i="1"/>
  <c r="M25" i="1" a="1"/>
  <c r="L25" i="1" a="1"/>
  <c r="L25" i="1" s="1"/>
  <c r="K25" i="1" a="1"/>
  <c r="K25" i="1" s="1"/>
  <c r="J25" i="1" a="1"/>
  <c r="J25" i="1" s="1"/>
  <c r="I25" i="1"/>
  <c r="I25" i="1" a="1"/>
  <c r="H25" i="1" a="1"/>
  <c r="H25" i="1" s="1"/>
  <c r="G25" i="1"/>
  <c r="T24" i="1" a="1"/>
  <c r="T24" i="1" s="1"/>
  <c r="S24" i="1" a="1"/>
  <c r="S24" i="1" s="1"/>
  <c r="R24" i="1"/>
  <c r="R24" i="1" a="1"/>
  <c r="Q24" i="1"/>
  <c r="Q24" i="1" a="1"/>
  <c r="P24" i="1" a="1"/>
  <c r="P24" i="1" s="1"/>
  <c r="O24" i="1" a="1"/>
  <c r="O24" i="1" s="1"/>
  <c r="N24" i="1" a="1"/>
  <c r="N24" i="1" s="1"/>
  <c r="M24" i="1"/>
  <c r="M24" i="1" a="1"/>
  <c r="L24" i="1" a="1"/>
  <c r="L24" i="1" s="1"/>
  <c r="K24" i="1" a="1"/>
  <c r="K24" i="1" s="1"/>
  <c r="J24" i="1" a="1"/>
  <c r="J24" i="1" s="1"/>
  <c r="I24" i="1"/>
  <c r="I24" i="1" a="1"/>
  <c r="H24" i="1" a="1"/>
  <c r="H24" i="1" s="1"/>
  <c r="G24" i="1"/>
  <c r="T23" i="1"/>
  <c r="T23" i="1" a="1"/>
  <c r="S23" i="1" a="1"/>
  <c r="S23" i="1" s="1"/>
  <c r="R23" i="1" a="1"/>
  <c r="R23" i="1" s="1"/>
  <c r="Q23" i="1" a="1"/>
  <c r="Q23" i="1" s="1"/>
  <c r="P23" i="1"/>
  <c r="P23" i="1" a="1"/>
  <c r="O23" i="1" a="1"/>
  <c r="O23" i="1" s="1"/>
  <c r="N23" i="1" a="1"/>
  <c r="N23" i="1" s="1"/>
  <c r="M23" i="1" a="1"/>
  <c r="M23" i="1" s="1"/>
  <c r="L23" i="1"/>
  <c r="L23" i="1" a="1"/>
  <c r="K23" i="1" a="1"/>
  <c r="K23" i="1" s="1"/>
  <c r="J23" i="1" a="1"/>
  <c r="J23" i="1" s="1"/>
  <c r="I23" i="1" a="1"/>
  <c r="I23" i="1" s="1"/>
  <c r="H23" i="1"/>
  <c r="H23" i="1" a="1"/>
  <c r="G23" i="1"/>
  <c r="T28" i="2" a="1"/>
  <c r="T28" i="2" s="1"/>
  <c r="S28" i="2" a="1"/>
  <c r="S28" i="2" s="1"/>
  <c r="R28" i="2"/>
  <c r="R28" i="2" a="1"/>
  <c r="Q28" i="2" a="1"/>
  <c r="Q28" i="2" s="1"/>
  <c r="P28" i="2" a="1"/>
  <c r="P28" i="2" s="1"/>
  <c r="O28" i="2" a="1"/>
  <c r="O28" i="2" s="1"/>
  <c r="N28" i="2"/>
  <c r="N28" i="2" a="1"/>
  <c r="M28" i="2" a="1"/>
  <c r="M28" i="2" s="1"/>
  <c r="L28" i="2" a="1"/>
  <c r="L28" i="2" s="1"/>
  <c r="K28" i="2" a="1"/>
  <c r="K28" i="2" s="1"/>
  <c r="J28" i="2"/>
  <c r="J28" i="2" a="1"/>
  <c r="I28" i="2" a="1"/>
  <c r="I28" i="2" s="1"/>
  <c r="H28" i="2" a="1"/>
  <c r="H28" i="2" s="1"/>
  <c r="G28" i="2"/>
  <c r="T27" i="2" a="1"/>
  <c r="T27" i="2" s="1"/>
  <c r="S27" i="2" a="1"/>
  <c r="S27" i="2" s="1"/>
  <c r="R27" i="2"/>
  <c r="R27" i="2" a="1"/>
  <c r="Q27" i="2"/>
  <c r="Q27" i="2" a="1"/>
  <c r="P27" i="2" a="1"/>
  <c r="P27" i="2" s="1"/>
  <c r="O27" i="2" a="1"/>
  <c r="O27" i="2" s="1"/>
  <c r="N27" i="2"/>
  <c r="N27" i="2" a="1"/>
  <c r="M27" i="2"/>
  <c r="M27" i="2" a="1"/>
  <c r="L27" i="2" a="1"/>
  <c r="L27" i="2" s="1"/>
  <c r="K27" i="2" a="1"/>
  <c r="K27" i="2" s="1"/>
  <c r="J27" i="2"/>
  <c r="J27" i="2" a="1"/>
  <c r="I27" i="2" a="1"/>
  <c r="I27" i="2" s="1"/>
  <c r="H27" i="2" a="1"/>
  <c r="H27" i="2" s="1"/>
  <c r="G27" i="2"/>
  <c r="T26" i="2" a="1"/>
  <c r="T26" i="2" s="1"/>
  <c r="S26" i="2" a="1"/>
  <c r="S26" i="2" s="1"/>
  <c r="R26" i="2" a="1"/>
  <c r="R26" i="2" s="1"/>
  <c r="Q26" i="2"/>
  <c r="Q26" i="2" a="1"/>
  <c r="P26" i="2" a="1"/>
  <c r="P26" i="2" s="1"/>
  <c r="O26" i="2" a="1"/>
  <c r="O26" i="2" s="1"/>
  <c r="N26" i="2" a="1"/>
  <c r="N26" i="2" s="1"/>
  <c r="M26" i="2"/>
  <c r="M26" i="2" a="1"/>
  <c r="L26" i="2" a="1"/>
  <c r="L26" i="2" s="1"/>
  <c r="K26" i="2" a="1"/>
  <c r="K26" i="2" s="1"/>
  <c r="J26" i="2" a="1"/>
  <c r="J26" i="2" s="1"/>
  <c r="I26" i="2"/>
  <c r="I26" i="2" a="1"/>
  <c r="H26" i="2" a="1"/>
  <c r="H26" i="2" s="1"/>
  <c r="G26" i="2"/>
  <c r="T25" i="2"/>
  <c r="T25" i="2" a="1"/>
  <c r="S25" i="2" a="1"/>
  <c r="S25" i="2" s="1"/>
  <c r="R25" i="2" a="1"/>
  <c r="R25" i="2" s="1"/>
  <c r="Q25" i="2"/>
  <c r="Q25" i="2" a="1"/>
  <c r="P25" i="2"/>
  <c r="P25" i="2" a="1"/>
  <c r="O25" i="2" a="1"/>
  <c r="O25" i="2" s="1"/>
  <c r="N25" i="2" a="1"/>
  <c r="N25" i="2" s="1"/>
  <c r="M25" i="2"/>
  <c r="M25" i="2" a="1"/>
  <c r="L25" i="2" a="1"/>
  <c r="L25" i="2" s="1"/>
  <c r="K25" i="2" a="1"/>
  <c r="K25" i="2" s="1"/>
  <c r="J25" i="2" a="1"/>
  <c r="J25" i="2" s="1"/>
  <c r="I25" i="2"/>
  <c r="I25" i="2" a="1"/>
  <c r="H25" i="2" a="1"/>
  <c r="H25" i="2" s="1"/>
  <c r="G25" i="2"/>
  <c r="T24" i="2"/>
  <c r="T24" i="2" a="1"/>
  <c r="S24" i="2" a="1"/>
  <c r="S24" i="2" s="1"/>
  <c r="R24" i="2" a="1"/>
  <c r="R24" i="2" s="1"/>
  <c r="Q24" i="2" a="1"/>
  <c r="Q24" i="2" s="1"/>
  <c r="P24" i="2"/>
  <c r="P24" i="2" a="1"/>
  <c r="O24" i="2" a="1"/>
  <c r="O24" i="2" s="1"/>
  <c r="N24" i="2" a="1"/>
  <c r="N24" i="2" s="1"/>
  <c r="M24" i="2" a="1"/>
  <c r="M24" i="2" s="1"/>
  <c r="L24" i="2"/>
  <c r="L24" i="2" a="1"/>
  <c r="K24" i="2" a="1"/>
  <c r="K24" i="2" s="1"/>
  <c r="J24" i="2" a="1"/>
  <c r="J24" i="2" s="1"/>
  <c r="I24" i="2" a="1"/>
  <c r="I24" i="2" s="1"/>
  <c r="H24" i="2"/>
  <c r="H24" i="2" a="1"/>
  <c r="G24" i="2"/>
  <c r="T23" i="2"/>
  <c r="T23" i="2" a="1"/>
  <c r="S23" i="2"/>
  <c r="S23" i="2" a="1"/>
  <c r="R23" i="2" a="1"/>
  <c r="R23" i="2" s="1"/>
  <c r="Q23" i="2" a="1"/>
  <c r="Q23" i="2" s="1"/>
  <c r="P23" i="2"/>
  <c r="P23" i="2" a="1"/>
  <c r="O23" i="2" a="1"/>
  <c r="O23" i="2" s="1"/>
  <c r="N23" i="2" a="1"/>
  <c r="N23" i="2" s="1"/>
  <c r="M23" i="2" a="1"/>
  <c r="M23" i="2" s="1"/>
  <c r="L23" i="2"/>
  <c r="L23" i="2" a="1"/>
  <c r="K23" i="2" a="1"/>
  <c r="K23" i="2" s="1"/>
  <c r="J23" i="2" a="1"/>
  <c r="J23" i="2" s="1"/>
  <c r="I23" i="2" a="1"/>
  <c r="I23" i="2" s="1"/>
  <c r="H23" i="2"/>
  <c r="H23" i="2" a="1"/>
  <c r="G23" i="2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T28" i="3" a="1"/>
  <c r="T28" i="3" s="1"/>
  <c r="S28" i="3" a="1"/>
  <c r="S28" i="3" s="1"/>
  <c r="R28" i="3" a="1"/>
  <c r="R28" i="3" s="1"/>
  <c r="Q28" i="3" a="1"/>
  <c r="Q28" i="3" s="1"/>
  <c r="P28" i="3" a="1"/>
  <c r="P28" i="3" s="1"/>
  <c r="O28" i="3" a="1"/>
  <c r="O28" i="3" s="1"/>
  <c r="N28" i="3" a="1"/>
  <c r="N28" i="3" s="1"/>
  <c r="M28" i="3" a="1"/>
  <c r="M28" i="3" s="1"/>
  <c r="L28" i="3" a="1"/>
  <c r="L28" i="3" s="1"/>
  <c r="K28" i="3" a="1"/>
  <c r="K28" i="3" s="1"/>
  <c r="J28" i="3" a="1"/>
  <c r="J28" i="3" s="1"/>
  <c r="I28" i="3" a="1"/>
  <c r="I28" i="3" s="1"/>
  <c r="H28" i="3" a="1"/>
  <c r="H28" i="3" s="1"/>
  <c r="G28" i="3"/>
  <c r="T27" i="3" a="1"/>
  <c r="T27" i="3" s="1"/>
  <c r="S27" i="3"/>
  <c r="S27" i="3" a="1"/>
  <c r="R27" i="3"/>
  <c r="R27" i="3" a="1"/>
  <c r="Q27" i="3" a="1"/>
  <c r="Q27" i="3" s="1"/>
  <c r="P27" i="3" a="1"/>
  <c r="P27" i="3" s="1"/>
  <c r="O27" i="3"/>
  <c r="O27" i="3" a="1"/>
  <c r="N27" i="3"/>
  <c r="N27" i="3" a="1"/>
  <c r="M27" i="3" a="1"/>
  <c r="M27" i="3" s="1"/>
  <c r="L27" i="3" a="1"/>
  <c r="L27" i="3" s="1"/>
  <c r="K27" i="3"/>
  <c r="K27" i="3" a="1"/>
  <c r="J27" i="3"/>
  <c r="J27" i="3" a="1"/>
  <c r="I27" i="3" a="1"/>
  <c r="I27" i="3" s="1"/>
  <c r="H27" i="3" a="1"/>
  <c r="H27" i="3" s="1"/>
  <c r="G27" i="3"/>
  <c r="T26" i="3" a="1"/>
  <c r="T26" i="3" s="1"/>
  <c r="S26" i="3" a="1"/>
  <c r="S26" i="3" s="1"/>
  <c r="R26" i="3" a="1"/>
  <c r="R26" i="3" s="1"/>
  <c r="Q26" i="3" a="1"/>
  <c r="Q26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J26" i="3" a="1"/>
  <c r="J26" i="3" s="1"/>
  <c r="I26" i="3" a="1"/>
  <c r="I26" i="3" s="1"/>
  <c r="H26" i="3" a="1"/>
  <c r="H26" i="3" s="1"/>
  <c r="G26" i="3"/>
  <c r="T25" i="3" a="1"/>
  <c r="T25" i="3" s="1"/>
  <c r="S25" i="3" a="1"/>
  <c r="S25" i="3" s="1"/>
  <c r="R25" i="3"/>
  <c r="R25" i="3" a="1"/>
  <c r="Q25" i="3"/>
  <c r="Q25" i="3" a="1"/>
  <c r="P25" i="3" a="1"/>
  <c r="P25" i="3" s="1"/>
  <c r="O25" i="3" a="1"/>
  <c r="O25" i="3" s="1"/>
  <c r="N25" i="3"/>
  <c r="N25" i="3" a="1"/>
  <c r="M25" i="3"/>
  <c r="M25" i="3" a="1"/>
  <c r="L25" i="3" a="1"/>
  <c r="L25" i="3" s="1"/>
  <c r="K25" i="3" a="1"/>
  <c r="K25" i="3" s="1"/>
  <c r="J25" i="3"/>
  <c r="J25" i="3" a="1"/>
  <c r="I25" i="3"/>
  <c r="I25" i="3" a="1"/>
  <c r="H25" i="3" a="1"/>
  <c r="H25" i="3" s="1"/>
  <c r="G25" i="3"/>
  <c r="T24" i="3" a="1"/>
  <c r="T24" i="3" s="1"/>
  <c r="S24" i="3" a="1"/>
  <c r="S24" i="3" s="1"/>
  <c r="R24" i="3"/>
  <c r="R24" i="3" a="1"/>
  <c r="Q24" i="3" a="1"/>
  <c r="Q24" i="3" s="1"/>
  <c r="P24" i="3" a="1"/>
  <c r="P24" i="3" s="1"/>
  <c r="O24" i="3" a="1"/>
  <c r="O24" i="3" s="1"/>
  <c r="N24" i="3" a="1"/>
  <c r="N24" i="3" s="1"/>
  <c r="M24" i="3" a="1"/>
  <c r="M24" i="3" s="1"/>
  <c r="L24" i="3" a="1"/>
  <c r="L24" i="3" s="1"/>
  <c r="K24" i="3" a="1"/>
  <c r="K24" i="3" s="1"/>
  <c r="J24" i="3" a="1"/>
  <c r="J24" i="3" s="1"/>
  <c r="I24" i="3" a="1"/>
  <c r="I24" i="3" s="1"/>
  <c r="H24" i="3" a="1"/>
  <c r="H24" i="3" s="1"/>
  <c r="G24" i="3"/>
  <c r="T23" i="3"/>
  <c r="T23" i="3" a="1"/>
  <c r="S23" i="3" a="1"/>
  <c r="S23" i="3" s="1"/>
  <c r="R23" i="3" a="1"/>
  <c r="R23" i="3" s="1"/>
  <c r="Q23" i="3"/>
  <c r="Q23" i="3" a="1"/>
  <c r="P23" i="3"/>
  <c r="P23" i="3" a="1"/>
  <c r="O23" i="3" a="1"/>
  <c r="O23" i="3" s="1"/>
  <c r="N23" i="3" a="1"/>
  <c r="N23" i="3" s="1"/>
  <c r="M23" i="3"/>
  <c r="M23" i="3" a="1"/>
  <c r="L23" i="3"/>
  <c r="L23" i="3" a="1"/>
  <c r="K23" i="3" a="1"/>
  <c r="K23" i="3" s="1"/>
  <c r="J23" i="3" a="1"/>
  <c r="J23" i="3" s="1"/>
  <c r="I23" i="3"/>
  <c r="I23" i="3" a="1"/>
  <c r="H23" i="3"/>
  <c r="H23" i="3" a="1"/>
  <c r="G23" i="3"/>
  <c r="T2" i="6" l="1"/>
  <c r="T3" i="6"/>
  <c r="T24" i="6" s="1" a="1"/>
  <c r="T24" i="6" s="1"/>
  <c r="T4" i="6"/>
  <c r="T5" i="6"/>
  <c r="T6" i="6"/>
  <c r="T7" i="6"/>
  <c r="T8" i="6"/>
  <c r="T9" i="6"/>
  <c r="T10" i="6"/>
  <c r="T25" i="6" s="1" a="1"/>
  <c r="T25" i="6" s="1"/>
  <c r="T11" i="6"/>
  <c r="T12" i="6"/>
  <c r="T13" i="6"/>
  <c r="T14" i="6"/>
  <c r="T15" i="6"/>
  <c r="T27" i="6" s="1" a="1"/>
  <c r="T27" i="6" s="1"/>
  <c r="T16" i="6"/>
  <c r="T17" i="6"/>
  <c r="T18" i="6"/>
  <c r="T19" i="6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17" i="1"/>
  <c r="T19" i="1"/>
  <c r="T18" i="1"/>
  <c r="T14" i="1"/>
  <c r="T16" i="1"/>
  <c r="T15" i="1"/>
  <c r="T11" i="1"/>
  <c r="T13" i="1"/>
  <c r="T12" i="1"/>
  <c r="T8" i="1"/>
  <c r="T10" i="1"/>
  <c r="T9" i="1"/>
  <c r="T5" i="1"/>
  <c r="T7" i="1"/>
  <c r="T6" i="1"/>
  <c r="T2" i="1"/>
  <c r="T4" i="1"/>
  <c r="T3" i="1"/>
  <c r="T26" i="6" l="1" a="1"/>
  <c r="T26" i="6" s="1"/>
  <c r="T28" i="6" a="1"/>
  <c r="T28" i="6" s="1"/>
  <c r="T23" i="6" a="1"/>
  <c r="T23" i="6" s="1"/>
  <c r="T3" i="2"/>
  <c r="T4" i="2"/>
  <c r="T2" i="2"/>
  <c r="T12" i="2"/>
  <c r="T13" i="2"/>
  <c r="T11" i="2"/>
  <c r="T6" i="2"/>
  <c r="T7" i="2"/>
  <c r="T5" i="2"/>
  <c r="T15" i="2"/>
  <c r="T16" i="2"/>
  <c r="T14" i="2"/>
  <c r="T9" i="2"/>
  <c r="T10" i="2"/>
  <c r="T8" i="2"/>
  <c r="T18" i="2"/>
  <c r="T19" i="2"/>
  <c r="T1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<sst xmlns="http://schemas.openxmlformats.org/spreadsheetml/2006/main" count="564" uniqueCount="34">
  <si>
    <t>lang</t>
  </si>
  <si>
    <t>attribute.index</t>
  </si>
  <si>
    <t>attribute</t>
  </si>
  <si>
    <t>method.index</t>
  </si>
  <si>
    <t>method</t>
  </si>
  <si>
    <t>2g-no-hash</t>
  </si>
  <si>
    <t>3g-no-hash</t>
  </si>
  <si>
    <t>4g-no-hash</t>
  </si>
  <si>
    <t>xsk2g-no-hash</t>
  </si>
  <si>
    <t>xsk3g-no-hash</t>
  </si>
  <si>
    <t>xsk4g-no-hash</t>
  </si>
  <si>
    <t>2g-hash-at-both</t>
  </si>
  <si>
    <t>3g-hash-at-both</t>
  </si>
  <si>
    <t>4g-hash-at-both</t>
  </si>
  <si>
    <t>xsk2g-hash-at-both</t>
  </si>
  <si>
    <t>xsk3g-hash-at-both</t>
  </si>
  <si>
    <t>xsk4g-hash-at-both</t>
  </si>
  <si>
    <t>max</t>
  </si>
  <si>
    <t>German</t>
  </si>
  <si>
    <t>case</t>
  </si>
  <si>
    <t>DT</t>
  </si>
  <si>
    <t>RF</t>
  </si>
  <si>
    <t>NN</t>
  </si>
  <si>
    <t>gender</t>
  </si>
  <si>
    <t>plurality</t>
  </si>
  <si>
    <t>supplemented</t>
  </si>
  <si>
    <t>var</t>
  </si>
  <si>
    <t>ml</t>
  </si>
  <si>
    <t>mgv</t>
  </si>
  <si>
    <t>sample.n</t>
  </si>
  <si>
    <t>skippiness</t>
  </si>
  <si>
    <t>xsk</t>
  </si>
  <si>
    <t>geomean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</si>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</sst>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3"/>
      <color theme="1"/>
      <name val="LucidaSansUnicode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Border="1"/>
    <xf numFmtId="2" fontId="0" fillId="2" borderId="1" xfId="0" applyNumberFormat="1" applyFill="1" applyBorder="1"/>
    <xf numFmtId="2" fontId="0" fillId="0" borderId="0" xfId="0" applyNumberFormat="1"/>
  </cellXfs>
  <cellStyles count="1">
    <cellStyle name="Normal" xfId="0" builtinId="0"/>
  </cellStyles>
  <dxfs count="131"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German</a:t>
            </a:r>
            <a:r>
              <a:rPr lang="ja-JP" altLang="en-US" baseline="0"/>
              <a:t> </a:t>
            </a:r>
            <a:r>
              <a:rPr lang="en-US" altLang="ja-JP" baseline="0"/>
              <a:t>Morfessor</a:t>
            </a:r>
            <a:r>
              <a:rPr lang="ja-JP" altLang="en-US" baseline="0"/>
              <a:t> </a:t>
            </a:r>
            <a:r>
              <a:rPr lang="en-US" altLang="ja-JP" baseline="0"/>
              <a:t>vs</a:t>
            </a:r>
            <a:r>
              <a:rPr lang="ja-JP" altLang="en-US" baseline="0"/>
              <a:t> </a:t>
            </a:r>
            <a:r>
              <a:rPr lang="en-US" altLang="ja-JP" baseline="0"/>
              <a:t>Non-Morfessor,</a:t>
            </a:r>
            <a:r>
              <a:rPr lang="ja-JP" altLang="en-US" baseline="0"/>
              <a:t> </a:t>
            </a:r>
            <a:r>
              <a:rPr lang="en-US" altLang="ja-JP" baseline="0"/>
              <a:t>mgv=9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summarized!$J$2</c:f>
              <c:strCache>
                <c:ptCount val="1"/>
                <c:pt idx="0">
                  <c:v>ml:NA-sn1.2k-plu-spl:F-mgv9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summarized!$K$2:$V$2</c:f>
            </c:numRef>
          </c:val>
          <c:smooth val="0"/>
          <c:extLst>
            <c:ext xmlns:c16="http://schemas.microsoft.com/office/drawing/2014/chart" uri="{C3380CC4-5D6E-409C-BE32-E72D297353CC}">
              <c16:uniqueId val="{00000000-14C4-2D4D-AFB2-2FAC1BB1D403}"/>
            </c:ext>
          </c:extLst>
        </c:ser>
        <c:ser>
          <c:idx val="1"/>
          <c:order val="1"/>
          <c:tx>
            <c:strRef>
              <c:f>summarized!$J$3</c:f>
              <c:strCache>
                <c:ptCount val="1"/>
                <c:pt idx="0">
                  <c:v>ml:NA-sn1.2k-plu-spl:T-mgv9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summarized!$K$3:$V$3</c:f>
              <c:numCache>
                <c:formatCode>0.00</c:formatCode>
                <c:ptCount val="12"/>
                <c:pt idx="0">
                  <c:v>0.84</c:v>
                </c:pt>
                <c:pt idx="1">
                  <c:v>0.87</c:v>
                </c:pt>
                <c:pt idx="2">
                  <c:v>0.83</c:v>
                </c:pt>
                <c:pt idx="3">
                  <c:v>0.78</c:v>
                </c:pt>
                <c:pt idx="4">
                  <c:v>0.82</c:v>
                </c:pt>
                <c:pt idx="5">
                  <c:v>0.85</c:v>
                </c:pt>
                <c:pt idx="6">
                  <c:v>0.82</c:v>
                </c:pt>
                <c:pt idx="7">
                  <c:v>0.85</c:v>
                </c:pt>
                <c:pt idx="8">
                  <c:v>0.88</c:v>
                </c:pt>
                <c:pt idx="9">
                  <c:v>0.82</c:v>
                </c:pt>
                <c:pt idx="10">
                  <c:v>0.81</c:v>
                </c:pt>
                <c:pt idx="11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C4-2D4D-AFB2-2FAC1BB1D403}"/>
            </c:ext>
          </c:extLst>
        </c:ser>
        <c:ser>
          <c:idx val="2"/>
          <c:order val="2"/>
          <c:tx>
            <c:strRef>
              <c:f>summarized!$J$4</c:f>
              <c:strCache>
                <c:ptCount val="1"/>
                <c:pt idx="0">
                  <c:v>ml:NA-sn1.2k-gen-spl:F-mgv9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summarized!$K$4:$V$4</c:f>
            </c:numRef>
          </c:val>
          <c:smooth val="0"/>
          <c:extLst>
            <c:ext xmlns:c16="http://schemas.microsoft.com/office/drawing/2014/chart" uri="{C3380CC4-5D6E-409C-BE32-E72D297353CC}">
              <c16:uniqueId val="{00000002-14C4-2D4D-AFB2-2FAC1BB1D403}"/>
            </c:ext>
          </c:extLst>
        </c:ser>
        <c:ser>
          <c:idx val="3"/>
          <c:order val="3"/>
          <c:tx>
            <c:strRef>
              <c:f>summarized!$J$5</c:f>
              <c:strCache>
                <c:ptCount val="1"/>
                <c:pt idx="0">
                  <c:v>ml:NA-sn1.2k-gen-spl:T-mgv9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summarized!$K$5:$V$5</c:f>
            </c:numRef>
          </c:val>
          <c:smooth val="0"/>
          <c:extLst>
            <c:ext xmlns:c16="http://schemas.microsoft.com/office/drawing/2014/chart" uri="{C3380CC4-5D6E-409C-BE32-E72D297353CC}">
              <c16:uniqueId val="{00000003-14C4-2D4D-AFB2-2FAC1BB1D403}"/>
            </c:ext>
          </c:extLst>
        </c:ser>
        <c:ser>
          <c:idx val="4"/>
          <c:order val="4"/>
          <c:tx>
            <c:strRef>
              <c:f>summarized!$J$6</c:f>
              <c:strCache>
                <c:ptCount val="1"/>
                <c:pt idx="0">
                  <c:v>ml:NA-sn1.2k-cas-spl:F-mgv9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summarized!$K$6:$V$6</c:f>
            </c:numRef>
          </c:val>
          <c:smooth val="0"/>
          <c:extLst>
            <c:ext xmlns:c16="http://schemas.microsoft.com/office/drawing/2014/chart" uri="{C3380CC4-5D6E-409C-BE32-E72D297353CC}">
              <c16:uniqueId val="{00000004-14C4-2D4D-AFB2-2FAC1BB1D403}"/>
            </c:ext>
          </c:extLst>
        </c:ser>
        <c:ser>
          <c:idx val="5"/>
          <c:order val="5"/>
          <c:tx>
            <c:strRef>
              <c:f>summarized!$J$7</c:f>
              <c:strCache>
                <c:ptCount val="1"/>
                <c:pt idx="0">
                  <c:v>ml:NA-sn1.2k-cas-spl:T-mgv9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summarized!$K$7:$V$7</c:f>
            </c:numRef>
          </c:val>
          <c:smooth val="0"/>
          <c:extLst>
            <c:ext xmlns:c16="http://schemas.microsoft.com/office/drawing/2014/chart" uri="{C3380CC4-5D6E-409C-BE32-E72D297353CC}">
              <c16:uniqueId val="{00000005-14C4-2D4D-AFB2-2FAC1BB1D403}"/>
            </c:ext>
          </c:extLst>
        </c:ser>
        <c:ser>
          <c:idx val="6"/>
          <c:order val="6"/>
          <c:tx>
            <c:strRef>
              <c:f>summarized!$J$8</c:f>
              <c:strCache>
                <c:ptCount val="1"/>
                <c:pt idx="0">
                  <c:v>ml:NA-sn2k-plu-spl:F-mgv9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summarized!$K$8:$V$8</c:f>
            </c:numRef>
          </c:val>
          <c:smooth val="0"/>
          <c:extLst>
            <c:ext xmlns:c16="http://schemas.microsoft.com/office/drawing/2014/chart" uri="{C3380CC4-5D6E-409C-BE32-E72D297353CC}">
              <c16:uniqueId val="{00000006-14C4-2D4D-AFB2-2FAC1BB1D403}"/>
            </c:ext>
          </c:extLst>
        </c:ser>
        <c:ser>
          <c:idx val="7"/>
          <c:order val="7"/>
          <c:tx>
            <c:strRef>
              <c:f>summarized!$J$9</c:f>
              <c:strCache>
                <c:ptCount val="1"/>
                <c:pt idx="0">
                  <c:v>ml:NA-sn2k-plu-spl:T-mgv9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summarized!$K$9:$V$9</c:f>
            </c:numRef>
          </c:val>
          <c:smooth val="0"/>
          <c:extLst>
            <c:ext xmlns:c16="http://schemas.microsoft.com/office/drawing/2014/chart" uri="{C3380CC4-5D6E-409C-BE32-E72D297353CC}">
              <c16:uniqueId val="{00000007-14C4-2D4D-AFB2-2FAC1BB1D403}"/>
            </c:ext>
          </c:extLst>
        </c:ser>
        <c:ser>
          <c:idx val="8"/>
          <c:order val="8"/>
          <c:tx>
            <c:strRef>
              <c:f>summarized!$J$10</c:f>
              <c:strCache>
                <c:ptCount val="1"/>
                <c:pt idx="0">
                  <c:v>ml:NA-sn2k-gen-spl:F-mgv9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summarized!$K$10:$V$10</c:f>
            </c:numRef>
          </c:val>
          <c:smooth val="0"/>
          <c:extLst>
            <c:ext xmlns:c16="http://schemas.microsoft.com/office/drawing/2014/chart" uri="{C3380CC4-5D6E-409C-BE32-E72D297353CC}">
              <c16:uniqueId val="{00000008-14C4-2D4D-AFB2-2FAC1BB1D403}"/>
            </c:ext>
          </c:extLst>
        </c:ser>
        <c:ser>
          <c:idx val="9"/>
          <c:order val="9"/>
          <c:tx>
            <c:strRef>
              <c:f>summarized!$J$11</c:f>
              <c:strCache>
                <c:ptCount val="1"/>
                <c:pt idx="0">
                  <c:v>ml:NA-sn2k-gen-spl:T-mgv9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summarized!$K$11:$V$11</c:f>
            </c:numRef>
          </c:val>
          <c:smooth val="0"/>
          <c:extLst>
            <c:ext xmlns:c16="http://schemas.microsoft.com/office/drawing/2014/chart" uri="{C3380CC4-5D6E-409C-BE32-E72D297353CC}">
              <c16:uniqueId val="{00000009-14C4-2D4D-AFB2-2FAC1BB1D403}"/>
            </c:ext>
          </c:extLst>
        </c:ser>
        <c:ser>
          <c:idx val="10"/>
          <c:order val="10"/>
          <c:tx>
            <c:strRef>
              <c:f>summarized!$J$12</c:f>
              <c:strCache>
                <c:ptCount val="1"/>
                <c:pt idx="0">
                  <c:v>ml:NA-sn2k-cas-spl:F-mgv9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summarized!$K$12:$V$12</c:f>
            </c:numRef>
          </c:val>
          <c:smooth val="0"/>
          <c:extLst>
            <c:ext xmlns:c16="http://schemas.microsoft.com/office/drawing/2014/chart" uri="{C3380CC4-5D6E-409C-BE32-E72D297353CC}">
              <c16:uniqueId val="{0000000A-14C4-2D4D-AFB2-2FAC1BB1D403}"/>
            </c:ext>
          </c:extLst>
        </c:ser>
        <c:ser>
          <c:idx val="11"/>
          <c:order val="11"/>
          <c:tx>
            <c:strRef>
              <c:f>summarized!$J$13</c:f>
              <c:strCache>
                <c:ptCount val="1"/>
                <c:pt idx="0">
                  <c:v>ml:NA-sn2k-cas-spl:T-mgv9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summarized!$K$13:$V$13</c:f>
            </c:numRef>
          </c:val>
          <c:smooth val="0"/>
          <c:extLst>
            <c:ext xmlns:c16="http://schemas.microsoft.com/office/drawing/2014/chart" uri="{C3380CC4-5D6E-409C-BE32-E72D297353CC}">
              <c16:uniqueId val="{0000000B-14C4-2D4D-AFB2-2FAC1BB1D403}"/>
            </c:ext>
          </c:extLst>
        </c:ser>
        <c:ser>
          <c:idx val="12"/>
          <c:order val="12"/>
          <c:tx>
            <c:strRef>
              <c:f>summarized!$J$14</c:f>
              <c:strCache>
                <c:ptCount val="1"/>
                <c:pt idx="0">
                  <c:v>ml:2-sn1.2k-plu-spl:F-mgv9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summarized!$K$14:$V$14</c:f>
            </c:numRef>
          </c:val>
          <c:smooth val="0"/>
          <c:extLst>
            <c:ext xmlns:c16="http://schemas.microsoft.com/office/drawing/2014/chart" uri="{C3380CC4-5D6E-409C-BE32-E72D297353CC}">
              <c16:uniqueId val="{0000000C-14C4-2D4D-AFB2-2FAC1BB1D403}"/>
            </c:ext>
          </c:extLst>
        </c:ser>
        <c:ser>
          <c:idx val="13"/>
          <c:order val="13"/>
          <c:tx>
            <c:strRef>
              <c:f>summarized!$J$15</c:f>
              <c:strCache>
                <c:ptCount val="1"/>
                <c:pt idx="0">
                  <c:v>ml:2-sn1.2k-plu-spl:T-mgv9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summarized!$K$15:$V$15</c:f>
              <c:numCache>
                <c:formatCode>0.00</c:formatCode>
                <c:ptCount val="12"/>
                <c:pt idx="0">
                  <c:v>0.83</c:v>
                </c:pt>
                <c:pt idx="1">
                  <c:v>0.87</c:v>
                </c:pt>
                <c:pt idx="2">
                  <c:v>0.81</c:v>
                </c:pt>
                <c:pt idx="3">
                  <c:v>0.81</c:v>
                </c:pt>
                <c:pt idx="4">
                  <c:v>0.81</c:v>
                </c:pt>
                <c:pt idx="5">
                  <c:v>0.8</c:v>
                </c:pt>
                <c:pt idx="6">
                  <c:v>0.83</c:v>
                </c:pt>
                <c:pt idx="7">
                  <c:v>0.83</c:v>
                </c:pt>
                <c:pt idx="8">
                  <c:v>0.86</c:v>
                </c:pt>
                <c:pt idx="9">
                  <c:v>0.81</c:v>
                </c:pt>
                <c:pt idx="10">
                  <c:v>0.86</c:v>
                </c:pt>
                <c:pt idx="11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4C4-2D4D-AFB2-2FAC1BB1D403}"/>
            </c:ext>
          </c:extLst>
        </c:ser>
        <c:ser>
          <c:idx val="14"/>
          <c:order val="14"/>
          <c:tx>
            <c:strRef>
              <c:f>summarized!$J$16</c:f>
              <c:strCache>
                <c:ptCount val="1"/>
                <c:pt idx="0">
                  <c:v>ml:2-sn1.2k-gen-spl:F-mgv9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summarized!$K$16:$V$16</c:f>
            </c:numRef>
          </c:val>
          <c:smooth val="0"/>
          <c:extLst>
            <c:ext xmlns:c16="http://schemas.microsoft.com/office/drawing/2014/chart" uri="{C3380CC4-5D6E-409C-BE32-E72D297353CC}">
              <c16:uniqueId val="{0000000E-14C4-2D4D-AFB2-2FAC1BB1D403}"/>
            </c:ext>
          </c:extLst>
        </c:ser>
        <c:ser>
          <c:idx val="15"/>
          <c:order val="15"/>
          <c:tx>
            <c:strRef>
              <c:f>summarized!$J$17</c:f>
              <c:strCache>
                <c:ptCount val="1"/>
                <c:pt idx="0">
                  <c:v>ml:2-sn1.2k-gen-spl:T-mgv9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summarized!$K$17:$V$17</c:f>
            </c:numRef>
          </c:val>
          <c:smooth val="0"/>
          <c:extLst>
            <c:ext xmlns:c16="http://schemas.microsoft.com/office/drawing/2014/chart" uri="{C3380CC4-5D6E-409C-BE32-E72D297353CC}">
              <c16:uniqueId val="{0000000F-14C4-2D4D-AFB2-2FAC1BB1D403}"/>
            </c:ext>
          </c:extLst>
        </c:ser>
        <c:ser>
          <c:idx val="16"/>
          <c:order val="16"/>
          <c:tx>
            <c:strRef>
              <c:f>summarized!$J$18</c:f>
              <c:strCache>
                <c:ptCount val="1"/>
                <c:pt idx="0">
                  <c:v>ml:2-sn1.2k-cas-spl:F-mgv9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summarized!$K$18:$V$18</c:f>
            </c:numRef>
          </c:val>
          <c:smooth val="0"/>
          <c:extLst>
            <c:ext xmlns:c16="http://schemas.microsoft.com/office/drawing/2014/chart" uri="{C3380CC4-5D6E-409C-BE32-E72D297353CC}">
              <c16:uniqueId val="{00000010-14C4-2D4D-AFB2-2FAC1BB1D403}"/>
            </c:ext>
          </c:extLst>
        </c:ser>
        <c:ser>
          <c:idx val="17"/>
          <c:order val="17"/>
          <c:tx>
            <c:strRef>
              <c:f>summarized!$J$19</c:f>
              <c:strCache>
                <c:ptCount val="1"/>
                <c:pt idx="0">
                  <c:v>ml:2-sn1.2k-cas-spl:T-mgv9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summarized!$K$19:$V$19</c:f>
            </c:numRef>
          </c:val>
          <c:smooth val="0"/>
          <c:extLst>
            <c:ext xmlns:c16="http://schemas.microsoft.com/office/drawing/2014/chart" uri="{C3380CC4-5D6E-409C-BE32-E72D297353CC}">
              <c16:uniqueId val="{00000011-14C4-2D4D-AFB2-2FAC1BB1D403}"/>
            </c:ext>
          </c:extLst>
        </c:ser>
        <c:ser>
          <c:idx val="18"/>
          <c:order val="18"/>
          <c:tx>
            <c:strRef>
              <c:f>summarized!$J$20</c:f>
              <c:strCache>
                <c:ptCount val="1"/>
                <c:pt idx="0">
                  <c:v>ml:2-sn2k-plu-spl:F-mgv9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summarized!$K$20:$V$20</c:f>
            </c:numRef>
          </c:val>
          <c:smooth val="0"/>
          <c:extLst>
            <c:ext xmlns:c16="http://schemas.microsoft.com/office/drawing/2014/chart" uri="{C3380CC4-5D6E-409C-BE32-E72D297353CC}">
              <c16:uniqueId val="{00000012-14C4-2D4D-AFB2-2FAC1BB1D403}"/>
            </c:ext>
          </c:extLst>
        </c:ser>
        <c:ser>
          <c:idx val="19"/>
          <c:order val="19"/>
          <c:tx>
            <c:strRef>
              <c:f>summarized!$J$21</c:f>
              <c:strCache>
                <c:ptCount val="1"/>
                <c:pt idx="0">
                  <c:v>ml:2-sn2k-plu-spl:T-mgv9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summarized!$K$21:$V$21</c:f>
            </c:numRef>
          </c:val>
          <c:smooth val="0"/>
          <c:extLst>
            <c:ext xmlns:c16="http://schemas.microsoft.com/office/drawing/2014/chart" uri="{C3380CC4-5D6E-409C-BE32-E72D297353CC}">
              <c16:uniqueId val="{00000013-14C4-2D4D-AFB2-2FAC1BB1D403}"/>
            </c:ext>
          </c:extLst>
        </c:ser>
        <c:ser>
          <c:idx val="20"/>
          <c:order val="20"/>
          <c:tx>
            <c:strRef>
              <c:f>summarized!$J$22</c:f>
              <c:strCache>
                <c:ptCount val="1"/>
                <c:pt idx="0">
                  <c:v>ml:2-sn2k-gen-spl:F-mgv9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summarized!$K$22:$V$22</c:f>
            </c:numRef>
          </c:val>
          <c:smooth val="0"/>
          <c:extLst>
            <c:ext xmlns:c16="http://schemas.microsoft.com/office/drawing/2014/chart" uri="{C3380CC4-5D6E-409C-BE32-E72D297353CC}">
              <c16:uniqueId val="{00000014-14C4-2D4D-AFB2-2FAC1BB1D403}"/>
            </c:ext>
          </c:extLst>
        </c:ser>
        <c:ser>
          <c:idx val="21"/>
          <c:order val="21"/>
          <c:tx>
            <c:strRef>
              <c:f>summarized!$J$23</c:f>
              <c:strCache>
                <c:ptCount val="1"/>
                <c:pt idx="0">
                  <c:v>ml:2-sn2k-gen-spl:T-mgv9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summarized!$K$23:$V$23</c:f>
            </c:numRef>
          </c:val>
          <c:smooth val="0"/>
          <c:extLst>
            <c:ext xmlns:c16="http://schemas.microsoft.com/office/drawing/2014/chart" uri="{C3380CC4-5D6E-409C-BE32-E72D297353CC}">
              <c16:uniqueId val="{00000015-14C4-2D4D-AFB2-2FAC1BB1D403}"/>
            </c:ext>
          </c:extLst>
        </c:ser>
        <c:ser>
          <c:idx val="22"/>
          <c:order val="22"/>
          <c:tx>
            <c:strRef>
              <c:f>summarized!$J$24</c:f>
              <c:strCache>
                <c:ptCount val="1"/>
                <c:pt idx="0">
                  <c:v>ml:2-sn2k-cas-spl:F-mgv9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summarized!$K$24:$V$24</c:f>
            </c:numRef>
          </c:val>
          <c:smooth val="0"/>
          <c:extLst>
            <c:ext xmlns:c16="http://schemas.microsoft.com/office/drawing/2014/chart" uri="{C3380CC4-5D6E-409C-BE32-E72D297353CC}">
              <c16:uniqueId val="{00000016-14C4-2D4D-AFB2-2FAC1BB1D403}"/>
            </c:ext>
          </c:extLst>
        </c:ser>
        <c:ser>
          <c:idx val="23"/>
          <c:order val="23"/>
          <c:tx>
            <c:strRef>
              <c:f>summarized!$J$25</c:f>
              <c:strCache>
                <c:ptCount val="1"/>
                <c:pt idx="0">
                  <c:v>ml:2-sn2k-cas-spl:T-mgv9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summarized!$K$25:$V$25</c:f>
            </c:numRef>
          </c:val>
          <c:smooth val="0"/>
          <c:extLst>
            <c:ext xmlns:c16="http://schemas.microsoft.com/office/drawing/2014/chart" uri="{C3380CC4-5D6E-409C-BE32-E72D297353CC}">
              <c16:uniqueId val="{00000017-14C4-2D4D-AFB2-2FAC1BB1D403}"/>
            </c:ext>
          </c:extLst>
        </c:ser>
        <c:ser>
          <c:idx val="24"/>
          <c:order val="24"/>
          <c:tx>
            <c:strRef>
              <c:f>summarized!$J$26</c:f>
              <c:strCache>
                <c:ptCount val="1"/>
                <c:pt idx="0">
                  <c:v>ml:3-sn1.2k-plu-spl:F-mgv9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summarized!$K$26:$V$26</c:f>
            </c:numRef>
          </c:val>
          <c:smooth val="0"/>
          <c:extLst>
            <c:ext xmlns:c16="http://schemas.microsoft.com/office/drawing/2014/chart" uri="{C3380CC4-5D6E-409C-BE32-E72D297353CC}">
              <c16:uniqueId val="{00000018-14C4-2D4D-AFB2-2FAC1BB1D403}"/>
            </c:ext>
          </c:extLst>
        </c:ser>
        <c:ser>
          <c:idx val="25"/>
          <c:order val="25"/>
          <c:tx>
            <c:strRef>
              <c:f>summarized!$J$27</c:f>
              <c:strCache>
                <c:ptCount val="1"/>
                <c:pt idx="0">
                  <c:v>ml:3-sn1.2k-plu-spl:T-mgv9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summarized!$K$27:$V$27</c:f>
              <c:numCache>
                <c:formatCode>0.00</c:formatCode>
                <c:ptCount val="12"/>
                <c:pt idx="0">
                  <c:v>0.79</c:v>
                </c:pt>
                <c:pt idx="1">
                  <c:v>0.83</c:v>
                </c:pt>
                <c:pt idx="2">
                  <c:v>0.82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0.92</c:v>
                </c:pt>
                <c:pt idx="7">
                  <c:v>0.87</c:v>
                </c:pt>
                <c:pt idx="8">
                  <c:v>0.83</c:v>
                </c:pt>
                <c:pt idx="9">
                  <c:v>0.78</c:v>
                </c:pt>
                <c:pt idx="10">
                  <c:v>0.83</c:v>
                </c:pt>
                <c:pt idx="11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4C4-2D4D-AFB2-2FAC1BB1D403}"/>
            </c:ext>
          </c:extLst>
        </c:ser>
        <c:ser>
          <c:idx val="26"/>
          <c:order val="26"/>
          <c:tx>
            <c:strRef>
              <c:f>summarized!$J$28</c:f>
              <c:strCache>
                <c:ptCount val="1"/>
                <c:pt idx="0">
                  <c:v>ml:3-sn1.2k-gen-spl:F-mgv9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summarized!$K$28:$V$28</c:f>
            </c:numRef>
          </c:val>
          <c:smooth val="0"/>
          <c:extLst>
            <c:ext xmlns:c16="http://schemas.microsoft.com/office/drawing/2014/chart" uri="{C3380CC4-5D6E-409C-BE32-E72D297353CC}">
              <c16:uniqueId val="{0000001A-14C4-2D4D-AFB2-2FAC1BB1D403}"/>
            </c:ext>
          </c:extLst>
        </c:ser>
        <c:ser>
          <c:idx val="27"/>
          <c:order val="27"/>
          <c:tx>
            <c:strRef>
              <c:f>summarized!$J$29</c:f>
              <c:strCache>
                <c:ptCount val="1"/>
                <c:pt idx="0">
                  <c:v>ml:3-sn1.2k-gen-spl:T-mgv9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summarized!$K$29:$V$29</c:f>
            </c:numRef>
          </c:val>
          <c:smooth val="0"/>
          <c:extLst>
            <c:ext xmlns:c16="http://schemas.microsoft.com/office/drawing/2014/chart" uri="{C3380CC4-5D6E-409C-BE32-E72D297353CC}">
              <c16:uniqueId val="{0000001B-14C4-2D4D-AFB2-2FAC1BB1D403}"/>
            </c:ext>
          </c:extLst>
        </c:ser>
        <c:ser>
          <c:idx val="28"/>
          <c:order val="28"/>
          <c:tx>
            <c:strRef>
              <c:f>summarized!$J$30</c:f>
              <c:strCache>
                <c:ptCount val="1"/>
                <c:pt idx="0">
                  <c:v>ml:3-sn1.2k-cas-spl:F-mgv9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summarized!$K$30:$V$30</c:f>
            </c:numRef>
          </c:val>
          <c:smooth val="0"/>
          <c:extLst>
            <c:ext xmlns:c16="http://schemas.microsoft.com/office/drawing/2014/chart" uri="{C3380CC4-5D6E-409C-BE32-E72D297353CC}">
              <c16:uniqueId val="{0000001C-14C4-2D4D-AFB2-2FAC1BB1D403}"/>
            </c:ext>
          </c:extLst>
        </c:ser>
        <c:ser>
          <c:idx val="29"/>
          <c:order val="29"/>
          <c:tx>
            <c:strRef>
              <c:f>summarized!$J$31</c:f>
              <c:strCache>
                <c:ptCount val="1"/>
                <c:pt idx="0">
                  <c:v>ml:3-sn1.2k-cas-spl:T-mgv9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summarized!$K$31:$V$31</c:f>
            </c:numRef>
          </c:val>
          <c:smooth val="0"/>
          <c:extLst>
            <c:ext xmlns:c16="http://schemas.microsoft.com/office/drawing/2014/chart" uri="{C3380CC4-5D6E-409C-BE32-E72D297353CC}">
              <c16:uniqueId val="{0000001D-14C4-2D4D-AFB2-2FAC1BB1D403}"/>
            </c:ext>
          </c:extLst>
        </c:ser>
        <c:ser>
          <c:idx val="30"/>
          <c:order val="30"/>
          <c:tx>
            <c:strRef>
              <c:f>summarized!$J$32</c:f>
              <c:strCache>
                <c:ptCount val="1"/>
                <c:pt idx="0">
                  <c:v>ml:3-sn2k-plu-spl:F-mgv9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summarized!$K$32:$V$32</c:f>
            </c:numRef>
          </c:val>
          <c:smooth val="0"/>
          <c:extLst>
            <c:ext xmlns:c16="http://schemas.microsoft.com/office/drawing/2014/chart" uri="{C3380CC4-5D6E-409C-BE32-E72D297353CC}">
              <c16:uniqueId val="{0000001E-14C4-2D4D-AFB2-2FAC1BB1D403}"/>
            </c:ext>
          </c:extLst>
        </c:ser>
        <c:ser>
          <c:idx val="31"/>
          <c:order val="31"/>
          <c:tx>
            <c:strRef>
              <c:f>summarized!$J$33</c:f>
              <c:strCache>
                <c:ptCount val="1"/>
                <c:pt idx="0">
                  <c:v>ml:3-sn2k-plu-spl:T-mgv9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summarized!$K$33:$V$33</c:f>
            </c:numRef>
          </c:val>
          <c:smooth val="0"/>
          <c:extLst>
            <c:ext xmlns:c16="http://schemas.microsoft.com/office/drawing/2014/chart" uri="{C3380CC4-5D6E-409C-BE32-E72D297353CC}">
              <c16:uniqueId val="{0000001F-14C4-2D4D-AFB2-2FAC1BB1D403}"/>
            </c:ext>
          </c:extLst>
        </c:ser>
        <c:ser>
          <c:idx val="32"/>
          <c:order val="32"/>
          <c:tx>
            <c:strRef>
              <c:f>summarized!$J$34</c:f>
              <c:strCache>
                <c:ptCount val="1"/>
                <c:pt idx="0">
                  <c:v>ml:3-sn2k-gen-spl:F-mgv9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summarized!$K$34:$V$34</c:f>
            </c:numRef>
          </c:val>
          <c:smooth val="0"/>
          <c:extLst>
            <c:ext xmlns:c16="http://schemas.microsoft.com/office/drawing/2014/chart" uri="{C3380CC4-5D6E-409C-BE32-E72D297353CC}">
              <c16:uniqueId val="{00000020-14C4-2D4D-AFB2-2FAC1BB1D403}"/>
            </c:ext>
          </c:extLst>
        </c:ser>
        <c:ser>
          <c:idx val="33"/>
          <c:order val="33"/>
          <c:tx>
            <c:strRef>
              <c:f>summarized!$J$35</c:f>
              <c:strCache>
                <c:ptCount val="1"/>
                <c:pt idx="0">
                  <c:v>ml:3-sn2k-gen-spl:T-mgv9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summarized!$K$35:$V$35</c:f>
            </c:numRef>
          </c:val>
          <c:smooth val="0"/>
          <c:extLst>
            <c:ext xmlns:c16="http://schemas.microsoft.com/office/drawing/2014/chart" uri="{C3380CC4-5D6E-409C-BE32-E72D297353CC}">
              <c16:uniqueId val="{00000021-14C4-2D4D-AFB2-2FAC1BB1D403}"/>
            </c:ext>
          </c:extLst>
        </c:ser>
        <c:ser>
          <c:idx val="34"/>
          <c:order val="34"/>
          <c:tx>
            <c:strRef>
              <c:f>summarized!$J$36</c:f>
              <c:strCache>
                <c:ptCount val="1"/>
                <c:pt idx="0">
                  <c:v>ml:3-sn2k-cas-spl:F-mgv9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summarized!$K$36:$V$36</c:f>
            </c:numRef>
          </c:val>
          <c:smooth val="0"/>
          <c:extLst>
            <c:ext xmlns:c16="http://schemas.microsoft.com/office/drawing/2014/chart" uri="{C3380CC4-5D6E-409C-BE32-E72D297353CC}">
              <c16:uniqueId val="{00000022-14C4-2D4D-AFB2-2FAC1BB1D403}"/>
            </c:ext>
          </c:extLst>
        </c:ser>
        <c:ser>
          <c:idx val="35"/>
          <c:order val="35"/>
          <c:tx>
            <c:strRef>
              <c:f>summarized!$J$37</c:f>
              <c:strCache>
                <c:ptCount val="1"/>
                <c:pt idx="0">
                  <c:v>ml:3-sn2k-cas-spl:T-mgv9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summarized!$K$37:$V$37</c:f>
            </c:numRef>
          </c:val>
          <c:smooth val="0"/>
          <c:extLst>
            <c:ext xmlns:c16="http://schemas.microsoft.com/office/drawing/2014/chart" uri="{C3380CC4-5D6E-409C-BE32-E72D297353CC}">
              <c16:uniqueId val="{00000023-14C4-2D4D-AFB2-2FAC1BB1D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2230208"/>
        <c:axId val="792231920"/>
      </c:lineChart>
      <c:catAx>
        <c:axId val="79223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792231920"/>
        <c:crosses val="autoZero"/>
        <c:auto val="1"/>
        <c:lblAlgn val="ctr"/>
        <c:lblOffset val="100"/>
        <c:noMultiLvlLbl val="0"/>
      </c:catAx>
      <c:valAx>
        <c:axId val="79223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7922302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533400</xdr:colOff>
      <xdr:row>21</xdr:row>
      <xdr:rowOff>0</xdr:rowOff>
    </xdr:from>
    <xdr:to>
      <xdr:col>29</xdr:col>
      <xdr:colOff>535900</xdr:colOff>
      <xdr:row>49</xdr:row>
      <xdr:rowOff>192500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37CD11-B882-04C7-C707-93CB9A933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AEB9A73-F5D2-AD4E-A8F3-89B95C404D52}" name="Table10" displayName="Table10" ref="A1:X37" totalsRowShown="0">
  <autoFilter ref="A1:X37" xr:uid="{DAEB9A73-F5D2-AD4E-A8F3-89B95C404D52}">
    <filterColumn colId="2">
      <filters>
        <filter val="1.2"/>
      </filters>
    </filterColumn>
    <filterColumn colId="5">
      <filters>
        <filter val="plurality"/>
      </filters>
    </filterColumn>
    <filterColumn colId="6">
      <filters>
        <filter val="TRUE"/>
      </filters>
    </filterColumn>
  </autoFilter>
  <sortState xmlns:xlrd2="http://schemas.microsoft.com/office/spreadsheetml/2017/richdata2" ref="A2:X37">
    <sortCondition ref="A1:A37"/>
  </sortState>
  <tableColumns count="24">
    <tableColumn id="1" xr3:uid="{6A480566-A957-7F44-BA8F-D5212E784A7F}" name="ml"/>
    <tableColumn id="23" xr3:uid="{907F1ADC-CFDF-2C4F-B049-4343543FB464}" name="skippiness"/>
    <tableColumn id="22" xr3:uid="{63003839-9ABF-7245-8F69-35ADCAFFD68B}" name="sample.n"/>
    <tableColumn id="2" xr3:uid="{EDEA1E4D-581F-6741-8BFA-4A38A054C43B}" name="mgv"/>
    <tableColumn id="3" xr3:uid="{C5859684-7B36-4A41-91E3-4C9819E44AD5}" name="attribute.index"/>
    <tableColumn id="4" xr3:uid="{E3508899-9523-FC45-A289-F2BBC1BBBA7E}" name="attribute"/>
    <tableColumn id="5" xr3:uid="{9D13AE58-8376-B540-B99C-5AC2310AB51D}" name="supplemented"/>
    <tableColumn id="6" xr3:uid="{13D2CC8C-A830-954F-8E5C-8825367EA513}" name="method.index"/>
    <tableColumn id="7" xr3:uid="{7E048049-3888-B840-BEBE-0BFF43449EF5}" name="method"/>
    <tableColumn id="8" xr3:uid="{02429338-380B-734E-9952-13107934B1C2}" name="var" dataDxfId="130">
      <calculatedColumnFormula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calculatedColumnFormula>
    </tableColumn>
    <tableColumn id="9" xr3:uid="{B881BF11-4349-674C-8E09-CE9C1F1E72F2}" name="2g-no-hash" dataDxfId="129"/>
    <tableColumn id="10" xr3:uid="{EBD0D59A-C9F9-884F-81F8-077CD98163A8}" name="3g-no-hash" dataDxfId="128"/>
    <tableColumn id="11" xr3:uid="{72255480-14BA-984C-9778-722690679B4D}" name="4g-no-hash" dataDxfId="127"/>
    <tableColumn id="12" xr3:uid="{54B92E27-A3DD-564E-9942-2031CC15343A}" name="xsk2g-no-hash" dataDxfId="126"/>
    <tableColumn id="13" xr3:uid="{8A3D6C6C-43C5-4E4B-865C-497282E16CC2}" name="xsk3g-no-hash" dataDxfId="125"/>
    <tableColumn id="14" xr3:uid="{CCF3226E-F3F6-EE46-AF2E-5B3E87FF96A1}" name="xsk4g-no-hash" dataDxfId="124"/>
    <tableColumn id="15" xr3:uid="{01086CF7-0A7A-B148-8EAB-11F260FBD18A}" name="2g-hash-at-both" dataDxfId="123"/>
    <tableColumn id="16" xr3:uid="{EE3AD325-C2D2-5D4C-841B-B0DD2407AF8D}" name="3g-hash-at-both" dataDxfId="122"/>
    <tableColumn id="17" xr3:uid="{BADD77DA-5424-B144-8995-9B3A4C403D65}" name="4g-hash-at-both" dataDxfId="121"/>
    <tableColumn id="18" xr3:uid="{166379DC-3F33-2E44-AF5D-7C2F63D033D0}" name="xsk2g-hash-at-both" dataDxfId="120"/>
    <tableColumn id="19" xr3:uid="{B05F6C83-0E4A-AB42-86B1-6DBF741FA762}" name="xsk3g-hash-at-both" dataDxfId="119"/>
    <tableColumn id="20" xr3:uid="{FB96BAB3-6716-0D4A-A72E-4998116342CA}" name="xsk4g-hash-at-both" dataDxfId="118"/>
    <tableColumn id="21" xr3:uid="{5FCDFDD6-EE1D-834F-913D-9670D964B75E}" name="max" dataDxfId="117"/>
    <tableColumn id="24" xr3:uid="{D6831A61-F073-654F-9D85-606C0F31183E}" name="geomean" dataDxfId="116">
      <calculatedColumnFormula>_xlfn.LET(_xlpm.d,$K2:$V2,GEOMEAN(_xlpm.d))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B357D5-83D2-3540-83BE-0127A3203AE6}" name="Table2" displayName="Table2" ref="A1:T19" totalsRowShown="0">
  <autoFilter ref="A1:T19" xr:uid="{BBB357D5-83D2-3540-83BE-0127A3203AE6}"/>
  <sortState xmlns:xlrd2="http://schemas.microsoft.com/office/spreadsheetml/2017/richdata2" ref="A2:T19">
    <sortCondition descending="1" ref="D1:D19"/>
  </sortState>
  <tableColumns count="20">
    <tableColumn id="1" xr3:uid="{ECD0B760-B521-8C40-B219-F417381757FA}" name="lang"/>
    <tableColumn id="2" xr3:uid="{7A4C3597-6654-B741-AF13-A960412B57CC}" name="attribute.index"/>
    <tableColumn id="3" xr3:uid="{C10B70C9-DDD9-144A-8437-3CF9096D8D40}" name="attribute"/>
    <tableColumn id="4" xr3:uid="{756E6CA3-6654-D94A-926D-6A6B6831DBD0}" name="supplemented"/>
    <tableColumn id="5" xr3:uid="{3E8006E2-D288-2649-8DE6-97D57C45FF1B}" name="method.index"/>
    <tableColumn id="6" xr3:uid="{C8150BE9-6235-1E42-A058-7AB4FF2EB138}" name="method"/>
    <tableColumn id="20" xr3:uid="{2688A3F6-E1A7-C540-97FE-09AEB26AE6B3}" name="var" dataDxfId="115">
      <calculatedColumnFormula>_xlfn.LET(_xlpm.attr,Table2[[#This Row],[attribute]],_xlpm.spl,LEFT(Table2[[#This Row],[supplemented]],1),_xlfn.TEXTJOIN("-",TRUE,_xlpm.attr,_xlpm.spl,"3k-mgv3"))</calculatedColumnFormula>
    </tableColumn>
    <tableColumn id="7" xr3:uid="{84BBED25-0DC4-694E-A28F-E1CF399629C2}" name="2g-no-hash" dataDxfId="114"/>
    <tableColumn id="8" xr3:uid="{F91B00E0-7554-1F43-93E7-5FDAC7FA158E}" name="3g-no-hash" dataDxfId="113"/>
    <tableColumn id="9" xr3:uid="{48A75C87-A9B9-1E44-A8A9-7BAF7D066006}" name="4g-no-hash" dataDxfId="112"/>
    <tableColumn id="10" xr3:uid="{CAF4FE18-7CCD-2544-BCB7-E96C91B476B1}" name="xsk2g-no-hash" dataDxfId="111"/>
    <tableColumn id="11" xr3:uid="{3CC5B448-380A-0F44-9495-6DDAF483BC27}" name="xsk3g-no-hash" dataDxfId="110"/>
    <tableColumn id="12" xr3:uid="{F64B7CF5-D18E-E54C-8DD7-065817C79032}" name="xsk4g-no-hash" dataDxfId="109"/>
    <tableColumn id="13" xr3:uid="{78867420-4CFA-AC45-8B5E-A45C9A994783}" name="2g-hash-at-both" dataDxfId="108"/>
    <tableColumn id="14" xr3:uid="{EF557C24-EE98-1648-91D9-5E356CD6102C}" name="3g-hash-at-both" dataDxfId="107"/>
    <tableColumn id="15" xr3:uid="{7D1E89C1-140B-D44B-AB9B-941C9BF0BCD7}" name="4g-hash-at-both" dataDxfId="106"/>
    <tableColumn id="16" xr3:uid="{A9DDB75E-5175-7946-9161-5B6CFC923ECD}" name="xsk2g-hash-at-both" dataDxfId="105"/>
    <tableColumn id="17" xr3:uid="{C66CF032-D531-544E-BA61-D4F341F4009B}" name="xsk3g-hash-at-both" dataDxfId="104"/>
    <tableColumn id="18" xr3:uid="{72A1BE43-270D-F847-8EC9-8C9D9FFB6E7F}" name="xsk4g-hash-at-both" dataDxfId="103"/>
    <tableColumn id="19" xr3:uid="{F33E61AD-3835-2644-AEE9-E16C2B932AA8}" name="max" dataDxfId="102">
      <calculatedColumnFormula>_xlfn.LET(_xlpm.d,$H2:$S2,MAX(_xlpm.d))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1821830-0CE7-E441-976B-855F812E80C2}" name="Table6188" displayName="Table6188" ref="B22:T28" totalsRowShown="0">
  <autoFilter ref="B22:T28" xr:uid="{01821830-0CE7-E441-976B-855F812E80C2}"/>
  <sortState xmlns:xlrd2="http://schemas.microsoft.com/office/spreadsheetml/2017/richdata2" ref="B23:T28">
    <sortCondition ref="B22:B28"/>
  </sortState>
  <tableColumns count="19">
    <tableColumn id="18" xr3:uid="{73EA0451-920B-0445-8850-9F1EA1E9ACA8}" name="attribute.index" dataDxfId="101"/>
    <tableColumn id="1" xr3:uid="{52D19113-A15D-294C-BC12-8660C8E44114}" name="attribute"/>
    <tableColumn id="2" xr3:uid="{AF1A5BBB-E0AF-4A45-ADF3-42CB59C4A34F}" name="supplemented"/>
    <tableColumn id="3" xr3:uid="{CCE1619B-A462-5241-9501-7C356B9A62D4}" name="method.index"/>
    <tableColumn id="4" xr3:uid="{164901DE-84D6-2248-BC96-C6D16A04E9AA}" name="method"/>
    <tableColumn id="19" xr3:uid="{76C22837-DB4E-EF46-8813-D73E18025F60}" name="var" dataDxfId="100">
      <calculatedColumnFormula>_xlfn.LET(_xlpm.attr,Table6188[[#This Row],[attribute]],_xlpm.spl,LEFT(Table6188[[#This Row],[supplemented]],1),_xlfn.TEXTJOIN("-",TRUE,_xlpm.attr,_xlpm.spl,"3k-mgv3"))</calculatedColumnFormula>
    </tableColumn>
    <tableColumn id="5" xr3:uid="{45CDD3BD-D151-2F4B-9A6F-382F8F4A0B1B}" name="2g-no-hash" dataDxfId="99">
      <calculatedColumnFormula array="1">_xlfn.LET(_xlpm.d,H$2:H$19,_xlpm.a,$C$2:$C$19=$C23,_xlpm.b,$D$2:$D$19=$D23,MAX(_xlfn._xlws.FILTER(_xlpm.d,_xlpm.a*_xlpm.b)))</calculatedColumnFormula>
    </tableColumn>
    <tableColumn id="6" xr3:uid="{EDB9A8E4-C19D-6143-B9EF-49866CD7EB84}" name="3g-no-hash" dataDxfId="98">
      <calculatedColumnFormula array="1">_xlfn.LET(_xlpm.d,I$2:I$19,_xlpm.a,$C$2:$C$19=$C23,_xlpm.b,$D$2:$D$19=$D23,MAX(_xlfn._xlws.FILTER(_xlpm.d,_xlpm.a*_xlpm.b)))</calculatedColumnFormula>
    </tableColumn>
    <tableColumn id="7" xr3:uid="{09218E63-B44B-A444-9BD2-3745BD5F733F}" name="4g-no-hash" dataDxfId="97">
      <calculatedColumnFormula array="1">_xlfn.LET(_xlpm.d,J$2:J$19,_xlpm.a,$C$2:$C$19=$C23,_xlpm.b,$D$2:$D$19=$D23,MAX(_xlfn._xlws.FILTER(_xlpm.d,_xlpm.a*_xlpm.b)))</calculatedColumnFormula>
    </tableColumn>
    <tableColumn id="8" xr3:uid="{5396D2F0-B181-314C-9FBD-A4410C2E3618}" name="xsk2g-no-hash" dataDxfId="96">
      <calculatedColumnFormula array="1">_xlfn.LET(_xlpm.d,K$2:K$19,_xlpm.a,$C$2:$C$19=$C23,_xlpm.b,$D$2:$D$19=$D23,MAX(_xlfn._xlws.FILTER(_xlpm.d,_xlpm.a*_xlpm.b)))</calculatedColumnFormula>
    </tableColumn>
    <tableColumn id="9" xr3:uid="{8DB880C5-8FA5-A848-9974-81B725E1C801}" name="xsk3g-no-hash" dataDxfId="95">
      <calculatedColumnFormula array="1">_xlfn.LET(_xlpm.d,L$2:L$19,_xlpm.a,$C$2:$C$19=$C23,_xlpm.b,$D$2:$D$19=$D23,MAX(_xlfn._xlws.FILTER(_xlpm.d,_xlpm.a*_xlpm.b)))</calculatedColumnFormula>
    </tableColumn>
    <tableColumn id="10" xr3:uid="{A500654E-0AF2-364C-85BF-5E534116071A}" name="xsk4g-no-hash" dataDxfId="94">
      <calculatedColumnFormula array="1">_xlfn.LET(_xlpm.d,M$2:M$19,_xlpm.a,$C$2:$C$19=$C23,_xlpm.b,$D$2:$D$19=$D23,MAX(_xlfn._xlws.FILTER(_xlpm.d,_xlpm.a*_xlpm.b)))</calculatedColumnFormula>
    </tableColumn>
    <tableColumn id="11" xr3:uid="{834BC9FB-513B-014E-A7E6-16240A39FF3D}" name="2g-hash-at-both" dataDxfId="93">
      <calculatedColumnFormula array="1">_xlfn.LET(_xlpm.d,N$2:N$19,_xlpm.a,$C$2:$C$19=$C23,_xlpm.b,$D$2:$D$19=$D23,MAX(_xlfn._xlws.FILTER(_xlpm.d,_xlpm.a*_xlpm.b)))</calculatedColumnFormula>
    </tableColumn>
    <tableColumn id="12" xr3:uid="{EBA67BA0-2E33-8A42-B32D-37F1FB9ED1DA}" name="3g-hash-at-both" dataDxfId="92">
      <calculatedColumnFormula array="1">_xlfn.LET(_xlpm.d,O$2:O$19,_xlpm.a,$C$2:$C$19=$C23,_xlpm.b,$D$2:$D$19=$D23,MAX(_xlfn._xlws.FILTER(_xlpm.d,_xlpm.a*_xlpm.b)))</calculatedColumnFormula>
    </tableColumn>
    <tableColumn id="13" xr3:uid="{8BBB1D8E-3650-7F46-A0A1-A752EBAFD95C}" name="4g-hash-at-both" dataDxfId="91">
      <calculatedColumnFormula array="1">_xlfn.LET(_xlpm.d,P$2:P$19,_xlpm.a,$C$2:$C$19=$C23,_xlpm.b,$D$2:$D$19=$D23,MAX(_xlfn._xlws.FILTER(_xlpm.d,_xlpm.a*_xlpm.b)))</calculatedColumnFormula>
    </tableColumn>
    <tableColumn id="14" xr3:uid="{DE3C0FE9-FF51-7D42-BC2E-B3F5964506CC}" name="xsk2g-hash-at-both" dataDxfId="90">
      <calculatedColumnFormula array="1">_xlfn.LET(_xlpm.d,Q$2:Q$19,_xlpm.a,$C$2:$C$19=$C23,_xlpm.b,$D$2:$D$19=$D23,MAX(_xlfn._xlws.FILTER(_xlpm.d,_xlpm.a*_xlpm.b)))</calculatedColumnFormula>
    </tableColumn>
    <tableColumn id="15" xr3:uid="{0A765AC3-C127-0245-BF21-A24FFC75B2A5}" name="xsk3g-hash-at-both" dataDxfId="89">
      <calculatedColumnFormula array="1">_xlfn.LET(_xlpm.d,R$2:R$19,_xlpm.a,$C$2:$C$19=$C23,_xlpm.b,$D$2:$D$19=$D23,MAX(_xlfn._xlws.FILTER(_xlpm.d,_xlpm.a*_xlpm.b)))</calculatedColumnFormula>
    </tableColumn>
    <tableColumn id="16" xr3:uid="{CC64AE47-7D6A-7C4E-A7EE-0633E7E6701C}" name="xsk4g-hash-at-both" dataDxfId="88">
      <calculatedColumnFormula array="1">_xlfn.LET(_xlpm.d,S$2:S$19,_xlpm.a,$C$2:$C$19=$C23,_xlpm.b,$D$2:$D$19=$D23,MAX(_xlfn._xlws.FILTER(_xlpm.d,_xlpm.a*_xlpm.b)))</calculatedColumnFormula>
    </tableColumn>
    <tableColumn id="17" xr3:uid="{896978EF-18A3-624F-B8F7-6A8B94ECB0FE}" name="max" dataDxfId="87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541A8-EDFF-FE4E-95D9-AC89C810B30C}" name="Table1" displayName="Table1" ref="A1:T19" totalsRowShown="0">
  <autoFilter ref="A1:T19" xr:uid="{F92541A8-EDFF-FE4E-95D9-AC89C810B30C}"/>
  <sortState xmlns:xlrd2="http://schemas.microsoft.com/office/spreadsheetml/2017/richdata2" ref="A2:T19">
    <sortCondition ref="B1:B19"/>
  </sortState>
  <tableColumns count="20">
    <tableColumn id="1" xr3:uid="{01E8D09F-0A0F-854C-A660-DBB788A2979D}" name="lang"/>
    <tableColumn id="2" xr3:uid="{2A927A5D-EE5E-9948-8A5C-A31AD9EADEC7}" name="attribute.index"/>
    <tableColumn id="3" xr3:uid="{AFADB59F-2650-824E-A7AC-405A3FD6ADA1}" name="attribute"/>
    <tableColumn id="4" xr3:uid="{B564F7CC-3187-0C40-B592-1CA80641D01E}" name="supplemented"/>
    <tableColumn id="5" xr3:uid="{DA6370CB-A600-974C-A7AC-D4778AFBF359}" name="method.index"/>
    <tableColumn id="6" xr3:uid="{D5E967F9-BEE3-BA43-89AD-0523EBB019E2}" name="method"/>
    <tableColumn id="20" xr3:uid="{EE7C23E7-07EF-0A4A-80E0-C55C1F4A2725}" name="var" dataDxfId="86">
      <calculatedColumnFormula>_xlfn.LET(_xlpm.attr,Table1[[#This Row],[attribute]],_xlpm.spl,LEFT(Table1[[#This Row],[supplemented]],1),_xlfn.TEXTJOIN("-",TRUE,_xlpm.attr,_xlpm.spl,"3k-mgv3"))</calculatedColumnFormula>
    </tableColumn>
    <tableColumn id="7" xr3:uid="{FC6A734B-B65B-494B-8C8B-83D95F24F8F2}" name="2g-no-hash" dataDxfId="85"/>
    <tableColumn id="8" xr3:uid="{1D1B5E33-48A9-B840-9CC8-3F37F19A44D5}" name="3g-no-hash" dataDxfId="84"/>
    <tableColumn id="9" xr3:uid="{4F0A5DF2-289B-FE47-8558-4B67AD514B36}" name="4g-no-hash" dataDxfId="83"/>
    <tableColumn id="10" xr3:uid="{ED7AABAA-40C9-5B4E-9092-FC664D22E07F}" name="xsk2g-no-hash" dataDxfId="82"/>
    <tableColumn id="11" xr3:uid="{3AC615BB-1992-EE4A-8200-C5717683E96D}" name="xsk3g-no-hash" dataDxfId="81"/>
    <tableColumn id="12" xr3:uid="{9E9AC34C-3684-FE4A-BCE7-14CBBA35F99A}" name="xsk4g-no-hash" dataDxfId="80"/>
    <tableColumn id="13" xr3:uid="{92BBF4EC-4635-3A47-9BF7-8D069E8B2D51}" name="2g-hash-at-both" dataDxfId="79"/>
    <tableColumn id="14" xr3:uid="{2E415A74-B8CD-1A41-99FF-BE03BCDB8F90}" name="3g-hash-at-both" dataDxfId="78"/>
    <tableColumn id="15" xr3:uid="{15F1ED87-78A8-3740-9938-76BB9E0F4681}" name="4g-hash-at-both" dataDxfId="77"/>
    <tableColumn id="16" xr3:uid="{D84B5D58-04F9-244B-83F5-202E1D2BA535}" name="xsk2g-hash-at-both" dataDxfId="76"/>
    <tableColumn id="17" xr3:uid="{07C6F814-42D7-7140-9CA4-D5865EC618BF}" name="xsk3g-hash-at-both" dataDxfId="75"/>
    <tableColumn id="18" xr3:uid="{162BB310-2433-B840-9DB2-E364AC4B68A0}" name="xsk4g-hash-at-both" dataDxfId="74"/>
    <tableColumn id="19" xr3:uid="{74F83393-C967-6745-BE74-42EF22975FF1}" name="max" dataDxfId="73">
      <calculatedColumnFormula>_xlfn.LET(_xlpm.d,$H2:$S2,MAX(_xlpm.d))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E6E03BC-63C8-C84C-B87E-5AAF15775BA1}" name="Table6189" displayName="Table6189" ref="B22:T28" totalsRowShown="0">
  <autoFilter ref="B22:T28" xr:uid="{7E6E03BC-63C8-C84C-B87E-5AAF15775BA1}"/>
  <sortState xmlns:xlrd2="http://schemas.microsoft.com/office/spreadsheetml/2017/richdata2" ref="B23:T28">
    <sortCondition ref="B22:B28"/>
  </sortState>
  <tableColumns count="19">
    <tableColumn id="18" xr3:uid="{73E0D2AF-1E4D-5044-BA2C-EB59A17F2BB6}" name="attribute.index" dataDxfId="72"/>
    <tableColumn id="1" xr3:uid="{EF50C20B-AB73-F14B-AFA7-E183C00A0A61}" name="attribute"/>
    <tableColumn id="2" xr3:uid="{CD76AA03-2680-EF4E-BB24-532DB7BD201D}" name="supplemented"/>
    <tableColumn id="3" xr3:uid="{E4FEDD7F-68E7-8F48-A2CE-21A6322DB2A4}" name="method.index"/>
    <tableColumn id="4" xr3:uid="{43B920E0-FC64-844B-9F71-A20B83AB7315}" name="method"/>
    <tableColumn id="19" xr3:uid="{5B21B652-0854-6B4B-BE28-0675CDC7467C}" name="var" dataDxfId="71">
      <calculatedColumnFormula>_xlfn.LET(_xlpm.attr,Table6189[[#This Row],[attribute]],_xlpm.spl,LEFT(Table6189[[#This Row],[supplemented]],1),_xlfn.TEXTJOIN("-",TRUE,_xlpm.attr,_xlpm.spl,"3k-mgv3"))</calculatedColumnFormula>
    </tableColumn>
    <tableColumn id="5" xr3:uid="{11887B76-CAF7-0542-A1A1-70D18811E590}" name="2g-no-hash" dataDxfId="70">
      <calculatedColumnFormula array="1">_xlfn.LET(_xlpm.d,H$2:H$19,_xlpm.a,$C$2:$C$19=$C23,_xlpm.b,$D$2:$D$19=$D23,MAX(_xlfn._xlws.FILTER(_xlpm.d,_xlpm.a*_xlpm.b)))</calculatedColumnFormula>
    </tableColumn>
    <tableColumn id="6" xr3:uid="{899CC67B-A824-E04E-B1EC-7E549A01142C}" name="3g-no-hash" dataDxfId="69">
      <calculatedColumnFormula array="1">_xlfn.LET(_xlpm.d,I$2:I$19,_xlpm.a,$C$2:$C$19=$C23,_xlpm.b,$D$2:$D$19=$D23,MAX(_xlfn._xlws.FILTER(_xlpm.d,_xlpm.a*_xlpm.b)))</calculatedColumnFormula>
    </tableColumn>
    <tableColumn id="7" xr3:uid="{A7CE924A-B3FD-934B-99A1-0B5CFDFFF994}" name="4g-no-hash" dataDxfId="68">
      <calculatedColumnFormula array="1">_xlfn.LET(_xlpm.d,J$2:J$19,_xlpm.a,$C$2:$C$19=$C23,_xlpm.b,$D$2:$D$19=$D23,MAX(_xlfn._xlws.FILTER(_xlpm.d,_xlpm.a*_xlpm.b)))</calculatedColumnFormula>
    </tableColumn>
    <tableColumn id="8" xr3:uid="{11C7E0FF-84F1-A24D-A66C-4A29A7051B4E}" name="xsk2g-no-hash" dataDxfId="67">
      <calculatedColumnFormula array="1">_xlfn.LET(_xlpm.d,K$2:K$19,_xlpm.a,$C$2:$C$19=$C23,_xlpm.b,$D$2:$D$19=$D23,MAX(_xlfn._xlws.FILTER(_xlpm.d,_xlpm.a*_xlpm.b)))</calculatedColumnFormula>
    </tableColumn>
    <tableColumn id="9" xr3:uid="{58ACC1EE-FCD9-A345-9251-04DA51EAEE2C}" name="xsk3g-no-hash" dataDxfId="66">
      <calculatedColumnFormula array="1">_xlfn.LET(_xlpm.d,L$2:L$19,_xlpm.a,$C$2:$C$19=$C23,_xlpm.b,$D$2:$D$19=$D23,MAX(_xlfn._xlws.FILTER(_xlpm.d,_xlpm.a*_xlpm.b)))</calculatedColumnFormula>
    </tableColumn>
    <tableColumn id="10" xr3:uid="{24F921E7-5F2A-2049-AB83-FEF9F370F996}" name="xsk4g-no-hash" dataDxfId="65">
      <calculatedColumnFormula array="1">_xlfn.LET(_xlpm.d,M$2:M$19,_xlpm.a,$C$2:$C$19=$C23,_xlpm.b,$D$2:$D$19=$D23,MAX(_xlfn._xlws.FILTER(_xlpm.d,_xlpm.a*_xlpm.b)))</calculatedColumnFormula>
    </tableColumn>
    <tableColumn id="11" xr3:uid="{CECB9181-89E4-784F-8424-FE556C57FD9F}" name="2g-hash-at-both" dataDxfId="64">
      <calculatedColumnFormula array="1">_xlfn.LET(_xlpm.d,N$2:N$19,_xlpm.a,$C$2:$C$19=$C23,_xlpm.b,$D$2:$D$19=$D23,MAX(_xlfn._xlws.FILTER(_xlpm.d,_xlpm.a*_xlpm.b)))</calculatedColumnFormula>
    </tableColumn>
    <tableColumn id="12" xr3:uid="{6769791C-E557-A342-BCF1-A3402F107DF7}" name="3g-hash-at-both" dataDxfId="63">
      <calculatedColumnFormula array="1">_xlfn.LET(_xlpm.d,O$2:O$19,_xlpm.a,$C$2:$C$19=$C23,_xlpm.b,$D$2:$D$19=$D23,MAX(_xlfn._xlws.FILTER(_xlpm.d,_xlpm.a*_xlpm.b)))</calculatedColumnFormula>
    </tableColumn>
    <tableColumn id="13" xr3:uid="{37ED9272-1C91-E24B-80C7-584181107895}" name="4g-hash-at-both" dataDxfId="62">
      <calculatedColumnFormula array="1">_xlfn.LET(_xlpm.d,P$2:P$19,_xlpm.a,$C$2:$C$19=$C23,_xlpm.b,$D$2:$D$19=$D23,MAX(_xlfn._xlws.FILTER(_xlpm.d,_xlpm.a*_xlpm.b)))</calculatedColumnFormula>
    </tableColumn>
    <tableColumn id="14" xr3:uid="{214DF641-2D79-2242-8242-2AE42D9C9687}" name="xsk2g-hash-at-both" dataDxfId="61">
      <calculatedColumnFormula array="1">_xlfn.LET(_xlpm.d,Q$2:Q$19,_xlpm.a,$C$2:$C$19=$C23,_xlpm.b,$D$2:$D$19=$D23,MAX(_xlfn._xlws.FILTER(_xlpm.d,_xlpm.a*_xlpm.b)))</calculatedColumnFormula>
    </tableColumn>
    <tableColumn id="15" xr3:uid="{5A402006-473B-474C-831A-93E44D395E31}" name="xsk3g-hash-at-both" dataDxfId="60">
      <calculatedColumnFormula array="1">_xlfn.LET(_xlpm.d,R$2:R$19,_xlpm.a,$C$2:$C$19=$C23,_xlpm.b,$D$2:$D$19=$D23,MAX(_xlfn._xlws.FILTER(_xlpm.d,_xlpm.a*_xlpm.b)))</calculatedColumnFormula>
    </tableColumn>
    <tableColumn id="16" xr3:uid="{F087290F-CA37-1F41-AB55-0D77050C2042}" name="xsk4g-hash-at-both" dataDxfId="59">
      <calculatedColumnFormula array="1">_xlfn.LET(_xlpm.d,S$2:S$19,_xlpm.a,$C$2:$C$19=$C23,_xlpm.b,$D$2:$D$19=$D23,MAX(_xlfn._xlws.FILTER(_xlpm.d,_xlpm.a*_xlpm.b)))</calculatedColumnFormula>
    </tableColumn>
    <tableColumn id="17" xr3:uid="{37A1F126-DA2F-1646-8EA6-D3107F96ACFC}" name="max" dataDxfId="58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17B2AB-1896-754F-90AE-DE17F9AD2A85}" name="Table4" displayName="Table4" ref="A1:T19" totalsRowShown="0">
  <autoFilter ref="A1:T19" xr:uid="{7D17B2AB-1896-754F-90AE-DE17F9AD2A85}"/>
  <tableColumns count="20">
    <tableColumn id="1" xr3:uid="{A06D5CC7-A623-A743-84AA-2E3338216ECE}" name="lang"/>
    <tableColumn id="2" xr3:uid="{9E98D10D-0776-7242-A98A-422D0D485A66}" name="attribute.index"/>
    <tableColumn id="3" xr3:uid="{019A8B96-C137-B94F-BFD4-EFA96557BF5F}" name="attribute"/>
    <tableColumn id="4" xr3:uid="{6A94B15E-998A-624E-A91F-D92C2B4920C6}" name="supplemented"/>
    <tableColumn id="5" xr3:uid="{39652964-4127-5F49-B316-60F145D4B2E7}" name="method.index"/>
    <tableColumn id="6" xr3:uid="{DD874EDA-3D70-4D42-8D6D-7E30B483D5A8}" name="method"/>
    <tableColumn id="20" xr3:uid="{F4DBA5EF-5C7C-CF4A-9F31-2145E2BA0187}" name="var" dataDxfId="57">
      <calculatedColumnFormula>_xlfn.LET(_xlpm.attr,Table4[[#This Row],[attribute]],_xlpm.spl,LEFT(Table4[[#This Row],[supplemented]],1),_xlfn.TEXTJOIN("-",TRUE,_xlpm.attr,_xlpm.spl,"3k-mgv3"))</calculatedColumnFormula>
    </tableColumn>
    <tableColumn id="7" xr3:uid="{0E1EC537-FF89-3A40-8533-F8EBED489D42}" name="2g-no-hash" dataDxfId="56"/>
    <tableColumn id="8" xr3:uid="{C123441F-C475-B142-B1AD-3C5756E23DF7}" name="3g-no-hash" dataDxfId="55"/>
    <tableColumn id="9" xr3:uid="{23734286-CC96-2746-BB96-9734B942F3EE}" name="4g-no-hash" dataDxfId="54"/>
    <tableColumn id="10" xr3:uid="{27069E0A-468A-0844-AD9E-EA38295CCE1A}" name="xsk2g-no-hash" dataDxfId="53"/>
    <tableColumn id="11" xr3:uid="{3EDFED78-4B46-F44C-8E24-CDED48253B95}" name="xsk3g-no-hash" dataDxfId="52"/>
    <tableColumn id="12" xr3:uid="{007CC596-65A1-1A45-9163-3020FEE1DF93}" name="xsk4g-no-hash" dataDxfId="51"/>
    <tableColumn id="13" xr3:uid="{7C199FA1-D131-0E41-8A8E-DFE960E34A02}" name="2g-hash-at-both" dataDxfId="50"/>
    <tableColumn id="14" xr3:uid="{DD9EB6D8-08C9-2549-AB35-5A511EA36377}" name="3g-hash-at-both" dataDxfId="49"/>
    <tableColumn id="15" xr3:uid="{7282B0EB-BD12-BC48-A105-A8AB2434EC21}" name="4g-hash-at-both" dataDxfId="48"/>
    <tableColumn id="16" xr3:uid="{BA054C5B-8930-EC49-AAD5-5EE35821CA20}" name="xsk2g-hash-at-both" dataDxfId="47"/>
    <tableColumn id="17" xr3:uid="{93B110E3-28F1-274C-B0B9-F69B667EE754}" name="xsk3g-hash-at-both" dataDxfId="46"/>
    <tableColumn id="18" xr3:uid="{31590C4C-EE80-F248-95D1-3B41D8C6D7B5}" name="xsk4g-hash-at-both" dataDxfId="45"/>
    <tableColumn id="19" xr3:uid="{240C62F7-6EE7-4A46-947F-6CCEF2B4B5C7}" name="max" dataDxfId="44">
      <calculatedColumnFormula>MAX($H2,$S2)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6F0B14D-3709-7B45-8592-291B5443A8EB}" name="Table61810" displayName="Table61810" ref="B22:T28" totalsRowShown="0">
  <autoFilter ref="B22:T28" xr:uid="{C6F0B14D-3709-7B45-8592-291B5443A8EB}"/>
  <sortState xmlns:xlrd2="http://schemas.microsoft.com/office/spreadsheetml/2017/richdata2" ref="B23:T28">
    <sortCondition ref="B22:B28"/>
  </sortState>
  <tableColumns count="19">
    <tableColumn id="18" xr3:uid="{3A7BA1A2-ED43-C945-92B4-BFDC0F1EF7CB}" name="attribute.index" dataDxfId="43"/>
    <tableColumn id="1" xr3:uid="{AD2A78CB-68F4-8B4A-A3D2-79E0E5A5DD02}" name="attribute"/>
    <tableColumn id="2" xr3:uid="{1FC489C9-2AC5-D14B-A8B1-9E350E7FF077}" name="supplemented"/>
    <tableColumn id="3" xr3:uid="{5F615429-1B3C-AF49-BB70-0244E06EDACC}" name="method.index"/>
    <tableColumn id="4" xr3:uid="{2B067967-888C-9F4B-B03B-45034D61C876}" name="method"/>
    <tableColumn id="19" xr3:uid="{F93EB967-C476-D644-B807-38746612653A}" name="var" dataDxfId="42">
      <calculatedColumnFormula>_xlfn.LET(_xlpm.attr,Table61810[[#This Row],[attribute]],_xlpm.spl,LEFT(Table61810[[#This Row],[supplemented]],1),_xlfn.TEXTJOIN("-",TRUE,_xlpm.attr,_xlpm.spl,"3k-mgv3"))</calculatedColumnFormula>
    </tableColumn>
    <tableColumn id="5" xr3:uid="{631C85C1-4888-9344-BBFD-6A424BB7A061}" name="2g-no-hash" dataDxfId="41">
      <calculatedColumnFormula array="1">_xlfn.LET(_xlpm.d,H$2:H$19,_xlpm.a,$C$2:$C$19=$C23,_xlpm.b,$D$2:$D$19=$D23,MAX(_xlfn._xlws.FILTER(_xlpm.d,_xlpm.a*_xlpm.b)))</calculatedColumnFormula>
    </tableColumn>
    <tableColumn id="6" xr3:uid="{3849B1D0-6008-AD42-8426-95C5D1819511}" name="3g-no-hash" dataDxfId="40">
      <calculatedColumnFormula array="1">_xlfn.LET(_xlpm.d,I$2:I$19,_xlpm.a,$C$2:$C$19=$C23,_xlpm.b,$D$2:$D$19=$D23,MAX(_xlfn._xlws.FILTER(_xlpm.d,_xlpm.a*_xlpm.b)))</calculatedColumnFormula>
    </tableColumn>
    <tableColumn id="7" xr3:uid="{34CDBB64-8E0C-7E4B-B6DF-ED823611E657}" name="4g-no-hash" dataDxfId="39">
      <calculatedColumnFormula array="1">_xlfn.LET(_xlpm.d,J$2:J$19,_xlpm.a,$C$2:$C$19=$C23,_xlpm.b,$D$2:$D$19=$D23,MAX(_xlfn._xlws.FILTER(_xlpm.d,_xlpm.a*_xlpm.b)))</calculatedColumnFormula>
    </tableColumn>
    <tableColumn id="8" xr3:uid="{64F875AE-806F-F24A-B39D-F28483B50383}" name="xsk2g-no-hash" dataDxfId="38">
      <calculatedColumnFormula array="1">_xlfn.LET(_xlpm.d,K$2:K$19,_xlpm.a,$C$2:$C$19=$C23,_xlpm.b,$D$2:$D$19=$D23,MAX(_xlfn._xlws.FILTER(_xlpm.d,_xlpm.a*_xlpm.b)))</calculatedColumnFormula>
    </tableColumn>
    <tableColumn id="9" xr3:uid="{CCB0BCA9-4A0A-A041-BBB0-C0DED67E270D}" name="xsk3g-no-hash" dataDxfId="37">
      <calculatedColumnFormula array="1">_xlfn.LET(_xlpm.d,L$2:L$19,_xlpm.a,$C$2:$C$19=$C23,_xlpm.b,$D$2:$D$19=$D23,MAX(_xlfn._xlws.FILTER(_xlpm.d,_xlpm.a*_xlpm.b)))</calculatedColumnFormula>
    </tableColumn>
    <tableColumn id="10" xr3:uid="{506F8B37-D730-2B4D-AB8B-69BB5FE4AE88}" name="xsk4g-no-hash" dataDxfId="36">
      <calculatedColumnFormula array="1">_xlfn.LET(_xlpm.d,M$2:M$19,_xlpm.a,$C$2:$C$19=$C23,_xlpm.b,$D$2:$D$19=$D23,MAX(_xlfn._xlws.FILTER(_xlpm.d,_xlpm.a*_xlpm.b)))</calculatedColumnFormula>
    </tableColumn>
    <tableColumn id="11" xr3:uid="{82A35ABA-71E1-FF48-BC5A-F12974320F0C}" name="2g-hash-at-both" dataDxfId="35">
      <calculatedColumnFormula array="1">_xlfn.LET(_xlpm.d,N$2:N$19,_xlpm.a,$C$2:$C$19=$C23,_xlpm.b,$D$2:$D$19=$D23,MAX(_xlfn._xlws.FILTER(_xlpm.d,_xlpm.a*_xlpm.b)))</calculatedColumnFormula>
    </tableColumn>
    <tableColumn id="12" xr3:uid="{26C4D6AD-1E55-2340-B84A-6285D1811EF0}" name="3g-hash-at-both" dataDxfId="34">
      <calculatedColumnFormula array="1">_xlfn.LET(_xlpm.d,O$2:O$19,_xlpm.a,$C$2:$C$19=$C23,_xlpm.b,$D$2:$D$19=$D23,MAX(_xlfn._xlws.FILTER(_xlpm.d,_xlpm.a*_xlpm.b)))</calculatedColumnFormula>
    </tableColumn>
    <tableColumn id="13" xr3:uid="{F348E21E-79EE-8949-9345-B924C9597134}" name="4g-hash-at-both" dataDxfId="33">
      <calculatedColumnFormula array="1">_xlfn.LET(_xlpm.d,P$2:P$19,_xlpm.a,$C$2:$C$19=$C23,_xlpm.b,$D$2:$D$19=$D23,MAX(_xlfn._xlws.FILTER(_xlpm.d,_xlpm.a*_xlpm.b)))</calculatedColumnFormula>
    </tableColumn>
    <tableColumn id="14" xr3:uid="{5E1237F9-5427-4445-A3D7-0A609D8B4DC6}" name="xsk2g-hash-at-both" dataDxfId="32">
      <calculatedColumnFormula array="1">_xlfn.LET(_xlpm.d,Q$2:Q$19,_xlpm.a,$C$2:$C$19=$C23,_xlpm.b,$D$2:$D$19=$D23,MAX(_xlfn._xlws.FILTER(_xlpm.d,_xlpm.a*_xlpm.b)))</calculatedColumnFormula>
    </tableColumn>
    <tableColumn id="15" xr3:uid="{256B8AE8-DE9C-324E-B195-1CA5B99560EF}" name="xsk3g-hash-at-both" dataDxfId="31">
      <calculatedColumnFormula array="1">_xlfn.LET(_xlpm.d,R$2:R$19,_xlpm.a,$C$2:$C$19=$C23,_xlpm.b,$D$2:$D$19=$D23,MAX(_xlfn._xlws.FILTER(_xlpm.d,_xlpm.a*_xlpm.b)))</calculatedColumnFormula>
    </tableColumn>
    <tableColumn id="16" xr3:uid="{71E9AD02-BE01-6F48-9908-625FF12F0E81}" name="xsk4g-hash-at-both" dataDxfId="30">
      <calculatedColumnFormula array="1">_xlfn.LET(_xlpm.d,S$2:S$19,_xlpm.a,$C$2:$C$19=$C23,_xlpm.b,$D$2:$D$19=$D23,MAX(_xlfn._xlws.FILTER(_xlpm.d,_xlpm.a*_xlpm.b)))</calculatedColumnFormula>
    </tableColumn>
    <tableColumn id="17" xr3:uid="{A85ABE2E-199A-5C4C-836A-56D4707477F1}" name="max" dataDxfId="29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76EF89-0CA6-7344-BB85-02797435D798}" name="Table14" displayName="Table14" ref="A1:T19" totalsRowShown="0">
  <autoFilter ref="A1:T19" xr:uid="{132E0591-8840-5C4B-B591-F58F79EF0D6B}"/>
  <sortState xmlns:xlrd2="http://schemas.microsoft.com/office/spreadsheetml/2017/richdata2" ref="A2:T19">
    <sortCondition ref="B1:B19"/>
  </sortState>
  <tableColumns count="20">
    <tableColumn id="1" xr3:uid="{4F83E959-B018-7D42-A2DE-58A5564073D4}" name="lang"/>
    <tableColumn id="2" xr3:uid="{89391B97-EDC0-824A-A119-67A26FD83A3C}" name="attribute.index"/>
    <tableColumn id="3" xr3:uid="{EFC418A4-9A9C-AF49-8B6D-5A8B39978D31}" name="attribute"/>
    <tableColumn id="4" xr3:uid="{E7B8D70A-B4FF-A547-B085-741A994BC2BD}" name="supplemented"/>
    <tableColumn id="5" xr3:uid="{8DB362B6-EB94-B341-AA10-FBA09ABD6B0F}" name="method.index"/>
    <tableColumn id="6" xr3:uid="{DAC7915C-5ECB-F643-A39B-A0C408342339}" name="method"/>
    <tableColumn id="20" xr3:uid="{52F21E82-4A41-4E42-8151-A3800BA07FF5}" name="var" dataDxfId="28">
      <calculatedColumnFormula>_xlfn.LET(_xlpm.attr,Table14[[#This Row],[attribute]],_xlpm.spl,LEFT(Table14[[#This Row],[supplemented]],1),_xlfn.TEXTJOIN("-",TRUE,_xlpm.attr,_xlpm.spl,"3k-mgv3"))</calculatedColumnFormula>
    </tableColumn>
    <tableColumn id="7" xr3:uid="{5E39C039-FE9E-A746-AFD2-44C96DB937AB}" name="2g-no-hash" dataDxfId="27"/>
    <tableColumn id="8" xr3:uid="{10FB2760-E65A-5E49-8D29-2E77148DF3E3}" name="3g-no-hash" dataDxfId="26"/>
    <tableColumn id="9" xr3:uid="{98051170-0B6C-A14A-93BB-811605B46A29}" name="4g-no-hash" dataDxfId="25"/>
    <tableColumn id="10" xr3:uid="{4E54B8D2-7749-1840-91B2-12E99A87EEC2}" name="xsk2g-no-hash" dataDxfId="24"/>
    <tableColumn id="11" xr3:uid="{2DB7A2A0-4A8A-BB49-91C3-AF214BB917BE}" name="xsk3g-no-hash" dataDxfId="23"/>
    <tableColumn id="12" xr3:uid="{03627177-987E-DD4E-8593-3DD28F3E9BF2}" name="xsk4g-no-hash" dataDxfId="22"/>
    <tableColumn id="13" xr3:uid="{4A2BD6BB-64E7-FF4E-951A-8EA66CED81AE}" name="2g-hash-at-both" dataDxfId="21"/>
    <tableColumn id="14" xr3:uid="{FC6107AC-FC8E-064D-9977-998693F0C809}" name="3g-hash-at-both" dataDxfId="20"/>
    <tableColumn id="15" xr3:uid="{67E68EEE-29F1-BA4F-BB86-A8FE37CE6DAD}" name="4g-hash-at-both" dataDxfId="19"/>
    <tableColumn id="16" xr3:uid="{173A5701-3EA6-3641-A131-8D92CB5F9915}" name="xsk2g-hash-at-both" dataDxfId="18"/>
    <tableColumn id="17" xr3:uid="{4F6E2D77-D60D-714D-AFA8-D12A53D2D267}" name="xsk3g-hash-at-both" dataDxfId="17"/>
    <tableColumn id="18" xr3:uid="{5EE8D748-6B5A-8849-8E53-E0582A9F349B}" name="xsk4g-hash-at-both" dataDxfId="16"/>
    <tableColumn id="19" xr3:uid="{7421AA29-86EA-1B4F-9DFE-3676302B4C9C}" name="max" dataDxfId="15">
      <calculatedColumnFormula>_xlfn.LET(_xlpm.d,$H2:$S2,MAX(_xlpm.d))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807D16-2E9E-854E-ABB1-A64CBFB59C9B}" name="Table618" displayName="Table618" ref="B22:T28" totalsRowShown="0">
  <autoFilter ref="B22:T28" xr:uid="{D5807D16-2E9E-854E-ABB1-A64CBFB59C9B}"/>
  <sortState xmlns:xlrd2="http://schemas.microsoft.com/office/spreadsheetml/2017/richdata2" ref="B23:T28">
    <sortCondition ref="B22:B28"/>
  </sortState>
  <tableColumns count="19">
    <tableColumn id="18" xr3:uid="{4739DCD3-B5E8-684E-9EEE-25DDEAF3AF91}" name="attribute.index" dataDxfId="14"/>
    <tableColumn id="1" xr3:uid="{4448E1AD-672E-9B4B-A517-A79B26A6EE28}" name="attribute"/>
    <tableColumn id="2" xr3:uid="{E0CBD6B9-D810-BC44-954D-80108A24B903}" name="supplemented"/>
    <tableColumn id="3" xr3:uid="{904A7E35-2B85-BC43-9C15-5EE3EB41E079}" name="method.index"/>
    <tableColumn id="4" xr3:uid="{7A965155-155B-B641-9A03-E05A2558DD41}" name="method"/>
    <tableColumn id="19" xr3:uid="{C07033F1-4E90-4A4F-82BE-C501B8FADF6C}" name="var" dataDxfId="13">
      <calculatedColumnFormula>_xlfn.LET(_xlpm.attr,Table618[[#This Row],[attribute]],_xlpm.spl,LEFT(Table618[[#This Row],[supplemented]],1),_xlfn.TEXTJOIN("-",TRUE,_xlpm.attr,_xlpm.spl,"3k-mgv3"))</calculatedColumnFormula>
    </tableColumn>
    <tableColumn id="5" xr3:uid="{18C861C8-DFB3-FA4B-85CF-5287D8BA38AD}" name="2g-no-hash" dataDxfId="12">
      <calculatedColumnFormula array="1">_xlfn.LET(_xlpm.d,H$2:H$19,_xlpm.a,$C$2:$C$19=$C23,_xlpm.b,$D$2:$D$19=$D23,MAX(_xlfn._xlws.FILTER(_xlpm.d,_xlpm.a*_xlpm.b)))</calculatedColumnFormula>
    </tableColumn>
    <tableColumn id="6" xr3:uid="{9ACC8CC7-199C-F143-A35F-359D2BCB553A}" name="3g-no-hash" dataDxfId="11">
      <calculatedColumnFormula array="1">_xlfn.LET(_xlpm.d,I$2:I$19,_xlpm.a,$C$2:$C$19=$C23,_xlpm.b,$D$2:$D$19=$D23,MAX(_xlfn._xlws.FILTER(_xlpm.d,_xlpm.a*_xlpm.b)))</calculatedColumnFormula>
    </tableColumn>
    <tableColumn id="7" xr3:uid="{AC3110F3-D15E-CB45-A59E-7D6945EE8621}" name="4g-no-hash" dataDxfId="10">
      <calculatedColumnFormula array="1">_xlfn.LET(_xlpm.d,J$2:J$19,_xlpm.a,$C$2:$C$19=$C23,_xlpm.b,$D$2:$D$19=$D23,MAX(_xlfn._xlws.FILTER(_xlpm.d,_xlpm.a*_xlpm.b)))</calculatedColumnFormula>
    </tableColumn>
    <tableColumn id="8" xr3:uid="{5A8B4530-CBCC-A34E-8CE4-C8907280AC4E}" name="xsk2g-no-hash" dataDxfId="9">
      <calculatedColumnFormula array="1">_xlfn.LET(_xlpm.d,K$2:K$19,_xlpm.a,$C$2:$C$19=$C23,_xlpm.b,$D$2:$D$19=$D23,MAX(_xlfn._xlws.FILTER(_xlpm.d,_xlpm.a*_xlpm.b)))</calculatedColumnFormula>
    </tableColumn>
    <tableColumn id="9" xr3:uid="{394C8BCE-0311-714B-8654-9F830933A552}" name="xsk3g-no-hash" dataDxfId="8">
      <calculatedColumnFormula array="1">_xlfn.LET(_xlpm.d,L$2:L$19,_xlpm.a,$C$2:$C$19=$C23,_xlpm.b,$D$2:$D$19=$D23,MAX(_xlfn._xlws.FILTER(_xlpm.d,_xlpm.a*_xlpm.b)))</calculatedColumnFormula>
    </tableColumn>
    <tableColumn id="10" xr3:uid="{2CEB372D-1305-7344-865F-2054FC871717}" name="xsk4g-no-hash" dataDxfId="7">
      <calculatedColumnFormula array="1">_xlfn.LET(_xlpm.d,M$2:M$19,_xlpm.a,$C$2:$C$19=$C23,_xlpm.b,$D$2:$D$19=$D23,MAX(_xlfn._xlws.FILTER(_xlpm.d,_xlpm.a*_xlpm.b)))</calculatedColumnFormula>
    </tableColumn>
    <tableColumn id="11" xr3:uid="{A26EA5AB-5AC4-2644-BBB4-C3BE5B2620AC}" name="2g-hash-at-both" dataDxfId="6">
      <calculatedColumnFormula array="1">_xlfn.LET(_xlpm.d,N$2:N$19,_xlpm.a,$C$2:$C$19=$C23,_xlpm.b,$D$2:$D$19=$D23,MAX(_xlfn._xlws.FILTER(_xlpm.d,_xlpm.a*_xlpm.b)))</calculatedColumnFormula>
    </tableColumn>
    <tableColumn id="12" xr3:uid="{A296F589-8541-294B-BBBE-A67CD7B92D5E}" name="3g-hash-at-both" dataDxfId="5">
      <calculatedColumnFormula array="1">_xlfn.LET(_xlpm.d,O$2:O$19,_xlpm.a,$C$2:$C$19=$C23,_xlpm.b,$D$2:$D$19=$D23,MAX(_xlfn._xlws.FILTER(_xlpm.d,_xlpm.a*_xlpm.b)))</calculatedColumnFormula>
    </tableColumn>
    <tableColumn id="13" xr3:uid="{2CCD4C26-8930-0046-AA0D-C6C410ECA2FF}" name="4g-hash-at-both" dataDxfId="4">
      <calculatedColumnFormula array="1">_xlfn.LET(_xlpm.d,P$2:P$19,_xlpm.a,$C$2:$C$19=$C23,_xlpm.b,$D$2:$D$19=$D23,MAX(_xlfn._xlws.FILTER(_xlpm.d,_xlpm.a*_xlpm.b)))</calculatedColumnFormula>
    </tableColumn>
    <tableColumn id="14" xr3:uid="{AE3889BC-90EE-644C-B22F-2D1EA7CB6392}" name="xsk2g-hash-at-both" dataDxfId="3">
      <calculatedColumnFormula array="1">_xlfn.LET(_xlpm.d,Q$2:Q$19,_xlpm.a,$C$2:$C$19=$C23,_xlpm.b,$D$2:$D$19=$D23,MAX(_xlfn._xlws.FILTER(_xlpm.d,_xlpm.a*_xlpm.b)))</calculatedColumnFormula>
    </tableColumn>
    <tableColumn id="15" xr3:uid="{2A4C6EAD-7E1A-7F46-944A-E845441BB571}" name="xsk3g-hash-at-both" dataDxfId="2">
      <calculatedColumnFormula array="1">_xlfn.LET(_xlpm.d,R$2:R$19,_xlpm.a,$C$2:$C$19=$C23,_xlpm.b,$D$2:$D$19=$D23,MAX(_xlfn._xlws.FILTER(_xlpm.d,_xlpm.a*_xlpm.b)))</calculatedColumnFormula>
    </tableColumn>
    <tableColumn id="16" xr3:uid="{A3E81915-9473-5148-A6F1-688878B2C034}" name="xsk4g-hash-at-both" dataDxfId="1">
      <calculatedColumnFormula array="1">_xlfn.LET(_xlpm.d,S$2:S$19,_xlpm.a,$C$2:$C$19=$C23,_xlpm.b,$D$2:$D$19=$D23,MAX(_xlfn._xlws.FILTER(_xlpm.d,_xlpm.a*_xlpm.b)))</calculatedColumnFormula>
    </tableColumn>
    <tableColumn id="17" xr3:uid="{C520988C-B059-0B47-BA94-32CCE100D929}" name="max" dataDxfId="0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4FF3-9D24-744F-AB50-46CED0BC1251}">
  <dimension ref="A1:X37"/>
  <sheetViews>
    <sheetView tabSelected="1" workbookViewId="0">
      <pane xSplit="10880" ySplit="4940" topLeftCell="U27" activePane="bottomRight"/>
      <selection activeCell="C40" sqref="C40"/>
      <selection pane="topRight" activeCell="X15" sqref="X15"/>
      <selection pane="bottomLeft" activeCell="E45" sqref="E45"/>
      <selection pane="bottomRight" activeCell="X41" sqref="X41"/>
    </sheetView>
  </sheetViews>
  <sheetFormatPr baseColWidth="10" defaultRowHeight="25" customHeight="1"/>
  <cols>
    <col min="1" max="4" width="7.5" customWidth="1"/>
    <col min="5" max="5" width="9.25" customWidth="1"/>
    <col min="6" max="6" width="10.375" customWidth="1"/>
    <col min="7" max="7" width="7.5" customWidth="1"/>
    <col min="8" max="8" width="8.125" customWidth="1"/>
    <col min="9" max="9" width="8.375" customWidth="1"/>
    <col min="10" max="10" width="24.375" customWidth="1"/>
    <col min="11" max="22" width="8.875" customWidth="1"/>
  </cols>
  <sheetData>
    <row r="1" spans="1:24" ht="25" customHeight="1">
      <c r="A1" t="s">
        <v>27</v>
      </c>
      <c r="B1" t="s">
        <v>30</v>
      </c>
      <c r="C1" t="s">
        <v>29</v>
      </c>
      <c r="D1" t="s">
        <v>28</v>
      </c>
      <c r="E1" t="s">
        <v>1</v>
      </c>
      <c r="F1" t="s">
        <v>2</v>
      </c>
      <c r="G1" t="s">
        <v>25</v>
      </c>
      <c r="H1" t="s">
        <v>3</v>
      </c>
      <c r="I1" t="s">
        <v>4</v>
      </c>
      <c r="J1" t="s">
        <v>26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32</v>
      </c>
    </row>
    <row r="2" spans="1:24" ht="25" hidden="1" customHeight="1">
      <c r="A2" t="s">
        <v>33</v>
      </c>
      <c r="B2" t="s">
        <v>31</v>
      </c>
      <c r="C2">
        <v>1.2</v>
      </c>
      <c r="D2">
        <v>9</v>
      </c>
      <c r="E2">
        <v>1</v>
      </c>
      <c r="F2" t="s">
        <v>24</v>
      </c>
      <c r="G2" t="b">
        <v>0</v>
      </c>
      <c r="H2">
        <v>0</v>
      </c>
      <c r="I2" t="s">
        <v>17</v>
      </c>
      <c r="J2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ml:NA-sn1.2k-plu-spl:F-mgv9</v>
      </c>
      <c r="K2" s="1">
        <v>0.82</v>
      </c>
      <c r="L2" s="1">
        <v>0.82</v>
      </c>
      <c r="M2" s="1">
        <v>0.8</v>
      </c>
      <c r="N2" s="1">
        <v>0.75</v>
      </c>
      <c r="O2" s="1">
        <v>0.79</v>
      </c>
      <c r="P2" s="1">
        <v>0.84</v>
      </c>
      <c r="Q2" s="1">
        <v>0.74</v>
      </c>
      <c r="R2" s="1">
        <v>0.82</v>
      </c>
      <c r="S2" s="1">
        <v>0.88</v>
      </c>
      <c r="T2" s="1">
        <v>0.82</v>
      </c>
      <c r="U2" s="1">
        <v>0.83</v>
      </c>
      <c r="V2" s="1">
        <v>0.82</v>
      </c>
      <c r="W2" s="1">
        <v>0.88</v>
      </c>
      <c r="X2" s="3">
        <f t="shared" ref="X2:X37" si="0">_xlfn.LET(_xlpm.d,$K2:$V2,GEOMEAN(_xlpm.d))</f>
        <v>0.81001541007606115</v>
      </c>
    </row>
    <row r="3" spans="1:24" ht="25" customHeight="1">
      <c r="A3" t="s">
        <v>33</v>
      </c>
      <c r="B3" t="s">
        <v>31</v>
      </c>
      <c r="C3">
        <v>1.2</v>
      </c>
      <c r="D3">
        <v>9</v>
      </c>
      <c r="E3">
        <v>1</v>
      </c>
      <c r="F3" t="s">
        <v>24</v>
      </c>
      <c r="G3" t="b">
        <v>1</v>
      </c>
      <c r="H3">
        <v>0</v>
      </c>
      <c r="I3" t="s">
        <v>17</v>
      </c>
      <c r="J3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ml:NA-sn1.2k-plu-spl:T-mgv9</v>
      </c>
      <c r="K3" s="1">
        <v>0.84</v>
      </c>
      <c r="L3" s="1">
        <v>0.87</v>
      </c>
      <c r="M3" s="1">
        <v>0.83</v>
      </c>
      <c r="N3" s="1">
        <v>0.78</v>
      </c>
      <c r="O3" s="1">
        <v>0.82</v>
      </c>
      <c r="P3" s="1">
        <v>0.85</v>
      </c>
      <c r="Q3" s="1">
        <v>0.82</v>
      </c>
      <c r="R3" s="1">
        <v>0.85</v>
      </c>
      <c r="S3" s="1">
        <v>0.88</v>
      </c>
      <c r="T3" s="1">
        <v>0.82</v>
      </c>
      <c r="U3" s="1">
        <v>0.81</v>
      </c>
      <c r="V3" s="1">
        <v>0.84</v>
      </c>
      <c r="W3" s="1">
        <v>0.88</v>
      </c>
      <c r="X3" s="3">
        <f t="shared" si="0"/>
        <v>0.83376079184650576</v>
      </c>
    </row>
    <row r="4" spans="1:24" ht="25" hidden="1" customHeight="1">
      <c r="A4" t="s">
        <v>33</v>
      </c>
      <c r="B4" t="s">
        <v>31</v>
      </c>
      <c r="C4">
        <v>1.2</v>
      </c>
      <c r="D4">
        <v>9</v>
      </c>
      <c r="E4">
        <v>2</v>
      </c>
      <c r="F4" t="s">
        <v>23</v>
      </c>
      <c r="G4" t="b">
        <v>0</v>
      </c>
      <c r="H4">
        <v>0</v>
      </c>
      <c r="I4" t="s">
        <v>17</v>
      </c>
      <c r="J4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ml:NA-sn1.2k-gen-spl:F-mgv9</v>
      </c>
      <c r="K4" s="1">
        <v>0.57999999999999996</v>
      </c>
      <c r="L4" s="1">
        <v>0.53</v>
      </c>
      <c r="M4" s="1">
        <v>0.61</v>
      </c>
      <c r="N4" s="1">
        <v>0.57999999999999996</v>
      </c>
      <c r="O4" s="1">
        <v>0.55000000000000004</v>
      </c>
      <c r="P4" s="1">
        <v>0.55000000000000004</v>
      </c>
      <c r="Q4" s="1">
        <v>0.56000000000000005</v>
      </c>
      <c r="R4" s="1">
        <v>0.54</v>
      </c>
      <c r="S4" s="1">
        <v>0.55000000000000004</v>
      </c>
      <c r="T4" s="1">
        <v>0.56999999999999995</v>
      </c>
      <c r="U4" s="1">
        <v>0.6</v>
      </c>
      <c r="V4" s="1">
        <v>0.55000000000000004</v>
      </c>
      <c r="W4" s="1">
        <v>0.61</v>
      </c>
      <c r="X4" s="3">
        <f t="shared" si="0"/>
        <v>0.56369393471375528</v>
      </c>
    </row>
    <row r="5" spans="1:24" ht="25" hidden="1" customHeight="1">
      <c r="A5" t="s">
        <v>33</v>
      </c>
      <c r="B5" t="s">
        <v>31</v>
      </c>
      <c r="C5">
        <v>1.2</v>
      </c>
      <c r="D5">
        <v>9</v>
      </c>
      <c r="E5">
        <v>2</v>
      </c>
      <c r="F5" t="s">
        <v>23</v>
      </c>
      <c r="G5" t="b">
        <v>1</v>
      </c>
      <c r="H5">
        <v>0</v>
      </c>
      <c r="I5" t="s">
        <v>17</v>
      </c>
      <c r="J5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ml:NA-sn1.2k-gen-spl:T-mgv9</v>
      </c>
      <c r="K5" s="1">
        <v>0.56999999999999995</v>
      </c>
      <c r="L5" s="1">
        <v>0.54</v>
      </c>
      <c r="M5" s="1">
        <v>0.56999999999999995</v>
      </c>
      <c r="N5" s="1">
        <v>0.61</v>
      </c>
      <c r="O5" s="1">
        <v>0.55000000000000004</v>
      </c>
      <c r="P5" s="1">
        <v>0.55000000000000004</v>
      </c>
      <c r="Q5" s="1">
        <v>0.56000000000000005</v>
      </c>
      <c r="R5" s="1">
        <v>0.54</v>
      </c>
      <c r="S5" s="1">
        <v>0.61</v>
      </c>
      <c r="T5" s="1">
        <v>0.56000000000000005</v>
      </c>
      <c r="U5" s="1">
        <v>0.61</v>
      </c>
      <c r="V5" s="1">
        <v>0.57999999999999996</v>
      </c>
      <c r="W5" s="1">
        <v>0.61</v>
      </c>
      <c r="X5" s="3">
        <f t="shared" si="0"/>
        <v>0.57027983273208493</v>
      </c>
    </row>
    <row r="6" spans="1:24" ht="25" hidden="1" customHeight="1">
      <c r="A6" t="s">
        <v>33</v>
      </c>
      <c r="B6" t="s">
        <v>31</v>
      </c>
      <c r="C6">
        <v>1.2</v>
      </c>
      <c r="D6">
        <v>9</v>
      </c>
      <c r="E6">
        <v>3</v>
      </c>
      <c r="F6" t="s">
        <v>19</v>
      </c>
      <c r="G6" t="b">
        <v>0</v>
      </c>
      <c r="H6">
        <v>0</v>
      </c>
      <c r="I6" t="s">
        <v>17</v>
      </c>
      <c r="J6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ml:NA-sn1.2k-cas-spl:F-mgv9</v>
      </c>
      <c r="K6" s="1">
        <v>0.36</v>
      </c>
      <c r="L6" s="1">
        <v>0.42</v>
      </c>
      <c r="M6" s="1">
        <v>0.37</v>
      </c>
      <c r="N6" s="1">
        <v>0.43</v>
      </c>
      <c r="O6" s="1">
        <v>0.37</v>
      </c>
      <c r="P6" s="1">
        <v>0.37</v>
      </c>
      <c r="Q6" s="1">
        <v>0.38</v>
      </c>
      <c r="R6" s="1">
        <v>0.45</v>
      </c>
      <c r="S6" s="1">
        <v>0.32</v>
      </c>
      <c r="T6" s="1">
        <v>0.43</v>
      </c>
      <c r="U6" s="1">
        <v>0.44</v>
      </c>
      <c r="V6" s="1">
        <v>0.37</v>
      </c>
      <c r="W6" s="1">
        <v>0.45</v>
      </c>
      <c r="X6" s="3">
        <f t="shared" si="0"/>
        <v>0.39060805684398275</v>
      </c>
    </row>
    <row r="7" spans="1:24" ht="25" hidden="1" customHeight="1">
      <c r="A7" t="s">
        <v>33</v>
      </c>
      <c r="B7" t="s">
        <v>31</v>
      </c>
      <c r="C7">
        <v>1.2</v>
      </c>
      <c r="D7">
        <v>9</v>
      </c>
      <c r="E7">
        <v>3</v>
      </c>
      <c r="F7" t="s">
        <v>19</v>
      </c>
      <c r="G7" t="b">
        <v>1</v>
      </c>
      <c r="H7">
        <v>0</v>
      </c>
      <c r="I7" t="s">
        <v>17</v>
      </c>
      <c r="J7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ml:NA-sn1.2k-cas-spl:T-mgv9</v>
      </c>
      <c r="K7" s="1">
        <v>0.37</v>
      </c>
      <c r="L7" s="1">
        <v>0.35</v>
      </c>
      <c r="M7" s="1">
        <v>0.38</v>
      </c>
      <c r="N7" s="1">
        <v>0.47</v>
      </c>
      <c r="O7" s="1">
        <v>0.35</v>
      </c>
      <c r="P7" s="1">
        <v>0.33</v>
      </c>
      <c r="Q7" s="1">
        <v>0.35</v>
      </c>
      <c r="R7" s="1">
        <v>0.43</v>
      </c>
      <c r="S7" s="1">
        <v>0.32</v>
      </c>
      <c r="T7" s="1">
        <v>0.47</v>
      </c>
      <c r="U7" s="1">
        <v>0.46</v>
      </c>
      <c r="V7" s="1">
        <v>0.38</v>
      </c>
      <c r="W7" s="1">
        <v>0.47</v>
      </c>
      <c r="X7" s="3">
        <f t="shared" si="0"/>
        <v>0.38489143571381207</v>
      </c>
    </row>
    <row r="8" spans="1:24" ht="25" hidden="1" customHeight="1">
      <c r="A8" t="s">
        <v>33</v>
      </c>
      <c r="B8" t="s">
        <v>31</v>
      </c>
      <c r="C8">
        <v>2</v>
      </c>
      <c r="D8">
        <v>9</v>
      </c>
      <c r="E8">
        <v>1</v>
      </c>
      <c r="F8" t="s">
        <v>24</v>
      </c>
      <c r="G8" t="b">
        <v>0</v>
      </c>
      <c r="H8">
        <v>0</v>
      </c>
      <c r="I8" t="s">
        <v>17</v>
      </c>
      <c r="J8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ml:NA-sn2k-plu-spl:F-mgv9</v>
      </c>
      <c r="K8" s="1">
        <v>0.85</v>
      </c>
      <c r="L8" s="1">
        <v>0.81</v>
      </c>
      <c r="M8" s="1">
        <v>0.83</v>
      </c>
      <c r="N8" s="1">
        <v>0.78</v>
      </c>
      <c r="O8" s="1">
        <v>0.82</v>
      </c>
      <c r="P8" s="1">
        <v>0.82</v>
      </c>
      <c r="Q8" s="1">
        <v>0.8</v>
      </c>
      <c r="R8" s="1">
        <v>0.83</v>
      </c>
      <c r="S8" s="1">
        <v>0.83</v>
      </c>
      <c r="T8" s="1">
        <v>0.82</v>
      </c>
      <c r="U8" s="1">
        <v>0.83</v>
      </c>
      <c r="V8" s="1">
        <v>0.8</v>
      </c>
      <c r="W8" s="1">
        <v>0.85</v>
      </c>
      <c r="X8" s="3">
        <f t="shared" si="0"/>
        <v>0.8181401460977219</v>
      </c>
    </row>
    <row r="9" spans="1:24" ht="25" hidden="1" customHeight="1">
      <c r="A9" t="s">
        <v>33</v>
      </c>
      <c r="B9" t="s">
        <v>31</v>
      </c>
      <c r="C9">
        <v>2</v>
      </c>
      <c r="D9">
        <v>9</v>
      </c>
      <c r="E9">
        <v>1</v>
      </c>
      <c r="F9" t="s">
        <v>24</v>
      </c>
      <c r="G9" t="b">
        <v>1</v>
      </c>
      <c r="H9">
        <v>0</v>
      </c>
      <c r="I9" t="s">
        <v>17</v>
      </c>
      <c r="J9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ml:NA-sn2k-plu-spl:T-mgv9</v>
      </c>
      <c r="K9" s="1">
        <v>0.9</v>
      </c>
      <c r="L9" s="1">
        <v>0.88</v>
      </c>
      <c r="M9" s="1">
        <v>0.86</v>
      </c>
      <c r="N9" s="1">
        <v>0.84</v>
      </c>
      <c r="O9" s="1">
        <v>0.83</v>
      </c>
      <c r="P9" s="1">
        <v>0.83</v>
      </c>
      <c r="Q9" s="1">
        <v>0.86</v>
      </c>
      <c r="R9" s="1">
        <v>0.88</v>
      </c>
      <c r="S9" s="1">
        <v>0.87</v>
      </c>
      <c r="T9" s="1">
        <v>0.84</v>
      </c>
      <c r="U9" s="1">
        <v>0.84</v>
      </c>
      <c r="V9" s="1">
        <v>0.78</v>
      </c>
      <c r="W9" s="1">
        <v>0.9</v>
      </c>
      <c r="X9" s="3">
        <f t="shared" si="0"/>
        <v>0.85029127203334887</v>
      </c>
    </row>
    <row r="10" spans="1:24" ht="25" hidden="1" customHeight="1">
      <c r="A10" t="s">
        <v>33</v>
      </c>
      <c r="B10" t="s">
        <v>31</v>
      </c>
      <c r="C10">
        <v>2</v>
      </c>
      <c r="D10">
        <v>9</v>
      </c>
      <c r="E10">
        <v>2</v>
      </c>
      <c r="F10" t="s">
        <v>23</v>
      </c>
      <c r="G10" t="b">
        <v>0</v>
      </c>
      <c r="H10">
        <v>0</v>
      </c>
      <c r="I10" t="s">
        <v>17</v>
      </c>
      <c r="J10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ml:NA-sn2k-gen-spl:F-mgv9</v>
      </c>
      <c r="K10" s="1">
        <v>0.57999999999999996</v>
      </c>
      <c r="L10" s="1">
        <v>0.56999999999999995</v>
      </c>
      <c r="M10" s="1">
        <v>0.6</v>
      </c>
      <c r="N10" s="1">
        <v>0.53</v>
      </c>
      <c r="O10" s="1">
        <v>0.61</v>
      </c>
      <c r="P10" s="1">
        <v>0.62</v>
      </c>
      <c r="Q10" s="1">
        <v>0.54</v>
      </c>
      <c r="R10" s="1">
        <v>0.6</v>
      </c>
      <c r="S10" s="1">
        <v>0.59</v>
      </c>
      <c r="T10" s="1">
        <v>0.56999999999999995</v>
      </c>
      <c r="U10" s="1">
        <v>0.62</v>
      </c>
      <c r="V10" s="1">
        <v>0.53</v>
      </c>
      <c r="W10" s="1">
        <v>0.62</v>
      </c>
      <c r="X10" s="3">
        <f t="shared" si="0"/>
        <v>0.57913868747149566</v>
      </c>
    </row>
    <row r="11" spans="1:24" ht="25" hidden="1" customHeight="1">
      <c r="A11" t="s">
        <v>33</v>
      </c>
      <c r="B11" t="s">
        <v>31</v>
      </c>
      <c r="C11">
        <v>2</v>
      </c>
      <c r="D11">
        <v>9</v>
      </c>
      <c r="E11">
        <v>2</v>
      </c>
      <c r="F11" t="s">
        <v>23</v>
      </c>
      <c r="G11" t="b">
        <v>1</v>
      </c>
      <c r="H11">
        <v>0</v>
      </c>
      <c r="I11" t="s">
        <v>17</v>
      </c>
      <c r="J11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ml:NA-sn2k-gen-spl:T-mgv9</v>
      </c>
      <c r="K11" s="1">
        <v>0.59</v>
      </c>
      <c r="L11" s="1">
        <v>0.57999999999999996</v>
      </c>
      <c r="M11" s="1">
        <v>0.62</v>
      </c>
      <c r="N11" s="1">
        <v>0.6</v>
      </c>
      <c r="O11" s="1">
        <v>0.6</v>
      </c>
      <c r="P11" s="1">
        <v>0.6</v>
      </c>
      <c r="Q11" s="1">
        <v>0.63</v>
      </c>
      <c r="R11" s="1">
        <v>0.61</v>
      </c>
      <c r="S11" s="1">
        <v>0.6</v>
      </c>
      <c r="T11" s="1">
        <v>0.61</v>
      </c>
      <c r="U11" s="1">
        <v>0.63</v>
      </c>
      <c r="V11" s="1">
        <v>0.52</v>
      </c>
      <c r="W11" s="1">
        <v>0.63</v>
      </c>
      <c r="X11" s="3">
        <f t="shared" si="0"/>
        <v>0.59848288334670841</v>
      </c>
    </row>
    <row r="12" spans="1:24" ht="25" hidden="1" customHeight="1">
      <c r="A12" t="s">
        <v>33</v>
      </c>
      <c r="B12" t="s">
        <v>31</v>
      </c>
      <c r="C12">
        <v>2</v>
      </c>
      <c r="D12">
        <v>9</v>
      </c>
      <c r="E12">
        <v>3</v>
      </c>
      <c r="F12" t="s">
        <v>19</v>
      </c>
      <c r="G12" t="b">
        <v>0</v>
      </c>
      <c r="H12">
        <v>0</v>
      </c>
      <c r="I12" t="s">
        <v>17</v>
      </c>
      <c r="J12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ml:NA-sn2k-cas-spl:F-mgv9</v>
      </c>
      <c r="K12" s="1">
        <v>0.39</v>
      </c>
      <c r="L12" s="1">
        <v>0.38</v>
      </c>
      <c r="M12" s="1">
        <v>0.4</v>
      </c>
      <c r="N12" s="1">
        <v>0.41</v>
      </c>
      <c r="O12" s="1">
        <v>0.41</v>
      </c>
      <c r="P12" s="1">
        <v>0.47</v>
      </c>
      <c r="Q12" s="1">
        <v>0.42</v>
      </c>
      <c r="R12" s="1">
        <v>0.42</v>
      </c>
      <c r="S12" s="1">
        <v>0.41</v>
      </c>
      <c r="T12" s="1">
        <v>0.39</v>
      </c>
      <c r="U12" s="1">
        <v>0.39</v>
      </c>
      <c r="V12" s="1">
        <v>0.42</v>
      </c>
      <c r="W12" s="1">
        <v>0.47</v>
      </c>
      <c r="X12" s="3">
        <f t="shared" si="0"/>
        <v>0.40857290173720023</v>
      </c>
    </row>
    <row r="13" spans="1:24" ht="25" hidden="1" customHeight="1">
      <c r="A13" t="s">
        <v>33</v>
      </c>
      <c r="B13" t="s">
        <v>31</v>
      </c>
      <c r="C13">
        <v>2</v>
      </c>
      <c r="D13">
        <v>9</v>
      </c>
      <c r="E13">
        <v>3</v>
      </c>
      <c r="F13" t="s">
        <v>19</v>
      </c>
      <c r="G13" t="b">
        <v>1</v>
      </c>
      <c r="H13">
        <v>0</v>
      </c>
      <c r="I13" t="s">
        <v>17</v>
      </c>
      <c r="J13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ml:NA-sn2k-cas-spl:T-mgv9</v>
      </c>
      <c r="K13" s="1">
        <v>0.42</v>
      </c>
      <c r="L13" s="1">
        <v>0.41</v>
      </c>
      <c r="M13" s="1">
        <v>0.4</v>
      </c>
      <c r="N13" s="1">
        <v>0.41</v>
      </c>
      <c r="O13" s="1">
        <v>0.42</v>
      </c>
      <c r="P13" s="1">
        <v>0.45</v>
      </c>
      <c r="Q13" s="1">
        <v>0.4</v>
      </c>
      <c r="R13" s="1">
        <v>0.47</v>
      </c>
      <c r="S13" s="1">
        <v>0.45</v>
      </c>
      <c r="T13" s="1">
        <v>0.4</v>
      </c>
      <c r="U13" s="1">
        <v>0.4</v>
      </c>
      <c r="V13" s="1">
        <v>0.43</v>
      </c>
      <c r="W13" s="1">
        <v>0.47</v>
      </c>
      <c r="X13" s="3">
        <f t="shared" si="0"/>
        <v>0.42107371636501295</v>
      </c>
    </row>
    <row r="14" spans="1:24" ht="25" hidden="1" customHeight="1">
      <c r="A14">
        <v>2</v>
      </c>
      <c r="B14" t="s">
        <v>31</v>
      </c>
      <c r="C14">
        <v>1.2</v>
      </c>
      <c r="D14">
        <v>9</v>
      </c>
      <c r="E14">
        <v>1</v>
      </c>
      <c r="F14" t="s">
        <v>24</v>
      </c>
      <c r="G14" t="b">
        <v>0</v>
      </c>
      <c r="H14">
        <v>0</v>
      </c>
      <c r="I14" t="s">
        <v>17</v>
      </c>
      <c r="J14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ml:2-sn1.2k-plu-spl:F-mgv9</v>
      </c>
      <c r="K14" s="1">
        <v>0.78</v>
      </c>
      <c r="L14" s="1">
        <v>0.84</v>
      </c>
      <c r="M14" s="1">
        <v>0.76</v>
      </c>
      <c r="N14" s="1">
        <v>0.81</v>
      </c>
      <c r="O14" s="1">
        <v>0.81</v>
      </c>
      <c r="P14" s="1">
        <v>0.81</v>
      </c>
      <c r="Q14" s="1">
        <v>0.8</v>
      </c>
      <c r="R14" s="1">
        <v>0.81</v>
      </c>
      <c r="S14" s="1">
        <v>0.81</v>
      </c>
      <c r="T14" s="1">
        <v>0.76</v>
      </c>
      <c r="U14" s="1">
        <v>0.82</v>
      </c>
      <c r="V14" s="1">
        <v>0.82</v>
      </c>
      <c r="W14" s="1">
        <v>0.84</v>
      </c>
      <c r="X14" s="3">
        <f t="shared" si="0"/>
        <v>0.80216182184183471</v>
      </c>
    </row>
    <row r="15" spans="1:24" ht="25" customHeight="1">
      <c r="A15">
        <v>2</v>
      </c>
      <c r="B15" t="s">
        <v>31</v>
      </c>
      <c r="C15">
        <v>1.2</v>
      </c>
      <c r="D15">
        <v>9</v>
      </c>
      <c r="E15">
        <v>1</v>
      </c>
      <c r="F15" t="s">
        <v>24</v>
      </c>
      <c r="G15" t="b">
        <v>1</v>
      </c>
      <c r="H15">
        <v>0</v>
      </c>
      <c r="I15" t="s">
        <v>17</v>
      </c>
      <c r="J15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ml:2-sn1.2k-plu-spl:T-mgv9</v>
      </c>
      <c r="K15" s="1">
        <v>0.83</v>
      </c>
      <c r="L15" s="1">
        <v>0.87</v>
      </c>
      <c r="M15" s="1">
        <v>0.81</v>
      </c>
      <c r="N15" s="1">
        <v>0.81</v>
      </c>
      <c r="O15" s="1">
        <v>0.81</v>
      </c>
      <c r="P15" s="1">
        <v>0.8</v>
      </c>
      <c r="Q15" s="1">
        <v>0.83</v>
      </c>
      <c r="R15" s="1">
        <v>0.83</v>
      </c>
      <c r="S15" s="1">
        <v>0.86</v>
      </c>
      <c r="T15" s="1">
        <v>0.81</v>
      </c>
      <c r="U15" s="1">
        <v>0.86</v>
      </c>
      <c r="V15" s="1">
        <v>0.84</v>
      </c>
      <c r="W15" s="1">
        <v>0.87</v>
      </c>
      <c r="X15" s="3">
        <f t="shared" si="0"/>
        <v>0.829701066624564</v>
      </c>
    </row>
    <row r="16" spans="1:24" ht="25" hidden="1" customHeight="1">
      <c r="A16">
        <v>2</v>
      </c>
      <c r="B16" t="s">
        <v>31</v>
      </c>
      <c r="C16">
        <v>1.2</v>
      </c>
      <c r="D16">
        <v>9</v>
      </c>
      <c r="E16">
        <v>2</v>
      </c>
      <c r="F16" t="s">
        <v>23</v>
      </c>
      <c r="G16" t="b">
        <v>0</v>
      </c>
      <c r="H16">
        <v>0</v>
      </c>
      <c r="I16" t="s">
        <v>17</v>
      </c>
      <c r="J16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ml:2-sn1.2k-gen-spl:F-mgv9</v>
      </c>
      <c r="K16" s="3">
        <v>0.59</v>
      </c>
      <c r="L16" s="3">
        <v>0.63</v>
      </c>
      <c r="M16" s="3">
        <v>0.61</v>
      </c>
      <c r="N16" s="3">
        <v>0.54</v>
      </c>
      <c r="O16" s="3">
        <v>0.61</v>
      </c>
      <c r="P16" s="3">
        <v>0.57999999999999996</v>
      </c>
      <c r="Q16" s="3">
        <v>0.57999999999999996</v>
      </c>
      <c r="R16" s="3">
        <v>0.56000000000000005</v>
      </c>
      <c r="S16" s="3">
        <v>0.64</v>
      </c>
      <c r="T16" s="3">
        <v>0.55000000000000004</v>
      </c>
      <c r="U16" s="3">
        <v>0.56000000000000005</v>
      </c>
      <c r="V16" s="3">
        <v>0.6</v>
      </c>
      <c r="W16" s="3">
        <v>0.64</v>
      </c>
      <c r="X16" s="3">
        <f t="shared" si="0"/>
        <v>0.58672013898605824</v>
      </c>
    </row>
    <row r="17" spans="1:24" ht="25" hidden="1" customHeight="1">
      <c r="A17">
        <v>2</v>
      </c>
      <c r="B17" t="s">
        <v>31</v>
      </c>
      <c r="C17">
        <v>1.2</v>
      </c>
      <c r="D17">
        <v>9</v>
      </c>
      <c r="E17">
        <v>2</v>
      </c>
      <c r="F17" t="s">
        <v>23</v>
      </c>
      <c r="G17" t="b">
        <v>1</v>
      </c>
      <c r="H17">
        <v>0</v>
      </c>
      <c r="I17" t="s">
        <v>17</v>
      </c>
      <c r="J17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ml:2-sn1.2k-gen-spl:T-mgv9</v>
      </c>
      <c r="K17" s="3">
        <v>0.61</v>
      </c>
      <c r="L17" s="3">
        <v>0.6</v>
      </c>
      <c r="M17" s="3">
        <v>0.63</v>
      </c>
      <c r="N17" s="3">
        <v>0.59</v>
      </c>
      <c r="O17" s="3">
        <v>0.62</v>
      </c>
      <c r="P17" s="3">
        <v>0.61</v>
      </c>
      <c r="Q17" s="3">
        <v>0.56999999999999995</v>
      </c>
      <c r="R17" s="3">
        <v>0.6</v>
      </c>
      <c r="S17" s="3">
        <v>0.6</v>
      </c>
      <c r="T17" s="3">
        <v>0.56000000000000005</v>
      </c>
      <c r="U17" s="3">
        <v>0.6</v>
      </c>
      <c r="V17" s="3">
        <v>0.56999999999999995</v>
      </c>
      <c r="W17" s="3">
        <v>0.63</v>
      </c>
      <c r="X17" s="3">
        <f t="shared" si="0"/>
        <v>0.59632390820159697</v>
      </c>
    </row>
    <row r="18" spans="1:24" ht="25" hidden="1" customHeight="1">
      <c r="A18">
        <v>2</v>
      </c>
      <c r="B18" t="s">
        <v>31</v>
      </c>
      <c r="C18">
        <v>1.2</v>
      </c>
      <c r="D18">
        <v>9</v>
      </c>
      <c r="E18">
        <v>3</v>
      </c>
      <c r="F18" t="s">
        <v>19</v>
      </c>
      <c r="G18" t="b">
        <v>0</v>
      </c>
      <c r="H18">
        <v>0</v>
      </c>
      <c r="I18" t="s">
        <v>17</v>
      </c>
      <c r="J18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ml:2-sn1.2k-cas-spl:F-mgv9</v>
      </c>
      <c r="K18" s="3">
        <v>0.42</v>
      </c>
      <c r="L18" s="3">
        <v>0.43</v>
      </c>
      <c r="M18" s="3">
        <v>0.38</v>
      </c>
      <c r="N18" s="3">
        <v>0.45</v>
      </c>
      <c r="O18" s="3">
        <v>0.44</v>
      </c>
      <c r="P18" s="3">
        <v>0.34</v>
      </c>
      <c r="Q18" s="3">
        <v>0.38</v>
      </c>
      <c r="R18" s="3">
        <v>0.42</v>
      </c>
      <c r="S18" s="3">
        <v>0.4</v>
      </c>
      <c r="T18" s="3">
        <v>0.45</v>
      </c>
      <c r="U18" s="3">
        <v>0.36</v>
      </c>
      <c r="V18" s="3">
        <v>0.4</v>
      </c>
      <c r="W18" s="3">
        <v>0.45</v>
      </c>
      <c r="X18" s="3">
        <f t="shared" si="0"/>
        <v>0.40436737724383393</v>
      </c>
    </row>
    <row r="19" spans="1:24" ht="25" hidden="1" customHeight="1">
      <c r="A19">
        <v>2</v>
      </c>
      <c r="B19" t="s">
        <v>31</v>
      </c>
      <c r="C19">
        <v>1.2</v>
      </c>
      <c r="D19">
        <v>9</v>
      </c>
      <c r="E19">
        <v>3</v>
      </c>
      <c r="F19" t="s">
        <v>19</v>
      </c>
      <c r="G19" t="b">
        <v>1</v>
      </c>
      <c r="H19">
        <v>0</v>
      </c>
      <c r="I19" t="s">
        <v>17</v>
      </c>
      <c r="J19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ml:2-sn1.2k-cas-spl:T-mgv9</v>
      </c>
      <c r="K19" s="3">
        <v>0.42</v>
      </c>
      <c r="L19" s="3">
        <v>0.44</v>
      </c>
      <c r="M19" s="3">
        <v>0.41</v>
      </c>
      <c r="N19" s="3">
        <v>0.46</v>
      </c>
      <c r="O19" s="3">
        <v>0.43</v>
      </c>
      <c r="P19" s="3">
        <v>0.36</v>
      </c>
      <c r="Q19" s="3">
        <v>0.39</v>
      </c>
      <c r="R19" s="3">
        <v>0.43</v>
      </c>
      <c r="S19" s="3">
        <v>0.49</v>
      </c>
      <c r="T19" s="3">
        <v>0.41</v>
      </c>
      <c r="U19" s="3">
        <v>0.37</v>
      </c>
      <c r="V19" s="3">
        <v>0.41</v>
      </c>
      <c r="W19" s="3">
        <v>0.49</v>
      </c>
      <c r="X19" s="3">
        <f t="shared" si="0"/>
        <v>0.41691043558295676</v>
      </c>
    </row>
    <row r="20" spans="1:24" ht="25" hidden="1" customHeight="1">
      <c r="A20">
        <v>2</v>
      </c>
      <c r="B20" t="s">
        <v>31</v>
      </c>
      <c r="C20">
        <v>2</v>
      </c>
      <c r="D20">
        <v>9</v>
      </c>
      <c r="E20">
        <v>1</v>
      </c>
      <c r="F20" t="s">
        <v>24</v>
      </c>
      <c r="G20" t="b">
        <v>0</v>
      </c>
      <c r="H20">
        <v>0</v>
      </c>
      <c r="I20" t="s">
        <v>17</v>
      </c>
      <c r="J20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ml:2-sn2k-plu-spl:F-mgv9</v>
      </c>
      <c r="K20" s="1">
        <v>0.78</v>
      </c>
      <c r="L20" s="1">
        <v>0.84</v>
      </c>
      <c r="M20" s="1">
        <v>0.76</v>
      </c>
      <c r="N20" s="1">
        <v>0.81</v>
      </c>
      <c r="O20" s="1">
        <v>0.81</v>
      </c>
      <c r="P20" s="1">
        <v>0.81</v>
      </c>
      <c r="Q20" s="1">
        <v>0.8</v>
      </c>
      <c r="R20" s="1">
        <v>0.81</v>
      </c>
      <c r="S20" s="1">
        <v>0.81</v>
      </c>
      <c r="T20" s="1">
        <v>0.76</v>
      </c>
      <c r="U20" s="1">
        <v>0.82</v>
      </c>
      <c r="V20" s="1">
        <v>0.82</v>
      </c>
      <c r="W20" s="1">
        <v>0.84</v>
      </c>
      <c r="X20" s="3">
        <f t="shared" si="0"/>
        <v>0.80216182184183471</v>
      </c>
    </row>
    <row r="21" spans="1:24" ht="25" hidden="1" customHeight="1">
      <c r="A21">
        <v>2</v>
      </c>
      <c r="B21" t="s">
        <v>31</v>
      </c>
      <c r="C21">
        <v>2</v>
      </c>
      <c r="D21">
        <v>9</v>
      </c>
      <c r="E21">
        <v>1</v>
      </c>
      <c r="F21" t="s">
        <v>24</v>
      </c>
      <c r="G21" t="b">
        <v>1</v>
      </c>
      <c r="H21">
        <v>0</v>
      </c>
      <c r="I21" t="s">
        <v>17</v>
      </c>
      <c r="J21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ml:2-sn2k-plu-spl:T-mgv9</v>
      </c>
      <c r="K21" s="1">
        <v>0.83</v>
      </c>
      <c r="L21" s="1">
        <v>0.87</v>
      </c>
      <c r="M21" s="1">
        <v>0.81</v>
      </c>
      <c r="N21" s="1">
        <v>0.81</v>
      </c>
      <c r="O21" s="1">
        <v>0.81</v>
      </c>
      <c r="P21" s="1">
        <v>0.8</v>
      </c>
      <c r="Q21" s="1">
        <v>0.83</v>
      </c>
      <c r="R21" s="1">
        <v>0.83</v>
      </c>
      <c r="S21" s="1">
        <v>0.86</v>
      </c>
      <c r="T21" s="1">
        <v>0.81</v>
      </c>
      <c r="U21" s="1">
        <v>0.86</v>
      </c>
      <c r="V21" s="1">
        <v>0.84</v>
      </c>
      <c r="W21" s="1">
        <v>0.87</v>
      </c>
      <c r="X21" s="3">
        <f t="shared" si="0"/>
        <v>0.829701066624564</v>
      </c>
    </row>
    <row r="22" spans="1:24" ht="25" hidden="1" customHeight="1">
      <c r="A22">
        <v>2</v>
      </c>
      <c r="B22" t="s">
        <v>31</v>
      </c>
      <c r="C22">
        <v>2</v>
      </c>
      <c r="D22">
        <v>9</v>
      </c>
      <c r="E22">
        <v>2</v>
      </c>
      <c r="F22" t="s">
        <v>23</v>
      </c>
      <c r="G22" t="b">
        <v>0</v>
      </c>
      <c r="H22">
        <v>0</v>
      </c>
      <c r="I22" t="s">
        <v>17</v>
      </c>
      <c r="J22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ml:2-sn2k-gen-spl:F-mgv9</v>
      </c>
      <c r="K22" s="3">
        <v>0.59</v>
      </c>
      <c r="L22" s="3">
        <v>0.63</v>
      </c>
      <c r="M22" s="3">
        <v>0.61</v>
      </c>
      <c r="N22" s="3">
        <v>0.54</v>
      </c>
      <c r="O22" s="3">
        <v>0.61</v>
      </c>
      <c r="P22" s="3">
        <v>0.57999999999999996</v>
      </c>
      <c r="Q22" s="3">
        <v>0.57999999999999996</v>
      </c>
      <c r="R22" s="3">
        <v>0.56000000000000005</v>
      </c>
      <c r="S22" s="3">
        <v>0.64</v>
      </c>
      <c r="T22" s="3">
        <v>0.55000000000000004</v>
      </c>
      <c r="U22" s="3">
        <v>0.56000000000000005</v>
      </c>
      <c r="V22" s="3">
        <v>0.6</v>
      </c>
      <c r="W22" s="3">
        <v>0.64</v>
      </c>
      <c r="X22" s="3">
        <f t="shared" si="0"/>
        <v>0.58672013898605824</v>
      </c>
    </row>
    <row r="23" spans="1:24" ht="25" hidden="1" customHeight="1">
      <c r="A23">
        <v>2</v>
      </c>
      <c r="B23" t="s">
        <v>31</v>
      </c>
      <c r="C23">
        <v>2</v>
      </c>
      <c r="D23">
        <v>9</v>
      </c>
      <c r="E23">
        <v>2</v>
      </c>
      <c r="F23" t="s">
        <v>23</v>
      </c>
      <c r="G23" t="b">
        <v>1</v>
      </c>
      <c r="H23">
        <v>0</v>
      </c>
      <c r="I23" t="s">
        <v>17</v>
      </c>
      <c r="J23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ml:2-sn2k-gen-spl:T-mgv9</v>
      </c>
      <c r="K23" s="3">
        <v>0.61</v>
      </c>
      <c r="L23" s="3">
        <v>0.6</v>
      </c>
      <c r="M23" s="3">
        <v>0.63</v>
      </c>
      <c r="N23" s="3">
        <v>0.59</v>
      </c>
      <c r="O23" s="3">
        <v>0.62</v>
      </c>
      <c r="P23" s="3">
        <v>0.61</v>
      </c>
      <c r="Q23" s="3">
        <v>0.56999999999999995</v>
      </c>
      <c r="R23" s="3">
        <v>0.6</v>
      </c>
      <c r="S23" s="3">
        <v>0.6</v>
      </c>
      <c r="T23" s="3">
        <v>0.56000000000000005</v>
      </c>
      <c r="U23" s="3">
        <v>0.6</v>
      </c>
      <c r="V23" s="3">
        <v>0.56999999999999995</v>
      </c>
      <c r="W23" s="3">
        <v>0.63</v>
      </c>
      <c r="X23" s="3">
        <f t="shared" si="0"/>
        <v>0.59632390820159697</v>
      </c>
    </row>
    <row r="24" spans="1:24" ht="25" hidden="1" customHeight="1">
      <c r="A24">
        <v>2</v>
      </c>
      <c r="B24" t="s">
        <v>31</v>
      </c>
      <c r="C24">
        <v>2</v>
      </c>
      <c r="D24">
        <v>9</v>
      </c>
      <c r="E24">
        <v>3</v>
      </c>
      <c r="F24" t="s">
        <v>19</v>
      </c>
      <c r="G24" t="b">
        <v>0</v>
      </c>
      <c r="H24">
        <v>0</v>
      </c>
      <c r="I24" t="s">
        <v>17</v>
      </c>
      <c r="J24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ml:2-sn2k-cas-spl:F-mgv9</v>
      </c>
      <c r="K24" s="3">
        <v>0.42</v>
      </c>
      <c r="L24" s="3">
        <v>0.43</v>
      </c>
      <c r="M24" s="3">
        <v>0.38</v>
      </c>
      <c r="N24" s="3">
        <v>0.45</v>
      </c>
      <c r="O24" s="3">
        <v>0.44</v>
      </c>
      <c r="P24" s="3">
        <v>0.34</v>
      </c>
      <c r="Q24" s="3">
        <v>0.38</v>
      </c>
      <c r="R24" s="3">
        <v>0.42</v>
      </c>
      <c r="S24" s="3">
        <v>0.4</v>
      </c>
      <c r="T24" s="3">
        <v>0.45</v>
      </c>
      <c r="U24" s="3">
        <v>0.36</v>
      </c>
      <c r="V24" s="3">
        <v>0.4</v>
      </c>
      <c r="W24" s="3">
        <v>0.45</v>
      </c>
      <c r="X24" s="3">
        <f t="shared" si="0"/>
        <v>0.40436737724383393</v>
      </c>
    </row>
    <row r="25" spans="1:24" ht="25" hidden="1" customHeight="1">
      <c r="A25">
        <v>2</v>
      </c>
      <c r="B25" t="s">
        <v>31</v>
      </c>
      <c r="C25">
        <v>2</v>
      </c>
      <c r="D25">
        <v>9</v>
      </c>
      <c r="E25">
        <v>3</v>
      </c>
      <c r="F25" t="s">
        <v>19</v>
      </c>
      <c r="G25" t="b">
        <v>1</v>
      </c>
      <c r="H25">
        <v>0</v>
      </c>
      <c r="I25" t="s">
        <v>17</v>
      </c>
      <c r="J25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ml:2-sn2k-cas-spl:T-mgv9</v>
      </c>
      <c r="K25" s="3">
        <v>0.42</v>
      </c>
      <c r="L25" s="3">
        <v>0.44</v>
      </c>
      <c r="M25" s="3">
        <v>0.41</v>
      </c>
      <c r="N25" s="3">
        <v>0.46</v>
      </c>
      <c r="O25" s="3">
        <v>0.43</v>
      </c>
      <c r="P25" s="3">
        <v>0.36</v>
      </c>
      <c r="Q25" s="3">
        <v>0.39</v>
      </c>
      <c r="R25" s="3">
        <v>0.43</v>
      </c>
      <c r="S25" s="3">
        <v>0.49</v>
      </c>
      <c r="T25" s="3">
        <v>0.41</v>
      </c>
      <c r="U25" s="3">
        <v>0.37</v>
      </c>
      <c r="V25" s="3">
        <v>0.41</v>
      </c>
      <c r="W25" s="3">
        <v>0.49</v>
      </c>
      <c r="X25" s="3">
        <f t="shared" si="0"/>
        <v>0.41691043558295676</v>
      </c>
    </row>
    <row r="26" spans="1:24" ht="25" hidden="1" customHeight="1">
      <c r="A26">
        <v>3</v>
      </c>
      <c r="B26" t="s">
        <v>31</v>
      </c>
      <c r="C26">
        <v>1.2</v>
      </c>
      <c r="D26">
        <v>9</v>
      </c>
      <c r="E26">
        <v>1</v>
      </c>
      <c r="F26" t="s">
        <v>24</v>
      </c>
      <c r="G26" t="b">
        <v>0</v>
      </c>
      <c r="H26">
        <v>0</v>
      </c>
      <c r="I26" t="s">
        <v>17</v>
      </c>
      <c r="J26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ml:3-sn1.2k-plu-spl:F-mgv9</v>
      </c>
      <c r="K26" s="1">
        <v>0.72</v>
      </c>
      <c r="L26" s="1">
        <v>0.77</v>
      </c>
      <c r="M26" s="1">
        <v>0.78</v>
      </c>
      <c r="N26" s="1">
        <v>0.78</v>
      </c>
      <c r="O26" s="1">
        <v>0.82</v>
      </c>
      <c r="P26" s="1">
        <v>0.79</v>
      </c>
      <c r="Q26" s="1">
        <v>0.88</v>
      </c>
      <c r="R26" s="1">
        <v>0.82</v>
      </c>
      <c r="S26" s="1">
        <v>0.82</v>
      </c>
      <c r="T26" s="1">
        <v>0.7</v>
      </c>
      <c r="U26" s="1">
        <v>0.84</v>
      </c>
      <c r="V26" s="1">
        <v>0.85</v>
      </c>
      <c r="W26" s="1">
        <v>0.88</v>
      </c>
      <c r="X26" s="3">
        <f t="shared" si="0"/>
        <v>0.79590884903497261</v>
      </c>
    </row>
    <row r="27" spans="1:24" ht="25" customHeight="1">
      <c r="A27">
        <v>3</v>
      </c>
      <c r="B27" t="s">
        <v>31</v>
      </c>
      <c r="C27">
        <v>1.2</v>
      </c>
      <c r="D27">
        <v>9</v>
      </c>
      <c r="E27">
        <v>1</v>
      </c>
      <c r="F27" t="s">
        <v>24</v>
      </c>
      <c r="G27" t="b">
        <v>1</v>
      </c>
      <c r="H27">
        <v>0</v>
      </c>
      <c r="I27" t="s">
        <v>17</v>
      </c>
      <c r="J27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ml:3-sn1.2k-plu-spl:T-mgv9</v>
      </c>
      <c r="K27" s="1">
        <v>0.79</v>
      </c>
      <c r="L27" s="1">
        <v>0.83</v>
      </c>
      <c r="M27" s="1">
        <v>0.82</v>
      </c>
      <c r="N27" s="1">
        <v>0.8</v>
      </c>
      <c r="O27" s="1">
        <v>0.8</v>
      </c>
      <c r="P27" s="1">
        <v>0.8</v>
      </c>
      <c r="Q27" s="1">
        <v>0.92</v>
      </c>
      <c r="R27" s="1">
        <v>0.87</v>
      </c>
      <c r="S27" s="1">
        <v>0.83</v>
      </c>
      <c r="T27" s="1">
        <v>0.78</v>
      </c>
      <c r="U27" s="1">
        <v>0.83</v>
      </c>
      <c r="V27" s="1">
        <v>0.83</v>
      </c>
      <c r="W27" s="1">
        <v>0.92</v>
      </c>
      <c r="X27" s="3">
        <f t="shared" si="0"/>
        <v>0.82420531929437879</v>
      </c>
    </row>
    <row r="28" spans="1:24" ht="25" hidden="1" customHeight="1">
      <c r="A28">
        <v>3</v>
      </c>
      <c r="B28" t="s">
        <v>31</v>
      </c>
      <c r="C28">
        <v>1.2</v>
      </c>
      <c r="D28">
        <v>9</v>
      </c>
      <c r="E28">
        <v>2</v>
      </c>
      <c r="F28" t="s">
        <v>23</v>
      </c>
      <c r="G28" t="b">
        <v>0</v>
      </c>
      <c r="H28">
        <v>0</v>
      </c>
      <c r="I28" t="s">
        <v>17</v>
      </c>
      <c r="J28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ml:3-sn1.2k-gen-spl:F-mgv9</v>
      </c>
      <c r="K28" s="3">
        <v>0.57999999999999996</v>
      </c>
      <c r="L28" s="3">
        <v>0.56000000000000005</v>
      </c>
      <c r="M28" s="3">
        <v>0.52</v>
      </c>
      <c r="N28" s="3">
        <v>0.6</v>
      </c>
      <c r="O28" s="3">
        <v>0.55000000000000004</v>
      </c>
      <c r="P28" s="3">
        <v>0.56999999999999995</v>
      </c>
      <c r="Q28" s="3">
        <v>0.5</v>
      </c>
      <c r="R28" s="3">
        <v>0.52</v>
      </c>
      <c r="S28" s="3">
        <v>0.48</v>
      </c>
      <c r="T28" s="3">
        <v>0.61</v>
      </c>
      <c r="U28" s="3">
        <v>0.56000000000000005</v>
      </c>
      <c r="V28" s="3">
        <v>0.52</v>
      </c>
      <c r="W28" s="3">
        <v>0.61</v>
      </c>
      <c r="X28" s="3">
        <f t="shared" si="0"/>
        <v>0.54615007282061434</v>
      </c>
    </row>
    <row r="29" spans="1:24" ht="25" hidden="1" customHeight="1">
      <c r="A29">
        <v>3</v>
      </c>
      <c r="B29" t="s">
        <v>31</v>
      </c>
      <c r="C29">
        <v>1.2</v>
      </c>
      <c r="D29">
        <v>9</v>
      </c>
      <c r="E29">
        <v>2</v>
      </c>
      <c r="F29" t="s">
        <v>23</v>
      </c>
      <c r="G29" t="b">
        <v>1</v>
      </c>
      <c r="H29">
        <v>0</v>
      </c>
      <c r="I29" t="s">
        <v>17</v>
      </c>
      <c r="J29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ml:3-sn1.2k-gen-spl:T-mgv9</v>
      </c>
      <c r="K29" s="3">
        <v>0.64</v>
      </c>
      <c r="L29" s="3">
        <v>0.55000000000000004</v>
      </c>
      <c r="M29" s="3">
        <v>0.54</v>
      </c>
      <c r="N29" s="3">
        <v>0.56999999999999995</v>
      </c>
      <c r="O29" s="3">
        <v>0.57999999999999996</v>
      </c>
      <c r="P29" s="3">
        <v>0.55000000000000004</v>
      </c>
      <c r="Q29" s="3">
        <v>0.52</v>
      </c>
      <c r="R29" s="3">
        <v>0.55000000000000004</v>
      </c>
      <c r="S29" s="3">
        <v>0.55000000000000004</v>
      </c>
      <c r="T29" s="3">
        <v>0.55000000000000004</v>
      </c>
      <c r="U29" s="3">
        <v>0.6</v>
      </c>
      <c r="V29" s="3">
        <v>0.5</v>
      </c>
      <c r="W29" s="3">
        <v>0.64</v>
      </c>
      <c r="X29" s="3">
        <f t="shared" si="0"/>
        <v>0.55727285094293011</v>
      </c>
    </row>
    <row r="30" spans="1:24" ht="25" hidden="1" customHeight="1">
      <c r="A30">
        <v>3</v>
      </c>
      <c r="B30" t="s">
        <v>31</v>
      </c>
      <c r="C30">
        <v>1.2</v>
      </c>
      <c r="D30">
        <v>9</v>
      </c>
      <c r="E30">
        <v>3</v>
      </c>
      <c r="F30" t="s">
        <v>19</v>
      </c>
      <c r="G30" t="b">
        <v>0</v>
      </c>
      <c r="H30">
        <v>0</v>
      </c>
      <c r="I30" t="s">
        <v>17</v>
      </c>
      <c r="J30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ml:3-sn1.2k-cas-spl:F-mgv9</v>
      </c>
      <c r="K30" s="3">
        <v>0.38</v>
      </c>
      <c r="L30" s="3">
        <v>0.39</v>
      </c>
      <c r="M30" s="3">
        <v>0.36</v>
      </c>
      <c r="N30" s="3">
        <v>0.42</v>
      </c>
      <c r="O30" s="3">
        <v>0.4</v>
      </c>
      <c r="P30" s="3">
        <v>0.4</v>
      </c>
      <c r="Q30" s="3">
        <v>0.42</v>
      </c>
      <c r="R30" s="3">
        <v>0.39</v>
      </c>
      <c r="S30" s="3">
        <v>0.46</v>
      </c>
      <c r="T30" s="3">
        <v>0.44</v>
      </c>
      <c r="U30" s="3">
        <v>0.4</v>
      </c>
      <c r="V30" s="3">
        <v>0.41</v>
      </c>
      <c r="W30" s="3">
        <v>0.46</v>
      </c>
      <c r="X30" s="3">
        <f t="shared" si="0"/>
        <v>0.40503325851804922</v>
      </c>
    </row>
    <row r="31" spans="1:24" ht="25" hidden="1" customHeight="1">
      <c r="A31">
        <v>3</v>
      </c>
      <c r="B31" t="s">
        <v>31</v>
      </c>
      <c r="C31">
        <v>1.2</v>
      </c>
      <c r="D31">
        <v>9</v>
      </c>
      <c r="E31">
        <v>3</v>
      </c>
      <c r="F31" t="s">
        <v>19</v>
      </c>
      <c r="G31" t="b">
        <v>1</v>
      </c>
      <c r="H31">
        <v>0</v>
      </c>
      <c r="I31" t="s">
        <v>17</v>
      </c>
      <c r="J31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ml:3-sn1.2k-cas-spl:T-mgv9</v>
      </c>
      <c r="K31" s="3">
        <v>0.38</v>
      </c>
      <c r="L31" s="3">
        <v>0.4</v>
      </c>
      <c r="M31" s="3">
        <v>0.42</v>
      </c>
      <c r="N31" s="3">
        <v>0.41</v>
      </c>
      <c r="O31" s="3">
        <v>0.42</v>
      </c>
      <c r="P31" s="3">
        <v>0.43</v>
      </c>
      <c r="Q31" s="3">
        <v>0.4</v>
      </c>
      <c r="R31" s="3">
        <v>0.39</v>
      </c>
      <c r="S31" s="3">
        <v>0.45</v>
      </c>
      <c r="T31" s="3">
        <v>0.33</v>
      </c>
      <c r="U31" s="3">
        <v>0.42</v>
      </c>
      <c r="V31" s="3">
        <v>0.38</v>
      </c>
      <c r="W31" s="3">
        <v>0.45</v>
      </c>
      <c r="X31" s="3">
        <f t="shared" si="0"/>
        <v>0.40136534200709756</v>
      </c>
    </row>
    <row r="32" spans="1:24" ht="25" hidden="1" customHeight="1">
      <c r="A32">
        <v>3</v>
      </c>
      <c r="B32" t="s">
        <v>31</v>
      </c>
      <c r="C32">
        <v>2</v>
      </c>
      <c r="D32">
        <v>9</v>
      </c>
      <c r="E32">
        <v>1</v>
      </c>
      <c r="F32" t="s">
        <v>24</v>
      </c>
      <c r="G32" t="b">
        <v>0</v>
      </c>
      <c r="H32">
        <v>0</v>
      </c>
      <c r="I32" t="s">
        <v>17</v>
      </c>
      <c r="J32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ml:3-sn2k-plu-spl:F-mgv9</v>
      </c>
      <c r="K32" s="1">
        <v>0.78</v>
      </c>
      <c r="L32" s="1">
        <v>0.81</v>
      </c>
      <c r="M32" s="1">
        <v>0.8</v>
      </c>
      <c r="N32" s="1">
        <v>0.86</v>
      </c>
      <c r="O32" s="1">
        <v>0.79</v>
      </c>
      <c r="P32" s="1">
        <v>0.84</v>
      </c>
      <c r="Q32" s="1">
        <v>0.83</v>
      </c>
      <c r="R32" s="1">
        <v>0.8</v>
      </c>
      <c r="S32" s="1">
        <v>0.8</v>
      </c>
      <c r="T32" s="1">
        <v>0.84</v>
      </c>
      <c r="U32" s="1">
        <v>0.81</v>
      </c>
      <c r="V32" s="1">
        <v>0.8</v>
      </c>
      <c r="W32" s="1">
        <v>0.8</v>
      </c>
      <c r="X32" s="3">
        <f t="shared" si="0"/>
        <v>0.81301563890246409</v>
      </c>
    </row>
    <row r="33" spans="1:24" ht="25" hidden="1" customHeight="1">
      <c r="A33">
        <v>3</v>
      </c>
      <c r="B33" t="s">
        <v>31</v>
      </c>
      <c r="C33">
        <v>2</v>
      </c>
      <c r="D33">
        <v>9</v>
      </c>
      <c r="E33">
        <v>1</v>
      </c>
      <c r="F33" t="s">
        <v>24</v>
      </c>
      <c r="G33" t="b">
        <v>1</v>
      </c>
      <c r="H33">
        <v>0</v>
      </c>
      <c r="I33" t="s">
        <v>17</v>
      </c>
      <c r="J33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ml:3-sn2k-plu-spl:T-mgv9</v>
      </c>
      <c r="K33" s="1">
        <v>0.83</v>
      </c>
      <c r="L33" s="1">
        <v>0.88</v>
      </c>
      <c r="M33" s="1">
        <v>0.85</v>
      </c>
      <c r="N33" s="1">
        <v>0.9</v>
      </c>
      <c r="O33" s="1">
        <v>0.8</v>
      </c>
      <c r="P33" s="1">
        <v>0.83</v>
      </c>
      <c r="Q33" s="1">
        <v>0.81</v>
      </c>
      <c r="R33" s="1">
        <v>0.84</v>
      </c>
      <c r="S33" s="1">
        <v>0.83</v>
      </c>
      <c r="T33" s="1">
        <v>0.84</v>
      </c>
      <c r="U33" s="1">
        <v>0.8</v>
      </c>
      <c r="V33" s="1">
        <v>0.81</v>
      </c>
      <c r="W33" s="1">
        <v>0.83</v>
      </c>
      <c r="X33" s="3">
        <f t="shared" si="0"/>
        <v>0.83449533653312802</v>
      </c>
    </row>
    <row r="34" spans="1:24" ht="25" hidden="1" customHeight="1">
      <c r="A34">
        <v>3</v>
      </c>
      <c r="B34" t="s">
        <v>31</v>
      </c>
      <c r="C34">
        <v>2</v>
      </c>
      <c r="D34">
        <v>9</v>
      </c>
      <c r="E34">
        <v>2</v>
      </c>
      <c r="F34" t="s">
        <v>23</v>
      </c>
      <c r="G34" t="b">
        <v>0</v>
      </c>
      <c r="H34">
        <v>0</v>
      </c>
      <c r="I34" t="s">
        <v>17</v>
      </c>
      <c r="J34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ml:3-sn2k-gen-spl:F-mgv9</v>
      </c>
      <c r="K34" s="3">
        <v>0.54</v>
      </c>
      <c r="L34" s="3">
        <v>0.55000000000000004</v>
      </c>
      <c r="M34" s="3">
        <v>0.66</v>
      </c>
      <c r="N34" s="3">
        <v>0.55000000000000004</v>
      </c>
      <c r="O34" s="3">
        <v>0.56999999999999995</v>
      </c>
      <c r="P34" s="3">
        <v>0.61</v>
      </c>
      <c r="Q34" s="3">
        <v>0.59</v>
      </c>
      <c r="R34" s="3">
        <v>0.54</v>
      </c>
      <c r="S34" s="3">
        <v>0.59</v>
      </c>
      <c r="T34" s="3">
        <v>0.54</v>
      </c>
      <c r="U34" s="3">
        <v>0.59</v>
      </c>
      <c r="V34" s="3">
        <v>0.54</v>
      </c>
      <c r="W34" s="3">
        <v>0.54</v>
      </c>
      <c r="X34" s="3">
        <f t="shared" si="0"/>
        <v>0.57143533269911728</v>
      </c>
    </row>
    <row r="35" spans="1:24" ht="25" hidden="1" customHeight="1">
      <c r="A35">
        <v>3</v>
      </c>
      <c r="B35" t="s">
        <v>31</v>
      </c>
      <c r="C35">
        <v>2</v>
      </c>
      <c r="D35">
        <v>9</v>
      </c>
      <c r="E35">
        <v>2</v>
      </c>
      <c r="F35" t="s">
        <v>23</v>
      </c>
      <c r="G35" t="b">
        <v>1</v>
      </c>
      <c r="H35">
        <v>0</v>
      </c>
      <c r="I35" t="s">
        <v>17</v>
      </c>
      <c r="J35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ml:3-sn2k-gen-spl:T-mgv9</v>
      </c>
      <c r="K35" s="3">
        <v>0.57999999999999996</v>
      </c>
      <c r="L35" s="3">
        <v>0.61</v>
      </c>
      <c r="M35" s="3">
        <v>0.67</v>
      </c>
      <c r="N35" s="3">
        <v>0.56000000000000005</v>
      </c>
      <c r="O35" s="3">
        <v>0.56999999999999995</v>
      </c>
      <c r="P35" s="3">
        <v>0.6</v>
      </c>
      <c r="Q35" s="3">
        <v>0.57999999999999996</v>
      </c>
      <c r="R35" s="3">
        <v>0.57999999999999996</v>
      </c>
      <c r="S35" s="3">
        <v>0.6</v>
      </c>
      <c r="T35" s="3">
        <v>0.55000000000000004</v>
      </c>
      <c r="U35" s="3">
        <v>0.6</v>
      </c>
      <c r="V35" s="3">
        <v>0.54</v>
      </c>
      <c r="W35" s="3">
        <v>0.57999999999999996</v>
      </c>
      <c r="X35" s="3">
        <f t="shared" si="0"/>
        <v>0.58579654844929119</v>
      </c>
    </row>
    <row r="36" spans="1:24" ht="25" hidden="1" customHeight="1">
      <c r="A36">
        <v>3</v>
      </c>
      <c r="B36" t="s">
        <v>31</v>
      </c>
      <c r="C36">
        <v>2</v>
      </c>
      <c r="D36">
        <v>9</v>
      </c>
      <c r="E36">
        <v>3</v>
      </c>
      <c r="F36" t="s">
        <v>19</v>
      </c>
      <c r="G36" t="b">
        <v>0</v>
      </c>
      <c r="H36">
        <v>0</v>
      </c>
      <c r="I36" t="s">
        <v>17</v>
      </c>
      <c r="J36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ml:3-sn2k-cas-spl:F-mgv9</v>
      </c>
      <c r="K36" s="3">
        <v>0.44</v>
      </c>
      <c r="L36" s="3">
        <v>0.34</v>
      </c>
      <c r="M36" s="3">
        <v>0.42</v>
      </c>
      <c r="N36" s="3">
        <v>0.43</v>
      </c>
      <c r="O36" s="3">
        <v>0.41</v>
      </c>
      <c r="P36" s="3">
        <v>0.46</v>
      </c>
      <c r="Q36" s="3">
        <v>0.39</v>
      </c>
      <c r="R36" s="3">
        <v>0.42</v>
      </c>
      <c r="S36" s="3">
        <v>0.41</v>
      </c>
      <c r="T36" s="3">
        <v>0.41</v>
      </c>
      <c r="U36" s="3">
        <v>0.38</v>
      </c>
      <c r="V36" s="3">
        <v>0.41</v>
      </c>
      <c r="W36" s="3">
        <v>0.44</v>
      </c>
      <c r="X36" s="3">
        <f t="shared" si="0"/>
        <v>0.40891842025035385</v>
      </c>
    </row>
    <row r="37" spans="1:24" ht="25" hidden="1" customHeight="1">
      <c r="A37">
        <v>3</v>
      </c>
      <c r="B37" t="s">
        <v>31</v>
      </c>
      <c r="C37">
        <v>2</v>
      </c>
      <c r="D37">
        <v>9</v>
      </c>
      <c r="E37">
        <v>3</v>
      </c>
      <c r="F37" t="s">
        <v>19</v>
      </c>
      <c r="G37" t="b">
        <v>1</v>
      </c>
      <c r="H37">
        <v>0</v>
      </c>
      <c r="I37" t="s">
        <v>17</v>
      </c>
      <c r="J37" t="str">
        <f>_xlfn.LET(_xlpm.ml,Table10[[#This Row],[ml]],_xlpm.sn,_xlfn.SINGLE(Table10[sample.n]),_xlpm.mgv,_xlfn.SINGLE(Table10[mgv]),_xlpm.attr,LEFT(Table10[[#This Row],[attribute]],3),_xlpm.spl,LEFT(Table10[[#This Row],[supplemented]],1),_xlfn.TEXTJOIN({"","-sn","k-","-spl:","-mgv","x"},TRUE,"ml:",_xlpm.ml,_xlpm.sn,_xlpm.attr,_xlpm.spl,_xlpm.mgv))</f>
        <v>ml:3-sn2k-cas-spl:T-mgv9</v>
      </c>
      <c r="K37" s="3">
        <v>0.42</v>
      </c>
      <c r="L37" s="3">
        <v>0.33</v>
      </c>
      <c r="M37" s="3">
        <v>0.43</v>
      </c>
      <c r="N37" s="3">
        <v>0.42</v>
      </c>
      <c r="O37" s="3">
        <v>0.41</v>
      </c>
      <c r="P37" s="3">
        <v>0.49</v>
      </c>
      <c r="Q37" s="3">
        <v>0.39</v>
      </c>
      <c r="R37" s="3">
        <v>0.46</v>
      </c>
      <c r="S37" s="3">
        <v>0.38</v>
      </c>
      <c r="T37" s="3">
        <v>0.43</v>
      </c>
      <c r="U37" s="3">
        <v>0.33</v>
      </c>
      <c r="V37" s="3">
        <v>0.42</v>
      </c>
      <c r="W37" s="3">
        <v>0.42</v>
      </c>
      <c r="X37" s="3">
        <f t="shared" si="0"/>
        <v>0.40662263733726201</v>
      </c>
    </row>
  </sheetData>
  <conditionalFormatting sqref="K2:W37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X2:X37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3E53-359D-2E41-B25B-C90583A6245B}">
  <dimension ref="A1:T28"/>
  <sheetViews>
    <sheetView workbookViewId="0">
      <pane xSplit="12480" ySplit="4400" topLeftCell="P14" activePane="bottomLeft"/>
      <selection activeCell="G3" sqref="G3"/>
      <selection pane="topRight" activeCell="R4" sqref="R4"/>
      <selection pane="bottomLeft" activeCell="B23" sqref="B23:F28"/>
      <selection pane="bottomRight" activeCell="S13" sqref="S13"/>
    </sheetView>
  </sheetViews>
  <sheetFormatPr baseColWidth="10" defaultRowHeight="25" customHeight="1"/>
  <cols>
    <col min="2" max="2" width="9.125" customWidth="1"/>
    <col min="3" max="6" width="8.25" customWidth="1"/>
    <col min="7" max="19" width="9.125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25</v>
      </c>
      <c r="E1" t="s">
        <v>3</v>
      </c>
      <c r="F1" t="s">
        <v>4</v>
      </c>
      <c r="G1" t="s">
        <v>26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ht="25" customHeight="1">
      <c r="A2" t="s">
        <v>18</v>
      </c>
      <c r="B2">
        <v>1</v>
      </c>
      <c r="C2" t="s">
        <v>24</v>
      </c>
      <c r="D2" t="b">
        <v>1</v>
      </c>
      <c r="E2">
        <v>1</v>
      </c>
      <c r="F2" t="s">
        <v>20</v>
      </c>
      <c r="G2" t="str">
        <f>_xlfn.LET(_xlpm.attr,Table2[[#This Row],[attribute]],_xlpm.spl,LEFT(Table2[[#This Row],[supplemented]],1),_xlfn.TEXTJOIN("-",TRUE,_xlpm.attr,_xlpm.spl,"3k-mgv3"))</f>
        <v>plurality-T-3k-mgv3</v>
      </c>
      <c r="H2" s="1">
        <v>0.79</v>
      </c>
      <c r="I2" s="1">
        <v>0.87</v>
      </c>
      <c r="J2" s="1">
        <v>0.74</v>
      </c>
      <c r="K2" s="1">
        <v>0.78</v>
      </c>
      <c r="L2" s="1">
        <v>0.77</v>
      </c>
      <c r="M2" s="1">
        <v>0.74</v>
      </c>
      <c r="N2" s="1">
        <v>0.81</v>
      </c>
      <c r="O2" s="1">
        <v>0.72</v>
      </c>
      <c r="P2" s="1">
        <v>0.82</v>
      </c>
      <c r="Q2" s="1">
        <v>0.76</v>
      </c>
      <c r="R2" s="1">
        <v>0.79</v>
      </c>
      <c r="S2" s="1">
        <v>0.75</v>
      </c>
      <c r="T2" s="1">
        <f t="shared" ref="T2:T19" si="0">_xlfn.LET(_xlpm.d,$H2:$S2,MAX(_xlpm.d))</f>
        <v>0.87</v>
      </c>
    </row>
    <row r="3" spans="1:20" ht="25" customHeight="1">
      <c r="A3" t="s">
        <v>18</v>
      </c>
      <c r="B3">
        <v>1</v>
      </c>
      <c r="C3" t="s">
        <v>24</v>
      </c>
      <c r="D3" t="b">
        <v>1</v>
      </c>
      <c r="E3">
        <v>2</v>
      </c>
      <c r="F3" t="s">
        <v>21</v>
      </c>
      <c r="G3" t="str">
        <f>_xlfn.LET(_xlpm.attr,Table2[[#This Row],[attribute]],_xlpm.spl,LEFT(Table2[[#This Row],[supplemented]],1),_xlfn.TEXTJOIN("-",TRUE,_xlpm.attr,_xlpm.spl,"3k-mgv3"))</f>
        <v>plurality-T-3k-mgv3</v>
      </c>
      <c r="H3" s="1">
        <v>0.83</v>
      </c>
      <c r="I3" s="1">
        <v>0.85</v>
      </c>
      <c r="J3" s="1">
        <v>0.81</v>
      </c>
      <c r="K3" s="1">
        <v>0.81</v>
      </c>
      <c r="L3" s="1">
        <v>0.81</v>
      </c>
      <c r="M3" s="1">
        <v>0.8</v>
      </c>
      <c r="N3" s="1">
        <v>0.83</v>
      </c>
      <c r="O3" s="1">
        <v>0.83</v>
      </c>
      <c r="P3" s="1">
        <v>0.86</v>
      </c>
      <c r="Q3" s="1">
        <v>0.79</v>
      </c>
      <c r="R3" s="1">
        <v>0.86</v>
      </c>
      <c r="S3" s="1">
        <v>0.84</v>
      </c>
      <c r="T3" s="1">
        <f t="shared" si="0"/>
        <v>0.86</v>
      </c>
    </row>
    <row r="4" spans="1:20" ht="25" customHeight="1">
      <c r="A4" t="s">
        <v>18</v>
      </c>
      <c r="B4">
        <v>1</v>
      </c>
      <c r="C4" t="s">
        <v>24</v>
      </c>
      <c r="D4" t="b">
        <v>1</v>
      </c>
      <c r="E4">
        <v>3</v>
      </c>
      <c r="F4" t="s">
        <v>22</v>
      </c>
      <c r="G4" t="str">
        <f>_xlfn.LET(_xlpm.attr,Table2[[#This Row],[attribute]],_xlpm.spl,LEFT(Table2[[#This Row],[supplemented]],1),_xlfn.TEXTJOIN("-",TRUE,_xlpm.attr,_xlpm.spl,"3k-mgv3"))</f>
        <v>plurality-T-3k-mgv3</v>
      </c>
      <c r="H4" s="1">
        <v>0.8</v>
      </c>
      <c r="I4" s="1">
        <v>0.81</v>
      </c>
      <c r="J4" s="1">
        <v>0.8</v>
      </c>
      <c r="K4" s="1">
        <v>0.81</v>
      </c>
      <c r="L4" s="1">
        <v>0.79</v>
      </c>
      <c r="M4" s="1">
        <v>0.78</v>
      </c>
      <c r="N4" s="1">
        <v>0.73</v>
      </c>
      <c r="O4" s="1">
        <v>0.78</v>
      </c>
      <c r="P4" s="1">
        <v>0.78</v>
      </c>
      <c r="Q4" s="1">
        <v>0.81</v>
      </c>
      <c r="R4" s="1">
        <v>0.77</v>
      </c>
      <c r="S4" s="1">
        <v>0.79</v>
      </c>
      <c r="T4" s="1">
        <f t="shared" si="0"/>
        <v>0.81</v>
      </c>
    </row>
    <row r="5" spans="1:20" ht="25" customHeight="1">
      <c r="A5" t="s">
        <v>18</v>
      </c>
      <c r="B5">
        <v>2</v>
      </c>
      <c r="C5" t="s">
        <v>23</v>
      </c>
      <c r="D5" t="b">
        <v>1</v>
      </c>
      <c r="E5">
        <v>1</v>
      </c>
      <c r="F5" t="s">
        <v>20</v>
      </c>
      <c r="G5" t="str">
        <f>_xlfn.LET(_xlpm.attr,Table2[[#This Row],[attribute]],_xlpm.spl,LEFT(Table2[[#This Row],[supplemented]],1),_xlfn.TEXTJOIN("-",TRUE,_xlpm.attr,_xlpm.spl,"3k-mgv3"))</f>
        <v>gender-T-3k-mgv3</v>
      </c>
      <c r="H5" s="1">
        <v>0.54</v>
      </c>
      <c r="I5" s="1">
        <v>0.55000000000000004</v>
      </c>
      <c r="J5" s="1">
        <v>0.56000000000000005</v>
      </c>
      <c r="K5" s="1">
        <v>0.45</v>
      </c>
      <c r="L5" s="1">
        <v>0.52</v>
      </c>
      <c r="M5" s="1">
        <v>0.5</v>
      </c>
      <c r="N5" s="1">
        <v>0.52</v>
      </c>
      <c r="O5" s="1">
        <v>0.56000000000000005</v>
      </c>
      <c r="P5" s="1">
        <v>0.55000000000000004</v>
      </c>
      <c r="Q5" s="1">
        <v>0.49</v>
      </c>
      <c r="R5" s="1">
        <v>0.45</v>
      </c>
      <c r="S5" s="1">
        <v>0.49</v>
      </c>
      <c r="T5" s="1">
        <f t="shared" si="0"/>
        <v>0.56000000000000005</v>
      </c>
    </row>
    <row r="6" spans="1:20" ht="25" customHeight="1">
      <c r="A6" t="s">
        <v>18</v>
      </c>
      <c r="B6">
        <v>2</v>
      </c>
      <c r="C6" t="s">
        <v>23</v>
      </c>
      <c r="D6" t="b">
        <v>1</v>
      </c>
      <c r="E6">
        <v>2</v>
      </c>
      <c r="F6" t="s">
        <v>21</v>
      </c>
      <c r="G6" t="str">
        <f>_xlfn.LET(_xlpm.attr,Table2[[#This Row],[attribute]],_xlpm.spl,LEFT(Table2[[#This Row],[supplemented]],1),_xlfn.TEXTJOIN("-",TRUE,_xlpm.attr,_xlpm.spl,"3k-mgv3"))</f>
        <v>gender-T-3k-mgv3</v>
      </c>
      <c r="H6" s="1">
        <v>0.61</v>
      </c>
      <c r="I6" s="1">
        <v>0.57999999999999996</v>
      </c>
      <c r="J6" s="1">
        <v>0.63</v>
      </c>
      <c r="K6" s="1">
        <v>0.54</v>
      </c>
      <c r="L6" s="1">
        <v>0.62</v>
      </c>
      <c r="M6" s="1">
        <v>0.57999999999999996</v>
      </c>
      <c r="N6" s="1">
        <v>0.56999999999999995</v>
      </c>
      <c r="O6" s="1">
        <v>0.6</v>
      </c>
      <c r="P6" s="1">
        <v>0.6</v>
      </c>
      <c r="Q6" s="1">
        <v>0.56000000000000005</v>
      </c>
      <c r="R6" s="1">
        <v>0.56999999999999995</v>
      </c>
      <c r="S6" s="1">
        <v>0.56999999999999995</v>
      </c>
      <c r="T6" s="1">
        <f t="shared" si="0"/>
        <v>0.63</v>
      </c>
    </row>
    <row r="7" spans="1:20" ht="25" customHeight="1">
      <c r="A7" t="s">
        <v>18</v>
      </c>
      <c r="B7">
        <v>2</v>
      </c>
      <c r="C7" t="s">
        <v>23</v>
      </c>
      <c r="D7" t="b">
        <v>1</v>
      </c>
      <c r="E7">
        <v>3</v>
      </c>
      <c r="F7" t="s">
        <v>22</v>
      </c>
      <c r="G7" t="str">
        <f>_xlfn.LET(_xlpm.attr,Table2[[#This Row],[attribute]],_xlpm.spl,LEFT(Table2[[#This Row],[supplemented]],1),_xlfn.TEXTJOIN("-",TRUE,_xlpm.attr,_xlpm.spl,"3k-mgv3"))</f>
        <v>gender-T-3k-mgv3</v>
      </c>
      <c r="H7" s="1">
        <v>0.53</v>
      </c>
      <c r="I7" s="1">
        <v>0.6</v>
      </c>
      <c r="J7" s="1">
        <v>0.63</v>
      </c>
      <c r="K7" s="1">
        <v>0.59</v>
      </c>
      <c r="L7" s="1">
        <v>0.56000000000000005</v>
      </c>
      <c r="M7" s="1">
        <v>0.61</v>
      </c>
      <c r="N7" s="1">
        <v>0.56000000000000005</v>
      </c>
      <c r="O7" s="1">
        <v>0.52</v>
      </c>
      <c r="P7" s="1">
        <v>0.56000000000000005</v>
      </c>
      <c r="Q7" s="1">
        <v>0.56000000000000005</v>
      </c>
      <c r="R7" s="1">
        <v>0.6</v>
      </c>
      <c r="S7" s="1">
        <v>0.52</v>
      </c>
      <c r="T7" s="1">
        <f t="shared" si="0"/>
        <v>0.63</v>
      </c>
    </row>
    <row r="8" spans="1:20" ht="25" customHeight="1">
      <c r="A8" t="s">
        <v>18</v>
      </c>
      <c r="B8">
        <v>3</v>
      </c>
      <c r="C8" t="s">
        <v>19</v>
      </c>
      <c r="D8" t="b">
        <v>1</v>
      </c>
      <c r="E8">
        <v>1</v>
      </c>
      <c r="F8" t="s">
        <v>20</v>
      </c>
      <c r="G8" t="str">
        <f>_xlfn.LET(_xlpm.attr,Table2[[#This Row],[attribute]],_xlpm.spl,LEFT(Table2[[#This Row],[supplemented]],1),_xlfn.TEXTJOIN("-",TRUE,_xlpm.attr,_xlpm.spl,"3k-mgv3"))</f>
        <v>case-T-3k-mgv3</v>
      </c>
      <c r="H8" s="1">
        <v>0.39</v>
      </c>
      <c r="I8" s="1">
        <v>0.37</v>
      </c>
      <c r="J8" s="1">
        <v>0.36</v>
      </c>
      <c r="K8" s="1">
        <v>0.36</v>
      </c>
      <c r="L8" s="1">
        <v>0.4</v>
      </c>
      <c r="M8" s="1">
        <v>0.36</v>
      </c>
      <c r="N8" s="1">
        <v>0.28999999999999998</v>
      </c>
      <c r="O8" s="1">
        <v>0.38</v>
      </c>
      <c r="P8" s="1">
        <v>0.42</v>
      </c>
      <c r="Q8" s="1">
        <v>0.38</v>
      </c>
      <c r="R8" s="1">
        <v>0.33</v>
      </c>
      <c r="S8" s="1">
        <v>0.35</v>
      </c>
      <c r="T8" s="1">
        <f t="shared" si="0"/>
        <v>0.42</v>
      </c>
    </row>
    <row r="9" spans="1:20" ht="25" customHeight="1">
      <c r="A9" t="s">
        <v>18</v>
      </c>
      <c r="B9">
        <v>3</v>
      </c>
      <c r="C9" t="s">
        <v>19</v>
      </c>
      <c r="D9" t="b">
        <v>1</v>
      </c>
      <c r="E9">
        <v>2</v>
      </c>
      <c r="F9" t="s">
        <v>21</v>
      </c>
      <c r="G9" t="str">
        <f>_xlfn.LET(_xlpm.attr,Table2[[#This Row],[attribute]],_xlpm.spl,LEFT(Table2[[#This Row],[supplemented]],1),_xlfn.TEXTJOIN("-",TRUE,_xlpm.attr,_xlpm.spl,"3k-mgv3"))</f>
        <v>case-T-3k-mgv3</v>
      </c>
      <c r="H9" s="1">
        <v>0.42</v>
      </c>
      <c r="I9" s="1">
        <v>0.44</v>
      </c>
      <c r="J9" s="1">
        <v>0.41</v>
      </c>
      <c r="K9" s="1">
        <v>0.46</v>
      </c>
      <c r="L9" s="1">
        <v>0.43</v>
      </c>
      <c r="M9" s="1">
        <v>0.35</v>
      </c>
      <c r="N9" s="1">
        <v>0.39</v>
      </c>
      <c r="O9" s="1">
        <v>0.43</v>
      </c>
      <c r="P9" s="1">
        <v>0.49</v>
      </c>
      <c r="Q9" s="1">
        <v>0.41</v>
      </c>
      <c r="R9" s="1">
        <v>0.36</v>
      </c>
      <c r="S9" s="1">
        <v>0.41</v>
      </c>
      <c r="T9" s="1">
        <f t="shared" si="0"/>
        <v>0.49</v>
      </c>
    </row>
    <row r="10" spans="1:20" ht="25" customHeight="1">
      <c r="A10" t="s">
        <v>18</v>
      </c>
      <c r="B10">
        <v>3</v>
      </c>
      <c r="C10" t="s">
        <v>19</v>
      </c>
      <c r="D10" t="b">
        <v>1</v>
      </c>
      <c r="E10">
        <v>3</v>
      </c>
      <c r="F10" t="s">
        <v>22</v>
      </c>
      <c r="G10" t="str">
        <f>_xlfn.LET(_xlpm.attr,Table2[[#This Row],[attribute]],_xlpm.spl,LEFT(Table2[[#This Row],[supplemented]],1),_xlfn.TEXTJOIN("-",TRUE,_xlpm.attr,_xlpm.spl,"3k-mgv3"))</f>
        <v>case-T-3k-mgv3</v>
      </c>
      <c r="H10" s="1">
        <v>0.36</v>
      </c>
      <c r="I10" s="1">
        <v>0.4</v>
      </c>
      <c r="J10" s="1">
        <v>0.33</v>
      </c>
      <c r="K10" s="1">
        <v>0.38</v>
      </c>
      <c r="L10" s="1">
        <v>0.33</v>
      </c>
      <c r="M10" s="1">
        <v>0.35</v>
      </c>
      <c r="N10" s="1">
        <v>0.36</v>
      </c>
      <c r="O10" s="1">
        <v>0.36</v>
      </c>
      <c r="P10" s="1">
        <v>0.35</v>
      </c>
      <c r="Q10" s="1">
        <v>0.38</v>
      </c>
      <c r="R10" s="1">
        <v>0.37</v>
      </c>
      <c r="S10" s="1">
        <v>0.34</v>
      </c>
      <c r="T10" s="1">
        <f t="shared" si="0"/>
        <v>0.4</v>
      </c>
    </row>
    <row r="11" spans="1:20" ht="25" customHeight="1">
      <c r="A11" t="s">
        <v>18</v>
      </c>
      <c r="B11">
        <v>1</v>
      </c>
      <c r="C11" t="s">
        <v>24</v>
      </c>
      <c r="D11" t="b">
        <v>0</v>
      </c>
      <c r="E11">
        <v>1</v>
      </c>
      <c r="F11" t="s">
        <v>20</v>
      </c>
      <c r="G11" t="str">
        <f>_xlfn.LET(_xlpm.attr,Table2[[#This Row],[attribute]],_xlpm.spl,LEFT(Table2[[#This Row],[supplemented]],1),_xlfn.TEXTJOIN("-",TRUE,_xlpm.attr,_xlpm.spl,"3k-mgv3"))</f>
        <v>plurality-F-3k-mgv3</v>
      </c>
      <c r="H11" s="1">
        <v>0.76</v>
      </c>
      <c r="I11" s="1">
        <v>0.82</v>
      </c>
      <c r="J11" s="1">
        <v>0.76</v>
      </c>
      <c r="K11" s="1">
        <v>0.7</v>
      </c>
      <c r="L11" s="1">
        <v>0.78</v>
      </c>
      <c r="M11" s="1">
        <v>0.7</v>
      </c>
      <c r="N11" s="1">
        <v>0.8</v>
      </c>
      <c r="O11" s="1">
        <v>0.78</v>
      </c>
      <c r="P11" s="1">
        <v>0.74</v>
      </c>
      <c r="Q11" s="1">
        <v>0.74</v>
      </c>
      <c r="R11" s="1">
        <v>0.77</v>
      </c>
      <c r="S11" s="1">
        <v>0.78</v>
      </c>
      <c r="T11" s="1">
        <f t="shared" si="0"/>
        <v>0.82</v>
      </c>
    </row>
    <row r="12" spans="1:20" ht="25" customHeight="1">
      <c r="A12" t="s">
        <v>18</v>
      </c>
      <c r="B12">
        <v>1</v>
      </c>
      <c r="C12" t="s">
        <v>24</v>
      </c>
      <c r="D12" t="b">
        <v>0</v>
      </c>
      <c r="E12">
        <v>2</v>
      </c>
      <c r="F12" t="s">
        <v>21</v>
      </c>
      <c r="G12" t="str">
        <f>_xlfn.LET(_xlpm.attr,Table2[[#This Row],[attribute]],_xlpm.spl,LEFT(Table2[[#This Row],[supplemented]],1),_xlfn.TEXTJOIN("-",TRUE,_xlpm.attr,_xlpm.spl,"3k-mgv3"))</f>
        <v>plurality-F-3k-mgv3</v>
      </c>
      <c r="H12" s="1">
        <v>0.78</v>
      </c>
      <c r="I12" s="1">
        <v>0.84</v>
      </c>
      <c r="J12" s="1">
        <v>0.76</v>
      </c>
      <c r="K12" s="1">
        <v>0.81</v>
      </c>
      <c r="L12" s="1">
        <v>0.81</v>
      </c>
      <c r="M12" s="1">
        <v>0.81</v>
      </c>
      <c r="N12" s="1">
        <v>0.76</v>
      </c>
      <c r="O12" s="1">
        <v>0.81</v>
      </c>
      <c r="P12" s="1">
        <v>0.81</v>
      </c>
      <c r="Q12" s="1">
        <v>0.76</v>
      </c>
      <c r="R12" s="1">
        <v>0.82</v>
      </c>
      <c r="S12" s="1">
        <v>0.82</v>
      </c>
      <c r="T12" s="1">
        <f t="shared" si="0"/>
        <v>0.84</v>
      </c>
    </row>
    <row r="13" spans="1:20" ht="25" customHeight="1">
      <c r="A13" t="s">
        <v>18</v>
      </c>
      <c r="B13">
        <v>1</v>
      </c>
      <c r="C13" t="s">
        <v>24</v>
      </c>
      <c r="D13" t="b">
        <v>0</v>
      </c>
      <c r="E13">
        <v>3</v>
      </c>
      <c r="F13" t="s">
        <v>22</v>
      </c>
      <c r="G13" t="str">
        <f>_xlfn.LET(_xlpm.attr,Table2[[#This Row],[attribute]],_xlpm.spl,LEFT(Table2[[#This Row],[supplemented]],1),_xlfn.TEXTJOIN("-",TRUE,_xlpm.attr,_xlpm.spl,"3k-mgv3"))</f>
        <v>plurality-F-3k-mgv3</v>
      </c>
      <c r="H13" s="1">
        <v>0.77</v>
      </c>
      <c r="I13" s="1">
        <v>0.8</v>
      </c>
      <c r="J13" s="1">
        <v>0.74</v>
      </c>
      <c r="K13" s="1">
        <v>0.77</v>
      </c>
      <c r="L13" s="1">
        <v>0.79</v>
      </c>
      <c r="M13" s="1">
        <v>0.76</v>
      </c>
      <c r="N13" s="1">
        <v>0.76</v>
      </c>
      <c r="O13" s="1">
        <v>0.79</v>
      </c>
      <c r="P13" s="1">
        <v>0.72</v>
      </c>
      <c r="Q13" s="1">
        <v>0.75</v>
      </c>
      <c r="R13" s="1">
        <v>0.82</v>
      </c>
      <c r="S13" s="1">
        <v>0.76</v>
      </c>
      <c r="T13" s="1">
        <f t="shared" si="0"/>
        <v>0.82</v>
      </c>
    </row>
    <row r="14" spans="1:20" ht="25" customHeight="1">
      <c r="A14" t="s">
        <v>18</v>
      </c>
      <c r="B14">
        <v>2</v>
      </c>
      <c r="C14" t="s">
        <v>23</v>
      </c>
      <c r="D14" t="b">
        <v>0</v>
      </c>
      <c r="E14">
        <v>1</v>
      </c>
      <c r="F14" t="s">
        <v>20</v>
      </c>
      <c r="G14" t="str">
        <f>_xlfn.LET(_xlpm.attr,Table2[[#This Row],[attribute]],_xlpm.spl,LEFT(Table2[[#This Row],[supplemented]],1),_xlfn.TEXTJOIN("-",TRUE,_xlpm.attr,_xlpm.spl,"3k-mgv3"))</f>
        <v>gender-F-3k-mgv3</v>
      </c>
      <c r="H14" s="1">
        <v>0.55000000000000004</v>
      </c>
      <c r="I14" s="1">
        <v>0.52</v>
      </c>
      <c r="J14" s="1">
        <v>0.57999999999999996</v>
      </c>
      <c r="K14" s="1">
        <v>0.51</v>
      </c>
      <c r="L14" s="1">
        <v>0.55000000000000004</v>
      </c>
      <c r="M14" s="1">
        <v>0.47</v>
      </c>
      <c r="N14" s="1">
        <v>0.55000000000000004</v>
      </c>
      <c r="O14" s="1">
        <v>0.56000000000000005</v>
      </c>
      <c r="P14" s="1">
        <v>0.56000000000000005</v>
      </c>
      <c r="Q14" s="1">
        <v>0.45</v>
      </c>
      <c r="R14" s="1">
        <v>0.52</v>
      </c>
      <c r="S14" s="1">
        <v>0.52</v>
      </c>
      <c r="T14" s="1">
        <f t="shared" si="0"/>
        <v>0.57999999999999996</v>
      </c>
    </row>
    <row r="15" spans="1:20" ht="25" customHeight="1">
      <c r="A15" t="s">
        <v>18</v>
      </c>
      <c r="B15">
        <v>2</v>
      </c>
      <c r="C15" t="s">
        <v>23</v>
      </c>
      <c r="D15" t="b">
        <v>0</v>
      </c>
      <c r="E15">
        <v>2</v>
      </c>
      <c r="F15" t="s">
        <v>21</v>
      </c>
      <c r="G15" t="str">
        <f>_xlfn.LET(_xlpm.attr,Table2[[#This Row],[attribute]],_xlpm.spl,LEFT(Table2[[#This Row],[supplemented]],1),_xlfn.TEXTJOIN("-",TRUE,_xlpm.attr,_xlpm.spl,"3k-mgv3"))</f>
        <v>gender-F-3k-mgv3</v>
      </c>
      <c r="H15" s="1">
        <v>0.59</v>
      </c>
      <c r="I15" s="1">
        <v>0.63</v>
      </c>
      <c r="J15" s="1">
        <v>0.59</v>
      </c>
      <c r="K15" s="1">
        <v>0.52</v>
      </c>
      <c r="L15" s="1">
        <v>0.61</v>
      </c>
      <c r="M15" s="1">
        <v>0.57999999999999996</v>
      </c>
      <c r="N15" s="1">
        <v>0.57999999999999996</v>
      </c>
      <c r="O15" s="1">
        <v>0.55000000000000004</v>
      </c>
      <c r="P15" s="1">
        <v>0.64</v>
      </c>
      <c r="Q15" s="1">
        <v>0.55000000000000004</v>
      </c>
      <c r="R15" s="1">
        <v>0.55000000000000004</v>
      </c>
      <c r="S15" s="1">
        <v>0.6</v>
      </c>
      <c r="T15" s="1">
        <f t="shared" si="0"/>
        <v>0.64</v>
      </c>
    </row>
    <row r="16" spans="1:20" ht="25" customHeight="1">
      <c r="A16" t="s">
        <v>18</v>
      </c>
      <c r="B16">
        <v>2</v>
      </c>
      <c r="C16" t="s">
        <v>23</v>
      </c>
      <c r="D16" t="b">
        <v>0</v>
      </c>
      <c r="E16">
        <v>3</v>
      </c>
      <c r="F16" t="s">
        <v>22</v>
      </c>
      <c r="G16" t="str">
        <f>_xlfn.LET(_xlpm.attr,Table2[[#This Row],[attribute]],_xlpm.spl,LEFT(Table2[[#This Row],[supplemented]],1),_xlfn.TEXTJOIN("-",TRUE,_xlpm.attr,_xlpm.spl,"3k-mgv3"))</f>
        <v>gender-F-3k-mgv3</v>
      </c>
      <c r="H16" s="1">
        <v>0.56000000000000005</v>
      </c>
      <c r="I16" s="1">
        <v>0.56999999999999995</v>
      </c>
      <c r="J16" s="1">
        <v>0.61</v>
      </c>
      <c r="K16" s="1">
        <v>0.54</v>
      </c>
      <c r="L16" s="1">
        <v>0.56999999999999995</v>
      </c>
      <c r="M16" s="1">
        <v>0.56000000000000005</v>
      </c>
      <c r="N16" s="1">
        <v>0.51</v>
      </c>
      <c r="O16" s="1">
        <v>0.52</v>
      </c>
      <c r="P16" s="1">
        <v>0.57999999999999996</v>
      </c>
      <c r="Q16" s="1">
        <v>0.53</v>
      </c>
      <c r="R16" s="1">
        <v>0.56000000000000005</v>
      </c>
      <c r="S16" s="1">
        <v>0.56000000000000005</v>
      </c>
      <c r="T16" s="1">
        <f t="shared" si="0"/>
        <v>0.61</v>
      </c>
    </row>
    <row r="17" spans="1:20" ht="25" customHeight="1">
      <c r="A17" t="s">
        <v>18</v>
      </c>
      <c r="B17">
        <v>3</v>
      </c>
      <c r="C17" t="s">
        <v>19</v>
      </c>
      <c r="D17" t="b">
        <v>0</v>
      </c>
      <c r="E17">
        <v>1</v>
      </c>
      <c r="F17" t="s">
        <v>20</v>
      </c>
      <c r="G17" t="str">
        <f>_xlfn.LET(_xlpm.attr,Table2[[#This Row],[attribute]],_xlpm.spl,LEFT(Table2[[#This Row],[supplemented]],1),_xlfn.TEXTJOIN("-",TRUE,_xlpm.attr,_xlpm.spl,"3k-mgv3"))</f>
        <v>case-F-3k-mgv3</v>
      </c>
      <c r="H17" s="1">
        <v>0.41</v>
      </c>
      <c r="I17" s="1">
        <v>0.33</v>
      </c>
      <c r="J17" s="1">
        <v>0.34</v>
      </c>
      <c r="K17" s="1">
        <v>0.35</v>
      </c>
      <c r="L17" s="1">
        <v>0.37</v>
      </c>
      <c r="M17" s="1">
        <v>0.28999999999999998</v>
      </c>
      <c r="N17" s="1">
        <v>0.35</v>
      </c>
      <c r="O17" s="1">
        <v>0.37</v>
      </c>
      <c r="P17" s="1">
        <v>0.39</v>
      </c>
      <c r="Q17" s="1">
        <v>0.4</v>
      </c>
      <c r="R17" s="1">
        <v>0.34</v>
      </c>
      <c r="S17" s="1">
        <v>0.35</v>
      </c>
      <c r="T17" s="1">
        <f t="shared" si="0"/>
        <v>0.41</v>
      </c>
    </row>
    <row r="18" spans="1:20" ht="25" customHeight="1">
      <c r="A18" t="s">
        <v>18</v>
      </c>
      <c r="B18">
        <v>3</v>
      </c>
      <c r="C18" t="s">
        <v>19</v>
      </c>
      <c r="D18" t="b">
        <v>0</v>
      </c>
      <c r="E18">
        <v>2</v>
      </c>
      <c r="F18" t="s">
        <v>21</v>
      </c>
      <c r="G18" t="str">
        <f>_xlfn.LET(_xlpm.attr,Table2[[#This Row],[attribute]],_xlpm.spl,LEFT(Table2[[#This Row],[supplemented]],1),_xlfn.TEXTJOIN("-",TRUE,_xlpm.attr,_xlpm.spl,"3k-mgv3"))</f>
        <v>case-F-3k-mgv3</v>
      </c>
      <c r="H18" s="1">
        <v>0.42</v>
      </c>
      <c r="I18" s="1">
        <v>0.35</v>
      </c>
      <c r="J18" s="1">
        <v>0.38</v>
      </c>
      <c r="K18" s="1">
        <v>0.45</v>
      </c>
      <c r="L18" s="1">
        <v>0.44</v>
      </c>
      <c r="M18" s="1">
        <v>0.34</v>
      </c>
      <c r="N18" s="1">
        <v>0.28000000000000003</v>
      </c>
      <c r="O18" s="1">
        <v>0.42</v>
      </c>
      <c r="P18" s="1">
        <v>0.4</v>
      </c>
      <c r="Q18" s="1">
        <v>0.45</v>
      </c>
      <c r="R18" s="1">
        <v>0.36</v>
      </c>
      <c r="S18" s="1">
        <v>0.4</v>
      </c>
      <c r="T18" s="1">
        <f t="shared" si="0"/>
        <v>0.45</v>
      </c>
    </row>
    <row r="19" spans="1:20" ht="25" customHeight="1">
      <c r="A19" t="s">
        <v>18</v>
      </c>
      <c r="B19">
        <v>3</v>
      </c>
      <c r="C19" t="s">
        <v>19</v>
      </c>
      <c r="D19" t="b">
        <v>0</v>
      </c>
      <c r="E19">
        <v>3</v>
      </c>
      <c r="F19" t="s">
        <v>22</v>
      </c>
      <c r="G19" t="str">
        <f>_xlfn.LET(_xlpm.attr,Table2[[#This Row],[attribute]],_xlpm.spl,LEFT(Table2[[#This Row],[supplemented]],1),_xlfn.TEXTJOIN("-",TRUE,_xlpm.attr,_xlpm.spl,"3k-mgv3"))</f>
        <v>case-F-3k-mgv3</v>
      </c>
      <c r="H19" s="1">
        <v>0.33</v>
      </c>
      <c r="I19" s="1">
        <v>0.43</v>
      </c>
      <c r="J19" s="1">
        <v>0.33</v>
      </c>
      <c r="K19" s="1">
        <v>0.35</v>
      </c>
      <c r="L19" s="1">
        <v>0.36</v>
      </c>
      <c r="M19" s="1">
        <v>0.34</v>
      </c>
      <c r="N19" s="1">
        <v>0.38</v>
      </c>
      <c r="O19" s="1">
        <v>0.36</v>
      </c>
      <c r="P19" s="1">
        <v>0.35</v>
      </c>
      <c r="Q19" s="1">
        <v>0.34</v>
      </c>
      <c r="R19" s="1">
        <v>0.32</v>
      </c>
      <c r="S19" s="1">
        <v>0.35</v>
      </c>
      <c r="T19" s="1">
        <f t="shared" si="0"/>
        <v>0.43</v>
      </c>
    </row>
    <row r="22" spans="1:20" ht="25" customHeight="1">
      <c r="B22" t="s">
        <v>1</v>
      </c>
      <c r="C22" t="s">
        <v>2</v>
      </c>
      <c r="D22" t="s">
        <v>25</v>
      </c>
      <c r="E22" t="s">
        <v>3</v>
      </c>
      <c r="F22" t="s">
        <v>4</v>
      </c>
      <c r="G22" t="s">
        <v>26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14</v>
      </c>
      <c r="R22" t="s">
        <v>15</v>
      </c>
      <c r="S22" t="s">
        <v>16</v>
      </c>
      <c r="T22" t="s">
        <v>17</v>
      </c>
    </row>
    <row r="23" spans="1:20" ht="25" customHeight="1">
      <c r="B23">
        <v>1</v>
      </c>
      <c r="C23" t="s">
        <v>24</v>
      </c>
      <c r="D23" t="b">
        <v>1</v>
      </c>
      <c r="E23">
        <v>0</v>
      </c>
      <c r="F23" t="s">
        <v>17</v>
      </c>
      <c r="G23" t="str">
        <f>_xlfn.LET(_xlpm.attr,Table6188[[#This Row],[attribute]],_xlpm.spl,LEFT(Table6188[[#This Row],[supplemented]],1),_xlfn.TEXTJOIN("-",TRUE,_xlpm.attr,_xlpm.spl,"3k-mgv3"))</f>
        <v>plurality-T-3k-mgv3</v>
      </c>
      <c r="H23" s="2" cm="1">
        <f t="array" ref="H23">_xlfn.LET(_xlpm.d,H$2:H$19,_xlpm.a,$C$2:$C$19=$C23,_xlpm.b,$D$2:$D$19=$D23,MAX(_xlfn._xlws.FILTER(_xlpm.d,_xlpm.a*_xlpm.b)))</f>
        <v>0.83</v>
      </c>
      <c r="I23" s="2" cm="1">
        <f t="array" ref="I23">_xlfn.LET(_xlpm.d,I$2:I$19,_xlpm.a,$C$2:$C$19=$C23,_xlpm.b,$D$2:$D$19=$D23,MAX(_xlfn._xlws.FILTER(_xlpm.d,_xlpm.a*_xlpm.b)))</f>
        <v>0.87</v>
      </c>
      <c r="J23" s="2" cm="1">
        <f t="array" ref="J23">_xlfn.LET(_xlpm.d,J$2:J$19,_xlpm.a,$C$2:$C$19=$C23,_xlpm.b,$D$2:$D$19=$D23,MAX(_xlfn._xlws.FILTER(_xlpm.d,_xlpm.a*_xlpm.b)))</f>
        <v>0.81</v>
      </c>
      <c r="K23" s="2" cm="1">
        <f t="array" ref="K23">_xlfn.LET(_xlpm.d,K$2:K$19,_xlpm.a,$C$2:$C$19=$C23,_xlpm.b,$D$2:$D$19=$D23,MAX(_xlfn._xlws.FILTER(_xlpm.d,_xlpm.a*_xlpm.b)))</f>
        <v>0.81</v>
      </c>
      <c r="L23" s="2" cm="1">
        <f t="array" ref="L23">_xlfn.LET(_xlpm.d,L$2:L$19,_xlpm.a,$C$2:$C$19=$C23,_xlpm.b,$D$2:$D$19=$D23,MAX(_xlfn._xlws.FILTER(_xlpm.d,_xlpm.a*_xlpm.b)))</f>
        <v>0.81</v>
      </c>
      <c r="M23" s="2" cm="1">
        <f t="array" ref="M23">_xlfn.LET(_xlpm.d,M$2:M$19,_xlpm.a,$C$2:$C$19=$C23,_xlpm.b,$D$2:$D$19=$D23,MAX(_xlfn._xlws.FILTER(_xlpm.d,_xlpm.a*_xlpm.b)))</f>
        <v>0.8</v>
      </c>
      <c r="N23" s="2" cm="1">
        <f t="array" ref="N23">_xlfn.LET(_xlpm.d,N$2:N$19,_xlpm.a,$C$2:$C$19=$C23,_xlpm.b,$D$2:$D$19=$D23,MAX(_xlfn._xlws.FILTER(_xlpm.d,_xlpm.a*_xlpm.b)))</f>
        <v>0.83</v>
      </c>
      <c r="O23" s="2" cm="1">
        <f t="array" ref="O23">_xlfn.LET(_xlpm.d,O$2:O$19,_xlpm.a,$C$2:$C$19=$C23,_xlpm.b,$D$2:$D$19=$D23,MAX(_xlfn._xlws.FILTER(_xlpm.d,_xlpm.a*_xlpm.b)))</f>
        <v>0.83</v>
      </c>
      <c r="P23" s="2" cm="1">
        <f t="array" ref="P23">_xlfn.LET(_xlpm.d,P$2:P$19,_xlpm.a,$C$2:$C$19=$C23,_xlpm.b,$D$2:$D$19=$D23,MAX(_xlfn._xlws.FILTER(_xlpm.d,_xlpm.a*_xlpm.b)))</f>
        <v>0.86</v>
      </c>
      <c r="Q23" s="2" cm="1">
        <f t="array" ref="Q23">_xlfn.LET(_xlpm.d,Q$2:Q$19,_xlpm.a,$C$2:$C$19=$C23,_xlpm.b,$D$2:$D$19=$D23,MAX(_xlfn._xlws.FILTER(_xlpm.d,_xlpm.a*_xlpm.b)))</f>
        <v>0.81</v>
      </c>
      <c r="R23" s="2" cm="1">
        <f t="array" ref="R23">_xlfn.LET(_xlpm.d,R$2:R$19,_xlpm.a,$C$2:$C$19=$C23,_xlpm.b,$D$2:$D$19=$D23,MAX(_xlfn._xlws.FILTER(_xlpm.d,_xlpm.a*_xlpm.b)))</f>
        <v>0.86</v>
      </c>
      <c r="S23" s="2" cm="1">
        <f t="array" ref="S23">_xlfn.LET(_xlpm.d,S$2:S$19,_xlpm.a,$C$2:$C$19=$C23,_xlpm.b,$D$2:$D$19=$D23,MAX(_xlfn._xlws.FILTER(_xlpm.d,_xlpm.a*_xlpm.b)))</f>
        <v>0.84</v>
      </c>
      <c r="T23" s="2" cm="1">
        <f t="array" ref="T23">_xlfn.LET(_xlpm.d,T$2:T$19,_xlpm.a,$C$2:$C$19=$C23,_xlpm.b,$D$2:$D$19=$D23,MAX(_xlfn._xlws.FILTER(_xlpm.d,_xlpm.a*_xlpm.b)))</f>
        <v>0.87</v>
      </c>
    </row>
    <row r="24" spans="1:20" ht="25" customHeight="1">
      <c r="B24">
        <v>1</v>
      </c>
      <c r="C24" t="s">
        <v>24</v>
      </c>
      <c r="D24" t="b">
        <v>0</v>
      </c>
      <c r="E24">
        <v>0</v>
      </c>
      <c r="F24" t="s">
        <v>17</v>
      </c>
      <c r="G24" t="str">
        <f>_xlfn.LET(_xlpm.attr,Table6188[[#This Row],[attribute]],_xlpm.spl,LEFT(Table6188[[#This Row],[supplemented]],1),_xlfn.TEXTJOIN("-",TRUE,_xlpm.attr,_xlpm.spl,"3k-mgv3"))</f>
        <v>plurality-F-3k-mgv3</v>
      </c>
      <c r="H24" s="2" cm="1">
        <f t="array" ref="H24">_xlfn.LET(_xlpm.d,H$2:H$19,_xlpm.a,$C$2:$C$19=$C24,_xlpm.b,$D$2:$D$19=$D24,MAX(_xlfn._xlws.FILTER(_xlpm.d,_xlpm.a*_xlpm.b)))</f>
        <v>0.78</v>
      </c>
      <c r="I24" s="2" cm="1">
        <f t="array" ref="I24">_xlfn.LET(_xlpm.d,I$2:I$19,_xlpm.a,$C$2:$C$19=$C24,_xlpm.b,$D$2:$D$19=$D24,MAX(_xlfn._xlws.FILTER(_xlpm.d,_xlpm.a*_xlpm.b)))</f>
        <v>0.84</v>
      </c>
      <c r="J24" s="2" cm="1">
        <f t="array" ref="J24">_xlfn.LET(_xlpm.d,J$2:J$19,_xlpm.a,$C$2:$C$19=$C24,_xlpm.b,$D$2:$D$19=$D24,MAX(_xlfn._xlws.FILTER(_xlpm.d,_xlpm.a*_xlpm.b)))</f>
        <v>0.76</v>
      </c>
      <c r="K24" s="2" cm="1">
        <f t="array" ref="K24">_xlfn.LET(_xlpm.d,K$2:K$19,_xlpm.a,$C$2:$C$19=$C24,_xlpm.b,$D$2:$D$19=$D24,MAX(_xlfn._xlws.FILTER(_xlpm.d,_xlpm.a*_xlpm.b)))</f>
        <v>0.81</v>
      </c>
      <c r="L24" s="2" cm="1">
        <f t="array" ref="L24">_xlfn.LET(_xlpm.d,L$2:L$19,_xlpm.a,$C$2:$C$19=$C24,_xlpm.b,$D$2:$D$19=$D24,MAX(_xlfn._xlws.FILTER(_xlpm.d,_xlpm.a*_xlpm.b)))</f>
        <v>0.81</v>
      </c>
      <c r="M24" s="2" cm="1">
        <f t="array" ref="M24">_xlfn.LET(_xlpm.d,M$2:M$19,_xlpm.a,$C$2:$C$19=$C24,_xlpm.b,$D$2:$D$19=$D24,MAX(_xlfn._xlws.FILTER(_xlpm.d,_xlpm.a*_xlpm.b)))</f>
        <v>0.81</v>
      </c>
      <c r="N24" s="2" cm="1">
        <f t="array" ref="N24">_xlfn.LET(_xlpm.d,N$2:N$19,_xlpm.a,$C$2:$C$19=$C24,_xlpm.b,$D$2:$D$19=$D24,MAX(_xlfn._xlws.FILTER(_xlpm.d,_xlpm.a*_xlpm.b)))</f>
        <v>0.8</v>
      </c>
      <c r="O24" s="2" cm="1">
        <f t="array" ref="O24">_xlfn.LET(_xlpm.d,O$2:O$19,_xlpm.a,$C$2:$C$19=$C24,_xlpm.b,$D$2:$D$19=$D24,MAX(_xlfn._xlws.FILTER(_xlpm.d,_xlpm.a*_xlpm.b)))</f>
        <v>0.81</v>
      </c>
      <c r="P24" s="2" cm="1">
        <f t="array" ref="P24">_xlfn.LET(_xlpm.d,P$2:P$19,_xlpm.a,$C$2:$C$19=$C24,_xlpm.b,$D$2:$D$19=$D24,MAX(_xlfn._xlws.FILTER(_xlpm.d,_xlpm.a*_xlpm.b)))</f>
        <v>0.81</v>
      </c>
      <c r="Q24" s="2" cm="1">
        <f t="array" ref="Q24">_xlfn.LET(_xlpm.d,Q$2:Q$19,_xlpm.a,$C$2:$C$19=$C24,_xlpm.b,$D$2:$D$19=$D24,MAX(_xlfn._xlws.FILTER(_xlpm.d,_xlpm.a*_xlpm.b)))</f>
        <v>0.76</v>
      </c>
      <c r="R24" s="2" cm="1">
        <f t="array" ref="R24">_xlfn.LET(_xlpm.d,R$2:R$19,_xlpm.a,$C$2:$C$19=$C24,_xlpm.b,$D$2:$D$19=$D24,MAX(_xlfn._xlws.FILTER(_xlpm.d,_xlpm.a*_xlpm.b)))</f>
        <v>0.82</v>
      </c>
      <c r="S24" s="2" cm="1">
        <f t="array" ref="S24">_xlfn.LET(_xlpm.d,S$2:S$19,_xlpm.a,$C$2:$C$19=$C24,_xlpm.b,$D$2:$D$19=$D24,MAX(_xlfn._xlws.FILTER(_xlpm.d,_xlpm.a*_xlpm.b)))</f>
        <v>0.82</v>
      </c>
      <c r="T24" s="2" cm="1">
        <f t="array" ref="T24">_xlfn.LET(_xlpm.d,T$2:T$19,_xlpm.a,$C$2:$C$19=$C24,_xlpm.b,$D$2:$D$19=$D24,MAX(_xlfn._xlws.FILTER(_xlpm.d,_xlpm.a*_xlpm.b)))</f>
        <v>0.84</v>
      </c>
    </row>
    <row r="25" spans="1:20" ht="25" customHeight="1">
      <c r="B25">
        <v>2</v>
      </c>
      <c r="C25" t="s">
        <v>23</v>
      </c>
      <c r="D25" t="b">
        <v>1</v>
      </c>
      <c r="E25">
        <v>0</v>
      </c>
      <c r="F25" t="s">
        <v>17</v>
      </c>
      <c r="G25" t="str">
        <f>_xlfn.LET(_xlpm.attr,Table6188[[#This Row],[attribute]],_xlpm.spl,LEFT(Table6188[[#This Row],[supplemented]],1),_xlfn.TEXTJOIN("-",TRUE,_xlpm.attr,_xlpm.spl,"3k-mgv3"))</f>
        <v>gender-T-3k-mgv3</v>
      </c>
      <c r="H25" s="2" cm="1">
        <f t="array" ref="H25">_xlfn.LET(_xlpm.d,H$2:H$19,_xlpm.a,$C$2:$C$19=$C25,_xlpm.b,$D$2:$D$19=$D25,MAX(_xlfn._xlws.FILTER(_xlpm.d,_xlpm.a*_xlpm.b)))</f>
        <v>0.61</v>
      </c>
      <c r="I25" s="2" cm="1">
        <f t="array" ref="I25">_xlfn.LET(_xlpm.d,I$2:I$19,_xlpm.a,$C$2:$C$19=$C25,_xlpm.b,$D$2:$D$19=$D25,MAX(_xlfn._xlws.FILTER(_xlpm.d,_xlpm.a*_xlpm.b)))</f>
        <v>0.6</v>
      </c>
      <c r="J25" s="2" cm="1">
        <f t="array" ref="J25">_xlfn.LET(_xlpm.d,J$2:J$19,_xlpm.a,$C$2:$C$19=$C25,_xlpm.b,$D$2:$D$19=$D25,MAX(_xlfn._xlws.FILTER(_xlpm.d,_xlpm.a*_xlpm.b)))</f>
        <v>0.63</v>
      </c>
      <c r="K25" s="2" cm="1">
        <f t="array" ref="K25">_xlfn.LET(_xlpm.d,K$2:K$19,_xlpm.a,$C$2:$C$19=$C25,_xlpm.b,$D$2:$D$19=$D25,MAX(_xlfn._xlws.FILTER(_xlpm.d,_xlpm.a*_xlpm.b)))</f>
        <v>0.59</v>
      </c>
      <c r="L25" s="2" cm="1">
        <f t="array" ref="L25">_xlfn.LET(_xlpm.d,L$2:L$19,_xlpm.a,$C$2:$C$19=$C25,_xlpm.b,$D$2:$D$19=$D25,MAX(_xlfn._xlws.FILTER(_xlpm.d,_xlpm.a*_xlpm.b)))</f>
        <v>0.62</v>
      </c>
      <c r="M25" s="2" cm="1">
        <f t="array" ref="M25">_xlfn.LET(_xlpm.d,M$2:M$19,_xlpm.a,$C$2:$C$19=$C25,_xlpm.b,$D$2:$D$19=$D25,MAX(_xlfn._xlws.FILTER(_xlpm.d,_xlpm.a*_xlpm.b)))</f>
        <v>0.61</v>
      </c>
      <c r="N25" s="2" cm="1">
        <f t="array" ref="N25">_xlfn.LET(_xlpm.d,N$2:N$19,_xlpm.a,$C$2:$C$19=$C25,_xlpm.b,$D$2:$D$19=$D25,MAX(_xlfn._xlws.FILTER(_xlpm.d,_xlpm.a*_xlpm.b)))</f>
        <v>0.56999999999999995</v>
      </c>
      <c r="O25" s="2" cm="1">
        <f t="array" ref="O25">_xlfn.LET(_xlpm.d,O$2:O$19,_xlpm.a,$C$2:$C$19=$C25,_xlpm.b,$D$2:$D$19=$D25,MAX(_xlfn._xlws.FILTER(_xlpm.d,_xlpm.a*_xlpm.b)))</f>
        <v>0.6</v>
      </c>
      <c r="P25" s="2" cm="1">
        <f t="array" ref="P25">_xlfn.LET(_xlpm.d,P$2:P$19,_xlpm.a,$C$2:$C$19=$C25,_xlpm.b,$D$2:$D$19=$D25,MAX(_xlfn._xlws.FILTER(_xlpm.d,_xlpm.a*_xlpm.b)))</f>
        <v>0.6</v>
      </c>
      <c r="Q25" s="2" cm="1">
        <f t="array" ref="Q25">_xlfn.LET(_xlpm.d,Q$2:Q$19,_xlpm.a,$C$2:$C$19=$C25,_xlpm.b,$D$2:$D$19=$D25,MAX(_xlfn._xlws.FILTER(_xlpm.d,_xlpm.a*_xlpm.b)))</f>
        <v>0.56000000000000005</v>
      </c>
      <c r="R25" s="2" cm="1">
        <f t="array" ref="R25">_xlfn.LET(_xlpm.d,R$2:R$19,_xlpm.a,$C$2:$C$19=$C25,_xlpm.b,$D$2:$D$19=$D25,MAX(_xlfn._xlws.FILTER(_xlpm.d,_xlpm.a*_xlpm.b)))</f>
        <v>0.6</v>
      </c>
      <c r="S25" s="2" cm="1">
        <f t="array" ref="S25">_xlfn.LET(_xlpm.d,S$2:S$19,_xlpm.a,$C$2:$C$19=$C25,_xlpm.b,$D$2:$D$19=$D25,MAX(_xlfn._xlws.FILTER(_xlpm.d,_xlpm.a*_xlpm.b)))</f>
        <v>0.56999999999999995</v>
      </c>
      <c r="T25" s="2" cm="1">
        <f t="array" ref="T25">_xlfn.LET(_xlpm.d,T$2:T$19,_xlpm.a,$C$2:$C$19=$C25,_xlpm.b,$D$2:$D$19=$D25,MAX(_xlfn._xlws.FILTER(_xlpm.d,_xlpm.a*_xlpm.b)))</f>
        <v>0.63</v>
      </c>
    </row>
    <row r="26" spans="1:20" ht="25" customHeight="1">
      <c r="B26">
        <v>2</v>
      </c>
      <c r="C26" t="s">
        <v>23</v>
      </c>
      <c r="D26" t="b">
        <v>0</v>
      </c>
      <c r="E26">
        <v>0</v>
      </c>
      <c r="F26" t="s">
        <v>17</v>
      </c>
      <c r="G26" t="str">
        <f>_xlfn.LET(_xlpm.attr,Table6188[[#This Row],[attribute]],_xlpm.spl,LEFT(Table6188[[#This Row],[supplemented]],1),_xlfn.TEXTJOIN("-",TRUE,_xlpm.attr,_xlpm.spl,"3k-mgv3"))</f>
        <v>gender-F-3k-mgv3</v>
      </c>
      <c r="H26" s="2" cm="1">
        <f t="array" ref="H26">_xlfn.LET(_xlpm.d,H$2:H$19,_xlpm.a,$C$2:$C$19=$C26,_xlpm.b,$D$2:$D$19=$D26,MAX(_xlfn._xlws.FILTER(_xlpm.d,_xlpm.a*_xlpm.b)))</f>
        <v>0.59</v>
      </c>
      <c r="I26" s="2" cm="1">
        <f t="array" ref="I26">_xlfn.LET(_xlpm.d,I$2:I$19,_xlpm.a,$C$2:$C$19=$C26,_xlpm.b,$D$2:$D$19=$D26,MAX(_xlfn._xlws.FILTER(_xlpm.d,_xlpm.a*_xlpm.b)))</f>
        <v>0.63</v>
      </c>
      <c r="J26" s="2" cm="1">
        <f t="array" ref="J26">_xlfn.LET(_xlpm.d,J$2:J$19,_xlpm.a,$C$2:$C$19=$C26,_xlpm.b,$D$2:$D$19=$D26,MAX(_xlfn._xlws.FILTER(_xlpm.d,_xlpm.a*_xlpm.b)))</f>
        <v>0.61</v>
      </c>
      <c r="K26" s="2" cm="1">
        <f t="array" ref="K26">_xlfn.LET(_xlpm.d,K$2:K$19,_xlpm.a,$C$2:$C$19=$C26,_xlpm.b,$D$2:$D$19=$D26,MAX(_xlfn._xlws.FILTER(_xlpm.d,_xlpm.a*_xlpm.b)))</f>
        <v>0.54</v>
      </c>
      <c r="L26" s="2" cm="1">
        <f t="array" ref="L26">_xlfn.LET(_xlpm.d,L$2:L$19,_xlpm.a,$C$2:$C$19=$C26,_xlpm.b,$D$2:$D$19=$D26,MAX(_xlfn._xlws.FILTER(_xlpm.d,_xlpm.a*_xlpm.b)))</f>
        <v>0.61</v>
      </c>
      <c r="M26" s="2" cm="1">
        <f t="array" ref="M26">_xlfn.LET(_xlpm.d,M$2:M$19,_xlpm.a,$C$2:$C$19=$C26,_xlpm.b,$D$2:$D$19=$D26,MAX(_xlfn._xlws.FILTER(_xlpm.d,_xlpm.a*_xlpm.b)))</f>
        <v>0.57999999999999996</v>
      </c>
      <c r="N26" s="2" cm="1">
        <f t="array" ref="N26">_xlfn.LET(_xlpm.d,N$2:N$19,_xlpm.a,$C$2:$C$19=$C26,_xlpm.b,$D$2:$D$19=$D26,MAX(_xlfn._xlws.FILTER(_xlpm.d,_xlpm.a*_xlpm.b)))</f>
        <v>0.57999999999999996</v>
      </c>
      <c r="O26" s="2" cm="1">
        <f t="array" ref="O26">_xlfn.LET(_xlpm.d,O$2:O$19,_xlpm.a,$C$2:$C$19=$C26,_xlpm.b,$D$2:$D$19=$D26,MAX(_xlfn._xlws.FILTER(_xlpm.d,_xlpm.a*_xlpm.b)))</f>
        <v>0.56000000000000005</v>
      </c>
      <c r="P26" s="2" cm="1">
        <f t="array" ref="P26">_xlfn.LET(_xlpm.d,P$2:P$19,_xlpm.a,$C$2:$C$19=$C26,_xlpm.b,$D$2:$D$19=$D26,MAX(_xlfn._xlws.FILTER(_xlpm.d,_xlpm.a*_xlpm.b)))</f>
        <v>0.64</v>
      </c>
      <c r="Q26" s="2" cm="1">
        <f t="array" ref="Q26">_xlfn.LET(_xlpm.d,Q$2:Q$19,_xlpm.a,$C$2:$C$19=$C26,_xlpm.b,$D$2:$D$19=$D26,MAX(_xlfn._xlws.FILTER(_xlpm.d,_xlpm.a*_xlpm.b)))</f>
        <v>0.55000000000000004</v>
      </c>
      <c r="R26" s="2" cm="1">
        <f t="array" ref="R26">_xlfn.LET(_xlpm.d,R$2:R$19,_xlpm.a,$C$2:$C$19=$C26,_xlpm.b,$D$2:$D$19=$D26,MAX(_xlfn._xlws.FILTER(_xlpm.d,_xlpm.a*_xlpm.b)))</f>
        <v>0.56000000000000005</v>
      </c>
      <c r="S26" s="2" cm="1">
        <f t="array" ref="S26">_xlfn.LET(_xlpm.d,S$2:S$19,_xlpm.a,$C$2:$C$19=$C26,_xlpm.b,$D$2:$D$19=$D26,MAX(_xlfn._xlws.FILTER(_xlpm.d,_xlpm.a*_xlpm.b)))</f>
        <v>0.6</v>
      </c>
      <c r="T26" s="2" cm="1">
        <f t="array" ref="T26">_xlfn.LET(_xlpm.d,T$2:T$19,_xlpm.a,$C$2:$C$19=$C26,_xlpm.b,$D$2:$D$19=$D26,MAX(_xlfn._xlws.FILTER(_xlpm.d,_xlpm.a*_xlpm.b)))</f>
        <v>0.64</v>
      </c>
    </row>
    <row r="27" spans="1:20" ht="25" customHeight="1">
      <c r="B27">
        <v>3</v>
      </c>
      <c r="C27" t="s">
        <v>19</v>
      </c>
      <c r="D27" t="b">
        <v>1</v>
      </c>
      <c r="E27">
        <v>0</v>
      </c>
      <c r="F27" t="s">
        <v>17</v>
      </c>
      <c r="G27" t="str">
        <f>_xlfn.LET(_xlpm.attr,Table6188[[#This Row],[attribute]],_xlpm.spl,LEFT(Table6188[[#This Row],[supplemented]],1),_xlfn.TEXTJOIN("-",TRUE,_xlpm.attr,_xlpm.spl,"3k-mgv3"))</f>
        <v>case-T-3k-mgv3</v>
      </c>
      <c r="H27" s="2" cm="1">
        <f t="array" ref="H27">_xlfn.LET(_xlpm.d,H$2:H$19,_xlpm.a,$C$2:$C$19=$C27,_xlpm.b,$D$2:$D$19=$D27,MAX(_xlfn._xlws.FILTER(_xlpm.d,_xlpm.a*_xlpm.b)))</f>
        <v>0.42</v>
      </c>
      <c r="I27" s="2" cm="1">
        <f t="array" ref="I27">_xlfn.LET(_xlpm.d,I$2:I$19,_xlpm.a,$C$2:$C$19=$C27,_xlpm.b,$D$2:$D$19=$D27,MAX(_xlfn._xlws.FILTER(_xlpm.d,_xlpm.a*_xlpm.b)))</f>
        <v>0.44</v>
      </c>
      <c r="J27" s="2" cm="1">
        <f t="array" ref="J27">_xlfn.LET(_xlpm.d,J$2:J$19,_xlpm.a,$C$2:$C$19=$C27,_xlpm.b,$D$2:$D$19=$D27,MAX(_xlfn._xlws.FILTER(_xlpm.d,_xlpm.a*_xlpm.b)))</f>
        <v>0.41</v>
      </c>
      <c r="K27" s="2" cm="1">
        <f t="array" ref="K27">_xlfn.LET(_xlpm.d,K$2:K$19,_xlpm.a,$C$2:$C$19=$C27,_xlpm.b,$D$2:$D$19=$D27,MAX(_xlfn._xlws.FILTER(_xlpm.d,_xlpm.a*_xlpm.b)))</f>
        <v>0.46</v>
      </c>
      <c r="L27" s="2" cm="1">
        <f t="array" ref="L27">_xlfn.LET(_xlpm.d,L$2:L$19,_xlpm.a,$C$2:$C$19=$C27,_xlpm.b,$D$2:$D$19=$D27,MAX(_xlfn._xlws.FILTER(_xlpm.d,_xlpm.a*_xlpm.b)))</f>
        <v>0.43</v>
      </c>
      <c r="M27" s="2" cm="1">
        <f t="array" ref="M27">_xlfn.LET(_xlpm.d,M$2:M$19,_xlpm.a,$C$2:$C$19=$C27,_xlpm.b,$D$2:$D$19=$D27,MAX(_xlfn._xlws.FILTER(_xlpm.d,_xlpm.a*_xlpm.b)))</f>
        <v>0.36</v>
      </c>
      <c r="N27" s="2" cm="1">
        <f t="array" ref="N27">_xlfn.LET(_xlpm.d,N$2:N$19,_xlpm.a,$C$2:$C$19=$C27,_xlpm.b,$D$2:$D$19=$D27,MAX(_xlfn._xlws.FILTER(_xlpm.d,_xlpm.a*_xlpm.b)))</f>
        <v>0.39</v>
      </c>
      <c r="O27" s="2" cm="1">
        <f t="array" ref="O27">_xlfn.LET(_xlpm.d,O$2:O$19,_xlpm.a,$C$2:$C$19=$C27,_xlpm.b,$D$2:$D$19=$D27,MAX(_xlfn._xlws.FILTER(_xlpm.d,_xlpm.a*_xlpm.b)))</f>
        <v>0.43</v>
      </c>
      <c r="P27" s="2" cm="1">
        <f t="array" ref="P27">_xlfn.LET(_xlpm.d,P$2:P$19,_xlpm.a,$C$2:$C$19=$C27,_xlpm.b,$D$2:$D$19=$D27,MAX(_xlfn._xlws.FILTER(_xlpm.d,_xlpm.a*_xlpm.b)))</f>
        <v>0.49</v>
      </c>
      <c r="Q27" s="2" cm="1">
        <f t="array" ref="Q27">_xlfn.LET(_xlpm.d,Q$2:Q$19,_xlpm.a,$C$2:$C$19=$C27,_xlpm.b,$D$2:$D$19=$D27,MAX(_xlfn._xlws.FILTER(_xlpm.d,_xlpm.a*_xlpm.b)))</f>
        <v>0.41</v>
      </c>
      <c r="R27" s="2" cm="1">
        <f t="array" ref="R27">_xlfn.LET(_xlpm.d,R$2:R$19,_xlpm.a,$C$2:$C$19=$C27,_xlpm.b,$D$2:$D$19=$D27,MAX(_xlfn._xlws.FILTER(_xlpm.d,_xlpm.a*_xlpm.b)))</f>
        <v>0.37</v>
      </c>
      <c r="S27" s="2" cm="1">
        <f t="array" ref="S27">_xlfn.LET(_xlpm.d,S$2:S$19,_xlpm.a,$C$2:$C$19=$C27,_xlpm.b,$D$2:$D$19=$D27,MAX(_xlfn._xlws.FILTER(_xlpm.d,_xlpm.a*_xlpm.b)))</f>
        <v>0.41</v>
      </c>
      <c r="T27" s="2" cm="1">
        <f t="array" ref="T27">_xlfn.LET(_xlpm.d,T$2:T$19,_xlpm.a,$C$2:$C$19=$C27,_xlpm.b,$D$2:$D$19=$D27,MAX(_xlfn._xlws.FILTER(_xlpm.d,_xlpm.a*_xlpm.b)))</f>
        <v>0.49</v>
      </c>
    </row>
    <row r="28" spans="1:20" ht="25" customHeight="1">
      <c r="B28">
        <v>3</v>
      </c>
      <c r="C28" t="s">
        <v>19</v>
      </c>
      <c r="D28" t="b">
        <v>0</v>
      </c>
      <c r="E28">
        <v>0</v>
      </c>
      <c r="F28" t="s">
        <v>17</v>
      </c>
      <c r="G28" t="str">
        <f>_xlfn.LET(_xlpm.attr,Table6188[[#This Row],[attribute]],_xlpm.spl,LEFT(Table6188[[#This Row],[supplemented]],1),_xlfn.TEXTJOIN("-",TRUE,_xlpm.attr,_xlpm.spl,"3k-mgv3"))</f>
        <v>case-F-3k-mgv3</v>
      </c>
      <c r="H28" s="2" cm="1">
        <f t="array" ref="H28">_xlfn.LET(_xlpm.d,H$2:H$19,_xlpm.a,$C$2:$C$19=$C28,_xlpm.b,$D$2:$D$19=$D28,MAX(_xlfn._xlws.FILTER(_xlpm.d,_xlpm.a*_xlpm.b)))</f>
        <v>0.42</v>
      </c>
      <c r="I28" s="2" cm="1">
        <f t="array" ref="I28">_xlfn.LET(_xlpm.d,I$2:I$19,_xlpm.a,$C$2:$C$19=$C28,_xlpm.b,$D$2:$D$19=$D28,MAX(_xlfn._xlws.FILTER(_xlpm.d,_xlpm.a*_xlpm.b)))</f>
        <v>0.43</v>
      </c>
      <c r="J28" s="2" cm="1">
        <f t="array" ref="J28">_xlfn.LET(_xlpm.d,J$2:J$19,_xlpm.a,$C$2:$C$19=$C28,_xlpm.b,$D$2:$D$19=$D28,MAX(_xlfn._xlws.FILTER(_xlpm.d,_xlpm.a*_xlpm.b)))</f>
        <v>0.38</v>
      </c>
      <c r="K28" s="2" cm="1">
        <f t="array" ref="K28">_xlfn.LET(_xlpm.d,K$2:K$19,_xlpm.a,$C$2:$C$19=$C28,_xlpm.b,$D$2:$D$19=$D28,MAX(_xlfn._xlws.FILTER(_xlpm.d,_xlpm.a*_xlpm.b)))</f>
        <v>0.45</v>
      </c>
      <c r="L28" s="2" cm="1">
        <f t="array" ref="L28">_xlfn.LET(_xlpm.d,L$2:L$19,_xlpm.a,$C$2:$C$19=$C28,_xlpm.b,$D$2:$D$19=$D28,MAX(_xlfn._xlws.FILTER(_xlpm.d,_xlpm.a*_xlpm.b)))</f>
        <v>0.44</v>
      </c>
      <c r="M28" s="2" cm="1">
        <f t="array" ref="M28">_xlfn.LET(_xlpm.d,M$2:M$19,_xlpm.a,$C$2:$C$19=$C28,_xlpm.b,$D$2:$D$19=$D28,MAX(_xlfn._xlws.FILTER(_xlpm.d,_xlpm.a*_xlpm.b)))</f>
        <v>0.34</v>
      </c>
      <c r="N28" s="2" cm="1">
        <f t="array" ref="N28">_xlfn.LET(_xlpm.d,N$2:N$19,_xlpm.a,$C$2:$C$19=$C28,_xlpm.b,$D$2:$D$19=$D28,MAX(_xlfn._xlws.FILTER(_xlpm.d,_xlpm.a*_xlpm.b)))</f>
        <v>0.38</v>
      </c>
      <c r="O28" s="2" cm="1">
        <f t="array" ref="O28">_xlfn.LET(_xlpm.d,O$2:O$19,_xlpm.a,$C$2:$C$19=$C28,_xlpm.b,$D$2:$D$19=$D28,MAX(_xlfn._xlws.FILTER(_xlpm.d,_xlpm.a*_xlpm.b)))</f>
        <v>0.42</v>
      </c>
      <c r="P28" s="2" cm="1">
        <f t="array" ref="P28">_xlfn.LET(_xlpm.d,P$2:P$19,_xlpm.a,$C$2:$C$19=$C28,_xlpm.b,$D$2:$D$19=$D28,MAX(_xlfn._xlws.FILTER(_xlpm.d,_xlpm.a*_xlpm.b)))</f>
        <v>0.4</v>
      </c>
      <c r="Q28" s="2" cm="1">
        <f t="array" ref="Q28">_xlfn.LET(_xlpm.d,Q$2:Q$19,_xlpm.a,$C$2:$C$19=$C28,_xlpm.b,$D$2:$D$19=$D28,MAX(_xlfn._xlws.FILTER(_xlpm.d,_xlpm.a*_xlpm.b)))</f>
        <v>0.45</v>
      </c>
      <c r="R28" s="2" cm="1">
        <f t="array" ref="R28">_xlfn.LET(_xlpm.d,R$2:R$19,_xlpm.a,$C$2:$C$19=$C28,_xlpm.b,$D$2:$D$19=$D28,MAX(_xlfn._xlws.FILTER(_xlpm.d,_xlpm.a*_xlpm.b)))</f>
        <v>0.36</v>
      </c>
      <c r="S28" s="2" cm="1">
        <f t="array" ref="S28">_xlfn.LET(_xlpm.d,S$2:S$19,_xlpm.a,$C$2:$C$19=$C28,_xlpm.b,$D$2:$D$19=$D28,MAX(_xlfn._xlws.FILTER(_xlpm.d,_xlpm.a*_xlpm.b)))</f>
        <v>0.4</v>
      </c>
      <c r="T28" s="2" cm="1">
        <f t="array" ref="T28">_xlfn.LET(_xlpm.d,T$2:T$19,_xlpm.a,$C$2:$C$19=$C28,_xlpm.b,$D$2:$D$19=$D28,MAX(_xlfn._xlws.FILTER(_xlpm.d,_xlpm.a*_xlpm.b)))</f>
        <v>0.45</v>
      </c>
    </row>
  </sheetData>
  <conditionalFormatting sqref="H2:T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103C0-D440-C245-A80E-896E48E3B00E}">
  <dimension ref="A1:T28"/>
  <sheetViews>
    <sheetView workbookViewId="0">
      <pane xSplit="12480" ySplit="3520" topLeftCell="A14" activePane="bottomRight"/>
      <selection activeCell="D2" sqref="D2"/>
      <selection pane="topRight" activeCell="Q3" sqref="Q3"/>
      <selection pane="bottomLeft" activeCell="G23" sqref="G23"/>
      <selection pane="bottomRight" activeCell="B22" sqref="B22"/>
    </sheetView>
  </sheetViews>
  <sheetFormatPr baseColWidth="10" defaultRowHeight="25" customHeight="1"/>
  <cols>
    <col min="2" max="6" width="9.25" customWidth="1"/>
    <col min="7" max="7" width="12.5" customWidth="1"/>
    <col min="8" max="19" width="8.25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25</v>
      </c>
      <c r="E1" t="s">
        <v>3</v>
      </c>
      <c r="F1" t="s">
        <v>4</v>
      </c>
      <c r="G1" t="s">
        <v>26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ht="25" customHeight="1">
      <c r="A2" t="s">
        <v>18</v>
      </c>
      <c r="B2">
        <v>1</v>
      </c>
      <c r="C2" t="s">
        <v>24</v>
      </c>
      <c r="D2" t="b">
        <v>1</v>
      </c>
      <c r="E2">
        <v>1</v>
      </c>
      <c r="F2" t="s">
        <v>20</v>
      </c>
      <c r="G2" t="str">
        <f>_xlfn.LET(_xlpm.attr,Table1[[#This Row],[attribute]],_xlpm.spl,LEFT(Table1[[#This Row],[supplemented]],1),_xlfn.TEXTJOIN("-",TRUE,_xlpm.attr,_xlpm.spl,"3k-mgv3"))</f>
        <v>plurality-T-3k-mgv3</v>
      </c>
      <c r="H2" s="1">
        <v>0.78</v>
      </c>
      <c r="I2" s="1">
        <v>0.78</v>
      </c>
      <c r="J2" s="1">
        <v>0.73</v>
      </c>
      <c r="K2" s="1">
        <v>0.73</v>
      </c>
      <c r="L2" s="1">
        <v>0.72</v>
      </c>
      <c r="M2" s="1">
        <v>0.79</v>
      </c>
      <c r="N2" s="1">
        <v>0.8</v>
      </c>
      <c r="O2" s="1">
        <v>0.82</v>
      </c>
      <c r="P2" s="1">
        <v>0.82</v>
      </c>
      <c r="Q2" s="1">
        <v>0.8</v>
      </c>
      <c r="R2" s="1">
        <v>0.82</v>
      </c>
      <c r="S2" s="1">
        <v>0.74</v>
      </c>
      <c r="T2" s="1">
        <f t="shared" ref="T2:T19" si="0">_xlfn.LET(_xlpm.d,$H2:$S2,MAX(_xlpm.d))</f>
        <v>0.82</v>
      </c>
    </row>
    <row r="3" spans="1:20" ht="25" customHeight="1">
      <c r="A3" t="s">
        <v>18</v>
      </c>
      <c r="B3">
        <v>1</v>
      </c>
      <c r="C3" t="s">
        <v>24</v>
      </c>
      <c r="D3" t="b">
        <v>1</v>
      </c>
      <c r="E3">
        <v>2</v>
      </c>
      <c r="F3" t="s">
        <v>21</v>
      </c>
      <c r="G3" t="str">
        <f>_xlfn.LET(_xlpm.attr,Table1[[#This Row],[attribute]],_xlpm.spl,LEFT(Table1[[#This Row],[supplemented]],1),_xlfn.TEXTJOIN("-",TRUE,_xlpm.attr,_xlpm.spl,"3k-mgv3"))</f>
        <v>plurality-T-3k-mgv3</v>
      </c>
      <c r="H3" s="1">
        <v>0.83</v>
      </c>
      <c r="I3" s="1">
        <v>0.82</v>
      </c>
      <c r="J3" s="1">
        <v>0.85</v>
      </c>
      <c r="K3" s="1">
        <v>0.8</v>
      </c>
      <c r="L3" s="1">
        <v>0.79</v>
      </c>
      <c r="M3" s="1">
        <v>0.81</v>
      </c>
      <c r="N3" s="1">
        <v>0.87</v>
      </c>
      <c r="O3" s="1">
        <v>0.91</v>
      </c>
      <c r="P3" s="1">
        <v>0.84</v>
      </c>
      <c r="Q3" s="1">
        <v>0.79</v>
      </c>
      <c r="R3" s="1">
        <v>0.87</v>
      </c>
      <c r="S3" s="1">
        <v>0.78</v>
      </c>
      <c r="T3" s="1">
        <f t="shared" si="0"/>
        <v>0.91</v>
      </c>
    </row>
    <row r="4" spans="1:20" ht="25" customHeight="1">
      <c r="A4" t="s">
        <v>18</v>
      </c>
      <c r="B4">
        <v>1</v>
      </c>
      <c r="C4" t="s">
        <v>24</v>
      </c>
      <c r="D4" t="b">
        <v>1</v>
      </c>
      <c r="E4">
        <v>3</v>
      </c>
      <c r="F4" t="s">
        <v>22</v>
      </c>
      <c r="G4" t="str">
        <f>_xlfn.LET(_xlpm.attr,Table1[[#This Row],[attribute]],_xlpm.spl,LEFT(Table1[[#This Row],[supplemented]],1),_xlfn.TEXTJOIN("-",TRUE,_xlpm.attr,_xlpm.spl,"3k-mgv3"))</f>
        <v>plurality-T-3k-mgv3</v>
      </c>
      <c r="H4" s="1">
        <v>0.79</v>
      </c>
      <c r="I4" s="1">
        <v>0.81</v>
      </c>
      <c r="J4" s="1">
        <v>0.83</v>
      </c>
      <c r="K4" s="1">
        <v>0.77</v>
      </c>
      <c r="L4" s="1">
        <v>0.77</v>
      </c>
      <c r="M4" s="1">
        <v>0.72</v>
      </c>
      <c r="N4" s="1">
        <v>0.78</v>
      </c>
      <c r="O4" s="1">
        <v>0.83</v>
      </c>
      <c r="P4" s="1">
        <v>0.82</v>
      </c>
      <c r="Q4" s="1">
        <v>0.77</v>
      </c>
      <c r="R4" s="1">
        <v>0.88</v>
      </c>
      <c r="S4" s="1">
        <v>0.77</v>
      </c>
      <c r="T4" s="1">
        <f t="shared" si="0"/>
        <v>0.88</v>
      </c>
    </row>
    <row r="5" spans="1:20" ht="25" customHeight="1">
      <c r="A5" t="s">
        <v>18</v>
      </c>
      <c r="B5">
        <v>1</v>
      </c>
      <c r="C5" t="s">
        <v>24</v>
      </c>
      <c r="D5" t="b">
        <v>0</v>
      </c>
      <c r="E5">
        <v>1</v>
      </c>
      <c r="F5" t="s">
        <v>20</v>
      </c>
      <c r="G5" t="str">
        <f>_xlfn.LET(_xlpm.attr,Table1[[#This Row],[attribute]],_xlpm.spl,LEFT(Table1[[#This Row],[supplemented]],1),_xlfn.TEXTJOIN("-",TRUE,_xlpm.attr,_xlpm.spl,"3k-mgv3"))</f>
        <v>plurality-F-3k-mgv3</v>
      </c>
      <c r="H5" s="1">
        <v>0.77</v>
      </c>
      <c r="I5" s="1">
        <v>0.78</v>
      </c>
      <c r="J5" s="1">
        <v>0.76</v>
      </c>
      <c r="K5" s="1">
        <v>0.72</v>
      </c>
      <c r="L5" s="1">
        <v>0.72</v>
      </c>
      <c r="M5" s="1">
        <v>0.73</v>
      </c>
      <c r="N5" s="1">
        <v>0.82</v>
      </c>
      <c r="O5" s="1">
        <v>0.82</v>
      </c>
      <c r="P5" s="1">
        <v>0.78</v>
      </c>
      <c r="Q5" s="1">
        <v>0.83</v>
      </c>
      <c r="R5" s="1">
        <v>0.79</v>
      </c>
      <c r="S5" s="1">
        <v>0.74</v>
      </c>
      <c r="T5" s="1">
        <f t="shared" si="0"/>
        <v>0.83</v>
      </c>
    </row>
    <row r="6" spans="1:20" ht="25" customHeight="1">
      <c r="A6" t="s">
        <v>18</v>
      </c>
      <c r="B6">
        <v>1</v>
      </c>
      <c r="C6" t="s">
        <v>24</v>
      </c>
      <c r="D6" t="b">
        <v>0</v>
      </c>
      <c r="E6">
        <v>2</v>
      </c>
      <c r="F6" t="s">
        <v>21</v>
      </c>
      <c r="G6" t="str">
        <f>_xlfn.LET(_xlpm.attr,Table1[[#This Row],[attribute]],_xlpm.spl,LEFT(Table1[[#This Row],[supplemented]],1),_xlfn.TEXTJOIN("-",TRUE,_xlpm.attr,_xlpm.spl,"3k-mgv3"))</f>
        <v>plurality-F-3k-mgv3</v>
      </c>
      <c r="H6" s="1">
        <v>0.79</v>
      </c>
      <c r="I6" s="1">
        <v>0.81</v>
      </c>
      <c r="J6" s="1">
        <v>0.82</v>
      </c>
      <c r="K6" s="1">
        <v>0.78</v>
      </c>
      <c r="L6" s="1">
        <v>0.78</v>
      </c>
      <c r="M6" s="1">
        <v>0.75</v>
      </c>
      <c r="N6" s="1">
        <v>0.84</v>
      </c>
      <c r="O6" s="1">
        <v>0.86</v>
      </c>
      <c r="P6" s="1">
        <v>0.77</v>
      </c>
      <c r="Q6" s="1">
        <v>0.75</v>
      </c>
      <c r="R6" s="1">
        <v>0.83</v>
      </c>
      <c r="S6" s="1">
        <v>0.78</v>
      </c>
      <c r="T6" s="1">
        <f t="shared" si="0"/>
        <v>0.86</v>
      </c>
    </row>
    <row r="7" spans="1:20" ht="25" customHeight="1">
      <c r="A7" t="s">
        <v>18</v>
      </c>
      <c r="B7">
        <v>1</v>
      </c>
      <c r="C7" t="s">
        <v>24</v>
      </c>
      <c r="D7" t="b">
        <v>0</v>
      </c>
      <c r="E7">
        <v>3</v>
      </c>
      <c r="F7" t="s">
        <v>22</v>
      </c>
      <c r="G7" t="str">
        <f>_xlfn.LET(_xlpm.attr,Table1[[#This Row],[attribute]],_xlpm.spl,LEFT(Table1[[#This Row],[supplemented]],1),_xlfn.TEXTJOIN("-",TRUE,_xlpm.attr,_xlpm.spl,"3k-mgv3"))</f>
        <v>plurality-F-3k-mgv3</v>
      </c>
      <c r="H7" s="1">
        <v>0.75</v>
      </c>
      <c r="I7" s="1">
        <v>0.79</v>
      </c>
      <c r="J7" s="1">
        <v>0.78</v>
      </c>
      <c r="K7" s="1">
        <v>0.72</v>
      </c>
      <c r="L7" s="1">
        <v>0.75</v>
      </c>
      <c r="M7" s="1">
        <v>0.77</v>
      </c>
      <c r="N7" s="1">
        <v>0.78</v>
      </c>
      <c r="O7" s="1">
        <v>0.78</v>
      </c>
      <c r="P7" s="1">
        <v>0.78</v>
      </c>
      <c r="Q7" s="1">
        <v>0.76</v>
      </c>
      <c r="R7" s="1">
        <v>0.83</v>
      </c>
      <c r="S7" s="1">
        <v>0.76</v>
      </c>
      <c r="T7" s="1">
        <f t="shared" si="0"/>
        <v>0.83</v>
      </c>
    </row>
    <row r="8" spans="1:20" ht="25" customHeight="1">
      <c r="A8" t="s">
        <v>18</v>
      </c>
      <c r="B8">
        <v>2</v>
      </c>
      <c r="C8" t="s">
        <v>23</v>
      </c>
      <c r="D8" t="b">
        <v>1</v>
      </c>
      <c r="E8">
        <v>1</v>
      </c>
      <c r="F8" t="s">
        <v>20</v>
      </c>
      <c r="G8" t="str">
        <f>_xlfn.LET(_xlpm.attr,Table1[[#This Row],[attribute]],_xlpm.spl,LEFT(Table1[[#This Row],[supplemented]],1),_xlfn.TEXTJOIN("-",TRUE,_xlpm.attr,_xlpm.spl,"3k-mgv3"))</f>
        <v>gender-T-3k-mgv3</v>
      </c>
      <c r="H8" s="1">
        <v>0.44</v>
      </c>
      <c r="I8" s="1">
        <v>0.52</v>
      </c>
      <c r="J8" s="1">
        <v>0.54</v>
      </c>
      <c r="K8" s="1">
        <v>0.52</v>
      </c>
      <c r="L8" s="1">
        <v>0.53</v>
      </c>
      <c r="M8" s="1">
        <v>0.41</v>
      </c>
      <c r="N8" s="1">
        <v>0.46</v>
      </c>
      <c r="O8" s="1">
        <v>0.53</v>
      </c>
      <c r="P8" s="1">
        <v>0.56000000000000005</v>
      </c>
      <c r="Q8" s="1">
        <v>0.36</v>
      </c>
      <c r="R8" s="1">
        <v>0.41</v>
      </c>
      <c r="S8" s="1">
        <v>0.5</v>
      </c>
      <c r="T8" s="1">
        <f t="shared" si="0"/>
        <v>0.56000000000000005</v>
      </c>
    </row>
    <row r="9" spans="1:20" ht="25" customHeight="1">
      <c r="A9" t="s">
        <v>18</v>
      </c>
      <c r="B9">
        <v>2</v>
      </c>
      <c r="C9" t="s">
        <v>23</v>
      </c>
      <c r="D9" t="b">
        <v>1</v>
      </c>
      <c r="E9">
        <v>2</v>
      </c>
      <c r="F9" t="s">
        <v>21</v>
      </c>
      <c r="G9" t="str">
        <f>_xlfn.LET(_xlpm.attr,Table1[[#This Row],[attribute]],_xlpm.spl,LEFT(Table1[[#This Row],[supplemented]],1),_xlfn.TEXTJOIN("-",TRUE,_xlpm.attr,_xlpm.spl,"3k-mgv3"))</f>
        <v>gender-T-3k-mgv3</v>
      </c>
      <c r="H9" s="1">
        <v>0.5</v>
      </c>
      <c r="I9" s="1">
        <v>0.61</v>
      </c>
      <c r="J9" s="1">
        <v>0.55000000000000004</v>
      </c>
      <c r="K9" s="1">
        <v>0.62</v>
      </c>
      <c r="L9" s="1">
        <v>0.55000000000000004</v>
      </c>
      <c r="M9" s="1">
        <v>0.62</v>
      </c>
      <c r="N9" s="1">
        <v>0.59</v>
      </c>
      <c r="O9" s="1">
        <v>0.52</v>
      </c>
      <c r="P9" s="1">
        <v>0.59</v>
      </c>
      <c r="Q9" s="1">
        <v>0.47</v>
      </c>
      <c r="R9" s="1">
        <v>0.5</v>
      </c>
      <c r="S9" s="1">
        <v>0.55000000000000004</v>
      </c>
      <c r="T9" s="1">
        <f t="shared" si="0"/>
        <v>0.62</v>
      </c>
    </row>
    <row r="10" spans="1:20" ht="25" customHeight="1">
      <c r="A10" t="s">
        <v>18</v>
      </c>
      <c r="B10">
        <v>2</v>
      </c>
      <c r="C10" t="s">
        <v>23</v>
      </c>
      <c r="D10" t="b">
        <v>1</v>
      </c>
      <c r="E10">
        <v>3</v>
      </c>
      <c r="F10" t="s">
        <v>22</v>
      </c>
      <c r="G10" t="str">
        <f>_xlfn.LET(_xlpm.attr,Table1[[#This Row],[attribute]],_xlpm.spl,LEFT(Table1[[#This Row],[supplemented]],1),_xlfn.TEXTJOIN("-",TRUE,_xlpm.attr,_xlpm.spl,"3k-mgv3"))</f>
        <v>gender-T-3k-mgv3</v>
      </c>
      <c r="H10" s="1">
        <v>0.47</v>
      </c>
      <c r="I10" s="1">
        <v>0.63</v>
      </c>
      <c r="J10" s="1">
        <v>0.52</v>
      </c>
      <c r="K10" s="1">
        <v>0.55000000000000004</v>
      </c>
      <c r="L10" s="1">
        <v>0.54</v>
      </c>
      <c r="M10" s="1">
        <v>0.56000000000000005</v>
      </c>
      <c r="N10" s="1">
        <v>0.59</v>
      </c>
      <c r="O10" s="1">
        <v>0.56000000000000005</v>
      </c>
      <c r="P10" s="1">
        <v>0.55000000000000004</v>
      </c>
      <c r="Q10" s="1">
        <v>0.52</v>
      </c>
      <c r="R10" s="1">
        <v>0.5</v>
      </c>
      <c r="S10" s="1">
        <v>0.47</v>
      </c>
      <c r="T10" s="1">
        <f t="shared" si="0"/>
        <v>0.63</v>
      </c>
    </row>
    <row r="11" spans="1:20" ht="25" customHeight="1">
      <c r="A11" t="s">
        <v>18</v>
      </c>
      <c r="B11">
        <v>2</v>
      </c>
      <c r="C11" t="s">
        <v>23</v>
      </c>
      <c r="D11" t="b">
        <v>0</v>
      </c>
      <c r="E11">
        <v>1</v>
      </c>
      <c r="F11" t="s">
        <v>20</v>
      </c>
      <c r="G11" t="str">
        <f>_xlfn.LET(_xlpm.attr,Table1[[#This Row],[attribute]],_xlpm.spl,LEFT(Table1[[#This Row],[supplemented]],1),_xlfn.TEXTJOIN("-",TRUE,_xlpm.attr,_xlpm.spl,"3k-mgv3"))</f>
        <v>gender-F-3k-mgv3</v>
      </c>
      <c r="H11" s="1">
        <v>0.45</v>
      </c>
      <c r="I11" s="1">
        <v>0.55000000000000004</v>
      </c>
      <c r="J11" s="1">
        <v>0.45</v>
      </c>
      <c r="K11" s="1">
        <v>0.5</v>
      </c>
      <c r="L11" s="1">
        <v>0.5</v>
      </c>
      <c r="M11" s="1">
        <v>0.52</v>
      </c>
      <c r="N11" s="1">
        <v>0.53</v>
      </c>
      <c r="O11" s="1">
        <v>0.45</v>
      </c>
      <c r="P11" s="1">
        <v>0.5</v>
      </c>
      <c r="Q11" s="1">
        <v>0.46</v>
      </c>
      <c r="R11" s="1">
        <v>0.38</v>
      </c>
      <c r="S11" s="1">
        <v>0.53</v>
      </c>
      <c r="T11" s="1">
        <f t="shared" si="0"/>
        <v>0.55000000000000004</v>
      </c>
    </row>
    <row r="12" spans="1:20" ht="25" customHeight="1">
      <c r="A12" t="s">
        <v>18</v>
      </c>
      <c r="B12">
        <v>2</v>
      </c>
      <c r="C12" t="s">
        <v>23</v>
      </c>
      <c r="D12" t="b">
        <v>0</v>
      </c>
      <c r="E12">
        <v>2</v>
      </c>
      <c r="F12" t="s">
        <v>21</v>
      </c>
      <c r="G12" t="str">
        <f>_xlfn.LET(_xlpm.attr,Table1[[#This Row],[attribute]],_xlpm.spl,LEFT(Table1[[#This Row],[supplemented]],1),_xlfn.TEXTJOIN("-",TRUE,_xlpm.attr,_xlpm.spl,"3k-mgv3"))</f>
        <v>gender-F-3k-mgv3</v>
      </c>
      <c r="H12" s="1">
        <v>0.5</v>
      </c>
      <c r="I12" s="1">
        <v>0.61</v>
      </c>
      <c r="J12" s="1">
        <v>0.51</v>
      </c>
      <c r="K12" s="1">
        <v>0.55000000000000004</v>
      </c>
      <c r="L12" s="1">
        <v>0.53</v>
      </c>
      <c r="M12" s="1">
        <v>0.62</v>
      </c>
      <c r="N12" s="1">
        <v>0.56999999999999995</v>
      </c>
      <c r="O12" s="1">
        <v>0.46</v>
      </c>
      <c r="P12" s="1">
        <v>0.6</v>
      </c>
      <c r="Q12" s="1">
        <v>0.47</v>
      </c>
      <c r="R12" s="1">
        <v>0.44</v>
      </c>
      <c r="S12" s="1">
        <v>0.62</v>
      </c>
      <c r="T12" s="1">
        <f t="shared" si="0"/>
        <v>0.62</v>
      </c>
    </row>
    <row r="13" spans="1:20" ht="25" customHeight="1">
      <c r="A13" t="s">
        <v>18</v>
      </c>
      <c r="B13">
        <v>2</v>
      </c>
      <c r="C13" t="s">
        <v>23</v>
      </c>
      <c r="D13" t="b">
        <v>0</v>
      </c>
      <c r="E13">
        <v>3</v>
      </c>
      <c r="F13" t="s">
        <v>22</v>
      </c>
      <c r="G13" t="str">
        <f>_xlfn.LET(_xlpm.attr,Table1[[#This Row],[attribute]],_xlpm.spl,LEFT(Table1[[#This Row],[supplemented]],1),_xlfn.TEXTJOIN("-",TRUE,_xlpm.attr,_xlpm.spl,"3k-mgv3"))</f>
        <v>gender-F-3k-mgv3</v>
      </c>
      <c r="H13" s="1">
        <v>0.45</v>
      </c>
      <c r="I13" s="1">
        <v>0.66</v>
      </c>
      <c r="J13" s="1">
        <v>0.51</v>
      </c>
      <c r="K13" s="1">
        <v>0.56000000000000005</v>
      </c>
      <c r="L13" s="1">
        <v>0.5</v>
      </c>
      <c r="M13" s="1">
        <v>0.61</v>
      </c>
      <c r="N13" s="1">
        <v>0.48</v>
      </c>
      <c r="O13" s="1">
        <v>0.53</v>
      </c>
      <c r="P13" s="1">
        <v>0.54</v>
      </c>
      <c r="Q13" s="1">
        <v>0.51</v>
      </c>
      <c r="R13" s="1">
        <v>0.54</v>
      </c>
      <c r="S13" s="1">
        <v>0.54</v>
      </c>
      <c r="T13" s="1">
        <f t="shared" si="0"/>
        <v>0.66</v>
      </c>
    </row>
    <row r="14" spans="1:20" ht="25" customHeight="1">
      <c r="A14" t="s">
        <v>18</v>
      </c>
      <c r="B14">
        <v>3</v>
      </c>
      <c r="C14" t="s">
        <v>19</v>
      </c>
      <c r="D14" t="b">
        <v>1</v>
      </c>
      <c r="E14">
        <v>1</v>
      </c>
      <c r="F14" t="s">
        <v>20</v>
      </c>
      <c r="G14" t="str">
        <f>_xlfn.LET(_xlpm.attr,Table1[[#This Row],[attribute]],_xlpm.spl,LEFT(Table1[[#This Row],[supplemented]],1),_xlfn.TEXTJOIN("-",TRUE,_xlpm.attr,_xlpm.spl,"3k-mgv3"))</f>
        <v>case-T-3k-mgv3</v>
      </c>
      <c r="H14" s="1">
        <v>0.35</v>
      </c>
      <c r="I14" s="1">
        <v>0.47</v>
      </c>
      <c r="J14" s="1">
        <v>0.37</v>
      </c>
      <c r="K14" s="1">
        <v>0.44</v>
      </c>
      <c r="L14" s="1">
        <v>0.33</v>
      </c>
      <c r="M14" s="1">
        <v>0.43</v>
      </c>
      <c r="N14" s="1">
        <v>0.35</v>
      </c>
      <c r="O14" s="1">
        <v>0.43</v>
      </c>
      <c r="P14" s="1">
        <v>0.33</v>
      </c>
      <c r="Q14" s="1">
        <v>0.28999999999999998</v>
      </c>
      <c r="R14" s="1">
        <v>0.33</v>
      </c>
      <c r="S14" s="1">
        <v>0.33</v>
      </c>
      <c r="T14" s="1">
        <f t="shared" si="0"/>
        <v>0.47</v>
      </c>
    </row>
    <row r="15" spans="1:20" ht="25" customHeight="1">
      <c r="A15" t="s">
        <v>18</v>
      </c>
      <c r="B15">
        <v>3</v>
      </c>
      <c r="C15" t="s">
        <v>19</v>
      </c>
      <c r="D15" t="b">
        <v>1</v>
      </c>
      <c r="E15">
        <v>2</v>
      </c>
      <c r="F15" t="s">
        <v>21</v>
      </c>
      <c r="G15" t="str">
        <f>_xlfn.LET(_xlpm.attr,Table1[[#This Row],[attribute]],_xlpm.spl,LEFT(Table1[[#This Row],[supplemented]],1),_xlfn.TEXTJOIN("-",TRUE,_xlpm.attr,_xlpm.spl,"3k-mgv3"))</f>
        <v>case-T-3k-mgv3</v>
      </c>
      <c r="H15" s="1">
        <v>0.45</v>
      </c>
      <c r="I15" s="1">
        <v>0.43</v>
      </c>
      <c r="J15" s="1">
        <v>0.38</v>
      </c>
      <c r="K15" s="1">
        <v>0.43</v>
      </c>
      <c r="L15" s="1">
        <v>0.34</v>
      </c>
      <c r="M15" s="1">
        <v>0.42</v>
      </c>
      <c r="N15" s="1">
        <v>0.34</v>
      </c>
      <c r="O15" s="1">
        <v>0.38</v>
      </c>
      <c r="P15" s="1">
        <v>0.4</v>
      </c>
      <c r="Q15" s="1">
        <v>0.39</v>
      </c>
      <c r="R15" s="1">
        <v>0.38</v>
      </c>
      <c r="S15" s="1">
        <v>0.42</v>
      </c>
      <c r="T15" s="1">
        <f t="shared" si="0"/>
        <v>0.45</v>
      </c>
    </row>
    <row r="16" spans="1:20" ht="25" customHeight="1">
      <c r="A16" t="s">
        <v>18</v>
      </c>
      <c r="B16">
        <v>3</v>
      </c>
      <c r="C16" t="s">
        <v>19</v>
      </c>
      <c r="D16" t="b">
        <v>1</v>
      </c>
      <c r="E16">
        <v>3</v>
      </c>
      <c r="F16" t="s">
        <v>22</v>
      </c>
      <c r="G16" t="str">
        <f>_xlfn.LET(_xlpm.attr,Table1[[#This Row],[attribute]],_xlpm.spl,LEFT(Table1[[#This Row],[supplemented]],1),_xlfn.TEXTJOIN("-",TRUE,_xlpm.attr,_xlpm.spl,"3k-mgv3"))</f>
        <v>case-T-3k-mgv3</v>
      </c>
      <c r="H16" s="1">
        <v>0.36</v>
      </c>
      <c r="I16" s="1">
        <v>0.27</v>
      </c>
      <c r="J16" s="1">
        <v>0.23</v>
      </c>
      <c r="K16" s="1">
        <v>0.4</v>
      </c>
      <c r="L16" s="1">
        <v>0.34</v>
      </c>
      <c r="M16" s="1">
        <v>0.33</v>
      </c>
      <c r="N16" s="1">
        <v>0.37</v>
      </c>
      <c r="O16" s="1">
        <v>0.34</v>
      </c>
      <c r="P16" s="1">
        <v>0.3</v>
      </c>
      <c r="Q16" s="1">
        <v>0.38</v>
      </c>
      <c r="R16" s="1">
        <v>0.32</v>
      </c>
      <c r="S16" s="1">
        <v>0.39</v>
      </c>
      <c r="T16" s="1">
        <f t="shared" si="0"/>
        <v>0.4</v>
      </c>
    </row>
    <row r="17" spans="1:20" ht="25" customHeight="1">
      <c r="A17" t="s">
        <v>18</v>
      </c>
      <c r="B17">
        <v>3</v>
      </c>
      <c r="C17" t="s">
        <v>19</v>
      </c>
      <c r="D17" t="b">
        <v>0</v>
      </c>
      <c r="E17">
        <v>1</v>
      </c>
      <c r="F17" t="s">
        <v>20</v>
      </c>
      <c r="G17" t="str">
        <f>_xlfn.LET(_xlpm.attr,Table1[[#This Row],[attribute]],_xlpm.spl,LEFT(Table1[[#This Row],[supplemented]],1),_xlfn.TEXTJOIN("-",TRUE,_xlpm.attr,_xlpm.spl,"3k-mgv3"))</f>
        <v>case-F-3k-mgv3</v>
      </c>
      <c r="H17" s="1">
        <v>0.41</v>
      </c>
      <c r="I17" s="1">
        <v>0.47</v>
      </c>
      <c r="J17" s="1">
        <v>0.32</v>
      </c>
      <c r="K17" s="1">
        <v>0.33</v>
      </c>
      <c r="L17" s="1">
        <v>0.33</v>
      </c>
      <c r="M17" s="1">
        <v>0.38</v>
      </c>
      <c r="N17" s="1">
        <v>0.35</v>
      </c>
      <c r="O17" s="1">
        <v>0.28000000000000003</v>
      </c>
      <c r="P17" s="1">
        <v>0.28000000000000003</v>
      </c>
      <c r="Q17" s="1">
        <v>0.39</v>
      </c>
      <c r="R17" s="1">
        <v>0.34</v>
      </c>
      <c r="S17" s="1">
        <v>0.35</v>
      </c>
      <c r="T17" s="1">
        <f t="shared" si="0"/>
        <v>0.47</v>
      </c>
    </row>
    <row r="18" spans="1:20" ht="25" customHeight="1">
      <c r="A18" t="s">
        <v>18</v>
      </c>
      <c r="B18">
        <v>3</v>
      </c>
      <c r="C18" t="s">
        <v>19</v>
      </c>
      <c r="D18" t="b">
        <v>0</v>
      </c>
      <c r="E18">
        <v>2</v>
      </c>
      <c r="F18" t="s">
        <v>21</v>
      </c>
      <c r="G18" t="str">
        <f>_xlfn.LET(_xlpm.attr,Table1[[#This Row],[attribute]],_xlpm.spl,LEFT(Table1[[#This Row],[supplemented]],1),_xlfn.TEXTJOIN("-",TRUE,_xlpm.attr,_xlpm.spl,"3k-mgv3"))</f>
        <v>case-F-3k-mgv3</v>
      </c>
      <c r="H18" s="1">
        <v>0.41</v>
      </c>
      <c r="I18" s="1">
        <v>0.45</v>
      </c>
      <c r="J18" s="1">
        <v>0.34</v>
      </c>
      <c r="K18" s="1">
        <v>0.53</v>
      </c>
      <c r="L18" s="1">
        <v>0.39</v>
      </c>
      <c r="M18" s="1">
        <v>0.36</v>
      </c>
      <c r="N18" s="1">
        <v>0.35</v>
      </c>
      <c r="O18" s="1">
        <v>0.42</v>
      </c>
      <c r="P18" s="1">
        <v>0.34</v>
      </c>
      <c r="Q18" s="1">
        <v>0.42</v>
      </c>
      <c r="R18" s="1">
        <v>0.41</v>
      </c>
      <c r="S18" s="1">
        <v>0.43</v>
      </c>
      <c r="T18" s="1">
        <f t="shared" si="0"/>
        <v>0.53</v>
      </c>
    </row>
    <row r="19" spans="1:20" ht="25" customHeight="1">
      <c r="A19" t="s">
        <v>18</v>
      </c>
      <c r="B19">
        <v>3</v>
      </c>
      <c r="C19" t="s">
        <v>19</v>
      </c>
      <c r="D19" t="b">
        <v>0</v>
      </c>
      <c r="E19">
        <v>3</v>
      </c>
      <c r="F19" t="s">
        <v>22</v>
      </c>
      <c r="G19" t="str">
        <f>_xlfn.LET(_xlpm.attr,Table1[[#This Row],[attribute]],_xlpm.spl,LEFT(Table1[[#This Row],[supplemented]],1),_xlfn.TEXTJOIN("-",TRUE,_xlpm.attr,_xlpm.spl,"3k-mgv3"))</f>
        <v>case-F-3k-mgv3</v>
      </c>
      <c r="H19" s="1">
        <v>0.34</v>
      </c>
      <c r="I19" s="1">
        <v>0.27</v>
      </c>
      <c r="J19" s="1">
        <v>0.27</v>
      </c>
      <c r="K19" s="1">
        <v>0.35</v>
      </c>
      <c r="L19" s="1">
        <v>0.32</v>
      </c>
      <c r="M19" s="1">
        <v>0.38</v>
      </c>
      <c r="N19" s="1">
        <v>0.3</v>
      </c>
      <c r="O19" s="1">
        <v>0.38</v>
      </c>
      <c r="P19" s="1">
        <v>0.31</v>
      </c>
      <c r="Q19" s="1">
        <v>0.33</v>
      </c>
      <c r="R19" s="1">
        <v>0.38</v>
      </c>
      <c r="S19" s="1">
        <v>0.31</v>
      </c>
      <c r="T19" s="1">
        <f t="shared" si="0"/>
        <v>0.38</v>
      </c>
    </row>
    <row r="22" spans="1:20" ht="25" customHeight="1">
      <c r="B22" t="s">
        <v>1</v>
      </c>
      <c r="C22" t="s">
        <v>2</v>
      </c>
      <c r="D22" t="s">
        <v>25</v>
      </c>
      <c r="E22" t="s">
        <v>3</v>
      </c>
      <c r="F22" t="s">
        <v>4</v>
      </c>
      <c r="G22" t="s">
        <v>26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14</v>
      </c>
      <c r="R22" t="s">
        <v>15</v>
      </c>
      <c r="S22" t="s">
        <v>16</v>
      </c>
      <c r="T22" t="s">
        <v>17</v>
      </c>
    </row>
    <row r="23" spans="1:20" ht="25" customHeight="1">
      <c r="B23">
        <v>1</v>
      </c>
      <c r="C23" t="s">
        <v>24</v>
      </c>
      <c r="D23" t="b">
        <v>1</v>
      </c>
      <c r="E23">
        <v>0</v>
      </c>
      <c r="F23" t="s">
        <v>17</v>
      </c>
      <c r="G23" t="str">
        <f>_xlfn.LET(_xlpm.attr,Table6189[[#This Row],[attribute]],_xlpm.spl,LEFT(Table6189[[#This Row],[supplemented]],1),_xlfn.TEXTJOIN("-",TRUE,_xlpm.attr,_xlpm.spl,"3k-mgv3"))</f>
        <v>plurality-T-3k-mgv3</v>
      </c>
      <c r="H23" s="2" cm="1">
        <f t="array" ref="H23">_xlfn.LET(_xlpm.d,H$2:H$19,_xlpm.a,$C$2:$C$19=$C23,_xlpm.b,$D$2:$D$19=$D23,MAX(_xlfn._xlws.FILTER(_xlpm.d,_xlpm.a*_xlpm.b)))</f>
        <v>0.83</v>
      </c>
      <c r="I23" s="2" cm="1">
        <f t="array" ref="I23">_xlfn.LET(_xlpm.d,I$2:I$19,_xlpm.a,$C$2:$C$19=$C23,_xlpm.b,$D$2:$D$19=$D23,MAX(_xlfn._xlws.FILTER(_xlpm.d,_xlpm.a*_xlpm.b)))</f>
        <v>0.82</v>
      </c>
      <c r="J23" s="2" cm="1">
        <f t="array" ref="J23">_xlfn.LET(_xlpm.d,J$2:J$19,_xlpm.a,$C$2:$C$19=$C23,_xlpm.b,$D$2:$D$19=$D23,MAX(_xlfn._xlws.FILTER(_xlpm.d,_xlpm.a*_xlpm.b)))</f>
        <v>0.85</v>
      </c>
      <c r="K23" s="2" cm="1">
        <f t="array" ref="K23">_xlfn.LET(_xlpm.d,K$2:K$19,_xlpm.a,$C$2:$C$19=$C23,_xlpm.b,$D$2:$D$19=$D23,MAX(_xlfn._xlws.FILTER(_xlpm.d,_xlpm.a*_xlpm.b)))</f>
        <v>0.8</v>
      </c>
      <c r="L23" s="2" cm="1">
        <f t="array" ref="L23">_xlfn.LET(_xlpm.d,L$2:L$19,_xlpm.a,$C$2:$C$19=$C23,_xlpm.b,$D$2:$D$19=$D23,MAX(_xlfn._xlws.FILTER(_xlpm.d,_xlpm.a*_xlpm.b)))</f>
        <v>0.79</v>
      </c>
      <c r="M23" s="2" cm="1">
        <f t="array" ref="M23">_xlfn.LET(_xlpm.d,M$2:M$19,_xlpm.a,$C$2:$C$19=$C23,_xlpm.b,$D$2:$D$19=$D23,MAX(_xlfn._xlws.FILTER(_xlpm.d,_xlpm.a*_xlpm.b)))</f>
        <v>0.81</v>
      </c>
      <c r="N23" s="2" cm="1">
        <f t="array" ref="N23">_xlfn.LET(_xlpm.d,N$2:N$19,_xlpm.a,$C$2:$C$19=$C23,_xlpm.b,$D$2:$D$19=$D23,MAX(_xlfn._xlws.FILTER(_xlpm.d,_xlpm.a*_xlpm.b)))</f>
        <v>0.87</v>
      </c>
      <c r="O23" s="2" cm="1">
        <f t="array" ref="O23">_xlfn.LET(_xlpm.d,O$2:O$19,_xlpm.a,$C$2:$C$19=$C23,_xlpm.b,$D$2:$D$19=$D23,MAX(_xlfn._xlws.FILTER(_xlpm.d,_xlpm.a*_xlpm.b)))</f>
        <v>0.91</v>
      </c>
      <c r="P23" s="2" cm="1">
        <f t="array" ref="P23">_xlfn.LET(_xlpm.d,P$2:P$19,_xlpm.a,$C$2:$C$19=$C23,_xlpm.b,$D$2:$D$19=$D23,MAX(_xlfn._xlws.FILTER(_xlpm.d,_xlpm.a*_xlpm.b)))</f>
        <v>0.84</v>
      </c>
      <c r="Q23" s="2" cm="1">
        <f t="array" ref="Q23">_xlfn.LET(_xlpm.d,Q$2:Q$19,_xlpm.a,$C$2:$C$19=$C23,_xlpm.b,$D$2:$D$19=$D23,MAX(_xlfn._xlws.FILTER(_xlpm.d,_xlpm.a*_xlpm.b)))</f>
        <v>0.8</v>
      </c>
      <c r="R23" s="2" cm="1">
        <f t="array" ref="R23">_xlfn.LET(_xlpm.d,R$2:R$19,_xlpm.a,$C$2:$C$19=$C23,_xlpm.b,$D$2:$D$19=$D23,MAX(_xlfn._xlws.FILTER(_xlpm.d,_xlpm.a*_xlpm.b)))</f>
        <v>0.88</v>
      </c>
      <c r="S23" s="2" cm="1">
        <f t="array" ref="S23">_xlfn.LET(_xlpm.d,S$2:S$19,_xlpm.a,$C$2:$C$19=$C23,_xlpm.b,$D$2:$D$19=$D23,MAX(_xlfn._xlws.FILTER(_xlpm.d,_xlpm.a*_xlpm.b)))</f>
        <v>0.78</v>
      </c>
      <c r="T23" s="2" cm="1">
        <f t="array" ref="T23">_xlfn.LET(_xlpm.d,T$2:T$19,_xlpm.a,$C$2:$C$19=$C23,_xlpm.b,$D$2:$D$19=$D23,MAX(_xlfn._xlws.FILTER(_xlpm.d,_xlpm.a*_xlpm.b)))</f>
        <v>0.91</v>
      </c>
    </row>
    <row r="24" spans="1:20" ht="25" customHeight="1">
      <c r="B24">
        <v>1</v>
      </c>
      <c r="C24" t="s">
        <v>24</v>
      </c>
      <c r="D24" t="b">
        <v>0</v>
      </c>
      <c r="E24">
        <v>0</v>
      </c>
      <c r="F24" t="s">
        <v>17</v>
      </c>
      <c r="G24" t="str">
        <f>_xlfn.LET(_xlpm.attr,Table6189[[#This Row],[attribute]],_xlpm.spl,LEFT(Table6189[[#This Row],[supplemented]],1),_xlfn.TEXTJOIN("-",TRUE,_xlpm.attr,_xlpm.spl,"3k-mgv3"))</f>
        <v>plurality-F-3k-mgv3</v>
      </c>
      <c r="H24" s="2" cm="1">
        <f t="array" ref="H24">_xlfn.LET(_xlpm.d,H$2:H$19,_xlpm.a,$C$2:$C$19=$C24,_xlpm.b,$D$2:$D$19=$D24,MAX(_xlfn._xlws.FILTER(_xlpm.d,_xlpm.a*_xlpm.b)))</f>
        <v>0.79</v>
      </c>
      <c r="I24" s="2" cm="1">
        <f t="array" ref="I24">_xlfn.LET(_xlpm.d,I$2:I$19,_xlpm.a,$C$2:$C$19=$C24,_xlpm.b,$D$2:$D$19=$D24,MAX(_xlfn._xlws.FILTER(_xlpm.d,_xlpm.a*_xlpm.b)))</f>
        <v>0.81</v>
      </c>
      <c r="J24" s="2" cm="1">
        <f t="array" ref="J24">_xlfn.LET(_xlpm.d,J$2:J$19,_xlpm.a,$C$2:$C$19=$C24,_xlpm.b,$D$2:$D$19=$D24,MAX(_xlfn._xlws.FILTER(_xlpm.d,_xlpm.a*_xlpm.b)))</f>
        <v>0.82</v>
      </c>
      <c r="K24" s="2" cm="1">
        <f t="array" ref="K24">_xlfn.LET(_xlpm.d,K$2:K$19,_xlpm.a,$C$2:$C$19=$C24,_xlpm.b,$D$2:$D$19=$D24,MAX(_xlfn._xlws.FILTER(_xlpm.d,_xlpm.a*_xlpm.b)))</f>
        <v>0.78</v>
      </c>
      <c r="L24" s="2" cm="1">
        <f t="array" ref="L24">_xlfn.LET(_xlpm.d,L$2:L$19,_xlpm.a,$C$2:$C$19=$C24,_xlpm.b,$D$2:$D$19=$D24,MAX(_xlfn._xlws.FILTER(_xlpm.d,_xlpm.a*_xlpm.b)))</f>
        <v>0.78</v>
      </c>
      <c r="M24" s="2" cm="1">
        <f t="array" ref="M24">_xlfn.LET(_xlpm.d,M$2:M$19,_xlpm.a,$C$2:$C$19=$C24,_xlpm.b,$D$2:$D$19=$D24,MAX(_xlfn._xlws.FILTER(_xlpm.d,_xlpm.a*_xlpm.b)))</f>
        <v>0.77</v>
      </c>
      <c r="N24" s="2" cm="1">
        <f t="array" ref="N24">_xlfn.LET(_xlpm.d,N$2:N$19,_xlpm.a,$C$2:$C$19=$C24,_xlpm.b,$D$2:$D$19=$D24,MAX(_xlfn._xlws.FILTER(_xlpm.d,_xlpm.a*_xlpm.b)))</f>
        <v>0.84</v>
      </c>
      <c r="O24" s="2" cm="1">
        <f t="array" ref="O24">_xlfn.LET(_xlpm.d,O$2:O$19,_xlpm.a,$C$2:$C$19=$C24,_xlpm.b,$D$2:$D$19=$D24,MAX(_xlfn._xlws.FILTER(_xlpm.d,_xlpm.a*_xlpm.b)))</f>
        <v>0.86</v>
      </c>
      <c r="P24" s="2" cm="1">
        <f t="array" ref="P24">_xlfn.LET(_xlpm.d,P$2:P$19,_xlpm.a,$C$2:$C$19=$C24,_xlpm.b,$D$2:$D$19=$D24,MAX(_xlfn._xlws.FILTER(_xlpm.d,_xlpm.a*_xlpm.b)))</f>
        <v>0.78</v>
      </c>
      <c r="Q24" s="2" cm="1">
        <f t="array" ref="Q24">_xlfn.LET(_xlpm.d,Q$2:Q$19,_xlpm.a,$C$2:$C$19=$C24,_xlpm.b,$D$2:$D$19=$D24,MAX(_xlfn._xlws.FILTER(_xlpm.d,_xlpm.a*_xlpm.b)))</f>
        <v>0.83</v>
      </c>
      <c r="R24" s="2" cm="1">
        <f t="array" ref="R24">_xlfn.LET(_xlpm.d,R$2:R$19,_xlpm.a,$C$2:$C$19=$C24,_xlpm.b,$D$2:$D$19=$D24,MAX(_xlfn._xlws.FILTER(_xlpm.d,_xlpm.a*_xlpm.b)))</f>
        <v>0.83</v>
      </c>
      <c r="S24" s="2" cm="1">
        <f t="array" ref="S24">_xlfn.LET(_xlpm.d,S$2:S$19,_xlpm.a,$C$2:$C$19=$C24,_xlpm.b,$D$2:$D$19=$D24,MAX(_xlfn._xlws.FILTER(_xlpm.d,_xlpm.a*_xlpm.b)))</f>
        <v>0.78</v>
      </c>
      <c r="T24" s="2" cm="1">
        <f t="array" ref="T24">_xlfn.LET(_xlpm.d,T$2:T$19,_xlpm.a,$C$2:$C$19=$C24,_xlpm.b,$D$2:$D$19=$D24,MAX(_xlfn._xlws.FILTER(_xlpm.d,_xlpm.a*_xlpm.b)))</f>
        <v>0.86</v>
      </c>
    </row>
    <row r="25" spans="1:20" ht="25" customHeight="1">
      <c r="B25">
        <v>2</v>
      </c>
      <c r="C25" t="s">
        <v>23</v>
      </c>
      <c r="D25" t="b">
        <v>1</v>
      </c>
      <c r="E25">
        <v>0</v>
      </c>
      <c r="F25" t="s">
        <v>17</v>
      </c>
      <c r="G25" t="str">
        <f>_xlfn.LET(_xlpm.attr,Table6189[[#This Row],[attribute]],_xlpm.spl,LEFT(Table6189[[#This Row],[supplemented]],1),_xlfn.TEXTJOIN("-",TRUE,_xlpm.attr,_xlpm.spl,"3k-mgv3"))</f>
        <v>gender-T-3k-mgv3</v>
      </c>
      <c r="H25" s="2" cm="1">
        <f t="array" ref="H25">_xlfn.LET(_xlpm.d,H$2:H$19,_xlpm.a,$C$2:$C$19=$C25,_xlpm.b,$D$2:$D$19=$D25,MAX(_xlfn._xlws.FILTER(_xlpm.d,_xlpm.a*_xlpm.b)))</f>
        <v>0.5</v>
      </c>
      <c r="I25" s="2" cm="1">
        <f t="array" ref="I25">_xlfn.LET(_xlpm.d,I$2:I$19,_xlpm.a,$C$2:$C$19=$C25,_xlpm.b,$D$2:$D$19=$D25,MAX(_xlfn._xlws.FILTER(_xlpm.d,_xlpm.a*_xlpm.b)))</f>
        <v>0.63</v>
      </c>
      <c r="J25" s="2" cm="1">
        <f t="array" ref="J25">_xlfn.LET(_xlpm.d,J$2:J$19,_xlpm.a,$C$2:$C$19=$C25,_xlpm.b,$D$2:$D$19=$D25,MAX(_xlfn._xlws.FILTER(_xlpm.d,_xlpm.a*_xlpm.b)))</f>
        <v>0.55000000000000004</v>
      </c>
      <c r="K25" s="2" cm="1">
        <f t="array" ref="K25">_xlfn.LET(_xlpm.d,K$2:K$19,_xlpm.a,$C$2:$C$19=$C25,_xlpm.b,$D$2:$D$19=$D25,MAX(_xlfn._xlws.FILTER(_xlpm.d,_xlpm.a*_xlpm.b)))</f>
        <v>0.62</v>
      </c>
      <c r="L25" s="2" cm="1">
        <f t="array" ref="L25">_xlfn.LET(_xlpm.d,L$2:L$19,_xlpm.a,$C$2:$C$19=$C25,_xlpm.b,$D$2:$D$19=$D25,MAX(_xlfn._xlws.FILTER(_xlpm.d,_xlpm.a*_xlpm.b)))</f>
        <v>0.55000000000000004</v>
      </c>
      <c r="M25" s="2" cm="1">
        <f t="array" ref="M25">_xlfn.LET(_xlpm.d,M$2:M$19,_xlpm.a,$C$2:$C$19=$C25,_xlpm.b,$D$2:$D$19=$D25,MAX(_xlfn._xlws.FILTER(_xlpm.d,_xlpm.a*_xlpm.b)))</f>
        <v>0.62</v>
      </c>
      <c r="N25" s="2" cm="1">
        <f t="array" ref="N25">_xlfn.LET(_xlpm.d,N$2:N$19,_xlpm.a,$C$2:$C$19=$C25,_xlpm.b,$D$2:$D$19=$D25,MAX(_xlfn._xlws.FILTER(_xlpm.d,_xlpm.a*_xlpm.b)))</f>
        <v>0.59</v>
      </c>
      <c r="O25" s="2" cm="1">
        <f t="array" ref="O25">_xlfn.LET(_xlpm.d,O$2:O$19,_xlpm.a,$C$2:$C$19=$C25,_xlpm.b,$D$2:$D$19=$D25,MAX(_xlfn._xlws.FILTER(_xlpm.d,_xlpm.a*_xlpm.b)))</f>
        <v>0.56000000000000005</v>
      </c>
      <c r="P25" s="2" cm="1">
        <f t="array" ref="P25">_xlfn.LET(_xlpm.d,P$2:P$19,_xlpm.a,$C$2:$C$19=$C25,_xlpm.b,$D$2:$D$19=$D25,MAX(_xlfn._xlws.FILTER(_xlpm.d,_xlpm.a*_xlpm.b)))</f>
        <v>0.59</v>
      </c>
      <c r="Q25" s="2" cm="1">
        <f t="array" ref="Q25">_xlfn.LET(_xlpm.d,Q$2:Q$19,_xlpm.a,$C$2:$C$19=$C25,_xlpm.b,$D$2:$D$19=$D25,MAX(_xlfn._xlws.FILTER(_xlpm.d,_xlpm.a*_xlpm.b)))</f>
        <v>0.52</v>
      </c>
      <c r="R25" s="2" cm="1">
        <f t="array" ref="R25">_xlfn.LET(_xlpm.d,R$2:R$19,_xlpm.a,$C$2:$C$19=$C25,_xlpm.b,$D$2:$D$19=$D25,MAX(_xlfn._xlws.FILTER(_xlpm.d,_xlpm.a*_xlpm.b)))</f>
        <v>0.5</v>
      </c>
      <c r="S25" s="2" cm="1">
        <f t="array" ref="S25">_xlfn.LET(_xlpm.d,S$2:S$19,_xlpm.a,$C$2:$C$19=$C25,_xlpm.b,$D$2:$D$19=$D25,MAX(_xlfn._xlws.FILTER(_xlpm.d,_xlpm.a*_xlpm.b)))</f>
        <v>0.55000000000000004</v>
      </c>
      <c r="T25" s="2" cm="1">
        <f t="array" ref="T25">_xlfn.LET(_xlpm.d,T$2:T$19,_xlpm.a,$C$2:$C$19=$C25,_xlpm.b,$D$2:$D$19=$D25,MAX(_xlfn._xlws.FILTER(_xlpm.d,_xlpm.a*_xlpm.b)))</f>
        <v>0.63</v>
      </c>
    </row>
    <row r="26" spans="1:20" ht="25" customHeight="1">
      <c r="B26">
        <v>2</v>
      </c>
      <c r="C26" t="s">
        <v>23</v>
      </c>
      <c r="D26" t="b">
        <v>0</v>
      </c>
      <c r="E26">
        <v>0</v>
      </c>
      <c r="F26" t="s">
        <v>17</v>
      </c>
      <c r="G26" t="str">
        <f>_xlfn.LET(_xlpm.attr,Table6189[[#This Row],[attribute]],_xlpm.spl,LEFT(Table6189[[#This Row],[supplemented]],1),_xlfn.TEXTJOIN("-",TRUE,_xlpm.attr,_xlpm.spl,"3k-mgv3"))</f>
        <v>gender-F-3k-mgv3</v>
      </c>
      <c r="H26" s="2" cm="1">
        <f t="array" ref="H26">_xlfn.LET(_xlpm.d,H$2:H$19,_xlpm.a,$C$2:$C$19=$C26,_xlpm.b,$D$2:$D$19=$D26,MAX(_xlfn._xlws.FILTER(_xlpm.d,_xlpm.a*_xlpm.b)))</f>
        <v>0.5</v>
      </c>
      <c r="I26" s="2" cm="1">
        <f t="array" ref="I26">_xlfn.LET(_xlpm.d,I$2:I$19,_xlpm.a,$C$2:$C$19=$C26,_xlpm.b,$D$2:$D$19=$D26,MAX(_xlfn._xlws.FILTER(_xlpm.d,_xlpm.a*_xlpm.b)))</f>
        <v>0.66</v>
      </c>
      <c r="J26" s="2" cm="1">
        <f t="array" ref="J26">_xlfn.LET(_xlpm.d,J$2:J$19,_xlpm.a,$C$2:$C$19=$C26,_xlpm.b,$D$2:$D$19=$D26,MAX(_xlfn._xlws.FILTER(_xlpm.d,_xlpm.a*_xlpm.b)))</f>
        <v>0.51</v>
      </c>
      <c r="K26" s="2" cm="1">
        <f t="array" ref="K26">_xlfn.LET(_xlpm.d,K$2:K$19,_xlpm.a,$C$2:$C$19=$C26,_xlpm.b,$D$2:$D$19=$D26,MAX(_xlfn._xlws.FILTER(_xlpm.d,_xlpm.a*_xlpm.b)))</f>
        <v>0.56000000000000005</v>
      </c>
      <c r="L26" s="2" cm="1">
        <f t="array" ref="L26">_xlfn.LET(_xlpm.d,L$2:L$19,_xlpm.a,$C$2:$C$19=$C26,_xlpm.b,$D$2:$D$19=$D26,MAX(_xlfn._xlws.FILTER(_xlpm.d,_xlpm.a*_xlpm.b)))</f>
        <v>0.53</v>
      </c>
      <c r="M26" s="2" cm="1">
        <f t="array" ref="M26">_xlfn.LET(_xlpm.d,M$2:M$19,_xlpm.a,$C$2:$C$19=$C26,_xlpm.b,$D$2:$D$19=$D26,MAX(_xlfn._xlws.FILTER(_xlpm.d,_xlpm.a*_xlpm.b)))</f>
        <v>0.62</v>
      </c>
      <c r="N26" s="2" cm="1">
        <f t="array" ref="N26">_xlfn.LET(_xlpm.d,N$2:N$19,_xlpm.a,$C$2:$C$19=$C26,_xlpm.b,$D$2:$D$19=$D26,MAX(_xlfn._xlws.FILTER(_xlpm.d,_xlpm.a*_xlpm.b)))</f>
        <v>0.56999999999999995</v>
      </c>
      <c r="O26" s="2" cm="1">
        <f t="array" ref="O26">_xlfn.LET(_xlpm.d,O$2:O$19,_xlpm.a,$C$2:$C$19=$C26,_xlpm.b,$D$2:$D$19=$D26,MAX(_xlfn._xlws.FILTER(_xlpm.d,_xlpm.a*_xlpm.b)))</f>
        <v>0.53</v>
      </c>
      <c r="P26" s="2" cm="1">
        <f t="array" ref="P26">_xlfn.LET(_xlpm.d,P$2:P$19,_xlpm.a,$C$2:$C$19=$C26,_xlpm.b,$D$2:$D$19=$D26,MAX(_xlfn._xlws.FILTER(_xlpm.d,_xlpm.a*_xlpm.b)))</f>
        <v>0.6</v>
      </c>
      <c r="Q26" s="2" cm="1">
        <f t="array" ref="Q26">_xlfn.LET(_xlpm.d,Q$2:Q$19,_xlpm.a,$C$2:$C$19=$C26,_xlpm.b,$D$2:$D$19=$D26,MAX(_xlfn._xlws.FILTER(_xlpm.d,_xlpm.a*_xlpm.b)))</f>
        <v>0.51</v>
      </c>
      <c r="R26" s="2" cm="1">
        <f t="array" ref="R26">_xlfn.LET(_xlpm.d,R$2:R$19,_xlpm.a,$C$2:$C$19=$C26,_xlpm.b,$D$2:$D$19=$D26,MAX(_xlfn._xlws.FILTER(_xlpm.d,_xlpm.a*_xlpm.b)))</f>
        <v>0.54</v>
      </c>
      <c r="S26" s="2" cm="1">
        <f t="array" ref="S26">_xlfn.LET(_xlpm.d,S$2:S$19,_xlpm.a,$C$2:$C$19=$C26,_xlpm.b,$D$2:$D$19=$D26,MAX(_xlfn._xlws.FILTER(_xlpm.d,_xlpm.a*_xlpm.b)))</f>
        <v>0.62</v>
      </c>
      <c r="T26" s="2" cm="1">
        <f t="array" ref="T26">_xlfn.LET(_xlpm.d,T$2:T$19,_xlpm.a,$C$2:$C$19=$C26,_xlpm.b,$D$2:$D$19=$D26,MAX(_xlfn._xlws.FILTER(_xlpm.d,_xlpm.a*_xlpm.b)))</f>
        <v>0.66</v>
      </c>
    </row>
    <row r="27" spans="1:20" ht="25" customHeight="1">
      <c r="B27">
        <v>3</v>
      </c>
      <c r="C27" t="s">
        <v>19</v>
      </c>
      <c r="D27" t="b">
        <v>1</v>
      </c>
      <c r="E27">
        <v>0</v>
      </c>
      <c r="F27" t="s">
        <v>17</v>
      </c>
      <c r="G27" t="str">
        <f>_xlfn.LET(_xlpm.attr,Table6189[[#This Row],[attribute]],_xlpm.spl,LEFT(Table6189[[#This Row],[supplemented]],1),_xlfn.TEXTJOIN("-",TRUE,_xlpm.attr,_xlpm.spl,"3k-mgv3"))</f>
        <v>case-T-3k-mgv3</v>
      </c>
      <c r="H27" s="2" cm="1">
        <f t="array" ref="H27">_xlfn.LET(_xlpm.d,H$2:H$19,_xlpm.a,$C$2:$C$19=$C27,_xlpm.b,$D$2:$D$19=$D27,MAX(_xlfn._xlws.FILTER(_xlpm.d,_xlpm.a*_xlpm.b)))</f>
        <v>0.45</v>
      </c>
      <c r="I27" s="2" cm="1">
        <f t="array" ref="I27">_xlfn.LET(_xlpm.d,I$2:I$19,_xlpm.a,$C$2:$C$19=$C27,_xlpm.b,$D$2:$D$19=$D27,MAX(_xlfn._xlws.FILTER(_xlpm.d,_xlpm.a*_xlpm.b)))</f>
        <v>0.47</v>
      </c>
      <c r="J27" s="2" cm="1">
        <f t="array" ref="J27">_xlfn.LET(_xlpm.d,J$2:J$19,_xlpm.a,$C$2:$C$19=$C27,_xlpm.b,$D$2:$D$19=$D27,MAX(_xlfn._xlws.FILTER(_xlpm.d,_xlpm.a*_xlpm.b)))</f>
        <v>0.38</v>
      </c>
      <c r="K27" s="2" cm="1">
        <f t="array" ref="K27">_xlfn.LET(_xlpm.d,K$2:K$19,_xlpm.a,$C$2:$C$19=$C27,_xlpm.b,$D$2:$D$19=$D27,MAX(_xlfn._xlws.FILTER(_xlpm.d,_xlpm.a*_xlpm.b)))</f>
        <v>0.44</v>
      </c>
      <c r="L27" s="2" cm="1">
        <f t="array" ref="L27">_xlfn.LET(_xlpm.d,L$2:L$19,_xlpm.a,$C$2:$C$19=$C27,_xlpm.b,$D$2:$D$19=$D27,MAX(_xlfn._xlws.FILTER(_xlpm.d,_xlpm.a*_xlpm.b)))</f>
        <v>0.34</v>
      </c>
      <c r="M27" s="2" cm="1">
        <f t="array" ref="M27">_xlfn.LET(_xlpm.d,M$2:M$19,_xlpm.a,$C$2:$C$19=$C27,_xlpm.b,$D$2:$D$19=$D27,MAX(_xlfn._xlws.FILTER(_xlpm.d,_xlpm.a*_xlpm.b)))</f>
        <v>0.43</v>
      </c>
      <c r="N27" s="2" cm="1">
        <f t="array" ref="N27">_xlfn.LET(_xlpm.d,N$2:N$19,_xlpm.a,$C$2:$C$19=$C27,_xlpm.b,$D$2:$D$19=$D27,MAX(_xlfn._xlws.FILTER(_xlpm.d,_xlpm.a*_xlpm.b)))</f>
        <v>0.37</v>
      </c>
      <c r="O27" s="2" cm="1">
        <f t="array" ref="O27">_xlfn.LET(_xlpm.d,O$2:O$19,_xlpm.a,$C$2:$C$19=$C27,_xlpm.b,$D$2:$D$19=$D27,MAX(_xlfn._xlws.FILTER(_xlpm.d,_xlpm.a*_xlpm.b)))</f>
        <v>0.43</v>
      </c>
      <c r="P27" s="2" cm="1">
        <f t="array" ref="P27">_xlfn.LET(_xlpm.d,P$2:P$19,_xlpm.a,$C$2:$C$19=$C27,_xlpm.b,$D$2:$D$19=$D27,MAX(_xlfn._xlws.FILTER(_xlpm.d,_xlpm.a*_xlpm.b)))</f>
        <v>0.4</v>
      </c>
      <c r="Q27" s="2" cm="1">
        <f t="array" ref="Q27">_xlfn.LET(_xlpm.d,Q$2:Q$19,_xlpm.a,$C$2:$C$19=$C27,_xlpm.b,$D$2:$D$19=$D27,MAX(_xlfn._xlws.FILTER(_xlpm.d,_xlpm.a*_xlpm.b)))</f>
        <v>0.39</v>
      </c>
      <c r="R27" s="2" cm="1">
        <f t="array" ref="R27">_xlfn.LET(_xlpm.d,R$2:R$19,_xlpm.a,$C$2:$C$19=$C27,_xlpm.b,$D$2:$D$19=$D27,MAX(_xlfn._xlws.FILTER(_xlpm.d,_xlpm.a*_xlpm.b)))</f>
        <v>0.38</v>
      </c>
      <c r="S27" s="2" cm="1">
        <f t="array" ref="S27">_xlfn.LET(_xlpm.d,S$2:S$19,_xlpm.a,$C$2:$C$19=$C27,_xlpm.b,$D$2:$D$19=$D27,MAX(_xlfn._xlws.FILTER(_xlpm.d,_xlpm.a*_xlpm.b)))</f>
        <v>0.42</v>
      </c>
      <c r="T27" s="2" cm="1">
        <f t="array" ref="T27">_xlfn.LET(_xlpm.d,T$2:T$19,_xlpm.a,$C$2:$C$19=$C27,_xlpm.b,$D$2:$D$19=$D27,MAX(_xlfn._xlws.FILTER(_xlpm.d,_xlpm.a*_xlpm.b)))</f>
        <v>0.47</v>
      </c>
    </row>
    <row r="28" spans="1:20" ht="25" customHeight="1">
      <c r="B28">
        <v>3</v>
      </c>
      <c r="C28" t="s">
        <v>19</v>
      </c>
      <c r="D28" t="b">
        <v>0</v>
      </c>
      <c r="E28">
        <v>0</v>
      </c>
      <c r="F28" t="s">
        <v>17</v>
      </c>
      <c r="G28" t="str">
        <f>_xlfn.LET(_xlpm.attr,Table6189[[#This Row],[attribute]],_xlpm.spl,LEFT(Table6189[[#This Row],[supplemented]],1),_xlfn.TEXTJOIN("-",TRUE,_xlpm.attr,_xlpm.spl,"3k-mgv3"))</f>
        <v>case-F-3k-mgv3</v>
      </c>
      <c r="H28" s="2" cm="1">
        <f t="array" ref="H28">_xlfn.LET(_xlpm.d,H$2:H$19,_xlpm.a,$C$2:$C$19=$C28,_xlpm.b,$D$2:$D$19=$D28,MAX(_xlfn._xlws.FILTER(_xlpm.d,_xlpm.a*_xlpm.b)))</f>
        <v>0.41</v>
      </c>
      <c r="I28" s="2" cm="1">
        <f t="array" ref="I28">_xlfn.LET(_xlpm.d,I$2:I$19,_xlpm.a,$C$2:$C$19=$C28,_xlpm.b,$D$2:$D$19=$D28,MAX(_xlfn._xlws.FILTER(_xlpm.d,_xlpm.a*_xlpm.b)))</f>
        <v>0.47</v>
      </c>
      <c r="J28" s="2" cm="1">
        <f t="array" ref="J28">_xlfn.LET(_xlpm.d,J$2:J$19,_xlpm.a,$C$2:$C$19=$C28,_xlpm.b,$D$2:$D$19=$D28,MAX(_xlfn._xlws.FILTER(_xlpm.d,_xlpm.a*_xlpm.b)))</f>
        <v>0.34</v>
      </c>
      <c r="K28" s="2" cm="1">
        <f t="array" ref="K28">_xlfn.LET(_xlpm.d,K$2:K$19,_xlpm.a,$C$2:$C$19=$C28,_xlpm.b,$D$2:$D$19=$D28,MAX(_xlfn._xlws.FILTER(_xlpm.d,_xlpm.a*_xlpm.b)))</f>
        <v>0.53</v>
      </c>
      <c r="L28" s="2" cm="1">
        <f t="array" ref="L28">_xlfn.LET(_xlpm.d,L$2:L$19,_xlpm.a,$C$2:$C$19=$C28,_xlpm.b,$D$2:$D$19=$D28,MAX(_xlfn._xlws.FILTER(_xlpm.d,_xlpm.a*_xlpm.b)))</f>
        <v>0.39</v>
      </c>
      <c r="M28" s="2" cm="1">
        <f t="array" ref="M28">_xlfn.LET(_xlpm.d,M$2:M$19,_xlpm.a,$C$2:$C$19=$C28,_xlpm.b,$D$2:$D$19=$D28,MAX(_xlfn._xlws.FILTER(_xlpm.d,_xlpm.a*_xlpm.b)))</f>
        <v>0.38</v>
      </c>
      <c r="N28" s="2" cm="1">
        <f t="array" ref="N28">_xlfn.LET(_xlpm.d,N$2:N$19,_xlpm.a,$C$2:$C$19=$C28,_xlpm.b,$D$2:$D$19=$D28,MAX(_xlfn._xlws.FILTER(_xlpm.d,_xlpm.a*_xlpm.b)))</f>
        <v>0.35</v>
      </c>
      <c r="O28" s="2" cm="1">
        <f t="array" ref="O28">_xlfn.LET(_xlpm.d,O$2:O$19,_xlpm.a,$C$2:$C$19=$C28,_xlpm.b,$D$2:$D$19=$D28,MAX(_xlfn._xlws.FILTER(_xlpm.d,_xlpm.a*_xlpm.b)))</f>
        <v>0.42</v>
      </c>
      <c r="P28" s="2" cm="1">
        <f t="array" ref="P28">_xlfn.LET(_xlpm.d,P$2:P$19,_xlpm.a,$C$2:$C$19=$C28,_xlpm.b,$D$2:$D$19=$D28,MAX(_xlfn._xlws.FILTER(_xlpm.d,_xlpm.a*_xlpm.b)))</f>
        <v>0.34</v>
      </c>
      <c r="Q28" s="2" cm="1">
        <f t="array" ref="Q28">_xlfn.LET(_xlpm.d,Q$2:Q$19,_xlpm.a,$C$2:$C$19=$C28,_xlpm.b,$D$2:$D$19=$D28,MAX(_xlfn._xlws.FILTER(_xlpm.d,_xlpm.a*_xlpm.b)))</f>
        <v>0.42</v>
      </c>
      <c r="R28" s="2" cm="1">
        <f t="array" ref="R28">_xlfn.LET(_xlpm.d,R$2:R$19,_xlpm.a,$C$2:$C$19=$C28,_xlpm.b,$D$2:$D$19=$D28,MAX(_xlfn._xlws.FILTER(_xlpm.d,_xlpm.a*_xlpm.b)))</f>
        <v>0.41</v>
      </c>
      <c r="S28" s="2" cm="1">
        <f t="array" ref="S28">_xlfn.LET(_xlpm.d,S$2:S$19,_xlpm.a,$C$2:$C$19=$C28,_xlpm.b,$D$2:$D$19=$D28,MAX(_xlfn._xlws.FILTER(_xlpm.d,_xlpm.a*_xlpm.b)))</f>
        <v>0.43</v>
      </c>
      <c r="T28" s="2" cm="1">
        <f t="array" ref="T28">_xlfn.LET(_xlpm.d,T$2:T$19,_xlpm.a,$C$2:$C$19=$C28,_xlpm.b,$D$2:$D$19=$D28,MAX(_xlfn._xlws.FILTER(_xlpm.d,_xlpm.a*_xlpm.b)))</f>
        <v>0.53</v>
      </c>
    </row>
  </sheetData>
  <conditionalFormatting sqref="H3:T19 H2:S2">
    <cfRule type="colorScale" priority="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T2:T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5FB6-F572-E544-8315-09B1963346C0}">
  <dimension ref="A1:T28"/>
  <sheetViews>
    <sheetView workbookViewId="0">
      <pane xSplit="12480" ySplit="4840" topLeftCell="P15" activePane="bottomLeft"/>
      <selection activeCell="D2" sqref="D2"/>
      <selection pane="topRight" activeCell="S3" sqref="S3"/>
      <selection pane="bottomLeft" activeCell="H23" sqref="H23:T28"/>
      <selection pane="bottomRight" activeCell="V24" sqref="V24"/>
    </sheetView>
  </sheetViews>
  <sheetFormatPr baseColWidth="10" defaultRowHeight="25" customHeight="1"/>
  <cols>
    <col min="1" max="6" width="8.625" customWidth="1"/>
    <col min="7" max="19" width="10.25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25</v>
      </c>
      <c r="E1" t="s">
        <v>3</v>
      </c>
      <c r="F1" t="s">
        <v>4</v>
      </c>
      <c r="G1" t="s">
        <v>26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ht="25" customHeight="1">
      <c r="A2" t="s">
        <v>18</v>
      </c>
      <c r="B2">
        <v>1</v>
      </c>
      <c r="C2" t="s">
        <v>24</v>
      </c>
      <c r="D2" t="b">
        <v>1</v>
      </c>
      <c r="E2">
        <v>1</v>
      </c>
      <c r="F2" t="s">
        <v>20</v>
      </c>
      <c r="G2" t="str">
        <f>_xlfn.LET(_xlpm.attr,Table4[[#This Row],[attribute]],_xlpm.spl,LEFT(Table4[[#This Row],[supplemented]],1),_xlfn.TEXTJOIN("-",TRUE,_xlpm.attr,_xlpm.spl,"3k-mgv3"))</f>
        <v>plurality-T-3k-mgv3</v>
      </c>
      <c r="H2" s="2">
        <v>0.77</v>
      </c>
      <c r="I2" s="2">
        <v>0.87</v>
      </c>
      <c r="J2" s="2">
        <v>0.8</v>
      </c>
      <c r="K2" s="2">
        <v>0.81</v>
      </c>
      <c r="L2" s="2">
        <v>0.72</v>
      </c>
      <c r="M2" s="2">
        <v>0.78</v>
      </c>
      <c r="N2" s="2">
        <v>0.81</v>
      </c>
      <c r="O2" s="2">
        <v>0.77</v>
      </c>
      <c r="P2" s="2">
        <v>0.83</v>
      </c>
      <c r="Q2" s="2">
        <v>0.83</v>
      </c>
      <c r="R2" s="2">
        <v>0.72</v>
      </c>
      <c r="S2" s="2">
        <v>0.78</v>
      </c>
      <c r="T2" s="2">
        <f t="shared" ref="T2:T19" si="0">MAX($H2,$S2)</f>
        <v>0.78</v>
      </c>
    </row>
    <row r="3" spans="1:20" ht="25" customHeight="1">
      <c r="A3" t="s">
        <v>18</v>
      </c>
      <c r="B3">
        <v>1</v>
      </c>
      <c r="C3" t="s">
        <v>24</v>
      </c>
      <c r="D3" t="b">
        <v>0</v>
      </c>
      <c r="E3">
        <v>3</v>
      </c>
      <c r="F3" t="s">
        <v>22</v>
      </c>
      <c r="G3" t="str">
        <f>_xlfn.LET(_xlpm.attr,Table4[[#This Row],[attribute]],_xlpm.spl,LEFT(Table4[[#This Row],[supplemented]],1),_xlfn.TEXTJOIN("-",TRUE,_xlpm.attr,_xlpm.spl,"3k-mgv3"))</f>
        <v>plurality-F-3k-mgv3</v>
      </c>
      <c r="H3" s="2">
        <v>0.74</v>
      </c>
      <c r="I3" s="2">
        <v>0.77</v>
      </c>
      <c r="J3" s="2">
        <v>0.79</v>
      </c>
      <c r="K3" s="2">
        <v>0.83</v>
      </c>
      <c r="L3" s="2">
        <v>0.78</v>
      </c>
      <c r="M3" s="2">
        <v>0.81</v>
      </c>
      <c r="N3" s="2">
        <v>0.75</v>
      </c>
      <c r="O3" s="2">
        <v>0.74</v>
      </c>
      <c r="P3" s="2">
        <v>0.73</v>
      </c>
      <c r="Q3" s="2">
        <v>0.8</v>
      </c>
      <c r="R3" s="2">
        <v>0.81</v>
      </c>
      <c r="S3" s="2">
        <v>0.78</v>
      </c>
      <c r="T3" s="2">
        <f t="shared" si="0"/>
        <v>0.78</v>
      </c>
    </row>
    <row r="4" spans="1:20" ht="25" customHeight="1">
      <c r="A4" t="s">
        <v>18</v>
      </c>
      <c r="B4">
        <v>1</v>
      </c>
      <c r="C4" t="s">
        <v>24</v>
      </c>
      <c r="D4" t="b">
        <v>0</v>
      </c>
      <c r="E4">
        <v>1</v>
      </c>
      <c r="F4" t="s">
        <v>20</v>
      </c>
      <c r="G4" t="str">
        <f>_xlfn.LET(_xlpm.attr,Table4[[#This Row],[attribute]],_xlpm.spl,LEFT(Table4[[#This Row],[supplemented]],1),_xlfn.TEXTJOIN("-",TRUE,_xlpm.attr,_xlpm.spl,"3k-mgv3"))</f>
        <v>plurality-F-3k-mgv3</v>
      </c>
      <c r="H4" s="2">
        <v>0.78</v>
      </c>
      <c r="I4" s="2">
        <v>0.73</v>
      </c>
      <c r="J4" s="2">
        <v>0.8</v>
      </c>
      <c r="K4" s="2">
        <v>0.8</v>
      </c>
      <c r="L4" s="2">
        <v>0.77</v>
      </c>
      <c r="M4" s="2">
        <v>0.73</v>
      </c>
      <c r="N4" s="2">
        <v>0.74</v>
      </c>
      <c r="O4" s="2">
        <v>0.78</v>
      </c>
      <c r="P4" s="2">
        <v>0.8</v>
      </c>
      <c r="Q4" s="2">
        <v>0.78</v>
      </c>
      <c r="R4" s="2">
        <v>0.73</v>
      </c>
      <c r="S4" s="2">
        <v>0.8</v>
      </c>
      <c r="T4" s="2">
        <f t="shared" si="0"/>
        <v>0.8</v>
      </c>
    </row>
    <row r="5" spans="1:20" ht="25" customHeight="1">
      <c r="A5" t="s">
        <v>18</v>
      </c>
      <c r="B5">
        <v>1</v>
      </c>
      <c r="C5" t="s">
        <v>24</v>
      </c>
      <c r="D5" t="b">
        <v>1</v>
      </c>
      <c r="E5">
        <v>2</v>
      </c>
      <c r="F5" t="s">
        <v>21</v>
      </c>
      <c r="G5" t="str">
        <f>_xlfn.LET(_xlpm.attr,Table4[[#This Row],[attribute]],_xlpm.spl,LEFT(Table4[[#This Row],[supplemented]],1),_xlfn.TEXTJOIN("-",TRUE,_xlpm.attr,_xlpm.spl,"3k-mgv3"))</f>
        <v>plurality-T-3k-mgv3</v>
      </c>
      <c r="H5" s="2">
        <v>0.83</v>
      </c>
      <c r="I5" s="2">
        <v>0.88</v>
      </c>
      <c r="J5" s="2">
        <v>0.85</v>
      </c>
      <c r="K5" s="2">
        <v>0.9</v>
      </c>
      <c r="L5" s="2">
        <v>0.8</v>
      </c>
      <c r="M5" s="2">
        <v>0.83</v>
      </c>
      <c r="N5" s="2">
        <v>0.81</v>
      </c>
      <c r="O5" s="2">
        <v>0.84</v>
      </c>
      <c r="P5" s="2">
        <v>0.82</v>
      </c>
      <c r="Q5" s="2">
        <v>0.84</v>
      </c>
      <c r="R5" s="2">
        <v>0.78</v>
      </c>
      <c r="S5" s="2">
        <v>0.8</v>
      </c>
      <c r="T5" s="2">
        <f t="shared" si="0"/>
        <v>0.83</v>
      </c>
    </row>
    <row r="6" spans="1:20" ht="25" customHeight="1">
      <c r="A6" t="s">
        <v>18</v>
      </c>
      <c r="B6">
        <v>1</v>
      </c>
      <c r="C6" t="s">
        <v>24</v>
      </c>
      <c r="D6" t="b">
        <v>0</v>
      </c>
      <c r="E6">
        <v>2</v>
      </c>
      <c r="F6" t="s">
        <v>21</v>
      </c>
      <c r="G6" t="str">
        <f>_xlfn.LET(_xlpm.attr,Table4[[#This Row],[attribute]],_xlpm.spl,LEFT(Table4[[#This Row],[supplemented]],1),_xlfn.TEXTJOIN("-",TRUE,_xlpm.attr,_xlpm.spl,"3k-mgv3"))</f>
        <v>plurality-F-3k-mgv3</v>
      </c>
      <c r="H6" s="2">
        <v>0.77</v>
      </c>
      <c r="I6" s="2">
        <v>0.81</v>
      </c>
      <c r="J6" s="2">
        <v>0.8</v>
      </c>
      <c r="K6" s="2">
        <v>0.86</v>
      </c>
      <c r="L6" s="2">
        <v>0.79</v>
      </c>
      <c r="M6" s="2">
        <v>0.84</v>
      </c>
      <c r="N6" s="2">
        <v>0.83</v>
      </c>
      <c r="O6" s="2">
        <v>0.8</v>
      </c>
      <c r="P6" s="2">
        <v>0.78</v>
      </c>
      <c r="Q6" s="2">
        <v>0.84</v>
      </c>
      <c r="R6" s="2">
        <v>0.79</v>
      </c>
      <c r="S6" s="2">
        <v>0.8</v>
      </c>
      <c r="T6" s="2">
        <f t="shared" si="0"/>
        <v>0.8</v>
      </c>
    </row>
    <row r="7" spans="1:20" ht="25" customHeight="1">
      <c r="A7" t="s">
        <v>18</v>
      </c>
      <c r="B7">
        <v>1</v>
      </c>
      <c r="C7" t="s">
        <v>24</v>
      </c>
      <c r="D7" t="b">
        <v>1</v>
      </c>
      <c r="E7">
        <v>3</v>
      </c>
      <c r="F7" t="s">
        <v>22</v>
      </c>
      <c r="G7" t="str">
        <f>_xlfn.LET(_xlpm.attr,Table4[[#This Row],[attribute]],_xlpm.spl,LEFT(Table4[[#This Row],[supplemented]],1),_xlfn.TEXTJOIN("-",TRUE,_xlpm.attr,_xlpm.spl,"3k-mgv3"))</f>
        <v>plurality-T-3k-mgv3</v>
      </c>
      <c r="H7" s="2">
        <v>0.81</v>
      </c>
      <c r="I7" s="2">
        <v>0.82</v>
      </c>
      <c r="J7" s="2">
        <v>0.8</v>
      </c>
      <c r="K7" s="2">
        <v>0.84</v>
      </c>
      <c r="L7" s="2">
        <v>0.78</v>
      </c>
      <c r="M7" s="2">
        <v>0.8</v>
      </c>
      <c r="N7" s="2">
        <v>0.79</v>
      </c>
      <c r="O7" s="2">
        <v>0.75</v>
      </c>
      <c r="P7" s="2">
        <v>0.79</v>
      </c>
      <c r="Q7" s="2">
        <v>0.81</v>
      </c>
      <c r="R7" s="2">
        <v>0.8</v>
      </c>
      <c r="S7" s="2">
        <v>0.81</v>
      </c>
      <c r="T7" s="2">
        <f t="shared" si="0"/>
        <v>0.81</v>
      </c>
    </row>
    <row r="8" spans="1:20" ht="25" customHeight="1">
      <c r="A8" t="s">
        <v>18</v>
      </c>
      <c r="B8">
        <v>2</v>
      </c>
      <c r="C8" t="s">
        <v>23</v>
      </c>
      <c r="D8" t="b">
        <v>0</v>
      </c>
      <c r="E8">
        <v>1</v>
      </c>
      <c r="F8" t="s">
        <v>20</v>
      </c>
      <c r="G8" t="str">
        <f>_xlfn.LET(_xlpm.attr,Table4[[#This Row],[attribute]],_xlpm.spl,LEFT(Table4[[#This Row],[supplemented]],1),_xlfn.TEXTJOIN("-",TRUE,_xlpm.attr,_xlpm.spl,"3k-mgv3"))</f>
        <v>gender-F-3k-mgv3</v>
      </c>
      <c r="H8" s="2">
        <v>0.5</v>
      </c>
      <c r="I8" s="2">
        <v>0.53</v>
      </c>
      <c r="J8" s="2">
        <v>0.52</v>
      </c>
      <c r="K8" s="2">
        <v>0.49</v>
      </c>
      <c r="L8" s="2">
        <v>0.54</v>
      </c>
      <c r="M8" s="2">
        <v>0.56999999999999995</v>
      </c>
      <c r="N8" s="2">
        <v>0.46</v>
      </c>
      <c r="O8" s="2">
        <v>0.48</v>
      </c>
      <c r="P8" s="2">
        <v>0.54</v>
      </c>
      <c r="Q8" s="2">
        <v>0.44</v>
      </c>
      <c r="R8" s="2">
        <v>0.46</v>
      </c>
      <c r="S8" s="2">
        <v>0.46</v>
      </c>
      <c r="T8" s="2">
        <f t="shared" si="0"/>
        <v>0.5</v>
      </c>
    </row>
    <row r="9" spans="1:20" ht="25" customHeight="1">
      <c r="A9" t="s">
        <v>18</v>
      </c>
      <c r="B9">
        <v>2</v>
      </c>
      <c r="C9" t="s">
        <v>23</v>
      </c>
      <c r="D9" t="b">
        <v>0</v>
      </c>
      <c r="E9">
        <v>2</v>
      </c>
      <c r="F9" t="s">
        <v>21</v>
      </c>
      <c r="G9" t="str">
        <f>_xlfn.LET(_xlpm.attr,Table4[[#This Row],[attribute]],_xlpm.spl,LEFT(Table4[[#This Row],[supplemented]],1),_xlfn.TEXTJOIN("-",TRUE,_xlpm.attr,_xlpm.spl,"3k-mgv3"))</f>
        <v>gender-F-3k-mgv3</v>
      </c>
      <c r="H9" s="2">
        <v>0.54</v>
      </c>
      <c r="I9" s="2">
        <v>0.55000000000000004</v>
      </c>
      <c r="J9" s="2">
        <v>0.66</v>
      </c>
      <c r="K9" s="2">
        <v>0.53</v>
      </c>
      <c r="L9" s="2">
        <v>0.56999999999999995</v>
      </c>
      <c r="M9" s="2">
        <v>0.61</v>
      </c>
      <c r="N9" s="2">
        <v>0.59</v>
      </c>
      <c r="O9" s="2">
        <v>0.54</v>
      </c>
      <c r="P9" s="2">
        <v>0.59</v>
      </c>
      <c r="Q9" s="2">
        <v>0.54</v>
      </c>
      <c r="R9" s="2">
        <v>0.55000000000000004</v>
      </c>
      <c r="S9" s="2">
        <v>0.54</v>
      </c>
      <c r="T9" s="2">
        <f t="shared" si="0"/>
        <v>0.54</v>
      </c>
    </row>
    <row r="10" spans="1:20" ht="25" customHeight="1">
      <c r="A10" t="s">
        <v>18</v>
      </c>
      <c r="B10">
        <v>2</v>
      </c>
      <c r="C10" t="s">
        <v>23</v>
      </c>
      <c r="D10" t="b">
        <v>1</v>
      </c>
      <c r="E10">
        <v>1</v>
      </c>
      <c r="F10" t="s">
        <v>20</v>
      </c>
      <c r="G10" t="str">
        <f>_xlfn.LET(_xlpm.attr,Table4[[#This Row],[attribute]],_xlpm.spl,LEFT(Table4[[#This Row],[supplemented]],1),_xlfn.TEXTJOIN("-",TRUE,_xlpm.attr,_xlpm.spl,"3k-mgv3"))</f>
        <v>gender-T-3k-mgv3</v>
      </c>
      <c r="H10" s="2">
        <v>0.45</v>
      </c>
      <c r="I10" s="2">
        <v>0.51</v>
      </c>
      <c r="J10" s="2">
        <v>0.56000000000000005</v>
      </c>
      <c r="K10" s="2">
        <v>0.51</v>
      </c>
      <c r="L10" s="2">
        <v>0.53</v>
      </c>
      <c r="M10" s="2">
        <v>0.55000000000000004</v>
      </c>
      <c r="N10" s="2">
        <v>0.48</v>
      </c>
      <c r="O10" s="2">
        <v>0.51</v>
      </c>
      <c r="P10" s="2">
        <v>0.59</v>
      </c>
      <c r="Q10" s="2">
        <v>0.45</v>
      </c>
      <c r="R10" s="2">
        <v>0.43</v>
      </c>
      <c r="S10" s="2">
        <v>0.49</v>
      </c>
      <c r="T10" s="2">
        <f t="shared" si="0"/>
        <v>0.49</v>
      </c>
    </row>
    <row r="11" spans="1:20" ht="25" customHeight="1">
      <c r="A11" t="s">
        <v>18</v>
      </c>
      <c r="B11">
        <v>2</v>
      </c>
      <c r="C11" t="s">
        <v>23</v>
      </c>
      <c r="D11" t="b">
        <v>1</v>
      </c>
      <c r="E11">
        <v>2</v>
      </c>
      <c r="F11" t="s">
        <v>21</v>
      </c>
      <c r="G11" t="str">
        <f>_xlfn.LET(_xlpm.attr,Table4[[#This Row],[attribute]],_xlpm.spl,LEFT(Table4[[#This Row],[supplemented]],1),_xlfn.TEXTJOIN("-",TRUE,_xlpm.attr,_xlpm.spl,"3k-mgv3"))</f>
        <v>gender-T-3k-mgv3</v>
      </c>
      <c r="H11" s="2">
        <v>0.57999999999999996</v>
      </c>
      <c r="I11" s="2">
        <v>0.61</v>
      </c>
      <c r="J11" s="2">
        <v>0.67</v>
      </c>
      <c r="K11" s="2">
        <v>0.56000000000000005</v>
      </c>
      <c r="L11" s="2">
        <v>0.56999999999999995</v>
      </c>
      <c r="M11" s="2">
        <v>0.6</v>
      </c>
      <c r="N11" s="2">
        <v>0.57999999999999996</v>
      </c>
      <c r="O11" s="2">
        <v>0.57999999999999996</v>
      </c>
      <c r="P11" s="2">
        <v>0.6</v>
      </c>
      <c r="Q11" s="2">
        <v>0.55000000000000004</v>
      </c>
      <c r="R11" s="2">
        <v>0.56999999999999995</v>
      </c>
      <c r="S11" s="2">
        <v>0.53</v>
      </c>
      <c r="T11" s="2">
        <f t="shared" si="0"/>
        <v>0.57999999999999996</v>
      </c>
    </row>
    <row r="12" spans="1:20" ht="25" customHeight="1">
      <c r="A12" t="s">
        <v>18</v>
      </c>
      <c r="B12">
        <v>2</v>
      </c>
      <c r="C12" t="s">
        <v>23</v>
      </c>
      <c r="D12" t="b">
        <v>1</v>
      </c>
      <c r="E12">
        <v>3</v>
      </c>
      <c r="F12" t="s">
        <v>22</v>
      </c>
      <c r="G12" t="str">
        <f>_xlfn.LET(_xlpm.attr,Table4[[#This Row],[attribute]],_xlpm.spl,LEFT(Table4[[#This Row],[supplemented]],1),_xlfn.TEXTJOIN("-",TRUE,_xlpm.attr,_xlpm.spl,"3k-mgv3"))</f>
        <v>gender-T-3k-mgv3</v>
      </c>
      <c r="H12" s="2">
        <v>0.54</v>
      </c>
      <c r="I12" s="2">
        <v>0.56999999999999995</v>
      </c>
      <c r="J12" s="2">
        <v>0.67</v>
      </c>
      <c r="K12" s="2">
        <v>0.53</v>
      </c>
      <c r="L12" s="2">
        <v>0.54</v>
      </c>
      <c r="M12" s="2">
        <v>0.54</v>
      </c>
      <c r="N12" s="2">
        <v>0.54</v>
      </c>
      <c r="O12" s="2">
        <v>0.55000000000000004</v>
      </c>
      <c r="P12" s="2">
        <v>0.56999999999999995</v>
      </c>
      <c r="Q12" s="2">
        <v>0.54</v>
      </c>
      <c r="R12" s="2">
        <v>0.6</v>
      </c>
      <c r="S12" s="2">
        <v>0.54</v>
      </c>
      <c r="T12" s="2">
        <f t="shared" si="0"/>
        <v>0.54</v>
      </c>
    </row>
    <row r="13" spans="1:20" ht="25" customHeight="1">
      <c r="A13" t="s">
        <v>18</v>
      </c>
      <c r="B13">
        <v>2</v>
      </c>
      <c r="C13" t="s">
        <v>23</v>
      </c>
      <c r="D13" t="b">
        <v>0</v>
      </c>
      <c r="E13">
        <v>3</v>
      </c>
      <c r="F13" t="s">
        <v>22</v>
      </c>
      <c r="G13" t="str">
        <f>_xlfn.LET(_xlpm.attr,Table4[[#This Row],[attribute]],_xlpm.spl,LEFT(Table4[[#This Row],[supplemented]],1),_xlfn.TEXTJOIN("-",TRUE,_xlpm.attr,_xlpm.spl,"3k-mgv3"))</f>
        <v>gender-F-3k-mgv3</v>
      </c>
      <c r="H13" s="2">
        <v>0.49</v>
      </c>
      <c r="I13" s="2">
        <v>0.53</v>
      </c>
      <c r="J13" s="2">
        <v>0.6</v>
      </c>
      <c r="K13" s="2">
        <v>0.55000000000000004</v>
      </c>
      <c r="L13" s="2">
        <v>0.56000000000000005</v>
      </c>
      <c r="M13" s="2">
        <v>0.56999999999999995</v>
      </c>
      <c r="N13" s="2">
        <v>0.49</v>
      </c>
      <c r="O13" s="2">
        <v>0.52</v>
      </c>
      <c r="P13" s="2">
        <v>0.54</v>
      </c>
      <c r="Q13" s="2">
        <v>0.54</v>
      </c>
      <c r="R13" s="2">
        <v>0.59</v>
      </c>
      <c r="S13" s="2">
        <v>0.53</v>
      </c>
      <c r="T13" s="2">
        <f t="shared" si="0"/>
        <v>0.53</v>
      </c>
    </row>
    <row r="14" spans="1:20" ht="25" customHeight="1">
      <c r="A14" t="s">
        <v>18</v>
      </c>
      <c r="B14">
        <v>3</v>
      </c>
      <c r="C14" t="s">
        <v>19</v>
      </c>
      <c r="D14" t="b">
        <v>0</v>
      </c>
      <c r="E14">
        <v>1</v>
      </c>
      <c r="F14" t="s">
        <v>20</v>
      </c>
      <c r="G14" t="str">
        <f>_xlfn.LET(_xlpm.attr,Table4[[#This Row],[attribute]],_xlpm.spl,LEFT(Table4[[#This Row],[supplemented]],1),_xlfn.TEXTJOIN("-",TRUE,_xlpm.attr,_xlpm.spl,"3k-mgv3"))</f>
        <v>case-F-3k-mgv3</v>
      </c>
      <c r="H14" s="2">
        <v>0.28999999999999998</v>
      </c>
      <c r="I14" s="2">
        <v>0.24</v>
      </c>
      <c r="J14" s="2">
        <v>0.41</v>
      </c>
      <c r="K14" s="2">
        <v>0.38</v>
      </c>
      <c r="L14" s="2">
        <v>0.4</v>
      </c>
      <c r="M14" s="2">
        <v>0.41</v>
      </c>
      <c r="N14" s="2">
        <v>0.33</v>
      </c>
      <c r="O14" s="2">
        <v>0.39</v>
      </c>
      <c r="P14" s="2">
        <v>0.39</v>
      </c>
      <c r="Q14" s="2">
        <v>0.36</v>
      </c>
      <c r="R14" s="2">
        <v>0.38</v>
      </c>
      <c r="S14" s="2">
        <v>0.39</v>
      </c>
      <c r="T14" s="2">
        <f t="shared" si="0"/>
        <v>0.39</v>
      </c>
    </row>
    <row r="15" spans="1:20" ht="25" customHeight="1">
      <c r="A15" t="s">
        <v>18</v>
      </c>
      <c r="B15">
        <v>3</v>
      </c>
      <c r="C15" t="s">
        <v>19</v>
      </c>
      <c r="D15" t="b">
        <v>1</v>
      </c>
      <c r="E15">
        <v>1</v>
      </c>
      <c r="F15" t="s">
        <v>20</v>
      </c>
      <c r="G15" t="str">
        <f>_xlfn.LET(_xlpm.attr,Table4[[#This Row],[attribute]],_xlpm.spl,LEFT(Table4[[#This Row],[supplemented]],1),_xlfn.TEXTJOIN("-",TRUE,_xlpm.attr,_xlpm.spl,"3k-mgv3"))</f>
        <v>case-T-3k-mgv3</v>
      </c>
      <c r="H15" s="2">
        <v>0.42</v>
      </c>
      <c r="I15" s="2">
        <v>0.28000000000000003</v>
      </c>
      <c r="J15" s="2">
        <v>0.4</v>
      </c>
      <c r="K15" s="2">
        <v>0.41</v>
      </c>
      <c r="L15" s="2">
        <v>0.34</v>
      </c>
      <c r="M15" s="2">
        <v>0.36</v>
      </c>
      <c r="N15" s="2">
        <v>0.31</v>
      </c>
      <c r="O15" s="2">
        <v>0.35</v>
      </c>
      <c r="P15" s="2">
        <v>0.37</v>
      </c>
      <c r="Q15" s="2">
        <v>0.35</v>
      </c>
      <c r="R15" s="2">
        <v>0.28999999999999998</v>
      </c>
      <c r="S15" s="2">
        <v>0.32</v>
      </c>
      <c r="T15" s="2">
        <f t="shared" si="0"/>
        <v>0.42</v>
      </c>
    </row>
    <row r="16" spans="1:20" ht="25" customHeight="1">
      <c r="A16" t="s">
        <v>18</v>
      </c>
      <c r="B16">
        <v>3</v>
      </c>
      <c r="C16" t="s">
        <v>19</v>
      </c>
      <c r="D16" t="b">
        <v>1</v>
      </c>
      <c r="E16">
        <v>3</v>
      </c>
      <c r="F16" t="s">
        <v>22</v>
      </c>
      <c r="G16" t="str">
        <f>_xlfn.LET(_xlpm.attr,Table4[[#This Row],[attribute]],_xlpm.spl,LEFT(Table4[[#This Row],[supplemented]],1),_xlfn.TEXTJOIN("-",TRUE,_xlpm.attr,_xlpm.spl,"3k-mgv3"))</f>
        <v>case-T-3k-mgv3</v>
      </c>
      <c r="H16" s="2">
        <v>0.36</v>
      </c>
      <c r="I16" s="2">
        <v>0.26</v>
      </c>
      <c r="J16" s="2">
        <v>0.36</v>
      </c>
      <c r="K16" s="2">
        <v>0.42</v>
      </c>
      <c r="L16" s="2">
        <v>0.39</v>
      </c>
      <c r="M16" s="2">
        <v>0.4</v>
      </c>
      <c r="N16" s="2">
        <v>0.32</v>
      </c>
      <c r="O16" s="2">
        <v>0.4</v>
      </c>
      <c r="P16" s="2">
        <v>0.35</v>
      </c>
      <c r="Q16" s="2">
        <v>0.35</v>
      </c>
      <c r="R16" s="2">
        <v>0.32</v>
      </c>
      <c r="S16" s="2">
        <v>0.41</v>
      </c>
      <c r="T16" s="2">
        <f t="shared" si="0"/>
        <v>0.41</v>
      </c>
    </row>
    <row r="17" spans="1:20" ht="25" customHeight="1">
      <c r="A17" t="s">
        <v>18</v>
      </c>
      <c r="B17">
        <v>3</v>
      </c>
      <c r="C17" t="s">
        <v>19</v>
      </c>
      <c r="D17" t="b">
        <v>1</v>
      </c>
      <c r="E17">
        <v>2</v>
      </c>
      <c r="F17" t="s">
        <v>21</v>
      </c>
      <c r="G17" t="str">
        <f>_xlfn.LET(_xlpm.attr,Table4[[#This Row],[attribute]],_xlpm.spl,LEFT(Table4[[#This Row],[supplemented]],1),_xlfn.TEXTJOIN("-",TRUE,_xlpm.attr,_xlpm.spl,"3k-mgv3"))</f>
        <v>case-T-3k-mgv3</v>
      </c>
      <c r="H17" s="2">
        <v>0.39</v>
      </c>
      <c r="I17" s="2">
        <v>0.33</v>
      </c>
      <c r="J17" s="2">
        <v>0.43</v>
      </c>
      <c r="K17" s="2">
        <v>0.4</v>
      </c>
      <c r="L17" s="2">
        <v>0.41</v>
      </c>
      <c r="M17" s="2">
        <v>0.49</v>
      </c>
      <c r="N17" s="2">
        <v>0.39</v>
      </c>
      <c r="O17" s="2">
        <v>0.46</v>
      </c>
      <c r="P17" s="2">
        <v>0.38</v>
      </c>
      <c r="Q17" s="2">
        <v>0.43</v>
      </c>
      <c r="R17" s="2">
        <v>0.33</v>
      </c>
      <c r="S17" s="2">
        <v>0.42</v>
      </c>
      <c r="T17" s="2">
        <f t="shared" si="0"/>
        <v>0.42</v>
      </c>
    </row>
    <row r="18" spans="1:20" ht="25" customHeight="1">
      <c r="A18" t="s">
        <v>18</v>
      </c>
      <c r="B18">
        <v>3</v>
      </c>
      <c r="C18" t="s">
        <v>19</v>
      </c>
      <c r="D18" t="b">
        <v>0</v>
      </c>
      <c r="E18">
        <v>3</v>
      </c>
      <c r="F18" t="s">
        <v>22</v>
      </c>
      <c r="G18" t="str">
        <f>_xlfn.LET(_xlpm.attr,Table4[[#This Row],[attribute]],_xlpm.spl,LEFT(Table4[[#This Row],[supplemented]],1),_xlfn.TEXTJOIN("-",TRUE,_xlpm.attr,_xlpm.spl,"3k-mgv3"))</f>
        <v>case-F-3k-mgv3</v>
      </c>
      <c r="H18" s="2">
        <v>0.33</v>
      </c>
      <c r="I18" s="2">
        <v>0.28999999999999998</v>
      </c>
      <c r="J18" s="2">
        <v>0.34</v>
      </c>
      <c r="K18" s="2">
        <v>0.42</v>
      </c>
      <c r="L18" s="2">
        <v>0.37</v>
      </c>
      <c r="M18" s="2">
        <v>0.4</v>
      </c>
      <c r="N18" s="2">
        <v>0.36</v>
      </c>
      <c r="O18" s="2">
        <v>0.39</v>
      </c>
      <c r="P18" s="2">
        <v>0.4</v>
      </c>
      <c r="Q18" s="2">
        <v>0.4</v>
      </c>
      <c r="R18" s="2">
        <v>0.3</v>
      </c>
      <c r="S18" s="2">
        <v>0.41</v>
      </c>
      <c r="T18" s="2">
        <f t="shared" si="0"/>
        <v>0.41</v>
      </c>
    </row>
    <row r="19" spans="1:20" ht="25" customHeight="1">
      <c r="A19" t="s">
        <v>18</v>
      </c>
      <c r="B19">
        <v>3</v>
      </c>
      <c r="C19" t="s">
        <v>19</v>
      </c>
      <c r="D19" t="b">
        <v>0</v>
      </c>
      <c r="E19">
        <v>2</v>
      </c>
      <c r="F19" t="s">
        <v>21</v>
      </c>
      <c r="G19" t="str">
        <f>_xlfn.LET(_xlpm.attr,Table4[[#This Row],[attribute]],_xlpm.spl,LEFT(Table4[[#This Row],[supplemented]],1),_xlfn.TEXTJOIN("-",TRUE,_xlpm.attr,_xlpm.spl,"3k-mgv3"))</f>
        <v>case-F-3k-mgv3</v>
      </c>
      <c r="H19" s="2">
        <v>0.44</v>
      </c>
      <c r="I19" s="2">
        <v>0.34</v>
      </c>
      <c r="J19" s="2">
        <v>0.42</v>
      </c>
      <c r="K19" s="2">
        <v>0.43</v>
      </c>
      <c r="L19" s="2">
        <v>0.41</v>
      </c>
      <c r="M19" s="2">
        <v>0.46</v>
      </c>
      <c r="N19" s="2">
        <v>0.39</v>
      </c>
      <c r="O19" s="2">
        <v>0.42</v>
      </c>
      <c r="P19" s="2">
        <v>0.41</v>
      </c>
      <c r="Q19" s="2">
        <v>0.41</v>
      </c>
      <c r="R19" s="2">
        <v>0.36</v>
      </c>
      <c r="S19" s="2">
        <v>0.4</v>
      </c>
      <c r="T19" s="2">
        <f t="shared" si="0"/>
        <v>0.44</v>
      </c>
    </row>
    <row r="22" spans="1:20" ht="25" customHeight="1">
      <c r="B22" t="s">
        <v>1</v>
      </c>
      <c r="C22" t="s">
        <v>2</v>
      </c>
      <c r="D22" t="s">
        <v>25</v>
      </c>
      <c r="E22" t="s">
        <v>3</v>
      </c>
      <c r="F22" t="s">
        <v>4</v>
      </c>
      <c r="G22" t="s">
        <v>26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14</v>
      </c>
      <c r="R22" t="s">
        <v>15</v>
      </c>
      <c r="S22" t="s">
        <v>16</v>
      </c>
      <c r="T22" t="s">
        <v>17</v>
      </c>
    </row>
    <row r="23" spans="1:20" ht="25" customHeight="1">
      <c r="B23">
        <v>1</v>
      </c>
      <c r="C23" t="s">
        <v>24</v>
      </c>
      <c r="D23" t="b">
        <v>1</v>
      </c>
      <c r="E23">
        <v>0</v>
      </c>
      <c r="F23" t="s">
        <v>17</v>
      </c>
      <c r="G23" t="str">
        <f>_xlfn.LET(_xlpm.attr,Table61810[[#This Row],[attribute]],_xlpm.spl,LEFT(Table61810[[#This Row],[supplemented]],1),_xlfn.TEXTJOIN("-",TRUE,_xlpm.attr,_xlpm.spl,"3k-mgv3"))</f>
        <v>plurality-T-3k-mgv3</v>
      </c>
      <c r="H23" s="2" cm="1">
        <f t="array" ref="H23">_xlfn.LET(_xlpm.d,H$2:H$19,_xlpm.a,$C$2:$C$19=$C23,_xlpm.b,$D$2:$D$19=$D23,MAX(_xlfn._xlws.FILTER(_xlpm.d,_xlpm.a*_xlpm.b)))</f>
        <v>0.83</v>
      </c>
      <c r="I23" s="2" cm="1">
        <f t="array" ref="I23">_xlfn.LET(_xlpm.d,I$2:I$19,_xlpm.a,$C$2:$C$19=$C23,_xlpm.b,$D$2:$D$19=$D23,MAX(_xlfn._xlws.FILTER(_xlpm.d,_xlpm.a*_xlpm.b)))</f>
        <v>0.88</v>
      </c>
      <c r="J23" s="2" cm="1">
        <f t="array" ref="J23">_xlfn.LET(_xlpm.d,J$2:J$19,_xlpm.a,$C$2:$C$19=$C23,_xlpm.b,$D$2:$D$19=$D23,MAX(_xlfn._xlws.FILTER(_xlpm.d,_xlpm.a*_xlpm.b)))</f>
        <v>0.85</v>
      </c>
      <c r="K23" s="2" cm="1">
        <f t="array" ref="K23">_xlfn.LET(_xlpm.d,K$2:K$19,_xlpm.a,$C$2:$C$19=$C23,_xlpm.b,$D$2:$D$19=$D23,MAX(_xlfn._xlws.FILTER(_xlpm.d,_xlpm.a*_xlpm.b)))</f>
        <v>0.9</v>
      </c>
      <c r="L23" s="2" cm="1">
        <f t="array" ref="L23">_xlfn.LET(_xlpm.d,L$2:L$19,_xlpm.a,$C$2:$C$19=$C23,_xlpm.b,$D$2:$D$19=$D23,MAX(_xlfn._xlws.FILTER(_xlpm.d,_xlpm.a*_xlpm.b)))</f>
        <v>0.8</v>
      </c>
      <c r="M23" s="2" cm="1">
        <f t="array" ref="M23">_xlfn.LET(_xlpm.d,M$2:M$19,_xlpm.a,$C$2:$C$19=$C23,_xlpm.b,$D$2:$D$19=$D23,MAX(_xlfn._xlws.FILTER(_xlpm.d,_xlpm.a*_xlpm.b)))</f>
        <v>0.83</v>
      </c>
      <c r="N23" s="2" cm="1">
        <f t="array" ref="N23">_xlfn.LET(_xlpm.d,N$2:N$19,_xlpm.a,$C$2:$C$19=$C23,_xlpm.b,$D$2:$D$19=$D23,MAX(_xlfn._xlws.FILTER(_xlpm.d,_xlpm.a*_xlpm.b)))</f>
        <v>0.81</v>
      </c>
      <c r="O23" s="2" cm="1">
        <f t="array" ref="O23">_xlfn.LET(_xlpm.d,O$2:O$19,_xlpm.a,$C$2:$C$19=$C23,_xlpm.b,$D$2:$D$19=$D23,MAX(_xlfn._xlws.FILTER(_xlpm.d,_xlpm.a*_xlpm.b)))</f>
        <v>0.84</v>
      </c>
      <c r="P23" s="2" cm="1">
        <f t="array" ref="P23">_xlfn.LET(_xlpm.d,P$2:P$19,_xlpm.a,$C$2:$C$19=$C23,_xlpm.b,$D$2:$D$19=$D23,MAX(_xlfn._xlws.FILTER(_xlpm.d,_xlpm.a*_xlpm.b)))</f>
        <v>0.83</v>
      </c>
      <c r="Q23" s="2" cm="1">
        <f t="array" ref="Q23">_xlfn.LET(_xlpm.d,Q$2:Q$19,_xlpm.a,$C$2:$C$19=$C23,_xlpm.b,$D$2:$D$19=$D23,MAX(_xlfn._xlws.FILTER(_xlpm.d,_xlpm.a*_xlpm.b)))</f>
        <v>0.84</v>
      </c>
      <c r="R23" s="2" cm="1">
        <f t="array" ref="R23">_xlfn.LET(_xlpm.d,R$2:R$19,_xlpm.a,$C$2:$C$19=$C23,_xlpm.b,$D$2:$D$19=$D23,MAX(_xlfn._xlws.FILTER(_xlpm.d,_xlpm.a*_xlpm.b)))</f>
        <v>0.8</v>
      </c>
      <c r="S23" s="2" cm="1">
        <f t="array" ref="S23">_xlfn.LET(_xlpm.d,S$2:S$19,_xlpm.a,$C$2:$C$19=$C23,_xlpm.b,$D$2:$D$19=$D23,MAX(_xlfn._xlws.FILTER(_xlpm.d,_xlpm.a*_xlpm.b)))</f>
        <v>0.81</v>
      </c>
      <c r="T23" s="2" cm="1">
        <f t="array" ref="T23">_xlfn.LET(_xlpm.d,T$2:T$19,_xlpm.a,$C$2:$C$19=$C23,_xlpm.b,$D$2:$D$19=$D23,MAX(_xlfn._xlws.FILTER(_xlpm.d,_xlpm.a*_xlpm.b)))</f>
        <v>0.83</v>
      </c>
    </row>
    <row r="24" spans="1:20" ht="25" customHeight="1">
      <c r="B24">
        <v>1</v>
      </c>
      <c r="C24" t="s">
        <v>24</v>
      </c>
      <c r="D24" t="b">
        <v>0</v>
      </c>
      <c r="E24">
        <v>0</v>
      </c>
      <c r="F24" t="s">
        <v>17</v>
      </c>
      <c r="G24" t="str">
        <f>_xlfn.LET(_xlpm.attr,Table61810[[#This Row],[attribute]],_xlpm.spl,LEFT(Table61810[[#This Row],[supplemented]],1),_xlfn.TEXTJOIN("-",TRUE,_xlpm.attr,_xlpm.spl,"3k-mgv3"))</f>
        <v>plurality-F-3k-mgv3</v>
      </c>
      <c r="H24" s="2" cm="1">
        <f t="array" ref="H24">_xlfn.LET(_xlpm.d,H$2:H$19,_xlpm.a,$C$2:$C$19=$C24,_xlpm.b,$D$2:$D$19=$D24,MAX(_xlfn._xlws.FILTER(_xlpm.d,_xlpm.a*_xlpm.b)))</f>
        <v>0.78</v>
      </c>
      <c r="I24" s="2" cm="1">
        <f t="array" ref="I24">_xlfn.LET(_xlpm.d,I$2:I$19,_xlpm.a,$C$2:$C$19=$C24,_xlpm.b,$D$2:$D$19=$D24,MAX(_xlfn._xlws.FILTER(_xlpm.d,_xlpm.a*_xlpm.b)))</f>
        <v>0.81</v>
      </c>
      <c r="J24" s="2" cm="1">
        <f t="array" ref="J24">_xlfn.LET(_xlpm.d,J$2:J$19,_xlpm.a,$C$2:$C$19=$C24,_xlpm.b,$D$2:$D$19=$D24,MAX(_xlfn._xlws.FILTER(_xlpm.d,_xlpm.a*_xlpm.b)))</f>
        <v>0.8</v>
      </c>
      <c r="K24" s="2" cm="1">
        <f t="array" ref="K24">_xlfn.LET(_xlpm.d,K$2:K$19,_xlpm.a,$C$2:$C$19=$C24,_xlpm.b,$D$2:$D$19=$D24,MAX(_xlfn._xlws.FILTER(_xlpm.d,_xlpm.a*_xlpm.b)))</f>
        <v>0.86</v>
      </c>
      <c r="L24" s="2" cm="1">
        <f t="array" ref="L24">_xlfn.LET(_xlpm.d,L$2:L$19,_xlpm.a,$C$2:$C$19=$C24,_xlpm.b,$D$2:$D$19=$D24,MAX(_xlfn._xlws.FILTER(_xlpm.d,_xlpm.a*_xlpm.b)))</f>
        <v>0.79</v>
      </c>
      <c r="M24" s="2" cm="1">
        <f t="array" ref="M24">_xlfn.LET(_xlpm.d,M$2:M$19,_xlpm.a,$C$2:$C$19=$C24,_xlpm.b,$D$2:$D$19=$D24,MAX(_xlfn._xlws.FILTER(_xlpm.d,_xlpm.a*_xlpm.b)))</f>
        <v>0.84</v>
      </c>
      <c r="N24" s="2" cm="1">
        <f t="array" ref="N24">_xlfn.LET(_xlpm.d,N$2:N$19,_xlpm.a,$C$2:$C$19=$C24,_xlpm.b,$D$2:$D$19=$D24,MAX(_xlfn._xlws.FILTER(_xlpm.d,_xlpm.a*_xlpm.b)))</f>
        <v>0.83</v>
      </c>
      <c r="O24" s="2" cm="1">
        <f t="array" ref="O24">_xlfn.LET(_xlpm.d,O$2:O$19,_xlpm.a,$C$2:$C$19=$C24,_xlpm.b,$D$2:$D$19=$D24,MAX(_xlfn._xlws.FILTER(_xlpm.d,_xlpm.a*_xlpm.b)))</f>
        <v>0.8</v>
      </c>
      <c r="P24" s="2" cm="1">
        <f t="array" ref="P24">_xlfn.LET(_xlpm.d,P$2:P$19,_xlpm.a,$C$2:$C$19=$C24,_xlpm.b,$D$2:$D$19=$D24,MAX(_xlfn._xlws.FILTER(_xlpm.d,_xlpm.a*_xlpm.b)))</f>
        <v>0.8</v>
      </c>
      <c r="Q24" s="2" cm="1">
        <f t="array" ref="Q24">_xlfn.LET(_xlpm.d,Q$2:Q$19,_xlpm.a,$C$2:$C$19=$C24,_xlpm.b,$D$2:$D$19=$D24,MAX(_xlfn._xlws.FILTER(_xlpm.d,_xlpm.a*_xlpm.b)))</f>
        <v>0.84</v>
      </c>
      <c r="R24" s="2" cm="1">
        <f t="array" ref="R24">_xlfn.LET(_xlpm.d,R$2:R$19,_xlpm.a,$C$2:$C$19=$C24,_xlpm.b,$D$2:$D$19=$D24,MAX(_xlfn._xlws.FILTER(_xlpm.d,_xlpm.a*_xlpm.b)))</f>
        <v>0.81</v>
      </c>
      <c r="S24" s="2" cm="1">
        <f t="array" ref="S24">_xlfn.LET(_xlpm.d,S$2:S$19,_xlpm.a,$C$2:$C$19=$C24,_xlpm.b,$D$2:$D$19=$D24,MAX(_xlfn._xlws.FILTER(_xlpm.d,_xlpm.a*_xlpm.b)))</f>
        <v>0.8</v>
      </c>
      <c r="T24" s="2" cm="1">
        <f t="array" ref="T24">_xlfn.LET(_xlpm.d,T$2:T$19,_xlpm.a,$C$2:$C$19=$C24,_xlpm.b,$D$2:$D$19=$D24,MAX(_xlfn._xlws.FILTER(_xlpm.d,_xlpm.a*_xlpm.b)))</f>
        <v>0.8</v>
      </c>
    </row>
    <row r="25" spans="1:20" ht="25" customHeight="1">
      <c r="B25">
        <v>2</v>
      </c>
      <c r="C25" t="s">
        <v>23</v>
      </c>
      <c r="D25" t="b">
        <v>1</v>
      </c>
      <c r="E25">
        <v>0</v>
      </c>
      <c r="F25" t="s">
        <v>17</v>
      </c>
      <c r="G25" t="str">
        <f>_xlfn.LET(_xlpm.attr,Table61810[[#This Row],[attribute]],_xlpm.spl,LEFT(Table61810[[#This Row],[supplemented]],1),_xlfn.TEXTJOIN("-",TRUE,_xlpm.attr,_xlpm.spl,"3k-mgv3"))</f>
        <v>gender-T-3k-mgv3</v>
      </c>
      <c r="H25" s="2" cm="1">
        <f t="array" ref="H25">_xlfn.LET(_xlpm.d,H$2:H$19,_xlpm.a,$C$2:$C$19=$C25,_xlpm.b,$D$2:$D$19=$D25,MAX(_xlfn._xlws.FILTER(_xlpm.d,_xlpm.a*_xlpm.b)))</f>
        <v>0.57999999999999996</v>
      </c>
      <c r="I25" s="2" cm="1">
        <f t="array" ref="I25">_xlfn.LET(_xlpm.d,I$2:I$19,_xlpm.a,$C$2:$C$19=$C25,_xlpm.b,$D$2:$D$19=$D25,MAX(_xlfn._xlws.FILTER(_xlpm.d,_xlpm.a*_xlpm.b)))</f>
        <v>0.61</v>
      </c>
      <c r="J25" s="2" cm="1">
        <f t="array" ref="J25">_xlfn.LET(_xlpm.d,J$2:J$19,_xlpm.a,$C$2:$C$19=$C25,_xlpm.b,$D$2:$D$19=$D25,MAX(_xlfn._xlws.FILTER(_xlpm.d,_xlpm.a*_xlpm.b)))</f>
        <v>0.67</v>
      </c>
      <c r="K25" s="2" cm="1">
        <f t="array" ref="K25">_xlfn.LET(_xlpm.d,K$2:K$19,_xlpm.a,$C$2:$C$19=$C25,_xlpm.b,$D$2:$D$19=$D25,MAX(_xlfn._xlws.FILTER(_xlpm.d,_xlpm.a*_xlpm.b)))</f>
        <v>0.56000000000000005</v>
      </c>
      <c r="L25" s="2" cm="1">
        <f t="array" ref="L25">_xlfn.LET(_xlpm.d,L$2:L$19,_xlpm.a,$C$2:$C$19=$C25,_xlpm.b,$D$2:$D$19=$D25,MAX(_xlfn._xlws.FILTER(_xlpm.d,_xlpm.a*_xlpm.b)))</f>
        <v>0.56999999999999995</v>
      </c>
      <c r="M25" s="2" cm="1">
        <f t="array" ref="M25">_xlfn.LET(_xlpm.d,M$2:M$19,_xlpm.a,$C$2:$C$19=$C25,_xlpm.b,$D$2:$D$19=$D25,MAX(_xlfn._xlws.FILTER(_xlpm.d,_xlpm.a*_xlpm.b)))</f>
        <v>0.6</v>
      </c>
      <c r="N25" s="2" cm="1">
        <f t="array" ref="N25">_xlfn.LET(_xlpm.d,N$2:N$19,_xlpm.a,$C$2:$C$19=$C25,_xlpm.b,$D$2:$D$19=$D25,MAX(_xlfn._xlws.FILTER(_xlpm.d,_xlpm.a*_xlpm.b)))</f>
        <v>0.57999999999999996</v>
      </c>
      <c r="O25" s="2" cm="1">
        <f t="array" ref="O25">_xlfn.LET(_xlpm.d,O$2:O$19,_xlpm.a,$C$2:$C$19=$C25,_xlpm.b,$D$2:$D$19=$D25,MAX(_xlfn._xlws.FILTER(_xlpm.d,_xlpm.a*_xlpm.b)))</f>
        <v>0.57999999999999996</v>
      </c>
      <c r="P25" s="2" cm="1">
        <f t="array" ref="P25">_xlfn.LET(_xlpm.d,P$2:P$19,_xlpm.a,$C$2:$C$19=$C25,_xlpm.b,$D$2:$D$19=$D25,MAX(_xlfn._xlws.FILTER(_xlpm.d,_xlpm.a*_xlpm.b)))</f>
        <v>0.6</v>
      </c>
      <c r="Q25" s="2" cm="1">
        <f t="array" ref="Q25">_xlfn.LET(_xlpm.d,Q$2:Q$19,_xlpm.a,$C$2:$C$19=$C25,_xlpm.b,$D$2:$D$19=$D25,MAX(_xlfn._xlws.FILTER(_xlpm.d,_xlpm.a*_xlpm.b)))</f>
        <v>0.55000000000000004</v>
      </c>
      <c r="R25" s="2" cm="1">
        <f t="array" ref="R25">_xlfn.LET(_xlpm.d,R$2:R$19,_xlpm.a,$C$2:$C$19=$C25,_xlpm.b,$D$2:$D$19=$D25,MAX(_xlfn._xlws.FILTER(_xlpm.d,_xlpm.a*_xlpm.b)))</f>
        <v>0.6</v>
      </c>
      <c r="S25" s="2" cm="1">
        <f t="array" ref="S25">_xlfn.LET(_xlpm.d,S$2:S$19,_xlpm.a,$C$2:$C$19=$C25,_xlpm.b,$D$2:$D$19=$D25,MAX(_xlfn._xlws.FILTER(_xlpm.d,_xlpm.a*_xlpm.b)))</f>
        <v>0.54</v>
      </c>
      <c r="T25" s="2" cm="1">
        <f t="array" ref="T25">_xlfn.LET(_xlpm.d,T$2:T$19,_xlpm.a,$C$2:$C$19=$C25,_xlpm.b,$D$2:$D$19=$D25,MAX(_xlfn._xlws.FILTER(_xlpm.d,_xlpm.a*_xlpm.b)))</f>
        <v>0.57999999999999996</v>
      </c>
    </row>
    <row r="26" spans="1:20" ht="25" customHeight="1">
      <c r="B26">
        <v>2</v>
      </c>
      <c r="C26" t="s">
        <v>23</v>
      </c>
      <c r="D26" t="b">
        <v>0</v>
      </c>
      <c r="E26">
        <v>0</v>
      </c>
      <c r="F26" t="s">
        <v>17</v>
      </c>
      <c r="G26" t="str">
        <f>_xlfn.LET(_xlpm.attr,Table61810[[#This Row],[attribute]],_xlpm.spl,LEFT(Table61810[[#This Row],[supplemented]],1),_xlfn.TEXTJOIN("-",TRUE,_xlpm.attr,_xlpm.spl,"3k-mgv3"))</f>
        <v>gender-F-3k-mgv3</v>
      </c>
      <c r="H26" s="2" cm="1">
        <f t="array" ref="H26">_xlfn.LET(_xlpm.d,H$2:H$19,_xlpm.a,$C$2:$C$19=$C26,_xlpm.b,$D$2:$D$19=$D26,MAX(_xlfn._xlws.FILTER(_xlpm.d,_xlpm.a*_xlpm.b)))</f>
        <v>0.54</v>
      </c>
      <c r="I26" s="2" cm="1">
        <f t="array" ref="I26">_xlfn.LET(_xlpm.d,I$2:I$19,_xlpm.a,$C$2:$C$19=$C26,_xlpm.b,$D$2:$D$19=$D26,MAX(_xlfn._xlws.FILTER(_xlpm.d,_xlpm.a*_xlpm.b)))</f>
        <v>0.55000000000000004</v>
      </c>
      <c r="J26" s="2" cm="1">
        <f t="array" ref="J26">_xlfn.LET(_xlpm.d,J$2:J$19,_xlpm.a,$C$2:$C$19=$C26,_xlpm.b,$D$2:$D$19=$D26,MAX(_xlfn._xlws.FILTER(_xlpm.d,_xlpm.a*_xlpm.b)))</f>
        <v>0.66</v>
      </c>
      <c r="K26" s="2" cm="1">
        <f t="array" ref="K26">_xlfn.LET(_xlpm.d,K$2:K$19,_xlpm.a,$C$2:$C$19=$C26,_xlpm.b,$D$2:$D$19=$D26,MAX(_xlfn._xlws.FILTER(_xlpm.d,_xlpm.a*_xlpm.b)))</f>
        <v>0.55000000000000004</v>
      </c>
      <c r="L26" s="2" cm="1">
        <f t="array" ref="L26">_xlfn.LET(_xlpm.d,L$2:L$19,_xlpm.a,$C$2:$C$19=$C26,_xlpm.b,$D$2:$D$19=$D26,MAX(_xlfn._xlws.FILTER(_xlpm.d,_xlpm.a*_xlpm.b)))</f>
        <v>0.56999999999999995</v>
      </c>
      <c r="M26" s="2" cm="1">
        <f t="array" ref="M26">_xlfn.LET(_xlpm.d,M$2:M$19,_xlpm.a,$C$2:$C$19=$C26,_xlpm.b,$D$2:$D$19=$D26,MAX(_xlfn._xlws.FILTER(_xlpm.d,_xlpm.a*_xlpm.b)))</f>
        <v>0.61</v>
      </c>
      <c r="N26" s="2" cm="1">
        <f t="array" ref="N26">_xlfn.LET(_xlpm.d,N$2:N$19,_xlpm.a,$C$2:$C$19=$C26,_xlpm.b,$D$2:$D$19=$D26,MAX(_xlfn._xlws.FILTER(_xlpm.d,_xlpm.a*_xlpm.b)))</f>
        <v>0.59</v>
      </c>
      <c r="O26" s="2" cm="1">
        <f t="array" ref="O26">_xlfn.LET(_xlpm.d,O$2:O$19,_xlpm.a,$C$2:$C$19=$C26,_xlpm.b,$D$2:$D$19=$D26,MAX(_xlfn._xlws.FILTER(_xlpm.d,_xlpm.a*_xlpm.b)))</f>
        <v>0.54</v>
      </c>
      <c r="P26" s="2" cm="1">
        <f t="array" ref="P26">_xlfn.LET(_xlpm.d,P$2:P$19,_xlpm.a,$C$2:$C$19=$C26,_xlpm.b,$D$2:$D$19=$D26,MAX(_xlfn._xlws.FILTER(_xlpm.d,_xlpm.a*_xlpm.b)))</f>
        <v>0.59</v>
      </c>
      <c r="Q26" s="2" cm="1">
        <f t="array" ref="Q26">_xlfn.LET(_xlpm.d,Q$2:Q$19,_xlpm.a,$C$2:$C$19=$C26,_xlpm.b,$D$2:$D$19=$D26,MAX(_xlfn._xlws.FILTER(_xlpm.d,_xlpm.a*_xlpm.b)))</f>
        <v>0.54</v>
      </c>
      <c r="R26" s="2" cm="1">
        <f t="array" ref="R26">_xlfn.LET(_xlpm.d,R$2:R$19,_xlpm.a,$C$2:$C$19=$C26,_xlpm.b,$D$2:$D$19=$D26,MAX(_xlfn._xlws.FILTER(_xlpm.d,_xlpm.a*_xlpm.b)))</f>
        <v>0.59</v>
      </c>
      <c r="S26" s="2" cm="1">
        <f t="array" ref="S26">_xlfn.LET(_xlpm.d,S$2:S$19,_xlpm.a,$C$2:$C$19=$C26,_xlpm.b,$D$2:$D$19=$D26,MAX(_xlfn._xlws.FILTER(_xlpm.d,_xlpm.a*_xlpm.b)))</f>
        <v>0.54</v>
      </c>
      <c r="T26" s="2" cm="1">
        <f t="array" ref="T26">_xlfn.LET(_xlpm.d,T$2:T$19,_xlpm.a,$C$2:$C$19=$C26,_xlpm.b,$D$2:$D$19=$D26,MAX(_xlfn._xlws.FILTER(_xlpm.d,_xlpm.a*_xlpm.b)))</f>
        <v>0.54</v>
      </c>
    </row>
    <row r="27" spans="1:20" ht="25" customHeight="1">
      <c r="B27">
        <v>3</v>
      </c>
      <c r="C27" t="s">
        <v>19</v>
      </c>
      <c r="D27" t="b">
        <v>1</v>
      </c>
      <c r="E27">
        <v>0</v>
      </c>
      <c r="F27" t="s">
        <v>17</v>
      </c>
      <c r="G27" t="str">
        <f>_xlfn.LET(_xlpm.attr,Table61810[[#This Row],[attribute]],_xlpm.spl,LEFT(Table61810[[#This Row],[supplemented]],1),_xlfn.TEXTJOIN("-",TRUE,_xlpm.attr,_xlpm.spl,"3k-mgv3"))</f>
        <v>case-T-3k-mgv3</v>
      </c>
      <c r="H27" s="2" cm="1">
        <f t="array" ref="H27">_xlfn.LET(_xlpm.d,H$2:H$19,_xlpm.a,$C$2:$C$19=$C27,_xlpm.b,$D$2:$D$19=$D27,MAX(_xlfn._xlws.FILTER(_xlpm.d,_xlpm.a*_xlpm.b)))</f>
        <v>0.42</v>
      </c>
      <c r="I27" s="2" cm="1">
        <f t="array" ref="I27">_xlfn.LET(_xlpm.d,I$2:I$19,_xlpm.a,$C$2:$C$19=$C27,_xlpm.b,$D$2:$D$19=$D27,MAX(_xlfn._xlws.FILTER(_xlpm.d,_xlpm.a*_xlpm.b)))</f>
        <v>0.33</v>
      </c>
      <c r="J27" s="2" cm="1">
        <f t="array" ref="J27">_xlfn.LET(_xlpm.d,J$2:J$19,_xlpm.a,$C$2:$C$19=$C27,_xlpm.b,$D$2:$D$19=$D27,MAX(_xlfn._xlws.FILTER(_xlpm.d,_xlpm.a*_xlpm.b)))</f>
        <v>0.43</v>
      </c>
      <c r="K27" s="2" cm="1">
        <f t="array" ref="K27">_xlfn.LET(_xlpm.d,K$2:K$19,_xlpm.a,$C$2:$C$19=$C27,_xlpm.b,$D$2:$D$19=$D27,MAX(_xlfn._xlws.FILTER(_xlpm.d,_xlpm.a*_xlpm.b)))</f>
        <v>0.42</v>
      </c>
      <c r="L27" s="2" cm="1">
        <f t="array" ref="L27">_xlfn.LET(_xlpm.d,L$2:L$19,_xlpm.a,$C$2:$C$19=$C27,_xlpm.b,$D$2:$D$19=$D27,MAX(_xlfn._xlws.FILTER(_xlpm.d,_xlpm.a*_xlpm.b)))</f>
        <v>0.41</v>
      </c>
      <c r="M27" s="2" cm="1">
        <f t="array" ref="M27">_xlfn.LET(_xlpm.d,M$2:M$19,_xlpm.a,$C$2:$C$19=$C27,_xlpm.b,$D$2:$D$19=$D27,MAX(_xlfn._xlws.FILTER(_xlpm.d,_xlpm.a*_xlpm.b)))</f>
        <v>0.49</v>
      </c>
      <c r="N27" s="2" cm="1">
        <f t="array" ref="N27">_xlfn.LET(_xlpm.d,N$2:N$19,_xlpm.a,$C$2:$C$19=$C27,_xlpm.b,$D$2:$D$19=$D27,MAX(_xlfn._xlws.FILTER(_xlpm.d,_xlpm.a*_xlpm.b)))</f>
        <v>0.39</v>
      </c>
      <c r="O27" s="2" cm="1">
        <f t="array" ref="O27">_xlfn.LET(_xlpm.d,O$2:O$19,_xlpm.a,$C$2:$C$19=$C27,_xlpm.b,$D$2:$D$19=$D27,MAX(_xlfn._xlws.FILTER(_xlpm.d,_xlpm.a*_xlpm.b)))</f>
        <v>0.46</v>
      </c>
      <c r="P27" s="2" cm="1">
        <f t="array" ref="P27">_xlfn.LET(_xlpm.d,P$2:P$19,_xlpm.a,$C$2:$C$19=$C27,_xlpm.b,$D$2:$D$19=$D27,MAX(_xlfn._xlws.FILTER(_xlpm.d,_xlpm.a*_xlpm.b)))</f>
        <v>0.38</v>
      </c>
      <c r="Q27" s="2" cm="1">
        <f t="array" ref="Q27">_xlfn.LET(_xlpm.d,Q$2:Q$19,_xlpm.a,$C$2:$C$19=$C27,_xlpm.b,$D$2:$D$19=$D27,MAX(_xlfn._xlws.FILTER(_xlpm.d,_xlpm.a*_xlpm.b)))</f>
        <v>0.43</v>
      </c>
      <c r="R27" s="2" cm="1">
        <f t="array" ref="R27">_xlfn.LET(_xlpm.d,R$2:R$19,_xlpm.a,$C$2:$C$19=$C27,_xlpm.b,$D$2:$D$19=$D27,MAX(_xlfn._xlws.FILTER(_xlpm.d,_xlpm.a*_xlpm.b)))</f>
        <v>0.33</v>
      </c>
      <c r="S27" s="2" cm="1">
        <f t="array" ref="S27">_xlfn.LET(_xlpm.d,S$2:S$19,_xlpm.a,$C$2:$C$19=$C27,_xlpm.b,$D$2:$D$19=$D27,MAX(_xlfn._xlws.FILTER(_xlpm.d,_xlpm.a*_xlpm.b)))</f>
        <v>0.42</v>
      </c>
      <c r="T27" s="2" cm="1">
        <f t="array" ref="T27">_xlfn.LET(_xlpm.d,T$2:T$19,_xlpm.a,$C$2:$C$19=$C27,_xlpm.b,$D$2:$D$19=$D27,MAX(_xlfn._xlws.FILTER(_xlpm.d,_xlpm.a*_xlpm.b)))</f>
        <v>0.42</v>
      </c>
    </row>
    <row r="28" spans="1:20" ht="25" customHeight="1">
      <c r="B28">
        <v>3</v>
      </c>
      <c r="C28" t="s">
        <v>19</v>
      </c>
      <c r="D28" t="b">
        <v>0</v>
      </c>
      <c r="E28">
        <v>0</v>
      </c>
      <c r="F28" t="s">
        <v>17</v>
      </c>
      <c r="G28" t="str">
        <f>_xlfn.LET(_xlpm.attr,Table61810[[#This Row],[attribute]],_xlpm.spl,LEFT(Table61810[[#This Row],[supplemented]],1),_xlfn.TEXTJOIN("-",TRUE,_xlpm.attr,_xlpm.spl,"3k-mgv3"))</f>
        <v>case-F-3k-mgv3</v>
      </c>
      <c r="H28" s="2" cm="1">
        <f t="array" ref="H28">_xlfn.LET(_xlpm.d,H$2:H$19,_xlpm.a,$C$2:$C$19=$C28,_xlpm.b,$D$2:$D$19=$D28,MAX(_xlfn._xlws.FILTER(_xlpm.d,_xlpm.a*_xlpm.b)))</f>
        <v>0.44</v>
      </c>
      <c r="I28" s="2" cm="1">
        <f t="array" ref="I28">_xlfn.LET(_xlpm.d,I$2:I$19,_xlpm.a,$C$2:$C$19=$C28,_xlpm.b,$D$2:$D$19=$D28,MAX(_xlfn._xlws.FILTER(_xlpm.d,_xlpm.a*_xlpm.b)))</f>
        <v>0.34</v>
      </c>
      <c r="J28" s="2" cm="1">
        <f t="array" ref="J28">_xlfn.LET(_xlpm.d,J$2:J$19,_xlpm.a,$C$2:$C$19=$C28,_xlpm.b,$D$2:$D$19=$D28,MAX(_xlfn._xlws.FILTER(_xlpm.d,_xlpm.a*_xlpm.b)))</f>
        <v>0.42</v>
      </c>
      <c r="K28" s="2" cm="1">
        <f t="array" ref="K28">_xlfn.LET(_xlpm.d,K$2:K$19,_xlpm.a,$C$2:$C$19=$C28,_xlpm.b,$D$2:$D$19=$D28,MAX(_xlfn._xlws.FILTER(_xlpm.d,_xlpm.a*_xlpm.b)))</f>
        <v>0.43</v>
      </c>
      <c r="L28" s="2" cm="1">
        <f t="array" ref="L28">_xlfn.LET(_xlpm.d,L$2:L$19,_xlpm.a,$C$2:$C$19=$C28,_xlpm.b,$D$2:$D$19=$D28,MAX(_xlfn._xlws.FILTER(_xlpm.d,_xlpm.a*_xlpm.b)))</f>
        <v>0.41</v>
      </c>
      <c r="M28" s="2" cm="1">
        <f t="array" ref="M28">_xlfn.LET(_xlpm.d,M$2:M$19,_xlpm.a,$C$2:$C$19=$C28,_xlpm.b,$D$2:$D$19=$D28,MAX(_xlfn._xlws.FILTER(_xlpm.d,_xlpm.a*_xlpm.b)))</f>
        <v>0.46</v>
      </c>
      <c r="N28" s="2" cm="1">
        <f t="array" ref="N28">_xlfn.LET(_xlpm.d,N$2:N$19,_xlpm.a,$C$2:$C$19=$C28,_xlpm.b,$D$2:$D$19=$D28,MAX(_xlfn._xlws.FILTER(_xlpm.d,_xlpm.a*_xlpm.b)))</f>
        <v>0.39</v>
      </c>
      <c r="O28" s="2" cm="1">
        <f t="array" ref="O28">_xlfn.LET(_xlpm.d,O$2:O$19,_xlpm.a,$C$2:$C$19=$C28,_xlpm.b,$D$2:$D$19=$D28,MAX(_xlfn._xlws.FILTER(_xlpm.d,_xlpm.a*_xlpm.b)))</f>
        <v>0.42</v>
      </c>
      <c r="P28" s="2" cm="1">
        <f t="array" ref="P28">_xlfn.LET(_xlpm.d,P$2:P$19,_xlpm.a,$C$2:$C$19=$C28,_xlpm.b,$D$2:$D$19=$D28,MAX(_xlfn._xlws.FILTER(_xlpm.d,_xlpm.a*_xlpm.b)))</f>
        <v>0.41</v>
      </c>
      <c r="Q28" s="2" cm="1">
        <f t="array" ref="Q28">_xlfn.LET(_xlpm.d,Q$2:Q$19,_xlpm.a,$C$2:$C$19=$C28,_xlpm.b,$D$2:$D$19=$D28,MAX(_xlfn._xlws.FILTER(_xlpm.d,_xlpm.a*_xlpm.b)))</f>
        <v>0.41</v>
      </c>
      <c r="R28" s="2" cm="1">
        <f t="array" ref="R28">_xlfn.LET(_xlpm.d,R$2:R$19,_xlpm.a,$C$2:$C$19=$C28,_xlpm.b,$D$2:$D$19=$D28,MAX(_xlfn._xlws.FILTER(_xlpm.d,_xlpm.a*_xlpm.b)))</f>
        <v>0.38</v>
      </c>
      <c r="S28" s="2" cm="1">
        <f t="array" ref="S28">_xlfn.LET(_xlpm.d,S$2:S$19,_xlpm.a,$C$2:$C$19=$C28,_xlpm.b,$D$2:$D$19=$D28,MAX(_xlfn._xlws.FILTER(_xlpm.d,_xlpm.a*_xlpm.b)))</f>
        <v>0.41</v>
      </c>
      <c r="T28" s="2" cm="1">
        <f t="array" ref="T28">_xlfn.LET(_xlpm.d,T$2:T$19,_xlpm.a,$C$2:$C$19=$C28,_xlpm.b,$D$2:$D$19=$D28,MAX(_xlfn._xlws.FILTER(_xlpm.d,_xlpm.a*_xlpm.b)))</f>
        <v>0.44</v>
      </c>
    </row>
  </sheetData>
  <conditionalFormatting sqref="H2:T19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4ED6F-0CB9-CA40-BC06-97B071E4C941}">
  <dimension ref="A1:T28"/>
  <sheetViews>
    <sheetView workbookViewId="0">
      <pane xSplit="22680" ySplit="2640" topLeftCell="S9" activePane="bottomLeft"/>
      <selection activeCell="G3" sqref="G3"/>
      <selection pane="topRight" activeCell="S2" sqref="S2:S19"/>
      <selection pane="bottomLeft" activeCell="H23" sqref="H23:T28"/>
      <selection pane="bottomRight" activeCell="T32" sqref="T32"/>
    </sheetView>
  </sheetViews>
  <sheetFormatPr baseColWidth="10" defaultRowHeight="25" customHeight="1"/>
  <cols>
    <col min="2" max="6" width="8.625" customWidth="1"/>
    <col min="7" max="7" width="13.125" customWidth="1"/>
    <col min="8" max="20" width="9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25</v>
      </c>
      <c r="E1" t="s">
        <v>3</v>
      </c>
      <c r="F1" t="s">
        <v>4</v>
      </c>
      <c r="G1" t="s">
        <v>26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ht="25" customHeight="1">
      <c r="A2" t="s">
        <v>18</v>
      </c>
      <c r="B2">
        <v>1</v>
      </c>
      <c r="C2" t="s">
        <v>24</v>
      </c>
      <c r="D2" t="b">
        <v>1</v>
      </c>
      <c r="E2">
        <v>1</v>
      </c>
      <c r="F2" t="s">
        <v>20</v>
      </c>
      <c r="G2" t="str">
        <f>_xlfn.LET(_xlpm.attr,Table14[[#This Row],[attribute]],_xlpm.spl,LEFT(Table14[[#This Row],[supplemented]],1),_xlfn.TEXTJOIN("-",TRUE,_xlpm.attr,_xlpm.spl,"3k-mgv3"))</f>
        <v>plurality-T-3k-mgv3</v>
      </c>
      <c r="H2" s="1">
        <v>0.79</v>
      </c>
      <c r="I2" s="1">
        <v>0.83</v>
      </c>
      <c r="J2" s="1">
        <v>0.77</v>
      </c>
      <c r="K2" s="1">
        <v>0.65</v>
      </c>
      <c r="L2" s="1">
        <v>0.74</v>
      </c>
      <c r="M2" s="1">
        <v>0.7</v>
      </c>
      <c r="N2" s="1">
        <v>0.86</v>
      </c>
      <c r="O2" s="1">
        <v>0.83</v>
      </c>
      <c r="P2" s="1">
        <v>0.82</v>
      </c>
      <c r="Q2" s="1">
        <v>0.74</v>
      </c>
      <c r="R2" s="1">
        <v>0.81</v>
      </c>
      <c r="S2" s="1">
        <v>0.79</v>
      </c>
      <c r="T2" s="1">
        <f t="shared" ref="T2:T19" si="0">_xlfn.LET(_xlpm.d,$H2:$S2,MAX(_xlpm.d))</f>
        <v>0.86</v>
      </c>
    </row>
    <row r="3" spans="1:20" ht="25" customHeight="1">
      <c r="A3" t="s">
        <v>18</v>
      </c>
      <c r="B3">
        <v>1</v>
      </c>
      <c r="C3" t="s">
        <v>24</v>
      </c>
      <c r="D3" t="b">
        <v>1</v>
      </c>
      <c r="E3">
        <v>2</v>
      </c>
      <c r="F3" t="s">
        <v>21</v>
      </c>
      <c r="G3" t="str">
        <f>_xlfn.LET(_xlpm.attr,Table14[[#This Row],[attribute]],_xlpm.spl,LEFT(Table14[[#This Row],[supplemented]],1),_xlfn.TEXTJOIN("-",TRUE,_xlpm.attr,_xlpm.spl,"3k-mgv3"))</f>
        <v>plurality-T-3k-mgv3</v>
      </c>
      <c r="H3" s="1">
        <v>0.79</v>
      </c>
      <c r="I3" s="1">
        <v>0.82</v>
      </c>
      <c r="J3" s="1">
        <v>0.82</v>
      </c>
      <c r="K3" s="1">
        <v>0.8</v>
      </c>
      <c r="L3" s="1">
        <v>0.8</v>
      </c>
      <c r="M3" s="1">
        <v>0.8</v>
      </c>
      <c r="N3" s="1">
        <v>0.92</v>
      </c>
      <c r="O3" s="1">
        <v>0.87</v>
      </c>
      <c r="P3" s="1">
        <v>0.83</v>
      </c>
      <c r="Q3" s="1">
        <v>0.78</v>
      </c>
      <c r="R3" s="1">
        <v>0.83</v>
      </c>
      <c r="S3" s="1">
        <v>0.83</v>
      </c>
      <c r="T3" s="1">
        <f t="shared" si="0"/>
        <v>0.92</v>
      </c>
    </row>
    <row r="4" spans="1:20" ht="25" customHeight="1">
      <c r="A4" t="s">
        <v>18</v>
      </c>
      <c r="B4">
        <v>1</v>
      </c>
      <c r="C4" t="s">
        <v>24</v>
      </c>
      <c r="D4" t="b">
        <v>1</v>
      </c>
      <c r="E4">
        <v>3</v>
      </c>
      <c r="F4" t="s">
        <v>22</v>
      </c>
      <c r="G4" t="str">
        <f>_xlfn.LET(_xlpm.attr,Table14[[#This Row],[attribute]],_xlpm.spl,LEFT(Table14[[#This Row],[supplemented]],1),_xlfn.TEXTJOIN("-",TRUE,_xlpm.attr,_xlpm.spl,"3k-mgv3"))</f>
        <v>plurality-T-3k-mgv3</v>
      </c>
      <c r="H4" s="1">
        <v>0.73</v>
      </c>
      <c r="I4" s="1">
        <v>0.81</v>
      </c>
      <c r="J4" s="1">
        <v>0.8</v>
      </c>
      <c r="K4" s="1">
        <v>0.72</v>
      </c>
      <c r="L4" s="1">
        <v>0.79</v>
      </c>
      <c r="M4" s="1">
        <v>0.76</v>
      </c>
      <c r="N4" s="1">
        <v>0.83</v>
      </c>
      <c r="O4" s="1">
        <v>0.82</v>
      </c>
      <c r="P4" s="1">
        <v>0.78</v>
      </c>
      <c r="Q4" s="1">
        <v>0.72</v>
      </c>
      <c r="R4" s="1">
        <v>0.83</v>
      </c>
      <c r="S4" s="1">
        <v>0.82</v>
      </c>
      <c r="T4" s="1">
        <f t="shared" si="0"/>
        <v>0.83</v>
      </c>
    </row>
    <row r="5" spans="1:20" ht="25" customHeight="1">
      <c r="A5" t="s">
        <v>18</v>
      </c>
      <c r="B5">
        <v>1</v>
      </c>
      <c r="C5" t="s">
        <v>24</v>
      </c>
      <c r="D5" t="b">
        <v>0</v>
      </c>
      <c r="E5">
        <v>1</v>
      </c>
      <c r="F5" t="s">
        <v>20</v>
      </c>
      <c r="G5" t="str">
        <f>_xlfn.LET(_xlpm.attr,Table14[[#This Row],[attribute]],_xlpm.spl,LEFT(Table14[[#This Row],[supplemented]],1),_xlfn.TEXTJOIN("-",TRUE,_xlpm.attr,_xlpm.spl,"3k-mgv3"))</f>
        <v>plurality-F-3k-mgv3</v>
      </c>
      <c r="H5" s="1">
        <v>0.72</v>
      </c>
      <c r="I5" s="1">
        <v>0.76</v>
      </c>
      <c r="J5" s="1">
        <v>0.72</v>
      </c>
      <c r="K5" s="1">
        <v>0.67</v>
      </c>
      <c r="L5" s="1">
        <v>0.8</v>
      </c>
      <c r="M5" s="1">
        <v>0.77</v>
      </c>
      <c r="N5" s="1">
        <v>0.85</v>
      </c>
      <c r="O5" s="1">
        <v>0.79</v>
      </c>
      <c r="P5" s="1">
        <v>0.82</v>
      </c>
      <c r="Q5" s="1">
        <v>0.67</v>
      </c>
      <c r="R5" s="1">
        <v>0.82</v>
      </c>
      <c r="S5" s="1">
        <v>0.77</v>
      </c>
      <c r="T5" s="1">
        <f t="shared" si="0"/>
        <v>0.85</v>
      </c>
    </row>
    <row r="6" spans="1:20" ht="25" customHeight="1">
      <c r="A6" t="s">
        <v>18</v>
      </c>
      <c r="B6">
        <v>1</v>
      </c>
      <c r="C6" t="s">
        <v>24</v>
      </c>
      <c r="D6" t="b">
        <v>0</v>
      </c>
      <c r="E6">
        <v>2</v>
      </c>
      <c r="F6" t="s">
        <v>21</v>
      </c>
      <c r="G6" t="str">
        <f>_xlfn.LET(_xlpm.attr,Table14[[#This Row],[attribute]],_xlpm.spl,LEFT(Table14[[#This Row],[supplemented]],1),_xlfn.TEXTJOIN("-",TRUE,_xlpm.attr,_xlpm.spl,"3k-mgv3"))</f>
        <v>plurality-F-3k-mgv3</v>
      </c>
      <c r="H6" s="1">
        <v>0.72</v>
      </c>
      <c r="I6" s="1">
        <v>0.77</v>
      </c>
      <c r="J6" s="1">
        <v>0.78</v>
      </c>
      <c r="K6" s="1">
        <v>0.78</v>
      </c>
      <c r="L6" s="1">
        <v>0.82</v>
      </c>
      <c r="M6" s="1">
        <v>0.79</v>
      </c>
      <c r="N6" s="1">
        <v>0.88</v>
      </c>
      <c r="O6" s="1">
        <v>0.82</v>
      </c>
      <c r="P6" s="1">
        <v>0.8</v>
      </c>
      <c r="Q6" s="1">
        <v>0.7</v>
      </c>
      <c r="R6" s="1">
        <v>0.84</v>
      </c>
      <c r="S6" s="1">
        <v>0.84</v>
      </c>
      <c r="T6" s="1">
        <f t="shared" si="0"/>
        <v>0.88</v>
      </c>
    </row>
    <row r="7" spans="1:20" ht="25" customHeight="1">
      <c r="A7" t="s">
        <v>18</v>
      </c>
      <c r="B7">
        <v>1</v>
      </c>
      <c r="C7" t="s">
        <v>24</v>
      </c>
      <c r="D7" t="b">
        <v>0</v>
      </c>
      <c r="E7">
        <v>3</v>
      </c>
      <c r="F7" t="s">
        <v>22</v>
      </c>
      <c r="G7" t="str">
        <f>_xlfn.LET(_xlpm.attr,Table14[[#This Row],[attribute]],_xlpm.spl,LEFT(Table14[[#This Row],[supplemented]],1),_xlfn.TEXTJOIN("-",TRUE,_xlpm.attr,_xlpm.spl,"3k-mgv3"))</f>
        <v>plurality-F-3k-mgv3</v>
      </c>
      <c r="H7" s="1">
        <v>0.71</v>
      </c>
      <c r="I7" s="1">
        <v>0.75</v>
      </c>
      <c r="J7" s="1">
        <v>0.78</v>
      </c>
      <c r="K7" s="1">
        <v>0.66</v>
      </c>
      <c r="L7" s="1">
        <v>0.78</v>
      </c>
      <c r="M7" s="1">
        <v>0.76</v>
      </c>
      <c r="N7" s="1">
        <v>0.82</v>
      </c>
      <c r="O7" s="1">
        <v>0.77</v>
      </c>
      <c r="P7" s="1">
        <v>0.75</v>
      </c>
      <c r="Q7" s="1">
        <v>0.64</v>
      </c>
      <c r="R7" s="1">
        <v>0.84</v>
      </c>
      <c r="S7" s="1">
        <v>0.85</v>
      </c>
      <c r="T7" s="1">
        <f t="shared" si="0"/>
        <v>0.85</v>
      </c>
    </row>
    <row r="8" spans="1:20" ht="25" customHeight="1">
      <c r="A8" t="s">
        <v>18</v>
      </c>
      <c r="B8">
        <v>2</v>
      </c>
      <c r="C8" t="s">
        <v>23</v>
      </c>
      <c r="D8" t="b">
        <v>1</v>
      </c>
      <c r="E8">
        <v>1</v>
      </c>
      <c r="F8" t="s">
        <v>20</v>
      </c>
      <c r="G8" t="str">
        <f>_xlfn.LET(_xlpm.attr,Table14[[#This Row],[attribute]],_xlpm.spl,LEFT(Table14[[#This Row],[supplemented]],1),_xlfn.TEXTJOIN("-",TRUE,_xlpm.attr,_xlpm.spl,"3k-mgv3"))</f>
        <v>gender-T-3k-mgv3</v>
      </c>
      <c r="H8" s="1">
        <v>0.5</v>
      </c>
      <c r="I8" s="1">
        <v>0.43</v>
      </c>
      <c r="J8" s="1">
        <v>0.47</v>
      </c>
      <c r="K8" s="1">
        <v>0.53</v>
      </c>
      <c r="L8" s="1">
        <v>0.52</v>
      </c>
      <c r="M8" s="1">
        <v>0.5</v>
      </c>
      <c r="N8" s="1">
        <v>0.47</v>
      </c>
      <c r="O8" s="1">
        <v>0.5</v>
      </c>
      <c r="P8" s="1">
        <v>0.44</v>
      </c>
      <c r="Q8" s="1">
        <v>0.48</v>
      </c>
      <c r="R8" s="1">
        <v>0.5</v>
      </c>
      <c r="S8" s="1">
        <v>0.41</v>
      </c>
      <c r="T8" s="1">
        <f t="shared" si="0"/>
        <v>0.53</v>
      </c>
    </row>
    <row r="9" spans="1:20" ht="25" customHeight="1">
      <c r="A9" t="s">
        <v>18</v>
      </c>
      <c r="B9">
        <v>2</v>
      </c>
      <c r="C9" t="s">
        <v>23</v>
      </c>
      <c r="D9" t="b">
        <v>1</v>
      </c>
      <c r="E9">
        <v>2</v>
      </c>
      <c r="F9" t="s">
        <v>21</v>
      </c>
      <c r="G9" t="str">
        <f>_xlfn.LET(_xlpm.attr,Table14[[#This Row],[attribute]],_xlpm.spl,LEFT(Table14[[#This Row],[supplemented]],1),_xlfn.TEXTJOIN("-",TRUE,_xlpm.attr,_xlpm.spl,"3k-mgv3"))</f>
        <v>gender-T-3k-mgv3</v>
      </c>
      <c r="H9" s="1">
        <v>0.64</v>
      </c>
      <c r="I9" s="1">
        <v>0.55000000000000004</v>
      </c>
      <c r="J9" s="1">
        <v>0.54</v>
      </c>
      <c r="K9" s="1">
        <v>0.56999999999999995</v>
      </c>
      <c r="L9" s="1">
        <v>0.56000000000000005</v>
      </c>
      <c r="M9" s="1">
        <v>0.55000000000000004</v>
      </c>
      <c r="N9" s="1">
        <v>0.5</v>
      </c>
      <c r="O9" s="1">
        <v>0.55000000000000004</v>
      </c>
      <c r="P9" s="1">
        <v>0.51</v>
      </c>
      <c r="Q9" s="1">
        <v>0.55000000000000004</v>
      </c>
      <c r="R9" s="1">
        <v>0.6</v>
      </c>
      <c r="S9" s="1">
        <v>0.5</v>
      </c>
      <c r="T9" s="1">
        <f t="shared" si="0"/>
        <v>0.64</v>
      </c>
    </row>
    <row r="10" spans="1:20" ht="25" customHeight="1">
      <c r="A10" t="s">
        <v>18</v>
      </c>
      <c r="B10">
        <v>2</v>
      </c>
      <c r="C10" t="s">
        <v>23</v>
      </c>
      <c r="D10" t="b">
        <v>1</v>
      </c>
      <c r="E10">
        <v>3</v>
      </c>
      <c r="F10" t="s">
        <v>22</v>
      </c>
      <c r="G10" t="str">
        <f>_xlfn.LET(_xlpm.attr,Table14[[#This Row],[attribute]],_xlpm.spl,LEFT(Table14[[#This Row],[supplemented]],1),_xlfn.TEXTJOIN("-",TRUE,_xlpm.attr,_xlpm.spl,"3k-mgv3"))</f>
        <v>gender-T-3k-mgv3</v>
      </c>
      <c r="H10" s="1">
        <v>0.55000000000000004</v>
      </c>
      <c r="I10" s="1">
        <v>0.52</v>
      </c>
      <c r="J10" s="1">
        <v>0.53</v>
      </c>
      <c r="K10" s="1">
        <v>0.5</v>
      </c>
      <c r="L10" s="1">
        <v>0.57999999999999996</v>
      </c>
      <c r="M10" s="1">
        <v>0.54</v>
      </c>
      <c r="N10" s="1">
        <v>0.52</v>
      </c>
      <c r="O10" s="1">
        <v>0.51</v>
      </c>
      <c r="P10" s="1">
        <v>0.55000000000000004</v>
      </c>
      <c r="Q10" s="1">
        <v>0.54</v>
      </c>
      <c r="R10" s="1">
        <v>0.59</v>
      </c>
      <c r="S10" s="1">
        <v>0.49</v>
      </c>
      <c r="T10" s="1">
        <f t="shared" si="0"/>
        <v>0.59</v>
      </c>
    </row>
    <row r="11" spans="1:20" ht="25" customHeight="1">
      <c r="A11" t="s">
        <v>18</v>
      </c>
      <c r="B11">
        <v>2</v>
      </c>
      <c r="C11" t="s">
        <v>23</v>
      </c>
      <c r="D11" t="b">
        <v>0</v>
      </c>
      <c r="E11">
        <v>1</v>
      </c>
      <c r="F11" t="s">
        <v>20</v>
      </c>
      <c r="G11" t="str">
        <f>_xlfn.LET(_xlpm.attr,Table14[[#This Row],[attribute]],_xlpm.spl,LEFT(Table14[[#This Row],[supplemented]],1),_xlfn.TEXTJOIN("-",TRUE,_xlpm.attr,_xlpm.spl,"3k-mgv3"))</f>
        <v>gender-F-3k-mgv3</v>
      </c>
      <c r="H11" s="1">
        <v>0.44</v>
      </c>
      <c r="I11" s="1">
        <v>0.5</v>
      </c>
      <c r="J11" s="1">
        <v>0.48</v>
      </c>
      <c r="K11" s="1">
        <v>0.53</v>
      </c>
      <c r="L11" s="1">
        <v>0.44</v>
      </c>
      <c r="M11" s="1">
        <v>0.51</v>
      </c>
      <c r="N11" s="1">
        <v>0.44</v>
      </c>
      <c r="O11" s="1">
        <v>0.44</v>
      </c>
      <c r="P11" s="1">
        <v>0.42</v>
      </c>
      <c r="Q11" s="1">
        <v>0.53</v>
      </c>
      <c r="R11" s="1">
        <v>0.47</v>
      </c>
      <c r="S11" s="1">
        <v>0.47</v>
      </c>
      <c r="T11" s="1">
        <f t="shared" si="0"/>
        <v>0.53</v>
      </c>
    </row>
    <row r="12" spans="1:20" ht="25" customHeight="1">
      <c r="A12" t="s">
        <v>18</v>
      </c>
      <c r="B12">
        <v>2</v>
      </c>
      <c r="C12" t="s">
        <v>23</v>
      </c>
      <c r="D12" t="b">
        <v>0</v>
      </c>
      <c r="E12">
        <v>2</v>
      </c>
      <c r="F12" t="s">
        <v>21</v>
      </c>
      <c r="G12" t="str">
        <f>_xlfn.LET(_xlpm.attr,Table14[[#This Row],[attribute]],_xlpm.spl,LEFT(Table14[[#This Row],[supplemented]],1),_xlfn.TEXTJOIN("-",TRUE,_xlpm.attr,_xlpm.spl,"3k-mgv3"))</f>
        <v>gender-F-3k-mgv3</v>
      </c>
      <c r="H12" s="1">
        <v>0.56000000000000005</v>
      </c>
      <c r="I12" s="1">
        <v>0.56000000000000005</v>
      </c>
      <c r="J12" s="1">
        <v>0.52</v>
      </c>
      <c r="K12" s="1">
        <v>0.6</v>
      </c>
      <c r="L12" s="1">
        <v>0.55000000000000004</v>
      </c>
      <c r="M12" s="1">
        <v>0.56999999999999995</v>
      </c>
      <c r="N12" s="1">
        <v>0.5</v>
      </c>
      <c r="O12" s="1">
        <v>0.52</v>
      </c>
      <c r="P12" s="1">
        <v>0.48</v>
      </c>
      <c r="Q12" s="1">
        <v>0.61</v>
      </c>
      <c r="R12" s="1">
        <v>0.54</v>
      </c>
      <c r="S12" s="1">
        <v>0.48</v>
      </c>
      <c r="T12" s="1">
        <f t="shared" si="0"/>
        <v>0.61</v>
      </c>
    </row>
    <row r="13" spans="1:20" ht="25" customHeight="1">
      <c r="A13" t="s">
        <v>18</v>
      </c>
      <c r="B13">
        <v>2</v>
      </c>
      <c r="C13" t="s">
        <v>23</v>
      </c>
      <c r="D13" t="b">
        <v>0</v>
      </c>
      <c r="E13">
        <v>3</v>
      </c>
      <c r="F13" t="s">
        <v>22</v>
      </c>
      <c r="G13" t="str">
        <f>_xlfn.LET(_xlpm.attr,Table14[[#This Row],[attribute]],_xlpm.spl,LEFT(Table14[[#This Row],[supplemented]],1),_xlfn.TEXTJOIN("-",TRUE,_xlpm.attr,_xlpm.spl,"3k-mgv3"))</f>
        <v>gender-F-3k-mgv3</v>
      </c>
      <c r="H13" s="1">
        <v>0.57999999999999996</v>
      </c>
      <c r="I13" s="1">
        <v>0.5</v>
      </c>
      <c r="J13" s="1">
        <v>0.48</v>
      </c>
      <c r="K13" s="1">
        <v>0.53</v>
      </c>
      <c r="L13" s="1">
        <v>0.51</v>
      </c>
      <c r="M13" s="1">
        <v>0.5</v>
      </c>
      <c r="N13" s="1">
        <v>0.5</v>
      </c>
      <c r="O13" s="1">
        <v>0.51</v>
      </c>
      <c r="P13" s="1">
        <v>0.47</v>
      </c>
      <c r="Q13" s="1">
        <v>0.51</v>
      </c>
      <c r="R13" s="1">
        <v>0.56000000000000005</v>
      </c>
      <c r="S13" s="1">
        <v>0.52</v>
      </c>
      <c r="T13" s="1">
        <f t="shared" si="0"/>
        <v>0.57999999999999996</v>
      </c>
    </row>
    <row r="14" spans="1:20" ht="25" customHeight="1">
      <c r="A14" t="s">
        <v>18</v>
      </c>
      <c r="B14">
        <v>3</v>
      </c>
      <c r="C14" t="s">
        <v>19</v>
      </c>
      <c r="D14" t="b">
        <v>1</v>
      </c>
      <c r="E14">
        <v>1</v>
      </c>
      <c r="F14" t="s">
        <v>20</v>
      </c>
      <c r="G14" t="str">
        <f>_xlfn.LET(_xlpm.attr,Table14[[#This Row],[attribute]],_xlpm.spl,LEFT(Table14[[#This Row],[supplemented]],1),_xlfn.TEXTJOIN("-",TRUE,_xlpm.attr,_xlpm.spl,"3k-mgv3"))</f>
        <v>case-T-3k-mgv3</v>
      </c>
      <c r="H14" s="1">
        <v>0.38</v>
      </c>
      <c r="I14" s="1">
        <v>0.34</v>
      </c>
      <c r="J14" s="1">
        <v>0.41</v>
      </c>
      <c r="K14" s="1">
        <v>0.39</v>
      </c>
      <c r="L14" s="1">
        <v>0.39</v>
      </c>
      <c r="M14" s="1">
        <v>0.36</v>
      </c>
      <c r="N14" s="1">
        <v>0.38</v>
      </c>
      <c r="O14" s="1">
        <v>0.39</v>
      </c>
      <c r="P14" s="1">
        <v>0.45</v>
      </c>
      <c r="Q14" s="1">
        <v>0.31</v>
      </c>
      <c r="R14" s="1">
        <v>0.42</v>
      </c>
      <c r="S14" s="1">
        <v>0.28999999999999998</v>
      </c>
      <c r="T14" s="1">
        <f t="shared" si="0"/>
        <v>0.45</v>
      </c>
    </row>
    <row r="15" spans="1:20" ht="25" customHeight="1">
      <c r="A15" t="s">
        <v>18</v>
      </c>
      <c r="B15">
        <v>3</v>
      </c>
      <c r="C15" t="s">
        <v>19</v>
      </c>
      <c r="D15" t="b">
        <v>1</v>
      </c>
      <c r="E15">
        <v>2</v>
      </c>
      <c r="F15" t="s">
        <v>21</v>
      </c>
      <c r="G15" t="str">
        <f>_xlfn.LET(_xlpm.attr,Table14[[#This Row],[attribute]],_xlpm.spl,LEFT(Table14[[#This Row],[supplemented]],1),_xlfn.TEXTJOIN("-",TRUE,_xlpm.attr,_xlpm.spl,"3k-mgv3"))</f>
        <v>case-T-3k-mgv3</v>
      </c>
      <c r="H15" s="1">
        <v>0.38</v>
      </c>
      <c r="I15" s="1">
        <v>0.4</v>
      </c>
      <c r="J15" s="1">
        <v>0.34</v>
      </c>
      <c r="K15" s="1">
        <v>0.41</v>
      </c>
      <c r="L15" s="1">
        <v>0.42</v>
      </c>
      <c r="M15" s="1">
        <v>0.42</v>
      </c>
      <c r="N15" s="1">
        <v>0.4</v>
      </c>
      <c r="O15" s="1">
        <v>0.35</v>
      </c>
      <c r="P15" s="1">
        <v>0.43</v>
      </c>
      <c r="Q15" s="1">
        <v>0.33</v>
      </c>
      <c r="R15" s="1">
        <v>0.42</v>
      </c>
      <c r="S15" s="1">
        <v>0.38</v>
      </c>
      <c r="T15" s="1">
        <f t="shared" si="0"/>
        <v>0.43</v>
      </c>
    </row>
    <row r="16" spans="1:20" ht="25" customHeight="1">
      <c r="A16" t="s">
        <v>18</v>
      </c>
      <c r="B16">
        <v>3</v>
      </c>
      <c r="C16" t="s">
        <v>19</v>
      </c>
      <c r="D16" t="b">
        <v>1</v>
      </c>
      <c r="E16">
        <v>3</v>
      </c>
      <c r="F16" t="s">
        <v>22</v>
      </c>
      <c r="G16" t="str">
        <f>_xlfn.LET(_xlpm.attr,Table14[[#This Row],[attribute]],_xlpm.spl,LEFT(Table14[[#This Row],[supplemented]],1),_xlfn.TEXTJOIN("-",TRUE,_xlpm.attr,_xlpm.spl,"3k-mgv3"))</f>
        <v>case-T-3k-mgv3</v>
      </c>
      <c r="H16" s="1">
        <v>0.32</v>
      </c>
      <c r="I16" s="1">
        <v>0.33</v>
      </c>
      <c r="J16" s="1">
        <v>0.42</v>
      </c>
      <c r="K16" s="1">
        <v>0.28999999999999998</v>
      </c>
      <c r="L16" s="1">
        <v>0.33</v>
      </c>
      <c r="M16" s="1">
        <v>0.43</v>
      </c>
      <c r="N16" s="1">
        <v>0.37</v>
      </c>
      <c r="O16" s="1">
        <v>0.34</v>
      </c>
      <c r="P16" s="1">
        <v>0.39</v>
      </c>
      <c r="Q16" s="1">
        <v>0.33</v>
      </c>
      <c r="R16" s="1">
        <v>0.35</v>
      </c>
      <c r="S16" s="1">
        <v>0.38</v>
      </c>
      <c r="T16" s="1">
        <f t="shared" si="0"/>
        <v>0.43</v>
      </c>
    </row>
    <row r="17" spans="1:20" ht="25" customHeight="1">
      <c r="A17" t="s">
        <v>18</v>
      </c>
      <c r="B17">
        <v>3</v>
      </c>
      <c r="C17" t="s">
        <v>19</v>
      </c>
      <c r="D17" t="b">
        <v>0</v>
      </c>
      <c r="E17">
        <v>1</v>
      </c>
      <c r="F17" t="s">
        <v>20</v>
      </c>
      <c r="G17" t="str">
        <f>_xlfn.LET(_xlpm.attr,Table14[[#This Row],[attribute]],_xlpm.spl,LEFT(Table14[[#This Row],[supplemented]],1),_xlfn.TEXTJOIN("-",TRUE,_xlpm.attr,_xlpm.spl,"3k-mgv3"))</f>
        <v>case-F-3k-mgv3</v>
      </c>
      <c r="H17" s="1">
        <v>0.38</v>
      </c>
      <c r="I17" s="1">
        <v>0.39</v>
      </c>
      <c r="J17" s="1">
        <v>0.28000000000000003</v>
      </c>
      <c r="K17" s="1">
        <v>0.34</v>
      </c>
      <c r="L17" s="1">
        <v>0.36</v>
      </c>
      <c r="M17" s="1">
        <v>0.37</v>
      </c>
      <c r="N17" s="1">
        <v>0.42</v>
      </c>
      <c r="O17" s="1">
        <v>0.38</v>
      </c>
      <c r="P17" s="1">
        <v>0.43</v>
      </c>
      <c r="Q17" s="1">
        <v>0.44</v>
      </c>
      <c r="R17" s="1">
        <v>0.37</v>
      </c>
      <c r="S17" s="1">
        <v>0.41</v>
      </c>
      <c r="T17" s="1">
        <f t="shared" si="0"/>
        <v>0.44</v>
      </c>
    </row>
    <row r="18" spans="1:20" ht="25" customHeight="1">
      <c r="A18" t="s">
        <v>18</v>
      </c>
      <c r="B18">
        <v>3</v>
      </c>
      <c r="C18" t="s">
        <v>19</v>
      </c>
      <c r="D18" t="b">
        <v>0</v>
      </c>
      <c r="E18">
        <v>2</v>
      </c>
      <c r="F18" t="s">
        <v>21</v>
      </c>
      <c r="G18" t="str">
        <f>_xlfn.LET(_xlpm.attr,Table14[[#This Row],[attribute]],_xlpm.spl,LEFT(Table14[[#This Row],[supplemented]],1),_xlfn.TEXTJOIN("-",TRUE,_xlpm.attr,_xlpm.spl,"3k-mgv3"))</f>
        <v>case-F-3k-mgv3</v>
      </c>
      <c r="H18" s="1">
        <v>0.36</v>
      </c>
      <c r="I18" s="1">
        <v>0.38</v>
      </c>
      <c r="J18" s="1">
        <v>0.36</v>
      </c>
      <c r="K18" s="1">
        <v>0.42</v>
      </c>
      <c r="L18" s="1">
        <v>0.4</v>
      </c>
      <c r="M18" s="1">
        <v>0.4</v>
      </c>
      <c r="N18" s="1">
        <v>0.42</v>
      </c>
      <c r="O18" s="1">
        <v>0.39</v>
      </c>
      <c r="P18" s="1">
        <v>0.46</v>
      </c>
      <c r="Q18" s="1">
        <v>0.38</v>
      </c>
      <c r="R18" s="1">
        <v>0.37</v>
      </c>
      <c r="S18" s="1">
        <v>0.38</v>
      </c>
      <c r="T18" s="1">
        <f t="shared" si="0"/>
        <v>0.46</v>
      </c>
    </row>
    <row r="19" spans="1:20" ht="25" customHeight="1">
      <c r="A19" t="s">
        <v>18</v>
      </c>
      <c r="B19">
        <v>3</v>
      </c>
      <c r="C19" t="s">
        <v>19</v>
      </c>
      <c r="D19" t="b">
        <v>0</v>
      </c>
      <c r="E19">
        <v>3</v>
      </c>
      <c r="F19" t="s">
        <v>22</v>
      </c>
      <c r="G19" t="str">
        <f>_xlfn.LET(_xlpm.attr,Table14[[#This Row],[attribute]],_xlpm.spl,LEFT(Table14[[#This Row],[supplemented]],1),_xlfn.TEXTJOIN("-",TRUE,_xlpm.attr,_xlpm.spl,"3k-mgv3"))</f>
        <v>case-F-3k-mgv3</v>
      </c>
      <c r="H19" s="1">
        <v>0.31</v>
      </c>
      <c r="I19" s="1">
        <v>0.32</v>
      </c>
      <c r="J19" s="1">
        <v>0.32</v>
      </c>
      <c r="K19" s="1">
        <v>0.33</v>
      </c>
      <c r="L19" s="1">
        <v>0.39</v>
      </c>
      <c r="M19" s="1">
        <v>0.4</v>
      </c>
      <c r="N19" s="1">
        <v>0.3</v>
      </c>
      <c r="O19" s="1">
        <v>0.28000000000000003</v>
      </c>
      <c r="P19" s="1">
        <v>0.33</v>
      </c>
      <c r="Q19" s="1">
        <v>0.27</v>
      </c>
      <c r="R19" s="1">
        <v>0.4</v>
      </c>
      <c r="S19" s="1">
        <v>0.33</v>
      </c>
      <c r="T19" s="1">
        <f t="shared" si="0"/>
        <v>0.4</v>
      </c>
    </row>
    <row r="22" spans="1:20" ht="25" customHeight="1">
      <c r="B22" t="s">
        <v>1</v>
      </c>
      <c r="C22" t="s">
        <v>2</v>
      </c>
      <c r="D22" t="s">
        <v>25</v>
      </c>
      <c r="E22" t="s">
        <v>3</v>
      </c>
      <c r="F22" t="s">
        <v>4</v>
      </c>
      <c r="G22" t="s">
        <v>26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14</v>
      </c>
      <c r="R22" t="s">
        <v>15</v>
      </c>
      <c r="S22" t="s">
        <v>16</v>
      </c>
      <c r="T22" t="s">
        <v>17</v>
      </c>
    </row>
    <row r="23" spans="1:20" ht="25" customHeight="1">
      <c r="B23">
        <v>1</v>
      </c>
      <c r="C23" t="s">
        <v>24</v>
      </c>
      <c r="D23" t="b">
        <v>1</v>
      </c>
      <c r="E23">
        <v>0</v>
      </c>
      <c r="F23" t="s">
        <v>17</v>
      </c>
      <c r="G23" t="str">
        <f>_xlfn.LET(_xlpm.attr,Table618[[#This Row],[attribute]],_xlpm.spl,LEFT(Table618[[#This Row],[supplemented]],1),_xlfn.TEXTJOIN("-",TRUE,_xlpm.attr,_xlpm.spl,"3k-mgv3"))</f>
        <v>plurality-T-3k-mgv3</v>
      </c>
      <c r="H23" s="2" cm="1">
        <f t="array" ref="H23">_xlfn.LET(_xlpm.d,H$2:H$19,_xlpm.a,$C$2:$C$19=$C23,_xlpm.b,$D$2:$D$19=$D23,MAX(_xlfn._xlws.FILTER(_xlpm.d,_xlpm.a*_xlpm.b)))</f>
        <v>0.79</v>
      </c>
      <c r="I23" s="2" cm="1">
        <f t="array" ref="I23">_xlfn.LET(_xlpm.d,I$2:I$19,_xlpm.a,$C$2:$C$19=$C23,_xlpm.b,$D$2:$D$19=$D23,MAX(_xlfn._xlws.FILTER(_xlpm.d,_xlpm.a*_xlpm.b)))</f>
        <v>0.83</v>
      </c>
      <c r="J23" s="2" cm="1">
        <f t="array" ref="J23">_xlfn.LET(_xlpm.d,J$2:J$19,_xlpm.a,$C$2:$C$19=$C23,_xlpm.b,$D$2:$D$19=$D23,MAX(_xlfn._xlws.FILTER(_xlpm.d,_xlpm.a*_xlpm.b)))</f>
        <v>0.82</v>
      </c>
      <c r="K23" s="2" cm="1">
        <f t="array" ref="K23">_xlfn.LET(_xlpm.d,K$2:K$19,_xlpm.a,$C$2:$C$19=$C23,_xlpm.b,$D$2:$D$19=$D23,MAX(_xlfn._xlws.FILTER(_xlpm.d,_xlpm.a*_xlpm.b)))</f>
        <v>0.8</v>
      </c>
      <c r="L23" s="2" cm="1">
        <f t="array" ref="L23">_xlfn.LET(_xlpm.d,L$2:L$19,_xlpm.a,$C$2:$C$19=$C23,_xlpm.b,$D$2:$D$19=$D23,MAX(_xlfn._xlws.FILTER(_xlpm.d,_xlpm.a*_xlpm.b)))</f>
        <v>0.8</v>
      </c>
      <c r="M23" s="2" cm="1">
        <f t="array" ref="M23">_xlfn.LET(_xlpm.d,M$2:M$19,_xlpm.a,$C$2:$C$19=$C23,_xlpm.b,$D$2:$D$19=$D23,MAX(_xlfn._xlws.FILTER(_xlpm.d,_xlpm.a*_xlpm.b)))</f>
        <v>0.8</v>
      </c>
      <c r="N23" s="2" cm="1">
        <f t="array" ref="N23">_xlfn.LET(_xlpm.d,N$2:N$19,_xlpm.a,$C$2:$C$19=$C23,_xlpm.b,$D$2:$D$19=$D23,MAX(_xlfn._xlws.FILTER(_xlpm.d,_xlpm.a*_xlpm.b)))</f>
        <v>0.92</v>
      </c>
      <c r="O23" s="2" cm="1">
        <f t="array" ref="O23">_xlfn.LET(_xlpm.d,O$2:O$19,_xlpm.a,$C$2:$C$19=$C23,_xlpm.b,$D$2:$D$19=$D23,MAX(_xlfn._xlws.FILTER(_xlpm.d,_xlpm.a*_xlpm.b)))</f>
        <v>0.87</v>
      </c>
      <c r="P23" s="2" cm="1">
        <f t="array" ref="P23">_xlfn.LET(_xlpm.d,P$2:P$19,_xlpm.a,$C$2:$C$19=$C23,_xlpm.b,$D$2:$D$19=$D23,MAX(_xlfn._xlws.FILTER(_xlpm.d,_xlpm.a*_xlpm.b)))</f>
        <v>0.83</v>
      </c>
      <c r="Q23" s="2" cm="1">
        <f t="array" ref="Q23">_xlfn.LET(_xlpm.d,Q$2:Q$19,_xlpm.a,$C$2:$C$19=$C23,_xlpm.b,$D$2:$D$19=$D23,MAX(_xlfn._xlws.FILTER(_xlpm.d,_xlpm.a*_xlpm.b)))</f>
        <v>0.78</v>
      </c>
      <c r="R23" s="2" cm="1">
        <f t="array" ref="R23">_xlfn.LET(_xlpm.d,R$2:R$19,_xlpm.a,$C$2:$C$19=$C23,_xlpm.b,$D$2:$D$19=$D23,MAX(_xlfn._xlws.FILTER(_xlpm.d,_xlpm.a*_xlpm.b)))</f>
        <v>0.83</v>
      </c>
      <c r="S23" s="2" cm="1">
        <f t="array" ref="S23">_xlfn.LET(_xlpm.d,S$2:S$19,_xlpm.a,$C$2:$C$19=$C23,_xlpm.b,$D$2:$D$19=$D23,MAX(_xlfn._xlws.FILTER(_xlpm.d,_xlpm.a*_xlpm.b)))</f>
        <v>0.83</v>
      </c>
      <c r="T23" s="2" cm="1">
        <f t="array" ref="T23">_xlfn.LET(_xlpm.d,T$2:T$19,_xlpm.a,$C$2:$C$19=$C23,_xlpm.b,$D$2:$D$19=$D23,MAX(_xlfn._xlws.FILTER(_xlpm.d,_xlpm.a*_xlpm.b)))</f>
        <v>0.92</v>
      </c>
    </row>
    <row r="24" spans="1:20" ht="25" customHeight="1">
      <c r="B24">
        <v>1</v>
      </c>
      <c r="C24" t="s">
        <v>24</v>
      </c>
      <c r="D24" t="b">
        <v>0</v>
      </c>
      <c r="E24">
        <v>0</v>
      </c>
      <c r="F24" t="s">
        <v>17</v>
      </c>
      <c r="G24" t="str">
        <f>_xlfn.LET(_xlpm.attr,Table618[[#This Row],[attribute]],_xlpm.spl,LEFT(Table618[[#This Row],[supplemented]],1),_xlfn.TEXTJOIN("-",TRUE,_xlpm.attr,_xlpm.spl,"3k-mgv3"))</f>
        <v>plurality-F-3k-mgv3</v>
      </c>
      <c r="H24" s="2" cm="1">
        <f t="array" ref="H24">_xlfn.LET(_xlpm.d,H$2:H$19,_xlpm.a,$C$2:$C$19=$C24,_xlpm.b,$D$2:$D$19=$D24,MAX(_xlfn._xlws.FILTER(_xlpm.d,_xlpm.a*_xlpm.b)))</f>
        <v>0.72</v>
      </c>
      <c r="I24" s="2" cm="1">
        <f t="array" ref="I24">_xlfn.LET(_xlpm.d,I$2:I$19,_xlpm.a,$C$2:$C$19=$C24,_xlpm.b,$D$2:$D$19=$D24,MAX(_xlfn._xlws.FILTER(_xlpm.d,_xlpm.a*_xlpm.b)))</f>
        <v>0.77</v>
      </c>
      <c r="J24" s="2" cm="1">
        <f t="array" ref="J24">_xlfn.LET(_xlpm.d,J$2:J$19,_xlpm.a,$C$2:$C$19=$C24,_xlpm.b,$D$2:$D$19=$D24,MAX(_xlfn._xlws.FILTER(_xlpm.d,_xlpm.a*_xlpm.b)))</f>
        <v>0.78</v>
      </c>
      <c r="K24" s="2" cm="1">
        <f t="array" ref="K24">_xlfn.LET(_xlpm.d,K$2:K$19,_xlpm.a,$C$2:$C$19=$C24,_xlpm.b,$D$2:$D$19=$D24,MAX(_xlfn._xlws.FILTER(_xlpm.d,_xlpm.a*_xlpm.b)))</f>
        <v>0.78</v>
      </c>
      <c r="L24" s="2" cm="1">
        <f t="array" ref="L24">_xlfn.LET(_xlpm.d,L$2:L$19,_xlpm.a,$C$2:$C$19=$C24,_xlpm.b,$D$2:$D$19=$D24,MAX(_xlfn._xlws.FILTER(_xlpm.d,_xlpm.a*_xlpm.b)))</f>
        <v>0.82</v>
      </c>
      <c r="M24" s="2" cm="1">
        <f t="array" ref="M24">_xlfn.LET(_xlpm.d,M$2:M$19,_xlpm.a,$C$2:$C$19=$C24,_xlpm.b,$D$2:$D$19=$D24,MAX(_xlfn._xlws.FILTER(_xlpm.d,_xlpm.a*_xlpm.b)))</f>
        <v>0.79</v>
      </c>
      <c r="N24" s="2" cm="1">
        <f t="array" ref="N24">_xlfn.LET(_xlpm.d,N$2:N$19,_xlpm.a,$C$2:$C$19=$C24,_xlpm.b,$D$2:$D$19=$D24,MAX(_xlfn._xlws.FILTER(_xlpm.d,_xlpm.a*_xlpm.b)))</f>
        <v>0.88</v>
      </c>
      <c r="O24" s="2" cm="1">
        <f t="array" ref="O24">_xlfn.LET(_xlpm.d,O$2:O$19,_xlpm.a,$C$2:$C$19=$C24,_xlpm.b,$D$2:$D$19=$D24,MAX(_xlfn._xlws.FILTER(_xlpm.d,_xlpm.a*_xlpm.b)))</f>
        <v>0.82</v>
      </c>
      <c r="P24" s="2" cm="1">
        <f t="array" ref="P24">_xlfn.LET(_xlpm.d,P$2:P$19,_xlpm.a,$C$2:$C$19=$C24,_xlpm.b,$D$2:$D$19=$D24,MAX(_xlfn._xlws.FILTER(_xlpm.d,_xlpm.a*_xlpm.b)))</f>
        <v>0.82</v>
      </c>
      <c r="Q24" s="2" cm="1">
        <f t="array" ref="Q24">_xlfn.LET(_xlpm.d,Q$2:Q$19,_xlpm.a,$C$2:$C$19=$C24,_xlpm.b,$D$2:$D$19=$D24,MAX(_xlfn._xlws.FILTER(_xlpm.d,_xlpm.a*_xlpm.b)))</f>
        <v>0.7</v>
      </c>
      <c r="R24" s="2" cm="1">
        <f t="array" ref="R24">_xlfn.LET(_xlpm.d,R$2:R$19,_xlpm.a,$C$2:$C$19=$C24,_xlpm.b,$D$2:$D$19=$D24,MAX(_xlfn._xlws.FILTER(_xlpm.d,_xlpm.a*_xlpm.b)))</f>
        <v>0.84</v>
      </c>
      <c r="S24" s="2" cm="1">
        <f t="array" ref="S24">_xlfn.LET(_xlpm.d,S$2:S$19,_xlpm.a,$C$2:$C$19=$C24,_xlpm.b,$D$2:$D$19=$D24,MAX(_xlfn._xlws.FILTER(_xlpm.d,_xlpm.a*_xlpm.b)))</f>
        <v>0.85</v>
      </c>
      <c r="T24" s="2" cm="1">
        <f t="array" ref="T24">_xlfn.LET(_xlpm.d,T$2:T$19,_xlpm.a,$C$2:$C$19=$C24,_xlpm.b,$D$2:$D$19=$D24,MAX(_xlfn._xlws.FILTER(_xlpm.d,_xlpm.a*_xlpm.b)))</f>
        <v>0.88</v>
      </c>
    </row>
    <row r="25" spans="1:20" ht="25" customHeight="1">
      <c r="B25">
        <v>2</v>
      </c>
      <c r="C25" t="s">
        <v>23</v>
      </c>
      <c r="D25" t="b">
        <v>1</v>
      </c>
      <c r="E25">
        <v>0</v>
      </c>
      <c r="F25" t="s">
        <v>17</v>
      </c>
      <c r="G25" t="str">
        <f>_xlfn.LET(_xlpm.attr,Table618[[#This Row],[attribute]],_xlpm.spl,LEFT(Table618[[#This Row],[supplemented]],1),_xlfn.TEXTJOIN("-",TRUE,_xlpm.attr,_xlpm.spl,"3k-mgv3"))</f>
        <v>gender-T-3k-mgv3</v>
      </c>
      <c r="H25" s="2" cm="1">
        <f t="array" ref="H25">_xlfn.LET(_xlpm.d,H$2:H$19,_xlpm.a,$C$2:$C$19=$C25,_xlpm.b,$D$2:$D$19=$D25,MAX(_xlfn._xlws.FILTER(_xlpm.d,_xlpm.a*_xlpm.b)))</f>
        <v>0.64</v>
      </c>
      <c r="I25" s="2" cm="1">
        <f t="array" ref="I25">_xlfn.LET(_xlpm.d,I$2:I$19,_xlpm.a,$C$2:$C$19=$C25,_xlpm.b,$D$2:$D$19=$D25,MAX(_xlfn._xlws.FILTER(_xlpm.d,_xlpm.a*_xlpm.b)))</f>
        <v>0.55000000000000004</v>
      </c>
      <c r="J25" s="2" cm="1">
        <f t="array" ref="J25">_xlfn.LET(_xlpm.d,J$2:J$19,_xlpm.a,$C$2:$C$19=$C25,_xlpm.b,$D$2:$D$19=$D25,MAX(_xlfn._xlws.FILTER(_xlpm.d,_xlpm.a*_xlpm.b)))</f>
        <v>0.54</v>
      </c>
      <c r="K25" s="2" cm="1">
        <f t="array" ref="K25">_xlfn.LET(_xlpm.d,K$2:K$19,_xlpm.a,$C$2:$C$19=$C25,_xlpm.b,$D$2:$D$19=$D25,MAX(_xlfn._xlws.FILTER(_xlpm.d,_xlpm.a*_xlpm.b)))</f>
        <v>0.56999999999999995</v>
      </c>
      <c r="L25" s="2" cm="1">
        <f t="array" ref="L25">_xlfn.LET(_xlpm.d,L$2:L$19,_xlpm.a,$C$2:$C$19=$C25,_xlpm.b,$D$2:$D$19=$D25,MAX(_xlfn._xlws.FILTER(_xlpm.d,_xlpm.a*_xlpm.b)))</f>
        <v>0.57999999999999996</v>
      </c>
      <c r="M25" s="2" cm="1">
        <f t="array" ref="M25">_xlfn.LET(_xlpm.d,M$2:M$19,_xlpm.a,$C$2:$C$19=$C25,_xlpm.b,$D$2:$D$19=$D25,MAX(_xlfn._xlws.FILTER(_xlpm.d,_xlpm.a*_xlpm.b)))</f>
        <v>0.55000000000000004</v>
      </c>
      <c r="N25" s="2" cm="1">
        <f t="array" ref="N25">_xlfn.LET(_xlpm.d,N$2:N$19,_xlpm.a,$C$2:$C$19=$C25,_xlpm.b,$D$2:$D$19=$D25,MAX(_xlfn._xlws.FILTER(_xlpm.d,_xlpm.a*_xlpm.b)))</f>
        <v>0.52</v>
      </c>
      <c r="O25" s="2" cm="1">
        <f t="array" ref="O25">_xlfn.LET(_xlpm.d,O$2:O$19,_xlpm.a,$C$2:$C$19=$C25,_xlpm.b,$D$2:$D$19=$D25,MAX(_xlfn._xlws.FILTER(_xlpm.d,_xlpm.a*_xlpm.b)))</f>
        <v>0.55000000000000004</v>
      </c>
      <c r="P25" s="2" cm="1">
        <f t="array" ref="P25">_xlfn.LET(_xlpm.d,P$2:P$19,_xlpm.a,$C$2:$C$19=$C25,_xlpm.b,$D$2:$D$19=$D25,MAX(_xlfn._xlws.FILTER(_xlpm.d,_xlpm.a*_xlpm.b)))</f>
        <v>0.55000000000000004</v>
      </c>
      <c r="Q25" s="2" cm="1">
        <f t="array" ref="Q25">_xlfn.LET(_xlpm.d,Q$2:Q$19,_xlpm.a,$C$2:$C$19=$C25,_xlpm.b,$D$2:$D$19=$D25,MAX(_xlfn._xlws.FILTER(_xlpm.d,_xlpm.a*_xlpm.b)))</f>
        <v>0.55000000000000004</v>
      </c>
      <c r="R25" s="2" cm="1">
        <f t="array" ref="R25">_xlfn.LET(_xlpm.d,R$2:R$19,_xlpm.a,$C$2:$C$19=$C25,_xlpm.b,$D$2:$D$19=$D25,MAX(_xlfn._xlws.FILTER(_xlpm.d,_xlpm.a*_xlpm.b)))</f>
        <v>0.6</v>
      </c>
      <c r="S25" s="2" cm="1">
        <f t="array" ref="S25">_xlfn.LET(_xlpm.d,S$2:S$19,_xlpm.a,$C$2:$C$19=$C25,_xlpm.b,$D$2:$D$19=$D25,MAX(_xlfn._xlws.FILTER(_xlpm.d,_xlpm.a*_xlpm.b)))</f>
        <v>0.5</v>
      </c>
      <c r="T25" s="2" cm="1">
        <f t="array" ref="T25">_xlfn.LET(_xlpm.d,T$2:T$19,_xlpm.a,$C$2:$C$19=$C25,_xlpm.b,$D$2:$D$19=$D25,MAX(_xlfn._xlws.FILTER(_xlpm.d,_xlpm.a*_xlpm.b)))</f>
        <v>0.64</v>
      </c>
    </row>
    <row r="26" spans="1:20" ht="25" customHeight="1">
      <c r="B26">
        <v>2</v>
      </c>
      <c r="C26" t="s">
        <v>23</v>
      </c>
      <c r="D26" t="b">
        <v>0</v>
      </c>
      <c r="E26">
        <v>0</v>
      </c>
      <c r="F26" t="s">
        <v>17</v>
      </c>
      <c r="G26" t="str">
        <f>_xlfn.LET(_xlpm.attr,Table618[[#This Row],[attribute]],_xlpm.spl,LEFT(Table618[[#This Row],[supplemented]],1),_xlfn.TEXTJOIN("-",TRUE,_xlpm.attr,_xlpm.spl,"3k-mgv3"))</f>
        <v>gender-F-3k-mgv3</v>
      </c>
      <c r="H26" s="2" cm="1">
        <f t="array" ref="H26">_xlfn.LET(_xlpm.d,H$2:H$19,_xlpm.a,$C$2:$C$19=$C26,_xlpm.b,$D$2:$D$19=$D26,MAX(_xlfn._xlws.FILTER(_xlpm.d,_xlpm.a*_xlpm.b)))</f>
        <v>0.57999999999999996</v>
      </c>
      <c r="I26" s="2" cm="1">
        <f t="array" ref="I26">_xlfn.LET(_xlpm.d,I$2:I$19,_xlpm.a,$C$2:$C$19=$C26,_xlpm.b,$D$2:$D$19=$D26,MAX(_xlfn._xlws.FILTER(_xlpm.d,_xlpm.a*_xlpm.b)))</f>
        <v>0.56000000000000005</v>
      </c>
      <c r="J26" s="2" cm="1">
        <f t="array" ref="J26">_xlfn.LET(_xlpm.d,J$2:J$19,_xlpm.a,$C$2:$C$19=$C26,_xlpm.b,$D$2:$D$19=$D26,MAX(_xlfn._xlws.FILTER(_xlpm.d,_xlpm.a*_xlpm.b)))</f>
        <v>0.52</v>
      </c>
      <c r="K26" s="2" cm="1">
        <f t="array" ref="K26">_xlfn.LET(_xlpm.d,K$2:K$19,_xlpm.a,$C$2:$C$19=$C26,_xlpm.b,$D$2:$D$19=$D26,MAX(_xlfn._xlws.FILTER(_xlpm.d,_xlpm.a*_xlpm.b)))</f>
        <v>0.6</v>
      </c>
      <c r="L26" s="2" cm="1">
        <f t="array" ref="L26">_xlfn.LET(_xlpm.d,L$2:L$19,_xlpm.a,$C$2:$C$19=$C26,_xlpm.b,$D$2:$D$19=$D26,MAX(_xlfn._xlws.FILTER(_xlpm.d,_xlpm.a*_xlpm.b)))</f>
        <v>0.55000000000000004</v>
      </c>
      <c r="M26" s="2" cm="1">
        <f t="array" ref="M26">_xlfn.LET(_xlpm.d,M$2:M$19,_xlpm.a,$C$2:$C$19=$C26,_xlpm.b,$D$2:$D$19=$D26,MAX(_xlfn._xlws.FILTER(_xlpm.d,_xlpm.a*_xlpm.b)))</f>
        <v>0.56999999999999995</v>
      </c>
      <c r="N26" s="2" cm="1">
        <f t="array" ref="N26">_xlfn.LET(_xlpm.d,N$2:N$19,_xlpm.a,$C$2:$C$19=$C26,_xlpm.b,$D$2:$D$19=$D26,MAX(_xlfn._xlws.FILTER(_xlpm.d,_xlpm.a*_xlpm.b)))</f>
        <v>0.5</v>
      </c>
      <c r="O26" s="2" cm="1">
        <f t="array" ref="O26">_xlfn.LET(_xlpm.d,O$2:O$19,_xlpm.a,$C$2:$C$19=$C26,_xlpm.b,$D$2:$D$19=$D26,MAX(_xlfn._xlws.FILTER(_xlpm.d,_xlpm.a*_xlpm.b)))</f>
        <v>0.52</v>
      </c>
      <c r="P26" s="2" cm="1">
        <f t="array" ref="P26">_xlfn.LET(_xlpm.d,P$2:P$19,_xlpm.a,$C$2:$C$19=$C26,_xlpm.b,$D$2:$D$19=$D26,MAX(_xlfn._xlws.FILTER(_xlpm.d,_xlpm.a*_xlpm.b)))</f>
        <v>0.48</v>
      </c>
      <c r="Q26" s="2" cm="1">
        <f t="array" ref="Q26">_xlfn.LET(_xlpm.d,Q$2:Q$19,_xlpm.a,$C$2:$C$19=$C26,_xlpm.b,$D$2:$D$19=$D26,MAX(_xlfn._xlws.FILTER(_xlpm.d,_xlpm.a*_xlpm.b)))</f>
        <v>0.61</v>
      </c>
      <c r="R26" s="2" cm="1">
        <f t="array" ref="R26">_xlfn.LET(_xlpm.d,R$2:R$19,_xlpm.a,$C$2:$C$19=$C26,_xlpm.b,$D$2:$D$19=$D26,MAX(_xlfn._xlws.FILTER(_xlpm.d,_xlpm.a*_xlpm.b)))</f>
        <v>0.56000000000000005</v>
      </c>
      <c r="S26" s="2" cm="1">
        <f t="array" ref="S26">_xlfn.LET(_xlpm.d,S$2:S$19,_xlpm.a,$C$2:$C$19=$C26,_xlpm.b,$D$2:$D$19=$D26,MAX(_xlfn._xlws.FILTER(_xlpm.d,_xlpm.a*_xlpm.b)))</f>
        <v>0.52</v>
      </c>
      <c r="T26" s="2" cm="1">
        <f t="array" ref="T26">_xlfn.LET(_xlpm.d,T$2:T$19,_xlpm.a,$C$2:$C$19=$C26,_xlpm.b,$D$2:$D$19=$D26,MAX(_xlfn._xlws.FILTER(_xlpm.d,_xlpm.a*_xlpm.b)))</f>
        <v>0.61</v>
      </c>
    </row>
    <row r="27" spans="1:20" ht="25" customHeight="1">
      <c r="B27">
        <v>3</v>
      </c>
      <c r="C27" t="s">
        <v>19</v>
      </c>
      <c r="D27" t="b">
        <v>1</v>
      </c>
      <c r="E27">
        <v>0</v>
      </c>
      <c r="F27" t="s">
        <v>17</v>
      </c>
      <c r="G27" t="str">
        <f>_xlfn.LET(_xlpm.attr,Table618[[#This Row],[attribute]],_xlpm.spl,LEFT(Table618[[#This Row],[supplemented]],1),_xlfn.TEXTJOIN("-",TRUE,_xlpm.attr,_xlpm.spl,"3k-mgv3"))</f>
        <v>case-T-3k-mgv3</v>
      </c>
      <c r="H27" s="2" cm="1">
        <f t="array" ref="H27">_xlfn.LET(_xlpm.d,H$2:H$19,_xlpm.a,$C$2:$C$19=$C27,_xlpm.b,$D$2:$D$19=$D27,MAX(_xlfn._xlws.FILTER(_xlpm.d,_xlpm.a*_xlpm.b)))</f>
        <v>0.38</v>
      </c>
      <c r="I27" s="2" cm="1">
        <f t="array" ref="I27">_xlfn.LET(_xlpm.d,I$2:I$19,_xlpm.a,$C$2:$C$19=$C27,_xlpm.b,$D$2:$D$19=$D27,MAX(_xlfn._xlws.FILTER(_xlpm.d,_xlpm.a*_xlpm.b)))</f>
        <v>0.4</v>
      </c>
      <c r="J27" s="2" cm="1">
        <f t="array" ref="J27">_xlfn.LET(_xlpm.d,J$2:J$19,_xlpm.a,$C$2:$C$19=$C27,_xlpm.b,$D$2:$D$19=$D27,MAX(_xlfn._xlws.FILTER(_xlpm.d,_xlpm.a*_xlpm.b)))</f>
        <v>0.42</v>
      </c>
      <c r="K27" s="2" cm="1">
        <f t="array" ref="K27">_xlfn.LET(_xlpm.d,K$2:K$19,_xlpm.a,$C$2:$C$19=$C27,_xlpm.b,$D$2:$D$19=$D27,MAX(_xlfn._xlws.FILTER(_xlpm.d,_xlpm.a*_xlpm.b)))</f>
        <v>0.41</v>
      </c>
      <c r="L27" s="2" cm="1">
        <f t="array" ref="L27">_xlfn.LET(_xlpm.d,L$2:L$19,_xlpm.a,$C$2:$C$19=$C27,_xlpm.b,$D$2:$D$19=$D27,MAX(_xlfn._xlws.FILTER(_xlpm.d,_xlpm.a*_xlpm.b)))</f>
        <v>0.42</v>
      </c>
      <c r="M27" s="2" cm="1">
        <f t="array" ref="M27">_xlfn.LET(_xlpm.d,M$2:M$19,_xlpm.a,$C$2:$C$19=$C27,_xlpm.b,$D$2:$D$19=$D27,MAX(_xlfn._xlws.FILTER(_xlpm.d,_xlpm.a*_xlpm.b)))</f>
        <v>0.43</v>
      </c>
      <c r="N27" s="2" cm="1">
        <f t="array" ref="N27">_xlfn.LET(_xlpm.d,N$2:N$19,_xlpm.a,$C$2:$C$19=$C27,_xlpm.b,$D$2:$D$19=$D27,MAX(_xlfn._xlws.FILTER(_xlpm.d,_xlpm.a*_xlpm.b)))</f>
        <v>0.4</v>
      </c>
      <c r="O27" s="2" cm="1">
        <f t="array" ref="O27">_xlfn.LET(_xlpm.d,O$2:O$19,_xlpm.a,$C$2:$C$19=$C27,_xlpm.b,$D$2:$D$19=$D27,MAX(_xlfn._xlws.FILTER(_xlpm.d,_xlpm.a*_xlpm.b)))</f>
        <v>0.39</v>
      </c>
      <c r="P27" s="2" cm="1">
        <f t="array" ref="P27">_xlfn.LET(_xlpm.d,P$2:P$19,_xlpm.a,$C$2:$C$19=$C27,_xlpm.b,$D$2:$D$19=$D27,MAX(_xlfn._xlws.FILTER(_xlpm.d,_xlpm.a*_xlpm.b)))</f>
        <v>0.45</v>
      </c>
      <c r="Q27" s="2" cm="1">
        <f t="array" ref="Q27">_xlfn.LET(_xlpm.d,Q$2:Q$19,_xlpm.a,$C$2:$C$19=$C27,_xlpm.b,$D$2:$D$19=$D27,MAX(_xlfn._xlws.FILTER(_xlpm.d,_xlpm.a*_xlpm.b)))</f>
        <v>0.33</v>
      </c>
      <c r="R27" s="2" cm="1">
        <f t="array" ref="R27">_xlfn.LET(_xlpm.d,R$2:R$19,_xlpm.a,$C$2:$C$19=$C27,_xlpm.b,$D$2:$D$19=$D27,MAX(_xlfn._xlws.FILTER(_xlpm.d,_xlpm.a*_xlpm.b)))</f>
        <v>0.42</v>
      </c>
      <c r="S27" s="2" cm="1">
        <f t="array" ref="S27">_xlfn.LET(_xlpm.d,S$2:S$19,_xlpm.a,$C$2:$C$19=$C27,_xlpm.b,$D$2:$D$19=$D27,MAX(_xlfn._xlws.FILTER(_xlpm.d,_xlpm.a*_xlpm.b)))</f>
        <v>0.38</v>
      </c>
      <c r="T27" s="2" cm="1">
        <f t="array" ref="T27">_xlfn.LET(_xlpm.d,T$2:T$19,_xlpm.a,$C$2:$C$19=$C27,_xlpm.b,$D$2:$D$19=$D27,MAX(_xlfn._xlws.FILTER(_xlpm.d,_xlpm.a*_xlpm.b)))</f>
        <v>0.45</v>
      </c>
    </row>
    <row r="28" spans="1:20" ht="25" customHeight="1">
      <c r="B28">
        <v>3</v>
      </c>
      <c r="C28" t="s">
        <v>19</v>
      </c>
      <c r="D28" t="b">
        <v>0</v>
      </c>
      <c r="E28">
        <v>0</v>
      </c>
      <c r="F28" t="s">
        <v>17</v>
      </c>
      <c r="G28" t="str">
        <f>_xlfn.LET(_xlpm.attr,Table618[[#This Row],[attribute]],_xlpm.spl,LEFT(Table618[[#This Row],[supplemented]],1),_xlfn.TEXTJOIN("-",TRUE,_xlpm.attr,_xlpm.spl,"3k-mgv3"))</f>
        <v>case-F-3k-mgv3</v>
      </c>
      <c r="H28" s="2" cm="1">
        <f t="array" ref="H28">_xlfn.LET(_xlpm.d,H$2:H$19,_xlpm.a,$C$2:$C$19=$C28,_xlpm.b,$D$2:$D$19=$D28,MAX(_xlfn._xlws.FILTER(_xlpm.d,_xlpm.a*_xlpm.b)))</f>
        <v>0.38</v>
      </c>
      <c r="I28" s="2" cm="1">
        <f t="array" ref="I28">_xlfn.LET(_xlpm.d,I$2:I$19,_xlpm.a,$C$2:$C$19=$C28,_xlpm.b,$D$2:$D$19=$D28,MAX(_xlfn._xlws.FILTER(_xlpm.d,_xlpm.a*_xlpm.b)))</f>
        <v>0.39</v>
      </c>
      <c r="J28" s="2" cm="1">
        <f t="array" ref="J28">_xlfn.LET(_xlpm.d,J$2:J$19,_xlpm.a,$C$2:$C$19=$C28,_xlpm.b,$D$2:$D$19=$D28,MAX(_xlfn._xlws.FILTER(_xlpm.d,_xlpm.a*_xlpm.b)))</f>
        <v>0.36</v>
      </c>
      <c r="K28" s="2" cm="1">
        <f t="array" ref="K28">_xlfn.LET(_xlpm.d,K$2:K$19,_xlpm.a,$C$2:$C$19=$C28,_xlpm.b,$D$2:$D$19=$D28,MAX(_xlfn._xlws.FILTER(_xlpm.d,_xlpm.a*_xlpm.b)))</f>
        <v>0.42</v>
      </c>
      <c r="L28" s="2" cm="1">
        <f t="array" ref="L28">_xlfn.LET(_xlpm.d,L$2:L$19,_xlpm.a,$C$2:$C$19=$C28,_xlpm.b,$D$2:$D$19=$D28,MAX(_xlfn._xlws.FILTER(_xlpm.d,_xlpm.a*_xlpm.b)))</f>
        <v>0.4</v>
      </c>
      <c r="M28" s="2" cm="1">
        <f t="array" ref="M28">_xlfn.LET(_xlpm.d,M$2:M$19,_xlpm.a,$C$2:$C$19=$C28,_xlpm.b,$D$2:$D$19=$D28,MAX(_xlfn._xlws.FILTER(_xlpm.d,_xlpm.a*_xlpm.b)))</f>
        <v>0.4</v>
      </c>
      <c r="N28" s="2" cm="1">
        <f t="array" ref="N28">_xlfn.LET(_xlpm.d,N$2:N$19,_xlpm.a,$C$2:$C$19=$C28,_xlpm.b,$D$2:$D$19=$D28,MAX(_xlfn._xlws.FILTER(_xlpm.d,_xlpm.a*_xlpm.b)))</f>
        <v>0.42</v>
      </c>
      <c r="O28" s="2" cm="1">
        <f t="array" ref="O28">_xlfn.LET(_xlpm.d,O$2:O$19,_xlpm.a,$C$2:$C$19=$C28,_xlpm.b,$D$2:$D$19=$D28,MAX(_xlfn._xlws.FILTER(_xlpm.d,_xlpm.a*_xlpm.b)))</f>
        <v>0.39</v>
      </c>
      <c r="P28" s="2" cm="1">
        <f t="array" ref="P28">_xlfn.LET(_xlpm.d,P$2:P$19,_xlpm.a,$C$2:$C$19=$C28,_xlpm.b,$D$2:$D$19=$D28,MAX(_xlfn._xlws.FILTER(_xlpm.d,_xlpm.a*_xlpm.b)))</f>
        <v>0.46</v>
      </c>
      <c r="Q28" s="2" cm="1">
        <f t="array" ref="Q28">_xlfn.LET(_xlpm.d,Q$2:Q$19,_xlpm.a,$C$2:$C$19=$C28,_xlpm.b,$D$2:$D$19=$D28,MAX(_xlfn._xlws.FILTER(_xlpm.d,_xlpm.a*_xlpm.b)))</f>
        <v>0.44</v>
      </c>
      <c r="R28" s="2" cm="1">
        <f t="array" ref="R28">_xlfn.LET(_xlpm.d,R$2:R$19,_xlpm.a,$C$2:$C$19=$C28,_xlpm.b,$D$2:$D$19=$D28,MAX(_xlfn._xlws.FILTER(_xlpm.d,_xlpm.a*_xlpm.b)))</f>
        <v>0.4</v>
      </c>
      <c r="S28" s="2" cm="1">
        <f t="array" ref="S28">_xlfn.LET(_xlpm.d,S$2:S$19,_xlpm.a,$C$2:$C$19=$C28,_xlpm.b,$D$2:$D$19=$D28,MAX(_xlfn._xlws.FILTER(_xlpm.d,_xlpm.a*_xlpm.b)))</f>
        <v>0.41</v>
      </c>
      <c r="T28" s="2" cm="1">
        <f t="array" ref="T28">_xlfn.LET(_xlpm.d,T$2:T$19,_xlpm.a,$C$2:$C$19=$C28,_xlpm.b,$D$2:$D$19=$D28,MAX(_xlfn._xlws.FILTER(_xlpm.d,_xlpm.a*_xlpm.b)))</f>
        <v>0.46</v>
      </c>
    </row>
  </sheetData>
  <conditionalFormatting sqref="H2:T19">
    <cfRule type="colorScale" priority="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summarized</vt:lpstr>
      <vt:lpstr>ml2.0-2k-xsk-mgv9</vt:lpstr>
      <vt:lpstr>ml2.0-1.2k-xsk-mgv9</vt:lpstr>
      <vt:lpstr>ml3.0-2k-xsk-mgv9</vt:lpstr>
      <vt:lpstr>ml3.0-1.2k-xsk-mgv9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Kuroda, Kow</cp:lastModifiedBy>
  <dcterms:created xsi:type="dcterms:W3CDTF">2025-02-25T03:28:35Z</dcterms:created>
  <dcterms:modified xsi:type="dcterms:W3CDTF">2025-03-03T10:15:40Z</dcterms:modified>
  <cp:category/>
</cp:coreProperties>
</file>