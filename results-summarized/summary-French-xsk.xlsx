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drawings/drawing3.xml" ContentType="application/vnd.openxmlformats-officedocument.drawing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owk/Dropbox/GitHub/ngram-based-noun-classification/results/"/>
    </mc:Choice>
  </mc:AlternateContent>
  <xr:revisionPtr revIDLastSave="0" documentId="13_ncr:1_{522EED16-B2E9-E44A-9FCC-EF75DDAB14FB}" xr6:coauthVersionLast="47" xr6:coauthVersionMax="47" xr10:uidLastSave="{00000000-0000-0000-0000-000000000000}"/>
  <bookViews>
    <workbookView xWindow="1960" yWindow="3240" windowWidth="34380" windowHeight="18620" activeTab="3" xr2:uid="{71B4F2C9-6E63-8A4B-9DCD-9E067D82C8E5}"/>
  </bookViews>
  <sheets>
    <sheet name="summarized" sheetId="20" r:id="rId1"/>
    <sheet name="xsk-3k-mgv9" sheetId="18" r:id="rId2"/>
    <sheet name="xsk-3k-mgv6" sheetId="17" r:id="rId3"/>
    <sheet name="xsk-3k-mgv3" sheetId="16" r:id="rId4"/>
    <sheet name="xsk-2k-mgv9" sheetId="15" r:id="rId5"/>
    <sheet name="xsk-2k-mgv6" sheetId="14" r:id="rId6"/>
    <sheet name="xsk-2k-mgv3" sheetId="19" r:id="rId7"/>
    <sheet name="xsk-1.2k-mgv9" sheetId="13" r:id="rId8"/>
    <sheet name="xsk-1.2k-mgv6" sheetId="12" r:id="rId9"/>
    <sheet name="xsk-1.2k-mgv3" sheetId="11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27" i="16" l="1"/>
  <c r="R27" i="16"/>
  <c r="Q27" i="16"/>
  <c r="P27" i="16"/>
  <c r="O27" i="16"/>
  <c r="N27" i="16"/>
  <c r="M27" i="16"/>
  <c r="L27" i="16"/>
  <c r="K27" i="16"/>
  <c r="J27" i="16"/>
  <c r="I27" i="16"/>
  <c r="H27" i="16"/>
  <c r="G27" i="16"/>
  <c r="S26" i="16"/>
  <c r="R26" i="16"/>
  <c r="Q26" i="16"/>
  <c r="P26" i="16"/>
  <c r="O26" i="16"/>
  <c r="N26" i="16"/>
  <c r="M26" i="16"/>
  <c r="L26" i="16"/>
  <c r="K26" i="16"/>
  <c r="J26" i="16"/>
  <c r="I26" i="16"/>
  <c r="H26" i="16"/>
  <c r="G26" i="16"/>
  <c r="S25" i="16"/>
  <c r="R25" i="16"/>
  <c r="Q25" i="16"/>
  <c r="P25" i="16"/>
  <c r="O25" i="16"/>
  <c r="N25" i="16"/>
  <c r="M25" i="16"/>
  <c r="L25" i="16"/>
  <c r="K25" i="16"/>
  <c r="J25" i="16"/>
  <c r="I25" i="16"/>
  <c r="H25" i="16"/>
  <c r="G25" i="16"/>
  <c r="S24" i="16"/>
  <c r="R24" i="16"/>
  <c r="Q24" i="16"/>
  <c r="P24" i="16"/>
  <c r="O24" i="16"/>
  <c r="N24" i="16"/>
  <c r="M24" i="16"/>
  <c r="L24" i="16"/>
  <c r="K24" i="16"/>
  <c r="J24" i="16"/>
  <c r="I24" i="16"/>
  <c r="H24" i="16"/>
  <c r="G24" i="16"/>
  <c r="H27" i="18"/>
  <c r="H24" i="18"/>
  <c r="G27" i="18"/>
  <c r="G26" i="18"/>
  <c r="G25" i="18"/>
  <c r="G24" i="18"/>
  <c r="G19" i="18"/>
  <c r="G17" i="18"/>
  <c r="G20" i="18"/>
  <c r="G18" i="18"/>
  <c r="G2" i="18"/>
  <c r="G3" i="18"/>
  <c r="G4" i="18"/>
  <c r="G5" i="18"/>
  <c r="G6" i="18"/>
  <c r="G7" i="18"/>
  <c r="G8" i="18"/>
  <c r="G9" i="18"/>
  <c r="G10" i="18"/>
  <c r="G11" i="18"/>
  <c r="G12" i="18"/>
  <c r="G13" i="18"/>
  <c r="G17" i="16"/>
  <c r="G18" i="16"/>
  <c r="G19" i="16"/>
  <c r="G20" i="16"/>
  <c r="G2" i="16"/>
  <c r="G3" i="16"/>
  <c r="G4" i="16"/>
  <c r="G5" i="16"/>
  <c r="G6" i="16"/>
  <c r="G7" i="16"/>
  <c r="G8" i="16"/>
  <c r="G9" i="16"/>
  <c r="G10" i="16"/>
  <c r="G11" i="16"/>
  <c r="G12" i="16"/>
  <c r="G13" i="16"/>
  <c r="W4" i="20" l="1"/>
  <c r="W2" i="20"/>
  <c r="W6" i="20"/>
  <c r="W8" i="20"/>
  <c r="W10" i="20"/>
  <c r="W12" i="20"/>
  <c r="W14" i="20"/>
  <c r="W16" i="20"/>
  <c r="W18" i="20"/>
  <c r="W20" i="20"/>
  <c r="W22" i="20"/>
  <c r="W24" i="20"/>
  <c r="W26" i="20"/>
  <c r="W28" i="20"/>
  <c r="W30" i="20"/>
  <c r="W32" i="20"/>
  <c r="W34" i="20"/>
  <c r="W36" i="20"/>
  <c r="W3" i="20"/>
  <c r="W5" i="20"/>
  <c r="W7" i="20"/>
  <c r="W9" i="20"/>
  <c r="W11" i="20"/>
  <c r="W13" i="20"/>
  <c r="W15" i="20"/>
  <c r="W17" i="20"/>
  <c r="W19" i="20"/>
  <c r="W21" i="20"/>
  <c r="W23" i="20"/>
  <c r="W25" i="20"/>
  <c r="W27" i="20"/>
  <c r="W29" i="20"/>
  <c r="W31" i="20"/>
  <c r="W33" i="20"/>
  <c r="W35" i="20"/>
  <c r="W37" i="20"/>
  <c r="I2" i="20"/>
  <c r="I3" i="20"/>
  <c r="I4" i="20"/>
  <c r="I5" i="20"/>
  <c r="I6" i="20"/>
  <c r="I7" i="20"/>
  <c r="I8" i="20"/>
  <c r="I9" i="20"/>
  <c r="I10" i="20"/>
  <c r="I11" i="20"/>
  <c r="I12" i="20"/>
  <c r="I13" i="20"/>
  <c r="I14" i="20"/>
  <c r="I15" i="20"/>
  <c r="I16" i="20"/>
  <c r="I17" i="20"/>
  <c r="I18" i="20"/>
  <c r="I19" i="20"/>
  <c r="I20" i="20"/>
  <c r="I21" i="20"/>
  <c r="I22" i="20"/>
  <c r="I23" i="20"/>
  <c r="I24" i="20"/>
  <c r="I25" i="20"/>
  <c r="I26" i="20"/>
  <c r="I27" i="20"/>
  <c r="I28" i="20"/>
  <c r="I29" i="20"/>
  <c r="I30" i="20"/>
  <c r="I31" i="20"/>
  <c r="I32" i="20"/>
  <c r="I33" i="20"/>
  <c r="I34" i="20"/>
  <c r="I35" i="20"/>
  <c r="I36" i="20"/>
  <c r="I37" i="20"/>
  <c r="X12" i="20" l="1"/>
  <c r="X21" i="20"/>
  <c r="X24" i="20"/>
  <c r="X13" i="20"/>
  <c r="X3" i="20"/>
  <c r="X22" i="20"/>
  <c r="X6" i="20"/>
  <c r="X37" i="20"/>
  <c r="X5" i="20"/>
  <c r="X19" i="20"/>
  <c r="X33" i="20"/>
  <c r="X17" i="20"/>
  <c r="X36" i="20"/>
  <c r="X20" i="20"/>
  <c r="X2" i="20"/>
  <c r="X35" i="20"/>
  <c r="X31" i="20"/>
  <c r="X15" i="20"/>
  <c r="X34" i="20"/>
  <c r="X18" i="20"/>
  <c r="X4" i="20"/>
  <c r="X65" i="20" s="1" a="1"/>
  <c r="X65" i="20" s="1"/>
  <c r="X27" i="20"/>
  <c r="X11" i="20"/>
  <c r="X30" i="20"/>
  <c r="X14" i="20"/>
  <c r="X25" i="20"/>
  <c r="X9" i="20"/>
  <c r="X28" i="20"/>
  <c r="X23" i="20"/>
  <c r="X7" i="20"/>
  <c r="X26" i="20"/>
  <c r="X10" i="20"/>
  <c r="X8" i="20"/>
  <c r="X32" i="20"/>
  <c r="X16" i="20"/>
  <c r="X66" i="20" s="1" a="1"/>
  <c r="X66" i="20" s="1"/>
  <c r="X29" i="20"/>
  <c r="I19" i="18" a="1"/>
  <c r="I19" i="18" s="1"/>
  <c r="J19" i="18" a="1"/>
  <c r="J19" i="18" s="1"/>
  <c r="K19" i="18" a="1"/>
  <c r="K19" i="18" s="1"/>
  <c r="L19" i="18" a="1"/>
  <c r="L19" i="18" s="1"/>
  <c r="M19" i="18" a="1"/>
  <c r="M19" i="18" s="1"/>
  <c r="N19" i="18" a="1"/>
  <c r="N19" i="18" s="1"/>
  <c r="O19" i="18" a="1"/>
  <c r="O19" i="18" s="1"/>
  <c r="P19" i="18" a="1"/>
  <c r="P19" i="18" s="1"/>
  <c r="Q19" i="18" a="1"/>
  <c r="Q19" i="18" s="1"/>
  <c r="R19" i="18" a="1"/>
  <c r="R19" i="18" s="1"/>
  <c r="S19" i="18" a="1"/>
  <c r="S19" i="18" s="1"/>
  <c r="I17" i="18" a="1"/>
  <c r="I17" i="18" s="1"/>
  <c r="J17" i="18" a="1"/>
  <c r="J17" i="18" s="1"/>
  <c r="K17" i="18" a="1"/>
  <c r="K17" i="18" s="1"/>
  <c r="L17" i="18" a="1"/>
  <c r="L17" i="18" s="1"/>
  <c r="M17" i="18" a="1"/>
  <c r="M17" i="18" s="1"/>
  <c r="N17" i="18" a="1"/>
  <c r="N17" i="18"/>
  <c r="O17" i="18" a="1"/>
  <c r="O17" i="18" s="1"/>
  <c r="P17" i="18" a="1"/>
  <c r="P17" i="18" s="1"/>
  <c r="Q17" i="18" a="1"/>
  <c r="Q17" i="18" s="1"/>
  <c r="R17" i="18" a="1"/>
  <c r="R17" i="18" s="1"/>
  <c r="S17" i="18" a="1"/>
  <c r="S17" i="18" s="1"/>
  <c r="I20" i="18" a="1"/>
  <c r="I20" i="18" s="1"/>
  <c r="J20" i="18" a="1"/>
  <c r="J20" i="18" s="1"/>
  <c r="K20" i="18" a="1"/>
  <c r="K20" i="18" s="1"/>
  <c r="L20" i="18" a="1"/>
  <c r="L20" i="18" s="1"/>
  <c r="M20" i="18" a="1"/>
  <c r="M20" i="18" s="1"/>
  <c r="N20" i="18" a="1"/>
  <c r="N20" i="18" s="1"/>
  <c r="O20" i="18" a="1"/>
  <c r="O20" i="18" s="1"/>
  <c r="P20" i="18" a="1"/>
  <c r="P20" i="18" s="1"/>
  <c r="Q20" i="18" a="1"/>
  <c r="Q20" i="18" s="1"/>
  <c r="R20" i="18" a="1"/>
  <c r="R20" i="18" s="1"/>
  <c r="S20" i="18" a="1"/>
  <c r="S20" i="18" s="1"/>
  <c r="I18" i="18" a="1"/>
  <c r="I18" i="18" s="1"/>
  <c r="J18" i="18" a="1"/>
  <c r="J18" i="18" s="1"/>
  <c r="K18" i="18" a="1"/>
  <c r="K18" i="18" s="1"/>
  <c r="L18" i="18" a="1"/>
  <c r="L18" i="18" s="1"/>
  <c r="M18" i="18" a="1"/>
  <c r="M18" i="18" s="1"/>
  <c r="N18" i="18" a="1"/>
  <c r="N18" i="18" s="1"/>
  <c r="O18" i="18" a="1"/>
  <c r="O18" i="18" s="1"/>
  <c r="P18" i="18" a="1"/>
  <c r="P18" i="18" s="1"/>
  <c r="Q18" i="18" a="1"/>
  <c r="Q18" i="18" s="1"/>
  <c r="R18" i="18" a="1"/>
  <c r="R18" i="18" s="1"/>
  <c r="S18" i="18" a="1"/>
  <c r="S18" i="18" s="1"/>
  <c r="H17" i="17" a="1"/>
  <c r="H17" i="17" s="1"/>
  <c r="I17" i="17" a="1"/>
  <c r="I17" i="17"/>
  <c r="J17" i="17" a="1"/>
  <c r="J17" i="17" s="1"/>
  <c r="K17" i="17" a="1"/>
  <c r="K17" i="17"/>
  <c r="L17" i="17" a="1"/>
  <c r="L17" i="17" s="1"/>
  <c r="M17" i="17" a="1"/>
  <c r="M17" i="17" s="1"/>
  <c r="N17" i="17" a="1"/>
  <c r="N17" i="17" s="1"/>
  <c r="O17" i="17" a="1"/>
  <c r="O17" i="17"/>
  <c r="P17" i="17" a="1"/>
  <c r="P17" i="17" s="1"/>
  <c r="Q17" i="17" a="1"/>
  <c r="Q17" i="17" s="1"/>
  <c r="R17" i="17" a="1"/>
  <c r="R17" i="17" s="1"/>
  <c r="S17" i="17" a="1"/>
  <c r="S17" i="17"/>
  <c r="H18" i="17" a="1"/>
  <c r="H18" i="17" s="1"/>
  <c r="I18" i="17" a="1"/>
  <c r="I18" i="17" s="1"/>
  <c r="J18" i="17" a="1"/>
  <c r="J18" i="17" s="1"/>
  <c r="K18" i="17" a="1"/>
  <c r="K18" i="17"/>
  <c r="L18" i="17" a="1"/>
  <c r="L18" i="17" s="1"/>
  <c r="M18" i="17" a="1"/>
  <c r="M18" i="17" s="1"/>
  <c r="N18" i="17" a="1"/>
  <c r="N18" i="17" s="1"/>
  <c r="O18" i="17" a="1"/>
  <c r="O18" i="17"/>
  <c r="P18" i="17" a="1"/>
  <c r="P18" i="17" s="1"/>
  <c r="Q18" i="17" a="1"/>
  <c r="Q18" i="17" s="1"/>
  <c r="R18" i="17" a="1"/>
  <c r="R18" i="17" s="1"/>
  <c r="S18" i="17" a="1"/>
  <c r="S18" i="17"/>
  <c r="H19" i="17" a="1"/>
  <c r="H19" i="17" s="1"/>
  <c r="I19" i="17" a="1"/>
  <c r="I19" i="17" s="1"/>
  <c r="J19" i="17" a="1"/>
  <c r="J19" i="17" s="1"/>
  <c r="K19" i="17" a="1"/>
  <c r="K19" i="17"/>
  <c r="L19" i="17" a="1"/>
  <c r="L19" i="17" s="1"/>
  <c r="M19" i="17" a="1"/>
  <c r="M19" i="17" s="1"/>
  <c r="N19" i="17" a="1"/>
  <c r="N19" i="17" s="1"/>
  <c r="O19" i="17" a="1"/>
  <c r="O19" i="17"/>
  <c r="P19" i="17" a="1"/>
  <c r="P19" i="17" s="1"/>
  <c r="Q19" i="17" a="1"/>
  <c r="Q19" i="17" s="1"/>
  <c r="R19" i="17" a="1"/>
  <c r="R19" i="17" s="1"/>
  <c r="S19" i="17" a="1"/>
  <c r="S19" i="17"/>
  <c r="H20" i="17" a="1"/>
  <c r="H20" i="17" s="1"/>
  <c r="I20" i="17" a="1"/>
  <c r="I20" i="17" s="1"/>
  <c r="J20" i="17" a="1"/>
  <c r="J20" i="17" s="1"/>
  <c r="K20" i="17" a="1"/>
  <c r="K20" i="17"/>
  <c r="L20" i="17" a="1"/>
  <c r="L20" i="17" s="1"/>
  <c r="M20" i="17" a="1"/>
  <c r="M20" i="17" s="1"/>
  <c r="N20" i="17" a="1"/>
  <c r="N20" i="17" s="1"/>
  <c r="O20" i="17" a="1"/>
  <c r="O20" i="17"/>
  <c r="P20" i="17" a="1"/>
  <c r="P20" i="17" s="1"/>
  <c r="Q20" i="17" a="1"/>
  <c r="Q20" i="17" s="1"/>
  <c r="R20" i="17" a="1"/>
  <c r="R20" i="17" s="1"/>
  <c r="S20" i="17" a="1"/>
  <c r="S20" i="17" s="1"/>
  <c r="I17" i="16" a="1"/>
  <c r="I17" i="16" s="1"/>
  <c r="J17" i="16" a="1"/>
  <c r="J17" i="16" s="1"/>
  <c r="K17" i="16" a="1"/>
  <c r="K17" i="16" s="1"/>
  <c r="L17" i="16" a="1"/>
  <c r="L17" i="16" s="1"/>
  <c r="M17" i="16" a="1"/>
  <c r="M17" i="16" s="1"/>
  <c r="N17" i="16" a="1"/>
  <c r="N17" i="16" s="1"/>
  <c r="O17" i="16" a="1"/>
  <c r="O17" i="16" s="1"/>
  <c r="P17" i="16" a="1"/>
  <c r="P17" i="16"/>
  <c r="Q17" i="16" a="1"/>
  <c r="Q17" i="16" s="1"/>
  <c r="R17" i="16" a="1"/>
  <c r="R17" i="16" s="1"/>
  <c r="S17" i="16" a="1"/>
  <c r="S17" i="16" s="1"/>
  <c r="I18" i="16" a="1"/>
  <c r="I18" i="16" s="1"/>
  <c r="J18" i="16" a="1"/>
  <c r="J18" i="16"/>
  <c r="K18" i="16" a="1"/>
  <c r="K18" i="16" s="1"/>
  <c r="L18" i="16" a="1"/>
  <c r="L18" i="16" s="1"/>
  <c r="M18" i="16" a="1"/>
  <c r="M18" i="16" s="1"/>
  <c r="N18" i="16" a="1"/>
  <c r="N18" i="16" s="1"/>
  <c r="O18" i="16" a="1"/>
  <c r="O18" i="16" s="1"/>
  <c r="P18" i="16" a="1"/>
  <c r="P18" i="16" s="1"/>
  <c r="Q18" i="16" a="1"/>
  <c r="Q18" i="16" s="1"/>
  <c r="R18" i="16" a="1"/>
  <c r="R18" i="16"/>
  <c r="S18" i="16" a="1"/>
  <c r="S18" i="16" s="1"/>
  <c r="I19" i="16" a="1"/>
  <c r="I19" i="16" s="1"/>
  <c r="J19" i="16" a="1"/>
  <c r="J19" i="16" s="1"/>
  <c r="K19" i="16" a="1"/>
  <c r="K19" i="16" s="1"/>
  <c r="L19" i="16" a="1"/>
  <c r="L19" i="16" s="1"/>
  <c r="M19" i="16" a="1"/>
  <c r="M19" i="16" s="1"/>
  <c r="N19" i="16" a="1"/>
  <c r="N19" i="16" s="1"/>
  <c r="O19" i="16" a="1"/>
  <c r="O19" i="16" s="1"/>
  <c r="P19" i="16" a="1"/>
  <c r="P19" i="16" s="1"/>
  <c r="Q19" i="16" a="1"/>
  <c r="Q19" i="16" s="1"/>
  <c r="R19" i="16" a="1"/>
  <c r="R19" i="16"/>
  <c r="S19" i="16" a="1"/>
  <c r="S19" i="16" s="1"/>
  <c r="I20" i="16" a="1"/>
  <c r="I20" i="16" s="1"/>
  <c r="J20" i="16" a="1"/>
  <c r="J20" i="16" s="1"/>
  <c r="K20" i="16" a="1"/>
  <c r="K20" i="16" s="1"/>
  <c r="L20" i="16" a="1"/>
  <c r="L20" i="16" s="1"/>
  <c r="M20" i="16" a="1"/>
  <c r="M20" i="16" s="1"/>
  <c r="N20" i="16" a="1"/>
  <c r="N20" i="16" s="1"/>
  <c r="O20" i="16" a="1"/>
  <c r="O20" i="16" s="1"/>
  <c r="P20" i="16" a="1"/>
  <c r="P20" i="16" s="1"/>
  <c r="Q20" i="16" a="1"/>
  <c r="Q20" i="16" s="1"/>
  <c r="R20" i="16" a="1"/>
  <c r="R20" i="16" s="1"/>
  <c r="S20" i="16" a="1"/>
  <c r="S20" i="16" s="1"/>
  <c r="H17" i="15" a="1"/>
  <c r="H17" i="15" s="1"/>
  <c r="I17" i="15" a="1"/>
  <c r="I17" i="15"/>
  <c r="J17" i="15" a="1"/>
  <c r="J17" i="15"/>
  <c r="K17" i="15" a="1"/>
  <c r="K17" i="15"/>
  <c r="L17" i="15" a="1"/>
  <c r="L17" i="15" s="1"/>
  <c r="M17" i="15" a="1"/>
  <c r="M17" i="15"/>
  <c r="N17" i="15" a="1"/>
  <c r="N17" i="15"/>
  <c r="O17" i="15" a="1"/>
  <c r="O17" i="15"/>
  <c r="P17" i="15" a="1"/>
  <c r="P17" i="15" s="1"/>
  <c r="Q17" i="15" a="1"/>
  <c r="Q17" i="15"/>
  <c r="R17" i="15" a="1"/>
  <c r="R17" i="15"/>
  <c r="S17" i="15" a="1"/>
  <c r="S17" i="15"/>
  <c r="H18" i="15" a="1"/>
  <c r="H18" i="15" s="1"/>
  <c r="I18" i="15" a="1"/>
  <c r="I18" i="15"/>
  <c r="J18" i="15" a="1"/>
  <c r="J18" i="15"/>
  <c r="K18" i="15" a="1"/>
  <c r="K18" i="15"/>
  <c r="L18" i="15" a="1"/>
  <c r="L18" i="15" s="1"/>
  <c r="M18" i="15" a="1"/>
  <c r="M18" i="15"/>
  <c r="N18" i="15" a="1"/>
  <c r="N18" i="15"/>
  <c r="O18" i="15" a="1"/>
  <c r="O18" i="15"/>
  <c r="P18" i="15" a="1"/>
  <c r="P18" i="15" s="1"/>
  <c r="Q18" i="15" a="1"/>
  <c r="Q18" i="15"/>
  <c r="R18" i="15" a="1"/>
  <c r="R18" i="15" s="1"/>
  <c r="S18" i="15" a="1"/>
  <c r="S18" i="15"/>
  <c r="H19" i="15" a="1"/>
  <c r="H19" i="15" s="1"/>
  <c r="I19" i="15" a="1"/>
  <c r="I19" i="15"/>
  <c r="J19" i="15" a="1"/>
  <c r="J19" i="15"/>
  <c r="K19" i="15" a="1"/>
  <c r="K19" i="15"/>
  <c r="L19" i="15" a="1"/>
  <c r="L19" i="15" s="1"/>
  <c r="M19" i="15" a="1"/>
  <c r="M19" i="15"/>
  <c r="N19" i="15" a="1"/>
  <c r="N19" i="15"/>
  <c r="O19" i="15" a="1"/>
  <c r="O19" i="15"/>
  <c r="P19" i="15" a="1"/>
  <c r="P19" i="15" s="1"/>
  <c r="Q19" i="15" a="1"/>
  <c r="Q19" i="15"/>
  <c r="R19" i="15" a="1"/>
  <c r="R19" i="15"/>
  <c r="S19" i="15" a="1"/>
  <c r="S19" i="15"/>
  <c r="H20" i="15" a="1"/>
  <c r="H20" i="15" s="1"/>
  <c r="I20" i="15" a="1"/>
  <c r="I20" i="15"/>
  <c r="J20" i="15" a="1"/>
  <c r="J20" i="15" s="1"/>
  <c r="K20" i="15" a="1"/>
  <c r="K20" i="15"/>
  <c r="L20" i="15" a="1"/>
  <c r="L20" i="15" s="1"/>
  <c r="M20" i="15" a="1"/>
  <c r="M20" i="15"/>
  <c r="N20" i="15" a="1"/>
  <c r="N20" i="15"/>
  <c r="O20" i="15" a="1"/>
  <c r="O20" i="15"/>
  <c r="P20" i="15" a="1"/>
  <c r="P20" i="15" s="1"/>
  <c r="Q20" i="15" a="1"/>
  <c r="Q20" i="15"/>
  <c r="R20" i="15" a="1"/>
  <c r="R20" i="15" s="1"/>
  <c r="S20" i="15" a="1"/>
  <c r="S20" i="15"/>
  <c r="H17" i="14" a="1"/>
  <c r="H17" i="14" s="1"/>
  <c r="I17" i="14" a="1"/>
  <c r="I17" i="14" s="1"/>
  <c r="J17" i="14" a="1"/>
  <c r="J17" i="14"/>
  <c r="K17" i="14" a="1"/>
  <c r="K17" i="14" s="1"/>
  <c r="L17" i="14" a="1"/>
  <c r="L17" i="14" s="1"/>
  <c r="M17" i="14" a="1"/>
  <c r="M17" i="14" s="1"/>
  <c r="N17" i="14" a="1"/>
  <c r="N17" i="14"/>
  <c r="O17" i="14" a="1"/>
  <c r="O17" i="14" s="1"/>
  <c r="P17" i="14" a="1"/>
  <c r="P17" i="14" s="1"/>
  <c r="Q17" i="14" a="1"/>
  <c r="Q17" i="14" s="1"/>
  <c r="R17" i="14" a="1"/>
  <c r="R17" i="14"/>
  <c r="S17" i="14" a="1"/>
  <c r="S17" i="14" s="1"/>
  <c r="H18" i="14" a="1"/>
  <c r="H18" i="14" s="1"/>
  <c r="I18" i="14" a="1"/>
  <c r="I18" i="14" s="1"/>
  <c r="J18" i="14" a="1"/>
  <c r="J18" i="14"/>
  <c r="K18" i="14" a="1"/>
  <c r="K18" i="14" s="1"/>
  <c r="L18" i="14" a="1"/>
  <c r="L18" i="14" s="1"/>
  <c r="M18" i="14" a="1"/>
  <c r="M18" i="14" s="1"/>
  <c r="N18" i="14" a="1"/>
  <c r="N18" i="14"/>
  <c r="O18" i="14" a="1"/>
  <c r="O18" i="14" s="1"/>
  <c r="P18" i="14" a="1"/>
  <c r="P18" i="14" s="1"/>
  <c r="Q18" i="14" a="1"/>
  <c r="Q18" i="14" s="1"/>
  <c r="R18" i="14" a="1"/>
  <c r="R18" i="14"/>
  <c r="S18" i="14" a="1"/>
  <c r="S18" i="14" s="1"/>
  <c r="H19" i="14" a="1"/>
  <c r="H19" i="14" s="1"/>
  <c r="I19" i="14" a="1"/>
  <c r="I19" i="14" s="1"/>
  <c r="J19" i="14" a="1"/>
  <c r="J19" i="14"/>
  <c r="K19" i="14" a="1"/>
  <c r="K19" i="14" s="1"/>
  <c r="L19" i="14" a="1"/>
  <c r="L19" i="14" s="1"/>
  <c r="M19" i="14" a="1"/>
  <c r="M19" i="14" s="1"/>
  <c r="N19" i="14" a="1"/>
  <c r="N19" i="14"/>
  <c r="O19" i="14" a="1"/>
  <c r="O19" i="14" s="1"/>
  <c r="P19" i="14" a="1"/>
  <c r="P19" i="14" s="1"/>
  <c r="Q19" i="14" a="1"/>
  <c r="Q19" i="14" s="1"/>
  <c r="R19" i="14" a="1"/>
  <c r="R19" i="14"/>
  <c r="S19" i="14" a="1"/>
  <c r="S19" i="14" s="1"/>
  <c r="H20" i="14" a="1"/>
  <c r="H20" i="14" s="1"/>
  <c r="I20" i="14" a="1"/>
  <c r="I20" i="14" s="1"/>
  <c r="J20" i="14" a="1"/>
  <c r="J20" i="14"/>
  <c r="K20" i="14" a="1"/>
  <c r="K20" i="14" s="1"/>
  <c r="L20" i="14" a="1"/>
  <c r="L20" i="14" s="1"/>
  <c r="M20" i="14" a="1"/>
  <c r="M20" i="14" s="1"/>
  <c r="N20" i="14" a="1"/>
  <c r="N20" i="14"/>
  <c r="O20" i="14" a="1"/>
  <c r="O20" i="14" s="1"/>
  <c r="P20" i="14" a="1"/>
  <c r="P20" i="14" s="1"/>
  <c r="Q20" i="14" a="1"/>
  <c r="Q20" i="14" s="1"/>
  <c r="R20" i="14" a="1"/>
  <c r="R20" i="14"/>
  <c r="S20" i="14" a="1"/>
  <c r="S20" i="14" s="1"/>
  <c r="H17" i="19" a="1"/>
  <c r="H17" i="19" s="1"/>
  <c r="I17" i="19" a="1"/>
  <c r="I17" i="19"/>
  <c r="J17" i="19" a="1"/>
  <c r="J17" i="19" s="1"/>
  <c r="K17" i="19" a="1"/>
  <c r="K17" i="19"/>
  <c r="L17" i="19" a="1"/>
  <c r="L17" i="19" s="1"/>
  <c r="M17" i="19" a="1"/>
  <c r="M17" i="19"/>
  <c r="N17" i="19" a="1"/>
  <c r="N17" i="19"/>
  <c r="O17" i="19" a="1"/>
  <c r="O17" i="19"/>
  <c r="P17" i="19" a="1"/>
  <c r="P17" i="19" s="1"/>
  <c r="Q17" i="19" a="1"/>
  <c r="Q17" i="19"/>
  <c r="R17" i="19" a="1"/>
  <c r="R17" i="19"/>
  <c r="S17" i="19" a="1"/>
  <c r="S17" i="19"/>
  <c r="H18" i="19" a="1"/>
  <c r="H18" i="19" s="1"/>
  <c r="I18" i="19" a="1"/>
  <c r="I18" i="19"/>
  <c r="J18" i="19" a="1"/>
  <c r="J18" i="19"/>
  <c r="K18" i="19" a="1"/>
  <c r="K18" i="19"/>
  <c r="L18" i="19" a="1"/>
  <c r="L18" i="19" s="1"/>
  <c r="M18" i="19" a="1"/>
  <c r="M18" i="19"/>
  <c r="N18" i="19" a="1"/>
  <c r="N18" i="19"/>
  <c r="O18" i="19" a="1"/>
  <c r="O18" i="19"/>
  <c r="P18" i="19" a="1"/>
  <c r="P18" i="19" s="1"/>
  <c r="Q18" i="19" a="1"/>
  <c r="Q18" i="19"/>
  <c r="R18" i="19" a="1"/>
  <c r="R18" i="19"/>
  <c r="S18" i="19" a="1"/>
  <c r="S18" i="19"/>
  <c r="H19" i="19" a="1"/>
  <c r="H19" i="19" s="1"/>
  <c r="I19" i="19" a="1"/>
  <c r="I19" i="19"/>
  <c r="J19" i="19" a="1"/>
  <c r="J19" i="19"/>
  <c r="K19" i="19" a="1"/>
  <c r="K19" i="19"/>
  <c r="L19" i="19" a="1"/>
  <c r="L19" i="19" s="1"/>
  <c r="M19" i="19" a="1"/>
  <c r="M19" i="19"/>
  <c r="N19" i="19" a="1"/>
  <c r="N19" i="19"/>
  <c r="O19" i="19" a="1"/>
  <c r="O19" i="19"/>
  <c r="P19" i="19" a="1"/>
  <c r="P19" i="19" s="1"/>
  <c r="Q19" i="19" a="1"/>
  <c r="Q19" i="19"/>
  <c r="R19" i="19" a="1"/>
  <c r="R19" i="19"/>
  <c r="S19" i="19" a="1"/>
  <c r="S19" i="19"/>
  <c r="H20" i="19" a="1"/>
  <c r="H20" i="19" s="1"/>
  <c r="I20" i="19" a="1"/>
  <c r="I20" i="19"/>
  <c r="J20" i="19" a="1"/>
  <c r="J20" i="19"/>
  <c r="K20" i="19" a="1"/>
  <c r="K20" i="19"/>
  <c r="L20" i="19" a="1"/>
  <c r="L20" i="19" s="1"/>
  <c r="M20" i="19" a="1"/>
  <c r="M20" i="19"/>
  <c r="N20" i="19" a="1"/>
  <c r="N20" i="19"/>
  <c r="O20" i="19" a="1"/>
  <c r="O20" i="19"/>
  <c r="P20" i="19" a="1"/>
  <c r="P20" i="19" s="1"/>
  <c r="Q20" i="19" a="1"/>
  <c r="Q20" i="19"/>
  <c r="R20" i="19" a="1"/>
  <c r="R20" i="19"/>
  <c r="S20" i="19" a="1"/>
  <c r="S20" i="19"/>
  <c r="G20" i="19" a="1"/>
  <c r="G20" i="19" s="1"/>
  <c r="G19" i="19" a="1"/>
  <c r="G19" i="19" s="1"/>
  <c r="G18" i="19" a="1"/>
  <c r="G18" i="19" s="1"/>
  <c r="G17" i="19" a="1"/>
  <c r="G17" i="19" s="1"/>
  <c r="H17" i="13" a="1"/>
  <c r="H17" i="13" s="1"/>
  <c r="I17" i="13" a="1"/>
  <c r="I17" i="13"/>
  <c r="J17" i="13" a="1"/>
  <c r="J17" i="13" s="1"/>
  <c r="K17" i="13" a="1"/>
  <c r="K17" i="13"/>
  <c r="L17" i="13" a="1"/>
  <c r="L17" i="13" s="1"/>
  <c r="M17" i="13" a="1"/>
  <c r="M17" i="13"/>
  <c r="N17" i="13" a="1"/>
  <c r="N17" i="13"/>
  <c r="O17" i="13" a="1"/>
  <c r="O17" i="13"/>
  <c r="P17" i="13" a="1"/>
  <c r="P17" i="13" s="1"/>
  <c r="Q17" i="13" a="1"/>
  <c r="Q17" i="13" s="1"/>
  <c r="R17" i="13" a="1"/>
  <c r="R17" i="13"/>
  <c r="S17" i="13" a="1"/>
  <c r="S17" i="13"/>
  <c r="H18" i="13" a="1"/>
  <c r="H18" i="13" s="1"/>
  <c r="I18" i="13" a="1"/>
  <c r="I18" i="13" s="1"/>
  <c r="J18" i="13" a="1"/>
  <c r="J18" i="13" s="1"/>
  <c r="K18" i="13" a="1"/>
  <c r="K18" i="13"/>
  <c r="L18" i="13" a="1"/>
  <c r="L18" i="13" s="1"/>
  <c r="M18" i="13" a="1"/>
  <c r="M18" i="13" s="1"/>
  <c r="N18" i="13" a="1"/>
  <c r="N18" i="13"/>
  <c r="O18" i="13" a="1"/>
  <c r="O18" i="13"/>
  <c r="P18" i="13" a="1"/>
  <c r="P18" i="13" s="1"/>
  <c r="Q18" i="13" a="1"/>
  <c r="Q18" i="13" s="1"/>
  <c r="R18" i="13" a="1"/>
  <c r="R18" i="13"/>
  <c r="S18" i="13" a="1"/>
  <c r="S18" i="13"/>
  <c r="H19" i="13" a="1"/>
  <c r="H19" i="13" s="1"/>
  <c r="I19" i="13" a="1"/>
  <c r="I19" i="13" s="1"/>
  <c r="J19" i="13" a="1"/>
  <c r="J19" i="13"/>
  <c r="K19" i="13" a="1"/>
  <c r="K19" i="13"/>
  <c r="L19" i="13" a="1"/>
  <c r="L19" i="13" s="1"/>
  <c r="M19" i="13" a="1"/>
  <c r="M19" i="13" s="1"/>
  <c r="N19" i="13" a="1"/>
  <c r="N19" i="13"/>
  <c r="O19" i="13" a="1"/>
  <c r="O19" i="13"/>
  <c r="P19" i="13" a="1"/>
  <c r="P19" i="13" s="1"/>
  <c r="Q19" i="13" a="1"/>
  <c r="Q19" i="13" s="1"/>
  <c r="R19" i="13" a="1"/>
  <c r="R19" i="13"/>
  <c r="S19" i="13" a="1"/>
  <c r="S19" i="13"/>
  <c r="H20" i="13" a="1"/>
  <c r="H20" i="13" s="1"/>
  <c r="I20" i="13" a="1"/>
  <c r="I20" i="13" s="1"/>
  <c r="J20" i="13" a="1"/>
  <c r="J20" i="13"/>
  <c r="K20" i="13" a="1"/>
  <c r="K20" i="13"/>
  <c r="L20" i="13" a="1"/>
  <c r="L20" i="13" s="1"/>
  <c r="M20" i="13" a="1"/>
  <c r="M20" i="13" s="1"/>
  <c r="N20" i="13" a="1"/>
  <c r="N20" i="13" s="1"/>
  <c r="O20" i="13" a="1"/>
  <c r="O20" i="13"/>
  <c r="P20" i="13" a="1"/>
  <c r="P20" i="13" s="1"/>
  <c r="Q20" i="13" a="1"/>
  <c r="Q20" i="13" s="1"/>
  <c r="R20" i="13" a="1"/>
  <c r="R20" i="13"/>
  <c r="S20" i="13" a="1"/>
  <c r="S20" i="13"/>
  <c r="G20" i="13" a="1"/>
  <c r="G20" i="13" s="1"/>
  <c r="G19" i="13" a="1"/>
  <c r="G19" i="13" s="1"/>
  <c r="G18" i="13" a="1"/>
  <c r="G18" i="13" s="1"/>
  <c r="G17" i="13" a="1"/>
  <c r="G17" i="13" s="1"/>
  <c r="H17" i="12" a="1"/>
  <c r="H17" i="12" s="1"/>
  <c r="I17" i="12" a="1"/>
  <c r="I17" i="12"/>
  <c r="J17" i="12" a="1"/>
  <c r="J17" i="12"/>
  <c r="K17" i="12" a="1"/>
  <c r="K17" i="12"/>
  <c r="L17" i="12" a="1"/>
  <c r="L17" i="12" s="1"/>
  <c r="M17" i="12" a="1"/>
  <c r="M17" i="12"/>
  <c r="N17" i="12" a="1"/>
  <c r="N17" i="12"/>
  <c r="O17" i="12" a="1"/>
  <c r="O17" i="12"/>
  <c r="P17" i="12" a="1"/>
  <c r="P17" i="12" s="1"/>
  <c r="Q17" i="12" a="1"/>
  <c r="Q17" i="12"/>
  <c r="R17" i="12" a="1"/>
  <c r="R17" i="12"/>
  <c r="S17" i="12" a="1"/>
  <c r="S17" i="12"/>
  <c r="H18" i="12" a="1"/>
  <c r="H18" i="12" s="1"/>
  <c r="I18" i="12" a="1"/>
  <c r="I18" i="12"/>
  <c r="J18" i="12" a="1"/>
  <c r="J18" i="12"/>
  <c r="K18" i="12" a="1"/>
  <c r="K18" i="12"/>
  <c r="L18" i="12" a="1"/>
  <c r="L18" i="12" s="1"/>
  <c r="M18" i="12" a="1"/>
  <c r="M18" i="12"/>
  <c r="N18" i="12" a="1"/>
  <c r="N18" i="12" s="1"/>
  <c r="O18" i="12" a="1"/>
  <c r="O18" i="12"/>
  <c r="P18" i="12" a="1"/>
  <c r="P18" i="12" s="1"/>
  <c r="Q18" i="12" a="1"/>
  <c r="Q18" i="12"/>
  <c r="R18" i="12" a="1"/>
  <c r="R18" i="12"/>
  <c r="S18" i="12" a="1"/>
  <c r="S18" i="12"/>
  <c r="H19" i="12" a="1"/>
  <c r="H19" i="12" s="1"/>
  <c r="I19" i="12" a="1"/>
  <c r="I19" i="12"/>
  <c r="J19" i="12" a="1"/>
  <c r="J19" i="12"/>
  <c r="K19" i="12" a="1"/>
  <c r="K19" i="12"/>
  <c r="L19" i="12" a="1"/>
  <c r="L19" i="12" s="1"/>
  <c r="M19" i="12" a="1"/>
  <c r="M19" i="12"/>
  <c r="N19" i="12" a="1"/>
  <c r="N19" i="12"/>
  <c r="O19" i="12" a="1"/>
  <c r="O19" i="12"/>
  <c r="P19" i="12" a="1"/>
  <c r="P19" i="12" s="1"/>
  <c r="Q19" i="12" a="1"/>
  <c r="Q19" i="12"/>
  <c r="R19" i="12" a="1"/>
  <c r="R19" i="12"/>
  <c r="S19" i="12" a="1"/>
  <c r="S19" i="12"/>
  <c r="H20" i="12" a="1"/>
  <c r="H20" i="12" s="1"/>
  <c r="I20" i="12" a="1"/>
  <c r="I20" i="12"/>
  <c r="J20" i="12" a="1"/>
  <c r="J20" i="12" s="1"/>
  <c r="K20" i="12" a="1"/>
  <c r="K20" i="12"/>
  <c r="L20" i="12" a="1"/>
  <c r="L20" i="12" s="1"/>
  <c r="M20" i="12" a="1"/>
  <c r="M20" i="12"/>
  <c r="N20" i="12" a="1"/>
  <c r="N20" i="12" s="1"/>
  <c r="O20" i="12" a="1"/>
  <c r="O20" i="12"/>
  <c r="P20" i="12" a="1"/>
  <c r="P20" i="12" s="1"/>
  <c r="Q20" i="12" a="1"/>
  <c r="Q20" i="12"/>
  <c r="R20" i="12" a="1"/>
  <c r="R20" i="12" s="1"/>
  <c r="S20" i="12" a="1"/>
  <c r="S20" i="12"/>
  <c r="G20" i="12" a="1"/>
  <c r="G20" i="12" s="1"/>
  <c r="G19" i="12" a="1"/>
  <c r="G19" i="12" s="1"/>
  <c r="G18" i="12" a="1"/>
  <c r="G18" i="12" s="1"/>
  <c r="G17" i="12" a="1"/>
  <c r="G17" i="12" s="1"/>
  <c r="S17" i="11" a="1"/>
  <c r="S17" i="11" s="1"/>
  <c r="H17" i="11" a="1"/>
  <c r="H17" i="11" s="1"/>
  <c r="I17" i="11" a="1"/>
  <c r="I17" i="11"/>
  <c r="J17" i="11" a="1"/>
  <c r="J17" i="11"/>
  <c r="K17" i="11" a="1"/>
  <c r="K17" i="11"/>
  <c r="L17" i="11" a="1"/>
  <c r="L17" i="11" s="1"/>
  <c r="M17" i="11" a="1"/>
  <c r="M17" i="11"/>
  <c r="N17" i="11" a="1"/>
  <c r="N17" i="11"/>
  <c r="O17" i="11" a="1"/>
  <c r="O17" i="11"/>
  <c r="P17" i="11" a="1"/>
  <c r="P17" i="11" s="1"/>
  <c r="Q17" i="11" a="1"/>
  <c r="Q17" i="11"/>
  <c r="R17" i="11" a="1"/>
  <c r="R17" i="11"/>
  <c r="H18" i="11" a="1"/>
  <c r="H18" i="11" s="1"/>
  <c r="I18" i="11" a="1"/>
  <c r="I18" i="11"/>
  <c r="J18" i="11" a="1"/>
  <c r="J18" i="11"/>
  <c r="K18" i="11" a="1"/>
  <c r="K18" i="11"/>
  <c r="L18" i="11" a="1"/>
  <c r="L18" i="11" s="1"/>
  <c r="M18" i="11" a="1"/>
  <c r="M18" i="11"/>
  <c r="N18" i="11" a="1"/>
  <c r="N18" i="11" s="1"/>
  <c r="O18" i="11" a="1"/>
  <c r="O18" i="11"/>
  <c r="P18" i="11" a="1"/>
  <c r="P18" i="11" s="1"/>
  <c r="Q18" i="11" a="1"/>
  <c r="Q18" i="11"/>
  <c r="R18" i="11" a="1"/>
  <c r="R18" i="11"/>
  <c r="S18" i="11" a="1"/>
  <c r="S18" i="11"/>
  <c r="H19" i="11" a="1"/>
  <c r="H19" i="11" s="1"/>
  <c r="I19" i="11" a="1"/>
  <c r="I19" i="11"/>
  <c r="J19" i="11" a="1"/>
  <c r="J19" i="11"/>
  <c r="K19" i="11" a="1"/>
  <c r="K19" i="11"/>
  <c r="L19" i="11" a="1"/>
  <c r="L19" i="11" s="1"/>
  <c r="M19" i="11" a="1"/>
  <c r="M19" i="11"/>
  <c r="N19" i="11" a="1"/>
  <c r="N19" i="11"/>
  <c r="O19" i="11" a="1"/>
  <c r="O19" i="11"/>
  <c r="P19" i="11" a="1"/>
  <c r="P19" i="11" s="1"/>
  <c r="Q19" i="11" a="1"/>
  <c r="Q19" i="11"/>
  <c r="R19" i="11" a="1"/>
  <c r="R19" i="11"/>
  <c r="S19" i="11" a="1"/>
  <c r="S19" i="11"/>
  <c r="H20" i="11" a="1"/>
  <c r="H20" i="11" s="1"/>
  <c r="I20" i="11" a="1"/>
  <c r="I20" i="11"/>
  <c r="J20" i="11" a="1"/>
  <c r="J20" i="11" s="1"/>
  <c r="K20" i="11" a="1"/>
  <c r="K20" i="11"/>
  <c r="L20" i="11" a="1"/>
  <c r="L20" i="11" s="1"/>
  <c r="M20" i="11" a="1"/>
  <c r="M20" i="11"/>
  <c r="N20" i="11" a="1"/>
  <c r="N20" i="11" s="1"/>
  <c r="O20" i="11" a="1"/>
  <c r="O20" i="11"/>
  <c r="P20" i="11" a="1"/>
  <c r="P20" i="11" s="1"/>
  <c r="Q20" i="11" a="1"/>
  <c r="Q20" i="11"/>
  <c r="R20" i="11" a="1"/>
  <c r="R20" i="11" s="1"/>
  <c r="S20" i="11" a="1"/>
  <c r="S20" i="11"/>
  <c r="G20" i="11" a="1"/>
  <c r="G20" i="11" s="1"/>
  <c r="G19" i="11" a="1"/>
  <c r="G19" i="11" s="1"/>
  <c r="G18" i="11" a="1"/>
  <c r="G18" i="11" s="1"/>
  <c r="G17" i="11" a="1"/>
  <c r="G17" i="11" s="1"/>
  <c r="H19" i="18" a="1"/>
  <c r="H19" i="18" s="1"/>
  <c r="G17" i="17" a="1"/>
  <c r="G17" i="17" s="1"/>
  <c r="H17" i="16" a="1"/>
  <c r="H17" i="16" s="1"/>
  <c r="G17" i="15" a="1"/>
  <c r="G17" i="15" s="1"/>
  <c r="G17" i="14" a="1"/>
  <c r="G17" i="14" s="1"/>
  <c r="S2" i="19"/>
  <c r="S3" i="19"/>
  <c r="S4" i="19"/>
  <c r="S5" i="19"/>
  <c r="S6" i="19"/>
  <c r="S7" i="19"/>
  <c r="S8" i="19"/>
  <c r="S9" i="19"/>
  <c r="S10" i="19"/>
  <c r="S11" i="19"/>
  <c r="S12" i="19"/>
  <c r="S13" i="19"/>
  <c r="H18" i="18" a="1"/>
  <c r="H18" i="18" s="1"/>
  <c r="H20" i="18" a="1"/>
  <c r="H20" i="18" s="1"/>
  <c r="H17" i="18" a="1"/>
  <c r="H17" i="18" s="1"/>
  <c r="T2" i="18"/>
  <c r="T3" i="18"/>
  <c r="T4" i="18"/>
  <c r="T5" i="18"/>
  <c r="T6" i="18"/>
  <c r="T7" i="18"/>
  <c r="T8" i="18"/>
  <c r="T9" i="18"/>
  <c r="T10" i="18"/>
  <c r="T11" i="18"/>
  <c r="T12" i="18"/>
  <c r="T13" i="18"/>
  <c r="G20" i="17" a="1"/>
  <c r="G20" i="17" s="1"/>
  <c r="G19" i="17" a="1"/>
  <c r="G19" i="17" s="1"/>
  <c r="G18" i="17" a="1"/>
  <c r="G18" i="17" s="1"/>
  <c r="S2" i="17"/>
  <c r="S3" i="17"/>
  <c r="S4" i="17"/>
  <c r="S5" i="17"/>
  <c r="S6" i="17"/>
  <c r="S7" i="17"/>
  <c r="S8" i="17"/>
  <c r="S9" i="17"/>
  <c r="S10" i="17"/>
  <c r="S11" i="17"/>
  <c r="S12" i="17"/>
  <c r="S13" i="17"/>
  <c r="H20" i="16" a="1"/>
  <c r="H20" i="16" s="1"/>
  <c r="H19" i="16" a="1"/>
  <c r="H19" i="16" s="1"/>
  <c r="H18" i="16" a="1"/>
  <c r="H18" i="16" s="1"/>
  <c r="T2" i="16"/>
  <c r="T3" i="16"/>
  <c r="T4" i="16"/>
  <c r="T17" i="16" s="1" a="1"/>
  <c r="T17" i="16" s="1"/>
  <c r="T5" i="16"/>
  <c r="T6" i="16"/>
  <c r="T7" i="16"/>
  <c r="T8" i="16"/>
  <c r="T19" i="16" s="1" a="1"/>
  <c r="T19" i="16" s="1"/>
  <c r="T9" i="16"/>
  <c r="T10" i="16"/>
  <c r="T11" i="16"/>
  <c r="T12" i="16"/>
  <c r="T13" i="16"/>
  <c r="G20" i="15" a="1"/>
  <c r="G20" i="15" s="1"/>
  <c r="G19" i="15" a="1"/>
  <c r="G19" i="15" s="1"/>
  <c r="G18" i="15" a="1"/>
  <c r="G18" i="15" s="1"/>
  <c r="S2" i="15"/>
  <c r="S3" i="15"/>
  <c r="S4" i="15"/>
  <c r="S5" i="15"/>
  <c r="S6" i="15"/>
  <c r="S7" i="15"/>
  <c r="S8" i="15"/>
  <c r="S9" i="15"/>
  <c r="S10" i="15"/>
  <c r="S11" i="15"/>
  <c r="S12" i="15"/>
  <c r="S13" i="15"/>
  <c r="G20" i="14" a="1"/>
  <c r="G20" i="14" s="1"/>
  <c r="G19" i="14" a="1"/>
  <c r="G19" i="14" s="1"/>
  <c r="G18" i="14" a="1"/>
  <c r="G18" i="14" s="1"/>
  <c r="S2" i="14"/>
  <c r="S3" i="14"/>
  <c r="S4" i="14"/>
  <c r="S5" i="14"/>
  <c r="S6" i="14"/>
  <c r="S7" i="14"/>
  <c r="S8" i="14"/>
  <c r="S9" i="14"/>
  <c r="S10" i="14"/>
  <c r="S11" i="14"/>
  <c r="S12" i="14"/>
  <c r="S13" i="14"/>
  <c r="S2" i="13"/>
  <c r="S3" i="13"/>
  <c r="S4" i="13"/>
  <c r="S5" i="13"/>
  <c r="S6" i="13"/>
  <c r="S7" i="13"/>
  <c r="S8" i="13"/>
  <c r="S9" i="13"/>
  <c r="S10" i="13"/>
  <c r="S11" i="13"/>
  <c r="S12" i="13"/>
  <c r="S13" i="13"/>
  <c r="S2" i="12"/>
  <c r="S3" i="12"/>
  <c r="S4" i="12"/>
  <c r="S5" i="12"/>
  <c r="S6" i="12"/>
  <c r="S7" i="12"/>
  <c r="S8" i="12"/>
  <c r="S9" i="12"/>
  <c r="S10" i="12"/>
  <c r="S11" i="12"/>
  <c r="S12" i="12"/>
  <c r="S13" i="12"/>
  <c r="S2" i="11"/>
  <c r="S3" i="11"/>
  <c r="S4" i="11"/>
  <c r="S5" i="11"/>
  <c r="S6" i="11"/>
  <c r="S7" i="11"/>
  <c r="S8" i="11"/>
  <c r="S9" i="11"/>
  <c r="S10" i="11"/>
  <c r="S11" i="11"/>
  <c r="S12" i="11"/>
  <c r="S13" i="11"/>
  <c r="X48" i="20" l="1" a="1"/>
  <c r="X48" i="20" s="1"/>
  <c r="X72" i="20" a="1"/>
  <c r="X72" i="20" s="1"/>
  <c r="T17" i="18" a="1"/>
  <c r="T17" i="18" s="1"/>
  <c r="R24" i="18"/>
  <c r="S25" i="18"/>
  <c r="N26" i="18"/>
  <c r="N27" i="18"/>
  <c r="L24" i="18"/>
  <c r="S26" i="18"/>
  <c r="J24" i="18"/>
  <c r="R26" i="18"/>
  <c r="M27" i="18"/>
  <c r="K26" i="18"/>
  <c r="Q27" i="18"/>
  <c r="S27" i="18"/>
  <c r="M26" i="18"/>
  <c r="R25" i="18"/>
  <c r="L25" i="18"/>
  <c r="Q24" i="18"/>
  <c r="K24" i="18"/>
  <c r="Q25" i="18"/>
  <c r="K25" i="18"/>
  <c r="P24" i="18"/>
  <c r="N24" i="18"/>
  <c r="I24" i="18"/>
  <c r="R27" i="18"/>
  <c r="Q26" i="18"/>
  <c r="H26" i="18"/>
  <c r="J26" i="18"/>
  <c r="P27" i="18"/>
  <c r="O27" i="18"/>
  <c r="I27" i="18"/>
  <c r="O26" i="18"/>
  <c r="I26" i="18"/>
  <c r="N25" i="18"/>
  <c r="S24" i="18"/>
  <c r="M24" i="18"/>
  <c r="L26" i="18"/>
  <c r="P25" i="18"/>
  <c r="J25" i="18"/>
  <c r="K27" i="18"/>
  <c r="O25" i="18"/>
  <c r="J27" i="18"/>
  <c r="I25" i="18"/>
  <c r="H25" i="18"/>
  <c r="L27" i="18"/>
  <c r="O24" i="18"/>
  <c r="P26" i="18"/>
  <c r="M25" i="18"/>
  <c r="T19" i="18" a="1"/>
  <c r="T19" i="18" s="1"/>
  <c r="T18" i="18" a="1"/>
  <c r="T18" i="18" s="1"/>
  <c r="T20" i="18" a="1"/>
  <c r="T20" i="18" s="1"/>
  <c r="T18" i="16" a="1"/>
  <c r="T18" i="16" s="1"/>
  <c r="T20" i="16" a="1"/>
  <c r="T20" i="16" s="1"/>
  <c r="X42" i="20" a="1"/>
  <c r="X42" i="20" s="1"/>
  <c r="X57" i="20" a="1"/>
  <c r="X57" i="20" s="1"/>
  <c r="X69" i="20" a="1"/>
  <c r="X69" i="20" s="1"/>
  <c r="X73" i="20" a="1"/>
  <c r="X73" i="20" s="1"/>
  <c r="X61" i="20" a="1"/>
  <c r="X61" i="20" s="1"/>
  <c r="X41" i="20" a="1"/>
  <c r="X41" i="20" s="1"/>
  <c r="X67" i="20" a="1"/>
  <c r="X67" i="20" s="1"/>
  <c r="X70" i="20" a="1"/>
  <c r="X70" i="20" s="1"/>
  <c r="X56" i="20" a="1"/>
  <c r="X56" i="20" s="1"/>
  <c r="X68" i="20" a="1"/>
  <c r="X68" i="20" s="1"/>
  <c r="X59" i="20" a="1"/>
  <c r="X59" i="20" s="1"/>
  <c r="X71" i="20" a="1"/>
  <c r="X71" i="20" s="1"/>
  <c r="X55" i="20" a="1"/>
  <c r="X55" i="20" s="1"/>
  <c r="X54" i="20" a="1"/>
  <c r="X54" i="20" s="1"/>
  <c r="X60" i="20" a="1"/>
  <c r="X60" i="20" s="1"/>
  <c r="X53" i="20" a="1"/>
  <c r="X53" i="20" s="1"/>
  <c r="X58" i="20" a="1"/>
  <c r="X58" i="20" s="1"/>
  <c r="X43" i="20" a="1"/>
  <c r="X43" i="20" s="1"/>
  <c r="X49" i="20" a="1"/>
  <c r="X49" i="20" s="1"/>
  <c r="X45" i="20" a="1"/>
  <c r="X45" i="20" s="1"/>
  <c r="X47" i="20" a="1"/>
  <c r="X47" i="20" s="1"/>
  <c r="X44" i="20" a="1"/>
  <c r="X44" i="20" s="1"/>
  <c r="X46" i="20" a="1"/>
  <c r="X46" i="20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<sst xmlns="http://schemas.openxmlformats.org/spreadsheetml/2006/main" count="947" uniqueCount="35">
  <si>
    <t>lang</t>
  </si>
  <si>
    <t>attribute.index</t>
  </si>
  <si>
    <t>attribute</t>
  </si>
  <si>
    <t>supplement</t>
  </si>
  <si>
    <t>method.index</t>
  </si>
  <si>
    <t>method</t>
  </si>
  <si>
    <t>2g-no-hash</t>
  </si>
  <si>
    <t>3g-no-hash</t>
  </si>
  <si>
    <t>4g-no-hash</t>
  </si>
  <si>
    <t>xsk2g-no-hash</t>
  </si>
  <si>
    <t>xsk3g-no-hash</t>
  </si>
  <si>
    <t>xsk4g-no-hash</t>
  </si>
  <si>
    <t>2g-hash-at-both</t>
  </si>
  <si>
    <t>3g-hash-at-both</t>
  </si>
  <si>
    <t>4g-hash-at-both</t>
  </si>
  <si>
    <t>xsk2g-hash-at-both</t>
  </si>
  <si>
    <t>xsk3g-hash-at-both</t>
  </si>
  <si>
    <t>xsk4g-hash-at-both</t>
  </si>
  <si>
    <t>max</t>
  </si>
  <si>
    <t>plurality</t>
  </si>
  <si>
    <t>DT</t>
  </si>
  <si>
    <t>RF</t>
  </si>
  <si>
    <t>NN</t>
  </si>
  <si>
    <t>gender</t>
  </si>
  <si>
    <t>supplemented</t>
  </si>
  <si>
    <t>metric</t>
  </si>
  <si>
    <t>French</t>
  </si>
  <si>
    <t>skippiness</t>
  </si>
  <si>
    <t>mgv</t>
  </si>
  <si>
    <t>xsk</t>
  </si>
  <si>
    <t>sample.n</t>
  </si>
  <si>
    <t>var</t>
  </si>
  <si>
    <t>geoman</t>
  </si>
  <si>
    <t>rank</t>
  </si>
  <si>
    <t>rank.average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</si>
</sst>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3"/>
      <color theme="1"/>
      <name val="LucidaSansUnicode"/>
      <family val="2"/>
    </font>
  </fonts>
  <fills count="3">
    <fill>
      <patternFill patternType="none"/>
    </fill>
    <fill>
      <patternFill patternType="gray125"/>
    </fill>
    <fill>
      <patternFill patternType="solid">
        <fgColor indexed="65"/>
        <bgColor auto="1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6">
    <xf numFmtId="0" fontId="0" fillId="0" borderId="0" xfId="0"/>
    <xf numFmtId="2" fontId="0" fillId="0" borderId="1" xfId="0" applyNumberFormat="1" applyBorder="1"/>
    <xf numFmtId="2" fontId="0" fillId="0" borderId="0" xfId="0" applyNumberFormat="1"/>
    <xf numFmtId="1" fontId="0" fillId="0" borderId="0" xfId="0" applyNumberFormat="1"/>
    <xf numFmtId="0" fontId="0" fillId="0" borderId="1" xfId="0" applyBorder="1"/>
    <xf numFmtId="0" fontId="0" fillId="2" borderId="2" xfId="0" applyFill="1" applyBorder="1"/>
  </cellXfs>
  <cellStyles count="1">
    <cellStyle name="Normal" xfId="0" builtinId="0"/>
  </cellStyles>
  <dxfs count="283"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ill>
        <patternFill patternType="solid">
          <fgColor indexed="64"/>
          <bgColor indexed="65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indexed="64"/>
          <bgColor indexed="65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indexed="64"/>
          <bgColor indexed="65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indexed="64"/>
          <bgColor indexed="65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indexed="64"/>
          <bgColor indexed="65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indexed="64"/>
          <bgColor indexed="65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indexed="64"/>
          <bgColor indexed="65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indexed="64"/>
          <bgColor indexed="65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indexed="64"/>
          <bgColor indexed="65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indexed="64"/>
          <bgColor indexed="65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indexed="64"/>
          <bgColor indexed="65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0" formatCode="General"/>
      <fill>
        <patternFill patternType="solid">
          <fgColor indexed="64"/>
          <bgColor indexed="65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0" formatCode="General"/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0" formatCode="General"/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0" formatCode="General"/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ill>
        <patternFill patternType="solid">
          <fgColor indexed="64"/>
          <bgColor indexed="65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indexed="64"/>
          <bgColor indexed="65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indexed="64"/>
          <bgColor indexed="65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indexed="64"/>
          <bgColor indexed="65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indexed="64"/>
          <bgColor indexed="65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indexed="64"/>
          <bgColor indexed="65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indexed="64"/>
          <bgColor indexed="65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indexed="64"/>
          <bgColor indexed="65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indexed="64"/>
          <bgColor indexed="65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indexed="64"/>
          <bgColor indexed="65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indexed="64"/>
          <bgColor indexed="65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0" formatCode="General"/>
      <fill>
        <patternFill patternType="solid">
          <fgColor indexed="64"/>
          <bgColor indexed="65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0" formatCode="General"/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0" formatCode="General"/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0" formatCode="General"/>
    </dxf>
    <dxf>
      <numFmt numFmtId="2" formatCode="0.00"/>
    </dxf>
    <dxf>
      <numFmt numFmtId="2" formatCode="0.00"/>
    </dxf>
    <dxf>
      <numFmt numFmtId="2" formatCode="0.00"/>
    </dxf>
    <dxf>
      <numFmt numFmtId="1" formatCode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French</a:t>
            </a:r>
            <a:r>
              <a:rPr lang="ja-JP" altLang="en-US"/>
              <a:t> </a:t>
            </a:r>
            <a:r>
              <a:rPr lang="en-US" altLang="ja-JP"/>
              <a:t>xsk-based</a:t>
            </a:r>
            <a:r>
              <a:rPr lang="ja-JP" altLang="en-US"/>
              <a:t> </a:t>
            </a:r>
            <a:r>
              <a:rPr lang="en-US" altLang="ja-JP"/>
              <a:t>max</a:t>
            </a:r>
            <a:r>
              <a:rPr lang="ja-JP" altLang="en-US"/>
              <a:t> </a:t>
            </a:r>
            <a:r>
              <a:rPr lang="en-US" altLang="ja-JP"/>
              <a:t>accuracy</a:t>
            </a:r>
            <a:r>
              <a:rPr lang="ja-JP" altLang="en-US"/>
              <a:t> </a:t>
            </a:r>
            <a:r>
              <a:rPr lang="en-US" altLang="ja-JP"/>
              <a:t>distributions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summarized!$J$1</c:f>
              <c:strCache>
                <c:ptCount val="1"/>
                <c:pt idx="0">
                  <c:v>2g-no-hash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summarized!$I$2:$I$37</c:f>
              <c:strCache>
                <c:ptCount val="36"/>
                <c:pt idx="0">
                  <c:v>plu-spl:F-mgv:3-sn:1.2k</c:v>
                </c:pt>
                <c:pt idx="1">
                  <c:v>plu-spl:T-mgv:3-sn:1.2k</c:v>
                </c:pt>
                <c:pt idx="2">
                  <c:v>gen-spl:F-mgv:3-sn:1.2k</c:v>
                </c:pt>
                <c:pt idx="3">
                  <c:v>gen-spl:T-mgv:3-sn:1.2k</c:v>
                </c:pt>
                <c:pt idx="4">
                  <c:v>plu-spl:F-mgv:6-sn:1.2k</c:v>
                </c:pt>
                <c:pt idx="5">
                  <c:v>plu-spl:T-mgv:6-sn:1.2k</c:v>
                </c:pt>
                <c:pt idx="6">
                  <c:v>gen-spl:F-mgv:6-sn:1.2k</c:v>
                </c:pt>
                <c:pt idx="7">
                  <c:v>gen-spl:T-mgv:6-sn:1.2k</c:v>
                </c:pt>
                <c:pt idx="8">
                  <c:v>plu-spl:F-mgv:9-sn:1.2k</c:v>
                </c:pt>
                <c:pt idx="9">
                  <c:v>plu-spl:T-mgv:9-sn:1.2k</c:v>
                </c:pt>
                <c:pt idx="10">
                  <c:v>gen-spl:F-mgv:9-sn:1.2k</c:v>
                </c:pt>
                <c:pt idx="11">
                  <c:v>gen-spl:T-mgv:9-sn:1.2k</c:v>
                </c:pt>
                <c:pt idx="12">
                  <c:v>plu-spl:F-mgv:3-sn:2k</c:v>
                </c:pt>
                <c:pt idx="13">
                  <c:v>plu-spl:T-mgv:3-sn:2k</c:v>
                </c:pt>
                <c:pt idx="14">
                  <c:v>gen-spl:F-mgv:3-sn:2k</c:v>
                </c:pt>
                <c:pt idx="15">
                  <c:v>gen-spl:T-mgv:3-sn:2k</c:v>
                </c:pt>
                <c:pt idx="16">
                  <c:v>plu-spl:F-mgv:6-sn:2k</c:v>
                </c:pt>
                <c:pt idx="17">
                  <c:v>plu-spl:T-mgv:6-sn:2k</c:v>
                </c:pt>
                <c:pt idx="18">
                  <c:v>gen-spl:F-mgv:6-sn:2k</c:v>
                </c:pt>
                <c:pt idx="19">
                  <c:v>gen-spl:T-mgv:6-sn:2k</c:v>
                </c:pt>
                <c:pt idx="20">
                  <c:v>plu-spl:F-mgv:9-sn:2k</c:v>
                </c:pt>
                <c:pt idx="21">
                  <c:v>plu-spl:T-mgv:9-sn:2k</c:v>
                </c:pt>
                <c:pt idx="22">
                  <c:v>gen-spl:F-mgv:9-sn:2k</c:v>
                </c:pt>
                <c:pt idx="23">
                  <c:v>gen-spl:T-mgv:9-sn:2k</c:v>
                </c:pt>
                <c:pt idx="24">
                  <c:v>plu-spl:F-mgv:3-sn:3k</c:v>
                </c:pt>
                <c:pt idx="25">
                  <c:v>plu-spl:T-mgv:3-sn:3k</c:v>
                </c:pt>
                <c:pt idx="26">
                  <c:v>gen-spl:F-mgv:3-sn:3k</c:v>
                </c:pt>
                <c:pt idx="27">
                  <c:v>gen-spl:T-mgv:3-sn:3k</c:v>
                </c:pt>
                <c:pt idx="28">
                  <c:v>plu-spl:F-mgv:6-sn:3k</c:v>
                </c:pt>
                <c:pt idx="29">
                  <c:v>plu-spl:T-mgv:6-sn:3k</c:v>
                </c:pt>
                <c:pt idx="30">
                  <c:v>gen-spl:F-mgv:6-sn:3k</c:v>
                </c:pt>
                <c:pt idx="31">
                  <c:v>gen-spl:T-mgv:6-sn:3k</c:v>
                </c:pt>
                <c:pt idx="32">
                  <c:v>plu-spl:F-mgv:9-sn:3k</c:v>
                </c:pt>
                <c:pt idx="33">
                  <c:v>plu-spl:T-mgv:9-sn:3k</c:v>
                </c:pt>
                <c:pt idx="34">
                  <c:v>gen-spl:F-mgv:9-sn:3k</c:v>
                </c:pt>
                <c:pt idx="35">
                  <c:v>gen-spl:T-mgv:9-sn:3k</c:v>
                </c:pt>
              </c:strCache>
            </c:strRef>
          </c:cat>
          <c:val>
            <c:numRef>
              <c:f>summarized!$J$2:$J$37</c:f>
              <c:numCache>
                <c:formatCode>0.00</c:formatCode>
                <c:ptCount val="36"/>
                <c:pt idx="0">
                  <c:v>0.89</c:v>
                </c:pt>
                <c:pt idx="1">
                  <c:v>0.9</c:v>
                </c:pt>
                <c:pt idx="2">
                  <c:v>0.74</c:v>
                </c:pt>
                <c:pt idx="3">
                  <c:v>0.78</c:v>
                </c:pt>
                <c:pt idx="4">
                  <c:v>0.93</c:v>
                </c:pt>
                <c:pt idx="5">
                  <c:v>0.94</c:v>
                </c:pt>
                <c:pt idx="6">
                  <c:v>0.78</c:v>
                </c:pt>
                <c:pt idx="7">
                  <c:v>0.79</c:v>
                </c:pt>
                <c:pt idx="8">
                  <c:v>0.93</c:v>
                </c:pt>
                <c:pt idx="9">
                  <c:v>0.94</c:v>
                </c:pt>
                <c:pt idx="10">
                  <c:v>0.8</c:v>
                </c:pt>
                <c:pt idx="11">
                  <c:v>0.77</c:v>
                </c:pt>
                <c:pt idx="12">
                  <c:v>0.94</c:v>
                </c:pt>
                <c:pt idx="13">
                  <c:v>0.92</c:v>
                </c:pt>
                <c:pt idx="14">
                  <c:v>0.74</c:v>
                </c:pt>
                <c:pt idx="15">
                  <c:v>0.79</c:v>
                </c:pt>
                <c:pt idx="16">
                  <c:v>0.94</c:v>
                </c:pt>
                <c:pt idx="17">
                  <c:v>0.93</c:v>
                </c:pt>
                <c:pt idx="18">
                  <c:v>0.8</c:v>
                </c:pt>
                <c:pt idx="19">
                  <c:v>0.81</c:v>
                </c:pt>
                <c:pt idx="20">
                  <c:v>0.91</c:v>
                </c:pt>
                <c:pt idx="21">
                  <c:v>0.92</c:v>
                </c:pt>
                <c:pt idx="22">
                  <c:v>0.8</c:v>
                </c:pt>
                <c:pt idx="23">
                  <c:v>0.8</c:v>
                </c:pt>
                <c:pt idx="24">
                  <c:v>0.94</c:v>
                </c:pt>
                <c:pt idx="25">
                  <c:v>0.93</c:v>
                </c:pt>
                <c:pt idx="26">
                  <c:v>0.82</c:v>
                </c:pt>
                <c:pt idx="27">
                  <c:v>0.85</c:v>
                </c:pt>
                <c:pt idx="28">
                  <c:v>0.94</c:v>
                </c:pt>
                <c:pt idx="29">
                  <c:v>0.92</c:v>
                </c:pt>
                <c:pt idx="30">
                  <c:v>0.84</c:v>
                </c:pt>
                <c:pt idx="31">
                  <c:v>0.86</c:v>
                </c:pt>
                <c:pt idx="32">
                  <c:v>0.93</c:v>
                </c:pt>
                <c:pt idx="33">
                  <c:v>0.94</c:v>
                </c:pt>
                <c:pt idx="34">
                  <c:v>0.81</c:v>
                </c:pt>
                <c:pt idx="35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D06-7049-86D0-48498B0D39CA}"/>
            </c:ext>
          </c:extLst>
        </c:ser>
        <c:ser>
          <c:idx val="1"/>
          <c:order val="1"/>
          <c:tx>
            <c:strRef>
              <c:f>summarized!$K$1</c:f>
              <c:strCache>
                <c:ptCount val="1"/>
                <c:pt idx="0">
                  <c:v>3g-no-hash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summarized!$I$2:$I$37</c:f>
              <c:strCache>
                <c:ptCount val="36"/>
                <c:pt idx="0">
                  <c:v>plu-spl:F-mgv:3-sn:1.2k</c:v>
                </c:pt>
                <c:pt idx="1">
                  <c:v>plu-spl:T-mgv:3-sn:1.2k</c:v>
                </c:pt>
                <c:pt idx="2">
                  <c:v>gen-spl:F-mgv:3-sn:1.2k</c:v>
                </c:pt>
                <c:pt idx="3">
                  <c:v>gen-spl:T-mgv:3-sn:1.2k</c:v>
                </c:pt>
                <c:pt idx="4">
                  <c:v>plu-spl:F-mgv:6-sn:1.2k</c:v>
                </c:pt>
                <c:pt idx="5">
                  <c:v>plu-spl:T-mgv:6-sn:1.2k</c:v>
                </c:pt>
                <c:pt idx="6">
                  <c:v>gen-spl:F-mgv:6-sn:1.2k</c:v>
                </c:pt>
                <c:pt idx="7">
                  <c:v>gen-spl:T-mgv:6-sn:1.2k</c:v>
                </c:pt>
                <c:pt idx="8">
                  <c:v>plu-spl:F-mgv:9-sn:1.2k</c:v>
                </c:pt>
                <c:pt idx="9">
                  <c:v>plu-spl:T-mgv:9-sn:1.2k</c:v>
                </c:pt>
                <c:pt idx="10">
                  <c:v>gen-spl:F-mgv:9-sn:1.2k</c:v>
                </c:pt>
                <c:pt idx="11">
                  <c:v>gen-spl:T-mgv:9-sn:1.2k</c:v>
                </c:pt>
                <c:pt idx="12">
                  <c:v>plu-spl:F-mgv:3-sn:2k</c:v>
                </c:pt>
                <c:pt idx="13">
                  <c:v>plu-spl:T-mgv:3-sn:2k</c:v>
                </c:pt>
                <c:pt idx="14">
                  <c:v>gen-spl:F-mgv:3-sn:2k</c:v>
                </c:pt>
                <c:pt idx="15">
                  <c:v>gen-spl:T-mgv:3-sn:2k</c:v>
                </c:pt>
                <c:pt idx="16">
                  <c:v>plu-spl:F-mgv:6-sn:2k</c:v>
                </c:pt>
                <c:pt idx="17">
                  <c:v>plu-spl:T-mgv:6-sn:2k</c:v>
                </c:pt>
                <c:pt idx="18">
                  <c:v>gen-spl:F-mgv:6-sn:2k</c:v>
                </c:pt>
                <c:pt idx="19">
                  <c:v>gen-spl:T-mgv:6-sn:2k</c:v>
                </c:pt>
                <c:pt idx="20">
                  <c:v>plu-spl:F-mgv:9-sn:2k</c:v>
                </c:pt>
                <c:pt idx="21">
                  <c:v>plu-spl:T-mgv:9-sn:2k</c:v>
                </c:pt>
                <c:pt idx="22">
                  <c:v>gen-spl:F-mgv:9-sn:2k</c:v>
                </c:pt>
                <c:pt idx="23">
                  <c:v>gen-spl:T-mgv:9-sn:2k</c:v>
                </c:pt>
                <c:pt idx="24">
                  <c:v>plu-spl:F-mgv:3-sn:3k</c:v>
                </c:pt>
                <c:pt idx="25">
                  <c:v>plu-spl:T-mgv:3-sn:3k</c:v>
                </c:pt>
                <c:pt idx="26">
                  <c:v>gen-spl:F-mgv:3-sn:3k</c:v>
                </c:pt>
                <c:pt idx="27">
                  <c:v>gen-spl:T-mgv:3-sn:3k</c:v>
                </c:pt>
                <c:pt idx="28">
                  <c:v>plu-spl:F-mgv:6-sn:3k</c:v>
                </c:pt>
                <c:pt idx="29">
                  <c:v>plu-spl:T-mgv:6-sn:3k</c:v>
                </c:pt>
                <c:pt idx="30">
                  <c:v>gen-spl:F-mgv:6-sn:3k</c:v>
                </c:pt>
                <c:pt idx="31">
                  <c:v>gen-spl:T-mgv:6-sn:3k</c:v>
                </c:pt>
                <c:pt idx="32">
                  <c:v>plu-spl:F-mgv:9-sn:3k</c:v>
                </c:pt>
                <c:pt idx="33">
                  <c:v>plu-spl:T-mgv:9-sn:3k</c:v>
                </c:pt>
                <c:pt idx="34">
                  <c:v>gen-spl:F-mgv:9-sn:3k</c:v>
                </c:pt>
                <c:pt idx="35">
                  <c:v>gen-spl:T-mgv:9-sn:3k</c:v>
                </c:pt>
              </c:strCache>
            </c:strRef>
          </c:cat>
          <c:val>
            <c:numRef>
              <c:f>summarized!$K$2:$K$37</c:f>
              <c:numCache>
                <c:formatCode>0.00</c:formatCode>
                <c:ptCount val="36"/>
                <c:pt idx="0">
                  <c:v>0.91</c:v>
                </c:pt>
                <c:pt idx="1">
                  <c:v>0.92</c:v>
                </c:pt>
                <c:pt idx="2">
                  <c:v>0.75</c:v>
                </c:pt>
                <c:pt idx="3">
                  <c:v>0.75</c:v>
                </c:pt>
                <c:pt idx="4">
                  <c:v>0.93</c:v>
                </c:pt>
                <c:pt idx="5">
                  <c:v>0.93</c:v>
                </c:pt>
                <c:pt idx="6">
                  <c:v>0.71</c:v>
                </c:pt>
                <c:pt idx="7">
                  <c:v>0.71</c:v>
                </c:pt>
                <c:pt idx="8">
                  <c:v>0.9</c:v>
                </c:pt>
                <c:pt idx="9">
                  <c:v>0.92</c:v>
                </c:pt>
                <c:pt idx="10">
                  <c:v>0.79</c:v>
                </c:pt>
                <c:pt idx="11">
                  <c:v>0.8</c:v>
                </c:pt>
                <c:pt idx="12">
                  <c:v>0.93</c:v>
                </c:pt>
                <c:pt idx="13">
                  <c:v>0.91</c:v>
                </c:pt>
                <c:pt idx="14">
                  <c:v>0.8</c:v>
                </c:pt>
                <c:pt idx="15">
                  <c:v>0.8</c:v>
                </c:pt>
                <c:pt idx="16">
                  <c:v>0.94</c:v>
                </c:pt>
                <c:pt idx="17">
                  <c:v>0.93</c:v>
                </c:pt>
                <c:pt idx="18">
                  <c:v>0.84</c:v>
                </c:pt>
                <c:pt idx="19">
                  <c:v>0.84</c:v>
                </c:pt>
                <c:pt idx="20">
                  <c:v>0.92</c:v>
                </c:pt>
                <c:pt idx="21">
                  <c:v>0.91</c:v>
                </c:pt>
                <c:pt idx="22">
                  <c:v>0.81</c:v>
                </c:pt>
                <c:pt idx="23">
                  <c:v>0.83</c:v>
                </c:pt>
                <c:pt idx="24">
                  <c:v>0.94</c:v>
                </c:pt>
                <c:pt idx="25">
                  <c:v>0.96</c:v>
                </c:pt>
                <c:pt idx="26">
                  <c:v>0.8</c:v>
                </c:pt>
                <c:pt idx="27">
                  <c:v>0.76</c:v>
                </c:pt>
                <c:pt idx="28">
                  <c:v>0.92</c:v>
                </c:pt>
                <c:pt idx="29">
                  <c:v>0.94</c:v>
                </c:pt>
                <c:pt idx="30">
                  <c:v>0.8</c:v>
                </c:pt>
                <c:pt idx="31">
                  <c:v>0.8</c:v>
                </c:pt>
                <c:pt idx="32">
                  <c:v>0.94</c:v>
                </c:pt>
                <c:pt idx="33">
                  <c:v>0.93</c:v>
                </c:pt>
                <c:pt idx="34">
                  <c:v>0.83</c:v>
                </c:pt>
                <c:pt idx="35">
                  <c:v>0.83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D06-7049-86D0-48498B0D39CA}"/>
            </c:ext>
          </c:extLst>
        </c:ser>
        <c:ser>
          <c:idx val="2"/>
          <c:order val="2"/>
          <c:tx>
            <c:strRef>
              <c:f>summarized!$L$1</c:f>
              <c:strCache>
                <c:ptCount val="1"/>
                <c:pt idx="0">
                  <c:v>4g-no-hash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summarized!$I$2:$I$37</c:f>
              <c:strCache>
                <c:ptCount val="36"/>
                <c:pt idx="0">
                  <c:v>plu-spl:F-mgv:3-sn:1.2k</c:v>
                </c:pt>
                <c:pt idx="1">
                  <c:v>plu-spl:T-mgv:3-sn:1.2k</c:v>
                </c:pt>
                <c:pt idx="2">
                  <c:v>gen-spl:F-mgv:3-sn:1.2k</c:v>
                </c:pt>
                <c:pt idx="3">
                  <c:v>gen-spl:T-mgv:3-sn:1.2k</c:v>
                </c:pt>
                <c:pt idx="4">
                  <c:v>plu-spl:F-mgv:6-sn:1.2k</c:v>
                </c:pt>
                <c:pt idx="5">
                  <c:v>plu-spl:T-mgv:6-sn:1.2k</c:v>
                </c:pt>
                <c:pt idx="6">
                  <c:v>gen-spl:F-mgv:6-sn:1.2k</c:v>
                </c:pt>
                <c:pt idx="7">
                  <c:v>gen-spl:T-mgv:6-sn:1.2k</c:v>
                </c:pt>
                <c:pt idx="8">
                  <c:v>plu-spl:F-mgv:9-sn:1.2k</c:v>
                </c:pt>
                <c:pt idx="9">
                  <c:v>plu-spl:T-mgv:9-sn:1.2k</c:v>
                </c:pt>
                <c:pt idx="10">
                  <c:v>gen-spl:F-mgv:9-sn:1.2k</c:v>
                </c:pt>
                <c:pt idx="11">
                  <c:v>gen-spl:T-mgv:9-sn:1.2k</c:v>
                </c:pt>
                <c:pt idx="12">
                  <c:v>plu-spl:F-mgv:3-sn:2k</c:v>
                </c:pt>
                <c:pt idx="13">
                  <c:v>plu-spl:T-mgv:3-sn:2k</c:v>
                </c:pt>
                <c:pt idx="14">
                  <c:v>gen-spl:F-mgv:3-sn:2k</c:v>
                </c:pt>
                <c:pt idx="15">
                  <c:v>gen-spl:T-mgv:3-sn:2k</c:v>
                </c:pt>
                <c:pt idx="16">
                  <c:v>plu-spl:F-mgv:6-sn:2k</c:v>
                </c:pt>
                <c:pt idx="17">
                  <c:v>plu-spl:T-mgv:6-sn:2k</c:v>
                </c:pt>
                <c:pt idx="18">
                  <c:v>gen-spl:F-mgv:6-sn:2k</c:v>
                </c:pt>
                <c:pt idx="19">
                  <c:v>gen-spl:T-mgv:6-sn:2k</c:v>
                </c:pt>
                <c:pt idx="20">
                  <c:v>plu-spl:F-mgv:9-sn:2k</c:v>
                </c:pt>
                <c:pt idx="21">
                  <c:v>plu-spl:T-mgv:9-sn:2k</c:v>
                </c:pt>
                <c:pt idx="22">
                  <c:v>gen-spl:F-mgv:9-sn:2k</c:v>
                </c:pt>
                <c:pt idx="23">
                  <c:v>gen-spl:T-mgv:9-sn:2k</c:v>
                </c:pt>
                <c:pt idx="24">
                  <c:v>plu-spl:F-mgv:3-sn:3k</c:v>
                </c:pt>
                <c:pt idx="25">
                  <c:v>plu-spl:T-mgv:3-sn:3k</c:v>
                </c:pt>
                <c:pt idx="26">
                  <c:v>gen-spl:F-mgv:3-sn:3k</c:v>
                </c:pt>
                <c:pt idx="27">
                  <c:v>gen-spl:T-mgv:3-sn:3k</c:v>
                </c:pt>
                <c:pt idx="28">
                  <c:v>plu-spl:F-mgv:6-sn:3k</c:v>
                </c:pt>
                <c:pt idx="29">
                  <c:v>plu-spl:T-mgv:6-sn:3k</c:v>
                </c:pt>
                <c:pt idx="30">
                  <c:v>gen-spl:F-mgv:6-sn:3k</c:v>
                </c:pt>
                <c:pt idx="31">
                  <c:v>gen-spl:T-mgv:6-sn:3k</c:v>
                </c:pt>
                <c:pt idx="32">
                  <c:v>plu-spl:F-mgv:9-sn:3k</c:v>
                </c:pt>
                <c:pt idx="33">
                  <c:v>plu-spl:T-mgv:9-sn:3k</c:v>
                </c:pt>
                <c:pt idx="34">
                  <c:v>gen-spl:F-mgv:9-sn:3k</c:v>
                </c:pt>
                <c:pt idx="35">
                  <c:v>gen-spl:T-mgv:9-sn:3k</c:v>
                </c:pt>
              </c:strCache>
            </c:strRef>
          </c:cat>
          <c:val>
            <c:numRef>
              <c:f>summarized!$L$2:$L$37</c:f>
              <c:numCache>
                <c:formatCode>0.00</c:formatCode>
                <c:ptCount val="36"/>
                <c:pt idx="0">
                  <c:v>0.93</c:v>
                </c:pt>
                <c:pt idx="1">
                  <c:v>0.94</c:v>
                </c:pt>
                <c:pt idx="2">
                  <c:v>0.78</c:v>
                </c:pt>
                <c:pt idx="3">
                  <c:v>0.73</c:v>
                </c:pt>
                <c:pt idx="4">
                  <c:v>0.93</c:v>
                </c:pt>
                <c:pt idx="5">
                  <c:v>0.93</c:v>
                </c:pt>
                <c:pt idx="6">
                  <c:v>0.81</c:v>
                </c:pt>
                <c:pt idx="7">
                  <c:v>0.81</c:v>
                </c:pt>
                <c:pt idx="8">
                  <c:v>0.92</c:v>
                </c:pt>
                <c:pt idx="9">
                  <c:v>0.92</c:v>
                </c:pt>
                <c:pt idx="10">
                  <c:v>0.7</c:v>
                </c:pt>
                <c:pt idx="11">
                  <c:v>0.69</c:v>
                </c:pt>
                <c:pt idx="12">
                  <c:v>0.92</c:v>
                </c:pt>
                <c:pt idx="13">
                  <c:v>0.94</c:v>
                </c:pt>
                <c:pt idx="14">
                  <c:v>0.81</c:v>
                </c:pt>
                <c:pt idx="15">
                  <c:v>0.82</c:v>
                </c:pt>
                <c:pt idx="16">
                  <c:v>0.94</c:v>
                </c:pt>
                <c:pt idx="17">
                  <c:v>0.95</c:v>
                </c:pt>
                <c:pt idx="18">
                  <c:v>0.82</c:v>
                </c:pt>
                <c:pt idx="19">
                  <c:v>0.81</c:v>
                </c:pt>
                <c:pt idx="20">
                  <c:v>0.94</c:v>
                </c:pt>
                <c:pt idx="21">
                  <c:v>0.93</c:v>
                </c:pt>
                <c:pt idx="22">
                  <c:v>0.78</c:v>
                </c:pt>
                <c:pt idx="23">
                  <c:v>0.78</c:v>
                </c:pt>
                <c:pt idx="24">
                  <c:v>0.95</c:v>
                </c:pt>
                <c:pt idx="25">
                  <c:v>0.95</c:v>
                </c:pt>
                <c:pt idx="26">
                  <c:v>0.8</c:v>
                </c:pt>
                <c:pt idx="27">
                  <c:v>0.81</c:v>
                </c:pt>
                <c:pt idx="28">
                  <c:v>0.95</c:v>
                </c:pt>
                <c:pt idx="29">
                  <c:v>0.95</c:v>
                </c:pt>
                <c:pt idx="30">
                  <c:v>0.82</c:v>
                </c:pt>
                <c:pt idx="31">
                  <c:v>0.83</c:v>
                </c:pt>
                <c:pt idx="32">
                  <c:v>0.93</c:v>
                </c:pt>
                <c:pt idx="33">
                  <c:v>0.94</c:v>
                </c:pt>
                <c:pt idx="34">
                  <c:v>0.78</c:v>
                </c:pt>
                <c:pt idx="35">
                  <c:v>0.78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D06-7049-86D0-48498B0D39CA}"/>
            </c:ext>
          </c:extLst>
        </c:ser>
        <c:ser>
          <c:idx val="3"/>
          <c:order val="3"/>
          <c:tx>
            <c:strRef>
              <c:f>summarized!$M$1</c:f>
              <c:strCache>
                <c:ptCount val="1"/>
                <c:pt idx="0">
                  <c:v>xsk2g-no-hash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summarized!$I$2:$I$37</c:f>
              <c:strCache>
                <c:ptCount val="36"/>
                <c:pt idx="0">
                  <c:v>plu-spl:F-mgv:3-sn:1.2k</c:v>
                </c:pt>
                <c:pt idx="1">
                  <c:v>plu-spl:T-mgv:3-sn:1.2k</c:v>
                </c:pt>
                <c:pt idx="2">
                  <c:v>gen-spl:F-mgv:3-sn:1.2k</c:v>
                </c:pt>
                <c:pt idx="3">
                  <c:v>gen-spl:T-mgv:3-sn:1.2k</c:v>
                </c:pt>
                <c:pt idx="4">
                  <c:v>plu-spl:F-mgv:6-sn:1.2k</c:v>
                </c:pt>
                <c:pt idx="5">
                  <c:v>plu-spl:T-mgv:6-sn:1.2k</c:v>
                </c:pt>
                <c:pt idx="6">
                  <c:v>gen-spl:F-mgv:6-sn:1.2k</c:v>
                </c:pt>
                <c:pt idx="7">
                  <c:v>gen-spl:T-mgv:6-sn:1.2k</c:v>
                </c:pt>
                <c:pt idx="8">
                  <c:v>plu-spl:F-mgv:9-sn:1.2k</c:v>
                </c:pt>
                <c:pt idx="9">
                  <c:v>plu-spl:T-mgv:9-sn:1.2k</c:v>
                </c:pt>
                <c:pt idx="10">
                  <c:v>gen-spl:F-mgv:9-sn:1.2k</c:v>
                </c:pt>
                <c:pt idx="11">
                  <c:v>gen-spl:T-mgv:9-sn:1.2k</c:v>
                </c:pt>
                <c:pt idx="12">
                  <c:v>plu-spl:F-mgv:3-sn:2k</c:v>
                </c:pt>
                <c:pt idx="13">
                  <c:v>plu-spl:T-mgv:3-sn:2k</c:v>
                </c:pt>
                <c:pt idx="14">
                  <c:v>gen-spl:F-mgv:3-sn:2k</c:v>
                </c:pt>
                <c:pt idx="15">
                  <c:v>gen-spl:T-mgv:3-sn:2k</c:v>
                </c:pt>
                <c:pt idx="16">
                  <c:v>plu-spl:F-mgv:6-sn:2k</c:v>
                </c:pt>
                <c:pt idx="17">
                  <c:v>plu-spl:T-mgv:6-sn:2k</c:v>
                </c:pt>
                <c:pt idx="18">
                  <c:v>gen-spl:F-mgv:6-sn:2k</c:v>
                </c:pt>
                <c:pt idx="19">
                  <c:v>gen-spl:T-mgv:6-sn:2k</c:v>
                </c:pt>
                <c:pt idx="20">
                  <c:v>plu-spl:F-mgv:9-sn:2k</c:v>
                </c:pt>
                <c:pt idx="21">
                  <c:v>plu-spl:T-mgv:9-sn:2k</c:v>
                </c:pt>
                <c:pt idx="22">
                  <c:v>gen-spl:F-mgv:9-sn:2k</c:v>
                </c:pt>
                <c:pt idx="23">
                  <c:v>gen-spl:T-mgv:9-sn:2k</c:v>
                </c:pt>
                <c:pt idx="24">
                  <c:v>plu-spl:F-mgv:3-sn:3k</c:v>
                </c:pt>
                <c:pt idx="25">
                  <c:v>plu-spl:T-mgv:3-sn:3k</c:v>
                </c:pt>
                <c:pt idx="26">
                  <c:v>gen-spl:F-mgv:3-sn:3k</c:v>
                </c:pt>
                <c:pt idx="27">
                  <c:v>gen-spl:T-mgv:3-sn:3k</c:v>
                </c:pt>
                <c:pt idx="28">
                  <c:v>plu-spl:F-mgv:6-sn:3k</c:v>
                </c:pt>
                <c:pt idx="29">
                  <c:v>plu-spl:T-mgv:6-sn:3k</c:v>
                </c:pt>
                <c:pt idx="30">
                  <c:v>gen-spl:F-mgv:6-sn:3k</c:v>
                </c:pt>
                <c:pt idx="31">
                  <c:v>gen-spl:T-mgv:6-sn:3k</c:v>
                </c:pt>
                <c:pt idx="32">
                  <c:v>plu-spl:F-mgv:9-sn:3k</c:v>
                </c:pt>
                <c:pt idx="33">
                  <c:v>plu-spl:T-mgv:9-sn:3k</c:v>
                </c:pt>
                <c:pt idx="34">
                  <c:v>gen-spl:F-mgv:9-sn:3k</c:v>
                </c:pt>
                <c:pt idx="35">
                  <c:v>gen-spl:T-mgv:9-sn:3k</c:v>
                </c:pt>
              </c:strCache>
            </c:strRef>
          </c:cat>
          <c:val>
            <c:numRef>
              <c:f>summarized!$M$2:$M$37</c:f>
              <c:numCache>
                <c:formatCode>0.00</c:formatCode>
                <c:ptCount val="36"/>
                <c:pt idx="0">
                  <c:v>0.96</c:v>
                </c:pt>
                <c:pt idx="1">
                  <c:v>0.97</c:v>
                </c:pt>
                <c:pt idx="2">
                  <c:v>0.78</c:v>
                </c:pt>
                <c:pt idx="3">
                  <c:v>0.75</c:v>
                </c:pt>
                <c:pt idx="4">
                  <c:v>0.94</c:v>
                </c:pt>
                <c:pt idx="5">
                  <c:v>0.94</c:v>
                </c:pt>
                <c:pt idx="6">
                  <c:v>0.78</c:v>
                </c:pt>
                <c:pt idx="7">
                  <c:v>0.79</c:v>
                </c:pt>
                <c:pt idx="8">
                  <c:v>0.97</c:v>
                </c:pt>
                <c:pt idx="9">
                  <c:v>0.97</c:v>
                </c:pt>
                <c:pt idx="10">
                  <c:v>0.73</c:v>
                </c:pt>
                <c:pt idx="11">
                  <c:v>0.75</c:v>
                </c:pt>
                <c:pt idx="12">
                  <c:v>0.94</c:v>
                </c:pt>
                <c:pt idx="13">
                  <c:v>0.94</c:v>
                </c:pt>
                <c:pt idx="14">
                  <c:v>0.83</c:v>
                </c:pt>
                <c:pt idx="15">
                  <c:v>0.85</c:v>
                </c:pt>
                <c:pt idx="16">
                  <c:v>0.97</c:v>
                </c:pt>
                <c:pt idx="17">
                  <c:v>0.98</c:v>
                </c:pt>
                <c:pt idx="18">
                  <c:v>0.82</c:v>
                </c:pt>
                <c:pt idx="19">
                  <c:v>0.8</c:v>
                </c:pt>
                <c:pt idx="20">
                  <c:v>0.98</c:v>
                </c:pt>
                <c:pt idx="21">
                  <c:v>0.98</c:v>
                </c:pt>
                <c:pt idx="22">
                  <c:v>0.78</c:v>
                </c:pt>
                <c:pt idx="23">
                  <c:v>0.81</c:v>
                </c:pt>
                <c:pt idx="24">
                  <c:v>0.96</c:v>
                </c:pt>
                <c:pt idx="25">
                  <c:v>0.97</c:v>
                </c:pt>
                <c:pt idx="26">
                  <c:v>0.82</c:v>
                </c:pt>
                <c:pt idx="27">
                  <c:v>0.82</c:v>
                </c:pt>
                <c:pt idx="28">
                  <c:v>0.94</c:v>
                </c:pt>
                <c:pt idx="29">
                  <c:v>0.95</c:v>
                </c:pt>
                <c:pt idx="30">
                  <c:v>0.82</c:v>
                </c:pt>
                <c:pt idx="31">
                  <c:v>0.8</c:v>
                </c:pt>
                <c:pt idx="32">
                  <c:v>0.97</c:v>
                </c:pt>
                <c:pt idx="33">
                  <c:v>0.97</c:v>
                </c:pt>
                <c:pt idx="34">
                  <c:v>0.82</c:v>
                </c:pt>
                <c:pt idx="35">
                  <c:v>0.81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D06-7049-86D0-48498B0D39CA}"/>
            </c:ext>
          </c:extLst>
        </c:ser>
        <c:ser>
          <c:idx val="4"/>
          <c:order val="4"/>
          <c:tx>
            <c:strRef>
              <c:f>summarized!$N$1</c:f>
              <c:strCache>
                <c:ptCount val="1"/>
                <c:pt idx="0">
                  <c:v>xsk3g-no-hash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summarized!$I$2:$I$37</c:f>
              <c:strCache>
                <c:ptCount val="36"/>
                <c:pt idx="0">
                  <c:v>plu-spl:F-mgv:3-sn:1.2k</c:v>
                </c:pt>
                <c:pt idx="1">
                  <c:v>plu-spl:T-mgv:3-sn:1.2k</c:v>
                </c:pt>
                <c:pt idx="2">
                  <c:v>gen-spl:F-mgv:3-sn:1.2k</c:v>
                </c:pt>
                <c:pt idx="3">
                  <c:v>gen-spl:T-mgv:3-sn:1.2k</c:v>
                </c:pt>
                <c:pt idx="4">
                  <c:v>plu-spl:F-mgv:6-sn:1.2k</c:v>
                </c:pt>
                <c:pt idx="5">
                  <c:v>plu-spl:T-mgv:6-sn:1.2k</c:v>
                </c:pt>
                <c:pt idx="6">
                  <c:v>gen-spl:F-mgv:6-sn:1.2k</c:v>
                </c:pt>
                <c:pt idx="7">
                  <c:v>gen-spl:T-mgv:6-sn:1.2k</c:v>
                </c:pt>
                <c:pt idx="8">
                  <c:v>plu-spl:F-mgv:9-sn:1.2k</c:v>
                </c:pt>
                <c:pt idx="9">
                  <c:v>plu-spl:T-mgv:9-sn:1.2k</c:v>
                </c:pt>
                <c:pt idx="10">
                  <c:v>gen-spl:F-mgv:9-sn:1.2k</c:v>
                </c:pt>
                <c:pt idx="11">
                  <c:v>gen-spl:T-mgv:9-sn:1.2k</c:v>
                </c:pt>
                <c:pt idx="12">
                  <c:v>plu-spl:F-mgv:3-sn:2k</c:v>
                </c:pt>
                <c:pt idx="13">
                  <c:v>plu-spl:T-mgv:3-sn:2k</c:v>
                </c:pt>
                <c:pt idx="14">
                  <c:v>gen-spl:F-mgv:3-sn:2k</c:v>
                </c:pt>
                <c:pt idx="15">
                  <c:v>gen-spl:T-mgv:3-sn:2k</c:v>
                </c:pt>
                <c:pt idx="16">
                  <c:v>plu-spl:F-mgv:6-sn:2k</c:v>
                </c:pt>
                <c:pt idx="17">
                  <c:v>plu-spl:T-mgv:6-sn:2k</c:v>
                </c:pt>
                <c:pt idx="18">
                  <c:v>gen-spl:F-mgv:6-sn:2k</c:v>
                </c:pt>
                <c:pt idx="19">
                  <c:v>gen-spl:T-mgv:6-sn:2k</c:v>
                </c:pt>
                <c:pt idx="20">
                  <c:v>plu-spl:F-mgv:9-sn:2k</c:v>
                </c:pt>
                <c:pt idx="21">
                  <c:v>plu-spl:T-mgv:9-sn:2k</c:v>
                </c:pt>
                <c:pt idx="22">
                  <c:v>gen-spl:F-mgv:9-sn:2k</c:v>
                </c:pt>
                <c:pt idx="23">
                  <c:v>gen-spl:T-mgv:9-sn:2k</c:v>
                </c:pt>
                <c:pt idx="24">
                  <c:v>plu-spl:F-mgv:3-sn:3k</c:v>
                </c:pt>
                <c:pt idx="25">
                  <c:v>plu-spl:T-mgv:3-sn:3k</c:v>
                </c:pt>
                <c:pt idx="26">
                  <c:v>gen-spl:F-mgv:3-sn:3k</c:v>
                </c:pt>
                <c:pt idx="27">
                  <c:v>gen-spl:T-mgv:3-sn:3k</c:v>
                </c:pt>
                <c:pt idx="28">
                  <c:v>plu-spl:F-mgv:6-sn:3k</c:v>
                </c:pt>
                <c:pt idx="29">
                  <c:v>plu-spl:T-mgv:6-sn:3k</c:v>
                </c:pt>
                <c:pt idx="30">
                  <c:v>gen-spl:F-mgv:6-sn:3k</c:v>
                </c:pt>
                <c:pt idx="31">
                  <c:v>gen-spl:T-mgv:6-sn:3k</c:v>
                </c:pt>
                <c:pt idx="32">
                  <c:v>plu-spl:F-mgv:9-sn:3k</c:v>
                </c:pt>
                <c:pt idx="33">
                  <c:v>plu-spl:T-mgv:9-sn:3k</c:v>
                </c:pt>
                <c:pt idx="34">
                  <c:v>gen-spl:F-mgv:9-sn:3k</c:v>
                </c:pt>
                <c:pt idx="35">
                  <c:v>gen-spl:T-mgv:9-sn:3k</c:v>
                </c:pt>
              </c:strCache>
            </c:strRef>
          </c:cat>
          <c:val>
            <c:numRef>
              <c:f>summarized!$N$2:$N$37</c:f>
              <c:numCache>
                <c:formatCode>0.00</c:formatCode>
                <c:ptCount val="36"/>
                <c:pt idx="0">
                  <c:v>0.97</c:v>
                </c:pt>
                <c:pt idx="1">
                  <c:v>0.97</c:v>
                </c:pt>
                <c:pt idx="2">
                  <c:v>0.76</c:v>
                </c:pt>
                <c:pt idx="3">
                  <c:v>0.76</c:v>
                </c:pt>
                <c:pt idx="4">
                  <c:v>0.95</c:v>
                </c:pt>
                <c:pt idx="5">
                  <c:v>0.94</c:v>
                </c:pt>
                <c:pt idx="6">
                  <c:v>0.78</c:v>
                </c:pt>
                <c:pt idx="7">
                  <c:v>0.78</c:v>
                </c:pt>
                <c:pt idx="8">
                  <c:v>0.96</c:v>
                </c:pt>
                <c:pt idx="9">
                  <c:v>0.95</c:v>
                </c:pt>
                <c:pt idx="10">
                  <c:v>0.79</c:v>
                </c:pt>
                <c:pt idx="11">
                  <c:v>0.76</c:v>
                </c:pt>
                <c:pt idx="12">
                  <c:v>0.93</c:v>
                </c:pt>
                <c:pt idx="13">
                  <c:v>0.93</c:v>
                </c:pt>
                <c:pt idx="14">
                  <c:v>0.8</c:v>
                </c:pt>
                <c:pt idx="15">
                  <c:v>0.82</c:v>
                </c:pt>
                <c:pt idx="16">
                  <c:v>0.94</c:v>
                </c:pt>
                <c:pt idx="17">
                  <c:v>0.95</c:v>
                </c:pt>
                <c:pt idx="18">
                  <c:v>0.79</c:v>
                </c:pt>
                <c:pt idx="19">
                  <c:v>0.79</c:v>
                </c:pt>
                <c:pt idx="20">
                  <c:v>0.96</c:v>
                </c:pt>
                <c:pt idx="21">
                  <c:v>0.97</c:v>
                </c:pt>
                <c:pt idx="22">
                  <c:v>0.76</c:v>
                </c:pt>
                <c:pt idx="23">
                  <c:v>0.77</c:v>
                </c:pt>
                <c:pt idx="24">
                  <c:v>0.95</c:v>
                </c:pt>
                <c:pt idx="25">
                  <c:v>0.94</c:v>
                </c:pt>
                <c:pt idx="26">
                  <c:v>0.83</c:v>
                </c:pt>
                <c:pt idx="27">
                  <c:v>0.82</c:v>
                </c:pt>
                <c:pt idx="28">
                  <c:v>0.97</c:v>
                </c:pt>
                <c:pt idx="29">
                  <c:v>0.97</c:v>
                </c:pt>
                <c:pt idx="30">
                  <c:v>0.84</c:v>
                </c:pt>
                <c:pt idx="31">
                  <c:v>0.84</c:v>
                </c:pt>
                <c:pt idx="32">
                  <c:v>0.95</c:v>
                </c:pt>
                <c:pt idx="33">
                  <c:v>0.95</c:v>
                </c:pt>
                <c:pt idx="34">
                  <c:v>0.82</c:v>
                </c:pt>
                <c:pt idx="35">
                  <c:v>0.82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D06-7049-86D0-48498B0D39CA}"/>
            </c:ext>
          </c:extLst>
        </c:ser>
        <c:ser>
          <c:idx val="5"/>
          <c:order val="5"/>
          <c:tx>
            <c:strRef>
              <c:f>summarized!$O$1</c:f>
              <c:strCache>
                <c:ptCount val="1"/>
                <c:pt idx="0">
                  <c:v>xsk4g-no-hash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summarized!$I$2:$I$37</c:f>
              <c:strCache>
                <c:ptCount val="36"/>
                <c:pt idx="0">
                  <c:v>plu-spl:F-mgv:3-sn:1.2k</c:v>
                </c:pt>
                <c:pt idx="1">
                  <c:v>plu-spl:T-mgv:3-sn:1.2k</c:v>
                </c:pt>
                <c:pt idx="2">
                  <c:v>gen-spl:F-mgv:3-sn:1.2k</c:v>
                </c:pt>
                <c:pt idx="3">
                  <c:v>gen-spl:T-mgv:3-sn:1.2k</c:v>
                </c:pt>
                <c:pt idx="4">
                  <c:v>plu-spl:F-mgv:6-sn:1.2k</c:v>
                </c:pt>
                <c:pt idx="5">
                  <c:v>plu-spl:T-mgv:6-sn:1.2k</c:v>
                </c:pt>
                <c:pt idx="6">
                  <c:v>gen-spl:F-mgv:6-sn:1.2k</c:v>
                </c:pt>
                <c:pt idx="7">
                  <c:v>gen-spl:T-mgv:6-sn:1.2k</c:v>
                </c:pt>
                <c:pt idx="8">
                  <c:v>plu-spl:F-mgv:9-sn:1.2k</c:v>
                </c:pt>
                <c:pt idx="9">
                  <c:v>plu-spl:T-mgv:9-sn:1.2k</c:v>
                </c:pt>
                <c:pt idx="10">
                  <c:v>gen-spl:F-mgv:9-sn:1.2k</c:v>
                </c:pt>
                <c:pt idx="11">
                  <c:v>gen-spl:T-mgv:9-sn:1.2k</c:v>
                </c:pt>
                <c:pt idx="12">
                  <c:v>plu-spl:F-mgv:3-sn:2k</c:v>
                </c:pt>
                <c:pt idx="13">
                  <c:v>plu-spl:T-mgv:3-sn:2k</c:v>
                </c:pt>
                <c:pt idx="14">
                  <c:v>gen-spl:F-mgv:3-sn:2k</c:v>
                </c:pt>
                <c:pt idx="15">
                  <c:v>gen-spl:T-mgv:3-sn:2k</c:v>
                </c:pt>
                <c:pt idx="16">
                  <c:v>plu-spl:F-mgv:6-sn:2k</c:v>
                </c:pt>
                <c:pt idx="17">
                  <c:v>plu-spl:T-mgv:6-sn:2k</c:v>
                </c:pt>
                <c:pt idx="18">
                  <c:v>gen-spl:F-mgv:6-sn:2k</c:v>
                </c:pt>
                <c:pt idx="19">
                  <c:v>gen-spl:T-mgv:6-sn:2k</c:v>
                </c:pt>
                <c:pt idx="20">
                  <c:v>plu-spl:F-mgv:9-sn:2k</c:v>
                </c:pt>
                <c:pt idx="21">
                  <c:v>plu-spl:T-mgv:9-sn:2k</c:v>
                </c:pt>
                <c:pt idx="22">
                  <c:v>gen-spl:F-mgv:9-sn:2k</c:v>
                </c:pt>
                <c:pt idx="23">
                  <c:v>gen-spl:T-mgv:9-sn:2k</c:v>
                </c:pt>
                <c:pt idx="24">
                  <c:v>plu-spl:F-mgv:3-sn:3k</c:v>
                </c:pt>
                <c:pt idx="25">
                  <c:v>plu-spl:T-mgv:3-sn:3k</c:v>
                </c:pt>
                <c:pt idx="26">
                  <c:v>gen-spl:F-mgv:3-sn:3k</c:v>
                </c:pt>
                <c:pt idx="27">
                  <c:v>gen-spl:T-mgv:3-sn:3k</c:v>
                </c:pt>
                <c:pt idx="28">
                  <c:v>plu-spl:F-mgv:6-sn:3k</c:v>
                </c:pt>
                <c:pt idx="29">
                  <c:v>plu-spl:T-mgv:6-sn:3k</c:v>
                </c:pt>
                <c:pt idx="30">
                  <c:v>gen-spl:F-mgv:6-sn:3k</c:v>
                </c:pt>
                <c:pt idx="31">
                  <c:v>gen-spl:T-mgv:6-sn:3k</c:v>
                </c:pt>
                <c:pt idx="32">
                  <c:v>plu-spl:F-mgv:9-sn:3k</c:v>
                </c:pt>
                <c:pt idx="33">
                  <c:v>plu-spl:T-mgv:9-sn:3k</c:v>
                </c:pt>
                <c:pt idx="34">
                  <c:v>gen-spl:F-mgv:9-sn:3k</c:v>
                </c:pt>
                <c:pt idx="35">
                  <c:v>gen-spl:T-mgv:9-sn:3k</c:v>
                </c:pt>
              </c:strCache>
            </c:strRef>
          </c:cat>
          <c:val>
            <c:numRef>
              <c:f>summarized!$O$2:$O$37</c:f>
              <c:numCache>
                <c:formatCode>0.00</c:formatCode>
                <c:ptCount val="36"/>
                <c:pt idx="0">
                  <c:v>0.96</c:v>
                </c:pt>
                <c:pt idx="1">
                  <c:v>0.95</c:v>
                </c:pt>
                <c:pt idx="2">
                  <c:v>0.78</c:v>
                </c:pt>
                <c:pt idx="3">
                  <c:v>0.77</c:v>
                </c:pt>
                <c:pt idx="4">
                  <c:v>0.93</c:v>
                </c:pt>
                <c:pt idx="5">
                  <c:v>0.95</c:v>
                </c:pt>
                <c:pt idx="6">
                  <c:v>0.84</c:v>
                </c:pt>
                <c:pt idx="7">
                  <c:v>0.83</c:v>
                </c:pt>
                <c:pt idx="8">
                  <c:v>0.97</c:v>
                </c:pt>
                <c:pt idx="9">
                  <c:v>0.96</c:v>
                </c:pt>
                <c:pt idx="10">
                  <c:v>0.73</c:v>
                </c:pt>
                <c:pt idx="11">
                  <c:v>0.75</c:v>
                </c:pt>
                <c:pt idx="12">
                  <c:v>0.95</c:v>
                </c:pt>
                <c:pt idx="13">
                  <c:v>0.96</c:v>
                </c:pt>
                <c:pt idx="14">
                  <c:v>0.77</c:v>
                </c:pt>
                <c:pt idx="15">
                  <c:v>0.78</c:v>
                </c:pt>
                <c:pt idx="16">
                  <c:v>0.93</c:v>
                </c:pt>
                <c:pt idx="17">
                  <c:v>0.94</c:v>
                </c:pt>
                <c:pt idx="18">
                  <c:v>0.83</c:v>
                </c:pt>
                <c:pt idx="19">
                  <c:v>0.81</c:v>
                </c:pt>
                <c:pt idx="20">
                  <c:v>0.95</c:v>
                </c:pt>
                <c:pt idx="21">
                  <c:v>0.94</c:v>
                </c:pt>
                <c:pt idx="22">
                  <c:v>0.76</c:v>
                </c:pt>
                <c:pt idx="23">
                  <c:v>0.78</c:v>
                </c:pt>
                <c:pt idx="24">
                  <c:v>0.96</c:v>
                </c:pt>
                <c:pt idx="25">
                  <c:v>0.95</c:v>
                </c:pt>
                <c:pt idx="26">
                  <c:v>0.83</c:v>
                </c:pt>
                <c:pt idx="27">
                  <c:v>0.83</c:v>
                </c:pt>
                <c:pt idx="28">
                  <c:v>0.96</c:v>
                </c:pt>
                <c:pt idx="29">
                  <c:v>0.96</c:v>
                </c:pt>
                <c:pt idx="30">
                  <c:v>0.8</c:v>
                </c:pt>
                <c:pt idx="31">
                  <c:v>0.8</c:v>
                </c:pt>
                <c:pt idx="32">
                  <c:v>0.96</c:v>
                </c:pt>
                <c:pt idx="33">
                  <c:v>0.96</c:v>
                </c:pt>
                <c:pt idx="34">
                  <c:v>0.79</c:v>
                </c:pt>
                <c:pt idx="35">
                  <c:v>0.82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D06-7049-86D0-48498B0D39CA}"/>
            </c:ext>
          </c:extLst>
        </c:ser>
        <c:ser>
          <c:idx val="6"/>
          <c:order val="6"/>
          <c:tx>
            <c:strRef>
              <c:f>summarized!$P$1</c:f>
              <c:strCache>
                <c:ptCount val="1"/>
                <c:pt idx="0">
                  <c:v>2g-hash-at-both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summarized!$I$2:$I$37</c:f>
              <c:strCache>
                <c:ptCount val="36"/>
                <c:pt idx="0">
                  <c:v>plu-spl:F-mgv:3-sn:1.2k</c:v>
                </c:pt>
                <c:pt idx="1">
                  <c:v>plu-spl:T-mgv:3-sn:1.2k</c:v>
                </c:pt>
                <c:pt idx="2">
                  <c:v>gen-spl:F-mgv:3-sn:1.2k</c:v>
                </c:pt>
                <c:pt idx="3">
                  <c:v>gen-spl:T-mgv:3-sn:1.2k</c:v>
                </c:pt>
                <c:pt idx="4">
                  <c:v>plu-spl:F-mgv:6-sn:1.2k</c:v>
                </c:pt>
                <c:pt idx="5">
                  <c:v>plu-spl:T-mgv:6-sn:1.2k</c:v>
                </c:pt>
                <c:pt idx="6">
                  <c:v>gen-spl:F-mgv:6-sn:1.2k</c:v>
                </c:pt>
                <c:pt idx="7">
                  <c:v>gen-spl:T-mgv:6-sn:1.2k</c:v>
                </c:pt>
                <c:pt idx="8">
                  <c:v>plu-spl:F-mgv:9-sn:1.2k</c:v>
                </c:pt>
                <c:pt idx="9">
                  <c:v>plu-spl:T-mgv:9-sn:1.2k</c:v>
                </c:pt>
                <c:pt idx="10">
                  <c:v>gen-spl:F-mgv:9-sn:1.2k</c:v>
                </c:pt>
                <c:pt idx="11">
                  <c:v>gen-spl:T-mgv:9-sn:1.2k</c:v>
                </c:pt>
                <c:pt idx="12">
                  <c:v>plu-spl:F-mgv:3-sn:2k</c:v>
                </c:pt>
                <c:pt idx="13">
                  <c:v>plu-spl:T-mgv:3-sn:2k</c:v>
                </c:pt>
                <c:pt idx="14">
                  <c:v>gen-spl:F-mgv:3-sn:2k</c:v>
                </c:pt>
                <c:pt idx="15">
                  <c:v>gen-spl:T-mgv:3-sn:2k</c:v>
                </c:pt>
                <c:pt idx="16">
                  <c:v>plu-spl:F-mgv:6-sn:2k</c:v>
                </c:pt>
                <c:pt idx="17">
                  <c:v>plu-spl:T-mgv:6-sn:2k</c:v>
                </c:pt>
                <c:pt idx="18">
                  <c:v>gen-spl:F-mgv:6-sn:2k</c:v>
                </c:pt>
                <c:pt idx="19">
                  <c:v>gen-spl:T-mgv:6-sn:2k</c:v>
                </c:pt>
                <c:pt idx="20">
                  <c:v>plu-spl:F-mgv:9-sn:2k</c:v>
                </c:pt>
                <c:pt idx="21">
                  <c:v>plu-spl:T-mgv:9-sn:2k</c:v>
                </c:pt>
                <c:pt idx="22">
                  <c:v>gen-spl:F-mgv:9-sn:2k</c:v>
                </c:pt>
                <c:pt idx="23">
                  <c:v>gen-spl:T-mgv:9-sn:2k</c:v>
                </c:pt>
                <c:pt idx="24">
                  <c:v>plu-spl:F-mgv:3-sn:3k</c:v>
                </c:pt>
                <c:pt idx="25">
                  <c:v>plu-spl:T-mgv:3-sn:3k</c:v>
                </c:pt>
                <c:pt idx="26">
                  <c:v>gen-spl:F-mgv:3-sn:3k</c:v>
                </c:pt>
                <c:pt idx="27">
                  <c:v>gen-spl:T-mgv:3-sn:3k</c:v>
                </c:pt>
                <c:pt idx="28">
                  <c:v>plu-spl:F-mgv:6-sn:3k</c:v>
                </c:pt>
                <c:pt idx="29">
                  <c:v>plu-spl:T-mgv:6-sn:3k</c:v>
                </c:pt>
                <c:pt idx="30">
                  <c:v>gen-spl:F-mgv:6-sn:3k</c:v>
                </c:pt>
                <c:pt idx="31">
                  <c:v>gen-spl:T-mgv:6-sn:3k</c:v>
                </c:pt>
                <c:pt idx="32">
                  <c:v>plu-spl:F-mgv:9-sn:3k</c:v>
                </c:pt>
                <c:pt idx="33">
                  <c:v>plu-spl:T-mgv:9-sn:3k</c:v>
                </c:pt>
                <c:pt idx="34">
                  <c:v>gen-spl:F-mgv:9-sn:3k</c:v>
                </c:pt>
                <c:pt idx="35">
                  <c:v>gen-spl:T-mgv:9-sn:3k</c:v>
                </c:pt>
              </c:strCache>
            </c:strRef>
          </c:cat>
          <c:val>
            <c:numRef>
              <c:f>summarized!$P$2:$P$37</c:f>
              <c:numCache>
                <c:formatCode>0.00</c:formatCode>
                <c:ptCount val="36"/>
                <c:pt idx="0">
                  <c:v>0.96</c:v>
                </c:pt>
                <c:pt idx="1">
                  <c:v>0.96</c:v>
                </c:pt>
                <c:pt idx="2">
                  <c:v>0.77</c:v>
                </c:pt>
                <c:pt idx="3">
                  <c:v>0.78</c:v>
                </c:pt>
                <c:pt idx="4">
                  <c:v>0.93</c:v>
                </c:pt>
                <c:pt idx="5">
                  <c:v>0.93</c:v>
                </c:pt>
                <c:pt idx="6">
                  <c:v>0.73</c:v>
                </c:pt>
                <c:pt idx="7">
                  <c:v>0.74</c:v>
                </c:pt>
                <c:pt idx="8">
                  <c:v>0.92</c:v>
                </c:pt>
                <c:pt idx="9">
                  <c:v>0.89</c:v>
                </c:pt>
                <c:pt idx="10">
                  <c:v>0.78</c:v>
                </c:pt>
                <c:pt idx="11">
                  <c:v>0.73</c:v>
                </c:pt>
                <c:pt idx="12">
                  <c:v>0.94</c:v>
                </c:pt>
                <c:pt idx="13">
                  <c:v>0.95</c:v>
                </c:pt>
                <c:pt idx="14">
                  <c:v>0.8</c:v>
                </c:pt>
                <c:pt idx="15">
                  <c:v>0.81</c:v>
                </c:pt>
                <c:pt idx="16">
                  <c:v>0.92</c:v>
                </c:pt>
                <c:pt idx="17">
                  <c:v>0.9</c:v>
                </c:pt>
                <c:pt idx="18">
                  <c:v>0.81</c:v>
                </c:pt>
                <c:pt idx="19">
                  <c:v>0.82</c:v>
                </c:pt>
                <c:pt idx="20">
                  <c:v>0.89</c:v>
                </c:pt>
                <c:pt idx="21">
                  <c:v>0.92</c:v>
                </c:pt>
                <c:pt idx="22">
                  <c:v>0.8</c:v>
                </c:pt>
                <c:pt idx="23">
                  <c:v>0.81</c:v>
                </c:pt>
                <c:pt idx="24">
                  <c:v>0.9</c:v>
                </c:pt>
                <c:pt idx="25">
                  <c:v>0.92</c:v>
                </c:pt>
                <c:pt idx="26">
                  <c:v>0.79</c:v>
                </c:pt>
                <c:pt idx="27">
                  <c:v>0.81</c:v>
                </c:pt>
                <c:pt idx="28">
                  <c:v>0.93</c:v>
                </c:pt>
                <c:pt idx="29">
                  <c:v>0.93</c:v>
                </c:pt>
                <c:pt idx="30">
                  <c:v>0.83</c:v>
                </c:pt>
                <c:pt idx="31">
                  <c:v>0.83</c:v>
                </c:pt>
                <c:pt idx="32">
                  <c:v>0.93</c:v>
                </c:pt>
                <c:pt idx="33">
                  <c:v>0.94</c:v>
                </c:pt>
                <c:pt idx="34">
                  <c:v>0.78</c:v>
                </c:pt>
                <c:pt idx="35">
                  <c:v>0.77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D06-7049-86D0-48498B0D39CA}"/>
            </c:ext>
          </c:extLst>
        </c:ser>
        <c:ser>
          <c:idx val="7"/>
          <c:order val="7"/>
          <c:tx>
            <c:strRef>
              <c:f>summarized!$Q$1</c:f>
              <c:strCache>
                <c:ptCount val="1"/>
                <c:pt idx="0">
                  <c:v>3g-hash-at-both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summarized!$I$2:$I$37</c:f>
              <c:strCache>
                <c:ptCount val="36"/>
                <c:pt idx="0">
                  <c:v>plu-spl:F-mgv:3-sn:1.2k</c:v>
                </c:pt>
                <c:pt idx="1">
                  <c:v>plu-spl:T-mgv:3-sn:1.2k</c:v>
                </c:pt>
                <c:pt idx="2">
                  <c:v>gen-spl:F-mgv:3-sn:1.2k</c:v>
                </c:pt>
                <c:pt idx="3">
                  <c:v>gen-spl:T-mgv:3-sn:1.2k</c:v>
                </c:pt>
                <c:pt idx="4">
                  <c:v>plu-spl:F-mgv:6-sn:1.2k</c:v>
                </c:pt>
                <c:pt idx="5">
                  <c:v>plu-spl:T-mgv:6-sn:1.2k</c:v>
                </c:pt>
                <c:pt idx="6">
                  <c:v>gen-spl:F-mgv:6-sn:1.2k</c:v>
                </c:pt>
                <c:pt idx="7">
                  <c:v>gen-spl:T-mgv:6-sn:1.2k</c:v>
                </c:pt>
                <c:pt idx="8">
                  <c:v>plu-spl:F-mgv:9-sn:1.2k</c:v>
                </c:pt>
                <c:pt idx="9">
                  <c:v>plu-spl:T-mgv:9-sn:1.2k</c:v>
                </c:pt>
                <c:pt idx="10">
                  <c:v>gen-spl:F-mgv:9-sn:1.2k</c:v>
                </c:pt>
                <c:pt idx="11">
                  <c:v>gen-spl:T-mgv:9-sn:1.2k</c:v>
                </c:pt>
                <c:pt idx="12">
                  <c:v>plu-spl:F-mgv:3-sn:2k</c:v>
                </c:pt>
                <c:pt idx="13">
                  <c:v>plu-spl:T-mgv:3-sn:2k</c:v>
                </c:pt>
                <c:pt idx="14">
                  <c:v>gen-spl:F-mgv:3-sn:2k</c:v>
                </c:pt>
                <c:pt idx="15">
                  <c:v>gen-spl:T-mgv:3-sn:2k</c:v>
                </c:pt>
                <c:pt idx="16">
                  <c:v>plu-spl:F-mgv:6-sn:2k</c:v>
                </c:pt>
                <c:pt idx="17">
                  <c:v>plu-spl:T-mgv:6-sn:2k</c:v>
                </c:pt>
                <c:pt idx="18">
                  <c:v>gen-spl:F-mgv:6-sn:2k</c:v>
                </c:pt>
                <c:pt idx="19">
                  <c:v>gen-spl:T-mgv:6-sn:2k</c:v>
                </c:pt>
                <c:pt idx="20">
                  <c:v>plu-spl:F-mgv:9-sn:2k</c:v>
                </c:pt>
                <c:pt idx="21">
                  <c:v>plu-spl:T-mgv:9-sn:2k</c:v>
                </c:pt>
                <c:pt idx="22">
                  <c:v>gen-spl:F-mgv:9-sn:2k</c:v>
                </c:pt>
                <c:pt idx="23">
                  <c:v>gen-spl:T-mgv:9-sn:2k</c:v>
                </c:pt>
                <c:pt idx="24">
                  <c:v>plu-spl:F-mgv:3-sn:3k</c:v>
                </c:pt>
                <c:pt idx="25">
                  <c:v>plu-spl:T-mgv:3-sn:3k</c:v>
                </c:pt>
                <c:pt idx="26">
                  <c:v>gen-spl:F-mgv:3-sn:3k</c:v>
                </c:pt>
                <c:pt idx="27">
                  <c:v>gen-spl:T-mgv:3-sn:3k</c:v>
                </c:pt>
                <c:pt idx="28">
                  <c:v>plu-spl:F-mgv:6-sn:3k</c:v>
                </c:pt>
                <c:pt idx="29">
                  <c:v>plu-spl:T-mgv:6-sn:3k</c:v>
                </c:pt>
                <c:pt idx="30">
                  <c:v>gen-spl:F-mgv:6-sn:3k</c:v>
                </c:pt>
                <c:pt idx="31">
                  <c:v>gen-spl:T-mgv:6-sn:3k</c:v>
                </c:pt>
                <c:pt idx="32">
                  <c:v>plu-spl:F-mgv:9-sn:3k</c:v>
                </c:pt>
                <c:pt idx="33">
                  <c:v>plu-spl:T-mgv:9-sn:3k</c:v>
                </c:pt>
                <c:pt idx="34">
                  <c:v>gen-spl:F-mgv:9-sn:3k</c:v>
                </c:pt>
                <c:pt idx="35">
                  <c:v>gen-spl:T-mgv:9-sn:3k</c:v>
                </c:pt>
              </c:strCache>
            </c:strRef>
          </c:cat>
          <c:val>
            <c:numRef>
              <c:f>summarized!$Q$2:$Q$37</c:f>
              <c:numCache>
                <c:formatCode>0.00</c:formatCode>
                <c:ptCount val="36"/>
                <c:pt idx="0">
                  <c:v>0.9</c:v>
                </c:pt>
                <c:pt idx="1">
                  <c:v>0.91</c:v>
                </c:pt>
                <c:pt idx="2">
                  <c:v>0.78</c:v>
                </c:pt>
                <c:pt idx="3">
                  <c:v>0.78</c:v>
                </c:pt>
                <c:pt idx="4">
                  <c:v>0.93</c:v>
                </c:pt>
                <c:pt idx="5">
                  <c:v>0.91</c:v>
                </c:pt>
                <c:pt idx="6">
                  <c:v>0.79</c:v>
                </c:pt>
                <c:pt idx="7">
                  <c:v>0.82</c:v>
                </c:pt>
                <c:pt idx="8">
                  <c:v>0.88</c:v>
                </c:pt>
                <c:pt idx="9">
                  <c:v>0.88</c:v>
                </c:pt>
                <c:pt idx="10">
                  <c:v>0.74</c:v>
                </c:pt>
                <c:pt idx="11">
                  <c:v>0.72</c:v>
                </c:pt>
                <c:pt idx="12">
                  <c:v>0.94</c:v>
                </c:pt>
                <c:pt idx="13">
                  <c:v>0.93</c:v>
                </c:pt>
                <c:pt idx="14">
                  <c:v>0.81</c:v>
                </c:pt>
                <c:pt idx="15">
                  <c:v>0.81</c:v>
                </c:pt>
                <c:pt idx="16">
                  <c:v>0.94</c:v>
                </c:pt>
                <c:pt idx="17">
                  <c:v>0.94</c:v>
                </c:pt>
                <c:pt idx="18">
                  <c:v>0.77</c:v>
                </c:pt>
                <c:pt idx="19">
                  <c:v>0.8</c:v>
                </c:pt>
                <c:pt idx="20">
                  <c:v>0.94</c:v>
                </c:pt>
                <c:pt idx="21">
                  <c:v>0.94</c:v>
                </c:pt>
                <c:pt idx="22">
                  <c:v>0.79</c:v>
                </c:pt>
                <c:pt idx="23">
                  <c:v>0.77</c:v>
                </c:pt>
                <c:pt idx="24">
                  <c:v>0.95</c:v>
                </c:pt>
                <c:pt idx="25">
                  <c:v>0.93</c:v>
                </c:pt>
                <c:pt idx="26">
                  <c:v>0.82</c:v>
                </c:pt>
                <c:pt idx="27">
                  <c:v>0.79</c:v>
                </c:pt>
                <c:pt idx="28">
                  <c:v>0.94</c:v>
                </c:pt>
                <c:pt idx="29">
                  <c:v>0.93</c:v>
                </c:pt>
                <c:pt idx="30">
                  <c:v>0.76</c:v>
                </c:pt>
                <c:pt idx="31">
                  <c:v>0.77</c:v>
                </c:pt>
                <c:pt idx="32">
                  <c:v>0.93</c:v>
                </c:pt>
                <c:pt idx="33">
                  <c:v>0.94</c:v>
                </c:pt>
                <c:pt idx="34">
                  <c:v>0.8</c:v>
                </c:pt>
                <c:pt idx="35">
                  <c:v>0.82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ED06-7049-86D0-48498B0D39CA}"/>
            </c:ext>
          </c:extLst>
        </c:ser>
        <c:ser>
          <c:idx val="8"/>
          <c:order val="8"/>
          <c:tx>
            <c:strRef>
              <c:f>summarized!$R$1</c:f>
              <c:strCache>
                <c:ptCount val="1"/>
                <c:pt idx="0">
                  <c:v>4g-hash-at-both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summarized!$I$2:$I$37</c:f>
              <c:strCache>
                <c:ptCount val="36"/>
                <c:pt idx="0">
                  <c:v>plu-spl:F-mgv:3-sn:1.2k</c:v>
                </c:pt>
                <c:pt idx="1">
                  <c:v>plu-spl:T-mgv:3-sn:1.2k</c:v>
                </c:pt>
                <c:pt idx="2">
                  <c:v>gen-spl:F-mgv:3-sn:1.2k</c:v>
                </c:pt>
                <c:pt idx="3">
                  <c:v>gen-spl:T-mgv:3-sn:1.2k</c:v>
                </c:pt>
                <c:pt idx="4">
                  <c:v>plu-spl:F-mgv:6-sn:1.2k</c:v>
                </c:pt>
                <c:pt idx="5">
                  <c:v>plu-spl:T-mgv:6-sn:1.2k</c:v>
                </c:pt>
                <c:pt idx="6">
                  <c:v>gen-spl:F-mgv:6-sn:1.2k</c:v>
                </c:pt>
                <c:pt idx="7">
                  <c:v>gen-spl:T-mgv:6-sn:1.2k</c:v>
                </c:pt>
                <c:pt idx="8">
                  <c:v>plu-spl:F-mgv:9-sn:1.2k</c:v>
                </c:pt>
                <c:pt idx="9">
                  <c:v>plu-spl:T-mgv:9-sn:1.2k</c:v>
                </c:pt>
                <c:pt idx="10">
                  <c:v>gen-spl:F-mgv:9-sn:1.2k</c:v>
                </c:pt>
                <c:pt idx="11">
                  <c:v>gen-spl:T-mgv:9-sn:1.2k</c:v>
                </c:pt>
                <c:pt idx="12">
                  <c:v>plu-spl:F-mgv:3-sn:2k</c:v>
                </c:pt>
                <c:pt idx="13">
                  <c:v>plu-spl:T-mgv:3-sn:2k</c:v>
                </c:pt>
                <c:pt idx="14">
                  <c:v>gen-spl:F-mgv:3-sn:2k</c:v>
                </c:pt>
                <c:pt idx="15">
                  <c:v>gen-spl:T-mgv:3-sn:2k</c:v>
                </c:pt>
                <c:pt idx="16">
                  <c:v>plu-spl:F-mgv:6-sn:2k</c:v>
                </c:pt>
                <c:pt idx="17">
                  <c:v>plu-spl:T-mgv:6-sn:2k</c:v>
                </c:pt>
                <c:pt idx="18">
                  <c:v>gen-spl:F-mgv:6-sn:2k</c:v>
                </c:pt>
                <c:pt idx="19">
                  <c:v>gen-spl:T-mgv:6-sn:2k</c:v>
                </c:pt>
                <c:pt idx="20">
                  <c:v>plu-spl:F-mgv:9-sn:2k</c:v>
                </c:pt>
                <c:pt idx="21">
                  <c:v>plu-spl:T-mgv:9-sn:2k</c:v>
                </c:pt>
                <c:pt idx="22">
                  <c:v>gen-spl:F-mgv:9-sn:2k</c:v>
                </c:pt>
                <c:pt idx="23">
                  <c:v>gen-spl:T-mgv:9-sn:2k</c:v>
                </c:pt>
                <c:pt idx="24">
                  <c:v>plu-spl:F-mgv:3-sn:3k</c:v>
                </c:pt>
                <c:pt idx="25">
                  <c:v>plu-spl:T-mgv:3-sn:3k</c:v>
                </c:pt>
                <c:pt idx="26">
                  <c:v>gen-spl:F-mgv:3-sn:3k</c:v>
                </c:pt>
                <c:pt idx="27">
                  <c:v>gen-spl:T-mgv:3-sn:3k</c:v>
                </c:pt>
                <c:pt idx="28">
                  <c:v>plu-spl:F-mgv:6-sn:3k</c:v>
                </c:pt>
                <c:pt idx="29">
                  <c:v>plu-spl:T-mgv:6-sn:3k</c:v>
                </c:pt>
                <c:pt idx="30">
                  <c:v>gen-spl:F-mgv:6-sn:3k</c:v>
                </c:pt>
                <c:pt idx="31">
                  <c:v>gen-spl:T-mgv:6-sn:3k</c:v>
                </c:pt>
                <c:pt idx="32">
                  <c:v>plu-spl:F-mgv:9-sn:3k</c:v>
                </c:pt>
                <c:pt idx="33">
                  <c:v>plu-spl:T-mgv:9-sn:3k</c:v>
                </c:pt>
                <c:pt idx="34">
                  <c:v>gen-spl:F-mgv:9-sn:3k</c:v>
                </c:pt>
                <c:pt idx="35">
                  <c:v>gen-spl:T-mgv:9-sn:3k</c:v>
                </c:pt>
              </c:strCache>
            </c:strRef>
          </c:cat>
          <c:val>
            <c:numRef>
              <c:f>summarized!$R$2:$R$37</c:f>
              <c:numCache>
                <c:formatCode>0.00</c:formatCode>
                <c:ptCount val="36"/>
                <c:pt idx="0">
                  <c:v>0.94</c:v>
                </c:pt>
                <c:pt idx="1">
                  <c:v>0.93</c:v>
                </c:pt>
                <c:pt idx="2">
                  <c:v>0.82</c:v>
                </c:pt>
                <c:pt idx="3">
                  <c:v>0.82</c:v>
                </c:pt>
                <c:pt idx="4">
                  <c:v>0.91</c:v>
                </c:pt>
                <c:pt idx="5">
                  <c:v>0.92</c:v>
                </c:pt>
                <c:pt idx="6">
                  <c:v>0.78</c:v>
                </c:pt>
                <c:pt idx="7">
                  <c:v>0.83</c:v>
                </c:pt>
                <c:pt idx="8">
                  <c:v>0.98</c:v>
                </c:pt>
                <c:pt idx="9">
                  <c:v>0.96</c:v>
                </c:pt>
                <c:pt idx="10">
                  <c:v>0.74</c:v>
                </c:pt>
                <c:pt idx="11">
                  <c:v>0.71</c:v>
                </c:pt>
                <c:pt idx="12">
                  <c:v>0.94</c:v>
                </c:pt>
                <c:pt idx="13">
                  <c:v>0.94</c:v>
                </c:pt>
                <c:pt idx="14">
                  <c:v>0.83</c:v>
                </c:pt>
                <c:pt idx="15">
                  <c:v>0.82</c:v>
                </c:pt>
                <c:pt idx="16">
                  <c:v>0.89</c:v>
                </c:pt>
                <c:pt idx="17">
                  <c:v>0.89</c:v>
                </c:pt>
                <c:pt idx="18">
                  <c:v>0.74</c:v>
                </c:pt>
                <c:pt idx="19">
                  <c:v>0.75</c:v>
                </c:pt>
                <c:pt idx="20">
                  <c:v>0.93</c:v>
                </c:pt>
                <c:pt idx="21">
                  <c:v>0.93</c:v>
                </c:pt>
                <c:pt idx="22">
                  <c:v>0.8</c:v>
                </c:pt>
                <c:pt idx="23">
                  <c:v>0.81</c:v>
                </c:pt>
                <c:pt idx="24">
                  <c:v>0.91</c:v>
                </c:pt>
                <c:pt idx="25">
                  <c:v>0.91</c:v>
                </c:pt>
                <c:pt idx="26">
                  <c:v>0.81</c:v>
                </c:pt>
                <c:pt idx="27">
                  <c:v>0.81</c:v>
                </c:pt>
                <c:pt idx="28">
                  <c:v>0.92</c:v>
                </c:pt>
                <c:pt idx="29">
                  <c:v>0.93</c:v>
                </c:pt>
                <c:pt idx="30">
                  <c:v>0.81</c:v>
                </c:pt>
                <c:pt idx="31">
                  <c:v>0.81</c:v>
                </c:pt>
                <c:pt idx="32">
                  <c:v>0.96</c:v>
                </c:pt>
                <c:pt idx="33">
                  <c:v>0.96</c:v>
                </c:pt>
                <c:pt idx="34">
                  <c:v>0.8</c:v>
                </c:pt>
                <c:pt idx="35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ED06-7049-86D0-48498B0D39CA}"/>
            </c:ext>
          </c:extLst>
        </c:ser>
        <c:ser>
          <c:idx val="9"/>
          <c:order val="9"/>
          <c:tx>
            <c:strRef>
              <c:f>summarized!$S$1</c:f>
              <c:strCache>
                <c:ptCount val="1"/>
                <c:pt idx="0">
                  <c:v>xsk2g-hash-at-both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summarized!$I$2:$I$37</c:f>
              <c:strCache>
                <c:ptCount val="36"/>
                <c:pt idx="0">
                  <c:v>plu-spl:F-mgv:3-sn:1.2k</c:v>
                </c:pt>
                <c:pt idx="1">
                  <c:v>plu-spl:T-mgv:3-sn:1.2k</c:v>
                </c:pt>
                <c:pt idx="2">
                  <c:v>gen-spl:F-mgv:3-sn:1.2k</c:v>
                </c:pt>
                <c:pt idx="3">
                  <c:v>gen-spl:T-mgv:3-sn:1.2k</c:v>
                </c:pt>
                <c:pt idx="4">
                  <c:v>plu-spl:F-mgv:6-sn:1.2k</c:v>
                </c:pt>
                <c:pt idx="5">
                  <c:v>plu-spl:T-mgv:6-sn:1.2k</c:v>
                </c:pt>
                <c:pt idx="6">
                  <c:v>gen-spl:F-mgv:6-sn:1.2k</c:v>
                </c:pt>
                <c:pt idx="7">
                  <c:v>gen-spl:T-mgv:6-sn:1.2k</c:v>
                </c:pt>
                <c:pt idx="8">
                  <c:v>plu-spl:F-mgv:9-sn:1.2k</c:v>
                </c:pt>
                <c:pt idx="9">
                  <c:v>plu-spl:T-mgv:9-sn:1.2k</c:v>
                </c:pt>
                <c:pt idx="10">
                  <c:v>gen-spl:F-mgv:9-sn:1.2k</c:v>
                </c:pt>
                <c:pt idx="11">
                  <c:v>gen-spl:T-mgv:9-sn:1.2k</c:v>
                </c:pt>
                <c:pt idx="12">
                  <c:v>plu-spl:F-mgv:3-sn:2k</c:v>
                </c:pt>
                <c:pt idx="13">
                  <c:v>plu-spl:T-mgv:3-sn:2k</c:v>
                </c:pt>
                <c:pt idx="14">
                  <c:v>gen-spl:F-mgv:3-sn:2k</c:v>
                </c:pt>
                <c:pt idx="15">
                  <c:v>gen-spl:T-mgv:3-sn:2k</c:v>
                </c:pt>
                <c:pt idx="16">
                  <c:v>plu-spl:F-mgv:6-sn:2k</c:v>
                </c:pt>
                <c:pt idx="17">
                  <c:v>plu-spl:T-mgv:6-sn:2k</c:v>
                </c:pt>
                <c:pt idx="18">
                  <c:v>gen-spl:F-mgv:6-sn:2k</c:v>
                </c:pt>
                <c:pt idx="19">
                  <c:v>gen-spl:T-mgv:6-sn:2k</c:v>
                </c:pt>
                <c:pt idx="20">
                  <c:v>plu-spl:F-mgv:9-sn:2k</c:v>
                </c:pt>
                <c:pt idx="21">
                  <c:v>plu-spl:T-mgv:9-sn:2k</c:v>
                </c:pt>
                <c:pt idx="22">
                  <c:v>gen-spl:F-mgv:9-sn:2k</c:v>
                </c:pt>
                <c:pt idx="23">
                  <c:v>gen-spl:T-mgv:9-sn:2k</c:v>
                </c:pt>
                <c:pt idx="24">
                  <c:v>plu-spl:F-mgv:3-sn:3k</c:v>
                </c:pt>
                <c:pt idx="25">
                  <c:v>plu-spl:T-mgv:3-sn:3k</c:v>
                </c:pt>
                <c:pt idx="26">
                  <c:v>gen-spl:F-mgv:3-sn:3k</c:v>
                </c:pt>
                <c:pt idx="27">
                  <c:v>gen-spl:T-mgv:3-sn:3k</c:v>
                </c:pt>
                <c:pt idx="28">
                  <c:v>plu-spl:F-mgv:6-sn:3k</c:v>
                </c:pt>
                <c:pt idx="29">
                  <c:v>plu-spl:T-mgv:6-sn:3k</c:v>
                </c:pt>
                <c:pt idx="30">
                  <c:v>gen-spl:F-mgv:6-sn:3k</c:v>
                </c:pt>
                <c:pt idx="31">
                  <c:v>gen-spl:T-mgv:6-sn:3k</c:v>
                </c:pt>
                <c:pt idx="32">
                  <c:v>plu-spl:F-mgv:9-sn:3k</c:v>
                </c:pt>
                <c:pt idx="33">
                  <c:v>plu-spl:T-mgv:9-sn:3k</c:v>
                </c:pt>
                <c:pt idx="34">
                  <c:v>gen-spl:F-mgv:9-sn:3k</c:v>
                </c:pt>
                <c:pt idx="35">
                  <c:v>gen-spl:T-mgv:9-sn:3k</c:v>
                </c:pt>
              </c:strCache>
            </c:strRef>
          </c:cat>
          <c:val>
            <c:numRef>
              <c:f>summarized!$S$2:$S$37</c:f>
              <c:numCache>
                <c:formatCode>0.00</c:formatCode>
                <c:ptCount val="36"/>
                <c:pt idx="0">
                  <c:v>0.93</c:v>
                </c:pt>
                <c:pt idx="1">
                  <c:v>0.93</c:v>
                </c:pt>
                <c:pt idx="2">
                  <c:v>0.83</c:v>
                </c:pt>
                <c:pt idx="3">
                  <c:v>0.81</c:v>
                </c:pt>
                <c:pt idx="4">
                  <c:v>0.97</c:v>
                </c:pt>
                <c:pt idx="5">
                  <c:v>0.99</c:v>
                </c:pt>
                <c:pt idx="6">
                  <c:v>0.79</c:v>
                </c:pt>
                <c:pt idx="7">
                  <c:v>0.77</c:v>
                </c:pt>
                <c:pt idx="8">
                  <c:v>0.94</c:v>
                </c:pt>
                <c:pt idx="9">
                  <c:v>0.93</c:v>
                </c:pt>
                <c:pt idx="10">
                  <c:v>0.82</c:v>
                </c:pt>
                <c:pt idx="11">
                  <c:v>0.79</c:v>
                </c:pt>
                <c:pt idx="12">
                  <c:v>0.94</c:v>
                </c:pt>
                <c:pt idx="13">
                  <c:v>0.95</c:v>
                </c:pt>
                <c:pt idx="14">
                  <c:v>0.78</c:v>
                </c:pt>
                <c:pt idx="15">
                  <c:v>0.78</c:v>
                </c:pt>
                <c:pt idx="16">
                  <c:v>0.94</c:v>
                </c:pt>
                <c:pt idx="17">
                  <c:v>0.94</c:v>
                </c:pt>
                <c:pt idx="18">
                  <c:v>0.79</c:v>
                </c:pt>
                <c:pt idx="19">
                  <c:v>0.78</c:v>
                </c:pt>
                <c:pt idx="20">
                  <c:v>0.95</c:v>
                </c:pt>
                <c:pt idx="21">
                  <c:v>0.95</c:v>
                </c:pt>
                <c:pt idx="22">
                  <c:v>0.78</c:v>
                </c:pt>
                <c:pt idx="23">
                  <c:v>0.82</c:v>
                </c:pt>
                <c:pt idx="24">
                  <c:v>0.95</c:v>
                </c:pt>
                <c:pt idx="25">
                  <c:v>0.95</c:v>
                </c:pt>
                <c:pt idx="26">
                  <c:v>0.82</c:v>
                </c:pt>
                <c:pt idx="27">
                  <c:v>0.81</c:v>
                </c:pt>
                <c:pt idx="28">
                  <c:v>0.95</c:v>
                </c:pt>
                <c:pt idx="29">
                  <c:v>0.96</c:v>
                </c:pt>
                <c:pt idx="30">
                  <c:v>0.8</c:v>
                </c:pt>
                <c:pt idx="31">
                  <c:v>0.82</c:v>
                </c:pt>
                <c:pt idx="32">
                  <c:v>0.97</c:v>
                </c:pt>
                <c:pt idx="33">
                  <c:v>0.96</c:v>
                </c:pt>
                <c:pt idx="34">
                  <c:v>0.82</c:v>
                </c:pt>
                <c:pt idx="35">
                  <c:v>0.82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ED06-7049-86D0-48498B0D39CA}"/>
            </c:ext>
          </c:extLst>
        </c:ser>
        <c:ser>
          <c:idx val="10"/>
          <c:order val="10"/>
          <c:tx>
            <c:strRef>
              <c:f>summarized!$T$1</c:f>
              <c:strCache>
                <c:ptCount val="1"/>
                <c:pt idx="0">
                  <c:v>xsk3g-hash-at-both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summarized!$I$2:$I$37</c:f>
              <c:strCache>
                <c:ptCount val="36"/>
                <c:pt idx="0">
                  <c:v>plu-spl:F-mgv:3-sn:1.2k</c:v>
                </c:pt>
                <c:pt idx="1">
                  <c:v>plu-spl:T-mgv:3-sn:1.2k</c:v>
                </c:pt>
                <c:pt idx="2">
                  <c:v>gen-spl:F-mgv:3-sn:1.2k</c:v>
                </c:pt>
                <c:pt idx="3">
                  <c:v>gen-spl:T-mgv:3-sn:1.2k</c:v>
                </c:pt>
                <c:pt idx="4">
                  <c:v>plu-spl:F-mgv:6-sn:1.2k</c:v>
                </c:pt>
                <c:pt idx="5">
                  <c:v>plu-spl:T-mgv:6-sn:1.2k</c:v>
                </c:pt>
                <c:pt idx="6">
                  <c:v>gen-spl:F-mgv:6-sn:1.2k</c:v>
                </c:pt>
                <c:pt idx="7">
                  <c:v>gen-spl:T-mgv:6-sn:1.2k</c:v>
                </c:pt>
                <c:pt idx="8">
                  <c:v>plu-spl:F-mgv:9-sn:1.2k</c:v>
                </c:pt>
                <c:pt idx="9">
                  <c:v>plu-spl:T-mgv:9-sn:1.2k</c:v>
                </c:pt>
                <c:pt idx="10">
                  <c:v>gen-spl:F-mgv:9-sn:1.2k</c:v>
                </c:pt>
                <c:pt idx="11">
                  <c:v>gen-spl:T-mgv:9-sn:1.2k</c:v>
                </c:pt>
                <c:pt idx="12">
                  <c:v>plu-spl:F-mgv:3-sn:2k</c:v>
                </c:pt>
                <c:pt idx="13">
                  <c:v>plu-spl:T-mgv:3-sn:2k</c:v>
                </c:pt>
                <c:pt idx="14">
                  <c:v>gen-spl:F-mgv:3-sn:2k</c:v>
                </c:pt>
                <c:pt idx="15">
                  <c:v>gen-spl:T-mgv:3-sn:2k</c:v>
                </c:pt>
                <c:pt idx="16">
                  <c:v>plu-spl:F-mgv:6-sn:2k</c:v>
                </c:pt>
                <c:pt idx="17">
                  <c:v>plu-spl:T-mgv:6-sn:2k</c:v>
                </c:pt>
                <c:pt idx="18">
                  <c:v>gen-spl:F-mgv:6-sn:2k</c:v>
                </c:pt>
                <c:pt idx="19">
                  <c:v>gen-spl:T-mgv:6-sn:2k</c:v>
                </c:pt>
                <c:pt idx="20">
                  <c:v>plu-spl:F-mgv:9-sn:2k</c:v>
                </c:pt>
                <c:pt idx="21">
                  <c:v>plu-spl:T-mgv:9-sn:2k</c:v>
                </c:pt>
                <c:pt idx="22">
                  <c:v>gen-spl:F-mgv:9-sn:2k</c:v>
                </c:pt>
                <c:pt idx="23">
                  <c:v>gen-spl:T-mgv:9-sn:2k</c:v>
                </c:pt>
                <c:pt idx="24">
                  <c:v>plu-spl:F-mgv:3-sn:3k</c:v>
                </c:pt>
                <c:pt idx="25">
                  <c:v>plu-spl:T-mgv:3-sn:3k</c:v>
                </c:pt>
                <c:pt idx="26">
                  <c:v>gen-spl:F-mgv:3-sn:3k</c:v>
                </c:pt>
                <c:pt idx="27">
                  <c:v>gen-spl:T-mgv:3-sn:3k</c:v>
                </c:pt>
                <c:pt idx="28">
                  <c:v>plu-spl:F-mgv:6-sn:3k</c:v>
                </c:pt>
                <c:pt idx="29">
                  <c:v>plu-spl:T-mgv:6-sn:3k</c:v>
                </c:pt>
                <c:pt idx="30">
                  <c:v>gen-spl:F-mgv:6-sn:3k</c:v>
                </c:pt>
                <c:pt idx="31">
                  <c:v>gen-spl:T-mgv:6-sn:3k</c:v>
                </c:pt>
                <c:pt idx="32">
                  <c:v>plu-spl:F-mgv:9-sn:3k</c:v>
                </c:pt>
                <c:pt idx="33">
                  <c:v>plu-spl:T-mgv:9-sn:3k</c:v>
                </c:pt>
                <c:pt idx="34">
                  <c:v>gen-spl:F-mgv:9-sn:3k</c:v>
                </c:pt>
                <c:pt idx="35">
                  <c:v>gen-spl:T-mgv:9-sn:3k</c:v>
                </c:pt>
              </c:strCache>
            </c:strRef>
          </c:cat>
          <c:val>
            <c:numRef>
              <c:f>summarized!$T$2:$T$37</c:f>
              <c:numCache>
                <c:formatCode>0.00</c:formatCode>
                <c:ptCount val="36"/>
                <c:pt idx="0">
                  <c:v>0.93</c:v>
                </c:pt>
                <c:pt idx="1">
                  <c:v>0.93</c:v>
                </c:pt>
                <c:pt idx="2">
                  <c:v>0.82</c:v>
                </c:pt>
                <c:pt idx="3">
                  <c:v>0.8</c:v>
                </c:pt>
                <c:pt idx="4">
                  <c:v>0.97</c:v>
                </c:pt>
                <c:pt idx="5">
                  <c:v>0.96</c:v>
                </c:pt>
                <c:pt idx="6">
                  <c:v>0.8</c:v>
                </c:pt>
                <c:pt idx="7">
                  <c:v>0.8</c:v>
                </c:pt>
                <c:pt idx="8">
                  <c:v>0.96</c:v>
                </c:pt>
                <c:pt idx="9">
                  <c:v>0.97</c:v>
                </c:pt>
                <c:pt idx="10">
                  <c:v>0.75</c:v>
                </c:pt>
                <c:pt idx="11">
                  <c:v>0.76</c:v>
                </c:pt>
                <c:pt idx="12">
                  <c:v>0.94</c:v>
                </c:pt>
                <c:pt idx="13">
                  <c:v>0.95</c:v>
                </c:pt>
                <c:pt idx="14">
                  <c:v>0.79</c:v>
                </c:pt>
                <c:pt idx="15">
                  <c:v>0.8</c:v>
                </c:pt>
                <c:pt idx="16">
                  <c:v>0.95</c:v>
                </c:pt>
                <c:pt idx="17">
                  <c:v>0.94</c:v>
                </c:pt>
                <c:pt idx="18">
                  <c:v>0.78</c:v>
                </c:pt>
                <c:pt idx="19">
                  <c:v>0.77</c:v>
                </c:pt>
                <c:pt idx="20">
                  <c:v>0.97</c:v>
                </c:pt>
                <c:pt idx="21">
                  <c:v>0.98</c:v>
                </c:pt>
                <c:pt idx="22">
                  <c:v>0.8</c:v>
                </c:pt>
                <c:pt idx="23">
                  <c:v>0.8</c:v>
                </c:pt>
                <c:pt idx="24">
                  <c:v>0.95</c:v>
                </c:pt>
                <c:pt idx="25">
                  <c:v>0.96</c:v>
                </c:pt>
                <c:pt idx="26">
                  <c:v>0.82</c:v>
                </c:pt>
                <c:pt idx="27">
                  <c:v>0.83</c:v>
                </c:pt>
                <c:pt idx="28">
                  <c:v>0.96</c:v>
                </c:pt>
                <c:pt idx="29">
                  <c:v>0.94</c:v>
                </c:pt>
                <c:pt idx="30">
                  <c:v>0.8</c:v>
                </c:pt>
                <c:pt idx="31">
                  <c:v>0.8</c:v>
                </c:pt>
                <c:pt idx="32">
                  <c:v>0.97</c:v>
                </c:pt>
                <c:pt idx="33">
                  <c:v>0.95</c:v>
                </c:pt>
                <c:pt idx="34">
                  <c:v>0.84</c:v>
                </c:pt>
                <c:pt idx="35">
                  <c:v>0.85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ED06-7049-86D0-48498B0D39CA}"/>
            </c:ext>
          </c:extLst>
        </c:ser>
        <c:ser>
          <c:idx val="11"/>
          <c:order val="11"/>
          <c:tx>
            <c:strRef>
              <c:f>summarized!$U$1</c:f>
              <c:strCache>
                <c:ptCount val="1"/>
                <c:pt idx="0">
                  <c:v>xsk4g-hash-at-both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summarized!$I$2:$I$37</c:f>
              <c:strCache>
                <c:ptCount val="36"/>
                <c:pt idx="0">
                  <c:v>plu-spl:F-mgv:3-sn:1.2k</c:v>
                </c:pt>
                <c:pt idx="1">
                  <c:v>plu-spl:T-mgv:3-sn:1.2k</c:v>
                </c:pt>
                <c:pt idx="2">
                  <c:v>gen-spl:F-mgv:3-sn:1.2k</c:v>
                </c:pt>
                <c:pt idx="3">
                  <c:v>gen-spl:T-mgv:3-sn:1.2k</c:v>
                </c:pt>
                <c:pt idx="4">
                  <c:v>plu-spl:F-mgv:6-sn:1.2k</c:v>
                </c:pt>
                <c:pt idx="5">
                  <c:v>plu-spl:T-mgv:6-sn:1.2k</c:v>
                </c:pt>
                <c:pt idx="6">
                  <c:v>gen-spl:F-mgv:6-sn:1.2k</c:v>
                </c:pt>
                <c:pt idx="7">
                  <c:v>gen-spl:T-mgv:6-sn:1.2k</c:v>
                </c:pt>
                <c:pt idx="8">
                  <c:v>plu-spl:F-mgv:9-sn:1.2k</c:v>
                </c:pt>
                <c:pt idx="9">
                  <c:v>plu-spl:T-mgv:9-sn:1.2k</c:v>
                </c:pt>
                <c:pt idx="10">
                  <c:v>gen-spl:F-mgv:9-sn:1.2k</c:v>
                </c:pt>
                <c:pt idx="11">
                  <c:v>gen-spl:T-mgv:9-sn:1.2k</c:v>
                </c:pt>
                <c:pt idx="12">
                  <c:v>plu-spl:F-mgv:3-sn:2k</c:v>
                </c:pt>
                <c:pt idx="13">
                  <c:v>plu-spl:T-mgv:3-sn:2k</c:v>
                </c:pt>
                <c:pt idx="14">
                  <c:v>gen-spl:F-mgv:3-sn:2k</c:v>
                </c:pt>
                <c:pt idx="15">
                  <c:v>gen-spl:T-mgv:3-sn:2k</c:v>
                </c:pt>
                <c:pt idx="16">
                  <c:v>plu-spl:F-mgv:6-sn:2k</c:v>
                </c:pt>
                <c:pt idx="17">
                  <c:v>plu-spl:T-mgv:6-sn:2k</c:v>
                </c:pt>
                <c:pt idx="18">
                  <c:v>gen-spl:F-mgv:6-sn:2k</c:v>
                </c:pt>
                <c:pt idx="19">
                  <c:v>gen-spl:T-mgv:6-sn:2k</c:v>
                </c:pt>
                <c:pt idx="20">
                  <c:v>plu-spl:F-mgv:9-sn:2k</c:v>
                </c:pt>
                <c:pt idx="21">
                  <c:v>plu-spl:T-mgv:9-sn:2k</c:v>
                </c:pt>
                <c:pt idx="22">
                  <c:v>gen-spl:F-mgv:9-sn:2k</c:v>
                </c:pt>
                <c:pt idx="23">
                  <c:v>gen-spl:T-mgv:9-sn:2k</c:v>
                </c:pt>
                <c:pt idx="24">
                  <c:v>plu-spl:F-mgv:3-sn:3k</c:v>
                </c:pt>
                <c:pt idx="25">
                  <c:v>plu-spl:T-mgv:3-sn:3k</c:v>
                </c:pt>
                <c:pt idx="26">
                  <c:v>gen-spl:F-mgv:3-sn:3k</c:v>
                </c:pt>
                <c:pt idx="27">
                  <c:v>gen-spl:T-mgv:3-sn:3k</c:v>
                </c:pt>
                <c:pt idx="28">
                  <c:v>plu-spl:F-mgv:6-sn:3k</c:v>
                </c:pt>
                <c:pt idx="29">
                  <c:v>plu-spl:T-mgv:6-sn:3k</c:v>
                </c:pt>
                <c:pt idx="30">
                  <c:v>gen-spl:F-mgv:6-sn:3k</c:v>
                </c:pt>
                <c:pt idx="31">
                  <c:v>gen-spl:T-mgv:6-sn:3k</c:v>
                </c:pt>
                <c:pt idx="32">
                  <c:v>plu-spl:F-mgv:9-sn:3k</c:v>
                </c:pt>
                <c:pt idx="33">
                  <c:v>plu-spl:T-mgv:9-sn:3k</c:v>
                </c:pt>
                <c:pt idx="34">
                  <c:v>gen-spl:F-mgv:9-sn:3k</c:v>
                </c:pt>
                <c:pt idx="35">
                  <c:v>gen-spl:T-mgv:9-sn:3k</c:v>
                </c:pt>
              </c:strCache>
            </c:strRef>
          </c:cat>
          <c:val>
            <c:numRef>
              <c:f>summarized!$U$2:$U$37</c:f>
              <c:numCache>
                <c:formatCode>0.00</c:formatCode>
                <c:ptCount val="36"/>
                <c:pt idx="0">
                  <c:v>0.93</c:v>
                </c:pt>
                <c:pt idx="1">
                  <c:v>0.96</c:v>
                </c:pt>
                <c:pt idx="2">
                  <c:v>0.81</c:v>
                </c:pt>
                <c:pt idx="3">
                  <c:v>0.78</c:v>
                </c:pt>
                <c:pt idx="4">
                  <c:v>0.96</c:v>
                </c:pt>
                <c:pt idx="5">
                  <c:v>0.97</c:v>
                </c:pt>
                <c:pt idx="6">
                  <c:v>0.69</c:v>
                </c:pt>
                <c:pt idx="7">
                  <c:v>0.71</c:v>
                </c:pt>
                <c:pt idx="8">
                  <c:v>0.95</c:v>
                </c:pt>
                <c:pt idx="9">
                  <c:v>0.97</c:v>
                </c:pt>
                <c:pt idx="10">
                  <c:v>0.72</c:v>
                </c:pt>
                <c:pt idx="11">
                  <c:v>0.75</c:v>
                </c:pt>
                <c:pt idx="12">
                  <c:v>0.99</c:v>
                </c:pt>
                <c:pt idx="13">
                  <c:v>0.96</c:v>
                </c:pt>
                <c:pt idx="14">
                  <c:v>0.82</c:v>
                </c:pt>
                <c:pt idx="15">
                  <c:v>0.82</c:v>
                </c:pt>
                <c:pt idx="16">
                  <c:v>0.95</c:v>
                </c:pt>
                <c:pt idx="17">
                  <c:v>0.96</c:v>
                </c:pt>
                <c:pt idx="18">
                  <c:v>0.77</c:v>
                </c:pt>
                <c:pt idx="19">
                  <c:v>0.79</c:v>
                </c:pt>
                <c:pt idx="20">
                  <c:v>0.94</c:v>
                </c:pt>
                <c:pt idx="21">
                  <c:v>0.94</c:v>
                </c:pt>
                <c:pt idx="22">
                  <c:v>0.8</c:v>
                </c:pt>
                <c:pt idx="23">
                  <c:v>0.81</c:v>
                </c:pt>
                <c:pt idx="24">
                  <c:v>0.95</c:v>
                </c:pt>
                <c:pt idx="25">
                  <c:v>0.95</c:v>
                </c:pt>
                <c:pt idx="26">
                  <c:v>0.78</c:v>
                </c:pt>
                <c:pt idx="27">
                  <c:v>0.81</c:v>
                </c:pt>
                <c:pt idx="28">
                  <c:v>0.93</c:v>
                </c:pt>
                <c:pt idx="29">
                  <c:v>0.95</c:v>
                </c:pt>
                <c:pt idx="30">
                  <c:v>0.79</c:v>
                </c:pt>
                <c:pt idx="31">
                  <c:v>0.79</c:v>
                </c:pt>
                <c:pt idx="32">
                  <c:v>0.97</c:v>
                </c:pt>
                <c:pt idx="33">
                  <c:v>0.96</c:v>
                </c:pt>
                <c:pt idx="34">
                  <c:v>0.81</c:v>
                </c:pt>
                <c:pt idx="35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ED06-7049-86D0-48498B0D39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89371888"/>
        <c:axId val="1101631120"/>
      </c:lineChart>
      <c:catAx>
        <c:axId val="1089371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JP"/>
          </a:p>
        </c:txPr>
        <c:crossAx val="1101631120"/>
        <c:crosses val="autoZero"/>
        <c:auto val="1"/>
        <c:lblAlgn val="ctr"/>
        <c:lblOffset val="100"/>
        <c:noMultiLvlLbl val="0"/>
      </c:catAx>
      <c:valAx>
        <c:axId val="1101631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JP"/>
          </a:p>
        </c:txPr>
        <c:crossAx val="1089371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French</a:t>
            </a:r>
            <a:r>
              <a:rPr lang="ja-JP" altLang="en-US"/>
              <a:t> </a:t>
            </a:r>
            <a:r>
              <a:rPr lang="en-US" altLang="ja-JP"/>
              <a:t>xsk-based</a:t>
            </a:r>
            <a:r>
              <a:rPr lang="ja-JP" altLang="en-US"/>
              <a:t> </a:t>
            </a:r>
            <a:r>
              <a:rPr lang="en-US" altLang="ja-JP"/>
              <a:t>3k</a:t>
            </a:r>
            <a:r>
              <a:rPr lang="ja-JP" altLang="en-US" baseline="0"/>
              <a:t> </a:t>
            </a:r>
            <a:r>
              <a:rPr lang="en-US" altLang="ja-JP" baseline="0"/>
              <a:t>sample,</a:t>
            </a:r>
            <a:r>
              <a:rPr lang="ja-JP" altLang="en-US" baseline="0"/>
              <a:t> </a:t>
            </a:r>
            <a:r>
              <a:rPr lang="en-US" altLang="ja-JP" baseline="0"/>
              <a:t>mgv</a:t>
            </a:r>
            <a:r>
              <a:rPr lang="ja-JP" altLang="en-US" baseline="0"/>
              <a:t> </a:t>
            </a:r>
            <a:r>
              <a:rPr lang="en-US" altLang="ja-JP" baseline="0"/>
              <a:t>=</a:t>
            </a:r>
            <a:r>
              <a:rPr lang="ja-JP" altLang="en-US" baseline="0"/>
              <a:t> </a:t>
            </a:r>
            <a:r>
              <a:rPr lang="en-US" altLang="ja-JP" baseline="0"/>
              <a:t>9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'xsk-3k-mgv9'!$G$17</c:f>
              <c:strCache>
                <c:ptCount val="1"/>
                <c:pt idx="0">
                  <c:v>plurality-FALSE-max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'xsk-3k-mgv9'!$H$16:$S$16</c:f>
              <c:strCache>
                <c:ptCount val="12"/>
                <c:pt idx="0">
                  <c:v>2g-no-hash</c:v>
                </c:pt>
                <c:pt idx="1">
                  <c:v>3g-no-hash</c:v>
                </c:pt>
                <c:pt idx="2">
                  <c:v>4g-no-hash</c:v>
                </c:pt>
                <c:pt idx="3">
                  <c:v>xsk2g-no-hash</c:v>
                </c:pt>
                <c:pt idx="4">
                  <c:v>xsk3g-no-hash</c:v>
                </c:pt>
                <c:pt idx="5">
                  <c:v>xsk4g-no-hash</c:v>
                </c:pt>
                <c:pt idx="6">
                  <c:v>2g-hash-at-both</c:v>
                </c:pt>
                <c:pt idx="7">
                  <c:v>3g-hash-at-both</c:v>
                </c:pt>
                <c:pt idx="8">
                  <c:v>4g-hash-at-both</c:v>
                </c:pt>
                <c:pt idx="9">
                  <c:v>xsk2g-hash-at-both</c:v>
                </c:pt>
                <c:pt idx="10">
                  <c:v>xsk3g-hash-at-both</c:v>
                </c:pt>
                <c:pt idx="11">
                  <c:v>xsk4g-hash-at-both</c:v>
                </c:pt>
              </c:strCache>
            </c:strRef>
          </c:cat>
          <c:val>
            <c:numRef>
              <c:f>'xsk-3k-mgv9'!$H$17:$S$17</c:f>
              <c:numCache>
                <c:formatCode>0.00</c:formatCode>
                <c:ptCount val="12"/>
                <c:pt idx="0">
                  <c:v>0.93</c:v>
                </c:pt>
                <c:pt idx="1">
                  <c:v>0.94</c:v>
                </c:pt>
                <c:pt idx="2">
                  <c:v>0.93</c:v>
                </c:pt>
                <c:pt idx="3">
                  <c:v>0.97</c:v>
                </c:pt>
                <c:pt idx="4">
                  <c:v>0.95</c:v>
                </c:pt>
                <c:pt idx="5">
                  <c:v>0.96</c:v>
                </c:pt>
                <c:pt idx="6">
                  <c:v>0.93</c:v>
                </c:pt>
                <c:pt idx="7">
                  <c:v>0.93</c:v>
                </c:pt>
                <c:pt idx="8">
                  <c:v>0.96</c:v>
                </c:pt>
                <c:pt idx="9">
                  <c:v>0.97</c:v>
                </c:pt>
                <c:pt idx="10">
                  <c:v>0.97</c:v>
                </c:pt>
                <c:pt idx="11">
                  <c:v>0.97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359-3A41-866F-E29C26D35BC1}"/>
            </c:ext>
          </c:extLst>
        </c:ser>
        <c:ser>
          <c:idx val="1"/>
          <c:order val="1"/>
          <c:tx>
            <c:strRef>
              <c:f>'xsk-3k-mgv9'!$G$18</c:f>
              <c:strCache>
                <c:ptCount val="1"/>
                <c:pt idx="0">
                  <c:v>gender-FALSE-max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'xsk-3k-mgv9'!$H$16:$S$16</c:f>
              <c:strCache>
                <c:ptCount val="12"/>
                <c:pt idx="0">
                  <c:v>2g-no-hash</c:v>
                </c:pt>
                <c:pt idx="1">
                  <c:v>3g-no-hash</c:v>
                </c:pt>
                <c:pt idx="2">
                  <c:v>4g-no-hash</c:v>
                </c:pt>
                <c:pt idx="3">
                  <c:v>xsk2g-no-hash</c:v>
                </c:pt>
                <c:pt idx="4">
                  <c:v>xsk3g-no-hash</c:v>
                </c:pt>
                <c:pt idx="5">
                  <c:v>xsk4g-no-hash</c:v>
                </c:pt>
                <c:pt idx="6">
                  <c:v>2g-hash-at-both</c:v>
                </c:pt>
                <c:pt idx="7">
                  <c:v>3g-hash-at-both</c:v>
                </c:pt>
                <c:pt idx="8">
                  <c:v>4g-hash-at-both</c:v>
                </c:pt>
                <c:pt idx="9">
                  <c:v>xsk2g-hash-at-both</c:v>
                </c:pt>
                <c:pt idx="10">
                  <c:v>xsk3g-hash-at-both</c:v>
                </c:pt>
                <c:pt idx="11">
                  <c:v>xsk4g-hash-at-both</c:v>
                </c:pt>
              </c:strCache>
            </c:strRef>
          </c:cat>
          <c:val>
            <c:numRef>
              <c:f>'xsk-3k-mgv9'!$H$18:$S$18</c:f>
              <c:numCache>
                <c:formatCode>0.00</c:formatCode>
                <c:ptCount val="12"/>
                <c:pt idx="0">
                  <c:v>0.81</c:v>
                </c:pt>
                <c:pt idx="1">
                  <c:v>0.83</c:v>
                </c:pt>
                <c:pt idx="2">
                  <c:v>0.78</c:v>
                </c:pt>
                <c:pt idx="3">
                  <c:v>0.82</c:v>
                </c:pt>
                <c:pt idx="4">
                  <c:v>0.82</c:v>
                </c:pt>
                <c:pt idx="5">
                  <c:v>0.79</c:v>
                </c:pt>
                <c:pt idx="6">
                  <c:v>0.78</c:v>
                </c:pt>
                <c:pt idx="7">
                  <c:v>0.8</c:v>
                </c:pt>
                <c:pt idx="8">
                  <c:v>0.8</c:v>
                </c:pt>
                <c:pt idx="9">
                  <c:v>0.82</c:v>
                </c:pt>
                <c:pt idx="10">
                  <c:v>0.84</c:v>
                </c:pt>
                <c:pt idx="11">
                  <c:v>0.81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359-3A41-866F-E29C26D35BC1}"/>
            </c:ext>
          </c:extLst>
        </c:ser>
        <c:ser>
          <c:idx val="2"/>
          <c:order val="2"/>
          <c:tx>
            <c:strRef>
              <c:f>'xsk-3k-mgv9'!$G$19</c:f>
              <c:strCache>
                <c:ptCount val="1"/>
                <c:pt idx="0">
                  <c:v>plurality-TRUE-max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'xsk-3k-mgv9'!$H$16:$S$16</c:f>
              <c:strCache>
                <c:ptCount val="12"/>
                <c:pt idx="0">
                  <c:v>2g-no-hash</c:v>
                </c:pt>
                <c:pt idx="1">
                  <c:v>3g-no-hash</c:v>
                </c:pt>
                <c:pt idx="2">
                  <c:v>4g-no-hash</c:v>
                </c:pt>
                <c:pt idx="3">
                  <c:v>xsk2g-no-hash</c:v>
                </c:pt>
                <c:pt idx="4">
                  <c:v>xsk3g-no-hash</c:v>
                </c:pt>
                <c:pt idx="5">
                  <c:v>xsk4g-no-hash</c:v>
                </c:pt>
                <c:pt idx="6">
                  <c:v>2g-hash-at-both</c:v>
                </c:pt>
                <c:pt idx="7">
                  <c:v>3g-hash-at-both</c:v>
                </c:pt>
                <c:pt idx="8">
                  <c:v>4g-hash-at-both</c:v>
                </c:pt>
                <c:pt idx="9">
                  <c:v>xsk2g-hash-at-both</c:v>
                </c:pt>
                <c:pt idx="10">
                  <c:v>xsk3g-hash-at-both</c:v>
                </c:pt>
                <c:pt idx="11">
                  <c:v>xsk4g-hash-at-both</c:v>
                </c:pt>
              </c:strCache>
            </c:strRef>
          </c:cat>
          <c:val>
            <c:numRef>
              <c:f>'xsk-3k-mgv9'!$H$19:$S$19</c:f>
              <c:numCache>
                <c:formatCode>0.00</c:formatCode>
                <c:ptCount val="12"/>
                <c:pt idx="0">
                  <c:v>0.94</c:v>
                </c:pt>
                <c:pt idx="1">
                  <c:v>0.93</c:v>
                </c:pt>
                <c:pt idx="2">
                  <c:v>0.94</c:v>
                </c:pt>
                <c:pt idx="3">
                  <c:v>0.97</c:v>
                </c:pt>
                <c:pt idx="4">
                  <c:v>0.95</c:v>
                </c:pt>
                <c:pt idx="5">
                  <c:v>0.96</c:v>
                </c:pt>
                <c:pt idx="6">
                  <c:v>0.94</c:v>
                </c:pt>
                <c:pt idx="7">
                  <c:v>0.94</c:v>
                </c:pt>
                <c:pt idx="8">
                  <c:v>0.96</c:v>
                </c:pt>
                <c:pt idx="9">
                  <c:v>0.96</c:v>
                </c:pt>
                <c:pt idx="10">
                  <c:v>0.95</c:v>
                </c:pt>
                <c:pt idx="11">
                  <c:v>0.96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359-3A41-866F-E29C26D35BC1}"/>
            </c:ext>
          </c:extLst>
        </c:ser>
        <c:ser>
          <c:idx val="3"/>
          <c:order val="3"/>
          <c:tx>
            <c:strRef>
              <c:f>'xsk-3k-mgv9'!$G$20</c:f>
              <c:strCache>
                <c:ptCount val="1"/>
                <c:pt idx="0">
                  <c:v>gender-TRUE-max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'xsk-3k-mgv9'!$H$16:$S$16</c:f>
              <c:strCache>
                <c:ptCount val="12"/>
                <c:pt idx="0">
                  <c:v>2g-no-hash</c:v>
                </c:pt>
                <c:pt idx="1">
                  <c:v>3g-no-hash</c:v>
                </c:pt>
                <c:pt idx="2">
                  <c:v>4g-no-hash</c:v>
                </c:pt>
                <c:pt idx="3">
                  <c:v>xsk2g-no-hash</c:v>
                </c:pt>
                <c:pt idx="4">
                  <c:v>xsk3g-no-hash</c:v>
                </c:pt>
                <c:pt idx="5">
                  <c:v>xsk4g-no-hash</c:v>
                </c:pt>
                <c:pt idx="6">
                  <c:v>2g-hash-at-both</c:v>
                </c:pt>
                <c:pt idx="7">
                  <c:v>3g-hash-at-both</c:v>
                </c:pt>
                <c:pt idx="8">
                  <c:v>4g-hash-at-both</c:v>
                </c:pt>
                <c:pt idx="9">
                  <c:v>xsk2g-hash-at-both</c:v>
                </c:pt>
                <c:pt idx="10">
                  <c:v>xsk3g-hash-at-both</c:v>
                </c:pt>
                <c:pt idx="11">
                  <c:v>xsk4g-hash-at-both</c:v>
                </c:pt>
              </c:strCache>
            </c:strRef>
          </c:cat>
          <c:val>
            <c:numRef>
              <c:f>'xsk-3k-mgv9'!$H$20:$S$20</c:f>
              <c:numCache>
                <c:formatCode>0.00</c:formatCode>
                <c:ptCount val="12"/>
                <c:pt idx="0">
                  <c:v>0.8</c:v>
                </c:pt>
                <c:pt idx="1">
                  <c:v>0.83</c:v>
                </c:pt>
                <c:pt idx="2">
                  <c:v>0.78</c:v>
                </c:pt>
                <c:pt idx="3">
                  <c:v>0.81</c:v>
                </c:pt>
                <c:pt idx="4">
                  <c:v>0.82</c:v>
                </c:pt>
                <c:pt idx="5">
                  <c:v>0.82</c:v>
                </c:pt>
                <c:pt idx="6">
                  <c:v>0.77</c:v>
                </c:pt>
                <c:pt idx="7">
                  <c:v>0.82</c:v>
                </c:pt>
                <c:pt idx="8">
                  <c:v>0.8</c:v>
                </c:pt>
                <c:pt idx="9">
                  <c:v>0.82</c:v>
                </c:pt>
                <c:pt idx="10">
                  <c:v>0.85</c:v>
                </c:pt>
                <c:pt idx="11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359-3A41-866F-E29C26D35B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10583439"/>
        <c:axId val="1755760752"/>
      </c:lineChart>
      <c:catAx>
        <c:axId val="9105834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JP"/>
          </a:p>
        </c:txPr>
        <c:crossAx val="1755760752"/>
        <c:crosses val="autoZero"/>
        <c:auto val="1"/>
        <c:lblAlgn val="ctr"/>
        <c:lblOffset val="100"/>
        <c:noMultiLvlLbl val="0"/>
      </c:catAx>
      <c:valAx>
        <c:axId val="1755760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JP"/>
          </a:p>
        </c:txPr>
        <c:crossAx val="91058343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JP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JP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French</a:t>
            </a:r>
            <a:r>
              <a:rPr lang="ja-JP" altLang="en-US"/>
              <a:t> </a:t>
            </a:r>
            <a:r>
              <a:rPr lang="en-US" altLang="ja-JP"/>
              <a:t>xsk-based</a:t>
            </a:r>
            <a:r>
              <a:rPr lang="ja-JP" altLang="en-US"/>
              <a:t> </a:t>
            </a:r>
            <a:r>
              <a:rPr lang="en-US" altLang="ja-JP"/>
              <a:t>3k</a:t>
            </a:r>
            <a:r>
              <a:rPr lang="ja-JP" altLang="en-US" baseline="0"/>
              <a:t> </a:t>
            </a:r>
            <a:r>
              <a:rPr lang="en-US" altLang="ja-JP" baseline="0"/>
              <a:t>sample,</a:t>
            </a:r>
            <a:r>
              <a:rPr lang="ja-JP" altLang="en-US" baseline="0"/>
              <a:t> </a:t>
            </a:r>
            <a:r>
              <a:rPr lang="en-US" altLang="ja-JP" baseline="0"/>
              <a:t>mgv=3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'xsk-3k-mgv3'!$G$17</c:f>
              <c:strCache>
                <c:ptCount val="1"/>
                <c:pt idx="0">
                  <c:v>plurality-TRUE-max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'xsk-3k-mgv3'!$H$16:$S$16</c:f>
              <c:strCache>
                <c:ptCount val="12"/>
                <c:pt idx="0">
                  <c:v>2g-no-hash</c:v>
                </c:pt>
                <c:pt idx="1">
                  <c:v>3g-no-hash</c:v>
                </c:pt>
                <c:pt idx="2">
                  <c:v>4g-no-hash</c:v>
                </c:pt>
                <c:pt idx="3">
                  <c:v>xsk2g-no-hash</c:v>
                </c:pt>
                <c:pt idx="4">
                  <c:v>xsk3g-no-hash</c:v>
                </c:pt>
                <c:pt idx="5">
                  <c:v>xsk4g-no-hash</c:v>
                </c:pt>
                <c:pt idx="6">
                  <c:v>2g-hash-at-both</c:v>
                </c:pt>
                <c:pt idx="7">
                  <c:v>3g-hash-at-both</c:v>
                </c:pt>
                <c:pt idx="8">
                  <c:v>4g-hash-at-both</c:v>
                </c:pt>
                <c:pt idx="9">
                  <c:v>xsk2g-hash-at-both</c:v>
                </c:pt>
                <c:pt idx="10">
                  <c:v>xsk3g-hash-at-both</c:v>
                </c:pt>
                <c:pt idx="11">
                  <c:v>xsk4g-hash-at-both</c:v>
                </c:pt>
              </c:strCache>
            </c:strRef>
          </c:cat>
          <c:val>
            <c:numRef>
              <c:f>'xsk-3k-mgv3'!$H$17:$S$17</c:f>
              <c:numCache>
                <c:formatCode>0.00</c:formatCode>
                <c:ptCount val="12"/>
                <c:pt idx="0">
                  <c:v>0.93</c:v>
                </c:pt>
                <c:pt idx="1">
                  <c:v>0.96</c:v>
                </c:pt>
                <c:pt idx="2">
                  <c:v>0.95</c:v>
                </c:pt>
                <c:pt idx="3">
                  <c:v>0.97</c:v>
                </c:pt>
                <c:pt idx="4">
                  <c:v>0.94</c:v>
                </c:pt>
                <c:pt idx="5">
                  <c:v>0.95</c:v>
                </c:pt>
                <c:pt idx="6">
                  <c:v>0.92</c:v>
                </c:pt>
                <c:pt idx="7">
                  <c:v>0.93</c:v>
                </c:pt>
                <c:pt idx="8">
                  <c:v>0.91</c:v>
                </c:pt>
                <c:pt idx="9">
                  <c:v>0.95</c:v>
                </c:pt>
                <c:pt idx="10">
                  <c:v>0.96</c:v>
                </c:pt>
                <c:pt idx="11">
                  <c:v>0.95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A06-2646-94A3-E0B25C708FA2}"/>
            </c:ext>
          </c:extLst>
        </c:ser>
        <c:ser>
          <c:idx val="1"/>
          <c:order val="1"/>
          <c:tx>
            <c:strRef>
              <c:f>'xsk-3k-mgv3'!$G$18</c:f>
              <c:strCache>
                <c:ptCount val="1"/>
                <c:pt idx="0">
                  <c:v>plurality-FALSE-max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'xsk-3k-mgv3'!$H$16:$S$16</c:f>
              <c:strCache>
                <c:ptCount val="12"/>
                <c:pt idx="0">
                  <c:v>2g-no-hash</c:v>
                </c:pt>
                <c:pt idx="1">
                  <c:v>3g-no-hash</c:v>
                </c:pt>
                <c:pt idx="2">
                  <c:v>4g-no-hash</c:v>
                </c:pt>
                <c:pt idx="3">
                  <c:v>xsk2g-no-hash</c:v>
                </c:pt>
                <c:pt idx="4">
                  <c:v>xsk3g-no-hash</c:v>
                </c:pt>
                <c:pt idx="5">
                  <c:v>xsk4g-no-hash</c:v>
                </c:pt>
                <c:pt idx="6">
                  <c:v>2g-hash-at-both</c:v>
                </c:pt>
                <c:pt idx="7">
                  <c:v>3g-hash-at-both</c:v>
                </c:pt>
                <c:pt idx="8">
                  <c:v>4g-hash-at-both</c:v>
                </c:pt>
                <c:pt idx="9">
                  <c:v>xsk2g-hash-at-both</c:v>
                </c:pt>
                <c:pt idx="10">
                  <c:v>xsk3g-hash-at-both</c:v>
                </c:pt>
                <c:pt idx="11">
                  <c:v>xsk4g-hash-at-both</c:v>
                </c:pt>
              </c:strCache>
            </c:strRef>
          </c:cat>
          <c:val>
            <c:numRef>
              <c:f>'xsk-3k-mgv3'!$H$18:$S$18</c:f>
              <c:numCache>
                <c:formatCode>0.00</c:formatCode>
                <c:ptCount val="12"/>
                <c:pt idx="0">
                  <c:v>0.94</c:v>
                </c:pt>
                <c:pt idx="1">
                  <c:v>0.94</c:v>
                </c:pt>
                <c:pt idx="2">
                  <c:v>0.95</c:v>
                </c:pt>
                <c:pt idx="3">
                  <c:v>0.96</c:v>
                </c:pt>
                <c:pt idx="4">
                  <c:v>0.95</c:v>
                </c:pt>
                <c:pt idx="5">
                  <c:v>0.96</c:v>
                </c:pt>
                <c:pt idx="6">
                  <c:v>0.9</c:v>
                </c:pt>
                <c:pt idx="7">
                  <c:v>0.95</c:v>
                </c:pt>
                <c:pt idx="8">
                  <c:v>0.91</c:v>
                </c:pt>
                <c:pt idx="9">
                  <c:v>0.95</c:v>
                </c:pt>
                <c:pt idx="10">
                  <c:v>0.95</c:v>
                </c:pt>
                <c:pt idx="11">
                  <c:v>0.95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A06-2646-94A3-E0B25C708FA2}"/>
            </c:ext>
          </c:extLst>
        </c:ser>
        <c:ser>
          <c:idx val="2"/>
          <c:order val="2"/>
          <c:tx>
            <c:strRef>
              <c:f>'xsk-3k-mgv3'!$G$19</c:f>
              <c:strCache>
                <c:ptCount val="1"/>
                <c:pt idx="0">
                  <c:v>gender-TRUE-max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'xsk-3k-mgv3'!$H$16:$S$16</c:f>
              <c:strCache>
                <c:ptCount val="12"/>
                <c:pt idx="0">
                  <c:v>2g-no-hash</c:v>
                </c:pt>
                <c:pt idx="1">
                  <c:v>3g-no-hash</c:v>
                </c:pt>
                <c:pt idx="2">
                  <c:v>4g-no-hash</c:v>
                </c:pt>
                <c:pt idx="3">
                  <c:v>xsk2g-no-hash</c:v>
                </c:pt>
                <c:pt idx="4">
                  <c:v>xsk3g-no-hash</c:v>
                </c:pt>
                <c:pt idx="5">
                  <c:v>xsk4g-no-hash</c:v>
                </c:pt>
                <c:pt idx="6">
                  <c:v>2g-hash-at-both</c:v>
                </c:pt>
                <c:pt idx="7">
                  <c:v>3g-hash-at-both</c:v>
                </c:pt>
                <c:pt idx="8">
                  <c:v>4g-hash-at-both</c:v>
                </c:pt>
                <c:pt idx="9">
                  <c:v>xsk2g-hash-at-both</c:v>
                </c:pt>
                <c:pt idx="10">
                  <c:v>xsk3g-hash-at-both</c:v>
                </c:pt>
                <c:pt idx="11">
                  <c:v>xsk4g-hash-at-both</c:v>
                </c:pt>
              </c:strCache>
            </c:strRef>
          </c:cat>
          <c:val>
            <c:numRef>
              <c:f>'xsk-3k-mgv3'!$H$19:$S$19</c:f>
              <c:numCache>
                <c:formatCode>0.00</c:formatCode>
                <c:ptCount val="12"/>
                <c:pt idx="0">
                  <c:v>0.85</c:v>
                </c:pt>
                <c:pt idx="1">
                  <c:v>0.76</c:v>
                </c:pt>
                <c:pt idx="2">
                  <c:v>0.81</c:v>
                </c:pt>
                <c:pt idx="3">
                  <c:v>0.82</c:v>
                </c:pt>
                <c:pt idx="4">
                  <c:v>0.82</c:v>
                </c:pt>
                <c:pt idx="5">
                  <c:v>0.83</c:v>
                </c:pt>
                <c:pt idx="6">
                  <c:v>0.81</c:v>
                </c:pt>
                <c:pt idx="7">
                  <c:v>0.79</c:v>
                </c:pt>
                <c:pt idx="8">
                  <c:v>0.81</c:v>
                </c:pt>
                <c:pt idx="9">
                  <c:v>0.81</c:v>
                </c:pt>
                <c:pt idx="10">
                  <c:v>0.83</c:v>
                </c:pt>
                <c:pt idx="11">
                  <c:v>0.81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A06-2646-94A3-E0B25C708FA2}"/>
            </c:ext>
          </c:extLst>
        </c:ser>
        <c:ser>
          <c:idx val="3"/>
          <c:order val="3"/>
          <c:tx>
            <c:strRef>
              <c:f>'xsk-3k-mgv3'!$G$20</c:f>
              <c:strCache>
                <c:ptCount val="1"/>
                <c:pt idx="0">
                  <c:v>gender-FALSE-max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'xsk-3k-mgv3'!$H$16:$S$16</c:f>
              <c:strCache>
                <c:ptCount val="12"/>
                <c:pt idx="0">
                  <c:v>2g-no-hash</c:v>
                </c:pt>
                <c:pt idx="1">
                  <c:v>3g-no-hash</c:v>
                </c:pt>
                <c:pt idx="2">
                  <c:v>4g-no-hash</c:v>
                </c:pt>
                <c:pt idx="3">
                  <c:v>xsk2g-no-hash</c:v>
                </c:pt>
                <c:pt idx="4">
                  <c:v>xsk3g-no-hash</c:v>
                </c:pt>
                <c:pt idx="5">
                  <c:v>xsk4g-no-hash</c:v>
                </c:pt>
                <c:pt idx="6">
                  <c:v>2g-hash-at-both</c:v>
                </c:pt>
                <c:pt idx="7">
                  <c:v>3g-hash-at-both</c:v>
                </c:pt>
                <c:pt idx="8">
                  <c:v>4g-hash-at-both</c:v>
                </c:pt>
                <c:pt idx="9">
                  <c:v>xsk2g-hash-at-both</c:v>
                </c:pt>
                <c:pt idx="10">
                  <c:v>xsk3g-hash-at-both</c:v>
                </c:pt>
                <c:pt idx="11">
                  <c:v>xsk4g-hash-at-both</c:v>
                </c:pt>
              </c:strCache>
            </c:strRef>
          </c:cat>
          <c:val>
            <c:numRef>
              <c:f>'xsk-3k-mgv3'!$H$20:$S$20</c:f>
              <c:numCache>
                <c:formatCode>0.00</c:formatCode>
                <c:ptCount val="12"/>
                <c:pt idx="0">
                  <c:v>0.82</c:v>
                </c:pt>
                <c:pt idx="1">
                  <c:v>0.8</c:v>
                </c:pt>
                <c:pt idx="2">
                  <c:v>0.8</c:v>
                </c:pt>
                <c:pt idx="3">
                  <c:v>0.82</c:v>
                </c:pt>
                <c:pt idx="4">
                  <c:v>0.83</c:v>
                </c:pt>
                <c:pt idx="5">
                  <c:v>0.83</c:v>
                </c:pt>
                <c:pt idx="6">
                  <c:v>0.79</c:v>
                </c:pt>
                <c:pt idx="7">
                  <c:v>0.82</c:v>
                </c:pt>
                <c:pt idx="8">
                  <c:v>0.81</c:v>
                </c:pt>
                <c:pt idx="9">
                  <c:v>0.82</c:v>
                </c:pt>
                <c:pt idx="10">
                  <c:v>0.82</c:v>
                </c:pt>
                <c:pt idx="11">
                  <c:v>0.78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A06-2646-94A3-E0B25C708F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58241392"/>
        <c:axId val="1164709840"/>
      </c:lineChart>
      <c:catAx>
        <c:axId val="1758241392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JP"/>
          </a:p>
        </c:txPr>
        <c:crossAx val="1164709840"/>
        <c:crosses val="autoZero"/>
        <c:auto val="1"/>
        <c:lblAlgn val="ctr"/>
        <c:lblOffset val="100"/>
        <c:noMultiLvlLbl val="0"/>
      </c:catAx>
      <c:valAx>
        <c:axId val="1164709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JP"/>
          </a:p>
        </c:txPr>
        <c:crossAx val="175824139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JP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24</xdr:col>
      <xdr:colOff>812800</xdr:colOff>
      <xdr:row>0</xdr:row>
      <xdr:rowOff>298450</xdr:rowOff>
    </xdr:from>
    <xdr:to>
      <xdr:col>29</xdr:col>
      <xdr:colOff>95300</xdr:colOff>
      <xdr:row>16</xdr:row>
      <xdr:rowOff>258450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E260C64-1C58-1177-B092-A3EC1DB3D6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609600</xdr:colOff>
      <xdr:row>8</xdr:row>
      <xdr:rowOff>69847</xdr:rowOff>
    </xdr:from>
    <xdr:to>
      <xdr:col>25</xdr:col>
      <xdr:colOff>612100</xdr:colOff>
      <xdr:row>19</xdr:row>
      <xdr:rowOff>177347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53A2DC0-AFE7-952C-C879-4909C99339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457200</xdr:colOff>
      <xdr:row>15</xdr:row>
      <xdr:rowOff>298447</xdr:rowOff>
    </xdr:from>
    <xdr:to>
      <xdr:col>25</xdr:col>
      <xdr:colOff>459700</xdr:colOff>
      <xdr:row>29</xdr:row>
      <xdr:rowOff>173447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202725C-1120-ABFE-0023-06FDBC672B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4CD7910-C58F-9E47-8063-707A9E864625}" name="Table3" displayName="Table3" ref="A1:X37" totalsRowShown="0">
  <autoFilter ref="A1:X37" xr:uid="{D4CD7910-C58F-9E47-8063-707A9E864625}"/>
  <sortState xmlns:xlrd2="http://schemas.microsoft.com/office/spreadsheetml/2017/richdata2" ref="A2:X37">
    <sortCondition ref="B1:B37"/>
  </sortState>
  <tableColumns count="24">
    <tableColumn id="1" xr3:uid="{CDF6BF6B-2665-DD44-A314-A9B4283C0904}" name="skippiness"/>
    <tableColumn id="2" xr3:uid="{CB25BFD6-1D61-474C-A130-31C25D39A767}" name="sample.n"/>
    <tableColumn id="3" xr3:uid="{71C10BD8-24EA-A641-9194-D56CB5025E32}" name="mgv"/>
    <tableColumn id="4" xr3:uid="{EF66DA6F-D11D-204D-B7C5-42EF127CFDBE}" name="attribute.index"/>
    <tableColumn id="5" xr3:uid="{A2F63894-C1C5-244C-BCE6-A67D9A02413B}" name="attribute"/>
    <tableColumn id="6" xr3:uid="{B0D568A3-FED4-0C42-81F6-A35C14A608D7}" name="supplement"/>
    <tableColumn id="7" xr3:uid="{F0CFA131-5998-0149-9B4E-7728522168F7}" name="method.index"/>
    <tableColumn id="8" xr3:uid="{43BBCB00-3753-9D44-8F0F-4C18549E550E}" name="method"/>
    <tableColumn id="22" xr3:uid="{27E01982-8C12-5248-88D6-59F8D6338168}" name="var" dataDxfId="282">
      <calculatedColumnFormula>_xlfn.LET(_xlpm.sk,_xlfn.SINGLE(Table3[skippiness]),_xlpm.sn,_xlfn.SINGLE(Table3[sample.n]),_xlpm.mgv,_xlfn.SINGLE(Table3[mgv]),_xlpm.attr,_xlfn.SINGLE(Table3[attribute]),_xlpm.spl,_xlfn.SINGLE(Table3[supplement]),_xlfn.TEXTJOIN({"-spl:","-mgv:","-sn:",""},TRUE,LEFT(_xlpm.attr,3),LEFT(_xlpm.spl,1),_xlpm.mgv,_xlpm.sn,"k"))</calculatedColumnFormula>
    </tableColumn>
    <tableColumn id="9" xr3:uid="{E87B34E3-5200-424F-9013-642562C74C60}" name="2g-no-hash" dataDxfId="281"/>
    <tableColumn id="10" xr3:uid="{A6A345F4-C16E-CF4C-A400-544793661AC5}" name="3g-no-hash" dataDxfId="280"/>
    <tableColumn id="11" xr3:uid="{A23AD436-E877-6C46-BF08-08F01FABC504}" name="4g-no-hash" dataDxfId="279"/>
    <tableColumn id="12" xr3:uid="{37845FA0-7AB5-C04B-A544-807A3F67ED9E}" name="xsk2g-no-hash" dataDxfId="278"/>
    <tableColumn id="13" xr3:uid="{3E2D0EA8-6C3A-CF42-81FA-9BF6C0603BF6}" name="xsk3g-no-hash" dataDxfId="277"/>
    <tableColumn id="14" xr3:uid="{2DF3997E-0E89-9247-8E3F-769C11BE9A39}" name="xsk4g-no-hash" dataDxfId="276"/>
    <tableColumn id="15" xr3:uid="{71639B33-146E-8C43-91A4-50773E62860F}" name="2g-hash-at-both" dataDxfId="275"/>
    <tableColumn id="16" xr3:uid="{C3930278-061D-1443-A3DD-F50348A5EF8A}" name="3g-hash-at-both" dataDxfId="274"/>
    <tableColumn id="17" xr3:uid="{067BC550-F775-B84E-BD58-7F7B4F913A37}" name="4g-hash-at-both" dataDxfId="273"/>
    <tableColumn id="18" xr3:uid="{9B09046C-AAFB-F148-A954-FA901920599D}" name="xsk2g-hash-at-both" dataDxfId="272"/>
    <tableColumn id="19" xr3:uid="{AE260119-F027-AB42-8A9E-D430AE261813}" name="xsk3g-hash-at-both" dataDxfId="271"/>
    <tableColumn id="20" xr3:uid="{C3884935-CCF0-7D46-86E3-F8F575C20E80}" name="xsk4g-hash-at-both" dataDxfId="270"/>
    <tableColumn id="21" xr3:uid="{C3D20797-7F03-1042-996A-5A4933B508B3}" name="max" dataDxfId="269"/>
    <tableColumn id="23" xr3:uid="{F293379F-CAE0-5C41-8B43-7C99F14BD89B}" name="geoman" dataDxfId="268">
      <calculatedColumnFormula>_xlfn.LET(_xlpm.d,$J2:$U2,GEOMEAN(_xlpm.d))</calculatedColumnFormula>
    </tableColumn>
    <tableColumn id="24" xr3:uid="{935F81DF-B4FE-DC47-98CD-92A852CB4B60}" name="rank" dataDxfId="267">
      <calculatedColumnFormula>_xlfn.LET(_xlpm.x,W2,_xlpm.r,W$2:W$55,RANK(_xlpm.x,_xlpm.r))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125F115-CE96-124C-BCB5-7B32FE3387BF}" name="Table8" displayName="Table8" ref="U40:X49" totalsRowShown="0">
  <autoFilter ref="U40:X49" xr:uid="{6125F115-CE96-124C-BCB5-7B32FE3387BF}"/>
  <sortState xmlns:xlrd2="http://schemas.microsoft.com/office/spreadsheetml/2017/richdata2" ref="U41:X49">
    <sortCondition ref="X40:X49"/>
  </sortState>
  <tableColumns count="4">
    <tableColumn id="1" xr3:uid="{2A5C7F11-7491-0249-A57B-2166A0DD364D}" name="sample.n"/>
    <tableColumn id="2" xr3:uid="{719D996F-A464-2E46-A83F-A9F37992A85A}" name="mgv"/>
    <tableColumn id="3" xr3:uid="{B1EFE579-52ED-EA46-B5E1-4CA640251367}" name="supplemented"/>
    <tableColumn id="4" xr3:uid="{2A2E0953-8938-E54A-BB23-3DDA8617DF8C}" name="rank.average" dataDxfId="266">
      <calculatedColumnFormula array="1">_xlfn.LET(_xlpm.d,X$2:X$37,_xlpm.a,$B$2:$B$37=$U41,_xlpm.b,$C$2:$C$37=$V41,_xlpm.c,$F$2:$F$37=$W41,GEOMEAN(_xlfn._xlws.FILTER(_xlpm.d,_xlpm.a*_xlpm.b)))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526D455-A46B-CE46-B752-74F40D733B93}" name="Table5" displayName="Table5" ref="U52:X61" totalsRowShown="0">
  <autoFilter ref="U52:X61" xr:uid="{4526D455-A46B-CE46-B752-74F40D733B93}"/>
  <sortState xmlns:xlrd2="http://schemas.microsoft.com/office/spreadsheetml/2017/richdata2" ref="U53:X61">
    <sortCondition ref="V52:V61"/>
  </sortState>
  <tableColumns count="4">
    <tableColumn id="1" xr3:uid="{47639EA7-81C6-0A4E-93E5-846FBEBAD575}" name="sample.n"/>
    <tableColumn id="2" xr3:uid="{8512C9F2-EFC4-AD43-ABB5-B26A63F83E33}" name="mgv"/>
    <tableColumn id="3" xr3:uid="{FE57FE24-687F-8B4B-9DCA-B155A0819553}" name="attribute"/>
    <tableColumn id="4" xr3:uid="{91284F35-D9F8-5447-9064-49BE042ECACD}" name="rank.average" dataDxfId="265">
      <calculatedColumnFormula array="1">_xlfn.LET(_xlpm.d,X$2:X$37,_xlpm.a,$B$2:$B$37=$U53,_xlpm.b,$C$2:$C$37=$V53,_xlpm.c,$E$2:$E$37=$W53,GEOMEAN(_xlfn._xlws.FILTER(_xlpm.d,_xlpm.a*_xlpm.b)))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8E44138-0555-1D49-AB59-0F6DC37EFD1B}" name="Table6" displayName="Table6" ref="U64:X73" totalsRowShown="0">
  <autoFilter ref="U64:X73" xr:uid="{68E44138-0555-1D49-AB59-0F6DC37EFD1B}"/>
  <sortState xmlns:xlrd2="http://schemas.microsoft.com/office/spreadsheetml/2017/richdata2" ref="U65:X73">
    <sortCondition ref="V64:V73"/>
  </sortState>
  <tableColumns count="4">
    <tableColumn id="1" xr3:uid="{8D4FA30E-118E-5443-BBC7-6CE0D50BE985}" name="sample.n"/>
    <tableColumn id="2" xr3:uid="{8EA465EB-A362-4C44-B285-A35D23A01BDA}" name="mgv"/>
    <tableColumn id="3" xr3:uid="{897D808B-4378-3241-9E73-A7073BF7C2CA}" name="attribute"/>
    <tableColumn id="4" xr3:uid="{08AAB384-33B4-714F-8C9E-10AA1F5ADF55}" name="rank.average" dataDxfId="264">
      <calculatedColumnFormula array="1">_xlfn.LET(_xlpm.d,X$2:X$37,_xlpm.a,$B$2:$B$37=$U65,_xlpm.b,$C$2:$C$37=$V65,_xlpm.c,$E$2:$E$37=$W65,GEOMEAN(_xlfn._xlws.FILTER(_xlpm.d,_xlpm.a*_xlpm.b)))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94F06B5C-8902-604B-9098-0EB04DCAD715}" name="Table21" displayName="Table21" ref="A1:T13" totalsRowShown="0">
  <autoFilter ref="A1:T13" xr:uid="{94F06B5C-8902-604B-9098-0EB04DCAD715}"/>
  <tableColumns count="20">
    <tableColumn id="1" xr3:uid="{CD2B1F58-E0DD-C64E-9C14-C88C04961939}" name="lang"/>
    <tableColumn id="2" xr3:uid="{EA201B96-CA6C-5D45-852A-129C35D94F5D}" name="attribute.index"/>
    <tableColumn id="3" xr3:uid="{4140132F-9407-764A-93D2-82A5DC711F26}" name="attribute"/>
    <tableColumn id="4" xr3:uid="{6B1D2C48-2146-6E4F-AAE3-2AC0F5387125}" name="supplemented"/>
    <tableColumn id="5" xr3:uid="{1386C656-499E-BA4C-A0CF-3FB25D83306A}" name="method.index"/>
    <tableColumn id="6" xr3:uid="{9ECD7FDB-E66E-7342-BA22-52E6062959C1}" name="method"/>
    <tableColumn id="10" xr3:uid="{DC0A8DEB-DCC6-144A-AFFA-C4AA70DF4266}" name="var" dataDxfId="263">
      <calculatedColumnFormula>_xlfn.TEXTJOIN("-",TRUE,Table21[[#This Row],[attribute]],Table21[[#This Row],[supplemented]],Table21[[#This Row],[method]])</calculatedColumnFormula>
    </tableColumn>
    <tableColumn id="7" xr3:uid="{6247015E-493F-B04C-8DCE-1237D70907D5}" name="2g-no-hash" dataDxfId="262"/>
    <tableColumn id="8" xr3:uid="{34D41112-C1BA-F44D-800A-ECD3CC02265E}" name="3g-no-hash" dataDxfId="261"/>
    <tableColumn id="9" xr3:uid="{38549344-AC29-194A-B50A-9C953049471B}" name="4g-no-hash" dataDxfId="260"/>
    <tableColumn id="13" xr3:uid="{488BA1DB-1F44-1E42-B393-2D443D123D3D}" name="xsk2g-no-hash" dataDxfId="259"/>
    <tableColumn id="14" xr3:uid="{4090C108-AC77-ED47-B6C0-63F04967D4A9}" name="xsk3g-no-hash" dataDxfId="258"/>
    <tableColumn id="15" xr3:uid="{0DB67305-B90B-9641-8485-61B4A5CF10FF}" name="xsk4g-no-hash" dataDxfId="257"/>
    <tableColumn id="16" xr3:uid="{8C48C4F5-967B-2848-9B62-32590A9C46D9}" name="2g-hash-at-both" dataDxfId="256"/>
    <tableColumn id="17" xr3:uid="{801EEABB-D94C-584A-83D3-7DAA59EEA1B7}" name="3g-hash-at-both" dataDxfId="255"/>
    <tableColumn id="18" xr3:uid="{8686E135-581C-564F-A709-197B43FF14C9}" name="4g-hash-at-both" dataDxfId="254"/>
    <tableColumn id="22" xr3:uid="{8C4BDD99-4925-F249-A748-5906EFDD69D0}" name="xsk2g-hash-at-both" dataDxfId="253"/>
    <tableColumn id="23" xr3:uid="{1FB09DA8-37CA-B341-97AD-59FFF20152C1}" name="xsk3g-hash-at-both" dataDxfId="252"/>
    <tableColumn id="24" xr3:uid="{7F39519F-C0A5-5B41-8A1A-3C0A767E0EB7}" name="xsk4g-hash-at-both" dataDxfId="251"/>
    <tableColumn id="25" xr3:uid="{B77DD7F4-30A9-DF49-81AC-6EA502E4E4B0}" name="max" dataDxfId="250">
      <calculatedColumnFormula>MAX($H2:$P2)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523D8990-A8F1-2F49-B70E-208800ECBBA3}" name="Table2911131724" displayName="Table2911131724" ref="B16:T20" totalsRowShown="0">
  <autoFilter ref="B16:T20" xr:uid="{523D8990-A8F1-2F49-B70E-208800ECBBA3}"/>
  <sortState xmlns:xlrd2="http://schemas.microsoft.com/office/spreadsheetml/2017/richdata2" ref="B17:T20">
    <sortCondition ref="D16:D20"/>
  </sortState>
  <tableColumns count="19">
    <tableColumn id="1" xr3:uid="{5FEB4F35-0B0E-AA45-9CBD-6C900C0C5FF5}" name="attribute.index"/>
    <tableColumn id="2" xr3:uid="{29BB1E2C-E33C-D641-8F5A-903C41E894FB}" name="attribute"/>
    <tableColumn id="3" xr3:uid="{7B93F5B6-F7AF-2A4D-8C68-F559007DF3DF}" name="supplemented"/>
    <tableColumn id="4" xr3:uid="{ABBA1EE6-003D-3F4F-9F2D-BB71F6F7C270}" name="method.index"/>
    <tableColumn id="5" xr3:uid="{A0484423-D073-8A42-AD6C-28C786DAAA05}" name="method"/>
    <tableColumn id="19" xr3:uid="{205C12FB-EFCF-6744-9C3F-D9BBF3D4221F}" name="var" dataDxfId="249">
      <calculatedColumnFormula>_xlfn.TEXTJOIN("-",TRUE,Table2911131724[[#This Row],[attribute]],Table2911131724[[#This Row],[supplemented]],Table2911131724[[#This Row],[method]])</calculatedColumnFormula>
    </tableColumn>
    <tableColumn id="6" xr3:uid="{68D1FB63-8713-7848-9DF5-6794653971B9}" name="2g-no-hash" dataDxfId="248">
      <calculatedColumnFormula array="1">_xlfn.LET(_xlpm.d,H$2:H$13,_xlpm.a,$C$2:$C$13=$C17,_xlpm.b,$D$2:$D$13=$D17,MAX(_xlfn._xlws.FILTER(_xlpm.d,_xlpm.a*_xlpm.b)))</calculatedColumnFormula>
    </tableColumn>
    <tableColumn id="7" xr3:uid="{8DC793E3-E700-6F4A-A372-1518CB85C8E8}" name="3g-no-hash" dataDxfId="247">
      <calculatedColumnFormula array="1">_xlfn.LET(_xlpm.d,I$2:I$13,_xlpm.a,$C$2:$C$13=$C17,_xlpm.b,$D$2:$D$13=$D17,MAX(_xlfn._xlws.FILTER(_xlpm.d,_xlpm.a*_xlpm.b)))</calculatedColumnFormula>
    </tableColumn>
    <tableColumn id="8" xr3:uid="{2A55AE79-C0E2-7545-94FE-F61664F1883D}" name="4g-no-hash" dataDxfId="246">
      <calculatedColumnFormula array="1">_xlfn.LET(_xlpm.d,J$2:J$13,_xlpm.a,$C$2:$C$13=$C17,_xlpm.b,$D$2:$D$13=$D17,MAX(_xlfn._xlws.FILTER(_xlpm.d,_xlpm.a*_xlpm.b)))</calculatedColumnFormula>
    </tableColumn>
    <tableColumn id="9" xr3:uid="{4D16DD04-9C03-7C45-9C3B-778AC5165F52}" name="xsk2g-no-hash" dataDxfId="245">
      <calculatedColumnFormula array="1">_xlfn.LET(_xlpm.d,K$2:K$13,_xlpm.a,$C$2:$C$13=$C17,_xlpm.b,$D$2:$D$13=$D17,MAX(_xlfn._xlws.FILTER(_xlpm.d,_xlpm.a*_xlpm.b)))</calculatedColumnFormula>
    </tableColumn>
    <tableColumn id="10" xr3:uid="{438C6DCD-AD7B-404F-86D0-89FA5D90E211}" name="xsk3g-no-hash" dataDxfId="244">
      <calculatedColumnFormula array="1">_xlfn.LET(_xlpm.d,L$2:L$13,_xlpm.a,$C$2:$C$13=$C17,_xlpm.b,$D$2:$D$13=$D17,MAX(_xlfn._xlws.FILTER(_xlpm.d,_xlpm.a*_xlpm.b)))</calculatedColumnFormula>
    </tableColumn>
    <tableColumn id="11" xr3:uid="{BB62D028-8827-2D45-A4FC-ED93409252A5}" name="xsk4g-no-hash" dataDxfId="243">
      <calculatedColumnFormula array="1">_xlfn.LET(_xlpm.d,M$2:M$13,_xlpm.a,$C$2:$C$13=$C17,_xlpm.b,$D$2:$D$13=$D17,MAX(_xlfn._xlws.FILTER(_xlpm.d,_xlpm.a*_xlpm.b)))</calculatedColumnFormula>
    </tableColumn>
    <tableColumn id="12" xr3:uid="{49BC31E2-634D-B648-AA37-1050480193B1}" name="2g-hash-at-both" dataDxfId="242">
      <calculatedColumnFormula array="1">_xlfn.LET(_xlpm.d,N$2:N$13,_xlpm.a,$C$2:$C$13=$C17,_xlpm.b,$D$2:$D$13=$D17,MAX(_xlfn._xlws.FILTER(_xlpm.d,_xlpm.a*_xlpm.b)))</calculatedColumnFormula>
    </tableColumn>
    <tableColumn id="13" xr3:uid="{DD94441A-2367-5B49-98AA-5B4CF39F7B5D}" name="3g-hash-at-both" dataDxfId="241">
      <calculatedColumnFormula array="1">_xlfn.LET(_xlpm.d,O$2:O$13,_xlpm.a,$C$2:$C$13=$C17,_xlpm.b,$D$2:$D$13=$D17,MAX(_xlfn._xlws.FILTER(_xlpm.d,_xlpm.a*_xlpm.b)))</calculatedColumnFormula>
    </tableColumn>
    <tableColumn id="14" xr3:uid="{BB446191-3330-8B41-B300-90353312FC9F}" name="4g-hash-at-both" dataDxfId="240">
      <calculatedColumnFormula array="1">_xlfn.LET(_xlpm.d,P$2:P$13,_xlpm.a,$C$2:$C$13=$C17,_xlpm.b,$D$2:$D$13=$D17,MAX(_xlfn._xlws.FILTER(_xlpm.d,_xlpm.a*_xlpm.b)))</calculatedColumnFormula>
    </tableColumn>
    <tableColumn id="15" xr3:uid="{5326D3DF-80AB-DC45-AD8F-0C75C9F1FDAC}" name="xsk2g-hash-at-both" dataDxfId="239">
      <calculatedColumnFormula array="1">_xlfn.LET(_xlpm.d,Q$2:Q$13,_xlpm.a,$C$2:$C$13=$C17,_xlpm.b,$D$2:$D$13=$D17,MAX(_xlfn._xlws.FILTER(_xlpm.d,_xlpm.a*_xlpm.b)))</calculatedColumnFormula>
    </tableColumn>
    <tableColumn id="16" xr3:uid="{07F47039-B73B-734C-A8F0-2C72E8A9522B}" name="xsk3g-hash-at-both" dataDxfId="238">
      <calculatedColumnFormula array="1">_xlfn.LET(_xlpm.d,R$2:R$13,_xlpm.a,$C$2:$C$13=$C17,_xlpm.b,$D$2:$D$13=$D17,MAX(_xlfn._xlws.FILTER(_xlpm.d,_xlpm.a*_xlpm.b)))</calculatedColumnFormula>
    </tableColumn>
    <tableColumn id="17" xr3:uid="{C919665E-4CF7-7A4B-A65C-726F779251CA}" name="xsk4g-hash-at-both" dataDxfId="237">
      <calculatedColumnFormula array="1">_xlfn.LET(_xlpm.d,S$2:S$13,_xlpm.a,$C$2:$C$13=$C17,_xlpm.b,$D$2:$D$13=$D17,MAX(_xlfn._xlws.FILTER(_xlpm.d,_xlpm.a*_xlpm.b)))</calculatedColumnFormula>
    </tableColumn>
    <tableColumn id="18" xr3:uid="{C3543FD7-7F08-C542-ADF9-D017E803BD34}" name="max" dataDxfId="236">
      <calculatedColumnFormula array="1">_xlfn.LET(_xlpm.d,T$2:T$13,_xlpm.a,$C$2:$C$13=$C17,_xlpm.b,$D$2:$D$13=$D17,MAX(_xlfn._xlws.FILTER(_xlpm.d,_xlpm.a*_xlpm.b)))</calculatedColumnFormula>
    </tableColumn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990E2A1D-9212-2C4D-9BA8-5BB9A6690E8C}" name="Table25" displayName="Table25" ref="B23:S27" totalsRowShown="0">
  <autoFilter ref="B23:S27" xr:uid="{990E2A1D-9212-2C4D-9BA8-5BB9A6690E8C}"/>
  <sortState xmlns:xlrd2="http://schemas.microsoft.com/office/spreadsheetml/2017/richdata2" ref="B24:S27">
    <sortCondition ref="B29:B35"/>
  </sortState>
  <tableColumns count="18">
    <tableColumn id="1" xr3:uid="{C9F206D6-1DA5-5743-B00E-E330BE58B08C}" name="attribute.index"/>
    <tableColumn id="2" xr3:uid="{464BDF50-9E1F-5A45-AB53-CB530E0E9BF9}" name="attribute"/>
    <tableColumn id="3" xr3:uid="{080DCCA7-9A57-124C-8C98-F278CEF1C528}" name="supplemented"/>
    <tableColumn id="4" xr3:uid="{A60D3D50-FCDD-9641-B5ED-27F60F4B141D}" name="method.index"/>
    <tableColumn id="5" xr3:uid="{D816576C-6D16-EE45-BAF2-BD0054043B5A}" name="method"/>
    <tableColumn id="6" xr3:uid="{4DCDE0B9-D152-4B42-B46F-31A4A268CDB9}" name="var" dataDxfId="235">
      <calculatedColumnFormula>_xlfn.TEXTJOIN("-",TRUE,Table25[[#This Row],[attribute]],Table25[[#This Row],[supplemented]],Table25[[#This Row],[method]])</calculatedColumnFormula>
    </tableColumn>
    <tableColumn id="7" xr3:uid="{A3147ED8-A5AE-4042-A590-1C53BCA209FC}" name="2g-no-hash" dataDxfId="234">
      <calculatedColumnFormula>_xlfn.LET(_xlpm.d,$H15:$S15,RANK(H15,_xlpm.d))</calculatedColumnFormula>
    </tableColumn>
    <tableColumn id="8" xr3:uid="{F8F75367-32D8-6D4C-8949-924C03CCCF02}" name="3g-no-hash" dataDxfId="233">
      <calculatedColumnFormula>_xlfn.LET(_xlpm.d,$H15:$S15,RANK(I15,_xlpm.d))</calculatedColumnFormula>
    </tableColumn>
    <tableColumn id="9" xr3:uid="{51A2CEEC-2C5C-8D4C-9667-89DB180A3751}" name="4g-no-hash" dataDxfId="232">
      <calculatedColumnFormula>_xlfn.LET(_xlpm.d,$H15:$S15,RANK(J15,_xlpm.d))</calculatedColumnFormula>
    </tableColumn>
    <tableColumn id="10" xr3:uid="{B2DC0320-295C-9840-AF80-D5FC5DEEF060}" name="xsk2g-no-hash" dataDxfId="231">
      <calculatedColumnFormula>_xlfn.LET(_xlpm.d,$H15:$S15,RANK(K15,_xlpm.d))</calculatedColumnFormula>
    </tableColumn>
    <tableColumn id="11" xr3:uid="{6CA59D0E-CC67-084F-8D2C-6752D75DAFC3}" name="xsk3g-no-hash" dataDxfId="230">
      <calculatedColumnFormula>_xlfn.LET(_xlpm.d,$H15:$S15,RANK(L15,_xlpm.d))</calculatedColumnFormula>
    </tableColumn>
    <tableColumn id="12" xr3:uid="{180164BB-5704-A54F-9D4A-054B82EEA2CA}" name="xsk4g-no-hash" dataDxfId="229">
      <calculatedColumnFormula>_xlfn.LET(_xlpm.d,$H15:$S15,RANK(M15,_xlpm.d))</calculatedColumnFormula>
    </tableColumn>
    <tableColumn id="13" xr3:uid="{0DFB3780-1DDD-DF48-B120-28F0756E5136}" name="2g-hash-at-both" dataDxfId="228">
      <calculatedColumnFormula>_xlfn.LET(_xlpm.d,$H15:$S15,RANK(N15,_xlpm.d))</calculatedColumnFormula>
    </tableColumn>
    <tableColumn id="14" xr3:uid="{7663789C-1AAF-F546-B91B-74B065CCEAB8}" name="3g-hash-at-both" dataDxfId="227">
      <calculatedColumnFormula>_xlfn.LET(_xlpm.d,$H15:$S15,RANK(O15,_xlpm.d))</calculatedColumnFormula>
    </tableColumn>
    <tableColumn id="15" xr3:uid="{0F4C0459-BC36-C445-A958-A9BE38181FD0}" name="4g-hash-at-both" dataDxfId="226">
      <calculatedColumnFormula>_xlfn.LET(_xlpm.d,$H15:$S15,RANK(P15,_xlpm.d))</calculatedColumnFormula>
    </tableColumn>
    <tableColumn id="16" xr3:uid="{B66966B6-3BAC-6A4C-A598-E55C97D8717E}" name="xsk2g-hash-at-both" dataDxfId="225">
      <calculatedColumnFormula>_xlfn.LET(_xlpm.d,$H15:$S15,RANK(Q15,_xlpm.d))</calculatedColumnFormula>
    </tableColumn>
    <tableColumn id="17" xr3:uid="{EF6B5EC5-80F2-4D45-8F64-AB4EC66779D2}" name="xsk3g-hash-at-both" dataDxfId="224">
      <calculatedColumnFormula>_xlfn.LET(_xlpm.d,$H15:$S15,RANK(R15,_xlpm.d))</calculatedColumnFormula>
    </tableColumn>
    <tableColumn id="18" xr3:uid="{3EF7071C-B254-4E48-B3D8-E32FCE46CAA0}" name="xsk4g-hash-at-both" dataDxfId="223">
      <calculatedColumnFormula>_xlfn.LET(_xlpm.d,$H15:$S15,RANK(S15,_xlpm.d))</calculatedColumnFormula>
    </tableColumn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2B1DF380-F219-AF4F-BECB-ED39C897AF74}" name="Table19" displayName="Table19" ref="A1:S13" totalsRowShown="0">
  <autoFilter ref="A1:S13" xr:uid="{2B1DF380-F219-AF4F-BECB-ED39C897AF74}"/>
  <tableColumns count="19">
    <tableColumn id="1" xr3:uid="{EC628897-C94A-EE48-8BD1-749F216BC21F}" name="lang"/>
    <tableColumn id="2" xr3:uid="{500565C0-12AC-2146-98D2-FAA4FF50BD21}" name="attribute.index"/>
    <tableColumn id="3" xr3:uid="{380D7DD3-BD5C-FF45-A03C-86D226792BF2}" name="attribute"/>
    <tableColumn id="4" xr3:uid="{81A31823-4347-9B43-957C-EAF6E05A24B9}" name="supplement"/>
    <tableColumn id="5" xr3:uid="{A3C0AABB-6A23-D243-9168-58972617AF9D}" name="method.index"/>
    <tableColumn id="6" xr3:uid="{0E7C168D-4A70-A74F-A168-77AA0D40703A}" name="method"/>
    <tableColumn id="7" xr3:uid="{AE0DA7F5-212C-8B46-8BF4-4A2E3C8D7CE6}" name="2g-no-hash" dataDxfId="222"/>
    <tableColumn id="8" xr3:uid="{DEE4DBB2-CBF7-5F47-9CB2-B47D87B41DA9}" name="3g-no-hash" dataDxfId="221"/>
    <tableColumn id="9" xr3:uid="{54E4F89A-5175-CB4B-ABC5-F5100C6E29E8}" name="4g-no-hash" dataDxfId="220"/>
    <tableColumn id="10" xr3:uid="{A3C284FD-3962-EF45-818E-5E48C9692311}" name="xsk2g-no-hash" dataDxfId="219"/>
    <tableColumn id="11" xr3:uid="{09027AB5-72F8-1547-B963-C76D9970420D}" name="xsk3g-no-hash" dataDxfId="218"/>
    <tableColumn id="12" xr3:uid="{B136D43E-2199-D34E-ACCB-E3C59973D35A}" name="xsk4g-no-hash" dataDxfId="217"/>
    <tableColumn id="13" xr3:uid="{E66079F7-C158-EB40-B93B-00085078FA6D}" name="2g-hash-at-both" dataDxfId="216"/>
    <tableColumn id="14" xr3:uid="{EC1C2433-D2F1-014D-A403-B993F03CAA4F}" name="3g-hash-at-both" dataDxfId="215"/>
    <tableColumn id="15" xr3:uid="{8477019A-0A93-C34D-9C9A-E1DF6473906D}" name="4g-hash-at-both" dataDxfId="214"/>
    <tableColumn id="16" xr3:uid="{F5ADEEE4-F41B-3846-92DE-A8BD2D345FF7}" name="xsk2g-hash-at-both" dataDxfId="213"/>
    <tableColumn id="17" xr3:uid="{8469973E-F68F-E24C-A71D-7CBCC68BD69D}" name="xsk3g-hash-at-both" dataDxfId="212"/>
    <tableColumn id="18" xr3:uid="{C2E7FDC5-7FAE-254B-BA9D-B3DA0511413D}" name="xsk4g-hash-at-both" dataDxfId="211"/>
    <tableColumn id="19" xr3:uid="{2241CE4C-EBEC-F54E-9BB7-2E109563D530}" name="max" dataDxfId="210">
      <calculatedColumnFormula>MAX($G2:$R2)</calculatedColumnFormula>
    </tableColumn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B89A1854-E7AB-5547-AC2F-F9F9C54A411A}" name="Table2911131721" displayName="Table2911131721" ref="B16:S20" totalsRowShown="0">
  <autoFilter ref="B16:S20" xr:uid="{B89A1854-E7AB-5547-AC2F-F9F9C54A411A}"/>
  <tableColumns count="18">
    <tableColumn id="1" xr3:uid="{8AEFDC6B-0279-0C4B-8B4D-1B0EFF48EEF1}" name="attribute.index"/>
    <tableColumn id="2" xr3:uid="{47025C20-420C-1C49-945A-AC0364F4D25A}" name="attribute"/>
    <tableColumn id="3" xr3:uid="{362E9B2A-7B63-C041-AA6C-E10CE64F2E09}" name="supplemented"/>
    <tableColumn id="4" xr3:uid="{C13D5BBF-BA57-324A-A51E-9A304A912858}" name="method.index"/>
    <tableColumn id="5" xr3:uid="{A7563785-3202-0745-A755-1002FDABA0D6}" name="metric"/>
    <tableColumn id="6" xr3:uid="{BE2A500C-AB3A-7548-9C3F-B61A31655651}" name="2g-no-hash" dataDxfId="209">
      <calculatedColumnFormula array="1">_xlfn.LET(_xlpm.d,G$2:G$13,_xlpm.a,$C$2:$C$13=$C17,_xlpm.b,$D$2:$D$13=$D17,MAX(_xlfn._xlws.FILTER(_xlpm.d,_xlpm.a*_xlpm.b)))</calculatedColumnFormula>
    </tableColumn>
    <tableColumn id="7" xr3:uid="{CEFB76A6-26B8-034D-91EE-CAC7128E6F85}" name="3g-no-hash" dataDxfId="208">
      <calculatedColumnFormula array="1">_xlfn.LET(_xlpm.d,H$2:H$13,_xlpm.a,$C$2:$C$13=$C17,_xlpm.b,$D$2:$D$13=$D17,MAX(_xlfn._xlws.FILTER(_xlpm.d,_xlpm.a*_xlpm.b)))</calculatedColumnFormula>
    </tableColumn>
    <tableColumn id="8" xr3:uid="{9798908A-1070-A045-A7E1-E3451C16F4D7}" name="4g-no-hash" dataDxfId="207">
      <calculatedColumnFormula array="1">_xlfn.LET(_xlpm.d,I$2:I$13,_xlpm.a,$C$2:$C$13=$C17,_xlpm.b,$D$2:$D$13=$D17,MAX(_xlfn._xlws.FILTER(_xlpm.d,_xlpm.a*_xlpm.b)))</calculatedColumnFormula>
    </tableColumn>
    <tableColumn id="9" xr3:uid="{93DE78AF-0D51-AD48-B761-E78589E70CE0}" name="xsk2g-no-hash" dataDxfId="206">
      <calculatedColumnFormula array="1">_xlfn.LET(_xlpm.d,J$2:J$13,_xlpm.a,$C$2:$C$13=$C17,_xlpm.b,$D$2:$D$13=$D17,MAX(_xlfn._xlws.FILTER(_xlpm.d,_xlpm.a*_xlpm.b)))</calculatedColumnFormula>
    </tableColumn>
    <tableColumn id="10" xr3:uid="{87DF81D2-0C25-664E-B7CC-2C55F219AC6D}" name="xsk3g-no-hash" dataDxfId="205">
      <calculatedColumnFormula array="1">_xlfn.LET(_xlpm.d,K$2:K$13,_xlpm.a,$C$2:$C$13=$C17,_xlpm.b,$D$2:$D$13=$D17,MAX(_xlfn._xlws.FILTER(_xlpm.d,_xlpm.a*_xlpm.b)))</calculatedColumnFormula>
    </tableColumn>
    <tableColumn id="11" xr3:uid="{28684FBB-A534-E644-877C-831EFF959CE6}" name="xsk4g-no-hash" dataDxfId="204">
      <calculatedColumnFormula array="1">_xlfn.LET(_xlpm.d,L$2:L$13,_xlpm.a,$C$2:$C$13=$C17,_xlpm.b,$D$2:$D$13=$D17,MAX(_xlfn._xlws.FILTER(_xlpm.d,_xlpm.a*_xlpm.b)))</calculatedColumnFormula>
    </tableColumn>
    <tableColumn id="12" xr3:uid="{64F2E368-6D06-A949-98C3-D69B3322B3A2}" name="2g-hash-at-both" dataDxfId="203">
      <calculatedColumnFormula array="1">_xlfn.LET(_xlpm.d,M$2:M$13,_xlpm.a,$C$2:$C$13=$C17,_xlpm.b,$D$2:$D$13=$D17,MAX(_xlfn._xlws.FILTER(_xlpm.d,_xlpm.a*_xlpm.b)))</calculatedColumnFormula>
    </tableColumn>
    <tableColumn id="13" xr3:uid="{E8D32DE1-FBE7-4544-87C3-B74C1C947B9B}" name="3g-hash-at-both" dataDxfId="202">
      <calculatedColumnFormula array="1">_xlfn.LET(_xlpm.d,N$2:N$13,_xlpm.a,$C$2:$C$13=$C17,_xlpm.b,$D$2:$D$13=$D17,MAX(_xlfn._xlws.FILTER(_xlpm.d,_xlpm.a*_xlpm.b)))</calculatedColumnFormula>
    </tableColumn>
    <tableColumn id="14" xr3:uid="{B341090E-E956-344C-BD48-A79E02074B13}" name="4g-hash-at-both" dataDxfId="201">
      <calculatedColumnFormula array="1">_xlfn.LET(_xlpm.d,O$2:O$13,_xlpm.a,$C$2:$C$13=$C17,_xlpm.b,$D$2:$D$13=$D17,MAX(_xlfn._xlws.FILTER(_xlpm.d,_xlpm.a*_xlpm.b)))</calculatedColumnFormula>
    </tableColumn>
    <tableColumn id="15" xr3:uid="{DF61E0E3-C9D9-AA41-8D2C-B1E653214B49}" name="xsk2g-hash-at-both" dataDxfId="200">
      <calculatedColumnFormula array="1">_xlfn.LET(_xlpm.d,P$2:P$13,_xlpm.a,$C$2:$C$13=$C17,_xlpm.b,$D$2:$D$13=$D17,MAX(_xlfn._xlws.FILTER(_xlpm.d,_xlpm.a*_xlpm.b)))</calculatedColumnFormula>
    </tableColumn>
    <tableColumn id="16" xr3:uid="{18E1EBC0-776D-4841-9245-6540E4154A36}" name="xsk3g-hash-at-both" dataDxfId="199">
      <calculatedColumnFormula array="1">_xlfn.LET(_xlpm.d,Q$2:Q$13,_xlpm.a,$C$2:$C$13=$C17,_xlpm.b,$D$2:$D$13=$D17,MAX(_xlfn._xlws.FILTER(_xlpm.d,_xlpm.a*_xlpm.b)))</calculatedColumnFormula>
    </tableColumn>
    <tableColumn id="17" xr3:uid="{0B09DE06-30E7-7F43-9FCD-84A912466D6C}" name="xsk4g-hash-at-both" dataDxfId="198">
      <calculatedColumnFormula array="1">_xlfn.LET(_xlpm.d,R$2:R$13,_xlpm.a,$C$2:$C$13=$C17,_xlpm.b,$D$2:$D$13=$D17,MAX(_xlfn._xlws.FILTER(_xlpm.d,_xlpm.a*_xlpm.b)))</calculatedColumnFormula>
    </tableColumn>
    <tableColumn id="18" xr3:uid="{9977F883-D16C-3C45-B390-304AB9536BD6}" name="max" dataDxfId="197">
      <calculatedColumnFormula array="1">_xlfn.LET(_xlpm.d,S$2:S$13,_xlpm.a,$C$2:$C$13=$C17,_xlpm.b,$D$2:$D$13=$D17,MAX(_xlfn._xlws.FILTER(_xlpm.d,_xlpm.a*_xlpm.b)))</calculatedColumnFormula>
    </tableColumn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B3BCC431-521D-6B4B-B272-63323779FC2C}" name="Table17" displayName="Table17" ref="A1:T13" totalsRowShown="0">
  <autoFilter ref="A1:T13" xr:uid="{B3BCC431-521D-6B4B-B272-63323779FC2C}"/>
  <tableColumns count="20">
    <tableColumn id="1" xr3:uid="{45FC7BC1-C879-B846-A26F-4E069F7A0F5D}" name="lang"/>
    <tableColumn id="2" xr3:uid="{4DDC1BA0-D48C-D749-A413-242F5D4EBEDE}" name="attribute.index"/>
    <tableColumn id="3" xr3:uid="{4E4A2794-2DCA-814D-9A7F-27974CF23DE9}" name="attribute"/>
    <tableColumn id="4" xr3:uid="{5BB12BDC-6E7E-344B-A309-3CCE56F39999}" name="supplemented"/>
    <tableColumn id="5" xr3:uid="{523E8118-07D8-CF4F-8AAD-6ABFA40F3162}" name="method.index"/>
    <tableColumn id="6" xr3:uid="{4B11E9FC-D4F4-0E4F-99DD-8D40F5DCBC8F}" name="method"/>
    <tableColumn id="20" xr3:uid="{E3B868C1-CFC5-DD4E-9F72-6397A7BE31F3}" name="var" dataDxfId="196">
      <calculatedColumnFormula>_xlfn.TEXTJOIN("-",TRUE,Table17[[#This Row],[attribute]],Table17[[#This Row],[supplemented]],Table17[[#This Row],[method]])</calculatedColumnFormula>
    </tableColumn>
    <tableColumn id="7" xr3:uid="{8E6FAC47-1DED-CC4E-8F9B-BBB77A797AB4}" name="2g-no-hash" dataDxfId="195"/>
    <tableColumn id="8" xr3:uid="{D5230301-F0D7-3D40-83A8-33720B939C5C}" name="3g-no-hash" dataDxfId="194"/>
    <tableColumn id="9" xr3:uid="{0BAE76E8-84CF-CF4B-A083-747C0DCD5141}" name="4g-no-hash" dataDxfId="193"/>
    <tableColumn id="10" xr3:uid="{9372BA84-54B3-F449-8712-93A5862027D2}" name="xsk2g-no-hash" dataDxfId="192"/>
    <tableColumn id="11" xr3:uid="{2F841236-24DD-B54C-9F62-5CAD94535544}" name="xsk3g-no-hash" dataDxfId="191"/>
    <tableColumn id="12" xr3:uid="{4A4992C5-85EC-ED4A-8098-6B58D0A9DD8A}" name="xsk4g-no-hash" dataDxfId="190"/>
    <tableColumn id="13" xr3:uid="{4D245FFF-2EA0-CF47-811D-CF84658DD712}" name="2g-hash-at-both" dataDxfId="189"/>
    <tableColumn id="14" xr3:uid="{1624C4EE-F429-294D-A6BC-1236EF6E126A}" name="3g-hash-at-both" dataDxfId="188"/>
    <tableColumn id="15" xr3:uid="{3261E683-B167-4D42-A9D5-F7B030E7058F}" name="4g-hash-at-both" dataDxfId="187"/>
    <tableColumn id="16" xr3:uid="{EBA0C28C-5030-DC49-94B8-1E55CDFECD53}" name="xsk2g-hash-at-both" dataDxfId="186"/>
    <tableColumn id="17" xr3:uid="{69BF66E5-8017-354B-958F-7819C58CE6B2}" name="xsk3g-hash-at-both" dataDxfId="185"/>
    <tableColumn id="18" xr3:uid="{E9CC5B7D-2CC3-1C47-A559-19D507BBF454}" name="xsk4g-hash-at-both" dataDxfId="184"/>
    <tableColumn id="19" xr3:uid="{C4A4D7D1-74CD-8647-8ABD-234C77B95D59}" name="max" dataDxfId="183">
      <calculatedColumnFormula>MAX($H2:$S2)</calculatedColumnFormula>
    </tableColumn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A7BEBAA4-8AB4-2248-B34A-F31E15B855D2}" name="Table2911131719" displayName="Table2911131719" ref="B16:T20" totalsRowShown="0">
  <autoFilter ref="B16:T20" xr:uid="{A7BEBAA4-8AB4-2248-B34A-F31E15B855D2}"/>
  <tableColumns count="19">
    <tableColumn id="1" xr3:uid="{2CF15900-BE29-F547-9D73-0F4E3ACD4DAD}" name="attribute.index"/>
    <tableColumn id="2" xr3:uid="{8DC0C32D-BEE2-944A-A55F-544658D72FDD}" name="attribute"/>
    <tableColumn id="3" xr3:uid="{7000254E-D422-2844-BA9D-B61EF1410B59}" name="supplemented"/>
    <tableColumn id="4" xr3:uid="{90C7D911-B189-F542-BD56-4E3812DF6BE2}" name="method.index"/>
    <tableColumn id="5" xr3:uid="{214B64D4-02AC-A540-9FA1-F631BE77730A}" name="method"/>
    <tableColumn id="19" xr3:uid="{1A852682-1FDF-8A45-B7AF-6A32638250B5}" name="var" dataDxfId="182">
      <calculatedColumnFormula>_xlfn.TEXTJOIN("-",TRUE,Table2911131719[[#This Row],[attribute]],Table2911131719[[#This Row],[supplemented]],Table2911131719[[#This Row],[method]])</calculatedColumnFormula>
    </tableColumn>
    <tableColumn id="6" xr3:uid="{E3C9F46C-7A0F-AB4A-B204-E2E658756862}" name="2g-no-hash" dataDxfId="181">
      <calculatedColumnFormula array="1">_xlfn.LET(_xlpm.d,H$2:H$13,_xlpm.a,$C$2:$C$13=$C17,_xlpm.b,$D$2:$D$13=$D17,MAX(_xlfn._xlws.FILTER(_xlpm.d,_xlpm.a*_xlpm.b)))</calculatedColumnFormula>
    </tableColumn>
    <tableColumn id="7" xr3:uid="{4EE59E22-9C2B-8548-BD6B-445728AA9007}" name="3g-no-hash" dataDxfId="180">
      <calculatedColumnFormula array="1">_xlfn.LET(_xlpm.d,I$2:I$13,_xlpm.a,$C$2:$C$13=$C17,_xlpm.b,$D$2:$D$13=$D17,MAX(_xlfn._xlws.FILTER(_xlpm.d,_xlpm.a*_xlpm.b)))</calculatedColumnFormula>
    </tableColumn>
    <tableColumn id="8" xr3:uid="{8C6EB5D7-DAB8-2D4B-A94E-234731FC3E97}" name="4g-no-hash" dataDxfId="179">
      <calculatedColumnFormula array="1">_xlfn.LET(_xlpm.d,J$2:J$13,_xlpm.a,$C$2:$C$13=$C17,_xlpm.b,$D$2:$D$13=$D17,MAX(_xlfn._xlws.FILTER(_xlpm.d,_xlpm.a*_xlpm.b)))</calculatedColumnFormula>
    </tableColumn>
    <tableColumn id="9" xr3:uid="{7ED9B400-4DFD-124D-AE1D-3E4F82FDB448}" name="xsk2g-no-hash" dataDxfId="178">
      <calculatedColumnFormula array="1">_xlfn.LET(_xlpm.d,K$2:K$13,_xlpm.a,$C$2:$C$13=$C17,_xlpm.b,$D$2:$D$13=$D17,MAX(_xlfn._xlws.FILTER(_xlpm.d,_xlpm.a*_xlpm.b)))</calculatedColumnFormula>
    </tableColumn>
    <tableColumn id="10" xr3:uid="{A7F16FF9-1E71-8641-ABCF-650E277CDA27}" name="xsk3g-no-hash" dataDxfId="177">
      <calculatedColumnFormula array="1">_xlfn.LET(_xlpm.d,L$2:L$13,_xlpm.a,$C$2:$C$13=$C17,_xlpm.b,$D$2:$D$13=$D17,MAX(_xlfn._xlws.FILTER(_xlpm.d,_xlpm.a*_xlpm.b)))</calculatedColumnFormula>
    </tableColumn>
    <tableColumn id="11" xr3:uid="{F16DF028-CD86-A84C-A23C-44ED9E5C6F55}" name="xsk4g-no-hash" dataDxfId="176">
      <calculatedColumnFormula array="1">_xlfn.LET(_xlpm.d,M$2:M$13,_xlpm.a,$C$2:$C$13=$C17,_xlpm.b,$D$2:$D$13=$D17,MAX(_xlfn._xlws.FILTER(_xlpm.d,_xlpm.a*_xlpm.b)))</calculatedColumnFormula>
    </tableColumn>
    <tableColumn id="12" xr3:uid="{51F39150-81BC-8C45-BF12-1EEC495521D8}" name="2g-hash-at-both" dataDxfId="175">
      <calculatedColumnFormula array="1">_xlfn.LET(_xlpm.d,N$2:N$13,_xlpm.a,$C$2:$C$13=$C17,_xlpm.b,$D$2:$D$13=$D17,MAX(_xlfn._xlws.FILTER(_xlpm.d,_xlpm.a*_xlpm.b)))</calculatedColumnFormula>
    </tableColumn>
    <tableColumn id="13" xr3:uid="{25ED3F04-FC1A-864D-B3A9-0429F9E315C4}" name="3g-hash-at-both" dataDxfId="174">
      <calculatedColumnFormula array="1">_xlfn.LET(_xlpm.d,O$2:O$13,_xlpm.a,$C$2:$C$13=$C17,_xlpm.b,$D$2:$D$13=$D17,MAX(_xlfn._xlws.FILTER(_xlpm.d,_xlpm.a*_xlpm.b)))</calculatedColumnFormula>
    </tableColumn>
    <tableColumn id="14" xr3:uid="{0480F381-55B4-E440-BBC5-9EC674E4C7DC}" name="4g-hash-at-both" dataDxfId="173">
      <calculatedColumnFormula array="1">_xlfn.LET(_xlpm.d,P$2:P$13,_xlpm.a,$C$2:$C$13=$C17,_xlpm.b,$D$2:$D$13=$D17,MAX(_xlfn._xlws.FILTER(_xlpm.d,_xlpm.a*_xlpm.b)))</calculatedColumnFormula>
    </tableColumn>
    <tableColumn id="15" xr3:uid="{979258D1-51EE-F94C-B757-0038719D5866}" name="xsk2g-hash-at-both" dataDxfId="172">
      <calculatedColumnFormula array="1">_xlfn.LET(_xlpm.d,Q$2:Q$13,_xlpm.a,$C$2:$C$13=$C17,_xlpm.b,$D$2:$D$13=$D17,MAX(_xlfn._xlws.FILTER(_xlpm.d,_xlpm.a*_xlpm.b)))</calculatedColumnFormula>
    </tableColumn>
    <tableColumn id="16" xr3:uid="{231BC4B0-5B1C-B441-AC66-CEB8A2280C5D}" name="xsk3g-hash-at-both" dataDxfId="171">
      <calculatedColumnFormula array="1">_xlfn.LET(_xlpm.d,R$2:R$13,_xlpm.a,$C$2:$C$13=$C17,_xlpm.b,$D$2:$D$13=$D17,MAX(_xlfn._xlws.FILTER(_xlpm.d,_xlpm.a*_xlpm.b)))</calculatedColumnFormula>
    </tableColumn>
    <tableColumn id="17" xr3:uid="{9FF9FEED-4760-C94C-93D9-87A15701CDB3}" name="xsk4g-hash-at-both" dataDxfId="170">
      <calculatedColumnFormula array="1">_xlfn.LET(_xlpm.d,S$2:S$13,_xlpm.a,$C$2:$C$13=$C17,_xlpm.b,$D$2:$D$13=$D17,MAX(_xlfn._xlws.FILTER(_xlpm.d,_xlpm.a*_xlpm.b)))</calculatedColumnFormula>
    </tableColumn>
    <tableColumn id="18" xr3:uid="{1FFF68AE-2A21-374C-9B0F-285B8FFAEA5F}" name="max" dataDxfId="169">
      <calculatedColumnFormula array="1">_xlfn.LET(_xlpm.d,T$2:T$13,_xlpm.a,$C$2:$C$13=$C17,_xlpm.b,$D$2:$D$13=$D17,MAX(_xlfn._xlws.FILTER(_xlpm.d,_xlpm.a*_xlpm.b)))</calculatedColumnFormula>
    </tableColumn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67DD2D4F-6B10-9646-8916-C6FAA4767ED6}" name="Table2525" displayName="Table2525" ref="B23:S27" totalsRowShown="0">
  <autoFilter ref="B23:S27" xr:uid="{67DD2D4F-6B10-9646-8916-C6FAA4767ED6}"/>
  <sortState xmlns:xlrd2="http://schemas.microsoft.com/office/spreadsheetml/2017/richdata2" ref="B24:S27">
    <sortCondition ref="B29:B35"/>
  </sortState>
  <tableColumns count="18">
    <tableColumn id="1" xr3:uid="{4AB2628D-3D9F-BF46-84B2-8FBD74D82238}" name="attribute.index"/>
    <tableColumn id="2" xr3:uid="{12006589-7921-0444-9F5B-CD6EE5D28E45}" name="attribute"/>
    <tableColumn id="3" xr3:uid="{FFC625D2-B30F-454C-AB42-095CE3191225}" name="supplemented"/>
    <tableColumn id="4" xr3:uid="{7E23FEED-7697-BA44-AA47-6EFBCA5D22C1}" name="method.index"/>
    <tableColumn id="5" xr3:uid="{3FDEE413-2B54-C04A-8E06-E586381D7CEA}" name="method"/>
    <tableColumn id="6" xr3:uid="{5F9AD799-3B1F-3B41-833E-2AE0CAB4AFE5}" name="var" dataDxfId="168">
      <calculatedColumnFormula>_xlfn.TEXTJOIN("-",TRUE,Table2525[[#This Row],[attribute]],Table2525[[#This Row],[supplemented]],Table2525[[#This Row],[method]])</calculatedColumnFormula>
    </tableColumn>
    <tableColumn id="7" xr3:uid="{9DFE38ED-7450-F94B-8519-86EE4D1DC340}" name="2g-no-hash" dataDxfId="167">
      <calculatedColumnFormula>_xlfn.LET(_xlpm.d,$H17:$S17,RANK(H17,_xlpm.d))</calculatedColumnFormula>
    </tableColumn>
    <tableColumn id="8" xr3:uid="{A1103D44-31D6-8D4A-8FED-63E95EC0E341}" name="3g-no-hash" dataDxfId="166">
      <calculatedColumnFormula>_xlfn.LET(_xlpm.d,$H17:$S17,RANK(I17,_xlpm.d))</calculatedColumnFormula>
    </tableColumn>
    <tableColumn id="9" xr3:uid="{C9B18305-3970-8940-83CA-82E7908BF6F6}" name="4g-no-hash" dataDxfId="165">
      <calculatedColumnFormula>_xlfn.LET(_xlpm.d,$H17:$S17,RANK(J17,_xlpm.d))</calculatedColumnFormula>
    </tableColumn>
    <tableColumn id="10" xr3:uid="{44FDD2F5-1BB8-8D42-B457-6F9811876F65}" name="xsk2g-no-hash" dataDxfId="164">
      <calculatedColumnFormula>_xlfn.LET(_xlpm.d,$H17:$S17,RANK(K17,_xlpm.d))</calculatedColumnFormula>
    </tableColumn>
    <tableColumn id="11" xr3:uid="{F7BD1EBF-CE69-8240-B8E0-BABA48B84135}" name="xsk3g-no-hash" dataDxfId="163">
      <calculatedColumnFormula>_xlfn.LET(_xlpm.d,$H17:$S17,RANK(L17,_xlpm.d))</calculatedColumnFormula>
    </tableColumn>
    <tableColumn id="12" xr3:uid="{7B3627BF-CDED-5249-8EA8-F93D8118CDE7}" name="xsk4g-no-hash" dataDxfId="162">
      <calculatedColumnFormula>_xlfn.LET(_xlpm.d,$H17:$S17,RANK(M17,_xlpm.d))</calculatedColumnFormula>
    </tableColumn>
    <tableColumn id="13" xr3:uid="{B081C054-0200-DE41-A966-5280A7A942EB}" name="2g-hash-at-both" dataDxfId="161">
      <calculatedColumnFormula>_xlfn.LET(_xlpm.d,$H17:$S17,RANK(N17,_xlpm.d))</calculatedColumnFormula>
    </tableColumn>
    <tableColumn id="14" xr3:uid="{9D5155A9-7E54-DB45-9445-04A15CB2AF00}" name="3g-hash-at-both" dataDxfId="160">
      <calculatedColumnFormula>_xlfn.LET(_xlpm.d,$H17:$S17,RANK(O17,_xlpm.d))</calculatedColumnFormula>
    </tableColumn>
    <tableColumn id="15" xr3:uid="{A0ADA080-89AD-8440-92D2-34A17C5F9A8D}" name="4g-hash-at-both" dataDxfId="159">
      <calculatedColumnFormula>_xlfn.LET(_xlpm.d,$H17:$S17,RANK(P17,_xlpm.d))</calculatedColumnFormula>
    </tableColumn>
    <tableColumn id="16" xr3:uid="{7F414520-BE3E-1D4B-B675-A409474CDC8F}" name="xsk2g-hash-at-both" dataDxfId="158">
      <calculatedColumnFormula>_xlfn.LET(_xlpm.d,$H17:$S17,RANK(Q17,_xlpm.d))</calculatedColumnFormula>
    </tableColumn>
    <tableColumn id="17" xr3:uid="{EE8A3BA7-732A-E343-AEFB-8FD0D127C6B6}" name="xsk3g-hash-at-both" dataDxfId="157">
      <calculatedColumnFormula>_xlfn.LET(_xlpm.d,$H17:$S17,RANK(R17,_xlpm.d))</calculatedColumnFormula>
    </tableColumn>
    <tableColumn id="18" xr3:uid="{6E9600AF-3987-4842-B1EF-C313220D3F7D}" name="xsk4g-hash-at-both" dataDxfId="156">
      <calculatedColumnFormula>_xlfn.LET(_xlpm.d,$H17:$S17,RANK(S17,_xlpm.d))</calculatedColumnFormula>
    </tableColumn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7630AF24-2F16-234D-A192-30A6100A6C72}" name="Table15" displayName="Table15" ref="A1:S13" totalsRowShown="0">
  <autoFilter ref="A1:S13" xr:uid="{7630AF24-2F16-234D-A192-30A6100A6C72}"/>
  <tableColumns count="19">
    <tableColumn id="1" xr3:uid="{E8FF949D-C564-4E4C-A1CF-9D54B22760AF}" name="lang"/>
    <tableColumn id="2" xr3:uid="{0B31DDDE-CF71-D44E-B54E-E7F0C71C87DA}" name="attribute.index"/>
    <tableColumn id="3" xr3:uid="{EBE98B02-8B97-D742-91E1-59E774DCA7B3}" name="attribute"/>
    <tableColumn id="4" xr3:uid="{5BA6C56D-4EBD-F74B-8046-404C8EDED16E}" name="supplement"/>
    <tableColumn id="5" xr3:uid="{DB46F58E-5CE5-3141-BA96-F09854FD7A20}" name="method.index"/>
    <tableColumn id="6" xr3:uid="{698AB1D2-E912-F14A-810B-0ADFAF850E98}" name="method"/>
    <tableColumn id="7" xr3:uid="{18089975-109C-7B46-85AA-189A63ABF35F}" name="2g-no-hash" dataDxfId="155"/>
    <tableColumn id="8" xr3:uid="{9A22928D-8FE2-BC43-92F1-8764BA1491ED}" name="3g-no-hash" dataDxfId="154"/>
    <tableColumn id="9" xr3:uid="{93868A89-7690-2449-BC30-F4022A77E18B}" name="4g-no-hash" dataDxfId="153"/>
    <tableColumn id="10" xr3:uid="{A256FC4F-B334-A140-933E-7AABBE6B7488}" name="xsk2g-no-hash" dataDxfId="152"/>
    <tableColumn id="11" xr3:uid="{70879A7B-25EA-6C49-B605-B98FE6215BC9}" name="xsk3g-no-hash" dataDxfId="151"/>
    <tableColumn id="12" xr3:uid="{DCBD40C1-67B0-B142-BC0E-C439CEFADCBC}" name="xsk4g-no-hash" dataDxfId="150"/>
    <tableColumn id="13" xr3:uid="{FBF91353-066B-E546-864C-0169BA4CFF91}" name="2g-hash-at-both" dataDxfId="149"/>
    <tableColumn id="14" xr3:uid="{69B25BF5-D7D9-0E44-A454-2BBA278558DF}" name="3g-hash-at-both" dataDxfId="148"/>
    <tableColumn id="15" xr3:uid="{220E5808-E56C-6A4A-8A5B-D88A278AAC7E}" name="4g-hash-at-both" dataDxfId="147"/>
    <tableColumn id="16" xr3:uid="{16D782D4-7CD8-F544-A971-92D7E1D81102}" name="xsk2g-hash-at-both" dataDxfId="146"/>
    <tableColumn id="17" xr3:uid="{465A985A-B5AB-EC48-82DA-8DEFE72EEAF1}" name="xsk3g-hash-at-both" dataDxfId="145"/>
    <tableColumn id="18" xr3:uid="{BA803D29-78D9-B44C-AFA4-E50D5AFED6A2}" name="xsk4g-hash-at-both" dataDxfId="144"/>
    <tableColumn id="19" xr3:uid="{D4019358-5FF6-3D49-85C2-775D98C72C09}" name="max" dataDxfId="143">
      <calculatedColumnFormula>MAX($G2:$R2)</calculatedColumnFormula>
    </tableColumn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C535D604-6E59-A148-A840-A752EF6B42C9}" name="Table29111317" displayName="Table29111317" ref="B16:S20" totalsRowShown="0">
  <autoFilter ref="B16:S20" xr:uid="{C535D604-6E59-A148-A840-A752EF6B42C9}"/>
  <tableColumns count="18">
    <tableColumn id="1" xr3:uid="{6BCCFA27-06F7-5148-9191-F0DB293D3B9A}" name="attribute.index"/>
    <tableColumn id="2" xr3:uid="{82BEDCAC-7D9D-6C43-84CB-D4B49FECBDBD}" name="attribute"/>
    <tableColumn id="3" xr3:uid="{95D30FBB-4D57-0148-88BE-69F2D50D61CD}" name="supplemented"/>
    <tableColumn id="4" xr3:uid="{6EFD75AE-C034-DF44-8EDD-7092FDFAF091}" name="method.index"/>
    <tableColumn id="5" xr3:uid="{7C09314E-21B9-E64A-A440-B2860052A9D4}" name="metric"/>
    <tableColumn id="6" xr3:uid="{6230A5EE-3A60-5B4B-9611-7E3501FC5E7A}" name="2g-no-hash" dataDxfId="142">
      <calculatedColumnFormula array="1">_xlfn.LET(_xlpm.d,G$2:G$13,_xlpm.a,$C$2:$C$13=$C17,_xlpm.b,$D$2:$D$13=$D17,MAX(_xlfn._xlws.FILTER(_xlpm.d,_xlpm.a*_xlpm.b)))</calculatedColumnFormula>
    </tableColumn>
    <tableColumn id="7" xr3:uid="{AA15333C-63FF-E546-8F16-D659440A7F95}" name="3g-no-hash" dataDxfId="141">
      <calculatedColumnFormula array="1">_xlfn.LET(_xlpm.d,H$2:H$13,_xlpm.a,$C$2:$C$13=$C17,_xlpm.b,$D$2:$D$13=$D17,MAX(_xlfn._xlws.FILTER(_xlpm.d,_xlpm.a*_xlpm.b)))</calculatedColumnFormula>
    </tableColumn>
    <tableColumn id="8" xr3:uid="{B37485D6-BD55-1242-AE24-7C7CCAD6B555}" name="4g-no-hash" dataDxfId="140">
      <calculatedColumnFormula array="1">_xlfn.LET(_xlpm.d,I$2:I$13,_xlpm.a,$C$2:$C$13=$C17,_xlpm.b,$D$2:$D$13=$D17,MAX(_xlfn._xlws.FILTER(_xlpm.d,_xlpm.a*_xlpm.b)))</calculatedColumnFormula>
    </tableColumn>
    <tableColumn id="9" xr3:uid="{4DE83401-5A81-0040-9F96-5FE45E96D05C}" name="xsk2g-no-hash" dataDxfId="139">
      <calculatedColumnFormula array="1">_xlfn.LET(_xlpm.d,J$2:J$13,_xlpm.a,$C$2:$C$13=$C17,_xlpm.b,$D$2:$D$13=$D17,MAX(_xlfn._xlws.FILTER(_xlpm.d,_xlpm.a*_xlpm.b)))</calculatedColumnFormula>
    </tableColumn>
    <tableColumn id="10" xr3:uid="{8DB13123-DBC9-9642-A05E-CE7CA5548594}" name="xsk3g-no-hash" dataDxfId="138">
      <calculatedColumnFormula array="1">_xlfn.LET(_xlpm.d,K$2:K$13,_xlpm.a,$C$2:$C$13=$C17,_xlpm.b,$D$2:$D$13=$D17,MAX(_xlfn._xlws.FILTER(_xlpm.d,_xlpm.a*_xlpm.b)))</calculatedColumnFormula>
    </tableColumn>
    <tableColumn id="11" xr3:uid="{7418C2C8-73B1-C04B-8481-43643CC927FA}" name="xsk4g-no-hash" dataDxfId="137">
      <calculatedColumnFormula array="1">_xlfn.LET(_xlpm.d,L$2:L$13,_xlpm.a,$C$2:$C$13=$C17,_xlpm.b,$D$2:$D$13=$D17,MAX(_xlfn._xlws.FILTER(_xlpm.d,_xlpm.a*_xlpm.b)))</calculatedColumnFormula>
    </tableColumn>
    <tableColumn id="12" xr3:uid="{BE3223B6-4B3E-BC45-84E2-37708105DA0E}" name="2g-hash-at-both" dataDxfId="136">
      <calculatedColumnFormula array="1">_xlfn.LET(_xlpm.d,M$2:M$13,_xlpm.a,$C$2:$C$13=$C17,_xlpm.b,$D$2:$D$13=$D17,MAX(_xlfn._xlws.FILTER(_xlpm.d,_xlpm.a*_xlpm.b)))</calculatedColumnFormula>
    </tableColumn>
    <tableColumn id="13" xr3:uid="{E8BEBCDC-80C1-BA41-8430-5D308DAC026B}" name="3g-hash-at-both" dataDxfId="135">
      <calculatedColumnFormula array="1">_xlfn.LET(_xlpm.d,N$2:N$13,_xlpm.a,$C$2:$C$13=$C17,_xlpm.b,$D$2:$D$13=$D17,MAX(_xlfn._xlws.FILTER(_xlpm.d,_xlpm.a*_xlpm.b)))</calculatedColumnFormula>
    </tableColumn>
    <tableColumn id="14" xr3:uid="{207EA8E1-AA5A-6B40-8083-A939E1A6F39F}" name="4g-hash-at-both" dataDxfId="134">
      <calculatedColumnFormula array="1">_xlfn.LET(_xlpm.d,O$2:O$13,_xlpm.a,$C$2:$C$13=$C17,_xlpm.b,$D$2:$D$13=$D17,MAX(_xlfn._xlws.FILTER(_xlpm.d,_xlpm.a*_xlpm.b)))</calculatedColumnFormula>
    </tableColumn>
    <tableColumn id="15" xr3:uid="{6DCD5A18-53BD-8142-9559-36FBC8711C70}" name="xsk2g-hash-at-both" dataDxfId="133">
      <calculatedColumnFormula array="1">_xlfn.LET(_xlpm.d,P$2:P$13,_xlpm.a,$C$2:$C$13=$C17,_xlpm.b,$D$2:$D$13=$D17,MAX(_xlfn._xlws.FILTER(_xlpm.d,_xlpm.a*_xlpm.b)))</calculatedColumnFormula>
    </tableColumn>
    <tableColumn id="16" xr3:uid="{36C7F12F-10F3-8F42-922E-E246AD041764}" name="xsk3g-hash-at-both" dataDxfId="132">
      <calculatedColumnFormula array="1">_xlfn.LET(_xlpm.d,Q$2:Q$13,_xlpm.a,$C$2:$C$13=$C17,_xlpm.b,$D$2:$D$13=$D17,MAX(_xlfn._xlws.FILTER(_xlpm.d,_xlpm.a*_xlpm.b)))</calculatedColumnFormula>
    </tableColumn>
    <tableColumn id="17" xr3:uid="{AF1FC784-DB9B-2841-8207-A660893D4509}" name="xsk4g-hash-at-both" dataDxfId="131">
      <calculatedColumnFormula array="1">_xlfn.LET(_xlpm.d,R$2:R$13,_xlpm.a,$C$2:$C$13=$C17,_xlpm.b,$D$2:$D$13=$D17,MAX(_xlfn._xlws.FILTER(_xlpm.d,_xlpm.a*_xlpm.b)))</calculatedColumnFormula>
    </tableColumn>
    <tableColumn id="18" xr3:uid="{1DB705C2-4F34-D64E-A2C3-3EFAE3A13F16}" name="max" dataDxfId="130">
      <calculatedColumnFormula array="1">_xlfn.LET(_xlpm.d,S$2:S$13,_xlpm.a,$C$2:$C$13=$C17,_xlpm.b,$D$2:$D$13=$D17,MAX(_xlfn._xlws.FILTER(_xlpm.d,_xlpm.a*_xlpm.b)))</calculatedColumnFormula>
    </tableColumn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6F6D48D8-6041-D146-A4B2-DC4D5799DED0}" name="Table13" displayName="Table13" ref="A1:S13" totalsRowShown="0">
  <autoFilter ref="A1:S13" xr:uid="{6F6D48D8-6041-D146-A4B2-DC4D5799DED0}"/>
  <tableColumns count="19">
    <tableColumn id="1" xr3:uid="{4B158989-305F-C848-9EA1-B4951E9D0A6A}" name="lang"/>
    <tableColumn id="2" xr3:uid="{21DA8E21-5DDE-074D-9833-83FF40205969}" name="attribute.index"/>
    <tableColumn id="3" xr3:uid="{948B386D-D0F9-8A40-B57F-EB1EEB45EFB0}" name="attribute"/>
    <tableColumn id="4" xr3:uid="{8CFD69A3-13D0-0E4C-8FD5-7269568D0B2F}" name="supplement"/>
    <tableColumn id="5" xr3:uid="{233F70D5-1E01-DE40-A60C-1E65F27E364F}" name="method.index"/>
    <tableColumn id="6" xr3:uid="{EB0FF197-36B4-AA46-A317-1AA3FAE2B25D}" name="method"/>
    <tableColumn id="7" xr3:uid="{0149E8F6-75DD-D64D-887A-4B858CA2920E}" name="2g-no-hash" dataDxfId="129"/>
    <tableColumn id="8" xr3:uid="{15601C65-C224-514C-8C07-DE4252497CB3}" name="3g-no-hash" dataDxfId="128"/>
    <tableColumn id="9" xr3:uid="{AA798B5A-B467-6745-8696-E6EA496E6AD0}" name="4g-no-hash" dataDxfId="127"/>
    <tableColumn id="10" xr3:uid="{FA31025A-F4BD-BD44-B7AA-F792460A2ED2}" name="xsk2g-no-hash" dataDxfId="126"/>
    <tableColumn id="11" xr3:uid="{D1904B20-9254-FB4E-9886-A4BE5FFA30FE}" name="xsk3g-no-hash" dataDxfId="125"/>
    <tableColumn id="12" xr3:uid="{94D75ED8-4BE7-DD45-A742-B37B6D961F52}" name="xsk4g-no-hash" dataDxfId="124"/>
    <tableColumn id="13" xr3:uid="{C7F238EC-0E4A-564B-8A1F-0773883C421F}" name="2g-hash-at-both" dataDxfId="123"/>
    <tableColumn id="14" xr3:uid="{3FD3EBC7-8A20-CC40-AA1C-6FE3FCEC4C35}" name="3g-hash-at-both" dataDxfId="122"/>
    <tableColumn id="15" xr3:uid="{F8FD3B83-1755-664E-A2CC-9EBF01BB57AB}" name="4g-hash-at-both" dataDxfId="121"/>
    <tableColumn id="16" xr3:uid="{F4D0ED51-0E5D-C64C-9FFC-D3A1A514319C}" name="xsk2g-hash-at-both" dataDxfId="120"/>
    <tableColumn id="17" xr3:uid="{47FD221C-1D9E-5B46-A78F-8BA753898127}" name="xsk3g-hash-at-both" dataDxfId="119"/>
    <tableColumn id="18" xr3:uid="{BDA40172-BAB9-3140-83C7-FC0282A4C69E}" name="xsk4g-hash-at-both" dataDxfId="118"/>
    <tableColumn id="19" xr3:uid="{E030014B-75D0-CB44-A09F-3FF4D52F4F9F}" name="max" dataDxfId="117">
      <calculatedColumnFormula>MAX($G2:$R2)</calculatedColumnFormula>
    </tableColumn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11FF0DC-4455-954A-9379-D50CECFD73B0}" name="Table29111315" displayName="Table29111315" ref="B16:S20" totalsRowShown="0">
  <autoFilter ref="B16:S20" xr:uid="{011FF0DC-4455-954A-9379-D50CECFD73B0}"/>
  <tableColumns count="18">
    <tableColumn id="1" xr3:uid="{45914F5B-C6D1-874F-89EA-C912BAEE4B10}" name="attribute.index"/>
    <tableColumn id="2" xr3:uid="{A459052F-E56A-884D-994A-78E8C4574963}" name="attribute"/>
    <tableColumn id="3" xr3:uid="{20098258-1B9D-184C-BCF3-5335776F8785}" name="supplemented"/>
    <tableColumn id="4" xr3:uid="{BDC8A282-89C0-3945-964D-36AD8BDCB968}" name="method.index"/>
    <tableColumn id="5" xr3:uid="{AC506944-7F36-3548-AE14-7170AFF06A2A}" name="metric"/>
    <tableColumn id="6" xr3:uid="{64738FD6-FF80-2145-B790-A525DFBEEE9F}" name="2g-no-hash" dataDxfId="116">
      <calculatedColumnFormula array="1">_xlfn.LET(_xlpm.d,G$2:G$13,_xlpm.a,$C$2:$C$13=$C17,_xlpm.b,$D$2:$D$13=$D17,MAX(_xlfn._xlws.FILTER(_xlpm.d,_xlpm.a*_xlpm.b)))</calculatedColumnFormula>
    </tableColumn>
    <tableColumn id="7" xr3:uid="{E74B6832-7B90-E445-9DE8-BCDABE1DFEF2}" name="3g-no-hash" dataDxfId="115">
      <calculatedColumnFormula array="1">_xlfn.LET(_xlpm.d,H$2:H$13,_xlpm.a,$C$2:$C$13=$C17,_xlpm.b,$D$2:$D$13=$D17,MAX(_xlfn._xlws.FILTER(_xlpm.d,_xlpm.a*_xlpm.b)))</calculatedColumnFormula>
    </tableColumn>
    <tableColumn id="8" xr3:uid="{89E167C6-30F0-4849-A16D-ECBBBB5C781D}" name="4g-no-hash" dataDxfId="114">
      <calculatedColumnFormula array="1">_xlfn.LET(_xlpm.d,I$2:I$13,_xlpm.a,$C$2:$C$13=$C17,_xlpm.b,$D$2:$D$13=$D17,MAX(_xlfn._xlws.FILTER(_xlpm.d,_xlpm.a*_xlpm.b)))</calculatedColumnFormula>
    </tableColumn>
    <tableColumn id="9" xr3:uid="{C61F384A-BB53-2A44-B9B7-6129E89B61ED}" name="xsk2g-no-hash" dataDxfId="113">
      <calculatedColumnFormula array="1">_xlfn.LET(_xlpm.d,J$2:J$13,_xlpm.a,$C$2:$C$13=$C17,_xlpm.b,$D$2:$D$13=$D17,MAX(_xlfn._xlws.FILTER(_xlpm.d,_xlpm.a*_xlpm.b)))</calculatedColumnFormula>
    </tableColumn>
    <tableColumn id="10" xr3:uid="{77F8DD7F-3F9C-014B-97F9-A30A951DC9CD}" name="xsk3g-no-hash" dataDxfId="112">
      <calculatedColumnFormula array="1">_xlfn.LET(_xlpm.d,K$2:K$13,_xlpm.a,$C$2:$C$13=$C17,_xlpm.b,$D$2:$D$13=$D17,MAX(_xlfn._xlws.FILTER(_xlpm.d,_xlpm.a*_xlpm.b)))</calculatedColumnFormula>
    </tableColumn>
    <tableColumn id="11" xr3:uid="{0C0908A0-B381-8740-947A-B832088A512A}" name="xsk4g-no-hash" dataDxfId="111">
      <calculatedColumnFormula array="1">_xlfn.LET(_xlpm.d,L$2:L$13,_xlpm.a,$C$2:$C$13=$C17,_xlpm.b,$D$2:$D$13=$D17,MAX(_xlfn._xlws.FILTER(_xlpm.d,_xlpm.a*_xlpm.b)))</calculatedColumnFormula>
    </tableColumn>
    <tableColumn id="12" xr3:uid="{4B4B4E8D-A526-7D4D-9BC4-CB83FC23141A}" name="2g-hash-at-both" dataDxfId="110">
      <calculatedColumnFormula array="1">_xlfn.LET(_xlpm.d,M$2:M$13,_xlpm.a,$C$2:$C$13=$C17,_xlpm.b,$D$2:$D$13=$D17,MAX(_xlfn._xlws.FILTER(_xlpm.d,_xlpm.a*_xlpm.b)))</calculatedColumnFormula>
    </tableColumn>
    <tableColumn id="13" xr3:uid="{049E3FD4-2597-7C4C-9B92-06459CBD832A}" name="3g-hash-at-both" dataDxfId="109">
      <calculatedColumnFormula array="1">_xlfn.LET(_xlpm.d,N$2:N$13,_xlpm.a,$C$2:$C$13=$C17,_xlpm.b,$D$2:$D$13=$D17,MAX(_xlfn._xlws.FILTER(_xlpm.d,_xlpm.a*_xlpm.b)))</calculatedColumnFormula>
    </tableColumn>
    <tableColumn id="14" xr3:uid="{9076FAF2-E7F1-404D-9B51-6A4310FC486C}" name="4g-hash-at-both" dataDxfId="108">
      <calculatedColumnFormula array="1">_xlfn.LET(_xlpm.d,O$2:O$13,_xlpm.a,$C$2:$C$13=$C17,_xlpm.b,$D$2:$D$13=$D17,MAX(_xlfn._xlws.FILTER(_xlpm.d,_xlpm.a*_xlpm.b)))</calculatedColumnFormula>
    </tableColumn>
    <tableColumn id="15" xr3:uid="{36DF180D-28FF-2D4E-863B-D766DFDE9014}" name="xsk2g-hash-at-both" dataDxfId="107">
      <calculatedColumnFormula array="1">_xlfn.LET(_xlpm.d,P$2:P$13,_xlpm.a,$C$2:$C$13=$C17,_xlpm.b,$D$2:$D$13=$D17,MAX(_xlfn._xlws.FILTER(_xlpm.d,_xlpm.a*_xlpm.b)))</calculatedColumnFormula>
    </tableColumn>
    <tableColumn id="16" xr3:uid="{1020A6DC-5465-B04A-BD27-55B8C1FE87E9}" name="xsk3g-hash-at-both" dataDxfId="106">
      <calculatedColumnFormula array="1">_xlfn.LET(_xlpm.d,Q$2:Q$13,_xlpm.a,$C$2:$C$13=$C17,_xlpm.b,$D$2:$D$13=$D17,MAX(_xlfn._xlws.FILTER(_xlpm.d,_xlpm.a*_xlpm.b)))</calculatedColumnFormula>
    </tableColumn>
    <tableColumn id="17" xr3:uid="{7FEF5DD7-64ED-3049-B175-D0EF6F7BFAD5}" name="xsk4g-hash-at-both" dataDxfId="105">
      <calculatedColumnFormula array="1">_xlfn.LET(_xlpm.d,R$2:R$13,_xlpm.a,$C$2:$C$13=$C17,_xlpm.b,$D$2:$D$13=$D17,MAX(_xlfn._xlws.FILTER(_xlpm.d,_xlpm.a*_xlpm.b)))</calculatedColumnFormula>
    </tableColumn>
    <tableColumn id="18" xr3:uid="{14673C8A-7694-DC49-B014-2C03D810F5AE}" name="max" dataDxfId="104">
      <calculatedColumnFormula array="1">_xlfn.LET(_xlpm.d,S$2:S$13,_xlpm.a,$C$2:$C$13=$C17,_xlpm.b,$D$2:$D$13=$D17,MAX(_xlfn._xlws.FILTER(_xlpm.d,_xlpm.a*_xlpm.b)))</calculatedColumnFormula>
    </tableColumn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38DE9F8-528E-E446-A4B5-DFA36D363486}" name="Table1" displayName="Table1" ref="A1:S13" totalsRowShown="0">
  <autoFilter ref="A1:S13" xr:uid="{638DE9F8-528E-E446-A4B5-DFA36D363486}"/>
  <tableColumns count="19">
    <tableColumn id="1" xr3:uid="{68BFA1E8-4AC4-3344-A679-F55E965291F3}" name="lang"/>
    <tableColumn id="2" xr3:uid="{0BCCECA9-DBB2-F74C-B9AE-508CC29E6F45}" name="attribute.index"/>
    <tableColumn id="3" xr3:uid="{CBF7DC12-6BD3-6A4A-A0A1-387300D29CF8}" name="attribute"/>
    <tableColumn id="4" xr3:uid="{F230EE38-90F1-974E-9D1A-7A271743249E}" name="supplement"/>
    <tableColumn id="5" xr3:uid="{2CA728B7-DD2C-334C-9525-DEE37A82F164}" name="method.index"/>
    <tableColumn id="6" xr3:uid="{E6D655F8-5B13-EB48-8E27-637FD4DD4A9F}" name="method"/>
    <tableColumn id="7" xr3:uid="{9AA41D1B-7DD5-E74E-AC51-31BFDEA08213}" name="2g-no-hash" dataDxfId="103"/>
    <tableColumn id="8" xr3:uid="{FF94D966-188D-904B-87F2-01C0E3576BC7}" name="3g-no-hash" dataDxfId="102"/>
    <tableColumn id="9" xr3:uid="{F8998556-FBEF-994C-A13F-18EDC93276BC}" name="4g-no-hash" dataDxfId="101"/>
    <tableColumn id="10" xr3:uid="{612C0B70-1B9C-CC44-8E0B-742550BCAC1D}" name="xsk2g-no-hash" dataDxfId="100"/>
    <tableColumn id="11" xr3:uid="{DF9D2717-35F4-8640-A345-32BB76B37CE5}" name="xsk3g-no-hash" dataDxfId="99"/>
    <tableColumn id="12" xr3:uid="{7E6D9A14-7776-ED4E-93A5-60B5F8E92CD5}" name="xsk4g-no-hash" dataDxfId="98"/>
    <tableColumn id="13" xr3:uid="{862D32B1-DC62-6943-895A-E42EBDB9051F}" name="2g-hash-at-both" dataDxfId="97"/>
    <tableColumn id="14" xr3:uid="{BEE52532-7AAB-E34C-A982-9F7D5D5B9B76}" name="3g-hash-at-both" dataDxfId="96"/>
    <tableColumn id="15" xr3:uid="{F8EE6B80-2925-3F4F-8109-9D128FD722E3}" name="4g-hash-at-both" dataDxfId="95"/>
    <tableColumn id="16" xr3:uid="{EE29CB4F-41D4-134A-8A00-4C2C281411FD}" name="xsk2g-hash-at-both" dataDxfId="94"/>
    <tableColumn id="17" xr3:uid="{38BA5F56-4F12-1142-9310-68382BFC7E26}" name="xsk3g-hash-at-both" dataDxfId="93"/>
    <tableColumn id="18" xr3:uid="{EDDCCCB9-43C9-4C44-A230-6EA868A00C2A}" name="xsk4g-hash-at-both" dataDxfId="92"/>
    <tableColumn id="19" xr3:uid="{F77C8694-244F-E64E-B3BE-0AFA1ABF7F03}" name="max" dataDxfId="91">
      <calculatedColumnFormula>MAX($G2:$R2)</calculatedColumnFormula>
    </tableColumn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0B06E85-B618-9745-A806-18E6B1835B84}" name="Table291113153" displayName="Table291113153" ref="B16:S20" totalsRowShown="0">
  <autoFilter ref="B16:S20" xr:uid="{10B06E85-B618-9745-A806-18E6B1835B84}"/>
  <tableColumns count="18">
    <tableColumn id="1" xr3:uid="{6B7C3BE0-1C61-F141-AF1F-562463C452BF}" name="attribute.index"/>
    <tableColumn id="2" xr3:uid="{095766FA-634E-D94D-AA3A-988264BF88BF}" name="attribute"/>
    <tableColumn id="3" xr3:uid="{7A004719-CC9F-9043-BA40-0598FB522A7A}" name="supplemented"/>
    <tableColumn id="4" xr3:uid="{686FADDD-0AA9-EC40-A824-5A30F5A78FD2}" name="method.index"/>
    <tableColumn id="5" xr3:uid="{67A3D78D-8A5B-CE4A-ACF3-92950EA9DC22}" name="metric"/>
    <tableColumn id="6" xr3:uid="{F7CA2DFA-78FE-A542-9EB6-F9A40203A246}" name="2g-no-hash" dataDxfId="90">
      <calculatedColumnFormula array="1">_xlfn.LET(_xlpm.d,G$2:G$13,_xlpm.a,$C$2:$C$13=$C17,_xlpm.b,$D$2:$D$13=$D17,MAX(_xlfn._xlws.FILTER(_xlpm.d,_xlpm.a*_xlpm.b)))</calculatedColumnFormula>
    </tableColumn>
    <tableColumn id="7" xr3:uid="{0C6F4B4B-6AF0-8E44-A7B3-D77E0938B5E6}" name="3g-no-hash" dataDxfId="89">
      <calculatedColumnFormula array="1">_xlfn.LET(_xlpm.d,H$2:H$13,_xlpm.a,$C$2:$C$13=$C17,_xlpm.b,$D$2:$D$13=$D17,MAX(_xlfn._xlws.FILTER(_xlpm.d,_xlpm.a*_xlpm.b)))</calculatedColumnFormula>
    </tableColumn>
    <tableColumn id="8" xr3:uid="{58522CE4-73F2-684F-A373-97EB972FBD1E}" name="4g-no-hash" dataDxfId="88">
      <calculatedColumnFormula array="1">_xlfn.LET(_xlpm.d,I$2:I$13,_xlpm.a,$C$2:$C$13=$C17,_xlpm.b,$D$2:$D$13=$D17,MAX(_xlfn._xlws.FILTER(_xlpm.d,_xlpm.a*_xlpm.b)))</calculatedColumnFormula>
    </tableColumn>
    <tableColumn id="9" xr3:uid="{9CE5B801-06A2-A540-A356-2904C09C8CAE}" name="xsk2g-no-hash" dataDxfId="87">
      <calculatedColumnFormula array="1">_xlfn.LET(_xlpm.d,J$2:J$13,_xlpm.a,$C$2:$C$13=$C17,_xlpm.b,$D$2:$D$13=$D17,MAX(_xlfn._xlws.FILTER(_xlpm.d,_xlpm.a*_xlpm.b)))</calculatedColumnFormula>
    </tableColumn>
    <tableColumn id="10" xr3:uid="{088FA71C-4496-0A45-8970-834353EECD2D}" name="xsk3g-no-hash" dataDxfId="86">
      <calculatedColumnFormula array="1">_xlfn.LET(_xlpm.d,K$2:K$13,_xlpm.a,$C$2:$C$13=$C17,_xlpm.b,$D$2:$D$13=$D17,MAX(_xlfn._xlws.FILTER(_xlpm.d,_xlpm.a*_xlpm.b)))</calculatedColumnFormula>
    </tableColumn>
    <tableColumn id="11" xr3:uid="{AC4A9A8A-0F15-2A45-A634-B14E1D42CFAE}" name="xsk4g-no-hash" dataDxfId="85">
      <calculatedColumnFormula array="1">_xlfn.LET(_xlpm.d,L$2:L$13,_xlpm.a,$C$2:$C$13=$C17,_xlpm.b,$D$2:$D$13=$D17,MAX(_xlfn._xlws.FILTER(_xlpm.d,_xlpm.a*_xlpm.b)))</calculatedColumnFormula>
    </tableColumn>
    <tableColumn id="12" xr3:uid="{91C54D77-EA7A-5A43-B5CD-98B52C6EC20D}" name="2g-hash-at-both" dataDxfId="84">
      <calculatedColumnFormula array="1">_xlfn.LET(_xlpm.d,M$2:M$13,_xlpm.a,$C$2:$C$13=$C17,_xlpm.b,$D$2:$D$13=$D17,MAX(_xlfn._xlws.FILTER(_xlpm.d,_xlpm.a*_xlpm.b)))</calculatedColumnFormula>
    </tableColumn>
    <tableColumn id="13" xr3:uid="{86C8553D-5187-F04B-AF57-C74F1F51E8BB}" name="3g-hash-at-both" dataDxfId="83">
      <calculatedColumnFormula array="1">_xlfn.LET(_xlpm.d,N$2:N$13,_xlpm.a,$C$2:$C$13=$C17,_xlpm.b,$D$2:$D$13=$D17,MAX(_xlfn._xlws.FILTER(_xlpm.d,_xlpm.a*_xlpm.b)))</calculatedColumnFormula>
    </tableColumn>
    <tableColumn id="14" xr3:uid="{5B855D73-6536-B741-9BA5-3C63C7AB737E}" name="4g-hash-at-both" dataDxfId="82">
      <calculatedColumnFormula array="1">_xlfn.LET(_xlpm.d,O$2:O$13,_xlpm.a,$C$2:$C$13=$C17,_xlpm.b,$D$2:$D$13=$D17,MAX(_xlfn._xlws.FILTER(_xlpm.d,_xlpm.a*_xlpm.b)))</calculatedColumnFormula>
    </tableColumn>
    <tableColumn id="15" xr3:uid="{960738A9-928F-DE41-9B6D-D68240126F29}" name="xsk2g-hash-at-both" dataDxfId="81">
      <calculatedColumnFormula array="1">_xlfn.LET(_xlpm.d,P$2:P$13,_xlpm.a,$C$2:$C$13=$C17,_xlpm.b,$D$2:$D$13=$D17,MAX(_xlfn._xlws.FILTER(_xlpm.d,_xlpm.a*_xlpm.b)))</calculatedColumnFormula>
    </tableColumn>
    <tableColumn id="16" xr3:uid="{D8B9EB20-E221-9E48-A4E6-6D98D5E32C45}" name="xsk3g-hash-at-both" dataDxfId="80">
      <calculatedColumnFormula array="1">_xlfn.LET(_xlpm.d,Q$2:Q$13,_xlpm.a,$C$2:$C$13=$C17,_xlpm.b,$D$2:$D$13=$D17,MAX(_xlfn._xlws.FILTER(_xlpm.d,_xlpm.a*_xlpm.b)))</calculatedColumnFormula>
    </tableColumn>
    <tableColumn id="17" xr3:uid="{AA058C83-8513-B646-BFE5-6AC4D08564F9}" name="xsk4g-hash-at-both" dataDxfId="79">
      <calculatedColumnFormula array="1">_xlfn.LET(_xlpm.d,R$2:R$13,_xlpm.a,$C$2:$C$13=$C17,_xlpm.b,$D$2:$D$13=$D17,MAX(_xlfn._xlws.FILTER(_xlpm.d,_xlpm.a*_xlpm.b)))</calculatedColumnFormula>
    </tableColumn>
    <tableColumn id="18" xr3:uid="{65C660BE-6F21-3543-BADE-50BDD6B33C9B}" name="max" dataDxfId="78">
      <calculatedColumnFormula array="1">_xlfn.LET(_xlpm.d,S$2:S$13,_xlpm.a,$C$2:$C$13=$C17,_xlpm.b,$D$2:$D$13=$D17,MAX(_xlfn._xlws.FILTER(_xlpm.d,_xlpm.a*_xlpm.b)))</calculatedColumnFormula>
    </tableColumn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18067B6F-63B8-4D4F-9650-7290FEEC3C81}" name="Table11" displayName="Table11" ref="A1:S13" totalsRowShown="0">
  <autoFilter ref="A1:S13" xr:uid="{18067B6F-63B8-4D4F-9650-7290FEEC3C81}"/>
  <tableColumns count="19">
    <tableColumn id="1" xr3:uid="{B3D750B7-511F-8E40-B4EB-ECDC1EEA8878}" name="lang"/>
    <tableColumn id="2" xr3:uid="{1AEEF143-644C-CB4E-9BB0-52C210585290}" name="attribute.index"/>
    <tableColumn id="3" xr3:uid="{776D1919-79D4-2445-A8F9-D3FED3D832A0}" name="attribute"/>
    <tableColumn id="4" xr3:uid="{00A6BB2A-A70A-B845-879B-B557C4E44D05}" name="supplement"/>
    <tableColumn id="5" xr3:uid="{8D20A505-FD17-BA48-885A-6E16261FB75B}" name="method.index"/>
    <tableColumn id="6" xr3:uid="{A73902F4-3C52-834C-9D78-246117A58951}" name="method"/>
    <tableColumn id="7" xr3:uid="{6ECBFE6D-3A55-ED41-9D44-18EB74D115D8}" name="2g-no-hash" dataDxfId="77"/>
    <tableColumn id="8" xr3:uid="{C3FDC654-BE89-E64C-B0F4-A08F3B10347F}" name="3g-no-hash" dataDxfId="76"/>
    <tableColumn id="9" xr3:uid="{BC7AD3E2-E7F4-134D-B657-273A1A50F795}" name="4g-no-hash" dataDxfId="75"/>
    <tableColumn id="10" xr3:uid="{612857C1-849C-3847-9D57-87E63727C285}" name="xsk2g-no-hash" dataDxfId="74"/>
    <tableColumn id="11" xr3:uid="{A0B005D4-2890-E74B-860A-C4E67E364354}" name="xsk3g-no-hash" dataDxfId="73"/>
    <tableColumn id="12" xr3:uid="{9F0962CC-718B-4043-A622-AD73959BDA39}" name="xsk4g-no-hash" dataDxfId="72"/>
    <tableColumn id="13" xr3:uid="{2373C814-5DD2-434D-B258-B911C7E16563}" name="2g-hash-at-both" dataDxfId="71"/>
    <tableColumn id="14" xr3:uid="{31A71FEC-23CD-E34F-AA45-9C3D77A07108}" name="3g-hash-at-both" dataDxfId="70"/>
    <tableColumn id="15" xr3:uid="{A89D11D3-FBCD-9E42-A187-37894882F3D3}" name="4g-hash-at-both" dataDxfId="69"/>
    <tableColumn id="16" xr3:uid="{20872450-235C-C244-A2A0-E4232A1B3BDA}" name="xsk2g-hash-at-both" dataDxfId="68"/>
    <tableColumn id="17" xr3:uid="{90849B3C-44B7-9445-8860-D8F6FDBF2EDC}" name="xsk3g-hash-at-both" dataDxfId="67"/>
    <tableColumn id="18" xr3:uid="{4CFCDFCB-40E4-AC44-A004-DC9392AA1F44}" name="xsk4g-hash-at-both" dataDxfId="66"/>
    <tableColumn id="19" xr3:uid="{7ADE8070-C6D5-A147-A9C9-F7731644C7B2}" name="max" dataDxfId="65">
      <calculatedColumnFormula>MAX($G2:$R2)</calculatedColumnFormula>
    </tableColumn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7D898795-D562-E64D-930A-88752934DCD3}" name="Table291113" displayName="Table291113" ref="B16:S20" totalsRowShown="0">
  <autoFilter ref="B16:S20" xr:uid="{7D898795-D562-E64D-930A-88752934DCD3}"/>
  <tableColumns count="18">
    <tableColumn id="1" xr3:uid="{8C0087E7-E022-2648-A4DE-99B8F660D36C}" name="attribute.index"/>
    <tableColumn id="2" xr3:uid="{CAE5BAEB-715D-B84F-A6E0-AE871A671B3A}" name="attribute"/>
    <tableColumn id="3" xr3:uid="{1D96FAAF-FE75-5E41-BA3C-93B44A4DFA08}" name="supplemented"/>
    <tableColumn id="4" xr3:uid="{12B286E7-71BF-374D-BC63-1CDE80AC390C}" name="method.index"/>
    <tableColumn id="5" xr3:uid="{B179D49F-2983-7A46-8EE7-5186AB7A9C98}" name="metric"/>
    <tableColumn id="6" xr3:uid="{B14DD977-23A5-3A4E-9329-7AB025DBFBE6}" name="2g-no-hash" dataDxfId="64">
      <calculatedColumnFormula array="1">_xlfn.LET(_xlpm.d,G$2:G$13,_xlpm.a,$C$2:$C$13=$C17,_xlpm.b,$D$2:$D$13=$D17,MAX(_xlfn._xlws.FILTER(_xlpm.d,_xlpm.a*_xlpm.b)))</calculatedColumnFormula>
    </tableColumn>
    <tableColumn id="7" xr3:uid="{D62C7D51-6352-3E4E-BE28-24B5FB4F7886}" name="3g-no-hash" dataDxfId="63">
      <calculatedColumnFormula array="1">_xlfn.LET(_xlpm.d,H$2:H$13,_xlpm.a,$C$2:$C$13=$C17,_xlpm.b,$D$2:$D$13=$D17,MAX(_xlfn._xlws.FILTER(_xlpm.d,_xlpm.a*_xlpm.b)))</calculatedColumnFormula>
    </tableColumn>
    <tableColumn id="8" xr3:uid="{FE0FDE81-2661-224E-B507-197067179AE8}" name="4g-no-hash" dataDxfId="62">
      <calculatedColumnFormula array="1">_xlfn.LET(_xlpm.d,I$2:I$13,_xlpm.a,$C$2:$C$13=$C17,_xlpm.b,$D$2:$D$13=$D17,MAX(_xlfn._xlws.FILTER(_xlpm.d,_xlpm.a*_xlpm.b)))</calculatedColumnFormula>
    </tableColumn>
    <tableColumn id="9" xr3:uid="{00966BDF-5B5C-AC4B-85B1-1337B4762F93}" name="xsk2g-no-hash" dataDxfId="61">
      <calculatedColumnFormula array="1">_xlfn.LET(_xlpm.d,J$2:J$13,_xlpm.a,$C$2:$C$13=$C17,_xlpm.b,$D$2:$D$13=$D17,MAX(_xlfn._xlws.FILTER(_xlpm.d,_xlpm.a*_xlpm.b)))</calculatedColumnFormula>
    </tableColumn>
    <tableColumn id="10" xr3:uid="{6861DFB3-46E3-7844-95AF-8876FA33C796}" name="xsk3g-no-hash" dataDxfId="60">
      <calculatedColumnFormula array="1">_xlfn.LET(_xlpm.d,K$2:K$13,_xlpm.a,$C$2:$C$13=$C17,_xlpm.b,$D$2:$D$13=$D17,MAX(_xlfn._xlws.FILTER(_xlpm.d,_xlpm.a*_xlpm.b)))</calculatedColumnFormula>
    </tableColumn>
    <tableColumn id="11" xr3:uid="{F3480DCA-4E7D-E443-8C71-53990869B687}" name="xsk4g-no-hash" dataDxfId="59">
      <calculatedColumnFormula array="1">_xlfn.LET(_xlpm.d,L$2:L$13,_xlpm.a,$C$2:$C$13=$C17,_xlpm.b,$D$2:$D$13=$D17,MAX(_xlfn._xlws.FILTER(_xlpm.d,_xlpm.a*_xlpm.b)))</calculatedColumnFormula>
    </tableColumn>
    <tableColumn id="12" xr3:uid="{DC9A9A9C-957A-A046-B177-F46E6587D61C}" name="2g-hash-at-both" dataDxfId="58">
      <calculatedColumnFormula array="1">_xlfn.LET(_xlpm.d,M$2:M$13,_xlpm.a,$C$2:$C$13=$C17,_xlpm.b,$D$2:$D$13=$D17,MAX(_xlfn._xlws.FILTER(_xlpm.d,_xlpm.a*_xlpm.b)))</calculatedColumnFormula>
    </tableColumn>
    <tableColumn id="13" xr3:uid="{AA9085B8-540D-5349-886C-693F120C7DF8}" name="3g-hash-at-both" dataDxfId="57">
      <calculatedColumnFormula array="1">_xlfn.LET(_xlpm.d,N$2:N$13,_xlpm.a,$C$2:$C$13=$C17,_xlpm.b,$D$2:$D$13=$D17,MAX(_xlfn._xlws.FILTER(_xlpm.d,_xlpm.a*_xlpm.b)))</calculatedColumnFormula>
    </tableColumn>
    <tableColumn id="14" xr3:uid="{30F45657-0728-F247-A27C-B06EF25904FB}" name="4g-hash-at-both" dataDxfId="56">
      <calculatedColumnFormula array="1">_xlfn.LET(_xlpm.d,O$2:O$13,_xlpm.a,$C$2:$C$13=$C17,_xlpm.b,$D$2:$D$13=$D17,MAX(_xlfn._xlws.FILTER(_xlpm.d,_xlpm.a*_xlpm.b)))</calculatedColumnFormula>
    </tableColumn>
    <tableColumn id="15" xr3:uid="{EEEAAE26-5F5B-9847-81A9-1C439E11A183}" name="xsk2g-hash-at-both" dataDxfId="55">
      <calculatedColumnFormula array="1">_xlfn.LET(_xlpm.d,P$2:P$13,_xlpm.a,$C$2:$C$13=$C17,_xlpm.b,$D$2:$D$13=$D17,MAX(_xlfn._xlws.FILTER(_xlpm.d,_xlpm.a*_xlpm.b)))</calculatedColumnFormula>
    </tableColumn>
    <tableColumn id="16" xr3:uid="{44809D00-FD60-104D-9A8D-AEE4FF82DE44}" name="xsk3g-hash-at-both" dataDxfId="54">
      <calculatedColumnFormula array="1">_xlfn.LET(_xlpm.d,Q$2:Q$13,_xlpm.a,$C$2:$C$13=$C17,_xlpm.b,$D$2:$D$13=$D17,MAX(_xlfn._xlws.FILTER(_xlpm.d,_xlpm.a*_xlpm.b)))</calculatedColumnFormula>
    </tableColumn>
    <tableColumn id="17" xr3:uid="{EE2115E2-0FCE-E64E-9618-6811BD53CB44}" name="xsk4g-hash-at-both" dataDxfId="53">
      <calculatedColumnFormula array="1">_xlfn.LET(_xlpm.d,R$2:R$13,_xlpm.a,$C$2:$C$13=$C17,_xlpm.b,$D$2:$D$13=$D17,MAX(_xlfn._xlws.FILTER(_xlpm.d,_xlpm.a*_xlpm.b)))</calculatedColumnFormula>
    </tableColumn>
    <tableColumn id="18" xr3:uid="{B4C7B864-2D53-DF49-9579-59CD52A38E08}" name="max" dataDxfId="52">
      <calculatedColumnFormula array="1">_xlfn.LET(_xlpm.d,S$2:S$13,_xlpm.a,$C$2:$C$13=$C17,_xlpm.b,$D$2:$D$13=$D17,MAX(_xlfn._xlws.FILTER(_xlpm.d,_xlpm.a*_xlpm.b)))</calculatedColumnFormula>
    </tableColumn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D127FD53-DCF1-6C4B-9A19-B88D652143E4}" name="Table9" displayName="Table9" ref="A1:S13" totalsRowShown="0">
  <autoFilter ref="A1:S13" xr:uid="{D127FD53-DCF1-6C4B-9A19-B88D652143E4}"/>
  <tableColumns count="19">
    <tableColumn id="1" xr3:uid="{BF49EE36-5AF2-D541-9D9F-2D299D83C38B}" name="lang"/>
    <tableColumn id="2" xr3:uid="{D2F05EB3-A15B-9B46-B874-0A80ED9270EF}" name="attribute.index"/>
    <tableColumn id="3" xr3:uid="{1334D597-DDCA-D545-A06B-A6ED6E840E6E}" name="attribute"/>
    <tableColumn id="4" xr3:uid="{6F96968D-5E31-D64F-BA1C-7BA4F6EC66DA}" name="supplement"/>
    <tableColumn id="5" xr3:uid="{970567C6-D025-2E48-BA58-E2FA7638DD92}" name="method.index"/>
    <tableColumn id="6" xr3:uid="{60A379F2-CC73-2645-93F1-D40DB10B9E67}" name="method"/>
    <tableColumn id="7" xr3:uid="{F1BA19AC-221E-564F-8ADE-4AA522707C4E}" name="2g-no-hash" dataDxfId="51"/>
    <tableColumn id="8" xr3:uid="{E46CD1D8-0B53-6047-9FAA-A266148A38FE}" name="3g-no-hash" dataDxfId="50"/>
    <tableColumn id="9" xr3:uid="{2802275F-781A-6649-90DC-DAED53960FC9}" name="4g-no-hash" dataDxfId="49"/>
    <tableColumn id="10" xr3:uid="{F11AF7D7-A4EA-5947-B3B9-CF6D74E40AD8}" name="xsk2g-no-hash" dataDxfId="48"/>
    <tableColumn id="11" xr3:uid="{503C9E3C-37CE-0848-B580-409CC21C0F10}" name="xsk3g-no-hash" dataDxfId="47"/>
    <tableColumn id="12" xr3:uid="{6E69A333-CF97-D64C-8BD8-0B465626B847}" name="xsk4g-no-hash" dataDxfId="46"/>
    <tableColumn id="13" xr3:uid="{A2A57687-06E8-3745-B214-0F93F3C8EA97}" name="2g-hash-at-both" dataDxfId="45"/>
    <tableColumn id="14" xr3:uid="{C11E533B-04CD-454F-BADD-10D4368CB9E3}" name="3g-hash-at-both" dataDxfId="44"/>
    <tableColumn id="15" xr3:uid="{8189990E-951E-F443-8B6C-7B002AF0699F}" name="4g-hash-at-both" dataDxfId="43"/>
    <tableColumn id="16" xr3:uid="{AA664C0F-1BF2-F145-8739-937C0FCE3419}" name="xsk2g-hash-at-both" dataDxfId="42"/>
    <tableColumn id="17" xr3:uid="{58DFD24B-C740-A040-9E82-521CE6E7668B}" name="xsk3g-hash-at-both" dataDxfId="41"/>
    <tableColumn id="18" xr3:uid="{22273D55-54CB-7146-BE69-963E62BCD55B}" name="xsk4g-hash-at-both" dataDxfId="40"/>
    <tableColumn id="19" xr3:uid="{C6E91C51-6856-5F49-82CF-E7E5A01AE446}" name="max" dataDxfId="39">
      <calculatedColumnFormula>MAX($G2:$R2)</calculatedColumnFormula>
    </tableColumn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E055B3FD-57BE-7544-A36A-513B4236CF87}" name="Table2911" displayName="Table2911" ref="B16:S20" totalsRowShown="0">
  <autoFilter ref="B16:S20" xr:uid="{E055B3FD-57BE-7544-A36A-513B4236CF87}"/>
  <tableColumns count="18">
    <tableColumn id="1" xr3:uid="{DC4C9309-75F2-9346-AFEF-645C291A8710}" name="attribute.index"/>
    <tableColumn id="2" xr3:uid="{FB6030BA-CFC5-014A-A11A-6654B0BB956A}" name="attribute"/>
    <tableColumn id="3" xr3:uid="{A4D908F1-8621-6544-A1A7-843694FCF060}" name="supplemented"/>
    <tableColumn id="4" xr3:uid="{4E9A2592-5DA8-F64A-BAA9-18E98E1B84E1}" name="method.index"/>
    <tableColumn id="5" xr3:uid="{E75360B2-90A6-EE47-AB29-2E904CB92F65}" name="metric"/>
    <tableColumn id="6" xr3:uid="{92AB061B-30A1-8A42-B3E2-04646AE79773}" name="2g-no-hash" dataDxfId="38">
      <calculatedColumnFormula array="1">_xlfn.LET(_xlpm.d,G$2:G$13,_xlpm.a,$C$2:$C$13=$C17,_xlpm.b,$D$2:$D$13=$D17,MAX(_xlfn._xlws.FILTER(_xlpm.d,_xlpm.a*_xlpm.b)))</calculatedColumnFormula>
    </tableColumn>
    <tableColumn id="7" xr3:uid="{2FA1BA8A-3BC1-9444-88A9-AECB71E55962}" name="3g-no-hash" dataDxfId="37">
      <calculatedColumnFormula array="1">_xlfn.LET(_xlpm.d,H$2:H$13,_xlpm.a,$C$2:$C$13=$C17,_xlpm.b,$D$2:$D$13=$D17,MAX(_xlfn._xlws.FILTER(_xlpm.d,_xlpm.a*_xlpm.b)))</calculatedColumnFormula>
    </tableColumn>
    <tableColumn id="8" xr3:uid="{9109C6BC-9609-C54E-B4FF-387D44500EA1}" name="4g-no-hash" dataDxfId="36">
      <calculatedColumnFormula array="1">_xlfn.LET(_xlpm.d,I$2:I$13,_xlpm.a,$C$2:$C$13=$C17,_xlpm.b,$D$2:$D$13=$D17,MAX(_xlfn._xlws.FILTER(_xlpm.d,_xlpm.a*_xlpm.b)))</calculatedColumnFormula>
    </tableColumn>
    <tableColumn id="9" xr3:uid="{6B021DAC-3B37-DA43-9020-EA13CE52E976}" name="xsk2g-no-hash" dataDxfId="35">
      <calculatedColumnFormula array="1">_xlfn.LET(_xlpm.d,J$2:J$13,_xlpm.a,$C$2:$C$13=$C17,_xlpm.b,$D$2:$D$13=$D17,MAX(_xlfn._xlws.FILTER(_xlpm.d,_xlpm.a*_xlpm.b)))</calculatedColumnFormula>
    </tableColumn>
    <tableColumn id="10" xr3:uid="{E44D68DC-0B25-0844-A7F1-BA3DB2F9E573}" name="xsk3g-no-hash" dataDxfId="34">
      <calculatedColumnFormula array="1">_xlfn.LET(_xlpm.d,K$2:K$13,_xlpm.a,$C$2:$C$13=$C17,_xlpm.b,$D$2:$D$13=$D17,MAX(_xlfn._xlws.FILTER(_xlpm.d,_xlpm.a*_xlpm.b)))</calculatedColumnFormula>
    </tableColumn>
    <tableColumn id="11" xr3:uid="{FDD3793A-90A9-9A45-8538-F7F085CD9B84}" name="xsk4g-no-hash" dataDxfId="33">
      <calculatedColumnFormula array="1">_xlfn.LET(_xlpm.d,L$2:L$13,_xlpm.a,$C$2:$C$13=$C17,_xlpm.b,$D$2:$D$13=$D17,MAX(_xlfn._xlws.FILTER(_xlpm.d,_xlpm.a*_xlpm.b)))</calculatedColumnFormula>
    </tableColumn>
    <tableColumn id="12" xr3:uid="{FB48A488-4713-D04D-9B3E-61134BD1662A}" name="2g-hash-at-both" dataDxfId="32">
      <calculatedColumnFormula array="1">_xlfn.LET(_xlpm.d,M$2:M$13,_xlpm.a,$C$2:$C$13=$C17,_xlpm.b,$D$2:$D$13=$D17,MAX(_xlfn._xlws.FILTER(_xlpm.d,_xlpm.a*_xlpm.b)))</calculatedColumnFormula>
    </tableColumn>
    <tableColumn id="13" xr3:uid="{71083772-A33E-8548-A932-8D8FF32FCC03}" name="3g-hash-at-both" dataDxfId="31">
      <calculatedColumnFormula array="1">_xlfn.LET(_xlpm.d,N$2:N$13,_xlpm.a,$C$2:$C$13=$C17,_xlpm.b,$D$2:$D$13=$D17,MAX(_xlfn._xlws.FILTER(_xlpm.d,_xlpm.a*_xlpm.b)))</calculatedColumnFormula>
    </tableColumn>
    <tableColumn id="14" xr3:uid="{C4B7F9C2-3DFB-7E4C-BE55-E21D72190752}" name="4g-hash-at-both" dataDxfId="30">
      <calculatedColumnFormula array="1">_xlfn.LET(_xlpm.d,O$2:O$13,_xlpm.a,$C$2:$C$13=$C17,_xlpm.b,$D$2:$D$13=$D17,MAX(_xlfn._xlws.FILTER(_xlpm.d,_xlpm.a*_xlpm.b)))</calculatedColumnFormula>
    </tableColumn>
    <tableColumn id="15" xr3:uid="{F967846A-7988-C449-8438-A213D5D24D90}" name="xsk2g-hash-at-both" dataDxfId="29">
      <calculatedColumnFormula array="1">_xlfn.LET(_xlpm.d,P$2:P$13,_xlpm.a,$C$2:$C$13=$C17,_xlpm.b,$D$2:$D$13=$D17,MAX(_xlfn._xlws.FILTER(_xlpm.d,_xlpm.a*_xlpm.b)))</calculatedColumnFormula>
    </tableColumn>
    <tableColumn id="16" xr3:uid="{25158A95-1EAA-F841-8EF8-9848E93D6C4E}" name="xsk3g-hash-at-both" dataDxfId="28">
      <calculatedColumnFormula array="1">_xlfn.LET(_xlpm.d,Q$2:Q$13,_xlpm.a,$C$2:$C$13=$C17,_xlpm.b,$D$2:$D$13=$D17,MAX(_xlfn._xlws.FILTER(_xlpm.d,_xlpm.a*_xlpm.b)))</calculatedColumnFormula>
    </tableColumn>
    <tableColumn id="17" xr3:uid="{42F413CB-3A1A-9843-9702-10A2E4805A6F}" name="xsk4g-hash-at-both" dataDxfId="27">
      <calculatedColumnFormula array="1">_xlfn.LET(_xlpm.d,R$2:R$13,_xlpm.a,$C$2:$C$13=$C17,_xlpm.b,$D$2:$D$13=$D17,MAX(_xlfn._xlws.FILTER(_xlpm.d,_xlpm.a*_xlpm.b)))</calculatedColumnFormula>
    </tableColumn>
    <tableColumn id="18" xr3:uid="{1770972F-6ACF-BD43-9F43-8F29B5554954}" name="max" dataDxfId="26">
      <calculatedColumnFormula array="1">_xlfn.LET(_xlpm.d,S$2:S$13,_xlpm.a,$C$2:$C$13=$C17,_xlpm.b,$D$2:$D$13=$D17,MAX(_xlfn._xlws.FILTER(_xlpm.d,_xlpm.a*_xlpm.b)))</calculatedColumnFormula>
    </tableColumn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C834DAE-5DF4-5047-8FFE-0291BF6D723B}" name="Table7" displayName="Table7" ref="A1:S13" totalsRowShown="0">
  <autoFilter ref="A1:S13" xr:uid="{0C834DAE-5DF4-5047-8FFE-0291BF6D723B}"/>
  <tableColumns count="19">
    <tableColumn id="1" xr3:uid="{FDB1F09D-817C-A94C-B108-D8B8DB4FD283}" name="lang"/>
    <tableColumn id="2" xr3:uid="{EFDDB4ED-8E1C-1241-BC2C-84C36E0F07AD}" name="attribute.index"/>
    <tableColumn id="3" xr3:uid="{DE3B2B3E-622E-324C-B097-7A78AA0683FE}" name="attribute"/>
    <tableColumn id="4" xr3:uid="{1728EEFA-11FC-C248-9BDE-776547189DA3}" name="supplement"/>
    <tableColumn id="5" xr3:uid="{F957E9F4-69D5-4D4F-8929-EC5E7EBCEA98}" name="method.index"/>
    <tableColumn id="6" xr3:uid="{CC58A93D-C0AC-4046-ADE6-14894747C6C0}" name="method"/>
    <tableColumn id="7" xr3:uid="{7086B2EF-1FCD-3B4B-AD94-615144595C8F}" name="2g-no-hash" dataDxfId="25"/>
    <tableColumn id="8" xr3:uid="{36EA659A-07E1-E944-9134-5F6E0CD1D8D9}" name="3g-no-hash" dataDxfId="24"/>
    <tableColumn id="9" xr3:uid="{67FD47B6-F737-2A4B-8C56-9A396623C4D9}" name="4g-no-hash" dataDxfId="23"/>
    <tableColumn id="10" xr3:uid="{15BA9F33-DB19-B44A-B0C4-3F722385CC69}" name="xsk2g-no-hash" dataDxfId="22"/>
    <tableColumn id="11" xr3:uid="{CF9504C1-96A3-7B4E-A1DE-888CD5DDC2C1}" name="xsk3g-no-hash" dataDxfId="21"/>
    <tableColumn id="12" xr3:uid="{D99301E9-A546-B644-A953-05F12B4C8D0C}" name="xsk4g-no-hash" dataDxfId="20"/>
    <tableColumn id="13" xr3:uid="{D1DE270B-4702-0C41-B64E-A0867C3F289C}" name="2g-hash-at-both" dataDxfId="19"/>
    <tableColumn id="14" xr3:uid="{FBABEBE3-62E4-B84D-9F83-8DFE87348DFF}" name="3g-hash-at-both" dataDxfId="18"/>
    <tableColumn id="15" xr3:uid="{6956C80E-D57A-7444-9056-3B5325886C43}" name="4g-hash-at-both" dataDxfId="17"/>
    <tableColumn id="16" xr3:uid="{3EC01F38-FBA5-E242-923C-A72A5CB220B7}" name="xsk2g-hash-at-both" dataDxfId="16"/>
    <tableColumn id="17" xr3:uid="{FBCDBEF2-5AA2-DA4A-8C6D-C5992CB3E0F3}" name="xsk3g-hash-at-both" dataDxfId="15"/>
    <tableColumn id="18" xr3:uid="{BC78D179-1E12-AD48-A05D-0312F1EFE2B5}" name="xsk4g-hash-at-both" dataDxfId="14"/>
    <tableColumn id="19" xr3:uid="{F59EFB8F-B1B9-6840-8AAD-9B88C8A8EE9C}" name="max" dataDxfId="13">
      <calculatedColumnFormula>MAX($G2:$R2)</calculatedColumnFormula>
    </tableColumn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E7757C8F-CD31-A342-9D56-7C67F88ECAE1}" name="Table29" displayName="Table29" ref="B16:S20" totalsRowShown="0">
  <autoFilter ref="B16:S20" xr:uid="{E7757C8F-CD31-A342-9D56-7C67F88ECAE1}"/>
  <tableColumns count="18">
    <tableColumn id="1" xr3:uid="{AB476225-251D-E34E-AA7E-ACAECC71DE0C}" name="attribute.index"/>
    <tableColumn id="2" xr3:uid="{F6EADE35-3FE9-2146-8CF9-F6A2769D9A57}" name="attribute"/>
    <tableColumn id="3" xr3:uid="{F27F6FAF-8421-2041-A3C7-E4963E22049A}" name="supplemented"/>
    <tableColumn id="4" xr3:uid="{1BB0B7BE-A195-3048-B11B-7F30F4D82C24}" name="method.index"/>
    <tableColumn id="5" xr3:uid="{68F0D0E9-5537-AE44-8BD6-69F0F9B1A365}" name="metric"/>
    <tableColumn id="6" xr3:uid="{4C595647-E3D4-BA47-801B-A2CFB3D64BF1}" name="2g-no-hash" dataDxfId="12">
      <calculatedColumnFormula array="1">_xlfn.LET(_xlpm.d,G$2:G$13,_xlpm.a,$C$2:$C$13=$C17,_xlpm.b,$D$2:$D$13=$D17,MAX(_xlfn._xlws.FILTER(_xlpm.d,_xlpm.a*_xlpm.b)))</calculatedColumnFormula>
    </tableColumn>
    <tableColumn id="7" xr3:uid="{67E80CB0-7940-1B46-88D6-0FD0754E65C1}" name="3g-no-hash" dataDxfId="11">
      <calculatedColumnFormula array="1">_xlfn.LET(_xlpm.d,H$2:H$13,_xlpm.a,$C$2:$C$13=$C17,_xlpm.b,$D$2:$D$13=$D17,MAX(_xlfn._xlws.FILTER(_xlpm.d,_xlpm.a*_xlpm.b)))</calculatedColumnFormula>
    </tableColumn>
    <tableColumn id="8" xr3:uid="{810D03CB-5D33-354B-9913-FF9ED2FE186B}" name="4g-no-hash" dataDxfId="10">
      <calculatedColumnFormula array="1">_xlfn.LET(_xlpm.d,I$2:I$13,_xlpm.a,$C$2:$C$13=$C17,_xlpm.b,$D$2:$D$13=$D17,MAX(_xlfn._xlws.FILTER(_xlpm.d,_xlpm.a*_xlpm.b)))</calculatedColumnFormula>
    </tableColumn>
    <tableColumn id="9" xr3:uid="{3CA17050-067C-6B49-9096-78EB3B4315E6}" name="xsk2g-no-hash" dataDxfId="9">
      <calculatedColumnFormula array="1">_xlfn.LET(_xlpm.d,J$2:J$13,_xlpm.a,$C$2:$C$13=$C17,_xlpm.b,$D$2:$D$13=$D17,MAX(_xlfn._xlws.FILTER(_xlpm.d,_xlpm.a*_xlpm.b)))</calculatedColumnFormula>
    </tableColumn>
    <tableColumn id="10" xr3:uid="{6230D9EB-695C-5B4D-BFE1-86494821FCE1}" name="xsk3g-no-hash" dataDxfId="8">
      <calculatedColumnFormula array="1">_xlfn.LET(_xlpm.d,K$2:K$13,_xlpm.a,$C$2:$C$13=$C17,_xlpm.b,$D$2:$D$13=$D17,MAX(_xlfn._xlws.FILTER(_xlpm.d,_xlpm.a*_xlpm.b)))</calculatedColumnFormula>
    </tableColumn>
    <tableColumn id="11" xr3:uid="{1CEA55EB-3BCE-3840-9D25-6988FC7C378D}" name="xsk4g-no-hash" dataDxfId="7">
      <calculatedColumnFormula array="1">_xlfn.LET(_xlpm.d,L$2:L$13,_xlpm.a,$C$2:$C$13=$C17,_xlpm.b,$D$2:$D$13=$D17,MAX(_xlfn._xlws.FILTER(_xlpm.d,_xlpm.a*_xlpm.b)))</calculatedColumnFormula>
    </tableColumn>
    <tableColumn id="12" xr3:uid="{689C61D9-C9EB-BA42-8971-06FB8F06913D}" name="2g-hash-at-both" dataDxfId="6">
      <calculatedColumnFormula array="1">_xlfn.LET(_xlpm.d,M$2:M$13,_xlpm.a,$C$2:$C$13=$C17,_xlpm.b,$D$2:$D$13=$D17,MAX(_xlfn._xlws.FILTER(_xlpm.d,_xlpm.a*_xlpm.b)))</calculatedColumnFormula>
    </tableColumn>
    <tableColumn id="13" xr3:uid="{221F36EF-D334-2540-A33F-1EE484549451}" name="3g-hash-at-both" dataDxfId="5">
      <calculatedColumnFormula array="1">_xlfn.LET(_xlpm.d,N$2:N$13,_xlpm.a,$C$2:$C$13=$C17,_xlpm.b,$D$2:$D$13=$D17,MAX(_xlfn._xlws.FILTER(_xlpm.d,_xlpm.a*_xlpm.b)))</calculatedColumnFormula>
    </tableColumn>
    <tableColumn id="14" xr3:uid="{AFFB16D4-2D32-7F46-894E-494A535B313E}" name="4g-hash-at-both" dataDxfId="4">
      <calculatedColumnFormula array="1">_xlfn.LET(_xlpm.d,O$2:O$13,_xlpm.a,$C$2:$C$13=$C17,_xlpm.b,$D$2:$D$13=$D17,MAX(_xlfn._xlws.FILTER(_xlpm.d,_xlpm.a*_xlpm.b)))</calculatedColumnFormula>
    </tableColumn>
    <tableColumn id="15" xr3:uid="{BE45FBE5-9B7A-7546-87C1-5D5685D0C30F}" name="xsk2g-hash-at-both" dataDxfId="3">
      <calculatedColumnFormula array="1">_xlfn.LET(_xlpm.d,P$2:P$13,_xlpm.a,$C$2:$C$13=$C17,_xlpm.b,$D$2:$D$13=$D17,MAX(_xlfn._xlws.FILTER(_xlpm.d,_xlpm.a*_xlpm.b)))</calculatedColumnFormula>
    </tableColumn>
    <tableColumn id="16" xr3:uid="{C9711937-759A-3A47-8A73-2E9052BC320A}" name="xsk3g-hash-at-both" dataDxfId="2">
      <calculatedColumnFormula array="1">_xlfn.LET(_xlpm.d,Q$2:Q$13,_xlpm.a,$C$2:$C$13=$C17,_xlpm.b,$D$2:$D$13=$D17,MAX(_xlfn._xlws.FILTER(_xlpm.d,_xlpm.a*_xlpm.b)))</calculatedColumnFormula>
    </tableColumn>
    <tableColumn id="17" xr3:uid="{DFD62463-3338-1240-ADF8-52282E8B27B9}" name="xsk4g-hash-at-both" dataDxfId="1">
      <calculatedColumnFormula array="1">_xlfn.LET(_xlpm.d,R$2:R$13,_xlpm.a,$C$2:$C$13=$C17,_xlpm.b,$D$2:$D$13=$D17,MAX(_xlfn._xlws.FILTER(_xlpm.d,_xlpm.a*_xlpm.b)))</calculatedColumnFormula>
    </tableColumn>
    <tableColumn id="18" xr3:uid="{39AA773A-F57E-5847-B122-AD7BC6151DCE}" name="max" dataDxfId="0">
      <calculatedColumnFormula array="1">_xlfn.LET(_xlpm.d,S$2:S$13,_xlpm.a,$C$2:$C$13=$C17,_xlpm.b,$D$2:$D$13=$D17,MAX(_xlfn._xlws.FILTER(_xlpm.d,_xlpm.a*_xlpm.b)))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drawing" Target="../drawings/drawing2.xml"/><Relationship Id="rId4" Type="http://schemas.openxmlformats.org/officeDocument/2006/relationships/table" Target="../tables/table7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table" Target="../tables/table8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.xml"/><Relationship Id="rId2" Type="http://schemas.openxmlformats.org/officeDocument/2006/relationships/table" Target="../tables/table10.xml"/><Relationship Id="rId1" Type="http://schemas.openxmlformats.org/officeDocument/2006/relationships/drawing" Target="../drawings/drawing3.xml"/><Relationship Id="rId4" Type="http://schemas.openxmlformats.org/officeDocument/2006/relationships/table" Target="../tables/table1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4.xml"/><Relationship Id="rId1" Type="http://schemas.openxmlformats.org/officeDocument/2006/relationships/table" Target="../tables/table1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6.xml"/><Relationship Id="rId1" Type="http://schemas.openxmlformats.org/officeDocument/2006/relationships/table" Target="../tables/table1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8.xml"/><Relationship Id="rId1" Type="http://schemas.openxmlformats.org/officeDocument/2006/relationships/table" Target="../tables/table1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0.xml"/><Relationship Id="rId1" Type="http://schemas.openxmlformats.org/officeDocument/2006/relationships/table" Target="../tables/table19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2.xml"/><Relationship Id="rId1" Type="http://schemas.openxmlformats.org/officeDocument/2006/relationships/table" Target="../tables/table21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4.xml"/><Relationship Id="rId1" Type="http://schemas.openxmlformats.org/officeDocument/2006/relationships/table" Target="../tables/table2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ADE03-F03F-404E-8F36-CBA027C67431}">
  <dimension ref="A1:X73"/>
  <sheetViews>
    <sheetView workbookViewId="0">
      <pane xSplit="8820" ySplit="4440" topLeftCell="R14" activePane="bottomRight"/>
      <selection activeCell="E3" sqref="E3"/>
      <selection pane="topRight" activeCell="X1" sqref="X1:X1048576"/>
      <selection pane="bottomLeft" activeCell="C10" sqref="C10"/>
      <selection pane="bottomRight" activeCell="J22" sqref="J22:V25"/>
    </sheetView>
  </sheetViews>
  <sheetFormatPr baseColWidth="10" defaultRowHeight="25" customHeight="1"/>
  <cols>
    <col min="1" max="2" width="6.375" customWidth="1"/>
    <col min="3" max="3" width="6.875" customWidth="1"/>
    <col min="4" max="4" width="6.375" customWidth="1"/>
    <col min="5" max="8" width="8.5" customWidth="1"/>
    <col min="9" max="9" width="16.125" customWidth="1"/>
    <col min="10" max="20" width="8.5" customWidth="1"/>
    <col min="21" max="21" width="9.75" customWidth="1"/>
    <col min="22" max="22" width="8.5" customWidth="1"/>
    <col min="23" max="23" width="9.375" customWidth="1"/>
    <col min="24" max="24" width="11.75" customWidth="1"/>
  </cols>
  <sheetData>
    <row r="1" spans="1:24" ht="25" customHeight="1">
      <c r="A1" t="s">
        <v>27</v>
      </c>
      <c r="B1" t="s">
        <v>30</v>
      </c>
      <c r="C1" t="s">
        <v>28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31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  <c r="V1" t="s">
        <v>18</v>
      </c>
      <c r="W1" t="s">
        <v>32</v>
      </c>
      <c r="X1" t="s">
        <v>33</v>
      </c>
    </row>
    <row r="2" spans="1:24" ht="25" customHeight="1">
      <c r="A2" t="s">
        <v>29</v>
      </c>
      <c r="B2">
        <v>1.2</v>
      </c>
      <c r="C2">
        <v>3</v>
      </c>
      <c r="D2">
        <v>1</v>
      </c>
      <c r="E2" t="s">
        <v>19</v>
      </c>
      <c r="F2" t="b">
        <v>0</v>
      </c>
      <c r="G2">
        <v>0</v>
      </c>
      <c r="H2" t="s">
        <v>18</v>
      </c>
      <c r="I2" t="str">
        <f>_xlfn.LET(_xlpm.sk,_xlfn.SINGLE(Table3[skippiness]),_xlpm.sn,_xlfn.SINGLE(Table3[sample.n]),_xlpm.mgv,_xlfn.SINGLE(Table3[mgv]),_xlpm.attr,_xlfn.SINGLE(Table3[attribute]),_xlpm.spl,_xlfn.SINGLE(Table3[supplement]),_xlfn.TEXTJOIN({"-spl:","-mgv:","-sn:",""},TRUE,LEFT(_xlpm.attr,3),LEFT(_xlpm.spl,1),_xlpm.mgv,_xlpm.sn,"k"))</f>
        <v>plu-spl:F-mgv:3-sn:1.2k</v>
      </c>
      <c r="J2" s="1">
        <v>0.89</v>
      </c>
      <c r="K2" s="1">
        <v>0.91</v>
      </c>
      <c r="L2" s="1">
        <v>0.93</v>
      </c>
      <c r="M2" s="1">
        <v>0.96</v>
      </c>
      <c r="N2" s="1">
        <v>0.97</v>
      </c>
      <c r="O2" s="1">
        <v>0.96</v>
      </c>
      <c r="P2" s="1">
        <v>0.96</v>
      </c>
      <c r="Q2" s="1">
        <v>0.9</v>
      </c>
      <c r="R2" s="1">
        <v>0.94</v>
      </c>
      <c r="S2" s="1">
        <v>0.93</v>
      </c>
      <c r="T2" s="1">
        <v>0.93</v>
      </c>
      <c r="U2" s="1">
        <v>0.93</v>
      </c>
      <c r="V2" s="1">
        <v>0.97</v>
      </c>
      <c r="W2" s="2">
        <f t="shared" ref="W2:W37" si="0">_xlfn.LET(_xlpm.d,$J2:$U2,GEOMEAN(_xlpm.d))</f>
        <v>0.93384883744948355</v>
      </c>
      <c r="X2" s="3">
        <f t="shared" ref="X2:X37" si="1">_xlfn.LET(_xlpm.x,W2,_xlpm.r,W$2:W$55,RANK(_xlpm.x,_xlpm.r))</f>
        <v>18</v>
      </c>
    </row>
    <row r="3" spans="1:24" ht="25" customHeight="1">
      <c r="A3" t="s">
        <v>29</v>
      </c>
      <c r="B3">
        <v>1.2</v>
      </c>
      <c r="C3">
        <v>3</v>
      </c>
      <c r="D3">
        <v>1</v>
      </c>
      <c r="E3" t="s">
        <v>19</v>
      </c>
      <c r="F3" t="b">
        <v>1</v>
      </c>
      <c r="G3">
        <v>0</v>
      </c>
      <c r="H3" t="s">
        <v>18</v>
      </c>
      <c r="I3" t="str">
        <f>_xlfn.LET(_xlpm.sk,_xlfn.SINGLE(Table3[skippiness]),_xlpm.sn,_xlfn.SINGLE(Table3[sample.n]),_xlpm.mgv,_xlfn.SINGLE(Table3[mgv]),_xlpm.attr,_xlfn.SINGLE(Table3[attribute]),_xlpm.spl,_xlfn.SINGLE(Table3[supplement]),_xlfn.TEXTJOIN({"-spl:","-mgv:","-sn:",""},TRUE,LEFT(_xlpm.attr,3),LEFT(_xlpm.spl,1),_xlpm.mgv,_xlpm.sn,"k"))</f>
        <v>plu-spl:T-mgv:3-sn:1.2k</v>
      </c>
      <c r="J3" s="1">
        <v>0.9</v>
      </c>
      <c r="K3" s="1">
        <v>0.92</v>
      </c>
      <c r="L3" s="1">
        <v>0.94</v>
      </c>
      <c r="M3" s="1">
        <v>0.97</v>
      </c>
      <c r="N3" s="1">
        <v>0.97</v>
      </c>
      <c r="O3" s="1">
        <v>0.95</v>
      </c>
      <c r="P3" s="1">
        <v>0.96</v>
      </c>
      <c r="Q3" s="1">
        <v>0.91</v>
      </c>
      <c r="R3" s="1">
        <v>0.93</v>
      </c>
      <c r="S3" s="1">
        <v>0.93</v>
      </c>
      <c r="T3" s="1">
        <v>0.93</v>
      </c>
      <c r="U3" s="1">
        <v>0.96</v>
      </c>
      <c r="V3" s="1">
        <v>0.97</v>
      </c>
      <c r="W3" s="1">
        <f t="shared" si="0"/>
        <v>0.93890466602563694</v>
      </c>
      <c r="X3" s="2">
        <f t="shared" si="1"/>
        <v>14</v>
      </c>
    </row>
    <row r="4" spans="1:24" ht="25" customHeight="1">
      <c r="A4" t="s">
        <v>29</v>
      </c>
      <c r="B4">
        <v>1.2</v>
      </c>
      <c r="C4">
        <v>3</v>
      </c>
      <c r="D4">
        <v>2</v>
      </c>
      <c r="E4" t="s">
        <v>23</v>
      </c>
      <c r="F4" t="b">
        <v>0</v>
      </c>
      <c r="G4">
        <v>0</v>
      </c>
      <c r="H4" t="s">
        <v>18</v>
      </c>
      <c r="I4" t="str">
        <f>_xlfn.LET(_xlpm.sk,_xlfn.SINGLE(Table3[skippiness]),_xlpm.sn,_xlfn.SINGLE(Table3[sample.n]),_xlpm.mgv,_xlfn.SINGLE(Table3[mgv]),_xlpm.attr,_xlfn.SINGLE(Table3[attribute]),_xlpm.spl,_xlfn.SINGLE(Table3[supplement]),_xlfn.TEXTJOIN({"-spl:","-mgv:","-sn:",""},TRUE,LEFT(_xlpm.attr,3),LEFT(_xlpm.spl,1),_xlpm.mgv,_xlpm.sn,"k"))</f>
        <v>gen-spl:F-mgv:3-sn:1.2k</v>
      </c>
      <c r="J4" s="1">
        <v>0.74</v>
      </c>
      <c r="K4" s="1">
        <v>0.75</v>
      </c>
      <c r="L4" s="1">
        <v>0.78</v>
      </c>
      <c r="M4" s="1">
        <v>0.78</v>
      </c>
      <c r="N4" s="1">
        <v>0.76</v>
      </c>
      <c r="O4" s="1">
        <v>0.78</v>
      </c>
      <c r="P4" s="1">
        <v>0.77</v>
      </c>
      <c r="Q4" s="1">
        <v>0.78</v>
      </c>
      <c r="R4" s="1">
        <v>0.82</v>
      </c>
      <c r="S4" s="1">
        <v>0.83</v>
      </c>
      <c r="T4" s="1">
        <v>0.82</v>
      </c>
      <c r="U4" s="1">
        <v>0.81</v>
      </c>
      <c r="V4" s="1">
        <v>0.83</v>
      </c>
      <c r="W4" s="2">
        <f t="shared" si="0"/>
        <v>0.78450770006793569</v>
      </c>
      <c r="X4" s="3">
        <f t="shared" si="1"/>
        <v>31</v>
      </c>
    </row>
    <row r="5" spans="1:24" ht="25" customHeight="1">
      <c r="A5" t="s">
        <v>29</v>
      </c>
      <c r="B5">
        <v>1.2</v>
      </c>
      <c r="C5">
        <v>3</v>
      </c>
      <c r="D5">
        <v>2</v>
      </c>
      <c r="E5" t="s">
        <v>23</v>
      </c>
      <c r="F5" t="b">
        <v>1</v>
      </c>
      <c r="G5">
        <v>0</v>
      </c>
      <c r="H5" t="s">
        <v>18</v>
      </c>
      <c r="I5" t="str">
        <f>_xlfn.LET(_xlpm.sk,_xlfn.SINGLE(Table3[skippiness]),_xlpm.sn,_xlfn.SINGLE(Table3[sample.n]),_xlpm.mgv,_xlfn.SINGLE(Table3[mgv]),_xlpm.attr,_xlfn.SINGLE(Table3[attribute]),_xlpm.spl,_xlfn.SINGLE(Table3[supplement]),_xlfn.TEXTJOIN({"-spl:","-mgv:","-sn:",""},TRUE,LEFT(_xlpm.attr,3),LEFT(_xlpm.spl,1),_xlpm.mgv,_xlpm.sn,"k"))</f>
        <v>gen-spl:T-mgv:3-sn:1.2k</v>
      </c>
      <c r="J5" s="1">
        <v>0.78</v>
      </c>
      <c r="K5" s="1">
        <v>0.75</v>
      </c>
      <c r="L5" s="1">
        <v>0.73</v>
      </c>
      <c r="M5" s="1">
        <v>0.75</v>
      </c>
      <c r="N5" s="1">
        <v>0.76</v>
      </c>
      <c r="O5" s="1">
        <v>0.77</v>
      </c>
      <c r="P5" s="1">
        <v>0.78</v>
      </c>
      <c r="Q5" s="1">
        <v>0.78</v>
      </c>
      <c r="R5" s="1">
        <v>0.82</v>
      </c>
      <c r="S5" s="1">
        <v>0.81</v>
      </c>
      <c r="T5" s="1">
        <v>0.8</v>
      </c>
      <c r="U5" s="1">
        <v>0.78</v>
      </c>
      <c r="V5" s="1">
        <v>0.82</v>
      </c>
      <c r="W5" s="2">
        <f t="shared" si="0"/>
        <v>0.77543086068223732</v>
      </c>
      <c r="X5" s="2">
        <f t="shared" si="1"/>
        <v>33</v>
      </c>
    </row>
    <row r="6" spans="1:24" ht="25" customHeight="1">
      <c r="A6" t="s">
        <v>29</v>
      </c>
      <c r="B6">
        <v>1.2</v>
      </c>
      <c r="C6">
        <v>6</v>
      </c>
      <c r="D6">
        <v>1</v>
      </c>
      <c r="E6" t="s">
        <v>19</v>
      </c>
      <c r="F6" t="b">
        <v>0</v>
      </c>
      <c r="G6">
        <v>0</v>
      </c>
      <c r="H6" t="s">
        <v>18</v>
      </c>
      <c r="I6" t="str">
        <f>_xlfn.LET(_xlpm.sk,_xlfn.SINGLE(Table3[skippiness]),_xlpm.sn,_xlfn.SINGLE(Table3[sample.n]),_xlpm.mgv,_xlfn.SINGLE(Table3[mgv]),_xlpm.attr,_xlfn.SINGLE(Table3[attribute]),_xlpm.spl,_xlfn.SINGLE(Table3[supplement]),_xlfn.TEXTJOIN({"-spl:","-mgv:","-sn:",""},TRUE,LEFT(_xlpm.attr,3),LEFT(_xlpm.spl,1),_xlpm.mgv,_xlpm.sn,"k"))</f>
        <v>plu-spl:F-mgv:6-sn:1.2k</v>
      </c>
      <c r="J6" s="1">
        <v>0.93</v>
      </c>
      <c r="K6" s="1">
        <v>0.93</v>
      </c>
      <c r="L6" s="1">
        <v>0.93</v>
      </c>
      <c r="M6" s="1">
        <v>0.94</v>
      </c>
      <c r="N6" s="1">
        <v>0.95</v>
      </c>
      <c r="O6" s="1">
        <v>0.93</v>
      </c>
      <c r="P6" s="1">
        <v>0.93</v>
      </c>
      <c r="Q6" s="1">
        <v>0.93</v>
      </c>
      <c r="R6" s="1">
        <v>0.91</v>
      </c>
      <c r="S6" s="1">
        <v>0.97</v>
      </c>
      <c r="T6" s="1">
        <v>0.97</v>
      </c>
      <c r="U6" s="1">
        <v>0.96</v>
      </c>
      <c r="V6" s="1">
        <v>0.97</v>
      </c>
      <c r="W6" s="2">
        <f t="shared" si="0"/>
        <v>0.93983245214292377</v>
      </c>
      <c r="X6" s="3">
        <f t="shared" si="1"/>
        <v>11</v>
      </c>
    </row>
    <row r="7" spans="1:24" ht="25" customHeight="1">
      <c r="A7" t="s">
        <v>29</v>
      </c>
      <c r="B7">
        <v>1.2</v>
      </c>
      <c r="C7">
        <v>6</v>
      </c>
      <c r="D7">
        <v>1</v>
      </c>
      <c r="E7" t="s">
        <v>19</v>
      </c>
      <c r="F7" t="b">
        <v>1</v>
      </c>
      <c r="G7">
        <v>0</v>
      </c>
      <c r="H7" t="s">
        <v>18</v>
      </c>
      <c r="I7" t="str">
        <f>_xlfn.LET(_xlpm.sk,_xlfn.SINGLE(Table3[skippiness]),_xlpm.sn,_xlfn.SINGLE(Table3[sample.n]),_xlpm.mgv,_xlfn.SINGLE(Table3[mgv]),_xlpm.attr,_xlfn.SINGLE(Table3[attribute]),_xlpm.spl,_xlfn.SINGLE(Table3[supplement]),_xlfn.TEXTJOIN({"-spl:","-mgv:","-sn:",""},TRUE,LEFT(_xlpm.attr,3),LEFT(_xlpm.spl,1),_xlpm.mgv,_xlpm.sn,"k"))</f>
        <v>plu-spl:T-mgv:6-sn:1.2k</v>
      </c>
      <c r="J7" s="1">
        <v>0.94</v>
      </c>
      <c r="K7" s="1">
        <v>0.93</v>
      </c>
      <c r="L7" s="1">
        <v>0.93</v>
      </c>
      <c r="M7" s="1">
        <v>0.94</v>
      </c>
      <c r="N7" s="1">
        <v>0.94</v>
      </c>
      <c r="O7" s="1">
        <v>0.95</v>
      </c>
      <c r="P7" s="1">
        <v>0.93</v>
      </c>
      <c r="Q7" s="1">
        <v>0.91</v>
      </c>
      <c r="R7" s="1">
        <v>0.92</v>
      </c>
      <c r="S7" s="1">
        <v>0.99</v>
      </c>
      <c r="T7" s="1">
        <v>0.96</v>
      </c>
      <c r="U7" s="1">
        <v>0.97</v>
      </c>
      <c r="V7" s="1">
        <v>0.99</v>
      </c>
      <c r="W7" s="2">
        <f t="shared" si="0"/>
        <v>0.94226259103351995</v>
      </c>
      <c r="X7" s="2">
        <f t="shared" si="1"/>
        <v>7</v>
      </c>
    </row>
    <row r="8" spans="1:24" ht="25" customHeight="1">
      <c r="A8" t="s">
        <v>29</v>
      </c>
      <c r="B8">
        <v>1.2</v>
      </c>
      <c r="C8">
        <v>6</v>
      </c>
      <c r="D8">
        <v>2</v>
      </c>
      <c r="E8" t="s">
        <v>23</v>
      </c>
      <c r="F8" t="b">
        <v>0</v>
      </c>
      <c r="G8">
        <v>0</v>
      </c>
      <c r="H8" t="s">
        <v>18</v>
      </c>
      <c r="I8" t="str">
        <f>_xlfn.LET(_xlpm.sk,_xlfn.SINGLE(Table3[skippiness]),_xlpm.sn,_xlfn.SINGLE(Table3[sample.n]),_xlpm.mgv,_xlfn.SINGLE(Table3[mgv]),_xlpm.attr,_xlfn.SINGLE(Table3[attribute]),_xlpm.spl,_xlfn.SINGLE(Table3[supplement]),_xlfn.TEXTJOIN({"-spl:","-mgv:","-sn:",""},TRUE,LEFT(_xlpm.attr,3),LEFT(_xlpm.spl,1),_xlpm.mgv,_xlpm.sn,"k"))</f>
        <v>gen-spl:F-mgv:6-sn:1.2k</v>
      </c>
      <c r="J8" s="2">
        <v>0.78</v>
      </c>
      <c r="K8" s="2">
        <v>0.71</v>
      </c>
      <c r="L8" s="2">
        <v>0.81</v>
      </c>
      <c r="M8" s="2">
        <v>0.78</v>
      </c>
      <c r="N8" s="2">
        <v>0.78</v>
      </c>
      <c r="O8" s="2">
        <v>0.84</v>
      </c>
      <c r="P8" s="2">
        <v>0.73</v>
      </c>
      <c r="Q8" s="2">
        <v>0.79</v>
      </c>
      <c r="R8" s="2">
        <v>0.78</v>
      </c>
      <c r="S8" s="2">
        <v>0.79</v>
      </c>
      <c r="T8" s="2">
        <v>0.8</v>
      </c>
      <c r="U8" s="2">
        <v>0.69</v>
      </c>
      <c r="V8" s="2">
        <v>0.84</v>
      </c>
      <c r="W8" s="2">
        <f t="shared" si="0"/>
        <v>0.7722236510873095</v>
      </c>
      <c r="X8" s="3">
        <f t="shared" si="1"/>
        <v>34</v>
      </c>
    </row>
    <row r="9" spans="1:24" ht="25" customHeight="1">
      <c r="A9" t="s">
        <v>29</v>
      </c>
      <c r="B9">
        <v>1.2</v>
      </c>
      <c r="C9">
        <v>6</v>
      </c>
      <c r="D9">
        <v>2</v>
      </c>
      <c r="E9" t="s">
        <v>23</v>
      </c>
      <c r="F9" t="b">
        <v>1</v>
      </c>
      <c r="G9">
        <v>0</v>
      </c>
      <c r="H9" t="s">
        <v>18</v>
      </c>
      <c r="I9" t="str">
        <f>_xlfn.LET(_xlpm.sk,_xlfn.SINGLE(Table3[skippiness]),_xlpm.sn,_xlfn.SINGLE(Table3[sample.n]),_xlpm.mgv,_xlfn.SINGLE(Table3[mgv]),_xlpm.attr,_xlfn.SINGLE(Table3[attribute]),_xlpm.spl,_xlfn.SINGLE(Table3[supplement]),_xlfn.TEXTJOIN({"-spl:","-mgv:","-sn:",""},TRUE,LEFT(_xlpm.attr,3),LEFT(_xlpm.spl,1),_xlpm.mgv,_xlpm.sn,"k"))</f>
        <v>gen-spl:T-mgv:6-sn:1.2k</v>
      </c>
      <c r="J9" s="2">
        <v>0.79</v>
      </c>
      <c r="K9" s="2">
        <v>0.71</v>
      </c>
      <c r="L9" s="2">
        <v>0.81</v>
      </c>
      <c r="M9" s="2">
        <v>0.79</v>
      </c>
      <c r="N9" s="2">
        <v>0.78</v>
      </c>
      <c r="O9" s="2">
        <v>0.83</v>
      </c>
      <c r="P9" s="2">
        <v>0.74</v>
      </c>
      <c r="Q9" s="2">
        <v>0.82</v>
      </c>
      <c r="R9" s="2">
        <v>0.83</v>
      </c>
      <c r="S9" s="2">
        <v>0.77</v>
      </c>
      <c r="T9" s="2">
        <v>0.8</v>
      </c>
      <c r="U9" s="2">
        <v>0.71</v>
      </c>
      <c r="V9" s="2">
        <v>0.83</v>
      </c>
      <c r="W9" s="2">
        <f t="shared" si="0"/>
        <v>0.78059856317290632</v>
      </c>
      <c r="X9" s="2">
        <f t="shared" si="1"/>
        <v>32</v>
      </c>
    </row>
    <row r="10" spans="1:24" ht="25" customHeight="1">
      <c r="A10" t="s">
        <v>29</v>
      </c>
      <c r="B10">
        <v>1.2</v>
      </c>
      <c r="C10">
        <v>9</v>
      </c>
      <c r="D10">
        <v>1</v>
      </c>
      <c r="E10" t="s">
        <v>19</v>
      </c>
      <c r="F10" t="b">
        <v>0</v>
      </c>
      <c r="G10">
        <v>0</v>
      </c>
      <c r="H10" t="s">
        <v>18</v>
      </c>
      <c r="I10" t="str">
        <f>_xlfn.LET(_xlpm.sk,_xlfn.SINGLE(Table3[skippiness]),_xlpm.sn,_xlfn.SINGLE(Table3[sample.n]),_xlpm.mgv,_xlfn.SINGLE(Table3[mgv]),_xlpm.attr,_xlfn.SINGLE(Table3[attribute]),_xlpm.spl,_xlfn.SINGLE(Table3[supplement]),_xlfn.TEXTJOIN({"-spl:","-mgv:","-sn:",""},TRUE,LEFT(_xlpm.attr,3),LEFT(_xlpm.spl,1),_xlpm.mgv,_xlpm.sn,"k"))</f>
        <v>plu-spl:F-mgv:9-sn:1.2k</v>
      </c>
      <c r="J10" s="1">
        <v>0.93</v>
      </c>
      <c r="K10" s="1">
        <v>0.9</v>
      </c>
      <c r="L10" s="1">
        <v>0.92</v>
      </c>
      <c r="M10" s="1">
        <v>0.97</v>
      </c>
      <c r="N10" s="1">
        <v>0.96</v>
      </c>
      <c r="O10" s="1">
        <v>0.97</v>
      </c>
      <c r="P10" s="1">
        <v>0.92</v>
      </c>
      <c r="Q10" s="1">
        <v>0.88</v>
      </c>
      <c r="R10" s="1">
        <v>0.98</v>
      </c>
      <c r="S10" s="1">
        <v>0.94</v>
      </c>
      <c r="T10" s="1">
        <v>0.96</v>
      </c>
      <c r="U10" s="1">
        <v>0.95</v>
      </c>
      <c r="V10" s="1">
        <v>0.98</v>
      </c>
      <c r="W10" s="2">
        <f t="shared" si="0"/>
        <v>0.93953350271557312</v>
      </c>
      <c r="X10" s="3">
        <f t="shared" si="1"/>
        <v>13</v>
      </c>
    </row>
    <row r="11" spans="1:24" ht="25" customHeight="1">
      <c r="A11" t="s">
        <v>29</v>
      </c>
      <c r="B11">
        <v>1.2</v>
      </c>
      <c r="C11">
        <v>9</v>
      </c>
      <c r="D11">
        <v>1</v>
      </c>
      <c r="E11" t="s">
        <v>19</v>
      </c>
      <c r="F11" t="b">
        <v>1</v>
      </c>
      <c r="G11">
        <v>0</v>
      </c>
      <c r="H11" t="s">
        <v>18</v>
      </c>
      <c r="I11" t="str">
        <f>_xlfn.LET(_xlpm.sk,_xlfn.SINGLE(Table3[skippiness]),_xlpm.sn,_xlfn.SINGLE(Table3[sample.n]),_xlpm.mgv,_xlfn.SINGLE(Table3[mgv]),_xlpm.attr,_xlfn.SINGLE(Table3[attribute]),_xlpm.spl,_xlfn.SINGLE(Table3[supplement]),_xlfn.TEXTJOIN({"-spl:","-mgv:","-sn:",""},TRUE,LEFT(_xlpm.attr,3),LEFT(_xlpm.spl,1),_xlpm.mgv,_xlpm.sn,"k"))</f>
        <v>plu-spl:T-mgv:9-sn:1.2k</v>
      </c>
      <c r="J11" s="1">
        <v>0.94</v>
      </c>
      <c r="K11" s="1">
        <v>0.92</v>
      </c>
      <c r="L11" s="1">
        <v>0.92</v>
      </c>
      <c r="M11" s="1">
        <v>0.97</v>
      </c>
      <c r="N11" s="1">
        <v>0.95</v>
      </c>
      <c r="O11" s="1">
        <v>0.96</v>
      </c>
      <c r="P11" s="1">
        <v>0.89</v>
      </c>
      <c r="Q11" s="1">
        <v>0.88</v>
      </c>
      <c r="R11" s="1">
        <v>0.96</v>
      </c>
      <c r="S11" s="1">
        <v>0.93</v>
      </c>
      <c r="T11" s="1">
        <v>0.97</v>
      </c>
      <c r="U11" s="1">
        <v>0.97</v>
      </c>
      <c r="V11" s="1">
        <v>0.97</v>
      </c>
      <c r="W11" s="2">
        <f t="shared" si="0"/>
        <v>0.93785716532879404</v>
      </c>
      <c r="X11" s="2">
        <f t="shared" si="1"/>
        <v>15</v>
      </c>
    </row>
    <row r="12" spans="1:24" ht="25" customHeight="1">
      <c r="A12" t="s">
        <v>29</v>
      </c>
      <c r="B12">
        <v>1.2</v>
      </c>
      <c r="C12">
        <v>9</v>
      </c>
      <c r="D12">
        <v>2</v>
      </c>
      <c r="E12" t="s">
        <v>23</v>
      </c>
      <c r="F12" t="b">
        <v>0</v>
      </c>
      <c r="G12">
        <v>0</v>
      </c>
      <c r="H12" t="s">
        <v>18</v>
      </c>
      <c r="I12" t="str">
        <f>_xlfn.LET(_xlpm.sk,_xlfn.SINGLE(Table3[skippiness]),_xlpm.sn,_xlfn.SINGLE(Table3[sample.n]),_xlpm.mgv,_xlfn.SINGLE(Table3[mgv]),_xlpm.attr,_xlfn.SINGLE(Table3[attribute]),_xlpm.spl,_xlfn.SINGLE(Table3[supplement]),_xlfn.TEXTJOIN({"-spl:","-mgv:","-sn:",""},TRUE,LEFT(_xlpm.attr,3),LEFT(_xlpm.spl,1),_xlpm.mgv,_xlpm.sn,"k"))</f>
        <v>gen-spl:F-mgv:9-sn:1.2k</v>
      </c>
      <c r="J12" s="2">
        <v>0.8</v>
      </c>
      <c r="K12" s="2">
        <v>0.79</v>
      </c>
      <c r="L12" s="2">
        <v>0.7</v>
      </c>
      <c r="M12" s="2">
        <v>0.73</v>
      </c>
      <c r="N12" s="2">
        <v>0.79</v>
      </c>
      <c r="O12" s="2">
        <v>0.73</v>
      </c>
      <c r="P12" s="2">
        <v>0.78</v>
      </c>
      <c r="Q12" s="2">
        <v>0.74</v>
      </c>
      <c r="R12" s="2">
        <v>0.74</v>
      </c>
      <c r="S12" s="2">
        <v>0.82</v>
      </c>
      <c r="T12" s="2">
        <v>0.75</v>
      </c>
      <c r="U12" s="2">
        <v>0.72</v>
      </c>
      <c r="V12" s="2">
        <v>0.82</v>
      </c>
      <c r="W12" s="2">
        <f t="shared" si="0"/>
        <v>0.75666642775608373</v>
      </c>
      <c r="X12" s="3">
        <f t="shared" si="1"/>
        <v>35</v>
      </c>
    </row>
    <row r="13" spans="1:24" ht="25" customHeight="1">
      <c r="A13" t="s">
        <v>29</v>
      </c>
      <c r="B13">
        <v>1.2</v>
      </c>
      <c r="C13">
        <v>9</v>
      </c>
      <c r="D13">
        <v>2</v>
      </c>
      <c r="E13" t="s">
        <v>23</v>
      </c>
      <c r="F13" t="b">
        <v>1</v>
      </c>
      <c r="G13">
        <v>0</v>
      </c>
      <c r="H13" t="s">
        <v>18</v>
      </c>
      <c r="I13" t="str">
        <f>_xlfn.LET(_xlpm.sk,_xlfn.SINGLE(Table3[skippiness]),_xlpm.sn,_xlfn.SINGLE(Table3[sample.n]),_xlpm.mgv,_xlfn.SINGLE(Table3[mgv]),_xlpm.attr,_xlfn.SINGLE(Table3[attribute]),_xlpm.spl,_xlfn.SINGLE(Table3[supplement]),_xlfn.TEXTJOIN({"-spl:","-mgv:","-sn:",""},TRUE,LEFT(_xlpm.attr,3),LEFT(_xlpm.spl,1),_xlpm.mgv,_xlpm.sn,"k"))</f>
        <v>gen-spl:T-mgv:9-sn:1.2k</v>
      </c>
      <c r="J13" s="2">
        <v>0.77</v>
      </c>
      <c r="K13" s="2">
        <v>0.8</v>
      </c>
      <c r="L13" s="2">
        <v>0.69</v>
      </c>
      <c r="M13" s="2">
        <v>0.75</v>
      </c>
      <c r="N13" s="2">
        <v>0.76</v>
      </c>
      <c r="O13" s="2">
        <v>0.75</v>
      </c>
      <c r="P13" s="2">
        <v>0.73</v>
      </c>
      <c r="Q13" s="2">
        <v>0.72</v>
      </c>
      <c r="R13" s="2">
        <v>0.71</v>
      </c>
      <c r="S13" s="2">
        <v>0.79</v>
      </c>
      <c r="T13" s="2">
        <v>0.76</v>
      </c>
      <c r="U13" s="2">
        <v>0.75</v>
      </c>
      <c r="V13" s="2">
        <v>0.8</v>
      </c>
      <c r="W13" s="2">
        <f t="shared" si="0"/>
        <v>0.74770760488523769</v>
      </c>
      <c r="X13" s="2">
        <f t="shared" si="1"/>
        <v>36</v>
      </c>
    </row>
    <row r="14" spans="1:24" ht="25" customHeight="1">
      <c r="A14" t="s">
        <v>29</v>
      </c>
      <c r="B14">
        <v>2</v>
      </c>
      <c r="C14">
        <v>3</v>
      </c>
      <c r="D14">
        <v>1</v>
      </c>
      <c r="E14" t="s">
        <v>19</v>
      </c>
      <c r="F14" t="b">
        <v>0</v>
      </c>
      <c r="G14">
        <v>0</v>
      </c>
      <c r="H14" t="s">
        <v>18</v>
      </c>
      <c r="I14" t="str">
        <f>_xlfn.LET(_xlpm.sk,_xlfn.SINGLE(Table3[skippiness]),_xlpm.sn,_xlfn.SINGLE(Table3[sample.n]),_xlpm.mgv,_xlfn.SINGLE(Table3[mgv]),_xlpm.attr,_xlfn.SINGLE(Table3[attribute]),_xlpm.spl,_xlfn.SINGLE(Table3[supplement]),_xlfn.TEXTJOIN({"-spl:","-mgv:","-sn:",""},TRUE,LEFT(_xlpm.attr,3),LEFT(_xlpm.spl,1),_xlpm.mgv,_xlpm.sn,"k"))</f>
        <v>plu-spl:F-mgv:3-sn:2k</v>
      </c>
      <c r="J14" s="1">
        <v>0.94</v>
      </c>
      <c r="K14" s="1">
        <v>0.93</v>
      </c>
      <c r="L14" s="1">
        <v>0.92</v>
      </c>
      <c r="M14" s="1">
        <v>0.94</v>
      </c>
      <c r="N14" s="1">
        <v>0.93</v>
      </c>
      <c r="O14" s="1">
        <v>0.95</v>
      </c>
      <c r="P14" s="1">
        <v>0.94</v>
      </c>
      <c r="Q14" s="1">
        <v>0.94</v>
      </c>
      <c r="R14" s="1">
        <v>0.94</v>
      </c>
      <c r="S14" s="1">
        <v>0.94</v>
      </c>
      <c r="T14" s="1">
        <v>0.94</v>
      </c>
      <c r="U14" s="1">
        <v>0.99</v>
      </c>
      <c r="V14" s="1">
        <v>0.99</v>
      </c>
      <c r="W14" s="2">
        <f t="shared" si="0"/>
        <v>0.94152955726709953</v>
      </c>
      <c r="X14" s="3">
        <f t="shared" si="1"/>
        <v>9</v>
      </c>
    </row>
    <row r="15" spans="1:24" ht="25" customHeight="1">
      <c r="A15" t="s">
        <v>29</v>
      </c>
      <c r="B15">
        <v>2</v>
      </c>
      <c r="C15">
        <v>3</v>
      </c>
      <c r="D15">
        <v>1</v>
      </c>
      <c r="E15" t="s">
        <v>19</v>
      </c>
      <c r="F15" t="b">
        <v>1</v>
      </c>
      <c r="G15">
        <v>0</v>
      </c>
      <c r="H15" t="s">
        <v>18</v>
      </c>
      <c r="I15" t="str">
        <f>_xlfn.LET(_xlpm.sk,_xlfn.SINGLE(Table3[skippiness]),_xlpm.sn,_xlfn.SINGLE(Table3[sample.n]),_xlpm.mgv,_xlfn.SINGLE(Table3[mgv]),_xlpm.attr,_xlfn.SINGLE(Table3[attribute]),_xlpm.spl,_xlfn.SINGLE(Table3[supplement]),_xlfn.TEXTJOIN({"-spl:","-mgv:","-sn:",""},TRUE,LEFT(_xlpm.attr,3),LEFT(_xlpm.spl,1),_xlpm.mgv,_xlpm.sn,"k"))</f>
        <v>plu-spl:T-mgv:3-sn:2k</v>
      </c>
      <c r="J15" s="1">
        <v>0.92</v>
      </c>
      <c r="K15" s="1">
        <v>0.91</v>
      </c>
      <c r="L15" s="1">
        <v>0.94</v>
      </c>
      <c r="M15" s="1">
        <v>0.94</v>
      </c>
      <c r="N15" s="1">
        <v>0.93</v>
      </c>
      <c r="O15" s="1">
        <v>0.96</v>
      </c>
      <c r="P15" s="1">
        <v>0.95</v>
      </c>
      <c r="Q15" s="1">
        <v>0.93</v>
      </c>
      <c r="R15" s="1">
        <v>0.94</v>
      </c>
      <c r="S15" s="1">
        <v>0.95</v>
      </c>
      <c r="T15" s="1">
        <v>0.95</v>
      </c>
      <c r="U15" s="1">
        <v>0.96</v>
      </c>
      <c r="V15" s="1">
        <v>0.96</v>
      </c>
      <c r="W15" s="2">
        <f t="shared" si="0"/>
        <v>0.93988415896750299</v>
      </c>
      <c r="X15" s="2">
        <f t="shared" si="1"/>
        <v>10</v>
      </c>
    </row>
    <row r="16" spans="1:24" ht="25" customHeight="1">
      <c r="A16" t="s">
        <v>29</v>
      </c>
      <c r="B16">
        <v>2</v>
      </c>
      <c r="C16">
        <v>3</v>
      </c>
      <c r="D16">
        <v>2</v>
      </c>
      <c r="E16" t="s">
        <v>23</v>
      </c>
      <c r="F16" t="b">
        <v>0</v>
      </c>
      <c r="G16">
        <v>0</v>
      </c>
      <c r="H16" t="s">
        <v>18</v>
      </c>
      <c r="I16" t="str">
        <f>_xlfn.LET(_xlpm.sk,_xlfn.SINGLE(Table3[skippiness]),_xlpm.sn,_xlfn.SINGLE(Table3[sample.n]),_xlpm.mgv,_xlfn.SINGLE(Table3[mgv]),_xlpm.attr,_xlfn.SINGLE(Table3[attribute]),_xlpm.spl,_xlfn.SINGLE(Table3[supplement]),_xlfn.TEXTJOIN({"-spl:","-mgv:","-sn:",""},TRUE,LEFT(_xlpm.attr,3),LEFT(_xlpm.spl,1),_xlpm.mgv,_xlpm.sn,"k"))</f>
        <v>gen-spl:F-mgv:3-sn:2k</v>
      </c>
      <c r="J16" s="2">
        <v>0.74</v>
      </c>
      <c r="K16" s="2">
        <v>0.8</v>
      </c>
      <c r="L16" s="2">
        <v>0.81</v>
      </c>
      <c r="M16" s="2">
        <v>0.83</v>
      </c>
      <c r="N16" s="2">
        <v>0.8</v>
      </c>
      <c r="O16" s="2">
        <v>0.77</v>
      </c>
      <c r="P16" s="2">
        <v>0.8</v>
      </c>
      <c r="Q16" s="2">
        <v>0.81</v>
      </c>
      <c r="R16" s="2">
        <v>0.83</v>
      </c>
      <c r="S16" s="2">
        <v>0.78</v>
      </c>
      <c r="T16" s="2">
        <v>0.79</v>
      </c>
      <c r="U16" s="2">
        <v>0.82</v>
      </c>
      <c r="V16" s="2">
        <v>0.83</v>
      </c>
      <c r="W16" s="2">
        <f t="shared" si="0"/>
        <v>0.79794173595556506</v>
      </c>
      <c r="X16" s="3">
        <f t="shared" si="1"/>
        <v>27</v>
      </c>
    </row>
    <row r="17" spans="1:24" ht="25" customHeight="1">
      <c r="A17" t="s">
        <v>29</v>
      </c>
      <c r="B17">
        <v>2</v>
      </c>
      <c r="C17">
        <v>3</v>
      </c>
      <c r="D17">
        <v>2</v>
      </c>
      <c r="E17" t="s">
        <v>23</v>
      </c>
      <c r="F17" t="b">
        <v>1</v>
      </c>
      <c r="G17">
        <v>0</v>
      </c>
      <c r="H17" t="s">
        <v>18</v>
      </c>
      <c r="I17" t="str">
        <f>_xlfn.LET(_xlpm.sk,_xlfn.SINGLE(Table3[skippiness]),_xlpm.sn,_xlfn.SINGLE(Table3[sample.n]),_xlpm.mgv,_xlfn.SINGLE(Table3[mgv]),_xlpm.attr,_xlfn.SINGLE(Table3[attribute]),_xlpm.spl,_xlfn.SINGLE(Table3[supplement]),_xlfn.TEXTJOIN({"-spl:","-mgv:","-sn:",""},TRUE,LEFT(_xlpm.attr,3),LEFT(_xlpm.spl,1),_xlpm.mgv,_xlpm.sn,"k"))</f>
        <v>gen-spl:T-mgv:3-sn:2k</v>
      </c>
      <c r="J17" s="2">
        <v>0.79</v>
      </c>
      <c r="K17" s="2">
        <v>0.8</v>
      </c>
      <c r="L17" s="2">
        <v>0.82</v>
      </c>
      <c r="M17" s="2">
        <v>0.85</v>
      </c>
      <c r="N17" s="2">
        <v>0.82</v>
      </c>
      <c r="O17" s="2">
        <v>0.78</v>
      </c>
      <c r="P17" s="2">
        <v>0.81</v>
      </c>
      <c r="Q17" s="2">
        <v>0.81</v>
      </c>
      <c r="R17" s="2">
        <v>0.82</v>
      </c>
      <c r="S17" s="2">
        <v>0.78</v>
      </c>
      <c r="T17" s="2">
        <v>0.8</v>
      </c>
      <c r="U17" s="2">
        <v>0.82</v>
      </c>
      <c r="V17" s="2">
        <v>0.85</v>
      </c>
      <c r="W17" s="2">
        <f t="shared" si="0"/>
        <v>0.80810920479237136</v>
      </c>
      <c r="X17" s="2">
        <f t="shared" si="1"/>
        <v>25</v>
      </c>
    </row>
    <row r="18" spans="1:24" ht="25" customHeight="1">
      <c r="A18" t="s">
        <v>29</v>
      </c>
      <c r="B18">
        <v>2</v>
      </c>
      <c r="C18">
        <v>6</v>
      </c>
      <c r="D18">
        <v>1</v>
      </c>
      <c r="E18" t="s">
        <v>19</v>
      </c>
      <c r="F18" t="b">
        <v>0</v>
      </c>
      <c r="G18">
        <v>0</v>
      </c>
      <c r="H18" t="s">
        <v>18</v>
      </c>
      <c r="I18" t="str">
        <f>_xlfn.LET(_xlpm.sk,_xlfn.SINGLE(Table3[skippiness]),_xlpm.sn,_xlfn.SINGLE(Table3[sample.n]),_xlpm.mgv,_xlfn.SINGLE(Table3[mgv]),_xlpm.attr,_xlfn.SINGLE(Table3[attribute]),_xlpm.spl,_xlfn.SINGLE(Table3[supplement]),_xlfn.TEXTJOIN({"-spl:","-mgv:","-sn:",""},TRUE,LEFT(_xlpm.attr,3),LEFT(_xlpm.spl,1),_xlpm.mgv,_xlpm.sn,"k"))</f>
        <v>plu-spl:F-mgv:6-sn:2k</v>
      </c>
      <c r="J18" s="1">
        <v>0.94</v>
      </c>
      <c r="K18" s="1">
        <v>0.94</v>
      </c>
      <c r="L18" s="1">
        <v>0.94</v>
      </c>
      <c r="M18" s="1">
        <v>0.97</v>
      </c>
      <c r="N18" s="1">
        <v>0.94</v>
      </c>
      <c r="O18" s="1">
        <v>0.93</v>
      </c>
      <c r="P18" s="1">
        <v>0.92</v>
      </c>
      <c r="Q18" s="1">
        <v>0.94</v>
      </c>
      <c r="R18" s="1">
        <v>0.89</v>
      </c>
      <c r="S18" s="1">
        <v>0.94</v>
      </c>
      <c r="T18" s="1">
        <v>0.95</v>
      </c>
      <c r="U18" s="1">
        <v>0.95</v>
      </c>
      <c r="V18" s="1">
        <v>0.97</v>
      </c>
      <c r="W18" s="2">
        <f t="shared" si="0"/>
        <v>0.93731860482091722</v>
      </c>
      <c r="X18" s="3">
        <f t="shared" si="1"/>
        <v>16</v>
      </c>
    </row>
    <row r="19" spans="1:24" ht="25" customHeight="1">
      <c r="A19" t="s">
        <v>29</v>
      </c>
      <c r="B19">
        <v>2</v>
      </c>
      <c r="C19">
        <v>6</v>
      </c>
      <c r="D19">
        <v>1</v>
      </c>
      <c r="E19" t="s">
        <v>19</v>
      </c>
      <c r="F19" t="b">
        <v>1</v>
      </c>
      <c r="G19">
        <v>0</v>
      </c>
      <c r="H19" t="s">
        <v>18</v>
      </c>
      <c r="I19" t="str">
        <f>_xlfn.LET(_xlpm.sk,_xlfn.SINGLE(Table3[skippiness]),_xlpm.sn,_xlfn.SINGLE(Table3[sample.n]),_xlpm.mgv,_xlfn.SINGLE(Table3[mgv]),_xlpm.attr,_xlfn.SINGLE(Table3[attribute]),_xlpm.spl,_xlfn.SINGLE(Table3[supplement]),_xlfn.TEXTJOIN({"-spl:","-mgv:","-sn:",""},TRUE,LEFT(_xlpm.attr,3),LEFT(_xlpm.spl,1),_xlpm.mgv,_xlpm.sn,"k"))</f>
        <v>plu-spl:T-mgv:6-sn:2k</v>
      </c>
      <c r="J19" s="1">
        <v>0.93</v>
      </c>
      <c r="K19" s="1">
        <v>0.93</v>
      </c>
      <c r="L19" s="1">
        <v>0.95</v>
      </c>
      <c r="M19" s="1">
        <v>0.98</v>
      </c>
      <c r="N19" s="1">
        <v>0.95</v>
      </c>
      <c r="O19" s="1">
        <v>0.94</v>
      </c>
      <c r="P19" s="1">
        <v>0.9</v>
      </c>
      <c r="Q19" s="1">
        <v>0.94</v>
      </c>
      <c r="R19" s="1">
        <v>0.89</v>
      </c>
      <c r="S19" s="1">
        <v>0.94</v>
      </c>
      <c r="T19" s="1">
        <v>0.94</v>
      </c>
      <c r="U19" s="1">
        <v>0.96</v>
      </c>
      <c r="V19" s="1">
        <v>0.98</v>
      </c>
      <c r="W19" s="2">
        <f t="shared" si="0"/>
        <v>0.9372120466207694</v>
      </c>
      <c r="X19" s="2">
        <f t="shared" si="1"/>
        <v>17</v>
      </c>
    </row>
    <row r="20" spans="1:24" ht="25" customHeight="1">
      <c r="A20" t="s">
        <v>29</v>
      </c>
      <c r="B20">
        <v>2</v>
      </c>
      <c r="C20">
        <v>6</v>
      </c>
      <c r="D20">
        <v>2</v>
      </c>
      <c r="E20" t="s">
        <v>23</v>
      </c>
      <c r="F20" t="b">
        <v>0</v>
      </c>
      <c r="G20">
        <v>0</v>
      </c>
      <c r="H20" t="s">
        <v>18</v>
      </c>
      <c r="I20" t="str">
        <f>_xlfn.LET(_xlpm.sk,_xlfn.SINGLE(Table3[skippiness]),_xlpm.sn,_xlfn.SINGLE(Table3[sample.n]),_xlpm.mgv,_xlfn.SINGLE(Table3[mgv]),_xlpm.attr,_xlfn.SINGLE(Table3[attribute]),_xlpm.spl,_xlfn.SINGLE(Table3[supplement]),_xlfn.TEXTJOIN({"-spl:","-mgv:","-sn:",""},TRUE,LEFT(_xlpm.attr,3),LEFT(_xlpm.spl,1),_xlpm.mgv,_xlpm.sn,"k"))</f>
        <v>gen-spl:F-mgv:6-sn:2k</v>
      </c>
      <c r="J20" s="2">
        <v>0.8</v>
      </c>
      <c r="K20" s="2">
        <v>0.84</v>
      </c>
      <c r="L20" s="2">
        <v>0.82</v>
      </c>
      <c r="M20" s="2">
        <v>0.82</v>
      </c>
      <c r="N20" s="2">
        <v>0.79</v>
      </c>
      <c r="O20" s="2">
        <v>0.83</v>
      </c>
      <c r="P20" s="2">
        <v>0.81</v>
      </c>
      <c r="Q20" s="2">
        <v>0.77</v>
      </c>
      <c r="R20" s="2">
        <v>0.74</v>
      </c>
      <c r="S20" s="2">
        <v>0.79</v>
      </c>
      <c r="T20" s="2">
        <v>0.78</v>
      </c>
      <c r="U20" s="2">
        <v>0.77</v>
      </c>
      <c r="V20" s="2">
        <v>0.84</v>
      </c>
      <c r="W20" s="2">
        <f t="shared" si="0"/>
        <v>0.79617799520608068</v>
      </c>
      <c r="X20" s="3">
        <f t="shared" si="1"/>
        <v>29</v>
      </c>
    </row>
    <row r="21" spans="1:24" ht="25" customHeight="1">
      <c r="A21" t="s">
        <v>29</v>
      </c>
      <c r="B21">
        <v>2</v>
      </c>
      <c r="C21">
        <v>6</v>
      </c>
      <c r="D21">
        <v>2</v>
      </c>
      <c r="E21" t="s">
        <v>23</v>
      </c>
      <c r="F21" t="b">
        <v>1</v>
      </c>
      <c r="G21">
        <v>0</v>
      </c>
      <c r="H21" t="s">
        <v>18</v>
      </c>
      <c r="I21" t="str">
        <f>_xlfn.LET(_xlpm.sk,_xlfn.SINGLE(Table3[skippiness]),_xlpm.sn,_xlfn.SINGLE(Table3[sample.n]),_xlpm.mgv,_xlfn.SINGLE(Table3[mgv]),_xlpm.attr,_xlfn.SINGLE(Table3[attribute]),_xlpm.spl,_xlfn.SINGLE(Table3[supplement]),_xlfn.TEXTJOIN({"-spl:","-mgv:","-sn:",""},TRUE,LEFT(_xlpm.attr,3),LEFT(_xlpm.spl,1),_xlpm.mgv,_xlpm.sn,"k"))</f>
        <v>gen-spl:T-mgv:6-sn:2k</v>
      </c>
      <c r="J21" s="2">
        <v>0.81</v>
      </c>
      <c r="K21" s="2">
        <v>0.84</v>
      </c>
      <c r="L21" s="2">
        <v>0.81</v>
      </c>
      <c r="M21" s="2">
        <v>0.8</v>
      </c>
      <c r="N21" s="2">
        <v>0.79</v>
      </c>
      <c r="O21" s="2">
        <v>0.81</v>
      </c>
      <c r="P21" s="2">
        <v>0.82</v>
      </c>
      <c r="Q21" s="2">
        <v>0.8</v>
      </c>
      <c r="R21" s="2">
        <v>0.75</v>
      </c>
      <c r="S21" s="2">
        <v>0.78</v>
      </c>
      <c r="T21" s="2">
        <v>0.77</v>
      </c>
      <c r="U21" s="2">
        <v>0.79</v>
      </c>
      <c r="V21" s="2">
        <v>0.84</v>
      </c>
      <c r="W21" s="2">
        <f t="shared" si="0"/>
        <v>0.79717268988066081</v>
      </c>
      <c r="X21" s="2">
        <f t="shared" si="1"/>
        <v>28</v>
      </c>
    </row>
    <row r="22" spans="1:24" ht="25" customHeight="1">
      <c r="A22" t="s">
        <v>29</v>
      </c>
      <c r="B22">
        <v>2</v>
      </c>
      <c r="C22">
        <v>9</v>
      </c>
      <c r="D22">
        <v>1</v>
      </c>
      <c r="E22" t="s">
        <v>19</v>
      </c>
      <c r="F22" t="b">
        <v>0</v>
      </c>
      <c r="G22">
        <v>0</v>
      </c>
      <c r="H22" t="s">
        <v>18</v>
      </c>
      <c r="I22" t="str">
        <f>_xlfn.LET(_xlpm.sk,_xlfn.SINGLE(Table3[skippiness]),_xlpm.sn,_xlfn.SINGLE(Table3[sample.n]),_xlpm.mgv,_xlfn.SINGLE(Table3[mgv]),_xlpm.attr,_xlfn.SINGLE(Table3[attribute]),_xlpm.spl,_xlfn.SINGLE(Table3[supplement]),_xlfn.TEXTJOIN({"-spl:","-mgv:","-sn:",""},TRUE,LEFT(_xlpm.attr,3),LEFT(_xlpm.spl,1),_xlpm.mgv,_xlpm.sn,"k"))</f>
        <v>plu-spl:F-mgv:9-sn:2k</v>
      </c>
      <c r="J22" s="1">
        <v>0.91</v>
      </c>
      <c r="K22" s="1">
        <v>0.92</v>
      </c>
      <c r="L22" s="1">
        <v>0.94</v>
      </c>
      <c r="M22" s="1">
        <v>0.98</v>
      </c>
      <c r="N22" s="1">
        <v>0.96</v>
      </c>
      <c r="O22" s="1">
        <v>0.95</v>
      </c>
      <c r="P22" s="1">
        <v>0.89</v>
      </c>
      <c r="Q22" s="1">
        <v>0.94</v>
      </c>
      <c r="R22" s="1">
        <v>0.93</v>
      </c>
      <c r="S22" s="1">
        <v>0.95</v>
      </c>
      <c r="T22" s="1">
        <v>0.97</v>
      </c>
      <c r="U22" s="1">
        <v>0.94</v>
      </c>
      <c r="V22" s="1">
        <v>0.98</v>
      </c>
      <c r="W22" s="2">
        <f t="shared" si="0"/>
        <v>0.93968760672020113</v>
      </c>
      <c r="X22" s="3">
        <f t="shared" si="1"/>
        <v>12</v>
      </c>
    </row>
    <row r="23" spans="1:24" ht="25" customHeight="1">
      <c r="A23" t="s">
        <v>29</v>
      </c>
      <c r="B23">
        <v>2</v>
      </c>
      <c r="C23">
        <v>9</v>
      </c>
      <c r="D23">
        <v>1</v>
      </c>
      <c r="E23" t="s">
        <v>19</v>
      </c>
      <c r="F23" t="b">
        <v>1</v>
      </c>
      <c r="G23">
        <v>0</v>
      </c>
      <c r="H23" t="s">
        <v>18</v>
      </c>
      <c r="I23" t="str">
        <f>_xlfn.LET(_xlpm.sk,_xlfn.SINGLE(Table3[skippiness]),_xlpm.sn,_xlfn.SINGLE(Table3[sample.n]),_xlpm.mgv,_xlfn.SINGLE(Table3[mgv]),_xlpm.attr,_xlfn.SINGLE(Table3[attribute]),_xlpm.spl,_xlfn.SINGLE(Table3[supplement]),_xlfn.TEXTJOIN({"-spl:","-mgv:","-sn:",""},TRUE,LEFT(_xlpm.attr,3),LEFT(_xlpm.spl,1),_xlpm.mgv,_xlpm.sn,"k"))</f>
        <v>plu-spl:T-mgv:9-sn:2k</v>
      </c>
      <c r="J23" s="1">
        <v>0.92</v>
      </c>
      <c r="K23" s="1">
        <v>0.91</v>
      </c>
      <c r="L23" s="1">
        <v>0.93</v>
      </c>
      <c r="M23" s="1">
        <v>0.98</v>
      </c>
      <c r="N23" s="1">
        <v>0.97</v>
      </c>
      <c r="O23" s="1">
        <v>0.94</v>
      </c>
      <c r="P23" s="1">
        <v>0.92</v>
      </c>
      <c r="Q23" s="1">
        <v>0.94</v>
      </c>
      <c r="R23" s="1">
        <v>0.93</v>
      </c>
      <c r="S23" s="1">
        <v>0.95</v>
      </c>
      <c r="T23" s="1">
        <v>0.98</v>
      </c>
      <c r="U23" s="1">
        <v>0.94</v>
      </c>
      <c r="V23" s="1">
        <v>0.98</v>
      </c>
      <c r="W23" s="2">
        <f t="shared" si="0"/>
        <v>0.94223557986437312</v>
      </c>
      <c r="X23" s="2">
        <f t="shared" si="1"/>
        <v>8</v>
      </c>
    </row>
    <row r="24" spans="1:24" ht="25" customHeight="1">
      <c r="A24" t="s">
        <v>29</v>
      </c>
      <c r="B24">
        <v>2</v>
      </c>
      <c r="C24">
        <v>9</v>
      </c>
      <c r="D24">
        <v>2</v>
      </c>
      <c r="E24" t="s">
        <v>23</v>
      </c>
      <c r="F24" t="b">
        <v>0</v>
      </c>
      <c r="G24">
        <v>0</v>
      </c>
      <c r="H24" t="s">
        <v>18</v>
      </c>
      <c r="I24" t="str">
        <f>_xlfn.LET(_xlpm.sk,_xlfn.SINGLE(Table3[skippiness]),_xlpm.sn,_xlfn.SINGLE(Table3[sample.n]),_xlpm.mgv,_xlfn.SINGLE(Table3[mgv]),_xlpm.attr,_xlfn.SINGLE(Table3[attribute]),_xlpm.spl,_xlfn.SINGLE(Table3[supplement]),_xlfn.TEXTJOIN({"-spl:","-mgv:","-sn:",""},TRUE,LEFT(_xlpm.attr,3),LEFT(_xlpm.spl,1),_xlpm.mgv,_xlpm.sn,"k"))</f>
        <v>gen-spl:F-mgv:9-sn:2k</v>
      </c>
      <c r="J24" s="2">
        <v>0.8</v>
      </c>
      <c r="K24" s="2">
        <v>0.81</v>
      </c>
      <c r="L24" s="2">
        <v>0.78</v>
      </c>
      <c r="M24" s="2">
        <v>0.78</v>
      </c>
      <c r="N24" s="2">
        <v>0.76</v>
      </c>
      <c r="O24" s="2">
        <v>0.76</v>
      </c>
      <c r="P24" s="2">
        <v>0.8</v>
      </c>
      <c r="Q24" s="2">
        <v>0.79</v>
      </c>
      <c r="R24" s="2">
        <v>0.8</v>
      </c>
      <c r="S24" s="2">
        <v>0.78</v>
      </c>
      <c r="T24" s="2">
        <v>0.8</v>
      </c>
      <c r="U24" s="2">
        <v>0.8</v>
      </c>
      <c r="V24" s="2">
        <v>0.81</v>
      </c>
      <c r="W24" s="2">
        <f t="shared" si="0"/>
        <v>0.78817517734212839</v>
      </c>
      <c r="X24" s="3">
        <f t="shared" si="1"/>
        <v>30</v>
      </c>
    </row>
    <row r="25" spans="1:24" ht="25" customHeight="1">
      <c r="A25" t="s">
        <v>29</v>
      </c>
      <c r="B25">
        <v>2</v>
      </c>
      <c r="C25">
        <v>9</v>
      </c>
      <c r="D25">
        <v>2</v>
      </c>
      <c r="E25" t="s">
        <v>23</v>
      </c>
      <c r="F25" t="b">
        <v>1</v>
      </c>
      <c r="G25">
        <v>0</v>
      </c>
      <c r="H25" t="s">
        <v>18</v>
      </c>
      <c r="I25" t="str">
        <f>_xlfn.LET(_xlpm.sk,_xlfn.SINGLE(Table3[skippiness]),_xlpm.sn,_xlfn.SINGLE(Table3[sample.n]),_xlpm.mgv,_xlfn.SINGLE(Table3[mgv]),_xlpm.attr,_xlfn.SINGLE(Table3[attribute]),_xlpm.spl,_xlfn.SINGLE(Table3[supplement]),_xlfn.TEXTJOIN({"-spl:","-mgv:","-sn:",""},TRUE,LEFT(_xlpm.attr,3),LEFT(_xlpm.spl,1),_xlpm.mgv,_xlpm.sn,"k"))</f>
        <v>gen-spl:T-mgv:9-sn:2k</v>
      </c>
      <c r="J25" s="2">
        <v>0.8</v>
      </c>
      <c r="K25" s="2">
        <v>0.83</v>
      </c>
      <c r="L25" s="2">
        <v>0.78</v>
      </c>
      <c r="M25" s="2">
        <v>0.81</v>
      </c>
      <c r="N25" s="2">
        <v>0.77</v>
      </c>
      <c r="O25" s="2">
        <v>0.78</v>
      </c>
      <c r="P25" s="2">
        <v>0.81</v>
      </c>
      <c r="Q25" s="2">
        <v>0.77</v>
      </c>
      <c r="R25" s="2">
        <v>0.81</v>
      </c>
      <c r="S25" s="2">
        <v>0.82</v>
      </c>
      <c r="T25" s="2">
        <v>0.8</v>
      </c>
      <c r="U25" s="2">
        <v>0.81</v>
      </c>
      <c r="V25" s="2">
        <v>0.83</v>
      </c>
      <c r="W25" s="2">
        <f t="shared" si="0"/>
        <v>0.79894194190342138</v>
      </c>
      <c r="X25" s="2">
        <f t="shared" si="1"/>
        <v>26</v>
      </c>
    </row>
    <row r="26" spans="1:24" ht="25" customHeight="1">
      <c r="A26" t="s">
        <v>29</v>
      </c>
      <c r="B26">
        <v>3</v>
      </c>
      <c r="C26">
        <v>3</v>
      </c>
      <c r="D26">
        <v>1</v>
      </c>
      <c r="E26" t="s">
        <v>19</v>
      </c>
      <c r="F26" t="b">
        <v>0</v>
      </c>
      <c r="G26">
        <v>0</v>
      </c>
      <c r="H26" t="s">
        <v>18</v>
      </c>
      <c r="I26" t="str">
        <f>_xlfn.LET(_xlpm.sk,_xlfn.SINGLE(Table3[skippiness]),_xlpm.sn,_xlfn.SINGLE(Table3[sample.n]),_xlpm.mgv,_xlfn.SINGLE(Table3[mgv]),_xlpm.attr,_xlfn.SINGLE(Table3[attribute]),_xlpm.spl,_xlfn.SINGLE(Table3[supplement]),_xlfn.TEXTJOIN({"-spl:","-mgv:","-sn:",""},TRUE,LEFT(_xlpm.attr,3),LEFT(_xlpm.spl,1),_xlpm.mgv,_xlpm.sn,"k"))</f>
        <v>plu-spl:F-mgv:3-sn:3k</v>
      </c>
      <c r="J26" s="1">
        <v>0.94</v>
      </c>
      <c r="K26" s="1">
        <v>0.94</v>
      </c>
      <c r="L26" s="1">
        <v>0.95</v>
      </c>
      <c r="M26" s="1">
        <v>0.96</v>
      </c>
      <c r="N26" s="1">
        <v>0.95</v>
      </c>
      <c r="O26" s="1">
        <v>0.96</v>
      </c>
      <c r="P26" s="1">
        <v>0.9</v>
      </c>
      <c r="Q26" s="1">
        <v>0.95</v>
      </c>
      <c r="R26" s="1">
        <v>0.91</v>
      </c>
      <c r="S26" s="1">
        <v>0.95</v>
      </c>
      <c r="T26" s="1">
        <v>0.95</v>
      </c>
      <c r="U26" s="1">
        <v>0.95</v>
      </c>
      <c r="V26" s="1">
        <v>0.96</v>
      </c>
      <c r="W26" s="2">
        <f t="shared" si="0"/>
        <v>0.94232773915267498</v>
      </c>
      <c r="X26" s="3">
        <f t="shared" si="1"/>
        <v>6</v>
      </c>
    </row>
    <row r="27" spans="1:24" ht="25" customHeight="1">
      <c r="A27" t="s">
        <v>29</v>
      </c>
      <c r="B27">
        <v>3</v>
      </c>
      <c r="C27">
        <v>3</v>
      </c>
      <c r="D27">
        <v>1</v>
      </c>
      <c r="E27" t="s">
        <v>19</v>
      </c>
      <c r="F27" t="b">
        <v>1</v>
      </c>
      <c r="G27">
        <v>0</v>
      </c>
      <c r="H27" t="s">
        <v>18</v>
      </c>
      <c r="I27" t="str">
        <f>_xlfn.LET(_xlpm.sk,_xlfn.SINGLE(Table3[skippiness]),_xlpm.sn,_xlfn.SINGLE(Table3[sample.n]),_xlpm.mgv,_xlfn.SINGLE(Table3[mgv]),_xlpm.attr,_xlfn.SINGLE(Table3[attribute]),_xlpm.spl,_xlfn.SINGLE(Table3[supplement]),_xlfn.TEXTJOIN({"-spl:","-mgv:","-sn:",""},TRUE,LEFT(_xlpm.attr,3),LEFT(_xlpm.spl,1),_xlpm.mgv,_xlpm.sn,"k"))</f>
        <v>plu-spl:T-mgv:3-sn:3k</v>
      </c>
      <c r="J27" s="1">
        <v>0.93</v>
      </c>
      <c r="K27" s="1">
        <v>0.96</v>
      </c>
      <c r="L27" s="1">
        <v>0.95</v>
      </c>
      <c r="M27" s="1">
        <v>0.97</v>
      </c>
      <c r="N27" s="1">
        <v>0.94</v>
      </c>
      <c r="O27" s="1">
        <v>0.95</v>
      </c>
      <c r="P27" s="1">
        <v>0.92</v>
      </c>
      <c r="Q27" s="1">
        <v>0.93</v>
      </c>
      <c r="R27" s="1">
        <v>0.91</v>
      </c>
      <c r="S27" s="1">
        <v>0.95</v>
      </c>
      <c r="T27" s="1">
        <v>0.96</v>
      </c>
      <c r="U27" s="1">
        <v>0.95</v>
      </c>
      <c r="V27" s="1">
        <v>0.97</v>
      </c>
      <c r="W27" s="2">
        <f t="shared" si="0"/>
        <v>0.94317938385672473</v>
      </c>
      <c r="X27" s="2">
        <f t="shared" si="1"/>
        <v>4</v>
      </c>
    </row>
    <row r="28" spans="1:24" ht="25" customHeight="1">
      <c r="A28" t="s">
        <v>29</v>
      </c>
      <c r="B28">
        <v>3</v>
      </c>
      <c r="C28">
        <v>3</v>
      </c>
      <c r="D28">
        <v>2</v>
      </c>
      <c r="E28" t="s">
        <v>23</v>
      </c>
      <c r="F28" t="b">
        <v>0</v>
      </c>
      <c r="G28">
        <v>0</v>
      </c>
      <c r="H28" t="s">
        <v>18</v>
      </c>
      <c r="I28" t="str">
        <f>_xlfn.LET(_xlpm.sk,_xlfn.SINGLE(Table3[skippiness]),_xlpm.sn,_xlfn.SINGLE(Table3[sample.n]),_xlpm.mgv,_xlfn.SINGLE(Table3[mgv]),_xlpm.attr,_xlfn.SINGLE(Table3[attribute]),_xlpm.spl,_xlfn.SINGLE(Table3[supplement]),_xlfn.TEXTJOIN({"-spl:","-mgv:","-sn:",""},TRUE,LEFT(_xlpm.attr,3),LEFT(_xlpm.spl,1),_xlpm.mgv,_xlpm.sn,"k"))</f>
        <v>gen-spl:F-mgv:3-sn:3k</v>
      </c>
      <c r="J28" s="2">
        <v>0.82</v>
      </c>
      <c r="K28" s="2">
        <v>0.8</v>
      </c>
      <c r="L28" s="2">
        <v>0.8</v>
      </c>
      <c r="M28" s="2">
        <v>0.82</v>
      </c>
      <c r="N28" s="2">
        <v>0.83</v>
      </c>
      <c r="O28" s="2">
        <v>0.83</v>
      </c>
      <c r="P28" s="2">
        <v>0.79</v>
      </c>
      <c r="Q28" s="2">
        <v>0.82</v>
      </c>
      <c r="R28" s="2">
        <v>0.81</v>
      </c>
      <c r="S28" s="2">
        <v>0.82</v>
      </c>
      <c r="T28" s="2">
        <v>0.82</v>
      </c>
      <c r="U28" s="2">
        <v>0.78</v>
      </c>
      <c r="V28" s="2">
        <v>0.83</v>
      </c>
      <c r="W28" s="2">
        <f t="shared" si="0"/>
        <v>0.81152333282445499</v>
      </c>
      <c r="X28" s="3">
        <f t="shared" si="1"/>
        <v>21</v>
      </c>
    </row>
    <row r="29" spans="1:24" ht="25" customHeight="1">
      <c r="A29" t="s">
        <v>29</v>
      </c>
      <c r="B29">
        <v>3</v>
      </c>
      <c r="C29">
        <v>3</v>
      </c>
      <c r="D29">
        <v>2</v>
      </c>
      <c r="E29" t="s">
        <v>23</v>
      </c>
      <c r="F29" t="b">
        <v>1</v>
      </c>
      <c r="G29">
        <v>0</v>
      </c>
      <c r="H29" t="s">
        <v>18</v>
      </c>
      <c r="I29" t="str">
        <f>_xlfn.LET(_xlpm.sk,_xlfn.SINGLE(Table3[skippiness]),_xlpm.sn,_xlfn.SINGLE(Table3[sample.n]),_xlpm.mgv,_xlfn.SINGLE(Table3[mgv]),_xlpm.attr,_xlfn.SINGLE(Table3[attribute]),_xlpm.spl,_xlfn.SINGLE(Table3[supplement]),_xlfn.TEXTJOIN({"-spl:","-mgv:","-sn:",""},TRUE,LEFT(_xlpm.attr,3),LEFT(_xlpm.spl,1),_xlpm.mgv,_xlpm.sn,"k"))</f>
        <v>gen-spl:T-mgv:3-sn:3k</v>
      </c>
      <c r="J29" s="2">
        <v>0.85</v>
      </c>
      <c r="K29" s="2">
        <v>0.76</v>
      </c>
      <c r="L29" s="2">
        <v>0.81</v>
      </c>
      <c r="M29" s="2">
        <v>0.82</v>
      </c>
      <c r="N29" s="2">
        <v>0.82</v>
      </c>
      <c r="O29" s="2">
        <v>0.83</v>
      </c>
      <c r="P29" s="2">
        <v>0.81</v>
      </c>
      <c r="Q29" s="2">
        <v>0.79</v>
      </c>
      <c r="R29" s="2">
        <v>0.81</v>
      </c>
      <c r="S29" s="2">
        <v>0.81</v>
      </c>
      <c r="T29" s="2">
        <v>0.83</v>
      </c>
      <c r="U29" s="2">
        <v>0.81</v>
      </c>
      <c r="V29" s="2">
        <v>0.85</v>
      </c>
      <c r="W29" s="2">
        <f t="shared" si="0"/>
        <v>0.81221757522552596</v>
      </c>
      <c r="X29" s="2">
        <f t="shared" si="1"/>
        <v>19</v>
      </c>
    </row>
    <row r="30" spans="1:24" ht="25" customHeight="1">
      <c r="A30" t="s">
        <v>29</v>
      </c>
      <c r="B30">
        <v>3</v>
      </c>
      <c r="C30">
        <v>6</v>
      </c>
      <c r="D30">
        <v>1</v>
      </c>
      <c r="E30" t="s">
        <v>19</v>
      </c>
      <c r="F30" t="b">
        <v>0</v>
      </c>
      <c r="G30">
        <v>0</v>
      </c>
      <c r="H30" t="s">
        <v>18</v>
      </c>
      <c r="I30" t="str">
        <f>_xlfn.LET(_xlpm.sk,_xlfn.SINGLE(Table3[skippiness]),_xlpm.sn,_xlfn.SINGLE(Table3[sample.n]),_xlpm.mgv,_xlfn.SINGLE(Table3[mgv]),_xlpm.attr,_xlfn.SINGLE(Table3[attribute]),_xlpm.spl,_xlfn.SINGLE(Table3[supplement]),_xlfn.TEXTJOIN({"-spl:","-mgv:","-sn:",""},TRUE,LEFT(_xlpm.attr,3),LEFT(_xlpm.spl,1),_xlpm.mgv,_xlpm.sn,"k"))</f>
        <v>plu-spl:F-mgv:6-sn:3k</v>
      </c>
      <c r="J30" s="1">
        <v>0.94</v>
      </c>
      <c r="K30" s="1">
        <v>0.92</v>
      </c>
      <c r="L30" s="1">
        <v>0.95</v>
      </c>
      <c r="M30" s="1">
        <v>0.94</v>
      </c>
      <c r="N30" s="1">
        <v>0.97</v>
      </c>
      <c r="O30" s="1">
        <v>0.96</v>
      </c>
      <c r="P30" s="1">
        <v>0.93</v>
      </c>
      <c r="Q30" s="1">
        <v>0.94</v>
      </c>
      <c r="R30" s="1">
        <v>0.92</v>
      </c>
      <c r="S30" s="1">
        <v>0.95</v>
      </c>
      <c r="T30" s="1">
        <v>0.96</v>
      </c>
      <c r="U30" s="1">
        <v>0.93</v>
      </c>
      <c r="V30" s="1">
        <v>0.97</v>
      </c>
      <c r="W30" s="2">
        <f t="shared" si="0"/>
        <v>0.94237526177617559</v>
      </c>
      <c r="X30" s="3">
        <f t="shared" si="1"/>
        <v>5</v>
      </c>
    </row>
    <row r="31" spans="1:24" ht="25" customHeight="1">
      <c r="A31" t="s">
        <v>29</v>
      </c>
      <c r="B31">
        <v>3</v>
      </c>
      <c r="C31">
        <v>6</v>
      </c>
      <c r="D31">
        <v>1</v>
      </c>
      <c r="E31" t="s">
        <v>19</v>
      </c>
      <c r="F31" t="b">
        <v>1</v>
      </c>
      <c r="G31">
        <v>0</v>
      </c>
      <c r="H31" t="s">
        <v>18</v>
      </c>
      <c r="I31" t="str">
        <f>_xlfn.LET(_xlpm.sk,_xlfn.SINGLE(Table3[skippiness]),_xlpm.sn,_xlfn.SINGLE(Table3[sample.n]),_xlpm.mgv,_xlfn.SINGLE(Table3[mgv]),_xlpm.attr,_xlfn.SINGLE(Table3[attribute]),_xlpm.spl,_xlfn.SINGLE(Table3[supplement]),_xlfn.TEXTJOIN({"-spl:","-mgv:","-sn:",""},TRUE,LEFT(_xlpm.attr,3),LEFT(_xlpm.spl,1),_xlpm.mgv,_xlpm.sn,"k"))</f>
        <v>plu-spl:T-mgv:6-sn:3k</v>
      </c>
      <c r="J31" s="1">
        <v>0.92</v>
      </c>
      <c r="K31" s="1">
        <v>0.94</v>
      </c>
      <c r="L31" s="1">
        <v>0.95</v>
      </c>
      <c r="M31" s="1">
        <v>0.95</v>
      </c>
      <c r="N31" s="1">
        <v>0.97</v>
      </c>
      <c r="O31" s="1">
        <v>0.96</v>
      </c>
      <c r="P31" s="1">
        <v>0.93</v>
      </c>
      <c r="Q31" s="1">
        <v>0.93</v>
      </c>
      <c r="R31" s="1">
        <v>0.93</v>
      </c>
      <c r="S31" s="1">
        <v>0.96</v>
      </c>
      <c r="T31" s="1">
        <v>0.94</v>
      </c>
      <c r="U31" s="1">
        <v>0.95</v>
      </c>
      <c r="V31" s="1">
        <v>0.97</v>
      </c>
      <c r="W31" s="2">
        <f t="shared" si="0"/>
        <v>0.94405678169277707</v>
      </c>
      <c r="X31" s="2">
        <f t="shared" si="1"/>
        <v>3</v>
      </c>
    </row>
    <row r="32" spans="1:24" ht="25" customHeight="1">
      <c r="A32" t="s">
        <v>29</v>
      </c>
      <c r="B32">
        <v>3</v>
      </c>
      <c r="C32">
        <v>6</v>
      </c>
      <c r="D32">
        <v>2</v>
      </c>
      <c r="E32" t="s">
        <v>23</v>
      </c>
      <c r="F32" t="b">
        <v>0</v>
      </c>
      <c r="G32">
        <v>0</v>
      </c>
      <c r="H32" t="s">
        <v>18</v>
      </c>
      <c r="I32" t="str">
        <f>_xlfn.LET(_xlpm.sk,_xlfn.SINGLE(Table3[skippiness]),_xlpm.sn,_xlfn.SINGLE(Table3[sample.n]),_xlpm.mgv,_xlfn.SINGLE(Table3[mgv]),_xlpm.attr,_xlfn.SINGLE(Table3[attribute]),_xlpm.spl,_xlfn.SINGLE(Table3[supplement]),_xlfn.TEXTJOIN({"-spl:","-mgv:","-sn:",""},TRUE,LEFT(_xlpm.attr,3),LEFT(_xlpm.spl,1),_xlpm.mgv,_xlpm.sn,"k"))</f>
        <v>gen-spl:F-mgv:6-sn:3k</v>
      </c>
      <c r="J32" s="2">
        <v>0.84</v>
      </c>
      <c r="K32" s="2">
        <v>0.8</v>
      </c>
      <c r="L32" s="2">
        <v>0.82</v>
      </c>
      <c r="M32" s="2">
        <v>0.82</v>
      </c>
      <c r="N32" s="2">
        <v>0.84</v>
      </c>
      <c r="O32" s="2">
        <v>0.8</v>
      </c>
      <c r="P32" s="2">
        <v>0.83</v>
      </c>
      <c r="Q32" s="2">
        <v>0.76</v>
      </c>
      <c r="R32" s="2">
        <v>0.81</v>
      </c>
      <c r="S32" s="2">
        <v>0.8</v>
      </c>
      <c r="T32" s="2">
        <v>0.8</v>
      </c>
      <c r="U32" s="2">
        <v>0.79</v>
      </c>
      <c r="V32" s="2">
        <v>0.84</v>
      </c>
      <c r="W32" s="2">
        <f t="shared" si="0"/>
        <v>0.8088708195784734</v>
      </c>
      <c r="X32" s="3">
        <f t="shared" si="1"/>
        <v>23</v>
      </c>
    </row>
    <row r="33" spans="1:24" ht="25" customHeight="1">
      <c r="A33" t="s">
        <v>29</v>
      </c>
      <c r="B33">
        <v>3</v>
      </c>
      <c r="C33">
        <v>6</v>
      </c>
      <c r="D33">
        <v>2</v>
      </c>
      <c r="E33" t="s">
        <v>23</v>
      </c>
      <c r="F33" t="b">
        <v>1</v>
      </c>
      <c r="G33">
        <v>0</v>
      </c>
      <c r="H33" t="s">
        <v>18</v>
      </c>
      <c r="I33" t="str">
        <f>_xlfn.LET(_xlpm.sk,_xlfn.SINGLE(Table3[skippiness]),_xlpm.sn,_xlfn.SINGLE(Table3[sample.n]),_xlpm.mgv,_xlfn.SINGLE(Table3[mgv]),_xlpm.attr,_xlfn.SINGLE(Table3[attribute]),_xlpm.spl,_xlfn.SINGLE(Table3[supplement]),_xlfn.TEXTJOIN({"-spl:","-mgv:","-sn:",""},TRUE,LEFT(_xlpm.attr,3),LEFT(_xlpm.spl,1),_xlpm.mgv,_xlpm.sn,"k"))</f>
        <v>gen-spl:T-mgv:6-sn:3k</v>
      </c>
      <c r="J33" s="2">
        <v>0.86</v>
      </c>
      <c r="K33" s="2">
        <v>0.8</v>
      </c>
      <c r="L33" s="2">
        <v>0.83</v>
      </c>
      <c r="M33" s="2">
        <v>0.8</v>
      </c>
      <c r="N33" s="2">
        <v>0.84</v>
      </c>
      <c r="O33" s="2">
        <v>0.8</v>
      </c>
      <c r="P33" s="2">
        <v>0.83</v>
      </c>
      <c r="Q33" s="2">
        <v>0.77</v>
      </c>
      <c r="R33" s="2">
        <v>0.81</v>
      </c>
      <c r="S33" s="2">
        <v>0.82</v>
      </c>
      <c r="T33" s="2">
        <v>0.8</v>
      </c>
      <c r="U33" s="2">
        <v>0.79</v>
      </c>
      <c r="V33" s="2">
        <v>0.86</v>
      </c>
      <c r="W33" s="2">
        <f t="shared" si="0"/>
        <v>0.81216177731528327</v>
      </c>
      <c r="X33" s="2">
        <f t="shared" si="1"/>
        <v>20</v>
      </c>
    </row>
    <row r="34" spans="1:24" ht="25" customHeight="1">
      <c r="A34" t="s">
        <v>29</v>
      </c>
      <c r="B34">
        <v>3</v>
      </c>
      <c r="C34">
        <v>9</v>
      </c>
      <c r="D34">
        <v>1</v>
      </c>
      <c r="E34" t="s">
        <v>19</v>
      </c>
      <c r="F34" t="b">
        <v>0</v>
      </c>
      <c r="G34">
        <v>0</v>
      </c>
      <c r="H34" t="s">
        <v>18</v>
      </c>
      <c r="I34" t="str">
        <f>_xlfn.LET(_xlpm.sk,_xlfn.SINGLE(Table3[skippiness]),_xlpm.sn,_xlfn.SINGLE(Table3[sample.n]),_xlpm.mgv,_xlfn.SINGLE(Table3[mgv]),_xlpm.attr,_xlfn.SINGLE(Table3[attribute]),_xlpm.spl,_xlfn.SINGLE(Table3[supplement]),_xlfn.TEXTJOIN({"-spl:","-mgv:","-sn:",""},TRUE,LEFT(_xlpm.attr,3),LEFT(_xlpm.spl,1),_xlpm.mgv,_xlpm.sn,"k"))</f>
        <v>plu-spl:F-mgv:9-sn:3k</v>
      </c>
      <c r="J34" s="1">
        <v>0.93</v>
      </c>
      <c r="K34" s="1">
        <v>0.94</v>
      </c>
      <c r="L34" s="1">
        <v>0.93</v>
      </c>
      <c r="M34" s="1">
        <v>0.97</v>
      </c>
      <c r="N34" s="1">
        <v>0.95</v>
      </c>
      <c r="O34" s="1">
        <v>0.96</v>
      </c>
      <c r="P34" s="1">
        <v>0.93</v>
      </c>
      <c r="Q34" s="1">
        <v>0.93</v>
      </c>
      <c r="R34" s="1">
        <v>0.96</v>
      </c>
      <c r="S34" s="1">
        <v>0.97</v>
      </c>
      <c r="T34" s="1">
        <v>0.97</v>
      </c>
      <c r="U34" s="1">
        <v>0.97</v>
      </c>
      <c r="V34" s="1">
        <v>0.97</v>
      </c>
      <c r="W34" s="2">
        <f t="shared" si="0"/>
        <v>0.95068006680138084</v>
      </c>
      <c r="X34" s="3">
        <f t="shared" si="1"/>
        <v>1</v>
      </c>
    </row>
    <row r="35" spans="1:24" ht="25" customHeight="1">
      <c r="A35" t="s">
        <v>29</v>
      </c>
      <c r="B35">
        <v>3</v>
      </c>
      <c r="C35">
        <v>9</v>
      </c>
      <c r="D35">
        <v>1</v>
      </c>
      <c r="E35" t="s">
        <v>19</v>
      </c>
      <c r="F35" t="b">
        <v>1</v>
      </c>
      <c r="G35">
        <v>0</v>
      </c>
      <c r="H35" t="s">
        <v>18</v>
      </c>
      <c r="I35" t="str">
        <f>_xlfn.LET(_xlpm.sk,_xlfn.SINGLE(Table3[skippiness]),_xlpm.sn,_xlfn.SINGLE(Table3[sample.n]),_xlpm.mgv,_xlfn.SINGLE(Table3[mgv]),_xlpm.attr,_xlfn.SINGLE(Table3[attribute]),_xlpm.spl,_xlfn.SINGLE(Table3[supplement]),_xlfn.TEXTJOIN({"-spl:","-mgv:","-sn:",""},TRUE,LEFT(_xlpm.attr,3),LEFT(_xlpm.spl,1),_xlpm.mgv,_xlpm.sn,"k"))</f>
        <v>plu-spl:T-mgv:9-sn:3k</v>
      </c>
      <c r="J35" s="1">
        <v>0.94</v>
      </c>
      <c r="K35" s="1">
        <v>0.93</v>
      </c>
      <c r="L35" s="1">
        <v>0.94</v>
      </c>
      <c r="M35" s="1">
        <v>0.97</v>
      </c>
      <c r="N35" s="1">
        <v>0.95</v>
      </c>
      <c r="O35" s="1">
        <v>0.96</v>
      </c>
      <c r="P35" s="1">
        <v>0.94</v>
      </c>
      <c r="Q35" s="1">
        <v>0.94</v>
      </c>
      <c r="R35" s="1">
        <v>0.96</v>
      </c>
      <c r="S35" s="1">
        <v>0.96</v>
      </c>
      <c r="T35" s="1">
        <v>0.95</v>
      </c>
      <c r="U35" s="1">
        <v>0.96</v>
      </c>
      <c r="V35" s="1">
        <v>0.97</v>
      </c>
      <c r="W35" s="2">
        <f t="shared" si="0"/>
        <v>0.94992981743191673</v>
      </c>
      <c r="X35" s="2">
        <f t="shared" si="1"/>
        <v>2</v>
      </c>
    </row>
    <row r="36" spans="1:24" ht="25" customHeight="1">
      <c r="A36" t="s">
        <v>29</v>
      </c>
      <c r="B36">
        <v>3</v>
      </c>
      <c r="C36">
        <v>9</v>
      </c>
      <c r="D36">
        <v>2</v>
      </c>
      <c r="E36" t="s">
        <v>23</v>
      </c>
      <c r="F36" t="b">
        <v>0</v>
      </c>
      <c r="G36">
        <v>0</v>
      </c>
      <c r="H36" t="s">
        <v>18</v>
      </c>
      <c r="I36" t="str">
        <f>_xlfn.LET(_xlpm.sk,_xlfn.SINGLE(Table3[skippiness]),_xlpm.sn,_xlfn.SINGLE(Table3[sample.n]),_xlpm.mgv,_xlfn.SINGLE(Table3[mgv]),_xlpm.attr,_xlfn.SINGLE(Table3[attribute]),_xlpm.spl,_xlfn.SINGLE(Table3[supplement]),_xlfn.TEXTJOIN({"-spl:","-mgv:","-sn:",""},TRUE,LEFT(_xlpm.attr,3),LEFT(_xlpm.spl,1),_xlpm.mgv,_xlpm.sn,"k"))</f>
        <v>gen-spl:F-mgv:9-sn:3k</v>
      </c>
      <c r="J36" s="2">
        <v>0.81</v>
      </c>
      <c r="K36" s="2">
        <v>0.83</v>
      </c>
      <c r="L36" s="2">
        <v>0.78</v>
      </c>
      <c r="M36" s="2">
        <v>0.82</v>
      </c>
      <c r="N36" s="2">
        <v>0.82</v>
      </c>
      <c r="O36" s="2">
        <v>0.79</v>
      </c>
      <c r="P36" s="2">
        <v>0.78</v>
      </c>
      <c r="Q36" s="2">
        <v>0.8</v>
      </c>
      <c r="R36" s="2">
        <v>0.8</v>
      </c>
      <c r="S36" s="2">
        <v>0.82</v>
      </c>
      <c r="T36" s="2">
        <v>0.84</v>
      </c>
      <c r="U36" s="2">
        <v>0.81</v>
      </c>
      <c r="V36" s="2">
        <v>0.83</v>
      </c>
      <c r="W36" s="2">
        <f t="shared" si="0"/>
        <v>0.80812852576188277</v>
      </c>
      <c r="X36" s="3">
        <f t="shared" si="1"/>
        <v>24</v>
      </c>
    </row>
    <row r="37" spans="1:24" ht="25" customHeight="1">
      <c r="A37" t="s">
        <v>29</v>
      </c>
      <c r="B37">
        <v>3</v>
      </c>
      <c r="C37">
        <v>9</v>
      </c>
      <c r="D37">
        <v>2</v>
      </c>
      <c r="E37" t="s">
        <v>23</v>
      </c>
      <c r="F37" t="b">
        <v>1</v>
      </c>
      <c r="G37">
        <v>0</v>
      </c>
      <c r="H37" t="s">
        <v>18</v>
      </c>
      <c r="I37" t="str">
        <f>_xlfn.LET(_xlpm.sk,_xlfn.SINGLE(Table3[skippiness]),_xlpm.sn,_xlfn.SINGLE(Table3[sample.n]),_xlpm.mgv,_xlfn.SINGLE(Table3[mgv]),_xlpm.attr,_xlfn.SINGLE(Table3[attribute]),_xlpm.spl,_xlfn.SINGLE(Table3[supplement]),_xlfn.TEXTJOIN({"-spl:","-mgv:","-sn:",""},TRUE,LEFT(_xlpm.attr,3),LEFT(_xlpm.spl,1),_xlpm.mgv,_xlpm.sn,"k"))</f>
        <v>gen-spl:T-mgv:9-sn:3k</v>
      </c>
      <c r="J37" s="2">
        <v>0.8</v>
      </c>
      <c r="K37" s="2">
        <v>0.83</v>
      </c>
      <c r="L37" s="2">
        <v>0.78</v>
      </c>
      <c r="M37" s="2">
        <v>0.81</v>
      </c>
      <c r="N37" s="2">
        <v>0.82</v>
      </c>
      <c r="O37" s="2">
        <v>0.82</v>
      </c>
      <c r="P37" s="2">
        <v>0.77</v>
      </c>
      <c r="Q37" s="2">
        <v>0.82</v>
      </c>
      <c r="R37" s="2">
        <v>0.8</v>
      </c>
      <c r="S37" s="2">
        <v>0.82</v>
      </c>
      <c r="T37" s="2">
        <v>0.85</v>
      </c>
      <c r="U37" s="2">
        <v>0.8</v>
      </c>
      <c r="V37" s="2">
        <v>0.83</v>
      </c>
      <c r="W37" s="2">
        <f t="shared" si="0"/>
        <v>0.80973155004919262</v>
      </c>
      <c r="X37" s="2">
        <f t="shared" si="1"/>
        <v>22</v>
      </c>
    </row>
    <row r="40" spans="1:24" ht="25" customHeight="1">
      <c r="U40" t="s">
        <v>30</v>
      </c>
      <c r="V40" t="s">
        <v>28</v>
      </c>
      <c r="W40" t="s">
        <v>24</v>
      </c>
      <c r="X40" t="s">
        <v>34</v>
      </c>
    </row>
    <row r="41" spans="1:24" ht="25" customHeight="1">
      <c r="U41">
        <v>3</v>
      </c>
      <c r="V41">
        <v>9</v>
      </c>
      <c r="W41" t="b">
        <v>1</v>
      </c>
      <c r="X41" s="2" cm="1">
        <f t="array" ref="X41">_xlfn.LET(_xlpm.d,X$2:X$37,_xlpm.a,$B$2:$B$37=$U41,_xlpm.b,$C$2:$C$37=$V41,_xlpm.c,$F$2:$F$37=$W41,GEOMEAN(_xlfn._xlws.FILTER(_xlpm.d,_xlpm.a*_xlpm.b)))</f>
        <v>5.7005397655435965</v>
      </c>
    </row>
    <row r="42" spans="1:24" ht="25" customHeight="1">
      <c r="U42">
        <v>3</v>
      </c>
      <c r="V42">
        <v>6</v>
      </c>
      <c r="W42" t="b">
        <v>1</v>
      </c>
      <c r="X42" s="2" cm="1">
        <f t="array" ref="X42">_xlfn.LET(_xlpm.d,X$2:X$37,_xlpm.a,$B$2:$B$37=$U42,_xlpm.b,$C$2:$C$37=$V42,_xlpm.c,$F$2:$F$37=$W42,GEOMEAN(_xlfn._xlws.FILTER(_xlpm.d,_xlpm.a*_xlpm.b)))</f>
        <v>9.1140681711945053</v>
      </c>
    </row>
    <row r="43" spans="1:24" ht="25" customHeight="1">
      <c r="U43">
        <v>3</v>
      </c>
      <c r="V43">
        <v>3</v>
      </c>
      <c r="W43" t="b">
        <v>1</v>
      </c>
      <c r="X43" s="2" cm="1">
        <f t="array" ref="X43">_xlfn.LET(_xlpm.d,X$2:X$37,_xlpm.a,$B$2:$B$37=$U43,_xlpm.b,$C$2:$C$37=$V43,_xlpm.c,$F$2:$F$37=$W43,GEOMEAN(_xlfn._xlws.FILTER(_xlpm.d,_xlpm.a*_xlpm.b)))</f>
        <v>9.8922716593207518</v>
      </c>
    </row>
    <row r="44" spans="1:24" ht="25" customHeight="1">
      <c r="U44">
        <v>2</v>
      </c>
      <c r="V44">
        <v>3</v>
      </c>
      <c r="W44" t="b">
        <v>1</v>
      </c>
      <c r="X44" s="2" cm="1">
        <f t="array" ref="X44">_xlfn.LET(_xlpm.d,X$2:X$37,_xlpm.a,$B$2:$B$37=$U44,_xlpm.b,$C$2:$C$37=$V44,_xlpm.c,$F$2:$F$37=$W44,GEOMEAN(_xlfn._xlws.FILTER(_xlpm.d,_xlpm.a*_xlpm.b)))</f>
        <v>15.699527090881583</v>
      </c>
    </row>
    <row r="45" spans="1:24" ht="25" customHeight="1">
      <c r="U45">
        <v>2</v>
      </c>
      <c r="V45">
        <v>9</v>
      </c>
      <c r="W45" t="b">
        <v>1</v>
      </c>
      <c r="X45" s="2" cm="1">
        <f t="array" ref="X45">_xlfn.LET(_xlpm.d,X$2:X$37,_xlpm.a,$B$2:$B$37=$U45,_xlpm.b,$C$2:$C$37=$V45,_xlpm.c,$F$2:$F$37=$W45,GEOMEAN(_xlfn._xlws.FILTER(_xlpm.d,_xlpm.a*_xlpm.b)))</f>
        <v>16.542131120982965</v>
      </c>
    </row>
    <row r="46" spans="1:24" ht="25" customHeight="1">
      <c r="U46">
        <v>1.2</v>
      </c>
      <c r="V46">
        <v>6</v>
      </c>
      <c r="W46" t="b">
        <v>1</v>
      </c>
      <c r="X46" s="2" cm="1">
        <f t="array" ref="X46">_xlfn.LET(_xlpm.d,X$2:X$37,_xlpm.a,$B$2:$B$37=$U46,_xlpm.b,$C$2:$C$37=$V46,_xlpm.c,$F$2:$F$37=$W46,GEOMEAN(_xlfn._xlws.FILTER(_xlpm.d,_xlpm.a*_xlpm.b)))</f>
        <v>17.012960948700513</v>
      </c>
    </row>
    <row r="47" spans="1:24" ht="25" customHeight="1">
      <c r="U47">
        <v>2</v>
      </c>
      <c r="V47">
        <v>6</v>
      </c>
      <c r="W47" t="b">
        <v>1</v>
      </c>
      <c r="X47" s="2" cm="1">
        <f t="array" ref="X47">_xlfn.LET(_xlpm.d,X$2:X$37,_xlpm.a,$B$2:$B$37=$U47,_xlpm.b,$C$2:$C$37=$V47,_xlpm.c,$F$2:$F$37=$W47,GEOMEAN(_xlfn._xlws.FILTER(_xlpm.d,_xlpm.a*_xlpm.b)))</f>
        <v>21.678600060132677</v>
      </c>
    </row>
    <row r="48" spans="1:24" ht="25" customHeight="1">
      <c r="U48">
        <v>1.2</v>
      </c>
      <c r="V48">
        <v>9</v>
      </c>
      <c r="W48" t="b">
        <v>1</v>
      </c>
      <c r="X48" s="2" cm="1">
        <f t="array" ref="X48">_xlfn.LET(_xlpm.d,X$2:X$37,_xlpm.a,$B$2:$B$37=$U48,_xlpm.b,$C$2:$C$37=$V48,_xlpm.c,$F$2:$F$37=$W48,GEOMEAN(_xlfn._xlws.FILTER(_xlpm.d,_xlpm.a*_xlpm.b)))</f>
        <v>22.263902381562609</v>
      </c>
    </row>
    <row r="49" spans="21:24" ht="25" customHeight="1">
      <c r="U49">
        <v>1.2</v>
      </c>
      <c r="V49">
        <v>3</v>
      </c>
      <c r="W49" t="b">
        <v>1</v>
      </c>
      <c r="X49" s="2" cm="1">
        <f t="array" ref="X49">_xlfn.LET(_xlpm.d,X$2:X$37,_xlpm.a,$B$2:$B$37=$U49,_xlpm.b,$C$2:$C$37=$V49,_xlpm.c,$F$2:$F$37=$W49,GEOMEAN(_xlfn._xlws.FILTER(_xlpm.d,_xlpm.a*_xlpm.b)))</f>
        <v>22.533001396905842</v>
      </c>
    </row>
    <row r="52" spans="21:24" ht="25" customHeight="1">
      <c r="U52" t="s">
        <v>30</v>
      </c>
      <c r="V52" t="s">
        <v>28</v>
      </c>
      <c r="W52" t="s">
        <v>2</v>
      </c>
      <c r="X52" t="s">
        <v>34</v>
      </c>
    </row>
    <row r="53" spans="21:24" ht="25" customHeight="1">
      <c r="U53">
        <v>1.2</v>
      </c>
      <c r="V53">
        <v>3</v>
      </c>
      <c r="W53" t="s">
        <v>23</v>
      </c>
      <c r="X53" s="2" cm="1">
        <f t="array" ref="X53">_xlfn.LET(_xlpm.d,X$2:X$37,_xlpm.a,$B$2:$B$37=$U53,_xlpm.b,$C$2:$C$37=$V53,_xlpm.c,$E$2:$E$37=$W53,GEOMEAN(_xlfn._xlws.FILTER(_xlpm.d,_xlpm.a*_xlpm.b)))</f>
        <v>22.533001396905842</v>
      </c>
    </row>
    <row r="54" spans="21:24" ht="25" customHeight="1">
      <c r="U54">
        <v>2</v>
      </c>
      <c r="V54">
        <v>3</v>
      </c>
      <c r="W54" t="s">
        <v>23</v>
      </c>
      <c r="X54" s="2" cm="1">
        <f t="array" ref="X54">_xlfn.LET(_xlpm.d,X$2:X$37,_xlpm.a,$B$2:$B$37=$U54,_xlpm.b,$C$2:$C$37=$V54,_xlpm.c,$E$2:$E$37=$W54,GEOMEAN(_xlfn._xlws.FILTER(_xlpm.d,_xlpm.a*_xlpm.b)))</f>
        <v>15.699527090881583</v>
      </c>
    </row>
    <row r="55" spans="21:24" ht="25" customHeight="1">
      <c r="U55">
        <v>3</v>
      </c>
      <c r="V55">
        <v>3</v>
      </c>
      <c r="W55" t="s">
        <v>23</v>
      </c>
      <c r="X55" s="2" cm="1">
        <f t="array" ref="X55">_xlfn.LET(_xlpm.d,X$2:X$37,_xlpm.a,$B$2:$B$37=$U55,_xlpm.b,$C$2:$C$37=$V55,_xlpm.c,$E$2:$E$37=$W55,GEOMEAN(_xlfn._xlws.FILTER(_xlpm.d,_xlpm.a*_xlpm.b)))</f>
        <v>9.8922716593207518</v>
      </c>
    </row>
    <row r="56" spans="21:24" ht="25" customHeight="1">
      <c r="U56">
        <v>1.2</v>
      </c>
      <c r="V56">
        <v>6</v>
      </c>
      <c r="W56" t="s">
        <v>23</v>
      </c>
      <c r="X56" s="2" cm="1">
        <f t="array" ref="X56">_xlfn.LET(_xlpm.d,X$2:X$37,_xlpm.a,$B$2:$B$37=$U56,_xlpm.b,$C$2:$C$37=$V56,_xlpm.c,$E$2:$E$37=$W56,GEOMEAN(_xlfn._xlws.FILTER(_xlpm.d,_xlpm.a*_xlpm.b)))</f>
        <v>17.012960948700513</v>
      </c>
    </row>
    <row r="57" spans="21:24" ht="25" customHeight="1">
      <c r="U57">
        <v>2</v>
      </c>
      <c r="V57">
        <v>6</v>
      </c>
      <c r="W57" t="s">
        <v>23</v>
      </c>
      <c r="X57" s="2" cm="1">
        <f t="array" ref="X57">_xlfn.LET(_xlpm.d,X$2:X$37,_xlpm.a,$B$2:$B$37=$U57,_xlpm.b,$C$2:$C$37=$V57,_xlpm.c,$E$2:$E$37=$W57,GEOMEAN(_xlfn._xlws.FILTER(_xlpm.d,_xlpm.a*_xlpm.b)))</f>
        <v>21.678600060132677</v>
      </c>
    </row>
    <row r="58" spans="21:24" ht="25" customHeight="1">
      <c r="U58">
        <v>3</v>
      </c>
      <c r="V58">
        <v>6</v>
      </c>
      <c r="W58" t="s">
        <v>23</v>
      </c>
      <c r="X58" s="2" cm="1">
        <f t="array" ref="X58">_xlfn.LET(_xlpm.d,X$2:X$37,_xlpm.a,$B$2:$B$37=$U58,_xlpm.b,$C$2:$C$37=$V58,_xlpm.c,$E$2:$E$37=$W58,GEOMEAN(_xlfn._xlws.FILTER(_xlpm.d,_xlpm.a*_xlpm.b)))</f>
        <v>9.1140681711945053</v>
      </c>
    </row>
    <row r="59" spans="21:24" ht="25" customHeight="1">
      <c r="U59">
        <v>1.2</v>
      </c>
      <c r="V59">
        <v>9</v>
      </c>
      <c r="W59" t="s">
        <v>23</v>
      </c>
      <c r="X59" s="2" cm="1">
        <f t="array" ref="X59">_xlfn.LET(_xlpm.d,X$2:X$37,_xlpm.a,$B$2:$B$37=$U59,_xlpm.b,$C$2:$C$37=$V59,_xlpm.c,$E$2:$E$37=$W59,GEOMEAN(_xlfn._xlws.FILTER(_xlpm.d,_xlpm.a*_xlpm.b)))</f>
        <v>22.263902381562609</v>
      </c>
    </row>
    <row r="60" spans="21:24" ht="25" customHeight="1">
      <c r="U60">
        <v>2</v>
      </c>
      <c r="V60">
        <v>9</v>
      </c>
      <c r="W60" t="s">
        <v>23</v>
      </c>
      <c r="X60" s="2" cm="1">
        <f t="array" ref="X60">_xlfn.LET(_xlpm.d,X$2:X$37,_xlpm.a,$B$2:$B$37=$U60,_xlpm.b,$C$2:$C$37=$V60,_xlpm.c,$E$2:$E$37=$W60,GEOMEAN(_xlfn._xlws.FILTER(_xlpm.d,_xlpm.a*_xlpm.b)))</f>
        <v>16.542131120982965</v>
      </c>
    </row>
    <row r="61" spans="21:24" ht="25" customHeight="1">
      <c r="U61">
        <v>3</v>
      </c>
      <c r="V61">
        <v>9</v>
      </c>
      <c r="W61" t="s">
        <v>23</v>
      </c>
      <c r="X61" s="2" cm="1">
        <f t="array" ref="X61">_xlfn.LET(_xlpm.d,X$2:X$37,_xlpm.a,$B$2:$B$37=$U61,_xlpm.b,$C$2:$C$37=$V61,_xlpm.c,$E$2:$E$37=$W61,GEOMEAN(_xlfn._xlws.FILTER(_xlpm.d,_xlpm.a*_xlpm.b)))</f>
        <v>5.7005397655435965</v>
      </c>
    </row>
    <row r="64" spans="21:24" ht="25" customHeight="1">
      <c r="U64" t="s">
        <v>30</v>
      </c>
      <c r="V64" t="s">
        <v>28</v>
      </c>
      <c r="W64" t="s">
        <v>2</v>
      </c>
      <c r="X64" t="s">
        <v>34</v>
      </c>
    </row>
    <row r="65" spans="21:24" ht="25" customHeight="1">
      <c r="U65">
        <v>1.2</v>
      </c>
      <c r="V65">
        <v>3</v>
      </c>
      <c r="W65" t="s">
        <v>19</v>
      </c>
      <c r="X65" s="2" cm="1">
        <f t="array" ref="X65">_xlfn.LET(_xlpm.d,X$2:X$37,_xlpm.a,$B$2:$B$37=$U65,_xlpm.b,$C$2:$C$37=$V65,_xlpm.c,$E$2:$E$37=$W65,GEOMEAN(_xlfn._xlws.FILTER(_xlpm.d,_xlpm.a*_xlpm.b)))</f>
        <v>22.533001396905842</v>
      </c>
    </row>
    <row r="66" spans="21:24" ht="25" customHeight="1">
      <c r="U66">
        <v>2</v>
      </c>
      <c r="V66">
        <v>3</v>
      </c>
      <c r="W66" t="s">
        <v>19</v>
      </c>
      <c r="X66" s="2" cm="1">
        <f t="array" ref="X66">_xlfn.LET(_xlpm.d,X$2:X$37,_xlpm.a,$B$2:$B$37=$U66,_xlpm.b,$C$2:$C$37=$V66,_xlpm.c,$E$2:$E$37=$W66,GEOMEAN(_xlfn._xlws.FILTER(_xlpm.d,_xlpm.a*_xlpm.b)))</f>
        <v>15.699527090881583</v>
      </c>
    </row>
    <row r="67" spans="21:24" ht="25" customHeight="1">
      <c r="U67">
        <v>3</v>
      </c>
      <c r="V67">
        <v>3</v>
      </c>
      <c r="W67" t="s">
        <v>19</v>
      </c>
      <c r="X67" s="2" cm="1">
        <f t="array" ref="X67">_xlfn.LET(_xlpm.d,X$2:X$37,_xlpm.a,$B$2:$B$37=$U67,_xlpm.b,$C$2:$C$37=$V67,_xlpm.c,$E$2:$E$37=$W67,GEOMEAN(_xlfn._xlws.FILTER(_xlpm.d,_xlpm.a*_xlpm.b)))</f>
        <v>9.8922716593207518</v>
      </c>
    </row>
    <row r="68" spans="21:24" ht="25" customHeight="1">
      <c r="U68">
        <v>1.2</v>
      </c>
      <c r="V68">
        <v>6</v>
      </c>
      <c r="W68" t="s">
        <v>19</v>
      </c>
      <c r="X68" s="2" cm="1">
        <f t="array" ref="X68">_xlfn.LET(_xlpm.d,X$2:X$37,_xlpm.a,$B$2:$B$37=$U68,_xlpm.b,$C$2:$C$37=$V68,_xlpm.c,$E$2:$E$37=$W68,GEOMEAN(_xlfn._xlws.FILTER(_xlpm.d,_xlpm.a*_xlpm.b)))</f>
        <v>17.012960948700513</v>
      </c>
    </row>
    <row r="69" spans="21:24" ht="25" customHeight="1">
      <c r="U69">
        <v>2</v>
      </c>
      <c r="V69">
        <v>6</v>
      </c>
      <c r="W69" t="s">
        <v>19</v>
      </c>
      <c r="X69" s="2" cm="1">
        <f t="array" ref="X69">_xlfn.LET(_xlpm.d,X$2:X$37,_xlpm.a,$B$2:$B$37=$U69,_xlpm.b,$C$2:$C$37=$V69,_xlpm.c,$E$2:$E$37=$W69,GEOMEAN(_xlfn._xlws.FILTER(_xlpm.d,_xlpm.a*_xlpm.b)))</f>
        <v>21.678600060132677</v>
      </c>
    </row>
    <row r="70" spans="21:24" ht="25" customHeight="1">
      <c r="U70">
        <v>3</v>
      </c>
      <c r="V70">
        <v>6</v>
      </c>
      <c r="W70" t="s">
        <v>19</v>
      </c>
      <c r="X70" s="2" cm="1">
        <f t="array" ref="X70">_xlfn.LET(_xlpm.d,X$2:X$37,_xlpm.a,$B$2:$B$37=$U70,_xlpm.b,$C$2:$C$37=$V70,_xlpm.c,$E$2:$E$37=$W70,GEOMEAN(_xlfn._xlws.FILTER(_xlpm.d,_xlpm.a*_xlpm.b)))</f>
        <v>9.1140681711945053</v>
      </c>
    </row>
    <row r="71" spans="21:24" ht="25" customHeight="1">
      <c r="U71">
        <v>1.2</v>
      </c>
      <c r="V71">
        <v>9</v>
      </c>
      <c r="W71" t="s">
        <v>19</v>
      </c>
      <c r="X71" s="2" cm="1">
        <f t="array" ref="X71">_xlfn.LET(_xlpm.d,X$2:X$37,_xlpm.a,$B$2:$B$37=$U71,_xlpm.b,$C$2:$C$37=$V71,_xlpm.c,$E$2:$E$37=$W71,GEOMEAN(_xlfn._xlws.FILTER(_xlpm.d,_xlpm.a*_xlpm.b)))</f>
        <v>22.263902381562609</v>
      </c>
    </row>
    <row r="72" spans="21:24" ht="25" customHeight="1">
      <c r="U72">
        <v>2</v>
      </c>
      <c r="V72">
        <v>9</v>
      </c>
      <c r="W72" t="s">
        <v>19</v>
      </c>
      <c r="X72" s="2" cm="1">
        <f t="array" ref="X72">_xlfn.LET(_xlpm.d,X$2:X$37,_xlpm.a,$B$2:$B$37=$U72,_xlpm.b,$C$2:$C$37=$V72,_xlpm.c,$E$2:$E$37=$W72,GEOMEAN(_xlfn._xlws.FILTER(_xlpm.d,_xlpm.a*_xlpm.b)))</f>
        <v>16.542131120982965</v>
      </c>
    </row>
    <row r="73" spans="21:24" ht="25" customHeight="1">
      <c r="U73">
        <v>3</v>
      </c>
      <c r="V73">
        <v>9</v>
      </c>
      <c r="W73" t="s">
        <v>19</v>
      </c>
      <c r="X73" s="2" cm="1">
        <f t="array" ref="X73">_xlfn.LET(_xlpm.d,X$2:X$37,_xlpm.a,$B$2:$B$37=$U73,_xlpm.b,$C$2:$C$37=$V73,_xlpm.c,$E$2:$E$37=$W73,GEOMEAN(_xlfn._xlws.FILTER(_xlpm.d,_xlpm.a*_xlpm.b)))</f>
        <v>5.7005397655435965</v>
      </c>
    </row>
  </sheetData>
  <conditionalFormatting sqref="J2:V37">
    <cfRule type="colorScale" priority="7">
      <colorScale>
        <cfvo type="num" val="0"/>
        <cfvo type="percentile" val="50"/>
        <cfvo type="num" val="1"/>
        <color theme="4" tint="0.59999389629810485"/>
        <color theme="0"/>
        <color rgb="FFFFC000"/>
      </colorScale>
    </cfRule>
  </conditionalFormatting>
  <conditionalFormatting sqref="W3">
    <cfRule type="colorScale" priority="6">
      <colorScale>
        <cfvo type="num" val="0"/>
        <cfvo type="percentile" val="50"/>
        <cfvo type="num" val="1"/>
        <color theme="4" tint="0.59999389629810485"/>
        <color theme="0"/>
        <color rgb="FFFFC000"/>
      </colorScale>
    </cfRule>
  </conditionalFormatting>
  <conditionalFormatting sqref="X3:X7">
    <cfRule type="colorScale" priority="4">
      <colorScale>
        <cfvo type="min"/>
        <cfvo type="percentile" val="50"/>
        <cfvo type="max"/>
        <color rgb="FFFFC000"/>
        <color theme="0"/>
        <color theme="7" tint="0.59999389629810485"/>
      </colorScale>
    </cfRule>
  </conditionalFormatting>
  <conditionalFormatting sqref="X41:X49">
    <cfRule type="colorScale" priority="3">
      <colorScale>
        <cfvo type="min"/>
        <cfvo type="percentile" val="50"/>
        <cfvo type="max"/>
        <color rgb="FFFFC000"/>
        <color theme="0"/>
        <color theme="7" tint="0.59999389629810485"/>
      </colorScale>
    </cfRule>
  </conditionalFormatting>
  <conditionalFormatting sqref="X53:X61">
    <cfRule type="colorScale" priority="2">
      <colorScale>
        <cfvo type="min"/>
        <cfvo type="percentile" val="50"/>
        <cfvo type="max"/>
        <color rgb="FFFFC000"/>
        <color theme="0"/>
        <color theme="7" tint="0.59999389629810485"/>
      </colorScale>
    </cfRule>
  </conditionalFormatting>
  <conditionalFormatting sqref="X65:X73">
    <cfRule type="colorScale" priority="1">
      <colorScale>
        <cfvo type="min"/>
        <cfvo type="percentile" val="50"/>
        <cfvo type="max"/>
        <color rgb="FFFFC000"/>
        <color theme="0"/>
        <color theme="7" tint="0.59999389629810485"/>
      </colorScale>
    </cfRule>
  </conditionalFormatting>
  <pageMargins left="0.7" right="0.7" top="0.75" bottom="0.75" header="0.3" footer="0.3"/>
  <drawing r:id="rId1"/>
  <tableParts count="4">
    <tablePart r:id="rId2"/>
    <tablePart r:id="rId3"/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0301C-2A48-AD41-9E35-16ED0AA0AD9A}">
  <dimension ref="A1:T27"/>
  <sheetViews>
    <sheetView workbookViewId="0">
      <pane xSplit="12480" ySplit="3520" topLeftCell="P13" activePane="bottomLeft"/>
      <selection activeCell="G1" sqref="G1:G1048576"/>
      <selection pane="topRight" activeCell="W6" sqref="W6"/>
      <selection pane="bottomLeft" activeCell="G23" sqref="G23:S27"/>
      <selection pane="bottomRight" activeCell="T28" sqref="T28"/>
    </sheetView>
  </sheetViews>
  <sheetFormatPr baseColWidth="10" defaultRowHeight="25" customHeight="1"/>
  <cols>
    <col min="2" max="6" width="8" customWidth="1"/>
    <col min="7" max="7" width="13.25" customWidth="1"/>
    <col min="8" max="20" width="8.75" customWidth="1"/>
  </cols>
  <sheetData>
    <row r="1" spans="1:20" ht="25" customHeight="1">
      <c r="A1" t="s">
        <v>0</v>
      </c>
      <c r="B1" t="s">
        <v>1</v>
      </c>
      <c r="C1" t="s">
        <v>2</v>
      </c>
      <c r="D1" t="s">
        <v>24</v>
      </c>
      <c r="E1" t="s">
        <v>4</v>
      </c>
      <c r="F1" t="s">
        <v>5</v>
      </c>
      <c r="G1" t="s">
        <v>31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</row>
    <row r="2" spans="1:20" ht="25" customHeight="1">
      <c r="A2" t="s">
        <v>26</v>
      </c>
      <c r="B2">
        <v>1</v>
      </c>
      <c r="C2" t="s">
        <v>19</v>
      </c>
      <c r="D2" t="b">
        <v>1</v>
      </c>
      <c r="E2">
        <v>1</v>
      </c>
      <c r="F2" t="s">
        <v>20</v>
      </c>
      <c r="G2" s="4" t="str">
        <f>_xlfn.TEXTJOIN("-",TRUE,Table21[[#This Row],[attribute]],Table21[[#This Row],[supplemented]],Table21[[#This Row],[method]])</f>
        <v>plurality-TRUE-DT</v>
      </c>
      <c r="H2" s="1">
        <v>0.91</v>
      </c>
      <c r="I2" s="1">
        <v>0.85</v>
      </c>
      <c r="J2" s="1">
        <v>0.88</v>
      </c>
      <c r="K2" s="1">
        <v>0.93</v>
      </c>
      <c r="L2" s="1">
        <v>0.89</v>
      </c>
      <c r="M2" s="1">
        <v>0.79</v>
      </c>
      <c r="N2" s="1">
        <v>0.91</v>
      </c>
      <c r="O2" s="1">
        <v>0.89</v>
      </c>
      <c r="P2" s="1">
        <v>0.91</v>
      </c>
      <c r="Q2" s="1">
        <v>0.9</v>
      </c>
      <c r="R2" s="1">
        <v>0.9</v>
      </c>
      <c r="S2" s="1">
        <v>0.91</v>
      </c>
      <c r="T2" s="1">
        <f t="shared" ref="T2:T13" si="0">MAX($H2:$P2)</f>
        <v>0.93</v>
      </c>
    </row>
    <row r="3" spans="1:20" ht="25" customHeight="1">
      <c r="A3" t="s">
        <v>26</v>
      </c>
      <c r="B3">
        <v>1</v>
      </c>
      <c r="C3" t="s">
        <v>19</v>
      </c>
      <c r="D3" t="b">
        <v>0</v>
      </c>
      <c r="E3">
        <v>1</v>
      </c>
      <c r="F3" t="s">
        <v>20</v>
      </c>
      <c r="G3" t="str">
        <f>_xlfn.TEXTJOIN("-",TRUE,Table21[[#This Row],[attribute]],Table21[[#This Row],[supplemented]],Table21[[#This Row],[method]])</f>
        <v>plurality-FALSE-DT</v>
      </c>
      <c r="H3" s="1">
        <v>0.89</v>
      </c>
      <c r="I3" s="1">
        <v>0.87</v>
      </c>
      <c r="J3" s="1">
        <v>0.91</v>
      </c>
      <c r="K3" s="1">
        <v>0.91</v>
      </c>
      <c r="L3" s="1">
        <v>0.85</v>
      </c>
      <c r="M3" s="1">
        <v>0.85</v>
      </c>
      <c r="N3" s="1">
        <v>0.86</v>
      </c>
      <c r="O3" s="1">
        <v>0.9</v>
      </c>
      <c r="P3" s="1">
        <v>0.91</v>
      </c>
      <c r="Q3" s="1">
        <v>0.89</v>
      </c>
      <c r="R3" s="1">
        <v>0.9</v>
      </c>
      <c r="S3" s="1">
        <v>0.89</v>
      </c>
      <c r="T3" s="1">
        <f t="shared" si="0"/>
        <v>0.91</v>
      </c>
    </row>
    <row r="4" spans="1:20" ht="25" customHeight="1">
      <c r="A4" t="s">
        <v>26</v>
      </c>
      <c r="B4">
        <v>1</v>
      </c>
      <c r="C4" t="s">
        <v>19</v>
      </c>
      <c r="D4" t="b">
        <v>1</v>
      </c>
      <c r="E4">
        <v>2</v>
      </c>
      <c r="F4" t="s">
        <v>21</v>
      </c>
      <c r="G4" t="str">
        <f>_xlfn.TEXTJOIN("-",TRUE,Table21[[#This Row],[attribute]],Table21[[#This Row],[supplemented]],Table21[[#This Row],[method]])</f>
        <v>plurality-TRUE-RF</v>
      </c>
      <c r="H4" s="1">
        <v>0.94</v>
      </c>
      <c r="I4" s="1">
        <v>0.93</v>
      </c>
      <c r="J4" s="1">
        <v>0.89</v>
      </c>
      <c r="K4" s="1">
        <v>0.97</v>
      </c>
      <c r="L4" s="1">
        <v>0.93</v>
      </c>
      <c r="M4" s="1">
        <v>0.94</v>
      </c>
      <c r="N4" s="1">
        <v>0.94</v>
      </c>
      <c r="O4" s="1">
        <v>0.93</v>
      </c>
      <c r="P4" s="1">
        <v>0.95</v>
      </c>
      <c r="Q4" s="1">
        <v>0.96</v>
      </c>
      <c r="R4" s="1">
        <v>0.95</v>
      </c>
      <c r="S4" s="1">
        <v>0.96</v>
      </c>
      <c r="T4" s="1">
        <f t="shared" si="0"/>
        <v>0.97</v>
      </c>
    </row>
    <row r="5" spans="1:20" ht="25" customHeight="1">
      <c r="A5" t="s">
        <v>26</v>
      </c>
      <c r="B5">
        <v>1</v>
      </c>
      <c r="C5" t="s">
        <v>19</v>
      </c>
      <c r="D5" t="b">
        <v>0</v>
      </c>
      <c r="E5">
        <v>2</v>
      </c>
      <c r="F5" t="s">
        <v>21</v>
      </c>
      <c r="G5" t="str">
        <f>_xlfn.TEXTJOIN("-",TRUE,Table21[[#This Row],[attribute]],Table21[[#This Row],[supplemented]],Table21[[#This Row],[method]])</f>
        <v>plurality-FALSE-RF</v>
      </c>
      <c r="H5" s="1">
        <v>0.93</v>
      </c>
      <c r="I5" s="1">
        <v>0.94</v>
      </c>
      <c r="J5" s="1">
        <v>0.91</v>
      </c>
      <c r="K5" s="1">
        <v>0.96</v>
      </c>
      <c r="L5" s="1">
        <v>0.92</v>
      </c>
      <c r="M5" s="1">
        <v>0.94</v>
      </c>
      <c r="N5" s="1">
        <v>0.93</v>
      </c>
      <c r="O5" s="1">
        <v>0.92</v>
      </c>
      <c r="P5" s="1">
        <v>0.95</v>
      </c>
      <c r="Q5" s="1">
        <v>0.96</v>
      </c>
      <c r="R5" s="1">
        <v>0.94</v>
      </c>
      <c r="S5" s="1">
        <v>0.96</v>
      </c>
      <c r="T5" s="1">
        <f t="shared" si="0"/>
        <v>0.96</v>
      </c>
    </row>
    <row r="6" spans="1:20" ht="25" customHeight="1">
      <c r="A6" t="s">
        <v>26</v>
      </c>
      <c r="B6">
        <v>1</v>
      </c>
      <c r="C6" t="s">
        <v>19</v>
      </c>
      <c r="D6" t="b">
        <v>1</v>
      </c>
      <c r="E6">
        <v>3</v>
      </c>
      <c r="F6" t="s">
        <v>22</v>
      </c>
      <c r="G6" t="str">
        <f>_xlfn.TEXTJOIN("-",TRUE,Table21[[#This Row],[attribute]],Table21[[#This Row],[supplemented]],Table21[[#This Row],[method]])</f>
        <v>plurality-TRUE-NN</v>
      </c>
      <c r="H6" s="1">
        <v>0.91</v>
      </c>
      <c r="I6" s="1">
        <v>0.93</v>
      </c>
      <c r="J6" s="1">
        <v>0.94</v>
      </c>
      <c r="K6" s="1">
        <v>0.97</v>
      </c>
      <c r="L6" s="1">
        <v>0.95</v>
      </c>
      <c r="M6" s="1">
        <v>0.96</v>
      </c>
      <c r="N6" s="1">
        <v>0.94</v>
      </c>
      <c r="O6" s="1">
        <v>0.94</v>
      </c>
      <c r="P6" s="1">
        <v>0.96</v>
      </c>
      <c r="Q6" s="1">
        <v>0.96</v>
      </c>
      <c r="R6" s="1">
        <v>0.95</v>
      </c>
      <c r="S6" s="1">
        <v>0.96</v>
      </c>
      <c r="T6" s="1">
        <f t="shared" si="0"/>
        <v>0.97</v>
      </c>
    </row>
    <row r="7" spans="1:20" ht="25" customHeight="1">
      <c r="A7" t="s">
        <v>26</v>
      </c>
      <c r="B7">
        <v>1</v>
      </c>
      <c r="C7" t="s">
        <v>19</v>
      </c>
      <c r="D7" t="b">
        <v>0</v>
      </c>
      <c r="E7">
        <v>3</v>
      </c>
      <c r="F7" t="s">
        <v>22</v>
      </c>
      <c r="G7" t="str">
        <f>_xlfn.TEXTJOIN("-",TRUE,Table21[[#This Row],[attribute]],Table21[[#This Row],[supplemented]],Table21[[#This Row],[method]])</f>
        <v>plurality-FALSE-NN</v>
      </c>
      <c r="H7" s="1">
        <v>0.92</v>
      </c>
      <c r="I7" s="1">
        <v>0.91</v>
      </c>
      <c r="J7" s="1">
        <v>0.93</v>
      </c>
      <c r="K7" s="1">
        <v>0.97</v>
      </c>
      <c r="L7" s="1">
        <v>0.95</v>
      </c>
      <c r="M7" s="1">
        <v>0.96</v>
      </c>
      <c r="N7" s="1">
        <v>0.93</v>
      </c>
      <c r="O7" s="1">
        <v>0.93</v>
      </c>
      <c r="P7" s="1">
        <v>0.96</v>
      </c>
      <c r="Q7" s="1">
        <v>0.97</v>
      </c>
      <c r="R7" s="1">
        <v>0.97</v>
      </c>
      <c r="S7" s="1">
        <v>0.97</v>
      </c>
      <c r="T7" s="1">
        <f t="shared" si="0"/>
        <v>0.97</v>
      </c>
    </row>
    <row r="8" spans="1:20" ht="25" customHeight="1">
      <c r="A8" t="s">
        <v>26</v>
      </c>
      <c r="B8">
        <v>2</v>
      </c>
      <c r="C8" t="s">
        <v>23</v>
      </c>
      <c r="D8" t="b">
        <v>1</v>
      </c>
      <c r="E8">
        <v>1</v>
      </c>
      <c r="F8" t="s">
        <v>20</v>
      </c>
      <c r="G8" t="str">
        <f>_xlfn.TEXTJOIN("-",TRUE,Table21[[#This Row],[attribute]],Table21[[#This Row],[supplemented]],Table21[[#This Row],[method]])</f>
        <v>gender-TRUE-DT</v>
      </c>
      <c r="H8" s="1">
        <v>0.78</v>
      </c>
      <c r="I8" s="1">
        <v>0.76</v>
      </c>
      <c r="J8" s="1">
        <v>0.7</v>
      </c>
      <c r="K8" s="1">
        <v>0.73</v>
      </c>
      <c r="L8" s="1">
        <v>0.68</v>
      </c>
      <c r="M8" s="1">
        <v>0.65</v>
      </c>
      <c r="N8" s="1">
        <v>0.68</v>
      </c>
      <c r="O8" s="1">
        <v>0.74</v>
      </c>
      <c r="P8" s="1">
        <v>0.75</v>
      </c>
      <c r="Q8" s="1">
        <v>0.74</v>
      </c>
      <c r="R8" s="1">
        <v>0.72</v>
      </c>
      <c r="S8" s="1">
        <v>0.66</v>
      </c>
      <c r="T8" s="1">
        <f t="shared" si="0"/>
        <v>0.78</v>
      </c>
    </row>
    <row r="9" spans="1:20" ht="25" customHeight="1">
      <c r="A9" t="s">
        <v>26</v>
      </c>
      <c r="B9">
        <v>2</v>
      </c>
      <c r="C9" t="s">
        <v>23</v>
      </c>
      <c r="D9" t="b">
        <v>0</v>
      </c>
      <c r="E9">
        <v>1</v>
      </c>
      <c r="F9" t="s">
        <v>20</v>
      </c>
      <c r="G9" t="str">
        <f>_xlfn.TEXTJOIN("-",TRUE,Table21[[#This Row],[attribute]],Table21[[#This Row],[supplemented]],Table21[[#This Row],[method]])</f>
        <v>gender-FALSE-DT</v>
      </c>
      <c r="H9" s="1">
        <v>0.74</v>
      </c>
      <c r="I9" s="1">
        <v>0.76</v>
      </c>
      <c r="J9" s="1">
        <v>0.69</v>
      </c>
      <c r="K9" s="1">
        <v>0.71</v>
      </c>
      <c r="L9" s="1">
        <v>0.75</v>
      </c>
      <c r="M9" s="1">
        <v>0.71</v>
      </c>
      <c r="N9" s="1">
        <v>0.71</v>
      </c>
      <c r="O9" s="1">
        <v>0.71</v>
      </c>
      <c r="P9" s="1">
        <v>0.74</v>
      </c>
      <c r="Q9" s="1">
        <v>0.71</v>
      </c>
      <c r="R9" s="1">
        <v>0.71</v>
      </c>
      <c r="S9" s="1">
        <v>0.69</v>
      </c>
      <c r="T9" s="1">
        <f t="shared" si="0"/>
        <v>0.76</v>
      </c>
    </row>
    <row r="10" spans="1:20" ht="25" customHeight="1">
      <c r="A10" t="s">
        <v>26</v>
      </c>
      <c r="B10">
        <v>2</v>
      </c>
      <c r="C10" t="s">
        <v>23</v>
      </c>
      <c r="D10" t="b">
        <v>1</v>
      </c>
      <c r="E10">
        <v>2</v>
      </c>
      <c r="F10" t="s">
        <v>21</v>
      </c>
      <c r="G10" t="str">
        <f>_xlfn.TEXTJOIN("-",TRUE,Table21[[#This Row],[attribute]],Table21[[#This Row],[supplemented]],Table21[[#This Row],[method]])</f>
        <v>gender-TRUE-RF</v>
      </c>
      <c r="H10" s="1">
        <v>0.8</v>
      </c>
      <c r="I10" s="1">
        <v>0.83</v>
      </c>
      <c r="J10" s="1">
        <v>0.78</v>
      </c>
      <c r="K10" s="1">
        <v>0.81</v>
      </c>
      <c r="L10" s="1">
        <v>0.79</v>
      </c>
      <c r="M10" s="1">
        <v>0.74</v>
      </c>
      <c r="N10" s="1">
        <v>0.77</v>
      </c>
      <c r="O10" s="1">
        <v>0.8</v>
      </c>
      <c r="P10" s="1">
        <v>0.8</v>
      </c>
      <c r="Q10" s="1">
        <v>0.82</v>
      </c>
      <c r="R10" s="1">
        <v>0.85</v>
      </c>
      <c r="S10" s="1">
        <v>0.8</v>
      </c>
      <c r="T10" s="1">
        <f t="shared" si="0"/>
        <v>0.83</v>
      </c>
    </row>
    <row r="11" spans="1:20" ht="25" customHeight="1">
      <c r="A11" t="s">
        <v>26</v>
      </c>
      <c r="B11">
        <v>2</v>
      </c>
      <c r="C11" t="s">
        <v>23</v>
      </c>
      <c r="D11" t="b">
        <v>0</v>
      </c>
      <c r="E11">
        <v>2</v>
      </c>
      <c r="F11" t="s">
        <v>21</v>
      </c>
      <c r="G11" t="str">
        <f>_xlfn.TEXTJOIN("-",TRUE,Table21[[#This Row],[attribute]],Table21[[#This Row],[supplemented]],Table21[[#This Row],[method]])</f>
        <v>gender-FALSE-RF</v>
      </c>
      <c r="H11" s="1">
        <v>0.8</v>
      </c>
      <c r="I11" s="1">
        <v>0.83</v>
      </c>
      <c r="J11" s="1">
        <v>0.78</v>
      </c>
      <c r="K11" s="1">
        <v>0.82</v>
      </c>
      <c r="L11" s="1">
        <v>0.81</v>
      </c>
      <c r="M11" s="1">
        <v>0.79</v>
      </c>
      <c r="N11" s="1">
        <v>0.78</v>
      </c>
      <c r="O11" s="1">
        <v>0.79</v>
      </c>
      <c r="P11" s="1">
        <v>0.77</v>
      </c>
      <c r="Q11" s="1">
        <v>0.82</v>
      </c>
      <c r="R11" s="1">
        <v>0.84</v>
      </c>
      <c r="S11" s="1">
        <v>0.81</v>
      </c>
      <c r="T11" s="1">
        <f t="shared" si="0"/>
        <v>0.83</v>
      </c>
    </row>
    <row r="12" spans="1:20" ht="25" customHeight="1">
      <c r="A12" t="s">
        <v>26</v>
      </c>
      <c r="B12">
        <v>2</v>
      </c>
      <c r="C12" t="s">
        <v>23</v>
      </c>
      <c r="D12" t="b">
        <v>1</v>
      </c>
      <c r="E12">
        <v>3</v>
      </c>
      <c r="F12" t="s">
        <v>22</v>
      </c>
      <c r="G12" t="str">
        <f>_xlfn.TEXTJOIN("-",TRUE,Table21[[#This Row],[attribute]],Table21[[#This Row],[supplemented]],Table21[[#This Row],[method]])</f>
        <v>gender-TRUE-NN</v>
      </c>
      <c r="H12" s="1">
        <v>0.79</v>
      </c>
      <c r="I12" s="1">
        <v>0.8</v>
      </c>
      <c r="J12" s="1">
        <v>0.77</v>
      </c>
      <c r="K12" s="1">
        <v>0.79</v>
      </c>
      <c r="L12" s="1">
        <v>0.82</v>
      </c>
      <c r="M12" s="1">
        <v>0.82</v>
      </c>
      <c r="N12" s="1">
        <v>0.75</v>
      </c>
      <c r="O12" s="1">
        <v>0.82</v>
      </c>
      <c r="P12" s="1">
        <v>0.79</v>
      </c>
      <c r="Q12" s="1">
        <v>0.78</v>
      </c>
      <c r="R12" s="1">
        <v>0.83</v>
      </c>
      <c r="S12" s="1">
        <v>0.74</v>
      </c>
      <c r="T12" s="1">
        <f t="shared" si="0"/>
        <v>0.82</v>
      </c>
    </row>
    <row r="13" spans="1:20" ht="25" customHeight="1">
      <c r="A13" t="s">
        <v>26</v>
      </c>
      <c r="B13">
        <v>2</v>
      </c>
      <c r="C13" t="s">
        <v>23</v>
      </c>
      <c r="D13" t="b">
        <v>0</v>
      </c>
      <c r="E13">
        <v>3</v>
      </c>
      <c r="F13" t="s">
        <v>22</v>
      </c>
      <c r="G13" t="str">
        <f>_xlfn.TEXTJOIN("-",TRUE,Table21[[#This Row],[attribute]],Table21[[#This Row],[supplemented]],Table21[[#This Row],[method]])</f>
        <v>gender-FALSE-NN</v>
      </c>
      <c r="H13" s="1">
        <v>0.81</v>
      </c>
      <c r="I13" s="1">
        <v>0.82</v>
      </c>
      <c r="J13" s="1">
        <v>0.76</v>
      </c>
      <c r="K13" s="1">
        <v>0.8</v>
      </c>
      <c r="L13" s="1">
        <v>0.82</v>
      </c>
      <c r="M13" s="1">
        <v>0.79</v>
      </c>
      <c r="N13" s="1">
        <v>0.74</v>
      </c>
      <c r="O13" s="1">
        <v>0.8</v>
      </c>
      <c r="P13" s="1">
        <v>0.8</v>
      </c>
      <c r="Q13" s="1">
        <v>0.78</v>
      </c>
      <c r="R13" s="1">
        <v>0.81</v>
      </c>
      <c r="S13" s="1">
        <v>0.78</v>
      </c>
      <c r="T13" s="1">
        <f t="shared" si="0"/>
        <v>0.82</v>
      </c>
    </row>
    <row r="16" spans="1:20" ht="25" customHeight="1">
      <c r="B16" t="s">
        <v>1</v>
      </c>
      <c r="C16" t="s">
        <v>2</v>
      </c>
      <c r="D16" t="s">
        <v>24</v>
      </c>
      <c r="E16" t="s">
        <v>4</v>
      </c>
      <c r="F16" t="s">
        <v>5</v>
      </c>
      <c r="G16" t="s">
        <v>31</v>
      </c>
      <c r="H16" t="s">
        <v>6</v>
      </c>
      <c r="I16" t="s">
        <v>7</v>
      </c>
      <c r="J16" t="s">
        <v>8</v>
      </c>
      <c r="K16" t="s">
        <v>9</v>
      </c>
      <c r="L16" t="s">
        <v>10</v>
      </c>
      <c r="M16" t="s">
        <v>11</v>
      </c>
      <c r="N16" t="s">
        <v>12</v>
      </c>
      <c r="O16" t="s">
        <v>13</v>
      </c>
      <c r="P16" t="s">
        <v>14</v>
      </c>
      <c r="Q16" t="s">
        <v>15</v>
      </c>
      <c r="R16" t="s">
        <v>16</v>
      </c>
      <c r="S16" t="s">
        <v>17</v>
      </c>
      <c r="T16" t="s">
        <v>18</v>
      </c>
    </row>
    <row r="17" spans="2:20" ht="25" customHeight="1">
      <c r="B17">
        <v>1</v>
      </c>
      <c r="C17" t="s">
        <v>19</v>
      </c>
      <c r="D17" t="b">
        <v>0</v>
      </c>
      <c r="E17">
        <v>0</v>
      </c>
      <c r="F17" t="s">
        <v>18</v>
      </c>
      <c r="G17" s="4" t="str">
        <f>_xlfn.TEXTJOIN("-",TRUE,Table2911131724[[#This Row],[attribute]],Table2911131724[[#This Row],[supplemented]],Table2911131724[[#This Row],[method]])</f>
        <v>plurality-FALSE-max</v>
      </c>
      <c r="H17" s="1" cm="1">
        <f t="array" ref="H17">_xlfn.LET(_xlpm.d,H$2:H$13,_xlpm.a,$C$2:$C$13=$C17,_xlpm.b,$D$2:$D$13=$D17,MAX(_xlfn._xlws.FILTER(_xlpm.d,_xlpm.a*_xlpm.b)))</f>
        <v>0.93</v>
      </c>
      <c r="I17" s="1" cm="1">
        <f t="array" ref="I17">_xlfn.LET(_xlpm.d,I$2:I$13,_xlpm.a,$C$2:$C$13=$C17,_xlpm.b,$D$2:$D$13=$D17,MAX(_xlfn._xlws.FILTER(_xlpm.d,_xlpm.a*_xlpm.b)))</f>
        <v>0.94</v>
      </c>
      <c r="J17" s="1" cm="1">
        <f t="array" ref="J17">_xlfn.LET(_xlpm.d,J$2:J$13,_xlpm.a,$C$2:$C$13=$C17,_xlpm.b,$D$2:$D$13=$D17,MAX(_xlfn._xlws.FILTER(_xlpm.d,_xlpm.a*_xlpm.b)))</f>
        <v>0.93</v>
      </c>
      <c r="K17" s="1" cm="1">
        <f t="array" ref="K17">_xlfn.LET(_xlpm.d,K$2:K$13,_xlpm.a,$C$2:$C$13=$C17,_xlpm.b,$D$2:$D$13=$D17,MAX(_xlfn._xlws.FILTER(_xlpm.d,_xlpm.a*_xlpm.b)))</f>
        <v>0.97</v>
      </c>
      <c r="L17" s="1" cm="1">
        <f t="array" ref="L17">_xlfn.LET(_xlpm.d,L$2:L$13,_xlpm.a,$C$2:$C$13=$C17,_xlpm.b,$D$2:$D$13=$D17,MAX(_xlfn._xlws.FILTER(_xlpm.d,_xlpm.a*_xlpm.b)))</f>
        <v>0.95</v>
      </c>
      <c r="M17" s="1" cm="1">
        <f t="array" ref="M17">_xlfn.LET(_xlpm.d,M$2:M$13,_xlpm.a,$C$2:$C$13=$C17,_xlpm.b,$D$2:$D$13=$D17,MAX(_xlfn._xlws.FILTER(_xlpm.d,_xlpm.a*_xlpm.b)))</f>
        <v>0.96</v>
      </c>
      <c r="N17" s="1" cm="1">
        <f t="array" ref="N17">_xlfn.LET(_xlpm.d,N$2:N$13,_xlpm.a,$C$2:$C$13=$C17,_xlpm.b,$D$2:$D$13=$D17,MAX(_xlfn._xlws.FILTER(_xlpm.d,_xlpm.a*_xlpm.b)))</f>
        <v>0.93</v>
      </c>
      <c r="O17" s="1" cm="1">
        <f t="array" ref="O17">_xlfn.LET(_xlpm.d,O$2:O$13,_xlpm.a,$C$2:$C$13=$C17,_xlpm.b,$D$2:$D$13=$D17,MAX(_xlfn._xlws.FILTER(_xlpm.d,_xlpm.a*_xlpm.b)))</f>
        <v>0.93</v>
      </c>
      <c r="P17" s="1" cm="1">
        <f t="array" ref="P17">_xlfn.LET(_xlpm.d,P$2:P$13,_xlpm.a,$C$2:$C$13=$C17,_xlpm.b,$D$2:$D$13=$D17,MAX(_xlfn._xlws.FILTER(_xlpm.d,_xlpm.a*_xlpm.b)))</f>
        <v>0.96</v>
      </c>
      <c r="Q17" s="1" cm="1">
        <f t="array" ref="Q17">_xlfn.LET(_xlpm.d,Q$2:Q$13,_xlpm.a,$C$2:$C$13=$C17,_xlpm.b,$D$2:$D$13=$D17,MAX(_xlfn._xlws.FILTER(_xlpm.d,_xlpm.a*_xlpm.b)))</f>
        <v>0.97</v>
      </c>
      <c r="R17" s="1" cm="1">
        <f t="array" ref="R17">_xlfn.LET(_xlpm.d,R$2:R$13,_xlpm.a,$C$2:$C$13=$C17,_xlpm.b,$D$2:$D$13=$D17,MAX(_xlfn._xlws.FILTER(_xlpm.d,_xlpm.a*_xlpm.b)))</f>
        <v>0.97</v>
      </c>
      <c r="S17" s="1" cm="1">
        <f t="array" ref="S17">_xlfn.LET(_xlpm.d,S$2:S$13,_xlpm.a,$C$2:$C$13=$C17,_xlpm.b,$D$2:$D$13=$D17,MAX(_xlfn._xlws.FILTER(_xlpm.d,_xlpm.a*_xlpm.b)))</f>
        <v>0.97</v>
      </c>
      <c r="T17" s="1" cm="1">
        <f t="array" ref="T17">_xlfn.LET(_xlpm.d,T$2:T$13,_xlpm.a,$C$2:$C$13=$C17,_xlpm.b,$D$2:$D$13=$D17,MAX(_xlfn._xlws.FILTER(_xlpm.d,_xlpm.a*_xlpm.b)))</f>
        <v>0.97</v>
      </c>
    </row>
    <row r="18" spans="2:20" ht="25" customHeight="1">
      <c r="B18">
        <v>2</v>
      </c>
      <c r="C18" t="s">
        <v>23</v>
      </c>
      <c r="D18" t="b">
        <v>0</v>
      </c>
      <c r="E18">
        <v>0</v>
      </c>
      <c r="F18" t="s">
        <v>18</v>
      </c>
      <c r="G18" t="str">
        <f>_xlfn.TEXTJOIN("-",TRUE,Table2911131724[[#This Row],[attribute]],Table2911131724[[#This Row],[supplemented]],Table2911131724[[#This Row],[method]])</f>
        <v>gender-FALSE-max</v>
      </c>
      <c r="H18" s="1" cm="1">
        <f t="array" ref="H18">_xlfn.LET(_xlpm.d,H$2:H$13,_xlpm.a,$C$2:$C$13=$C18,_xlpm.b,$D$2:$D$13=$D18,MAX(_xlfn._xlws.FILTER(_xlpm.d,_xlpm.a*_xlpm.b)))</f>
        <v>0.81</v>
      </c>
      <c r="I18" s="1" cm="1">
        <f t="array" ref="I18">_xlfn.LET(_xlpm.d,I$2:I$13,_xlpm.a,$C$2:$C$13=$C18,_xlpm.b,$D$2:$D$13=$D18,MAX(_xlfn._xlws.FILTER(_xlpm.d,_xlpm.a*_xlpm.b)))</f>
        <v>0.83</v>
      </c>
      <c r="J18" s="1" cm="1">
        <f t="array" ref="J18">_xlfn.LET(_xlpm.d,J$2:J$13,_xlpm.a,$C$2:$C$13=$C18,_xlpm.b,$D$2:$D$13=$D18,MAX(_xlfn._xlws.FILTER(_xlpm.d,_xlpm.a*_xlpm.b)))</f>
        <v>0.78</v>
      </c>
      <c r="K18" s="1" cm="1">
        <f t="array" ref="K18">_xlfn.LET(_xlpm.d,K$2:K$13,_xlpm.a,$C$2:$C$13=$C18,_xlpm.b,$D$2:$D$13=$D18,MAX(_xlfn._xlws.FILTER(_xlpm.d,_xlpm.a*_xlpm.b)))</f>
        <v>0.82</v>
      </c>
      <c r="L18" s="1" cm="1">
        <f t="array" ref="L18">_xlfn.LET(_xlpm.d,L$2:L$13,_xlpm.a,$C$2:$C$13=$C18,_xlpm.b,$D$2:$D$13=$D18,MAX(_xlfn._xlws.FILTER(_xlpm.d,_xlpm.a*_xlpm.b)))</f>
        <v>0.82</v>
      </c>
      <c r="M18" s="1" cm="1">
        <f t="array" ref="M18">_xlfn.LET(_xlpm.d,M$2:M$13,_xlpm.a,$C$2:$C$13=$C18,_xlpm.b,$D$2:$D$13=$D18,MAX(_xlfn._xlws.FILTER(_xlpm.d,_xlpm.a*_xlpm.b)))</f>
        <v>0.79</v>
      </c>
      <c r="N18" s="1" cm="1">
        <f t="array" ref="N18">_xlfn.LET(_xlpm.d,N$2:N$13,_xlpm.a,$C$2:$C$13=$C18,_xlpm.b,$D$2:$D$13=$D18,MAX(_xlfn._xlws.FILTER(_xlpm.d,_xlpm.a*_xlpm.b)))</f>
        <v>0.78</v>
      </c>
      <c r="O18" s="1" cm="1">
        <f t="array" ref="O18">_xlfn.LET(_xlpm.d,O$2:O$13,_xlpm.a,$C$2:$C$13=$C18,_xlpm.b,$D$2:$D$13=$D18,MAX(_xlfn._xlws.FILTER(_xlpm.d,_xlpm.a*_xlpm.b)))</f>
        <v>0.8</v>
      </c>
      <c r="P18" s="1" cm="1">
        <f t="array" ref="P18">_xlfn.LET(_xlpm.d,P$2:P$13,_xlpm.a,$C$2:$C$13=$C18,_xlpm.b,$D$2:$D$13=$D18,MAX(_xlfn._xlws.FILTER(_xlpm.d,_xlpm.a*_xlpm.b)))</f>
        <v>0.8</v>
      </c>
      <c r="Q18" s="1" cm="1">
        <f t="array" ref="Q18">_xlfn.LET(_xlpm.d,Q$2:Q$13,_xlpm.a,$C$2:$C$13=$C18,_xlpm.b,$D$2:$D$13=$D18,MAX(_xlfn._xlws.FILTER(_xlpm.d,_xlpm.a*_xlpm.b)))</f>
        <v>0.82</v>
      </c>
      <c r="R18" s="1" cm="1">
        <f t="array" ref="R18">_xlfn.LET(_xlpm.d,R$2:R$13,_xlpm.a,$C$2:$C$13=$C18,_xlpm.b,$D$2:$D$13=$D18,MAX(_xlfn._xlws.FILTER(_xlpm.d,_xlpm.a*_xlpm.b)))</f>
        <v>0.84</v>
      </c>
      <c r="S18" s="1" cm="1">
        <f t="array" ref="S18">_xlfn.LET(_xlpm.d,S$2:S$13,_xlpm.a,$C$2:$C$13=$C18,_xlpm.b,$D$2:$D$13=$D18,MAX(_xlfn._xlws.FILTER(_xlpm.d,_xlpm.a*_xlpm.b)))</f>
        <v>0.81</v>
      </c>
      <c r="T18" s="1" cm="1">
        <f t="array" ref="T18">_xlfn.LET(_xlpm.d,T$2:T$13,_xlpm.a,$C$2:$C$13=$C18,_xlpm.b,$D$2:$D$13=$D18,MAX(_xlfn._xlws.FILTER(_xlpm.d,_xlpm.a*_xlpm.b)))</f>
        <v>0.83</v>
      </c>
    </row>
    <row r="19" spans="2:20" ht="25" customHeight="1">
      <c r="B19">
        <v>1</v>
      </c>
      <c r="C19" t="s">
        <v>19</v>
      </c>
      <c r="D19" t="b">
        <v>1</v>
      </c>
      <c r="E19">
        <v>0</v>
      </c>
      <c r="F19" t="s">
        <v>18</v>
      </c>
      <c r="G19" t="str">
        <f>_xlfn.TEXTJOIN("-",TRUE,Table2911131724[[#This Row],[attribute]],Table2911131724[[#This Row],[supplemented]],Table2911131724[[#This Row],[method]])</f>
        <v>plurality-TRUE-max</v>
      </c>
      <c r="H19" s="1" cm="1">
        <f t="array" ref="H19">_xlfn.LET(_xlpm.d,H$2:H$13,_xlpm.a,$C$2:$C$13=$C19,_xlpm.b,$D$2:$D$13=$D19,MAX(_xlfn._xlws.FILTER(_xlpm.d,_xlpm.a*_xlpm.b)))</f>
        <v>0.94</v>
      </c>
      <c r="I19" s="1" cm="1">
        <f t="array" ref="I19">_xlfn.LET(_xlpm.d,I$2:I$13,_xlpm.a,$C$2:$C$13=$C19,_xlpm.b,$D$2:$D$13=$D19,MAX(_xlfn._xlws.FILTER(_xlpm.d,_xlpm.a*_xlpm.b)))</f>
        <v>0.93</v>
      </c>
      <c r="J19" s="1" cm="1">
        <f t="array" ref="J19">_xlfn.LET(_xlpm.d,J$2:J$13,_xlpm.a,$C$2:$C$13=$C19,_xlpm.b,$D$2:$D$13=$D19,MAX(_xlfn._xlws.FILTER(_xlpm.d,_xlpm.a*_xlpm.b)))</f>
        <v>0.94</v>
      </c>
      <c r="K19" s="1" cm="1">
        <f t="array" ref="K19">_xlfn.LET(_xlpm.d,K$2:K$13,_xlpm.a,$C$2:$C$13=$C19,_xlpm.b,$D$2:$D$13=$D19,MAX(_xlfn._xlws.FILTER(_xlpm.d,_xlpm.a*_xlpm.b)))</f>
        <v>0.97</v>
      </c>
      <c r="L19" s="1" cm="1">
        <f t="array" ref="L19">_xlfn.LET(_xlpm.d,L$2:L$13,_xlpm.a,$C$2:$C$13=$C19,_xlpm.b,$D$2:$D$13=$D19,MAX(_xlfn._xlws.FILTER(_xlpm.d,_xlpm.a*_xlpm.b)))</f>
        <v>0.95</v>
      </c>
      <c r="M19" s="1" cm="1">
        <f t="array" ref="M19">_xlfn.LET(_xlpm.d,M$2:M$13,_xlpm.a,$C$2:$C$13=$C19,_xlpm.b,$D$2:$D$13=$D19,MAX(_xlfn._xlws.FILTER(_xlpm.d,_xlpm.a*_xlpm.b)))</f>
        <v>0.96</v>
      </c>
      <c r="N19" s="1" cm="1">
        <f t="array" ref="N19">_xlfn.LET(_xlpm.d,N$2:N$13,_xlpm.a,$C$2:$C$13=$C19,_xlpm.b,$D$2:$D$13=$D19,MAX(_xlfn._xlws.FILTER(_xlpm.d,_xlpm.a*_xlpm.b)))</f>
        <v>0.94</v>
      </c>
      <c r="O19" s="1" cm="1">
        <f t="array" ref="O19">_xlfn.LET(_xlpm.d,O$2:O$13,_xlpm.a,$C$2:$C$13=$C19,_xlpm.b,$D$2:$D$13=$D19,MAX(_xlfn._xlws.FILTER(_xlpm.d,_xlpm.a*_xlpm.b)))</f>
        <v>0.94</v>
      </c>
      <c r="P19" s="1" cm="1">
        <f t="array" ref="P19">_xlfn.LET(_xlpm.d,P$2:P$13,_xlpm.a,$C$2:$C$13=$C19,_xlpm.b,$D$2:$D$13=$D19,MAX(_xlfn._xlws.FILTER(_xlpm.d,_xlpm.a*_xlpm.b)))</f>
        <v>0.96</v>
      </c>
      <c r="Q19" s="1" cm="1">
        <f t="array" ref="Q19">_xlfn.LET(_xlpm.d,Q$2:Q$13,_xlpm.a,$C$2:$C$13=$C19,_xlpm.b,$D$2:$D$13=$D19,MAX(_xlfn._xlws.FILTER(_xlpm.d,_xlpm.a*_xlpm.b)))</f>
        <v>0.96</v>
      </c>
      <c r="R19" s="1" cm="1">
        <f t="array" ref="R19">_xlfn.LET(_xlpm.d,R$2:R$13,_xlpm.a,$C$2:$C$13=$C19,_xlpm.b,$D$2:$D$13=$D19,MAX(_xlfn._xlws.FILTER(_xlpm.d,_xlpm.a*_xlpm.b)))</f>
        <v>0.95</v>
      </c>
      <c r="S19" s="1" cm="1">
        <f t="array" ref="S19">_xlfn.LET(_xlpm.d,S$2:S$13,_xlpm.a,$C$2:$C$13=$C19,_xlpm.b,$D$2:$D$13=$D19,MAX(_xlfn._xlws.FILTER(_xlpm.d,_xlpm.a*_xlpm.b)))</f>
        <v>0.96</v>
      </c>
      <c r="T19" s="1" cm="1">
        <f t="array" ref="T19">_xlfn.LET(_xlpm.d,T$2:T$13,_xlpm.a,$C$2:$C$13=$C19,_xlpm.b,$D$2:$D$13=$D19,MAX(_xlfn._xlws.FILTER(_xlpm.d,_xlpm.a*_xlpm.b)))</f>
        <v>0.97</v>
      </c>
    </row>
    <row r="20" spans="2:20" ht="25" customHeight="1">
      <c r="B20">
        <v>2</v>
      </c>
      <c r="C20" t="s">
        <v>23</v>
      </c>
      <c r="D20" t="b">
        <v>1</v>
      </c>
      <c r="E20">
        <v>0</v>
      </c>
      <c r="F20" t="s">
        <v>18</v>
      </c>
      <c r="G20" t="str">
        <f>_xlfn.TEXTJOIN("-",TRUE,Table2911131724[[#This Row],[attribute]],Table2911131724[[#This Row],[supplemented]],Table2911131724[[#This Row],[method]])</f>
        <v>gender-TRUE-max</v>
      </c>
      <c r="H20" s="1" cm="1">
        <f t="array" ref="H20">_xlfn.LET(_xlpm.d,H$2:H$13,_xlpm.a,$C$2:$C$13=$C20,_xlpm.b,$D$2:$D$13=$D20,MAX(_xlfn._xlws.FILTER(_xlpm.d,_xlpm.a*_xlpm.b)))</f>
        <v>0.8</v>
      </c>
      <c r="I20" s="1" cm="1">
        <f t="array" ref="I20">_xlfn.LET(_xlpm.d,I$2:I$13,_xlpm.a,$C$2:$C$13=$C20,_xlpm.b,$D$2:$D$13=$D20,MAX(_xlfn._xlws.FILTER(_xlpm.d,_xlpm.a*_xlpm.b)))</f>
        <v>0.83</v>
      </c>
      <c r="J20" s="1" cm="1">
        <f t="array" ref="J20">_xlfn.LET(_xlpm.d,J$2:J$13,_xlpm.a,$C$2:$C$13=$C20,_xlpm.b,$D$2:$D$13=$D20,MAX(_xlfn._xlws.FILTER(_xlpm.d,_xlpm.a*_xlpm.b)))</f>
        <v>0.78</v>
      </c>
      <c r="K20" s="1" cm="1">
        <f t="array" ref="K20">_xlfn.LET(_xlpm.d,K$2:K$13,_xlpm.a,$C$2:$C$13=$C20,_xlpm.b,$D$2:$D$13=$D20,MAX(_xlfn._xlws.FILTER(_xlpm.d,_xlpm.a*_xlpm.b)))</f>
        <v>0.81</v>
      </c>
      <c r="L20" s="1" cm="1">
        <f t="array" ref="L20">_xlfn.LET(_xlpm.d,L$2:L$13,_xlpm.a,$C$2:$C$13=$C20,_xlpm.b,$D$2:$D$13=$D20,MAX(_xlfn._xlws.FILTER(_xlpm.d,_xlpm.a*_xlpm.b)))</f>
        <v>0.82</v>
      </c>
      <c r="M20" s="1" cm="1">
        <f t="array" ref="M20">_xlfn.LET(_xlpm.d,M$2:M$13,_xlpm.a,$C$2:$C$13=$C20,_xlpm.b,$D$2:$D$13=$D20,MAX(_xlfn._xlws.FILTER(_xlpm.d,_xlpm.a*_xlpm.b)))</f>
        <v>0.82</v>
      </c>
      <c r="N20" s="1" cm="1">
        <f t="array" ref="N20">_xlfn.LET(_xlpm.d,N$2:N$13,_xlpm.a,$C$2:$C$13=$C20,_xlpm.b,$D$2:$D$13=$D20,MAX(_xlfn._xlws.FILTER(_xlpm.d,_xlpm.a*_xlpm.b)))</f>
        <v>0.77</v>
      </c>
      <c r="O20" s="1" cm="1">
        <f t="array" ref="O20">_xlfn.LET(_xlpm.d,O$2:O$13,_xlpm.a,$C$2:$C$13=$C20,_xlpm.b,$D$2:$D$13=$D20,MAX(_xlfn._xlws.FILTER(_xlpm.d,_xlpm.a*_xlpm.b)))</f>
        <v>0.82</v>
      </c>
      <c r="P20" s="1" cm="1">
        <f t="array" ref="P20">_xlfn.LET(_xlpm.d,P$2:P$13,_xlpm.a,$C$2:$C$13=$C20,_xlpm.b,$D$2:$D$13=$D20,MAX(_xlfn._xlws.FILTER(_xlpm.d,_xlpm.a*_xlpm.b)))</f>
        <v>0.8</v>
      </c>
      <c r="Q20" s="1" cm="1">
        <f t="array" ref="Q20">_xlfn.LET(_xlpm.d,Q$2:Q$13,_xlpm.a,$C$2:$C$13=$C20,_xlpm.b,$D$2:$D$13=$D20,MAX(_xlfn._xlws.FILTER(_xlpm.d,_xlpm.a*_xlpm.b)))</f>
        <v>0.82</v>
      </c>
      <c r="R20" s="1" cm="1">
        <f t="array" ref="R20">_xlfn.LET(_xlpm.d,R$2:R$13,_xlpm.a,$C$2:$C$13=$C20,_xlpm.b,$D$2:$D$13=$D20,MAX(_xlfn._xlws.FILTER(_xlpm.d,_xlpm.a*_xlpm.b)))</f>
        <v>0.85</v>
      </c>
      <c r="S20" s="1" cm="1">
        <f t="array" ref="S20">_xlfn.LET(_xlpm.d,S$2:S$13,_xlpm.a,$C$2:$C$13=$C20,_xlpm.b,$D$2:$D$13=$D20,MAX(_xlfn._xlws.FILTER(_xlpm.d,_xlpm.a*_xlpm.b)))</f>
        <v>0.8</v>
      </c>
      <c r="T20" s="1" cm="1">
        <f t="array" ref="T20">_xlfn.LET(_xlpm.d,T$2:T$13,_xlpm.a,$C$2:$C$13=$C20,_xlpm.b,$D$2:$D$13=$D20,MAX(_xlfn._xlws.FILTER(_xlpm.d,_xlpm.a*_xlpm.b)))</f>
        <v>0.83</v>
      </c>
    </row>
    <row r="23" spans="2:20" ht="25" customHeight="1">
      <c r="B23" t="s">
        <v>1</v>
      </c>
      <c r="C23" t="s">
        <v>2</v>
      </c>
      <c r="D23" t="s">
        <v>24</v>
      </c>
      <c r="E23" t="s">
        <v>4</v>
      </c>
      <c r="F23" t="s">
        <v>5</v>
      </c>
      <c r="G23" t="s">
        <v>31</v>
      </c>
      <c r="H23" t="s">
        <v>6</v>
      </c>
      <c r="I23" t="s">
        <v>7</v>
      </c>
      <c r="J23" t="s">
        <v>8</v>
      </c>
      <c r="K23" t="s">
        <v>9</v>
      </c>
      <c r="L23" t="s">
        <v>10</v>
      </c>
      <c r="M23" t="s">
        <v>11</v>
      </c>
      <c r="N23" t="s">
        <v>12</v>
      </c>
      <c r="O23" t="s">
        <v>13</v>
      </c>
      <c r="P23" t="s">
        <v>14</v>
      </c>
      <c r="Q23" t="s">
        <v>15</v>
      </c>
      <c r="R23" t="s">
        <v>16</v>
      </c>
      <c r="S23" t="s">
        <v>17</v>
      </c>
    </row>
    <row r="24" spans="2:20" ht="25" customHeight="1">
      <c r="B24">
        <v>1</v>
      </c>
      <c r="C24" t="s">
        <v>19</v>
      </c>
      <c r="D24" t="b">
        <v>0</v>
      </c>
      <c r="E24">
        <v>1</v>
      </c>
      <c r="F24" t="s">
        <v>18</v>
      </c>
      <c r="G24" t="str">
        <f>_xlfn.TEXTJOIN("-",TRUE,Table25[[#This Row],[attribute]],Table25[[#This Row],[supplemented]],Table25[[#This Row],[method]])</f>
        <v>plurality-FALSE-max</v>
      </c>
      <c r="H24" s="5">
        <f t="shared" ref="H24:S24" si="1">_xlfn.LET(_xlpm.d,$H17:$S17,RANK(H17,_xlpm.d))</f>
        <v>9</v>
      </c>
      <c r="I24" s="5">
        <f t="shared" si="1"/>
        <v>8</v>
      </c>
      <c r="J24" s="5">
        <f t="shared" si="1"/>
        <v>9</v>
      </c>
      <c r="K24" s="5">
        <f t="shared" si="1"/>
        <v>1</v>
      </c>
      <c r="L24" s="5">
        <f t="shared" si="1"/>
        <v>7</v>
      </c>
      <c r="M24" s="5">
        <f t="shared" si="1"/>
        <v>5</v>
      </c>
      <c r="N24" s="5">
        <f t="shared" si="1"/>
        <v>9</v>
      </c>
      <c r="O24" s="5">
        <f t="shared" si="1"/>
        <v>9</v>
      </c>
      <c r="P24" s="5">
        <f t="shared" si="1"/>
        <v>5</v>
      </c>
      <c r="Q24" s="5">
        <f t="shared" si="1"/>
        <v>1</v>
      </c>
      <c r="R24" s="5">
        <f t="shared" si="1"/>
        <v>1</v>
      </c>
      <c r="S24" s="5">
        <f t="shared" si="1"/>
        <v>1</v>
      </c>
    </row>
    <row r="25" spans="2:20" ht="25" customHeight="1">
      <c r="B25">
        <v>2</v>
      </c>
      <c r="C25" t="s">
        <v>23</v>
      </c>
      <c r="D25" t="b">
        <v>0</v>
      </c>
      <c r="E25">
        <v>1</v>
      </c>
      <c r="F25" t="s">
        <v>18</v>
      </c>
      <c r="G25" t="str">
        <f>_xlfn.TEXTJOIN("-",TRUE,Table25[[#This Row],[attribute]],Table25[[#This Row],[supplemented]],Table25[[#This Row],[method]])</f>
        <v>gender-FALSE-max</v>
      </c>
      <c r="H25" s="5">
        <f t="shared" ref="H25:S25" si="2">_xlfn.LET(_xlpm.d,$H18:$S18,RANK(H18,_xlpm.d))</f>
        <v>6</v>
      </c>
      <c r="I25" s="5">
        <f t="shared" si="2"/>
        <v>2</v>
      </c>
      <c r="J25" s="5">
        <f t="shared" si="2"/>
        <v>11</v>
      </c>
      <c r="K25" s="5">
        <f t="shared" si="2"/>
        <v>3</v>
      </c>
      <c r="L25" s="5">
        <f t="shared" si="2"/>
        <v>3</v>
      </c>
      <c r="M25" s="5">
        <f t="shared" si="2"/>
        <v>10</v>
      </c>
      <c r="N25" s="5">
        <f t="shared" si="2"/>
        <v>11</v>
      </c>
      <c r="O25" s="5">
        <f t="shared" si="2"/>
        <v>8</v>
      </c>
      <c r="P25" s="5">
        <f t="shared" si="2"/>
        <v>8</v>
      </c>
      <c r="Q25" s="5">
        <f t="shared" si="2"/>
        <v>3</v>
      </c>
      <c r="R25" s="5">
        <f t="shared" si="2"/>
        <v>1</v>
      </c>
      <c r="S25" s="5">
        <f t="shared" si="2"/>
        <v>6</v>
      </c>
    </row>
    <row r="26" spans="2:20" ht="25" customHeight="1">
      <c r="B26">
        <v>1</v>
      </c>
      <c r="C26" t="s">
        <v>19</v>
      </c>
      <c r="D26" t="b">
        <v>1</v>
      </c>
      <c r="E26">
        <v>1</v>
      </c>
      <c r="F26" t="s">
        <v>18</v>
      </c>
      <c r="G26" t="str">
        <f>_xlfn.TEXTJOIN("-",TRUE,Table25[[#This Row],[attribute]],Table25[[#This Row],[supplemented]],Table25[[#This Row],[method]])</f>
        <v>plurality-TRUE-max</v>
      </c>
      <c r="H26" s="5">
        <f t="shared" ref="H26:S26" si="3">_xlfn.LET(_xlpm.d,$H19:$S19,RANK(H19,_xlpm.d))</f>
        <v>8</v>
      </c>
      <c r="I26" s="5">
        <f t="shared" si="3"/>
        <v>12</v>
      </c>
      <c r="J26" s="5">
        <f t="shared" si="3"/>
        <v>8</v>
      </c>
      <c r="K26" s="5">
        <f t="shared" si="3"/>
        <v>1</v>
      </c>
      <c r="L26" s="5">
        <f t="shared" si="3"/>
        <v>6</v>
      </c>
      <c r="M26" s="5">
        <f t="shared" si="3"/>
        <v>2</v>
      </c>
      <c r="N26" s="5">
        <f t="shared" si="3"/>
        <v>8</v>
      </c>
      <c r="O26" s="5">
        <f t="shared" si="3"/>
        <v>8</v>
      </c>
      <c r="P26" s="5">
        <f t="shared" si="3"/>
        <v>2</v>
      </c>
      <c r="Q26" s="5">
        <f t="shared" si="3"/>
        <v>2</v>
      </c>
      <c r="R26" s="5">
        <f t="shared" si="3"/>
        <v>6</v>
      </c>
      <c r="S26" s="5">
        <f t="shared" si="3"/>
        <v>2</v>
      </c>
    </row>
    <row r="27" spans="2:20" ht="25" customHeight="1">
      <c r="B27">
        <v>2</v>
      </c>
      <c r="C27" t="s">
        <v>23</v>
      </c>
      <c r="D27" t="b">
        <v>1</v>
      </c>
      <c r="E27">
        <v>1</v>
      </c>
      <c r="F27" t="s">
        <v>18</v>
      </c>
      <c r="G27" t="str">
        <f>_xlfn.TEXTJOIN("-",TRUE,Table25[[#This Row],[attribute]],Table25[[#This Row],[supplemented]],Table25[[#This Row],[method]])</f>
        <v>gender-TRUE-max</v>
      </c>
      <c r="H27" s="5">
        <f t="shared" ref="H27:S27" si="4">_xlfn.LET(_xlpm.d,$H20:$S20,RANK(H20,_xlpm.d))</f>
        <v>8</v>
      </c>
      <c r="I27" s="5">
        <f t="shared" si="4"/>
        <v>2</v>
      </c>
      <c r="J27" s="5">
        <f t="shared" si="4"/>
        <v>11</v>
      </c>
      <c r="K27" s="5">
        <f t="shared" si="4"/>
        <v>7</v>
      </c>
      <c r="L27" s="5">
        <f t="shared" si="4"/>
        <v>3</v>
      </c>
      <c r="M27" s="5">
        <f t="shared" si="4"/>
        <v>3</v>
      </c>
      <c r="N27" s="5">
        <f t="shared" si="4"/>
        <v>12</v>
      </c>
      <c r="O27" s="5">
        <f t="shared" si="4"/>
        <v>3</v>
      </c>
      <c r="P27" s="5">
        <f t="shared" si="4"/>
        <v>8</v>
      </c>
      <c r="Q27" s="5">
        <f t="shared" si="4"/>
        <v>3</v>
      </c>
      <c r="R27" s="5">
        <f t="shared" si="4"/>
        <v>1</v>
      </c>
      <c r="S27" s="5">
        <f t="shared" si="4"/>
        <v>8</v>
      </c>
    </row>
  </sheetData>
  <conditionalFormatting sqref="H24:S27">
    <cfRule type="colorScale" priority="8">
      <colorScale>
        <cfvo type="min"/>
        <cfvo type="percentile" val="50"/>
        <cfvo type="max"/>
        <color theme="9" tint="0.59999389629810485"/>
        <color theme="0"/>
        <color rgb="FFFFC000"/>
      </colorScale>
    </cfRule>
  </conditionalFormatting>
  <conditionalFormatting sqref="H2:T13">
    <cfRule type="colorScale" priority="2">
      <colorScale>
        <cfvo type="num" val="0"/>
        <cfvo type="percentile" val="50"/>
        <cfvo type="num" val="1"/>
        <color theme="4" tint="0.59999389629810485"/>
        <color theme="0"/>
        <color rgb="FFFFC000"/>
      </colorScale>
    </cfRule>
  </conditionalFormatting>
  <conditionalFormatting sqref="H17:T20">
    <cfRule type="colorScale" priority="3">
      <colorScale>
        <cfvo type="num" val="0"/>
        <cfvo type="percentile" val="50"/>
        <cfvo type="num" val="1"/>
        <color theme="4" tint="0.59999389629810485"/>
        <color theme="0"/>
        <color rgb="FFFFC000"/>
      </colorScale>
    </cfRule>
  </conditionalFormatting>
  <pageMargins left="0.75" right="0.75" top="1" bottom="1" header="0.5" footer="0.5"/>
  <drawing r:id="rId1"/>
  <tableParts count="3">
    <tablePart r:id="rId2"/>
    <tablePart r:id="rId3"/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738E74-9999-F141-9677-6AD50A4CC341}">
  <dimension ref="A1:S20"/>
  <sheetViews>
    <sheetView workbookViewId="0">
      <pane xSplit="14180" ySplit="3520" topLeftCell="O8"/>
      <selection activeCell="G1" sqref="G1:S1"/>
      <selection pane="topRight" activeCell="S3" sqref="S3"/>
      <selection pane="bottomLeft" activeCell="G16" sqref="G16:S16"/>
      <selection pane="bottomRight" activeCell="P23" sqref="P23"/>
    </sheetView>
  </sheetViews>
  <sheetFormatPr baseColWidth="10" defaultRowHeight="25" customHeight="1"/>
  <cols>
    <col min="2" max="2" width="8.25" customWidth="1"/>
    <col min="4" max="6" width="6.75" customWidth="1"/>
    <col min="7" max="19" width="8" customWidth="1"/>
  </cols>
  <sheetData>
    <row r="1" spans="1:19" ht="25" customHeigh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ht="25" customHeight="1">
      <c r="A2" t="s">
        <v>26</v>
      </c>
      <c r="B2">
        <v>1</v>
      </c>
      <c r="C2" t="s">
        <v>19</v>
      </c>
      <c r="D2" t="b">
        <v>1</v>
      </c>
      <c r="E2">
        <v>1</v>
      </c>
      <c r="F2" t="s">
        <v>20</v>
      </c>
      <c r="G2" s="1">
        <v>0.87</v>
      </c>
      <c r="H2" s="1">
        <v>0.86</v>
      </c>
      <c r="I2" s="1">
        <v>0.92</v>
      </c>
      <c r="J2" s="1">
        <v>0.91</v>
      </c>
      <c r="K2" s="1">
        <v>0.87</v>
      </c>
      <c r="L2" s="1">
        <v>0.83</v>
      </c>
      <c r="M2" s="1">
        <v>0.9</v>
      </c>
      <c r="N2" s="1">
        <v>0.87</v>
      </c>
      <c r="O2" s="1">
        <v>0.87</v>
      </c>
      <c r="P2" s="1">
        <v>0.9</v>
      </c>
      <c r="Q2" s="1">
        <v>0.86</v>
      </c>
      <c r="R2" s="1">
        <v>0.8</v>
      </c>
      <c r="S2" s="1">
        <f t="shared" ref="S2:S13" si="0">MAX($G2:$R2)</f>
        <v>0.92</v>
      </c>
    </row>
    <row r="3" spans="1:19" ht="25" customHeight="1">
      <c r="A3" t="s">
        <v>26</v>
      </c>
      <c r="B3">
        <v>1</v>
      </c>
      <c r="C3" t="s">
        <v>19</v>
      </c>
      <c r="D3" t="b">
        <v>0</v>
      </c>
      <c r="E3">
        <v>1</v>
      </c>
      <c r="F3" t="s">
        <v>20</v>
      </c>
      <c r="G3" s="1">
        <v>0.89</v>
      </c>
      <c r="H3" s="1">
        <v>0.88</v>
      </c>
      <c r="I3" s="1">
        <v>0.89</v>
      </c>
      <c r="J3" s="1">
        <v>0.87</v>
      </c>
      <c r="K3" s="1">
        <v>0.85</v>
      </c>
      <c r="L3" s="1">
        <v>0.82</v>
      </c>
      <c r="M3" s="1">
        <v>0.89</v>
      </c>
      <c r="N3" s="1">
        <v>0.91</v>
      </c>
      <c r="O3" s="1">
        <v>0.9</v>
      </c>
      <c r="P3" s="1">
        <v>0.88</v>
      </c>
      <c r="Q3" s="1">
        <v>0.87</v>
      </c>
      <c r="R3" s="1">
        <v>0.82</v>
      </c>
      <c r="S3" s="1">
        <f t="shared" si="0"/>
        <v>0.91</v>
      </c>
    </row>
    <row r="4" spans="1:19" ht="25" customHeight="1">
      <c r="A4" t="s">
        <v>26</v>
      </c>
      <c r="B4">
        <v>1</v>
      </c>
      <c r="C4" t="s">
        <v>19</v>
      </c>
      <c r="D4" t="b">
        <v>1</v>
      </c>
      <c r="E4">
        <v>2</v>
      </c>
      <c r="F4" t="s">
        <v>21</v>
      </c>
      <c r="G4" s="1">
        <v>0.92</v>
      </c>
      <c r="H4" s="1">
        <v>0.91</v>
      </c>
      <c r="I4" s="1">
        <v>0.92</v>
      </c>
      <c r="J4" s="1">
        <v>0.95</v>
      </c>
      <c r="K4" s="1">
        <v>0.96</v>
      </c>
      <c r="L4" s="1">
        <v>0.96</v>
      </c>
      <c r="M4" s="1">
        <v>0.93</v>
      </c>
      <c r="N4" s="1">
        <v>0.93</v>
      </c>
      <c r="O4" s="1">
        <v>0.9</v>
      </c>
      <c r="P4" s="1">
        <v>0.94</v>
      </c>
      <c r="Q4" s="1">
        <v>0.94</v>
      </c>
      <c r="R4" s="1">
        <v>0.93</v>
      </c>
      <c r="S4" s="1">
        <f t="shared" si="0"/>
        <v>0.96</v>
      </c>
    </row>
    <row r="5" spans="1:19" ht="25" customHeight="1">
      <c r="A5" t="s">
        <v>26</v>
      </c>
      <c r="B5">
        <v>1</v>
      </c>
      <c r="C5" t="s">
        <v>19</v>
      </c>
      <c r="D5" t="b">
        <v>0</v>
      </c>
      <c r="E5">
        <v>2</v>
      </c>
      <c r="F5" t="s">
        <v>21</v>
      </c>
      <c r="G5" s="1">
        <v>0.91</v>
      </c>
      <c r="H5" s="1">
        <v>0.9</v>
      </c>
      <c r="I5" s="1">
        <v>0.92</v>
      </c>
      <c r="J5" s="1">
        <v>0.94</v>
      </c>
      <c r="K5" s="1">
        <v>0.95</v>
      </c>
      <c r="L5" s="1">
        <v>0.96</v>
      </c>
      <c r="M5" s="1">
        <v>0.91</v>
      </c>
      <c r="N5" s="1">
        <v>0.94</v>
      </c>
      <c r="O5" s="1">
        <v>0.89</v>
      </c>
      <c r="P5" s="1">
        <v>0.95</v>
      </c>
      <c r="Q5" s="1">
        <v>0.93</v>
      </c>
      <c r="R5" s="1">
        <v>0.93</v>
      </c>
      <c r="S5" s="1">
        <f t="shared" si="0"/>
        <v>0.96</v>
      </c>
    </row>
    <row r="6" spans="1:19" ht="25" customHeight="1">
      <c r="A6" t="s">
        <v>26</v>
      </c>
      <c r="B6">
        <v>1</v>
      </c>
      <c r="C6" t="s">
        <v>19</v>
      </c>
      <c r="D6" t="b">
        <v>1</v>
      </c>
      <c r="E6">
        <v>3</v>
      </c>
      <c r="F6" t="s">
        <v>22</v>
      </c>
      <c r="G6" s="1">
        <v>0.92</v>
      </c>
      <c r="H6" s="1">
        <v>0.94</v>
      </c>
      <c r="I6" s="1">
        <v>0.95</v>
      </c>
      <c r="J6" s="1">
        <v>0.93</v>
      </c>
      <c r="K6" s="1">
        <v>0.97</v>
      </c>
      <c r="L6" s="1">
        <v>0.96</v>
      </c>
      <c r="M6" s="1">
        <v>0.93</v>
      </c>
      <c r="N6" s="1">
        <v>0.93</v>
      </c>
      <c r="O6" s="1">
        <v>0.93</v>
      </c>
      <c r="P6" s="1">
        <v>0.96</v>
      </c>
      <c r="Q6" s="1">
        <v>0.94</v>
      </c>
      <c r="R6" s="1">
        <v>0.95</v>
      </c>
      <c r="S6" s="1">
        <f t="shared" si="0"/>
        <v>0.97</v>
      </c>
    </row>
    <row r="7" spans="1:19" ht="25" customHeight="1">
      <c r="A7" t="s">
        <v>26</v>
      </c>
      <c r="B7">
        <v>1</v>
      </c>
      <c r="C7" t="s">
        <v>19</v>
      </c>
      <c r="D7" t="b">
        <v>0</v>
      </c>
      <c r="E7">
        <v>3</v>
      </c>
      <c r="F7" t="s">
        <v>22</v>
      </c>
      <c r="G7" s="1">
        <v>0.94</v>
      </c>
      <c r="H7" s="1">
        <v>0.92</v>
      </c>
      <c r="I7" s="1">
        <v>0.95</v>
      </c>
      <c r="J7" s="1">
        <v>0.94</v>
      </c>
      <c r="K7" s="1">
        <v>0.97</v>
      </c>
      <c r="L7" s="1">
        <v>0.96</v>
      </c>
      <c r="M7" s="1">
        <v>0.93</v>
      </c>
      <c r="N7" s="1">
        <v>0.93</v>
      </c>
      <c r="O7" s="1">
        <v>0.92</v>
      </c>
      <c r="P7" s="1">
        <v>0.95</v>
      </c>
      <c r="Q7" s="1">
        <v>0.96</v>
      </c>
      <c r="R7" s="1">
        <v>0.93</v>
      </c>
      <c r="S7" s="1">
        <f t="shared" si="0"/>
        <v>0.97</v>
      </c>
    </row>
    <row r="8" spans="1:19" ht="25" customHeight="1">
      <c r="A8" t="s">
        <v>26</v>
      </c>
      <c r="B8">
        <v>2</v>
      </c>
      <c r="C8" t="s">
        <v>23</v>
      </c>
      <c r="D8" t="b">
        <v>1</v>
      </c>
      <c r="E8">
        <v>1</v>
      </c>
      <c r="F8" t="s">
        <v>20</v>
      </c>
      <c r="G8" s="1">
        <v>0.75</v>
      </c>
      <c r="H8" s="1">
        <v>0.74</v>
      </c>
      <c r="I8" s="1">
        <v>0.75</v>
      </c>
      <c r="J8" s="1">
        <v>0.71</v>
      </c>
      <c r="K8" s="1">
        <v>0.73</v>
      </c>
      <c r="L8" s="1">
        <v>0.65</v>
      </c>
      <c r="M8" s="1">
        <v>0.71</v>
      </c>
      <c r="N8" s="1">
        <v>0.74</v>
      </c>
      <c r="O8" s="1">
        <v>0.73</v>
      </c>
      <c r="P8" s="1">
        <v>0.69</v>
      </c>
      <c r="Q8" s="1">
        <v>0.71</v>
      </c>
      <c r="R8" s="1">
        <v>0.68</v>
      </c>
      <c r="S8" s="1">
        <f t="shared" si="0"/>
        <v>0.75</v>
      </c>
    </row>
    <row r="9" spans="1:19" ht="25" customHeight="1">
      <c r="A9" t="s">
        <v>26</v>
      </c>
      <c r="B9">
        <v>2</v>
      </c>
      <c r="C9" t="s">
        <v>23</v>
      </c>
      <c r="D9" t="b">
        <v>0</v>
      </c>
      <c r="E9">
        <v>1</v>
      </c>
      <c r="F9" t="s">
        <v>20</v>
      </c>
      <c r="G9" s="1">
        <v>0.73</v>
      </c>
      <c r="H9" s="1">
        <v>0.66</v>
      </c>
      <c r="I9" s="1">
        <v>0.71</v>
      </c>
      <c r="J9" s="1">
        <v>0.65</v>
      </c>
      <c r="K9" s="1">
        <v>0.71</v>
      </c>
      <c r="L9" s="1">
        <v>0.68</v>
      </c>
      <c r="M9" s="1">
        <v>0.72</v>
      </c>
      <c r="N9" s="1">
        <v>0.75</v>
      </c>
      <c r="O9" s="1">
        <v>0.76</v>
      </c>
      <c r="P9" s="1">
        <v>0.7</v>
      </c>
      <c r="Q9" s="1">
        <v>0.71</v>
      </c>
      <c r="R9" s="1">
        <v>0.7</v>
      </c>
      <c r="S9" s="1">
        <f t="shared" si="0"/>
        <v>0.76</v>
      </c>
    </row>
    <row r="10" spans="1:19" ht="25" customHeight="1">
      <c r="A10" t="s">
        <v>26</v>
      </c>
      <c r="B10">
        <v>2</v>
      </c>
      <c r="C10" t="s">
        <v>23</v>
      </c>
      <c r="D10" t="b">
        <v>1</v>
      </c>
      <c r="E10">
        <v>2</v>
      </c>
      <c r="F10" t="s">
        <v>21</v>
      </c>
      <c r="G10" s="1">
        <v>0.86</v>
      </c>
      <c r="H10" s="1">
        <v>0.8</v>
      </c>
      <c r="I10" s="1">
        <v>0.8</v>
      </c>
      <c r="J10" s="1">
        <v>0.8</v>
      </c>
      <c r="K10" s="1">
        <v>0.84</v>
      </c>
      <c r="L10" s="1">
        <v>0.8</v>
      </c>
      <c r="M10" s="1">
        <v>0.83</v>
      </c>
      <c r="N10" s="1">
        <v>0.77</v>
      </c>
      <c r="O10" s="1">
        <v>0.81</v>
      </c>
      <c r="P10" s="1">
        <v>0.82</v>
      </c>
      <c r="Q10" s="1">
        <v>0.8</v>
      </c>
      <c r="R10" s="1">
        <v>0.79</v>
      </c>
      <c r="S10" s="1">
        <f t="shared" si="0"/>
        <v>0.86</v>
      </c>
    </row>
    <row r="11" spans="1:19" ht="25" customHeight="1">
      <c r="A11" t="s">
        <v>26</v>
      </c>
      <c r="B11">
        <v>2</v>
      </c>
      <c r="C11" t="s">
        <v>23</v>
      </c>
      <c r="D11" t="b">
        <v>0</v>
      </c>
      <c r="E11">
        <v>2</v>
      </c>
      <c r="F11" t="s">
        <v>21</v>
      </c>
      <c r="G11" s="1">
        <v>0.84</v>
      </c>
      <c r="H11" s="1">
        <v>0.8</v>
      </c>
      <c r="I11" s="1">
        <v>0.8</v>
      </c>
      <c r="J11" s="1">
        <v>0.8</v>
      </c>
      <c r="K11" s="1">
        <v>0.84</v>
      </c>
      <c r="L11" s="1">
        <v>0.8</v>
      </c>
      <c r="M11" s="1">
        <v>0.77</v>
      </c>
      <c r="N11" s="1">
        <v>0.75</v>
      </c>
      <c r="O11" s="1">
        <v>0.81</v>
      </c>
      <c r="P11" s="1">
        <v>0.8</v>
      </c>
      <c r="Q11" s="1">
        <v>0.8</v>
      </c>
      <c r="R11" s="1">
        <v>0.77</v>
      </c>
      <c r="S11" s="1">
        <f t="shared" si="0"/>
        <v>0.84</v>
      </c>
    </row>
    <row r="12" spans="1:19" ht="25" customHeight="1">
      <c r="A12" t="s">
        <v>26</v>
      </c>
      <c r="B12">
        <v>2</v>
      </c>
      <c r="C12" t="s">
        <v>23</v>
      </c>
      <c r="D12" t="b">
        <v>1</v>
      </c>
      <c r="E12">
        <v>3</v>
      </c>
      <c r="F12" t="s">
        <v>22</v>
      </c>
      <c r="G12" s="1">
        <v>0.83</v>
      </c>
      <c r="H12" s="1">
        <v>0.8</v>
      </c>
      <c r="I12" s="1">
        <v>0.83</v>
      </c>
      <c r="J12" s="1">
        <v>0.79</v>
      </c>
      <c r="K12" s="1">
        <v>0.82</v>
      </c>
      <c r="L12" s="1">
        <v>0.79</v>
      </c>
      <c r="M12" s="1">
        <v>0.82</v>
      </c>
      <c r="N12" s="1">
        <v>0.76</v>
      </c>
      <c r="O12" s="1">
        <v>0.76</v>
      </c>
      <c r="P12" s="1">
        <v>0.79</v>
      </c>
      <c r="Q12" s="1">
        <v>0.79</v>
      </c>
      <c r="R12" s="1">
        <v>0.79</v>
      </c>
      <c r="S12" s="1">
        <f t="shared" si="0"/>
        <v>0.83</v>
      </c>
    </row>
    <row r="13" spans="1:19" ht="25" customHeight="1">
      <c r="A13" t="s">
        <v>26</v>
      </c>
      <c r="B13">
        <v>2</v>
      </c>
      <c r="C13" t="s">
        <v>23</v>
      </c>
      <c r="D13" t="b">
        <v>0</v>
      </c>
      <c r="E13">
        <v>3</v>
      </c>
      <c r="F13" t="s">
        <v>22</v>
      </c>
      <c r="G13" s="1">
        <v>0.84</v>
      </c>
      <c r="H13" s="1">
        <v>0.76</v>
      </c>
      <c r="I13" s="1">
        <v>0.82</v>
      </c>
      <c r="J13" s="1">
        <v>0.82</v>
      </c>
      <c r="K13" s="1">
        <v>0.79</v>
      </c>
      <c r="L13" s="1">
        <v>0.79</v>
      </c>
      <c r="M13" s="1">
        <v>0.83</v>
      </c>
      <c r="N13" s="1">
        <v>0.76</v>
      </c>
      <c r="O13" s="1">
        <v>0.76</v>
      </c>
      <c r="P13" s="1">
        <v>0.8</v>
      </c>
      <c r="Q13" s="1">
        <v>0.78</v>
      </c>
      <c r="R13" s="1">
        <v>0.79</v>
      </c>
      <c r="S13" s="1">
        <f t="shared" si="0"/>
        <v>0.84</v>
      </c>
    </row>
    <row r="16" spans="1:19" ht="25" customHeight="1">
      <c r="B16" t="s">
        <v>1</v>
      </c>
      <c r="C16" t="s">
        <v>2</v>
      </c>
      <c r="D16" t="s">
        <v>24</v>
      </c>
      <c r="E16" t="s">
        <v>4</v>
      </c>
      <c r="F16" t="s">
        <v>25</v>
      </c>
      <c r="G16" t="s">
        <v>6</v>
      </c>
      <c r="H16" t="s">
        <v>7</v>
      </c>
      <c r="I16" t="s">
        <v>8</v>
      </c>
      <c r="J16" t="s">
        <v>9</v>
      </c>
      <c r="K16" t="s">
        <v>10</v>
      </c>
      <c r="L16" t="s">
        <v>11</v>
      </c>
      <c r="M16" t="s">
        <v>12</v>
      </c>
      <c r="N16" t="s">
        <v>13</v>
      </c>
      <c r="O16" t="s">
        <v>14</v>
      </c>
      <c r="P16" t="s">
        <v>15</v>
      </c>
      <c r="Q16" t="s">
        <v>16</v>
      </c>
      <c r="R16" t="s">
        <v>17</v>
      </c>
      <c r="S16" t="s">
        <v>18</v>
      </c>
    </row>
    <row r="17" spans="2:19" ht="25" customHeight="1">
      <c r="B17">
        <v>1</v>
      </c>
      <c r="C17" t="s">
        <v>19</v>
      </c>
      <c r="D17" t="b">
        <v>1</v>
      </c>
      <c r="E17">
        <v>0</v>
      </c>
      <c r="F17" t="s">
        <v>18</v>
      </c>
      <c r="G17" s="1" cm="1">
        <f t="array" ref="G17">_xlfn.LET(_xlpm.d,G$2:G$13,_xlpm.a,$C$2:$C$13=$C17,_xlpm.b,$D$2:$D$13=$D17,MAX(_xlfn._xlws.FILTER(_xlpm.d,_xlpm.a*_xlpm.b)))</f>
        <v>0.92</v>
      </c>
      <c r="H17" s="1" cm="1">
        <f t="array" ref="H17">_xlfn.LET(_xlpm.d,H$2:H$13,_xlpm.a,$C$2:$C$13=$C17,_xlpm.b,$D$2:$D$13=$D17,MAX(_xlfn._xlws.FILTER(_xlpm.d,_xlpm.a*_xlpm.b)))</f>
        <v>0.94</v>
      </c>
      <c r="I17" s="1" cm="1">
        <f t="array" ref="I17">_xlfn.LET(_xlpm.d,I$2:I$13,_xlpm.a,$C$2:$C$13=$C17,_xlpm.b,$D$2:$D$13=$D17,MAX(_xlfn._xlws.FILTER(_xlpm.d,_xlpm.a*_xlpm.b)))</f>
        <v>0.95</v>
      </c>
      <c r="J17" s="1" cm="1">
        <f t="array" ref="J17">_xlfn.LET(_xlpm.d,J$2:J$13,_xlpm.a,$C$2:$C$13=$C17,_xlpm.b,$D$2:$D$13=$D17,MAX(_xlfn._xlws.FILTER(_xlpm.d,_xlpm.a*_xlpm.b)))</f>
        <v>0.95</v>
      </c>
      <c r="K17" s="1" cm="1">
        <f t="array" ref="K17">_xlfn.LET(_xlpm.d,K$2:K$13,_xlpm.a,$C$2:$C$13=$C17,_xlpm.b,$D$2:$D$13=$D17,MAX(_xlfn._xlws.FILTER(_xlpm.d,_xlpm.a*_xlpm.b)))</f>
        <v>0.97</v>
      </c>
      <c r="L17" s="1" cm="1">
        <f t="array" ref="L17">_xlfn.LET(_xlpm.d,L$2:L$13,_xlpm.a,$C$2:$C$13=$C17,_xlpm.b,$D$2:$D$13=$D17,MAX(_xlfn._xlws.FILTER(_xlpm.d,_xlpm.a*_xlpm.b)))</f>
        <v>0.96</v>
      </c>
      <c r="M17" s="1" cm="1">
        <f t="array" ref="M17">_xlfn.LET(_xlpm.d,M$2:M$13,_xlpm.a,$C$2:$C$13=$C17,_xlpm.b,$D$2:$D$13=$D17,MAX(_xlfn._xlws.FILTER(_xlpm.d,_xlpm.a*_xlpm.b)))</f>
        <v>0.93</v>
      </c>
      <c r="N17" s="1" cm="1">
        <f t="array" ref="N17">_xlfn.LET(_xlpm.d,N$2:N$13,_xlpm.a,$C$2:$C$13=$C17,_xlpm.b,$D$2:$D$13=$D17,MAX(_xlfn._xlws.FILTER(_xlpm.d,_xlpm.a*_xlpm.b)))</f>
        <v>0.93</v>
      </c>
      <c r="O17" s="1" cm="1">
        <f t="array" ref="O17">_xlfn.LET(_xlpm.d,O$2:O$13,_xlpm.a,$C$2:$C$13=$C17,_xlpm.b,$D$2:$D$13=$D17,MAX(_xlfn._xlws.FILTER(_xlpm.d,_xlpm.a*_xlpm.b)))</f>
        <v>0.93</v>
      </c>
      <c r="P17" s="1" cm="1">
        <f t="array" ref="P17">_xlfn.LET(_xlpm.d,P$2:P$13,_xlpm.a,$C$2:$C$13=$C17,_xlpm.b,$D$2:$D$13=$D17,MAX(_xlfn._xlws.FILTER(_xlpm.d,_xlpm.a*_xlpm.b)))</f>
        <v>0.96</v>
      </c>
      <c r="Q17" s="1" cm="1">
        <f t="array" ref="Q17">_xlfn.LET(_xlpm.d,Q$2:Q$13,_xlpm.a,$C$2:$C$13=$C17,_xlpm.b,$D$2:$D$13=$D17,MAX(_xlfn._xlws.FILTER(_xlpm.d,_xlpm.a*_xlpm.b)))</f>
        <v>0.94</v>
      </c>
      <c r="R17" s="1" cm="1">
        <f t="array" ref="R17">_xlfn.LET(_xlpm.d,R$2:R$13,_xlpm.a,$C$2:$C$13=$C17,_xlpm.b,$D$2:$D$13=$D17,MAX(_xlfn._xlws.FILTER(_xlpm.d,_xlpm.a*_xlpm.b)))</f>
        <v>0.95</v>
      </c>
      <c r="S17" s="1" cm="1">
        <f t="array" ref="S17">_xlfn.LET(_xlpm.d,S$2:S$13,_xlpm.a,$C$2:$C$13=$C17,_xlpm.b,$D$2:$D$13=$D17,MAX(_xlfn._xlws.FILTER(_xlpm.d,_xlpm.a*_xlpm.b)))</f>
        <v>0.97</v>
      </c>
    </row>
    <row r="18" spans="2:19" ht="25" customHeight="1">
      <c r="B18">
        <v>1</v>
      </c>
      <c r="C18" t="s">
        <v>19</v>
      </c>
      <c r="D18" t="b">
        <v>0</v>
      </c>
      <c r="E18">
        <v>0</v>
      </c>
      <c r="F18" t="s">
        <v>18</v>
      </c>
      <c r="G18" s="1" cm="1">
        <f t="array" ref="G18">_xlfn.LET(_xlpm.d,G$2:G$13,_xlpm.a,$C$2:$C$13=$C18,_xlpm.b,$D$2:$D$13=$D18,MAX(_xlfn._xlws.FILTER(_xlpm.d,_xlpm.a*_xlpm.b)))</f>
        <v>0.94</v>
      </c>
      <c r="H18" s="1" cm="1">
        <f t="array" ref="H18">_xlfn.LET(_xlpm.d,H$2:H$13,_xlpm.a,$C$2:$C$13=$C18,_xlpm.b,$D$2:$D$13=$D18,MAX(_xlfn._xlws.FILTER(_xlpm.d,_xlpm.a*_xlpm.b)))</f>
        <v>0.92</v>
      </c>
      <c r="I18" s="1" cm="1">
        <f t="array" ref="I18">_xlfn.LET(_xlpm.d,I$2:I$13,_xlpm.a,$C$2:$C$13=$C18,_xlpm.b,$D$2:$D$13=$D18,MAX(_xlfn._xlws.FILTER(_xlpm.d,_xlpm.a*_xlpm.b)))</f>
        <v>0.95</v>
      </c>
      <c r="J18" s="1" cm="1">
        <f t="array" ref="J18">_xlfn.LET(_xlpm.d,J$2:J$13,_xlpm.a,$C$2:$C$13=$C18,_xlpm.b,$D$2:$D$13=$D18,MAX(_xlfn._xlws.FILTER(_xlpm.d,_xlpm.a*_xlpm.b)))</f>
        <v>0.94</v>
      </c>
      <c r="K18" s="1" cm="1">
        <f t="array" ref="K18">_xlfn.LET(_xlpm.d,K$2:K$13,_xlpm.a,$C$2:$C$13=$C18,_xlpm.b,$D$2:$D$13=$D18,MAX(_xlfn._xlws.FILTER(_xlpm.d,_xlpm.a*_xlpm.b)))</f>
        <v>0.97</v>
      </c>
      <c r="L18" s="1" cm="1">
        <f t="array" ref="L18">_xlfn.LET(_xlpm.d,L$2:L$13,_xlpm.a,$C$2:$C$13=$C18,_xlpm.b,$D$2:$D$13=$D18,MAX(_xlfn._xlws.FILTER(_xlpm.d,_xlpm.a*_xlpm.b)))</f>
        <v>0.96</v>
      </c>
      <c r="M18" s="1" cm="1">
        <f t="array" ref="M18">_xlfn.LET(_xlpm.d,M$2:M$13,_xlpm.a,$C$2:$C$13=$C18,_xlpm.b,$D$2:$D$13=$D18,MAX(_xlfn._xlws.FILTER(_xlpm.d,_xlpm.a*_xlpm.b)))</f>
        <v>0.93</v>
      </c>
      <c r="N18" s="1" cm="1">
        <f t="array" ref="N18">_xlfn.LET(_xlpm.d,N$2:N$13,_xlpm.a,$C$2:$C$13=$C18,_xlpm.b,$D$2:$D$13=$D18,MAX(_xlfn._xlws.FILTER(_xlpm.d,_xlpm.a*_xlpm.b)))</f>
        <v>0.94</v>
      </c>
      <c r="O18" s="1" cm="1">
        <f t="array" ref="O18">_xlfn.LET(_xlpm.d,O$2:O$13,_xlpm.a,$C$2:$C$13=$C18,_xlpm.b,$D$2:$D$13=$D18,MAX(_xlfn._xlws.FILTER(_xlpm.d,_xlpm.a*_xlpm.b)))</f>
        <v>0.92</v>
      </c>
      <c r="P18" s="1" cm="1">
        <f t="array" ref="P18">_xlfn.LET(_xlpm.d,P$2:P$13,_xlpm.a,$C$2:$C$13=$C18,_xlpm.b,$D$2:$D$13=$D18,MAX(_xlfn._xlws.FILTER(_xlpm.d,_xlpm.a*_xlpm.b)))</f>
        <v>0.95</v>
      </c>
      <c r="Q18" s="1" cm="1">
        <f t="array" ref="Q18">_xlfn.LET(_xlpm.d,Q$2:Q$13,_xlpm.a,$C$2:$C$13=$C18,_xlpm.b,$D$2:$D$13=$D18,MAX(_xlfn._xlws.FILTER(_xlpm.d,_xlpm.a*_xlpm.b)))</f>
        <v>0.96</v>
      </c>
      <c r="R18" s="1" cm="1">
        <f t="array" ref="R18">_xlfn.LET(_xlpm.d,R$2:R$13,_xlpm.a,$C$2:$C$13=$C18,_xlpm.b,$D$2:$D$13=$D18,MAX(_xlfn._xlws.FILTER(_xlpm.d,_xlpm.a*_xlpm.b)))</f>
        <v>0.93</v>
      </c>
      <c r="S18" s="1" cm="1">
        <f t="array" ref="S18">_xlfn.LET(_xlpm.d,S$2:S$13,_xlpm.a,$C$2:$C$13=$C18,_xlpm.b,$D$2:$D$13=$D18,MAX(_xlfn._xlws.FILTER(_xlpm.d,_xlpm.a*_xlpm.b)))</f>
        <v>0.97</v>
      </c>
    </row>
    <row r="19" spans="2:19" ht="25" customHeight="1">
      <c r="B19">
        <v>2</v>
      </c>
      <c r="C19" t="s">
        <v>23</v>
      </c>
      <c r="D19" t="b">
        <v>1</v>
      </c>
      <c r="E19">
        <v>0</v>
      </c>
      <c r="F19" t="s">
        <v>18</v>
      </c>
      <c r="G19" s="1" cm="1">
        <f t="array" ref="G19">_xlfn.LET(_xlpm.d,G$2:G$13,_xlpm.a,$C$2:$C$13=$C19,_xlpm.b,$D$2:$D$13=$D19,MAX(_xlfn._xlws.FILTER(_xlpm.d,_xlpm.a*_xlpm.b)))</f>
        <v>0.86</v>
      </c>
      <c r="H19" s="1" cm="1">
        <f t="array" ref="H19">_xlfn.LET(_xlpm.d,H$2:H$13,_xlpm.a,$C$2:$C$13=$C19,_xlpm.b,$D$2:$D$13=$D19,MAX(_xlfn._xlws.FILTER(_xlpm.d,_xlpm.a*_xlpm.b)))</f>
        <v>0.8</v>
      </c>
      <c r="I19" s="1" cm="1">
        <f t="array" ref="I19">_xlfn.LET(_xlpm.d,I$2:I$13,_xlpm.a,$C$2:$C$13=$C19,_xlpm.b,$D$2:$D$13=$D19,MAX(_xlfn._xlws.FILTER(_xlpm.d,_xlpm.a*_xlpm.b)))</f>
        <v>0.83</v>
      </c>
      <c r="J19" s="1" cm="1">
        <f t="array" ref="J19">_xlfn.LET(_xlpm.d,J$2:J$13,_xlpm.a,$C$2:$C$13=$C19,_xlpm.b,$D$2:$D$13=$D19,MAX(_xlfn._xlws.FILTER(_xlpm.d,_xlpm.a*_xlpm.b)))</f>
        <v>0.8</v>
      </c>
      <c r="K19" s="1" cm="1">
        <f t="array" ref="K19">_xlfn.LET(_xlpm.d,K$2:K$13,_xlpm.a,$C$2:$C$13=$C19,_xlpm.b,$D$2:$D$13=$D19,MAX(_xlfn._xlws.FILTER(_xlpm.d,_xlpm.a*_xlpm.b)))</f>
        <v>0.84</v>
      </c>
      <c r="L19" s="1" cm="1">
        <f t="array" ref="L19">_xlfn.LET(_xlpm.d,L$2:L$13,_xlpm.a,$C$2:$C$13=$C19,_xlpm.b,$D$2:$D$13=$D19,MAX(_xlfn._xlws.FILTER(_xlpm.d,_xlpm.a*_xlpm.b)))</f>
        <v>0.8</v>
      </c>
      <c r="M19" s="1" cm="1">
        <f t="array" ref="M19">_xlfn.LET(_xlpm.d,M$2:M$13,_xlpm.a,$C$2:$C$13=$C19,_xlpm.b,$D$2:$D$13=$D19,MAX(_xlfn._xlws.FILTER(_xlpm.d,_xlpm.a*_xlpm.b)))</f>
        <v>0.83</v>
      </c>
      <c r="N19" s="1" cm="1">
        <f t="array" ref="N19">_xlfn.LET(_xlpm.d,N$2:N$13,_xlpm.a,$C$2:$C$13=$C19,_xlpm.b,$D$2:$D$13=$D19,MAX(_xlfn._xlws.FILTER(_xlpm.d,_xlpm.a*_xlpm.b)))</f>
        <v>0.77</v>
      </c>
      <c r="O19" s="1" cm="1">
        <f t="array" ref="O19">_xlfn.LET(_xlpm.d,O$2:O$13,_xlpm.a,$C$2:$C$13=$C19,_xlpm.b,$D$2:$D$13=$D19,MAX(_xlfn._xlws.FILTER(_xlpm.d,_xlpm.a*_xlpm.b)))</f>
        <v>0.81</v>
      </c>
      <c r="P19" s="1" cm="1">
        <f t="array" ref="P19">_xlfn.LET(_xlpm.d,P$2:P$13,_xlpm.a,$C$2:$C$13=$C19,_xlpm.b,$D$2:$D$13=$D19,MAX(_xlfn._xlws.FILTER(_xlpm.d,_xlpm.a*_xlpm.b)))</f>
        <v>0.82</v>
      </c>
      <c r="Q19" s="1" cm="1">
        <f t="array" ref="Q19">_xlfn.LET(_xlpm.d,Q$2:Q$13,_xlpm.a,$C$2:$C$13=$C19,_xlpm.b,$D$2:$D$13=$D19,MAX(_xlfn._xlws.FILTER(_xlpm.d,_xlpm.a*_xlpm.b)))</f>
        <v>0.8</v>
      </c>
      <c r="R19" s="1" cm="1">
        <f t="array" ref="R19">_xlfn.LET(_xlpm.d,R$2:R$13,_xlpm.a,$C$2:$C$13=$C19,_xlpm.b,$D$2:$D$13=$D19,MAX(_xlfn._xlws.FILTER(_xlpm.d,_xlpm.a*_xlpm.b)))</f>
        <v>0.79</v>
      </c>
      <c r="S19" s="1" cm="1">
        <f t="array" ref="S19">_xlfn.LET(_xlpm.d,S$2:S$13,_xlpm.a,$C$2:$C$13=$C19,_xlpm.b,$D$2:$D$13=$D19,MAX(_xlfn._xlws.FILTER(_xlpm.d,_xlpm.a*_xlpm.b)))</f>
        <v>0.86</v>
      </c>
    </row>
    <row r="20" spans="2:19" ht="25" customHeight="1">
      <c r="B20">
        <v>2</v>
      </c>
      <c r="C20" t="s">
        <v>23</v>
      </c>
      <c r="D20" t="b">
        <v>0</v>
      </c>
      <c r="E20">
        <v>0</v>
      </c>
      <c r="F20" t="s">
        <v>18</v>
      </c>
      <c r="G20" s="1" cm="1">
        <f t="array" ref="G20">_xlfn.LET(_xlpm.d,G$2:G$13,_xlpm.a,$C$2:$C$13=$C20,_xlpm.b,$D$2:$D$13=$D20,MAX(_xlfn._xlws.FILTER(_xlpm.d,_xlpm.a*_xlpm.b)))</f>
        <v>0.84</v>
      </c>
      <c r="H20" s="1" cm="1">
        <f t="array" ref="H20">_xlfn.LET(_xlpm.d,H$2:H$13,_xlpm.a,$C$2:$C$13=$C20,_xlpm.b,$D$2:$D$13=$D20,MAX(_xlfn._xlws.FILTER(_xlpm.d,_xlpm.a*_xlpm.b)))</f>
        <v>0.8</v>
      </c>
      <c r="I20" s="1" cm="1">
        <f t="array" ref="I20">_xlfn.LET(_xlpm.d,I$2:I$13,_xlpm.a,$C$2:$C$13=$C20,_xlpm.b,$D$2:$D$13=$D20,MAX(_xlfn._xlws.FILTER(_xlpm.d,_xlpm.a*_xlpm.b)))</f>
        <v>0.82</v>
      </c>
      <c r="J20" s="1" cm="1">
        <f t="array" ref="J20">_xlfn.LET(_xlpm.d,J$2:J$13,_xlpm.a,$C$2:$C$13=$C20,_xlpm.b,$D$2:$D$13=$D20,MAX(_xlfn._xlws.FILTER(_xlpm.d,_xlpm.a*_xlpm.b)))</f>
        <v>0.82</v>
      </c>
      <c r="K20" s="1" cm="1">
        <f t="array" ref="K20">_xlfn.LET(_xlpm.d,K$2:K$13,_xlpm.a,$C$2:$C$13=$C20,_xlpm.b,$D$2:$D$13=$D20,MAX(_xlfn._xlws.FILTER(_xlpm.d,_xlpm.a*_xlpm.b)))</f>
        <v>0.84</v>
      </c>
      <c r="L20" s="1" cm="1">
        <f t="array" ref="L20">_xlfn.LET(_xlpm.d,L$2:L$13,_xlpm.a,$C$2:$C$13=$C20,_xlpm.b,$D$2:$D$13=$D20,MAX(_xlfn._xlws.FILTER(_xlpm.d,_xlpm.a*_xlpm.b)))</f>
        <v>0.8</v>
      </c>
      <c r="M20" s="1" cm="1">
        <f t="array" ref="M20">_xlfn.LET(_xlpm.d,M$2:M$13,_xlpm.a,$C$2:$C$13=$C20,_xlpm.b,$D$2:$D$13=$D20,MAX(_xlfn._xlws.FILTER(_xlpm.d,_xlpm.a*_xlpm.b)))</f>
        <v>0.83</v>
      </c>
      <c r="N20" s="1" cm="1">
        <f t="array" ref="N20">_xlfn.LET(_xlpm.d,N$2:N$13,_xlpm.a,$C$2:$C$13=$C20,_xlpm.b,$D$2:$D$13=$D20,MAX(_xlfn._xlws.FILTER(_xlpm.d,_xlpm.a*_xlpm.b)))</f>
        <v>0.76</v>
      </c>
      <c r="O20" s="1" cm="1">
        <f t="array" ref="O20">_xlfn.LET(_xlpm.d,O$2:O$13,_xlpm.a,$C$2:$C$13=$C20,_xlpm.b,$D$2:$D$13=$D20,MAX(_xlfn._xlws.FILTER(_xlpm.d,_xlpm.a*_xlpm.b)))</f>
        <v>0.81</v>
      </c>
      <c r="P20" s="1" cm="1">
        <f t="array" ref="P20">_xlfn.LET(_xlpm.d,P$2:P$13,_xlpm.a,$C$2:$C$13=$C20,_xlpm.b,$D$2:$D$13=$D20,MAX(_xlfn._xlws.FILTER(_xlpm.d,_xlpm.a*_xlpm.b)))</f>
        <v>0.8</v>
      </c>
      <c r="Q20" s="1" cm="1">
        <f t="array" ref="Q20">_xlfn.LET(_xlpm.d,Q$2:Q$13,_xlpm.a,$C$2:$C$13=$C20,_xlpm.b,$D$2:$D$13=$D20,MAX(_xlfn._xlws.FILTER(_xlpm.d,_xlpm.a*_xlpm.b)))</f>
        <v>0.8</v>
      </c>
      <c r="R20" s="1" cm="1">
        <f t="array" ref="R20">_xlfn.LET(_xlpm.d,R$2:R$13,_xlpm.a,$C$2:$C$13=$C20,_xlpm.b,$D$2:$D$13=$D20,MAX(_xlfn._xlws.FILTER(_xlpm.d,_xlpm.a*_xlpm.b)))</f>
        <v>0.79</v>
      </c>
      <c r="S20" s="1" cm="1">
        <f t="array" ref="S20">_xlfn.LET(_xlpm.d,S$2:S$13,_xlpm.a,$C$2:$C$13=$C20,_xlpm.b,$D$2:$D$13=$D20,MAX(_xlfn._xlws.FILTER(_xlpm.d,_xlpm.a*_xlpm.b)))</f>
        <v>0.84</v>
      </c>
    </row>
  </sheetData>
  <conditionalFormatting sqref="G2:S13">
    <cfRule type="colorScale" priority="1">
      <colorScale>
        <cfvo type="num" val="0"/>
        <cfvo type="percentile" val="50"/>
        <cfvo type="num" val="1"/>
        <color theme="4" tint="0.59999389629810485"/>
        <color theme="0"/>
        <color rgb="FFFFC000"/>
      </colorScale>
    </cfRule>
  </conditionalFormatting>
  <conditionalFormatting sqref="G17:S20">
    <cfRule type="colorScale" priority="2">
      <colorScale>
        <cfvo type="num" val="0"/>
        <cfvo type="percentile" val="50"/>
        <cfvo type="num" val="1"/>
        <color theme="4" tint="0.59999389629810485"/>
        <color theme="0"/>
        <color rgb="FFFFC000"/>
      </colorScale>
    </cfRule>
  </conditionalFormatting>
  <pageMargins left="0.75" right="0.75" top="1" bottom="1" header="0.5" footer="0.5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8AD15-4142-424D-85E6-40C967F166A6}">
  <dimension ref="A1:T27"/>
  <sheetViews>
    <sheetView tabSelected="1" workbookViewId="0">
      <pane xSplit="10780" ySplit="2200" topLeftCell="N14" activePane="bottomLeft"/>
      <selection activeCell="G1" sqref="G1:G1048576"/>
      <selection pane="topRight" activeCell="T1" sqref="T1:T1048576"/>
      <selection pane="bottomLeft" activeCell="G23" sqref="G23:S27"/>
      <selection pane="bottomRight" activeCell="T31" sqref="T31"/>
    </sheetView>
  </sheetViews>
  <sheetFormatPr baseColWidth="10" defaultRowHeight="25" customHeight="1"/>
  <cols>
    <col min="2" max="2" width="8.125" customWidth="1"/>
    <col min="4" max="5" width="6" customWidth="1"/>
    <col min="6" max="6" width="7.875" customWidth="1"/>
    <col min="7" max="7" width="12.875" customWidth="1"/>
    <col min="8" max="19" width="6.75" customWidth="1"/>
    <col min="20" max="20" width="7.375" customWidth="1"/>
  </cols>
  <sheetData>
    <row r="1" spans="1:20" ht="25" customHeight="1">
      <c r="A1" t="s">
        <v>0</v>
      </c>
      <c r="B1" t="s">
        <v>1</v>
      </c>
      <c r="C1" t="s">
        <v>2</v>
      </c>
      <c r="D1" t="s">
        <v>24</v>
      </c>
      <c r="E1" t="s">
        <v>4</v>
      </c>
      <c r="F1" t="s">
        <v>5</v>
      </c>
      <c r="G1" t="s">
        <v>31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</row>
    <row r="2" spans="1:20" ht="25" customHeight="1">
      <c r="A2" t="s">
        <v>26</v>
      </c>
      <c r="B2">
        <v>1</v>
      </c>
      <c r="C2" t="s">
        <v>19</v>
      </c>
      <c r="D2" t="b">
        <v>1</v>
      </c>
      <c r="E2">
        <v>1</v>
      </c>
      <c r="F2" t="s">
        <v>20</v>
      </c>
      <c r="G2" s="4" t="str">
        <f>_xlfn.TEXTJOIN("-",TRUE,Table17[[#This Row],[attribute]],Table17[[#This Row],[supplemented]],Table17[[#This Row],[method]])</f>
        <v>plurality-TRUE-DT</v>
      </c>
      <c r="H2" s="1">
        <v>0.91</v>
      </c>
      <c r="I2" s="1">
        <v>0.9</v>
      </c>
      <c r="J2" s="1">
        <v>0.92</v>
      </c>
      <c r="K2" s="1">
        <v>0.94</v>
      </c>
      <c r="L2" s="1">
        <v>0.81</v>
      </c>
      <c r="M2" s="1">
        <v>0.85</v>
      </c>
      <c r="N2" s="1">
        <v>0.88</v>
      </c>
      <c r="O2" s="1">
        <v>0.88</v>
      </c>
      <c r="P2" s="1">
        <v>0.9</v>
      </c>
      <c r="Q2" s="1">
        <v>0.91</v>
      </c>
      <c r="R2" s="1">
        <v>0.85</v>
      </c>
      <c r="S2" s="1">
        <v>0.89</v>
      </c>
      <c r="T2" s="1">
        <f t="shared" ref="T2:T13" si="0">MAX($H2:$S2)</f>
        <v>0.94</v>
      </c>
    </row>
    <row r="3" spans="1:20" ht="25" customHeight="1">
      <c r="A3" t="s">
        <v>26</v>
      </c>
      <c r="B3">
        <v>1</v>
      </c>
      <c r="C3" t="s">
        <v>19</v>
      </c>
      <c r="D3" t="b">
        <v>1</v>
      </c>
      <c r="E3">
        <v>2</v>
      </c>
      <c r="F3" t="s">
        <v>21</v>
      </c>
      <c r="G3" t="str">
        <f>_xlfn.TEXTJOIN("-",TRUE,Table17[[#This Row],[attribute]],Table17[[#This Row],[supplemented]],Table17[[#This Row],[method]])</f>
        <v>plurality-TRUE-RF</v>
      </c>
      <c r="H3" s="1">
        <v>0.93</v>
      </c>
      <c r="I3" s="1">
        <v>0.94</v>
      </c>
      <c r="J3" s="1">
        <v>0.93</v>
      </c>
      <c r="K3" s="1">
        <v>0.97</v>
      </c>
      <c r="L3" s="1">
        <v>0.94</v>
      </c>
      <c r="M3" s="1">
        <v>0.95</v>
      </c>
      <c r="N3" s="1">
        <v>0.91</v>
      </c>
      <c r="O3" s="1">
        <v>0.93</v>
      </c>
      <c r="P3" s="1">
        <v>0.89</v>
      </c>
      <c r="Q3" s="1">
        <v>0.94</v>
      </c>
      <c r="R3" s="1">
        <v>0.94</v>
      </c>
      <c r="S3" s="1">
        <v>0.95</v>
      </c>
      <c r="T3" s="1">
        <f t="shared" si="0"/>
        <v>0.97</v>
      </c>
    </row>
    <row r="4" spans="1:20" ht="25" customHeight="1">
      <c r="A4" t="s">
        <v>26</v>
      </c>
      <c r="B4">
        <v>1</v>
      </c>
      <c r="C4" t="s">
        <v>19</v>
      </c>
      <c r="D4" t="b">
        <v>1</v>
      </c>
      <c r="E4">
        <v>3</v>
      </c>
      <c r="F4" t="s">
        <v>22</v>
      </c>
      <c r="G4" t="str">
        <f>_xlfn.TEXTJOIN("-",TRUE,Table17[[#This Row],[attribute]],Table17[[#This Row],[supplemented]],Table17[[#This Row],[method]])</f>
        <v>plurality-TRUE-NN</v>
      </c>
      <c r="H4" s="1">
        <v>0.93</v>
      </c>
      <c r="I4" s="1">
        <v>0.96</v>
      </c>
      <c r="J4" s="1">
        <v>0.95</v>
      </c>
      <c r="K4" s="1">
        <v>0.96</v>
      </c>
      <c r="L4" s="1">
        <v>0.94</v>
      </c>
      <c r="M4" s="1">
        <v>0.94</v>
      </c>
      <c r="N4" s="1">
        <v>0.92</v>
      </c>
      <c r="O4" s="1">
        <v>0.93</v>
      </c>
      <c r="P4" s="1">
        <v>0.91</v>
      </c>
      <c r="Q4" s="1">
        <v>0.95</v>
      </c>
      <c r="R4" s="1">
        <v>0.96</v>
      </c>
      <c r="S4" s="1">
        <v>0.93</v>
      </c>
      <c r="T4" s="1">
        <f t="shared" si="0"/>
        <v>0.96</v>
      </c>
    </row>
    <row r="5" spans="1:20" ht="25" customHeight="1">
      <c r="A5" t="s">
        <v>26</v>
      </c>
      <c r="B5">
        <v>1</v>
      </c>
      <c r="C5" t="s">
        <v>19</v>
      </c>
      <c r="D5" t="b">
        <v>0</v>
      </c>
      <c r="E5">
        <v>1</v>
      </c>
      <c r="F5" t="s">
        <v>20</v>
      </c>
      <c r="G5" t="str">
        <f>_xlfn.TEXTJOIN("-",TRUE,Table17[[#This Row],[attribute]],Table17[[#This Row],[supplemented]],Table17[[#This Row],[method]])</f>
        <v>plurality-FALSE-DT</v>
      </c>
      <c r="H5" s="1">
        <v>0.88</v>
      </c>
      <c r="I5" s="1">
        <v>0.9</v>
      </c>
      <c r="J5" s="1">
        <v>0.91</v>
      </c>
      <c r="K5" s="1">
        <v>0.9</v>
      </c>
      <c r="L5" s="1">
        <v>0.83</v>
      </c>
      <c r="M5" s="1">
        <v>0.91</v>
      </c>
      <c r="N5" s="1">
        <v>0.86</v>
      </c>
      <c r="O5" s="1">
        <v>0.89</v>
      </c>
      <c r="P5" s="1">
        <v>0.82</v>
      </c>
      <c r="Q5" s="1">
        <v>0.91</v>
      </c>
      <c r="R5" s="1">
        <v>0.91</v>
      </c>
      <c r="S5" s="1">
        <v>0.8</v>
      </c>
      <c r="T5" s="1">
        <f t="shared" si="0"/>
        <v>0.91</v>
      </c>
    </row>
    <row r="6" spans="1:20" ht="25" customHeight="1">
      <c r="A6" t="s">
        <v>26</v>
      </c>
      <c r="B6">
        <v>1</v>
      </c>
      <c r="C6" t="s">
        <v>19</v>
      </c>
      <c r="D6" t="b">
        <v>0</v>
      </c>
      <c r="E6">
        <v>2</v>
      </c>
      <c r="F6" t="s">
        <v>21</v>
      </c>
      <c r="G6" t="str">
        <f>_xlfn.TEXTJOIN("-",TRUE,Table17[[#This Row],[attribute]],Table17[[#This Row],[supplemented]],Table17[[#This Row],[method]])</f>
        <v>plurality-FALSE-RF</v>
      </c>
      <c r="H6" s="1">
        <v>0.94</v>
      </c>
      <c r="I6" s="1">
        <v>0.92</v>
      </c>
      <c r="J6" s="1">
        <v>0.93</v>
      </c>
      <c r="K6" s="1">
        <v>0.96</v>
      </c>
      <c r="L6" s="1">
        <v>0.94</v>
      </c>
      <c r="M6" s="1">
        <v>0.94</v>
      </c>
      <c r="N6" s="1">
        <v>0.9</v>
      </c>
      <c r="O6" s="1">
        <v>0.92</v>
      </c>
      <c r="P6" s="1">
        <v>0.9</v>
      </c>
      <c r="Q6" s="1">
        <v>0.92</v>
      </c>
      <c r="R6" s="1">
        <v>0.95</v>
      </c>
      <c r="S6" s="1">
        <v>0.95</v>
      </c>
      <c r="T6" s="1">
        <f t="shared" si="0"/>
        <v>0.96</v>
      </c>
    </row>
    <row r="7" spans="1:20" ht="25" customHeight="1">
      <c r="A7" t="s">
        <v>26</v>
      </c>
      <c r="B7">
        <v>1</v>
      </c>
      <c r="C7" t="s">
        <v>19</v>
      </c>
      <c r="D7" t="b">
        <v>0</v>
      </c>
      <c r="E7">
        <v>3</v>
      </c>
      <c r="F7" t="s">
        <v>22</v>
      </c>
      <c r="G7" t="str">
        <f>_xlfn.TEXTJOIN("-",TRUE,Table17[[#This Row],[attribute]],Table17[[#This Row],[supplemented]],Table17[[#This Row],[method]])</f>
        <v>plurality-FALSE-NN</v>
      </c>
      <c r="H7" s="1">
        <v>0.93</v>
      </c>
      <c r="I7" s="1">
        <v>0.94</v>
      </c>
      <c r="J7" s="1">
        <v>0.95</v>
      </c>
      <c r="K7" s="1">
        <v>0.96</v>
      </c>
      <c r="L7" s="1">
        <v>0.95</v>
      </c>
      <c r="M7" s="1">
        <v>0.96</v>
      </c>
      <c r="N7" s="1">
        <v>0.9</v>
      </c>
      <c r="O7" s="1">
        <v>0.95</v>
      </c>
      <c r="P7" s="1">
        <v>0.91</v>
      </c>
      <c r="Q7" s="1">
        <v>0.95</v>
      </c>
      <c r="R7" s="1">
        <v>0.95</v>
      </c>
      <c r="S7" s="1">
        <v>0.93</v>
      </c>
      <c r="T7" s="1">
        <f t="shared" si="0"/>
        <v>0.96</v>
      </c>
    </row>
    <row r="8" spans="1:20" ht="25" customHeight="1">
      <c r="A8" t="s">
        <v>26</v>
      </c>
      <c r="B8">
        <v>2</v>
      </c>
      <c r="C8" t="s">
        <v>23</v>
      </c>
      <c r="D8" t="b">
        <v>1</v>
      </c>
      <c r="E8">
        <v>1</v>
      </c>
      <c r="F8" t="s">
        <v>20</v>
      </c>
      <c r="G8" t="str">
        <f>_xlfn.TEXTJOIN("-",TRUE,Table17[[#This Row],[attribute]],Table17[[#This Row],[supplemented]],Table17[[#This Row],[method]])</f>
        <v>gender-TRUE-DT</v>
      </c>
      <c r="H8" s="1">
        <v>0.72</v>
      </c>
      <c r="I8" s="1">
        <v>0.7</v>
      </c>
      <c r="J8" s="1">
        <v>0.75</v>
      </c>
      <c r="K8" s="1">
        <v>0.76</v>
      </c>
      <c r="L8" s="1">
        <v>0.72</v>
      </c>
      <c r="M8" s="1">
        <v>0.74</v>
      </c>
      <c r="N8" s="1">
        <v>0.7</v>
      </c>
      <c r="O8" s="1">
        <v>0.72</v>
      </c>
      <c r="P8" s="1">
        <v>0.73</v>
      </c>
      <c r="Q8" s="1">
        <v>0.74</v>
      </c>
      <c r="R8" s="1">
        <v>0.7</v>
      </c>
      <c r="S8" s="1">
        <v>0.68</v>
      </c>
      <c r="T8" s="1">
        <f t="shared" si="0"/>
        <v>0.76</v>
      </c>
    </row>
    <row r="9" spans="1:20" ht="25" customHeight="1">
      <c r="A9" t="s">
        <v>26</v>
      </c>
      <c r="B9">
        <v>2</v>
      </c>
      <c r="C9" t="s">
        <v>23</v>
      </c>
      <c r="D9" t="b">
        <v>1</v>
      </c>
      <c r="E9">
        <v>2</v>
      </c>
      <c r="F9" t="s">
        <v>21</v>
      </c>
      <c r="G9" t="str">
        <f>_xlfn.TEXTJOIN("-",TRUE,Table17[[#This Row],[attribute]],Table17[[#This Row],[supplemented]],Table17[[#This Row],[method]])</f>
        <v>gender-TRUE-RF</v>
      </c>
      <c r="H9" s="1">
        <v>0.85</v>
      </c>
      <c r="I9" s="1">
        <v>0.76</v>
      </c>
      <c r="J9" s="1">
        <v>0.81</v>
      </c>
      <c r="K9" s="1">
        <v>0.82</v>
      </c>
      <c r="L9" s="1">
        <v>0.82</v>
      </c>
      <c r="M9" s="1">
        <v>0.83</v>
      </c>
      <c r="N9" s="1">
        <v>0.81</v>
      </c>
      <c r="O9" s="1">
        <v>0.79</v>
      </c>
      <c r="P9" s="1">
        <v>0.81</v>
      </c>
      <c r="Q9" s="1">
        <v>0.81</v>
      </c>
      <c r="R9" s="1">
        <v>0.83</v>
      </c>
      <c r="S9" s="1">
        <v>0.81</v>
      </c>
      <c r="T9" s="1">
        <f t="shared" si="0"/>
        <v>0.85</v>
      </c>
    </row>
    <row r="10" spans="1:20" ht="25" customHeight="1">
      <c r="A10" t="s">
        <v>26</v>
      </c>
      <c r="B10">
        <v>2</v>
      </c>
      <c r="C10" t="s">
        <v>23</v>
      </c>
      <c r="D10" t="b">
        <v>1</v>
      </c>
      <c r="E10">
        <v>3</v>
      </c>
      <c r="F10" t="s">
        <v>22</v>
      </c>
      <c r="G10" t="str">
        <f>_xlfn.TEXTJOIN("-",TRUE,Table17[[#This Row],[attribute]],Table17[[#This Row],[supplemented]],Table17[[#This Row],[method]])</f>
        <v>gender-TRUE-NN</v>
      </c>
      <c r="H10" s="1">
        <v>0.78</v>
      </c>
      <c r="I10" s="1">
        <v>0.76</v>
      </c>
      <c r="J10" s="1">
        <v>0.79</v>
      </c>
      <c r="K10" s="1">
        <v>0.81</v>
      </c>
      <c r="L10" s="1">
        <v>0.76</v>
      </c>
      <c r="M10" s="1">
        <v>0.8</v>
      </c>
      <c r="N10" s="1">
        <v>0.79</v>
      </c>
      <c r="O10" s="1">
        <v>0.78</v>
      </c>
      <c r="P10" s="1">
        <v>0.78</v>
      </c>
      <c r="Q10" s="1">
        <v>0.8</v>
      </c>
      <c r="R10" s="1">
        <v>0.81</v>
      </c>
      <c r="S10" s="1">
        <v>0.79</v>
      </c>
      <c r="T10" s="1">
        <f t="shared" si="0"/>
        <v>0.81</v>
      </c>
    </row>
    <row r="11" spans="1:20" ht="25" customHeight="1">
      <c r="A11" t="s">
        <v>26</v>
      </c>
      <c r="B11">
        <v>2</v>
      </c>
      <c r="C11" t="s">
        <v>23</v>
      </c>
      <c r="D11" t="b">
        <v>0</v>
      </c>
      <c r="E11">
        <v>1</v>
      </c>
      <c r="F11" t="s">
        <v>20</v>
      </c>
      <c r="G11" t="str">
        <f>_xlfn.TEXTJOIN("-",TRUE,Table17[[#This Row],[attribute]],Table17[[#This Row],[supplemented]],Table17[[#This Row],[method]])</f>
        <v>gender-FALSE-DT</v>
      </c>
      <c r="H11" s="1">
        <v>0.75</v>
      </c>
      <c r="I11" s="1">
        <v>0.69</v>
      </c>
      <c r="J11" s="1">
        <v>0.71</v>
      </c>
      <c r="K11" s="1">
        <v>0.71</v>
      </c>
      <c r="L11" s="1">
        <v>0.77</v>
      </c>
      <c r="M11" s="1">
        <v>0.75</v>
      </c>
      <c r="N11" s="1">
        <v>0.69</v>
      </c>
      <c r="O11" s="1">
        <v>0.68</v>
      </c>
      <c r="P11" s="1">
        <v>0.7</v>
      </c>
      <c r="Q11" s="1">
        <v>0.71</v>
      </c>
      <c r="R11" s="1">
        <v>0.69</v>
      </c>
      <c r="S11" s="1">
        <v>0.77</v>
      </c>
      <c r="T11" s="1">
        <f t="shared" si="0"/>
        <v>0.77</v>
      </c>
    </row>
    <row r="12" spans="1:20" ht="25" customHeight="1">
      <c r="A12" t="s">
        <v>26</v>
      </c>
      <c r="B12">
        <v>2</v>
      </c>
      <c r="C12" t="s">
        <v>23</v>
      </c>
      <c r="D12" t="b">
        <v>0</v>
      </c>
      <c r="E12">
        <v>2</v>
      </c>
      <c r="F12" t="s">
        <v>21</v>
      </c>
      <c r="G12" t="str">
        <f>_xlfn.TEXTJOIN("-",TRUE,Table17[[#This Row],[attribute]],Table17[[#This Row],[supplemented]],Table17[[#This Row],[method]])</f>
        <v>gender-FALSE-RF</v>
      </c>
      <c r="H12" s="1">
        <v>0.82</v>
      </c>
      <c r="I12" s="1">
        <v>0.77</v>
      </c>
      <c r="J12" s="1">
        <v>0.79</v>
      </c>
      <c r="K12" s="1">
        <v>0.82</v>
      </c>
      <c r="L12" s="1">
        <v>0.8</v>
      </c>
      <c r="M12" s="1">
        <v>0.83</v>
      </c>
      <c r="N12" s="1">
        <v>0.77</v>
      </c>
      <c r="O12" s="1">
        <v>0.81</v>
      </c>
      <c r="P12" s="1">
        <v>0.81</v>
      </c>
      <c r="Q12" s="1">
        <v>0.81</v>
      </c>
      <c r="R12" s="1">
        <v>0.82</v>
      </c>
      <c r="S12" s="1">
        <v>0.78</v>
      </c>
      <c r="T12" s="1">
        <f t="shared" si="0"/>
        <v>0.83</v>
      </c>
    </row>
    <row r="13" spans="1:20" ht="25" customHeight="1">
      <c r="A13" t="s">
        <v>26</v>
      </c>
      <c r="B13">
        <v>2</v>
      </c>
      <c r="C13" t="s">
        <v>23</v>
      </c>
      <c r="D13" t="b">
        <v>0</v>
      </c>
      <c r="E13">
        <v>3</v>
      </c>
      <c r="F13" t="s">
        <v>22</v>
      </c>
      <c r="G13" t="str">
        <f>_xlfn.TEXTJOIN("-",TRUE,Table17[[#This Row],[attribute]],Table17[[#This Row],[supplemented]],Table17[[#This Row],[method]])</f>
        <v>gender-FALSE-NN</v>
      </c>
      <c r="H13" s="1">
        <v>0.79</v>
      </c>
      <c r="I13" s="1">
        <v>0.8</v>
      </c>
      <c r="J13" s="1">
        <v>0.8</v>
      </c>
      <c r="K13" s="1">
        <v>0.78</v>
      </c>
      <c r="L13" s="1">
        <v>0.83</v>
      </c>
      <c r="M13" s="1">
        <v>0.82</v>
      </c>
      <c r="N13" s="1">
        <v>0.79</v>
      </c>
      <c r="O13" s="1">
        <v>0.82</v>
      </c>
      <c r="P13" s="1">
        <v>0.81</v>
      </c>
      <c r="Q13" s="1">
        <v>0.82</v>
      </c>
      <c r="R13" s="1">
        <v>0.8</v>
      </c>
      <c r="S13" s="1">
        <v>0.78</v>
      </c>
      <c r="T13" s="1">
        <f t="shared" si="0"/>
        <v>0.83</v>
      </c>
    </row>
    <row r="16" spans="1:20" ht="25" customHeight="1">
      <c r="B16" t="s">
        <v>1</v>
      </c>
      <c r="C16" t="s">
        <v>2</v>
      </c>
      <c r="D16" t="s">
        <v>24</v>
      </c>
      <c r="E16" t="s">
        <v>4</v>
      </c>
      <c r="F16" t="s">
        <v>5</v>
      </c>
      <c r="G16" t="s">
        <v>31</v>
      </c>
      <c r="H16" t="s">
        <v>6</v>
      </c>
      <c r="I16" t="s">
        <v>7</v>
      </c>
      <c r="J16" t="s">
        <v>8</v>
      </c>
      <c r="K16" t="s">
        <v>9</v>
      </c>
      <c r="L16" t="s">
        <v>10</v>
      </c>
      <c r="M16" t="s">
        <v>11</v>
      </c>
      <c r="N16" t="s">
        <v>12</v>
      </c>
      <c r="O16" t="s">
        <v>13</v>
      </c>
      <c r="P16" t="s">
        <v>14</v>
      </c>
      <c r="Q16" t="s">
        <v>15</v>
      </c>
      <c r="R16" t="s">
        <v>16</v>
      </c>
      <c r="S16" t="s">
        <v>17</v>
      </c>
      <c r="T16" t="s">
        <v>18</v>
      </c>
    </row>
    <row r="17" spans="2:20" ht="25" customHeight="1">
      <c r="B17">
        <v>1</v>
      </c>
      <c r="C17" t="s">
        <v>19</v>
      </c>
      <c r="D17" t="b">
        <v>1</v>
      </c>
      <c r="E17">
        <v>0</v>
      </c>
      <c r="F17" t="s">
        <v>18</v>
      </c>
      <c r="G17" s="4" t="str">
        <f>_xlfn.TEXTJOIN("-",TRUE,Table2911131719[[#This Row],[attribute]],Table2911131719[[#This Row],[supplemented]],Table2911131719[[#This Row],[method]])</f>
        <v>plurality-TRUE-max</v>
      </c>
      <c r="H17" s="1" cm="1">
        <f t="array" ref="H17">_xlfn.LET(_xlpm.d,H$2:H$13,_xlpm.a,$C$2:$C$13=$C17,_xlpm.b,$D$2:$D$13=$D17,MAX(_xlfn._xlws.FILTER(_xlpm.d,_xlpm.a*_xlpm.b)))</f>
        <v>0.93</v>
      </c>
      <c r="I17" s="1" cm="1">
        <f t="array" ref="I17">_xlfn.LET(_xlpm.d,I$2:I$13,_xlpm.a,$C$2:$C$13=$C17,_xlpm.b,$D$2:$D$13=$D17,MAX(_xlfn._xlws.FILTER(_xlpm.d,_xlpm.a*_xlpm.b)))</f>
        <v>0.96</v>
      </c>
      <c r="J17" s="1" cm="1">
        <f t="array" ref="J17">_xlfn.LET(_xlpm.d,J$2:J$13,_xlpm.a,$C$2:$C$13=$C17,_xlpm.b,$D$2:$D$13=$D17,MAX(_xlfn._xlws.FILTER(_xlpm.d,_xlpm.a*_xlpm.b)))</f>
        <v>0.95</v>
      </c>
      <c r="K17" s="1" cm="1">
        <f t="array" ref="K17">_xlfn.LET(_xlpm.d,K$2:K$13,_xlpm.a,$C$2:$C$13=$C17,_xlpm.b,$D$2:$D$13=$D17,MAX(_xlfn._xlws.FILTER(_xlpm.d,_xlpm.a*_xlpm.b)))</f>
        <v>0.97</v>
      </c>
      <c r="L17" s="1" cm="1">
        <f t="array" ref="L17">_xlfn.LET(_xlpm.d,L$2:L$13,_xlpm.a,$C$2:$C$13=$C17,_xlpm.b,$D$2:$D$13=$D17,MAX(_xlfn._xlws.FILTER(_xlpm.d,_xlpm.a*_xlpm.b)))</f>
        <v>0.94</v>
      </c>
      <c r="M17" s="1" cm="1">
        <f t="array" ref="M17">_xlfn.LET(_xlpm.d,M$2:M$13,_xlpm.a,$C$2:$C$13=$C17,_xlpm.b,$D$2:$D$13=$D17,MAX(_xlfn._xlws.FILTER(_xlpm.d,_xlpm.a*_xlpm.b)))</f>
        <v>0.95</v>
      </c>
      <c r="N17" s="1" cm="1">
        <f t="array" ref="N17">_xlfn.LET(_xlpm.d,N$2:N$13,_xlpm.a,$C$2:$C$13=$C17,_xlpm.b,$D$2:$D$13=$D17,MAX(_xlfn._xlws.FILTER(_xlpm.d,_xlpm.a*_xlpm.b)))</f>
        <v>0.92</v>
      </c>
      <c r="O17" s="1" cm="1">
        <f t="array" ref="O17">_xlfn.LET(_xlpm.d,O$2:O$13,_xlpm.a,$C$2:$C$13=$C17,_xlpm.b,$D$2:$D$13=$D17,MAX(_xlfn._xlws.FILTER(_xlpm.d,_xlpm.a*_xlpm.b)))</f>
        <v>0.93</v>
      </c>
      <c r="P17" s="1" cm="1">
        <f t="array" ref="P17">_xlfn.LET(_xlpm.d,P$2:P$13,_xlpm.a,$C$2:$C$13=$C17,_xlpm.b,$D$2:$D$13=$D17,MAX(_xlfn._xlws.FILTER(_xlpm.d,_xlpm.a*_xlpm.b)))</f>
        <v>0.91</v>
      </c>
      <c r="Q17" s="1" cm="1">
        <f t="array" ref="Q17">_xlfn.LET(_xlpm.d,Q$2:Q$13,_xlpm.a,$C$2:$C$13=$C17,_xlpm.b,$D$2:$D$13=$D17,MAX(_xlfn._xlws.FILTER(_xlpm.d,_xlpm.a*_xlpm.b)))</f>
        <v>0.95</v>
      </c>
      <c r="R17" s="1" cm="1">
        <f t="array" ref="R17">_xlfn.LET(_xlpm.d,R$2:R$13,_xlpm.a,$C$2:$C$13=$C17,_xlpm.b,$D$2:$D$13=$D17,MAX(_xlfn._xlws.FILTER(_xlpm.d,_xlpm.a*_xlpm.b)))</f>
        <v>0.96</v>
      </c>
      <c r="S17" s="1" cm="1">
        <f t="array" ref="S17">_xlfn.LET(_xlpm.d,S$2:S$13,_xlpm.a,$C$2:$C$13=$C17,_xlpm.b,$D$2:$D$13=$D17,MAX(_xlfn._xlws.FILTER(_xlpm.d,_xlpm.a*_xlpm.b)))</f>
        <v>0.95</v>
      </c>
      <c r="T17" s="1" cm="1">
        <f t="array" ref="T17">_xlfn.LET(_xlpm.d,T$2:T$13,_xlpm.a,$C$2:$C$13=$C17,_xlpm.b,$D$2:$D$13=$D17,MAX(_xlfn._xlws.FILTER(_xlpm.d,_xlpm.a*_xlpm.b)))</f>
        <v>0.97</v>
      </c>
    </row>
    <row r="18" spans="2:20" ht="25" customHeight="1">
      <c r="B18">
        <v>1</v>
      </c>
      <c r="C18" t="s">
        <v>19</v>
      </c>
      <c r="D18" t="b">
        <v>0</v>
      </c>
      <c r="E18">
        <v>0</v>
      </c>
      <c r="F18" t="s">
        <v>18</v>
      </c>
      <c r="G18" t="str">
        <f>_xlfn.TEXTJOIN("-",TRUE,Table2911131719[[#This Row],[attribute]],Table2911131719[[#This Row],[supplemented]],Table2911131719[[#This Row],[method]])</f>
        <v>plurality-FALSE-max</v>
      </c>
      <c r="H18" s="1" cm="1">
        <f t="array" ref="H18">_xlfn.LET(_xlpm.d,H$2:H$13,_xlpm.a,$C$2:$C$13=$C18,_xlpm.b,$D$2:$D$13=$D18,MAX(_xlfn._xlws.FILTER(_xlpm.d,_xlpm.a*_xlpm.b)))</f>
        <v>0.94</v>
      </c>
      <c r="I18" s="1" cm="1">
        <f t="array" ref="I18">_xlfn.LET(_xlpm.d,I$2:I$13,_xlpm.a,$C$2:$C$13=$C18,_xlpm.b,$D$2:$D$13=$D18,MAX(_xlfn._xlws.FILTER(_xlpm.d,_xlpm.a*_xlpm.b)))</f>
        <v>0.94</v>
      </c>
      <c r="J18" s="1" cm="1">
        <f t="array" ref="J18">_xlfn.LET(_xlpm.d,J$2:J$13,_xlpm.a,$C$2:$C$13=$C18,_xlpm.b,$D$2:$D$13=$D18,MAX(_xlfn._xlws.FILTER(_xlpm.d,_xlpm.a*_xlpm.b)))</f>
        <v>0.95</v>
      </c>
      <c r="K18" s="1" cm="1">
        <f t="array" ref="K18">_xlfn.LET(_xlpm.d,K$2:K$13,_xlpm.a,$C$2:$C$13=$C18,_xlpm.b,$D$2:$D$13=$D18,MAX(_xlfn._xlws.FILTER(_xlpm.d,_xlpm.a*_xlpm.b)))</f>
        <v>0.96</v>
      </c>
      <c r="L18" s="1" cm="1">
        <f t="array" ref="L18">_xlfn.LET(_xlpm.d,L$2:L$13,_xlpm.a,$C$2:$C$13=$C18,_xlpm.b,$D$2:$D$13=$D18,MAX(_xlfn._xlws.FILTER(_xlpm.d,_xlpm.a*_xlpm.b)))</f>
        <v>0.95</v>
      </c>
      <c r="M18" s="1" cm="1">
        <f t="array" ref="M18">_xlfn.LET(_xlpm.d,M$2:M$13,_xlpm.a,$C$2:$C$13=$C18,_xlpm.b,$D$2:$D$13=$D18,MAX(_xlfn._xlws.FILTER(_xlpm.d,_xlpm.a*_xlpm.b)))</f>
        <v>0.96</v>
      </c>
      <c r="N18" s="1" cm="1">
        <f t="array" ref="N18">_xlfn.LET(_xlpm.d,N$2:N$13,_xlpm.a,$C$2:$C$13=$C18,_xlpm.b,$D$2:$D$13=$D18,MAX(_xlfn._xlws.FILTER(_xlpm.d,_xlpm.a*_xlpm.b)))</f>
        <v>0.9</v>
      </c>
      <c r="O18" s="1" cm="1">
        <f t="array" ref="O18">_xlfn.LET(_xlpm.d,O$2:O$13,_xlpm.a,$C$2:$C$13=$C18,_xlpm.b,$D$2:$D$13=$D18,MAX(_xlfn._xlws.FILTER(_xlpm.d,_xlpm.a*_xlpm.b)))</f>
        <v>0.95</v>
      </c>
      <c r="P18" s="1" cm="1">
        <f t="array" ref="P18">_xlfn.LET(_xlpm.d,P$2:P$13,_xlpm.a,$C$2:$C$13=$C18,_xlpm.b,$D$2:$D$13=$D18,MAX(_xlfn._xlws.FILTER(_xlpm.d,_xlpm.a*_xlpm.b)))</f>
        <v>0.91</v>
      </c>
      <c r="Q18" s="1" cm="1">
        <f t="array" ref="Q18">_xlfn.LET(_xlpm.d,Q$2:Q$13,_xlpm.a,$C$2:$C$13=$C18,_xlpm.b,$D$2:$D$13=$D18,MAX(_xlfn._xlws.FILTER(_xlpm.d,_xlpm.a*_xlpm.b)))</f>
        <v>0.95</v>
      </c>
      <c r="R18" s="1" cm="1">
        <f t="array" ref="R18">_xlfn.LET(_xlpm.d,R$2:R$13,_xlpm.a,$C$2:$C$13=$C18,_xlpm.b,$D$2:$D$13=$D18,MAX(_xlfn._xlws.FILTER(_xlpm.d,_xlpm.a*_xlpm.b)))</f>
        <v>0.95</v>
      </c>
      <c r="S18" s="1" cm="1">
        <f t="array" ref="S18">_xlfn.LET(_xlpm.d,S$2:S$13,_xlpm.a,$C$2:$C$13=$C18,_xlpm.b,$D$2:$D$13=$D18,MAX(_xlfn._xlws.FILTER(_xlpm.d,_xlpm.a*_xlpm.b)))</f>
        <v>0.95</v>
      </c>
      <c r="T18" s="1" cm="1">
        <f t="array" ref="T18">_xlfn.LET(_xlpm.d,T$2:T$13,_xlpm.a,$C$2:$C$13=$C18,_xlpm.b,$D$2:$D$13=$D18,MAX(_xlfn._xlws.FILTER(_xlpm.d,_xlpm.a*_xlpm.b)))</f>
        <v>0.96</v>
      </c>
    </row>
    <row r="19" spans="2:20" ht="25" customHeight="1">
      <c r="B19">
        <v>2</v>
      </c>
      <c r="C19" t="s">
        <v>23</v>
      </c>
      <c r="D19" t="b">
        <v>1</v>
      </c>
      <c r="E19">
        <v>0</v>
      </c>
      <c r="F19" t="s">
        <v>18</v>
      </c>
      <c r="G19" t="str">
        <f>_xlfn.TEXTJOIN("-",TRUE,Table2911131719[[#This Row],[attribute]],Table2911131719[[#This Row],[supplemented]],Table2911131719[[#This Row],[method]])</f>
        <v>gender-TRUE-max</v>
      </c>
      <c r="H19" s="1" cm="1">
        <f t="array" ref="H19">_xlfn.LET(_xlpm.d,H$2:H$13,_xlpm.a,$C$2:$C$13=$C19,_xlpm.b,$D$2:$D$13=$D19,MAX(_xlfn._xlws.FILTER(_xlpm.d,_xlpm.a*_xlpm.b)))</f>
        <v>0.85</v>
      </c>
      <c r="I19" s="1" cm="1">
        <f t="array" ref="I19">_xlfn.LET(_xlpm.d,I$2:I$13,_xlpm.a,$C$2:$C$13=$C19,_xlpm.b,$D$2:$D$13=$D19,MAX(_xlfn._xlws.FILTER(_xlpm.d,_xlpm.a*_xlpm.b)))</f>
        <v>0.76</v>
      </c>
      <c r="J19" s="1" cm="1">
        <f t="array" ref="J19">_xlfn.LET(_xlpm.d,J$2:J$13,_xlpm.a,$C$2:$C$13=$C19,_xlpm.b,$D$2:$D$13=$D19,MAX(_xlfn._xlws.FILTER(_xlpm.d,_xlpm.a*_xlpm.b)))</f>
        <v>0.81</v>
      </c>
      <c r="K19" s="1" cm="1">
        <f t="array" ref="K19">_xlfn.LET(_xlpm.d,K$2:K$13,_xlpm.a,$C$2:$C$13=$C19,_xlpm.b,$D$2:$D$13=$D19,MAX(_xlfn._xlws.FILTER(_xlpm.d,_xlpm.a*_xlpm.b)))</f>
        <v>0.82</v>
      </c>
      <c r="L19" s="1" cm="1">
        <f t="array" ref="L19">_xlfn.LET(_xlpm.d,L$2:L$13,_xlpm.a,$C$2:$C$13=$C19,_xlpm.b,$D$2:$D$13=$D19,MAX(_xlfn._xlws.FILTER(_xlpm.d,_xlpm.a*_xlpm.b)))</f>
        <v>0.82</v>
      </c>
      <c r="M19" s="1" cm="1">
        <f t="array" ref="M19">_xlfn.LET(_xlpm.d,M$2:M$13,_xlpm.a,$C$2:$C$13=$C19,_xlpm.b,$D$2:$D$13=$D19,MAX(_xlfn._xlws.FILTER(_xlpm.d,_xlpm.a*_xlpm.b)))</f>
        <v>0.83</v>
      </c>
      <c r="N19" s="1" cm="1">
        <f t="array" ref="N19">_xlfn.LET(_xlpm.d,N$2:N$13,_xlpm.a,$C$2:$C$13=$C19,_xlpm.b,$D$2:$D$13=$D19,MAX(_xlfn._xlws.FILTER(_xlpm.d,_xlpm.a*_xlpm.b)))</f>
        <v>0.81</v>
      </c>
      <c r="O19" s="1" cm="1">
        <f t="array" ref="O19">_xlfn.LET(_xlpm.d,O$2:O$13,_xlpm.a,$C$2:$C$13=$C19,_xlpm.b,$D$2:$D$13=$D19,MAX(_xlfn._xlws.FILTER(_xlpm.d,_xlpm.a*_xlpm.b)))</f>
        <v>0.79</v>
      </c>
      <c r="P19" s="1" cm="1">
        <f t="array" ref="P19">_xlfn.LET(_xlpm.d,P$2:P$13,_xlpm.a,$C$2:$C$13=$C19,_xlpm.b,$D$2:$D$13=$D19,MAX(_xlfn._xlws.FILTER(_xlpm.d,_xlpm.a*_xlpm.b)))</f>
        <v>0.81</v>
      </c>
      <c r="Q19" s="1" cm="1">
        <f t="array" ref="Q19">_xlfn.LET(_xlpm.d,Q$2:Q$13,_xlpm.a,$C$2:$C$13=$C19,_xlpm.b,$D$2:$D$13=$D19,MAX(_xlfn._xlws.FILTER(_xlpm.d,_xlpm.a*_xlpm.b)))</f>
        <v>0.81</v>
      </c>
      <c r="R19" s="1" cm="1">
        <f t="array" ref="R19">_xlfn.LET(_xlpm.d,R$2:R$13,_xlpm.a,$C$2:$C$13=$C19,_xlpm.b,$D$2:$D$13=$D19,MAX(_xlfn._xlws.FILTER(_xlpm.d,_xlpm.a*_xlpm.b)))</f>
        <v>0.83</v>
      </c>
      <c r="S19" s="1" cm="1">
        <f t="array" ref="S19">_xlfn.LET(_xlpm.d,S$2:S$13,_xlpm.a,$C$2:$C$13=$C19,_xlpm.b,$D$2:$D$13=$D19,MAX(_xlfn._xlws.FILTER(_xlpm.d,_xlpm.a*_xlpm.b)))</f>
        <v>0.81</v>
      </c>
      <c r="T19" s="1" cm="1">
        <f t="array" ref="T19">_xlfn.LET(_xlpm.d,T$2:T$13,_xlpm.a,$C$2:$C$13=$C19,_xlpm.b,$D$2:$D$13=$D19,MAX(_xlfn._xlws.FILTER(_xlpm.d,_xlpm.a*_xlpm.b)))</f>
        <v>0.85</v>
      </c>
    </row>
    <row r="20" spans="2:20" ht="25" customHeight="1">
      <c r="B20">
        <v>2</v>
      </c>
      <c r="C20" t="s">
        <v>23</v>
      </c>
      <c r="D20" t="b">
        <v>0</v>
      </c>
      <c r="E20">
        <v>0</v>
      </c>
      <c r="F20" t="s">
        <v>18</v>
      </c>
      <c r="G20" t="str">
        <f>_xlfn.TEXTJOIN("-",TRUE,Table2911131719[[#This Row],[attribute]],Table2911131719[[#This Row],[supplemented]],Table2911131719[[#This Row],[method]])</f>
        <v>gender-FALSE-max</v>
      </c>
      <c r="H20" s="1" cm="1">
        <f t="array" ref="H20">_xlfn.LET(_xlpm.d,H$2:H$13,_xlpm.a,$C$2:$C$13=$C20,_xlpm.b,$D$2:$D$13=$D20,MAX(_xlfn._xlws.FILTER(_xlpm.d,_xlpm.a*_xlpm.b)))</f>
        <v>0.82</v>
      </c>
      <c r="I20" s="1" cm="1">
        <f t="array" ref="I20">_xlfn.LET(_xlpm.d,I$2:I$13,_xlpm.a,$C$2:$C$13=$C20,_xlpm.b,$D$2:$D$13=$D20,MAX(_xlfn._xlws.FILTER(_xlpm.d,_xlpm.a*_xlpm.b)))</f>
        <v>0.8</v>
      </c>
      <c r="J20" s="1" cm="1">
        <f t="array" ref="J20">_xlfn.LET(_xlpm.d,J$2:J$13,_xlpm.a,$C$2:$C$13=$C20,_xlpm.b,$D$2:$D$13=$D20,MAX(_xlfn._xlws.FILTER(_xlpm.d,_xlpm.a*_xlpm.b)))</f>
        <v>0.8</v>
      </c>
      <c r="K20" s="1" cm="1">
        <f t="array" ref="K20">_xlfn.LET(_xlpm.d,K$2:K$13,_xlpm.a,$C$2:$C$13=$C20,_xlpm.b,$D$2:$D$13=$D20,MAX(_xlfn._xlws.FILTER(_xlpm.d,_xlpm.a*_xlpm.b)))</f>
        <v>0.82</v>
      </c>
      <c r="L20" s="1" cm="1">
        <f t="array" ref="L20">_xlfn.LET(_xlpm.d,L$2:L$13,_xlpm.a,$C$2:$C$13=$C20,_xlpm.b,$D$2:$D$13=$D20,MAX(_xlfn._xlws.FILTER(_xlpm.d,_xlpm.a*_xlpm.b)))</f>
        <v>0.83</v>
      </c>
      <c r="M20" s="1" cm="1">
        <f t="array" ref="M20">_xlfn.LET(_xlpm.d,M$2:M$13,_xlpm.a,$C$2:$C$13=$C20,_xlpm.b,$D$2:$D$13=$D20,MAX(_xlfn._xlws.FILTER(_xlpm.d,_xlpm.a*_xlpm.b)))</f>
        <v>0.83</v>
      </c>
      <c r="N20" s="1" cm="1">
        <f t="array" ref="N20">_xlfn.LET(_xlpm.d,N$2:N$13,_xlpm.a,$C$2:$C$13=$C20,_xlpm.b,$D$2:$D$13=$D20,MAX(_xlfn._xlws.FILTER(_xlpm.d,_xlpm.a*_xlpm.b)))</f>
        <v>0.79</v>
      </c>
      <c r="O20" s="1" cm="1">
        <f t="array" ref="O20">_xlfn.LET(_xlpm.d,O$2:O$13,_xlpm.a,$C$2:$C$13=$C20,_xlpm.b,$D$2:$D$13=$D20,MAX(_xlfn._xlws.FILTER(_xlpm.d,_xlpm.a*_xlpm.b)))</f>
        <v>0.82</v>
      </c>
      <c r="P20" s="1" cm="1">
        <f t="array" ref="P20">_xlfn.LET(_xlpm.d,P$2:P$13,_xlpm.a,$C$2:$C$13=$C20,_xlpm.b,$D$2:$D$13=$D20,MAX(_xlfn._xlws.FILTER(_xlpm.d,_xlpm.a*_xlpm.b)))</f>
        <v>0.81</v>
      </c>
      <c r="Q20" s="1" cm="1">
        <f t="array" ref="Q20">_xlfn.LET(_xlpm.d,Q$2:Q$13,_xlpm.a,$C$2:$C$13=$C20,_xlpm.b,$D$2:$D$13=$D20,MAX(_xlfn._xlws.FILTER(_xlpm.d,_xlpm.a*_xlpm.b)))</f>
        <v>0.82</v>
      </c>
      <c r="R20" s="1" cm="1">
        <f t="array" ref="R20">_xlfn.LET(_xlpm.d,R$2:R$13,_xlpm.a,$C$2:$C$13=$C20,_xlpm.b,$D$2:$D$13=$D20,MAX(_xlfn._xlws.FILTER(_xlpm.d,_xlpm.a*_xlpm.b)))</f>
        <v>0.82</v>
      </c>
      <c r="S20" s="1" cm="1">
        <f t="array" ref="S20">_xlfn.LET(_xlpm.d,S$2:S$13,_xlpm.a,$C$2:$C$13=$C20,_xlpm.b,$D$2:$D$13=$D20,MAX(_xlfn._xlws.FILTER(_xlpm.d,_xlpm.a*_xlpm.b)))</f>
        <v>0.78</v>
      </c>
      <c r="T20" s="1" cm="1">
        <f t="array" ref="T20">_xlfn.LET(_xlpm.d,T$2:T$13,_xlpm.a,$C$2:$C$13=$C20,_xlpm.b,$D$2:$D$13=$D20,MAX(_xlfn._xlws.FILTER(_xlpm.d,_xlpm.a*_xlpm.b)))</f>
        <v>0.83</v>
      </c>
    </row>
    <row r="23" spans="2:20" ht="25" customHeight="1">
      <c r="B23" t="s">
        <v>1</v>
      </c>
      <c r="C23" t="s">
        <v>2</v>
      </c>
      <c r="D23" t="s">
        <v>24</v>
      </c>
      <c r="E23" t="s">
        <v>4</v>
      </c>
      <c r="F23" t="s">
        <v>5</v>
      </c>
      <c r="G23" t="s">
        <v>31</v>
      </c>
      <c r="H23" t="s">
        <v>6</v>
      </c>
      <c r="I23" t="s">
        <v>7</v>
      </c>
      <c r="J23" t="s">
        <v>8</v>
      </c>
      <c r="K23" t="s">
        <v>9</v>
      </c>
      <c r="L23" t="s">
        <v>10</v>
      </c>
      <c r="M23" t="s">
        <v>11</v>
      </c>
      <c r="N23" t="s">
        <v>12</v>
      </c>
      <c r="O23" t="s">
        <v>13</v>
      </c>
      <c r="P23" t="s">
        <v>14</v>
      </c>
      <c r="Q23" t="s">
        <v>15</v>
      </c>
      <c r="R23" t="s">
        <v>16</v>
      </c>
      <c r="S23" t="s">
        <v>17</v>
      </c>
    </row>
    <row r="24" spans="2:20" ht="25" customHeight="1">
      <c r="B24">
        <v>1</v>
      </c>
      <c r="C24" t="s">
        <v>19</v>
      </c>
      <c r="D24" t="b">
        <v>0</v>
      </c>
      <c r="E24">
        <v>1</v>
      </c>
      <c r="F24" t="s">
        <v>18</v>
      </c>
      <c r="G24" t="str">
        <f>_xlfn.TEXTJOIN("-",TRUE,Table2525[[#This Row],[attribute]],Table2525[[#This Row],[supplemented]],Table2525[[#This Row],[method]])</f>
        <v>plurality-FALSE-max</v>
      </c>
      <c r="H24" s="5">
        <f t="shared" ref="H24:S24" si="1">_xlfn.LET(_xlpm.d,$H17:$S17,RANK(H17,_xlpm.d))</f>
        <v>9</v>
      </c>
      <c r="I24" s="5">
        <f t="shared" si="1"/>
        <v>2</v>
      </c>
      <c r="J24" s="5">
        <f t="shared" si="1"/>
        <v>4</v>
      </c>
      <c r="K24" s="5">
        <f t="shared" si="1"/>
        <v>1</v>
      </c>
      <c r="L24" s="5">
        <f t="shared" si="1"/>
        <v>8</v>
      </c>
      <c r="M24" s="5">
        <f t="shared" si="1"/>
        <v>4</v>
      </c>
      <c r="N24" s="5">
        <f t="shared" si="1"/>
        <v>11</v>
      </c>
      <c r="O24" s="5">
        <f t="shared" si="1"/>
        <v>9</v>
      </c>
      <c r="P24" s="5">
        <f t="shared" si="1"/>
        <v>12</v>
      </c>
      <c r="Q24" s="5">
        <f t="shared" si="1"/>
        <v>4</v>
      </c>
      <c r="R24" s="5">
        <f t="shared" si="1"/>
        <v>2</v>
      </c>
      <c r="S24" s="5">
        <f t="shared" si="1"/>
        <v>4</v>
      </c>
    </row>
    <row r="25" spans="2:20" ht="25" customHeight="1">
      <c r="B25">
        <v>2</v>
      </c>
      <c r="C25" t="s">
        <v>23</v>
      </c>
      <c r="D25" t="b">
        <v>0</v>
      </c>
      <c r="E25">
        <v>1</v>
      </c>
      <c r="F25" t="s">
        <v>18</v>
      </c>
      <c r="G25" t="str">
        <f>_xlfn.TEXTJOIN("-",TRUE,Table2525[[#This Row],[attribute]],Table2525[[#This Row],[supplemented]],Table2525[[#This Row],[method]])</f>
        <v>gender-FALSE-max</v>
      </c>
      <c r="H25" s="5">
        <f t="shared" ref="H25:S25" si="2">_xlfn.LET(_xlpm.d,$H18:$S18,RANK(H18,_xlpm.d))</f>
        <v>9</v>
      </c>
      <c r="I25" s="5">
        <f t="shared" si="2"/>
        <v>9</v>
      </c>
      <c r="J25" s="5">
        <f t="shared" si="2"/>
        <v>3</v>
      </c>
      <c r="K25" s="5">
        <f t="shared" si="2"/>
        <v>1</v>
      </c>
      <c r="L25" s="5">
        <f t="shared" si="2"/>
        <v>3</v>
      </c>
      <c r="M25" s="5">
        <f t="shared" si="2"/>
        <v>1</v>
      </c>
      <c r="N25" s="5">
        <f t="shared" si="2"/>
        <v>12</v>
      </c>
      <c r="O25" s="5">
        <f t="shared" si="2"/>
        <v>3</v>
      </c>
      <c r="P25" s="5">
        <f t="shared" si="2"/>
        <v>11</v>
      </c>
      <c r="Q25" s="5">
        <f t="shared" si="2"/>
        <v>3</v>
      </c>
      <c r="R25" s="5">
        <f t="shared" si="2"/>
        <v>3</v>
      </c>
      <c r="S25" s="5">
        <f t="shared" si="2"/>
        <v>3</v>
      </c>
    </row>
    <row r="26" spans="2:20" ht="25" customHeight="1">
      <c r="B26">
        <v>1</v>
      </c>
      <c r="C26" t="s">
        <v>19</v>
      </c>
      <c r="D26" t="b">
        <v>1</v>
      </c>
      <c r="E26">
        <v>1</v>
      </c>
      <c r="F26" t="s">
        <v>18</v>
      </c>
      <c r="G26" t="str">
        <f>_xlfn.TEXTJOIN("-",TRUE,Table2525[[#This Row],[attribute]],Table2525[[#This Row],[supplemented]],Table2525[[#This Row],[method]])</f>
        <v>plurality-TRUE-max</v>
      </c>
      <c r="H26" s="5">
        <f t="shared" ref="H26:S26" si="3">_xlfn.LET(_xlpm.d,$H19:$S19,RANK(H19,_xlpm.d))</f>
        <v>1</v>
      </c>
      <c r="I26" s="5">
        <f t="shared" si="3"/>
        <v>12</v>
      </c>
      <c r="J26" s="5">
        <f t="shared" si="3"/>
        <v>6</v>
      </c>
      <c r="K26" s="5">
        <f t="shared" si="3"/>
        <v>4</v>
      </c>
      <c r="L26" s="5">
        <f t="shared" si="3"/>
        <v>4</v>
      </c>
      <c r="M26" s="5">
        <f t="shared" si="3"/>
        <v>2</v>
      </c>
      <c r="N26" s="5">
        <f t="shared" si="3"/>
        <v>6</v>
      </c>
      <c r="O26" s="5">
        <f t="shared" si="3"/>
        <v>11</v>
      </c>
      <c r="P26" s="5">
        <f t="shared" si="3"/>
        <v>6</v>
      </c>
      <c r="Q26" s="5">
        <f t="shared" si="3"/>
        <v>6</v>
      </c>
      <c r="R26" s="5">
        <f t="shared" si="3"/>
        <v>2</v>
      </c>
      <c r="S26" s="5">
        <f t="shared" si="3"/>
        <v>6</v>
      </c>
    </row>
    <row r="27" spans="2:20" ht="25" customHeight="1">
      <c r="B27">
        <v>2</v>
      </c>
      <c r="C27" t="s">
        <v>23</v>
      </c>
      <c r="D27" t="b">
        <v>1</v>
      </c>
      <c r="E27">
        <v>1</v>
      </c>
      <c r="F27" t="s">
        <v>18</v>
      </c>
      <c r="G27" t="str">
        <f>_xlfn.TEXTJOIN("-",TRUE,Table2525[[#This Row],[attribute]],Table2525[[#This Row],[supplemented]],Table2525[[#This Row],[method]])</f>
        <v>gender-TRUE-max</v>
      </c>
      <c r="H27" s="5">
        <f t="shared" ref="H27:S27" si="4">_xlfn.LET(_xlpm.d,$H20:$S20,RANK(H20,_xlpm.d))</f>
        <v>3</v>
      </c>
      <c r="I27" s="5">
        <f t="shared" si="4"/>
        <v>9</v>
      </c>
      <c r="J27" s="5">
        <f t="shared" si="4"/>
        <v>9</v>
      </c>
      <c r="K27" s="5">
        <f t="shared" si="4"/>
        <v>3</v>
      </c>
      <c r="L27" s="5">
        <f t="shared" si="4"/>
        <v>1</v>
      </c>
      <c r="M27" s="5">
        <f t="shared" si="4"/>
        <v>1</v>
      </c>
      <c r="N27" s="5">
        <f t="shared" si="4"/>
        <v>11</v>
      </c>
      <c r="O27" s="5">
        <f t="shared" si="4"/>
        <v>3</v>
      </c>
      <c r="P27" s="5">
        <f t="shared" si="4"/>
        <v>8</v>
      </c>
      <c r="Q27" s="5">
        <f t="shared" si="4"/>
        <v>3</v>
      </c>
      <c r="R27" s="5">
        <f t="shared" si="4"/>
        <v>3</v>
      </c>
      <c r="S27" s="5">
        <f t="shared" si="4"/>
        <v>12</v>
      </c>
    </row>
  </sheetData>
  <conditionalFormatting sqref="H24:S27">
    <cfRule type="colorScale" priority="1">
      <colorScale>
        <cfvo type="min"/>
        <cfvo type="percentile" val="50"/>
        <cfvo type="max"/>
        <color theme="9" tint="0.59999389629810485"/>
        <color theme="0"/>
        <color rgb="FFFFC000"/>
      </colorScale>
    </cfRule>
  </conditionalFormatting>
  <conditionalFormatting sqref="H2:T13">
    <cfRule type="colorScale" priority="2">
      <colorScale>
        <cfvo type="num" val="0"/>
        <cfvo type="percentile" val="50"/>
        <cfvo type="num" val="1"/>
        <color theme="4" tint="0.59999389629810485"/>
        <color theme="0"/>
        <color rgb="FFFFC000"/>
      </colorScale>
    </cfRule>
  </conditionalFormatting>
  <conditionalFormatting sqref="H17:T20">
    <cfRule type="colorScale" priority="3">
      <colorScale>
        <cfvo type="num" val="0"/>
        <cfvo type="percentile" val="50"/>
        <cfvo type="num" val="1"/>
        <color theme="4" tint="0.59999389629810485"/>
        <color theme="0"/>
        <color rgb="FFFFC000"/>
      </colorScale>
    </cfRule>
  </conditionalFormatting>
  <pageMargins left="0.75" right="0.75" top="1" bottom="1" header="0.5" footer="0.5"/>
  <drawing r:id="rId1"/>
  <tableParts count="3">
    <tablePart r:id="rId2"/>
    <tablePart r:id="rId3"/>
    <tablePart r:id="rId4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7B247-C6BC-8545-B31F-927937EF11CA}">
  <dimension ref="A1:S20"/>
  <sheetViews>
    <sheetView workbookViewId="0">
      <selection activeCell="B17" sqref="B17:S20"/>
    </sheetView>
  </sheetViews>
  <sheetFormatPr baseColWidth="10" defaultRowHeight="25" customHeight="1"/>
  <cols>
    <col min="2" max="2" width="8.375" customWidth="1"/>
    <col min="4" max="5" width="8" customWidth="1"/>
    <col min="6" max="6" width="7.75" customWidth="1"/>
    <col min="7" max="19" width="8" customWidth="1"/>
  </cols>
  <sheetData>
    <row r="1" spans="1:19" ht="25" customHeigh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ht="25" customHeight="1">
      <c r="A2" t="s">
        <v>26</v>
      </c>
      <c r="B2">
        <v>1</v>
      </c>
      <c r="C2" t="s">
        <v>19</v>
      </c>
      <c r="D2" t="b">
        <v>1</v>
      </c>
      <c r="E2">
        <v>1</v>
      </c>
      <c r="F2" t="s">
        <v>20</v>
      </c>
      <c r="G2" s="1">
        <v>0.88</v>
      </c>
      <c r="H2" s="1">
        <v>0.87</v>
      </c>
      <c r="I2" s="1">
        <v>0.89</v>
      </c>
      <c r="J2" s="1">
        <v>0.94</v>
      </c>
      <c r="K2" s="1">
        <v>0.84</v>
      </c>
      <c r="L2" s="1">
        <v>0.88</v>
      </c>
      <c r="M2" s="1">
        <v>0.83</v>
      </c>
      <c r="N2" s="1">
        <v>0.91</v>
      </c>
      <c r="O2" s="1">
        <v>0.91</v>
      </c>
      <c r="P2" s="1">
        <v>0.88</v>
      </c>
      <c r="Q2" s="1">
        <v>0.92</v>
      </c>
      <c r="R2" s="1">
        <v>0.8</v>
      </c>
      <c r="S2" s="1">
        <f t="shared" ref="S2:S13" si="0">MAX($G2:$R2)</f>
        <v>0.94</v>
      </c>
    </row>
    <row r="3" spans="1:19" ht="25" customHeight="1">
      <c r="A3" t="s">
        <v>26</v>
      </c>
      <c r="B3">
        <v>1</v>
      </c>
      <c r="C3" t="s">
        <v>19</v>
      </c>
      <c r="D3" t="b">
        <v>1</v>
      </c>
      <c r="E3">
        <v>2</v>
      </c>
      <c r="F3" t="s">
        <v>21</v>
      </c>
      <c r="G3" s="1">
        <v>0.9</v>
      </c>
      <c r="H3" s="1">
        <v>0.91</v>
      </c>
      <c r="I3" s="1">
        <v>0.93</v>
      </c>
      <c r="J3" s="1">
        <v>0.97</v>
      </c>
      <c r="K3" s="1">
        <v>0.95</v>
      </c>
      <c r="L3" s="1">
        <v>0.94</v>
      </c>
      <c r="M3" s="1">
        <v>0.9</v>
      </c>
      <c r="N3" s="1">
        <v>0.94</v>
      </c>
      <c r="O3" s="1">
        <v>0.92</v>
      </c>
      <c r="P3" s="1">
        <v>0.95</v>
      </c>
      <c r="Q3" s="1">
        <v>0.97</v>
      </c>
      <c r="R3" s="1">
        <v>0.92</v>
      </c>
      <c r="S3" s="1">
        <f t="shared" si="0"/>
        <v>0.97</v>
      </c>
    </row>
    <row r="4" spans="1:19" ht="25" customHeight="1">
      <c r="A4" t="s">
        <v>26</v>
      </c>
      <c r="B4">
        <v>1</v>
      </c>
      <c r="C4" t="s">
        <v>19</v>
      </c>
      <c r="D4" t="b">
        <v>1</v>
      </c>
      <c r="E4">
        <v>3</v>
      </c>
      <c r="F4" t="s">
        <v>22</v>
      </c>
      <c r="G4" s="1">
        <v>0.92</v>
      </c>
      <c r="H4" s="1">
        <v>0.89</v>
      </c>
      <c r="I4" s="1">
        <v>0.93</v>
      </c>
      <c r="J4" s="1">
        <v>0.98</v>
      </c>
      <c r="K4" s="1">
        <v>0.97</v>
      </c>
      <c r="L4" s="1">
        <v>0.94</v>
      </c>
      <c r="M4" s="1">
        <v>0.92</v>
      </c>
      <c r="N4" s="1">
        <v>0.94</v>
      </c>
      <c r="O4" s="1">
        <v>0.93</v>
      </c>
      <c r="P4" s="1">
        <v>0.95</v>
      </c>
      <c r="Q4" s="1">
        <v>0.98</v>
      </c>
      <c r="R4" s="1">
        <v>0.94</v>
      </c>
      <c r="S4" s="1">
        <f t="shared" si="0"/>
        <v>0.98</v>
      </c>
    </row>
    <row r="5" spans="1:19" ht="25" customHeight="1">
      <c r="A5" t="s">
        <v>26</v>
      </c>
      <c r="B5">
        <v>1</v>
      </c>
      <c r="C5" t="s">
        <v>19</v>
      </c>
      <c r="D5" t="b">
        <v>0</v>
      </c>
      <c r="E5">
        <v>1</v>
      </c>
      <c r="F5" t="s">
        <v>20</v>
      </c>
      <c r="G5" s="1">
        <v>0.89</v>
      </c>
      <c r="H5" s="1">
        <v>0.86</v>
      </c>
      <c r="I5" s="1">
        <v>0.89</v>
      </c>
      <c r="J5" s="1">
        <v>0.95</v>
      </c>
      <c r="K5" s="1">
        <v>0.9</v>
      </c>
      <c r="L5" s="1">
        <v>0.87</v>
      </c>
      <c r="M5" s="1">
        <v>0.84</v>
      </c>
      <c r="N5" s="1">
        <v>0.89</v>
      </c>
      <c r="O5" s="1">
        <v>0.9</v>
      </c>
      <c r="P5" s="1">
        <v>0.88</v>
      </c>
      <c r="Q5" s="1">
        <v>0.92</v>
      </c>
      <c r="R5" s="1">
        <v>0.89</v>
      </c>
      <c r="S5" s="1">
        <f t="shared" si="0"/>
        <v>0.95</v>
      </c>
    </row>
    <row r="6" spans="1:19" ht="25" customHeight="1">
      <c r="A6" t="s">
        <v>26</v>
      </c>
      <c r="B6">
        <v>1</v>
      </c>
      <c r="C6" t="s">
        <v>19</v>
      </c>
      <c r="D6" t="b">
        <v>0</v>
      </c>
      <c r="E6">
        <v>2</v>
      </c>
      <c r="F6" t="s">
        <v>21</v>
      </c>
      <c r="G6" s="1">
        <v>0.89</v>
      </c>
      <c r="H6" s="1">
        <v>0.89</v>
      </c>
      <c r="I6" s="1">
        <v>0.92</v>
      </c>
      <c r="J6" s="1">
        <v>0.97</v>
      </c>
      <c r="K6" s="1">
        <v>0.96</v>
      </c>
      <c r="L6" s="1">
        <v>0.93</v>
      </c>
      <c r="M6" s="1">
        <v>0.89</v>
      </c>
      <c r="N6" s="1">
        <v>0.93</v>
      </c>
      <c r="O6" s="1">
        <v>0.93</v>
      </c>
      <c r="P6" s="1">
        <v>0.95</v>
      </c>
      <c r="Q6" s="1">
        <v>0.96</v>
      </c>
      <c r="R6" s="1">
        <v>0.94</v>
      </c>
      <c r="S6" s="1">
        <f t="shared" si="0"/>
        <v>0.97</v>
      </c>
    </row>
    <row r="7" spans="1:19" ht="25" customHeight="1">
      <c r="A7" t="s">
        <v>26</v>
      </c>
      <c r="B7">
        <v>1</v>
      </c>
      <c r="C7" t="s">
        <v>19</v>
      </c>
      <c r="D7" t="b">
        <v>0</v>
      </c>
      <c r="E7">
        <v>3</v>
      </c>
      <c r="F7" t="s">
        <v>22</v>
      </c>
      <c r="G7" s="1">
        <v>0.91</v>
      </c>
      <c r="H7" s="1">
        <v>0.92</v>
      </c>
      <c r="I7" s="1">
        <v>0.94</v>
      </c>
      <c r="J7" s="1">
        <v>0.98</v>
      </c>
      <c r="K7" s="1">
        <v>0.96</v>
      </c>
      <c r="L7" s="1">
        <v>0.95</v>
      </c>
      <c r="M7" s="1">
        <v>0.88</v>
      </c>
      <c r="N7" s="1">
        <v>0.94</v>
      </c>
      <c r="O7" s="1">
        <v>0.92</v>
      </c>
      <c r="P7" s="1">
        <v>0.94</v>
      </c>
      <c r="Q7" s="1">
        <v>0.97</v>
      </c>
      <c r="R7" s="1">
        <v>0.94</v>
      </c>
      <c r="S7" s="1">
        <f t="shared" si="0"/>
        <v>0.98</v>
      </c>
    </row>
    <row r="8" spans="1:19" ht="25" customHeight="1">
      <c r="A8" t="s">
        <v>26</v>
      </c>
      <c r="B8">
        <v>2</v>
      </c>
      <c r="C8" t="s">
        <v>23</v>
      </c>
      <c r="D8" t="b">
        <v>1</v>
      </c>
      <c r="E8">
        <v>1</v>
      </c>
      <c r="F8" t="s">
        <v>20</v>
      </c>
      <c r="G8" s="1">
        <v>0.69</v>
      </c>
      <c r="H8" s="1">
        <v>0.73</v>
      </c>
      <c r="I8" s="1">
        <v>0.73</v>
      </c>
      <c r="J8" s="1">
        <v>0.74</v>
      </c>
      <c r="K8" s="1">
        <v>0.68</v>
      </c>
      <c r="L8" s="1">
        <v>0.69</v>
      </c>
      <c r="M8" s="1">
        <v>0.81</v>
      </c>
      <c r="N8" s="1">
        <v>0.72</v>
      </c>
      <c r="O8" s="1">
        <v>0.71</v>
      </c>
      <c r="P8" s="1">
        <v>0.7</v>
      </c>
      <c r="Q8" s="1">
        <v>0.7</v>
      </c>
      <c r="R8" s="1">
        <v>0.69</v>
      </c>
      <c r="S8" s="1">
        <f t="shared" si="0"/>
        <v>0.81</v>
      </c>
    </row>
    <row r="9" spans="1:19" ht="25" customHeight="1">
      <c r="A9" t="s">
        <v>26</v>
      </c>
      <c r="B9">
        <v>2</v>
      </c>
      <c r="C9" t="s">
        <v>23</v>
      </c>
      <c r="D9" t="b">
        <v>1</v>
      </c>
      <c r="E9">
        <v>2</v>
      </c>
      <c r="F9" t="s">
        <v>21</v>
      </c>
      <c r="G9" s="1">
        <v>0.77</v>
      </c>
      <c r="H9" s="1">
        <v>0.83</v>
      </c>
      <c r="I9" s="1">
        <v>0.78</v>
      </c>
      <c r="J9" s="1">
        <v>0.81</v>
      </c>
      <c r="K9" s="1">
        <v>0.77</v>
      </c>
      <c r="L9" s="1">
        <v>0.78</v>
      </c>
      <c r="M9" s="1">
        <v>0.8</v>
      </c>
      <c r="N9" s="1">
        <v>0.77</v>
      </c>
      <c r="O9" s="1">
        <v>0.81</v>
      </c>
      <c r="P9" s="1">
        <v>0.82</v>
      </c>
      <c r="Q9" s="1">
        <v>0.79</v>
      </c>
      <c r="R9" s="1">
        <v>0.81</v>
      </c>
      <c r="S9" s="1">
        <f t="shared" si="0"/>
        <v>0.83</v>
      </c>
    </row>
    <row r="10" spans="1:19" ht="25" customHeight="1">
      <c r="A10" t="s">
        <v>26</v>
      </c>
      <c r="B10">
        <v>2</v>
      </c>
      <c r="C10" t="s">
        <v>23</v>
      </c>
      <c r="D10" t="b">
        <v>1</v>
      </c>
      <c r="E10">
        <v>3</v>
      </c>
      <c r="F10" t="s">
        <v>22</v>
      </c>
      <c r="G10" s="1">
        <v>0.8</v>
      </c>
      <c r="H10" s="1">
        <v>0.81</v>
      </c>
      <c r="I10" s="1">
        <v>0.77</v>
      </c>
      <c r="J10" s="1">
        <v>0.8</v>
      </c>
      <c r="K10" s="1">
        <v>0.75</v>
      </c>
      <c r="L10" s="1">
        <v>0.73</v>
      </c>
      <c r="M10" s="1">
        <v>0.8</v>
      </c>
      <c r="N10" s="1">
        <v>0.75</v>
      </c>
      <c r="O10" s="1">
        <v>0.79</v>
      </c>
      <c r="P10" s="1">
        <v>0.77</v>
      </c>
      <c r="Q10" s="1">
        <v>0.8</v>
      </c>
      <c r="R10" s="1">
        <v>0.81</v>
      </c>
      <c r="S10" s="1">
        <f t="shared" si="0"/>
        <v>0.81</v>
      </c>
    </row>
    <row r="11" spans="1:19" ht="25" customHeight="1">
      <c r="A11" t="s">
        <v>26</v>
      </c>
      <c r="B11">
        <v>2</v>
      </c>
      <c r="C11" t="s">
        <v>23</v>
      </c>
      <c r="D11" t="b">
        <v>0</v>
      </c>
      <c r="E11">
        <v>1</v>
      </c>
      <c r="F11" t="s">
        <v>20</v>
      </c>
      <c r="G11" s="1">
        <v>0.71</v>
      </c>
      <c r="H11" s="1">
        <v>0.7</v>
      </c>
      <c r="I11" s="1">
        <v>0.74</v>
      </c>
      <c r="J11" s="1">
        <v>0.74</v>
      </c>
      <c r="K11" s="1">
        <v>0.64</v>
      </c>
      <c r="L11" s="1">
        <v>0.64</v>
      </c>
      <c r="M11" s="1">
        <v>0.71</v>
      </c>
      <c r="N11" s="1">
        <v>0.69</v>
      </c>
      <c r="O11" s="1">
        <v>0.72</v>
      </c>
      <c r="P11" s="1">
        <v>0.65</v>
      </c>
      <c r="Q11" s="1">
        <v>0.68</v>
      </c>
      <c r="R11" s="1">
        <v>0.67</v>
      </c>
      <c r="S11" s="1">
        <f t="shared" si="0"/>
        <v>0.74</v>
      </c>
    </row>
    <row r="12" spans="1:19" ht="25" customHeight="1">
      <c r="A12" t="s">
        <v>26</v>
      </c>
      <c r="B12">
        <v>2</v>
      </c>
      <c r="C12" t="s">
        <v>23</v>
      </c>
      <c r="D12" t="b">
        <v>0</v>
      </c>
      <c r="E12">
        <v>2</v>
      </c>
      <c r="F12" t="s">
        <v>21</v>
      </c>
      <c r="G12" s="1">
        <v>0.76</v>
      </c>
      <c r="H12" s="1">
        <v>0.81</v>
      </c>
      <c r="I12" s="1">
        <v>0.76</v>
      </c>
      <c r="J12" s="1">
        <v>0.78</v>
      </c>
      <c r="K12" s="1">
        <v>0.76</v>
      </c>
      <c r="L12" s="1">
        <v>0.76</v>
      </c>
      <c r="M12" s="1">
        <v>0.8</v>
      </c>
      <c r="N12" s="1">
        <v>0.79</v>
      </c>
      <c r="O12" s="1">
        <v>0.8</v>
      </c>
      <c r="P12" s="1">
        <v>0.78</v>
      </c>
      <c r="Q12" s="1">
        <v>0.8</v>
      </c>
      <c r="R12" s="1">
        <v>0.8</v>
      </c>
      <c r="S12" s="1">
        <f t="shared" si="0"/>
        <v>0.81</v>
      </c>
    </row>
    <row r="13" spans="1:19" ht="25" customHeight="1">
      <c r="A13" t="s">
        <v>26</v>
      </c>
      <c r="B13">
        <v>2</v>
      </c>
      <c r="C13" t="s">
        <v>23</v>
      </c>
      <c r="D13" t="b">
        <v>0</v>
      </c>
      <c r="E13">
        <v>3</v>
      </c>
      <c r="F13" t="s">
        <v>22</v>
      </c>
      <c r="G13" s="1">
        <v>0.8</v>
      </c>
      <c r="H13" s="1">
        <v>0.78</v>
      </c>
      <c r="I13" s="1">
        <v>0.78</v>
      </c>
      <c r="J13" s="1">
        <v>0.78</v>
      </c>
      <c r="K13" s="1">
        <v>0.76</v>
      </c>
      <c r="L13" s="1">
        <v>0.76</v>
      </c>
      <c r="M13" s="1">
        <v>0.71</v>
      </c>
      <c r="N13" s="1">
        <v>0.78</v>
      </c>
      <c r="O13" s="1">
        <v>0.8</v>
      </c>
      <c r="P13" s="1">
        <v>0.74</v>
      </c>
      <c r="Q13" s="1">
        <v>0.78</v>
      </c>
      <c r="R13" s="1">
        <v>0.78</v>
      </c>
      <c r="S13" s="1">
        <f t="shared" si="0"/>
        <v>0.8</v>
      </c>
    </row>
    <row r="16" spans="1:19" ht="25" customHeight="1">
      <c r="B16" t="s">
        <v>1</v>
      </c>
      <c r="C16" t="s">
        <v>2</v>
      </c>
      <c r="D16" t="s">
        <v>24</v>
      </c>
      <c r="E16" t="s">
        <v>4</v>
      </c>
      <c r="F16" t="s">
        <v>25</v>
      </c>
      <c r="G16" t="s">
        <v>6</v>
      </c>
      <c r="H16" t="s">
        <v>7</v>
      </c>
      <c r="I16" t="s">
        <v>8</v>
      </c>
      <c r="J16" t="s">
        <v>9</v>
      </c>
      <c r="K16" t="s">
        <v>10</v>
      </c>
      <c r="L16" t="s">
        <v>11</v>
      </c>
      <c r="M16" t="s">
        <v>12</v>
      </c>
      <c r="N16" t="s">
        <v>13</v>
      </c>
      <c r="O16" t="s">
        <v>14</v>
      </c>
      <c r="P16" t="s">
        <v>15</v>
      </c>
      <c r="Q16" t="s">
        <v>16</v>
      </c>
      <c r="R16" t="s">
        <v>17</v>
      </c>
      <c r="S16" t="s">
        <v>18</v>
      </c>
    </row>
    <row r="17" spans="2:19" ht="25" customHeight="1">
      <c r="B17">
        <v>1</v>
      </c>
      <c r="C17" t="s">
        <v>19</v>
      </c>
      <c r="D17" t="b">
        <v>1</v>
      </c>
      <c r="E17">
        <v>0</v>
      </c>
      <c r="F17" t="s">
        <v>18</v>
      </c>
      <c r="G17" s="1" cm="1">
        <f t="array" ref="G17">_xlfn.LET(_xlpm.d,G$2:G$13,_xlpm.a,$C$2:$C$13=$C17,_xlpm.b,$D$2:$D$13=$D17,MAX(_xlfn._xlws.FILTER(_xlpm.d,_xlpm.a*_xlpm.b)))</f>
        <v>0.92</v>
      </c>
      <c r="H17" s="1" cm="1">
        <f t="array" ref="H17">_xlfn.LET(_xlpm.d,H$2:H$13,_xlpm.a,$C$2:$C$13=$C17,_xlpm.b,$D$2:$D$13=$D17,MAX(_xlfn._xlws.FILTER(_xlpm.d,_xlpm.a*_xlpm.b)))</f>
        <v>0.91</v>
      </c>
      <c r="I17" s="1" cm="1">
        <f t="array" ref="I17">_xlfn.LET(_xlpm.d,I$2:I$13,_xlpm.a,$C$2:$C$13=$C17,_xlpm.b,$D$2:$D$13=$D17,MAX(_xlfn._xlws.FILTER(_xlpm.d,_xlpm.a*_xlpm.b)))</f>
        <v>0.93</v>
      </c>
      <c r="J17" s="1" cm="1">
        <f t="array" ref="J17">_xlfn.LET(_xlpm.d,J$2:J$13,_xlpm.a,$C$2:$C$13=$C17,_xlpm.b,$D$2:$D$13=$D17,MAX(_xlfn._xlws.FILTER(_xlpm.d,_xlpm.a*_xlpm.b)))</f>
        <v>0.98</v>
      </c>
      <c r="K17" s="1" cm="1">
        <f t="array" ref="K17">_xlfn.LET(_xlpm.d,K$2:K$13,_xlpm.a,$C$2:$C$13=$C17,_xlpm.b,$D$2:$D$13=$D17,MAX(_xlfn._xlws.FILTER(_xlpm.d,_xlpm.a*_xlpm.b)))</f>
        <v>0.97</v>
      </c>
      <c r="L17" s="1" cm="1">
        <f t="array" ref="L17">_xlfn.LET(_xlpm.d,L$2:L$13,_xlpm.a,$C$2:$C$13=$C17,_xlpm.b,$D$2:$D$13=$D17,MAX(_xlfn._xlws.FILTER(_xlpm.d,_xlpm.a*_xlpm.b)))</f>
        <v>0.94</v>
      </c>
      <c r="M17" s="1" cm="1">
        <f t="array" ref="M17">_xlfn.LET(_xlpm.d,M$2:M$13,_xlpm.a,$C$2:$C$13=$C17,_xlpm.b,$D$2:$D$13=$D17,MAX(_xlfn._xlws.FILTER(_xlpm.d,_xlpm.a*_xlpm.b)))</f>
        <v>0.92</v>
      </c>
      <c r="N17" s="1" cm="1">
        <f t="array" ref="N17">_xlfn.LET(_xlpm.d,N$2:N$13,_xlpm.a,$C$2:$C$13=$C17,_xlpm.b,$D$2:$D$13=$D17,MAX(_xlfn._xlws.FILTER(_xlpm.d,_xlpm.a*_xlpm.b)))</f>
        <v>0.94</v>
      </c>
      <c r="O17" s="1" cm="1">
        <f t="array" ref="O17">_xlfn.LET(_xlpm.d,O$2:O$13,_xlpm.a,$C$2:$C$13=$C17,_xlpm.b,$D$2:$D$13=$D17,MAX(_xlfn._xlws.FILTER(_xlpm.d,_xlpm.a*_xlpm.b)))</f>
        <v>0.93</v>
      </c>
      <c r="P17" s="1" cm="1">
        <f t="array" ref="P17">_xlfn.LET(_xlpm.d,P$2:P$13,_xlpm.a,$C$2:$C$13=$C17,_xlpm.b,$D$2:$D$13=$D17,MAX(_xlfn._xlws.FILTER(_xlpm.d,_xlpm.a*_xlpm.b)))</f>
        <v>0.95</v>
      </c>
      <c r="Q17" s="1" cm="1">
        <f t="array" ref="Q17">_xlfn.LET(_xlpm.d,Q$2:Q$13,_xlpm.a,$C$2:$C$13=$C17,_xlpm.b,$D$2:$D$13=$D17,MAX(_xlfn._xlws.FILTER(_xlpm.d,_xlpm.a*_xlpm.b)))</f>
        <v>0.98</v>
      </c>
      <c r="R17" s="1" cm="1">
        <f t="array" ref="R17">_xlfn.LET(_xlpm.d,R$2:R$13,_xlpm.a,$C$2:$C$13=$C17,_xlpm.b,$D$2:$D$13=$D17,MAX(_xlfn._xlws.FILTER(_xlpm.d,_xlpm.a*_xlpm.b)))</f>
        <v>0.94</v>
      </c>
      <c r="S17" s="1" cm="1">
        <f t="array" ref="S17">_xlfn.LET(_xlpm.d,S$2:S$13,_xlpm.a,$C$2:$C$13=$C17,_xlpm.b,$D$2:$D$13=$D17,MAX(_xlfn._xlws.FILTER(_xlpm.d,_xlpm.a*_xlpm.b)))</f>
        <v>0.98</v>
      </c>
    </row>
    <row r="18" spans="2:19" ht="25" customHeight="1">
      <c r="B18">
        <v>1</v>
      </c>
      <c r="C18" t="s">
        <v>19</v>
      </c>
      <c r="D18" t="b">
        <v>0</v>
      </c>
      <c r="E18">
        <v>0</v>
      </c>
      <c r="F18" t="s">
        <v>18</v>
      </c>
      <c r="G18" s="1" cm="1">
        <f t="array" ref="G18">_xlfn.LET(_xlpm.d,G$2:G$13,_xlpm.a,$C$2:$C$13=$C18,_xlpm.b,$D$2:$D$13=$D18,MAX(_xlfn._xlws.FILTER(_xlpm.d,_xlpm.a*_xlpm.b)))</f>
        <v>0.91</v>
      </c>
      <c r="H18" s="1" cm="1">
        <f t="array" ref="H18">_xlfn.LET(_xlpm.d,H$2:H$13,_xlpm.a,$C$2:$C$13=$C18,_xlpm.b,$D$2:$D$13=$D18,MAX(_xlfn._xlws.FILTER(_xlpm.d,_xlpm.a*_xlpm.b)))</f>
        <v>0.92</v>
      </c>
      <c r="I18" s="1" cm="1">
        <f t="array" ref="I18">_xlfn.LET(_xlpm.d,I$2:I$13,_xlpm.a,$C$2:$C$13=$C18,_xlpm.b,$D$2:$D$13=$D18,MAX(_xlfn._xlws.FILTER(_xlpm.d,_xlpm.a*_xlpm.b)))</f>
        <v>0.94</v>
      </c>
      <c r="J18" s="1" cm="1">
        <f t="array" ref="J18">_xlfn.LET(_xlpm.d,J$2:J$13,_xlpm.a,$C$2:$C$13=$C18,_xlpm.b,$D$2:$D$13=$D18,MAX(_xlfn._xlws.FILTER(_xlpm.d,_xlpm.a*_xlpm.b)))</f>
        <v>0.98</v>
      </c>
      <c r="K18" s="1" cm="1">
        <f t="array" ref="K18">_xlfn.LET(_xlpm.d,K$2:K$13,_xlpm.a,$C$2:$C$13=$C18,_xlpm.b,$D$2:$D$13=$D18,MAX(_xlfn._xlws.FILTER(_xlpm.d,_xlpm.a*_xlpm.b)))</f>
        <v>0.96</v>
      </c>
      <c r="L18" s="1" cm="1">
        <f t="array" ref="L18">_xlfn.LET(_xlpm.d,L$2:L$13,_xlpm.a,$C$2:$C$13=$C18,_xlpm.b,$D$2:$D$13=$D18,MAX(_xlfn._xlws.FILTER(_xlpm.d,_xlpm.a*_xlpm.b)))</f>
        <v>0.95</v>
      </c>
      <c r="M18" s="1" cm="1">
        <f t="array" ref="M18">_xlfn.LET(_xlpm.d,M$2:M$13,_xlpm.a,$C$2:$C$13=$C18,_xlpm.b,$D$2:$D$13=$D18,MAX(_xlfn._xlws.FILTER(_xlpm.d,_xlpm.a*_xlpm.b)))</f>
        <v>0.89</v>
      </c>
      <c r="N18" s="1" cm="1">
        <f t="array" ref="N18">_xlfn.LET(_xlpm.d,N$2:N$13,_xlpm.a,$C$2:$C$13=$C18,_xlpm.b,$D$2:$D$13=$D18,MAX(_xlfn._xlws.FILTER(_xlpm.d,_xlpm.a*_xlpm.b)))</f>
        <v>0.94</v>
      </c>
      <c r="O18" s="1" cm="1">
        <f t="array" ref="O18">_xlfn.LET(_xlpm.d,O$2:O$13,_xlpm.a,$C$2:$C$13=$C18,_xlpm.b,$D$2:$D$13=$D18,MAX(_xlfn._xlws.FILTER(_xlpm.d,_xlpm.a*_xlpm.b)))</f>
        <v>0.93</v>
      </c>
      <c r="P18" s="1" cm="1">
        <f t="array" ref="P18">_xlfn.LET(_xlpm.d,P$2:P$13,_xlpm.a,$C$2:$C$13=$C18,_xlpm.b,$D$2:$D$13=$D18,MAX(_xlfn._xlws.FILTER(_xlpm.d,_xlpm.a*_xlpm.b)))</f>
        <v>0.95</v>
      </c>
      <c r="Q18" s="1" cm="1">
        <f t="array" ref="Q18">_xlfn.LET(_xlpm.d,Q$2:Q$13,_xlpm.a,$C$2:$C$13=$C18,_xlpm.b,$D$2:$D$13=$D18,MAX(_xlfn._xlws.FILTER(_xlpm.d,_xlpm.a*_xlpm.b)))</f>
        <v>0.97</v>
      </c>
      <c r="R18" s="1" cm="1">
        <f t="array" ref="R18">_xlfn.LET(_xlpm.d,R$2:R$13,_xlpm.a,$C$2:$C$13=$C18,_xlpm.b,$D$2:$D$13=$D18,MAX(_xlfn._xlws.FILTER(_xlpm.d,_xlpm.a*_xlpm.b)))</f>
        <v>0.94</v>
      </c>
      <c r="S18" s="1" cm="1">
        <f t="array" ref="S18">_xlfn.LET(_xlpm.d,S$2:S$13,_xlpm.a,$C$2:$C$13=$C18,_xlpm.b,$D$2:$D$13=$D18,MAX(_xlfn._xlws.FILTER(_xlpm.d,_xlpm.a*_xlpm.b)))</f>
        <v>0.98</v>
      </c>
    </row>
    <row r="19" spans="2:19" ht="25" customHeight="1">
      <c r="B19">
        <v>2</v>
      </c>
      <c r="C19" t="s">
        <v>23</v>
      </c>
      <c r="D19" t="b">
        <v>1</v>
      </c>
      <c r="E19">
        <v>0</v>
      </c>
      <c r="F19" t="s">
        <v>18</v>
      </c>
      <c r="G19" s="1" cm="1">
        <f t="array" ref="G19">_xlfn.LET(_xlpm.d,G$2:G$13,_xlpm.a,$C$2:$C$13=$C19,_xlpm.b,$D$2:$D$13=$D19,MAX(_xlfn._xlws.FILTER(_xlpm.d,_xlpm.a*_xlpm.b)))</f>
        <v>0.8</v>
      </c>
      <c r="H19" s="1" cm="1">
        <f t="array" ref="H19">_xlfn.LET(_xlpm.d,H$2:H$13,_xlpm.a,$C$2:$C$13=$C19,_xlpm.b,$D$2:$D$13=$D19,MAX(_xlfn._xlws.FILTER(_xlpm.d,_xlpm.a*_xlpm.b)))</f>
        <v>0.83</v>
      </c>
      <c r="I19" s="1" cm="1">
        <f t="array" ref="I19">_xlfn.LET(_xlpm.d,I$2:I$13,_xlpm.a,$C$2:$C$13=$C19,_xlpm.b,$D$2:$D$13=$D19,MAX(_xlfn._xlws.FILTER(_xlpm.d,_xlpm.a*_xlpm.b)))</f>
        <v>0.78</v>
      </c>
      <c r="J19" s="1" cm="1">
        <f t="array" ref="J19">_xlfn.LET(_xlpm.d,J$2:J$13,_xlpm.a,$C$2:$C$13=$C19,_xlpm.b,$D$2:$D$13=$D19,MAX(_xlfn._xlws.FILTER(_xlpm.d,_xlpm.a*_xlpm.b)))</f>
        <v>0.81</v>
      </c>
      <c r="K19" s="1" cm="1">
        <f t="array" ref="K19">_xlfn.LET(_xlpm.d,K$2:K$13,_xlpm.a,$C$2:$C$13=$C19,_xlpm.b,$D$2:$D$13=$D19,MAX(_xlfn._xlws.FILTER(_xlpm.d,_xlpm.a*_xlpm.b)))</f>
        <v>0.77</v>
      </c>
      <c r="L19" s="1" cm="1">
        <f t="array" ref="L19">_xlfn.LET(_xlpm.d,L$2:L$13,_xlpm.a,$C$2:$C$13=$C19,_xlpm.b,$D$2:$D$13=$D19,MAX(_xlfn._xlws.FILTER(_xlpm.d,_xlpm.a*_xlpm.b)))</f>
        <v>0.78</v>
      </c>
      <c r="M19" s="1" cm="1">
        <f t="array" ref="M19">_xlfn.LET(_xlpm.d,M$2:M$13,_xlpm.a,$C$2:$C$13=$C19,_xlpm.b,$D$2:$D$13=$D19,MAX(_xlfn._xlws.FILTER(_xlpm.d,_xlpm.a*_xlpm.b)))</f>
        <v>0.81</v>
      </c>
      <c r="N19" s="1" cm="1">
        <f t="array" ref="N19">_xlfn.LET(_xlpm.d,N$2:N$13,_xlpm.a,$C$2:$C$13=$C19,_xlpm.b,$D$2:$D$13=$D19,MAX(_xlfn._xlws.FILTER(_xlpm.d,_xlpm.a*_xlpm.b)))</f>
        <v>0.77</v>
      </c>
      <c r="O19" s="1" cm="1">
        <f t="array" ref="O19">_xlfn.LET(_xlpm.d,O$2:O$13,_xlpm.a,$C$2:$C$13=$C19,_xlpm.b,$D$2:$D$13=$D19,MAX(_xlfn._xlws.FILTER(_xlpm.d,_xlpm.a*_xlpm.b)))</f>
        <v>0.81</v>
      </c>
      <c r="P19" s="1" cm="1">
        <f t="array" ref="P19">_xlfn.LET(_xlpm.d,P$2:P$13,_xlpm.a,$C$2:$C$13=$C19,_xlpm.b,$D$2:$D$13=$D19,MAX(_xlfn._xlws.FILTER(_xlpm.d,_xlpm.a*_xlpm.b)))</f>
        <v>0.82</v>
      </c>
      <c r="Q19" s="1" cm="1">
        <f t="array" ref="Q19">_xlfn.LET(_xlpm.d,Q$2:Q$13,_xlpm.a,$C$2:$C$13=$C19,_xlpm.b,$D$2:$D$13=$D19,MAX(_xlfn._xlws.FILTER(_xlpm.d,_xlpm.a*_xlpm.b)))</f>
        <v>0.8</v>
      </c>
      <c r="R19" s="1" cm="1">
        <f t="array" ref="R19">_xlfn.LET(_xlpm.d,R$2:R$13,_xlpm.a,$C$2:$C$13=$C19,_xlpm.b,$D$2:$D$13=$D19,MAX(_xlfn._xlws.FILTER(_xlpm.d,_xlpm.a*_xlpm.b)))</f>
        <v>0.81</v>
      </c>
      <c r="S19" s="1" cm="1">
        <f t="array" ref="S19">_xlfn.LET(_xlpm.d,S$2:S$13,_xlpm.a,$C$2:$C$13=$C19,_xlpm.b,$D$2:$D$13=$D19,MAX(_xlfn._xlws.FILTER(_xlpm.d,_xlpm.a*_xlpm.b)))</f>
        <v>0.83</v>
      </c>
    </row>
    <row r="20" spans="2:19" ht="25" customHeight="1">
      <c r="B20">
        <v>2</v>
      </c>
      <c r="C20" t="s">
        <v>23</v>
      </c>
      <c r="D20" t="b">
        <v>0</v>
      </c>
      <c r="E20">
        <v>0</v>
      </c>
      <c r="F20" t="s">
        <v>18</v>
      </c>
      <c r="G20" s="1" cm="1">
        <f t="array" ref="G20">_xlfn.LET(_xlpm.d,G$2:G$13,_xlpm.a,$C$2:$C$13=$C20,_xlpm.b,$D$2:$D$13=$D20,MAX(_xlfn._xlws.FILTER(_xlpm.d,_xlpm.a*_xlpm.b)))</f>
        <v>0.8</v>
      </c>
      <c r="H20" s="1" cm="1">
        <f t="array" ref="H20">_xlfn.LET(_xlpm.d,H$2:H$13,_xlpm.a,$C$2:$C$13=$C20,_xlpm.b,$D$2:$D$13=$D20,MAX(_xlfn._xlws.FILTER(_xlpm.d,_xlpm.a*_xlpm.b)))</f>
        <v>0.81</v>
      </c>
      <c r="I20" s="1" cm="1">
        <f t="array" ref="I20">_xlfn.LET(_xlpm.d,I$2:I$13,_xlpm.a,$C$2:$C$13=$C20,_xlpm.b,$D$2:$D$13=$D20,MAX(_xlfn._xlws.FILTER(_xlpm.d,_xlpm.a*_xlpm.b)))</f>
        <v>0.78</v>
      </c>
      <c r="J20" s="1" cm="1">
        <f t="array" ref="J20">_xlfn.LET(_xlpm.d,J$2:J$13,_xlpm.a,$C$2:$C$13=$C20,_xlpm.b,$D$2:$D$13=$D20,MAX(_xlfn._xlws.FILTER(_xlpm.d,_xlpm.a*_xlpm.b)))</f>
        <v>0.78</v>
      </c>
      <c r="K20" s="1" cm="1">
        <f t="array" ref="K20">_xlfn.LET(_xlpm.d,K$2:K$13,_xlpm.a,$C$2:$C$13=$C20,_xlpm.b,$D$2:$D$13=$D20,MAX(_xlfn._xlws.FILTER(_xlpm.d,_xlpm.a*_xlpm.b)))</f>
        <v>0.76</v>
      </c>
      <c r="L20" s="1" cm="1">
        <f t="array" ref="L20">_xlfn.LET(_xlpm.d,L$2:L$13,_xlpm.a,$C$2:$C$13=$C20,_xlpm.b,$D$2:$D$13=$D20,MAX(_xlfn._xlws.FILTER(_xlpm.d,_xlpm.a*_xlpm.b)))</f>
        <v>0.76</v>
      </c>
      <c r="M20" s="1" cm="1">
        <f t="array" ref="M20">_xlfn.LET(_xlpm.d,M$2:M$13,_xlpm.a,$C$2:$C$13=$C20,_xlpm.b,$D$2:$D$13=$D20,MAX(_xlfn._xlws.FILTER(_xlpm.d,_xlpm.a*_xlpm.b)))</f>
        <v>0.8</v>
      </c>
      <c r="N20" s="1" cm="1">
        <f t="array" ref="N20">_xlfn.LET(_xlpm.d,N$2:N$13,_xlpm.a,$C$2:$C$13=$C20,_xlpm.b,$D$2:$D$13=$D20,MAX(_xlfn._xlws.FILTER(_xlpm.d,_xlpm.a*_xlpm.b)))</f>
        <v>0.79</v>
      </c>
      <c r="O20" s="1" cm="1">
        <f t="array" ref="O20">_xlfn.LET(_xlpm.d,O$2:O$13,_xlpm.a,$C$2:$C$13=$C20,_xlpm.b,$D$2:$D$13=$D20,MAX(_xlfn._xlws.FILTER(_xlpm.d,_xlpm.a*_xlpm.b)))</f>
        <v>0.8</v>
      </c>
      <c r="P20" s="1" cm="1">
        <f t="array" ref="P20">_xlfn.LET(_xlpm.d,P$2:P$13,_xlpm.a,$C$2:$C$13=$C20,_xlpm.b,$D$2:$D$13=$D20,MAX(_xlfn._xlws.FILTER(_xlpm.d,_xlpm.a*_xlpm.b)))</f>
        <v>0.78</v>
      </c>
      <c r="Q20" s="1" cm="1">
        <f t="array" ref="Q20">_xlfn.LET(_xlpm.d,Q$2:Q$13,_xlpm.a,$C$2:$C$13=$C20,_xlpm.b,$D$2:$D$13=$D20,MAX(_xlfn._xlws.FILTER(_xlpm.d,_xlpm.a*_xlpm.b)))</f>
        <v>0.8</v>
      </c>
      <c r="R20" s="1" cm="1">
        <f t="array" ref="R20">_xlfn.LET(_xlpm.d,R$2:R$13,_xlpm.a,$C$2:$C$13=$C20,_xlpm.b,$D$2:$D$13=$D20,MAX(_xlfn._xlws.FILTER(_xlpm.d,_xlpm.a*_xlpm.b)))</f>
        <v>0.8</v>
      </c>
      <c r="S20" s="1" cm="1">
        <f t="array" ref="S20">_xlfn.LET(_xlpm.d,S$2:S$13,_xlpm.a,$C$2:$C$13=$C20,_xlpm.b,$D$2:$D$13=$D20,MAX(_xlfn._xlws.FILTER(_xlpm.d,_xlpm.a*_xlpm.b)))</f>
        <v>0.81</v>
      </c>
    </row>
  </sheetData>
  <conditionalFormatting sqref="G2:S13">
    <cfRule type="colorScale" priority="1">
      <colorScale>
        <cfvo type="num" val="0"/>
        <cfvo type="percentile" val="50"/>
        <cfvo type="num" val="1"/>
        <color theme="4" tint="0.59999389629810485"/>
        <color theme="0"/>
        <color rgb="FFFFC000"/>
      </colorScale>
    </cfRule>
  </conditionalFormatting>
  <conditionalFormatting sqref="G17:S20">
    <cfRule type="colorScale" priority="2">
      <colorScale>
        <cfvo type="num" val="0"/>
        <cfvo type="percentile" val="50"/>
        <cfvo type="num" val="1"/>
        <color theme="4" tint="0.59999389629810485"/>
        <color theme="0"/>
        <color rgb="FFFFC000"/>
      </colorScale>
    </cfRule>
  </conditionalFormatting>
  <pageMargins left="0.75" right="0.75" top="1" bottom="1" header="0.5" footer="0.5"/>
  <tableParts count="2">
    <tablePart r:id="rId1"/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BF8BC-3EA0-0D4F-A73B-4E269C4DA655}">
  <dimension ref="A1:S20"/>
  <sheetViews>
    <sheetView workbookViewId="0">
      <pane xSplit="12480" ySplit="3080" topLeftCell="J5" activePane="bottomLeft"/>
      <selection pane="topRight" activeCell="T3" sqref="T3"/>
      <selection pane="bottomLeft" activeCell="B17" sqref="B17:S20"/>
      <selection pane="bottomRight" activeCell="G17" sqref="G17:S20"/>
    </sheetView>
  </sheetViews>
  <sheetFormatPr baseColWidth="10" defaultRowHeight="25" customHeight="1"/>
  <cols>
    <col min="2" max="2" width="9.375" customWidth="1"/>
    <col min="4" max="6" width="8.75" customWidth="1"/>
    <col min="7" max="19" width="7.875" customWidth="1"/>
  </cols>
  <sheetData>
    <row r="1" spans="1:19" ht="25" customHeigh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ht="25" customHeight="1">
      <c r="A2" t="s">
        <v>26</v>
      </c>
      <c r="B2">
        <v>1</v>
      </c>
      <c r="C2" t="s">
        <v>19</v>
      </c>
      <c r="D2" t="b">
        <v>1</v>
      </c>
      <c r="E2">
        <v>1</v>
      </c>
      <c r="F2" t="s">
        <v>20</v>
      </c>
      <c r="G2" s="1">
        <v>0.9</v>
      </c>
      <c r="H2" s="1">
        <v>0.91</v>
      </c>
      <c r="I2" s="1">
        <v>0.85</v>
      </c>
      <c r="J2" s="1">
        <v>0.92</v>
      </c>
      <c r="K2" s="1">
        <v>0.9</v>
      </c>
      <c r="L2" s="1">
        <v>0.83</v>
      </c>
      <c r="M2" s="1">
        <v>0.88</v>
      </c>
      <c r="N2" s="1">
        <v>0.89</v>
      </c>
      <c r="O2" s="1">
        <v>0.86</v>
      </c>
      <c r="P2" s="1">
        <v>0.89</v>
      </c>
      <c r="Q2" s="1">
        <v>0.89</v>
      </c>
      <c r="R2" s="1">
        <v>0.82</v>
      </c>
      <c r="S2" s="1">
        <f t="shared" ref="S2:S13" si="0">MAX($G2:$R2)</f>
        <v>0.92</v>
      </c>
    </row>
    <row r="3" spans="1:19" ht="25" customHeight="1">
      <c r="A3" t="s">
        <v>26</v>
      </c>
      <c r="B3">
        <v>1</v>
      </c>
      <c r="C3" t="s">
        <v>19</v>
      </c>
      <c r="D3" t="b">
        <v>1</v>
      </c>
      <c r="E3">
        <v>2</v>
      </c>
      <c r="F3" t="s">
        <v>21</v>
      </c>
      <c r="G3" s="1">
        <v>0.93</v>
      </c>
      <c r="H3" s="1">
        <v>0.91</v>
      </c>
      <c r="I3" s="1">
        <v>0.95</v>
      </c>
      <c r="J3" s="1">
        <v>0.98</v>
      </c>
      <c r="K3" s="1">
        <v>0.93</v>
      </c>
      <c r="L3" s="1">
        <v>0.94</v>
      </c>
      <c r="M3" s="1">
        <v>0.9</v>
      </c>
      <c r="N3" s="1">
        <v>0.91</v>
      </c>
      <c r="O3" s="1">
        <v>0.89</v>
      </c>
      <c r="P3" s="1">
        <v>0.94</v>
      </c>
      <c r="Q3" s="1">
        <v>0.94</v>
      </c>
      <c r="R3" s="1">
        <v>0.96</v>
      </c>
      <c r="S3" s="1">
        <f t="shared" si="0"/>
        <v>0.98</v>
      </c>
    </row>
    <row r="4" spans="1:19" ht="25" customHeight="1">
      <c r="A4" t="s">
        <v>26</v>
      </c>
      <c r="B4">
        <v>1</v>
      </c>
      <c r="C4" t="s">
        <v>19</v>
      </c>
      <c r="D4" t="b">
        <v>1</v>
      </c>
      <c r="E4">
        <v>3</v>
      </c>
      <c r="F4" t="s">
        <v>22</v>
      </c>
      <c r="G4" s="1">
        <v>0.93</v>
      </c>
      <c r="H4" s="1">
        <v>0.93</v>
      </c>
      <c r="I4" s="1">
        <v>0.9</v>
      </c>
      <c r="J4" s="1">
        <v>0.98</v>
      </c>
      <c r="K4" s="1">
        <v>0.95</v>
      </c>
      <c r="L4" s="1">
        <v>0.93</v>
      </c>
      <c r="M4" s="1">
        <v>0.9</v>
      </c>
      <c r="N4" s="1">
        <v>0.94</v>
      </c>
      <c r="O4" s="1">
        <v>0.88</v>
      </c>
      <c r="P4" s="1">
        <v>0.94</v>
      </c>
      <c r="Q4" s="1">
        <v>0.94</v>
      </c>
      <c r="R4" s="1">
        <v>0.96</v>
      </c>
      <c r="S4" s="1">
        <f t="shared" si="0"/>
        <v>0.98</v>
      </c>
    </row>
    <row r="5" spans="1:19" ht="25" customHeight="1">
      <c r="A5" t="s">
        <v>26</v>
      </c>
      <c r="B5">
        <v>1</v>
      </c>
      <c r="C5" t="s">
        <v>19</v>
      </c>
      <c r="D5" t="b">
        <v>0</v>
      </c>
      <c r="E5">
        <v>1</v>
      </c>
      <c r="F5" t="s">
        <v>20</v>
      </c>
      <c r="G5" s="1">
        <v>0.91</v>
      </c>
      <c r="H5" s="1">
        <v>0.83</v>
      </c>
      <c r="I5" s="1">
        <v>0.89</v>
      </c>
      <c r="J5" s="1">
        <v>0.89</v>
      </c>
      <c r="K5" s="1">
        <v>0.89</v>
      </c>
      <c r="L5" s="1">
        <v>0.86</v>
      </c>
      <c r="M5" s="1">
        <v>0.84</v>
      </c>
      <c r="N5" s="1">
        <v>0.86</v>
      </c>
      <c r="O5" s="1">
        <v>0.82</v>
      </c>
      <c r="P5" s="1">
        <v>0.88</v>
      </c>
      <c r="Q5" s="1">
        <v>0.86</v>
      </c>
      <c r="R5" s="1">
        <v>0.89</v>
      </c>
      <c r="S5" s="1">
        <f t="shared" si="0"/>
        <v>0.91</v>
      </c>
    </row>
    <row r="6" spans="1:19" ht="25" customHeight="1">
      <c r="A6" t="s">
        <v>26</v>
      </c>
      <c r="B6">
        <v>1</v>
      </c>
      <c r="C6" t="s">
        <v>19</v>
      </c>
      <c r="D6" t="b">
        <v>0</v>
      </c>
      <c r="E6">
        <v>2</v>
      </c>
      <c r="F6" t="s">
        <v>21</v>
      </c>
      <c r="G6" s="1">
        <v>0.93</v>
      </c>
      <c r="H6" s="1">
        <v>0.91</v>
      </c>
      <c r="I6" s="1">
        <v>0.94</v>
      </c>
      <c r="J6" s="1">
        <v>0.97</v>
      </c>
      <c r="K6" s="1">
        <v>0.94</v>
      </c>
      <c r="L6" s="1">
        <v>0.93</v>
      </c>
      <c r="M6" s="1">
        <v>0.89</v>
      </c>
      <c r="N6" s="1">
        <v>0.91</v>
      </c>
      <c r="O6" s="1">
        <v>0.89</v>
      </c>
      <c r="P6" s="1">
        <v>0.94</v>
      </c>
      <c r="Q6" s="1">
        <v>0.95</v>
      </c>
      <c r="R6" s="1">
        <v>0.95</v>
      </c>
      <c r="S6" s="1">
        <f t="shared" si="0"/>
        <v>0.97</v>
      </c>
    </row>
    <row r="7" spans="1:19" ht="25" customHeight="1">
      <c r="A7" t="s">
        <v>26</v>
      </c>
      <c r="B7">
        <v>1</v>
      </c>
      <c r="C7" t="s">
        <v>19</v>
      </c>
      <c r="D7" t="b">
        <v>0</v>
      </c>
      <c r="E7">
        <v>3</v>
      </c>
      <c r="F7" t="s">
        <v>22</v>
      </c>
      <c r="G7" s="1">
        <v>0.94</v>
      </c>
      <c r="H7" s="1">
        <v>0.94</v>
      </c>
      <c r="I7" s="1">
        <v>0.94</v>
      </c>
      <c r="J7" s="1">
        <v>0.97</v>
      </c>
      <c r="K7" s="1">
        <v>0.94</v>
      </c>
      <c r="L7" s="1">
        <v>0.92</v>
      </c>
      <c r="M7" s="1">
        <v>0.92</v>
      </c>
      <c r="N7" s="1">
        <v>0.94</v>
      </c>
      <c r="O7" s="1">
        <v>0.89</v>
      </c>
      <c r="P7" s="1">
        <v>0.94</v>
      </c>
      <c r="Q7" s="1">
        <v>0.94</v>
      </c>
      <c r="R7" s="1">
        <v>0.95</v>
      </c>
      <c r="S7" s="1">
        <f t="shared" si="0"/>
        <v>0.97</v>
      </c>
    </row>
    <row r="8" spans="1:19" ht="25" customHeight="1">
      <c r="A8" t="s">
        <v>26</v>
      </c>
      <c r="B8">
        <v>2</v>
      </c>
      <c r="C8" t="s">
        <v>23</v>
      </c>
      <c r="D8" t="b">
        <v>1</v>
      </c>
      <c r="E8">
        <v>1</v>
      </c>
      <c r="F8" t="s">
        <v>20</v>
      </c>
      <c r="G8" s="1">
        <v>0.76</v>
      </c>
      <c r="H8" s="1">
        <v>0.77</v>
      </c>
      <c r="I8" s="1">
        <v>0.73</v>
      </c>
      <c r="J8" s="1">
        <v>0.73</v>
      </c>
      <c r="K8" s="1">
        <v>0.69</v>
      </c>
      <c r="L8" s="1">
        <v>0.69</v>
      </c>
      <c r="M8" s="1">
        <v>0.79</v>
      </c>
      <c r="N8" s="1">
        <v>0.69</v>
      </c>
      <c r="O8" s="1">
        <v>0.66</v>
      </c>
      <c r="P8" s="1">
        <v>0.68</v>
      </c>
      <c r="Q8" s="1">
        <v>0.7</v>
      </c>
      <c r="R8" s="1">
        <v>0.72</v>
      </c>
      <c r="S8" s="1">
        <f t="shared" si="0"/>
        <v>0.79</v>
      </c>
    </row>
    <row r="9" spans="1:19" ht="25" customHeight="1">
      <c r="A9" t="s">
        <v>26</v>
      </c>
      <c r="B9">
        <v>2</v>
      </c>
      <c r="C9" t="s">
        <v>23</v>
      </c>
      <c r="D9" t="b">
        <v>1</v>
      </c>
      <c r="E9">
        <v>2</v>
      </c>
      <c r="F9" t="s">
        <v>21</v>
      </c>
      <c r="G9" s="1">
        <v>0.81</v>
      </c>
      <c r="H9" s="1">
        <v>0.84</v>
      </c>
      <c r="I9" s="1">
        <v>0.81</v>
      </c>
      <c r="J9" s="1">
        <v>0.8</v>
      </c>
      <c r="K9" s="1">
        <v>0.79</v>
      </c>
      <c r="L9" s="1">
        <v>0.81</v>
      </c>
      <c r="M9" s="1">
        <v>0.82</v>
      </c>
      <c r="N9" s="1">
        <v>0.8</v>
      </c>
      <c r="O9" s="1">
        <v>0.75</v>
      </c>
      <c r="P9" s="1">
        <v>0.78</v>
      </c>
      <c r="Q9" s="1">
        <v>0.77</v>
      </c>
      <c r="R9" s="1">
        <v>0.76</v>
      </c>
      <c r="S9" s="1">
        <f t="shared" si="0"/>
        <v>0.84</v>
      </c>
    </row>
    <row r="10" spans="1:19" ht="25" customHeight="1">
      <c r="A10" t="s">
        <v>26</v>
      </c>
      <c r="B10">
        <v>2</v>
      </c>
      <c r="C10" t="s">
        <v>23</v>
      </c>
      <c r="D10" t="b">
        <v>1</v>
      </c>
      <c r="E10">
        <v>3</v>
      </c>
      <c r="F10" t="s">
        <v>22</v>
      </c>
      <c r="G10" s="1">
        <v>0.8</v>
      </c>
      <c r="H10" s="1">
        <v>0.81</v>
      </c>
      <c r="I10" s="1">
        <v>0.79</v>
      </c>
      <c r="J10" s="1">
        <v>0.76</v>
      </c>
      <c r="K10" s="1">
        <v>0.76</v>
      </c>
      <c r="L10" s="1">
        <v>0.81</v>
      </c>
      <c r="M10" s="1">
        <v>0.77</v>
      </c>
      <c r="N10" s="1">
        <v>0.8</v>
      </c>
      <c r="O10" s="1">
        <v>0.7</v>
      </c>
      <c r="P10" s="1">
        <v>0.72</v>
      </c>
      <c r="Q10" s="1">
        <v>0.77</v>
      </c>
      <c r="R10" s="1">
        <v>0.79</v>
      </c>
      <c r="S10" s="1">
        <f t="shared" si="0"/>
        <v>0.81</v>
      </c>
    </row>
    <row r="11" spans="1:19" ht="25" customHeight="1">
      <c r="A11" t="s">
        <v>26</v>
      </c>
      <c r="B11">
        <v>2</v>
      </c>
      <c r="C11" t="s">
        <v>23</v>
      </c>
      <c r="D11" t="b">
        <v>0</v>
      </c>
      <c r="E11">
        <v>1</v>
      </c>
      <c r="F11" t="s">
        <v>20</v>
      </c>
      <c r="G11" s="1">
        <v>0.7</v>
      </c>
      <c r="H11" s="1">
        <v>0.76</v>
      </c>
      <c r="I11" s="1">
        <v>0.72</v>
      </c>
      <c r="J11" s="1">
        <v>0.71</v>
      </c>
      <c r="K11" s="1">
        <v>0.7</v>
      </c>
      <c r="L11" s="1">
        <v>0.72</v>
      </c>
      <c r="M11" s="1">
        <v>0.71</v>
      </c>
      <c r="N11" s="1">
        <v>0.68</v>
      </c>
      <c r="O11" s="1">
        <v>0.67</v>
      </c>
      <c r="P11" s="1">
        <v>0.65</v>
      </c>
      <c r="Q11" s="1">
        <v>0.71</v>
      </c>
      <c r="R11" s="1">
        <v>0.61</v>
      </c>
      <c r="S11" s="1">
        <f t="shared" si="0"/>
        <v>0.76</v>
      </c>
    </row>
    <row r="12" spans="1:19" ht="25" customHeight="1">
      <c r="A12" t="s">
        <v>26</v>
      </c>
      <c r="B12">
        <v>2</v>
      </c>
      <c r="C12" t="s">
        <v>23</v>
      </c>
      <c r="D12" t="b">
        <v>0</v>
      </c>
      <c r="E12">
        <v>2</v>
      </c>
      <c r="F12" t="s">
        <v>21</v>
      </c>
      <c r="G12" s="1">
        <v>0.8</v>
      </c>
      <c r="H12" s="1">
        <v>0.84</v>
      </c>
      <c r="I12" s="1">
        <v>0.8</v>
      </c>
      <c r="J12" s="1">
        <v>0.82</v>
      </c>
      <c r="K12" s="1">
        <v>0.79</v>
      </c>
      <c r="L12" s="1">
        <v>0.83</v>
      </c>
      <c r="M12" s="1">
        <v>0.77</v>
      </c>
      <c r="N12" s="1">
        <v>0.76</v>
      </c>
      <c r="O12" s="1">
        <v>0.74</v>
      </c>
      <c r="P12" s="1">
        <v>0.79</v>
      </c>
      <c r="Q12" s="1">
        <v>0.74</v>
      </c>
      <c r="R12" s="1">
        <v>0.77</v>
      </c>
      <c r="S12" s="1">
        <f t="shared" si="0"/>
        <v>0.84</v>
      </c>
    </row>
    <row r="13" spans="1:19" ht="25" customHeight="1">
      <c r="A13" t="s">
        <v>26</v>
      </c>
      <c r="B13">
        <v>2</v>
      </c>
      <c r="C13" t="s">
        <v>23</v>
      </c>
      <c r="D13" t="b">
        <v>0</v>
      </c>
      <c r="E13">
        <v>3</v>
      </c>
      <c r="F13" t="s">
        <v>22</v>
      </c>
      <c r="G13" s="1">
        <v>0.77</v>
      </c>
      <c r="H13" s="1">
        <v>0.83</v>
      </c>
      <c r="I13" s="1">
        <v>0.82</v>
      </c>
      <c r="J13" s="1">
        <v>0.73</v>
      </c>
      <c r="K13" s="1">
        <v>0.79</v>
      </c>
      <c r="L13" s="1">
        <v>0.79</v>
      </c>
      <c r="M13" s="1">
        <v>0.81</v>
      </c>
      <c r="N13" s="1">
        <v>0.77</v>
      </c>
      <c r="O13" s="1">
        <v>0.73</v>
      </c>
      <c r="P13" s="1">
        <v>0.72</v>
      </c>
      <c r="Q13" s="1">
        <v>0.78</v>
      </c>
      <c r="R13" s="1">
        <v>0.73</v>
      </c>
      <c r="S13" s="1">
        <f t="shared" si="0"/>
        <v>0.83</v>
      </c>
    </row>
    <row r="16" spans="1:19" ht="25" customHeight="1">
      <c r="B16" t="s">
        <v>1</v>
      </c>
      <c r="C16" t="s">
        <v>2</v>
      </c>
      <c r="D16" t="s">
        <v>24</v>
      </c>
      <c r="E16" t="s">
        <v>4</v>
      </c>
      <c r="F16" t="s">
        <v>25</v>
      </c>
      <c r="G16" t="s">
        <v>6</v>
      </c>
      <c r="H16" t="s">
        <v>7</v>
      </c>
      <c r="I16" t="s">
        <v>8</v>
      </c>
      <c r="J16" t="s">
        <v>9</v>
      </c>
      <c r="K16" t="s">
        <v>10</v>
      </c>
      <c r="L16" t="s">
        <v>11</v>
      </c>
      <c r="M16" t="s">
        <v>12</v>
      </c>
      <c r="N16" t="s">
        <v>13</v>
      </c>
      <c r="O16" t="s">
        <v>14</v>
      </c>
      <c r="P16" t="s">
        <v>15</v>
      </c>
      <c r="Q16" t="s">
        <v>16</v>
      </c>
      <c r="R16" t="s">
        <v>17</v>
      </c>
      <c r="S16" t="s">
        <v>18</v>
      </c>
    </row>
    <row r="17" spans="2:19" ht="25" customHeight="1">
      <c r="B17">
        <v>1</v>
      </c>
      <c r="C17" t="s">
        <v>19</v>
      </c>
      <c r="D17" t="b">
        <v>1</v>
      </c>
      <c r="E17">
        <v>0</v>
      </c>
      <c r="F17" t="s">
        <v>18</v>
      </c>
      <c r="G17" s="1" cm="1">
        <f t="array" ref="G17">_xlfn.LET(_xlpm.d,G$2:G$13,_xlpm.a,$C$2:$C$13=$C17,_xlpm.b,$D$2:$D$13=$D17,MAX(_xlfn._xlws.FILTER(_xlpm.d,_xlpm.a*_xlpm.b)))</f>
        <v>0.93</v>
      </c>
      <c r="H17" s="1" cm="1">
        <f t="array" ref="H17">_xlfn.LET(_xlpm.d,H$2:H$13,_xlpm.a,$C$2:$C$13=$C17,_xlpm.b,$D$2:$D$13=$D17,MAX(_xlfn._xlws.FILTER(_xlpm.d,_xlpm.a*_xlpm.b)))</f>
        <v>0.93</v>
      </c>
      <c r="I17" s="1" cm="1">
        <f t="array" ref="I17">_xlfn.LET(_xlpm.d,I$2:I$13,_xlpm.a,$C$2:$C$13=$C17,_xlpm.b,$D$2:$D$13=$D17,MAX(_xlfn._xlws.FILTER(_xlpm.d,_xlpm.a*_xlpm.b)))</f>
        <v>0.95</v>
      </c>
      <c r="J17" s="1" cm="1">
        <f t="array" ref="J17">_xlfn.LET(_xlpm.d,J$2:J$13,_xlpm.a,$C$2:$C$13=$C17,_xlpm.b,$D$2:$D$13=$D17,MAX(_xlfn._xlws.FILTER(_xlpm.d,_xlpm.a*_xlpm.b)))</f>
        <v>0.98</v>
      </c>
      <c r="K17" s="1" cm="1">
        <f t="array" ref="K17">_xlfn.LET(_xlpm.d,K$2:K$13,_xlpm.a,$C$2:$C$13=$C17,_xlpm.b,$D$2:$D$13=$D17,MAX(_xlfn._xlws.FILTER(_xlpm.d,_xlpm.a*_xlpm.b)))</f>
        <v>0.95</v>
      </c>
      <c r="L17" s="1" cm="1">
        <f t="array" ref="L17">_xlfn.LET(_xlpm.d,L$2:L$13,_xlpm.a,$C$2:$C$13=$C17,_xlpm.b,$D$2:$D$13=$D17,MAX(_xlfn._xlws.FILTER(_xlpm.d,_xlpm.a*_xlpm.b)))</f>
        <v>0.94</v>
      </c>
      <c r="M17" s="1" cm="1">
        <f t="array" ref="M17">_xlfn.LET(_xlpm.d,M$2:M$13,_xlpm.a,$C$2:$C$13=$C17,_xlpm.b,$D$2:$D$13=$D17,MAX(_xlfn._xlws.FILTER(_xlpm.d,_xlpm.a*_xlpm.b)))</f>
        <v>0.9</v>
      </c>
      <c r="N17" s="1" cm="1">
        <f t="array" ref="N17">_xlfn.LET(_xlpm.d,N$2:N$13,_xlpm.a,$C$2:$C$13=$C17,_xlpm.b,$D$2:$D$13=$D17,MAX(_xlfn._xlws.FILTER(_xlpm.d,_xlpm.a*_xlpm.b)))</f>
        <v>0.94</v>
      </c>
      <c r="O17" s="1" cm="1">
        <f t="array" ref="O17">_xlfn.LET(_xlpm.d,O$2:O$13,_xlpm.a,$C$2:$C$13=$C17,_xlpm.b,$D$2:$D$13=$D17,MAX(_xlfn._xlws.FILTER(_xlpm.d,_xlpm.a*_xlpm.b)))</f>
        <v>0.89</v>
      </c>
      <c r="P17" s="1" cm="1">
        <f t="array" ref="P17">_xlfn.LET(_xlpm.d,P$2:P$13,_xlpm.a,$C$2:$C$13=$C17,_xlpm.b,$D$2:$D$13=$D17,MAX(_xlfn._xlws.FILTER(_xlpm.d,_xlpm.a*_xlpm.b)))</f>
        <v>0.94</v>
      </c>
      <c r="Q17" s="1" cm="1">
        <f t="array" ref="Q17">_xlfn.LET(_xlpm.d,Q$2:Q$13,_xlpm.a,$C$2:$C$13=$C17,_xlpm.b,$D$2:$D$13=$D17,MAX(_xlfn._xlws.FILTER(_xlpm.d,_xlpm.a*_xlpm.b)))</f>
        <v>0.94</v>
      </c>
      <c r="R17" s="1" cm="1">
        <f t="array" ref="R17">_xlfn.LET(_xlpm.d,R$2:R$13,_xlpm.a,$C$2:$C$13=$C17,_xlpm.b,$D$2:$D$13=$D17,MAX(_xlfn._xlws.FILTER(_xlpm.d,_xlpm.a*_xlpm.b)))</f>
        <v>0.96</v>
      </c>
      <c r="S17" s="1" cm="1">
        <f t="array" ref="S17">_xlfn.LET(_xlpm.d,S$2:S$13,_xlpm.a,$C$2:$C$13=$C17,_xlpm.b,$D$2:$D$13=$D17,MAX(_xlfn._xlws.FILTER(_xlpm.d,_xlpm.a*_xlpm.b)))</f>
        <v>0.98</v>
      </c>
    </row>
    <row r="18" spans="2:19" ht="25" customHeight="1">
      <c r="B18">
        <v>1</v>
      </c>
      <c r="C18" t="s">
        <v>19</v>
      </c>
      <c r="D18" t="b">
        <v>0</v>
      </c>
      <c r="E18">
        <v>0</v>
      </c>
      <c r="F18" t="s">
        <v>18</v>
      </c>
      <c r="G18" s="1" cm="1">
        <f t="array" ref="G18">_xlfn.LET(_xlpm.d,G$2:G$13,_xlpm.a,$C$2:$C$13=$C18,_xlpm.b,$D$2:$D$13=$D18,MAX(_xlfn._xlws.FILTER(_xlpm.d,_xlpm.a*_xlpm.b)))</f>
        <v>0.94</v>
      </c>
      <c r="H18" s="1" cm="1">
        <f t="array" ref="H18">_xlfn.LET(_xlpm.d,H$2:H$13,_xlpm.a,$C$2:$C$13=$C18,_xlpm.b,$D$2:$D$13=$D18,MAX(_xlfn._xlws.FILTER(_xlpm.d,_xlpm.a*_xlpm.b)))</f>
        <v>0.94</v>
      </c>
      <c r="I18" s="1" cm="1">
        <f t="array" ref="I18">_xlfn.LET(_xlpm.d,I$2:I$13,_xlpm.a,$C$2:$C$13=$C18,_xlpm.b,$D$2:$D$13=$D18,MAX(_xlfn._xlws.FILTER(_xlpm.d,_xlpm.a*_xlpm.b)))</f>
        <v>0.94</v>
      </c>
      <c r="J18" s="1" cm="1">
        <f t="array" ref="J18">_xlfn.LET(_xlpm.d,J$2:J$13,_xlpm.a,$C$2:$C$13=$C18,_xlpm.b,$D$2:$D$13=$D18,MAX(_xlfn._xlws.FILTER(_xlpm.d,_xlpm.a*_xlpm.b)))</f>
        <v>0.97</v>
      </c>
      <c r="K18" s="1" cm="1">
        <f t="array" ref="K18">_xlfn.LET(_xlpm.d,K$2:K$13,_xlpm.a,$C$2:$C$13=$C18,_xlpm.b,$D$2:$D$13=$D18,MAX(_xlfn._xlws.FILTER(_xlpm.d,_xlpm.a*_xlpm.b)))</f>
        <v>0.94</v>
      </c>
      <c r="L18" s="1" cm="1">
        <f t="array" ref="L18">_xlfn.LET(_xlpm.d,L$2:L$13,_xlpm.a,$C$2:$C$13=$C18,_xlpm.b,$D$2:$D$13=$D18,MAX(_xlfn._xlws.FILTER(_xlpm.d,_xlpm.a*_xlpm.b)))</f>
        <v>0.93</v>
      </c>
      <c r="M18" s="1" cm="1">
        <f t="array" ref="M18">_xlfn.LET(_xlpm.d,M$2:M$13,_xlpm.a,$C$2:$C$13=$C18,_xlpm.b,$D$2:$D$13=$D18,MAX(_xlfn._xlws.FILTER(_xlpm.d,_xlpm.a*_xlpm.b)))</f>
        <v>0.92</v>
      </c>
      <c r="N18" s="1" cm="1">
        <f t="array" ref="N18">_xlfn.LET(_xlpm.d,N$2:N$13,_xlpm.a,$C$2:$C$13=$C18,_xlpm.b,$D$2:$D$13=$D18,MAX(_xlfn._xlws.FILTER(_xlpm.d,_xlpm.a*_xlpm.b)))</f>
        <v>0.94</v>
      </c>
      <c r="O18" s="1" cm="1">
        <f t="array" ref="O18">_xlfn.LET(_xlpm.d,O$2:O$13,_xlpm.a,$C$2:$C$13=$C18,_xlpm.b,$D$2:$D$13=$D18,MAX(_xlfn._xlws.FILTER(_xlpm.d,_xlpm.a*_xlpm.b)))</f>
        <v>0.89</v>
      </c>
      <c r="P18" s="1" cm="1">
        <f t="array" ref="P18">_xlfn.LET(_xlpm.d,P$2:P$13,_xlpm.a,$C$2:$C$13=$C18,_xlpm.b,$D$2:$D$13=$D18,MAX(_xlfn._xlws.FILTER(_xlpm.d,_xlpm.a*_xlpm.b)))</f>
        <v>0.94</v>
      </c>
      <c r="Q18" s="1" cm="1">
        <f t="array" ref="Q18">_xlfn.LET(_xlpm.d,Q$2:Q$13,_xlpm.a,$C$2:$C$13=$C18,_xlpm.b,$D$2:$D$13=$D18,MAX(_xlfn._xlws.FILTER(_xlpm.d,_xlpm.a*_xlpm.b)))</f>
        <v>0.95</v>
      </c>
      <c r="R18" s="1" cm="1">
        <f t="array" ref="R18">_xlfn.LET(_xlpm.d,R$2:R$13,_xlpm.a,$C$2:$C$13=$C18,_xlpm.b,$D$2:$D$13=$D18,MAX(_xlfn._xlws.FILTER(_xlpm.d,_xlpm.a*_xlpm.b)))</f>
        <v>0.95</v>
      </c>
      <c r="S18" s="1" cm="1">
        <f t="array" ref="S18">_xlfn.LET(_xlpm.d,S$2:S$13,_xlpm.a,$C$2:$C$13=$C18,_xlpm.b,$D$2:$D$13=$D18,MAX(_xlfn._xlws.FILTER(_xlpm.d,_xlpm.a*_xlpm.b)))</f>
        <v>0.97</v>
      </c>
    </row>
    <row r="19" spans="2:19" ht="25" customHeight="1">
      <c r="B19">
        <v>2</v>
      </c>
      <c r="C19" t="s">
        <v>23</v>
      </c>
      <c r="D19" t="b">
        <v>1</v>
      </c>
      <c r="E19">
        <v>0</v>
      </c>
      <c r="F19" t="s">
        <v>18</v>
      </c>
      <c r="G19" s="1" cm="1">
        <f t="array" ref="G19">_xlfn.LET(_xlpm.d,G$2:G$13,_xlpm.a,$C$2:$C$13=$C19,_xlpm.b,$D$2:$D$13=$D19,MAX(_xlfn._xlws.FILTER(_xlpm.d,_xlpm.a*_xlpm.b)))</f>
        <v>0.81</v>
      </c>
      <c r="H19" s="1" cm="1">
        <f t="array" ref="H19">_xlfn.LET(_xlpm.d,H$2:H$13,_xlpm.a,$C$2:$C$13=$C19,_xlpm.b,$D$2:$D$13=$D19,MAX(_xlfn._xlws.FILTER(_xlpm.d,_xlpm.a*_xlpm.b)))</f>
        <v>0.84</v>
      </c>
      <c r="I19" s="1" cm="1">
        <f t="array" ref="I19">_xlfn.LET(_xlpm.d,I$2:I$13,_xlpm.a,$C$2:$C$13=$C19,_xlpm.b,$D$2:$D$13=$D19,MAX(_xlfn._xlws.FILTER(_xlpm.d,_xlpm.a*_xlpm.b)))</f>
        <v>0.81</v>
      </c>
      <c r="J19" s="1" cm="1">
        <f t="array" ref="J19">_xlfn.LET(_xlpm.d,J$2:J$13,_xlpm.a,$C$2:$C$13=$C19,_xlpm.b,$D$2:$D$13=$D19,MAX(_xlfn._xlws.FILTER(_xlpm.d,_xlpm.a*_xlpm.b)))</f>
        <v>0.8</v>
      </c>
      <c r="K19" s="1" cm="1">
        <f t="array" ref="K19">_xlfn.LET(_xlpm.d,K$2:K$13,_xlpm.a,$C$2:$C$13=$C19,_xlpm.b,$D$2:$D$13=$D19,MAX(_xlfn._xlws.FILTER(_xlpm.d,_xlpm.a*_xlpm.b)))</f>
        <v>0.79</v>
      </c>
      <c r="L19" s="1" cm="1">
        <f t="array" ref="L19">_xlfn.LET(_xlpm.d,L$2:L$13,_xlpm.a,$C$2:$C$13=$C19,_xlpm.b,$D$2:$D$13=$D19,MAX(_xlfn._xlws.FILTER(_xlpm.d,_xlpm.a*_xlpm.b)))</f>
        <v>0.81</v>
      </c>
      <c r="M19" s="1" cm="1">
        <f t="array" ref="M19">_xlfn.LET(_xlpm.d,M$2:M$13,_xlpm.a,$C$2:$C$13=$C19,_xlpm.b,$D$2:$D$13=$D19,MAX(_xlfn._xlws.FILTER(_xlpm.d,_xlpm.a*_xlpm.b)))</f>
        <v>0.82</v>
      </c>
      <c r="N19" s="1" cm="1">
        <f t="array" ref="N19">_xlfn.LET(_xlpm.d,N$2:N$13,_xlpm.a,$C$2:$C$13=$C19,_xlpm.b,$D$2:$D$13=$D19,MAX(_xlfn._xlws.FILTER(_xlpm.d,_xlpm.a*_xlpm.b)))</f>
        <v>0.8</v>
      </c>
      <c r="O19" s="1" cm="1">
        <f t="array" ref="O19">_xlfn.LET(_xlpm.d,O$2:O$13,_xlpm.a,$C$2:$C$13=$C19,_xlpm.b,$D$2:$D$13=$D19,MAX(_xlfn._xlws.FILTER(_xlpm.d,_xlpm.a*_xlpm.b)))</f>
        <v>0.75</v>
      </c>
      <c r="P19" s="1" cm="1">
        <f t="array" ref="P19">_xlfn.LET(_xlpm.d,P$2:P$13,_xlpm.a,$C$2:$C$13=$C19,_xlpm.b,$D$2:$D$13=$D19,MAX(_xlfn._xlws.FILTER(_xlpm.d,_xlpm.a*_xlpm.b)))</f>
        <v>0.78</v>
      </c>
      <c r="Q19" s="1" cm="1">
        <f t="array" ref="Q19">_xlfn.LET(_xlpm.d,Q$2:Q$13,_xlpm.a,$C$2:$C$13=$C19,_xlpm.b,$D$2:$D$13=$D19,MAX(_xlfn._xlws.FILTER(_xlpm.d,_xlpm.a*_xlpm.b)))</f>
        <v>0.77</v>
      </c>
      <c r="R19" s="1" cm="1">
        <f t="array" ref="R19">_xlfn.LET(_xlpm.d,R$2:R$13,_xlpm.a,$C$2:$C$13=$C19,_xlpm.b,$D$2:$D$13=$D19,MAX(_xlfn._xlws.FILTER(_xlpm.d,_xlpm.a*_xlpm.b)))</f>
        <v>0.79</v>
      </c>
      <c r="S19" s="1" cm="1">
        <f t="array" ref="S19">_xlfn.LET(_xlpm.d,S$2:S$13,_xlpm.a,$C$2:$C$13=$C19,_xlpm.b,$D$2:$D$13=$D19,MAX(_xlfn._xlws.FILTER(_xlpm.d,_xlpm.a*_xlpm.b)))</f>
        <v>0.84</v>
      </c>
    </row>
    <row r="20" spans="2:19" ht="25" customHeight="1">
      <c r="B20">
        <v>2</v>
      </c>
      <c r="C20" t="s">
        <v>23</v>
      </c>
      <c r="D20" t="b">
        <v>0</v>
      </c>
      <c r="E20">
        <v>0</v>
      </c>
      <c r="F20" t="s">
        <v>18</v>
      </c>
      <c r="G20" s="1" cm="1">
        <f t="array" ref="G20">_xlfn.LET(_xlpm.d,G$2:G$13,_xlpm.a,$C$2:$C$13=$C20,_xlpm.b,$D$2:$D$13=$D20,MAX(_xlfn._xlws.FILTER(_xlpm.d,_xlpm.a*_xlpm.b)))</f>
        <v>0.8</v>
      </c>
      <c r="H20" s="1" cm="1">
        <f t="array" ref="H20">_xlfn.LET(_xlpm.d,H$2:H$13,_xlpm.a,$C$2:$C$13=$C20,_xlpm.b,$D$2:$D$13=$D20,MAX(_xlfn._xlws.FILTER(_xlpm.d,_xlpm.a*_xlpm.b)))</f>
        <v>0.84</v>
      </c>
      <c r="I20" s="1" cm="1">
        <f t="array" ref="I20">_xlfn.LET(_xlpm.d,I$2:I$13,_xlpm.a,$C$2:$C$13=$C20,_xlpm.b,$D$2:$D$13=$D20,MAX(_xlfn._xlws.FILTER(_xlpm.d,_xlpm.a*_xlpm.b)))</f>
        <v>0.82</v>
      </c>
      <c r="J20" s="1" cm="1">
        <f t="array" ref="J20">_xlfn.LET(_xlpm.d,J$2:J$13,_xlpm.a,$C$2:$C$13=$C20,_xlpm.b,$D$2:$D$13=$D20,MAX(_xlfn._xlws.FILTER(_xlpm.d,_xlpm.a*_xlpm.b)))</f>
        <v>0.82</v>
      </c>
      <c r="K20" s="1" cm="1">
        <f t="array" ref="K20">_xlfn.LET(_xlpm.d,K$2:K$13,_xlpm.a,$C$2:$C$13=$C20,_xlpm.b,$D$2:$D$13=$D20,MAX(_xlfn._xlws.FILTER(_xlpm.d,_xlpm.a*_xlpm.b)))</f>
        <v>0.79</v>
      </c>
      <c r="L20" s="1" cm="1">
        <f t="array" ref="L20">_xlfn.LET(_xlpm.d,L$2:L$13,_xlpm.a,$C$2:$C$13=$C20,_xlpm.b,$D$2:$D$13=$D20,MAX(_xlfn._xlws.FILTER(_xlpm.d,_xlpm.a*_xlpm.b)))</f>
        <v>0.83</v>
      </c>
      <c r="M20" s="1" cm="1">
        <f t="array" ref="M20">_xlfn.LET(_xlpm.d,M$2:M$13,_xlpm.a,$C$2:$C$13=$C20,_xlpm.b,$D$2:$D$13=$D20,MAX(_xlfn._xlws.FILTER(_xlpm.d,_xlpm.a*_xlpm.b)))</f>
        <v>0.81</v>
      </c>
      <c r="N20" s="1" cm="1">
        <f t="array" ref="N20">_xlfn.LET(_xlpm.d,N$2:N$13,_xlpm.a,$C$2:$C$13=$C20,_xlpm.b,$D$2:$D$13=$D20,MAX(_xlfn._xlws.FILTER(_xlpm.d,_xlpm.a*_xlpm.b)))</f>
        <v>0.77</v>
      </c>
      <c r="O20" s="1" cm="1">
        <f t="array" ref="O20">_xlfn.LET(_xlpm.d,O$2:O$13,_xlpm.a,$C$2:$C$13=$C20,_xlpm.b,$D$2:$D$13=$D20,MAX(_xlfn._xlws.FILTER(_xlpm.d,_xlpm.a*_xlpm.b)))</f>
        <v>0.74</v>
      </c>
      <c r="P20" s="1" cm="1">
        <f t="array" ref="P20">_xlfn.LET(_xlpm.d,P$2:P$13,_xlpm.a,$C$2:$C$13=$C20,_xlpm.b,$D$2:$D$13=$D20,MAX(_xlfn._xlws.FILTER(_xlpm.d,_xlpm.a*_xlpm.b)))</f>
        <v>0.79</v>
      </c>
      <c r="Q20" s="1" cm="1">
        <f t="array" ref="Q20">_xlfn.LET(_xlpm.d,Q$2:Q$13,_xlpm.a,$C$2:$C$13=$C20,_xlpm.b,$D$2:$D$13=$D20,MAX(_xlfn._xlws.FILTER(_xlpm.d,_xlpm.a*_xlpm.b)))</f>
        <v>0.78</v>
      </c>
      <c r="R20" s="1" cm="1">
        <f t="array" ref="R20">_xlfn.LET(_xlpm.d,R$2:R$13,_xlpm.a,$C$2:$C$13=$C20,_xlpm.b,$D$2:$D$13=$D20,MAX(_xlfn._xlws.FILTER(_xlpm.d,_xlpm.a*_xlpm.b)))</f>
        <v>0.77</v>
      </c>
      <c r="S20" s="1" cm="1">
        <f t="array" ref="S20">_xlfn.LET(_xlpm.d,S$2:S$13,_xlpm.a,$C$2:$C$13=$C20,_xlpm.b,$D$2:$D$13=$D20,MAX(_xlfn._xlws.FILTER(_xlpm.d,_xlpm.a*_xlpm.b)))</f>
        <v>0.84</v>
      </c>
    </row>
  </sheetData>
  <conditionalFormatting sqref="G2:S13">
    <cfRule type="colorScale" priority="1">
      <colorScale>
        <cfvo type="num" val="0"/>
        <cfvo type="percentile" val="50"/>
        <cfvo type="num" val="1"/>
        <color theme="4" tint="0.59999389629810485"/>
        <color theme="0"/>
        <color rgb="FFFFC000"/>
      </colorScale>
    </cfRule>
  </conditionalFormatting>
  <conditionalFormatting sqref="G17:S20">
    <cfRule type="colorScale" priority="2">
      <colorScale>
        <cfvo type="num" val="0"/>
        <cfvo type="percentile" val="50"/>
        <cfvo type="num" val="1"/>
        <color theme="4" tint="0.59999389629810485"/>
        <color theme="0"/>
        <color rgb="FFFFC000"/>
      </colorScale>
    </cfRule>
  </conditionalFormatting>
  <pageMargins left="0.75" right="0.75" top="1" bottom="1" header="0.5" footer="0.5"/>
  <tableParts count="2">
    <tablePart r:id="rId1"/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AE8D2-690A-1342-A8EB-2DB73B1D1042}">
  <dimension ref="A1:S20"/>
  <sheetViews>
    <sheetView workbookViewId="0">
      <selection activeCell="K13" sqref="K13"/>
    </sheetView>
  </sheetViews>
  <sheetFormatPr baseColWidth="10" defaultRowHeight="25" customHeight="1"/>
  <cols>
    <col min="2" max="5" width="8.25" customWidth="1"/>
    <col min="7" max="19" width="7.75" customWidth="1"/>
  </cols>
  <sheetData>
    <row r="1" spans="1:19" ht="25" customHeigh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ht="25" customHeight="1">
      <c r="A2" t="s">
        <v>26</v>
      </c>
      <c r="B2">
        <v>1</v>
      </c>
      <c r="C2" t="s">
        <v>19</v>
      </c>
      <c r="D2" t="b">
        <v>1</v>
      </c>
      <c r="E2">
        <v>1</v>
      </c>
      <c r="F2" t="s">
        <v>20</v>
      </c>
      <c r="G2" s="1">
        <v>0.91</v>
      </c>
      <c r="H2" s="1">
        <v>0.9</v>
      </c>
      <c r="I2" s="1">
        <v>0.89</v>
      </c>
      <c r="J2" s="1">
        <v>0.93</v>
      </c>
      <c r="K2" s="1">
        <v>0.89</v>
      </c>
      <c r="L2" s="1">
        <v>0.78</v>
      </c>
      <c r="M2" s="1">
        <v>0.91</v>
      </c>
      <c r="N2" s="1">
        <v>0.87</v>
      </c>
      <c r="O2" s="1">
        <v>0.93</v>
      </c>
      <c r="P2" s="1">
        <v>0.92</v>
      </c>
      <c r="Q2" s="1">
        <v>0.88</v>
      </c>
      <c r="R2" s="1">
        <v>0.86</v>
      </c>
      <c r="S2" s="1">
        <f t="shared" ref="S2:S13" si="0">MAX($G2:$R2)</f>
        <v>0.93</v>
      </c>
    </row>
    <row r="3" spans="1:19" ht="25" customHeight="1">
      <c r="A3" t="s">
        <v>26</v>
      </c>
      <c r="B3">
        <v>1</v>
      </c>
      <c r="C3" t="s">
        <v>19</v>
      </c>
      <c r="D3" t="b">
        <v>1</v>
      </c>
      <c r="E3">
        <v>2</v>
      </c>
      <c r="F3" t="s">
        <v>21</v>
      </c>
      <c r="G3" s="1">
        <v>0.91</v>
      </c>
      <c r="H3" s="1">
        <v>0.9</v>
      </c>
      <c r="I3" s="1">
        <v>0.9</v>
      </c>
      <c r="J3" s="1">
        <v>0.94</v>
      </c>
      <c r="K3" s="1">
        <v>0.91</v>
      </c>
      <c r="L3" s="1">
        <v>0.96</v>
      </c>
      <c r="M3" s="1">
        <v>0.95</v>
      </c>
      <c r="N3" s="1">
        <v>0.92</v>
      </c>
      <c r="O3" s="1">
        <v>0.94</v>
      </c>
      <c r="P3" s="1">
        <v>0.94</v>
      </c>
      <c r="Q3" s="1">
        <v>0.95</v>
      </c>
      <c r="R3" s="1">
        <v>0.96</v>
      </c>
      <c r="S3" s="1">
        <f t="shared" si="0"/>
        <v>0.96</v>
      </c>
    </row>
    <row r="4" spans="1:19" ht="25" customHeight="1">
      <c r="A4" t="s">
        <v>26</v>
      </c>
      <c r="B4">
        <v>1</v>
      </c>
      <c r="C4" t="s">
        <v>19</v>
      </c>
      <c r="D4" t="b">
        <v>1</v>
      </c>
      <c r="E4">
        <v>3</v>
      </c>
      <c r="F4" t="s">
        <v>22</v>
      </c>
      <c r="G4" s="1">
        <v>0.92</v>
      </c>
      <c r="H4" s="1">
        <v>0.91</v>
      </c>
      <c r="I4" s="1">
        <v>0.94</v>
      </c>
      <c r="J4" s="1">
        <v>0.94</v>
      </c>
      <c r="K4" s="1">
        <v>0.93</v>
      </c>
      <c r="L4" s="1">
        <v>0.94</v>
      </c>
      <c r="M4" s="1">
        <v>0.95</v>
      </c>
      <c r="N4" s="1">
        <v>0.93</v>
      </c>
      <c r="O4" s="1">
        <v>0.92</v>
      </c>
      <c r="P4" s="1">
        <v>0.95</v>
      </c>
      <c r="Q4" s="1">
        <v>0.94</v>
      </c>
      <c r="R4" s="1">
        <v>0.96</v>
      </c>
      <c r="S4" s="1">
        <f t="shared" si="0"/>
        <v>0.96</v>
      </c>
    </row>
    <row r="5" spans="1:19" ht="25" customHeight="1">
      <c r="A5" t="s">
        <v>26</v>
      </c>
      <c r="B5">
        <v>1</v>
      </c>
      <c r="C5" t="s">
        <v>19</v>
      </c>
      <c r="D5" t="b">
        <v>0</v>
      </c>
      <c r="E5">
        <v>1</v>
      </c>
      <c r="F5" t="s">
        <v>20</v>
      </c>
      <c r="G5" s="1">
        <v>0.89</v>
      </c>
      <c r="H5" s="1">
        <v>0.84</v>
      </c>
      <c r="I5" s="1">
        <v>0.84</v>
      </c>
      <c r="J5" s="1">
        <v>0.9</v>
      </c>
      <c r="K5" s="1">
        <v>0.89</v>
      </c>
      <c r="L5" s="1">
        <v>0.88</v>
      </c>
      <c r="M5" s="1">
        <v>0.91</v>
      </c>
      <c r="N5" s="1">
        <v>0.89</v>
      </c>
      <c r="O5" s="1">
        <v>0.87</v>
      </c>
      <c r="P5" s="1">
        <v>0.92</v>
      </c>
      <c r="Q5" s="1">
        <v>0.88</v>
      </c>
      <c r="R5" s="1">
        <v>0.94</v>
      </c>
      <c r="S5" s="1">
        <f t="shared" si="0"/>
        <v>0.94</v>
      </c>
    </row>
    <row r="6" spans="1:19" ht="25" customHeight="1">
      <c r="A6" t="s">
        <v>26</v>
      </c>
      <c r="B6">
        <v>1</v>
      </c>
      <c r="C6" t="s">
        <v>19</v>
      </c>
      <c r="D6" t="b">
        <v>0</v>
      </c>
      <c r="E6">
        <v>2</v>
      </c>
      <c r="F6" t="s">
        <v>21</v>
      </c>
      <c r="G6" s="1">
        <v>0.94</v>
      </c>
      <c r="H6" s="1">
        <v>0.9</v>
      </c>
      <c r="I6" s="1">
        <v>0.92</v>
      </c>
      <c r="J6" s="1">
        <v>0.94</v>
      </c>
      <c r="K6" s="1">
        <v>0.89</v>
      </c>
      <c r="L6" s="1">
        <v>0.95</v>
      </c>
      <c r="M6" s="1">
        <v>0.94</v>
      </c>
      <c r="N6" s="1">
        <v>0.9</v>
      </c>
      <c r="O6" s="1">
        <v>0.94</v>
      </c>
      <c r="P6" s="1">
        <v>0.94</v>
      </c>
      <c r="Q6" s="1">
        <v>0.94</v>
      </c>
      <c r="R6" s="1">
        <v>0.97</v>
      </c>
      <c r="S6" s="1">
        <f t="shared" si="0"/>
        <v>0.97</v>
      </c>
    </row>
    <row r="7" spans="1:19" ht="25" customHeight="1">
      <c r="A7" t="s">
        <v>26</v>
      </c>
      <c r="B7">
        <v>1</v>
      </c>
      <c r="C7" t="s">
        <v>19</v>
      </c>
      <c r="D7" t="b">
        <v>0</v>
      </c>
      <c r="E7">
        <v>3</v>
      </c>
      <c r="F7" t="s">
        <v>22</v>
      </c>
      <c r="G7" s="1">
        <v>0.93</v>
      </c>
      <c r="H7" s="1">
        <v>0.93</v>
      </c>
      <c r="I7" s="1">
        <v>0.91</v>
      </c>
      <c r="J7" s="1">
        <v>0.94</v>
      </c>
      <c r="K7" s="1">
        <v>0.93</v>
      </c>
      <c r="L7" s="1">
        <v>0.95</v>
      </c>
      <c r="M7" s="1">
        <v>0.94</v>
      </c>
      <c r="N7" s="1">
        <v>0.94</v>
      </c>
      <c r="O7" s="1">
        <v>0.91</v>
      </c>
      <c r="P7" s="1">
        <v>0.94</v>
      </c>
      <c r="Q7" s="1">
        <v>0.94</v>
      </c>
      <c r="R7" s="1">
        <v>0.99</v>
      </c>
      <c r="S7" s="1">
        <f t="shared" si="0"/>
        <v>0.99</v>
      </c>
    </row>
    <row r="8" spans="1:19" ht="25" customHeight="1">
      <c r="A8" t="s">
        <v>26</v>
      </c>
      <c r="B8">
        <v>2</v>
      </c>
      <c r="C8" t="s">
        <v>23</v>
      </c>
      <c r="D8" t="b">
        <v>1</v>
      </c>
      <c r="E8">
        <v>1</v>
      </c>
      <c r="F8" t="s">
        <v>20</v>
      </c>
      <c r="G8" s="1">
        <v>0.7</v>
      </c>
      <c r="H8" s="1">
        <v>0.71</v>
      </c>
      <c r="I8" s="1">
        <v>0.79</v>
      </c>
      <c r="J8" s="1">
        <v>0.7</v>
      </c>
      <c r="K8" s="1">
        <v>0.66</v>
      </c>
      <c r="L8" s="1">
        <v>0.75</v>
      </c>
      <c r="M8" s="1">
        <v>0.73</v>
      </c>
      <c r="N8" s="1">
        <v>0.76</v>
      </c>
      <c r="O8" s="1">
        <v>0.79</v>
      </c>
      <c r="P8" s="1">
        <v>0.64</v>
      </c>
      <c r="Q8" s="1">
        <v>0.7</v>
      </c>
      <c r="R8" s="1">
        <v>0.76</v>
      </c>
      <c r="S8" s="1">
        <f t="shared" si="0"/>
        <v>0.79</v>
      </c>
    </row>
    <row r="9" spans="1:19" ht="25" customHeight="1">
      <c r="A9" t="s">
        <v>26</v>
      </c>
      <c r="B9">
        <v>2</v>
      </c>
      <c r="C9" t="s">
        <v>23</v>
      </c>
      <c r="D9" t="b">
        <v>1</v>
      </c>
      <c r="E9">
        <v>2</v>
      </c>
      <c r="F9" t="s">
        <v>21</v>
      </c>
      <c r="G9" s="1">
        <v>0.79</v>
      </c>
      <c r="H9" s="1">
        <v>0.8</v>
      </c>
      <c r="I9" s="1">
        <v>0.82</v>
      </c>
      <c r="J9" s="1">
        <v>0.85</v>
      </c>
      <c r="K9" s="1">
        <v>0.82</v>
      </c>
      <c r="L9" s="1">
        <v>0.78</v>
      </c>
      <c r="M9" s="1">
        <v>0.81</v>
      </c>
      <c r="N9" s="1">
        <v>0.81</v>
      </c>
      <c r="O9" s="1">
        <v>0.8</v>
      </c>
      <c r="P9" s="1">
        <v>0.78</v>
      </c>
      <c r="Q9" s="1">
        <v>0.8</v>
      </c>
      <c r="R9" s="1">
        <v>0.82</v>
      </c>
      <c r="S9" s="1">
        <f t="shared" si="0"/>
        <v>0.85</v>
      </c>
    </row>
    <row r="10" spans="1:19" ht="25" customHeight="1">
      <c r="A10" t="s">
        <v>26</v>
      </c>
      <c r="B10">
        <v>2</v>
      </c>
      <c r="C10" t="s">
        <v>23</v>
      </c>
      <c r="D10" t="b">
        <v>1</v>
      </c>
      <c r="E10">
        <v>3</v>
      </c>
      <c r="F10" t="s">
        <v>22</v>
      </c>
      <c r="G10" s="1">
        <v>0.73</v>
      </c>
      <c r="H10" s="1">
        <v>0.76</v>
      </c>
      <c r="I10" s="1">
        <v>0.82</v>
      </c>
      <c r="J10" s="1">
        <v>0.84</v>
      </c>
      <c r="K10" s="1">
        <v>0.79</v>
      </c>
      <c r="L10" s="1">
        <v>0.75</v>
      </c>
      <c r="M10" s="1">
        <v>0.8</v>
      </c>
      <c r="N10" s="1">
        <v>0.78</v>
      </c>
      <c r="O10" s="1">
        <v>0.82</v>
      </c>
      <c r="P10" s="1">
        <v>0.73</v>
      </c>
      <c r="Q10" s="1">
        <v>0.77</v>
      </c>
      <c r="R10" s="1">
        <v>0.79</v>
      </c>
      <c r="S10" s="1">
        <f t="shared" si="0"/>
        <v>0.84</v>
      </c>
    </row>
    <row r="11" spans="1:19" ht="25" customHeight="1">
      <c r="A11" t="s">
        <v>26</v>
      </c>
      <c r="B11">
        <v>2</v>
      </c>
      <c r="C11" t="s">
        <v>23</v>
      </c>
      <c r="D11" t="b">
        <v>0</v>
      </c>
      <c r="E11">
        <v>1</v>
      </c>
      <c r="F11" t="s">
        <v>20</v>
      </c>
      <c r="G11" s="1">
        <v>0.71</v>
      </c>
      <c r="H11" s="1">
        <v>0.68</v>
      </c>
      <c r="I11" s="1">
        <v>0.78</v>
      </c>
      <c r="J11" s="1">
        <v>0.67</v>
      </c>
      <c r="K11" s="1">
        <v>0.73</v>
      </c>
      <c r="L11" s="1">
        <v>0.71</v>
      </c>
      <c r="M11" s="1">
        <v>0.75</v>
      </c>
      <c r="N11" s="1">
        <v>0.75</v>
      </c>
      <c r="O11" s="1">
        <v>0.73</v>
      </c>
      <c r="P11" s="1">
        <v>0.63</v>
      </c>
      <c r="Q11" s="1">
        <v>0.73</v>
      </c>
      <c r="R11" s="1">
        <v>0.74</v>
      </c>
      <c r="S11" s="1">
        <f t="shared" si="0"/>
        <v>0.78</v>
      </c>
    </row>
    <row r="12" spans="1:19" ht="25" customHeight="1">
      <c r="A12" t="s">
        <v>26</v>
      </c>
      <c r="B12">
        <v>2</v>
      </c>
      <c r="C12" t="s">
        <v>23</v>
      </c>
      <c r="D12" t="b">
        <v>0</v>
      </c>
      <c r="E12">
        <v>2</v>
      </c>
      <c r="F12" t="s">
        <v>21</v>
      </c>
      <c r="G12" s="1">
        <v>0.74</v>
      </c>
      <c r="H12" s="1">
        <v>0.78</v>
      </c>
      <c r="I12" s="1">
        <v>0.81</v>
      </c>
      <c r="J12" s="1">
        <v>0.83</v>
      </c>
      <c r="K12" s="1">
        <v>0.8</v>
      </c>
      <c r="L12" s="1">
        <v>0.77</v>
      </c>
      <c r="M12" s="1">
        <v>0.8</v>
      </c>
      <c r="N12" s="1">
        <v>0.81</v>
      </c>
      <c r="O12" s="1">
        <v>0.83</v>
      </c>
      <c r="P12" s="1">
        <v>0.78</v>
      </c>
      <c r="Q12" s="1">
        <v>0.79</v>
      </c>
      <c r="R12" s="1">
        <v>0.82</v>
      </c>
      <c r="S12" s="1">
        <f t="shared" si="0"/>
        <v>0.83</v>
      </c>
    </row>
    <row r="13" spans="1:19" ht="25" customHeight="1">
      <c r="A13" t="s">
        <v>26</v>
      </c>
      <c r="B13">
        <v>2</v>
      </c>
      <c r="C13" t="s">
        <v>23</v>
      </c>
      <c r="D13" t="b">
        <v>0</v>
      </c>
      <c r="E13">
        <v>3</v>
      </c>
      <c r="F13" t="s">
        <v>22</v>
      </c>
      <c r="G13" s="1">
        <v>0.72</v>
      </c>
      <c r="H13" s="1">
        <v>0.8</v>
      </c>
      <c r="I13" s="1">
        <v>0.81</v>
      </c>
      <c r="J13" s="1">
        <v>0.81</v>
      </c>
      <c r="K13" s="1">
        <v>0.78</v>
      </c>
      <c r="L13" s="1">
        <v>0.77</v>
      </c>
      <c r="M13" s="1">
        <v>0.77</v>
      </c>
      <c r="N13" s="1">
        <v>0.77</v>
      </c>
      <c r="O13" s="1">
        <v>0.8</v>
      </c>
      <c r="P13" s="1">
        <v>0.73</v>
      </c>
      <c r="Q13" s="1">
        <v>0.77</v>
      </c>
      <c r="R13" s="1">
        <v>0.78</v>
      </c>
      <c r="S13" s="1">
        <f t="shared" si="0"/>
        <v>0.81</v>
      </c>
    </row>
    <row r="16" spans="1:19" ht="25" customHeight="1">
      <c r="B16" t="s">
        <v>1</v>
      </c>
      <c r="C16" t="s">
        <v>2</v>
      </c>
      <c r="D16" t="s">
        <v>24</v>
      </c>
      <c r="E16" t="s">
        <v>4</v>
      </c>
      <c r="F16" t="s">
        <v>25</v>
      </c>
      <c r="G16" t="s">
        <v>6</v>
      </c>
      <c r="H16" t="s">
        <v>7</v>
      </c>
      <c r="I16" t="s">
        <v>8</v>
      </c>
      <c r="J16" t="s">
        <v>9</v>
      </c>
      <c r="K16" t="s">
        <v>10</v>
      </c>
      <c r="L16" t="s">
        <v>11</v>
      </c>
      <c r="M16" t="s">
        <v>12</v>
      </c>
      <c r="N16" t="s">
        <v>13</v>
      </c>
      <c r="O16" t="s">
        <v>14</v>
      </c>
      <c r="P16" t="s">
        <v>15</v>
      </c>
      <c r="Q16" t="s">
        <v>16</v>
      </c>
      <c r="R16" t="s">
        <v>17</v>
      </c>
      <c r="S16" t="s">
        <v>18</v>
      </c>
    </row>
    <row r="17" spans="2:19" ht="25" customHeight="1">
      <c r="B17">
        <v>1</v>
      </c>
      <c r="C17" t="s">
        <v>19</v>
      </c>
      <c r="D17" t="b">
        <v>1</v>
      </c>
      <c r="E17">
        <v>0</v>
      </c>
      <c r="F17" t="s">
        <v>18</v>
      </c>
      <c r="G17" s="1" cm="1">
        <f t="array" ref="G17">_xlfn.LET(_xlpm.d,G$2:G$13,_xlpm.a,$C$2:$C$13=$C17,_xlpm.b,$D$2:$D$13=$D17,MAX(_xlfn._xlws.FILTER(_xlpm.d,_xlpm.a*_xlpm.b)))</f>
        <v>0.92</v>
      </c>
      <c r="H17" s="1" cm="1">
        <f t="array" ref="H17">_xlfn.LET(_xlpm.d,H$2:H$13,_xlpm.a,$C$2:$C$13=$C17,_xlpm.b,$D$2:$D$13=$D17,MAX(_xlfn._xlws.FILTER(_xlpm.d,_xlpm.a*_xlpm.b)))</f>
        <v>0.91</v>
      </c>
      <c r="I17" s="1" cm="1">
        <f t="array" ref="I17">_xlfn.LET(_xlpm.d,I$2:I$13,_xlpm.a,$C$2:$C$13=$C17,_xlpm.b,$D$2:$D$13=$D17,MAX(_xlfn._xlws.FILTER(_xlpm.d,_xlpm.a*_xlpm.b)))</f>
        <v>0.94</v>
      </c>
      <c r="J17" s="1" cm="1">
        <f t="array" ref="J17">_xlfn.LET(_xlpm.d,J$2:J$13,_xlpm.a,$C$2:$C$13=$C17,_xlpm.b,$D$2:$D$13=$D17,MAX(_xlfn._xlws.FILTER(_xlpm.d,_xlpm.a*_xlpm.b)))</f>
        <v>0.94</v>
      </c>
      <c r="K17" s="1" cm="1">
        <f t="array" ref="K17">_xlfn.LET(_xlpm.d,K$2:K$13,_xlpm.a,$C$2:$C$13=$C17,_xlpm.b,$D$2:$D$13=$D17,MAX(_xlfn._xlws.FILTER(_xlpm.d,_xlpm.a*_xlpm.b)))</f>
        <v>0.93</v>
      </c>
      <c r="L17" s="1" cm="1">
        <f t="array" ref="L17">_xlfn.LET(_xlpm.d,L$2:L$13,_xlpm.a,$C$2:$C$13=$C17,_xlpm.b,$D$2:$D$13=$D17,MAX(_xlfn._xlws.FILTER(_xlpm.d,_xlpm.a*_xlpm.b)))</f>
        <v>0.96</v>
      </c>
      <c r="M17" s="1" cm="1">
        <f t="array" ref="M17">_xlfn.LET(_xlpm.d,M$2:M$13,_xlpm.a,$C$2:$C$13=$C17,_xlpm.b,$D$2:$D$13=$D17,MAX(_xlfn._xlws.FILTER(_xlpm.d,_xlpm.a*_xlpm.b)))</f>
        <v>0.95</v>
      </c>
      <c r="N17" s="1" cm="1">
        <f t="array" ref="N17">_xlfn.LET(_xlpm.d,N$2:N$13,_xlpm.a,$C$2:$C$13=$C17,_xlpm.b,$D$2:$D$13=$D17,MAX(_xlfn._xlws.FILTER(_xlpm.d,_xlpm.a*_xlpm.b)))</f>
        <v>0.93</v>
      </c>
      <c r="O17" s="1" cm="1">
        <f t="array" ref="O17">_xlfn.LET(_xlpm.d,O$2:O$13,_xlpm.a,$C$2:$C$13=$C17,_xlpm.b,$D$2:$D$13=$D17,MAX(_xlfn._xlws.FILTER(_xlpm.d,_xlpm.a*_xlpm.b)))</f>
        <v>0.94</v>
      </c>
      <c r="P17" s="1" cm="1">
        <f t="array" ref="P17">_xlfn.LET(_xlpm.d,P$2:P$13,_xlpm.a,$C$2:$C$13=$C17,_xlpm.b,$D$2:$D$13=$D17,MAX(_xlfn._xlws.FILTER(_xlpm.d,_xlpm.a*_xlpm.b)))</f>
        <v>0.95</v>
      </c>
      <c r="Q17" s="1" cm="1">
        <f t="array" ref="Q17">_xlfn.LET(_xlpm.d,Q$2:Q$13,_xlpm.a,$C$2:$C$13=$C17,_xlpm.b,$D$2:$D$13=$D17,MAX(_xlfn._xlws.FILTER(_xlpm.d,_xlpm.a*_xlpm.b)))</f>
        <v>0.95</v>
      </c>
      <c r="R17" s="1" cm="1">
        <f t="array" ref="R17">_xlfn.LET(_xlpm.d,R$2:R$13,_xlpm.a,$C$2:$C$13=$C17,_xlpm.b,$D$2:$D$13=$D17,MAX(_xlfn._xlws.FILTER(_xlpm.d,_xlpm.a*_xlpm.b)))</f>
        <v>0.96</v>
      </c>
      <c r="S17" s="1" cm="1">
        <f t="array" ref="S17">_xlfn.LET(_xlpm.d,S$2:S$13,_xlpm.a,$C$2:$C$13=$C17,_xlpm.b,$D$2:$D$13=$D17,MAX(_xlfn._xlws.FILTER(_xlpm.d,_xlpm.a*_xlpm.b)))</f>
        <v>0.96</v>
      </c>
    </row>
    <row r="18" spans="2:19" ht="25" customHeight="1">
      <c r="B18">
        <v>1</v>
      </c>
      <c r="C18" t="s">
        <v>19</v>
      </c>
      <c r="D18" t="b">
        <v>0</v>
      </c>
      <c r="E18">
        <v>0</v>
      </c>
      <c r="F18" t="s">
        <v>18</v>
      </c>
      <c r="G18" s="1" cm="1">
        <f t="array" ref="G18">_xlfn.LET(_xlpm.d,G$2:G$13,_xlpm.a,$C$2:$C$13=$C18,_xlpm.b,$D$2:$D$13=$D18,MAX(_xlfn._xlws.FILTER(_xlpm.d,_xlpm.a*_xlpm.b)))</f>
        <v>0.94</v>
      </c>
      <c r="H18" s="1" cm="1">
        <f t="array" ref="H18">_xlfn.LET(_xlpm.d,H$2:H$13,_xlpm.a,$C$2:$C$13=$C18,_xlpm.b,$D$2:$D$13=$D18,MAX(_xlfn._xlws.FILTER(_xlpm.d,_xlpm.a*_xlpm.b)))</f>
        <v>0.93</v>
      </c>
      <c r="I18" s="1" cm="1">
        <f t="array" ref="I18">_xlfn.LET(_xlpm.d,I$2:I$13,_xlpm.a,$C$2:$C$13=$C18,_xlpm.b,$D$2:$D$13=$D18,MAX(_xlfn._xlws.FILTER(_xlpm.d,_xlpm.a*_xlpm.b)))</f>
        <v>0.92</v>
      </c>
      <c r="J18" s="1" cm="1">
        <f t="array" ref="J18">_xlfn.LET(_xlpm.d,J$2:J$13,_xlpm.a,$C$2:$C$13=$C18,_xlpm.b,$D$2:$D$13=$D18,MAX(_xlfn._xlws.FILTER(_xlpm.d,_xlpm.a*_xlpm.b)))</f>
        <v>0.94</v>
      </c>
      <c r="K18" s="1" cm="1">
        <f t="array" ref="K18">_xlfn.LET(_xlpm.d,K$2:K$13,_xlpm.a,$C$2:$C$13=$C18,_xlpm.b,$D$2:$D$13=$D18,MAX(_xlfn._xlws.FILTER(_xlpm.d,_xlpm.a*_xlpm.b)))</f>
        <v>0.93</v>
      </c>
      <c r="L18" s="1" cm="1">
        <f t="array" ref="L18">_xlfn.LET(_xlpm.d,L$2:L$13,_xlpm.a,$C$2:$C$13=$C18,_xlpm.b,$D$2:$D$13=$D18,MAX(_xlfn._xlws.FILTER(_xlpm.d,_xlpm.a*_xlpm.b)))</f>
        <v>0.95</v>
      </c>
      <c r="M18" s="1" cm="1">
        <f t="array" ref="M18">_xlfn.LET(_xlpm.d,M$2:M$13,_xlpm.a,$C$2:$C$13=$C18,_xlpm.b,$D$2:$D$13=$D18,MAX(_xlfn._xlws.FILTER(_xlpm.d,_xlpm.a*_xlpm.b)))</f>
        <v>0.94</v>
      </c>
      <c r="N18" s="1" cm="1">
        <f t="array" ref="N18">_xlfn.LET(_xlpm.d,N$2:N$13,_xlpm.a,$C$2:$C$13=$C18,_xlpm.b,$D$2:$D$13=$D18,MAX(_xlfn._xlws.FILTER(_xlpm.d,_xlpm.a*_xlpm.b)))</f>
        <v>0.94</v>
      </c>
      <c r="O18" s="1" cm="1">
        <f t="array" ref="O18">_xlfn.LET(_xlpm.d,O$2:O$13,_xlpm.a,$C$2:$C$13=$C18,_xlpm.b,$D$2:$D$13=$D18,MAX(_xlfn._xlws.FILTER(_xlpm.d,_xlpm.a*_xlpm.b)))</f>
        <v>0.94</v>
      </c>
      <c r="P18" s="1" cm="1">
        <f t="array" ref="P18">_xlfn.LET(_xlpm.d,P$2:P$13,_xlpm.a,$C$2:$C$13=$C18,_xlpm.b,$D$2:$D$13=$D18,MAX(_xlfn._xlws.FILTER(_xlpm.d,_xlpm.a*_xlpm.b)))</f>
        <v>0.94</v>
      </c>
      <c r="Q18" s="1" cm="1">
        <f t="array" ref="Q18">_xlfn.LET(_xlpm.d,Q$2:Q$13,_xlpm.a,$C$2:$C$13=$C18,_xlpm.b,$D$2:$D$13=$D18,MAX(_xlfn._xlws.FILTER(_xlpm.d,_xlpm.a*_xlpm.b)))</f>
        <v>0.94</v>
      </c>
      <c r="R18" s="1" cm="1">
        <f t="array" ref="R18">_xlfn.LET(_xlpm.d,R$2:R$13,_xlpm.a,$C$2:$C$13=$C18,_xlpm.b,$D$2:$D$13=$D18,MAX(_xlfn._xlws.FILTER(_xlpm.d,_xlpm.a*_xlpm.b)))</f>
        <v>0.99</v>
      </c>
      <c r="S18" s="1" cm="1">
        <f t="array" ref="S18">_xlfn.LET(_xlpm.d,S$2:S$13,_xlpm.a,$C$2:$C$13=$C18,_xlpm.b,$D$2:$D$13=$D18,MAX(_xlfn._xlws.FILTER(_xlpm.d,_xlpm.a*_xlpm.b)))</f>
        <v>0.99</v>
      </c>
    </row>
    <row r="19" spans="2:19" ht="25" customHeight="1">
      <c r="B19">
        <v>2</v>
      </c>
      <c r="C19" t="s">
        <v>23</v>
      </c>
      <c r="D19" t="b">
        <v>1</v>
      </c>
      <c r="E19">
        <v>0</v>
      </c>
      <c r="F19" t="s">
        <v>18</v>
      </c>
      <c r="G19" s="1" cm="1">
        <f t="array" ref="G19">_xlfn.LET(_xlpm.d,G$2:G$13,_xlpm.a,$C$2:$C$13=$C19,_xlpm.b,$D$2:$D$13=$D19,MAX(_xlfn._xlws.FILTER(_xlpm.d,_xlpm.a*_xlpm.b)))</f>
        <v>0.79</v>
      </c>
      <c r="H19" s="1" cm="1">
        <f t="array" ref="H19">_xlfn.LET(_xlpm.d,H$2:H$13,_xlpm.a,$C$2:$C$13=$C19,_xlpm.b,$D$2:$D$13=$D19,MAX(_xlfn._xlws.FILTER(_xlpm.d,_xlpm.a*_xlpm.b)))</f>
        <v>0.8</v>
      </c>
      <c r="I19" s="1" cm="1">
        <f t="array" ref="I19">_xlfn.LET(_xlpm.d,I$2:I$13,_xlpm.a,$C$2:$C$13=$C19,_xlpm.b,$D$2:$D$13=$D19,MAX(_xlfn._xlws.FILTER(_xlpm.d,_xlpm.a*_xlpm.b)))</f>
        <v>0.82</v>
      </c>
      <c r="J19" s="1" cm="1">
        <f t="array" ref="J19">_xlfn.LET(_xlpm.d,J$2:J$13,_xlpm.a,$C$2:$C$13=$C19,_xlpm.b,$D$2:$D$13=$D19,MAX(_xlfn._xlws.FILTER(_xlpm.d,_xlpm.a*_xlpm.b)))</f>
        <v>0.85</v>
      </c>
      <c r="K19" s="1" cm="1">
        <f t="array" ref="K19">_xlfn.LET(_xlpm.d,K$2:K$13,_xlpm.a,$C$2:$C$13=$C19,_xlpm.b,$D$2:$D$13=$D19,MAX(_xlfn._xlws.FILTER(_xlpm.d,_xlpm.a*_xlpm.b)))</f>
        <v>0.82</v>
      </c>
      <c r="L19" s="1" cm="1">
        <f t="array" ref="L19">_xlfn.LET(_xlpm.d,L$2:L$13,_xlpm.a,$C$2:$C$13=$C19,_xlpm.b,$D$2:$D$13=$D19,MAX(_xlfn._xlws.FILTER(_xlpm.d,_xlpm.a*_xlpm.b)))</f>
        <v>0.78</v>
      </c>
      <c r="M19" s="1" cm="1">
        <f t="array" ref="M19">_xlfn.LET(_xlpm.d,M$2:M$13,_xlpm.a,$C$2:$C$13=$C19,_xlpm.b,$D$2:$D$13=$D19,MAX(_xlfn._xlws.FILTER(_xlpm.d,_xlpm.a*_xlpm.b)))</f>
        <v>0.81</v>
      </c>
      <c r="N19" s="1" cm="1">
        <f t="array" ref="N19">_xlfn.LET(_xlpm.d,N$2:N$13,_xlpm.a,$C$2:$C$13=$C19,_xlpm.b,$D$2:$D$13=$D19,MAX(_xlfn._xlws.FILTER(_xlpm.d,_xlpm.a*_xlpm.b)))</f>
        <v>0.81</v>
      </c>
      <c r="O19" s="1" cm="1">
        <f t="array" ref="O19">_xlfn.LET(_xlpm.d,O$2:O$13,_xlpm.a,$C$2:$C$13=$C19,_xlpm.b,$D$2:$D$13=$D19,MAX(_xlfn._xlws.FILTER(_xlpm.d,_xlpm.a*_xlpm.b)))</f>
        <v>0.82</v>
      </c>
      <c r="P19" s="1" cm="1">
        <f t="array" ref="P19">_xlfn.LET(_xlpm.d,P$2:P$13,_xlpm.a,$C$2:$C$13=$C19,_xlpm.b,$D$2:$D$13=$D19,MAX(_xlfn._xlws.FILTER(_xlpm.d,_xlpm.a*_xlpm.b)))</f>
        <v>0.78</v>
      </c>
      <c r="Q19" s="1" cm="1">
        <f t="array" ref="Q19">_xlfn.LET(_xlpm.d,Q$2:Q$13,_xlpm.a,$C$2:$C$13=$C19,_xlpm.b,$D$2:$D$13=$D19,MAX(_xlfn._xlws.FILTER(_xlpm.d,_xlpm.a*_xlpm.b)))</f>
        <v>0.8</v>
      </c>
      <c r="R19" s="1" cm="1">
        <f t="array" ref="R19">_xlfn.LET(_xlpm.d,R$2:R$13,_xlpm.a,$C$2:$C$13=$C19,_xlpm.b,$D$2:$D$13=$D19,MAX(_xlfn._xlws.FILTER(_xlpm.d,_xlpm.a*_xlpm.b)))</f>
        <v>0.82</v>
      </c>
      <c r="S19" s="1" cm="1">
        <f t="array" ref="S19">_xlfn.LET(_xlpm.d,S$2:S$13,_xlpm.a,$C$2:$C$13=$C19,_xlpm.b,$D$2:$D$13=$D19,MAX(_xlfn._xlws.FILTER(_xlpm.d,_xlpm.a*_xlpm.b)))</f>
        <v>0.85</v>
      </c>
    </row>
    <row r="20" spans="2:19" ht="25" customHeight="1">
      <c r="B20">
        <v>2</v>
      </c>
      <c r="C20" t="s">
        <v>23</v>
      </c>
      <c r="D20" t="b">
        <v>0</v>
      </c>
      <c r="E20">
        <v>0</v>
      </c>
      <c r="F20" t="s">
        <v>18</v>
      </c>
      <c r="G20" s="1" cm="1">
        <f t="array" ref="G20">_xlfn.LET(_xlpm.d,G$2:G$13,_xlpm.a,$C$2:$C$13=$C20,_xlpm.b,$D$2:$D$13=$D20,MAX(_xlfn._xlws.FILTER(_xlpm.d,_xlpm.a*_xlpm.b)))</f>
        <v>0.74</v>
      </c>
      <c r="H20" s="1" cm="1">
        <f t="array" ref="H20">_xlfn.LET(_xlpm.d,H$2:H$13,_xlpm.a,$C$2:$C$13=$C20,_xlpm.b,$D$2:$D$13=$D20,MAX(_xlfn._xlws.FILTER(_xlpm.d,_xlpm.a*_xlpm.b)))</f>
        <v>0.8</v>
      </c>
      <c r="I20" s="1" cm="1">
        <f t="array" ref="I20">_xlfn.LET(_xlpm.d,I$2:I$13,_xlpm.a,$C$2:$C$13=$C20,_xlpm.b,$D$2:$D$13=$D20,MAX(_xlfn._xlws.FILTER(_xlpm.d,_xlpm.a*_xlpm.b)))</f>
        <v>0.81</v>
      </c>
      <c r="J20" s="1" cm="1">
        <f t="array" ref="J20">_xlfn.LET(_xlpm.d,J$2:J$13,_xlpm.a,$C$2:$C$13=$C20,_xlpm.b,$D$2:$D$13=$D20,MAX(_xlfn._xlws.FILTER(_xlpm.d,_xlpm.a*_xlpm.b)))</f>
        <v>0.83</v>
      </c>
      <c r="K20" s="1" cm="1">
        <f t="array" ref="K20">_xlfn.LET(_xlpm.d,K$2:K$13,_xlpm.a,$C$2:$C$13=$C20,_xlpm.b,$D$2:$D$13=$D20,MAX(_xlfn._xlws.FILTER(_xlpm.d,_xlpm.a*_xlpm.b)))</f>
        <v>0.8</v>
      </c>
      <c r="L20" s="1" cm="1">
        <f t="array" ref="L20">_xlfn.LET(_xlpm.d,L$2:L$13,_xlpm.a,$C$2:$C$13=$C20,_xlpm.b,$D$2:$D$13=$D20,MAX(_xlfn._xlws.FILTER(_xlpm.d,_xlpm.a*_xlpm.b)))</f>
        <v>0.77</v>
      </c>
      <c r="M20" s="1" cm="1">
        <f t="array" ref="M20">_xlfn.LET(_xlpm.d,M$2:M$13,_xlpm.a,$C$2:$C$13=$C20,_xlpm.b,$D$2:$D$13=$D20,MAX(_xlfn._xlws.FILTER(_xlpm.d,_xlpm.a*_xlpm.b)))</f>
        <v>0.8</v>
      </c>
      <c r="N20" s="1" cm="1">
        <f t="array" ref="N20">_xlfn.LET(_xlpm.d,N$2:N$13,_xlpm.a,$C$2:$C$13=$C20,_xlpm.b,$D$2:$D$13=$D20,MAX(_xlfn._xlws.FILTER(_xlpm.d,_xlpm.a*_xlpm.b)))</f>
        <v>0.81</v>
      </c>
      <c r="O20" s="1" cm="1">
        <f t="array" ref="O20">_xlfn.LET(_xlpm.d,O$2:O$13,_xlpm.a,$C$2:$C$13=$C20,_xlpm.b,$D$2:$D$13=$D20,MAX(_xlfn._xlws.FILTER(_xlpm.d,_xlpm.a*_xlpm.b)))</f>
        <v>0.83</v>
      </c>
      <c r="P20" s="1" cm="1">
        <f t="array" ref="P20">_xlfn.LET(_xlpm.d,P$2:P$13,_xlpm.a,$C$2:$C$13=$C20,_xlpm.b,$D$2:$D$13=$D20,MAX(_xlfn._xlws.FILTER(_xlpm.d,_xlpm.a*_xlpm.b)))</f>
        <v>0.78</v>
      </c>
      <c r="Q20" s="1" cm="1">
        <f t="array" ref="Q20">_xlfn.LET(_xlpm.d,Q$2:Q$13,_xlpm.a,$C$2:$C$13=$C20,_xlpm.b,$D$2:$D$13=$D20,MAX(_xlfn._xlws.FILTER(_xlpm.d,_xlpm.a*_xlpm.b)))</f>
        <v>0.79</v>
      </c>
      <c r="R20" s="1" cm="1">
        <f t="array" ref="R20">_xlfn.LET(_xlpm.d,R$2:R$13,_xlpm.a,$C$2:$C$13=$C20,_xlpm.b,$D$2:$D$13=$D20,MAX(_xlfn._xlws.FILTER(_xlpm.d,_xlpm.a*_xlpm.b)))</f>
        <v>0.82</v>
      </c>
      <c r="S20" s="1" cm="1">
        <f t="array" ref="S20">_xlfn.LET(_xlpm.d,S$2:S$13,_xlpm.a,$C$2:$C$13=$C20,_xlpm.b,$D$2:$D$13=$D20,MAX(_xlfn._xlws.FILTER(_xlpm.d,_xlpm.a*_xlpm.b)))</f>
        <v>0.83</v>
      </c>
    </row>
  </sheetData>
  <conditionalFormatting sqref="G2:S13">
    <cfRule type="colorScale" priority="1">
      <colorScale>
        <cfvo type="num" val="0"/>
        <cfvo type="percentile" val="50"/>
        <cfvo type="num" val="1"/>
        <color theme="4" tint="0.59999389629810485"/>
        <color theme="0"/>
        <color rgb="FFFFC000"/>
      </colorScale>
    </cfRule>
  </conditionalFormatting>
  <conditionalFormatting sqref="G17:S20">
    <cfRule type="colorScale" priority="2">
      <colorScale>
        <cfvo type="num" val="0"/>
        <cfvo type="percentile" val="50"/>
        <cfvo type="num" val="1"/>
        <color theme="4" tint="0.59999389629810485"/>
        <color theme="0"/>
        <color rgb="FFFFC000"/>
      </colorScale>
    </cfRule>
  </conditionalFormatting>
  <pageMargins left="0.75" right="0.75" top="1" bottom="1" header="0.5" footer="0.5"/>
  <tableParts count="2">
    <tablePart r:id="rId1"/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D47B9-33C3-2244-AB10-D49EA203EE94}">
  <dimension ref="A1:S20"/>
  <sheetViews>
    <sheetView workbookViewId="0">
      <pane xSplit="12480" ySplit="2640" topLeftCell="K6" activePane="bottomRight"/>
      <selection activeCell="F1" sqref="F1:F1048576"/>
      <selection pane="topRight" activeCell="S3" sqref="S3"/>
      <selection pane="bottomLeft" activeCell="B17" sqref="B17:S20"/>
      <selection pane="bottomRight" activeCell="M23" sqref="M23"/>
    </sheetView>
  </sheetViews>
  <sheetFormatPr baseColWidth="10" defaultRowHeight="25" customHeight="1"/>
  <cols>
    <col min="2" max="2" width="7.625" customWidth="1"/>
    <col min="4" max="4" width="11.875" customWidth="1"/>
    <col min="5" max="5" width="7.5" customWidth="1"/>
    <col min="6" max="6" width="8.125" customWidth="1"/>
    <col min="7" max="19" width="8.625" customWidth="1"/>
  </cols>
  <sheetData>
    <row r="1" spans="1:19" ht="25" customHeigh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ht="25" customHeight="1">
      <c r="A2" t="s">
        <v>26</v>
      </c>
      <c r="B2">
        <v>1</v>
      </c>
      <c r="C2" t="s">
        <v>19</v>
      </c>
      <c r="D2" t="b">
        <v>1</v>
      </c>
      <c r="E2">
        <v>1</v>
      </c>
      <c r="F2" t="s">
        <v>20</v>
      </c>
      <c r="G2" s="1">
        <v>0.93</v>
      </c>
      <c r="H2" s="1">
        <v>0.85</v>
      </c>
      <c r="I2" s="1">
        <v>0.86</v>
      </c>
      <c r="J2" s="1">
        <v>0.95</v>
      </c>
      <c r="K2" s="1">
        <v>0.82</v>
      </c>
      <c r="L2" s="1">
        <v>0.9</v>
      </c>
      <c r="M2" s="1">
        <v>0.88</v>
      </c>
      <c r="N2" s="1">
        <v>0.82</v>
      </c>
      <c r="O2" s="1">
        <v>0.91</v>
      </c>
      <c r="P2" s="1">
        <v>0.86</v>
      </c>
      <c r="Q2" s="1">
        <v>0.82</v>
      </c>
      <c r="R2" s="1">
        <v>0.89</v>
      </c>
      <c r="S2" s="1">
        <f t="shared" ref="S2:S13" si="0">MAX($G2:$R2)</f>
        <v>0.95</v>
      </c>
    </row>
    <row r="3" spans="1:19" ht="25" customHeight="1">
      <c r="A3" t="s">
        <v>26</v>
      </c>
      <c r="B3">
        <v>1</v>
      </c>
      <c r="C3" t="s">
        <v>19</v>
      </c>
      <c r="D3" t="b">
        <v>1</v>
      </c>
      <c r="E3">
        <v>2</v>
      </c>
      <c r="F3" t="s">
        <v>21</v>
      </c>
      <c r="G3" s="1">
        <v>0.94</v>
      </c>
      <c r="H3" s="1">
        <v>0.92</v>
      </c>
      <c r="I3" s="1">
        <v>0.92</v>
      </c>
      <c r="J3" s="1">
        <v>0.97</v>
      </c>
      <c r="K3" s="1">
        <v>0.93</v>
      </c>
      <c r="L3" s="1">
        <v>0.96</v>
      </c>
      <c r="M3" s="1">
        <v>0.89</v>
      </c>
      <c r="N3" s="1">
        <v>0.87</v>
      </c>
      <c r="O3" s="1">
        <v>0.96</v>
      </c>
      <c r="P3" s="1">
        <v>0.93</v>
      </c>
      <c r="Q3" s="1">
        <v>0.93</v>
      </c>
      <c r="R3" s="1">
        <v>0.97</v>
      </c>
      <c r="S3" s="1">
        <f t="shared" si="0"/>
        <v>0.97</v>
      </c>
    </row>
    <row r="4" spans="1:19" ht="25" customHeight="1">
      <c r="A4" t="s">
        <v>26</v>
      </c>
      <c r="B4">
        <v>1</v>
      </c>
      <c r="C4" t="s">
        <v>19</v>
      </c>
      <c r="D4" t="b">
        <v>1</v>
      </c>
      <c r="E4">
        <v>3</v>
      </c>
      <c r="F4" t="s">
        <v>22</v>
      </c>
      <c r="G4" s="1">
        <v>0.91</v>
      </c>
      <c r="H4" s="1">
        <v>0.88</v>
      </c>
      <c r="I4" s="1">
        <v>0.91</v>
      </c>
      <c r="J4" s="1">
        <v>0.97</v>
      </c>
      <c r="K4" s="1">
        <v>0.95</v>
      </c>
      <c r="L4" s="1">
        <v>0.96</v>
      </c>
      <c r="M4" s="1">
        <v>0.89</v>
      </c>
      <c r="N4" s="1">
        <v>0.88</v>
      </c>
      <c r="O4" s="1">
        <v>0.88</v>
      </c>
      <c r="P4" s="1">
        <v>0.93</v>
      </c>
      <c r="Q4" s="1">
        <v>0.97</v>
      </c>
      <c r="R4" s="1">
        <v>0.97</v>
      </c>
      <c r="S4" s="1">
        <f t="shared" si="0"/>
        <v>0.97</v>
      </c>
    </row>
    <row r="5" spans="1:19" ht="25" customHeight="1">
      <c r="A5" t="s">
        <v>26</v>
      </c>
      <c r="B5">
        <v>1</v>
      </c>
      <c r="C5" t="s">
        <v>19</v>
      </c>
      <c r="D5" t="b">
        <v>0</v>
      </c>
      <c r="E5">
        <v>1</v>
      </c>
      <c r="F5" t="s">
        <v>20</v>
      </c>
      <c r="G5" s="1">
        <v>0.86</v>
      </c>
      <c r="H5" s="1">
        <v>0.89</v>
      </c>
      <c r="I5" s="1">
        <v>0.87</v>
      </c>
      <c r="J5" s="1">
        <v>0.87</v>
      </c>
      <c r="K5" s="1">
        <v>0.89</v>
      </c>
      <c r="L5" s="1">
        <v>0.83</v>
      </c>
      <c r="M5" s="1">
        <v>0.87</v>
      </c>
      <c r="N5" s="1">
        <v>0.73</v>
      </c>
      <c r="O5" s="1">
        <v>0.91</v>
      </c>
      <c r="P5" s="1">
        <v>0.85</v>
      </c>
      <c r="Q5" s="1">
        <v>0.84</v>
      </c>
      <c r="R5" s="1">
        <v>0.85</v>
      </c>
      <c r="S5" s="1">
        <f t="shared" si="0"/>
        <v>0.91</v>
      </c>
    </row>
    <row r="6" spans="1:19" ht="25" customHeight="1">
      <c r="A6" t="s">
        <v>26</v>
      </c>
      <c r="B6">
        <v>1</v>
      </c>
      <c r="C6" t="s">
        <v>19</v>
      </c>
      <c r="D6" t="b">
        <v>0</v>
      </c>
      <c r="E6">
        <v>2</v>
      </c>
      <c r="F6" t="s">
        <v>21</v>
      </c>
      <c r="G6" s="1">
        <v>0.93</v>
      </c>
      <c r="H6" s="1">
        <v>0.9</v>
      </c>
      <c r="I6" s="1">
        <v>0.92</v>
      </c>
      <c r="J6" s="1">
        <v>0.97</v>
      </c>
      <c r="K6" s="1">
        <v>0.93</v>
      </c>
      <c r="L6" s="1">
        <v>0.96</v>
      </c>
      <c r="M6" s="1">
        <v>0.9</v>
      </c>
      <c r="N6" s="1">
        <v>0.88</v>
      </c>
      <c r="O6" s="1">
        <v>0.98</v>
      </c>
      <c r="P6" s="1">
        <v>0.94</v>
      </c>
      <c r="Q6" s="1">
        <v>0.93</v>
      </c>
      <c r="R6" s="1">
        <v>0.95</v>
      </c>
      <c r="S6" s="1">
        <f t="shared" si="0"/>
        <v>0.98</v>
      </c>
    </row>
    <row r="7" spans="1:19" ht="25" customHeight="1">
      <c r="A7" t="s">
        <v>26</v>
      </c>
      <c r="B7">
        <v>1</v>
      </c>
      <c r="C7" t="s">
        <v>19</v>
      </c>
      <c r="D7" t="b">
        <v>0</v>
      </c>
      <c r="E7">
        <v>3</v>
      </c>
      <c r="F7" t="s">
        <v>22</v>
      </c>
      <c r="G7" s="1">
        <v>0.91</v>
      </c>
      <c r="H7" s="1">
        <v>0.88</v>
      </c>
      <c r="I7" s="1">
        <v>0.91</v>
      </c>
      <c r="J7" s="1">
        <v>0.97</v>
      </c>
      <c r="K7" s="1">
        <v>0.96</v>
      </c>
      <c r="L7" s="1">
        <v>0.97</v>
      </c>
      <c r="M7" s="1">
        <v>0.92</v>
      </c>
      <c r="N7" s="1">
        <v>0.88</v>
      </c>
      <c r="O7" s="1">
        <v>0.95</v>
      </c>
      <c r="P7" s="1">
        <v>0.93</v>
      </c>
      <c r="Q7" s="1">
        <v>0.96</v>
      </c>
      <c r="R7" s="1">
        <v>0.95</v>
      </c>
      <c r="S7" s="1">
        <f t="shared" si="0"/>
        <v>0.97</v>
      </c>
    </row>
    <row r="8" spans="1:19" ht="25" customHeight="1">
      <c r="A8" t="s">
        <v>26</v>
      </c>
      <c r="B8">
        <v>2</v>
      </c>
      <c r="C8" t="s">
        <v>23</v>
      </c>
      <c r="D8" t="b">
        <v>1</v>
      </c>
      <c r="E8">
        <v>1</v>
      </c>
      <c r="F8" t="s">
        <v>20</v>
      </c>
      <c r="G8" s="1">
        <v>0.71</v>
      </c>
      <c r="H8" s="1">
        <v>0.68</v>
      </c>
      <c r="I8" s="1">
        <v>0.68</v>
      </c>
      <c r="J8" s="1">
        <v>0.64</v>
      </c>
      <c r="K8" s="1">
        <v>0.69</v>
      </c>
      <c r="L8" s="1">
        <v>0.67</v>
      </c>
      <c r="M8" s="1">
        <v>0.63</v>
      </c>
      <c r="N8" s="1">
        <v>0.72</v>
      </c>
      <c r="O8" s="1">
        <v>0.61</v>
      </c>
      <c r="P8" s="1">
        <v>0.65</v>
      </c>
      <c r="Q8" s="1">
        <v>0.72</v>
      </c>
      <c r="R8" s="1">
        <v>0.56999999999999995</v>
      </c>
      <c r="S8" s="1">
        <f t="shared" si="0"/>
        <v>0.72</v>
      </c>
    </row>
    <row r="9" spans="1:19" ht="25" customHeight="1">
      <c r="A9" t="s">
        <v>26</v>
      </c>
      <c r="B9">
        <v>2</v>
      </c>
      <c r="C9" t="s">
        <v>23</v>
      </c>
      <c r="D9" t="b">
        <v>1</v>
      </c>
      <c r="E9">
        <v>2</v>
      </c>
      <c r="F9" t="s">
        <v>21</v>
      </c>
      <c r="G9" s="1">
        <v>0.77</v>
      </c>
      <c r="H9" s="1">
        <v>0.8</v>
      </c>
      <c r="I9" s="1">
        <v>0.69</v>
      </c>
      <c r="J9" s="1">
        <v>0.74</v>
      </c>
      <c r="K9" s="1">
        <v>0.75</v>
      </c>
      <c r="L9" s="1">
        <v>0.75</v>
      </c>
      <c r="M9" s="1">
        <v>0.73</v>
      </c>
      <c r="N9" s="1">
        <v>0.72</v>
      </c>
      <c r="O9" s="1">
        <v>0.71</v>
      </c>
      <c r="P9" s="1">
        <v>0.76</v>
      </c>
      <c r="Q9" s="1">
        <v>0.76</v>
      </c>
      <c r="R9" s="1">
        <v>0.75</v>
      </c>
      <c r="S9" s="1">
        <f t="shared" si="0"/>
        <v>0.8</v>
      </c>
    </row>
    <row r="10" spans="1:19" ht="25" customHeight="1">
      <c r="A10" t="s">
        <v>26</v>
      </c>
      <c r="B10">
        <v>2</v>
      </c>
      <c r="C10" t="s">
        <v>23</v>
      </c>
      <c r="D10" t="b">
        <v>1</v>
      </c>
      <c r="E10">
        <v>3</v>
      </c>
      <c r="F10" t="s">
        <v>22</v>
      </c>
      <c r="G10" s="1">
        <v>0.72</v>
      </c>
      <c r="H10" s="1">
        <v>0.79</v>
      </c>
      <c r="I10" s="1">
        <v>0.69</v>
      </c>
      <c r="J10" s="1">
        <v>0.75</v>
      </c>
      <c r="K10" s="1">
        <v>0.76</v>
      </c>
      <c r="L10" s="1">
        <v>0.73</v>
      </c>
      <c r="M10" s="1">
        <v>0.72</v>
      </c>
      <c r="N10" s="1">
        <v>0.68</v>
      </c>
      <c r="O10" s="1">
        <v>0.68</v>
      </c>
      <c r="P10" s="1">
        <v>0.79</v>
      </c>
      <c r="Q10" s="1">
        <v>0.72</v>
      </c>
      <c r="R10" s="1">
        <v>0.69</v>
      </c>
      <c r="S10" s="1">
        <f t="shared" si="0"/>
        <v>0.79</v>
      </c>
    </row>
    <row r="11" spans="1:19" ht="25" customHeight="1">
      <c r="A11" t="s">
        <v>26</v>
      </c>
      <c r="B11">
        <v>2</v>
      </c>
      <c r="C11" t="s">
        <v>23</v>
      </c>
      <c r="D11" t="b">
        <v>0</v>
      </c>
      <c r="E11">
        <v>1</v>
      </c>
      <c r="F11" t="s">
        <v>20</v>
      </c>
      <c r="G11" s="1">
        <v>0.69</v>
      </c>
      <c r="H11" s="1">
        <v>0.75</v>
      </c>
      <c r="I11" s="1">
        <v>0.66</v>
      </c>
      <c r="J11" s="1">
        <v>0.64</v>
      </c>
      <c r="K11" s="1">
        <v>0.64</v>
      </c>
      <c r="L11" s="1">
        <v>0.59</v>
      </c>
      <c r="M11" s="1">
        <v>0.68</v>
      </c>
      <c r="N11" s="1">
        <v>0.67</v>
      </c>
      <c r="O11" s="1">
        <v>0.71</v>
      </c>
      <c r="P11" s="1">
        <v>0.72</v>
      </c>
      <c r="Q11" s="1">
        <v>0.72</v>
      </c>
      <c r="R11" s="1">
        <v>0.6</v>
      </c>
      <c r="S11" s="1">
        <f t="shared" si="0"/>
        <v>0.75</v>
      </c>
    </row>
    <row r="12" spans="1:19" ht="25" customHeight="1">
      <c r="A12" t="s">
        <v>26</v>
      </c>
      <c r="B12">
        <v>2</v>
      </c>
      <c r="C12" t="s">
        <v>23</v>
      </c>
      <c r="D12" t="b">
        <v>0</v>
      </c>
      <c r="E12">
        <v>2</v>
      </c>
      <c r="F12" t="s">
        <v>21</v>
      </c>
      <c r="G12" s="1">
        <v>0.8</v>
      </c>
      <c r="H12" s="1">
        <v>0.79</v>
      </c>
      <c r="I12" s="1">
        <v>0.7</v>
      </c>
      <c r="J12" s="1">
        <v>0.73</v>
      </c>
      <c r="K12" s="1">
        <v>0.79</v>
      </c>
      <c r="L12" s="1">
        <v>0.73</v>
      </c>
      <c r="M12" s="1">
        <v>0.76</v>
      </c>
      <c r="N12" s="1">
        <v>0.74</v>
      </c>
      <c r="O12" s="1">
        <v>0.71</v>
      </c>
      <c r="P12" s="1">
        <v>0.82</v>
      </c>
      <c r="Q12" s="1">
        <v>0.75</v>
      </c>
      <c r="R12" s="1">
        <v>0.72</v>
      </c>
      <c r="S12" s="1">
        <f t="shared" si="0"/>
        <v>0.82</v>
      </c>
    </row>
    <row r="13" spans="1:19" ht="25" customHeight="1">
      <c r="A13" t="s">
        <v>26</v>
      </c>
      <c r="B13">
        <v>2</v>
      </c>
      <c r="C13" t="s">
        <v>23</v>
      </c>
      <c r="D13" t="b">
        <v>0</v>
      </c>
      <c r="E13">
        <v>3</v>
      </c>
      <c r="F13" t="s">
        <v>22</v>
      </c>
      <c r="G13" s="1">
        <v>0.73</v>
      </c>
      <c r="H13" s="1">
        <v>0.76</v>
      </c>
      <c r="I13" s="1">
        <v>0.69</v>
      </c>
      <c r="J13" s="1">
        <v>0.68</v>
      </c>
      <c r="K13" s="1">
        <v>0.75</v>
      </c>
      <c r="L13" s="1">
        <v>0.73</v>
      </c>
      <c r="M13" s="1">
        <v>0.78</v>
      </c>
      <c r="N13" s="1">
        <v>0.71</v>
      </c>
      <c r="O13" s="1">
        <v>0.74</v>
      </c>
      <c r="P13" s="1">
        <v>0.75</v>
      </c>
      <c r="Q13" s="1">
        <v>0.72</v>
      </c>
      <c r="R13" s="1">
        <v>0.72</v>
      </c>
      <c r="S13" s="1">
        <f t="shared" si="0"/>
        <v>0.78</v>
      </c>
    </row>
    <row r="16" spans="1:19" ht="25" customHeight="1">
      <c r="B16" t="s">
        <v>1</v>
      </c>
      <c r="C16" t="s">
        <v>2</v>
      </c>
      <c r="D16" t="s">
        <v>24</v>
      </c>
      <c r="E16" t="s">
        <v>4</v>
      </c>
      <c r="F16" t="s">
        <v>25</v>
      </c>
      <c r="G16" t="s">
        <v>6</v>
      </c>
      <c r="H16" t="s">
        <v>7</v>
      </c>
      <c r="I16" t="s">
        <v>8</v>
      </c>
      <c r="J16" t="s">
        <v>9</v>
      </c>
      <c r="K16" t="s">
        <v>10</v>
      </c>
      <c r="L16" t="s">
        <v>11</v>
      </c>
      <c r="M16" t="s">
        <v>12</v>
      </c>
      <c r="N16" t="s">
        <v>13</v>
      </c>
      <c r="O16" t="s">
        <v>14</v>
      </c>
      <c r="P16" t="s">
        <v>15</v>
      </c>
      <c r="Q16" t="s">
        <v>16</v>
      </c>
      <c r="R16" t="s">
        <v>17</v>
      </c>
      <c r="S16" t="s">
        <v>18</v>
      </c>
    </row>
    <row r="17" spans="2:19" ht="25" customHeight="1">
      <c r="B17">
        <v>1</v>
      </c>
      <c r="C17" t="s">
        <v>19</v>
      </c>
      <c r="D17" t="b">
        <v>1</v>
      </c>
      <c r="E17">
        <v>0</v>
      </c>
      <c r="F17" t="s">
        <v>18</v>
      </c>
      <c r="G17" s="1" cm="1">
        <f t="array" ref="G17">_xlfn.LET(_xlpm.d,G$2:G$13,_xlpm.a,$C$2:$C$13=$C17,_xlpm.b,$D$2:$D$13=$D17,MAX(_xlfn._xlws.FILTER(_xlpm.d,_xlpm.a*_xlpm.b)))</f>
        <v>0.94</v>
      </c>
      <c r="H17" s="1" cm="1">
        <f t="array" ref="H17">_xlfn.LET(_xlpm.d,H$2:H$13,_xlpm.a,$C$2:$C$13=$C17,_xlpm.b,$D$2:$D$13=$D17,MAX(_xlfn._xlws.FILTER(_xlpm.d,_xlpm.a*_xlpm.b)))</f>
        <v>0.92</v>
      </c>
      <c r="I17" s="1" cm="1">
        <f t="array" ref="I17">_xlfn.LET(_xlpm.d,I$2:I$13,_xlpm.a,$C$2:$C$13=$C17,_xlpm.b,$D$2:$D$13=$D17,MAX(_xlfn._xlws.FILTER(_xlpm.d,_xlpm.a*_xlpm.b)))</f>
        <v>0.92</v>
      </c>
      <c r="J17" s="1" cm="1">
        <f t="array" ref="J17">_xlfn.LET(_xlpm.d,J$2:J$13,_xlpm.a,$C$2:$C$13=$C17,_xlpm.b,$D$2:$D$13=$D17,MAX(_xlfn._xlws.FILTER(_xlpm.d,_xlpm.a*_xlpm.b)))</f>
        <v>0.97</v>
      </c>
      <c r="K17" s="1" cm="1">
        <f t="array" ref="K17">_xlfn.LET(_xlpm.d,K$2:K$13,_xlpm.a,$C$2:$C$13=$C17,_xlpm.b,$D$2:$D$13=$D17,MAX(_xlfn._xlws.FILTER(_xlpm.d,_xlpm.a*_xlpm.b)))</f>
        <v>0.95</v>
      </c>
      <c r="L17" s="1" cm="1">
        <f t="array" ref="L17">_xlfn.LET(_xlpm.d,L$2:L$13,_xlpm.a,$C$2:$C$13=$C17,_xlpm.b,$D$2:$D$13=$D17,MAX(_xlfn._xlws.FILTER(_xlpm.d,_xlpm.a*_xlpm.b)))</f>
        <v>0.96</v>
      </c>
      <c r="M17" s="1" cm="1">
        <f t="array" ref="M17">_xlfn.LET(_xlpm.d,M$2:M$13,_xlpm.a,$C$2:$C$13=$C17,_xlpm.b,$D$2:$D$13=$D17,MAX(_xlfn._xlws.FILTER(_xlpm.d,_xlpm.a*_xlpm.b)))</f>
        <v>0.89</v>
      </c>
      <c r="N17" s="1" cm="1">
        <f t="array" ref="N17">_xlfn.LET(_xlpm.d,N$2:N$13,_xlpm.a,$C$2:$C$13=$C17,_xlpm.b,$D$2:$D$13=$D17,MAX(_xlfn._xlws.FILTER(_xlpm.d,_xlpm.a*_xlpm.b)))</f>
        <v>0.88</v>
      </c>
      <c r="O17" s="1" cm="1">
        <f t="array" ref="O17">_xlfn.LET(_xlpm.d,O$2:O$13,_xlpm.a,$C$2:$C$13=$C17,_xlpm.b,$D$2:$D$13=$D17,MAX(_xlfn._xlws.FILTER(_xlpm.d,_xlpm.a*_xlpm.b)))</f>
        <v>0.96</v>
      </c>
      <c r="P17" s="1" cm="1">
        <f t="array" ref="P17">_xlfn.LET(_xlpm.d,P$2:P$13,_xlpm.a,$C$2:$C$13=$C17,_xlpm.b,$D$2:$D$13=$D17,MAX(_xlfn._xlws.FILTER(_xlpm.d,_xlpm.a*_xlpm.b)))</f>
        <v>0.93</v>
      </c>
      <c r="Q17" s="1" cm="1">
        <f t="array" ref="Q17">_xlfn.LET(_xlpm.d,Q$2:Q$13,_xlpm.a,$C$2:$C$13=$C17,_xlpm.b,$D$2:$D$13=$D17,MAX(_xlfn._xlws.FILTER(_xlpm.d,_xlpm.a*_xlpm.b)))</f>
        <v>0.97</v>
      </c>
      <c r="R17" s="1" cm="1">
        <f t="array" ref="R17">_xlfn.LET(_xlpm.d,R$2:R$13,_xlpm.a,$C$2:$C$13=$C17,_xlpm.b,$D$2:$D$13=$D17,MAX(_xlfn._xlws.FILTER(_xlpm.d,_xlpm.a*_xlpm.b)))</f>
        <v>0.97</v>
      </c>
      <c r="S17" s="1" cm="1">
        <f t="array" ref="S17">_xlfn.LET(_xlpm.d,S$2:S$13,_xlpm.a,$C$2:$C$13=$C17,_xlpm.b,$D$2:$D$13=$D17,MAX(_xlfn._xlws.FILTER(_xlpm.d,_xlpm.a*_xlpm.b)))</f>
        <v>0.97</v>
      </c>
    </row>
    <row r="18" spans="2:19" ht="25" customHeight="1">
      <c r="B18">
        <v>1</v>
      </c>
      <c r="C18" t="s">
        <v>19</v>
      </c>
      <c r="D18" t="b">
        <v>0</v>
      </c>
      <c r="E18">
        <v>0</v>
      </c>
      <c r="F18" t="s">
        <v>18</v>
      </c>
      <c r="G18" s="1" cm="1">
        <f t="array" ref="G18">_xlfn.LET(_xlpm.d,G$2:G$13,_xlpm.a,$C$2:$C$13=$C18,_xlpm.b,$D$2:$D$13=$D18,MAX(_xlfn._xlws.FILTER(_xlpm.d,_xlpm.a*_xlpm.b)))</f>
        <v>0.93</v>
      </c>
      <c r="H18" s="1" cm="1">
        <f t="array" ref="H18">_xlfn.LET(_xlpm.d,H$2:H$13,_xlpm.a,$C$2:$C$13=$C18,_xlpm.b,$D$2:$D$13=$D18,MAX(_xlfn._xlws.FILTER(_xlpm.d,_xlpm.a*_xlpm.b)))</f>
        <v>0.9</v>
      </c>
      <c r="I18" s="1" cm="1">
        <f t="array" ref="I18">_xlfn.LET(_xlpm.d,I$2:I$13,_xlpm.a,$C$2:$C$13=$C18,_xlpm.b,$D$2:$D$13=$D18,MAX(_xlfn._xlws.FILTER(_xlpm.d,_xlpm.a*_xlpm.b)))</f>
        <v>0.92</v>
      </c>
      <c r="J18" s="1" cm="1">
        <f t="array" ref="J18">_xlfn.LET(_xlpm.d,J$2:J$13,_xlpm.a,$C$2:$C$13=$C18,_xlpm.b,$D$2:$D$13=$D18,MAX(_xlfn._xlws.FILTER(_xlpm.d,_xlpm.a*_xlpm.b)))</f>
        <v>0.97</v>
      </c>
      <c r="K18" s="1" cm="1">
        <f t="array" ref="K18">_xlfn.LET(_xlpm.d,K$2:K$13,_xlpm.a,$C$2:$C$13=$C18,_xlpm.b,$D$2:$D$13=$D18,MAX(_xlfn._xlws.FILTER(_xlpm.d,_xlpm.a*_xlpm.b)))</f>
        <v>0.96</v>
      </c>
      <c r="L18" s="1" cm="1">
        <f t="array" ref="L18">_xlfn.LET(_xlpm.d,L$2:L$13,_xlpm.a,$C$2:$C$13=$C18,_xlpm.b,$D$2:$D$13=$D18,MAX(_xlfn._xlws.FILTER(_xlpm.d,_xlpm.a*_xlpm.b)))</f>
        <v>0.97</v>
      </c>
      <c r="M18" s="1" cm="1">
        <f t="array" ref="M18">_xlfn.LET(_xlpm.d,M$2:M$13,_xlpm.a,$C$2:$C$13=$C18,_xlpm.b,$D$2:$D$13=$D18,MAX(_xlfn._xlws.FILTER(_xlpm.d,_xlpm.a*_xlpm.b)))</f>
        <v>0.92</v>
      </c>
      <c r="N18" s="1" cm="1">
        <f t="array" ref="N18">_xlfn.LET(_xlpm.d,N$2:N$13,_xlpm.a,$C$2:$C$13=$C18,_xlpm.b,$D$2:$D$13=$D18,MAX(_xlfn._xlws.FILTER(_xlpm.d,_xlpm.a*_xlpm.b)))</f>
        <v>0.88</v>
      </c>
      <c r="O18" s="1" cm="1">
        <f t="array" ref="O18">_xlfn.LET(_xlpm.d,O$2:O$13,_xlpm.a,$C$2:$C$13=$C18,_xlpm.b,$D$2:$D$13=$D18,MAX(_xlfn._xlws.FILTER(_xlpm.d,_xlpm.a*_xlpm.b)))</f>
        <v>0.98</v>
      </c>
      <c r="P18" s="1" cm="1">
        <f t="array" ref="P18">_xlfn.LET(_xlpm.d,P$2:P$13,_xlpm.a,$C$2:$C$13=$C18,_xlpm.b,$D$2:$D$13=$D18,MAX(_xlfn._xlws.FILTER(_xlpm.d,_xlpm.a*_xlpm.b)))</f>
        <v>0.94</v>
      </c>
      <c r="Q18" s="1" cm="1">
        <f t="array" ref="Q18">_xlfn.LET(_xlpm.d,Q$2:Q$13,_xlpm.a,$C$2:$C$13=$C18,_xlpm.b,$D$2:$D$13=$D18,MAX(_xlfn._xlws.FILTER(_xlpm.d,_xlpm.a*_xlpm.b)))</f>
        <v>0.96</v>
      </c>
      <c r="R18" s="1" cm="1">
        <f t="array" ref="R18">_xlfn.LET(_xlpm.d,R$2:R$13,_xlpm.a,$C$2:$C$13=$C18,_xlpm.b,$D$2:$D$13=$D18,MAX(_xlfn._xlws.FILTER(_xlpm.d,_xlpm.a*_xlpm.b)))</f>
        <v>0.95</v>
      </c>
      <c r="S18" s="1" cm="1">
        <f t="array" ref="S18">_xlfn.LET(_xlpm.d,S$2:S$13,_xlpm.a,$C$2:$C$13=$C18,_xlpm.b,$D$2:$D$13=$D18,MAX(_xlfn._xlws.FILTER(_xlpm.d,_xlpm.a*_xlpm.b)))</f>
        <v>0.98</v>
      </c>
    </row>
    <row r="19" spans="2:19" ht="25" customHeight="1">
      <c r="B19">
        <v>2</v>
      </c>
      <c r="C19" t="s">
        <v>23</v>
      </c>
      <c r="D19" t="b">
        <v>1</v>
      </c>
      <c r="E19">
        <v>0</v>
      </c>
      <c r="F19" t="s">
        <v>18</v>
      </c>
      <c r="G19" s="1" cm="1">
        <f t="array" ref="G19">_xlfn.LET(_xlpm.d,G$2:G$13,_xlpm.a,$C$2:$C$13=$C19,_xlpm.b,$D$2:$D$13=$D19,MAX(_xlfn._xlws.FILTER(_xlpm.d,_xlpm.a*_xlpm.b)))</f>
        <v>0.77</v>
      </c>
      <c r="H19" s="1" cm="1">
        <f t="array" ref="H19">_xlfn.LET(_xlpm.d,H$2:H$13,_xlpm.a,$C$2:$C$13=$C19,_xlpm.b,$D$2:$D$13=$D19,MAX(_xlfn._xlws.FILTER(_xlpm.d,_xlpm.a*_xlpm.b)))</f>
        <v>0.8</v>
      </c>
      <c r="I19" s="1" cm="1">
        <f t="array" ref="I19">_xlfn.LET(_xlpm.d,I$2:I$13,_xlpm.a,$C$2:$C$13=$C19,_xlpm.b,$D$2:$D$13=$D19,MAX(_xlfn._xlws.FILTER(_xlpm.d,_xlpm.a*_xlpm.b)))</f>
        <v>0.69</v>
      </c>
      <c r="J19" s="1" cm="1">
        <f t="array" ref="J19">_xlfn.LET(_xlpm.d,J$2:J$13,_xlpm.a,$C$2:$C$13=$C19,_xlpm.b,$D$2:$D$13=$D19,MAX(_xlfn._xlws.FILTER(_xlpm.d,_xlpm.a*_xlpm.b)))</f>
        <v>0.75</v>
      </c>
      <c r="K19" s="1" cm="1">
        <f t="array" ref="K19">_xlfn.LET(_xlpm.d,K$2:K$13,_xlpm.a,$C$2:$C$13=$C19,_xlpm.b,$D$2:$D$13=$D19,MAX(_xlfn._xlws.FILTER(_xlpm.d,_xlpm.a*_xlpm.b)))</f>
        <v>0.76</v>
      </c>
      <c r="L19" s="1" cm="1">
        <f t="array" ref="L19">_xlfn.LET(_xlpm.d,L$2:L$13,_xlpm.a,$C$2:$C$13=$C19,_xlpm.b,$D$2:$D$13=$D19,MAX(_xlfn._xlws.FILTER(_xlpm.d,_xlpm.a*_xlpm.b)))</f>
        <v>0.75</v>
      </c>
      <c r="M19" s="1" cm="1">
        <f t="array" ref="M19">_xlfn.LET(_xlpm.d,M$2:M$13,_xlpm.a,$C$2:$C$13=$C19,_xlpm.b,$D$2:$D$13=$D19,MAX(_xlfn._xlws.FILTER(_xlpm.d,_xlpm.a*_xlpm.b)))</f>
        <v>0.73</v>
      </c>
      <c r="N19" s="1" cm="1">
        <f t="array" ref="N19">_xlfn.LET(_xlpm.d,N$2:N$13,_xlpm.a,$C$2:$C$13=$C19,_xlpm.b,$D$2:$D$13=$D19,MAX(_xlfn._xlws.FILTER(_xlpm.d,_xlpm.a*_xlpm.b)))</f>
        <v>0.72</v>
      </c>
      <c r="O19" s="1" cm="1">
        <f t="array" ref="O19">_xlfn.LET(_xlpm.d,O$2:O$13,_xlpm.a,$C$2:$C$13=$C19,_xlpm.b,$D$2:$D$13=$D19,MAX(_xlfn._xlws.FILTER(_xlpm.d,_xlpm.a*_xlpm.b)))</f>
        <v>0.71</v>
      </c>
      <c r="P19" s="1" cm="1">
        <f t="array" ref="P19">_xlfn.LET(_xlpm.d,P$2:P$13,_xlpm.a,$C$2:$C$13=$C19,_xlpm.b,$D$2:$D$13=$D19,MAX(_xlfn._xlws.FILTER(_xlpm.d,_xlpm.a*_xlpm.b)))</f>
        <v>0.79</v>
      </c>
      <c r="Q19" s="1" cm="1">
        <f t="array" ref="Q19">_xlfn.LET(_xlpm.d,Q$2:Q$13,_xlpm.a,$C$2:$C$13=$C19,_xlpm.b,$D$2:$D$13=$D19,MAX(_xlfn._xlws.FILTER(_xlpm.d,_xlpm.a*_xlpm.b)))</f>
        <v>0.76</v>
      </c>
      <c r="R19" s="1" cm="1">
        <f t="array" ref="R19">_xlfn.LET(_xlpm.d,R$2:R$13,_xlpm.a,$C$2:$C$13=$C19,_xlpm.b,$D$2:$D$13=$D19,MAX(_xlfn._xlws.FILTER(_xlpm.d,_xlpm.a*_xlpm.b)))</f>
        <v>0.75</v>
      </c>
      <c r="S19" s="1" cm="1">
        <f t="array" ref="S19">_xlfn.LET(_xlpm.d,S$2:S$13,_xlpm.a,$C$2:$C$13=$C19,_xlpm.b,$D$2:$D$13=$D19,MAX(_xlfn._xlws.FILTER(_xlpm.d,_xlpm.a*_xlpm.b)))</f>
        <v>0.8</v>
      </c>
    </row>
    <row r="20" spans="2:19" ht="25" customHeight="1">
      <c r="B20">
        <v>2</v>
      </c>
      <c r="C20" t="s">
        <v>23</v>
      </c>
      <c r="D20" t="b">
        <v>0</v>
      </c>
      <c r="E20">
        <v>0</v>
      </c>
      <c r="F20" t="s">
        <v>18</v>
      </c>
      <c r="G20" s="1" cm="1">
        <f t="array" ref="G20">_xlfn.LET(_xlpm.d,G$2:G$13,_xlpm.a,$C$2:$C$13=$C20,_xlpm.b,$D$2:$D$13=$D20,MAX(_xlfn._xlws.FILTER(_xlpm.d,_xlpm.a*_xlpm.b)))</f>
        <v>0.8</v>
      </c>
      <c r="H20" s="1" cm="1">
        <f t="array" ref="H20">_xlfn.LET(_xlpm.d,H$2:H$13,_xlpm.a,$C$2:$C$13=$C20,_xlpm.b,$D$2:$D$13=$D20,MAX(_xlfn._xlws.FILTER(_xlpm.d,_xlpm.a*_xlpm.b)))</f>
        <v>0.79</v>
      </c>
      <c r="I20" s="1" cm="1">
        <f t="array" ref="I20">_xlfn.LET(_xlpm.d,I$2:I$13,_xlpm.a,$C$2:$C$13=$C20,_xlpm.b,$D$2:$D$13=$D20,MAX(_xlfn._xlws.FILTER(_xlpm.d,_xlpm.a*_xlpm.b)))</f>
        <v>0.7</v>
      </c>
      <c r="J20" s="1" cm="1">
        <f t="array" ref="J20">_xlfn.LET(_xlpm.d,J$2:J$13,_xlpm.a,$C$2:$C$13=$C20,_xlpm.b,$D$2:$D$13=$D20,MAX(_xlfn._xlws.FILTER(_xlpm.d,_xlpm.a*_xlpm.b)))</f>
        <v>0.73</v>
      </c>
      <c r="K20" s="1" cm="1">
        <f t="array" ref="K20">_xlfn.LET(_xlpm.d,K$2:K$13,_xlpm.a,$C$2:$C$13=$C20,_xlpm.b,$D$2:$D$13=$D20,MAX(_xlfn._xlws.FILTER(_xlpm.d,_xlpm.a*_xlpm.b)))</f>
        <v>0.79</v>
      </c>
      <c r="L20" s="1" cm="1">
        <f t="array" ref="L20">_xlfn.LET(_xlpm.d,L$2:L$13,_xlpm.a,$C$2:$C$13=$C20,_xlpm.b,$D$2:$D$13=$D20,MAX(_xlfn._xlws.FILTER(_xlpm.d,_xlpm.a*_xlpm.b)))</f>
        <v>0.73</v>
      </c>
      <c r="M20" s="1" cm="1">
        <f t="array" ref="M20">_xlfn.LET(_xlpm.d,M$2:M$13,_xlpm.a,$C$2:$C$13=$C20,_xlpm.b,$D$2:$D$13=$D20,MAX(_xlfn._xlws.FILTER(_xlpm.d,_xlpm.a*_xlpm.b)))</f>
        <v>0.78</v>
      </c>
      <c r="N20" s="1" cm="1">
        <f t="array" ref="N20">_xlfn.LET(_xlpm.d,N$2:N$13,_xlpm.a,$C$2:$C$13=$C20,_xlpm.b,$D$2:$D$13=$D20,MAX(_xlfn._xlws.FILTER(_xlpm.d,_xlpm.a*_xlpm.b)))</f>
        <v>0.74</v>
      </c>
      <c r="O20" s="1" cm="1">
        <f t="array" ref="O20">_xlfn.LET(_xlpm.d,O$2:O$13,_xlpm.a,$C$2:$C$13=$C20,_xlpm.b,$D$2:$D$13=$D20,MAX(_xlfn._xlws.FILTER(_xlpm.d,_xlpm.a*_xlpm.b)))</f>
        <v>0.74</v>
      </c>
      <c r="P20" s="1" cm="1">
        <f t="array" ref="P20">_xlfn.LET(_xlpm.d,P$2:P$13,_xlpm.a,$C$2:$C$13=$C20,_xlpm.b,$D$2:$D$13=$D20,MAX(_xlfn._xlws.FILTER(_xlpm.d,_xlpm.a*_xlpm.b)))</f>
        <v>0.82</v>
      </c>
      <c r="Q20" s="1" cm="1">
        <f t="array" ref="Q20">_xlfn.LET(_xlpm.d,Q$2:Q$13,_xlpm.a,$C$2:$C$13=$C20,_xlpm.b,$D$2:$D$13=$D20,MAX(_xlfn._xlws.FILTER(_xlpm.d,_xlpm.a*_xlpm.b)))</f>
        <v>0.75</v>
      </c>
      <c r="R20" s="1" cm="1">
        <f t="array" ref="R20">_xlfn.LET(_xlpm.d,R$2:R$13,_xlpm.a,$C$2:$C$13=$C20,_xlpm.b,$D$2:$D$13=$D20,MAX(_xlfn._xlws.FILTER(_xlpm.d,_xlpm.a*_xlpm.b)))</f>
        <v>0.72</v>
      </c>
      <c r="S20" s="1" cm="1">
        <f t="array" ref="S20">_xlfn.LET(_xlpm.d,S$2:S$13,_xlpm.a,$C$2:$C$13=$C20,_xlpm.b,$D$2:$D$13=$D20,MAX(_xlfn._xlws.FILTER(_xlpm.d,_xlpm.a*_xlpm.b)))</f>
        <v>0.82</v>
      </c>
    </row>
  </sheetData>
  <conditionalFormatting sqref="G2:S13">
    <cfRule type="colorScale" priority="1">
      <colorScale>
        <cfvo type="num" val="0"/>
        <cfvo type="percentile" val="50"/>
        <cfvo type="num" val="1"/>
        <color theme="4" tint="0.59999389629810485"/>
        <color theme="0"/>
        <color rgb="FFFFC000"/>
      </colorScale>
    </cfRule>
  </conditionalFormatting>
  <conditionalFormatting sqref="G17:S20">
    <cfRule type="colorScale" priority="2">
      <colorScale>
        <cfvo type="num" val="0"/>
        <cfvo type="percentile" val="50"/>
        <cfvo type="num" val="1"/>
        <color theme="4" tint="0.59999389629810485"/>
        <color theme="0"/>
        <color rgb="FFFFC000"/>
      </colorScale>
    </cfRule>
  </conditionalFormatting>
  <pageMargins left="0.75" right="0.75" top="1" bottom="1" header="0.5" footer="0.5"/>
  <tableParts count="2">
    <tablePart r:id="rId1"/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E9E3C-599C-B247-8D8E-9ADA807217CF}">
  <dimension ref="A1:S20"/>
  <sheetViews>
    <sheetView workbookViewId="0">
      <pane xSplit="9080" ySplit="3080" topLeftCell="F7" activePane="bottomRight"/>
      <selection activeCell="C1" sqref="A1:XFD1048576"/>
      <selection pane="topRight" activeCell="S3" sqref="S3"/>
      <selection pane="bottomLeft" activeCell="B17" sqref="B17:S20"/>
      <selection pane="bottomRight" activeCell="J9" sqref="J9"/>
    </sheetView>
  </sheetViews>
  <sheetFormatPr baseColWidth="10" defaultRowHeight="25" customHeight="1"/>
  <cols>
    <col min="2" max="2" width="6.625" customWidth="1"/>
    <col min="4" max="4" width="10" customWidth="1"/>
    <col min="5" max="5" width="5.75" customWidth="1"/>
    <col min="7" max="19" width="7.25" customWidth="1"/>
  </cols>
  <sheetData>
    <row r="1" spans="1:19" ht="25" customHeigh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ht="25" customHeight="1">
      <c r="A2" t="s">
        <v>26</v>
      </c>
      <c r="B2">
        <v>1</v>
      </c>
      <c r="C2" t="s">
        <v>19</v>
      </c>
      <c r="D2" t="b">
        <v>1</v>
      </c>
      <c r="E2">
        <v>1</v>
      </c>
      <c r="F2" t="s">
        <v>20</v>
      </c>
      <c r="G2" s="1">
        <v>0.93</v>
      </c>
      <c r="H2" s="1">
        <v>0.93</v>
      </c>
      <c r="I2" s="1">
        <v>0.86</v>
      </c>
      <c r="J2" s="1">
        <v>0.88</v>
      </c>
      <c r="K2" s="1">
        <v>0.94</v>
      </c>
      <c r="L2" s="1">
        <v>0.82</v>
      </c>
      <c r="M2" s="1">
        <v>0.88</v>
      </c>
      <c r="N2" s="1">
        <v>0.89</v>
      </c>
      <c r="O2" s="1">
        <v>0.87</v>
      </c>
      <c r="P2" s="1">
        <v>0.94</v>
      </c>
      <c r="Q2" s="1">
        <v>0.87</v>
      </c>
      <c r="R2" s="1">
        <v>0.88</v>
      </c>
      <c r="S2" s="1">
        <f t="shared" ref="S2:S13" si="0">MAX($G2:$R2)</f>
        <v>0.94</v>
      </c>
    </row>
    <row r="3" spans="1:19" ht="25" customHeight="1">
      <c r="A3" t="s">
        <v>26</v>
      </c>
      <c r="B3">
        <v>1</v>
      </c>
      <c r="C3" t="s">
        <v>19</v>
      </c>
      <c r="D3" t="b">
        <v>1</v>
      </c>
      <c r="E3">
        <v>2</v>
      </c>
      <c r="F3" t="s">
        <v>21</v>
      </c>
      <c r="G3" s="1">
        <v>0.94</v>
      </c>
      <c r="H3" s="1">
        <v>0.93</v>
      </c>
      <c r="I3" s="1">
        <v>0.92</v>
      </c>
      <c r="J3" s="1">
        <v>0.93</v>
      </c>
      <c r="K3" s="1">
        <v>0.94</v>
      </c>
      <c r="L3" s="1">
        <v>0.89</v>
      </c>
      <c r="M3" s="1">
        <v>0.92</v>
      </c>
      <c r="N3" s="1">
        <v>0.89</v>
      </c>
      <c r="O3" s="1">
        <v>0.92</v>
      </c>
      <c r="P3" s="1">
        <v>0.97</v>
      </c>
      <c r="Q3" s="1">
        <v>0.96</v>
      </c>
      <c r="R3" s="1">
        <v>0.97</v>
      </c>
      <c r="S3" s="1">
        <f t="shared" si="0"/>
        <v>0.97</v>
      </c>
    </row>
    <row r="4" spans="1:19" ht="25" customHeight="1">
      <c r="A4" t="s">
        <v>26</v>
      </c>
      <c r="B4">
        <v>1</v>
      </c>
      <c r="C4" t="s">
        <v>19</v>
      </c>
      <c r="D4" t="b">
        <v>1</v>
      </c>
      <c r="E4">
        <v>3</v>
      </c>
      <c r="F4" t="s">
        <v>22</v>
      </c>
      <c r="G4" s="1">
        <v>0.9</v>
      </c>
      <c r="H4" s="1">
        <v>0.9</v>
      </c>
      <c r="I4" s="1">
        <v>0.93</v>
      </c>
      <c r="J4" s="1">
        <v>0.94</v>
      </c>
      <c r="K4" s="1">
        <v>0.93</v>
      </c>
      <c r="L4" s="1">
        <v>0.95</v>
      </c>
      <c r="M4" s="1">
        <v>0.93</v>
      </c>
      <c r="N4" s="1">
        <v>0.91</v>
      </c>
      <c r="O4" s="1">
        <v>0.86</v>
      </c>
      <c r="P4" s="1">
        <v>0.99</v>
      </c>
      <c r="Q4" s="1">
        <v>0.96</v>
      </c>
      <c r="R4" s="1">
        <v>0.95</v>
      </c>
      <c r="S4" s="1">
        <f t="shared" si="0"/>
        <v>0.99</v>
      </c>
    </row>
    <row r="5" spans="1:19" ht="25" customHeight="1">
      <c r="A5" t="s">
        <v>26</v>
      </c>
      <c r="B5">
        <v>1</v>
      </c>
      <c r="C5" t="s">
        <v>19</v>
      </c>
      <c r="D5" t="b">
        <v>0</v>
      </c>
      <c r="E5">
        <v>1</v>
      </c>
      <c r="F5" t="s">
        <v>20</v>
      </c>
      <c r="G5" s="1">
        <v>0.89</v>
      </c>
      <c r="H5" s="1">
        <v>0.89</v>
      </c>
      <c r="I5" s="1">
        <v>0.86</v>
      </c>
      <c r="J5" s="1">
        <v>0.94</v>
      </c>
      <c r="K5" s="1">
        <v>0.88</v>
      </c>
      <c r="L5" s="1">
        <v>0.86</v>
      </c>
      <c r="M5" s="1">
        <v>0.88</v>
      </c>
      <c r="N5" s="1">
        <v>0.92</v>
      </c>
      <c r="O5" s="1">
        <v>0.91</v>
      </c>
      <c r="P5" s="1">
        <v>0.92</v>
      </c>
      <c r="Q5" s="1">
        <v>0.85</v>
      </c>
      <c r="R5" s="1">
        <v>0.91</v>
      </c>
      <c r="S5" s="1">
        <f t="shared" si="0"/>
        <v>0.94</v>
      </c>
    </row>
    <row r="6" spans="1:19" ht="25" customHeight="1">
      <c r="A6" t="s">
        <v>26</v>
      </c>
      <c r="B6">
        <v>1</v>
      </c>
      <c r="C6" t="s">
        <v>19</v>
      </c>
      <c r="D6" t="b">
        <v>0</v>
      </c>
      <c r="E6">
        <v>2</v>
      </c>
      <c r="F6" t="s">
        <v>21</v>
      </c>
      <c r="G6" s="1">
        <v>0.93</v>
      </c>
      <c r="H6" s="1">
        <v>0.93</v>
      </c>
      <c r="I6" s="1">
        <v>0.91</v>
      </c>
      <c r="J6" s="1">
        <v>0.93</v>
      </c>
      <c r="K6" s="1">
        <v>0.95</v>
      </c>
      <c r="L6" s="1">
        <v>0.9</v>
      </c>
      <c r="M6" s="1">
        <v>0.91</v>
      </c>
      <c r="N6" s="1">
        <v>0.91</v>
      </c>
      <c r="O6" s="1">
        <v>0.88</v>
      </c>
      <c r="P6" s="1">
        <v>0.97</v>
      </c>
      <c r="Q6" s="1">
        <v>0.95</v>
      </c>
      <c r="R6" s="1">
        <v>0.96</v>
      </c>
      <c r="S6" s="1">
        <f t="shared" si="0"/>
        <v>0.97</v>
      </c>
    </row>
    <row r="7" spans="1:19" ht="25" customHeight="1">
      <c r="A7" t="s">
        <v>26</v>
      </c>
      <c r="B7">
        <v>1</v>
      </c>
      <c r="C7" t="s">
        <v>19</v>
      </c>
      <c r="D7" t="b">
        <v>0</v>
      </c>
      <c r="E7">
        <v>3</v>
      </c>
      <c r="F7" t="s">
        <v>22</v>
      </c>
      <c r="G7" s="1">
        <v>0.93</v>
      </c>
      <c r="H7" s="1">
        <v>0.93</v>
      </c>
      <c r="I7" s="1">
        <v>0.93</v>
      </c>
      <c r="J7" s="1">
        <v>0.94</v>
      </c>
      <c r="K7" s="1">
        <v>0.93</v>
      </c>
      <c r="L7" s="1">
        <v>0.93</v>
      </c>
      <c r="M7" s="1">
        <v>0.93</v>
      </c>
      <c r="N7" s="1">
        <v>0.93</v>
      </c>
      <c r="O7" s="1">
        <v>0.86</v>
      </c>
      <c r="P7" s="1">
        <v>0.97</v>
      </c>
      <c r="Q7" s="1">
        <v>0.97</v>
      </c>
      <c r="R7" s="1">
        <v>0.96</v>
      </c>
      <c r="S7" s="1">
        <f t="shared" si="0"/>
        <v>0.97</v>
      </c>
    </row>
    <row r="8" spans="1:19" ht="25" customHeight="1">
      <c r="A8" t="s">
        <v>26</v>
      </c>
      <c r="B8">
        <v>2</v>
      </c>
      <c r="C8" t="s">
        <v>23</v>
      </c>
      <c r="D8" t="b">
        <v>1</v>
      </c>
      <c r="E8">
        <v>1</v>
      </c>
      <c r="F8" t="s">
        <v>20</v>
      </c>
      <c r="G8" s="1">
        <v>0.74</v>
      </c>
      <c r="H8" s="1">
        <v>0.66</v>
      </c>
      <c r="I8" s="1">
        <v>0.81</v>
      </c>
      <c r="J8" s="1">
        <v>0.66</v>
      </c>
      <c r="K8" s="1">
        <v>0.68</v>
      </c>
      <c r="L8" s="1">
        <v>0.74</v>
      </c>
      <c r="M8" s="1">
        <v>0.71</v>
      </c>
      <c r="N8" s="1">
        <v>0.71</v>
      </c>
      <c r="O8" s="1">
        <v>0.76</v>
      </c>
      <c r="P8" s="1">
        <v>0.68</v>
      </c>
      <c r="Q8" s="1">
        <v>0.7</v>
      </c>
      <c r="R8" s="1">
        <v>0.56999999999999995</v>
      </c>
      <c r="S8" s="1">
        <f t="shared" si="0"/>
        <v>0.81</v>
      </c>
    </row>
    <row r="9" spans="1:19" ht="25" customHeight="1">
      <c r="A9" t="s">
        <v>26</v>
      </c>
      <c r="B9">
        <v>2</v>
      </c>
      <c r="C9" t="s">
        <v>23</v>
      </c>
      <c r="D9" t="b">
        <v>1</v>
      </c>
      <c r="E9">
        <v>2</v>
      </c>
      <c r="F9" t="s">
        <v>21</v>
      </c>
      <c r="G9" s="1">
        <v>0.77</v>
      </c>
      <c r="H9" s="1">
        <v>0.71</v>
      </c>
      <c r="I9" s="1">
        <v>0.8</v>
      </c>
      <c r="J9" s="1">
        <v>0.79</v>
      </c>
      <c r="K9" s="1">
        <v>0.78</v>
      </c>
      <c r="L9" s="1">
        <v>0.83</v>
      </c>
      <c r="M9" s="1">
        <v>0.74</v>
      </c>
      <c r="N9" s="1">
        <v>0.82</v>
      </c>
      <c r="O9" s="1">
        <v>0.83</v>
      </c>
      <c r="P9" s="1">
        <v>0.77</v>
      </c>
      <c r="Q9" s="1">
        <v>0.8</v>
      </c>
      <c r="R9" s="1">
        <v>0.68</v>
      </c>
      <c r="S9" s="1">
        <f t="shared" si="0"/>
        <v>0.83</v>
      </c>
    </row>
    <row r="10" spans="1:19" ht="25" customHeight="1">
      <c r="A10" t="s">
        <v>26</v>
      </c>
      <c r="B10">
        <v>2</v>
      </c>
      <c r="C10" t="s">
        <v>23</v>
      </c>
      <c r="D10" t="b">
        <v>1</v>
      </c>
      <c r="E10">
        <v>3</v>
      </c>
      <c r="F10" t="s">
        <v>22</v>
      </c>
      <c r="G10" s="1">
        <v>0.79</v>
      </c>
      <c r="H10" s="1">
        <v>0.69</v>
      </c>
      <c r="I10" s="1">
        <v>0.74</v>
      </c>
      <c r="J10" s="1">
        <v>0.78</v>
      </c>
      <c r="K10" s="1">
        <v>0.75</v>
      </c>
      <c r="L10" s="1">
        <v>0.75</v>
      </c>
      <c r="M10" s="1">
        <v>0.68</v>
      </c>
      <c r="N10" s="1">
        <v>0.75</v>
      </c>
      <c r="O10" s="1">
        <v>0.75</v>
      </c>
      <c r="P10" s="1">
        <v>0.77</v>
      </c>
      <c r="Q10" s="1">
        <v>0.78</v>
      </c>
      <c r="R10" s="1">
        <v>0.71</v>
      </c>
      <c r="S10" s="1">
        <f t="shared" si="0"/>
        <v>0.79</v>
      </c>
    </row>
    <row r="11" spans="1:19" ht="25" customHeight="1">
      <c r="A11" t="s">
        <v>26</v>
      </c>
      <c r="B11">
        <v>2</v>
      </c>
      <c r="C11" t="s">
        <v>23</v>
      </c>
      <c r="D11" t="b">
        <v>0</v>
      </c>
      <c r="E11">
        <v>1</v>
      </c>
      <c r="F11" t="s">
        <v>20</v>
      </c>
      <c r="G11" s="1">
        <v>0.73</v>
      </c>
      <c r="H11" s="1">
        <v>0.71</v>
      </c>
      <c r="I11" s="1">
        <v>0.73</v>
      </c>
      <c r="J11" s="1">
        <v>0.68</v>
      </c>
      <c r="K11" s="1">
        <v>0.63</v>
      </c>
      <c r="L11" s="1">
        <v>0.76</v>
      </c>
      <c r="M11" s="1">
        <v>0.71</v>
      </c>
      <c r="N11" s="1">
        <v>0.7</v>
      </c>
      <c r="O11" s="1">
        <v>0.69</v>
      </c>
      <c r="P11" s="1">
        <v>0.63</v>
      </c>
      <c r="Q11" s="1">
        <v>0.66</v>
      </c>
      <c r="R11" s="1">
        <v>0.63</v>
      </c>
      <c r="S11" s="1">
        <f t="shared" si="0"/>
        <v>0.76</v>
      </c>
    </row>
    <row r="12" spans="1:19" ht="25" customHeight="1">
      <c r="A12" t="s">
        <v>26</v>
      </c>
      <c r="B12">
        <v>2</v>
      </c>
      <c r="C12" t="s">
        <v>23</v>
      </c>
      <c r="D12" t="b">
        <v>0</v>
      </c>
      <c r="E12">
        <v>2</v>
      </c>
      <c r="F12" t="s">
        <v>21</v>
      </c>
      <c r="G12" s="1">
        <v>0.75</v>
      </c>
      <c r="H12" s="1">
        <v>0.69</v>
      </c>
      <c r="I12" s="1">
        <v>0.81</v>
      </c>
      <c r="J12" s="1">
        <v>0.78</v>
      </c>
      <c r="K12" s="1">
        <v>0.76</v>
      </c>
      <c r="L12" s="1">
        <v>0.84</v>
      </c>
      <c r="M12" s="1">
        <v>0.73</v>
      </c>
      <c r="N12" s="1">
        <v>0.79</v>
      </c>
      <c r="O12" s="1">
        <v>0.78</v>
      </c>
      <c r="P12" s="1">
        <v>0.79</v>
      </c>
      <c r="Q12" s="1">
        <v>0.8</v>
      </c>
      <c r="R12" s="1">
        <v>0.68</v>
      </c>
      <c r="S12" s="1">
        <f t="shared" si="0"/>
        <v>0.84</v>
      </c>
    </row>
    <row r="13" spans="1:19" ht="25" customHeight="1">
      <c r="A13" t="s">
        <v>26</v>
      </c>
      <c r="B13">
        <v>2</v>
      </c>
      <c r="C13" t="s">
        <v>23</v>
      </c>
      <c r="D13" t="b">
        <v>0</v>
      </c>
      <c r="E13">
        <v>3</v>
      </c>
      <c r="F13" t="s">
        <v>22</v>
      </c>
      <c r="G13" s="1">
        <v>0.78</v>
      </c>
      <c r="H13" s="1">
        <v>0.71</v>
      </c>
      <c r="I13" s="1">
        <v>0.74</v>
      </c>
      <c r="J13" s="1">
        <v>0.77</v>
      </c>
      <c r="K13" s="1">
        <v>0.78</v>
      </c>
      <c r="L13" s="1">
        <v>0.78</v>
      </c>
      <c r="M13" s="1">
        <v>0.72</v>
      </c>
      <c r="N13" s="1">
        <v>0.77</v>
      </c>
      <c r="O13" s="1">
        <v>0.77</v>
      </c>
      <c r="P13" s="1">
        <v>0.75</v>
      </c>
      <c r="Q13" s="1">
        <v>0.77</v>
      </c>
      <c r="R13" s="1">
        <v>0.69</v>
      </c>
      <c r="S13" s="1">
        <f t="shared" si="0"/>
        <v>0.78</v>
      </c>
    </row>
    <row r="16" spans="1:19" ht="25" customHeight="1">
      <c r="B16" t="s">
        <v>1</v>
      </c>
      <c r="C16" t="s">
        <v>2</v>
      </c>
      <c r="D16" t="s">
        <v>24</v>
      </c>
      <c r="E16" t="s">
        <v>4</v>
      </c>
      <c r="F16" t="s">
        <v>25</v>
      </c>
      <c r="G16" t="s">
        <v>6</v>
      </c>
      <c r="H16" t="s">
        <v>7</v>
      </c>
      <c r="I16" t="s">
        <v>8</v>
      </c>
      <c r="J16" t="s">
        <v>9</v>
      </c>
      <c r="K16" t="s">
        <v>10</v>
      </c>
      <c r="L16" t="s">
        <v>11</v>
      </c>
      <c r="M16" t="s">
        <v>12</v>
      </c>
      <c r="N16" t="s">
        <v>13</v>
      </c>
      <c r="O16" t="s">
        <v>14</v>
      </c>
      <c r="P16" t="s">
        <v>15</v>
      </c>
      <c r="Q16" t="s">
        <v>16</v>
      </c>
      <c r="R16" t="s">
        <v>17</v>
      </c>
      <c r="S16" t="s">
        <v>18</v>
      </c>
    </row>
    <row r="17" spans="2:19" ht="25" customHeight="1">
      <c r="B17">
        <v>1</v>
      </c>
      <c r="C17" t="s">
        <v>19</v>
      </c>
      <c r="D17" t="b">
        <v>1</v>
      </c>
      <c r="E17">
        <v>0</v>
      </c>
      <c r="F17" t="s">
        <v>18</v>
      </c>
      <c r="G17" s="1" cm="1">
        <f t="array" ref="G17">_xlfn.LET(_xlpm.d,G$2:G$13,_xlpm.a,$C$2:$C$13=$C17,_xlpm.b,$D$2:$D$13=$D17,MAX(_xlfn._xlws.FILTER(_xlpm.d,_xlpm.a*_xlpm.b)))</f>
        <v>0.94</v>
      </c>
      <c r="H17" s="1" cm="1">
        <f t="array" ref="H17">_xlfn.LET(_xlpm.d,H$2:H$13,_xlpm.a,$C$2:$C$13=$C17,_xlpm.b,$D$2:$D$13=$D17,MAX(_xlfn._xlws.FILTER(_xlpm.d,_xlpm.a*_xlpm.b)))</f>
        <v>0.93</v>
      </c>
      <c r="I17" s="1" cm="1">
        <f t="array" ref="I17">_xlfn.LET(_xlpm.d,I$2:I$13,_xlpm.a,$C$2:$C$13=$C17,_xlpm.b,$D$2:$D$13=$D17,MAX(_xlfn._xlws.FILTER(_xlpm.d,_xlpm.a*_xlpm.b)))</f>
        <v>0.93</v>
      </c>
      <c r="J17" s="1" cm="1">
        <f t="array" ref="J17">_xlfn.LET(_xlpm.d,J$2:J$13,_xlpm.a,$C$2:$C$13=$C17,_xlpm.b,$D$2:$D$13=$D17,MAX(_xlfn._xlws.FILTER(_xlpm.d,_xlpm.a*_xlpm.b)))</f>
        <v>0.94</v>
      </c>
      <c r="K17" s="1" cm="1">
        <f t="array" ref="K17">_xlfn.LET(_xlpm.d,K$2:K$13,_xlpm.a,$C$2:$C$13=$C17,_xlpm.b,$D$2:$D$13=$D17,MAX(_xlfn._xlws.FILTER(_xlpm.d,_xlpm.a*_xlpm.b)))</f>
        <v>0.94</v>
      </c>
      <c r="L17" s="1" cm="1">
        <f t="array" ref="L17">_xlfn.LET(_xlpm.d,L$2:L$13,_xlpm.a,$C$2:$C$13=$C17,_xlpm.b,$D$2:$D$13=$D17,MAX(_xlfn._xlws.FILTER(_xlpm.d,_xlpm.a*_xlpm.b)))</f>
        <v>0.95</v>
      </c>
      <c r="M17" s="1" cm="1">
        <f t="array" ref="M17">_xlfn.LET(_xlpm.d,M$2:M$13,_xlpm.a,$C$2:$C$13=$C17,_xlpm.b,$D$2:$D$13=$D17,MAX(_xlfn._xlws.FILTER(_xlpm.d,_xlpm.a*_xlpm.b)))</f>
        <v>0.93</v>
      </c>
      <c r="N17" s="1" cm="1">
        <f t="array" ref="N17">_xlfn.LET(_xlpm.d,N$2:N$13,_xlpm.a,$C$2:$C$13=$C17,_xlpm.b,$D$2:$D$13=$D17,MAX(_xlfn._xlws.FILTER(_xlpm.d,_xlpm.a*_xlpm.b)))</f>
        <v>0.91</v>
      </c>
      <c r="O17" s="1" cm="1">
        <f t="array" ref="O17">_xlfn.LET(_xlpm.d,O$2:O$13,_xlpm.a,$C$2:$C$13=$C17,_xlpm.b,$D$2:$D$13=$D17,MAX(_xlfn._xlws.FILTER(_xlpm.d,_xlpm.a*_xlpm.b)))</f>
        <v>0.92</v>
      </c>
      <c r="P17" s="1" cm="1">
        <f t="array" ref="P17">_xlfn.LET(_xlpm.d,P$2:P$13,_xlpm.a,$C$2:$C$13=$C17,_xlpm.b,$D$2:$D$13=$D17,MAX(_xlfn._xlws.FILTER(_xlpm.d,_xlpm.a*_xlpm.b)))</f>
        <v>0.99</v>
      </c>
      <c r="Q17" s="1" cm="1">
        <f t="array" ref="Q17">_xlfn.LET(_xlpm.d,Q$2:Q$13,_xlpm.a,$C$2:$C$13=$C17,_xlpm.b,$D$2:$D$13=$D17,MAX(_xlfn._xlws.FILTER(_xlpm.d,_xlpm.a*_xlpm.b)))</f>
        <v>0.96</v>
      </c>
      <c r="R17" s="1" cm="1">
        <f t="array" ref="R17">_xlfn.LET(_xlpm.d,R$2:R$13,_xlpm.a,$C$2:$C$13=$C17,_xlpm.b,$D$2:$D$13=$D17,MAX(_xlfn._xlws.FILTER(_xlpm.d,_xlpm.a*_xlpm.b)))</f>
        <v>0.97</v>
      </c>
      <c r="S17" s="1" cm="1">
        <f t="array" ref="S17">_xlfn.LET(_xlpm.d,S$2:S$13,_xlpm.a,$C$2:$C$13=$C17,_xlpm.b,$D$2:$D$13=$D17,MAX(_xlfn._xlws.FILTER(_xlpm.d,_xlpm.a*_xlpm.b)))</f>
        <v>0.99</v>
      </c>
    </row>
    <row r="18" spans="2:19" ht="25" customHeight="1">
      <c r="B18">
        <v>1</v>
      </c>
      <c r="C18" t="s">
        <v>19</v>
      </c>
      <c r="D18" t="b">
        <v>0</v>
      </c>
      <c r="E18">
        <v>0</v>
      </c>
      <c r="F18" t="s">
        <v>18</v>
      </c>
      <c r="G18" s="1" cm="1">
        <f t="array" ref="G18">_xlfn.LET(_xlpm.d,G$2:G$13,_xlpm.a,$C$2:$C$13=$C18,_xlpm.b,$D$2:$D$13=$D18,MAX(_xlfn._xlws.FILTER(_xlpm.d,_xlpm.a*_xlpm.b)))</f>
        <v>0.93</v>
      </c>
      <c r="H18" s="1" cm="1">
        <f t="array" ref="H18">_xlfn.LET(_xlpm.d,H$2:H$13,_xlpm.a,$C$2:$C$13=$C18,_xlpm.b,$D$2:$D$13=$D18,MAX(_xlfn._xlws.FILTER(_xlpm.d,_xlpm.a*_xlpm.b)))</f>
        <v>0.93</v>
      </c>
      <c r="I18" s="1" cm="1">
        <f t="array" ref="I18">_xlfn.LET(_xlpm.d,I$2:I$13,_xlpm.a,$C$2:$C$13=$C18,_xlpm.b,$D$2:$D$13=$D18,MAX(_xlfn._xlws.FILTER(_xlpm.d,_xlpm.a*_xlpm.b)))</f>
        <v>0.93</v>
      </c>
      <c r="J18" s="1" cm="1">
        <f t="array" ref="J18">_xlfn.LET(_xlpm.d,J$2:J$13,_xlpm.a,$C$2:$C$13=$C18,_xlpm.b,$D$2:$D$13=$D18,MAX(_xlfn._xlws.FILTER(_xlpm.d,_xlpm.a*_xlpm.b)))</f>
        <v>0.94</v>
      </c>
      <c r="K18" s="1" cm="1">
        <f t="array" ref="K18">_xlfn.LET(_xlpm.d,K$2:K$13,_xlpm.a,$C$2:$C$13=$C18,_xlpm.b,$D$2:$D$13=$D18,MAX(_xlfn._xlws.FILTER(_xlpm.d,_xlpm.a*_xlpm.b)))</f>
        <v>0.95</v>
      </c>
      <c r="L18" s="1" cm="1">
        <f t="array" ref="L18">_xlfn.LET(_xlpm.d,L$2:L$13,_xlpm.a,$C$2:$C$13=$C18,_xlpm.b,$D$2:$D$13=$D18,MAX(_xlfn._xlws.FILTER(_xlpm.d,_xlpm.a*_xlpm.b)))</f>
        <v>0.93</v>
      </c>
      <c r="M18" s="1" cm="1">
        <f t="array" ref="M18">_xlfn.LET(_xlpm.d,M$2:M$13,_xlpm.a,$C$2:$C$13=$C18,_xlpm.b,$D$2:$D$13=$D18,MAX(_xlfn._xlws.FILTER(_xlpm.d,_xlpm.a*_xlpm.b)))</f>
        <v>0.93</v>
      </c>
      <c r="N18" s="1" cm="1">
        <f t="array" ref="N18">_xlfn.LET(_xlpm.d,N$2:N$13,_xlpm.a,$C$2:$C$13=$C18,_xlpm.b,$D$2:$D$13=$D18,MAX(_xlfn._xlws.FILTER(_xlpm.d,_xlpm.a*_xlpm.b)))</f>
        <v>0.93</v>
      </c>
      <c r="O18" s="1" cm="1">
        <f t="array" ref="O18">_xlfn.LET(_xlpm.d,O$2:O$13,_xlpm.a,$C$2:$C$13=$C18,_xlpm.b,$D$2:$D$13=$D18,MAX(_xlfn._xlws.FILTER(_xlpm.d,_xlpm.a*_xlpm.b)))</f>
        <v>0.91</v>
      </c>
      <c r="P18" s="1" cm="1">
        <f t="array" ref="P18">_xlfn.LET(_xlpm.d,P$2:P$13,_xlpm.a,$C$2:$C$13=$C18,_xlpm.b,$D$2:$D$13=$D18,MAX(_xlfn._xlws.FILTER(_xlpm.d,_xlpm.a*_xlpm.b)))</f>
        <v>0.97</v>
      </c>
      <c r="Q18" s="1" cm="1">
        <f t="array" ref="Q18">_xlfn.LET(_xlpm.d,Q$2:Q$13,_xlpm.a,$C$2:$C$13=$C18,_xlpm.b,$D$2:$D$13=$D18,MAX(_xlfn._xlws.FILTER(_xlpm.d,_xlpm.a*_xlpm.b)))</f>
        <v>0.97</v>
      </c>
      <c r="R18" s="1" cm="1">
        <f t="array" ref="R18">_xlfn.LET(_xlpm.d,R$2:R$13,_xlpm.a,$C$2:$C$13=$C18,_xlpm.b,$D$2:$D$13=$D18,MAX(_xlfn._xlws.FILTER(_xlpm.d,_xlpm.a*_xlpm.b)))</f>
        <v>0.96</v>
      </c>
      <c r="S18" s="1" cm="1">
        <f t="array" ref="S18">_xlfn.LET(_xlpm.d,S$2:S$13,_xlpm.a,$C$2:$C$13=$C18,_xlpm.b,$D$2:$D$13=$D18,MAX(_xlfn._xlws.FILTER(_xlpm.d,_xlpm.a*_xlpm.b)))</f>
        <v>0.97</v>
      </c>
    </row>
    <row r="19" spans="2:19" ht="25" customHeight="1">
      <c r="B19">
        <v>2</v>
      </c>
      <c r="C19" t="s">
        <v>23</v>
      </c>
      <c r="D19" t="b">
        <v>1</v>
      </c>
      <c r="E19">
        <v>0</v>
      </c>
      <c r="F19" t="s">
        <v>18</v>
      </c>
      <c r="G19" s="1" cm="1">
        <f t="array" ref="G19">_xlfn.LET(_xlpm.d,G$2:G$13,_xlpm.a,$C$2:$C$13=$C19,_xlpm.b,$D$2:$D$13=$D19,MAX(_xlfn._xlws.FILTER(_xlpm.d,_xlpm.a*_xlpm.b)))</f>
        <v>0.79</v>
      </c>
      <c r="H19" s="1" cm="1">
        <f t="array" ref="H19">_xlfn.LET(_xlpm.d,H$2:H$13,_xlpm.a,$C$2:$C$13=$C19,_xlpm.b,$D$2:$D$13=$D19,MAX(_xlfn._xlws.FILTER(_xlpm.d,_xlpm.a*_xlpm.b)))</f>
        <v>0.71</v>
      </c>
      <c r="I19" s="1" cm="1">
        <f t="array" ref="I19">_xlfn.LET(_xlpm.d,I$2:I$13,_xlpm.a,$C$2:$C$13=$C19,_xlpm.b,$D$2:$D$13=$D19,MAX(_xlfn._xlws.FILTER(_xlpm.d,_xlpm.a*_xlpm.b)))</f>
        <v>0.81</v>
      </c>
      <c r="J19" s="1" cm="1">
        <f t="array" ref="J19">_xlfn.LET(_xlpm.d,J$2:J$13,_xlpm.a,$C$2:$C$13=$C19,_xlpm.b,$D$2:$D$13=$D19,MAX(_xlfn._xlws.FILTER(_xlpm.d,_xlpm.a*_xlpm.b)))</f>
        <v>0.79</v>
      </c>
      <c r="K19" s="1" cm="1">
        <f t="array" ref="K19">_xlfn.LET(_xlpm.d,K$2:K$13,_xlpm.a,$C$2:$C$13=$C19,_xlpm.b,$D$2:$D$13=$D19,MAX(_xlfn._xlws.FILTER(_xlpm.d,_xlpm.a*_xlpm.b)))</f>
        <v>0.78</v>
      </c>
      <c r="L19" s="1" cm="1">
        <f t="array" ref="L19">_xlfn.LET(_xlpm.d,L$2:L$13,_xlpm.a,$C$2:$C$13=$C19,_xlpm.b,$D$2:$D$13=$D19,MAX(_xlfn._xlws.FILTER(_xlpm.d,_xlpm.a*_xlpm.b)))</f>
        <v>0.83</v>
      </c>
      <c r="M19" s="1" cm="1">
        <f t="array" ref="M19">_xlfn.LET(_xlpm.d,M$2:M$13,_xlpm.a,$C$2:$C$13=$C19,_xlpm.b,$D$2:$D$13=$D19,MAX(_xlfn._xlws.FILTER(_xlpm.d,_xlpm.a*_xlpm.b)))</f>
        <v>0.74</v>
      </c>
      <c r="N19" s="1" cm="1">
        <f t="array" ref="N19">_xlfn.LET(_xlpm.d,N$2:N$13,_xlpm.a,$C$2:$C$13=$C19,_xlpm.b,$D$2:$D$13=$D19,MAX(_xlfn._xlws.FILTER(_xlpm.d,_xlpm.a*_xlpm.b)))</f>
        <v>0.82</v>
      </c>
      <c r="O19" s="1" cm="1">
        <f t="array" ref="O19">_xlfn.LET(_xlpm.d,O$2:O$13,_xlpm.a,$C$2:$C$13=$C19,_xlpm.b,$D$2:$D$13=$D19,MAX(_xlfn._xlws.FILTER(_xlpm.d,_xlpm.a*_xlpm.b)))</f>
        <v>0.83</v>
      </c>
      <c r="P19" s="1" cm="1">
        <f t="array" ref="P19">_xlfn.LET(_xlpm.d,P$2:P$13,_xlpm.a,$C$2:$C$13=$C19,_xlpm.b,$D$2:$D$13=$D19,MAX(_xlfn._xlws.FILTER(_xlpm.d,_xlpm.a*_xlpm.b)))</f>
        <v>0.77</v>
      </c>
      <c r="Q19" s="1" cm="1">
        <f t="array" ref="Q19">_xlfn.LET(_xlpm.d,Q$2:Q$13,_xlpm.a,$C$2:$C$13=$C19,_xlpm.b,$D$2:$D$13=$D19,MAX(_xlfn._xlws.FILTER(_xlpm.d,_xlpm.a*_xlpm.b)))</f>
        <v>0.8</v>
      </c>
      <c r="R19" s="1" cm="1">
        <f t="array" ref="R19">_xlfn.LET(_xlpm.d,R$2:R$13,_xlpm.a,$C$2:$C$13=$C19,_xlpm.b,$D$2:$D$13=$D19,MAX(_xlfn._xlws.FILTER(_xlpm.d,_xlpm.a*_xlpm.b)))</f>
        <v>0.71</v>
      </c>
      <c r="S19" s="1" cm="1">
        <f t="array" ref="S19">_xlfn.LET(_xlpm.d,S$2:S$13,_xlpm.a,$C$2:$C$13=$C19,_xlpm.b,$D$2:$D$13=$D19,MAX(_xlfn._xlws.FILTER(_xlpm.d,_xlpm.a*_xlpm.b)))</f>
        <v>0.83</v>
      </c>
    </row>
    <row r="20" spans="2:19" ht="25" customHeight="1">
      <c r="B20">
        <v>2</v>
      </c>
      <c r="C20" t="s">
        <v>23</v>
      </c>
      <c r="D20" t="b">
        <v>0</v>
      </c>
      <c r="E20">
        <v>0</v>
      </c>
      <c r="F20" t="s">
        <v>18</v>
      </c>
      <c r="G20" s="1" cm="1">
        <f t="array" ref="G20">_xlfn.LET(_xlpm.d,G$2:G$13,_xlpm.a,$C$2:$C$13=$C20,_xlpm.b,$D$2:$D$13=$D20,MAX(_xlfn._xlws.FILTER(_xlpm.d,_xlpm.a*_xlpm.b)))</f>
        <v>0.78</v>
      </c>
      <c r="H20" s="1" cm="1">
        <f t="array" ref="H20">_xlfn.LET(_xlpm.d,H$2:H$13,_xlpm.a,$C$2:$C$13=$C20,_xlpm.b,$D$2:$D$13=$D20,MAX(_xlfn._xlws.FILTER(_xlpm.d,_xlpm.a*_xlpm.b)))</f>
        <v>0.71</v>
      </c>
      <c r="I20" s="1" cm="1">
        <f t="array" ref="I20">_xlfn.LET(_xlpm.d,I$2:I$13,_xlpm.a,$C$2:$C$13=$C20,_xlpm.b,$D$2:$D$13=$D20,MAX(_xlfn._xlws.FILTER(_xlpm.d,_xlpm.a*_xlpm.b)))</f>
        <v>0.81</v>
      </c>
      <c r="J20" s="1" cm="1">
        <f t="array" ref="J20">_xlfn.LET(_xlpm.d,J$2:J$13,_xlpm.a,$C$2:$C$13=$C20,_xlpm.b,$D$2:$D$13=$D20,MAX(_xlfn._xlws.FILTER(_xlpm.d,_xlpm.a*_xlpm.b)))</f>
        <v>0.78</v>
      </c>
      <c r="K20" s="1" cm="1">
        <f t="array" ref="K20">_xlfn.LET(_xlpm.d,K$2:K$13,_xlpm.a,$C$2:$C$13=$C20,_xlpm.b,$D$2:$D$13=$D20,MAX(_xlfn._xlws.FILTER(_xlpm.d,_xlpm.a*_xlpm.b)))</f>
        <v>0.78</v>
      </c>
      <c r="L20" s="1" cm="1">
        <f t="array" ref="L20">_xlfn.LET(_xlpm.d,L$2:L$13,_xlpm.a,$C$2:$C$13=$C20,_xlpm.b,$D$2:$D$13=$D20,MAX(_xlfn._xlws.FILTER(_xlpm.d,_xlpm.a*_xlpm.b)))</f>
        <v>0.84</v>
      </c>
      <c r="M20" s="1" cm="1">
        <f t="array" ref="M20">_xlfn.LET(_xlpm.d,M$2:M$13,_xlpm.a,$C$2:$C$13=$C20,_xlpm.b,$D$2:$D$13=$D20,MAX(_xlfn._xlws.FILTER(_xlpm.d,_xlpm.a*_xlpm.b)))</f>
        <v>0.73</v>
      </c>
      <c r="N20" s="1" cm="1">
        <f t="array" ref="N20">_xlfn.LET(_xlpm.d,N$2:N$13,_xlpm.a,$C$2:$C$13=$C20,_xlpm.b,$D$2:$D$13=$D20,MAX(_xlfn._xlws.FILTER(_xlpm.d,_xlpm.a*_xlpm.b)))</f>
        <v>0.79</v>
      </c>
      <c r="O20" s="1" cm="1">
        <f t="array" ref="O20">_xlfn.LET(_xlpm.d,O$2:O$13,_xlpm.a,$C$2:$C$13=$C20,_xlpm.b,$D$2:$D$13=$D20,MAX(_xlfn._xlws.FILTER(_xlpm.d,_xlpm.a*_xlpm.b)))</f>
        <v>0.78</v>
      </c>
      <c r="P20" s="1" cm="1">
        <f t="array" ref="P20">_xlfn.LET(_xlpm.d,P$2:P$13,_xlpm.a,$C$2:$C$13=$C20,_xlpm.b,$D$2:$D$13=$D20,MAX(_xlfn._xlws.FILTER(_xlpm.d,_xlpm.a*_xlpm.b)))</f>
        <v>0.79</v>
      </c>
      <c r="Q20" s="1" cm="1">
        <f t="array" ref="Q20">_xlfn.LET(_xlpm.d,Q$2:Q$13,_xlpm.a,$C$2:$C$13=$C20,_xlpm.b,$D$2:$D$13=$D20,MAX(_xlfn._xlws.FILTER(_xlpm.d,_xlpm.a*_xlpm.b)))</f>
        <v>0.8</v>
      </c>
      <c r="R20" s="1" cm="1">
        <f t="array" ref="R20">_xlfn.LET(_xlpm.d,R$2:R$13,_xlpm.a,$C$2:$C$13=$C20,_xlpm.b,$D$2:$D$13=$D20,MAX(_xlfn._xlws.FILTER(_xlpm.d,_xlpm.a*_xlpm.b)))</f>
        <v>0.69</v>
      </c>
      <c r="S20" s="1" cm="1">
        <f t="array" ref="S20">_xlfn.LET(_xlpm.d,S$2:S$13,_xlpm.a,$C$2:$C$13=$C20,_xlpm.b,$D$2:$D$13=$D20,MAX(_xlfn._xlws.FILTER(_xlpm.d,_xlpm.a*_xlpm.b)))</f>
        <v>0.84</v>
      </c>
    </row>
  </sheetData>
  <conditionalFormatting sqref="G2:S13">
    <cfRule type="colorScale" priority="1">
      <colorScale>
        <cfvo type="num" val="0"/>
        <cfvo type="percentile" val="50"/>
        <cfvo type="num" val="1"/>
        <color theme="4" tint="0.59999389629810485"/>
        <color theme="0"/>
        <color rgb="FFFFC000"/>
      </colorScale>
    </cfRule>
  </conditionalFormatting>
  <conditionalFormatting sqref="G17:S20">
    <cfRule type="colorScale" priority="2">
      <colorScale>
        <cfvo type="num" val="0"/>
        <cfvo type="percentile" val="50"/>
        <cfvo type="num" val="1"/>
        <color theme="4" tint="0.59999389629810485"/>
        <color theme="0"/>
        <color rgb="FFFFC000"/>
      </colorScale>
    </cfRule>
  </conditionalFormatting>
  <pageMargins left="0.75" right="0.75" top="1" bottom="1" header="0.5" footer="0.5"/>
  <tableParts count="2">
    <tablePart r:id="rId1"/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7BC86-5140-E74A-87DE-AF9C75EDDE07}">
  <dimension ref="A1:S20"/>
  <sheetViews>
    <sheetView workbookViewId="0">
      <pane xSplit="17580" ySplit="3080" topLeftCell="R7" activePane="bottomLeft"/>
      <selection activeCell="E1" sqref="E1:E1048576"/>
      <selection pane="topRight" activeCell="S3" sqref="S3"/>
      <selection pane="bottomLeft" activeCell="J11" sqref="J11"/>
      <selection pane="bottomRight" activeCell="S18" sqref="S18"/>
    </sheetView>
  </sheetViews>
  <sheetFormatPr baseColWidth="10" defaultRowHeight="25" customHeight="1"/>
  <cols>
    <col min="2" max="2" width="7.625" customWidth="1"/>
    <col min="3" max="4" width="8.5" customWidth="1"/>
    <col min="5" max="5" width="7.75" customWidth="1"/>
    <col min="6" max="6" width="8.5" customWidth="1"/>
    <col min="7" max="19" width="7.75" customWidth="1"/>
  </cols>
  <sheetData>
    <row r="1" spans="1:19" ht="25" customHeigh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ht="25" customHeight="1">
      <c r="A2" t="s">
        <v>26</v>
      </c>
      <c r="B2">
        <v>1</v>
      </c>
      <c r="C2" t="s">
        <v>19</v>
      </c>
      <c r="D2" t="b">
        <v>1</v>
      </c>
      <c r="E2">
        <v>1</v>
      </c>
      <c r="F2" t="s">
        <v>20</v>
      </c>
      <c r="G2" s="1">
        <v>0.88</v>
      </c>
      <c r="H2" s="1">
        <v>0.9</v>
      </c>
      <c r="I2" s="1">
        <v>0.89</v>
      </c>
      <c r="J2" s="1">
        <v>0.94</v>
      </c>
      <c r="K2" s="1">
        <v>0.88</v>
      </c>
      <c r="L2" s="1">
        <v>0.85</v>
      </c>
      <c r="M2" s="1">
        <v>0.91</v>
      </c>
      <c r="N2" s="1">
        <v>0.91</v>
      </c>
      <c r="O2" s="1">
        <v>0.84</v>
      </c>
      <c r="P2" s="1">
        <v>0.89</v>
      </c>
      <c r="Q2" s="1">
        <v>0.82</v>
      </c>
      <c r="R2" s="1">
        <v>0.84</v>
      </c>
      <c r="S2" s="1">
        <f t="shared" ref="S2:S13" si="0">MAX($G2:$R2)</f>
        <v>0.94</v>
      </c>
    </row>
    <row r="3" spans="1:19" ht="25" customHeight="1">
      <c r="A3" t="s">
        <v>26</v>
      </c>
      <c r="B3">
        <v>1</v>
      </c>
      <c r="C3" t="s">
        <v>19</v>
      </c>
      <c r="D3" t="b">
        <v>1</v>
      </c>
      <c r="E3">
        <v>2</v>
      </c>
      <c r="F3" t="s">
        <v>21</v>
      </c>
      <c r="G3" s="1">
        <v>0.9</v>
      </c>
      <c r="H3" s="1">
        <v>0.9</v>
      </c>
      <c r="I3" s="1">
        <v>0.88</v>
      </c>
      <c r="J3" s="1">
        <v>0.97</v>
      </c>
      <c r="K3" s="1">
        <v>0.97</v>
      </c>
      <c r="L3" s="1">
        <v>0.95</v>
      </c>
      <c r="M3" s="1">
        <v>0.95</v>
      </c>
      <c r="N3" s="1">
        <v>0.9</v>
      </c>
      <c r="O3" s="1">
        <v>0.91</v>
      </c>
      <c r="P3" s="1">
        <v>0.93</v>
      </c>
      <c r="Q3" s="1">
        <v>0.92</v>
      </c>
      <c r="R3" s="1">
        <v>0.96</v>
      </c>
      <c r="S3" s="1">
        <f t="shared" si="0"/>
        <v>0.97</v>
      </c>
    </row>
    <row r="4" spans="1:19" ht="25" customHeight="1">
      <c r="A4" t="s">
        <v>26</v>
      </c>
      <c r="B4">
        <v>1</v>
      </c>
      <c r="C4" t="s">
        <v>19</v>
      </c>
      <c r="D4" t="b">
        <v>1</v>
      </c>
      <c r="E4">
        <v>3</v>
      </c>
      <c r="F4" t="s">
        <v>22</v>
      </c>
      <c r="G4" s="1">
        <v>0.89</v>
      </c>
      <c r="H4" s="1">
        <v>0.92</v>
      </c>
      <c r="I4" s="1">
        <v>0.94</v>
      </c>
      <c r="J4" s="1">
        <v>0.94</v>
      </c>
      <c r="K4" s="1">
        <v>0.96</v>
      </c>
      <c r="L4" s="1">
        <v>0.92</v>
      </c>
      <c r="M4" s="1">
        <v>0.96</v>
      </c>
      <c r="N4" s="1">
        <v>0.88</v>
      </c>
      <c r="O4" s="1">
        <v>0.93</v>
      </c>
      <c r="P4" s="1">
        <v>0.9</v>
      </c>
      <c r="Q4" s="1">
        <v>0.93</v>
      </c>
      <c r="R4" s="1">
        <v>0.91</v>
      </c>
      <c r="S4" s="1">
        <f t="shared" si="0"/>
        <v>0.96</v>
      </c>
    </row>
    <row r="5" spans="1:19" ht="25" customHeight="1">
      <c r="A5" t="s">
        <v>26</v>
      </c>
      <c r="B5">
        <v>1</v>
      </c>
      <c r="C5" t="s">
        <v>19</v>
      </c>
      <c r="D5" t="b">
        <v>0</v>
      </c>
      <c r="E5">
        <v>1</v>
      </c>
      <c r="F5" t="s">
        <v>20</v>
      </c>
      <c r="G5" s="1">
        <v>0.89</v>
      </c>
      <c r="H5" s="1">
        <v>0.88</v>
      </c>
      <c r="I5" s="1">
        <v>0.93</v>
      </c>
      <c r="J5" s="1">
        <v>0.93</v>
      </c>
      <c r="K5" s="1">
        <v>0.9</v>
      </c>
      <c r="L5" s="1">
        <v>0.88</v>
      </c>
      <c r="M5" s="1">
        <v>0.93</v>
      </c>
      <c r="N5" s="1">
        <v>0.85</v>
      </c>
      <c r="O5" s="1">
        <v>0.82</v>
      </c>
      <c r="P5" s="1">
        <v>0.93</v>
      </c>
      <c r="Q5" s="1">
        <v>0.87</v>
      </c>
      <c r="R5" s="1">
        <v>0.88</v>
      </c>
      <c r="S5" s="1">
        <f t="shared" si="0"/>
        <v>0.93</v>
      </c>
    </row>
    <row r="6" spans="1:19" ht="25" customHeight="1">
      <c r="A6" t="s">
        <v>26</v>
      </c>
      <c r="B6">
        <v>1</v>
      </c>
      <c r="C6" t="s">
        <v>19</v>
      </c>
      <c r="D6" t="b">
        <v>0</v>
      </c>
      <c r="E6">
        <v>2</v>
      </c>
      <c r="F6" t="s">
        <v>21</v>
      </c>
      <c r="G6" s="1">
        <v>0.89</v>
      </c>
      <c r="H6" s="1">
        <v>0.89</v>
      </c>
      <c r="I6" s="1">
        <v>0.9</v>
      </c>
      <c r="J6" s="1">
        <v>0.96</v>
      </c>
      <c r="K6" s="1">
        <v>0.97</v>
      </c>
      <c r="L6" s="1">
        <v>0.96</v>
      </c>
      <c r="M6" s="1">
        <v>0.9</v>
      </c>
      <c r="N6" s="1">
        <v>0.9</v>
      </c>
      <c r="O6" s="1">
        <v>0.91</v>
      </c>
      <c r="P6" s="1">
        <v>0.93</v>
      </c>
      <c r="Q6" s="1">
        <v>0.91</v>
      </c>
      <c r="R6" s="1">
        <v>0.93</v>
      </c>
      <c r="S6" s="1">
        <f t="shared" si="0"/>
        <v>0.97</v>
      </c>
    </row>
    <row r="7" spans="1:19" ht="25" customHeight="1">
      <c r="A7" t="s">
        <v>26</v>
      </c>
      <c r="B7">
        <v>1</v>
      </c>
      <c r="C7" t="s">
        <v>19</v>
      </c>
      <c r="D7" t="b">
        <v>0</v>
      </c>
      <c r="E7">
        <v>3</v>
      </c>
      <c r="F7" t="s">
        <v>22</v>
      </c>
      <c r="G7" s="1">
        <v>0.88</v>
      </c>
      <c r="H7" s="1">
        <v>0.91</v>
      </c>
      <c r="I7" s="1">
        <v>0.92</v>
      </c>
      <c r="J7" s="1">
        <v>0.96</v>
      </c>
      <c r="K7" s="1">
        <v>0.96</v>
      </c>
      <c r="L7" s="1">
        <v>0.93</v>
      </c>
      <c r="M7" s="1">
        <v>0.96</v>
      </c>
      <c r="N7" s="1">
        <v>0.88</v>
      </c>
      <c r="O7" s="1">
        <v>0.94</v>
      </c>
      <c r="P7" s="1">
        <v>0.93</v>
      </c>
      <c r="Q7" s="1">
        <v>0.93</v>
      </c>
      <c r="R7" s="1">
        <v>0.92</v>
      </c>
      <c r="S7" s="1">
        <f t="shared" si="0"/>
        <v>0.96</v>
      </c>
    </row>
    <row r="8" spans="1:19" ht="25" customHeight="1">
      <c r="A8" t="s">
        <v>26</v>
      </c>
      <c r="B8">
        <v>2</v>
      </c>
      <c r="C8" t="s">
        <v>23</v>
      </c>
      <c r="D8" t="b">
        <v>1</v>
      </c>
      <c r="E8">
        <v>1</v>
      </c>
      <c r="F8" t="s">
        <v>20</v>
      </c>
      <c r="G8" s="1">
        <v>0.68</v>
      </c>
      <c r="H8" s="1">
        <v>0.62</v>
      </c>
      <c r="I8" s="1">
        <v>0.69</v>
      </c>
      <c r="J8" s="1">
        <v>0.68</v>
      </c>
      <c r="K8" s="1">
        <v>0.6</v>
      </c>
      <c r="L8" s="1">
        <v>0.59</v>
      </c>
      <c r="M8" s="1">
        <v>0.74</v>
      </c>
      <c r="N8" s="1">
        <v>0.7</v>
      </c>
      <c r="O8" s="1">
        <v>0.77</v>
      </c>
      <c r="P8" s="1">
        <v>0.72</v>
      </c>
      <c r="Q8" s="1">
        <v>0.72</v>
      </c>
      <c r="R8" s="1">
        <v>0.66</v>
      </c>
      <c r="S8" s="1">
        <f t="shared" si="0"/>
        <v>0.77</v>
      </c>
    </row>
    <row r="9" spans="1:19" ht="25" customHeight="1">
      <c r="A9" t="s">
        <v>26</v>
      </c>
      <c r="B9">
        <v>2</v>
      </c>
      <c r="C9" t="s">
        <v>23</v>
      </c>
      <c r="D9" t="b">
        <v>1</v>
      </c>
      <c r="E9">
        <v>2</v>
      </c>
      <c r="F9" t="s">
        <v>21</v>
      </c>
      <c r="G9" s="1">
        <v>0.78</v>
      </c>
      <c r="H9" s="1">
        <v>0.75</v>
      </c>
      <c r="I9" s="1">
        <v>0.73</v>
      </c>
      <c r="J9" s="1">
        <v>0.75</v>
      </c>
      <c r="K9" s="1">
        <v>0.76</v>
      </c>
      <c r="L9" s="1">
        <v>0.77</v>
      </c>
      <c r="M9" s="1">
        <v>0.78</v>
      </c>
      <c r="N9" s="1">
        <v>0.78</v>
      </c>
      <c r="O9" s="1">
        <v>0.82</v>
      </c>
      <c r="P9" s="1">
        <v>0.81</v>
      </c>
      <c r="Q9" s="1">
        <v>0.8</v>
      </c>
      <c r="R9" s="1">
        <v>0.78</v>
      </c>
      <c r="S9" s="1">
        <f t="shared" si="0"/>
        <v>0.82</v>
      </c>
    </row>
    <row r="10" spans="1:19" ht="25" customHeight="1">
      <c r="A10" t="s">
        <v>26</v>
      </c>
      <c r="B10">
        <v>2</v>
      </c>
      <c r="C10" t="s">
        <v>23</v>
      </c>
      <c r="D10" t="b">
        <v>1</v>
      </c>
      <c r="E10">
        <v>3</v>
      </c>
      <c r="F10" t="s">
        <v>22</v>
      </c>
      <c r="G10" s="1">
        <v>0.77</v>
      </c>
      <c r="H10" s="1">
        <v>0.68</v>
      </c>
      <c r="I10" s="1">
        <v>0.73</v>
      </c>
      <c r="J10" s="1">
        <v>0.74</v>
      </c>
      <c r="K10" s="1">
        <v>0.73</v>
      </c>
      <c r="L10" s="1">
        <v>0.73</v>
      </c>
      <c r="M10" s="1">
        <v>0.72</v>
      </c>
      <c r="N10" s="1">
        <v>0.77</v>
      </c>
      <c r="O10" s="1">
        <v>0.74</v>
      </c>
      <c r="P10" s="1">
        <v>0.73</v>
      </c>
      <c r="Q10" s="1">
        <v>0.77</v>
      </c>
      <c r="R10" s="1">
        <v>0.72</v>
      </c>
      <c r="S10" s="1">
        <f t="shared" si="0"/>
        <v>0.77</v>
      </c>
    </row>
    <row r="11" spans="1:19" ht="25" customHeight="1">
      <c r="A11" t="s">
        <v>26</v>
      </c>
      <c r="B11">
        <v>2</v>
      </c>
      <c r="C11" t="s">
        <v>23</v>
      </c>
      <c r="D11" t="b">
        <v>0</v>
      </c>
      <c r="E11">
        <v>1</v>
      </c>
      <c r="F11" t="s">
        <v>20</v>
      </c>
      <c r="G11" s="1">
        <v>0.7</v>
      </c>
      <c r="H11" s="1">
        <v>0.68</v>
      </c>
      <c r="I11" s="1">
        <v>0.76</v>
      </c>
      <c r="J11" s="1">
        <v>0.65</v>
      </c>
      <c r="K11" s="1">
        <v>0.64</v>
      </c>
      <c r="L11" s="1">
        <v>0.72</v>
      </c>
      <c r="M11" s="1">
        <v>0.68</v>
      </c>
      <c r="N11" s="1">
        <v>0.68</v>
      </c>
      <c r="O11" s="1">
        <v>0.78</v>
      </c>
      <c r="P11" s="1">
        <v>0.7</v>
      </c>
      <c r="Q11" s="1">
        <v>0.68</v>
      </c>
      <c r="R11" s="1">
        <v>0.69</v>
      </c>
      <c r="S11" s="1">
        <f t="shared" si="0"/>
        <v>0.78</v>
      </c>
    </row>
    <row r="12" spans="1:19" ht="25" customHeight="1">
      <c r="A12" t="s">
        <v>26</v>
      </c>
      <c r="B12">
        <v>2</v>
      </c>
      <c r="C12" t="s">
        <v>23</v>
      </c>
      <c r="D12" t="b">
        <v>0</v>
      </c>
      <c r="E12">
        <v>2</v>
      </c>
      <c r="F12" t="s">
        <v>21</v>
      </c>
      <c r="G12" s="1">
        <v>0.74</v>
      </c>
      <c r="H12" s="1">
        <v>0.75</v>
      </c>
      <c r="I12" s="1">
        <v>0.78</v>
      </c>
      <c r="J12" s="1">
        <v>0.78</v>
      </c>
      <c r="K12" s="1">
        <v>0.76</v>
      </c>
      <c r="L12" s="1">
        <v>0.78</v>
      </c>
      <c r="M12" s="1">
        <v>0.77</v>
      </c>
      <c r="N12" s="1">
        <v>0.78</v>
      </c>
      <c r="O12" s="1">
        <v>0.82</v>
      </c>
      <c r="P12" s="1">
        <v>0.83</v>
      </c>
      <c r="Q12" s="1">
        <v>0.82</v>
      </c>
      <c r="R12" s="1">
        <v>0.81</v>
      </c>
      <c r="S12" s="1">
        <f t="shared" si="0"/>
        <v>0.83</v>
      </c>
    </row>
    <row r="13" spans="1:19" ht="25" customHeight="1">
      <c r="A13" t="s">
        <v>26</v>
      </c>
      <c r="B13">
        <v>2</v>
      </c>
      <c r="C13" t="s">
        <v>23</v>
      </c>
      <c r="D13" t="b">
        <v>0</v>
      </c>
      <c r="E13">
        <v>3</v>
      </c>
      <c r="F13" t="s">
        <v>22</v>
      </c>
      <c r="G13" s="1">
        <v>0.73</v>
      </c>
      <c r="H13" s="1">
        <v>0.7</v>
      </c>
      <c r="I13" s="1">
        <v>0.73</v>
      </c>
      <c r="J13" s="1">
        <v>0.76</v>
      </c>
      <c r="K13" s="1">
        <v>0.69</v>
      </c>
      <c r="L13" s="1">
        <v>0.71</v>
      </c>
      <c r="M13" s="1">
        <v>0.73</v>
      </c>
      <c r="N13" s="1">
        <v>0.74</v>
      </c>
      <c r="O13" s="1">
        <v>0.74</v>
      </c>
      <c r="P13" s="1">
        <v>0.74</v>
      </c>
      <c r="Q13" s="1">
        <v>0.73</v>
      </c>
      <c r="R13" s="1">
        <v>0.67</v>
      </c>
      <c r="S13" s="1">
        <f t="shared" si="0"/>
        <v>0.76</v>
      </c>
    </row>
    <row r="16" spans="1:19" ht="25" customHeight="1">
      <c r="B16" t="s">
        <v>1</v>
      </c>
      <c r="C16" t="s">
        <v>2</v>
      </c>
      <c r="D16" t="s">
        <v>24</v>
      </c>
      <c r="E16" t="s">
        <v>4</v>
      </c>
      <c r="F16" t="s">
        <v>25</v>
      </c>
      <c r="G16" t="s">
        <v>6</v>
      </c>
      <c r="H16" t="s">
        <v>7</v>
      </c>
      <c r="I16" t="s">
        <v>8</v>
      </c>
      <c r="J16" t="s">
        <v>9</v>
      </c>
      <c r="K16" t="s">
        <v>10</v>
      </c>
      <c r="L16" t="s">
        <v>11</v>
      </c>
      <c r="M16" t="s">
        <v>12</v>
      </c>
      <c r="N16" t="s">
        <v>13</v>
      </c>
      <c r="O16" t="s">
        <v>14</v>
      </c>
      <c r="P16" t="s">
        <v>15</v>
      </c>
      <c r="Q16" t="s">
        <v>16</v>
      </c>
      <c r="R16" t="s">
        <v>17</v>
      </c>
      <c r="S16" t="s">
        <v>18</v>
      </c>
    </row>
    <row r="17" spans="2:19" ht="25" customHeight="1">
      <c r="B17">
        <v>1</v>
      </c>
      <c r="C17" t="s">
        <v>19</v>
      </c>
      <c r="D17" t="b">
        <v>1</v>
      </c>
      <c r="E17">
        <v>0</v>
      </c>
      <c r="F17" t="s">
        <v>18</v>
      </c>
      <c r="G17" s="1" cm="1">
        <f t="array" ref="G17">_xlfn.LET(_xlpm.d,G$2:G$13,_xlpm.a,$C$2:$C$13=$C17,_xlpm.b,$D$2:$D$13=$D17,MAX(_xlfn._xlws.FILTER(_xlpm.d,_xlpm.a*_xlpm.b)))</f>
        <v>0.9</v>
      </c>
      <c r="H17" s="1" cm="1">
        <f t="array" ref="H17">_xlfn.LET(_xlpm.d,H$2:H$13,_xlpm.a,$C$2:$C$13=$C17,_xlpm.b,$D$2:$D$13=$D17,MAX(_xlfn._xlws.FILTER(_xlpm.d,_xlpm.a*_xlpm.b)))</f>
        <v>0.92</v>
      </c>
      <c r="I17" s="1" cm="1">
        <f t="array" ref="I17">_xlfn.LET(_xlpm.d,I$2:I$13,_xlpm.a,$C$2:$C$13=$C17,_xlpm.b,$D$2:$D$13=$D17,MAX(_xlfn._xlws.FILTER(_xlpm.d,_xlpm.a*_xlpm.b)))</f>
        <v>0.94</v>
      </c>
      <c r="J17" s="1" cm="1">
        <f t="array" ref="J17">_xlfn.LET(_xlpm.d,J$2:J$13,_xlpm.a,$C$2:$C$13=$C17,_xlpm.b,$D$2:$D$13=$D17,MAX(_xlfn._xlws.FILTER(_xlpm.d,_xlpm.a*_xlpm.b)))</f>
        <v>0.97</v>
      </c>
      <c r="K17" s="1" cm="1">
        <f t="array" ref="K17">_xlfn.LET(_xlpm.d,K$2:K$13,_xlpm.a,$C$2:$C$13=$C17,_xlpm.b,$D$2:$D$13=$D17,MAX(_xlfn._xlws.FILTER(_xlpm.d,_xlpm.a*_xlpm.b)))</f>
        <v>0.97</v>
      </c>
      <c r="L17" s="1" cm="1">
        <f t="array" ref="L17">_xlfn.LET(_xlpm.d,L$2:L$13,_xlpm.a,$C$2:$C$13=$C17,_xlpm.b,$D$2:$D$13=$D17,MAX(_xlfn._xlws.FILTER(_xlpm.d,_xlpm.a*_xlpm.b)))</f>
        <v>0.95</v>
      </c>
      <c r="M17" s="1" cm="1">
        <f t="array" ref="M17">_xlfn.LET(_xlpm.d,M$2:M$13,_xlpm.a,$C$2:$C$13=$C17,_xlpm.b,$D$2:$D$13=$D17,MAX(_xlfn._xlws.FILTER(_xlpm.d,_xlpm.a*_xlpm.b)))</f>
        <v>0.96</v>
      </c>
      <c r="N17" s="1" cm="1">
        <f t="array" ref="N17">_xlfn.LET(_xlpm.d,N$2:N$13,_xlpm.a,$C$2:$C$13=$C17,_xlpm.b,$D$2:$D$13=$D17,MAX(_xlfn._xlws.FILTER(_xlpm.d,_xlpm.a*_xlpm.b)))</f>
        <v>0.91</v>
      </c>
      <c r="O17" s="1" cm="1">
        <f t="array" ref="O17">_xlfn.LET(_xlpm.d,O$2:O$13,_xlpm.a,$C$2:$C$13=$C17,_xlpm.b,$D$2:$D$13=$D17,MAX(_xlfn._xlws.FILTER(_xlpm.d,_xlpm.a*_xlpm.b)))</f>
        <v>0.93</v>
      </c>
      <c r="P17" s="1" cm="1">
        <f t="array" ref="P17">_xlfn.LET(_xlpm.d,P$2:P$13,_xlpm.a,$C$2:$C$13=$C17,_xlpm.b,$D$2:$D$13=$D17,MAX(_xlfn._xlws.FILTER(_xlpm.d,_xlpm.a*_xlpm.b)))</f>
        <v>0.93</v>
      </c>
      <c r="Q17" s="1" cm="1">
        <f t="array" ref="Q17">_xlfn.LET(_xlpm.d,Q$2:Q$13,_xlpm.a,$C$2:$C$13=$C17,_xlpm.b,$D$2:$D$13=$D17,MAX(_xlfn._xlws.FILTER(_xlpm.d,_xlpm.a*_xlpm.b)))</f>
        <v>0.93</v>
      </c>
      <c r="R17" s="1" cm="1">
        <f t="array" ref="R17">_xlfn.LET(_xlpm.d,R$2:R$13,_xlpm.a,$C$2:$C$13=$C17,_xlpm.b,$D$2:$D$13=$D17,MAX(_xlfn._xlws.FILTER(_xlpm.d,_xlpm.a*_xlpm.b)))</f>
        <v>0.96</v>
      </c>
      <c r="S17" s="1" cm="1">
        <f t="array" ref="S17">_xlfn.LET(_xlpm.d,S$2:S$13,_xlpm.a,$C$2:$C$13=$C17,_xlpm.b,$D$2:$D$13=$D17,MAX(_xlfn._xlws.FILTER(_xlpm.d,_xlpm.a*_xlpm.b)))</f>
        <v>0.97</v>
      </c>
    </row>
    <row r="18" spans="2:19" ht="25" customHeight="1">
      <c r="B18">
        <v>1</v>
      </c>
      <c r="C18" t="s">
        <v>19</v>
      </c>
      <c r="D18" t="b">
        <v>0</v>
      </c>
      <c r="E18">
        <v>0</v>
      </c>
      <c r="F18" t="s">
        <v>18</v>
      </c>
      <c r="G18" s="1" cm="1">
        <f t="array" ref="G18">_xlfn.LET(_xlpm.d,G$2:G$13,_xlpm.a,$C$2:$C$13=$C18,_xlpm.b,$D$2:$D$13=$D18,MAX(_xlfn._xlws.FILTER(_xlpm.d,_xlpm.a*_xlpm.b)))</f>
        <v>0.89</v>
      </c>
      <c r="H18" s="1" cm="1">
        <f t="array" ref="H18">_xlfn.LET(_xlpm.d,H$2:H$13,_xlpm.a,$C$2:$C$13=$C18,_xlpm.b,$D$2:$D$13=$D18,MAX(_xlfn._xlws.FILTER(_xlpm.d,_xlpm.a*_xlpm.b)))</f>
        <v>0.91</v>
      </c>
      <c r="I18" s="1" cm="1">
        <f t="array" ref="I18">_xlfn.LET(_xlpm.d,I$2:I$13,_xlpm.a,$C$2:$C$13=$C18,_xlpm.b,$D$2:$D$13=$D18,MAX(_xlfn._xlws.FILTER(_xlpm.d,_xlpm.a*_xlpm.b)))</f>
        <v>0.93</v>
      </c>
      <c r="J18" s="1" cm="1">
        <f t="array" ref="J18">_xlfn.LET(_xlpm.d,J$2:J$13,_xlpm.a,$C$2:$C$13=$C18,_xlpm.b,$D$2:$D$13=$D18,MAX(_xlfn._xlws.FILTER(_xlpm.d,_xlpm.a*_xlpm.b)))</f>
        <v>0.96</v>
      </c>
      <c r="K18" s="1" cm="1">
        <f t="array" ref="K18">_xlfn.LET(_xlpm.d,K$2:K$13,_xlpm.a,$C$2:$C$13=$C18,_xlpm.b,$D$2:$D$13=$D18,MAX(_xlfn._xlws.FILTER(_xlpm.d,_xlpm.a*_xlpm.b)))</f>
        <v>0.97</v>
      </c>
      <c r="L18" s="1" cm="1">
        <f t="array" ref="L18">_xlfn.LET(_xlpm.d,L$2:L$13,_xlpm.a,$C$2:$C$13=$C18,_xlpm.b,$D$2:$D$13=$D18,MAX(_xlfn._xlws.FILTER(_xlpm.d,_xlpm.a*_xlpm.b)))</f>
        <v>0.96</v>
      </c>
      <c r="M18" s="1" cm="1">
        <f t="array" ref="M18">_xlfn.LET(_xlpm.d,M$2:M$13,_xlpm.a,$C$2:$C$13=$C18,_xlpm.b,$D$2:$D$13=$D18,MAX(_xlfn._xlws.FILTER(_xlpm.d,_xlpm.a*_xlpm.b)))</f>
        <v>0.96</v>
      </c>
      <c r="N18" s="1" cm="1">
        <f t="array" ref="N18">_xlfn.LET(_xlpm.d,N$2:N$13,_xlpm.a,$C$2:$C$13=$C18,_xlpm.b,$D$2:$D$13=$D18,MAX(_xlfn._xlws.FILTER(_xlpm.d,_xlpm.a*_xlpm.b)))</f>
        <v>0.9</v>
      </c>
      <c r="O18" s="1" cm="1">
        <f t="array" ref="O18">_xlfn.LET(_xlpm.d,O$2:O$13,_xlpm.a,$C$2:$C$13=$C18,_xlpm.b,$D$2:$D$13=$D18,MAX(_xlfn._xlws.FILTER(_xlpm.d,_xlpm.a*_xlpm.b)))</f>
        <v>0.94</v>
      </c>
      <c r="P18" s="1" cm="1">
        <f t="array" ref="P18">_xlfn.LET(_xlpm.d,P$2:P$13,_xlpm.a,$C$2:$C$13=$C18,_xlpm.b,$D$2:$D$13=$D18,MAX(_xlfn._xlws.FILTER(_xlpm.d,_xlpm.a*_xlpm.b)))</f>
        <v>0.93</v>
      </c>
      <c r="Q18" s="1" cm="1">
        <f t="array" ref="Q18">_xlfn.LET(_xlpm.d,Q$2:Q$13,_xlpm.a,$C$2:$C$13=$C18,_xlpm.b,$D$2:$D$13=$D18,MAX(_xlfn._xlws.FILTER(_xlpm.d,_xlpm.a*_xlpm.b)))</f>
        <v>0.93</v>
      </c>
      <c r="R18" s="1" cm="1">
        <f t="array" ref="R18">_xlfn.LET(_xlpm.d,R$2:R$13,_xlpm.a,$C$2:$C$13=$C18,_xlpm.b,$D$2:$D$13=$D18,MAX(_xlfn._xlws.FILTER(_xlpm.d,_xlpm.a*_xlpm.b)))</f>
        <v>0.93</v>
      </c>
      <c r="S18" s="1" cm="1">
        <f t="array" ref="S18">_xlfn.LET(_xlpm.d,S$2:S$13,_xlpm.a,$C$2:$C$13=$C18,_xlpm.b,$D$2:$D$13=$D18,MAX(_xlfn._xlws.FILTER(_xlpm.d,_xlpm.a*_xlpm.b)))</f>
        <v>0.97</v>
      </c>
    </row>
    <row r="19" spans="2:19" ht="25" customHeight="1">
      <c r="B19">
        <v>2</v>
      </c>
      <c r="C19" t="s">
        <v>23</v>
      </c>
      <c r="D19" t="b">
        <v>1</v>
      </c>
      <c r="E19">
        <v>0</v>
      </c>
      <c r="F19" t="s">
        <v>18</v>
      </c>
      <c r="G19" s="1" cm="1">
        <f t="array" ref="G19">_xlfn.LET(_xlpm.d,G$2:G$13,_xlpm.a,$C$2:$C$13=$C19,_xlpm.b,$D$2:$D$13=$D19,MAX(_xlfn._xlws.FILTER(_xlpm.d,_xlpm.a*_xlpm.b)))</f>
        <v>0.78</v>
      </c>
      <c r="H19" s="1" cm="1">
        <f t="array" ref="H19">_xlfn.LET(_xlpm.d,H$2:H$13,_xlpm.a,$C$2:$C$13=$C19,_xlpm.b,$D$2:$D$13=$D19,MAX(_xlfn._xlws.FILTER(_xlpm.d,_xlpm.a*_xlpm.b)))</f>
        <v>0.75</v>
      </c>
      <c r="I19" s="1" cm="1">
        <f t="array" ref="I19">_xlfn.LET(_xlpm.d,I$2:I$13,_xlpm.a,$C$2:$C$13=$C19,_xlpm.b,$D$2:$D$13=$D19,MAX(_xlfn._xlws.FILTER(_xlpm.d,_xlpm.a*_xlpm.b)))</f>
        <v>0.73</v>
      </c>
      <c r="J19" s="1" cm="1">
        <f t="array" ref="J19">_xlfn.LET(_xlpm.d,J$2:J$13,_xlpm.a,$C$2:$C$13=$C19,_xlpm.b,$D$2:$D$13=$D19,MAX(_xlfn._xlws.FILTER(_xlpm.d,_xlpm.a*_xlpm.b)))</f>
        <v>0.75</v>
      </c>
      <c r="K19" s="1" cm="1">
        <f t="array" ref="K19">_xlfn.LET(_xlpm.d,K$2:K$13,_xlpm.a,$C$2:$C$13=$C19,_xlpm.b,$D$2:$D$13=$D19,MAX(_xlfn._xlws.FILTER(_xlpm.d,_xlpm.a*_xlpm.b)))</f>
        <v>0.76</v>
      </c>
      <c r="L19" s="1" cm="1">
        <f t="array" ref="L19">_xlfn.LET(_xlpm.d,L$2:L$13,_xlpm.a,$C$2:$C$13=$C19,_xlpm.b,$D$2:$D$13=$D19,MAX(_xlfn._xlws.FILTER(_xlpm.d,_xlpm.a*_xlpm.b)))</f>
        <v>0.77</v>
      </c>
      <c r="M19" s="1" cm="1">
        <f t="array" ref="M19">_xlfn.LET(_xlpm.d,M$2:M$13,_xlpm.a,$C$2:$C$13=$C19,_xlpm.b,$D$2:$D$13=$D19,MAX(_xlfn._xlws.FILTER(_xlpm.d,_xlpm.a*_xlpm.b)))</f>
        <v>0.78</v>
      </c>
      <c r="N19" s="1" cm="1">
        <f t="array" ref="N19">_xlfn.LET(_xlpm.d,N$2:N$13,_xlpm.a,$C$2:$C$13=$C19,_xlpm.b,$D$2:$D$13=$D19,MAX(_xlfn._xlws.FILTER(_xlpm.d,_xlpm.a*_xlpm.b)))</f>
        <v>0.78</v>
      </c>
      <c r="O19" s="1" cm="1">
        <f t="array" ref="O19">_xlfn.LET(_xlpm.d,O$2:O$13,_xlpm.a,$C$2:$C$13=$C19,_xlpm.b,$D$2:$D$13=$D19,MAX(_xlfn._xlws.FILTER(_xlpm.d,_xlpm.a*_xlpm.b)))</f>
        <v>0.82</v>
      </c>
      <c r="P19" s="1" cm="1">
        <f t="array" ref="P19">_xlfn.LET(_xlpm.d,P$2:P$13,_xlpm.a,$C$2:$C$13=$C19,_xlpm.b,$D$2:$D$13=$D19,MAX(_xlfn._xlws.FILTER(_xlpm.d,_xlpm.a*_xlpm.b)))</f>
        <v>0.81</v>
      </c>
      <c r="Q19" s="1" cm="1">
        <f t="array" ref="Q19">_xlfn.LET(_xlpm.d,Q$2:Q$13,_xlpm.a,$C$2:$C$13=$C19,_xlpm.b,$D$2:$D$13=$D19,MAX(_xlfn._xlws.FILTER(_xlpm.d,_xlpm.a*_xlpm.b)))</f>
        <v>0.8</v>
      </c>
      <c r="R19" s="1" cm="1">
        <f t="array" ref="R19">_xlfn.LET(_xlpm.d,R$2:R$13,_xlpm.a,$C$2:$C$13=$C19,_xlpm.b,$D$2:$D$13=$D19,MAX(_xlfn._xlws.FILTER(_xlpm.d,_xlpm.a*_xlpm.b)))</f>
        <v>0.78</v>
      </c>
      <c r="S19" s="1" cm="1">
        <f t="array" ref="S19">_xlfn.LET(_xlpm.d,S$2:S$13,_xlpm.a,$C$2:$C$13=$C19,_xlpm.b,$D$2:$D$13=$D19,MAX(_xlfn._xlws.FILTER(_xlpm.d,_xlpm.a*_xlpm.b)))</f>
        <v>0.82</v>
      </c>
    </row>
    <row r="20" spans="2:19" ht="25" customHeight="1">
      <c r="B20">
        <v>2</v>
      </c>
      <c r="C20" t="s">
        <v>23</v>
      </c>
      <c r="D20" t="b">
        <v>0</v>
      </c>
      <c r="E20">
        <v>0</v>
      </c>
      <c r="F20" t="s">
        <v>18</v>
      </c>
      <c r="G20" s="1" cm="1">
        <f t="array" ref="G20">_xlfn.LET(_xlpm.d,G$2:G$13,_xlpm.a,$C$2:$C$13=$C20,_xlpm.b,$D$2:$D$13=$D20,MAX(_xlfn._xlws.FILTER(_xlpm.d,_xlpm.a*_xlpm.b)))</f>
        <v>0.74</v>
      </c>
      <c r="H20" s="1" cm="1">
        <f t="array" ref="H20">_xlfn.LET(_xlpm.d,H$2:H$13,_xlpm.a,$C$2:$C$13=$C20,_xlpm.b,$D$2:$D$13=$D20,MAX(_xlfn._xlws.FILTER(_xlpm.d,_xlpm.a*_xlpm.b)))</f>
        <v>0.75</v>
      </c>
      <c r="I20" s="1" cm="1">
        <f t="array" ref="I20">_xlfn.LET(_xlpm.d,I$2:I$13,_xlpm.a,$C$2:$C$13=$C20,_xlpm.b,$D$2:$D$13=$D20,MAX(_xlfn._xlws.FILTER(_xlpm.d,_xlpm.a*_xlpm.b)))</f>
        <v>0.78</v>
      </c>
      <c r="J20" s="1" cm="1">
        <f t="array" ref="J20">_xlfn.LET(_xlpm.d,J$2:J$13,_xlpm.a,$C$2:$C$13=$C20,_xlpm.b,$D$2:$D$13=$D20,MAX(_xlfn._xlws.FILTER(_xlpm.d,_xlpm.a*_xlpm.b)))</f>
        <v>0.78</v>
      </c>
      <c r="K20" s="1" cm="1">
        <f t="array" ref="K20">_xlfn.LET(_xlpm.d,K$2:K$13,_xlpm.a,$C$2:$C$13=$C20,_xlpm.b,$D$2:$D$13=$D20,MAX(_xlfn._xlws.FILTER(_xlpm.d,_xlpm.a*_xlpm.b)))</f>
        <v>0.76</v>
      </c>
      <c r="L20" s="1" cm="1">
        <f t="array" ref="L20">_xlfn.LET(_xlpm.d,L$2:L$13,_xlpm.a,$C$2:$C$13=$C20,_xlpm.b,$D$2:$D$13=$D20,MAX(_xlfn._xlws.FILTER(_xlpm.d,_xlpm.a*_xlpm.b)))</f>
        <v>0.78</v>
      </c>
      <c r="M20" s="1" cm="1">
        <f t="array" ref="M20">_xlfn.LET(_xlpm.d,M$2:M$13,_xlpm.a,$C$2:$C$13=$C20,_xlpm.b,$D$2:$D$13=$D20,MAX(_xlfn._xlws.FILTER(_xlpm.d,_xlpm.a*_xlpm.b)))</f>
        <v>0.77</v>
      </c>
      <c r="N20" s="1" cm="1">
        <f t="array" ref="N20">_xlfn.LET(_xlpm.d,N$2:N$13,_xlpm.a,$C$2:$C$13=$C20,_xlpm.b,$D$2:$D$13=$D20,MAX(_xlfn._xlws.FILTER(_xlpm.d,_xlpm.a*_xlpm.b)))</f>
        <v>0.78</v>
      </c>
      <c r="O20" s="1" cm="1">
        <f t="array" ref="O20">_xlfn.LET(_xlpm.d,O$2:O$13,_xlpm.a,$C$2:$C$13=$C20,_xlpm.b,$D$2:$D$13=$D20,MAX(_xlfn._xlws.FILTER(_xlpm.d,_xlpm.a*_xlpm.b)))</f>
        <v>0.82</v>
      </c>
      <c r="P20" s="1" cm="1">
        <f t="array" ref="P20">_xlfn.LET(_xlpm.d,P$2:P$13,_xlpm.a,$C$2:$C$13=$C20,_xlpm.b,$D$2:$D$13=$D20,MAX(_xlfn._xlws.FILTER(_xlpm.d,_xlpm.a*_xlpm.b)))</f>
        <v>0.83</v>
      </c>
      <c r="Q20" s="1" cm="1">
        <f t="array" ref="Q20">_xlfn.LET(_xlpm.d,Q$2:Q$13,_xlpm.a,$C$2:$C$13=$C20,_xlpm.b,$D$2:$D$13=$D20,MAX(_xlfn._xlws.FILTER(_xlpm.d,_xlpm.a*_xlpm.b)))</f>
        <v>0.82</v>
      </c>
      <c r="R20" s="1" cm="1">
        <f t="array" ref="R20">_xlfn.LET(_xlpm.d,R$2:R$13,_xlpm.a,$C$2:$C$13=$C20,_xlpm.b,$D$2:$D$13=$D20,MAX(_xlfn._xlws.FILTER(_xlpm.d,_xlpm.a*_xlpm.b)))</f>
        <v>0.81</v>
      </c>
      <c r="S20" s="1" cm="1">
        <f t="array" ref="S20">_xlfn.LET(_xlpm.d,S$2:S$13,_xlpm.a,$C$2:$C$13=$C20,_xlpm.b,$D$2:$D$13=$D20,MAX(_xlfn._xlws.FILTER(_xlpm.d,_xlpm.a*_xlpm.b)))</f>
        <v>0.83</v>
      </c>
    </row>
  </sheetData>
  <conditionalFormatting sqref="G2:S13">
    <cfRule type="colorScale" priority="1">
      <colorScale>
        <cfvo type="num" val="0"/>
        <cfvo type="percentile" val="50"/>
        <cfvo type="num" val="1"/>
        <color theme="4" tint="0.59999389629810485"/>
        <color theme="0"/>
        <color rgb="FFFFC000"/>
      </colorScale>
    </cfRule>
  </conditionalFormatting>
  <conditionalFormatting sqref="G17:S20">
    <cfRule type="colorScale" priority="2">
      <colorScale>
        <cfvo type="num" val="0"/>
        <cfvo type="percentile" val="50"/>
        <cfvo type="num" val="1"/>
        <color theme="4" tint="0.59999389629810485"/>
        <color theme="0"/>
        <color rgb="FFFFC000"/>
      </colorScale>
    </cfRule>
  </conditionalFormatting>
  <pageMargins left="0.75" right="0.75" top="1" bottom="1" header="0.5" footer="0.5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summarized</vt:lpstr>
      <vt:lpstr>xsk-3k-mgv9</vt:lpstr>
      <vt:lpstr>xsk-3k-mgv6</vt:lpstr>
      <vt:lpstr>xsk-3k-mgv3</vt:lpstr>
      <vt:lpstr>xsk-2k-mgv9</vt:lpstr>
      <vt:lpstr>xsk-2k-mgv6</vt:lpstr>
      <vt:lpstr>xsk-2k-mgv3</vt:lpstr>
      <vt:lpstr>xsk-1.2k-mgv9</vt:lpstr>
      <vt:lpstr>xsk-1.2k-mgv6</vt:lpstr>
      <vt:lpstr>xsk-1.2k-mgv3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Kuroda, Kow</dc:creator>
  <cp:keywords/>
  <dc:description/>
  <cp:lastModifiedBy>Kuroda, Kow</cp:lastModifiedBy>
  <dcterms:created xsi:type="dcterms:W3CDTF">2025-02-25T09:48:25Z</dcterms:created>
  <dcterms:modified xsi:type="dcterms:W3CDTF">2025-03-04T03:54:44Z</dcterms:modified>
  <cp:category/>
</cp:coreProperties>
</file>