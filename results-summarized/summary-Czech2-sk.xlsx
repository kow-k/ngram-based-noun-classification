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9ACD2B8A-3E62-3A46-9380-D5BE705BFDFB}" xr6:coauthVersionLast="47" xr6:coauthVersionMax="47" xr10:uidLastSave="{00000000-0000-0000-0000-000000000000}"/>
  <bookViews>
    <workbookView xWindow="2220" yWindow="500" windowWidth="34120" windowHeight="14460" activeTab="1" xr2:uid="{B0A33736-B64B-8347-9631-0CA8BEA708B1}"/>
  </bookViews>
  <sheets>
    <sheet name="3k-sk-mgv9" sheetId="3" r:id="rId1"/>
    <sheet name="3k-sk-mgv6" sheetId="2" r:id="rId2"/>
    <sheet name="2k-sk-mgv9" sheetId="5" r:id="rId3"/>
    <sheet name="2k-sk-mgv6" sheetId="4" r:id="rId4"/>
    <sheet name="3k-sk-mgv3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3" l="1"/>
  <c r="G24" i="3"/>
  <c r="G25" i="3"/>
  <c r="G26" i="3"/>
  <c r="G27" i="3"/>
  <c r="G28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37" i="1"/>
  <c r="G38" i="1"/>
  <c r="G39" i="1"/>
  <c r="G40" i="1"/>
  <c r="G41" i="1"/>
  <c r="G42" i="1"/>
  <c r="G26" i="1"/>
  <c r="G23" i="1"/>
  <c r="G27" i="1"/>
  <c r="G24" i="1"/>
  <c r="G28" i="1"/>
  <c r="G2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 a="1"/>
  <c r="G28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S5" i="5"/>
  <c r="S7" i="5"/>
  <c r="S3" i="5"/>
  <c r="S4" i="5"/>
  <c r="S6" i="5"/>
  <c r="S2" i="5"/>
  <c r="S11" i="5"/>
  <c r="S13" i="5"/>
  <c r="S9" i="5"/>
  <c r="S10" i="5"/>
  <c r="S12" i="5"/>
  <c r="S8" i="5"/>
  <c r="S17" i="5"/>
  <c r="S19" i="5"/>
  <c r="S15" i="5"/>
  <c r="S16" i="5"/>
  <c r="S27" i="5" s="1" a="1"/>
  <c r="S27" i="5" s="1"/>
  <c r="S18" i="5"/>
  <c r="S14" i="5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R23" i="4" a="1"/>
  <c r="R23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S6" i="4"/>
  <c r="S7" i="4"/>
  <c r="S5" i="4"/>
  <c r="S3" i="4"/>
  <c r="S4" i="4"/>
  <c r="S2" i="4"/>
  <c r="S12" i="4"/>
  <c r="S13" i="4"/>
  <c r="S11" i="4"/>
  <c r="S9" i="4"/>
  <c r="S10" i="4"/>
  <c r="S8" i="4"/>
  <c r="S18" i="4"/>
  <c r="S19" i="4"/>
  <c r="S17" i="4"/>
  <c r="S15" i="4"/>
  <c r="S16" i="4"/>
  <c r="S14" i="4"/>
  <c r="H28" i="1" a="1"/>
  <c r="H28" i="1" s="1"/>
  <c r="H25" i="1" a="1"/>
  <c r="H25" i="1" s="1"/>
  <c r="H27" i="2" a="1"/>
  <c r="H27" i="2" s="1"/>
  <c r="G25" i="2" a="1"/>
  <c r="G25" i="2" s="1"/>
  <c r="G28" i="2" a="1"/>
  <c r="G28" i="2" s="1"/>
  <c r="G27" i="2" a="1"/>
  <c r="G27" i="2" s="1"/>
  <c r="G24" i="2" a="1"/>
  <c r="G24" i="2" s="1"/>
  <c r="G23" i="2" a="1"/>
  <c r="G23" i="2" s="1"/>
  <c r="G26" i="2" a="1"/>
  <c r="G26" i="2" s="1"/>
  <c r="H28" i="3" a="1"/>
  <c r="H28" i="3" s="1"/>
  <c r="H26" i="3" a="1"/>
  <c r="H26" i="3" s="1"/>
  <c r="H27" i="3" a="1"/>
  <c r="H27" i="3" s="1"/>
  <c r="H25" i="2" a="1"/>
  <c r="H25" i="2" s="1"/>
  <c r="T17" i="3"/>
  <c r="T14" i="3"/>
  <c r="T11" i="3"/>
  <c r="T8" i="3"/>
  <c r="T5" i="3"/>
  <c r="T2" i="3"/>
  <c r="T18" i="3"/>
  <c r="T15" i="3"/>
  <c r="T12" i="3"/>
  <c r="T9" i="3"/>
  <c r="T6" i="3"/>
  <c r="T3" i="3"/>
  <c r="T19" i="3"/>
  <c r="T16" i="3"/>
  <c r="T13" i="3"/>
  <c r="T10" i="3"/>
  <c r="T7" i="3"/>
  <c r="T4" i="3"/>
  <c r="I27" i="3" a="1"/>
  <c r="I27" i="3" s="1"/>
  <c r="J27" i="3" a="1"/>
  <c r="J27" i="3" s="1"/>
  <c r="K27" i="3" a="1"/>
  <c r="K27" i="3" s="1"/>
  <c r="L27" i="3" a="1"/>
  <c r="L27" i="3" s="1"/>
  <c r="M27" i="3" a="1"/>
  <c r="M27" i="3" s="1"/>
  <c r="N27" i="3" a="1"/>
  <c r="N27" i="3" s="1"/>
  <c r="O27" i="3" a="1"/>
  <c r="O27" i="3" s="1"/>
  <c r="P27" i="3" a="1"/>
  <c r="P27" i="3" s="1"/>
  <c r="Q27" i="3" a="1"/>
  <c r="Q27" i="3" s="1"/>
  <c r="R27" i="3" a="1"/>
  <c r="R27" i="3" s="1"/>
  <c r="S27" i="3" a="1"/>
  <c r="S27" i="3" s="1"/>
  <c r="I28" i="3" a="1"/>
  <c r="I28" i="3" s="1"/>
  <c r="J28" i="3" a="1"/>
  <c r="J28" i="3" s="1"/>
  <c r="K28" i="3" a="1"/>
  <c r="K28" i="3" s="1"/>
  <c r="L28" i="3" a="1"/>
  <c r="L28" i="3" s="1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 s="1"/>
  <c r="S28" i="3" a="1"/>
  <c r="S28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I26" i="3" a="1"/>
  <c r="I26" i="3" s="1"/>
  <c r="J26" i="3" a="1"/>
  <c r="J26" i="3" s="1"/>
  <c r="K26" i="3" a="1"/>
  <c r="K26" i="3" s="1"/>
  <c r="L26" i="3" a="1"/>
  <c r="L26" i="3" s="1"/>
  <c r="M26" i="3" a="1"/>
  <c r="M26" i="3" s="1"/>
  <c r="N26" i="3" a="1"/>
  <c r="N26" i="3" s="1"/>
  <c r="O26" i="3" a="1"/>
  <c r="O26" i="3" s="1"/>
  <c r="P26" i="3" a="1"/>
  <c r="P26" i="3" s="1"/>
  <c r="Q26" i="3" a="1"/>
  <c r="Q26" i="3" s="1"/>
  <c r="R26" i="3" a="1"/>
  <c r="R26" i="3" s="1"/>
  <c r="S26" i="3" a="1"/>
  <c r="S26" i="3" s="1"/>
  <c r="H23" i="3" a="1"/>
  <c r="H23" i="3" s="1"/>
  <c r="I23" i="3" a="1"/>
  <c r="I23" i="3" s="1"/>
  <c r="J23" i="3" a="1"/>
  <c r="J23" i="3" s="1"/>
  <c r="K23" i="3" a="1"/>
  <c r="K23" i="3" s="1"/>
  <c r="L23" i="3" a="1"/>
  <c r="L23" i="3" s="1"/>
  <c r="M23" i="3" a="1"/>
  <c r="M23" i="3" s="1"/>
  <c r="N23" i="3" a="1"/>
  <c r="N23" i="3" s="1"/>
  <c r="O23" i="3" a="1"/>
  <c r="O23" i="3" s="1"/>
  <c r="P23" i="3" a="1"/>
  <c r="P23" i="3" s="1"/>
  <c r="Q23" i="3" a="1"/>
  <c r="Q23" i="3" s="1"/>
  <c r="R23" i="3" a="1"/>
  <c r="R23" i="3" s="1"/>
  <c r="S23" i="3" a="1"/>
  <c r="S23" i="3" s="1"/>
  <c r="H24" i="3" a="1"/>
  <c r="H24" i="3" s="1"/>
  <c r="I24" i="3" a="1"/>
  <c r="I24" i="3" s="1"/>
  <c r="J24" i="3" a="1"/>
  <c r="J24" i="3" s="1"/>
  <c r="K24" i="3" a="1"/>
  <c r="K24" i="3" s="1"/>
  <c r="L24" i="3" a="1"/>
  <c r="L24" i="3" s="1"/>
  <c r="M24" i="3" a="1"/>
  <c r="M24" i="3" s="1"/>
  <c r="N24" i="3" a="1"/>
  <c r="N24" i="3" s="1"/>
  <c r="O24" i="3" a="1"/>
  <c r="O24" i="3" s="1"/>
  <c r="P24" i="3" a="1"/>
  <c r="P24" i="3" s="1"/>
  <c r="Q24" i="3" a="1"/>
  <c r="Q24" i="3" s="1"/>
  <c r="R24" i="3" a="1"/>
  <c r="R24" i="3" s="1"/>
  <c r="S24" i="3" a="1"/>
  <c r="S24" i="3" s="1"/>
  <c r="T17" i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P32" i="1" s="1" a="1"/>
  <c r="P32" i="1" s="1"/>
  <c r="Q24" i="1" a="1"/>
  <c r="Q24" i="1" s="1"/>
  <c r="R24" i="1" a="1"/>
  <c r="R24" i="1" s="1"/>
  <c r="S24" i="1" a="1"/>
  <c r="S24" i="1" s="1"/>
  <c r="I26" i="1" a="1"/>
  <c r="I26" i="1" s="1"/>
  <c r="J26" i="1" a="1"/>
  <c r="J26" i="1" s="1"/>
  <c r="K26" i="1" a="1"/>
  <c r="K26" i="1" s="1"/>
  <c r="L26" i="1" a="1"/>
  <c r="L26" i="1" s="1"/>
  <c r="M26" i="1" a="1"/>
  <c r="M26" i="1" s="1"/>
  <c r="N26" i="1" a="1"/>
  <c r="N26" i="1" s="1"/>
  <c r="O26" i="1" a="1"/>
  <c r="O26" i="1" s="1"/>
  <c r="O30" i="1" s="1" a="1"/>
  <c r="O30" i="1" s="1"/>
  <c r="P26" i="1" a="1"/>
  <c r="P26" i="1" s="1"/>
  <c r="Q26" i="1" a="1"/>
  <c r="Q26" i="1" s="1"/>
  <c r="R26" i="1" a="1"/>
  <c r="R26" i="1" s="1"/>
  <c r="S26" i="1" a="1"/>
  <c r="S26" i="1" s="1"/>
  <c r="I23" i="1" a="1"/>
  <c r="I23" i="1" s="1"/>
  <c r="J23" i="1" a="1"/>
  <c r="J23" i="1" s="1"/>
  <c r="J32" i="1" s="1" a="1"/>
  <c r="J32" i="1" s="1"/>
  <c r="K23" i="1" a="1"/>
  <c r="K23" i="1" s="1"/>
  <c r="L23" i="1" a="1"/>
  <c r="L23" i="1" s="1"/>
  <c r="M23" i="1" a="1"/>
  <c r="M23" i="1" s="1"/>
  <c r="N23" i="1" a="1"/>
  <c r="N23" i="1" s="1"/>
  <c r="O23" i="1" a="1"/>
  <c r="O23" i="1" s="1"/>
  <c r="O33" i="1" s="1" a="1"/>
  <c r="O33" i="1" s="1"/>
  <c r="P23" i="1" a="1"/>
  <c r="P23" i="1" s="1"/>
  <c r="Q23" i="1" a="1"/>
  <c r="Q23" i="1" s="1"/>
  <c r="R23" i="1" a="1"/>
  <c r="R23" i="1" s="1"/>
  <c r="R30" i="1" s="1" a="1"/>
  <c r="R30" i="1" s="1"/>
  <c r="S23" i="1" a="1"/>
  <c r="S23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N28" i="1" a="1"/>
  <c r="N28" i="1" s="1"/>
  <c r="O28" i="1" a="1"/>
  <c r="O28" i="1" s="1"/>
  <c r="P28" i="1" a="1"/>
  <c r="P28" i="1" s="1"/>
  <c r="Q28" i="1" a="1"/>
  <c r="Q28" i="1" s="1"/>
  <c r="R28" i="1" a="1"/>
  <c r="R28" i="1" s="1"/>
  <c r="S28" i="1" a="1"/>
  <c r="S28" i="1" s="1"/>
  <c r="I25" i="1" a="1"/>
  <c r="I25" i="1" s="1"/>
  <c r="J25" i="1" a="1"/>
  <c r="J25" i="1" s="1"/>
  <c r="K25" i="1" a="1"/>
  <c r="K25" i="1" s="1"/>
  <c r="L25" i="1" a="1"/>
  <c r="L25" i="1" s="1"/>
  <c r="M25" i="1" a="1"/>
  <c r="M25" i="1" s="1"/>
  <c r="N25" i="1" a="1"/>
  <c r="N25" i="1" s="1"/>
  <c r="O25" i="1" a="1"/>
  <c r="O25" i="1" s="1"/>
  <c r="P25" i="1" a="1"/>
  <c r="P25" i="1" s="1"/>
  <c r="Q25" i="1" a="1"/>
  <c r="Q25" i="1" s="1"/>
  <c r="R25" i="1" a="1"/>
  <c r="R25" i="1" s="1"/>
  <c r="S25" i="1" a="1"/>
  <c r="S25" i="1" s="1"/>
  <c r="H27" i="1" a="1"/>
  <c r="H27" i="1" s="1"/>
  <c r="H23" i="1" a="1"/>
  <c r="H23" i="1" s="1"/>
  <c r="H26" i="1" a="1"/>
  <c r="H26" i="1" s="1"/>
  <c r="H37" i="1" s="1"/>
  <c r="H24" i="1" a="1"/>
  <c r="H24" i="1" s="1"/>
  <c r="T11" i="1"/>
  <c r="T12" i="1"/>
  <c r="T13" i="1"/>
  <c r="T8" i="1"/>
  <c r="T9" i="1"/>
  <c r="T10" i="1"/>
  <c r="T5" i="1"/>
  <c r="T6" i="1"/>
  <c r="T7" i="1"/>
  <c r="T2" i="1"/>
  <c r="T3" i="1"/>
  <c r="T4" i="1"/>
  <c r="T18" i="1"/>
  <c r="T19" i="1"/>
  <c r="T14" i="1"/>
  <c r="T15" i="1"/>
  <c r="T16" i="1"/>
  <c r="S8" i="2"/>
  <c r="S9" i="2"/>
  <c r="S10" i="2"/>
  <c r="S11" i="2"/>
  <c r="S12" i="2"/>
  <c r="S13" i="2"/>
  <c r="S2" i="2"/>
  <c r="S3" i="2"/>
  <c r="S4" i="2"/>
  <c r="S5" i="2"/>
  <c r="S6" i="2"/>
  <c r="S7" i="2"/>
  <c r="S14" i="2"/>
  <c r="S15" i="2"/>
  <c r="S16" i="2"/>
  <c r="S17" i="2"/>
  <c r="S18" i="2"/>
  <c r="S19" i="2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N25" i="2" a="1"/>
  <c r="N25" i="2" s="1"/>
  <c r="O25" i="2" a="1"/>
  <c r="O25" i="2" s="1"/>
  <c r="P25" i="2" a="1"/>
  <c r="P25" i="2" s="1"/>
  <c r="Q25" i="2" a="1"/>
  <c r="Q25" i="2" s="1"/>
  <c r="R25" i="2" a="1"/>
  <c r="R25" i="2" s="1"/>
  <c r="H26" i="2" a="1"/>
  <c r="H26" i="2" s="1"/>
  <c r="I26" i="2" a="1"/>
  <c r="I26" i="2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P26" i="2" a="1"/>
  <c r="P26" i="2" s="1"/>
  <c r="Q26" i="2" a="1"/>
  <c r="Q26" i="2" s="1"/>
  <c r="R26" i="2" a="1"/>
  <c r="R26" i="2" s="1"/>
  <c r="H23" i="2" a="1"/>
  <c r="H23" i="2" s="1"/>
  <c r="I23" i="2" a="1"/>
  <c r="I23" i="2" s="1"/>
  <c r="J23" i="2" a="1"/>
  <c r="J23" i="2" s="1"/>
  <c r="K23" i="2" a="1"/>
  <c r="K23" i="2" s="1"/>
  <c r="L23" i="2" a="1"/>
  <c r="L23" i="2" s="1"/>
  <c r="M23" i="2" a="1"/>
  <c r="M23" i="2" s="1"/>
  <c r="N23" i="2" a="1"/>
  <c r="N23" i="2" s="1"/>
  <c r="O23" i="2" a="1"/>
  <c r="O23" i="2" s="1"/>
  <c r="P23" i="2" a="1"/>
  <c r="P23" i="2" s="1"/>
  <c r="Q23" i="2" a="1"/>
  <c r="Q23" i="2" s="1"/>
  <c r="R23" i="2" a="1"/>
  <c r="R23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M24" i="2" a="1"/>
  <c r="M24" i="2" s="1"/>
  <c r="N24" i="2" a="1"/>
  <c r="N24" i="2" s="1"/>
  <c r="O24" i="2" a="1"/>
  <c r="O24" i="2" s="1"/>
  <c r="P24" i="2" a="1"/>
  <c r="P24" i="2" s="1"/>
  <c r="Q24" i="2" a="1"/>
  <c r="Q24" i="2" s="1"/>
  <c r="R24" i="2" a="1"/>
  <c r="R24" i="2" s="1"/>
  <c r="I27" i="2" a="1"/>
  <c r="I27" i="2" s="1"/>
  <c r="J27" i="2" a="1"/>
  <c r="J27" i="2" s="1"/>
  <c r="K27" i="2" a="1"/>
  <c r="K27" i="2" s="1"/>
  <c r="L27" i="2" a="1"/>
  <c r="L27" i="2" s="1"/>
  <c r="M27" i="2" a="1"/>
  <c r="M27" i="2" s="1"/>
  <c r="N27" i="2" a="1"/>
  <c r="N27" i="2" s="1"/>
  <c r="O27" i="2" a="1"/>
  <c r="O27" i="2" s="1"/>
  <c r="P27" i="2" a="1"/>
  <c r="P27" i="2" s="1"/>
  <c r="Q27" i="2" a="1"/>
  <c r="Q27" i="2" s="1"/>
  <c r="R27" i="2" a="1"/>
  <c r="R27" i="2" s="1"/>
  <c r="H28" i="2" a="1"/>
  <c r="H28" i="2" s="1"/>
  <c r="I28" i="2" a="1"/>
  <c r="I28" i="2" s="1"/>
  <c r="J28" i="2" a="1"/>
  <c r="J28" i="2" s="1"/>
  <c r="K28" i="2" a="1"/>
  <c r="K28" i="2" s="1"/>
  <c r="L28" i="2" a="1"/>
  <c r="L28" i="2" s="1"/>
  <c r="M28" i="2" a="1"/>
  <c r="M28" i="2" s="1"/>
  <c r="N28" i="2" a="1"/>
  <c r="N28" i="2" s="1"/>
  <c r="O28" i="2" a="1"/>
  <c r="O28" i="2" s="1"/>
  <c r="P28" i="2" a="1"/>
  <c r="P28" i="2" s="1"/>
  <c r="Q28" i="2" a="1"/>
  <c r="Q28" i="2" s="1"/>
  <c r="R28" i="2" a="1"/>
  <c r="R28" i="2" s="1"/>
  <c r="H36" i="3" l="1"/>
  <c r="S33" i="1" a="1"/>
  <c r="S33" i="1" s="1"/>
  <c r="K32" i="1" a="1"/>
  <c r="K32" i="1" s="1"/>
  <c r="N31" i="1" a="1"/>
  <c r="N31" i="1" s="1"/>
  <c r="Q31" i="1" a="1"/>
  <c r="Q31" i="1" s="1"/>
  <c r="I33" i="1" a="1"/>
  <c r="I33" i="1" s="1"/>
  <c r="L31" i="1" a="1"/>
  <c r="L31" i="1" s="1"/>
  <c r="M31" i="1" a="1"/>
  <c r="M31" i="1" s="1"/>
  <c r="I32" i="1" a="1"/>
  <c r="I32" i="1" s="1"/>
  <c r="K33" i="1" a="1"/>
  <c r="K33" i="1" s="1"/>
  <c r="R32" i="1" a="1"/>
  <c r="R32" i="1" s="1"/>
  <c r="J30" i="1" a="1"/>
  <c r="J30" i="1" s="1"/>
  <c r="L32" i="1" a="1"/>
  <c r="L32" i="1" s="1"/>
  <c r="P31" i="1" a="1"/>
  <c r="P31" i="1" s="1"/>
  <c r="Q32" i="1" a="1"/>
  <c r="Q32" i="1" s="1"/>
  <c r="I30" i="1" a="1"/>
  <c r="I30" i="1" s="1"/>
  <c r="J33" i="1" a="1"/>
  <c r="J33" i="1" s="1"/>
  <c r="Q30" i="1" a="1"/>
  <c r="Q30" i="1" s="1"/>
  <c r="O32" i="1" a="1"/>
  <c r="O32" i="1" s="1"/>
  <c r="S31" i="1" a="1"/>
  <c r="S31" i="1" s="1"/>
  <c r="P33" i="1" a="1"/>
  <c r="P33" i="1" s="1"/>
  <c r="R31" i="1" a="1"/>
  <c r="R31" i="1" s="1"/>
  <c r="N30" i="1" a="1"/>
  <c r="N30" i="1" s="1"/>
  <c r="K31" i="1" a="1"/>
  <c r="K31" i="1" s="1"/>
  <c r="L30" i="1" a="1"/>
  <c r="L30" i="1" s="1"/>
  <c r="H30" i="1" a="1"/>
  <c r="H30" i="1" s="1"/>
  <c r="R33" i="1" a="1"/>
  <c r="R33" i="1" s="1"/>
  <c r="S32" i="1" a="1"/>
  <c r="S32" i="1" s="1"/>
  <c r="N32" i="1" a="1"/>
  <c r="N32" i="1" s="1"/>
  <c r="O31" i="1" a="1"/>
  <c r="O31" i="1" s="1"/>
  <c r="J31" i="1" a="1"/>
  <c r="J31" i="1" s="1"/>
  <c r="K30" i="1" a="1"/>
  <c r="K30" i="1" s="1"/>
  <c r="M33" i="1" a="1"/>
  <c r="M33" i="1" s="1"/>
  <c r="H31" i="1" a="1"/>
  <c r="H31" i="1" s="1"/>
  <c r="Q33" i="1" a="1"/>
  <c r="Q33" i="1" s="1"/>
  <c r="L33" i="1" a="1"/>
  <c r="L33" i="1" s="1"/>
  <c r="M32" i="1" a="1"/>
  <c r="M32" i="1" s="1"/>
  <c r="I31" i="1" a="1"/>
  <c r="I31" i="1" s="1"/>
  <c r="P30" i="1" a="1"/>
  <c r="P30" i="1" s="1"/>
  <c r="S30" i="1" a="1"/>
  <c r="S30" i="1" s="1"/>
  <c r="N33" i="1" a="1"/>
  <c r="N33" i="1" s="1"/>
  <c r="H32" i="1" a="1"/>
  <c r="H32" i="1" s="1"/>
  <c r="M30" i="1" a="1"/>
  <c r="M30" i="1" s="1"/>
  <c r="H33" i="1" a="1"/>
  <c r="H33" i="1" s="1"/>
  <c r="S28" i="5" a="1"/>
  <c r="S28" i="5" s="1"/>
  <c r="S26" i="5" a="1"/>
  <c r="S26" i="5" s="1"/>
  <c r="S23" i="5" a="1"/>
  <c r="S23" i="5" s="1"/>
  <c r="S25" i="5" a="1"/>
  <c r="S25" i="5" s="1"/>
  <c r="S24" i="5" a="1"/>
  <c r="S24" i="5" s="1"/>
  <c r="S27" i="4" a="1"/>
  <c r="S27" i="4" s="1"/>
  <c r="S23" i="4" a="1"/>
  <c r="S23" i="4" s="1"/>
  <c r="S25" i="4" a="1"/>
  <c r="S25" i="4" s="1"/>
  <c r="S24" i="4" a="1"/>
  <c r="S24" i="4" s="1"/>
  <c r="S26" i="4" a="1"/>
  <c r="S26" i="4" s="1"/>
  <c r="S28" i="4" a="1"/>
  <c r="S28" i="4" s="1"/>
  <c r="M30" i="3"/>
  <c r="J32" i="3"/>
  <c r="P32" i="3"/>
  <c r="H30" i="3"/>
  <c r="R32" i="3"/>
  <c r="H32" i="3"/>
  <c r="Q32" i="3"/>
  <c r="I32" i="3"/>
  <c r="O30" i="3"/>
  <c r="O37" i="3"/>
  <c r="S36" i="3"/>
  <c r="O39" i="3"/>
  <c r="R38" i="3"/>
  <c r="J31" i="3"/>
  <c r="N30" i="3"/>
  <c r="Q40" i="3"/>
  <c r="L31" i="3"/>
  <c r="L30" i="3"/>
  <c r="M31" i="3"/>
  <c r="S31" i="3"/>
  <c r="K31" i="3"/>
  <c r="N37" i="3"/>
  <c r="P40" i="3"/>
  <c r="Q31" i="3"/>
  <c r="I31" i="3"/>
  <c r="N32" i="3"/>
  <c r="O40" i="3"/>
  <c r="S30" i="3"/>
  <c r="K30" i="3"/>
  <c r="P31" i="3"/>
  <c r="M32" i="3"/>
  <c r="H40" i="3"/>
  <c r="R31" i="3"/>
  <c r="R36" i="3"/>
  <c r="Q38" i="3"/>
  <c r="M37" i="3"/>
  <c r="M39" i="3"/>
  <c r="P38" i="3"/>
  <c r="L39" i="3"/>
  <c r="R30" i="3"/>
  <c r="J30" i="3"/>
  <c r="O31" i="3"/>
  <c r="L32" i="3"/>
  <c r="N40" i="3"/>
  <c r="Q30" i="3"/>
  <c r="I30" i="3"/>
  <c r="N31" i="3"/>
  <c r="S32" i="3"/>
  <c r="K32" i="3"/>
  <c r="R37" i="3"/>
  <c r="L40" i="3"/>
  <c r="H39" i="3"/>
  <c r="P30" i="3"/>
  <c r="H31" i="3"/>
  <c r="K36" i="3"/>
  <c r="J36" i="3"/>
  <c r="I38" i="3"/>
  <c r="K39" i="3"/>
  <c r="N36" i="3"/>
  <c r="J39" i="3"/>
  <c r="Q37" i="3"/>
  <c r="I37" i="3"/>
  <c r="M36" i="3"/>
  <c r="Q39" i="3"/>
  <c r="I39" i="3"/>
  <c r="L38" i="3"/>
  <c r="S40" i="3"/>
  <c r="K40" i="3"/>
  <c r="H38" i="3"/>
  <c r="O32" i="3"/>
  <c r="N39" i="3"/>
  <c r="S39" i="3"/>
  <c r="J37" i="3"/>
  <c r="R39" i="3"/>
  <c r="O38" i="3"/>
  <c r="P37" i="3"/>
  <c r="K37" i="3"/>
  <c r="L36" i="3"/>
  <c r="P39" i="3"/>
  <c r="S38" i="3"/>
  <c r="K38" i="3"/>
  <c r="R40" i="3"/>
  <c r="J40" i="3"/>
  <c r="Q33" i="2"/>
  <c r="I33" i="2"/>
  <c r="M33" i="2"/>
  <c r="L33" i="2"/>
  <c r="N33" i="2"/>
  <c r="H33" i="2"/>
  <c r="I32" i="2"/>
  <c r="P32" i="2"/>
  <c r="K33" i="2"/>
  <c r="G33" i="2"/>
  <c r="P33" i="2"/>
  <c r="O33" i="2"/>
  <c r="Q32" i="2"/>
  <c r="R33" i="2"/>
  <c r="J33" i="2"/>
  <c r="O32" i="2"/>
  <c r="M32" i="2"/>
  <c r="L32" i="2"/>
  <c r="G41" i="2"/>
  <c r="K32" i="2"/>
  <c r="G32" i="2"/>
  <c r="G31" i="2"/>
  <c r="G39" i="2"/>
  <c r="N32" i="2"/>
  <c r="R32" i="2"/>
  <c r="J32" i="2"/>
  <c r="H32" i="2"/>
  <c r="G42" i="2"/>
  <c r="G38" i="2"/>
  <c r="G37" i="2"/>
  <c r="H37" i="3"/>
  <c r="O36" i="3"/>
  <c r="M38" i="3"/>
  <c r="Q36" i="3"/>
  <c r="I36" i="3"/>
  <c r="L37" i="3"/>
  <c r="M40" i="3"/>
  <c r="P36" i="3"/>
  <c r="S37" i="3"/>
  <c r="N38" i="3"/>
  <c r="I40" i="3"/>
  <c r="J38" i="3"/>
  <c r="H41" i="1"/>
  <c r="H42" i="1"/>
  <c r="G40" i="2"/>
  <c r="K41" i="3"/>
  <c r="S41" i="3"/>
  <c r="R41" i="3"/>
  <c r="L41" i="3"/>
  <c r="N41" i="3"/>
  <c r="O41" i="3"/>
  <c r="M41" i="3"/>
  <c r="J41" i="3"/>
  <c r="H41" i="3"/>
  <c r="P41" i="3"/>
  <c r="I41" i="3"/>
  <c r="Q41" i="3"/>
  <c r="T24" i="3" a="1"/>
  <c r="T24" i="3" s="1"/>
  <c r="T25" i="3" a="1"/>
  <c r="T25" i="3" s="1"/>
  <c r="T27" i="3" a="1"/>
  <c r="T27" i="3" s="1"/>
  <c r="T26" i="3" a="1"/>
  <c r="T26" i="3" s="1"/>
  <c r="T23" i="3" a="1"/>
  <c r="T23" i="3" s="1"/>
  <c r="N31" i="2"/>
  <c r="I31" i="2"/>
  <c r="M31" i="2"/>
  <c r="Q31" i="2"/>
  <c r="R31" i="2"/>
  <c r="J31" i="2"/>
  <c r="P31" i="2"/>
  <c r="K31" i="2"/>
  <c r="O31" i="2"/>
  <c r="L31" i="2"/>
  <c r="H31" i="2"/>
  <c r="R40" i="2"/>
  <c r="Q37" i="2"/>
  <c r="P42" i="2"/>
  <c r="L41" i="2"/>
  <c r="R42" i="2"/>
  <c r="J42" i="2"/>
  <c r="N41" i="2"/>
  <c r="R38" i="2"/>
  <c r="J38" i="2"/>
  <c r="N37" i="2"/>
  <c r="J40" i="2"/>
  <c r="I39" i="2"/>
  <c r="Q42" i="2"/>
  <c r="I42" i="2"/>
  <c r="M41" i="2"/>
  <c r="Q38" i="2"/>
  <c r="I38" i="2"/>
  <c r="M37" i="2"/>
  <c r="Q40" i="2"/>
  <c r="I40" i="2"/>
  <c r="M39" i="2"/>
  <c r="L37" i="2"/>
  <c r="O40" i="2"/>
  <c r="K39" i="2"/>
  <c r="N42" i="2"/>
  <c r="R41" i="2"/>
  <c r="J41" i="2"/>
  <c r="N38" i="2"/>
  <c r="R37" i="2"/>
  <c r="J37" i="2"/>
  <c r="R39" i="2"/>
  <c r="J39" i="2"/>
  <c r="P40" i="2"/>
  <c r="K41" i="2"/>
  <c r="M42" i="2"/>
  <c r="I41" i="2"/>
  <c r="I37" i="2"/>
  <c r="P41" i="2"/>
  <c r="H41" i="2"/>
  <c r="L38" i="2"/>
  <c r="L40" i="2"/>
  <c r="H40" i="2"/>
  <c r="O42" i="2"/>
  <c r="O38" i="2"/>
  <c r="Q41" i="2"/>
  <c r="M38" i="2"/>
  <c r="K42" i="2"/>
  <c r="O41" i="2"/>
  <c r="K38" i="2"/>
  <c r="O37" i="2"/>
  <c r="H37" i="2"/>
  <c r="K40" i="2"/>
  <c r="O39" i="2"/>
  <c r="L39" i="2"/>
  <c r="K37" i="2"/>
  <c r="N40" i="2"/>
  <c r="L42" i="2"/>
  <c r="M40" i="2"/>
  <c r="P39" i="2"/>
  <c r="H39" i="2"/>
  <c r="Q39" i="2"/>
  <c r="P37" i="2"/>
  <c r="N39" i="2"/>
  <c r="H42" i="2"/>
  <c r="P38" i="2"/>
  <c r="H38" i="2"/>
  <c r="O37" i="1"/>
  <c r="R40" i="1"/>
  <c r="M37" i="1"/>
  <c r="S39" i="1"/>
  <c r="K39" i="1"/>
  <c r="N42" i="1"/>
  <c r="L38" i="1"/>
  <c r="Q38" i="1"/>
  <c r="I38" i="1"/>
  <c r="M39" i="1"/>
  <c r="P40" i="1"/>
  <c r="P41" i="1"/>
  <c r="K41" i="1"/>
  <c r="S41" i="1"/>
  <c r="Q41" i="1"/>
  <c r="I41" i="1"/>
  <c r="J40" i="1"/>
  <c r="M40" i="1"/>
  <c r="N40" i="1"/>
  <c r="K37" i="1"/>
  <c r="L39" i="1"/>
  <c r="N41" i="1"/>
  <c r="Q40" i="1"/>
  <c r="L41" i="1"/>
  <c r="O40" i="1"/>
  <c r="L37" i="1"/>
  <c r="J37" i="1"/>
  <c r="R37" i="1"/>
  <c r="R39" i="1"/>
  <c r="J39" i="1"/>
  <c r="I40" i="1"/>
  <c r="R42" i="1"/>
  <c r="J42" i="1"/>
  <c r="M41" i="1"/>
  <c r="P38" i="1"/>
  <c r="I37" i="1"/>
  <c r="Q39" i="1"/>
  <c r="I39" i="1"/>
  <c r="H39" i="1"/>
  <c r="L42" i="1"/>
  <c r="O41" i="1"/>
  <c r="R38" i="1"/>
  <c r="J38" i="1"/>
  <c r="S42" i="1"/>
  <c r="K42" i="1"/>
  <c r="O38" i="1"/>
  <c r="H40" i="1"/>
  <c r="Q42" i="1"/>
  <c r="P39" i="1"/>
  <c r="N37" i="1"/>
  <c r="P42" i="1"/>
  <c r="O39" i="1"/>
  <c r="S37" i="1"/>
  <c r="O42" i="1"/>
  <c r="H38" i="1"/>
  <c r="K38" i="1"/>
  <c r="S38" i="1"/>
  <c r="N38" i="1"/>
  <c r="R41" i="1"/>
  <c r="J41" i="1"/>
  <c r="M38" i="1"/>
  <c r="P37" i="1"/>
  <c r="S40" i="1"/>
  <c r="K40" i="1"/>
  <c r="N39" i="1"/>
  <c r="I42" i="1"/>
  <c r="Q37" i="1"/>
  <c r="M42" i="1"/>
  <c r="L40" i="1"/>
  <c r="T24" i="1" a="1"/>
  <c r="T24" i="1" s="1"/>
  <c r="T28" i="1" a="1"/>
  <c r="T28" i="1" s="1"/>
  <c r="T25" i="1" a="1"/>
  <c r="T25" i="1" s="1"/>
  <c r="T26" i="1" a="1"/>
  <c r="T26" i="1" s="1"/>
  <c r="T27" i="1" a="1"/>
  <c r="T27" i="1" s="1"/>
  <c r="T23" i="1" a="1"/>
  <c r="T23" i="1" s="1"/>
  <c r="T28" i="3" a="1"/>
  <c r="T28" i="3" s="1"/>
  <c r="S24" i="2"/>
  <c r="S25" i="2"/>
  <c r="S28" i="2"/>
  <c r="S26" i="2"/>
  <c r="S27" i="2"/>
  <c r="S23" i="2"/>
  <c r="T30" i="1" l="1" a="1"/>
  <c r="T30" i="1" s="1"/>
  <c r="T33" i="1" a="1"/>
  <c r="T33" i="1" s="1"/>
  <c r="T31" i="1" a="1"/>
  <c r="T31" i="1" s="1"/>
  <c r="T32" i="1" a="1"/>
  <c r="T32" i="1" s="1"/>
  <c r="T31" i="3"/>
  <c r="T32" i="3"/>
  <c r="T30" i="3"/>
  <c r="S32" i="2"/>
  <c r="S33" i="2"/>
  <c r="H46" i="1" a="1"/>
  <c r="H46" i="1" s="1"/>
  <c r="K48" i="2"/>
  <c r="K49" i="2"/>
  <c r="K47" i="2"/>
  <c r="I47" i="2"/>
  <c r="I49" i="2"/>
  <c r="I48" i="2"/>
  <c r="J48" i="2"/>
  <c r="J49" i="2"/>
  <c r="J47" i="2"/>
  <c r="Q49" i="2"/>
  <c r="Q47" i="2"/>
  <c r="Q48" i="2"/>
  <c r="R48" i="2"/>
  <c r="R49" i="2"/>
  <c r="R47" i="2"/>
  <c r="P49" i="2"/>
  <c r="P47" i="2"/>
  <c r="P48" i="2"/>
  <c r="O49" i="2"/>
  <c r="O47" i="2"/>
  <c r="O48" i="2"/>
  <c r="L48" i="2"/>
  <c r="L49" i="2"/>
  <c r="L47" i="2"/>
  <c r="N49" i="2"/>
  <c r="N47" i="2"/>
  <c r="N48" i="2"/>
  <c r="M48" i="2"/>
  <c r="M49" i="2"/>
  <c r="M47" i="2"/>
  <c r="H49" i="2"/>
  <c r="H47" i="2"/>
  <c r="H48" i="2"/>
  <c r="G47" i="2"/>
  <c r="G48" i="2"/>
  <c r="G49" i="2"/>
  <c r="G45" i="2"/>
  <c r="O43" i="3"/>
  <c r="O46" i="3"/>
  <c r="O45" i="3"/>
  <c r="O47" i="3"/>
  <c r="Q43" i="3"/>
  <c r="Q47" i="3"/>
  <c r="Q45" i="3"/>
  <c r="Q46" i="3"/>
  <c r="L43" i="3"/>
  <c r="L47" i="3"/>
  <c r="L46" i="3"/>
  <c r="L45" i="3"/>
  <c r="I43" i="3"/>
  <c r="I47" i="3"/>
  <c r="I45" i="3"/>
  <c r="I46" i="3"/>
  <c r="R43" i="3"/>
  <c r="R47" i="3"/>
  <c r="R46" i="3"/>
  <c r="R45" i="3"/>
  <c r="P43" i="3"/>
  <c r="P47" i="3"/>
  <c r="P45" i="3"/>
  <c r="P46" i="3"/>
  <c r="S43" i="3"/>
  <c r="S46" i="3"/>
  <c r="S47" i="3"/>
  <c r="S45" i="3"/>
  <c r="N43" i="3"/>
  <c r="N45" i="3"/>
  <c r="N46" i="3"/>
  <c r="N47" i="3"/>
  <c r="H43" i="3"/>
  <c r="H47" i="3"/>
  <c r="H45" i="3"/>
  <c r="H46" i="3"/>
  <c r="K43" i="3"/>
  <c r="K46" i="3"/>
  <c r="K47" i="3"/>
  <c r="K45" i="3"/>
  <c r="J43" i="3"/>
  <c r="J45" i="3"/>
  <c r="J47" i="3"/>
  <c r="J46" i="3"/>
  <c r="M43" i="3"/>
  <c r="M46" i="3"/>
  <c r="M47" i="3"/>
  <c r="M45" i="3"/>
  <c r="H44" i="1" a="1"/>
  <c r="H44" i="1" s="1"/>
  <c r="M46" i="1" a="1"/>
  <c r="M46" i="1" s="1"/>
  <c r="M47" i="1" a="1"/>
  <c r="M47" i="1" s="1"/>
  <c r="M48" i="1" a="1"/>
  <c r="M48" i="1" s="1"/>
  <c r="M44" i="1" a="1"/>
  <c r="M44" i="1" s="1"/>
  <c r="P44" i="1" a="1"/>
  <c r="P44" i="1" s="1"/>
  <c r="P48" i="1" a="1"/>
  <c r="P48" i="1" s="1"/>
  <c r="P46" i="1" a="1"/>
  <c r="P46" i="1" s="1"/>
  <c r="P47" i="1" a="1"/>
  <c r="P47" i="1" s="1"/>
  <c r="I48" i="1" a="1"/>
  <c r="I48" i="1" s="1"/>
  <c r="I44" i="1" a="1"/>
  <c r="I44" i="1" s="1"/>
  <c r="I46" i="1" a="1"/>
  <c r="I46" i="1" s="1"/>
  <c r="I47" i="1" a="1"/>
  <c r="I47" i="1" s="1"/>
  <c r="J48" i="1" a="1"/>
  <c r="J48" i="1" s="1"/>
  <c r="J46" i="1" a="1"/>
  <c r="J46" i="1" s="1"/>
  <c r="J44" i="1" a="1"/>
  <c r="J44" i="1" s="1"/>
  <c r="J47" i="1" a="1"/>
  <c r="J47" i="1" s="1"/>
  <c r="Q48" i="1" a="1"/>
  <c r="Q48" i="1" s="1"/>
  <c r="Q47" i="1" a="1"/>
  <c r="Q47" i="1" s="1"/>
  <c r="Q44" i="1" a="1"/>
  <c r="Q44" i="1" s="1"/>
  <c r="Q46" i="1" a="1"/>
  <c r="Q46" i="1" s="1"/>
  <c r="N47" i="1" a="1"/>
  <c r="N47" i="1" s="1"/>
  <c r="N46" i="1" a="1"/>
  <c r="N46" i="1" s="1"/>
  <c r="N48" i="1" a="1"/>
  <c r="N48" i="1" s="1"/>
  <c r="N44" i="1" a="1"/>
  <c r="N44" i="1" s="1"/>
  <c r="R48" i="1" a="1"/>
  <c r="R48" i="1" s="1"/>
  <c r="R44" i="1" a="1"/>
  <c r="R44" i="1" s="1"/>
  <c r="R47" i="1" a="1"/>
  <c r="R47" i="1" s="1"/>
  <c r="R46" i="1" a="1"/>
  <c r="R46" i="1" s="1"/>
  <c r="L46" i="1" a="1"/>
  <c r="L46" i="1" s="1"/>
  <c r="L44" i="1" a="1"/>
  <c r="L44" i="1" s="1"/>
  <c r="L47" i="1" a="1"/>
  <c r="L47" i="1" s="1"/>
  <c r="L48" i="1" a="1"/>
  <c r="L48" i="1" s="1"/>
  <c r="S46" i="1" a="1"/>
  <c r="S46" i="1" s="1"/>
  <c r="S47" i="1" a="1"/>
  <c r="S47" i="1" s="1"/>
  <c r="S44" i="1" a="1"/>
  <c r="S44" i="1" s="1"/>
  <c r="S48" i="1" a="1"/>
  <c r="S48" i="1" s="1"/>
  <c r="K47" i="1" a="1"/>
  <c r="K47" i="1" s="1"/>
  <c r="K44" i="1" a="1"/>
  <c r="K44" i="1" s="1"/>
  <c r="K48" i="1" a="1"/>
  <c r="K48" i="1" s="1"/>
  <c r="K46" i="1" a="1"/>
  <c r="K46" i="1" s="1"/>
  <c r="H48" i="1" a="1"/>
  <c r="H48" i="1" s="1"/>
  <c r="H47" i="1" a="1"/>
  <c r="H47" i="1" s="1"/>
  <c r="O44" i="1" a="1"/>
  <c r="O44" i="1" s="1"/>
  <c r="O46" i="1" a="1"/>
  <c r="O46" i="1" s="1"/>
  <c r="O48" i="1" a="1"/>
  <c r="O48" i="1" s="1"/>
  <c r="O47" i="1" a="1"/>
  <c r="O47" i="1" s="1"/>
  <c r="P45" i="2"/>
  <c r="R45" i="2"/>
  <c r="K45" i="2"/>
  <c r="O45" i="2"/>
  <c r="L45" i="2"/>
  <c r="H45" i="2"/>
  <c r="Q45" i="2"/>
  <c r="M45" i="2"/>
  <c r="I45" i="2"/>
  <c r="N45" i="2"/>
  <c r="J45" i="2"/>
  <c r="S31" i="2"/>
  <c r="I44" i="3" l="1"/>
  <c r="N44" i="3"/>
  <c r="K44" i="3"/>
  <c r="R44" i="3"/>
  <c r="O46" i="2"/>
  <c r="N45" i="1"/>
  <c r="J45" i="1"/>
  <c r="H45" i="1"/>
  <c r="K45" i="1"/>
  <c r="L45" i="1"/>
  <c r="P45" i="1"/>
  <c r="S45" i="1"/>
  <c r="Q45" i="1"/>
  <c r="M45" i="1"/>
  <c r="O45" i="1"/>
  <c r="R45" i="1"/>
  <c r="I45" i="1"/>
  <c r="J46" i="2"/>
  <c r="K46" i="2"/>
  <c r="I46" i="2"/>
  <c r="G46" i="2"/>
  <c r="N46" i="2"/>
  <c r="P46" i="2"/>
  <c r="M46" i="2"/>
  <c r="H46" i="2"/>
  <c r="R46" i="2"/>
  <c r="Q46" i="2"/>
  <c r="L46" i="2"/>
  <c r="J44" i="3"/>
  <c r="L44" i="3"/>
  <c r="S44" i="3"/>
  <c r="P44" i="3"/>
  <c r="M44" i="3"/>
  <c r="Q44" i="3"/>
  <c r="O44" i="3"/>
  <c r="H4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<sst xmlns="http://schemas.openxmlformats.org/spreadsheetml/2006/main" count="685" uniqueCount="39">
  <si>
    <t>lang</t>
  </si>
  <si>
    <t>attribute</t>
  </si>
  <si>
    <t>supplement</t>
  </si>
  <si>
    <t>method</t>
  </si>
  <si>
    <t>max</t>
  </si>
  <si>
    <t>Czech</t>
  </si>
  <si>
    <t>plurality</t>
  </si>
  <si>
    <t>NN</t>
  </si>
  <si>
    <t>RF</t>
  </si>
  <si>
    <t>DT</t>
  </si>
  <si>
    <t>gender</t>
  </si>
  <si>
    <t>case</t>
  </si>
  <si>
    <t>attribute.index</t>
  </si>
  <si>
    <t>method.index</t>
  </si>
  <si>
    <t>metric</t>
  </si>
  <si>
    <t>attr.index</t>
  </si>
  <si>
    <t>supplemented</t>
  </si>
  <si>
    <t>metric.index</t>
  </si>
  <si>
    <t>max.rank</t>
  </si>
  <si>
    <t>geomean</t>
  </si>
  <si>
    <t>geomean.rank</t>
  </si>
  <si>
    <t>min</t>
  </si>
  <si>
    <t>stdev</t>
  </si>
  <si>
    <t>geomean.min</t>
  </si>
  <si>
    <t>geomean.max</t>
  </si>
  <si>
    <t>geomean.stdev</t>
  </si>
  <si>
    <t>2g-no-hash</t>
  </si>
  <si>
    <t>3g-no-hash</t>
  </si>
  <si>
    <t>4g-no-hash</t>
  </si>
  <si>
    <t>sk2g-no-hash</t>
  </si>
  <si>
    <t>sk3g-no-hash</t>
  </si>
  <si>
    <t>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</si>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</sst>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b/>
      <sz val="13"/>
      <color theme="0"/>
      <name val="LucidaSansUnicode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65"/>
        <bgColor auto="1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2" fontId="0" fillId="3" borderId="4" xfId="0" applyNumberFormat="1" applyFill="1" applyBorder="1"/>
    <xf numFmtId="0" fontId="1" fillId="2" borderId="6" xfId="0" applyFont="1" applyFill="1" applyBorder="1"/>
    <xf numFmtId="2" fontId="0" fillId="0" borderId="0" xfId="0" applyNumberFormat="1"/>
    <xf numFmtId="0" fontId="0" fillId="3" borderId="5" xfId="0" applyFill="1" applyBorder="1"/>
    <xf numFmtId="0" fontId="0" fillId="0" borderId="5" xfId="0" applyBorder="1"/>
    <xf numFmtId="0" fontId="0" fillId="0" borderId="4" xfId="0" applyBorder="1"/>
    <xf numFmtId="0" fontId="0" fillId="3" borderId="4" xfId="0" applyFill="1" applyBorder="1"/>
    <xf numFmtId="2" fontId="0" fillId="0" borderId="4" xfId="0" applyNumberFormat="1" applyBorder="1"/>
    <xf numFmtId="2" fontId="0" fillId="0" borderId="1" xfId="0" applyNumberFormat="1" applyBorder="1"/>
    <xf numFmtId="0" fontId="1" fillId="2" borderId="0" xfId="0" applyFont="1" applyFill="1"/>
    <xf numFmtId="2" fontId="0" fillId="3" borderId="0" xfId="0" applyNumberFormat="1" applyFill="1"/>
    <xf numFmtId="0" fontId="0" fillId="4" borderId="1" xfId="0" applyFill="1" applyBorder="1"/>
    <xf numFmtId="2" fontId="0" fillId="3" borderId="1" xfId="0" applyNumberFormat="1" applyFill="1" applyBorder="1"/>
    <xf numFmtId="1" fontId="0" fillId="0" borderId="0" xfId="0" applyNumberFormat="1"/>
    <xf numFmtId="0" fontId="0" fillId="0" borderId="7" xfId="0" applyBorder="1"/>
  </cellXfs>
  <cellStyles count="1">
    <cellStyle name="Normal" xfId="0" builtinId="0"/>
  </cellStyles>
  <dxfs count="2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0" formatCode="General"/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auto="1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1" formatCode="0"/>
      <fill>
        <patternFill patternType="none">
          <fgColor auto="1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fill>
        <patternFill patternType="none">
          <fgColor auto="1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Czech2</a:t>
            </a:r>
            <a:r>
              <a:rPr lang="ja-JP" altLang="en-US"/>
              <a:t> </a:t>
            </a:r>
            <a:r>
              <a:rPr lang="en-US" altLang="ja-JP"/>
              <a:t>sk-based</a:t>
            </a:r>
            <a:r>
              <a:rPr lang="ja-JP" altLang="en-US"/>
              <a:t> </a:t>
            </a:r>
            <a:r>
              <a:rPr lang="en-US" altLang="ja-JP"/>
              <a:t>3k</a:t>
            </a:r>
            <a:r>
              <a:rPr lang="ja-JP" altLang="en-US"/>
              <a:t> </a:t>
            </a:r>
            <a:r>
              <a:rPr lang="en-US" altLang="ja-JP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'3k-sk-mgv9'!$G$23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'3k-sk-mgv9'!$H$23:$S$23</c:f>
              <c:numCache>
                <c:formatCode>0.00</c:formatCode>
                <c:ptCount val="12"/>
                <c:pt idx="0">
                  <c:v>0.87</c:v>
                </c:pt>
                <c:pt idx="1">
                  <c:v>0.87</c:v>
                </c:pt>
                <c:pt idx="2">
                  <c:v>0.89</c:v>
                </c:pt>
                <c:pt idx="3">
                  <c:v>0.91</c:v>
                </c:pt>
                <c:pt idx="4">
                  <c:v>0.85</c:v>
                </c:pt>
                <c:pt idx="5">
                  <c:v>0.87</c:v>
                </c:pt>
                <c:pt idx="6">
                  <c:v>0.94</c:v>
                </c:pt>
                <c:pt idx="7">
                  <c:v>0.91</c:v>
                </c:pt>
                <c:pt idx="8">
                  <c:v>0.87</c:v>
                </c:pt>
                <c:pt idx="9">
                  <c:v>0.89</c:v>
                </c:pt>
                <c:pt idx="10">
                  <c:v>0.87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7-774C-AD7F-FAE6467DDD03}"/>
            </c:ext>
          </c:extLst>
        </c:ser>
        <c:ser>
          <c:idx val="1"/>
          <c:order val="1"/>
          <c:tx>
            <c:strRef>
              <c:f>'3k-sk-mgv9'!$G$24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'3k-sk-mgv9'!$H$24:$S$24</c:f>
              <c:numCache>
                <c:formatCode>0.00</c:formatCode>
                <c:ptCount val="12"/>
                <c:pt idx="0">
                  <c:v>0.8</c:v>
                </c:pt>
                <c:pt idx="1">
                  <c:v>0.84</c:v>
                </c:pt>
                <c:pt idx="2">
                  <c:v>0.85</c:v>
                </c:pt>
                <c:pt idx="3">
                  <c:v>0.85</c:v>
                </c:pt>
                <c:pt idx="4">
                  <c:v>0.86</c:v>
                </c:pt>
                <c:pt idx="5">
                  <c:v>0.82</c:v>
                </c:pt>
                <c:pt idx="6">
                  <c:v>0.86</c:v>
                </c:pt>
                <c:pt idx="7">
                  <c:v>0.82</c:v>
                </c:pt>
                <c:pt idx="8">
                  <c:v>0.83</c:v>
                </c:pt>
                <c:pt idx="9">
                  <c:v>0.85</c:v>
                </c:pt>
                <c:pt idx="10">
                  <c:v>0.85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7-774C-AD7F-FAE6467DDD03}"/>
            </c:ext>
          </c:extLst>
        </c:ser>
        <c:ser>
          <c:idx val="2"/>
          <c:order val="2"/>
          <c:tx>
            <c:strRef>
              <c:f>'3k-sk-mgv9'!$G$25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'3k-sk-mgv9'!$H$25:$S$25</c:f>
              <c:numCache>
                <c:formatCode>0.00</c:formatCode>
                <c:ptCount val="12"/>
                <c:pt idx="0">
                  <c:v>0.72</c:v>
                </c:pt>
                <c:pt idx="1">
                  <c:v>0.7</c:v>
                </c:pt>
                <c:pt idx="2">
                  <c:v>0.68</c:v>
                </c:pt>
                <c:pt idx="3">
                  <c:v>0.7</c:v>
                </c:pt>
                <c:pt idx="4">
                  <c:v>0.71</c:v>
                </c:pt>
                <c:pt idx="5">
                  <c:v>0.7</c:v>
                </c:pt>
                <c:pt idx="6">
                  <c:v>0.72</c:v>
                </c:pt>
                <c:pt idx="7">
                  <c:v>0.71</c:v>
                </c:pt>
                <c:pt idx="8">
                  <c:v>0.7</c:v>
                </c:pt>
                <c:pt idx="9">
                  <c:v>0.71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7-774C-AD7F-FAE6467DDD03}"/>
            </c:ext>
          </c:extLst>
        </c:ser>
        <c:ser>
          <c:idx val="3"/>
          <c:order val="3"/>
          <c:tx>
            <c:strRef>
              <c:f>'3k-sk-mgv9'!$G$26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'3k-sk-mgv9'!$H$26:$S$26</c:f>
              <c:numCache>
                <c:formatCode>0.00</c:formatCode>
                <c:ptCount val="12"/>
                <c:pt idx="0">
                  <c:v>0.71</c:v>
                </c:pt>
                <c:pt idx="1">
                  <c:v>0.68</c:v>
                </c:pt>
                <c:pt idx="2">
                  <c:v>0.71</c:v>
                </c:pt>
                <c:pt idx="3">
                  <c:v>0.68</c:v>
                </c:pt>
                <c:pt idx="4">
                  <c:v>0.71</c:v>
                </c:pt>
                <c:pt idx="5">
                  <c:v>0.67</c:v>
                </c:pt>
                <c:pt idx="6">
                  <c:v>0.67</c:v>
                </c:pt>
                <c:pt idx="7">
                  <c:v>0.72</c:v>
                </c:pt>
                <c:pt idx="8">
                  <c:v>0.68</c:v>
                </c:pt>
                <c:pt idx="9">
                  <c:v>0.64</c:v>
                </c:pt>
                <c:pt idx="10">
                  <c:v>0.7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C7-774C-AD7F-FAE6467DDD03}"/>
            </c:ext>
          </c:extLst>
        </c:ser>
        <c:ser>
          <c:idx val="4"/>
          <c:order val="4"/>
          <c:tx>
            <c:strRef>
              <c:f>'3k-sk-mgv9'!$G$27</c:f>
              <c:strCache>
                <c:ptCount val="1"/>
                <c:pt idx="0">
                  <c:v>case-TRUE-max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'3k-sk-mgv9'!$H$27:$S$27</c:f>
              <c:numCache>
                <c:formatCode>0.00</c:formatCode>
                <c:ptCount val="12"/>
                <c:pt idx="0">
                  <c:v>0.51</c:v>
                </c:pt>
                <c:pt idx="1">
                  <c:v>0.53</c:v>
                </c:pt>
                <c:pt idx="2">
                  <c:v>0.49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0.48</c:v>
                </c:pt>
                <c:pt idx="6">
                  <c:v>0.54</c:v>
                </c:pt>
                <c:pt idx="7">
                  <c:v>0.59</c:v>
                </c:pt>
                <c:pt idx="8">
                  <c:v>0.59</c:v>
                </c:pt>
                <c:pt idx="9">
                  <c:v>0.51</c:v>
                </c:pt>
                <c:pt idx="10">
                  <c:v>0.56000000000000005</c:v>
                </c:pt>
                <c:pt idx="11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C7-774C-AD7F-FAE6467DDD03}"/>
            </c:ext>
          </c:extLst>
        </c:ser>
        <c:ser>
          <c:idx val="5"/>
          <c:order val="5"/>
          <c:tx>
            <c:strRef>
              <c:f>'3k-sk-mgv9'!$G$28</c:f>
              <c:strCache>
                <c:ptCount val="1"/>
                <c:pt idx="0">
                  <c:v>case-FALSE-max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'3k-sk-mgv9'!$H$28:$S$28</c:f>
              <c:numCache>
                <c:formatCode>0.00</c:formatCode>
                <c:ptCount val="12"/>
                <c:pt idx="0">
                  <c:v>0.43</c:v>
                </c:pt>
                <c:pt idx="1">
                  <c:v>0.49</c:v>
                </c:pt>
                <c:pt idx="2">
                  <c:v>0.42</c:v>
                </c:pt>
                <c:pt idx="3">
                  <c:v>0.48</c:v>
                </c:pt>
                <c:pt idx="4">
                  <c:v>0.5</c:v>
                </c:pt>
                <c:pt idx="5">
                  <c:v>0.4</c:v>
                </c:pt>
                <c:pt idx="6">
                  <c:v>0.43</c:v>
                </c:pt>
                <c:pt idx="7">
                  <c:v>0.45</c:v>
                </c:pt>
                <c:pt idx="8">
                  <c:v>0.48</c:v>
                </c:pt>
                <c:pt idx="9">
                  <c:v>0.46</c:v>
                </c:pt>
                <c:pt idx="10">
                  <c:v>0.45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C7-774C-AD7F-FAE6467DD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533744"/>
        <c:axId val="601166176"/>
      </c:lineChart>
      <c:catAx>
        <c:axId val="53853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01166176"/>
        <c:crosses val="autoZero"/>
        <c:auto val="1"/>
        <c:lblAlgn val="ctr"/>
        <c:lblOffset val="100"/>
        <c:noMultiLvlLbl val="0"/>
      </c:catAx>
      <c:valAx>
        <c:axId val="6011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3853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</a:t>
            </a:r>
            <a:r>
              <a:rPr lang="en-US" altLang="ja-JP"/>
              <a:t>zech</a:t>
            </a:r>
            <a:r>
              <a:rPr lang="en-US" altLang="ja-JP" baseline="0"/>
              <a:t>2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accuracies</a:t>
            </a:r>
            <a:r>
              <a:rPr lang="ja-JP" altLang="en-US" baseline="0"/>
              <a:t> </a:t>
            </a:r>
            <a:r>
              <a:rPr lang="en-US" altLang="ja-JP" baseline="0"/>
              <a:t>with</a:t>
            </a:r>
            <a:r>
              <a:rPr lang="ja-JP" altLang="en-US" baseline="0"/>
              <a:t> </a:t>
            </a:r>
            <a:r>
              <a:rPr lang="en-US" altLang="ja-JP" baseline="0"/>
              <a:t>3k</a:t>
            </a:r>
            <a:r>
              <a:rPr lang="ja-JP" altLang="en-US" baseline="0"/>
              <a:t> </a:t>
            </a:r>
            <a:r>
              <a:rPr lang="en-US" altLang="ja-JP" baseline="0"/>
              <a:t>sample,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'3k-sk-mgv3'!$G$23</c:f>
              <c:strCache>
                <c:ptCount val="1"/>
                <c:pt idx="0">
                  <c:v>plurality-F-max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'3k-sk-mgv3'!$H$23:$S$23</c:f>
              <c:numCache>
                <c:formatCode>0.00</c:formatCode>
                <c:ptCount val="12"/>
                <c:pt idx="0">
                  <c:v>0.86</c:v>
                </c:pt>
                <c:pt idx="1">
                  <c:v>0.86</c:v>
                </c:pt>
                <c:pt idx="2">
                  <c:v>0.84</c:v>
                </c:pt>
                <c:pt idx="3">
                  <c:v>0.83</c:v>
                </c:pt>
                <c:pt idx="4">
                  <c:v>0.81</c:v>
                </c:pt>
                <c:pt idx="5">
                  <c:v>0.84</c:v>
                </c:pt>
                <c:pt idx="6">
                  <c:v>0.83</c:v>
                </c:pt>
                <c:pt idx="7">
                  <c:v>0.81</c:v>
                </c:pt>
                <c:pt idx="8">
                  <c:v>0.87</c:v>
                </c:pt>
                <c:pt idx="9">
                  <c:v>0.84</c:v>
                </c:pt>
                <c:pt idx="10">
                  <c:v>0.84</c:v>
                </c:pt>
                <c:pt idx="11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0-E844-A108-DDF947347796}"/>
            </c:ext>
          </c:extLst>
        </c:ser>
        <c:ser>
          <c:idx val="1"/>
          <c:order val="1"/>
          <c:tx>
            <c:strRef>
              <c:f>'3k-sk-mgv3'!$G$24</c:f>
              <c:strCache>
                <c:ptCount val="1"/>
                <c:pt idx="0">
                  <c:v>gender-F-max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'3k-sk-mgv3'!$H$24:$S$24</c:f>
              <c:numCache>
                <c:formatCode>0.00</c:formatCode>
                <c:ptCount val="12"/>
                <c:pt idx="0">
                  <c:v>0.69</c:v>
                </c:pt>
                <c:pt idx="1">
                  <c:v>0.66</c:v>
                </c:pt>
                <c:pt idx="2">
                  <c:v>0.67</c:v>
                </c:pt>
                <c:pt idx="3">
                  <c:v>0.67</c:v>
                </c:pt>
                <c:pt idx="4">
                  <c:v>0.67</c:v>
                </c:pt>
                <c:pt idx="5">
                  <c:v>0.66</c:v>
                </c:pt>
                <c:pt idx="6">
                  <c:v>0.65</c:v>
                </c:pt>
                <c:pt idx="7">
                  <c:v>0.67</c:v>
                </c:pt>
                <c:pt idx="8">
                  <c:v>0.69</c:v>
                </c:pt>
                <c:pt idx="9">
                  <c:v>0.71</c:v>
                </c:pt>
                <c:pt idx="10">
                  <c:v>0.67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0-E844-A108-DDF947347796}"/>
            </c:ext>
          </c:extLst>
        </c:ser>
        <c:ser>
          <c:idx val="2"/>
          <c:order val="2"/>
          <c:tx>
            <c:strRef>
              <c:f>'3k-sk-mgv3'!$G$25</c:f>
              <c:strCache>
                <c:ptCount val="1"/>
                <c:pt idx="0">
                  <c:v>case-F-max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'3k-sk-mgv3'!$H$25:$S$25</c:f>
              <c:numCache>
                <c:formatCode>0.00</c:formatCode>
                <c:ptCount val="12"/>
                <c:pt idx="0">
                  <c:v>0.48</c:v>
                </c:pt>
                <c:pt idx="1">
                  <c:v>0.45</c:v>
                </c:pt>
                <c:pt idx="2">
                  <c:v>0.51</c:v>
                </c:pt>
                <c:pt idx="3">
                  <c:v>0.46</c:v>
                </c:pt>
                <c:pt idx="4">
                  <c:v>0.47</c:v>
                </c:pt>
                <c:pt idx="5">
                  <c:v>0.49</c:v>
                </c:pt>
                <c:pt idx="6">
                  <c:v>0.39</c:v>
                </c:pt>
                <c:pt idx="7">
                  <c:v>0.44</c:v>
                </c:pt>
                <c:pt idx="8">
                  <c:v>0.43</c:v>
                </c:pt>
                <c:pt idx="9">
                  <c:v>0.45</c:v>
                </c:pt>
                <c:pt idx="10">
                  <c:v>0.48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0-E844-A108-DDF947347796}"/>
            </c:ext>
          </c:extLst>
        </c:ser>
        <c:ser>
          <c:idx val="3"/>
          <c:order val="3"/>
          <c:tx>
            <c:strRef>
              <c:f>'3k-sk-mgv3'!$G$26</c:f>
              <c:strCache>
                <c:ptCount val="1"/>
                <c:pt idx="0">
                  <c:v>plurality-T-max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'3k-sk-mgv3'!$H$26:$S$26</c:f>
              <c:numCache>
                <c:formatCode>0.00</c:formatCode>
                <c:ptCount val="12"/>
                <c:pt idx="0">
                  <c:v>0.94</c:v>
                </c:pt>
                <c:pt idx="1">
                  <c:v>0.9</c:v>
                </c:pt>
                <c:pt idx="2">
                  <c:v>0.89</c:v>
                </c:pt>
                <c:pt idx="3">
                  <c:v>0.91</c:v>
                </c:pt>
                <c:pt idx="4">
                  <c:v>0.85</c:v>
                </c:pt>
                <c:pt idx="5">
                  <c:v>0.87</c:v>
                </c:pt>
                <c:pt idx="6">
                  <c:v>0.91</c:v>
                </c:pt>
                <c:pt idx="7">
                  <c:v>0.88</c:v>
                </c:pt>
                <c:pt idx="8">
                  <c:v>0.89</c:v>
                </c:pt>
                <c:pt idx="9">
                  <c:v>0.88</c:v>
                </c:pt>
                <c:pt idx="10">
                  <c:v>0.89</c:v>
                </c:pt>
                <c:pt idx="11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0-E844-A108-DDF947347796}"/>
            </c:ext>
          </c:extLst>
        </c:ser>
        <c:ser>
          <c:idx val="4"/>
          <c:order val="4"/>
          <c:tx>
            <c:strRef>
              <c:f>'3k-sk-mgv3'!$G$27</c:f>
              <c:strCache>
                <c:ptCount val="1"/>
                <c:pt idx="0">
                  <c:v>gender-T-max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'3k-sk-mgv3'!$H$27:$S$27</c:f>
              <c:numCache>
                <c:formatCode>0.00</c:formatCode>
                <c:ptCount val="12"/>
                <c:pt idx="0">
                  <c:v>0.73</c:v>
                </c:pt>
                <c:pt idx="1">
                  <c:v>0.68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0.67</c:v>
                </c:pt>
                <c:pt idx="6">
                  <c:v>0.68</c:v>
                </c:pt>
                <c:pt idx="7">
                  <c:v>0.68</c:v>
                </c:pt>
                <c:pt idx="8">
                  <c:v>0.7</c:v>
                </c:pt>
                <c:pt idx="9">
                  <c:v>0.71</c:v>
                </c:pt>
                <c:pt idx="10">
                  <c:v>0.66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30-E844-A108-DDF947347796}"/>
            </c:ext>
          </c:extLst>
        </c:ser>
        <c:ser>
          <c:idx val="5"/>
          <c:order val="5"/>
          <c:tx>
            <c:strRef>
              <c:f>'3k-sk-mgv3'!$G$28</c:f>
              <c:strCache>
                <c:ptCount val="1"/>
                <c:pt idx="0">
                  <c:v>case-T-max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sk2g-no-hash</c:v>
                </c:pt>
                <c:pt idx="4">
                  <c:v>sk3g-no-hash</c:v>
                </c:pt>
                <c:pt idx="5">
                  <c:v>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sk2g-hash-at-both</c:v>
                </c:pt>
                <c:pt idx="10">
                  <c:v>sk3g-hash-at-both</c:v>
                </c:pt>
                <c:pt idx="11">
                  <c:v>sk4g-hash-at-both</c:v>
                </c:pt>
              </c:strCache>
            </c:strRef>
          </c:cat>
          <c:val>
            <c:numRef>
              <c:f>'3k-sk-mgv3'!$H$28:$S$28</c:f>
              <c:numCache>
                <c:formatCode>0.00</c:formatCode>
                <c:ptCount val="12"/>
                <c:pt idx="0">
                  <c:v>0.56999999999999995</c:v>
                </c:pt>
                <c:pt idx="1">
                  <c:v>0.52</c:v>
                </c:pt>
                <c:pt idx="2">
                  <c:v>0.57999999999999996</c:v>
                </c:pt>
                <c:pt idx="3">
                  <c:v>0.54</c:v>
                </c:pt>
                <c:pt idx="4">
                  <c:v>0.57999999999999996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0.54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0.54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30-E844-A108-DDF94734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269920"/>
        <c:axId val="55062544"/>
      </c:lineChart>
      <c:catAx>
        <c:axId val="5872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5062544"/>
        <c:crosses val="autoZero"/>
        <c:auto val="1"/>
        <c:lblAlgn val="ctr"/>
        <c:lblOffset val="100"/>
        <c:noMultiLvlLbl val="0"/>
      </c:catAx>
      <c:valAx>
        <c:axId val="550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872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806450</xdr:colOff>
      <xdr:row>20</xdr:row>
      <xdr:rowOff>63497</xdr:rowOff>
    </xdr:from>
    <xdr:to>
      <xdr:col>25</xdr:col>
      <xdr:colOff>808950</xdr:colOff>
      <xdr:row>32</xdr:row>
      <xdr:rowOff>268178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7DA88-4F7D-C78E-8D8B-DAC849467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622300</xdr:colOff>
      <xdr:row>0</xdr:row>
      <xdr:rowOff>342897</xdr:rowOff>
    </xdr:from>
    <xdr:to>
      <xdr:col>24</xdr:col>
      <xdr:colOff>624300</xdr:colOff>
      <xdr:row>12</xdr:row>
      <xdr:rowOff>188097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858EA-181E-3BB5-5CC2-8C35C45D1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17AB83-56A0-0C46-A742-DC34E595D835}" name="Table7" displayName="Table7" ref="A1:T19" totalsRowShown="0">
  <autoFilter ref="A1:T19" xr:uid="{9717AB83-56A0-0C46-A742-DC34E595D835}"/>
  <sortState xmlns:xlrd2="http://schemas.microsoft.com/office/spreadsheetml/2017/richdata2" ref="A2:T19">
    <sortCondition ref="B1:B19"/>
  </sortState>
  <tableColumns count="20">
    <tableColumn id="1" xr3:uid="{04D13F42-419E-9948-BB76-0B6C252E273D}" name="lang"/>
    <tableColumn id="18" xr3:uid="{CD4A65D1-6EB7-B044-9BC5-35AEE3762D20}" name="attribute.index"/>
    <tableColumn id="2" xr3:uid="{C992A7CA-47A4-2744-BE9D-177E61E7D613}" name="attribute"/>
    <tableColumn id="3" xr3:uid="{43B4A36A-6B29-004B-874E-253D489469CD}" name="supplemented"/>
    <tableColumn id="19" xr3:uid="{E9BEFE1B-08A3-D64D-AA89-B5E3552EC6F9}" name="method.index"/>
    <tableColumn id="4" xr3:uid="{3A8FFB20-22DE-3740-917D-DBB20F7E7682}" name="method"/>
    <tableColumn id="20" xr3:uid="{2D416CBC-BAEE-5241-B6B3-8D4519C2C26B}" name="var" dataDxfId="225">
      <calculatedColumnFormula>_xlfn.TEXTJOIN("-",TRUE,Table7[[#This Row],[attribute]],Table7[[#This Row],[supplemented]],Table7[[#This Row],[method]])</calculatedColumnFormula>
    </tableColumn>
    <tableColumn id="5" xr3:uid="{D3EBF9DD-6AEB-7342-A485-53F20B36D090}" name="2g-no-hash" dataDxfId="224"/>
    <tableColumn id="6" xr3:uid="{94E13414-8B72-4840-9EAA-C2B8FD1F2394}" name="3g-no-hash" dataDxfId="223"/>
    <tableColumn id="7" xr3:uid="{CF82E235-DA09-1A4E-A34F-51C039BEABE8}" name="4g-no-hash" dataDxfId="222"/>
    <tableColumn id="8" xr3:uid="{E5194CDE-603F-5C41-B873-94E0434DBB7C}" name="sk2g-no-hash" dataDxfId="221"/>
    <tableColumn id="9" xr3:uid="{94867171-9658-8445-BD10-3173ACDE4FFF}" name="sk3g-no-hash" dataDxfId="220"/>
    <tableColumn id="10" xr3:uid="{F0035FA9-16F5-7C48-A981-3981668C2F36}" name="sk4g-no-hash" dataDxfId="219"/>
    <tableColumn id="11" xr3:uid="{6EC5342B-CE5F-3943-AD0A-CE53CD238615}" name="2g-hash-at-both" dataDxfId="218"/>
    <tableColumn id="12" xr3:uid="{4469C07A-3781-314D-9F49-7EA28C5A5D97}" name="3g-hash-at-both" dataDxfId="217"/>
    <tableColumn id="13" xr3:uid="{33B46752-FBE9-B043-A9E2-106FE4874C01}" name="4g-hash-at-both" dataDxfId="216"/>
    <tableColumn id="14" xr3:uid="{85E87BBE-5882-1347-9ADD-B1280AF5BDC9}" name="sk2g-hash-at-both" dataDxfId="215"/>
    <tableColumn id="15" xr3:uid="{44E13778-C2FC-FB45-943C-4A5790AEB1AE}" name="sk3g-hash-at-both" dataDxfId="214"/>
    <tableColumn id="16" xr3:uid="{45C9C566-194F-F94D-8894-D1D853AB304A}" name="sk4g-hash-at-both" dataDxfId="213"/>
    <tableColumn id="17" xr3:uid="{B0AC9732-BD42-C94D-9C55-C7224A18D0D0}" name="max" dataDxfId="212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6D0907-AB7B-DE41-8A02-FF84D6815DE2}" name="Table16" displayName="Table16" ref="B22:T28" totalsRowShown="0" headerRowDxfId="211" dataDxfId="210" tableBorderDxfId="209">
  <autoFilter ref="B22:T28" xr:uid="{086D0907-AB7B-DE41-8A02-FF84D6815DE2}"/>
  <sortState xmlns:xlrd2="http://schemas.microsoft.com/office/spreadsheetml/2017/richdata2" ref="B23:T28">
    <sortCondition ref="B22:B28"/>
  </sortState>
  <tableColumns count="19">
    <tableColumn id="18" xr3:uid="{109CA1EC-8AAC-D848-8F0F-D38B215C8696}" name="attribute.index" dataDxfId="208"/>
    <tableColumn id="1" xr3:uid="{6D91B9E1-129B-CB47-9DE8-992B99B7C5D8}" name="attribute" dataDxfId="207"/>
    <tableColumn id="2" xr3:uid="{92ADBD01-0FC3-C24F-A5E5-34CF55DD0FA4}" name="supplemented" dataDxfId="206"/>
    <tableColumn id="3" xr3:uid="{FB3AD453-1FCC-074F-99F8-6EAFC8D3D25F}" name="metric.index" dataDxfId="205"/>
    <tableColumn id="4" xr3:uid="{08DBD578-C710-4D4D-AC6B-511A783F284C}" name="method" dataDxfId="204"/>
    <tableColumn id="19" xr3:uid="{8FE01ADF-4F5D-7841-A236-CB75234B3CFA}" name="var" dataDxfId="203">
      <calculatedColumnFormula>_xlfn.TEXTJOIN("-",TRUE,Table16[[#This Row],[attribute]],Table16[[#This Row],[supplemented]],Table16[[#This Row],[method]])</calculatedColumnFormula>
    </tableColumn>
    <tableColumn id="5" xr3:uid="{93141600-3A67-5E4D-975D-15C27B247C95}" name="2g-no-hash" dataDxfId="202">
      <calculatedColumnFormula array="1">_xlfn.LET(_xlpm.d,H$2:H$19,_xlpm.a,$C$2:$C$19=$C23,_xlpm.b,$D$2:$D$19=$D23,MAX(_xlfn._xlws.FILTER(_xlpm.d,_xlpm.a*_xlpm.b)))</calculatedColumnFormula>
    </tableColumn>
    <tableColumn id="6" xr3:uid="{1F72BC36-B4BF-FF46-87DE-B0201AFE95CC}" name="3g-no-hash" dataDxfId="201">
      <calculatedColumnFormula array="1">_xlfn.LET(_xlpm.d,I$2:I$19,_xlpm.a,$C$2:$C$19=$C23,_xlpm.b,$D$2:$D$19=$D23,MAX(_xlfn._xlws.FILTER(_xlpm.d,_xlpm.a*_xlpm.b)))</calculatedColumnFormula>
    </tableColumn>
    <tableColumn id="7" xr3:uid="{3A36DDA7-264C-9B4A-A9B1-25129D1392B2}" name="4g-no-hash" dataDxfId="200">
      <calculatedColumnFormula array="1">_xlfn.LET(_xlpm.d,J$2:J$19,_xlpm.a,$C$2:$C$19=$C23,_xlpm.b,$D$2:$D$19=$D23,MAX(_xlfn._xlws.FILTER(_xlpm.d,_xlpm.a*_xlpm.b)))</calculatedColumnFormula>
    </tableColumn>
    <tableColumn id="8" xr3:uid="{C781C5DD-EE30-E645-85ED-1E930D7751BE}" name="sk2g-no-hash" dataDxfId="199">
      <calculatedColumnFormula array="1">_xlfn.LET(_xlpm.d,K$2:K$19,_xlpm.a,$C$2:$C$19=$C23,_xlpm.b,$D$2:$D$19=$D23,MAX(_xlfn._xlws.FILTER(_xlpm.d,_xlpm.a*_xlpm.b)))</calculatedColumnFormula>
    </tableColumn>
    <tableColumn id="9" xr3:uid="{C52ED12E-9230-7946-B49B-84FA7F342BEC}" name="sk3g-no-hash" dataDxfId="198">
      <calculatedColumnFormula array="1">_xlfn.LET(_xlpm.d,L$2:L$19,_xlpm.a,$C$2:$C$19=$C23,_xlpm.b,$D$2:$D$19=$D23,MAX(_xlfn._xlws.FILTER(_xlpm.d,_xlpm.a*_xlpm.b)))</calculatedColumnFormula>
    </tableColumn>
    <tableColumn id="10" xr3:uid="{8A438C27-45B7-AF43-B0F7-F9AB9C928C6B}" name="sk4g-no-hash" dataDxfId="197">
      <calculatedColumnFormula array="1">_xlfn.LET(_xlpm.d,M$2:M$19,_xlpm.a,$C$2:$C$19=$C23,_xlpm.b,$D$2:$D$19=$D23,MAX(_xlfn._xlws.FILTER(_xlpm.d,_xlpm.a*_xlpm.b)))</calculatedColumnFormula>
    </tableColumn>
    <tableColumn id="11" xr3:uid="{577260C6-E525-3A4F-98DB-3E1DFDD7D35F}" name="2g-hash-at-both" dataDxfId="196">
      <calculatedColumnFormula array="1">_xlfn.LET(_xlpm.d,N$2:N$19,_xlpm.a,$C$2:$C$19=$C23,_xlpm.b,$D$2:$D$19=$D23,MAX(_xlfn._xlws.FILTER(_xlpm.d,_xlpm.a*_xlpm.b)))</calculatedColumnFormula>
    </tableColumn>
    <tableColumn id="12" xr3:uid="{F10E6C7F-0AED-F844-91FC-555D9FEA2DE9}" name="3g-hash-at-both" dataDxfId="195">
      <calculatedColumnFormula array="1">_xlfn.LET(_xlpm.d,O$2:O$19,_xlpm.a,$C$2:$C$19=$C23,_xlpm.b,$D$2:$D$19=$D23,MAX(_xlfn._xlws.FILTER(_xlpm.d,_xlpm.a*_xlpm.b)))</calculatedColumnFormula>
    </tableColumn>
    <tableColumn id="13" xr3:uid="{EFD9BA10-A8DB-FC47-AF9F-6E56D78C9B3E}" name="4g-hash-at-both" dataDxfId="194">
      <calculatedColumnFormula array="1">_xlfn.LET(_xlpm.d,P$2:P$19,_xlpm.a,$C$2:$C$19=$C23,_xlpm.b,$D$2:$D$19=$D23,MAX(_xlfn._xlws.FILTER(_xlpm.d,_xlpm.a*_xlpm.b)))</calculatedColumnFormula>
    </tableColumn>
    <tableColumn id="14" xr3:uid="{58A927F8-0A61-EB4F-838D-466647AF1364}" name="sk2g-hash-at-both" dataDxfId="193">
      <calculatedColumnFormula array="1">_xlfn.LET(_xlpm.d,Q$2:Q$19,_xlpm.a,$C$2:$C$19=$C23,_xlpm.b,$D$2:$D$19=$D23,MAX(_xlfn._xlws.FILTER(_xlpm.d,_xlpm.a*_xlpm.b)))</calculatedColumnFormula>
    </tableColumn>
    <tableColumn id="15" xr3:uid="{BF05AD61-5163-0446-8C97-E5428B267B52}" name="sk3g-hash-at-both" dataDxfId="192">
      <calculatedColumnFormula array="1">_xlfn.LET(_xlpm.d,R$2:R$19,_xlpm.a,$C$2:$C$19=$C23,_xlpm.b,$D$2:$D$19=$D23,MAX(_xlfn._xlws.FILTER(_xlpm.d,_xlpm.a*_xlpm.b)))</calculatedColumnFormula>
    </tableColumn>
    <tableColumn id="16" xr3:uid="{FC703998-C484-5947-95FC-0FA640E2148B}" name="sk4g-hash-at-both" dataDxfId="191">
      <calculatedColumnFormula array="1">_xlfn.LET(_xlpm.d,S$2:S$19,_xlpm.a,$C$2:$C$19=$C23,_xlpm.b,$D$2:$D$19=$D23,MAX(_xlfn._xlws.FILTER(_xlpm.d,_xlpm.a*_xlpm.b)))</calculatedColumnFormula>
    </tableColumn>
    <tableColumn id="17" xr3:uid="{F9ECBC3C-26A3-624D-BEB6-7595F7B23F0D}" name="max" dataDxfId="19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2629AD3-E3C7-6C48-8DF1-3E70956325CB}" name="Table17" displayName="Table17" ref="B35:S41" totalsRowShown="0">
  <autoFilter ref="B35:S41" xr:uid="{92629AD3-E3C7-6C48-8DF1-3E70956325CB}"/>
  <sortState xmlns:xlrd2="http://schemas.microsoft.com/office/spreadsheetml/2017/richdata2" ref="B36:S41">
    <sortCondition ref="B35:B41"/>
  </sortState>
  <tableColumns count="18">
    <tableColumn id="17" xr3:uid="{AFBC9EA8-3499-A241-848E-5A2F3097844A}" name="attribute.index" dataDxfId="189"/>
    <tableColumn id="1" xr3:uid="{9FA17538-E225-4E4A-BA8A-5CBC113AB7A6}" name="attribute"/>
    <tableColumn id="2" xr3:uid="{B6B0C615-C9F9-D54F-8D2E-61466D86FF1B}" name="supplemented"/>
    <tableColumn id="3" xr3:uid="{F5CE17A7-1A96-9649-BE10-169AF5DCA0E0}" name="metric.index"/>
    <tableColumn id="4" xr3:uid="{844A10B4-D3BD-E444-BA65-B044F3D54C16}" name="metric"/>
    <tableColumn id="18" xr3:uid="{6A0AC2C1-8893-DD4D-9B39-5363E3510117}" name="var"/>
    <tableColumn id="5" xr3:uid="{8830A12C-43B9-5047-9657-B2F9F68B2AE6}" name="2g-no-hash" dataDxfId="188">
      <calculatedColumnFormula>RANK(H23,$H23:$S23)</calculatedColumnFormula>
    </tableColumn>
    <tableColumn id="6" xr3:uid="{366E984B-38A5-7B4E-8101-5D8FF9FD3162}" name="3g-no-hash" dataDxfId="187">
      <calculatedColumnFormula>RANK(I23,$H23:$S23)</calculatedColumnFormula>
    </tableColumn>
    <tableColumn id="7" xr3:uid="{023DA34C-5BF5-2C4B-B5F6-4A5EDA6C7864}" name="4g-no-hash" dataDxfId="186">
      <calculatedColumnFormula>RANK(J23,$H23:$S23)</calculatedColumnFormula>
    </tableColumn>
    <tableColumn id="8" xr3:uid="{66BD85DC-BAE7-534A-8172-27B85E37E1F3}" name="sk2g-no-hash" dataDxfId="185">
      <calculatedColumnFormula>RANK(K23,$H23:$S23)</calculatedColumnFormula>
    </tableColumn>
    <tableColumn id="9" xr3:uid="{1C73342A-7D80-E043-8062-B4AB4FC9DB81}" name="sk3g-no-hash" dataDxfId="184">
      <calculatedColumnFormula>RANK(L23,$H23:$S23)</calculatedColumnFormula>
    </tableColumn>
    <tableColumn id="10" xr3:uid="{098A691B-4513-B34E-B70B-27B64FA15850}" name="sk4g-no-hash" dataDxfId="183">
      <calculatedColumnFormula>RANK(M23,$H23:$S23)</calculatedColumnFormula>
    </tableColumn>
    <tableColumn id="11" xr3:uid="{DCCC0EA5-E05C-F345-A2C2-2B6C1BE9A0F2}" name="2g-hash-at-both" dataDxfId="182">
      <calculatedColumnFormula>RANK(N23,$H23:$S23)</calculatedColumnFormula>
    </tableColumn>
    <tableColumn id="12" xr3:uid="{4691361B-8A5D-0848-B1CA-CCABF223DECE}" name="3g-hash-at-both" dataDxfId="181">
      <calculatedColumnFormula>RANK(O23,$H23:$S23)</calculatedColumnFormula>
    </tableColumn>
    <tableColumn id="13" xr3:uid="{35FCB5A4-D089-BA44-869B-2B71F1363211}" name="4g-hash-at-both" dataDxfId="180">
      <calculatedColumnFormula>RANK(P23,$H23:$S23)</calculatedColumnFormula>
    </tableColumn>
    <tableColumn id="14" xr3:uid="{627464D7-9EE2-E349-A804-6281736DC0B6}" name="sk2g-hash-at-both" dataDxfId="179">
      <calculatedColumnFormula>RANK(Q23,$H23:$S23)</calculatedColumnFormula>
    </tableColumn>
    <tableColumn id="15" xr3:uid="{032B09CF-19E1-4742-A465-A7F47B6E8D27}" name="sk3g-hash-at-both" dataDxfId="178">
      <calculatedColumnFormula>RANK(R23,$H23:$S23)</calculatedColumnFormula>
    </tableColumn>
    <tableColumn id="16" xr3:uid="{1D34A363-C304-7845-8A4C-041CC86BCD2A}" name="sk4g-hash-at-both" dataDxfId="177">
      <calculatedColumnFormula>RANK(S23,$H23:$S23)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F6491-6B00-F645-9288-F18EA3EDCCA0}" name="Table13" displayName="Table13" ref="A1:S19" totalsRowShown="0">
  <autoFilter ref="A1:S19" xr:uid="{EEA5ECEE-449C-7349-9026-EA38DC39217F}"/>
  <sortState xmlns:xlrd2="http://schemas.microsoft.com/office/spreadsheetml/2017/richdata2" ref="A2:S19">
    <sortCondition ref="B1:B19"/>
  </sortState>
  <tableColumns count="19">
    <tableColumn id="1" xr3:uid="{8FDA2281-CEE0-5D45-9D86-20E30278DBCB}" name="lang"/>
    <tableColumn id="19" xr3:uid="{E7DAE428-84F7-0E4B-932B-FDFE1BE25203}" name="attr.index"/>
    <tableColumn id="2" xr3:uid="{94AE299C-3F4C-C647-9965-0919A883400E}" name="attribute"/>
    <tableColumn id="3" xr3:uid="{E8370AEA-4272-3646-B5D5-C53611826A09}" name="supplement"/>
    <tableColumn id="18" xr3:uid="{00263259-EEE1-4D4B-9CB7-B82C4F8B94ED}" name="method.index"/>
    <tableColumn id="4" xr3:uid="{1E052A55-E8E7-344A-A602-0469E2A57FB4}" name="method"/>
    <tableColumn id="5" xr3:uid="{44B970AF-53CB-1941-A4A7-C8CEAF9A711A}" name="2g-no-hash" dataDxfId="176"/>
    <tableColumn id="6" xr3:uid="{6E4DB4A4-0910-174D-BAC5-7E88FFA44E2E}" name="3g-no-hash" dataDxfId="175"/>
    <tableColumn id="7" xr3:uid="{11321E1F-484D-7E46-87CD-1B241B9A007B}" name="4g-no-hash" dataDxfId="174"/>
    <tableColumn id="8" xr3:uid="{79DFFC75-B757-5C44-A0E4-850113FD48C0}" name="sk2g-no-hash" dataDxfId="173"/>
    <tableColumn id="9" xr3:uid="{D0CA451B-B2A5-0640-8E67-D172512477D7}" name="sk3g-no-hash" dataDxfId="172"/>
    <tableColumn id="10" xr3:uid="{42D8E13F-BAE5-0842-AD81-47DF5C4A82DF}" name="sk4g-no-hash" dataDxfId="171"/>
    <tableColumn id="11" xr3:uid="{0955A917-BF20-A54D-BAC8-89553F64B66B}" name="2g-hash-at-both" dataDxfId="170"/>
    <tableColumn id="12" xr3:uid="{8C04DE2F-4E83-B047-BCB3-4E9F1D52CDA4}" name="3g-hash-at-both" dataDxfId="169"/>
    <tableColumn id="13" xr3:uid="{D1E6A447-507A-DF45-9EC8-9298C735D294}" name="4g-hash-at-both" dataDxfId="168"/>
    <tableColumn id="14" xr3:uid="{48F5DC02-BB0D-4B41-B389-81F0327FFB1F}" name="sk2g-hash-at-both" dataDxfId="167"/>
    <tableColumn id="15" xr3:uid="{5E3DCA25-EC2E-6747-977C-C5BB9D29536D}" name="sk3g-hash-at-both" dataDxfId="166"/>
    <tableColumn id="16" xr3:uid="{C810CDE7-3FDA-3444-BB89-3A705009627E}" name="sk4g-hash-at-both" dataDxfId="165"/>
    <tableColumn id="17" xr3:uid="{5DD487BE-0488-8743-920C-D672BA37179F}" name="max" dataDxfId="164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42EFE4-15B9-0842-865C-DDD0029A2990}" name="Table4" displayName="Table4" ref="F44:R47" totalsRowShown="0">
  <autoFilter ref="F44:R47" xr:uid="{E9FFC6BB-01A3-6F4E-B495-4101F22D06B8}"/>
  <tableColumns count="13">
    <tableColumn id="1" xr3:uid="{36F5B356-F689-0A4A-B593-134CD1D53E37}" name="metric"/>
    <tableColumn id="2" xr3:uid="{12EC3D2F-E471-1B46-942C-71270701D512}" name="2g-no-hash" dataDxfId="163">
      <calculatedColumnFormula>_xlfn.LET(_xlpm.d,G$37:G$42,GEOMEAN(_xlpm.d))</calculatedColumnFormula>
    </tableColumn>
    <tableColumn id="3" xr3:uid="{A870CDAA-7C4B-BB42-A5D2-8702B23392AA}" name="3g-no-hash" dataDxfId="162">
      <calculatedColumnFormula array="1">_xlfn.LET(_xlpm.d,H$23:H$42,_xlpm.c,$F$23:$F$42="rank.max",AVERAGE(_xlfn._xlws.FILTER(_xlpm.d,_xlpm.c)))</calculatedColumnFormula>
    </tableColumn>
    <tableColumn id="4" xr3:uid="{4085085A-AEB4-BF4F-A891-075AE72DC5D7}" name="4g-no-hash" dataDxfId="161">
      <calculatedColumnFormula array="1">_xlfn.LET(_xlpm.d,I$23:I$42,_xlpm.c,$F$23:$F$42="rank.max",AVERAGE(_xlfn._xlws.FILTER(_xlpm.d,_xlpm.c)))</calculatedColumnFormula>
    </tableColumn>
    <tableColumn id="5" xr3:uid="{70E34E81-C790-DF47-B232-CB6DFF679553}" name="sk2g-no-hash" dataDxfId="160">
      <calculatedColumnFormula array="1">_xlfn.LET(_xlpm.d,J$23:J$42,_xlpm.c,$F$23:$F$42="rank.max",AVERAGE(_xlfn._xlws.FILTER(_xlpm.d,_xlpm.c)))</calculatedColumnFormula>
    </tableColumn>
    <tableColumn id="6" xr3:uid="{6E21F308-F604-3E4B-9EFB-44C4F72E8858}" name="sk3g-no-hash" dataDxfId="159">
      <calculatedColumnFormula array="1">_xlfn.LET(_xlpm.d,K$23:K$42,_xlpm.c,$F$23:$F$42="rank.max",AVERAGE(_xlfn._xlws.FILTER(_xlpm.d,_xlpm.c)))</calculatedColumnFormula>
    </tableColumn>
    <tableColumn id="7" xr3:uid="{BF9FC03F-4CD8-7B43-893F-AF7EBBEBD06C}" name="sk4g-no-hash" dataDxfId="158">
      <calculatedColumnFormula array="1">_xlfn.LET(_xlpm.d,L$23:L$42,_xlpm.c,$F$23:$F$42="rank.max",AVERAGE(_xlfn._xlws.FILTER(_xlpm.d,_xlpm.c)))</calculatedColumnFormula>
    </tableColumn>
    <tableColumn id="8" xr3:uid="{0073E197-57FA-F44B-837C-FA4106806B3D}" name="2g-hash-at-both" dataDxfId="157">
      <calculatedColumnFormula array="1">_xlfn.LET(_xlpm.d,M$23:M$42,_xlpm.c,$F$23:$F$42="rank.max",AVERAGE(_xlfn._xlws.FILTER(_xlpm.d,_xlpm.c)))</calculatedColumnFormula>
    </tableColumn>
    <tableColumn id="9" xr3:uid="{5BEF7EE7-A6ED-8242-AE5A-9BCD2E4D8D31}" name="3g-hash-at-both" dataDxfId="156">
      <calculatedColumnFormula array="1">_xlfn.LET(_xlpm.d,N$23:N$42,_xlpm.c,$F$23:$F$42="rank.max",AVERAGE(_xlfn._xlws.FILTER(_xlpm.d,_xlpm.c)))</calculatedColumnFormula>
    </tableColumn>
    <tableColumn id="10" xr3:uid="{07FC622D-1E9D-0D47-BFB4-5EBEC739EBBE}" name="4g-hash-at-both" dataDxfId="155">
      <calculatedColumnFormula array="1">_xlfn.LET(_xlpm.d,O$23:O$42,_xlpm.c,$F$23:$F$42="rank.max",AVERAGE(_xlfn._xlws.FILTER(_xlpm.d,_xlpm.c)))</calculatedColumnFormula>
    </tableColumn>
    <tableColumn id="11" xr3:uid="{7D7BD329-1900-FF4D-BC98-DB4D7D10E8C7}" name="sk2g-hash-at-both" dataDxfId="154">
      <calculatedColumnFormula array="1">_xlfn.LET(_xlpm.d,P$23:P$42,_xlpm.c,$F$23:$F$42="rank.max",AVERAGE(_xlfn._xlws.FILTER(_xlpm.d,_xlpm.c)))</calculatedColumnFormula>
    </tableColumn>
    <tableColumn id="12" xr3:uid="{E6024443-38A7-2140-8C3D-551914F78101}" name="sk3g-hash-at-both" dataDxfId="153">
      <calculatedColumnFormula array="1">_xlfn.LET(_xlpm.d,Q$23:Q$42,_xlpm.c,$F$23:$F$42="rank.max",AVERAGE(_xlfn._xlws.FILTER(_xlpm.d,_xlpm.c)))</calculatedColumnFormula>
    </tableColumn>
    <tableColumn id="13" xr3:uid="{35CC57A9-CD2C-8D47-9895-BA495EC666DD}" name="sk4g-hash-at-both" dataDxfId="152">
      <calculatedColumnFormula array="1">_xlfn.LET(_xlpm.d,R$23:R$42,_xlpm.c,$F$23:$F$42="rank.max",AVERAGE(_xlfn._xlws.FILTER(_xlpm.d,_xlpm.c)))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B7E645-CBA9-8647-8DFB-EF09971E2E38}" name="Table14" displayName="Table14" ref="B22:S28" totalsRowShown="0" headerRowDxfId="151" dataDxfId="150" tableBorderDxfId="149">
  <autoFilter ref="B22:S28" xr:uid="{2EB7E645-CBA9-8647-8DFB-EF09971E2E38}"/>
  <sortState xmlns:xlrd2="http://schemas.microsoft.com/office/spreadsheetml/2017/richdata2" ref="B23:S28">
    <sortCondition ref="B22:B28"/>
  </sortState>
  <tableColumns count="18">
    <tableColumn id="1" xr3:uid="{E0D54DE1-7F3B-EF4C-AC4C-C13793F6F61D}" name="attribute.index" dataDxfId="148"/>
    <tableColumn id="2" xr3:uid="{C9EC2B8B-4522-F84B-819B-7D15C3D6A4F6}" name="attribute" dataDxfId="147"/>
    <tableColumn id="3" xr3:uid="{16E06D80-893D-8247-9103-A5389937CCB0}" name="supplemented" dataDxfId="146"/>
    <tableColumn id="4" xr3:uid="{2D816E0C-96B4-9A46-8691-4A94216DD7A4}" name="metric.index" dataDxfId="145"/>
    <tableColumn id="5" xr3:uid="{01B836B3-96B3-C14B-BA66-4D2691B7E0DC}" name="metric" dataDxfId="144"/>
    <tableColumn id="6" xr3:uid="{B910D1F2-F54F-AA43-988C-C21801156D9A}" name="2g-no-hash" dataDxfId="143">
      <calculatedColumnFormula array="1">_xlfn.LET(_xlpm.d,G$2:G$19,_xlpm.a,$C$2:$C$19=$C23,_xlpm.b,$D$2:$D$19=$D23,MAX(_xlfn._xlws.FILTER(_xlpm.d,_xlpm.a*_xlpm.b)))</calculatedColumnFormula>
    </tableColumn>
    <tableColumn id="7" xr3:uid="{A1545DB1-E551-CC44-9773-D6FD37AB4461}" name="3g-no-hash" dataDxfId="142">
      <calculatedColumnFormula array="1">_xlfn.LET(_xlpm.d,H$2:H$19,_xlpm.a,$C$2:$C$19=$C23,_xlpm.b,$D$2:$D$19=$D23,MAX(_xlfn._xlws.FILTER(_xlpm.d,_xlpm.a*_xlpm.b)))</calculatedColumnFormula>
    </tableColumn>
    <tableColumn id="8" xr3:uid="{E0CB2A7E-C7B4-E64C-B97A-A31B5F1B4FEC}" name="4g-no-hash" dataDxfId="141">
      <calculatedColumnFormula array="1">_xlfn.LET(_xlpm.d,I$2:I$19,_xlpm.a,$C$2:$C$19=$C23,_xlpm.b,$D$2:$D$19=$D23,MAX(_xlfn._xlws.FILTER(_xlpm.d,_xlpm.a*_xlpm.b)))</calculatedColumnFormula>
    </tableColumn>
    <tableColumn id="9" xr3:uid="{BD57824D-34A5-7346-BE8D-56FFC223B3F3}" name="sk2g-no-hash" dataDxfId="140">
      <calculatedColumnFormula array="1">_xlfn.LET(_xlpm.d,J$2:J$19,_xlpm.a,$C$2:$C$19=$C23,_xlpm.b,$D$2:$D$19=$D23,MAX(_xlfn._xlws.FILTER(_xlpm.d,_xlpm.a*_xlpm.b)))</calculatedColumnFormula>
    </tableColumn>
    <tableColumn id="10" xr3:uid="{8238D250-FC85-864D-A954-E538B8A6BB4A}" name="sk3g-no-hash" dataDxfId="139">
      <calculatedColumnFormula array="1">_xlfn.LET(_xlpm.d,K$2:K$19,_xlpm.a,$C$2:$C$19=$C23,_xlpm.b,$D$2:$D$19=$D23,MAX(_xlfn._xlws.FILTER(_xlpm.d,_xlpm.a*_xlpm.b)))</calculatedColumnFormula>
    </tableColumn>
    <tableColumn id="11" xr3:uid="{14FA293E-7492-8E43-AFE6-BE9C9EDA510D}" name="sk4g-no-hash" dataDxfId="138">
      <calculatedColumnFormula array="1">_xlfn.LET(_xlpm.d,L$2:L$19,_xlpm.a,$C$2:$C$19=$C23,_xlpm.b,$D$2:$D$19=$D23,MAX(_xlfn._xlws.FILTER(_xlpm.d,_xlpm.a*_xlpm.b)))</calculatedColumnFormula>
    </tableColumn>
    <tableColumn id="12" xr3:uid="{2F2598D3-2148-C045-90E3-3D9BF9879224}" name="2g-hash-at-both" dataDxfId="137">
      <calculatedColumnFormula array="1">_xlfn.LET(_xlpm.d,M$2:M$19,_xlpm.a,$C$2:$C$19=$C23,_xlpm.b,$D$2:$D$19=$D23,MAX(_xlfn._xlws.FILTER(_xlpm.d,_xlpm.a*_xlpm.b)))</calculatedColumnFormula>
    </tableColumn>
    <tableColumn id="13" xr3:uid="{DFE467FF-5F03-B049-BFD4-48CACCA8BA00}" name="3g-hash-at-both" dataDxfId="136">
      <calculatedColumnFormula array="1">_xlfn.LET(_xlpm.d,N$2:N$19,_xlpm.a,$C$2:$C$19=$C23,_xlpm.b,$D$2:$D$19=$D23,MAX(_xlfn._xlws.FILTER(_xlpm.d,_xlpm.a*_xlpm.b)))</calculatedColumnFormula>
    </tableColumn>
    <tableColumn id="14" xr3:uid="{0AF1CF0F-E12B-564D-813D-4A756AEEC21D}" name="4g-hash-at-both" dataDxfId="135">
      <calculatedColumnFormula array="1">_xlfn.LET(_xlpm.d,O$2:O$19,_xlpm.a,$C$2:$C$19=$C23,_xlpm.b,$D$2:$D$19=$D23,MAX(_xlfn._xlws.FILTER(_xlpm.d,_xlpm.a*_xlpm.b)))</calculatedColumnFormula>
    </tableColumn>
    <tableColumn id="15" xr3:uid="{F9D1BDE5-8D5F-C64F-AF86-A75D0696D0FE}" name="sk2g-hash-at-both" dataDxfId="134">
      <calculatedColumnFormula array="1">_xlfn.LET(_xlpm.d,P$2:P$19,_xlpm.a,$C$2:$C$19=$C23,_xlpm.b,$D$2:$D$19=$D23,MAX(_xlfn._xlws.FILTER(_xlpm.d,_xlpm.a*_xlpm.b)))</calculatedColumnFormula>
    </tableColumn>
    <tableColumn id="16" xr3:uid="{F1045A8E-732F-994D-9AB1-0E37936F4428}" name="sk3g-hash-at-both" dataDxfId="133">
      <calculatedColumnFormula array="1">_xlfn.LET(_xlpm.d,Q$2:Q$19,_xlpm.a,$C$2:$C$19=$C23,_xlpm.b,$D$2:$D$19=$D23,MAX(_xlfn._xlws.FILTER(_xlpm.d,_xlpm.a*_xlpm.b)))</calculatedColumnFormula>
    </tableColumn>
    <tableColumn id="17" xr3:uid="{1D9D32F8-936D-CE48-80CC-C0DD3DB60EA1}" name="sk4g-hash-at-both" dataDxfId="132">
      <calculatedColumnFormula array="1">_xlfn.LET(_xlpm.d,R$2:R$19,_xlpm.a,$C$2:$C$19=$C23,_xlpm.b,$D$2:$D$19=$D23,MAX(_xlfn._xlws.FILTER(_xlpm.d,_xlpm.a*_xlpm.b)))</calculatedColumnFormula>
    </tableColumn>
    <tableColumn id="18" xr3:uid="{A77415C2-CD9A-F042-A67B-9674AEC1F390}" name="max" dataDxfId="131">
      <calculatedColumnFormula>_xlfn.LET(_xlpm.d,G23:R23,MAX(_xlpm.d))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E946EFA-A2FA-9E4B-B57B-943B8A229CB0}" name="Table15" displayName="Table15" ref="B36:R42" totalsRowShown="0" dataDxfId="130" tableBorderDxfId="129">
  <autoFilter ref="B36:R42" xr:uid="{7E946EFA-A2FA-9E4B-B57B-943B8A229CB0}"/>
  <sortState xmlns:xlrd2="http://schemas.microsoft.com/office/spreadsheetml/2017/richdata2" ref="B37:R42">
    <sortCondition ref="B36:B42"/>
  </sortState>
  <tableColumns count="17">
    <tableColumn id="1" xr3:uid="{C5066FEB-6DFC-1844-A451-8EBC28C22022}" name="attribute.index" dataDxfId="128"/>
    <tableColumn id="2" xr3:uid="{41FCE618-4737-AD40-9D9C-5C06C6A50E6F}" name="attribute" dataDxfId="127"/>
    <tableColumn id="3" xr3:uid="{38C86E33-CB5A-1644-9CA0-C294460A05D9}" name="supplemented" dataDxfId="126"/>
    <tableColumn id="4" xr3:uid="{928D5407-5468-0C48-BE7F-894E2F91F4C4}" name="metric.index" dataDxfId="125"/>
    <tableColumn id="5" xr3:uid="{BDD84105-6E80-1E4B-B233-2802B0FC8083}" name="metric" dataDxfId="124"/>
    <tableColumn id="6" xr3:uid="{022DAD38-8231-4745-A1A0-7D624FBF68BB}" name="2g-no-hash" dataDxfId="123">
      <calculatedColumnFormula>RANK(G23,$G23:$R23)</calculatedColumnFormula>
    </tableColumn>
    <tableColumn id="7" xr3:uid="{3AE28395-7D15-024A-BB1C-3A86ABE2D14A}" name="3g-no-hash" dataDxfId="122">
      <calculatedColumnFormula>RANK(H23,$G23:$R23)</calculatedColumnFormula>
    </tableColumn>
    <tableColumn id="8" xr3:uid="{3B0CB067-F071-CE42-AD1D-9C7779E2EDB6}" name="4g-no-hash" dataDxfId="121">
      <calculatedColumnFormula>RANK(I23,$G23:$R23)</calculatedColumnFormula>
    </tableColumn>
    <tableColumn id="9" xr3:uid="{BBE2BAA1-C137-1E46-B15D-BDCFDF217D67}" name="sk2g-no-hash" dataDxfId="120">
      <calculatedColumnFormula>RANK(J23,$G23:$R23)</calculatedColumnFormula>
    </tableColumn>
    <tableColumn id="10" xr3:uid="{45502AD0-E017-7B46-9797-F238EE0C744E}" name="sk3g-no-hash" dataDxfId="119">
      <calculatedColumnFormula>RANK(K23,$G23:$R23)</calculatedColumnFormula>
    </tableColumn>
    <tableColumn id="11" xr3:uid="{57AEFFCB-06CA-9F46-A129-04A3964E86A5}" name="sk4g-no-hash" dataDxfId="118">
      <calculatedColumnFormula>RANK(L23,$G23:$R23)</calculatedColumnFormula>
    </tableColumn>
    <tableColumn id="12" xr3:uid="{F8485A57-7176-524B-822B-15A31D639C68}" name="2g-hash-at-both" dataDxfId="117">
      <calculatedColumnFormula>RANK(M23,$G23:$R23)</calculatedColumnFormula>
    </tableColumn>
    <tableColumn id="13" xr3:uid="{98C4C9FC-AA3F-4C40-BDAC-790F5CE2C055}" name="3g-hash-at-both" dataDxfId="116">
      <calculatedColumnFormula>RANK(N23,$G23:$R23)</calculatedColumnFormula>
    </tableColumn>
    <tableColumn id="14" xr3:uid="{733E136D-E8CA-7A4F-90F1-0A16F3DAF3D8}" name="4g-hash-at-both" dataDxfId="115">
      <calculatedColumnFormula>RANK(O23,$G23:$R23)</calculatedColumnFormula>
    </tableColumn>
    <tableColumn id="15" xr3:uid="{C077030E-2ECC-BB42-8F24-087FB76AA74E}" name="sk2g-hash-at-both" dataDxfId="114">
      <calculatedColumnFormula>RANK(P23,$G23:$R23)</calculatedColumnFormula>
    </tableColumn>
    <tableColumn id="16" xr3:uid="{EA52B391-9C7C-5B46-91AC-10BAADBE6CE6}" name="sk3g-hash-at-both" dataDxfId="113">
      <calculatedColumnFormula>RANK(Q23,$G23:$R23)</calculatedColumnFormula>
    </tableColumn>
    <tableColumn id="17" xr3:uid="{9EF45930-D666-3645-A729-555D62824C2C}" name="sk4g-hash-at-both" dataDxfId="112">
      <calculatedColumnFormula>RANK(R23,$G23:$R23)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7E1C5-D929-3446-9602-8966A6007B8D}" name="Table5" displayName="Table5" ref="A1:S19" totalsRowShown="0">
  <autoFilter ref="A1:S19" xr:uid="{DFA7E1C5-D929-3446-9602-8966A6007B8D}"/>
  <sortState xmlns:xlrd2="http://schemas.microsoft.com/office/spreadsheetml/2017/richdata2" ref="A2:S19">
    <sortCondition ref="B1:B19"/>
  </sortState>
  <tableColumns count="19">
    <tableColumn id="1" xr3:uid="{57E2548E-0E4A-9F42-BECB-01B0EEAB3CB7}" name="lang"/>
    <tableColumn id="2" xr3:uid="{F5DE6C71-CBCD-1A44-BE79-CD1C4B28854D}" name="attribute.index"/>
    <tableColumn id="3" xr3:uid="{40A01589-5D87-0B45-99AB-D82E75CDC98B}" name="attribute"/>
    <tableColumn id="4" xr3:uid="{41491173-97B9-E548-9F0D-0B74FF42F7A4}" name="supplement"/>
    <tableColumn id="5" xr3:uid="{8581D09F-A349-0F4E-B940-204D38B43957}" name="method.index"/>
    <tableColumn id="6" xr3:uid="{0D6A54EF-55C5-DC49-B0F1-20E2944A5303}" name="method"/>
    <tableColumn id="7" xr3:uid="{F4931A12-030B-2141-A399-8ED4BA83A3DF}" name="2g-no-hash" dataDxfId="111"/>
    <tableColumn id="8" xr3:uid="{119C28E0-7E73-F147-82D4-6C0FBA269407}" name="3g-no-hash" dataDxfId="110"/>
    <tableColumn id="9" xr3:uid="{4392F755-A4B0-4F45-BF51-87245C99CF69}" name="4g-no-hash" dataDxfId="109"/>
    <tableColumn id="10" xr3:uid="{F010A214-1B93-FE49-8F67-694E5AF3ECE8}" name="sk2g-no-hash" dataDxfId="108"/>
    <tableColumn id="11" xr3:uid="{3838BA7D-2CC2-C248-9C9A-02825E2ABF2E}" name="sk3g-no-hash" dataDxfId="107"/>
    <tableColumn id="12" xr3:uid="{9C49D3D6-97B2-F94B-A88C-988DBE557533}" name="sk4g-no-hash" dataDxfId="106"/>
    <tableColumn id="13" xr3:uid="{E7C04B02-EA65-6240-9CE4-CA030EB9C77D}" name="2g-hash-at-both" dataDxfId="105"/>
    <tableColumn id="14" xr3:uid="{C5244B4C-B135-9240-8ED0-3A65AA671CFC}" name="3g-hash-at-both" dataDxfId="104"/>
    <tableColumn id="15" xr3:uid="{E73C0583-71B4-EF49-980E-AD8DECA06F6F}" name="4g-hash-at-both" dataDxfId="103"/>
    <tableColumn id="16" xr3:uid="{9F4A83F6-6F6C-A045-BF29-AC055742BA4E}" name="sk2g-hash-at-both" dataDxfId="102"/>
    <tableColumn id="17" xr3:uid="{36E2EB8C-7B4E-5347-9FC7-4356DC2ED8A5}" name="sk3g-hash-at-both" dataDxfId="101"/>
    <tableColumn id="18" xr3:uid="{A8CC05C8-1EE5-8945-9508-3530360EE4B3}" name="sk4g-hash-at-both" dataDxfId="100"/>
    <tableColumn id="19" xr3:uid="{5B7178E6-015F-A54D-8FEA-8B610389BD75}" name="max" dataDxfId="9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2C937-9B0A-C040-BE64-933DCA8FCE1B}" name="Table6" displayName="Table6" ref="B22:S28" totalsRowShown="0">
  <autoFilter ref="B22:S28" xr:uid="{3762C937-9B0A-C040-BE64-933DCA8FCE1B}"/>
  <tableColumns count="18">
    <tableColumn id="1" xr3:uid="{23B9C2D2-1132-C642-A346-0663A284B3CC}" name="attribute.index"/>
    <tableColumn id="2" xr3:uid="{4C524A57-6664-9849-BA03-587F1F3694E4}" name="attribute"/>
    <tableColumn id="3" xr3:uid="{C4B5BA04-83A9-204A-84C1-84184F95405B}" name="supplemented"/>
    <tableColumn id="4" xr3:uid="{4FFD4501-814E-0B49-97E5-9B10D8F660D8}" name="metric.index"/>
    <tableColumn id="5" xr3:uid="{7632CD55-DC06-A441-91E2-949DDFB9E86E}" name="metric"/>
    <tableColumn id="6" xr3:uid="{50FED4F8-97FE-044C-BCC7-EA4792E946EB}" name="2g-no-hash" dataDxfId="98">
      <calculatedColumnFormula array="1">_xlfn.LET(_xlpm.d,G$2:G$19,_xlpm.a,$C$2:$C$19=$C23,_xlpm.b,$D$2:$D$19=$D23,MAX(_xlfn._xlws.FILTER(_xlpm.d,_xlpm.a*_xlpm.b)))</calculatedColumnFormula>
    </tableColumn>
    <tableColumn id="7" xr3:uid="{66AFBC70-B8CF-2D4B-93DF-17A68BBD83B8}" name="3g-no-hash" dataDxfId="97">
      <calculatedColumnFormula array="1">_xlfn.LET(_xlpm.d,H$2:H$19,_xlpm.a,$C$2:$C$19=$C23,_xlpm.b,$D$2:$D$19=$D23,MAX(_xlfn._xlws.FILTER(_xlpm.d,_xlpm.a*_xlpm.b)))</calculatedColumnFormula>
    </tableColumn>
    <tableColumn id="8" xr3:uid="{3EB24E0B-EB46-664F-9AF6-1DF11DFE1F77}" name="4g-no-hash" dataDxfId="96">
      <calculatedColumnFormula array="1">_xlfn.LET(_xlpm.d,I$2:I$19,_xlpm.a,$C$2:$C$19=$C23,_xlpm.b,$D$2:$D$19=$D23,MAX(_xlfn._xlws.FILTER(_xlpm.d,_xlpm.a*_xlpm.b)))</calculatedColumnFormula>
    </tableColumn>
    <tableColumn id="9" xr3:uid="{5FC8451F-12CC-4A42-8B2A-83C18DDC9724}" name="sk2g-no-hash" dataDxfId="95">
      <calculatedColumnFormula array="1">_xlfn.LET(_xlpm.d,J$2:J$19,_xlpm.a,$C$2:$C$19=$C23,_xlpm.b,$D$2:$D$19=$D23,MAX(_xlfn._xlws.FILTER(_xlpm.d,_xlpm.a*_xlpm.b)))</calculatedColumnFormula>
    </tableColumn>
    <tableColumn id="10" xr3:uid="{CC4B108C-A74E-604B-9550-3AB7BA188E05}" name="sk3g-no-hash" dataDxfId="94">
      <calculatedColumnFormula array="1">_xlfn.LET(_xlpm.d,K$2:K$19,_xlpm.a,$C$2:$C$19=$C23,_xlpm.b,$D$2:$D$19=$D23,MAX(_xlfn._xlws.FILTER(_xlpm.d,_xlpm.a*_xlpm.b)))</calculatedColumnFormula>
    </tableColumn>
    <tableColumn id="11" xr3:uid="{E1BAB988-D59B-2D46-B556-212D7F2BEEF8}" name="sk4g-no-hash" dataDxfId="93">
      <calculatedColumnFormula array="1">_xlfn.LET(_xlpm.d,L$2:L$19,_xlpm.a,$C$2:$C$19=$C23,_xlpm.b,$D$2:$D$19=$D23,MAX(_xlfn._xlws.FILTER(_xlpm.d,_xlpm.a*_xlpm.b)))</calculatedColumnFormula>
    </tableColumn>
    <tableColumn id="12" xr3:uid="{62D6D4B4-AA05-B143-B210-55975172E3F5}" name="2g-hash-at-both" dataDxfId="92">
      <calculatedColumnFormula array="1">_xlfn.LET(_xlpm.d,M$2:M$19,_xlpm.a,$C$2:$C$19=$C23,_xlpm.b,$D$2:$D$19=$D23,MAX(_xlfn._xlws.FILTER(_xlpm.d,_xlpm.a*_xlpm.b)))</calculatedColumnFormula>
    </tableColumn>
    <tableColumn id="13" xr3:uid="{ABD80DE7-0589-F940-878C-6A8D6C63C026}" name="3g-hash-at-both" dataDxfId="91">
      <calculatedColumnFormula array="1">_xlfn.LET(_xlpm.d,N$2:N$19,_xlpm.a,$C$2:$C$19=$C23,_xlpm.b,$D$2:$D$19=$D23,MAX(_xlfn._xlws.FILTER(_xlpm.d,_xlpm.a*_xlpm.b)))</calculatedColumnFormula>
    </tableColumn>
    <tableColumn id="14" xr3:uid="{2EE8A1E4-5BBB-304E-8F56-4C8FF8525F72}" name="4g-hash-at-both" dataDxfId="90">
      <calculatedColumnFormula array="1">_xlfn.LET(_xlpm.d,O$2:O$19,_xlpm.a,$C$2:$C$19=$C23,_xlpm.b,$D$2:$D$19=$D23,MAX(_xlfn._xlws.FILTER(_xlpm.d,_xlpm.a*_xlpm.b)))</calculatedColumnFormula>
    </tableColumn>
    <tableColumn id="15" xr3:uid="{61D8C0D2-5935-D444-A82E-41E63AEC9240}" name="sk2g-hash-at-both" dataDxfId="89">
      <calculatedColumnFormula array="1">_xlfn.LET(_xlpm.d,P$2:P$19,_xlpm.a,$C$2:$C$19=$C23,_xlpm.b,$D$2:$D$19=$D23,MAX(_xlfn._xlws.FILTER(_xlpm.d,_xlpm.a*_xlpm.b)))</calculatedColumnFormula>
    </tableColumn>
    <tableColumn id="16" xr3:uid="{CA689B4E-0AAD-D145-8322-59066A061567}" name="sk3g-hash-at-both" dataDxfId="88">
      <calculatedColumnFormula array="1">_xlfn.LET(_xlpm.d,Q$2:Q$19,_xlpm.a,$C$2:$C$19=$C23,_xlpm.b,$D$2:$D$19=$D23,MAX(_xlfn._xlws.FILTER(_xlpm.d,_xlpm.a*_xlpm.b)))</calculatedColumnFormula>
    </tableColumn>
    <tableColumn id="17" xr3:uid="{C2A6F351-D622-5D42-960E-5FBC027A0812}" name="sk4g-hash-at-both" dataDxfId="87">
      <calculatedColumnFormula array="1">_xlfn.LET(_xlpm.d,R$2:R$19,_xlpm.a,$C$2:$C$19=$C23,_xlpm.b,$D$2:$D$19=$D23,MAX(_xlfn._xlws.FILTER(_xlpm.d,_xlpm.a*_xlpm.b)))</calculatedColumnFormula>
    </tableColumn>
    <tableColumn id="18" xr3:uid="{20D8C799-B056-D841-892D-854EEA0E34E7}" name="max" dataDxfId="8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D4302-945D-9A47-AB79-6C2B079582A1}" name="Table1" displayName="Table1" ref="A1:S19" totalsRowShown="0">
  <autoFilter ref="A1:S19" xr:uid="{474D4302-945D-9A47-AB79-6C2B079582A1}"/>
  <sortState xmlns:xlrd2="http://schemas.microsoft.com/office/spreadsheetml/2017/richdata2" ref="A2:S19">
    <sortCondition ref="B1:B19"/>
  </sortState>
  <tableColumns count="19">
    <tableColumn id="1" xr3:uid="{E7F78B03-4AF9-3345-B79B-61B6D8CE1F9C}" name="lang"/>
    <tableColumn id="2" xr3:uid="{324BCA6F-1050-7D4C-A7DD-9BA6BEE90F12}" name="attribute.index"/>
    <tableColumn id="3" xr3:uid="{E3E366DA-3A0B-D74E-9654-BDC5556CC3B1}" name="attribute"/>
    <tableColumn id="4" xr3:uid="{483DD8E2-2605-DA46-A7A5-6FC98CC4E4FD}" name="supplement"/>
    <tableColumn id="5" xr3:uid="{8366E5F6-D057-BD48-9F8E-8F460FC87B98}" name="method.index"/>
    <tableColumn id="6" xr3:uid="{22FB1491-B784-0F4A-B58C-C2155EAB7309}" name="method"/>
    <tableColumn id="7" xr3:uid="{FB7C2EE3-04C5-154D-A74D-F5943E17A51C}" name="2g-no-hash" dataDxfId="85"/>
    <tableColumn id="8" xr3:uid="{684F3F67-EFAD-B24B-B9FB-6B6DC73137BD}" name="3g-no-hash" dataDxfId="84"/>
    <tableColumn id="9" xr3:uid="{17F3875E-0E3A-264F-90EB-FDAFE5DA0844}" name="4g-no-hash" dataDxfId="83"/>
    <tableColumn id="10" xr3:uid="{25E2791B-98F6-AA46-BBFE-8AF5EC915F10}" name="sk2g-no-hash" dataDxfId="82"/>
    <tableColumn id="11" xr3:uid="{F166CF3D-95D7-8D41-AC5E-E775F31DA1A1}" name="sk3g-no-hash" dataDxfId="81"/>
    <tableColumn id="12" xr3:uid="{21230700-C1FA-F94D-95AC-9FD0DF5C3BB1}" name="sk4g-no-hash" dataDxfId="80"/>
    <tableColumn id="13" xr3:uid="{F9063D63-1CD1-554A-AA1B-98DC644CEA94}" name="2g-hash-at-both" dataDxfId="79"/>
    <tableColumn id="14" xr3:uid="{F54927F5-A6B1-B34F-A47E-F704E9F74C74}" name="3g-hash-at-both" dataDxfId="78"/>
    <tableColumn id="15" xr3:uid="{E93B4845-AE0C-DF4F-9198-01AF952F2715}" name="4g-hash-at-both" dataDxfId="77"/>
    <tableColumn id="16" xr3:uid="{D974C492-FDE1-324A-A6A9-344282DC2787}" name="sk2g-hash-at-both" dataDxfId="76"/>
    <tableColumn id="17" xr3:uid="{966386FD-26DA-1241-ABD7-82320456C6F4}" name="sk3g-hash-at-both" dataDxfId="75"/>
    <tableColumn id="18" xr3:uid="{85E1EF90-86C5-2241-9888-60A63539A6FF}" name="sk4g-hash-at-both" dataDxfId="74"/>
    <tableColumn id="19" xr3:uid="{587AEAC7-2EC4-2146-AE76-D6F15ACE0A6E}" name="max" dataDxfId="7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97FE64-4DB7-FB4E-B982-6F13A06F20DA}" name="Table3" displayName="Table3" ref="B22:S28" totalsRowShown="0">
  <autoFilter ref="B22:S28" xr:uid="{1C97FE64-4DB7-FB4E-B982-6F13A06F20DA}"/>
  <sortState xmlns:xlrd2="http://schemas.microsoft.com/office/spreadsheetml/2017/richdata2" ref="B23:S28">
    <sortCondition ref="B22:B28"/>
  </sortState>
  <tableColumns count="18">
    <tableColumn id="1" xr3:uid="{B7C0A0CC-9A83-9B46-989B-A295B8C08ABF}" name="attribute.index"/>
    <tableColumn id="2" xr3:uid="{AC65BBFC-5897-7F41-999D-3DA639AA90B1}" name="attribute"/>
    <tableColumn id="3" xr3:uid="{219878D2-0A00-AC4F-8A1E-D96D3194B939}" name="supplemented"/>
    <tableColumn id="4" xr3:uid="{7BEFB2D3-B264-664B-9F7F-03F7872DAFD7}" name="metric.index"/>
    <tableColumn id="5" xr3:uid="{8265CE8F-F2D4-5D44-85DB-67F6C54154FC}" name="metric"/>
    <tableColumn id="6" xr3:uid="{0875FD40-FC0D-1843-BAE9-72AA142F3465}" name="2g-no-hash" dataDxfId="72">
      <calculatedColumnFormula array="1">_xlfn.LET(_xlpm.d,G$2:G$19,_xlpm.a,$C$2:$C$19=$C23,_xlpm.b,$D$2:$D$19=$D23,MAX(_xlfn._xlws.FILTER(_xlpm.d,_xlpm.a*_xlpm.b)))</calculatedColumnFormula>
    </tableColumn>
    <tableColumn id="7" xr3:uid="{D3D296EA-3458-ED46-8D8F-74D63611C0E3}" name="3g-no-hash" dataDxfId="71">
      <calculatedColumnFormula array="1">_xlfn.LET(_xlpm.d,H$2:H$19,_xlpm.a,$C$2:$C$19=$C23,_xlpm.b,$D$2:$D$19=$D23,MAX(_xlfn._xlws.FILTER(_xlpm.d,_xlpm.a*_xlpm.b)))</calculatedColumnFormula>
    </tableColumn>
    <tableColumn id="8" xr3:uid="{962A162A-27AC-6C47-839E-15F3891B2089}" name="4g-no-hash" dataDxfId="70">
      <calculatedColumnFormula array="1">_xlfn.LET(_xlpm.d,I$2:I$19,_xlpm.a,$C$2:$C$19=$C23,_xlpm.b,$D$2:$D$19=$D23,MAX(_xlfn._xlws.FILTER(_xlpm.d,_xlpm.a*_xlpm.b)))</calculatedColumnFormula>
    </tableColumn>
    <tableColumn id="9" xr3:uid="{168A0108-D22E-054B-9A7C-F905A3E84154}" name="sk2g-no-hash" dataDxfId="69">
      <calculatedColumnFormula array="1">_xlfn.LET(_xlpm.d,J$2:J$19,_xlpm.a,$C$2:$C$19=$C23,_xlpm.b,$D$2:$D$19=$D23,MAX(_xlfn._xlws.FILTER(_xlpm.d,_xlpm.a*_xlpm.b)))</calculatedColumnFormula>
    </tableColumn>
    <tableColumn id="10" xr3:uid="{D90254EE-A51B-6A40-8514-8EAFCD1CAAA1}" name="sk3g-no-hash" dataDxfId="68">
      <calculatedColumnFormula array="1">_xlfn.LET(_xlpm.d,K$2:K$19,_xlpm.a,$C$2:$C$19=$C23,_xlpm.b,$D$2:$D$19=$D23,MAX(_xlfn._xlws.FILTER(_xlpm.d,_xlpm.a*_xlpm.b)))</calculatedColumnFormula>
    </tableColumn>
    <tableColumn id="11" xr3:uid="{ACC13F8C-FCB0-B842-BBF1-54F6E14A7916}" name="sk4g-no-hash" dataDxfId="67">
      <calculatedColumnFormula array="1">_xlfn.LET(_xlpm.d,L$2:L$19,_xlpm.a,$C$2:$C$19=$C23,_xlpm.b,$D$2:$D$19=$D23,MAX(_xlfn._xlws.FILTER(_xlpm.d,_xlpm.a*_xlpm.b)))</calculatedColumnFormula>
    </tableColumn>
    <tableColumn id="12" xr3:uid="{383C0F46-6C42-DF4B-83CC-E1E92A5FBD76}" name="2g-hash-at-both" dataDxfId="66">
      <calculatedColumnFormula array="1">_xlfn.LET(_xlpm.d,M$2:M$19,_xlpm.a,$C$2:$C$19=$C23,_xlpm.b,$D$2:$D$19=$D23,MAX(_xlfn._xlws.FILTER(_xlpm.d,_xlpm.a*_xlpm.b)))</calculatedColumnFormula>
    </tableColumn>
    <tableColumn id="13" xr3:uid="{EDDBBF37-1E0B-A14C-BF06-6CAD468D56BC}" name="3g-hash-at-both" dataDxfId="65">
      <calculatedColumnFormula array="1">_xlfn.LET(_xlpm.d,N$2:N$19,_xlpm.a,$C$2:$C$19=$C23,_xlpm.b,$D$2:$D$19=$D23,MAX(_xlfn._xlws.FILTER(_xlpm.d,_xlpm.a*_xlpm.b)))</calculatedColumnFormula>
    </tableColumn>
    <tableColumn id="14" xr3:uid="{A33319C8-4615-F141-82E9-2512059FE4D1}" name="4g-hash-at-both" dataDxfId="64">
      <calculatedColumnFormula array="1">_xlfn.LET(_xlpm.d,O$2:O$19,_xlpm.a,$C$2:$C$19=$C23,_xlpm.b,$D$2:$D$19=$D23,MAX(_xlfn._xlws.FILTER(_xlpm.d,_xlpm.a*_xlpm.b)))</calculatedColumnFormula>
    </tableColumn>
    <tableColumn id="15" xr3:uid="{E2B7E034-3FE0-7145-9A99-2AD10BBF6FD4}" name="sk2g-hash-at-both" dataDxfId="63">
      <calculatedColumnFormula array="1">_xlfn.LET(_xlpm.d,P$2:P$19,_xlpm.a,$C$2:$C$19=$C23,_xlpm.b,$D$2:$D$19=$D23,MAX(_xlfn._xlws.FILTER(_xlpm.d,_xlpm.a*_xlpm.b)))</calculatedColumnFormula>
    </tableColumn>
    <tableColumn id="16" xr3:uid="{CDD2DD93-1717-6449-A2B9-7541EADBC60B}" name="sk3g-hash-at-both" dataDxfId="62">
      <calculatedColumnFormula array="1">_xlfn.LET(_xlpm.d,Q$2:Q$19,_xlpm.a,$C$2:$C$19=$C23,_xlpm.b,$D$2:$D$19=$D23,MAX(_xlfn._xlws.FILTER(_xlpm.d,_xlpm.a*_xlpm.b)))</calculatedColumnFormula>
    </tableColumn>
    <tableColumn id="17" xr3:uid="{3746C6BB-C319-9E49-86C9-DAABB4D9999E}" name="sk4g-hash-at-both" dataDxfId="61">
      <calculatedColumnFormula array="1">_xlfn.LET(_xlpm.d,R$2:R$19,_xlpm.a,$C$2:$C$19=$C23,_xlpm.b,$D$2:$D$19=$D23,MAX(_xlfn._xlws.FILTER(_xlpm.d,_xlpm.a*_xlpm.b)))</calculatedColumnFormula>
    </tableColumn>
    <tableColumn id="18" xr3:uid="{C40458D4-A14F-0046-934F-CBB4F3CA27C2}" name="max" dataDxfId="6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B30814-7704-FA43-A025-91F712F56A36}" name="Table10" displayName="Table10" ref="B36:S42" totalsRowShown="0" dataDxfId="59">
  <autoFilter ref="B36:S42" xr:uid="{D2B30814-7704-FA43-A025-91F712F56A36}"/>
  <sortState xmlns:xlrd2="http://schemas.microsoft.com/office/spreadsheetml/2017/richdata2" ref="B37:S42">
    <sortCondition ref="B36:B42"/>
  </sortState>
  <tableColumns count="18">
    <tableColumn id="17" xr3:uid="{B99D27FB-884D-384C-9DAA-2C3E47350F42}" name="attribute.index" dataDxfId="58"/>
    <tableColumn id="1" xr3:uid="{3CD68465-4CE6-3D4C-A879-C757CF9923BE}" name="attribute"/>
    <tableColumn id="2" xr3:uid="{6B608300-98CD-364E-8C5C-3E30C3FF5C52}" name="supplemented"/>
    <tableColumn id="3" xr3:uid="{3EA72D2C-E446-D047-9C2C-2D5B6C823018}" name="method.index"/>
    <tableColumn id="4" xr3:uid="{F8B4EC32-EDB2-7940-86CB-5C5C017F181B}" name="metric"/>
    <tableColumn id="18" xr3:uid="{F6D99689-A3FB-474F-9224-F3B85E693D39}" name="var" dataDxfId="57">
      <calculatedColumnFormula>_xlfn.TEXTJOIN("-",TRUE,C37,LEFT(D37,1),F37)</calculatedColumnFormula>
    </tableColumn>
    <tableColumn id="5" xr3:uid="{AE6A0264-5DFD-AF48-8CE3-B1B4E1728E79}" name="2g-no-hash" dataDxfId="56">
      <calculatedColumnFormula>_xlfn.LET(_xlpm.d,$H23:$S23,RANK(H23,_xlpm.d))</calculatedColumnFormula>
    </tableColumn>
    <tableColumn id="6" xr3:uid="{FD95A63E-0623-2444-BFD5-46EB29897A14}" name="3g-no-hash" dataDxfId="55">
      <calculatedColumnFormula>_xlfn.LET(_xlpm.d,$H23:$S23,RANK(I23,_xlpm.d))</calculatedColumnFormula>
    </tableColumn>
    <tableColumn id="7" xr3:uid="{32173AAA-1868-E347-98A7-EDEC176E4D02}" name="4g-no-hash" dataDxfId="54">
      <calculatedColumnFormula>_xlfn.LET(_xlpm.d,$H23:$S23,RANK(J23,_xlpm.d))</calculatedColumnFormula>
    </tableColumn>
    <tableColumn id="8" xr3:uid="{14DF9227-DDBE-0446-8FF2-9234B2683C0E}" name="sk2g-no-hash" dataDxfId="53">
      <calculatedColumnFormula>_xlfn.LET(_xlpm.d,$H23:$S23,RANK(K23,_xlpm.d))</calculatedColumnFormula>
    </tableColumn>
    <tableColumn id="9" xr3:uid="{3C672CB3-B978-1449-9A29-82CE7EE12C6C}" name="sk3g-no-hash" dataDxfId="52">
      <calculatedColumnFormula>_xlfn.LET(_xlpm.d,$H23:$S23,RANK(L23,_xlpm.d))</calculatedColumnFormula>
    </tableColumn>
    <tableColumn id="10" xr3:uid="{9D94C15F-3554-7244-98BF-6B75A2B70C4E}" name="sk4g-no-hash" dataDxfId="51">
      <calculatedColumnFormula>_xlfn.LET(_xlpm.d,$H23:$S23,RANK(M23,_xlpm.d))</calculatedColumnFormula>
    </tableColumn>
    <tableColumn id="11" xr3:uid="{3B88D239-36B0-5D47-881C-7E1293CC0D58}" name="2g-hash-at-both" dataDxfId="50">
      <calculatedColumnFormula>_xlfn.LET(_xlpm.d,$H23:$S23,RANK(N23,_xlpm.d))</calculatedColumnFormula>
    </tableColumn>
    <tableColumn id="12" xr3:uid="{45C68585-5617-2545-B64A-3E347BE5C0DA}" name="3g-hash-at-both" dataDxfId="49">
      <calculatedColumnFormula>_xlfn.LET(_xlpm.d,$H23:$S23,RANK(O23,_xlpm.d))</calculatedColumnFormula>
    </tableColumn>
    <tableColumn id="13" xr3:uid="{D66B785B-2B4C-9547-94CD-9BFCC9071480}" name="4g-hash-at-both" dataDxfId="48">
      <calculatedColumnFormula>_xlfn.LET(_xlpm.d,$H23:$S23,RANK(P23,_xlpm.d))</calculatedColumnFormula>
    </tableColumn>
    <tableColumn id="14" xr3:uid="{49F45819-F9D5-0A48-B675-ACF769E7E236}" name="sk2g-hash-at-both" dataDxfId="47">
      <calculatedColumnFormula>_xlfn.LET(_xlpm.d,$H23:$S23,RANK(Q23,_xlpm.d))</calculatedColumnFormula>
    </tableColumn>
    <tableColumn id="15" xr3:uid="{A4D0D5BF-55B2-974E-A435-F54420E5E95F}" name="sk3g-hash-at-both" dataDxfId="46">
      <calculatedColumnFormula>_xlfn.LET(_xlpm.d,$H23:$S23,RANK(R23,_xlpm.d))</calculatedColumnFormula>
    </tableColumn>
    <tableColumn id="16" xr3:uid="{503393C1-D16C-D14A-9D6F-2808B8AF70E1}" name="sk4g-hash-at-both" dataDxfId="45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4A707-DE9C-3F45-8234-9BD5E004F64F}" name="Table12" displayName="Table12" ref="B22:T28" totalsRowShown="0" headerRowDxfId="44" dataDxfId="43" tableBorderDxfId="42">
  <autoFilter ref="B22:T28" xr:uid="{58B4A707-DE9C-3F45-8234-9BD5E004F64F}"/>
  <sortState xmlns:xlrd2="http://schemas.microsoft.com/office/spreadsheetml/2017/richdata2" ref="B23:T28">
    <sortCondition ref="D22:D28"/>
  </sortState>
  <tableColumns count="19">
    <tableColumn id="18" xr3:uid="{C3517469-138E-1A49-82C1-B1F9C845AADD}" name="attribute.index" dataDxfId="41"/>
    <tableColumn id="1" xr3:uid="{92B21625-DFF7-C142-AD86-288B54043086}" name="attribute" dataDxfId="40"/>
    <tableColumn id="2" xr3:uid="{6DDEA389-3D65-E848-BF56-D83CC23239C9}" name="supplemented" dataDxfId="39"/>
    <tableColumn id="3" xr3:uid="{D7123B67-FDC8-574F-9DC6-69F02511809B}" name="method.index" dataDxfId="38"/>
    <tableColumn id="4" xr3:uid="{1FD6B79C-4121-CA46-95FE-B4B3AA63559B}" name="metric" dataDxfId="37"/>
    <tableColumn id="19" xr3:uid="{143AD436-1ABC-A941-B2CD-9558D804948B}" name="var" dataDxfId="36">
      <calculatedColumnFormula>_xlfn.TEXTJOIN("-",TRUE,C23,LEFT(D23,1),F23)</calculatedColumnFormula>
    </tableColumn>
    <tableColumn id="5" xr3:uid="{1434514E-DEF1-3240-907F-01447EF05AA3}" name="2g-no-hash" dataDxfId="35">
      <calculatedColumnFormula array="1">_xlfn.LET(_xlpm.d,H$2:H$19,_xlpm.a,$C$2:$C$19=$C23,_xlpm.b,$D$2:$D$19=$D23,MAX(_xlfn._xlws.FILTER(_xlpm.d,_xlpm.a*_xlpm.b)))</calculatedColumnFormula>
    </tableColumn>
    <tableColumn id="6" xr3:uid="{3C297024-61B8-864A-AF3F-0D7678266F62}" name="3g-no-hash" dataDxfId="34">
      <calculatedColumnFormula array="1">_xlfn.LET(_xlpm.d,I$2:I$19,_xlpm.a,$C$2:$C$19=$C23,_xlpm.b,$D$2:$D$19=$D23,MAX(_xlfn._xlws.FILTER(_xlpm.d,_xlpm.a*_xlpm.b)))</calculatedColumnFormula>
    </tableColumn>
    <tableColumn id="7" xr3:uid="{D2780CA0-69D6-C843-BEFE-380F42567C63}" name="4g-no-hash" dataDxfId="33">
      <calculatedColumnFormula array="1">_xlfn.LET(_xlpm.d,J$2:J$19,_xlpm.a,$C$2:$C$19=$C23,_xlpm.b,$D$2:$D$19=$D23,MAX(_xlfn._xlws.FILTER(_xlpm.d,_xlpm.a*_xlpm.b)))</calculatedColumnFormula>
    </tableColumn>
    <tableColumn id="8" xr3:uid="{D826295A-5C54-B34B-A720-689B65531FBD}" name="sk2g-no-hash" dataDxfId="32">
      <calculatedColumnFormula array="1">_xlfn.LET(_xlpm.d,K$2:K$19,_xlpm.a,$C$2:$C$19=$C23,_xlpm.b,$D$2:$D$19=$D23,MAX(_xlfn._xlws.FILTER(_xlpm.d,_xlpm.a*_xlpm.b)))</calculatedColumnFormula>
    </tableColumn>
    <tableColumn id="9" xr3:uid="{EBF928ED-DE10-594D-9897-564F490B8D92}" name="sk3g-no-hash" dataDxfId="31">
      <calculatedColumnFormula array="1">_xlfn.LET(_xlpm.d,L$2:L$19,_xlpm.a,$C$2:$C$19=$C23,_xlpm.b,$D$2:$D$19=$D23,MAX(_xlfn._xlws.FILTER(_xlpm.d,_xlpm.a*_xlpm.b)))</calculatedColumnFormula>
    </tableColumn>
    <tableColumn id="10" xr3:uid="{0BD071E4-2FAA-654E-B677-11F99314687C}" name="sk4g-no-hash" dataDxfId="30">
      <calculatedColumnFormula array="1">_xlfn.LET(_xlpm.d,M$2:M$19,_xlpm.a,$C$2:$C$19=$C23,_xlpm.b,$D$2:$D$19=$D23,MAX(_xlfn._xlws.FILTER(_xlpm.d,_xlpm.a*_xlpm.b)))</calculatedColumnFormula>
    </tableColumn>
    <tableColumn id="11" xr3:uid="{EDA33435-328B-1340-9AD0-DCFE4DBA3402}" name="2g-hash-at-both" dataDxfId="29">
      <calculatedColumnFormula array="1">_xlfn.LET(_xlpm.d,N$2:N$19,_xlpm.a,$C$2:$C$19=$C23,_xlpm.b,$D$2:$D$19=$D23,MAX(_xlfn._xlws.FILTER(_xlpm.d,_xlpm.a*_xlpm.b)))</calculatedColumnFormula>
    </tableColumn>
    <tableColumn id="12" xr3:uid="{AE4CE0E7-E9F5-3949-987D-27A041193FAA}" name="3g-hash-at-both" dataDxfId="28">
      <calculatedColumnFormula array="1">_xlfn.LET(_xlpm.d,O$2:O$19,_xlpm.a,$C$2:$C$19=$C23,_xlpm.b,$D$2:$D$19=$D23,MAX(_xlfn._xlws.FILTER(_xlpm.d,_xlpm.a*_xlpm.b)))</calculatedColumnFormula>
    </tableColumn>
    <tableColumn id="13" xr3:uid="{EB25A06A-8EA9-8A4C-A355-B6CF36EB77A2}" name="4g-hash-at-both" dataDxfId="27">
      <calculatedColumnFormula array="1">_xlfn.LET(_xlpm.d,P$2:P$19,_xlpm.a,$C$2:$C$19=$C23,_xlpm.b,$D$2:$D$19=$D23,MAX(_xlfn._xlws.FILTER(_xlpm.d,_xlpm.a*_xlpm.b)))</calculatedColumnFormula>
    </tableColumn>
    <tableColumn id="14" xr3:uid="{8F98EC6D-DAF9-E84D-9E74-2849A127DFAC}" name="sk2g-hash-at-both" dataDxfId="26">
      <calculatedColumnFormula array="1">_xlfn.LET(_xlpm.d,Q$2:Q$19,_xlpm.a,$C$2:$C$19=$C23,_xlpm.b,$D$2:$D$19=$D23,MAX(_xlfn._xlws.FILTER(_xlpm.d,_xlpm.a*_xlpm.b)))</calculatedColumnFormula>
    </tableColumn>
    <tableColumn id="15" xr3:uid="{3A082C72-538B-A247-BBBB-997BE0C7FEF3}" name="sk3g-hash-at-both" dataDxfId="25">
      <calculatedColumnFormula array="1">_xlfn.LET(_xlpm.d,R$2:R$19,_xlpm.a,$C$2:$C$19=$C23,_xlpm.b,$D$2:$D$19=$D23,MAX(_xlfn._xlws.FILTER(_xlpm.d,_xlpm.a*_xlpm.b)))</calculatedColumnFormula>
    </tableColumn>
    <tableColumn id="16" xr3:uid="{F3428693-D797-6044-9E4E-295496389439}" name="sk4g-hash-at-both" dataDxfId="24">
      <calculatedColumnFormula array="1">_xlfn.LET(_xlpm.d,S$2:S$19,_xlpm.a,$C$2:$C$19=$C23,_xlpm.b,$D$2:$D$19=$D23,MAX(_xlfn._xlws.FILTER(_xlpm.d,_xlpm.a*_xlpm.b)))</calculatedColumnFormula>
    </tableColumn>
    <tableColumn id="17" xr3:uid="{E26D16F5-15F1-6D44-B6CE-8985195B7EF4}" name="max" dataDxfId="23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657FC0-684C-EA48-9173-AA82DBD9663D}" name="Table18" displayName="Table18" ref="A1:T19" totalsRowShown="0" headerRowDxfId="22" dataDxfId="21" tableBorderDxfId="20">
  <autoFilter ref="A1:T19" xr:uid="{E1657FC0-684C-EA48-9173-AA82DBD9663D}"/>
  <sortState xmlns:xlrd2="http://schemas.microsoft.com/office/spreadsheetml/2017/richdata2" ref="A2:T19">
    <sortCondition ref="B1:B19"/>
  </sortState>
  <tableColumns count="20">
    <tableColumn id="1" xr3:uid="{AFDBE68D-7BCC-EF4E-BC20-5A66479EEA01}" name="lang" dataDxfId="19"/>
    <tableColumn id="2" xr3:uid="{38D5025D-FA7A-1245-B845-61657CB13336}" name="attribute.index" dataDxfId="18"/>
    <tableColumn id="3" xr3:uid="{ECA8735C-16E6-9A41-B6E3-716EC133A812}" name="attribute" dataDxfId="17"/>
    <tableColumn id="4" xr3:uid="{D71F5AF4-2578-9D4D-B859-57808F663C79}" name="supplement" dataDxfId="16"/>
    <tableColumn id="5" xr3:uid="{9983C3DA-CD3A-7944-95DF-ED5673849D4B}" name="method.index" dataDxfId="15"/>
    <tableColumn id="6" xr3:uid="{EE830917-2853-3F4B-8698-C3AE7453EA0B}" name="method" dataDxfId="14"/>
    <tableColumn id="20" xr3:uid="{01449864-55F6-BC40-983A-5F7A65033F10}" name="var" dataDxfId="13">
      <calculatedColumnFormula>_xlfn.TEXTJOIN("-",TRUE,C2,LEFT(D2,1),F2)</calculatedColumnFormula>
    </tableColumn>
    <tableColumn id="7" xr3:uid="{544CC3FE-E10B-1C4D-8661-4B8AB9DC5EC6}" name="2g-no-hash" dataDxfId="12"/>
    <tableColumn id="8" xr3:uid="{0C265AFE-FA48-EA44-8D47-B100A63CEB75}" name="3g-no-hash" dataDxfId="11"/>
    <tableColumn id="9" xr3:uid="{99866077-9D5F-C449-B17D-239AA97C76D6}" name="4g-no-hash" dataDxfId="10"/>
    <tableColumn id="10" xr3:uid="{AFD8E042-8C2F-6E4A-A79A-D5303FEA4000}" name="sk2g-no-hash" dataDxfId="9"/>
    <tableColumn id="11" xr3:uid="{152D3920-BC5E-8D46-BD0F-4EABE2207DD8}" name="sk3g-no-hash" dataDxfId="8"/>
    <tableColumn id="12" xr3:uid="{A3A717EA-5355-0643-BC8B-7288A0956359}" name="sk4g-no-hash" dataDxfId="7"/>
    <tableColumn id="13" xr3:uid="{23A8400C-AA3C-174C-BF83-6D1DDBD27F62}" name="2g-hash-at-both" dataDxfId="6"/>
    <tableColumn id="14" xr3:uid="{D606D278-A410-8B4E-8202-34C7113578B3}" name="3g-hash-at-both" dataDxfId="5"/>
    <tableColumn id="15" xr3:uid="{A3988213-F49F-B743-B4A7-34F346D4BAF0}" name="4g-hash-at-both" dataDxfId="4"/>
    <tableColumn id="16" xr3:uid="{9975A412-46B0-EE47-8391-628207B5D40F}" name="sk2g-hash-at-both" dataDxfId="3"/>
    <tableColumn id="17" xr3:uid="{3FC874EA-EC47-D949-BAFF-FA1294404618}" name="sk3g-hash-at-both" dataDxfId="2"/>
    <tableColumn id="18" xr3:uid="{9891231E-2D19-4A46-9811-7B4F200788BA}" name="sk4g-hash-at-both" dataDxfId="1"/>
    <tableColumn id="19" xr3:uid="{73412567-2D7F-DC4F-B569-09F6544DD390}" name="max" dataDxfId="0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2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CD2-F08A-E641-B2C1-EB672706C6AF}">
  <dimension ref="A1:T47"/>
  <sheetViews>
    <sheetView topLeftCell="A3" zoomScaleNormal="100" workbookViewId="0">
      <pane xSplit="9980" ySplit="5300" topLeftCell="T20" activePane="topRight"/>
      <selection activeCell="D1" sqref="D1:D1048576"/>
      <selection pane="topRight" activeCell="G2" sqref="G2"/>
      <selection pane="bottomLeft" activeCell="C32" sqref="C32"/>
      <selection pane="bottomRight" activeCell="AA25" sqref="AA25"/>
    </sheetView>
  </sheetViews>
  <sheetFormatPr baseColWidth="10" defaultRowHeight="27" customHeight="1"/>
  <cols>
    <col min="2" max="2" width="6.5" customWidth="1"/>
    <col min="3" max="3" width="10.125" customWidth="1"/>
    <col min="4" max="4" width="9.625" customWidth="1"/>
    <col min="5" max="5" width="6.375" customWidth="1"/>
    <col min="6" max="6" width="8.875" customWidth="1"/>
    <col min="7" max="7" width="14" customWidth="1"/>
    <col min="8" max="19" width="8.125" customWidth="1"/>
  </cols>
  <sheetData>
    <row r="1" spans="1:20" ht="27" customHeight="1">
      <c r="A1" t="s">
        <v>0</v>
      </c>
      <c r="B1" t="s">
        <v>12</v>
      </c>
      <c r="C1" t="s">
        <v>1</v>
      </c>
      <c r="D1" t="s">
        <v>16</v>
      </c>
      <c r="E1" t="s">
        <v>13</v>
      </c>
      <c r="F1" t="s">
        <v>3</v>
      </c>
      <c r="G1" t="s">
        <v>38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4</v>
      </c>
    </row>
    <row r="2" spans="1:20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1" t="str">
        <f>_xlfn.TEXTJOIN("-",TRUE,Table7[[#This Row],[attribute]],Table7[[#This Row],[supplemented]],Table7[[#This Row],[method]])</f>
        <v>plurality-TRUE-DT</v>
      </c>
      <c r="H2" s="8">
        <v>0.87</v>
      </c>
      <c r="I2" s="8">
        <v>0.85</v>
      </c>
      <c r="J2" s="8">
        <v>0.89</v>
      </c>
      <c r="K2" s="8">
        <v>0.87</v>
      </c>
      <c r="L2" s="8">
        <v>0.82</v>
      </c>
      <c r="M2" s="8">
        <v>0.8</v>
      </c>
      <c r="N2" s="8">
        <v>0.87</v>
      </c>
      <c r="O2" s="8">
        <v>0.85</v>
      </c>
      <c r="P2" s="8">
        <v>0.84</v>
      </c>
      <c r="Q2" s="8">
        <v>0.89</v>
      </c>
      <c r="R2" s="8">
        <v>0.79</v>
      </c>
      <c r="S2" s="8">
        <v>0.86</v>
      </c>
      <c r="T2" s="8">
        <f t="shared" ref="T2:T19" si="0">_xlfn.LET(_xlpm.d,$H2:$S2,MAX(_xlpm.d))</f>
        <v>0.89</v>
      </c>
    </row>
    <row r="3" spans="1:20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t="str">
        <f>_xlfn.TEXTJOIN("-",TRUE,Table7[[#This Row],[attribute]],Table7[[#This Row],[supplemented]],Table7[[#This Row],[method]])</f>
        <v>plurality-TRUE-RF</v>
      </c>
      <c r="H3" s="8">
        <v>0.87</v>
      </c>
      <c r="I3" s="8">
        <v>0.87</v>
      </c>
      <c r="J3" s="8">
        <v>0.88</v>
      </c>
      <c r="K3" s="8">
        <v>0.91</v>
      </c>
      <c r="L3" s="8">
        <v>0.83</v>
      </c>
      <c r="M3" s="8">
        <v>0.87</v>
      </c>
      <c r="N3" s="8">
        <v>0.91</v>
      </c>
      <c r="O3" s="8">
        <v>0.89</v>
      </c>
      <c r="P3" s="8">
        <v>0.87</v>
      </c>
      <c r="Q3" s="8">
        <v>0.89</v>
      </c>
      <c r="R3" s="8">
        <v>0.86</v>
      </c>
      <c r="S3" s="8">
        <v>0.9</v>
      </c>
      <c r="T3" s="8">
        <f t="shared" si="0"/>
        <v>0.91</v>
      </c>
    </row>
    <row r="4" spans="1:20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t="str">
        <f>_xlfn.TEXTJOIN("-",TRUE,Table7[[#This Row],[attribute]],Table7[[#This Row],[supplemented]],Table7[[#This Row],[method]])</f>
        <v>plurality-TRUE-NN</v>
      </c>
      <c r="H4" s="8">
        <v>0.86</v>
      </c>
      <c r="I4" s="8">
        <v>0.87</v>
      </c>
      <c r="J4" s="8">
        <v>0.89</v>
      </c>
      <c r="K4" s="8">
        <v>0.89</v>
      </c>
      <c r="L4" s="8">
        <v>0.85</v>
      </c>
      <c r="M4" s="8">
        <v>0.87</v>
      </c>
      <c r="N4" s="8">
        <v>0.94</v>
      </c>
      <c r="O4" s="8">
        <v>0.91</v>
      </c>
      <c r="P4" s="8">
        <v>0.86</v>
      </c>
      <c r="Q4" s="8">
        <v>0.88</v>
      </c>
      <c r="R4" s="8">
        <v>0.87</v>
      </c>
      <c r="S4" s="8">
        <v>0.88</v>
      </c>
      <c r="T4" s="8">
        <f t="shared" si="0"/>
        <v>0.94</v>
      </c>
    </row>
    <row r="5" spans="1:20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t="str">
        <f>_xlfn.TEXTJOIN("-",TRUE,Table7[[#This Row],[attribute]],Table7[[#This Row],[supplemented]],Table7[[#This Row],[method]])</f>
        <v>plurality-FALSE-DT</v>
      </c>
      <c r="H5" s="8">
        <v>0.77</v>
      </c>
      <c r="I5" s="8">
        <v>0.84</v>
      </c>
      <c r="J5" s="8">
        <v>0.83</v>
      </c>
      <c r="K5" s="8">
        <v>0.83</v>
      </c>
      <c r="L5" s="8">
        <v>0.82</v>
      </c>
      <c r="M5" s="8">
        <v>0.82</v>
      </c>
      <c r="N5" s="8">
        <v>0.84</v>
      </c>
      <c r="O5" s="8">
        <v>0.8</v>
      </c>
      <c r="P5" s="8">
        <v>0.77</v>
      </c>
      <c r="Q5" s="8">
        <v>0.83</v>
      </c>
      <c r="R5" s="8">
        <v>0.81</v>
      </c>
      <c r="S5" s="8">
        <v>0.8</v>
      </c>
      <c r="T5" s="8">
        <f t="shared" si="0"/>
        <v>0.84</v>
      </c>
    </row>
    <row r="6" spans="1:20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t="str">
        <f>_xlfn.TEXTJOIN("-",TRUE,Table7[[#This Row],[attribute]],Table7[[#This Row],[supplemented]],Table7[[#This Row],[method]])</f>
        <v>plurality-FALSE-RF</v>
      </c>
      <c r="H6" s="8">
        <v>0.8</v>
      </c>
      <c r="I6" s="8">
        <v>0.84</v>
      </c>
      <c r="J6" s="8">
        <v>0.85</v>
      </c>
      <c r="K6" s="8">
        <v>0.85</v>
      </c>
      <c r="L6" s="8">
        <v>0.83</v>
      </c>
      <c r="M6" s="8">
        <v>0.8</v>
      </c>
      <c r="N6" s="8">
        <v>0.85</v>
      </c>
      <c r="O6" s="8">
        <v>0.81</v>
      </c>
      <c r="P6" s="8">
        <v>0.83</v>
      </c>
      <c r="Q6" s="8">
        <v>0.85</v>
      </c>
      <c r="R6" s="8">
        <v>0.83</v>
      </c>
      <c r="S6" s="8">
        <v>0.81</v>
      </c>
      <c r="T6" s="8">
        <f t="shared" si="0"/>
        <v>0.85</v>
      </c>
    </row>
    <row r="7" spans="1:20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t="str">
        <f>_xlfn.TEXTJOIN("-",TRUE,Table7[[#This Row],[attribute]],Table7[[#This Row],[supplemented]],Table7[[#This Row],[method]])</f>
        <v>plurality-FALSE-NN</v>
      </c>
      <c r="H7" s="8">
        <v>0.78</v>
      </c>
      <c r="I7" s="8">
        <v>0.81</v>
      </c>
      <c r="J7" s="8">
        <v>0.78</v>
      </c>
      <c r="K7" s="8">
        <v>0.83</v>
      </c>
      <c r="L7" s="8">
        <v>0.86</v>
      </c>
      <c r="M7" s="8">
        <v>0.81</v>
      </c>
      <c r="N7" s="8">
        <v>0.86</v>
      </c>
      <c r="O7" s="8">
        <v>0.82</v>
      </c>
      <c r="P7" s="8">
        <v>0.8</v>
      </c>
      <c r="Q7" s="8">
        <v>0.79</v>
      </c>
      <c r="R7" s="8">
        <v>0.85</v>
      </c>
      <c r="S7" s="8">
        <v>0.8</v>
      </c>
      <c r="T7" s="8">
        <f t="shared" si="0"/>
        <v>0.86</v>
      </c>
    </row>
    <row r="8" spans="1:20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t="str">
        <f>_xlfn.TEXTJOIN("-",TRUE,Table7[[#This Row],[attribute]],Table7[[#This Row],[supplemented]],Table7[[#This Row],[method]])</f>
        <v>gender-TRUE-DT</v>
      </c>
      <c r="H8" s="8">
        <v>0.59</v>
      </c>
      <c r="I8" s="8">
        <v>0.55000000000000004</v>
      </c>
      <c r="J8" s="8">
        <v>0.52</v>
      </c>
      <c r="K8" s="8">
        <v>0.51</v>
      </c>
      <c r="L8" s="8">
        <v>0.54</v>
      </c>
      <c r="M8" s="8">
        <v>0.57999999999999996</v>
      </c>
      <c r="N8" s="8">
        <v>0.56999999999999995</v>
      </c>
      <c r="O8" s="8">
        <v>0.55000000000000004</v>
      </c>
      <c r="P8" s="8">
        <v>0.5</v>
      </c>
      <c r="Q8" s="8">
        <v>0.51</v>
      </c>
      <c r="R8" s="8">
        <v>0.5</v>
      </c>
      <c r="S8" s="8">
        <v>0.54</v>
      </c>
      <c r="T8" s="8">
        <f t="shared" si="0"/>
        <v>0.59</v>
      </c>
    </row>
    <row r="9" spans="1:20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t="str">
        <f>_xlfn.TEXTJOIN("-",TRUE,Table7[[#This Row],[attribute]],Table7[[#This Row],[supplemented]],Table7[[#This Row],[method]])</f>
        <v>gender-TRUE-RF</v>
      </c>
      <c r="H9" s="8">
        <v>0.71</v>
      </c>
      <c r="I9" s="8">
        <v>0.7</v>
      </c>
      <c r="J9" s="8">
        <v>0.67</v>
      </c>
      <c r="K9" s="8">
        <v>0.69</v>
      </c>
      <c r="L9" s="8">
        <v>0.59</v>
      </c>
      <c r="M9" s="8">
        <v>0.67</v>
      </c>
      <c r="N9" s="8">
        <v>0.72</v>
      </c>
      <c r="O9" s="8">
        <v>0.71</v>
      </c>
      <c r="P9" s="8">
        <v>0.66</v>
      </c>
      <c r="Q9" s="8">
        <v>0.71</v>
      </c>
      <c r="R9" s="8">
        <v>0.64</v>
      </c>
      <c r="S9" s="8">
        <v>0.7</v>
      </c>
      <c r="T9" s="8">
        <f t="shared" si="0"/>
        <v>0.72</v>
      </c>
    </row>
    <row r="10" spans="1:20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t="str">
        <f>_xlfn.TEXTJOIN("-",TRUE,Table7[[#This Row],[attribute]],Table7[[#This Row],[supplemented]],Table7[[#This Row],[method]])</f>
        <v>gender-TRUE-NN</v>
      </c>
      <c r="H10" s="8">
        <v>0.72</v>
      </c>
      <c r="I10" s="8">
        <v>0.67</v>
      </c>
      <c r="J10" s="8">
        <v>0.68</v>
      </c>
      <c r="K10" s="8">
        <v>0.7</v>
      </c>
      <c r="L10" s="8">
        <v>0.71</v>
      </c>
      <c r="M10" s="8">
        <v>0.7</v>
      </c>
      <c r="N10" s="8">
        <v>0.68</v>
      </c>
      <c r="O10" s="8">
        <v>0.7</v>
      </c>
      <c r="P10" s="8">
        <v>0.7</v>
      </c>
      <c r="Q10" s="8">
        <v>0.71</v>
      </c>
      <c r="R10" s="8">
        <v>0.7</v>
      </c>
      <c r="S10" s="8">
        <v>0.7</v>
      </c>
      <c r="T10" s="8">
        <f t="shared" si="0"/>
        <v>0.72</v>
      </c>
    </row>
    <row r="11" spans="1:20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t="str">
        <f>_xlfn.TEXTJOIN("-",TRUE,Table7[[#This Row],[attribute]],Table7[[#This Row],[supplemented]],Table7[[#This Row],[method]])</f>
        <v>gender-FALSE-DT</v>
      </c>
      <c r="H11" s="8">
        <v>0.61</v>
      </c>
      <c r="I11" s="8">
        <v>0.53</v>
      </c>
      <c r="J11" s="8">
        <v>0.52</v>
      </c>
      <c r="K11" s="8">
        <v>0.55000000000000004</v>
      </c>
      <c r="L11" s="8">
        <v>0.43</v>
      </c>
      <c r="M11" s="8">
        <v>0.54</v>
      </c>
      <c r="N11" s="8">
        <v>0.55000000000000004</v>
      </c>
      <c r="O11" s="8">
        <v>0.56000000000000005</v>
      </c>
      <c r="P11" s="8">
        <v>0.48</v>
      </c>
      <c r="Q11" s="8">
        <v>0.47</v>
      </c>
      <c r="R11" s="8">
        <v>0.48</v>
      </c>
      <c r="S11" s="8">
        <v>0.57999999999999996</v>
      </c>
      <c r="T11" s="8">
        <f t="shared" si="0"/>
        <v>0.61</v>
      </c>
    </row>
    <row r="12" spans="1:20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t="str">
        <f>_xlfn.TEXTJOIN("-",TRUE,Table7[[#This Row],[attribute]],Table7[[#This Row],[supplemented]],Table7[[#This Row],[method]])</f>
        <v>gender-FALSE-RF</v>
      </c>
      <c r="H12" s="8">
        <v>0.69</v>
      </c>
      <c r="I12" s="8">
        <v>0.68</v>
      </c>
      <c r="J12" s="8">
        <v>0.66</v>
      </c>
      <c r="K12" s="8">
        <v>0.64</v>
      </c>
      <c r="L12" s="8">
        <v>0.55000000000000004</v>
      </c>
      <c r="M12" s="8">
        <v>0.65</v>
      </c>
      <c r="N12" s="8">
        <v>0.67</v>
      </c>
      <c r="O12" s="8">
        <v>0.62</v>
      </c>
      <c r="P12" s="8">
        <v>0.56000000000000005</v>
      </c>
      <c r="Q12" s="8">
        <v>0.63</v>
      </c>
      <c r="R12" s="8">
        <v>0.63</v>
      </c>
      <c r="S12" s="8">
        <v>0.66</v>
      </c>
      <c r="T12" s="8">
        <f t="shared" si="0"/>
        <v>0.69</v>
      </c>
    </row>
    <row r="13" spans="1:20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t="str">
        <f>_xlfn.TEXTJOIN("-",TRUE,Table7[[#This Row],[attribute]],Table7[[#This Row],[supplemented]],Table7[[#This Row],[method]])</f>
        <v>gender-FALSE-NN</v>
      </c>
      <c r="H13" s="8">
        <v>0.71</v>
      </c>
      <c r="I13" s="8">
        <v>0.65</v>
      </c>
      <c r="J13" s="8">
        <v>0.71</v>
      </c>
      <c r="K13" s="8">
        <v>0.68</v>
      </c>
      <c r="L13" s="8">
        <v>0.71</v>
      </c>
      <c r="M13" s="8">
        <v>0.67</v>
      </c>
      <c r="N13" s="8">
        <v>0.63</v>
      </c>
      <c r="O13" s="8">
        <v>0.72</v>
      </c>
      <c r="P13" s="8">
        <v>0.68</v>
      </c>
      <c r="Q13" s="8">
        <v>0.64</v>
      </c>
      <c r="R13" s="8">
        <v>0.7</v>
      </c>
      <c r="S13" s="8">
        <v>0.68</v>
      </c>
      <c r="T13" s="8">
        <f t="shared" si="0"/>
        <v>0.72</v>
      </c>
    </row>
    <row r="14" spans="1:20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t="str">
        <f>_xlfn.TEXTJOIN("-",TRUE,Table7[[#This Row],[attribute]],Table7[[#This Row],[supplemented]],Table7[[#This Row],[method]])</f>
        <v>case-TRUE-DT</v>
      </c>
      <c r="H14" s="8">
        <v>0.43</v>
      </c>
      <c r="I14" s="8">
        <v>0.49</v>
      </c>
      <c r="J14" s="8">
        <v>0.48</v>
      </c>
      <c r="K14" s="8">
        <v>0.44</v>
      </c>
      <c r="L14" s="8">
        <v>0.47</v>
      </c>
      <c r="M14" s="8">
        <v>0.46</v>
      </c>
      <c r="N14" s="8">
        <v>0.54</v>
      </c>
      <c r="O14" s="8">
        <v>0.49</v>
      </c>
      <c r="P14" s="8">
        <v>0.5</v>
      </c>
      <c r="Q14" s="8">
        <v>0.48</v>
      </c>
      <c r="R14" s="8">
        <v>0.38</v>
      </c>
      <c r="S14" s="8">
        <v>0.42</v>
      </c>
      <c r="T14" s="8">
        <f t="shared" si="0"/>
        <v>0.54</v>
      </c>
    </row>
    <row r="15" spans="1:20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t="str">
        <f>_xlfn.TEXTJOIN("-",TRUE,Table7[[#This Row],[attribute]],Table7[[#This Row],[supplemented]],Table7[[#This Row],[method]])</f>
        <v>case-TRUE-RF</v>
      </c>
      <c r="H15" s="8">
        <v>0.48</v>
      </c>
      <c r="I15" s="8">
        <v>0.53</v>
      </c>
      <c r="J15" s="8">
        <v>0.49</v>
      </c>
      <c r="K15" s="8">
        <v>0.55000000000000004</v>
      </c>
      <c r="L15" s="8">
        <v>0.56000000000000005</v>
      </c>
      <c r="M15" s="8">
        <v>0.48</v>
      </c>
      <c r="N15" s="8">
        <v>0.52</v>
      </c>
      <c r="O15" s="8">
        <v>0.59</v>
      </c>
      <c r="P15" s="8">
        <v>0.59</v>
      </c>
      <c r="Q15" s="8">
        <v>0.51</v>
      </c>
      <c r="R15" s="8">
        <v>0.56000000000000005</v>
      </c>
      <c r="S15" s="8">
        <v>0.56000000000000005</v>
      </c>
      <c r="T15" s="8">
        <f t="shared" si="0"/>
        <v>0.59</v>
      </c>
    </row>
    <row r="16" spans="1:20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t="str">
        <f>_xlfn.TEXTJOIN("-",TRUE,Table7[[#This Row],[attribute]],Table7[[#This Row],[supplemented]],Table7[[#This Row],[method]])</f>
        <v>case-TRUE-NN</v>
      </c>
      <c r="H16" s="8">
        <v>0.51</v>
      </c>
      <c r="I16" s="8">
        <v>0.49</v>
      </c>
      <c r="J16" s="8">
        <v>0.49</v>
      </c>
      <c r="K16" s="8">
        <v>0.53</v>
      </c>
      <c r="L16" s="8">
        <v>0.44</v>
      </c>
      <c r="M16" s="8">
        <v>0.38</v>
      </c>
      <c r="N16" s="8">
        <v>0.51</v>
      </c>
      <c r="O16" s="8">
        <v>0.54</v>
      </c>
      <c r="P16" s="8">
        <v>0.51</v>
      </c>
      <c r="Q16" s="8">
        <v>0.5</v>
      </c>
      <c r="R16" s="8">
        <v>0.44</v>
      </c>
      <c r="S16" s="8">
        <v>0.48</v>
      </c>
      <c r="T16" s="8">
        <f t="shared" si="0"/>
        <v>0.54</v>
      </c>
    </row>
    <row r="17" spans="1:20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t="str">
        <f>_xlfn.TEXTJOIN("-",TRUE,Table7[[#This Row],[attribute]],Table7[[#This Row],[supplemented]],Table7[[#This Row],[method]])</f>
        <v>case-FALSE-DT</v>
      </c>
      <c r="H17" s="8">
        <v>0.43</v>
      </c>
      <c r="I17" s="8">
        <v>0.45</v>
      </c>
      <c r="J17" s="8">
        <v>0.4</v>
      </c>
      <c r="K17" s="8">
        <v>0.42</v>
      </c>
      <c r="L17" s="8">
        <v>0.44</v>
      </c>
      <c r="M17" s="8">
        <v>0.35</v>
      </c>
      <c r="N17" s="8">
        <v>0.37</v>
      </c>
      <c r="O17" s="8">
        <v>0.4</v>
      </c>
      <c r="P17" s="8">
        <v>0.43</v>
      </c>
      <c r="Q17" s="8">
        <v>0.41</v>
      </c>
      <c r="R17" s="8">
        <v>0.41</v>
      </c>
      <c r="S17" s="8">
        <v>0.41</v>
      </c>
      <c r="T17" s="8">
        <f t="shared" si="0"/>
        <v>0.45</v>
      </c>
    </row>
    <row r="18" spans="1:20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t="str">
        <f>_xlfn.TEXTJOIN("-",TRUE,Table7[[#This Row],[attribute]],Table7[[#This Row],[supplemented]],Table7[[#This Row],[method]])</f>
        <v>case-FALSE-RF</v>
      </c>
      <c r="H18" s="8">
        <v>0.43</v>
      </c>
      <c r="I18" s="8">
        <v>0.49</v>
      </c>
      <c r="J18" s="8">
        <v>0.42</v>
      </c>
      <c r="K18" s="8">
        <v>0.48</v>
      </c>
      <c r="L18" s="8">
        <v>0.5</v>
      </c>
      <c r="M18" s="8">
        <v>0.4</v>
      </c>
      <c r="N18" s="8">
        <v>0.43</v>
      </c>
      <c r="O18" s="8">
        <v>0.45</v>
      </c>
      <c r="P18" s="8">
        <v>0.48</v>
      </c>
      <c r="Q18" s="8">
        <v>0.46</v>
      </c>
      <c r="R18" s="8">
        <v>0.45</v>
      </c>
      <c r="S18" s="8">
        <v>0.44</v>
      </c>
      <c r="T18" s="8">
        <f t="shared" si="0"/>
        <v>0.5</v>
      </c>
    </row>
    <row r="19" spans="1:20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t="str">
        <f>_xlfn.TEXTJOIN("-",TRUE,Table7[[#This Row],[attribute]],Table7[[#This Row],[supplemented]],Table7[[#This Row],[method]])</f>
        <v>case-FALSE-NN</v>
      </c>
      <c r="H19" s="8">
        <v>0.34</v>
      </c>
      <c r="I19" s="8">
        <v>0.4</v>
      </c>
      <c r="J19" s="8">
        <v>0.38</v>
      </c>
      <c r="K19" s="8">
        <v>0.44</v>
      </c>
      <c r="L19" s="8">
        <v>0.43</v>
      </c>
      <c r="M19" s="8">
        <v>0.34</v>
      </c>
      <c r="N19" s="8">
        <v>0.37</v>
      </c>
      <c r="O19" s="8">
        <v>0.42</v>
      </c>
      <c r="P19" s="8">
        <v>0.41</v>
      </c>
      <c r="Q19" s="8">
        <v>0.41</v>
      </c>
      <c r="R19" s="8">
        <v>0.35</v>
      </c>
      <c r="S19" s="8">
        <v>0.42</v>
      </c>
      <c r="T19" s="8">
        <f t="shared" si="0"/>
        <v>0.44</v>
      </c>
    </row>
    <row r="22" spans="1:20" ht="27" customHeight="1">
      <c r="B22" s="15" t="s">
        <v>12</v>
      </c>
      <c r="C22" s="15" t="s">
        <v>1</v>
      </c>
      <c r="D22" s="15" t="s">
        <v>16</v>
      </c>
      <c r="E22" s="15" t="s">
        <v>17</v>
      </c>
      <c r="F22" s="15" t="s">
        <v>3</v>
      </c>
      <c r="G22" s="15" t="s">
        <v>38</v>
      </c>
      <c r="H22" s="15" t="s">
        <v>26</v>
      </c>
      <c r="I22" s="15" t="s">
        <v>27</v>
      </c>
      <c r="J22" s="15" t="s">
        <v>28</v>
      </c>
      <c r="K22" s="15" t="s">
        <v>29</v>
      </c>
      <c r="L22" s="15" t="s">
        <v>30</v>
      </c>
      <c r="M22" s="15" t="s">
        <v>31</v>
      </c>
      <c r="N22" s="15" t="s">
        <v>32</v>
      </c>
      <c r="O22" s="15" t="s">
        <v>33</v>
      </c>
      <c r="P22" s="15" t="s">
        <v>34</v>
      </c>
      <c r="Q22" s="15" t="s">
        <v>35</v>
      </c>
      <c r="R22" s="15" t="s">
        <v>36</v>
      </c>
      <c r="S22" s="15" t="s">
        <v>37</v>
      </c>
      <c r="T22" s="15" t="s">
        <v>4</v>
      </c>
    </row>
    <row r="23" spans="1:20" ht="27" customHeight="1">
      <c r="B23" s="19">
        <v>1</v>
      </c>
      <c r="C23" s="11" t="s">
        <v>6</v>
      </c>
      <c r="D23" s="11" t="b">
        <v>1</v>
      </c>
      <c r="E23" s="11">
        <v>1</v>
      </c>
      <c r="F23" s="11" t="s">
        <v>4</v>
      </c>
      <c r="G23" s="11" t="str">
        <f>_xlfn.TEXTJOIN("-",TRUE,Table16[[#This Row],[attribute]],Table16[[#This Row],[supplemented]],Table16[[#This Row],[method]])</f>
        <v>plurality-TRUE-max</v>
      </c>
      <c r="H23" s="13" cm="1">
        <f t="array" ref="H23">_xlfn.LET(_xlpm.d,H$2:H$19,_xlpm.a,$C$2:$C$19=$C23,_xlpm.b,$D$2:$D$19=$D23,MAX(_xlfn._xlws.FILTER(_xlpm.d,_xlpm.a*_xlpm.b)))</f>
        <v>0.87</v>
      </c>
      <c r="I23" s="13" cm="1">
        <f t="array" ref="I23">_xlfn.LET(_xlpm.d,I$2:I$19,_xlpm.a,$C$2:$C$19=$C23,_xlpm.b,$D$2:$D$19=$D23,MAX(_xlfn._xlws.FILTER(_xlpm.d,_xlpm.a*_xlpm.b)))</f>
        <v>0.87</v>
      </c>
      <c r="J23" s="13" cm="1">
        <f t="array" ref="J23">_xlfn.LET(_xlpm.d,J$2:J$19,_xlpm.a,$C$2:$C$19=$C23,_xlpm.b,$D$2:$D$19=$D23,MAX(_xlfn._xlws.FILTER(_xlpm.d,_xlpm.a*_xlpm.b)))</f>
        <v>0.89</v>
      </c>
      <c r="K23" s="13" cm="1">
        <f t="array" ref="K23">_xlfn.LET(_xlpm.d,K$2:K$19,_xlpm.a,$C$2:$C$19=$C23,_xlpm.b,$D$2:$D$19=$D23,MAX(_xlfn._xlws.FILTER(_xlpm.d,_xlpm.a*_xlpm.b)))</f>
        <v>0.91</v>
      </c>
      <c r="L23" s="13" cm="1">
        <f t="array" ref="L23">_xlfn.LET(_xlpm.d,L$2:L$19,_xlpm.a,$C$2:$C$19=$C23,_xlpm.b,$D$2:$D$19=$D23,MAX(_xlfn._xlws.FILTER(_xlpm.d,_xlpm.a*_xlpm.b)))</f>
        <v>0.85</v>
      </c>
      <c r="M23" s="13" cm="1">
        <f t="array" ref="M23">_xlfn.LET(_xlpm.d,M$2:M$19,_xlpm.a,$C$2:$C$19=$C23,_xlpm.b,$D$2:$D$19=$D23,MAX(_xlfn._xlws.FILTER(_xlpm.d,_xlpm.a*_xlpm.b)))</f>
        <v>0.87</v>
      </c>
      <c r="N23" s="13" cm="1">
        <f t="array" ref="N23">_xlfn.LET(_xlpm.d,N$2:N$19,_xlpm.a,$C$2:$C$19=$C23,_xlpm.b,$D$2:$D$19=$D23,MAX(_xlfn._xlws.FILTER(_xlpm.d,_xlpm.a*_xlpm.b)))</f>
        <v>0.94</v>
      </c>
      <c r="O23" s="13" cm="1">
        <f t="array" ref="O23">_xlfn.LET(_xlpm.d,O$2:O$19,_xlpm.a,$C$2:$C$19=$C23,_xlpm.b,$D$2:$D$19=$D23,MAX(_xlfn._xlws.FILTER(_xlpm.d,_xlpm.a*_xlpm.b)))</f>
        <v>0.91</v>
      </c>
      <c r="P23" s="13" cm="1">
        <f t="array" ref="P23">_xlfn.LET(_xlpm.d,P$2:P$19,_xlpm.a,$C$2:$C$19=$C23,_xlpm.b,$D$2:$D$19=$D23,MAX(_xlfn._xlws.FILTER(_xlpm.d,_xlpm.a*_xlpm.b)))</f>
        <v>0.87</v>
      </c>
      <c r="Q23" s="13" cm="1">
        <f t="array" ref="Q23">_xlfn.LET(_xlpm.d,Q$2:Q$19,_xlpm.a,$C$2:$C$19=$C23,_xlpm.b,$D$2:$D$19=$D23,MAX(_xlfn._xlws.FILTER(_xlpm.d,_xlpm.a*_xlpm.b)))</f>
        <v>0.89</v>
      </c>
      <c r="R23" s="13" cm="1">
        <f t="array" ref="R23">_xlfn.LET(_xlpm.d,R$2:R$19,_xlpm.a,$C$2:$C$19=$C23,_xlpm.b,$D$2:$D$19=$D23,MAX(_xlfn._xlws.FILTER(_xlpm.d,_xlpm.a*_xlpm.b)))</f>
        <v>0.87</v>
      </c>
      <c r="S23" s="13" cm="1">
        <f t="array" ref="S23">_xlfn.LET(_xlpm.d,S$2:S$19,_xlpm.a,$C$2:$C$19=$C23,_xlpm.b,$D$2:$D$19=$D23,MAX(_xlfn._xlws.FILTER(_xlpm.d,_xlpm.a*_xlpm.b)))</f>
        <v>0.9</v>
      </c>
      <c r="T23" s="13" cm="1">
        <f t="array" ref="T23">_xlfn.LET(_xlpm.d,T$2:T$19,_xlpm.a,$C$2:$C$19=$C23,_xlpm.b,$D$2:$D$19=$D23,MAX(_xlfn._xlws.FILTER(_xlpm.d,_xlpm.a*_xlpm.b)))</f>
        <v>0.94</v>
      </c>
    </row>
    <row r="24" spans="1:20" ht="27" customHeight="1">
      <c r="B24" s="19">
        <v>1</v>
      </c>
      <c r="C24" s="11" t="s">
        <v>6</v>
      </c>
      <c r="D24" s="11" t="b">
        <v>0</v>
      </c>
      <c r="E24" s="11">
        <v>1</v>
      </c>
      <c r="F24" s="11" t="s">
        <v>4</v>
      </c>
      <c r="G24" s="11" t="str">
        <f>_xlfn.TEXTJOIN("-",TRUE,Table16[[#This Row],[attribute]],Table16[[#This Row],[supplemented]],Table16[[#This Row],[method]])</f>
        <v>plurality-FALSE-max</v>
      </c>
      <c r="H24" s="13" cm="1">
        <f t="array" ref="H24">_xlfn.LET(_xlpm.d,H$2:H$19,_xlpm.a,$C$2:$C$19=$C24,_xlpm.b,$D$2:$D$19=$D24,MAX(_xlfn._xlws.FILTER(_xlpm.d,_xlpm.a*_xlpm.b)))</f>
        <v>0.8</v>
      </c>
      <c r="I24" s="13" cm="1">
        <f t="array" ref="I24">_xlfn.LET(_xlpm.d,I$2:I$19,_xlpm.a,$C$2:$C$19=$C24,_xlpm.b,$D$2:$D$19=$D24,MAX(_xlfn._xlws.FILTER(_xlpm.d,_xlpm.a*_xlpm.b)))</f>
        <v>0.84</v>
      </c>
      <c r="J24" s="13" cm="1">
        <f t="array" ref="J24">_xlfn.LET(_xlpm.d,J$2:J$19,_xlpm.a,$C$2:$C$19=$C24,_xlpm.b,$D$2:$D$19=$D24,MAX(_xlfn._xlws.FILTER(_xlpm.d,_xlpm.a*_xlpm.b)))</f>
        <v>0.85</v>
      </c>
      <c r="K24" s="13" cm="1">
        <f t="array" ref="K24">_xlfn.LET(_xlpm.d,K$2:K$19,_xlpm.a,$C$2:$C$19=$C24,_xlpm.b,$D$2:$D$19=$D24,MAX(_xlfn._xlws.FILTER(_xlpm.d,_xlpm.a*_xlpm.b)))</f>
        <v>0.85</v>
      </c>
      <c r="L24" s="13" cm="1">
        <f t="array" ref="L24">_xlfn.LET(_xlpm.d,L$2:L$19,_xlpm.a,$C$2:$C$19=$C24,_xlpm.b,$D$2:$D$19=$D24,MAX(_xlfn._xlws.FILTER(_xlpm.d,_xlpm.a*_xlpm.b)))</f>
        <v>0.86</v>
      </c>
      <c r="M24" s="13" cm="1">
        <f t="array" ref="M24">_xlfn.LET(_xlpm.d,M$2:M$19,_xlpm.a,$C$2:$C$19=$C24,_xlpm.b,$D$2:$D$19=$D24,MAX(_xlfn._xlws.FILTER(_xlpm.d,_xlpm.a*_xlpm.b)))</f>
        <v>0.82</v>
      </c>
      <c r="N24" s="13" cm="1">
        <f t="array" ref="N24">_xlfn.LET(_xlpm.d,N$2:N$19,_xlpm.a,$C$2:$C$19=$C24,_xlpm.b,$D$2:$D$19=$D24,MAX(_xlfn._xlws.FILTER(_xlpm.d,_xlpm.a*_xlpm.b)))</f>
        <v>0.86</v>
      </c>
      <c r="O24" s="13" cm="1">
        <f t="array" ref="O24">_xlfn.LET(_xlpm.d,O$2:O$19,_xlpm.a,$C$2:$C$19=$C24,_xlpm.b,$D$2:$D$19=$D24,MAX(_xlfn._xlws.FILTER(_xlpm.d,_xlpm.a*_xlpm.b)))</f>
        <v>0.82</v>
      </c>
      <c r="P24" s="13" cm="1">
        <f t="array" ref="P24">_xlfn.LET(_xlpm.d,P$2:P$19,_xlpm.a,$C$2:$C$19=$C24,_xlpm.b,$D$2:$D$19=$D24,MAX(_xlfn._xlws.FILTER(_xlpm.d,_xlpm.a*_xlpm.b)))</f>
        <v>0.83</v>
      </c>
      <c r="Q24" s="13" cm="1">
        <f t="array" ref="Q24">_xlfn.LET(_xlpm.d,Q$2:Q$19,_xlpm.a,$C$2:$C$19=$C24,_xlpm.b,$D$2:$D$19=$D24,MAX(_xlfn._xlws.FILTER(_xlpm.d,_xlpm.a*_xlpm.b)))</f>
        <v>0.85</v>
      </c>
      <c r="R24" s="13" cm="1">
        <f t="array" ref="R24">_xlfn.LET(_xlpm.d,R$2:R$19,_xlpm.a,$C$2:$C$19=$C24,_xlpm.b,$D$2:$D$19=$D24,MAX(_xlfn._xlws.FILTER(_xlpm.d,_xlpm.a*_xlpm.b)))</f>
        <v>0.85</v>
      </c>
      <c r="S24" s="13" cm="1">
        <f t="array" ref="S24">_xlfn.LET(_xlpm.d,S$2:S$19,_xlpm.a,$C$2:$C$19=$C24,_xlpm.b,$D$2:$D$19=$D24,MAX(_xlfn._xlws.FILTER(_xlpm.d,_xlpm.a*_xlpm.b)))</f>
        <v>0.81</v>
      </c>
      <c r="T24" s="13" cm="1">
        <f t="array" ref="T24">_xlfn.LET(_xlpm.d,T$2:T$19,_xlpm.a,$C$2:$C$19=$C24,_xlpm.b,$D$2:$D$19=$D24,MAX(_xlfn._xlws.FILTER(_xlpm.d,_xlpm.a*_xlpm.b)))</f>
        <v>0.86</v>
      </c>
    </row>
    <row r="25" spans="1:20" ht="27" customHeight="1">
      <c r="B25" s="19">
        <v>2</v>
      </c>
      <c r="C25" s="11" t="s">
        <v>10</v>
      </c>
      <c r="D25" s="11" t="b">
        <v>1</v>
      </c>
      <c r="E25" s="11">
        <v>1</v>
      </c>
      <c r="F25" s="11" t="s">
        <v>4</v>
      </c>
      <c r="G25" s="11" t="str">
        <f>_xlfn.TEXTJOIN("-",TRUE,Table16[[#This Row],[attribute]],Table16[[#This Row],[supplemented]],Table16[[#This Row],[method]])</f>
        <v>gender-TRUE-max</v>
      </c>
      <c r="H25" s="13" cm="1">
        <f t="array" ref="H25">_xlfn.LET(_xlpm.d,H$2:H$19,_xlpm.a,$C$2:$C$19=$C25,_xlpm.b,$D$2:$D$19=$D25,MAX(_xlfn._xlws.FILTER(_xlpm.d,_xlpm.a*_xlpm.b)))</f>
        <v>0.72</v>
      </c>
      <c r="I25" s="13" cm="1">
        <f t="array" ref="I25">_xlfn.LET(_xlpm.d,I$2:I$19,_xlpm.a,$C$2:$C$19=$C25,_xlpm.b,$D$2:$D$19=$D25,MAX(_xlfn._xlws.FILTER(_xlpm.d,_xlpm.a*_xlpm.b)))</f>
        <v>0.7</v>
      </c>
      <c r="J25" s="13" cm="1">
        <f t="array" ref="J25">_xlfn.LET(_xlpm.d,J$2:J$19,_xlpm.a,$C$2:$C$19=$C25,_xlpm.b,$D$2:$D$19=$D25,MAX(_xlfn._xlws.FILTER(_xlpm.d,_xlpm.a*_xlpm.b)))</f>
        <v>0.68</v>
      </c>
      <c r="K25" s="13" cm="1">
        <f t="array" ref="K25">_xlfn.LET(_xlpm.d,K$2:K$19,_xlpm.a,$C$2:$C$19=$C25,_xlpm.b,$D$2:$D$19=$D25,MAX(_xlfn._xlws.FILTER(_xlpm.d,_xlpm.a*_xlpm.b)))</f>
        <v>0.7</v>
      </c>
      <c r="L25" s="13" cm="1">
        <f t="array" ref="L25">_xlfn.LET(_xlpm.d,L$2:L$19,_xlpm.a,$C$2:$C$19=$C25,_xlpm.b,$D$2:$D$19=$D25,MAX(_xlfn._xlws.FILTER(_xlpm.d,_xlpm.a*_xlpm.b)))</f>
        <v>0.71</v>
      </c>
      <c r="M25" s="13" cm="1">
        <f t="array" ref="M25">_xlfn.LET(_xlpm.d,M$2:M$19,_xlpm.a,$C$2:$C$19=$C25,_xlpm.b,$D$2:$D$19=$D25,MAX(_xlfn._xlws.FILTER(_xlpm.d,_xlpm.a*_xlpm.b)))</f>
        <v>0.7</v>
      </c>
      <c r="N25" s="13" cm="1">
        <f t="array" ref="N25">_xlfn.LET(_xlpm.d,N$2:N$19,_xlpm.a,$C$2:$C$19=$C25,_xlpm.b,$D$2:$D$19=$D25,MAX(_xlfn._xlws.FILTER(_xlpm.d,_xlpm.a*_xlpm.b)))</f>
        <v>0.72</v>
      </c>
      <c r="O25" s="13" cm="1">
        <f t="array" ref="O25">_xlfn.LET(_xlpm.d,O$2:O$19,_xlpm.a,$C$2:$C$19=$C25,_xlpm.b,$D$2:$D$19=$D25,MAX(_xlfn._xlws.FILTER(_xlpm.d,_xlpm.a*_xlpm.b)))</f>
        <v>0.71</v>
      </c>
      <c r="P25" s="13" cm="1">
        <f t="array" ref="P25">_xlfn.LET(_xlpm.d,P$2:P$19,_xlpm.a,$C$2:$C$19=$C25,_xlpm.b,$D$2:$D$19=$D25,MAX(_xlfn._xlws.FILTER(_xlpm.d,_xlpm.a*_xlpm.b)))</f>
        <v>0.7</v>
      </c>
      <c r="Q25" s="13" cm="1">
        <f t="array" ref="Q25">_xlfn.LET(_xlpm.d,Q$2:Q$19,_xlpm.a,$C$2:$C$19=$C25,_xlpm.b,$D$2:$D$19=$D25,MAX(_xlfn._xlws.FILTER(_xlpm.d,_xlpm.a*_xlpm.b)))</f>
        <v>0.71</v>
      </c>
      <c r="R25" s="13" cm="1">
        <f t="array" ref="R25">_xlfn.LET(_xlpm.d,R$2:R$19,_xlpm.a,$C$2:$C$19=$C25,_xlpm.b,$D$2:$D$19=$D25,MAX(_xlfn._xlws.FILTER(_xlpm.d,_xlpm.a*_xlpm.b)))</f>
        <v>0.7</v>
      </c>
      <c r="S25" s="13" cm="1">
        <f t="array" ref="S25">_xlfn.LET(_xlpm.d,S$2:S$19,_xlpm.a,$C$2:$C$19=$C25,_xlpm.b,$D$2:$D$19=$D25,MAX(_xlfn._xlws.FILTER(_xlpm.d,_xlpm.a*_xlpm.b)))</f>
        <v>0.7</v>
      </c>
      <c r="T25" s="13" cm="1">
        <f t="array" ref="T25">_xlfn.LET(_xlpm.d,T$2:T$19,_xlpm.a,$C$2:$C$19=$C25,_xlpm.b,$D$2:$D$19=$D25,MAX(_xlfn._xlws.FILTER(_xlpm.d,_xlpm.a*_xlpm.b)))</f>
        <v>0.72</v>
      </c>
    </row>
    <row r="26" spans="1:20" ht="27" customHeight="1">
      <c r="B26" s="19">
        <v>2</v>
      </c>
      <c r="C26" s="11" t="s">
        <v>10</v>
      </c>
      <c r="D26" s="11" t="b">
        <v>0</v>
      </c>
      <c r="E26" s="11">
        <v>1</v>
      </c>
      <c r="F26" s="11" t="s">
        <v>4</v>
      </c>
      <c r="G26" s="11" t="str">
        <f>_xlfn.TEXTJOIN("-",TRUE,Table16[[#This Row],[attribute]],Table16[[#This Row],[supplemented]],Table16[[#This Row],[method]])</f>
        <v>gender-FALSE-max</v>
      </c>
      <c r="H26" s="13" cm="1">
        <f t="array" ref="H26">_xlfn.LET(_xlpm.d,H$2:H$19,_xlpm.a,$C$2:$C$19=$C26,_xlpm.b,$D$2:$D$19=$D26,MAX(_xlfn._xlws.FILTER(_xlpm.d,_xlpm.a*_xlpm.b)))</f>
        <v>0.71</v>
      </c>
      <c r="I26" s="13" cm="1">
        <f t="array" ref="I26">_xlfn.LET(_xlpm.d,I$2:I$19,_xlpm.a,$C$2:$C$19=$C26,_xlpm.b,$D$2:$D$19=$D26,MAX(_xlfn._xlws.FILTER(_xlpm.d,_xlpm.a*_xlpm.b)))</f>
        <v>0.68</v>
      </c>
      <c r="J26" s="13" cm="1">
        <f t="array" ref="J26">_xlfn.LET(_xlpm.d,J$2:J$19,_xlpm.a,$C$2:$C$19=$C26,_xlpm.b,$D$2:$D$19=$D26,MAX(_xlfn._xlws.FILTER(_xlpm.d,_xlpm.a*_xlpm.b)))</f>
        <v>0.71</v>
      </c>
      <c r="K26" s="13" cm="1">
        <f t="array" ref="K26">_xlfn.LET(_xlpm.d,K$2:K$19,_xlpm.a,$C$2:$C$19=$C26,_xlpm.b,$D$2:$D$19=$D26,MAX(_xlfn._xlws.FILTER(_xlpm.d,_xlpm.a*_xlpm.b)))</f>
        <v>0.68</v>
      </c>
      <c r="L26" s="13" cm="1">
        <f t="array" ref="L26">_xlfn.LET(_xlpm.d,L$2:L$19,_xlpm.a,$C$2:$C$19=$C26,_xlpm.b,$D$2:$D$19=$D26,MAX(_xlfn._xlws.FILTER(_xlpm.d,_xlpm.a*_xlpm.b)))</f>
        <v>0.71</v>
      </c>
      <c r="M26" s="13" cm="1">
        <f t="array" ref="M26">_xlfn.LET(_xlpm.d,M$2:M$19,_xlpm.a,$C$2:$C$19=$C26,_xlpm.b,$D$2:$D$19=$D26,MAX(_xlfn._xlws.FILTER(_xlpm.d,_xlpm.a*_xlpm.b)))</f>
        <v>0.67</v>
      </c>
      <c r="N26" s="13" cm="1">
        <f t="array" ref="N26">_xlfn.LET(_xlpm.d,N$2:N$19,_xlpm.a,$C$2:$C$19=$C26,_xlpm.b,$D$2:$D$19=$D26,MAX(_xlfn._xlws.FILTER(_xlpm.d,_xlpm.a*_xlpm.b)))</f>
        <v>0.67</v>
      </c>
      <c r="O26" s="13" cm="1">
        <f t="array" ref="O26">_xlfn.LET(_xlpm.d,O$2:O$19,_xlpm.a,$C$2:$C$19=$C26,_xlpm.b,$D$2:$D$19=$D26,MAX(_xlfn._xlws.FILTER(_xlpm.d,_xlpm.a*_xlpm.b)))</f>
        <v>0.72</v>
      </c>
      <c r="P26" s="13" cm="1">
        <f t="array" ref="P26">_xlfn.LET(_xlpm.d,P$2:P$19,_xlpm.a,$C$2:$C$19=$C26,_xlpm.b,$D$2:$D$19=$D26,MAX(_xlfn._xlws.FILTER(_xlpm.d,_xlpm.a*_xlpm.b)))</f>
        <v>0.68</v>
      </c>
      <c r="Q26" s="13" cm="1">
        <f t="array" ref="Q26">_xlfn.LET(_xlpm.d,Q$2:Q$19,_xlpm.a,$C$2:$C$19=$C26,_xlpm.b,$D$2:$D$19=$D26,MAX(_xlfn._xlws.FILTER(_xlpm.d,_xlpm.a*_xlpm.b)))</f>
        <v>0.64</v>
      </c>
      <c r="R26" s="13" cm="1">
        <f t="array" ref="R26">_xlfn.LET(_xlpm.d,R$2:R$19,_xlpm.a,$C$2:$C$19=$C26,_xlpm.b,$D$2:$D$19=$D26,MAX(_xlfn._xlws.FILTER(_xlpm.d,_xlpm.a*_xlpm.b)))</f>
        <v>0.7</v>
      </c>
      <c r="S26" s="13" cm="1">
        <f t="array" ref="S26">_xlfn.LET(_xlpm.d,S$2:S$19,_xlpm.a,$C$2:$C$19=$C26,_xlpm.b,$D$2:$D$19=$D26,MAX(_xlfn._xlws.FILTER(_xlpm.d,_xlpm.a*_xlpm.b)))</f>
        <v>0.68</v>
      </c>
      <c r="T26" s="13" cm="1">
        <f t="array" ref="T26">_xlfn.LET(_xlpm.d,T$2:T$19,_xlpm.a,$C$2:$C$19=$C26,_xlpm.b,$D$2:$D$19=$D26,MAX(_xlfn._xlws.FILTER(_xlpm.d,_xlpm.a*_xlpm.b)))</f>
        <v>0.72</v>
      </c>
    </row>
    <row r="27" spans="1:20" ht="27" customHeight="1">
      <c r="B27" s="19">
        <v>3</v>
      </c>
      <c r="C27" s="11" t="s">
        <v>11</v>
      </c>
      <c r="D27" s="11" t="b">
        <v>1</v>
      </c>
      <c r="E27" s="11">
        <v>1</v>
      </c>
      <c r="F27" s="11" t="s">
        <v>4</v>
      </c>
      <c r="G27" s="11" t="str">
        <f>_xlfn.TEXTJOIN("-",TRUE,Table16[[#This Row],[attribute]],Table16[[#This Row],[supplemented]],Table16[[#This Row],[method]])</f>
        <v>case-TRUE-max</v>
      </c>
      <c r="H27" s="13" cm="1">
        <f t="array" ref="H27">_xlfn.LET(_xlpm.d,H$2:H$19,_xlpm.a,$C$2:$C$19=$C27,_xlpm.b,$D$2:$D$19=$D27,MAX(_xlfn._xlws.FILTER(_xlpm.d,_xlpm.a*_xlpm.b)))</f>
        <v>0.51</v>
      </c>
      <c r="I27" s="13" cm="1">
        <f t="array" ref="I27">_xlfn.LET(_xlpm.d,I$2:I$19,_xlpm.a,$C$2:$C$19=$C27,_xlpm.b,$D$2:$D$19=$D27,MAX(_xlfn._xlws.FILTER(_xlpm.d,_xlpm.a*_xlpm.b)))</f>
        <v>0.53</v>
      </c>
      <c r="J27" s="13" cm="1">
        <f t="array" ref="J27">_xlfn.LET(_xlpm.d,J$2:J$19,_xlpm.a,$C$2:$C$19=$C27,_xlpm.b,$D$2:$D$19=$D27,MAX(_xlfn._xlws.FILTER(_xlpm.d,_xlpm.a*_xlpm.b)))</f>
        <v>0.49</v>
      </c>
      <c r="K27" s="13" cm="1">
        <f t="array" ref="K27">_xlfn.LET(_xlpm.d,K$2:K$19,_xlpm.a,$C$2:$C$19=$C27,_xlpm.b,$D$2:$D$19=$D27,MAX(_xlfn._xlws.FILTER(_xlpm.d,_xlpm.a*_xlpm.b)))</f>
        <v>0.55000000000000004</v>
      </c>
      <c r="L27" s="13" cm="1">
        <f t="array" ref="L27">_xlfn.LET(_xlpm.d,L$2:L$19,_xlpm.a,$C$2:$C$19=$C27,_xlpm.b,$D$2:$D$19=$D27,MAX(_xlfn._xlws.FILTER(_xlpm.d,_xlpm.a*_xlpm.b)))</f>
        <v>0.56000000000000005</v>
      </c>
      <c r="M27" s="13" cm="1">
        <f t="array" ref="M27">_xlfn.LET(_xlpm.d,M$2:M$19,_xlpm.a,$C$2:$C$19=$C27,_xlpm.b,$D$2:$D$19=$D27,MAX(_xlfn._xlws.FILTER(_xlpm.d,_xlpm.a*_xlpm.b)))</f>
        <v>0.48</v>
      </c>
      <c r="N27" s="13" cm="1">
        <f t="array" ref="N27">_xlfn.LET(_xlpm.d,N$2:N$19,_xlpm.a,$C$2:$C$19=$C27,_xlpm.b,$D$2:$D$19=$D27,MAX(_xlfn._xlws.FILTER(_xlpm.d,_xlpm.a*_xlpm.b)))</f>
        <v>0.54</v>
      </c>
      <c r="O27" s="13" cm="1">
        <f t="array" ref="O27">_xlfn.LET(_xlpm.d,O$2:O$19,_xlpm.a,$C$2:$C$19=$C27,_xlpm.b,$D$2:$D$19=$D27,MAX(_xlfn._xlws.FILTER(_xlpm.d,_xlpm.a*_xlpm.b)))</f>
        <v>0.59</v>
      </c>
      <c r="P27" s="13" cm="1">
        <f t="array" ref="P27">_xlfn.LET(_xlpm.d,P$2:P$19,_xlpm.a,$C$2:$C$19=$C27,_xlpm.b,$D$2:$D$19=$D27,MAX(_xlfn._xlws.FILTER(_xlpm.d,_xlpm.a*_xlpm.b)))</f>
        <v>0.59</v>
      </c>
      <c r="Q27" s="13" cm="1">
        <f t="array" ref="Q27">_xlfn.LET(_xlpm.d,Q$2:Q$19,_xlpm.a,$C$2:$C$19=$C27,_xlpm.b,$D$2:$D$19=$D27,MAX(_xlfn._xlws.FILTER(_xlpm.d,_xlpm.a*_xlpm.b)))</f>
        <v>0.51</v>
      </c>
      <c r="R27" s="13" cm="1">
        <f t="array" ref="R27">_xlfn.LET(_xlpm.d,R$2:R$19,_xlpm.a,$C$2:$C$19=$C27,_xlpm.b,$D$2:$D$19=$D27,MAX(_xlfn._xlws.FILTER(_xlpm.d,_xlpm.a*_xlpm.b)))</f>
        <v>0.56000000000000005</v>
      </c>
      <c r="S27" s="13" cm="1">
        <f t="array" ref="S27">_xlfn.LET(_xlpm.d,S$2:S$19,_xlpm.a,$C$2:$C$19=$C27,_xlpm.b,$D$2:$D$19=$D27,MAX(_xlfn._xlws.FILTER(_xlpm.d,_xlpm.a*_xlpm.b)))</f>
        <v>0.56000000000000005</v>
      </c>
      <c r="T27" s="13" cm="1">
        <f t="array" ref="T27">_xlfn.LET(_xlpm.d,T$2:T$19,_xlpm.a,$C$2:$C$19=$C27,_xlpm.b,$D$2:$D$19=$D27,MAX(_xlfn._xlws.FILTER(_xlpm.d,_xlpm.a*_xlpm.b)))</f>
        <v>0.59</v>
      </c>
    </row>
    <row r="28" spans="1:20" ht="27" customHeight="1">
      <c r="B28" s="19">
        <v>3</v>
      </c>
      <c r="C28" s="11" t="s">
        <v>11</v>
      </c>
      <c r="D28" s="11" t="b">
        <v>0</v>
      </c>
      <c r="E28" s="11">
        <v>1</v>
      </c>
      <c r="F28" s="11" t="s">
        <v>4</v>
      </c>
      <c r="G28" s="11" t="str">
        <f>_xlfn.TEXTJOIN("-",TRUE,Table16[[#This Row],[attribute]],Table16[[#This Row],[supplemented]],Table16[[#This Row],[method]])</f>
        <v>case-FALSE-max</v>
      </c>
      <c r="H28" s="13" cm="1">
        <f t="array" ref="H28">_xlfn.LET(_xlpm.d,H$2:H$19,_xlpm.a,$C$2:$C$19=$C28,_xlpm.b,$D$2:$D$19=$D28,MAX(_xlfn._xlws.FILTER(_xlpm.d,_xlpm.a*_xlpm.b)))</f>
        <v>0.43</v>
      </c>
      <c r="I28" s="13" cm="1">
        <f t="array" ref="I28">_xlfn.LET(_xlpm.d,I$2:I$19,_xlpm.a,$C$2:$C$19=$C28,_xlpm.b,$D$2:$D$19=$D28,MAX(_xlfn._xlws.FILTER(_xlpm.d,_xlpm.a*_xlpm.b)))</f>
        <v>0.49</v>
      </c>
      <c r="J28" s="13" cm="1">
        <f t="array" ref="J28">_xlfn.LET(_xlpm.d,J$2:J$19,_xlpm.a,$C$2:$C$19=$C28,_xlpm.b,$D$2:$D$19=$D28,MAX(_xlfn._xlws.FILTER(_xlpm.d,_xlpm.a*_xlpm.b)))</f>
        <v>0.42</v>
      </c>
      <c r="K28" s="13" cm="1">
        <f t="array" ref="K28">_xlfn.LET(_xlpm.d,K$2:K$19,_xlpm.a,$C$2:$C$19=$C28,_xlpm.b,$D$2:$D$19=$D28,MAX(_xlfn._xlws.FILTER(_xlpm.d,_xlpm.a*_xlpm.b)))</f>
        <v>0.48</v>
      </c>
      <c r="L28" s="13" cm="1">
        <f t="array" ref="L28">_xlfn.LET(_xlpm.d,L$2:L$19,_xlpm.a,$C$2:$C$19=$C28,_xlpm.b,$D$2:$D$19=$D28,MAX(_xlfn._xlws.FILTER(_xlpm.d,_xlpm.a*_xlpm.b)))</f>
        <v>0.5</v>
      </c>
      <c r="M28" s="13" cm="1">
        <f t="array" ref="M28">_xlfn.LET(_xlpm.d,M$2:M$19,_xlpm.a,$C$2:$C$19=$C28,_xlpm.b,$D$2:$D$19=$D28,MAX(_xlfn._xlws.FILTER(_xlpm.d,_xlpm.a*_xlpm.b)))</f>
        <v>0.4</v>
      </c>
      <c r="N28" s="13" cm="1">
        <f t="array" ref="N28">_xlfn.LET(_xlpm.d,N$2:N$19,_xlpm.a,$C$2:$C$19=$C28,_xlpm.b,$D$2:$D$19=$D28,MAX(_xlfn._xlws.FILTER(_xlpm.d,_xlpm.a*_xlpm.b)))</f>
        <v>0.43</v>
      </c>
      <c r="O28" s="13" cm="1">
        <f t="array" ref="O28">_xlfn.LET(_xlpm.d,O$2:O$19,_xlpm.a,$C$2:$C$19=$C28,_xlpm.b,$D$2:$D$19=$D28,MAX(_xlfn._xlws.FILTER(_xlpm.d,_xlpm.a*_xlpm.b)))</f>
        <v>0.45</v>
      </c>
      <c r="P28" s="13" cm="1">
        <f t="array" ref="P28">_xlfn.LET(_xlpm.d,P$2:P$19,_xlpm.a,$C$2:$C$19=$C28,_xlpm.b,$D$2:$D$19=$D28,MAX(_xlfn._xlws.FILTER(_xlpm.d,_xlpm.a*_xlpm.b)))</f>
        <v>0.48</v>
      </c>
      <c r="Q28" s="13" cm="1">
        <f t="array" ref="Q28">_xlfn.LET(_xlpm.d,Q$2:Q$19,_xlpm.a,$C$2:$C$19=$C28,_xlpm.b,$D$2:$D$19=$D28,MAX(_xlfn._xlws.FILTER(_xlpm.d,_xlpm.a*_xlpm.b)))</f>
        <v>0.46</v>
      </c>
      <c r="R28" s="13" cm="1">
        <f t="array" ref="R28">_xlfn.LET(_xlpm.d,R$2:R$19,_xlpm.a,$C$2:$C$19=$C28,_xlpm.b,$D$2:$D$19=$D28,MAX(_xlfn._xlws.FILTER(_xlpm.d,_xlpm.a*_xlpm.b)))</f>
        <v>0.45</v>
      </c>
      <c r="S28" s="13" cm="1">
        <f t="array" ref="S28">_xlfn.LET(_xlpm.d,S$2:S$19,_xlpm.a,$C$2:$C$19=$C28,_xlpm.b,$D$2:$D$19=$D28,MAX(_xlfn._xlws.FILTER(_xlpm.d,_xlpm.a*_xlpm.b)))</f>
        <v>0.44</v>
      </c>
      <c r="T28" s="13" cm="1">
        <f t="array" ref="T28">_xlfn.LET(_xlpm.d,T$2:T$19,_xlpm.a,$C$2:$C$19=$C28,_xlpm.b,$D$2:$D$19=$D28,MAX(_xlfn._xlws.FILTER(_xlpm.d,_xlpm.a*_xlpm.b)))</f>
        <v>0.5</v>
      </c>
    </row>
    <row r="30" spans="1:20" ht="27" customHeight="1">
      <c r="E30" t="s">
        <v>4</v>
      </c>
      <c r="F30" t="s">
        <v>19</v>
      </c>
      <c r="H30" s="14">
        <f t="shared" ref="H30:T30" si="1">_xlfn.LET(_xlpm.d,H$23:H$28,GEOMEAN(_xlpm.d))</f>
        <v>0.65369192381037922</v>
      </c>
      <c r="I30" s="14">
        <f t="shared" si="1"/>
        <v>0.66985310297705658</v>
      </c>
      <c r="J30" s="14">
        <f t="shared" si="1"/>
        <v>0.64963626490119786</v>
      </c>
      <c r="K30" s="14">
        <f t="shared" si="1"/>
        <v>0.67807624953380596</v>
      </c>
      <c r="L30" s="14">
        <f t="shared" si="1"/>
        <v>0.68485508433032538</v>
      </c>
      <c r="M30" s="14">
        <f t="shared" si="1"/>
        <v>0.63285059982759317</v>
      </c>
      <c r="N30" s="14">
        <f t="shared" si="1"/>
        <v>0.67011494420945583</v>
      </c>
      <c r="O30" s="14">
        <f t="shared" si="1"/>
        <v>0.68273437423385253</v>
      </c>
      <c r="P30" s="14">
        <f t="shared" si="1"/>
        <v>0.67823925855166689</v>
      </c>
      <c r="Q30" s="14">
        <f t="shared" si="1"/>
        <v>0.65729835260931668</v>
      </c>
      <c r="R30" s="14">
        <f t="shared" si="1"/>
        <v>0.67105142023973607</v>
      </c>
      <c r="S30" s="14">
        <f t="shared" si="1"/>
        <v>0.66373674941544292</v>
      </c>
      <c r="T30" s="14">
        <f t="shared" si="1"/>
        <v>0.7058063353370797</v>
      </c>
    </row>
    <row r="31" spans="1:20" ht="27" customHeight="1">
      <c r="E31" t="s">
        <v>4</v>
      </c>
      <c r="F31" t="s">
        <v>24</v>
      </c>
      <c r="H31" s="14">
        <f t="shared" ref="H31:T31" si="2">_xlfn.LET(_xlpm.d,H$23:H$28,MAX(_xlpm.d))</f>
        <v>0.87</v>
      </c>
      <c r="I31" s="14">
        <f t="shared" si="2"/>
        <v>0.87</v>
      </c>
      <c r="J31" s="14">
        <f t="shared" si="2"/>
        <v>0.89</v>
      </c>
      <c r="K31" s="14">
        <f t="shared" si="2"/>
        <v>0.91</v>
      </c>
      <c r="L31" s="14">
        <f t="shared" si="2"/>
        <v>0.86</v>
      </c>
      <c r="M31" s="14">
        <f t="shared" si="2"/>
        <v>0.87</v>
      </c>
      <c r="N31" s="14">
        <f t="shared" si="2"/>
        <v>0.94</v>
      </c>
      <c r="O31" s="14">
        <f t="shared" si="2"/>
        <v>0.91</v>
      </c>
      <c r="P31" s="14">
        <f t="shared" si="2"/>
        <v>0.87</v>
      </c>
      <c r="Q31" s="14">
        <f t="shared" si="2"/>
        <v>0.89</v>
      </c>
      <c r="R31" s="14">
        <f t="shared" si="2"/>
        <v>0.87</v>
      </c>
      <c r="S31" s="14">
        <f t="shared" si="2"/>
        <v>0.9</v>
      </c>
      <c r="T31" s="14">
        <f t="shared" si="2"/>
        <v>0.94</v>
      </c>
    </row>
    <row r="32" spans="1:20" ht="27" customHeight="1">
      <c r="E32" t="s">
        <v>4</v>
      </c>
      <c r="F32" t="s">
        <v>23</v>
      </c>
      <c r="H32" s="14">
        <f t="shared" ref="H32:T32" si="3">_xlfn.LET(_xlpm.d,H$23:H$28,MIN(_xlpm.d))</f>
        <v>0.43</v>
      </c>
      <c r="I32" s="14">
        <f t="shared" si="3"/>
        <v>0.49</v>
      </c>
      <c r="J32" s="14">
        <f t="shared" si="3"/>
        <v>0.42</v>
      </c>
      <c r="K32" s="14">
        <f t="shared" si="3"/>
        <v>0.48</v>
      </c>
      <c r="L32" s="14">
        <f t="shared" si="3"/>
        <v>0.5</v>
      </c>
      <c r="M32" s="14">
        <f t="shared" si="3"/>
        <v>0.4</v>
      </c>
      <c r="N32" s="14">
        <f t="shared" si="3"/>
        <v>0.43</v>
      </c>
      <c r="O32" s="14">
        <f t="shared" si="3"/>
        <v>0.45</v>
      </c>
      <c r="P32" s="14">
        <f t="shared" si="3"/>
        <v>0.48</v>
      </c>
      <c r="Q32" s="14">
        <f t="shared" si="3"/>
        <v>0.46</v>
      </c>
      <c r="R32" s="14">
        <f t="shared" si="3"/>
        <v>0.45</v>
      </c>
      <c r="S32" s="14">
        <f t="shared" si="3"/>
        <v>0.44</v>
      </c>
      <c r="T32" s="14">
        <f t="shared" si="3"/>
        <v>0.5</v>
      </c>
    </row>
    <row r="35" spans="2:19" ht="27" customHeight="1">
      <c r="B35" t="s">
        <v>12</v>
      </c>
      <c r="C35" t="s">
        <v>1</v>
      </c>
      <c r="D35" t="s">
        <v>16</v>
      </c>
      <c r="E35" t="s">
        <v>17</v>
      </c>
      <c r="F35" t="s">
        <v>14</v>
      </c>
      <c r="G35" t="s">
        <v>38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33</v>
      </c>
      <c r="P35" t="s">
        <v>34</v>
      </c>
      <c r="Q35" t="s">
        <v>35</v>
      </c>
      <c r="R35" t="s">
        <v>36</v>
      </c>
      <c r="S35" t="s">
        <v>37</v>
      </c>
    </row>
    <row r="36" spans="2:19" ht="27" customHeight="1">
      <c r="B36" s="20">
        <v>1</v>
      </c>
      <c r="C36" t="s">
        <v>6</v>
      </c>
      <c r="D36" t="b">
        <v>1</v>
      </c>
      <c r="E36">
        <v>2</v>
      </c>
      <c r="F36" t="s">
        <v>18</v>
      </c>
      <c r="H36" s="3">
        <f t="shared" ref="H36:S36" si="4">RANK(H23,$H23:$S23)</f>
        <v>7</v>
      </c>
      <c r="I36" s="3">
        <f t="shared" si="4"/>
        <v>7</v>
      </c>
      <c r="J36" s="3">
        <f t="shared" si="4"/>
        <v>5</v>
      </c>
      <c r="K36" s="3">
        <f t="shared" si="4"/>
        <v>2</v>
      </c>
      <c r="L36" s="3">
        <f t="shared" si="4"/>
        <v>12</v>
      </c>
      <c r="M36" s="3">
        <f t="shared" si="4"/>
        <v>7</v>
      </c>
      <c r="N36" s="3">
        <f t="shared" si="4"/>
        <v>1</v>
      </c>
      <c r="O36" s="3">
        <f t="shared" si="4"/>
        <v>2</v>
      </c>
      <c r="P36" s="3">
        <f t="shared" si="4"/>
        <v>7</v>
      </c>
      <c r="Q36" s="3">
        <f t="shared" si="4"/>
        <v>5</v>
      </c>
      <c r="R36" s="3">
        <f t="shared" si="4"/>
        <v>7</v>
      </c>
      <c r="S36" s="3">
        <f t="shared" si="4"/>
        <v>4</v>
      </c>
    </row>
    <row r="37" spans="2:19" ht="27" customHeight="1">
      <c r="B37" s="3">
        <v>1</v>
      </c>
      <c r="C37" t="s">
        <v>6</v>
      </c>
      <c r="D37" t="b">
        <v>0</v>
      </c>
      <c r="E37">
        <v>2</v>
      </c>
      <c r="F37" t="s">
        <v>18</v>
      </c>
      <c r="H37" s="3">
        <f t="shared" ref="H37:S37" si="5">RANK(H24,$H24:$S24)</f>
        <v>12</v>
      </c>
      <c r="I37" s="3">
        <f t="shared" si="5"/>
        <v>7</v>
      </c>
      <c r="J37" s="3">
        <f t="shared" si="5"/>
        <v>3</v>
      </c>
      <c r="K37" s="3">
        <f t="shared" si="5"/>
        <v>3</v>
      </c>
      <c r="L37" s="3">
        <f t="shared" si="5"/>
        <v>1</v>
      </c>
      <c r="M37" s="3">
        <f t="shared" si="5"/>
        <v>9</v>
      </c>
      <c r="N37" s="3">
        <f t="shared" si="5"/>
        <v>1</v>
      </c>
      <c r="O37" s="3">
        <f t="shared" si="5"/>
        <v>9</v>
      </c>
      <c r="P37" s="3">
        <f t="shared" si="5"/>
        <v>8</v>
      </c>
      <c r="Q37" s="3">
        <f t="shared" si="5"/>
        <v>3</v>
      </c>
      <c r="R37" s="3">
        <f t="shared" si="5"/>
        <v>3</v>
      </c>
      <c r="S37" s="3">
        <f t="shared" si="5"/>
        <v>11</v>
      </c>
    </row>
    <row r="38" spans="2:19" ht="27" customHeight="1">
      <c r="B38" s="3">
        <v>2</v>
      </c>
      <c r="C38" t="s">
        <v>10</v>
      </c>
      <c r="D38" t="b">
        <v>1</v>
      </c>
      <c r="E38">
        <v>2</v>
      </c>
      <c r="F38" t="s">
        <v>18</v>
      </c>
      <c r="H38" s="3">
        <f t="shared" ref="H38:S38" si="6">RANK(H25,$H25:$S25)</f>
        <v>1</v>
      </c>
      <c r="I38" s="3">
        <f t="shared" si="6"/>
        <v>6</v>
      </c>
      <c r="J38" s="3">
        <f t="shared" si="6"/>
        <v>12</v>
      </c>
      <c r="K38" s="3">
        <f t="shared" si="6"/>
        <v>6</v>
      </c>
      <c r="L38" s="3">
        <f t="shared" si="6"/>
        <v>3</v>
      </c>
      <c r="M38" s="3">
        <f t="shared" si="6"/>
        <v>6</v>
      </c>
      <c r="N38" s="3">
        <f t="shared" si="6"/>
        <v>1</v>
      </c>
      <c r="O38" s="3">
        <f t="shared" si="6"/>
        <v>3</v>
      </c>
      <c r="P38" s="3">
        <f t="shared" si="6"/>
        <v>6</v>
      </c>
      <c r="Q38" s="3">
        <f t="shared" si="6"/>
        <v>3</v>
      </c>
      <c r="R38" s="3">
        <f t="shared" si="6"/>
        <v>6</v>
      </c>
      <c r="S38" s="3">
        <f t="shared" si="6"/>
        <v>6</v>
      </c>
    </row>
    <row r="39" spans="2:19" ht="27" customHeight="1">
      <c r="B39" s="3">
        <v>2</v>
      </c>
      <c r="C39" t="s">
        <v>10</v>
      </c>
      <c r="D39" t="b">
        <v>0</v>
      </c>
      <c r="E39">
        <v>2</v>
      </c>
      <c r="F39" t="s">
        <v>18</v>
      </c>
      <c r="H39" s="3">
        <f t="shared" ref="H39:S39" si="7">RANK(H26,$H26:$S26)</f>
        <v>2</v>
      </c>
      <c r="I39" s="3">
        <f t="shared" si="7"/>
        <v>6</v>
      </c>
      <c r="J39" s="3">
        <f t="shared" si="7"/>
        <v>2</v>
      </c>
      <c r="K39" s="3">
        <f t="shared" si="7"/>
        <v>6</v>
      </c>
      <c r="L39" s="3">
        <f t="shared" si="7"/>
        <v>2</v>
      </c>
      <c r="M39" s="3">
        <f t="shared" si="7"/>
        <v>10</v>
      </c>
      <c r="N39" s="3">
        <f t="shared" si="7"/>
        <v>10</v>
      </c>
      <c r="O39" s="3">
        <f t="shared" si="7"/>
        <v>1</v>
      </c>
      <c r="P39" s="3">
        <f t="shared" si="7"/>
        <v>6</v>
      </c>
      <c r="Q39" s="3">
        <f t="shared" si="7"/>
        <v>12</v>
      </c>
      <c r="R39" s="3">
        <f t="shared" si="7"/>
        <v>5</v>
      </c>
      <c r="S39" s="3">
        <f t="shared" si="7"/>
        <v>6</v>
      </c>
    </row>
    <row r="40" spans="2:19" ht="27" customHeight="1">
      <c r="B40" s="3">
        <v>3</v>
      </c>
      <c r="C40" t="s">
        <v>11</v>
      </c>
      <c r="D40" t="b">
        <v>1</v>
      </c>
      <c r="E40">
        <v>2</v>
      </c>
      <c r="F40" t="s">
        <v>18</v>
      </c>
      <c r="H40" s="3">
        <f t="shared" ref="H40:S40" si="8">RANK(H27,$H27:$S27)</f>
        <v>9</v>
      </c>
      <c r="I40" s="3">
        <f t="shared" si="8"/>
        <v>8</v>
      </c>
      <c r="J40" s="3">
        <f t="shared" si="8"/>
        <v>11</v>
      </c>
      <c r="K40" s="3">
        <f t="shared" si="8"/>
        <v>6</v>
      </c>
      <c r="L40" s="3">
        <f t="shared" si="8"/>
        <v>3</v>
      </c>
      <c r="M40" s="3">
        <f t="shared" si="8"/>
        <v>12</v>
      </c>
      <c r="N40" s="3">
        <f t="shared" si="8"/>
        <v>7</v>
      </c>
      <c r="O40" s="3">
        <f t="shared" si="8"/>
        <v>1</v>
      </c>
      <c r="P40" s="3">
        <f t="shared" si="8"/>
        <v>1</v>
      </c>
      <c r="Q40" s="3">
        <f t="shared" si="8"/>
        <v>9</v>
      </c>
      <c r="R40" s="3">
        <f t="shared" si="8"/>
        <v>3</v>
      </c>
      <c r="S40" s="3">
        <f t="shared" si="8"/>
        <v>3</v>
      </c>
    </row>
    <row r="41" spans="2:19" ht="27" customHeight="1">
      <c r="B41" s="11">
        <v>3</v>
      </c>
      <c r="C41" t="s">
        <v>11</v>
      </c>
      <c r="D41" t="b">
        <v>0</v>
      </c>
      <c r="E41">
        <v>2</v>
      </c>
      <c r="F41" t="s">
        <v>18</v>
      </c>
      <c r="H41" s="3">
        <f t="shared" ref="H41:S41" si="9">RANK(H28,$H28:$S28)</f>
        <v>9</v>
      </c>
      <c r="I41" s="3">
        <f t="shared" si="9"/>
        <v>2</v>
      </c>
      <c r="J41" s="3">
        <f t="shared" si="9"/>
        <v>11</v>
      </c>
      <c r="K41" s="3">
        <f t="shared" si="9"/>
        <v>3</v>
      </c>
      <c r="L41" s="3">
        <f t="shared" si="9"/>
        <v>1</v>
      </c>
      <c r="M41" s="3">
        <f t="shared" si="9"/>
        <v>12</v>
      </c>
      <c r="N41" s="3">
        <f t="shared" si="9"/>
        <v>9</v>
      </c>
      <c r="O41" s="3">
        <f t="shared" si="9"/>
        <v>6</v>
      </c>
      <c r="P41" s="3">
        <f t="shared" si="9"/>
        <v>3</v>
      </c>
      <c r="Q41" s="3">
        <f t="shared" si="9"/>
        <v>5</v>
      </c>
      <c r="R41" s="3">
        <f t="shared" si="9"/>
        <v>6</v>
      </c>
      <c r="S41" s="3">
        <f t="shared" si="9"/>
        <v>8</v>
      </c>
    </row>
    <row r="43" spans="2:19" ht="27" customHeight="1">
      <c r="E43" t="s">
        <v>18</v>
      </c>
      <c r="F43" t="s">
        <v>19</v>
      </c>
      <c r="H43" s="3">
        <f t="shared" ref="H43:S43" si="10">_xlfn.LET(_xlpm.d,H36:H41,GEOMEAN(_xlpm.d))</f>
        <v>4.8861378661861714</v>
      </c>
      <c r="I43" s="3">
        <f t="shared" si="10"/>
        <v>5.5178483527622415</v>
      </c>
      <c r="J43" s="3">
        <f t="shared" si="10"/>
        <v>5.9317291425542482</v>
      </c>
      <c r="K43" s="3">
        <f t="shared" si="10"/>
        <v>3.9654064565001876</v>
      </c>
      <c r="L43" s="3">
        <f t="shared" si="10"/>
        <v>2.4494897427831779</v>
      </c>
      <c r="M43" s="3">
        <f t="shared" si="10"/>
        <v>9.035989452818125</v>
      </c>
      <c r="N43" s="3">
        <f t="shared" si="10"/>
        <v>2.9279034960724708</v>
      </c>
      <c r="O43" s="3">
        <f t="shared" si="10"/>
        <v>2.6207413942088964</v>
      </c>
      <c r="P43" s="3">
        <f t="shared" si="10"/>
        <v>4.2684345879085432</v>
      </c>
      <c r="Q43" s="3">
        <f t="shared" si="10"/>
        <v>5.3818845712416472</v>
      </c>
      <c r="R43" s="3">
        <f t="shared" si="10"/>
        <v>4.7398963239353158</v>
      </c>
      <c r="S43" s="3">
        <f t="shared" si="10"/>
        <v>5.7986612220291542</v>
      </c>
    </row>
    <row r="44" spans="2:19" ht="27" customHeight="1">
      <c r="E44" t="s">
        <v>18</v>
      </c>
      <c r="F44" t="s">
        <v>20</v>
      </c>
      <c r="H44" s="3">
        <f>RANK(H43,$H43:$S43,1)</f>
        <v>7</v>
      </c>
      <c r="I44" s="3">
        <f t="shared" ref="I44:S44" si="11">RANK(I43,$H43:$S43,1)</f>
        <v>9</v>
      </c>
      <c r="J44" s="3">
        <f t="shared" si="11"/>
        <v>11</v>
      </c>
      <c r="K44" s="3">
        <f t="shared" si="11"/>
        <v>4</v>
      </c>
      <c r="L44" s="3">
        <f t="shared" si="11"/>
        <v>1</v>
      </c>
      <c r="M44" s="3">
        <f t="shared" si="11"/>
        <v>12</v>
      </c>
      <c r="N44" s="3">
        <f t="shared" si="11"/>
        <v>3</v>
      </c>
      <c r="O44" s="3">
        <f t="shared" si="11"/>
        <v>2</v>
      </c>
      <c r="P44" s="3">
        <f t="shared" si="11"/>
        <v>5</v>
      </c>
      <c r="Q44" s="3">
        <f t="shared" si="11"/>
        <v>8</v>
      </c>
      <c r="R44" s="3">
        <f t="shared" si="11"/>
        <v>6</v>
      </c>
      <c r="S44" s="3">
        <f t="shared" si="11"/>
        <v>10</v>
      </c>
    </row>
    <row r="45" spans="2:19" ht="27" customHeight="1">
      <c r="E45" t="s">
        <v>18</v>
      </c>
      <c r="F45" t="s">
        <v>21</v>
      </c>
      <c r="H45" s="3">
        <f>_xlfn.LET(_xlpm.d,H$36:H$41,MIN(_xlpm.d))</f>
        <v>1</v>
      </c>
      <c r="I45" s="3">
        <f t="shared" ref="I45:S45" si="12">_xlfn.LET(_xlpm.d,I$36:I$41,MIN(_xlpm.d))</f>
        <v>2</v>
      </c>
      <c r="J45" s="3">
        <f t="shared" si="12"/>
        <v>2</v>
      </c>
      <c r="K45" s="3">
        <f t="shared" si="12"/>
        <v>2</v>
      </c>
      <c r="L45" s="3">
        <f t="shared" si="12"/>
        <v>1</v>
      </c>
      <c r="M45" s="3">
        <f t="shared" si="12"/>
        <v>6</v>
      </c>
      <c r="N45" s="3">
        <f t="shared" si="12"/>
        <v>1</v>
      </c>
      <c r="O45" s="3">
        <f t="shared" si="12"/>
        <v>1</v>
      </c>
      <c r="P45" s="3">
        <f t="shared" si="12"/>
        <v>1</v>
      </c>
      <c r="Q45" s="3">
        <f t="shared" si="12"/>
        <v>3</v>
      </c>
      <c r="R45" s="3">
        <f t="shared" si="12"/>
        <v>3</v>
      </c>
      <c r="S45" s="3">
        <f t="shared" si="12"/>
        <v>3</v>
      </c>
    </row>
    <row r="46" spans="2:19" ht="27" customHeight="1">
      <c r="E46" t="s">
        <v>18</v>
      </c>
      <c r="F46" t="s">
        <v>4</v>
      </c>
      <c r="H46" s="2">
        <f>_xlfn.LET(_xlpm.d,H$36:H$41,MAX(_xlpm.d))</f>
        <v>12</v>
      </c>
      <c r="I46" s="2">
        <f t="shared" ref="I46:S46" si="13">_xlfn.LET(_xlpm.d,I$36:I$41,MAX(_xlpm.d))</f>
        <v>8</v>
      </c>
      <c r="J46" s="2">
        <f t="shared" si="13"/>
        <v>12</v>
      </c>
      <c r="K46" s="2">
        <f t="shared" si="13"/>
        <v>6</v>
      </c>
      <c r="L46" s="2">
        <f t="shared" si="13"/>
        <v>12</v>
      </c>
      <c r="M46" s="2">
        <f t="shared" si="13"/>
        <v>12</v>
      </c>
      <c r="N46" s="2">
        <f t="shared" si="13"/>
        <v>10</v>
      </c>
      <c r="O46" s="2">
        <f t="shared" si="13"/>
        <v>9</v>
      </c>
      <c r="P46" s="2">
        <f t="shared" si="13"/>
        <v>8</v>
      </c>
      <c r="Q46" s="2">
        <f t="shared" si="13"/>
        <v>12</v>
      </c>
      <c r="R46" s="2">
        <f t="shared" si="13"/>
        <v>7</v>
      </c>
      <c r="S46" s="2">
        <f t="shared" si="13"/>
        <v>11</v>
      </c>
    </row>
    <row r="47" spans="2:19" ht="27" customHeight="1">
      <c r="E47" t="s">
        <v>18</v>
      </c>
      <c r="F47" t="s">
        <v>22</v>
      </c>
      <c r="H47">
        <f>_xlfn.LET(_xlpm.d,H$36:H$41,STDEV(_xlpm.d))</f>
        <v>4.320493798938573</v>
      </c>
      <c r="I47">
        <f t="shared" ref="I47:S47" si="14">_xlfn.LET(_xlpm.d,I$36:I$41,STDEV(_xlpm.d))</f>
        <v>2.0976176963403033</v>
      </c>
      <c r="J47">
        <f t="shared" si="14"/>
        <v>4.5018514709691013</v>
      </c>
      <c r="K47">
        <f t="shared" si="14"/>
        <v>1.8618986725025253</v>
      </c>
      <c r="L47">
        <f t="shared" si="14"/>
        <v>4.1793141383086612</v>
      </c>
      <c r="M47">
        <f t="shared" si="14"/>
        <v>2.5033311140691468</v>
      </c>
      <c r="N47">
        <f t="shared" si="14"/>
        <v>4.3089055068157007</v>
      </c>
      <c r="O47">
        <f t="shared" si="14"/>
        <v>3.2041639575194441</v>
      </c>
      <c r="P47">
        <f t="shared" si="14"/>
        <v>2.639444385977221</v>
      </c>
      <c r="Q47">
        <f t="shared" si="14"/>
        <v>3.6009258068817065</v>
      </c>
      <c r="R47">
        <f t="shared" si="14"/>
        <v>1.6733200530681511</v>
      </c>
      <c r="S47">
        <f t="shared" si="14"/>
        <v>2.8751811537130436</v>
      </c>
    </row>
  </sheetData>
  <conditionalFormatting sqref="H36:S41">
    <cfRule type="colorScale" priority="1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3:S43">
    <cfRule type="colorScale" priority="9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4:S44">
    <cfRule type="colorScale" priority="1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5:S45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6:S46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2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0:T32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258-170C-FF4A-9038-57A5317C266E}">
  <dimension ref="A1:S49"/>
  <sheetViews>
    <sheetView tabSelected="1" topLeftCell="B1" workbookViewId="0">
      <pane xSplit="10780" ySplit="3080" topLeftCell="A38" activePane="bottomRight"/>
      <selection activeCell="D2" sqref="D2"/>
      <selection pane="topRight" activeCell="W3" sqref="W3"/>
      <selection pane="bottomLeft" activeCell="E34" sqref="E34"/>
      <selection pane="bottomRight" activeCell="J40" sqref="J40"/>
    </sheetView>
  </sheetViews>
  <sheetFormatPr baseColWidth="10" defaultRowHeight="27" customHeight="1"/>
  <cols>
    <col min="1" max="1" width="9" customWidth="1"/>
    <col min="2" max="2" width="8" customWidth="1"/>
    <col min="3" max="3" width="10.5" customWidth="1"/>
    <col min="4" max="4" width="11.125" customWidth="1"/>
    <col min="5" max="5" width="6.875" customWidth="1"/>
    <col min="6" max="6" width="9.25" customWidth="1"/>
    <col min="7" max="19" width="7.625" customWidth="1"/>
  </cols>
  <sheetData>
    <row r="1" spans="1:19" ht="27" customHeight="1">
      <c r="A1" t="s">
        <v>0</v>
      </c>
      <c r="B1" t="s">
        <v>15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8">
        <v>0.87</v>
      </c>
      <c r="H2" s="8">
        <v>0.84</v>
      </c>
      <c r="I2" s="8">
        <v>0.84</v>
      </c>
      <c r="J2" s="8">
        <v>0.88</v>
      </c>
      <c r="K2" s="8">
        <v>0.84</v>
      </c>
      <c r="L2" s="8">
        <v>0.86</v>
      </c>
      <c r="M2" s="8">
        <v>0.85</v>
      </c>
      <c r="N2" s="8">
        <v>0.91</v>
      </c>
      <c r="O2" s="8">
        <v>0.88</v>
      </c>
      <c r="P2" s="8">
        <v>0.81</v>
      </c>
      <c r="Q2" s="8">
        <v>0.82</v>
      </c>
      <c r="R2" s="8">
        <v>0.76</v>
      </c>
      <c r="S2" s="8">
        <f t="shared" ref="S2:S19" si="0">_xlfn.LET(_xlpm.d,$G2:$R2,MAX(_xlpm.d))</f>
        <v>0.91</v>
      </c>
    </row>
    <row r="3" spans="1:19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8">
        <v>0.9</v>
      </c>
      <c r="H3" s="8">
        <v>0.9</v>
      </c>
      <c r="I3" s="8">
        <v>0.88</v>
      </c>
      <c r="J3" s="8">
        <v>0.85</v>
      </c>
      <c r="K3" s="8">
        <v>0.85</v>
      </c>
      <c r="L3" s="8">
        <v>0.89</v>
      </c>
      <c r="M3" s="8">
        <v>0.87</v>
      </c>
      <c r="N3" s="8">
        <v>0.88</v>
      </c>
      <c r="O3" s="8">
        <v>0.91</v>
      </c>
      <c r="P3" s="8">
        <v>0.89</v>
      </c>
      <c r="Q3" s="8">
        <v>0.85</v>
      </c>
      <c r="R3" s="8">
        <v>0.86</v>
      </c>
      <c r="S3" s="8">
        <f t="shared" si="0"/>
        <v>0.91</v>
      </c>
    </row>
    <row r="4" spans="1:19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8">
        <v>0.87</v>
      </c>
      <c r="H4" s="8">
        <v>0.89</v>
      </c>
      <c r="I4" s="8">
        <v>0.86</v>
      </c>
      <c r="J4" s="8">
        <v>0.86</v>
      </c>
      <c r="K4" s="8">
        <v>0.85</v>
      </c>
      <c r="L4" s="8">
        <v>0.88</v>
      </c>
      <c r="M4" s="8">
        <v>0.88</v>
      </c>
      <c r="N4" s="8">
        <v>0.86</v>
      </c>
      <c r="O4" s="8">
        <v>0.89</v>
      </c>
      <c r="P4" s="8">
        <v>0.83</v>
      </c>
      <c r="Q4" s="8">
        <v>0.82</v>
      </c>
      <c r="R4" s="8">
        <v>0.8</v>
      </c>
      <c r="S4" s="8">
        <f t="shared" si="0"/>
        <v>0.89</v>
      </c>
    </row>
    <row r="5" spans="1:19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8">
        <v>0.8</v>
      </c>
      <c r="H5" s="8">
        <v>0.81</v>
      </c>
      <c r="I5" s="8">
        <v>0.81</v>
      </c>
      <c r="J5" s="8">
        <v>0.83</v>
      </c>
      <c r="K5" s="8">
        <v>0.82</v>
      </c>
      <c r="L5" s="8">
        <v>0.83</v>
      </c>
      <c r="M5" s="8">
        <v>0.8</v>
      </c>
      <c r="N5" s="8">
        <v>0.82</v>
      </c>
      <c r="O5" s="8">
        <v>0.84</v>
      </c>
      <c r="P5" s="8">
        <v>0.84</v>
      </c>
      <c r="Q5" s="8">
        <v>0.79</v>
      </c>
      <c r="R5" s="8">
        <v>0.76</v>
      </c>
      <c r="S5" s="8">
        <f t="shared" si="0"/>
        <v>0.84</v>
      </c>
    </row>
    <row r="6" spans="1:19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8">
        <v>0.84</v>
      </c>
      <c r="H6" s="8">
        <v>0.83</v>
      </c>
      <c r="I6" s="8">
        <v>0.83</v>
      </c>
      <c r="J6" s="8">
        <v>0.84</v>
      </c>
      <c r="K6" s="8">
        <v>0.84</v>
      </c>
      <c r="L6" s="8">
        <v>0.88</v>
      </c>
      <c r="M6" s="8">
        <v>0.81</v>
      </c>
      <c r="N6" s="8">
        <v>0.83</v>
      </c>
      <c r="O6" s="8">
        <v>0.86</v>
      </c>
      <c r="P6" s="8">
        <v>0.85</v>
      </c>
      <c r="Q6" s="8">
        <v>0.85</v>
      </c>
      <c r="R6" s="8">
        <v>0.83</v>
      </c>
      <c r="S6" s="8">
        <f t="shared" si="0"/>
        <v>0.88</v>
      </c>
    </row>
    <row r="7" spans="1:19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8">
        <v>0.78</v>
      </c>
      <c r="H7" s="8">
        <v>0.81</v>
      </c>
      <c r="I7" s="8">
        <v>0.82</v>
      </c>
      <c r="J7" s="8">
        <v>0.84</v>
      </c>
      <c r="K7" s="8">
        <v>0.83</v>
      </c>
      <c r="L7" s="8">
        <v>0.86</v>
      </c>
      <c r="M7" s="8">
        <v>0.8</v>
      </c>
      <c r="N7" s="8">
        <v>0.81</v>
      </c>
      <c r="O7" s="8">
        <v>0.86</v>
      </c>
      <c r="P7" s="8">
        <v>0.84</v>
      </c>
      <c r="Q7" s="8">
        <v>0.81</v>
      </c>
      <c r="R7" s="8">
        <v>0.82</v>
      </c>
      <c r="S7" s="8">
        <f t="shared" si="0"/>
        <v>0.86</v>
      </c>
    </row>
    <row r="8" spans="1:19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8">
        <v>0.57999999999999996</v>
      </c>
      <c r="H8" s="8">
        <v>0.6</v>
      </c>
      <c r="I8" s="8">
        <v>0.54</v>
      </c>
      <c r="J8" s="8">
        <v>0.5</v>
      </c>
      <c r="K8" s="8">
        <v>0.48</v>
      </c>
      <c r="L8" s="8">
        <v>0.51</v>
      </c>
      <c r="M8" s="8">
        <v>0.59</v>
      </c>
      <c r="N8" s="8">
        <v>0.54</v>
      </c>
      <c r="O8" s="8">
        <v>0.55000000000000004</v>
      </c>
      <c r="P8" s="8">
        <v>0.53</v>
      </c>
      <c r="Q8" s="8">
        <v>0.45</v>
      </c>
      <c r="R8" s="8">
        <v>0.5</v>
      </c>
      <c r="S8" s="8">
        <f t="shared" si="0"/>
        <v>0.6</v>
      </c>
    </row>
    <row r="9" spans="1:19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8">
        <v>0.7</v>
      </c>
      <c r="H9" s="8">
        <v>0.71</v>
      </c>
      <c r="I9" s="8">
        <v>0.71</v>
      </c>
      <c r="J9" s="8">
        <v>0.74</v>
      </c>
      <c r="K9" s="8">
        <v>0.57999999999999996</v>
      </c>
      <c r="L9" s="8">
        <v>0.65</v>
      </c>
      <c r="M9" s="8">
        <v>0.74</v>
      </c>
      <c r="N9" s="8">
        <v>0.68</v>
      </c>
      <c r="O9" s="8">
        <v>0.7</v>
      </c>
      <c r="P9" s="8">
        <v>0.7</v>
      </c>
      <c r="Q9" s="8">
        <v>0.63</v>
      </c>
      <c r="R9" s="8">
        <v>0.63</v>
      </c>
      <c r="S9" s="8">
        <f t="shared" si="0"/>
        <v>0.74</v>
      </c>
    </row>
    <row r="10" spans="1:19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8">
        <v>0.68</v>
      </c>
      <c r="H10" s="8">
        <v>0.74</v>
      </c>
      <c r="I10" s="8">
        <v>0.68</v>
      </c>
      <c r="J10" s="8">
        <v>0.74</v>
      </c>
      <c r="K10" s="8">
        <v>0.67</v>
      </c>
      <c r="L10" s="8">
        <v>0.72</v>
      </c>
      <c r="M10" s="8">
        <v>0.68</v>
      </c>
      <c r="N10" s="8">
        <v>0.7</v>
      </c>
      <c r="O10" s="8">
        <v>0.68</v>
      </c>
      <c r="P10" s="8">
        <v>0.67</v>
      </c>
      <c r="Q10" s="8">
        <v>0.67</v>
      </c>
      <c r="R10" s="8">
        <v>0.7</v>
      </c>
      <c r="S10" s="8">
        <f t="shared" si="0"/>
        <v>0.74</v>
      </c>
    </row>
    <row r="11" spans="1:19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8">
        <v>0.56000000000000005</v>
      </c>
      <c r="H11" s="8">
        <v>0.56000000000000005</v>
      </c>
      <c r="I11" s="8">
        <v>0.55000000000000004</v>
      </c>
      <c r="J11" s="8">
        <v>0.55000000000000004</v>
      </c>
      <c r="K11" s="8">
        <v>0.53</v>
      </c>
      <c r="L11" s="8">
        <v>0.44</v>
      </c>
      <c r="M11" s="8">
        <v>0.6</v>
      </c>
      <c r="N11" s="8">
        <v>0.55000000000000004</v>
      </c>
      <c r="O11" s="8">
        <v>0.59</v>
      </c>
      <c r="P11" s="8">
        <v>0.55000000000000004</v>
      </c>
      <c r="Q11" s="8">
        <v>0.48</v>
      </c>
      <c r="R11" s="8">
        <v>0.54</v>
      </c>
      <c r="S11" s="8">
        <f t="shared" si="0"/>
        <v>0.6</v>
      </c>
    </row>
    <row r="12" spans="1:19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8">
        <v>0.7</v>
      </c>
      <c r="H12" s="8">
        <v>0.73</v>
      </c>
      <c r="I12" s="8">
        <v>0.68</v>
      </c>
      <c r="J12" s="8">
        <v>0.7</v>
      </c>
      <c r="K12" s="8">
        <v>0.61</v>
      </c>
      <c r="L12" s="8">
        <v>0.62</v>
      </c>
      <c r="M12" s="8">
        <v>0.7</v>
      </c>
      <c r="N12" s="8">
        <v>0.66</v>
      </c>
      <c r="O12" s="8">
        <v>0.63</v>
      </c>
      <c r="P12" s="8">
        <v>0.67</v>
      </c>
      <c r="Q12" s="8">
        <v>0.57999999999999996</v>
      </c>
      <c r="R12" s="8">
        <v>0.6</v>
      </c>
      <c r="S12" s="8">
        <f t="shared" si="0"/>
        <v>0.73</v>
      </c>
    </row>
    <row r="13" spans="1:19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8">
        <v>0.67</v>
      </c>
      <c r="H13" s="8">
        <v>0.69</v>
      </c>
      <c r="I13" s="8">
        <v>0.68</v>
      </c>
      <c r="J13" s="8">
        <v>0.72</v>
      </c>
      <c r="K13" s="8">
        <v>0.68</v>
      </c>
      <c r="L13" s="8">
        <v>0.67</v>
      </c>
      <c r="M13" s="8">
        <v>0.67</v>
      </c>
      <c r="N13" s="8">
        <v>0.66</v>
      </c>
      <c r="O13" s="8">
        <v>0.68</v>
      </c>
      <c r="P13" s="8">
        <v>0.67</v>
      </c>
      <c r="Q13" s="8">
        <v>0.62</v>
      </c>
      <c r="R13" s="8">
        <v>0.73</v>
      </c>
      <c r="S13" s="8">
        <f t="shared" si="0"/>
        <v>0.73</v>
      </c>
    </row>
    <row r="14" spans="1:19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8">
        <v>0.52</v>
      </c>
      <c r="H14" s="8">
        <v>0.47</v>
      </c>
      <c r="I14" s="8">
        <v>0.47</v>
      </c>
      <c r="J14" s="8">
        <v>0.44</v>
      </c>
      <c r="K14" s="8">
        <v>0.33</v>
      </c>
      <c r="L14" s="8">
        <v>0.4</v>
      </c>
      <c r="M14" s="8">
        <v>0.56999999999999995</v>
      </c>
      <c r="N14" s="8">
        <v>0.45</v>
      </c>
      <c r="O14" s="8">
        <v>0.53</v>
      </c>
      <c r="P14" s="8">
        <v>0.45</v>
      </c>
      <c r="Q14" s="8">
        <v>0.38</v>
      </c>
      <c r="R14" s="8">
        <v>0.38</v>
      </c>
      <c r="S14" s="8">
        <f t="shared" si="0"/>
        <v>0.56999999999999995</v>
      </c>
    </row>
    <row r="15" spans="1:19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8">
        <v>0.59</v>
      </c>
      <c r="H15" s="8">
        <v>0.53</v>
      </c>
      <c r="I15" s="8">
        <v>0.55000000000000004</v>
      </c>
      <c r="J15" s="8">
        <v>0.59</v>
      </c>
      <c r="K15" s="8">
        <v>0.54</v>
      </c>
      <c r="L15" s="8">
        <v>0.55000000000000004</v>
      </c>
      <c r="M15" s="8">
        <v>0.62</v>
      </c>
      <c r="N15" s="8">
        <v>0.52</v>
      </c>
      <c r="O15" s="8">
        <v>0.55000000000000004</v>
      </c>
      <c r="P15" s="8">
        <v>0.56000000000000005</v>
      </c>
      <c r="Q15" s="8">
        <v>0.54</v>
      </c>
      <c r="R15" s="8">
        <v>0.53</v>
      </c>
      <c r="S15" s="8">
        <f t="shared" si="0"/>
        <v>0.62</v>
      </c>
    </row>
    <row r="16" spans="1:19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8">
        <v>0.56000000000000005</v>
      </c>
      <c r="H16" s="8">
        <v>0.44</v>
      </c>
      <c r="I16" s="8">
        <v>0.45</v>
      </c>
      <c r="J16" s="8">
        <v>0.47</v>
      </c>
      <c r="K16" s="8">
        <v>0.36</v>
      </c>
      <c r="L16" s="8">
        <v>0.48</v>
      </c>
      <c r="M16" s="8">
        <v>0.51</v>
      </c>
      <c r="N16" s="8">
        <v>0.44</v>
      </c>
      <c r="O16" s="8">
        <v>0.52</v>
      </c>
      <c r="P16" s="8">
        <v>0.42</v>
      </c>
      <c r="Q16" s="8">
        <v>0.4</v>
      </c>
      <c r="R16" s="8">
        <v>0.38</v>
      </c>
      <c r="S16" s="8">
        <f t="shared" si="0"/>
        <v>0.56000000000000005</v>
      </c>
    </row>
    <row r="17" spans="1:19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8">
        <v>0.39</v>
      </c>
      <c r="H17" s="8">
        <v>0.38</v>
      </c>
      <c r="I17" s="8">
        <v>0.4</v>
      </c>
      <c r="J17" s="8">
        <v>0.4</v>
      </c>
      <c r="K17" s="8">
        <v>0.39</v>
      </c>
      <c r="L17" s="8">
        <v>0.41</v>
      </c>
      <c r="M17" s="8">
        <v>0.41</v>
      </c>
      <c r="N17" s="8">
        <v>0.39</v>
      </c>
      <c r="O17" s="8">
        <v>0.41</v>
      </c>
      <c r="P17" s="8">
        <v>0.46</v>
      </c>
      <c r="Q17" s="8">
        <v>0.41</v>
      </c>
      <c r="R17" s="8">
        <v>0.33</v>
      </c>
      <c r="S17" s="8">
        <f t="shared" si="0"/>
        <v>0.46</v>
      </c>
    </row>
    <row r="18" spans="1:19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8">
        <v>0.42</v>
      </c>
      <c r="H18" s="8">
        <v>0.39</v>
      </c>
      <c r="I18" s="8">
        <v>0.44</v>
      </c>
      <c r="J18" s="8">
        <v>0.48</v>
      </c>
      <c r="K18" s="8">
        <v>0.44</v>
      </c>
      <c r="L18" s="8">
        <v>0.5</v>
      </c>
      <c r="M18" s="8">
        <v>0.46</v>
      </c>
      <c r="N18" s="8">
        <v>0.42</v>
      </c>
      <c r="O18" s="8">
        <v>0.45</v>
      </c>
      <c r="P18" s="8">
        <v>0.47</v>
      </c>
      <c r="Q18" s="8">
        <v>0.47</v>
      </c>
      <c r="R18" s="8">
        <v>0.43</v>
      </c>
      <c r="S18" s="8">
        <f t="shared" si="0"/>
        <v>0.5</v>
      </c>
    </row>
    <row r="19" spans="1:19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8">
        <v>0.39</v>
      </c>
      <c r="H19" s="8">
        <v>0.34</v>
      </c>
      <c r="I19" s="8">
        <v>0.39</v>
      </c>
      <c r="J19" s="8">
        <v>0.4</v>
      </c>
      <c r="K19" s="8">
        <v>0.39</v>
      </c>
      <c r="L19" s="8">
        <v>0.42</v>
      </c>
      <c r="M19" s="8">
        <v>0.45</v>
      </c>
      <c r="N19" s="8">
        <v>0.36</v>
      </c>
      <c r="O19" s="8">
        <v>0.41</v>
      </c>
      <c r="P19" s="8">
        <v>0.44</v>
      </c>
      <c r="Q19" s="8">
        <v>0.42</v>
      </c>
      <c r="R19" s="8">
        <v>0.36</v>
      </c>
      <c r="S19" s="8">
        <f t="shared" si="0"/>
        <v>0.45</v>
      </c>
    </row>
    <row r="22" spans="1:19" ht="27" customHeight="1">
      <c r="B22" s="15" t="s">
        <v>12</v>
      </c>
      <c r="C22" s="15" t="s">
        <v>1</v>
      </c>
      <c r="D22" s="15" t="s">
        <v>16</v>
      </c>
      <c r="E22" s="15" t="s">
        <v>17</v>
      </c>
      <c r="F22" s="7" t="s">
        <v>14</v>
      </c>
      <c r="G22" s="15" t="s">
        <v>26</v>
      </c>
      <c r="H22" s="15" t="s">
        <v>27</v>
      </c>
      <c r="I22" s="15" t="s">
        <v>28</v>
      </c>
      <c r="J22" s="15" t="s">
        <v>29</v>
      </c>
      <c r="K22" s="15" t="s">
        <v>30</v>
      </c>
      <c r="L22" s="15" t="s">
        <v>31</v>
      </c>
      <c r="M22" s="15" t="s">
        <v>32</v>
      </c>
      <c r="N22" s="15" t="s">
        <v>33</v>
      </c>
      <c r="O22" s="15" t="s">
        <v>34</v>
      </c>
      <c r="P22" s="15" t="s">
        <v>35</v>
      </c>
      <c r="Q22" s="15" t="s">
        <v>36</v>
      </c>
      <c r="R22" s="15" t="s">
        <v>37</v>
      </c>
      <c r="S22" s="15" t="s">
        <v>4</v>
      </c>
    </row>
    <row r="23" spans="1:19" ht="27" customHeight="1">
      <c r="B23" s="12">
        <v>1</v>
      </c>
      <c r="C23" s="12" t="s">
        <v>6</v>
      </c>
      <c r="D23" s="12" t="b">
        <v>1</v>
      </c>
      <c r="E23" s="12">
        <v>0</v>
      </c>
      <c r="F23" s="9" t="s">
        <v>4</v>
      </c>
      <c r="G23" s="8" cm="1">
        <f t="array" ref="G23">_xlfn.LET(_xlpm.d,G$2:G$19,_xlpm.a,$C$2:$C$19=$C23,_xlpm.b,$D$2:$D$19=$D23,MAX(_xlfn._xlws.FILTER(_xlpm.d,_xlpm.a*_xlpm.b)))</f>
        <v>0.9</v>
      </c>
      <c r="H23" s="8" cm="1">
        <f t="array" ref="H23">_xlfn.LET(_xlpm.d,H$2:H$19,_xlpm.a,$C$2:$C$19=$C23,_xlpm.b,$D$2:$D$19=$D23,MAX(_xlfn._xlws.FILTER(_xlpm.d,_xlpm.a*_xlpm.b)))</f>
        <v>0.9</v>
      </c>
      <c r="I23" s="8" cm="1">
        <f t="array" ref="I23">_xlfn.LET(_xlpm.d,I$2:I$19,_xlpm.a,$C$2:$C$19=$C23,_xlpm.b,$D$2:$D$19=$D23,MAX(_xlfn._xlws.FILTER(_xlpm.d,_xlpm.a*_xlpm.b)))</f>
        <v>0.88</v>
      </c>
      <c r="J23" s="8" cm="1">
        <f t="array" ref="J23">_xlfn.LET(_xlpm.d,J$2:J$19,_xlpm.a,$C$2:$C$19=$C23,_xlpm.b,$D$2:$D$19=$D23,MAX(_xlfn._xlws.FILTER(_xlpm.d,_xlpm.a*_xlpm.b)))</f>
        <v>0.88</v>
      </c>
      <c r="K23" s="8" cm="1">
        <f t="array" ref="K23">_xlfn.LET(_xlpm.d,K$2:K$19,_xlpm.a,$C$2:$C$19=$C23,_xlpm.b,$D$2:$D$19=$D23,MAX(_xlfn._xlws.FILTER(_xlpm.d,_xlpm.a*_xlpm.b)))</f>
        <v>0.85</v>
      </c>
      <c r="L23" s="8" cm="1">
        <f t="array" ref="L23">_xlfn.LET(_xlpm.d,L$2:L$19,_xlpm.a,$C$2:$C$19=$C23,_xlpm.b,$D$2:$D$19=$D23,MAX(_xlfn._xlws.FILTER(_xlpm.d,_xlpm.a*_xlpm.b)))</f>
        <v>0.89</v>
      </c>
      <c r="M23" s="8" cm="1">
        <f t="array" ref="M23">_xlfn.LET(_xlpm.d,M$2:M$19,_xlpm.a,$C$2:$C$19=$C23,_xlpm.b,$D$2:$D$19=$D23,MAX(_xlfn._xlws.FILTER(_xlpm.d,_xlpm.a*_xlpm.b)))</f>
        <v>0.88</v>
      </c>
      <c r="N23" s="8" cm="1">
        <f t="array" ref="N23">_xlfn.LET(_xlpm.d,N$2:N$19,_xlpm.a,$C$2:$C$19=$C23,_xlpm.b,$D$2:$D$19=$D23,MAX(_xlfn._xlws.FILTER(_xlpm.d,_xlpm.a*_xlpm.b)))</f>
        <v>0.91</v>
      </c>
      <c r="O23" s="8" cm="1">
        <f t="array" ref="O23">_xlfn.LET(_xlpm.d,O$2:O$19,_xlpm.a,$C$2:$C$19=$C23,_xlpm.b,$D$2:$D$19=$D23,MAX(_xlfn._xlws.FILTER(_xlpm.d,_xlpm.a*_xlpm.b)))</f>
        <v>0.91</v>
      </c>
      <c r="P23" s="8" cm="1">
        <f t="array" ref="P23">_xlfn.LET(_xlpm.d,P$2:P$19,_xlpm.a,$C$2:$C$19=$C23,_xlpm.b,$D$2:$D$19=$D23,MAX(_xlfn._xlws.FILTER(_xlpm.d,_xlpm.a*_xlpm.b)))</f>
        <v>0.89</v>
      </c>
      <c r="Q23" s="8" cm="1">
        <f t="array" ref="Q23">_xlfn.LET(_xlpm.d,Q$2:Q$19,_xlpm.a,$C$2:$C$19=$C23,_xlpm.b,$D$2:$D$19=$D23,MAX(_xlfn._xlws.FILTER(_xlpm.d,_xlpm.a*_xlpm.b)))</f>
        <v>0.85</v>
      </c>
      <c r="R23" s="8" cm="1">
        <f t="array" ref="R23">_xlfn.LET(_xlpm.d,R$2:R$19,_xlpm.a,$C$2:$C$19=$C23,_xlpm.b,$D$2:$D$19=$D23,MAX(_xlfn._xlws.FILTER(_xlpm.d,_xlpm.a*_xlpm.b)))</f>
        <v>0.86</v>
      </c>
      <c r="S23" s="8">
        <f t="shared" ref="S23:S28" si="1">_xlfn.LET(_xlpm.d,G23:R23,MAX(_xlpm.d))</f>
        <v>0.91</v>
      </c>
    </row>
    <row r="24" spans="1:19" ht="27" customHeight="1">
      <c r="B24" s="11">
        <v>1</v>
      </c>
      <c r="C24" s="11" t="s">
        <v>6</v>
      </c>
      <c r="D24" s="11" t="b">
        <v>0</v>
      </c>
      <c r="E24" s="11">
        <v>0</v>
      </c>
      <c r="F24" s="10" t="s">
        <v>4</v>
      </c>
      <c r="G24" s="8" cm="1">
        <f t="array" ref="G24">_xlfn.LET(_xlpm.d,G$2:G$19,_xlpm.a,$C$2:$C$19=$C24,_xlpm.b,$D$2:$D$19=$D24,MAX(_xlfn._xlws.FILTER(_xlpm.d,_xlpm.a*_xlpm.b)))</f>
        <v>0.84</v>
      </c>
      <c r="H24" s="8" cm="1">
        <f t="array" ref="H24">_xlfn.LET(_xlpm.d,H$2:H$19,_xlpm.a,$C$2:$C$19=$C24,_xlpm.b,$D$2:$D$19=$D24,MAX(_xlfn._xlws.FILTER(_xlpm.d,_xlpm.a*_xlpm.b)))</f>
        <v>0.83</v>
      </c>
      <c r="I24" s="8" cm="1">
        <f t="array" ref="I24">_xlfn.LET(_xlpm.d,I$2:I$19,_xlpm.a,$C$2:$C$19=$C24,_xlpm.b,$D$2:$D$19=$D24,MAX(_xlfn._xlws.FILTER(_xlpm.d,_xlpm.a*_xlpm.b)))</f>
        <v>0.83</v>
      </c>
      <c r="J24" s="8" cm="1">
        <f t="array" ref="J24">_xlfn.LET(_xlpm.d,J$2:J$19,_xlpm.a,$C$2:$C$19=$C24,_xlpm.b,$D$2:$D$19=$D24,MAX(_xlfn._xlws.FILTER(_xlpm.d,_xlpm.a*_xlpm.b)))</f>
        <v>0.84</v>
      </c>
      <c r="K24" s="8" cm="1">
        <f t="array" ref="K24">_xlfn.LET(_xlpm.d,K$2:K$19,_xlpm.a,$C$2:$C$19=$C24,_xlpm.b,$D$2:$D$19=$D24,MAX(_xlfn._xlws.FILTER(_xlpm.d,_xlpm.a*_xlpm.b)))</f>
        <v>0.84</v>
      </c>
      <c r="L24" s="8" cm="1">
        <f t="array" ref="L24">_xlfn.LET(_xlpm.d,L$2:L$19,_xlpm.a,$C$2:$C$19=$C24,_xlpm.b,$D$2:$D$19=$D24,MAX(_xlfn._xlws.FILTER(_xlpm.d,_xlpm.a*_xlpm.b)))</f>
        <v>0.88</v>
      </c>
      <c r="M24" s="8" cm="1">
        <f t="array" ref="M24">_xlfn.LET(_xlpm.d,M$2:M$19,_xlpm.a,$C$2:$C$19=$C24,_xlpm.b,$D$2:$D$19=$D24,MAX(_xlfn._xlws.FILTER(_xlpm.d,_xlpm.a*_xlpm.b)))</f>
        <v>0.81</v>
      </c>
      <c r="N24" s="8" cm="1">
        <f t="array" ref="N24">_xlfn.LET(_xlpm.d,N$2:N$19,_xlpm.a,$C$2:$C$19=$C24,_xlpm.b,$D$2:$D$19=$D24,MAX(_xlfn._xlws.FILTER(_xlpm.d,_xlpm.a*_xlpm.b)))</f>
        <v>0.83</v>
      </c>
      <c r="O24" s="8" cm="1">
        <f t="array" ref="O24">_xlfn.LET(_xlpm.d,O$2:O$19,_xlpm.a,$C$2:$C$19=$C24,_xlpm.b,$D$2:$D$19=$D24,MAX(_xlfn._xlws.FILTER(_xlpm.d,_xlpm.a*_xlpm.b)))</f>
        <v>0.86</v>
      </c>
      <c r="P24" s="8" cm="1">
        <f t="array" ref="P24">_xlfn.LET(_xlpm.d,P$2:P$19,_xlpm.a,$C$2:$C$19=$C24,_xlpm.b,$D$2:$D$19=$D24,MAX(_xlfn._xlws.FILTER(_xlpm.d,_xlpm.a*_xlpm.b)))</f>
        <v>0.85</v>
      </c>
      <c r="Q24" s="8" cm="1">
        <f t="array" ref="Q24">_xlfn.LET(_xlpm.d,Q$2:Q$19,_xlpm.a,$C$2:$C$19=$C24,_xlpm.b,$D$2:$D$19=$D24,MAX(_xlfn._xlws.FILTER(_xlpm.d,_xlpm.a*_xlpm.b)))</f>
        <v>0.85</v>
      </c>
      <c r="R24" s="8" cm="1">
        <f t="array" ref="R24">_xlfn.LET(_xlpm.d,R$2:R$19,_xlpm.a,$C$2:$C$19=$C24,_xlpm.b,$D$2:$D$19=$D24,MAX(_xlfn._xlws.FILTER(_xlpm.d,_xlpm.a*_xlpm.b)))</f>
        <v>0.83</v>
      </c>
      <c r="S24" s="8">
        <f t="shared" si="1"/>
        <v>0.88</v>
      </c>
    </row>
    <row r="25" spans="1:19" ht="27" customHeight="1">
      <c r="B25" s="12">
        <v>2</v>
      </c>
      <c r="C25" s="12" t="s">
        <v>10</v>
      </c>
      <c r="D25" s="12" t="b">
        <v>1</v>
      </c>
      <c r="E25" s="12">
        <v>0</v>
      </c>
      <c r="F25" s="9" t="s">
        <v>4</v>
      </c>
      <c r="G25" s="8" cm="1">
        <f t="array" ref="G25">_xlfn.LET(_xlpm.d,G$2:G$19,_xlpm.a,$C$2:$C$19=$C25,_xlpm.b,$D$2:$D$19=$D25,MAX(_xlfn._xlws.FILTER(_xlpm.d,_xlpm.a*_xlpm.b)))</f>
        <v>0.7</v>
      </c>
      <c r="H25" s="8" cm="1">
        <f t="array" ref="H25">_xlfn.LET(_xlpm.d,H$2:H$19,_xlpm.a,$C$2:$C$19=$C25,_xlpm.b,$D$2:$D$19=$D25,MAX(_xlfn._xlws.FILTER(_xlpm.d,_xlpm.a*_xlpm.b)))</f>
        <v>0.74</v>
      </c>
      <c r="I25" s="8" cm="1">
        <f t="array" ref="I25">_xlfn.LET(_xlpm.d,I$2:I$19,_xlpm.a,$C$2:$C$19=$C25,_xlpm.b,$D$2:$D$19=$D25,MAX(_xlfn._xlws.FILTER(_xlpm.d,_xlpm.a*_xlpm.b)))</f>
        <v>0.71</v>
      </c>
      <c r="J25" s="8" cm="1">
        <f t="array" ref="J25">_xlfn.LET(_xlpm.d,J$2:J$19,_xlpm.a,$C$2:$C$19=$C25,_xlpm.b,$D$2:$D$19=$D25,MAX(_xlfn._xlws.FILTER(_xlpm.d,_xlpm.a*_xlpm.b)))</f>
        <v>0.74</v>
      </c>
      <c r="K25" s="8" cm="1">
        <f t="array" ref="K25">_xlfn.LET(_xlpm.d,K$2:K$19,_xlpm.a,$C$2:$C$19=$C25,_xlpm.b,$D$2:$D$19=$D25,MAX(_xlfn._xlws.FILTER(_xlpm.d,_xlpm.a*_xlpm.b)))</f>
        <v>0.67</v>
      </c>
      <c r="L25" s="8" cm="1">
        <f t="array" ref="L25">_xlfn.LET(_xlpm.d,L$2:L$19,_xlpm.a,$C$2:$C$19=$C25,_xlpm.b,$D$2:$D$19=$D25,MAX(_xlfn._xlws.FILTER(_xlpm.d,_xlpm.a*_xlpm.b)))</f>
        <v>0.72</v>
      </c>
      <c r="M25" s="8" cm="1">
        <f t="array" ref="M25">_xlfn.LET(_xlpm.d,M$2:M$19,_xlpm.a,$C$2:$C$19=$C25,_xlpm.b,$D$2:$D$19=$D25,MAX(_xlfn._xlws.FILTER(_xlpm.d,_xlpm.a*_xlpm.b)))</f>
        <v>0.74</v>
      </c>
      <c r="N25" s="8" cm="1">
        <f t="array" ref="N25">_xlfn.LET(_xlpm.d,N$2:N$19,_xlpm.a,$C$2:$C$19=$C25,_xlpm.b,$D$2:$D$19=$D25,MAX(_xlfn._xlws.FILTER(_xlpm.d,_xlpm.a*_xlpm.b)))</f>
        <v>0.7</v>
      </c>
      <c r="O25" s="8" cm="1">
        <f t="array" ref="O25">_xlfn.LET(_xlpm.d,O$2:O$19,_xlpm.a,$C$2:$C$19=$C25,_xlpm.b,$D$2:$D$19=$D25,MAX(_xlfn._xlws.FILTER(_xlpm.d,_xlpm.a*_xlpm.b)))</f>
        <v>0.7</v>
      </c>
      <c r="P25" s="8" cm="1">
        <f t="array" ref="P25">_xlfn.LET(_xlpm.d,P$2:P$19,_xlpm.a,$C$2:$C$19=$C25,_xlpm.b,$D$2:$D$19=$D25,MAX(_xlfn._xlws.FILTER(_xlpm.d,_xlpm.a*_xlpm.b)))</f>
        <v>0.7</v>
      </c>
      <c r="Q25" s="8" cm="1">
        <f t="array" ref="Q25">_xlfn.LET(_xlpm.d,Q$2:Q$19,_xlpm.a,$C$2:$C$19=$C25,_xlpm.b,$D$2:$D$19=$D25,MAX(_xlfn._xlws.FILTER(_xlpm.d,_xlpm.a*_xlpm.b)))</f>
        <v>0.67</v>
      </c>
      <c r="R25" s="8" cm="1">
        <f t="array" ref="R25">_xlfn.LET(_xlpm.d,R$2:R$19,_xlpm.a,$C$2:$C$19=$C25,_xlpm.b,$D$2:$D$19=$D25,MAX(_xlfn._xlws.FILTER(_xlpm.d,_xlpm.a*_xlpm.b)))</f>
        <v>0.7</v>
      </c>
      <c r="S25" s="8">
        <f t="shared" si="1"/>
        <v>0.74</v>
      </c>
    </row>
    <row r="26" spans="1:19" ht="27" customHeight="1">
      <c r="B26" s="11">
        <v>2</v>
      </c>
      <c r="C26" s="11" t="s">
        <v>10</v>
      </c>
      <c r="D26" s="11" t="b">
        <v>0</v>
      </c>
      <c r="E26" s="11">
        <v>0</v>
      </c>
      <c r="F26" s="10" t="s">
        <v>4</v>
      </c>
      <c r="G26" s="8" cm="1">
        <f t="array" ref="G26">_xlfn.LET(_xlpm.d,G$2:G$19,_xlpm.a,$C$2:$C$19=$C26,_xlpm.b,$D$2:$D$19=$D26,MAX(_xlfn._xlws.FILTER(_xlpm.d,_xlpm.a*_xlpm.b)))</f>
        <v>0.7</v>
      </c>
      <c r="H26" s="8" cm="1">
        <f t="array" ref="H26">_xlfn.LET(_xlpm.d,H$2:H$19,_xlpm.a,$C$2:$C$19=$C26,_xlpm.b,$D$2:$D$19=$D26,MAX(_xlfn._xlws.FILTER(_xlpm.d,_xlpm.a*_xlpm.b)))</f>
        <v>0.73</v>
      </c>
      <c r="I26" s="8" cm="1">
        <f t="array" ref="I26">_xlfn.LET(_xlpm.d,I$2:I$19,_xlpm.a,$C$2:$C$19=$C26,_xlpm.b,$D$2:$D$19=$D26,MAX(_xlfn._xlws.FILTER(_xlpm.d,_xlpm.a*_xlpm.b)))</f>
        <v>0.68</v>
      </c>
      <c r="J26" s="8" cm="1">
        <f t="array" ref="J26">_xlfn.LET(_xlpm.d,J$2:J$19,_xlpm.a,$C$2:$C$19=$C26,_xlpm.b,$D$2:$D$19=$D26,MAX(_xlfn._xlws.FILTER(_xlpm.d,_xlpm.a*_xlpm.b)))</f>
        <v>0.72</v>
      </c>
      <c r="K26" s="8" cm="1">
        <f t="array" ref="K26">_xlfn.LET(_xlpm.d,K$2:K$19,_xlpm.a,$C$2:$C$19=$C26,_xlpm.b,$D$2:$D$19=$D26,MAX(_xlfn._xlws.FILTER(_xlpm.d,_xlpm.a*_xlpm.b)))</f>
        <v>0.68</v>
      </c>
      <c r="L26" s="8" cm="1">
        <f t="array" ref="L26">_xlfn.LET(_xlpm.d,L$2:L$19,_xlpm.a,$C$2:$C$19=$C26,_xlpm.b,$D$2:$D$19=$D26,MAX(_xlfn._xlws.FILTER(_xlpm.d,_xlpm.a*_xlpm.b)))</f>
        <v>0.67</v>
      </c>
      <c r="M26" s="8" cm="1">
        <f t="array" ref="M26">_xlfn.LET(_xlpm.d,M$2:M$19,_xlpm.a,$C$2:$C$19=$C26,_xlpm.b,$D$2:$D$19=$D26,MAX(_xlfn._xlws.FILTER(_xlpm.d,_xlpm.a*_xlpm.b)))</f>
        <v>0.7</v>
      </c>
      <c r="N26" s="8" cm="1">
        <f t="array" ref="N26">_xlfn.LET(_xlpm.d,N$2:N$19,_xlpm.a,$C$2:$C$19=$C26,_xlpm.b,$D$2:$D$19=$D26,MAX(_xlfn._xlws.FILTER(_xlpm.d,_xlpm.a*_xlpm.b)))</f>
        <v>0.66</v>
      </c>
      <c r="O26" s="8" cm="1">
        <f t="array" ref="O26">_xlfn.LET(_xlpm.d,O$2:O$19,_xlpm.a,$C$2:$C$19=$C26,_xlpm.b,$D$2:$D$19=$D26,MAX(_xlfn._xlws.FILTER(_xlpm.d,_xlpm.a*_xlpm.b)))</f>
        <v>0.68</v>
      </c>
      <c r="P26" s="8" cm="1">
        <f t="array" ref="P26">_xlfn.LET(_xlpm.d,P$2:P$19,_xlpm.a,$C$2:$C$19=$C26,_xlpm.b,$D$2:$D$19=$D26,MAX(_xlfn._xlws.FILTER(_xlpm.d,_xlpm.a*_xlpm.b)))</f>
        <v>0.67</v>
      </c>
      <c r="Q26" s="8" cm="1">
        <f t="array" ref="Q26">_xlfn.LET(_xlpm.d,Q$2:Q$19,_xlpm.a,$C$2:$C$19=$C26,_xlpm.b,$D$2:$D$19=$D26,MAX(_xlfn._xlws.FILTER(_xlpm.d,_xlpm.a*_xlpm.b)))</f>
        <v>0.62</v>
      </c>
      <c r="R26" s="8" cm="1">
        <f t="array" ref="R26">_xlfn.LET(_xlpm.d,R$2:R$19,_xlpm.a,$C$2:$C$19=$C26,_xlpm.b,$D$2:$D$19=$D26,MAX(_xlfn._xlws.FILTER(_xlpm.d,_xlpm.a*_xlpm.b)))</f>
        <v>0.73</v>
      </c>
      <c r="S26" s="8">
        <f t="shared" si="1"/>
        <v>0.73</v>
      </c>
    </row>
    <row r="27" spans="1:19" ht="27" customHeight="1">
      <c r="B27" s="12">
        <v>3</v>
      </c>
      <c r="C27" s="12" t="s">
        <v>11</v>
      </c>
      <c r="D27" s="12" t="b">
        <v>1</v>
      </c>
      <c r="E27" s="12">
        <v>0</v>
      </c>
      <c r="F27" s="9" t="s">
        <v>4</v>
      </c>
      <c r="G27" s="8" cm="1">
        <f t="array" ref="G27">_xlfn.LET(_xlpm.d,G$2:G$19,_xlpm.a,$C$2:$C$19=$C27,_xlpm.b,$D$2:$D$19=$D27,MAX(_xlfn._xlws.FILTER(_xlpm.d,_xlpm.a*_xlpm.b)))</f>
        <v>0.59</v>
      </c>
      <c r="H27" s="8" cm="1">
        <f t="array" ref="H27">_xlfn.LET(_xlpm.d,H$2:H$19,_xlpm.a,$C$2:$C$19=$C27,_xlpm.b,$D$2:$D$19=$D27,MAX(_xlfn._xlws.FILTER(_xlpm.d,_xlpm.a*_xlpm.b)))</f>
        <v>0.53</v>
      </c>
      <c r="I27" s="8" cm="1">
        <f t="array" ref="I27">_xlfn.LET(_xlpm.d,I$2:I$19,_xlpm.a,$C$2:$C$19=$C27,_xlpm.b,$D$2:$D$19=$D27,MAX(_xlfn._xlws.FILTER(_xlpm.d,_xlpm.a*_xlpm.b)))</f>
        <v>0.55000000000000004</v>
      </c>
      <c r="J27" s="8" cm="1">
        <f t="array" ref="J27">_xlfn.LET(_xlpm.d,J$2:J$19,_xlpm.a,$C$2:$C$19=$C27,_xlpm.b,$D$2:$D$19=$D27,MAX(_xlfn._xlws.FILTER(_xlpm.d,_xlpm.a*_xlpm.b)))</f>
        <v>0.59</v>
      </c>
      <c r="K27" s="8" cm="1">
        <f t="array" ref="K27">_xlfn.LET(_xlpm.d,K$2:K$19,_xlpm.a,$C$2:$C$19=$C27,_xlpm.b,$D$2:$D$19=$D27,MAX(_xlfn._xlws.FILTER(_xlpm.d,_xlpm.a*_xlpm.b)))</f>
        <v>0.54</v>
      </c>
      <c r="L27" s="8" cm="1">
        <f t="array" ref="L27">_xlfn.LET(_xlpm.d,L$2:L$19,_xlpm.a,$C$2:$C$19=$C27,_xlpm.b,$D$2:$D$19=$D27,MAX(_xlfn._xlws.FILTER(_xlpm.d,_xlpm.a*_xlpm.b)))</f>
        <v>0.55000000000000004</v>
      </c>
      <c r="M27" s="8" cm="1">
        <f t="array" ref="M27">_xlfn.LET(_xlpm.d,M$2:M$19,_xlpm.a,$C$2:$C$19=$C27,_xlpm.b,$D$2:$D$19=$D27,MAX(_xlfn._xlws.FILTER(_xlpm.d,_xlpm.a*_xlpm.b)))</f>
        <v>0.62</v>
      </c>
      <c r="N27" s="8" cm="1">
        <f t="array" ref="N27">_xlfn.LET(_xlpm.d,N$2:N$19,_xlpm.a,$C$2:$C$19=$C27,_xlpm.b,$D$2:$D$19=$D27,MAX(_xlfn._xlws.FILTER(_xlpm.d,_xlpm.a*_xlpm.b)))</f>
        <v>0.52</v>
      </c>
      <c r="O27" s="8" cm="1">
        <f t="array" ref="O27">_xlfn.LET(_xlpm.d,O$2:O$19,_xlpm.a,$C$2:$C$19=$C27,_xlpm.b,$D$2:$D$19=$D27,MAX(_xlfn._xlws.FILTER(_xlpm.d,_xlpm.a*_xlpm.b)))</f>
        <v>0.55000000000000004</v>
      </c>
      <c r="P27" s="8" cm="1">
        <f t="array" ref="P27">_xlfn.LET(_xlpm.d,P$2:P$19,_xlpm.a,$C$2:$C$19=$C27,_xlpm.b,$D$2:$D$19=$D27,MAX(_xlfn._xlws.FILTER(_xlpm.d,_xlpm.a*_xlpm.b)))</f>
        <v>0.56000000000000005</v>
      </c>
      <c r="Q27" s="8" cm="1">
        <f t="array" ref="Q27">_xlfn.LET(_xlpm.d,Q$2:Q$19,_xlpm.a,$C$2:$C$19=$C27,_xlpm.b,$D$2:$D$19=$D27,MAX(_xlfn._xlws.FILTER(_xlpm.d,_xlpm.a*_xlpm.b)))</f>
        <v>0.54</v>
      </c>
      <c r="R27" s="8" cm="1">
        <f t="array" ref="R27">_xlfn.LET(_xlpm.d,R$2:R$19,_xlpm.a,$C$2:$C$19=$C27,_xlpm.b,$D$2:$D$19=$D27,MAX(_xlfn._xlws.FILTER(_xlpm.d,_xlpm.a*_xlpm.b)))</f>
        <v>0.53</v>
      </c>
      <c r="S27" s="8">
        <f t="shared" si="1"/>
        <v>0.62</v>
      </c>
    </row>
    <row r="28" spans="1:19" ht="27" customHeight="1">
      <c r="B28" s="11">
        <v>3</v>
      </c>
      <c r="C28" s="11" t="s">
        <v>11</v>
      </c>
      <c r="D28" s="11" t="b">
        <v>0</v>
      </c>
      <c r="E28" s="11">
        <v>0</v>
      </c>
      <c r="F28" s="10" t="s">
        <v>4</v>
      </c>
      <c r="G28" s="8" cm="1">
        <f t="array" ref="G28">_xlfn.LET(_xlpm.d,G$2:G$19,_xlpm.a,$C$2:$C$19=$C28,_xlpm.b,$D$2:$D$19=$D28,MAX(_xlfn._xlws.FILTER(_xlpm.d,_xlpm.a*_xlpm.b)))</f>
        <v>0.42</v>
      </c>
      <c r="H28" s="8" cm="1">
        <f t="array" ref="H28">_xlfn.LET(_xlpm.d,H$2:H$19,_xlpm.a,$C$2:$C$19=$C28,_xlpm.b,$D$2:$D$19=$D28,MAX(_xlfn._xlws.FILTER(_xlpm.d,_xlpm.a*_xlpm.b)))</f>
        <v>0.39</v>
      </c>
      <c r="I28" s="8" cm="1">
        <f t="array" ref="I28">_xlfn.LET(_xlpm.d,I$2:I$19,_xlpm.a,$C$2:$C$19=$C28,_xlpm.b,$D$2:$D$19=$D28,MAX(_xlfn._xlws.FILTER(_xlpm.d,_xlpm.a*_xlpm.b)))</f>
        <v>0.44</v>
      </c>
      <c r="J28" s="8" cm="1">
        <f t="array" ref="J28">_xlfn.LET(_xlpm.d,J$2:J$19,_xlpm.a,$C$2:$C$19=$C28,_xlpm.b,$D$2:$D$19=$D28,MAX(_xlfn._xlws.FILTER(_xlpm.d,_xlpm.a*_xlpm.b)))</f>
        <v>0.48</v>
      </c>
      <c r="K28" s="8" cm="1">
        <f t="array" ref="K28">_xlfn.LET(_xlpm.d,K$2:K$19,_xlpm.a,$C$2:$C$19=$C28,_xlpm.b,$D$2:$D$19=$D28,MAX(_xlfn._xlws.FILTER(_xlpm.d,_xlpm.a*_xlpm.b)))</f>
        <v>0.44</v>
      </c>
      <c r="L28" s="8" cm="1">
        <f t="array" ref="L28">_xlfn.LET(_xlpm.d,L$2:L$19,_xlpm.a,$C$2:$C$19=$C28,_xlpm.b,$D$2:$D$19=$D28,MAX(_xlfn._xlws.FILTER(_xlpm.d,_xlpm.a*_xlpm.b)))</f>
        <v>0.5</v>
      </c>
      <c r="M28" s="8" cm="1">
        <f t="array" ref="M28">_xlfn.LET(_xlpm.d,M$2:M$19,_xlpm.a,$C$2:$C$19=$C28,_xlpm.b,$D$2:$D$19=$D28,MAX(_xlfn._xlws.FILTER(_xlpm.d,_xlpm.a*_xlpm.b)))</f>
        <v>0.46</v>
      </c>
      <c r="N28" s="8" cm="1">
        <f t="array" ref="N28">_xlfn.LET(_xlpm.d,N$2:N$19,_xlpm.a,$C$2:$C$19=$C28,_xlpm.b,$D$2:$D$19=$D28,MAX(_xlfn._xlws.FILTER(_xlpm.d,_xlpm.a*_xlpm.b)))</f>
        <v>0.42</v>
      </c>
      <c r="O28" s="8" cm="1">
        <f t="array" ref="O28">_xlfn.LET(_xlpm.d,O$2:O$19,_xlpm.a,$C$2:$C$19=$C28,_xlpm.b,$D$2:$D$19=$D28,MAX(_xlfn._xlws.FILTER(_xlpm.d,_xlpm.a*_xlpm.b)))</f>
        <v>0.45</v>
      </c>
      <c r="P28" s="8" cm="1">
        <f t="array" ref="P28">_xlfn.LET(_xlpm.d,P$2:P$19,_xlpm.a,$C$2:$C$19=$C28,_xlpm.b,$D$2:$D$19=$D28,MAX(_xlfn._xlws.FILTER(_xlpm.d,_xlpm.a*_xlpm.b)))</f>
        <v>0.47</v>
      </c>
      <c r="Q28" s="8" cm="1">
        <f t="array" ref="Q28">_xlfn.LET(_xlpm.d,Q$2:Q$19,_xlpm.a,$C$2:$C$19=$C28,_xlpm.b,$D$2:$D$19=$D28,MAX(_xlfn._xlws.FILTER(_xlpm.d,_xlpm.a*_xlpm.b)))</f>
        <v>0.47</v>
      </c>
      <c r="R28" s="8" cm="1">
        <f t="array" ref="R28">_xlfn.LET(_xlpm.d,R$2:R$19,_xlpm.a,$C$2:$C$19=$C28,_xlpm.b,$D$2:$D$19=$D28,MAX(_xlfn._xlws.FILTER(_xlpm.d,_xlpm.a*_xlpm.b)))</f>
        <v>0.43</v>
      </c>
      <c r="S28" s="8">
        <f t="shared" si="1"/>
        <v>0.5</v>
      </c>
    </row>
    <row r="30" spans="1:19" ht="27" customHeight="1">
      <c r="F30" s="5" t="s">
        <v>14</v>
      </c>
      <c r="G30" s="1" t="s">
        <v>26</v>
      </c>
      <c r="H30" s="1" t="s">
        <v>27</v>
      </c>
      <c r="I30" s="1" t="s">
        <v>28</v>
      </c>
      <c r="J30" s="1" t="s">
        <v>29</v>
      </c>
      <c r="K30" s="1" t="s">
        <v>30</v>
      </c>
      <c r="L30" s="1" t="s">
        <v>31</v>
      </c>
      <c r="M30" s="1" t="s">
        <v>32</v>
      </c>
      <c r="N30" s="1" t="s">
        <v>33</v>
      </c>
      <c r="O30" s="1" t="s">
        <v>34</v>
      </c>
      <c r="P30" s="1" t="s">
        <v>35</v>
      </c>
      <c r="Q30" s="1" t="s">
        <v>36</v>
      </c>
      <c r="R30" s="1" t="s">
        <v>37</v>
      </c>
      <c r="S30" s="4" t="s">
        <v>4</v>
      </c>
    </row>
    <row r="31" spans="1:19" ht="27" customHeight="1">
      <c r="E31" t="s">
        <v>4</v>
      </c>
      <c r="F31" t="s">
        <v>19</v>
      </c>
      <c r="G31" s="18">
        <f>_xlfn.LET(_xlpm.d,G$23:G$28,GEOMEAN(_xlpm.d))</f>
        <v>0.67163996387450564</v>
      </c>
      <c r="H31" s="18">
        <f t="shared" ref="H31:S31" si="2">_xlfn.LET(_xlpm.d,H$23:H$28,GEOMEAN(_xlpm.d))</f>
        <v>0.66100175066250921</v>
      </c>
      <c r="I31" s="18">
        <f t="shared" si="2"/>
        <v>0.66352491035577432</v>
      </c>
      <c r="J31" s="18">
        <f t="shared" si="2"/>
        <v>0.69380363449304594</v>
      </c>
      <c r="K31" s="18">
        <f t="shared" si="2"/>
        <v>0.65266159892693631</v>
      </c>
      <c r="L31" s="18">
        <f t="shared" si="2"/>
        <v>0.6856494184052998</v>
      </c>
      <c r="M31" s="18">
        <f t="shared" si="2"/>
        <v>0.68718630422700544</v>
      </c>
      <c r="N31" s="18">
        <f t="shared" si="2"/>
        <v>0.65113196455990341</v>
      </c>
      <c r="O31" s="18">
        <f t="shared" si="2"/>
        <v>0.67213059794898855</v>
      </c>
      <c r="P31" s="18">
        <f t="shared" si="2"/>
        <v>0.67356256689934901</v>
      </c>
      <c r="Q31" s="18">
        <f t="shared" si="2"/>
        <v>0.65107745954673635</v>
      </c>
      <c r="R31" s="18">
        <f t="shared" si="2"/>
        <v>0.66062797664100992</v>
      </c>
      <c r="S31" s="18">
        <f t="shared" si="2"/>
        <v>0.7154402832615413</v>
      </c>
    </row>
    <row r="32" spans="1:19" ht="27" customHeight="1">
      <c r="E32" t="s">
        <v>4</v>
      </c>
      <c r="F32" t="s">
        <v>24</v>
      </c>
      <c r="G32" s="18">
        <f>_xlfn.LET(_xlpm.d,G$23:G$28,MAX(_xlpm.d))</f>
        <v>0.9</v>
      </c>
      <c r="H32" s="18">
        <f t="shared" ref="H32:S32" si="3">_xlfn.LET(_xlpm.d,H$23:H$28,MAX(_xlpm.d))</f>
        <v>0.9</v>
      </c>
      <c r="I32" s="18">
        <f t="shared" si="3"/>
        <v>0.88</v>
      </c>
      <c r="J32" s="18">
        <f t="shared" si="3"/>
        <v>0.88</v>
      </c>
      <c r="K32" s="18">
        <f t="shared" si="3"/>
        <v>0.85</v>
      </c>
      <c r="L32" s="18">
        <f t="shared" si="3"/>
        <v>0.89</v>
      </c>
      <c r="M32" s="18">
        <f t="shared" si="3"/>
        <v>0.88</v>
      </c>
      <c r="N32" s="18">
        <f t="shared" si="3"/>
        <v>0.91</v>
      </c>
      <c r="O32" s="18">
        <f t="shared" si="3"/>
        <v>0.91</v>
      </c>
      <c r="P32" s="18">
        <f t="shared" si="3"/>
        <v>0.89</v>
      </c>
      <c r="Q32" s="18">
        <f t="shared" si="3"/>
        <v>0.85</v>
      </c>
      <c r="R32" s="18">
        <f t="shared" si="3"/>
        <v>0.86</v>
      </c>
      <c r="S32" s="18">
        <f t="shared" si="3"/>
        <v>0.91</v>
      </c>
    </row>
    <row r="33" spans="2:19" ht="27" customHeight="1">
      <c r="E33" t="s">
        <v>4</v>
      </c>
      <c r="F33" t="s">
        <v>23</v>
      </c>
      <c r="G33" s="18">
        <f>_xlfn.LET(_xlpm.d,G$23:G$28,MIN(_xlpm.d))</f>
        <v>0.42</v>
      </c>
      <c r="H33" s="18">
        <f t="shared" ref="H33:S33" si="4">_xlfn.LET(_xlpm.d,H$23:H$28,MIN(_xlpm.d))</f>
        <v>0.39</v>
      </c>
      <c r="I33" s="18">
        <f t="shared" si="4"/>
        <v>0.44</v>
      </c>
      <c r="J33" s="18">
        <f t="shared" si="4"/>
        <v>0.48</v>
      </c>
      <c r="K33" s="18">
        <f t="shared" si="4"/>
        <v>0.44</v>
      </c>
      <c r="L33" s="18">
        <f t="shared" si="4"/>
        <v>0.5</v>
      </c>
      <c r="M33" s="18">
        <f t="shared" si="4"/>
        <v>0.46</v>
      </c>
      <c r="N33" s="18">
        <f t="shared" si="4"/>
        <v>0.42</v>
      </c>
      <c r="O33" s="18">
        <f t="shared" si="4"/>
        <v>0.45</v>
      </c>
      <c r="P33" s="18">
        <f t="shared" si="4"/>
        <v>0.47</v>
      </c>
      <c r="Q33" s="18">
        <f t="shared" si="4"/>
        <v>0.47</v>
      </c>
      <c r="R33" s="18">
        <f t="shared" si="4"/>
        <v>0.43</v>
      </c>
      <c r="S33" s="18">
        <f t="shared" si="4"/>
        <v>0.5</v>
      </c>
    </row>
    <row r="36" spans="2:19" ht="27" customHeight="1">
      <c r="B36" t="s">
        <v>12</v>
      </c>
      <c r="C36" t="s">
        <v>1</v>
      </c>
      <c r="D36" t="s">
        <v>16</v>
      </c>
      <c r="E36" t="s">
        <v>17</v>
      </c>
      <c r="F36" t="s">
        <v>14</v>
      </c>
      <c r="G36" t="s">
        <v>26</v>
      </c>
      <c r="H36" t="s">
        <v>27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</row>
    <row r="37" spans="2:19" ht="27" customHeight="1">
      <c r="B37">
        <v>1</v>
      </c>
      <c r="C37" t="s">
        <v>6</v>
      </c>
      <c r="D37" t="b">
        <v>1</v>
      </c>
      <c r="E37">
        <v>0</v>
      </c>
      <c r="F37" t="s">
        <v>18</v>
      </c>
      <c r="G37" s="17">
        <f t="shared" ref="G37:R37" si="5">RANK(G23,$G23:$R23)</f>
        <v>3</v>
      </c>
      <c r="H37" s="17">
        <f t="shared" si="5"/>
        <v>3</v>
      </c>
      <c r="I37" s="17">
        <f t="shared" si="5"/>
        <v>7</v>
      </c>
      <c r="J37" s="17">
        <f t="shared" si="5"/>
        <v>7</v>
      </c>
      <c r="K37" s="17">
        <f t="shared" si="5"/>
        <v>11</v>
      </c>
      <c r="L37" s="17">
        <f t="shared" si="5"/>
        <v>5</v>
      </c>
      <c r="M37" s="17">
        <f t="shared" si="5"/>
        <v>7</v>
      </c>
      <c r="N37" s="17">
        <f t="shared" si="5"/>
        <v>1</v>
      </c>
      <c r="O37" s="17">
        <f t="shared" si="5"/>
        <v>1</v>
      </c>
      <c r="P37" s="17">
        <f t="shared" si="5"/>
        <v>5</v>
      </c>
      <c r="Q37" s="17">
        <f t="shared" si="5"/>
        <v>11</v>
      </c>
      <c r="R37" s="17">
        <f t="shared" si="5"/>
        <v>10</v>
      </c>
    </row>
    <row r="38" spans="2:19" ht="27" customHeight="1">
      <c r="B38">
        <v>1</v>
      </c>
      <c r="C38" t="s">
        <v>6</v>
      </c>
      <c r="D38" t="b">
        <v>0</v>
      </c>
      <c r="E38">
        <v>0</v>
      </c>
      <c r="F38" t="s">
        <v>18</v>
      </c>
      <c r="G38" s="17">
        <f t="shared" ref="G38:R38" si="6">RANK(G24,$G24:$R24)</f>
        <v>5</v>
      </c>
      <c r="H38" s="17">
        <f t="shared" si="6"/>
        <v>8</v>
      </c>
      <c r="I38" s="17">
        <f t="shared" si="6"/>
        <v>8</v>
      </c>
      <c r="J38" s="17">
        <f t="shared" si="6"/>
        <v>5</v>
      </c>
      <c r="K38" s="17">
        <f t="shared" si="6"/>
        <v>5</v>
      </c>
      <c r="L38" s="17">
        <f t="shared" si="6"/>
        <v>1</v>
      </c>
      <c r="M38" s="17">
        <f t="shared" si="6"/>
        <v>12</v>
      </c>
      <c r="N38" s="17">
        <f t="shared" si="6"/>
        <v>8</v>
      </c>
      <c r="O38" s="17">
        <f t="shared" si="6"/>
        <v>2</v>
      </c>
      <c r="P38" s="17">
        <f t="shared" si="6"/>
        <v>3</v>
      </c>
      <c r="Q38" s="17">
        <f t="shared" si="6"/>
        <v>3</v>
      </c>
      <c r="R38" s="17">
        <f t="shared" si="6"/>
        <v>8</v>
      </c>
    </row>
    <row r="39" spans="2:19" ht="27" customHeight="1">
      <c r="B39">
        <v>2</v>
      </c>
      <c r="C39" t="s">
        <v>10</v>
      </c>
      <c r="D39" t="b">
        <v>1</v>
      </c>
      <c r="E39">
        <v>0</v>
      </c>
      <c r="F39" t="s">
        <v>18</v>
      </c>
      <c r="G39" s="17">
        <f t="shared" ref="G39:R39" si="7">RANK(G25,$G25:$R25)</f>
        <v>6</v>
      </c>
      <c r="H39" s="17">
        <f t="shared" si="7"/>
        <v>1</v>
      </c>
      <c r="I39" s="17">
        <f t="shared" si="7"/>
        <v>5</v>
      </c>
      <c r="J39" s="17">
        <f t="shared" si="7"/>
        <v>1</v>
      </c>
      <c r="K39" s="17">
        <f t="shared" si="7"/>
        <v>11</v>
      </c>
      <c r="L39" s="17">
        <f t="shared" si="7"/>
        <v>4</v>
      </c>
      <c r="M39" s="17">
        <f t="shared" si="7"/>
        <v>1</v>
      </c>
      <c r="N39" s="17">
        <f t="shared" si="7"/>
        <v>6</v>
      </c>
      <c r="O39" s="17">
        <f t="shared" si="7"/>
        <v>6</v>
      </c>
      <c r="P39" s="17">
        <f t="shared" si="7"/>
        <v>6</v>
      </c>
      <c r="Q39" s="17">
        <f t="shared" si="7"/>
        <v>11</v>
      </c>
      <c r="R39" s="17">
        <f t="shared" si="7"/>
        <v>6</v>
      </c>
    </row>
    <row r="40" spans="2:19" ht="27" customHeight="1">
      <c r="B40">
        <v>2</v>
      </c>
      <c r="C40" t="s">
        <v>10</v>
      </c>
      <c r="D40" t="b">
        <v>0</v>
      </c>
      <c r="E40">
        <v>0</v>
      </c>
      <c r="F40" t="s">
        <v>18</v>
      </c>
      <c r="G40" s="17">
        <f t="shared" ref="G40:R40" si="8">RANK(G26,$G26:$R26)</f>
        <v>4</v>
      </c>
      <c r="H40" s="17">
        <f t="shared" si="8"/>
        <v>1</v>
      </c>
      <c r="I40" s="17">
        <f t="shared" si="8"/>
        <v>6</v>
      </c>
      <c r="J40" s="17">
        <f t="shared" si="8"/>
        <v>3</v>
      </c>
      <c r="K40" s="17">
        <f t="shared" si="8"/>
        <v>6</v>
      </c>
      <c r="L40" s="17">
        <f t="shared" si="8"/>
        <v>9</v>
      </c>
      <c r="M40" s="17">
        <f t="shared" si="8"/>
        <v>4</v>
      </c>
      <c r="N40" s="17">
        <f t="shared" si="8"/>
        <v>11</v>
      </c>
      <c r="O40" s="17">
        <f t="shared" si="8"/>
        <v>6</v>
      </c>
      <c r="P40" s="17">
        <f t="shared" si="8"/>
        <v>9</v>
      </c>
      <c r="Q40" s="17">
        <f t="shared" si="8"/>
        <v>12</v>
      </c>
      <c r="R40" s="17">
        <f t="shared" si="8"/>
        <v>1</v>
      </c>
    </row>
    <row r="41" spans="2:19" ht="27" customHeight="1">
      <c r="B41">
        <v>3</v>
      </c>
      <c r="C41" t="s">
        <v>11</v>
      </c>
      <c r="D41" t="b">
        <v>1</v>
      </c>
      <c r="E41">
        <v>0</v>
      </c>
      <c r="F41" t="s">
        <v>18</v>
      </c>
      <c r="G41" s="17">
        <f t="shared" ref="G41:R41" si="9">RANK(G27,$G27:$R27)</f>
        <v>2</v>
      </c>
      <c r="H41" s="17">
        <f t="shared" si="9"/>
        <v>10</v>
      </c>
      <c r="I41" s="17">
        <f t="shared" si="9"/>
        <v>5</v>
      </c>
      <c r="J41" s="17">
        <f t="shared" si="9"/>
        <v>2</v>
      </c>
      <c r="K41" s="17">
        <f t="shared" si="9"/>
        <v>8</v>
      </c>
      <c r="L41" s="17">
        <f t="shared" si="9"/>
        <v>5</v>
      </c>
      <c r="M41" s="17">
        <f t="shared" si="9"/>
        <v>1</v>
      </c>
      <c r="N41" s="17">
        <f t="shared" si="9"/>
        <v>12</v>
      </c>
      <c r="O41" s="17">
        <f t="shared" si="9"/>
        <v>5</v>
      </c>
      <c r="P41" s="17">
        <f t="shared" si="9"/>
        <v>4</v>
      </c>
      <c r="Q41" s="17">
        <f t="shared" si="9"/>
        <v>8</v>
      </c>
      <c r="R41" s="17">
        <f t="shared" si="9"/>
        <v>10</v>
      </c>
    </row>
    <row r="42" spans="2:19" ht="27" customHeight="1">
      <c r="B42">
        <v>3</v>
      </c>
      <c r="C42" t="s">
        <v>11</v>
      </c>
      <c r="D42" t="b">
        <v>0</v>
      </c>
      <c r="E42">
        <v>0</v>
      </c>
      <c r="F42" t="s">
        <v>18</v>
      </c>
      <c r="G42" s="17">
        <f t="shared" ref="G42:R42" si="10">RANK(G28,$G28:$R28)</f>
        <v>10</v>
      </c>
      <c r="H42" s="17">
        <f t="shared" si="10"/>
        <v>12</v>
      </c>
      <c r="I42" s="17">
        <f t="shared" si="10"/>
        <v>7</v>
      </c>
      <c r="J42" s="17">
        <f t="shared" si="10"/>
        <v>2</v>
      </c>
      <c r="K42" s="17">
        <f t="shared" si="10"/>
        <v>7</v>
      </c>
      <c r="L42" s="17">
        <f t="shared" si="10"/>
        <v>1</v>
      </c>
      <c r="M42" s="17">
        <f t="shared" si="10"/>
        <v>5</v>
      </c>
      <c r="N42" s="17">
        <f t="shared" si="10"/>
        <v>10</v>
      </c>
      <c r="O42" s="17">
        <f t="shared" si="10"/>
        <v>6</v>
      </c>
      <c r="P42" s="17">
        <f t="shared" si="10"/>
        <v>3</v>
      </c>
      <c r="Q42" s="17">
        <f t="shared" si="10"/>
        <v>3</v>
      </c>
      <c r="R42" s="17">
        <f t="shared" si="10"/>
        <v>9</v>
      </c>
    </row>
    <row r="44" spans="2:19" ht="27" customHeight="1">
      <c r="F44" t="s">
        <v>14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</row>
    <row r="45" spans="2:19" ht="27" customHeight="1">
      <c r="E45" t="s">
        <v>18</v>
      </c>
      <c r="F45" t="s">
        <v>19</v>
      </c>
      <c r="G45" s="14">
        <f>_xlfn.LET(_xlpm.d,G$37:G$42,GEOMEAN(_xlpm.d))</f>
        <v>4.3942903513664859</v>
      </c>
      <c r="H45" s="14">
        <f t="shared" ref="H45:R45" si="11">_xlfn.LET(_xlpm.d,H$37:H$42,GEOMEAN(_xlpm.d))</f>
        <v>3.7719455481170789</v>
      </c>
      <c r="I45" s="14">
        <f t="shared" si="11"/>
        <v>6.2358580564464177</v>
      </c>
      <c r="J45" s="14">
        <f t="shared" si="11"/>
        <v>2.736580418554972</v>
      </c>
      <c r="K45" s="14">
        <f t="shared" si="11"/>
        <v>7.6680059642924139</v>
      </c>
      <c r="L45" s="14">
        <f t="shared" si="11"/>
        <v>3.1072325059538586</v>
      </c>
      <c r="M45" s="14">
        <f t="shared" si="11"/>
        <v>3.447875274067532</v>
      </c>
      <c r="N45" s="14">
        <f t="shared" si="11"/>
        <v>6.3139702039607259</v>
      </c>
      <c r="O45" s="14">
        <f t="shared" si="11"/>
        <v>3.5953592505049201</v>
      </c>
      <c r="P45" s="14">
        <f t="shared" si="11"/>
        <v>4.6196709652247288</v>
      </c>
      <c r="Q45" s="14">
        <f t="shared" si="11"/>
        <v>6.8635665993154129</v>
      </c>
      <c r="R45" s="14">
        <f t="shared" si="11"/>
        <v>5.9235304387294567</v>
      </c>
    </row>
    <row r="46" spans="2:19" ht="27" customHeight="1">
      <c r="E46" t="s">
        <v>18</v>
      </c>
      <c r="F46" t="s">
        <v>20</v>
      </c>
      <c r="G46" s="3">
        <f>RANK(G45,$G45:$R45,1)</f>
        <v>6</v>
      </c>
      <c r="H46" s="3">
        <f>RANK(H45,$G45:$R45,1)</f>
        <v>5</v>
      </c>
      <c r="I46" s="3">
        <f t="shared" ref="I46:R46" si="12">RANK(I45,$G45:$R45,1)</f>
        <v>9</v>
      </c>
      <c r="J46" s="3">
        <f t="shared" si="12"/>
        <v>1</v>
      </c>
      <c r="K46" s="3">
        <f t="shared" si="12"/>
        <v>12</v>
      </c>
      <c r="L46" s="3">
        <f t="shared" si="12"/>
        <v>2</v>
      </c>
      <c r="M46" s="3">
        <f t="shared" si="12"/>
        <v>3</v>
      </c>
      <c r="N46" s="3">
        <f t="shared" si="12"/>
        <v>10</v>
      </c>
      <c r="O46" s="3">
        <f t="shared" si="12"/>
        <v>4</v>
      </c>
      <c r="P46" s="3">
        <f t="shared" si="12"/>
        <v>7</v>
      </c>
      <c r="Q46" s="3">
        <f t="shared" si="12"/>
        <v>11</v>
      </c>
      <c r="R46" s="3">
        <f t="shared" si="12"/>
        <v>8</v>
      </c>
    </row>
    <row r="47" spans="2:19" ht="27" customHeight="1">
      <c r="E47" t="s">
        <v>18</v>
      </c>
      <c r="F47" t="s">
        <v>21</v>
      </c>
      <c r="G47" s="3">
        <f>_xlfn.LET(_xlpm.d,G$37:G$42,MIN(_xlpm.d))</f>
        <v>2</v>
      </c>
      <c r="H47" s="3">
        <f t="shared" ref="H47:R47" si="13">_xlfn.LET(_xlpm.d,H$37:H$42,MIN(_xlpm.d))</f>
        <v>1</v>
      </c>
      <c r="I47" s="3">
        <f t="shared" si="13"/>
        <v>5</v>
      </c>
      <c r="J47" s="3">
        <f t="shared" si="13"/>
        <v>1</v>
      </c>
      <c r="K47" s="3">
        <f t="shared" si="13"/>
        <v>5</v>
      </c>
      <c r="L47" s="3">
        <f t="shared" si="13"/>
        <v>1</v>
      </c>
      <c r="M47" s="3">
        <f t="shared" si="13"/>
        <v>1</v>
      </c>
      <c r="N47" s="3">
        <f t="shared" si="13"/>
        <v>1</v>
      </c>
      <c r="O47" s="3">
        <f t="shared" si="13"/>
        <v>1</v>
      </c>
      <c r="P47" s="3">
        <f t="shared" si="13"/>
        <v>3</v>
      </c>
      <c r="Q47" s="3">
        <f t="shared" si="13"/>
        <v>3</v>
      </c>
      <c r="R47" s="3">
        <f t="shared" si="13"/>
        <v>1</v>
      </c>
    </row>
    <row r="48" spans="2:19" ht="27" customHeight="1">
      <c r="E48" t="s">
        <v>18</v>
      </c>
      <c r="F48" t="s">
        <v>4</v>
      </c>
      <c r="G48" s="2">
        <f>_xlfn.LET(_xlpm.d,G$37:G$42,MAX(_xlpm.d))</f>
        <v>10</v>
      </c>
      <c r="H48" s="2">
        <f t="shared" ref="H48:R48" si="14">_xlfn.LET(_xlpm.d,H$37:H$42,MAX(_xlpm.d))</f>
        <v>12</v>
      </c>
      <c r="I48" s="2">
        <f t="shared" si="14"/>
        <v>8</v>
      </c>
      <c r="J48" s="2">
        <f t="shared" si="14"/>
        <v>7</v>
      </c>
      <c r="K48" s="2">
        <f t="shared" si="14"/>
        <v>11</v>
      </c>
      <c r="L48" s="2">
        <f t="shared" si="14"/>
        <v>9</v>
      </c>
      <c r="M48" s="2">
        <f t="shared" si="14"/>
        <v>12</v>
      </c>
      <c r="N48" s="2">
        <f t="shared" si="14"/>
        <v>12</v>
      </c>
      <c r="O48" s="2">
        <f t="shared" si="14"/>
        <v>6</v>
      </c>
      <c r="P48" s="2">
        <f t="shared" si="14"/>
        <v>9</v>
      </c>
      <c r="Q48" s="2">
        <f t="shared" si="14"/>
        <v>12</v>
      </c>
      <c r="R48" s="2">
        <f t="shared" si="14"/>
        <v>10</v>
      </c>
    </row>
    <row r="49" spans="5:18" ht="27" customHeight="1">
      <c r="E49" t="s">
        <v>18</v>
      </c>
      <c r="F49" t="s">
        <v>22</v>
      </c>
      <c r="G49">
        <f>_xlfn.LET(_xlpm.d,G$37:G$42,STDEV(_xlpm.d))</f>
        <v>2.8284271247461903</v>
      </c>
      <c r="H49">
        <f t="shared" ref="H49:R49" si="15">_xlfn.LET(_xlpm.d,H$37:H$42,STDEV(_xlpm.d))</f>
        <v>4.7923550230201712</v>
      </c>
      <c r="I49">
        <f t="shared" si="15"/>
        <v>1.2110601416389974</v>
      </c>
      <c r="J49">
        <f t="shared" si="15"/>
        <v>2.2509257354845507</v>
      </c>
      <c r="K49">
        <f t="shared" si="15"/>
        <v>2.5298221281347035</v>
      </c>
      <c r="L49">
        <f t="shared" si="15"/>
        <v>2.9944392908634274</v>
      </c>
      <c r="M49">
        <f t="shared" si="15"/>
        <v>4.1472882706655438</v>
      </c>
      <c r="N49">
        <f t="shared" si="15"/>
        <v>4.0496913462633168</v>
      </c>
      <c r="O49">
        <f t="shared" si="15"/>
        <v>2.2509257354845507</v>
      </c>
      <c r="P49">
        <f t="shared" si="15"/>
        <v>2.2803508501982761</v>
      </c>
      <c r="Q49">
        <f t="shared" si="15"/>
        <v>4.0987803063838397</v>
      </c>
      <c r="R49">
        <f t="shared" si="15"/>
        <v>3.4448028487370164</v>
      </c>
    </row>
  </sheetData>
  <conditionalFormatting sqref="G37:R42">
    <cfRule type="colorScale" priority="10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5:R45">
    <cfRule type="colorScale" priority="7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6:R46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7:R47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8:R48">
    <cfRule type="colorScale" priority="4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3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1:S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A277-17DB-A146-AE6E-3CC954DFF376}">
  <dimension ref="A1:S28"/>
  <sheetViews>
    <sheetView workbookViewId="0">
      <pane xSplit="9080" ySplit="4400" topLeftCell="J10"/>
      <selection activeCell="A4" sqref="A4"/>
      <selection pane="topRight" activeCell="M5" sqref="M5"/>
      <selection pane="bottomLeft" activeCell="C10" sqref="C10"/>
      <selection pane="bottomRight" activeCell="H10" sqref="H10"/>
    </sheetView>
  </sheetViews>
  <sheetFormatPr baseColWidth="10" defaultRowHeight="25" customHeight="1"/>
  <cols>
    <col min="2" max="2" width="7.625" customWidth="1"/>
    <col min="4" max="4" width="8.375" customWidth="1"/>
    <col min="5" max="5" width="7.125" customWidth="1"/>
    <col min="6" max="6" width="7.375" customWidth="1"/>
    <col min="7" max="19" width="7.25" customWidth="1"/>
  </cols>
  <sheetData>
    <row r="1" spans="1:19" ht="25" customHeight="1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5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3">
        <v>0.89</v>
      </c>
      <c r="H2" s="13">
        <v>0.85</v>
      </c>
      <c r="I2" s="13">
        <v>0.9</v>
      </c>
      <c r="J2" s="13">
        <v>0.81</v>
      </c>
      <c r="K2" s="13">
        <v>0.81</v>
      </c>
      <c r="L2" s="13">
        <v>0.9</v>
      </c>
      <c r="M2" s="13">
        <v>0.83</v>
      </c>
      <c r="N2" s="13">
        <v>0.78</v>
      </c>
      <c r="O2" s="13">
        <v>0.82</v>
      </c>
      <c r="P2" s="13">
        <v>0.81</v>
      </c>
      <c r="Q2" s="13">
        <v>0.81</v>
      </c>
      <c r="R2" s="13">
        <v>0.78</v>
      </c>
      <c r="S2" s="13">
        <f t="shared" ref="S2:S19" si="0">MAX($G2:$R2)</f>
        <v>0.9</v>
      </c>
    </row>
    <row r="3" spans="1:19" ht="25" customHeight="1">
      <c r="A3" t="s">
        <v>5</v>
      </c>
      <c r="B3">
        <v>1</v>
      </c>
      <c r="C3" t="s">
        <v>6</v>
      </c>
      <c r="D3" t="b">
        <v>0</v>
      </c>
      <c r="E3">
        <v>1</v>
      </c>
      <c r="F3" t="s">
        <v>9</v>
      </c>
      <c r="G3" s="13">
        <v>0.87</v>
      </c>
      <c r="H3" s="13">
        <v>0.82</v>
      </c>
      <c r="I3" s="13">
        <v>0.82</v>
      </c>
      <c r="J3" s="13">
        <v>0.77</v>
      </c>
      <c r="K3" s="13">
        <v>0.81</v>
      </c>
      <c r="L3" s="13">
        <v>0.86</v>
      </c>
      <c r="M3" s="13">
        <v>0.81</v>
      </c>
      <c r="N3" s="13">
        <v>0.81</v>
      </c>
      <c r="O3" s="13">
        <v>0.82</v>
      </c>
      <c r="P3" s="13">
        <v>0.76</v>
      </c>
      <c r="Q3" s="13">
        <v>0.76</v>
      </c>
      <c r="R3" s="13">
        <v>0.77</v>
      </c>
      <c r="S3" s="13">
        <f t="shared" si="0"/>
        <v>0.87</v>
      </c>
    </row>
    <row r="4" spans="1:19" ht="25" customHeight="1">
      <c r="A4" t="s">
        <v>5</v>
      </c>
      <c r="B4">
        <v>1</v>
      </c>
      <c r="C4" t="s">
        <v>6</v>
      </c>
      <c r="D4" t="b">
        <v>1</v>
      </c>
      <c r="E4">
        <v>2</v>
      </c>
      <c r="F4" t="s">
        <v>8</v>
      </c>
      <c r="G4" s="13">
        <v>0.92</v>
      </c>
      <c r="H4" s="13">
        <v>0.85</v>
      </c>
      <c r="I4" s="13">
        <v>0.93</v>
      </c>
      <c r="J4" s="13">
        <v>0.86</v>
      </c>
      <c r="K4" s="13">
        <v>0.82</v>
      </c>
      <c r="L4" s="13">
        <v>0.87</v>
      </c>
      <c r="M4" s="13">
        <v>0.86</v>
      </c>
      <c r="N4" s="13">
        <v>0.86</v>
      </c>
      <c r="O4" s="13">
        <v>0.88</v>
      </c>
      <c r="P4" s="13">
        <v>0.86</v>
      </c>
      <c r="Q4" s="13">
        <v>0.83</v>
      </c>
      <c r="R4" s="13">
        <v>0.85</v>
      </c>
      <c r="S4" s="13">
        <f t="shared" si="0"/>
        <v>0.93</v>
      </c>
    </row>
    <row r="5" spans="1:19" ht="25" customHeight="1">
      <c r="A5" t="s">
        <v>5</v>
      </c>
      <c r="B5">
        <v>1</v>
      </c>
      <c r="C5" t="s">
        <v>6</v>
      </c>
      <c r="D5" t="b">
        <v>0</v>
      </c>
      <c r="E5">
        <v>2</v>
      </c>
      <c r="F5" t="s">
        <v>8</v>
      </c>
      <c r="G5" s="13">
        <v>0.89</v>
      </c>
      <c r="H5" s="13">
        <v>0.82</v>
      </c>
      <c r="I5" s="13">
        <v>0.88</v>
      </c>
      <c r="J5" s="13">
        <v>0.78</v>
      </c>
      <c r="K5" s="13">
        <v>0.81</v>
      </c>
      <c r="L5" s="13">
        <v>0.85</v>
      </c>
      <c r="M5" s="13">
        <v>0.8</v>
      </c>
      <c r="N5" s="13">
        <v>0.79</v>
      </c>
      <c r="O5" s="13">
        <v>0.81</v>
      </c>
      <c r="P5" s="13">
        <v>0.82</v>
      </c>
      <c r="Q5" s="13">
        <v>0.82</v>
      </c>
      <c r="R5" s="13">
        <v>0.79</v>
      </c>
      <c r="S5" s="13">
        <f t="shared" si="0"/>
        <v>0.89</v>
      </c>
    </row>
    <row r="6" spans="1:19" ht="25" customHeight="1">
      <c r="A6" t="s">
        <v>5</v>
      </c>
      <c r="B6">
        <v>1</v>
      </c>
      <c r="C6" t="s">
        <v>6</v>
      </c>
      <c r="D6" t="b">
        <v>1</v>
      </c>
      <c r="E6">
        <v>3</v>
      </c>
      <c r="F6" t="s">
        <v>7</v>
      </c>
      <c r="G6" s="13">
        <v>0.89</v>
      </c>
      <c r="H6" s="13">
        <v>0.81</v>
      </c>
      <c r="I6" s="13">
        <v>0.88</v>
      </c>
      <c r="J6" s="13">
        <v>0.86</v>
      </c>
      <c r="K6" s="13">
        <v>0.79</v>
      </c>
      <c r="L6" s="13">
        <v>0.87</v>
      </c>
      <c r="M6" s="13">
        <v>0.85</v>
      </c>
      <c r="N6" s="13">
        <v>0.82</v>
      </c>
      <c r="O6" s="13">
        <v>0.86</v>
      </c>
      <c r="P6" s="13">
        <v>0.83</v>
      </c>
      <c r="Q6" s="13">
        <v>0.83</v>
      </c>
      <c r="R6" s="13">
        <v>0.82</v>
      </c>
      <c r="S6" s="13">
        <f t="shared" si="0"/>
        <v>0.89</v>
      </c>
    </row>
    <row r="7" spans="1:19" ht="25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13">
        <v>0.85</v>
      </c>
      <c r="H7" s="13">
        <v>0.8</v>
      </c>
      <c r="I7" s="13">
        <v>0.81</v>
      </c>
      <c r="J7" s="13">
        <v>0.79</v>
      </c>
      <c r="K7" s="13">
        <v>0.77</v>
      </c>
      <c r="L7" s="13">
        <v>0.84</v>
      </c>
      <c r="M7" s="13">
        <v>0.78</v>
      </c>
      <c r="N7" s="13">
        <v>0.79</v>
      </c>
      <c r="O7" s="13">
        <v>0.8</v>
      </c>
      <c r="P7" s="13">
        <v>0.81</v>
      </c>
      <c r="Q7" s="13">
        <v>0.8</v>
      </c>
      <c r="R7" s="13">
        <v>0.74</v>
      </c>
      <c r="S7" s="13">
        <f t="shared" si="0"/>
        <v>0.85</v>
      </c>
    </row>
    <row r="8" spans="1:19" ht="25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13">
        <v>0.51</v>
      </c>
      <c r="H8" s="13">
        <v>0.53</v>
      </c>
      <c r="I8" s="13">
        <v>0.56000000000000005</v>
      </c>
      <c r="J8" s="13">
        <v>0.48</v>
      </c>
      <c r="K8" s="13">
        <v>0.56000000000000005</v>
      </c>
      <c r="L8" s="13">
        <v>0.62</v>
      </c>
      <c r="M8" s="13">
        <v>0.53</v>
      </c>
      <c r="N8" s="13">
        <v>0.55000000000000004</v>
      </c>
      <c r="O8" s="13">
        <v>0.57999999999999996</v>
      </c>
      <c r="P8" s="13">
        <v>0.49</v>
      </c>
      <c r="Q8" s="13">
        <v>0.45</v>
      </c>
      <c r="R8" s="13">
        <v>0.49</v>
      </c>
      <c r="S8" s="13">
        <f t="shared" si="0"/>
        <v>0.62</v>
      </c>
    </row>
    <row r="9" spans="1:19" ht="25" customHeight="1">
      <c r="A9" t="s">
        <v>5</v>
      </c>
      <c r="B9">
        <v>2</v>
      </c>
      <c r="C9" t="s">
        <v>10</v>
      </c>
      <c r="D9" t="b">
        <v>0</v>
      </c>
      <c r="E9">
        <v>1</v>
      </c>
      <c r="F9" t="s">
        <v>9</v>
      </c>
      <c r="G9" s="13">
        <v>0.54</v>
      </c>
      <c r="H9" s="13">
        <v>0.43</v>
      </c>
      <c r="I9" s="13">
        <v>0.51</v>
      </c>
      <c r="J9" s="13">
        <v>0.55000000000000004</v>
      </c>
      <c r="K9" s="13">
        <v>0.48</v>
      </c>
      <c r="L9" s="13">
        <v>0.51</v>
      </c>
      <c r="M9" s="13">
        <v>0.56999999999999995</v>
      </c>
      <c r="N9" s="13">
        <v>0.51</v>
      </c>
      <c r="O9" s="13">
        <v>0.56000000000000005</v>
      </c>
      <c r="P9" s="13">
        <v>0.47</v>
      </c>
      <c r="Q9" s="13">
        <v>0.46</v>
      </c>
      <c r="R9" s="13">
        <v>0.44</v>
      </c>
      <c r="S9" s="13">
        <f t="shared" si="0"/>
        <v>0.56999999999999995</v>
      </c>
    </row>
    <row r="10" spans="1:19" ht="25" customHeight="1">
      <c r="A10" t="s">
        <v>5</v>
      </c>
      <c r="B10">
        <v>2</v>
      </c>
      <c r="C10" t="s">
        <v>10</v>
      </c>
      <c r="D10" t="b">
        <v>1</v>
      </c>
      <c r="E10">
        <v>2</v>
      </c>
      <c r="F10" t="s">
        <v>8</v>
      </c>
      <c r="G10" s="13">
        <v>0.56000000000000005</v>
      </c>
      <c r="H10" s="13">
        <v>0.59</v>
      </c>
      <c r="I10" s="13">
        <v>0.65</v>
      </c>
      <c r="J10" s="13">
        <v>0.66</v>
      </c>
      <c r="K10" s="13">
        <v>0.59</v>
      </c>
      <c r="L10" s="13">
        <v>0.69</v>
      </c>
      <c r="M10" s="13">
        <v>0.69</v>
      </c>
      <c r="N10" s="13">
        <v>0.69</v>
      </c>
      <c r="O10" s="13">
        <v>0.75</v>
      </c>
      <c r="P10" s="13">
        <v>0.61</v>
      </c>
      <c r="Q10" s="13">
        <v>0.6</v>
      </c>
      <c r="R10" s="13">
        <v>0.61</v>
      </c>
      <c r="S10" s="13">
        <f t="shared" si="0"/>
        <v>0.75</v>
      </c>
    </row>
    <row r="11" spans="1:19" ht="25" customHeight="1">
      <c r="A11" t="s">
        <v>5</v>
      </c>
      <c r="B11">
        <v>2</v>
      </c>
      <c r="C11" t="s">
        <v>10</v>
      </c>
      <c r="D11" t="b">
        <v>0</v>
      </c>
      <c r="E11">
        <v>2</v>
      </c>
      <c r="F11" t="s">
        <v>8</v>
      </c>
      <c r="G11" s="13">
        <v>0.62</v>
      </c>
      <c r="H11" s="13">
        <v>0.57999999999999996</v>
      </c>
      <c r="I11" s="13">
        <v>0.65</v>
      </c>
      <c r="J11" s="13">
        <v>0.61</v>
      </c>
      <c r="K11" s="13">
        <v>0.52</v>
      </c>
      <c r="L11" s="13">
        <v>0.67</v>
      </c>
      <c r="M11" s="13">
        <v>0.55000000000000004</v>
      </c>
      <c r="N11" s="13">
        <v>0.67</v>
      </c>
      <c r="O11" s="13">
        <v>0.7</v>
      </c>
      <c r="P11" s="13">
        <v>0.55000000000000004</v>
      </c>
      <c r="Q11" s="13">
        <v>0.51</v>
      </c>
      <c r="R11" s="13">
        <v>0.59</v>
      </c>
      <c r="S11" s="13">
        <f t="shared" si="0"/>
        <v>0.7</v>
      </c>
    </row>
    <row r="12" spans="1:19" ht="25" customHeight="1">
      <c r="A12" t="s">
        <v>5</v>
      </c>
      <c r="B12">
        <v>2</v>
      </c>
      <c r="C12" t="s">
        <v>10</v>
      </c>
      <c r="D12" t="b">
        <v>1</v>
      </c>
      <c r="E12">
        <v>3</v>
      </c>
      <c r="F12" t="s">
        <v>7</v>
      </c>
      <c r="G12" s="13">
        <v>0.64</v>
      </c>
      <c r="H12" s="13">
        <v>0.59</v>
      </c>
      <c r="I12" s="13">
        <v>0.65</v>
      </c>
      <c r="J12" s="13">
        <v>0.61</v>
      </c>
      <c r="K12" s="13">
        <v>0.61</v>
      </c>
      <c r="L12" s="13">
        <v>0.65</v>
      </c>
      <c r="M12" s="13">
        <v>0.6</v>
      </c>
      <c r="N12" s="13">
        <v>0.64</v>
      </c>
      <c r="O12" s="13">
        <v>0.71</v>
      </c>
      <c r="P12" s="13">
        <v>0.57999999999999996</v>
      </c>
      <c r="Q12" s="13">
        <v>0.64</v>
      </c>
      <c r="R12" s="13">
        <v>0.68</v>
      </c>
      <c r="S12" s="13">
        <f t="shared" si="0"/>
        <v>0.71</v>
      </c>
    </row>
    <row r="13" spans="1:19" ht="25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13">
        <v>0.61</v>
      </c>
      <c r="H13" s="13">
        <v>0.6</v>
      </c>
      <c r="I13" s="13">
        <v>0.64</v>
      </c>
      <c r="J13" s="13">
        <v>0.64</v>
      </c>
      <c r="K13" s="13">
        <v>0.67</v>
      </c>
      <c r="L13" s="13">
        <v>0.61</v>
      </c>
      <c r="M13" s="13">
        <v>0.61</v>
      </c>
      <c r="N13" s="13">
        <v>0.65</v>
      </c>
      <c r="O13" s="13">
        <v>0.7</v>
      </c>
      <c r="P13" s="13">
        <v>0.59</v>
      </c>
      <c r="Q13" s="13">
        <v>0.66</v>
      </c>
      <c r="R13" s="13">
        <v>0.65</v>
      </c>
      <c r="S13" s="13">
        <f t="shared" si="0"/>
        <v>0.7</v>
      </c>
    </row>
    <row r="14" spans="1:19" ht="25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13">
        <v>0.48</v>
      </c>
      <c r="H14" s="13">
        <v>0.42</v>
      </c>
      <c r="I14" s="13">
        <v>0.39</v>
      </c>
      <c r="J14" s="13">
        <v>0.48</v>
      </c>
      <c r="K14" s="13">
        <v>0.46</v>
      </c>
      <c r="L14" s="13">
        <v>0.42</v>
      </c>
      <c r="M14" s="13">
        <v>0.45</v>
      </c>
      <c r="N14" s="13">
        <v>0.49</v>
      </c>
      <c r="O14" s="13">
        <v>0.47</v>
      </c>
      <c r="P14" s="13">
        <v>0.51</v>
      </c>
      <c r="Q14" s="13">
        <v>0.39</v>
      </c>
      <c r="R14" s="13">
        <v>0.45</v>
      </c>
      <c r="S14" s="13">
        <f t="shared" si="0"/>
        <v>0.51</v>
      </c>
    </row>
    <row r="15" spans="1:19" ht="25" customHeight="1">
      <c r="A15" t="s">
        <v>5</v>
      </c>
      <c r="B15">
        <v>3</v>
      </c>
      <c r="C15" t="s">
        <v>11</v>
      </c>
      <c r="D15" t="b">
        <v>0</v>
      </c>
      <c r="E15">
        <v>1</v>
      </c>
      <c r="F15" t="s">
        <v>9</v>
      </c>
      <c r="G15" s="13">
        <v>0.37</v>
      </c>
      <c r="H15" s="13">
        <v>0.41</v>
      </c>
      <c r="I15" s="13">
        <v>0.38</v>
      </c>
      <c r="J15" s="13">
        <v>0.39</v>
      </c>
      <c r="K15" s="13">
        <v>0.39</v>
      </c>
      <c r="L15" s="13">
        <v>0.43</v>
      </c>
      <c r="M15" s="13">
        <v>0.41</v>
      </c>
      <c r="N15" s="13">
        <v>0.39</v>
      </c>
      <c r="O15" s="13">
        <v>0.34</v>
      </c>
      <c r="P15" s="13">
        <v>0.37</v>
      </c>
      <c r="Q15" s="13">
        <v>0.36</v>
      </c>
      <c r="R15" s="13">
        <v>0.42</v>
      </c>
      <c r="S15" s="13">
        <f t="shared" si="0"/>
        <v>0.43</v>
      </c>
    </row>
    <row r="16" spans="1:19" ht="25" customHeight="1">
      <c r="A16" t="s">
        <v>5</v>
      </c>
      <c r="B16">
        <v>3</v>
      </c>
      <c r="C16" t="s">
        <v>11</v>
      </c>
      <c r="D16" t="b">
        <v>1</v>
      </c>
      <c r="E16">
        <v>2</v>
      </c>
      <c r="F16" t="s">
        <v>8</v>
      </c>
      <c r="G16" s="13">
        <v>0.59</v>
      </c>
      <c r="H16" s="13">
        <v>0.52</v>
      </c>
      <c r="I16" s="13">
        <v>0.56999999999999995</v>
      </c>
      <c r="J16" s="13">
        <v>0.52</v>
      </c>
      <c r="K16" s="13">
        <v>0.53</v>
      </c>
      <c r="L16" s="13">
        <v>0.54</v>
      </c>
      <c r="M16" s="13">
        <v>0.57999999999999996</v>
      </c>
      <c r="N16" s="13">
        <v>0.54</v>
      </c>
      <c r="O16" s="13">
        <v>0.45</v>
      </c>
      <c r="P16" s="13">
        <v>0.55000000000000004</v>
      </c>
      <c r="Q16" s="13">
        <v>0.54</v>
      </c>
      <c r="R16" s="13">
        <v>0.54</v>
      </c>
      <c r="S16" s="13">
        <f t="shared" si="0"/>
        <v>0.59</v>
      </c>
    </row>
    <row r="17" spans="1:19" ht="25" customHeight="1">
      <c r="A17" t="s">
        <v>5</v>
      </c>
      <c r="B17">
        <v>3</v>
      </c>
      <c r="C17" t="s">
        <v>11</v>
      </c>
      <c r="D17" t="b">
        <v>0</v>
      </c>
      <c r="E17">
        <v>2</v>
      </c>
      <c r="F17" t="s">
        <v>8</v>
      </c>
      <c r="G17" s="13">
        <v>0.44</v>
      </c>
      <c r="H17" s="13">
        <v>0.47</v>
      </c>
      <c r="I17" s="13">
        <v>0.42</v>
      </c>
      <c r="J17" s="13">
        <v>0.45</v>
      </c>
      <c r="K17" s="13">
        <v>0.43</v>
      </c>
      <c r="L17" s="13">
        <v>0.44</v>
      </c>
      <c r="M17" s="13">
        <v>0.41</v>
      </c>
      <c r="N17" s="13">
        <v>0.46</v>
      </c>
      <c r="O17" s="13">
        <v>0.38</v>
      </c>
      <c r="P17" s="13">
        <v>0.46</v>
      </c>
      <c r="Q17" s="13">
        <v>0.46</v>
      </c>
      <c r="R17" s="13">
        <v>0.49</v>
      </c>
      <c r="S17" s="13">
        <f t="shared" si="0"/>
        <v>0.49</v>
      </c>
    </row>
    <row r="18" spans="1:19" ht="25" customHeight="1">
      <c r="A18" t="s">
        <v>5</v>
      </c>
      <c r="B18">
        <v>3</v>
      </c>
      <c r="C18" t="s">
        <v>11</v>
      </c>
      <c r="D18" t="b">
        <v>1</v>
      </c>
      <c r="E18">
        <v>3</v>
      </c>
      <c r="F18" t="s">
        <v>7</v>
      </c>
      <c r="G18" s="13">
        <v>0.49</v>
      </c>
      <c r="H18" s="13">
        <v>0.48</v>
      </c>
      <c r="I18" s="13">
        <v>0.45</v>
      </c>
      <c r="J18" s="13">
        <v>0.45</v>
      </c>
      <c r="K18" s="13">
        <v>0.38</v>
      </c>
      <c r="L18" s="13">
        <v>0.44</v>
      </c>
      <c r="M18" s="13">
        <v>0.41</v>
      </c>
      <c r="N18" s="13">
        <v>0.43</v>
      </c>
      <c r="O18" s="13">
        <v>0.41</v>
      </c>
      <c r="P18" s="13">
        <v>0.43</v>
      </c>
      <c r="Q18" s="13">
        <v>0.43</v>
      </c>
      <c r="R18" s="13">
        <v>0.44</v>
      </c>
      <c r="S18" s="13">
        <f t="shared" si="0"/>
        <v>0.49</v>
      </c>
    </row>
    <row r="19" spans="1:19" ht="25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13">
        <v>0.34</v>
      </c>
      <c r="H19" s="13">
        <v>0.41</v>
      </c>
      <c r="I19" s="13">
        <v>0.39</v>
      </c>
      <c r="J19" s="13">
        <v>0.38</v>
      </c>
      <c r="K19" s="13">
        <v>0.34</v>
      </c>
      <c r="L19" s="13">
        <v>0.41</v>
      </c>
      <c r="M19" s="13">
        <v>0.39</v>
      </c>
      <c r="N19" s="13">
        <v>0.4</v>
      </c>
      <c r="O19" s="13">
        <v>0.39</v>
      </c>
      <c r="P19" s="13">
        <v>0.33</v>
      </c>
      <c r="Q19" s="13">
        <v>0.39</v>
      </c>
      <c r="R19" s="13">
        <v>0.37</v>
      </c>
      <c r="S19" s="13">
        <f t="shared" si="0"/>
        <v>0.41</v>
      </c>
    </row>
    <row r="22" spans="1:19" ht="25" customHeight="1">
      <c r="B22" t="s">
        <v>12</v>
      </c>
      <c r="C22" t="s">
        <v>1</v>
      </c>
      <c r="D22" t="s">
        <v>16</v>
      </c>
      <c r="E22" t="s">
        <v>17</v>
      </c>
      <c r="F22" t="s">
        <v>14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4</v>
      </c>
    </row>
    <row r="23" spans="1:19" ht="25" customHeight="1">
      <c r="B23">
        <v>1</v>
      </c>
      <c r="C23" t="s">
        <v>6</v>
      </c>
      <c r="D23" t="b">
        <v>1</v>
      </c>
      <c r="E23">
        <v>1</v>
      </c>
      <c r="F23" t="s">
        <v>4</v>
      </c>
      <c r="G23" s="13" cm="1">
        <f t="array" ref="G23">_xlfn.LET(_xlpm.d,G$2:G$19,_xlpm.a,$C$2:$C$19=$C23,_xlpm.b,$D$2:$D$19=$D23,MAX(_xlfn._xlws.FILTER(_xlpm.d,_xlpm.a*_xlpm.b)))</f>
        <v>0.92</v>
      </c>
      <c r="H23" s="13" cm="1">
        <f t="array" ref="H23">_xlfn.LET(_xlpm.d,H$2:H$19,_xlpm.a,$C$2:$C$19=$C23,_xlpm.b,$D$2:$D$19=$D23,MAX(_xlfn._xlws.FILTER(_xlpm.d,_xlpm.a*_xlpm.b)))</f>
        <v>0.85</v>
      </c>
      <c r="I23" s="13" cm="1">
        <f t="array" ref="I23">_xlfn.LET(_xlpm.d,I$2:I$19,_xlpm.a,$C$2:$C$19=$C23,_xlpm.b,$D$2:$D$19=$D23,MAX(_xlfn._xlws.FILTER(_xlpm.d,_xlpm.a*_xlpm.b)))</f>
        <v>0.93</v>
      </c>
      <c r="J23" s="13" cm="1">
        <f t="array" ref="J23">_xlfn.LET(_xlpm.d,J$2:J$19,_xlpm.a,$C$2:$C$19=$C23,_xlpm.b,$D$2:$D$19=$D23,MAX(_xlfn._xlws.FILTER(_xlpm.d,_xlpm.a*_xlpm.b)))</f>
        <v>0.86</v>
      </c>
      <c r="K23" s="13" cm="1">
        <f t="array" ref="K23">_xlfn.LET(_xlpm.d,K$2:K$19,_xlpm.a,$C$2:$C$19=$C23,_xlpm.b,$D$2:$D$19=$D23,MAX(_xlfn._xlws.FILTER(_xlpm.d,_xlpm.a*_xlpm.b)))</f>
        <v>0.82</v>
      </c>
      <c r="L23" s="13" cm="1">
        <f t="array" ref="L23">_xlfn.LET(_xlpm.d,L$2:L$19,_xlpm.a,$C$2:$C$19=$C23,_xlpm.b,$D$2:$D$19=$D23,MAX(_xlfn._xlws.FILTER(_xlpm.d,_xlpm.a*_xlpm.b)))</f>
        <v>0.9</v>
      </c>
      <c r="M23" s="13" cm="1">
        <f t="array" ref="M23">_xlfn.LET(_xlpm.d,M$2:M$19,_xlpm.a,$C$2:$C$19=$C23,_xlpm.b,$D$2:$D$19=$D23,MAX(_xlfn._xlws.FILTER(_xlpm.d,_xlpm.a*_xlpm.b)))</f>
        <v>0.86</v>
      </c>
      <c r="N23" s="13" cm="1">
        <f t="array" ref="N23">_xlfn.LET(_xlpm.d,N$2:N$19,_xlpm.a,$C$2:$C$19=$C23,_xlpm.b,$D$2:$D$19=$D23,MAX(_xlfn._xlws.FILTER(_xlpm.d,_xlpm.a*_xlpm.b)))</f>
        <v>0.86</v>
      </c>
      <c r="O23" s="13" cm="1">
        <f t="array" ref="O23">_xlfn.LET(_xlpm.d,O$2:O$19,_xlpm.a,$C$2:$C$19=$C23,_xlpm.b,$D$2:$D$19=$D23,MAX(_xlfn._xlws.FILTER(_xlpm.d,_xlpm.a*_xlpm.b)))</f>
        <v>0.88</v>
      </c>
      <c r="P23" s="13" cm="1">
        <f t="array" ref="P23">_xlfn.LET(_xlpm.d,P$2:P$19,_xlpm.a,$C$2:$C$19=$C23,_xlpm.b,$D$2:$D$19=$D23,MAX(_xlfn._xlws.FILTER(_xlpm.d,_xlpm.a*_xlpm.b)))</f>
        <v>0.86</v>
      </c>
      <c r="Q23" s="13" cm="1">
        <f t="array" ref="Q23">_xlfn.LET(_xlpm.d,Q$2:Q$19,_xlpm.a,$C$2:$C$19=$C23,_xlpm.b,$D$2:$D$19=$D23,MAX(_xlfn._xlws.FILTER(_xlpm.d,_xlpm.a*_xlpm.b)))</f>
        <v>0.83</v>
      </c>
      <c r="R23" s="13" cm="1">
        <f t="array" ref="R23">_xlfn.LET(_xlpm.d,R$2:R$19,_xlpm.a,$C$2:$C$19=$C23,_xlpm.b,$D$2:$D$19=$D23,MAX(_xlfn._xlws.FILTER(_xlpm.d,_xlpm.a*_xlpm.b)))</f>
        <v>0.85</v>
      </c>
      <c r="S23" s="13" cm="1">
        <f t="array" ref="S23">_xlfn.LET(_xlpm.d,S$2:S$19,_xlpm.a,$C$2:$C$19=$C23,_xlpm.b,$D$2:$D$19=$D23,MAX(_xlfn._xlws.FILTER(_xlpm.d,_xlpm.a*_xlpm.b)))</f>
        <v>0.93</v>
      </c>
    </row>
    <row r="24" spans="1:19" ht="25" customHeight="1">
      <c r="B24">
        <v>1</v>
      </c>
      <c r="C24" t="s">
        <v>6</v>
      </c>
      <c r="D24" t="b">
        <v>0</v>
      </c>
      <c r="E24">
        <v>1</v>
      </c>
      <c r="F24" t="s">
        <v>4</v>
      </c>
      <c r="G24" s="13" cm="1">
        <f t="array" ref="G24">_xlfn.LET(_xlpm.d,G$2:G$19,_xlpm.a,$C$2:$C$19=$C24,_xlpm.b,$D$2:$D$19=$D24,MAX(_xlfn._xlws.FILTER(_xlpm.d,_xlpm.a*_xlpm.b)))</f>
        <v>0.89</v>
      </c>
      <c r="H24" s="13" cm="1">
        <f t="array" ref="H24">_xlfn.LET(_xlpm.d,H$2:H$19,_xlpm.a,$C$2:$C$19=$C24,_xlpm.b,$D$2:$D$19=$D24,MAX(_xlfn._xlws.FILTER(_xlpm.d,_xlpm.a*_xlpm.b)))</f>
        <v>0.82</v>
      </c>
      <c r="I24" s="13" cm="1">
        <f t="array" ref="I24">_xlfn.LET(_xlpm.d,I$2:I$19,_xlpm.a,$C$2:$C$19=$C24,_xlpm.b,$D$2:$D$19=$D24,MAX(_xlfn._xlws.FILTER(_xlpm.d,_xlpm.a*_xlpm.b)))</f>
        <v>0.88</v>
      </c>
      <c r="J24" s="13" cm="1">
        <f t="array" ref="J24">_xlfn.LET(_xlpm.d,J$2:J$19,_xlpm.a,$C$2:$C$19=$C24,_xlpm.b,$D$2:$D$19=$D24,MAX(_xlfn._xlws.FILTER(_xlpm.d,_xlpm.a*_xlpm.b)))</f>
        <v>0.79</v>
      </c>
      <c r="K24" s="13" cm="1">
        <f t="array" ref="K24">_xlfn.LET(_xlpm.d,K$2:K$19,_xlpm.a,$C$2:$C$19=$C24,_xlpm.b,$D$2:$D$19=$D24,MAX(_xlfn._xlws.FILTER(_xlpm.d,_xlpm.a*_xlpm.b)))</f>
        <v>0.81</v>
      </c>
      <c r="L24" s="13" cm="1">
        <f t="array" ref="L24">_xlfn.LET(_xlpm.d,L$2:L$19,_xlpm.a,$C$2:$C$19=$C24,_xlpm.b,$D$2:$D$19=$D24,MAX(_xlfn._xlws.FILTER(_xlpm.d,_xlpm.a*_xlpm.b)))</f>
        <v>0.86</v>
      </c>
      <c r="M24" s="13" cm="1">
        <f t="array" ref="M24">_xlfn.LET(_xlpm.d,M$2:M$19,_xlpm.a,$C$2:$C$19=$C24,_xlpm.b,$D$2:$D$19=$D24,MAX(_xlfn._xlws.FILTER(_xlpm.d,_xlpm.a*_xlpm.b)))</f>
        <v>0.81</v>
      </c>
      <c r="N24" s="13" cm="1">
        <f t="array" ref="N24">_xlfn.LET(_xlpm.d,N$2:N$19,_xlpm.a,$C$2:$C$19=$C24,_xlpm.b,$D$2:$D$19=$D24,MAX(_xlfn._xlws.FILTER(_xlpm.d,_xlpm.a*_xlpm.b)))</f>
        <v>0.81</v>
      </c>
      <c r="O24" s="13" cm="1">
        <f t="array" ref="O24">_xlfn.LET(_xlpm.d,O$2:O$19,_xlpm.a,$C$2:$C$19=$C24,_xlpm.b,$D$2:$D$19=$D24,MAX(_xlfn._xlws.FILTER(_xlpm.d,_xlpm.a*_xlpm.b)))</f>
        <v>0.82</v>
      </c>
      <c r="P24" s="13" cm="1">
        <f t="array" ref="P24">_xlfn.LET(_xlpm.d,P$2:P$19,_xlpm.a,$C$2:$C$19=$C24,_xlpm.b,$D$2:$D$19=$D24,MAX(_xlfn._xlws.FILTER(_xlpm.d,_xlpm.a*_xlpm.b)))</f>
        <v>0.82</v>
      </c>
      <c r="Q24" s="13" cm="1">
        <f t="array" ref="Q24">_xlfn.LET(_xlpm.d,Q$2:Q$19,_xlpm.a,$C$2:$C$19=$C24,_xlpm.b,$D$2:$D$19=$D24,MAX(_xlfn._xlws.FILTER(_xlpm.d,_xlpm.a*_xlpm.b)))</f>
        <v>0.82</v>
      </c>
      <c r="R24" s="13" cm="1">
        <f t="array" ref="R24">_xlfn.LET(_xlpm.d,R$2:R$19,_xlpm.a,$C$2:$C$19=$C24,_xlpm.b,$D$2:$D$19=$D24,MAX(_xlfn._xlws.FILTER(_xlpm.d,_xlpm.a*_xlpm.b)))</f>
        <v>0.79</v>
      </c>
      <c r="S24" s="13" cm="1">
        <f t="array" ref="S24">_xlfn.LET(_xlpm.d,S$2:S$19,_xlpm.a,$C$2:$C$19=$C24,_xlpm.b,$D$2:$D$19=$D24,MAX(_xlfn._xlws.FILTER(_xlpm.d,_xlpm.a*_xlpm.b)))</f>
        <v>0.89</v>
      </c>
    </row>
    <row r="25" spans="1:19" ht="25" customHeight="1">
      <c r="B25">
        <v>2</v>
      </c>
      <c r="C25" t="s">
        <v>10</v>
      </c>
      <c r="D25" t="b">
        <v>1</v>
      </c>
      <c r="E25">
        <v>1</v>
      </c>
      <c r="F25" t="s">
        <v>4</v>
      </c>
      <c r="G25" s="13" cm="1">
        <f t="array" ref="G25">_xlfn.LET(_xlpm.d,G$2:G$19,_xlpm.a,$C$2:$C$19=$C25,_xlpm.b,$D$2:$D$19=$D25,MAX(_xlfn._xlws.FILTER(_xlpm.d,_xlpm.a*_xlpm.b)))</f>
        <v>0.64</v>
      </c>
      <c r="H25" s="13" cm="1">
        <f t="array" ref="H25">_xlfn.LET(_xlpm.d,H$2:H$19,_xlpm.a,$C$2:$C$19=$C25,_xlpm.b,$D$2:$D$19=$D25,MAX(_xlfn._xlws.FILTER(_xlpm.d,_xlpm.a*_xlpm.b)))</f>
        <v>0.59</v>
      </c>
      <c r="I25" s="13" cm="1">
        <f t="array" ref="I25">_xlfn.LET(_xlpm.d,I$2:I$19,_xlpm.a,$C$2:$C$19=$C25,_xlpm.b,$D$2:$D$19=$D25,MAX(_xlfn._xlws.FILTER(_xlpm.d,_xlpm.a*_xlpm.b)))</f>
        <v>0.65</v>
      </c>
      <c r="J25" s="13" cm="1">
        <f t="array" ref="J25">_xlfn.LET(_xlpm.d,J$2:J$19,_xlpm.a,$C$2:$C$19=$C25,_xlpm.b,$D$2:$D$19=$D25,MAX(_xlfn._xlws.FILTER(_xlpm.d,_xlpm.a*_xlpm.b)))</f>
        <v>0.66</v>
      </c>
      <c r="K25" s="13" cm="1">
        <f t="array" ref="K25">_xlfn.LET(_xlpm.d,K$2:K$19,_xlpm.a,$C$2:$C$19=$C25,_xlpm.b,$D$2:$D$19=$D25,MAX(_xlfn._xlws.FILTER(_xlpm.d,_xlpm.a*_xlpm.b)))</f>
        <v>0.61</v>
      </c>
      <c r="L25" s="13" cm="1">
        <f t="array" ref="L25">_xlfn.LET(_xlpm.d,L$2:L$19,_xlpm.a,$C$2:$C$19=$C25,_xlpm.b,$D$2:$D$19=$D25,MAX(_xlfn._xlws.FILTER(_xlpm.d,_xlpm.a*_xlpm.b)))</f>
        <v>0.69</v>
      </c>
      <c r="M25" s="13" cm="1">
        <f t="array" ref="M25">_xlfn.LET(_xlpm.d,M$2:M$19,_xlpm.a,$C$2:$C$19=$C25,_xlpm.b,$D$2:$D$19=$D25,MAX(_xlfn._xlws.FILTER(_xlpm.d,_xlpm.a*_xlpm.b)))</f>
        <v>0.69</v>
      </c>
      <c r="N25" s="13" cm="1">
        <f t="array" ref="N25">_xlfn.LET(_xlpm.d,N$2:N$19,_xlpm.a,$C$2:$C$19=$C25,_xlpm.b,$D$2:$D$19=$D25,MAX(_xlfn._xlws.FILTER(_xlpm.d,_xlpm.a*_xlpm.b)))</f>
        <v>0.69</v>
      </c>
      <c r="O25" s="13" cm="1">
        <f t="array" ref="O25">_xlfn.LET(_xlpm.d,O$2:O$19,_xlpm.a,$C$2:$C$19=$C25,_xlpm.b,$D$2:$D$19=$D25,MAX(_xlfn._xlws.FILTER(_xlpm.d,_xlpm.a*_xlpm.b)))</f>
        <v>0.75</v>
      </c>
      <c r="P25" s="13" cm="1">
        <f t="array" ref="P25">_xlfn.LET(_xlpm.d,P$2:P$19,_xlpm.a,$C$2:$C$19=$C25,_xlpm.b,$D$2:$D$19=$D25,MAX(_xlfn._xlws.FILTER(_xlpm.d,_xlpm.a*_xlpm.b)))</f>
        <v>0.61</v>
      </c>
      <c r="Q25" s="13" cm="1">
        <f t="array" ref="Q25">_xlfn.LET(_xlpm.d,Q$2:Q$19,_xlpm.a,$C$2:$C$19=$C25,_xlpm.b,$D$2:$D$19=$D25,MAX(_xlfn._xlws.FILTER(_xlpm.d,_xlpm.a*_xlpm.b)))</f>
        <v>0.64</v>
      </c>
      <c r="R25" s="13" cm="1">
        <f t="array" ref="R25">_xlfn.LET(_xlpm.d,R$2:R$19,_xlpm.a,$C$2:$C$19=$C25,_xlpm.b,$D$2:$D$19=$D25,MAX(_xlfn._xlws.FILTER(_xlpm.d,_xlpm.a*_xlpm.b)))</f>
        <v>0.68</v>
      </c>
      <c r="S25" s="13" cm="1">
        <f t="array" ref="S25">_xlfn.LET(_xlpm.d,S$2:S$19,_xlpm.a,$C$2:$C$19=$C25,_xlpm.b,$D$2:$D$19=$D25,MAX(_xlfn._xlws.FILTER(_xlpm.d,_xlpm.a*_xlpm.b)))</f>
        <v>0.75</v>
      </c>
    </row>
    <row r="26" spans="1:19" ht="25" customHeight="1">
      <c r="B26">
        <v>2</v>
      </c>
      <c r="C26" t="s">
        <v>10</v>
      </c>
      <c r="D26" t="b">
        <v>0</v>
      </c>
      <c r="E26">
        <v>1</v>
      </c>
      <c r="F26" t="s">
        <v>4</v>
      </c>
      <c r="G26" s="13" cm="1">
        <f t="array" ref="G26">_xlfn.LET(_xlpm.d,G$2:G$19,_xlpm.a,$C$2:$C$19=$C26,_xlpm.b,$D$2:$D$19=$D26,MAX(_xlfn._xlws.FILTER(_xlpm.d,_xlpm.a*_xlpm.b)))</f>
        <v>0.62</v>
      </c>
      <c r="H26" s="13" cm="1">
        <f t="array" ref="H26">_xlfn.LET(_xlpm.d,H$2:H$19,_xlpm.a,$C$2:$C$19=$C26,_xlpm.b,$D$2:$D$19=$D26,MAX(_xlfn._xlws.FILTER(_xlpm.d,_xlpm.a*_xlpm.b)))</f>
        <v>0.6</v>
      </c>
      <c r="I26" s="13" cm="1">
        <f t="array" ref="I26">_xlfn.LET(_xlpm.d,I$2:I$19,_xlpm.a,$C$2:$C$19=$C26,_xlpm.b,$D$2:$D$19=$D26,MAX(_xlfn._xlws.FILTER(_xlpm.d,_xlpm.a*_xlpm.b)))</f>
        <v>0.65</v>
      </c>
      <c r="J26" s="13" cm="1">
        <f t="array" ref="J26">_xlfn.LET(_xlpm.d,J$2:J$19,_xlpm.a,$C$2:$C$19=$C26,_xlpm.b,$D$2:$D$19=$D26,MAX(_xlfn._xlws.FILTER(_xlpm.d,_xlpm.a*_xlpm.b)))</f>
        <v>0.64</v>
      </c>
      <c r="K26" s="13" cm="1">
        <f t="array" ref="K26">_xlfn.LET(_xlpm.d,K$2:K$19,_xlpm.a,$C$2:$C$19=$C26,_xlpm.b,$D$2:$D$19=$D26,MAX(_xlfn._xlws.FILTER(_xlpm.d,_xlpm.a*_xlpm.b)))</f>
        <v>0.67</v>
      </c>
      <c r="L26" s="13" cm="1">
        <f t="array" ref="L26">_xlfn.LET(_xlpm.d,L$2:L$19,_xlpm.a,$C$2:$C$19=$C26,_xlpm.b,$D$2:$D$19=$D26,MAX(_xlfn._xlws.FILTER(_xlpm.d,_xlpm.a*_xlpm.b)))</f>
        <v>0.67</v>
      </c>
      <c r="M26" s="13" cm="1">
        <f t="array" ref="M26">_xlfn.LET(_xlpm.d,M$2:M$19,_xlpm.a,$C$2:$C$19=$C26,_xlpm.b,$D$2:$D$19=$D26,MAX(_xlfn._xlws.FILTER(_xlpm.d,_xlpm.a*_xlpm.b)))</f>
        <v>0.61</v>
      </c>
      <c r="N26" s="13" cm="1">
        <f t="array" ref="N26">_xlfn.LET(_xlpm.d,N$2:N$19,_xlpm.a,$C$2:$C$19=$C26,_xlpm.b,$D$2:$D$19=$D26,MAX(_xlfn._xlws.FILTER(_xlpm.d,_xlpm.a*_xlpm.b)))</f>
        <v>0.67</v>
      </c>
      <c r="O26" s="13" cm="1">
        <f t="array" ref="O26">_xlfn.LET(_xlpm.d,O$2:O$19,_xlpm.a,$C$2:$C$19=$C26,_xlpm.b,$D$2:$D$19=$D26,MAX(_xlfn._xlws.FILTER(_xlpm.d,_xlpm.a*_xlpm.b)))</f>
        <v>0.7</v>
      </c>
      <c r="P26" s="13" cm="1">
        <f t="array" ref="P26">_xlfn.LET(_xlpm.d,P$2:P$19,_xlpm.a,$C$2:$C$19=$C26,_xlpm.b,$D$2:$D$19=$D26,MAX(_xlfn._xlws.FILTER(_xlpm.d,_xlpm.a*_xlpm.b)))</f>
        <v>0.59</v>
      </c>
      <c r="Q26" s="13" cm="1">
        <f t="array" ref="Q26">_xlfn.LET(_xlpm.d,Q$2:Q$19,_xlpm.a,$C$2:$C$19=$C26,_xlpm.b,$D$2:$D$19=$D26,MAX(_xlfn._xlws.FILTER(_xlpm.d,_xlpm.a*_xlpm.b)))</f>
        <v>0.66</v>
      </c>
      <c r="R26" s="13" cm="1">
        <f t="array" ref="R26">_xlfn.LET(_xlpm.d,R$2:R$19,_xlpm.a,$C$2:$C$19=$C26,_xlpm.b,$D$2:$D$19=$D26,MAX(_xlfn._xlws.FILTER(_xlpm.d,_xlpm.a*_xlpm.b)))</f>
        <v>0.65</v>
      </c>
      <c r="S26" s="13" cm="1">
        <f t="array" ref="S26">_xlfn.LET(_xlpm.d,S$2:S$19,_xlpm.a,$C$2:$C$19=$C26,_xlpm.b,$D$2:$D$19=$D26,MAX(_xlfn._xlws.FILTER(_xlpm.d,_xlpm.a*_xlpm.b)))</f>
        <v>0.7</v>
      </c>
    </row>
    <row r="27" spans="1:19" ht="25" customHeight="1">
      <c r="B27">
        <v>3</v>
      </c>
      <c r="C27" t="s">
        <v>11</v>
      </c>
      <c r="D27" t="b">
        <v>1</v>
      </c>
      <c r="E27">
        <v>1</v>
      </c>
      <c r="F27" t="s">
        <v>4</v>
      </c>
      <c r="G27" s="13" cm="1">
        <f t="array" ref="G27">_xlfn.LET(_xlpm.d,G$2:G$19,_xlpm.a,$C$2:$C$19=$C27,_xlpm.b,$D$2:$D$19=$D27,MAX(_xlfn._xlws.FILTER(_xlpm.d,_xlpm.a*_xlpm.b)))</f>
        <v>0.59</v>
      </c>
      <c r="H27" s="13" cm="1">
        <f t="array" ref="H27">_xlfn.LET(_xlpm.d,H$2:H$19,_xlpm.a,$C$2:$C$19=$C27,_xlpm.b,$D$2:$D$19=$D27,MAX(_xlfn._xlws.FILTER(_xlpm.d,_xlpm.a*_xlpm.b)))</f>
        <v>0.52</v>
      </c>
      <c r="I27" s="13" cm="1">
        <f t="array" ref="I27">_xlfn.LET(_xlpm.d,I$2:I$19,_xlpm.a,$C$2:$C$19=$C27,_xlpm.b,$D$2:$D$19=$D27,MAX(_xlfn._xlws.FILTER(_xlpm.d,_xlpm.a*_xlpm.b)))</f>
        <v>0.56999999999999995</v>
      </c>
      <c r="J27" s="13" cm="1">
        <f t="array" ref="J27">_xlfn.LET(_xlpm.d,J$2:J$19,_xlpm.a,$C$2:$C$19=$C27,_xlpm.b,$D$2:$D$19=$D27,MAX(_xlfn._xlws.FILTER(_xlpm.d,_xlpm.a*_xlpm.b)))</f>
        <v>0.52</v>
      </c>
      <c r="K27" s="13" cm="1">
        <f t="array" ref="K27">_xlfn.LET(_xlpm.d,K$2:K$19,_xlpm.a,$C$2:$C$19=$C27,_xlpm.b,$D$2:$D$19=$D27,MAX(_xlfn._xlws.FILTER(_xlpm.d,_xlpm.a*_xlpm.b)))</f>
        <v>0.53</v>
      </c>
      <c r="L27" s="13" cm="1">
        <f t="array" ref="L27">_xlfn.LET(_xlpm.d,L$2:L$19,_xlpm.a,$C$2:$C$19=$C27,_xlpm.b,$D$2:$D$19=$D27,MAX(_xlfn._xlws.FILTER(_xlpm.d,_xlpm.a*_xlpm.b)))</f>
        <v>0.54</v>
      </c>
      <c r="M27" s="13" cm="1">
        <f t="array" ref="M27">_xlfn.LET(_xlpm.d,M$2:M$19,_xlpm.a,$C$2:$C$19=$C27,_xlpm.b,$D$2:$D$19=$D27,MAX(_xlfn._xlws.FILTER(_xlpm.d,_xlpm.a*_xlpm.b)))</f>
        <v>0.57999999999999996</v>
      </c>
      <c r="N27" s="13" cm="1">
        <f t="array" ref="N27">_xlfn.LET(_xlpm.d,N$2:N$19,_xlpm.a,$C$2:$C$19=$C27,_xlpm.b,$D$2:$D$19=$D27,MAX(_xlfn._xlws.FILTER(_xlpm.d,_xlpm.a*_xlpm.b)))</f>
        <v>0.54</v>
      </c>
      <c r="O27" s="13" cm="1">
        <f t="array" ref="O27">_xlfn.LET(_xlpm.d,O$2:O$19,_xlpm.a,$C$2:$C$19=$C27,_xlpm.b,$D$2:$D$19=$D27,MAX(_xlfn._xlws.FILTER(_xlpm.d,_xlpm.a*_xlpm.b)))</f>
        <v>0.47</v>
      </c>
      <c r="P27" s="13" cm="1">
        <f t="array" ref="P27">_xlfn.LET(_xlpm.d,P$2:P$19,_xlpm.a,$C$2:$C$19=$C27,_xlpm.b,$D$2:$D$19=$D27,MAX(_xlfn._xlws.FILTER(_xlpm.d,_xlpm.a*_xlpm.b)))</f>
        <v>0.55000000000000004</v>
      </c>
      <c r="Q27" s="13" cm="1">
        <f t="array" ref="Q27">_xlfn.LET(_xlpm.d,Q$2:Q$19,_xlpm.a,$C$2:$C$19=$C27,_xlpm.b,$D$2:$D$19=$D27,MAX(_xlfn._xlws.FILTER(_xlpm.d,_xlpm.a*_xlpm.b)))</f>
        <v>0.54</v>
      </c>
      <c r="R27" s="13" cm="1">
        <f t="array" ref="R27">_xlfn.LET(_xlpm.d,R$2:R$19,_xlpm.a,$C$2:$C$19=$C27,_xlpm.b,$D$2:$D$19=$D27,MAX(_xlfn._xlws.FILTER(_xlpm.d,_xlpm.a*_xlpm.b)))</f>
        <v>0.54</v>
      </c>
      <c r="S27" s="13" cm="1">
        <f t="array" ref="S27">_xlfn.LET(_xlpm.d,S$2:S$19,_xlpm.a,$C$2:$C$19=$C27,_xlpm.b,$D$2:$D$19=$D27,MAX(_xlfn._xlws.FILTER(_xlpm.d,_xlpm.a*_xlpm.b)))</f>
        <v>0.59</v>
      </c>
    </row>
    <row r="28" spans="1:19" ht="25" customHeight="1">
      <c r="B28">
        <v>3</v>
      </c>
      <c r="C28" t="s">
        <v>11</v>
      </c>
      <c r="D28" t="b">
        <v>0</v>
      </c>
      <c r="E28">
        <v>1</v>
      </c>
      <c r="F28" t="s">
        <v>4</v>
      </c>
      <c r="G28" s="13" cm="1">
        <f t="array" ref="G28">_xlfn.LET(_xlpm.d,G$2:G$19,_xlpm.a,$C$2:$C$19=$C28,_xlpm.b,$D$2:$D$19=$D28,MAX(_xlfn._xlws.FILTER(_xlpm.d,_xlpm.a*_xlpm.b)))</f>
        <v>0.44</v>
      </c>
      <c r="H28" s="13" cm="1">
        <f t="array" ref="H28">_xlfn.LET(_xlpm.d,H$2:H$19,_xlpm.a,$C$2:$C$19=$C28,_xlpm.b,$D$2:$D$19=$D28,MAX(_xlfn._xlws.FILTER(_xlpm.d,_xlpm.a*_xlpm.b)))</f>
        <v>0.47</v>
      </c>
      <c r="I28" s="13" cm="1">
        <f t="array" ref="I28">_xlfn.LET(_xlpm.d,I$2:I$19,_xlpm.a,$C$2:$C$19=$C28,_xlpm.b,$D$2:$D$19=$D28,MAX(_xlfn._xlws.FILTER(_xlpm.d,_xlpm.a*_xlpm.b)))</f>
        <v>0.42</v>
      </c>
      <c r="J28" s="13" cm="1">
        <f t="array" ref="J28">_xlfn.LET(_xlpm.d,J$2:J$19,_xlpm.a,$C$2:$C$19=$C28,_xlpm.b,$D$2:$D$19=$D28,MAX(_xlfn._xlws.FILTER(_xlpm.d,_xlpm.a*_xlpm.b)))</f>
        <v>0.45</v>
      </c>
      <c r="K28" s="13" cm="1">
        <f t="array" ref="K28">_xlfn.LET(_xlpm.d,K$2:K$19,_xlpm.a,$C$2:$C$19=$C28,_xlpm.b,$D$2:$D$19=$D28,MAX(_xlfn._xlws.FILTER(_xlpm.d,_xlpm.a*_xlpm.b)))</f>
        <v>0.43</v>
      </c>
      <c r="L28" s="13" cm="1">
        <f t="array" ref="L28">_xlfn.LET(_xlpm.d,L$2:L$19,_xlpm.a,$C$2:$C$19=$C28,_xlpm.b,$D$2:$D$19=$D28,MAX(_xlfn._xlws.FILTER(_xlpm.d,_xlpm.a*_xlpm.b)))</f>
        <v>0.44</v>
      </c>
      <c r="M28" s="13" cm="1">
        <f t="array" ref="M28">_xlfn.LET(_xlpm.d,M$2:M$19,_xlpm.a,$C$2:$C$19=$C28,_xlpm.b,$D$2:$D$19=$D28,MAX(_xlfn._xlws.FILTER(_xlpm.d,_xlpm.a*_xlpm.b)))</f>
        <v>0.41</v>
      </c>
      <c r="N28" s="13" cm="1">
        <f t="array" ref="N28">_xlfn.LET(_xlpm.d,N$2:N$19,_xlpm.a,$C$2:$C$19=$C28,_xlpm.b,$D$2:$D$19=$D28,MAX(_xlfn._xlws.FILTER(_xlpm.d,_xlpm.a*_xlpm.b)))</f>
        <v>0.46</v>
      </c>
      <c r="O28" s="13" cm="1">
        <f t="array" ref="O28">_xlfn.LET(_xlpm.d,O$2:O$19,_xlpm.a,$C$2:$C$19=$C28,_xlpm.b,$D$2:$D$19=$D28,MAX(_xlfn._xlws.FILTER(_xlpm.d,_xlpm.a*_xlpm.b)))</f>
        <v>0.39</v>
      </c>
      <c r="P28" s="13" cm="1">
        <f t="array" ref="P28">_xlfn.LET(_xlpm.d,P$2:P$19,_xlpm.a,$C$2:$C$19=$C28,_xlpm.b,$D$2:$D$19=$D28,MAX(_xlfn._xlws.FILTER(_xlpm.d,_xlpm.a*_xlpm.b)))</f>
        <v>0.46</v>
      </c>
      <c r="Q28" s="13" cm="1">
        <f t="array" ref="Q28">_xlfn.LET(_xlpm.d,Q$2:Q$19,_xlpm.a,$C$2:$C$19=$C28,_xlpm.b,$D$2:$D$19=$D28,MAX(_xlfn._xlws.FILTER(_xlpm.d,_xlpm.a*_xlpm.b)))</f>
        <v>0.46</v>
      </c>
      <c r="R28" s="13" cm="1">
        <f t="array" ref="R28">_xlfn.LET(_xlpm.d,R$2:R$19,_xlpm.a,$C$2:$C$19=$C28,_xlpm.b,$D$2:$D$19=$D28,MAX(_xlfn._xlws.FILTER(_xlpm.d,_xlpm.a*_xlpm.b)))</f>
        <v>0.49</v>
      </c>
      <c r="S28" s="13" cm="1">
        <f t="array" ref="S28">_xlfn.LET(_xlpm.d,S$2:S$19,_xlpm.a,$C$2:$C$19=$C28,_xlpm.b,$D$2:$D$19=$D28,MAX(_xlfn._xlws.FILTER(_xlpm.d,_xlpm.a*_xlpm.b)))</f>
        <v>0.49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FA4-9E20-FC4C-A5B9-334BA43ED636}">
  <dimension ref="A1:S28"/>
  <sheetViews>
    <sheetView workbookViewId="0">
      <pane xSplit="12480" ySplit="3960" topLeftCell="O17" activePane="topRight"/>
      <selection activeCell="D1" sqref="D1:D1048576"/>
      <selection pane="topRight" activeCell="O5" sqref="O5"/>
      <selection pane="bottomLeft" activeCell="B22" sqref="B22:S28"/>
      <selection pane="bottomRight" activeCell="Q20" sqref="Q20"/>
    </sheetView>
  </sheetViews>
  <sheetFormatPr baseColWidth="10" defaultRowHeight="25" customHeight="1"/>
  <cols>
    <col min="2" max="2" width="7.25" customWidth="1"/>
    <col min="4" max="4" width="12.125" customWidth="1"/>
    <col min="5" max="5" width="7.75" customWidth="1"/>
    <col min="7" max="19" width="8.25" customWidth="1"/>
  </cols>
  <sheetData>
    <row r="1" spans="1:19" ht="25" customHeight="1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3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4</v>
      </c>
    </row>
    <row r="2" spans="1:19" ht="25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s="13">
        <v>0.82</v>
      </c>
      <c r="H2" s="13">
        <v>0.89</v>
      </c>
      <c r="I2" s="13">
        <v>0.86</v>
      </c>
      <c r="J2" s="13">
        <v>0.8</v>
      </c>
      <c r="K2" s="13">
        <v>0.81</v>
      </c>
      <c r="L2" s="13">
        <v>0.83</v>
      </c>
      <c r="M2" s="13">
        <v>0.85</v>
      </c>
      <c r="N2" s="13">
        <v>0.82</v>
      </c>
      <c r="O2" s="13">
        <v>0.84</v>
      </c>
      <c r="P2" s="13">
        <v>0.91</v>
      </c>
      <c r="Q2" s="13">
        <v>0.83</v>
      </c>
      <c r="R2" s="13">
        <v>0.83</v>
      </c>
      <c r="S2" s="13">
        <f t="shared" ref="S2:S19" si="0">MAX($G2:$R2)</f>
        <v>0.91</v>
      </c>
    </row>
    <row r="3" spans="1:19" ht="25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s="13">
        <v>0.87</v>
      </c>
      <c r="H3" s="13">
        <v>0.9</v>
      </c>
      <c r="I3" s="13">
        <v>0.9</v>
      </c>
      <c r="J3" s="13">
        <v>0.92</v>
      </c>
      <c r="K3" s="13">
        <v>0.83</v>
      </c>
      <c r="L3" s="13">
        <v>0.88</v>
      </c>
      <c r="M3" s="13">
        <v>0.88</v>
      </c>
      <c r="N3" s="13">
        <v>0.85</v>
      </c>
      <c r="O3" s="13">
        <v>0.92</v>
      </c>
      <c r="P3" s="13">
        <v>0.92</v>
      </c>
      <c r="Q3" s="13">
        <v>0.85</v>
      </c>
      <c r="R3" s="13">
        <v>0.89</v>
      </c>
      <c r="S3" s="13">
        <f t="shared" si="0"/>
        <v>0.92</v>
      </c>
    </row>
    <row r="4" spans="1:19" ht="25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s="13">
        <v>0.84</v>
      </c>
      <c r="H4" s="13">
        <v>0.86</v>
      </c>
      <c r="I4" s="13">
        <v>0.84</v>
      </c>
      <c r="J4" s="13">
        <v>0.9</v>
      </c>
      <c r="K4" s="13">
        <v>0.81</v>
      </c>
      <c r="L4" s="13">
        <v>0.83</v>
      </c>
      <c r="M4" s="13">
        <v>0.86</v>
      </c>
      <c r="N4" s="13">
        <v>0.81</v>
      </c>
      <c r="O4" s="13">
        <v>0.87</v>
      </c>
      <c r="P4" s="13">
        <v>0.89</v>
      </c>
      <c r="Q4" s="13">
        <v>0.82</v>
      </c>
      <c r="R4" s="13">
        <v>0.87</v>
      </c>
      <c r="S4" s="13">
        <f t="shared" si="0"/>
        <v>0.9</v>
      </c>
    </row>
    <row r="5" spans="1:19" ht="25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s="13">
        <v>0.8</v>
      </c>
      <c r="H5" s="13">
        <v>0.84</v>
      </c>
      <c r="I5" s="13">
        <v>0.83</v>
      </c>
      <c r="J5" s="13">
        <v>0.87</v>
      </c>
      <c r="K5" s="13">
        <v>0.74</v>
      </c>
      <c r="L5" s="13">
        <v>0.79</v>
      </c>
      <c r="M5" s="13">
        <v>0.81</v>
      </c>
      <c r="N5" s="13">
        <v>0.74</v>
      </c>
      <c r="O5" s="13">
        <v>0.84</v>
      </c>
      <c r="P5" s="13">
        <v>0.86</v>
      </c>
      <c r="Q5" s="13">
        <v>0.8</v>
      </c>
      <c r="R5" s="13">
        <v>0.8</v>
      </c>
      <c r="S5" s="13">
        <f t="shared" si="0"/>
        <v>0.87</v>
      </c>
    </row>
    <row r="6" spans="1:19" ht="25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s="13">
        <v>0.8</v>
      </c>
      <c r="H6" s="13">
        <v>0.85</v>
      </c>
      <c r="I6" s="13">
        <v>0.8</v>
      </c>
      <c r="J6" s="13">
        <v>0.88</v>
      </c>
      <c r="K6" s="13">
        <v>0.8</v>
      </c>
      <c r="L6" s="13">
        <v>0.8</v>
      </c>
      <c r="M6" s="13">
        <v>0.82</v>
      </c>
      <c r="N6" s="13">
        <v>0.79</v>
      </c>
      <c r="O6" s="13">
        <v>0.88</v>
      </c>
      <c r="P6" s="13">
        <v>0.89</v>
      </c>
      <c r="Q6" s="13">
        <v>0.83</v>
      </c>
      <c r="R6" s="13">
        <v>0.82</v>
      </c>
      <c r="S6" s="13">
        <f t="shared" si="0"/>
        <v>0.89</v>
      </c>
    </row>
    <row r="7" spans="1:19" ht="25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s="13">
        <v>0.82</v>
      </c>
      <c r="H7" s="13">
        <v>0.84</v>
      </c>
      <c r="I7" s="13">
        <v>0.81</v>
      </c>
      <c r="J7" s="13">
        <v>0.88</v>
      </c>
      <c r="K7" s="13">
        <v>0.79</v>
      </c>
      <c r="L7" s="13">
        <v>0.81</v>
      </c>
      <c r="M7" s="13">
        <v>0.81</v>
      </c>
      <c r="N7" s="13">
        <v>0.73</v>
      </c>
      <c r="O7" s="13">
        <v>0.82</v>
      </c>
      <c r="P7" s="13">
        <v>0.84</v>
      </c>
      <c r="Q7" s="13">
        <v>0.82</v>
      </c>
      <c r="R7" s="13">
        <v>0.84</v>
      </c>
      <c r="S7" s="13">
        <f t="shared" si="0"/>
        <v>0.88</v>
      </c>
    </row>
    <row r="8" spans="1:19" ht="25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s="13">
        <v>0.5</v>
      </c>
      <c r="H8" s="13">
        <v>0.6</v>
      </c>
      <c r="I8" s="13">
        <v>0.48</v>
      </c>
      <c r="J8" s="13">
        <v>0.52</v>
      </c>
      <c r="K8" s="13">
        <v>0.52</v>
      </c>
      <c r="L8" s="13">
        <v>0.55000000000000004</v>
      </c>
      <c r="M8" s="13">
        <v>0.59</v>
      </c>
      <c r="N8" s="13">
        <v>0.56999999999999995</v>
      </c>
      <c r="O8" s="13">
        <v>0.48</v>
      </c>
      <c r="P8" s="13">
        <v>0.55000000000000004</v>
      </c>
      <c r="Q8" s="13">
        <v>0.54</v>
      </c>
      <c r="R8" s="13">
        <v>0.56000000000000005</v>
      </c>
      <c r="S8" s="13">
        <f t="shared" si="0"/>
        <v>0.6</v>
      </c>
    </row>
    <row r="9" spans="1:19" ht="25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s="13">
        <v>0.65</v>
      </c>
      <c r="H9" s="13">
        <v>0.72</v>
      </c>
      <c r="I9" s="13">
        <v>0.61</v>
      </c>
      <c r="J9" s="13">
        <v>0.68</v>
      </c>
      <c r="K9" s="13">
        <v>0.64</v>
      </c>
      <c r="L9" s="13">
        <v>0.63</v>
      </c>
      <c r="M9" s="13">
        <v>0.7</v>
      </c>
      <c r="N9" s="13">
        <v>0.65</v>
      </c>
      <c r="O9" s="13">
        <v>0.66</v>
      </c>
      <c r="P9" s="13">
        <v>0.68</v>
      </c>
      <c r="Q9" s="13">
        <v>0.59</v>
      </c>
      <c r="R9" s="13">
        <v>0.59</v>
      </c>
      <c r="S9" s="13">
        <f t="shared" si="0"/>
        <v>0.72</v>
      </c>
    </row>
    <row r="10" spans="1:19" ht="25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s="13">
        <v>0.61</v>
      </c>
      <c r="H10" s="13">
        <v>0.62</v>
      </c>
      <c r="I10" s="13">
        <v>0.61</v>
      </c>
      <c r="J10" s="13">
        <v>0.67</v>
      </c>
      <c r="K10" s="13">
        <v>0.6</v>
      </c>
      <c r="L10" s="13">
        <v>0.65</v>
      </c>
      <c r="M10" s="13">
        <v>0.66</v>
      </c>
      <c r="N10" s="13">
        <v>0.61</v>
      </c>
      <c r="O10" s="13">
        <v>0.66</v>
      </c>
      <c r="P10" s="13">
        <v>0.56000000000000005</v>
      </c>
      <c r="Q10" s="13">
        <v>0.64</v>
      </c>
      <c r="R10" s="13">
        <v>0.66</v>
      </c>
      <c r="S10" s="13">
        <f t="shared" si="0"/>
        <v>0.67</v>
      </c>
    </row>
    <row r="11" spans="1:19" ht="25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s="13">
        <v>0.51</v>
      </c>
      <c r="H11" s="13">
        <v>0.51</v>
      </c>
      <c r="I11" s="13">
        <v>0.54</v>
      </c>
      <c r="J11" s="13">
        <v>0.53</v>
      </c>
      <c r="K11" s="13">
        <v>0.48</v>
      </c>
      <c r="L11" s="13">
        <v>0.5</v>
      </c>
      <c r="M11" s="13">
        <v>0.5</v>
      </c>
      <c r="N11" s="13">
        <v>0.51</v>
      </c>
      <c r="O11" s="13">
        <v>0.56000000000000005</v>
      </c>
      <c r="P11" s="13">
        <v>0.51</v>
      </c>
      <c r="Q11" s="13">
        <v>0.48</v>
      </c>
      <c r="R11" s="13">
        <v>0.54</v>
      </c>
      <c r="S11" s="13">
        <f t="shared" si="0"/>
        <v>0.56000000000000005</v>
      </c>
    </row>
    <row r="12" spans="1:19" ht="25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s="13">
        <v>0.61</v>
      </c>
      <c r="H12" s="13">
        <v>0.67</v>
      </c>
      <c r="I12" s="13">
        <v>0.61</v>
      </c>
      <c r="J12" s="13">
        <v>0.57999999999999996</v>
      </c>
      <c r="K12" s="13">
        <v>0.54</v>
      </c>
      <c r="L12" s="13">
        <v>0.62</v>
      </c>
      <c r="M12" s="13">
        <v>0.64</v>
      </c>
      <c r="N12" s="13">
        <v>0.62</v>
      </c>
      <c r="O12" s="13">
        <v>0.64</v>
      </c>
      <c r="P12" s="13">
        <v>0.62</v>
      </c>
      <c r="Q12" s="13">
        <v>0.65</v>
      </c>
      <c r="R12" s="13">
        <v>0.62</v>
      </c>
      <c r="S12" s="13">
        <f t="shared" si="0"/>
        <v>0.67</v>
      </c>
    </row>
    <row r="13" spans="1:19" ht="25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s="13">
        <v>0.56999999999999995</v>
      </c>
      <c r="H13" s="13">
        <v>0.65</v>
      </c>
      <c r="I13" s="13">
        <v>0.67</v>
      </c>
      <c r="J13" s="13">
        <v>0.64</v>
      </c>
      <c r="K13" s="13">
        <v>0.57999999999999996</v>
      </c>
      <c r="L13" s="13">
        <v>0.66</v>
      </c>
      <c r="M13" s="13">
        <v>0.6</v>
      </c>
      <c r="N13" s="13">
        <v>0.61</v>
      </c>
      <c r="O13" s="13">
        <v>0.67</v>
      </c>
      <c r="P13" s="13">
        <v>0.56999999999999995</v>
      </c>
      <c r="Q13" s="13">
        <v>0.67</v>
      </c>
      <c r="R13" s="13">
        <v>0.66</v>
      </c>
      <c r="S13" s="13">
        <f t="shared" si="0"/>
        <v>0.67</v>
      </c>
    </row>
    <row r="14" spans="1:19" ht="25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s="13">
        <v>0.52</v>
      </c>
      <c r="H14" s="13">
        <v>0.47</v>
      </c>
      <c r="I14" s="13">
        <v>0.48</v>
      </c>
      <c r="J14" s="13">
        <v>0.47</v>
      </c>
      <c r="K14" s="13">
        <v>0.46</v>
      </c>
      <c r="L14" s="13">
        <v>0.43</v>
      </c>
      <c r="M14" s="13">
        <v>0.54</v>
      </c>
      <c r="N14" s="13">
        <v>0.47</v>
      </c>
      <c r="O14" s="13">
        <v>0.46</v>
      </c>
      <c r="P14" s="13">
        <v>0.47</v>
      </c>
      <c r="Q14" s="13">
        <v>0.45</v>
      </c>
      <c r="R14" s="13">
        <v>0.48</v>
      </c>
      <c r="S14" s="13">
        <f t="shared" si="0"/>
        <v>0.54</v>
      </c>
    </row>
    <row r="15" spans="1:19" ht="25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s="13">
        <v>0.53</v>
      </c>
      <c r="H15" s="13">
        <v>0.47</v>
      </c>
      <c r="I15" s="13">
        <v>0.55000000000000004</v>
      </c>
      <c r="J15" s="13">
        <v>0.51</v>
      </c>
      <c r="K15" s="13">
        <v>0.55000000000000004</v>
      </c>
      <c r="L15" s="13">
        <v>0.54</v>
      </c>
      <c r="M15" s="13">
        <v>0.56000000000000005</v>
      </c>
      <c r="N15" s="13">
        <v>0.52</v>
      </c>
      <c r="O15" s="13">
        <v>0.47</v>
      </c>
      <c r="P15" s="13">
        <v>0.62</v>
      </c>
      <c r="Q15" s="13">
        <v>0.56999999999999995</v>
      </c>
      <c r="R15" s="13">
        <v>0.53</v>
      </c>
      <c r="S15" s="13">
        <f t="shared" si="0"/>
        <v>0.62</v>
      </c>
    </row>
    <row r="16" spans="1:19" ht="25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s="13">
        <v>0.43</v>
      </c>
      <c r="H16" s="13">
        <v>0.44</v>
      </c>
      <c r="I16" s="13">
        <v>0.39</v>
      </c>
      <c r="J16" s="13">
        <v>0.39</v>
      </c>
      <c r="K16" s="13">
        <v>0.41</v>
      </c>
      <c r="L16" s="13">
        <v>0.47</v>
      </c>
      <c r="M16" s="13">
        <v>0.47</v>
      </c>
      <c r="N16" s="13">
        <v>0.45</v>
      </c>
      <c r="O16" s="13">
        <v>0.38</v>
      </c>
      <c r="P16" s="13">
        <v>0.46</v>
      </c>
      <c r="Q16" s="13">
        <v>0.41</v>
      </c>
      <c r="R16" s="13">
        <v>0.45</v>
      </c>
      <c r="S16" s="13">
        <f t="shared" si="0"/>
        <v>0.47</v>
      </c>
    </row>
    <row r="17" spans="1:19" ht="25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s="13">
        <v>0.37</v>
      </c>
      <c r="H17" s="13">
        <v>0.37</v>
      </c>
      <c r="I17" s="13">
        <v>0.34</v>
      </c>
      <c r="J17" s="13">
        <v>0.37</v>
      </c>
      <c r="K17" s="13">
        <v>0.42</v>
      </c>
      <c r="L17" s="13">
        <v>0.39</v>
      </c>
      <c r="M17" s="13">
        <v>0.37</v>
      </c>
      <c r="N17" s="13">
        <v>0.38</v>
      </c>
      <c r="O17" s="13">
        <v>0.34</v>
      </c>
      <c r="P17" s="13">
        <v>0.46</v>
      </c>
      <c r="Q17" s="13">
        <v>0.43</v>
      </c>
      <c r="R17" s="13">
        <v>0.37</v>
      </c>
      <c r="S17" s="13">
        <f t="shared" si="0"/>
        <v>0.46</v>
      </c>
    </row>
    <row r="18" spans="1:19" ht="25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s="13">
        <v>0.42</v>
      </c>
      <c r="H18" s="13">
        <v>0.44</v>
      </c>
      <c r="I18" s="13">
        <v>0.39</v>
      </c>
      <c r="J18" s="13">
        <v>0.44</v>
      </c>
      <c r="K18" s="13">
        <v>0.44</v>
      </c>
      <c r="L18" s="13">
        <v>0.46</v>
      </c>
      <c r="M18" s="13">
        <v>0.43</v>
      </c>
      <c r="N18" s="13">
        <v>0.42</v>
      </c>
      <c r="O18" s="13">
        <v>0.36</v>
      </c>
      <c r="P18" s="13">
        <v>0.53</v>
      </c>
      <c r="Q18" s="13">
        <v>0.49</v>
      </c>
      <c r="R18" s="13">
        <v>0.43</v>
      </c>
      <c r="S18" s="13">
        <f t="shared" si="0"/>
        <v>0.53</v>
      </c>
    </row>
    <row r="19" spans="1:19" ht="25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s="13">
        <v>0.34</v>
      </c>
      <c r="H19" s="13">
        <v>0.39</v>
      </c>
      <c r="I19" s="13">
        <v>0.39</v>
      </c>
      <c r="J19" s="13">
        <v>0.37</v>
      </c>
      <c r="K19" s="13">
        <v>0.37</v>
      </c>
      <c r="L19" s="13">
        <v>0.39</v>
      </c>
      <c r="M19" s="13">
        <v>0.37</v>
      </c>
      <c r="N19" s="13">
        <v>0.41</v>
      </c>
      <c r="O19" s="13">
        <v>0.32</v>
      </c>
      <c r="P19" s="13">
        <v>0.41</v>
      </c>
      <c r="Q19" s="13">
        <v>0.41</v>
      </c>
      <c r="R19" s="13">
        <v>0.4</v>
      </c>
      <c r="S19" s="13">
        <f t="shared" si="0"/>
        <v>0.41</v>
      </c>
    </row>
    <row r="22" spans="1:19" ht="25" customHeight="1">
      <c r="B22" t="s">
        <v>12</v>
      </c>
      <c r="C22" t="s">
        <v>1</v>
      </c>
      <c r="D22" t="s">
        <v>16</v>
      </c>
      <c r="E22" t="s">
        <v>17</v>
      </c>
      <c r="F22" t="s">
        <v>14</v>
      </c>
      <c r="G22" t="s">
        <v>26</v>
      </c>
      <c r="H22" t="s">
        <v>27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4</v>
      </c>
    </row>
    <row r="23" spans="1:19" ht="25" customHeight="1">
      <c r="B23">
        <v>1</v>
      </c>
      <c r="C23" t="s">
        <v>6</v>
      </c>
      <c r="D23" t="b">
        <v>1</v>
      </c>
      <c r="E23">
        <v>1</v>
      </c>
      <c r="F23" t="s">
        <v>4</v>
      </c>
      <c r="G23" s="13" cm="1">
        <f t="array" ref="G23">_xlfn.LET(_xlpm.d,G$2:G$19,_xlpm.a,$C$2:$C$19=$C23,_xlpm.b,$D$2:$D$19=$D23,MAX(_xlfn._xlws.FILTER(_xlpm.d,_xlpm.a*_xlpm.b)))</f>
        <v>0.87</v>
      </c>
      <c r="H23" s="13" cm="1">
        <f t="array" ref="H23">_xlfn.LET(_xlpm.d,H$2:H$19,_xlpm.a,$C$2:$C$19=$C23,_xlpm.b,$D$2:$D$19=$D23,MAX(_xlfn._xlws.FILTER(_xlpm.d,_xlpm.a*_xlpm.b)))</f>
        <v>0.9</v>
      </c>
      <c r="I23" s="13" cm="1">
        <f t="array" ref="I23">_xlfn.LET(_xlpm.d,I$2:I$19,_xlpm.a,$C$2:$C$19=$C23,_xlpm.b,$D$2:$D$19=$D23,MAX(_xlfn._xlws.FILTER(_xlpm.d,_xlpm.a*_xlpm.b)))</f>
        <v>0.9</v>
      </c>
      <c r="J23" s="13" cm="1">
        <f t="array" ref="J23">_xlfn.LET(_xlpm.d,J$2:J$19,_xlpm.a,$C$2:$C$19=$C23,_xlpm.b,$D$2:$D$19=$D23,MAX(_xlfn._xlws.FILTER(_xlpm.d,_xlpm.a*_xlpm.b)))</f>
        <v>0.92</v>
      </c>
      <c r="K23" s="13" cm="1">
        <f t="array" ref="K23">_xlfn.LET(_xlpm.d,K$2:K$19,_xlpm.a,$C$2:$C$19=$C23,_xlpm.b,$D$2:$D$19=$D23,MAX(_xlfn._xlws.FILTER(_xlpm.d,_xlpm.a*_xlpm.b)))</f>
        <v>0.83</v>
      </c>
      <c r="L23" s="13" cm="1">
        <f t="array" ref="L23">_xlfn.LET(_xlpm.d,L$2:L$19,_xlpm.a,$C$2:$C$19=$C23,_xlpm.b,$D$2:$D$19=$D23,MAX(_xlfn._xlws.FILTER(_xlpm.d,_xlpm.a*_xlpm.b)))</f>
        <v>0.88</v>
      </c>
      <c r="M23" s="13" cm="1">
        <f t="array" ref="M23">_xlfn.LET(_xlpm.d,M$2:M$19,_xlpm.a,$C$2:$C$19=$C23,_xlpm.b,$D$2:$D$19=$D23,MAX(_xlfn._xlws.FILTER(_xlpm.d,_xlpm.a*_xlpm.b)))</f>
        <v>0.88</v>
      </c>
      <c r="N23" s="13" cm="1">
        <f t="array" ref="N23">_xlfn.LET(_xlpm.d,N$2:N$19,_xlpm.a,$C$2:$C$19=$C23,_xlpm.b,$D$2:$D$19=$D23,MAX(_xlfn._xlws.FILTER(_xlpm.d,_xlpm.a*_xlpm.b)))</f>
        <v>0.85</v>
      </c>
      <c r="O23" s="13" cm="1">
        <f t="array" ref="O23">_xlfn.LET(_xlpm.d,O$2:O$19,_xlpm.a,$C$2:$C$19=$C23,_xlpm.b,$D$2:$D$19=$D23,MAX(_xlfn._xlws.FILTER(_xlpm.d,_xlpm.a*_xlpm.b)))</f>
        <v>0.92</v>
      </c>
      <c r="P23" s="13" cm="1">
        <f t="array" ref="P23">_xlfn.LET(_xlpm.d,P$2:P$19,_xlpm.a,$C$2:$C$19=$C23,_xlpm.b,$D$2:$D$19=$D23,MAX(_xlfn._xlws.FILTER(_xlpm.d,_xlpm.a*_xlpm.b)))</f>
        <v>0.92</v>
      </c>
      <c r="Q23" s="13" cm="1">
        <f t="array" ref="Q23">_xlfn.LET(_xlpm.d,Q$2:Q$19,_xlpm.a,$C$2:$C$19=$C23,_xlpm.b,$D$2:$D$19=$D23,MAX(_xlfn._xlws.FILTER(_xlpm.d,_xlpm.a*_xlpm.b)))</f>
        <v>0.85</v>
      </c>
      <c r="R23" s="13" cm="1">
        <f t="array" ref="R23">_xlfn.LET(_xlpm.d,R$2:R$19,_xlpm.a,$C$2:$C$19=$C23,_xlpm.b,$D$2:$D$19=$D23,MAX(_xlfn._xlws.FILTER(_xlpm.d,_xlpm.a*_xlpm.b)))</f>
        <v>0.89</v>
      </c>
      <c r="S23" s="13" cm="1">
        <f t="array" ref="S23">_xlfn.LET(_xlpm.d,S$2:S$19,_xlpm.a,$C$2:$C$19=$C23,_xlpm.b,$D$2:$D$19=$D23,MAX(_xlfn._xlws.FILTER(_xlpm.d,_xlpm.a*_xlpm.b)))</f>
        <v>0.92</v>
      </c>
    </row>
    <row r="24" spans="1:19" ht="25" customHeight="1">
      <c r="B24">
        <v>1</v>
      </c>
      <c r="C24" t="s">
        <v>6</v>
      </c>
      <c r="D24" t="b">
        <v>0</v>
      </c>
      <c r="E24">
        <v>1</v>
      </c>
      <c r="F24" t="s">
        <v>4</v>
      </c>
      <c r="G24" s="13" cm="1">
        <f t="array" ref="G24">_xlfn.LET(_xlpm.d,G$2:G$19,_xlpm.a,$C$2:$C$19=$C24,_xlpm.b,$D$2:$D$19=$D24,MAX(_xlfn._xlws.FILTER(_xlpm.d,_xlpm.a*_xlpm.b)))</f>
        <v>0.82</v>
      </c>
      <c r="H24" s="13" cm="1">
        <f t="array" ref="H24">_xlfn.LET(_xlpm.d,H$2:H$19,_xlpm.a,$C$2:$C$19=$C24,_xlpm.b,$D$2:$D$19=$D24,MAX(_xlfn._xlws.FILTER(_xlpm.d,_xlpm.a*_xlpm.b)))</f>
        <v>0.85</v>
      </c>
      <c r="I24" s="13" cm="1">
        <f t="array" ref="I24">_xlfn.LET(_xlpm.d,I$2:I$19,_xlpm.a,$C$2:$C$19=$C24,_xlpm.b,$D$2:$D$19=$D24,MAX(_xlfn._xlws.FILTER(_xlpm.d,_xlpm.a*_xlpm.b)))</f>
        <v>0.83</v>
      </c>
      <c r="J24" s="13" cm="1">
        <f t="array" ref="J24">_xlfn.LET(_xlpm.d,J$2:J$19,_xlpm.a,$C$2:$C$19=$C24,_xlpm.b,$D$2:$D$19=$D24,MAX(_xlfn._xlws.FILTER(_xlpm.d,_xlpm.a*_xlpm.b)))</f>
        <v>0.88</v>
      </c>
      <c r="K24" s="13" cm="1">
        <f t="array" ref="K24">_xlfn.LET(_xlpm.d,K$2:K$19,_xlpm.a,$C$2:$C$19=$C24,_xlpm.b,$D$2:$D$19=$D24,MAX(_xlfn._xlws.FILTER(_xlpm.d,_xlpm.a*_xlpm.b)))</f>
        <v>0.8</v>
      </c>
      <c r="L24" s="13" cm="1">
        <f t="array" ref="L24">_xlfn.LET(_xlpm.d,L$2:L$19,_xlpm.a,$C$2:$C$19=$C24,_xlpm.b,$D$2:$D$19=$D24,MAX(_xlfn._xlws.FILTER(_xlpm.d,_xlpm.a*_xlpm.b)))</f>
        <v>0.81</v>
      </c>
      <c r="M24" s="13" cm="1">
        <f t="array" ref="M24">_xlfn.LET(_xlpm.d,M$2:M$19,_xlpm.a,$C$2:$C$19=$C24,_xlpm.b,$D$2:$D$19=$D24,MAX(_xlfn._xlws.FILTER(_xlpm.d,_xlpm.a*_xlpm.b)))</f>
        <v>0.82</v>
      </c>
      <c r="N24" s="13" cm="1">
        <f t="array" ref="N24">_xlfn.LET(_xlpm.d,N$2:N$19,_xlpm.a,$C$2:$C$19=$C24,_xlpm.b,$D$2:$D$19=$D24,MAX(_xlfn._xlws.FILTER(_xlpm.d,_xlpm.a*_xlpm.b)))</f>
        <v>0.79</v>
      </c>
      <c r="O24" s="13" cm="1">
        <f t="array" ref="O24">_xlfn.LET(_xlpm.d,O$2:O$19,_xlpm.a,$C$2:$C$19=$C24,_xlpm.b,$D$2:$D$19=$D24,MAX(_xlfn._xlws.FILTER(_xlpm.d,_xlpm.a*_xlpm.b)))</f>
        <v>0.88</v>
      </c>
      <c r="P24" s="13" cm="1">
        <f t="array" ref="P24">_xlfn.LET(_xlpm.d,P$2:P$19,_xlpm.a,$C$2:$C$19=$C24,_xlpm.b,$D$2:$D$19=$D24,MAX(_xlfn._xlws.FILTER(_xlpm.d,_xlpm.a*_xlpm.b)))</f>
        <v>0.89</v>
      </c>
      <c r="Q24" s="13" cm="1">
        <f t="array" ref="Q24">_xlfn.LET(_xlpm.d,Q$2:Q$19,_xlpm.a,$C$2:$C$19=$C24,_xlpm.b,$D$2:$D$19=$D24,MAX(_xlfn._xlws.FILTER(_xlpm.d,_xlpm.a*_xlpm.b)))</f>
        <v>0.83</v>
      </c>
      <c r="R24" s="13" cm="1">
        <f t="array" ref="R24">_xlfn.LET(_xlpm.d,R$2:R$19,_xlpm.a,$C$2:$C$19=$C24,_xlpm.b,$D$2:$D$19=$D24,MAX(_xlfn._xlws.FILTER(_xlpm.d,_xlpm.a*_xlpm.b)))</f>
        <v>0.84</v>
      </c>
      <c r="S24" s="13" cm="1">
        <f t="array" ref="S24">_xlfn.LET(_xlpm.d,S$2:S$19,_xlpm.a,$C$2:$C$19=$C24,_xlpm.b,$D$2:$D$19=$D24,MAX(_xlfn._xlws.FILTER(_xlpm.d,_xlpm.a*_xlpm.b)))</f>
        <v>0.89</v>
      </c>
    </row>
    <row r="25" spans="1:19" ht="25" customHeight="1">
      <c r="B25">
        <v>2</v>
      </c>
      <c r="C25" t="s">
        <v>10</v>
      </c>
      <c r="D25" t="b">
        <v>1</v>
      </c>
      <c r="E25">
        <v>1</v>
      </c>
      <c r="F25" t="s">
        <v>4</v>
      </c>
      <c r="G25" s="13" cm="1">
        <f t="array" ref="G25">_xlfn.LET(_xlpm.d,G$2:G$19,_xlpm.a,$C$2:$C$19=$C25,_xlpm.b,$D$2:$D$19=$D25,MAX(_xlfn._xlws.FILTER(_xlpm.d,_xlpm.a*_xlpm.b)))</f>
        <v>0.65</v>
      </c>
      <c r="H25" s="13" cm="1">
        <f t="array" ref="H25">_xlfn.LET(_xlpm.d,H$2:H$19,_xlpm.a,$C$2:$C$19=$C25,_xlpm.b,$D$2:$D$19=$D25,MAX(_xlfn._xlws.FILTER(_xlpm.d,_xlpm.a*_xlpm.b)))</f>
        <v>0.72</v>
      </c>
      <c r="I25" s="13" cm="1">
        <f t="array" ref="I25">_xlfn.LET(_xlpm.d,I$2:I$19,_xlpm.a,$C$2:$C$19=$C25,_xlpm.b,$D$2:$D$19=$D25,MAX(_xlfn._xlws.FILTER(_xlpm.d,_xlpm.a*_xlpm.b)))</f>
        <v>0.61</v>
      </c>
      <c r="J25" s="13" cm="1">
        <f t="array" ref="J25">_xlfn.LET(_xlpm.d,J$2:J$19,_xlpm.a,$C$2:$C$19=$C25,_xlpm.b,$D$2:$D$19=$D25,MAX(_xlfn._xlws.FILTER(_xlpm.d,_xlpm.a*_xlpm.b)))</f>
        <v>0.68</v>
      </c>
      <c r="K25" s="13" cm="1">
        <f t="array" ref="K25">_xlfn.LET(_xlpm.d,K$2:K$19,_xlpm.a,$C$2:$C$19=$C25,_xlpm.b,$D$2:$D$19=$D25,MAX(_xlfn._xlws.FILTER(_xlpm.d,_xlpm.a*_xlpm.b)))</f>
        <v>0.64</v>
      </c>
      <c r="L25" s="13" cm="1">
        <f t="array" ref="L25">_xlfn.LET(_xlpm.d,L$2:L$19,_xlpm.a,$C$2:$C$19=$C25,_xlpm.b,$D$2:$D$19=$D25,MAX(_xlfn._xlws.FILTER(_xlpm.d,_xlpm.a*_xlpm.b)))</f>
        <v>0.65</v>
      </c>
      <c r="M25" s="13" cm="1">
        <f t="array" ref="M25">_xlfn.LET(_xlpm.d,M$2:M$19,_xlpm.a,$C$2:$C$19=$C25,_xlpm.b,$D$2:$D$19=$D25,MAX(_xlfn._xlws.FILTER(_xlpm.d,_xlpm.a*_xlpm.b)))</f>
        <v>0.7</v>
      </c>
      <c r="N25" s="13" cm="1">
        <f t="array" ref="N25">_xlfn.LET(_xlpm.d,N$2:N$19,_xlpm.a,$C$2:$C$19=$C25,_xlpm.b,$D$2:$D$19=$D25,MAX(_xlfn._xlws.FILTER(_xlpm.d,_xlpm.a*_xlpm.b)))</f>
        <v>0.65</v>
      </c>
      <c r="O25" s="13" cm="1">
        <f t="array" ref="O25">_xlfn.LET(_xlpm.d,O$2:O$19,_xlpm.a,$C$2:$C$19=$C25,_xlpm.b,$D$2:$D$19=$D25,MAX(_xlfn._xlws.FILTER(_xlpm.d,_xlpm.a*_xlpm.b)))</f>
        <v>0.66</v>
      </c>
      <c r="P25" s="13" cm="1">
        <f t="array" ref="P25">_xlfn.LET(_xlpm.d,P$2:P$19,_xlpm.a,$C$2:$C$19=$C25,_xlpm.b,$D$2:$D$19=$D25,MAX(_xlfn._xlws.FILTER(_xlpm.d,_xlpm.a*_xlpm.b)))</f>
        <v>0.68</v>
      </c>
      <c r="Q25" s="13" cm="1">
        <f t="array" ref="Q25">_xlfn.LET(_xlpm.d,Q$2:Q$19,_xlpm.a,$C$2:$C$19=$C25,_xlpm.b,$D$2:$D$19=$D25,MAX(_xlfn._xlws.FILTER(_xlpm.d,_xlpm.a*_xlpm.b)))</f>
        <v>0.64</v>
      </c>
      <c r="R25" s="13" cm="1">
        <f t="array" ref="R25">_xlfn.LET(_xlpm.d,R$2:R$19,_xlpm.a,$C$2:$C$19=$C25,_xlpm.b,$D$2:$D$19=$D25,MAX(_xlfn._xlws.FILTER(_xlpm.d,_xlpm.a*_xlpm.b)))</f>
        <v>0.66</v>
      </c>
      <c r="S25" s="13" cm="1">
        <f t="array" ref="S25">_xlfn.LET(_xlpm.d,S$2:S$19,_xlpm.a,$C$2:$C$19=$C25,_xlpm.b,$D$2:$D$19=$D25,MAX(_xlfn._xlws.FILTER(_xlpm.d,_xlpm.a*_xlpm.b)))</f>
        <v>0.72</v>
      </c>
    </row>
    <row r="26" spans="1:19" ht="25" customHeight="1">
      <c r="B26">
        <v>2</v>
      </c>
      <c r="C26" t="s">
        <v>10</v>
      </c>
      <c r="D26" t="b">
        <v>0</v>
      </c>
      <c r="E26">
        <v>1</v>
      </c>
      <c r="F26" t="s">
        <v>4</v>
      </c>
      <c r="G26" s="13" cm="1">
        <f t="array" ref="G26">_xlfn.LET(_xlpm.d,G$2:G$19,_xlpm.a,$C$2:$C$19=$C26,_xlpm.b,$D$2:$D$19=$D26,MAX(_xlfn._xlws.FILTER(_xlpm.d,_xlpm.a*_xlpm.b)))</f>
        <v>0.61</v>
      </c>
      <c r="H26" s="13" cm="1">
        <f t="array" ref="H26">_xlfn.LET(_xlpm.d,H$2:H$19,_xlpm.a,$C$2:$C$19=$C26,_xlpm.b,$D$2:$D$19=$D26,MAX(_xlfn._xlws.FILTER(_xlpm.d,_xlpm.a*_xlpm.b)))</f>
        <v>0.67</v>
      </c>
      <c r="I26" s="13" cm="1">
        <f t="array" ref="I26">_xlfn.LET(_xlpm.d,I$2:I$19,_xlpm.a,$C$2:$C$19=$C26,_xlpm.b,$D$2:$D$19=$D26,MAX(_xlfn._xlws.FILTER(_xlpm.d,_xlpm.a*_xlpm.b)))</f>
        <v>0.67</v>
      </c>
      <c r="J26" s="13" cm="1">
        <f t="array" ref="J26">_xlfn.LET(_xlpm.d,J$2:J$19,_xlpm.a,$C$2:$C$19=$C26,_xlpm.b,$D$2:$D$19=$D26,MAX(_xlfn._xlws.FILTER(_xlpm.d,_xlpm.a*_xlpm.b)))</f>
        <v>0.64</v>
      </c>
      <c r="K26" s="13" cm="1">
        <f t="array" ref="K26">_xlfn.LET(_xlpm.d,K$2:K$19,_xlpm.a,$C$2:$C$19=$C26,_xlpm.b,$D$2:$D$19=$D26,MAX(_xlfn._xlws.FILTER(_xlpm.d,_xlpm.a*_xlpm.b)))</f>
        <v>0.57999999999999996</v>
      </c>
      <c r="L26" s="13" cm="1">
        <f t="array" ref="L26">_xlfn.LET(_xlpm.d,L$2:L$19,_xlpm.a,$C$2:$C$19=$C26,_xlpm.b,$D$2:$D$19=$D26,MAX(_xlfn._xlws.FILTER(_xlpm.d,_xlpm.a*_xlpm.b)))</f>
        <v>0.66</v>
      </c>
      <c r="M26" s="13" cm="1">
        <f t="array" ref="M26">_xlfn.LET(_xlpm.d,M$2:M$19,_xlpm.a,$C$2:$C$19=$C26,_xlpm.b,$D$2:$D$19=$D26,MAX(_xlfn._xlws.FILTER(_xlpm.d,_xlpm.a*_xlpm.b)))</f>
        <v>0.64</v>
      </c>
      <c r="N26" s="13" cm="1">
        <f t="array" ref="N26">_xlfn.LET(_xlpm.d,N$2:N$19,_xlpm.a,$C$2:$C$19=$C26,_xlpm.b,$D$2:$D$19=$D26,MAX(_xlfn._xlws.FILTER(_xlpm.d,_xlpm.a*_xlpm.b)))</f>
        <v>0.62</v>
      </c>
      <c r="O26" s="13" cm="1">
        <f t="array" ref="O26">_xlfn.LET(_xlpm.d,O$2:O$19,_xlpm.a,$C$2:$C$19=$C26,_xlpm.b,$D$2:$D$19=$D26,MAX(_xlfn._xlws.FILTER(_xlpm.d,_xlpm.a*_xlpm.b)))</f>
        <v>0.67</v>
      </c>
      <c r="P26" s="13" cm="1">
        <f t="array" ref="P26">_xlfn.LET(_xlpm.d,P$2:P$19,_xlpm.a,$C$2:$C$19=$C26,_xlpm.b,$D$2:$D$19=$D26,MAX(_xlfn._xlws.FILTER(_xlpm.d,_xlpm.a*_xlpm.b)))</f>
        <v>0.62</v>
      </c>
      <c r="Q26" s="13" cm="1">
        <f t="array" ref="Q26">_xlfn.LET(_xlpm.d,Q$2:Q$19,_xlpm.a,$C$2:$C$19=$C26,_xlpm.b,$D$2:$D$19=$D26,MAX(_xlfn._xlws.FILTER(_xlpm.d,_xlpm.a*_xlpm.b)))</f>
        <v>0.67</v>
      </c>
      <c r="R26" s="13" cm="1">
        <f t="array" ref="R26">_xlfn.LET(_xlpm.d,R$2:R$19,_xlpm.a,$C$2:$C$19=$C26,_xlpm.b,$D$2:$D$19=$D26,MAX(_xlfn._xlws.FILTER(_xlpm.d,_xlpm.a*_xlpm.b)))</f>
        <v>0.66</v>
      </c>
      <c r="S26" s="13" cm="1">
        <f t="array" ref="S26">_xlfn.LET(_xlpm.d,S$2:S$19,_xlpm.a,$C$2:$C$19=$C26,_xlpm.b,$D$2:$D$19=$D26,MAX(_xlfn._xlws.FILTER(_xlpm.d,_xlpm.a*_xlpm.b)))</f>
        <v>0.67</v>
      </c>
    </row>
    <row r="27" spans="1:19" ht="25" customHeight="1">
      <c r="B27">
        <v>3</v>
      </c>
      <c r="C27" t="s">
        <v>11</v>
      </c>
      <c r="D27" t="b">
        <v>1</v>
      </c>
      <c r="E27">
        <v>1</v>
      </c>
      <c r="F27" t="s">
        <v>4</v>
      </c>
      <c r="G27" s="13" cm="1">
        <f t="array" ref="G27">_xlfn.LET(_xlpm.d,G$2:G$19,_xlpm.a,$C$2:$C$19=$C27,_xlpm.b,$D$2:$D$19=$D27,MAX(_xlfn._xlws.FILTER(_xlpm.d,_xlpm.a*_xlpm.b)))</f>
        <v>0.53</v>
      </c>
      <c r="H27" s="13" cm="1">
        <f t="array" ref="H27">_xlfn.LET(_xlpm.d,H$2:H$19,_xlpm.a,$C$2:$C$19=$C27,_xlpm.b,$D$2:$D$19=$D27,MAX(_xlfn._xlws.FILTER(_xlpm.d,_xlpm.a*_xlpm.b)))</f>
        <v>0.47</v>
      </c>
      <c r="I27" s="13" cm="1">
        <f t="array" ref="I27">_xlfn.LET(_xlpm.d,I$2:I$19,_xlpm.a,$C$2:$C$19=$C27,_xlpm.b,$D$2:$D$19=$D27,MAX(_xlfn._xlws.FILTER(_xlpm.d,_xlpm.a*_xlpm.b)))</f>
        <v>0.55000000000000004</v>
      </c>
      <c r="J27" s="13" cm="1">
        <f t="array" ref="J27">_xlfn.LET(_xlpm.d,J$2:J$19,_xlpm.a,$C$2:$C$19=$C27,_xlpm.b,$D$2:$D$19=$D27,MAX(_xlfn._xlws.FILTER(_xlpm.d,_xlpm.a*_xlpm.b)))</f>
        <v>0.51</v>
      </c>
      <c r="K27" s="13" cm="1">
        <f t="array" ref="K27">_xlfn.LET(_xlpm.d,K$2:K$19,_xlpm.a,$C$2:$C$19=$C27,_xlpm.b,$D$2:$D$19=$D27,MAX(_xlfn._xlws.FILTER(_xlpm.d,_xlpm.a*_xlpm.b)))</f>
        <v>0.55000000000000004</v>
      </c>
      <c r="L27" s="13" cm="1">
        <f t="array" ref="L27">_xlfn.LET(_xlpm.d,L$2:L$19,_xlpm.a,$C$2:$C$19=$C27,_xlpm.b,$D$2:$D$19=$D27,MAX(_xlfn._xlws.FILTER(_xlpm.d,_xlpm.a*_xlpm.b)))</f>
        <v>0.54</v>
      </c>
      <c r="M27" s="13" cm="1">
        <f t="array" ref="M27">_xlfn.LET(_xlpm.d,M$2:M$19,_xlpm.a,$C$2:$C$19=$C27,_xlpm.b,$D$2:$D$19=$D27,MAX(_xlfn._xlws.FILTER(_xlpm.d,_xlpm.a*_xlpm.b)))</f>
        <v>0.56000000000000005</v>
      </c>
      <c r="N27" s="13" cm="1">
        <f t="array" ref="N27">_xlfn.LET(_xlpm.d,N$2:N$19,_xlpm.a,$C$2:$C$19=$C27,_xlpm.b,$D$2:$D$19=$D27,MAX(_xlfn._xlws.FILTER(_xlpm.d,_xlpm.a*_xlpm.b)))</f>
        <v>0.52</v>
      </c>
      <c r="O27" s="13" cm="1">
        <f t="array" ref="O27">_xlfn.LET(_xlpm.d,O$2:O$19,_xlpm.a,$C$2:$C$19=$C27,_xlpm.b,$D$2:$D$19=$D27,MAX(_xlfn._xlws.FILTER(_xlpm.d,_xlpm.a*_xlpm.b)))</f>
        <v>0.47</v>
      </c>
      <c r="P27" s="13" cm="1">
        <f t="array" ref="P27">_xlfn.LET(_xlpm.d,P$2:P$19,_xlpm.a,$C$2:$C$19=$C27,_xlpm.b,$D$2:$D$19=$D27,MAX(_xlfn._xlws.FILTER(_xlpm.d,_xlpm.a*_xlpm.b)))</f>
        <v>0.62</v>
      </c>
      <c r="Q27" s="13" cm="1">
        <f t="array" ref="Q27">_xlfn.LET(_xlpm.d,Q$2:Q$19,_xlpm.a,$C$2:$C$19=$C27,_xlpm.b,$D$2:$D$19=$D27,MAX(_xlfn._xlws.FILTER(_xlpm.d,_xlpm.a*_xlpm.b)))</f>
        <v>0.56999999999999995</v>
      </c>
      <c r="R27" s="13" cm="1">
        <f t="array" ref="R27">_xlfn.LET(_xlpm.d,R$2:R$19,_xlpm.a,$C$2:$C$19=$C27,_xlpm.b,$D$2:$D$19=$D27,MAX(_xlfn._xlws.FILTER(_xlpm.d,_xlpm.a*_xlpm.b)))</f>
        <v>0.53</v>
      </c>
      <c r="S27" s="13" cm="1">
        <f t="array" ref="S27">_xlfn.LET(_xlpm.d,S$2:S$19,_xlpm.a,$C$2:$C$19=$C27,_xlpm.b,$D$2:$D$19=$D27,MAX(_xlfn._xlws.FILTER(_xlpm.d,_xlpm.a*_xlpm.b)))</f>
        <v>0.62</v>
      </c>
    </row>
    <row r="28" spans="1:19" ht="25" customHeight="1">
      <c r="B28">
        <v>3</v>
      </c>
      <c r="C28" t="s">
        <v>11</v>
      </c>
      <c r="D28" t="b">
        <v>0</v>
      </c>
      <c r="E28">
        <v>1</v>
      </c>
      <c r="F28" t="s">
        <v>4</v>
      </c>
      <c r="G28" s="13" cm="1">
        <f t="array" ref="G28">_xlfn.LET(_xlpm.d,G$2:G$19,_xlpm.a,$C$2:$C$19=$C28,_xlpm.b,$D$2:$D$19=$D28,MAX(_xlfn._xlws.FILTER(_xlpm.d,_xlpm.a*_xlpm.b)))</f>
        <v>0.42</v>
      </c>
      <c r="H28" s="13" cm="1">
        <f t="array" ref="H28">_xlfn.LET(_xlpm.d,H$2:H$19,_xlpm.a,$C$2:$C$19=$C28,_xlpm.b,$D$2:$D$19=$D28,MAX(_xlfn._xlws.FILTER(_xlpm.d,_xlpm.a*_xlpm.b)))</f>
        <v>0.44</v>
      </c>
      <c r="I28" s="13" cm="1">
        <f t="array" ref="I28">_xlfn.LET(_xlpm.d,I$2:I$19,_xlpm.a,$C$2:$C$19=$C28,_xlpm.b,$D$2:$D$19=$D28,MAX(_xlfn._xlws.FILTER(_xlpm.d,_xlpm.a*_xlpm.b)))</f>
        <v>0.39</v>
      </c>
      <c r="J28" s="13" cm="1">
        <f t="array" ref="J28">_xlfn.LET(_xlpm.d,J$2:J$19,_xlpm.a,$C$2:$C$19=$C28,_xlpm.b,$D$2:$D$19=$D28,MAX(_xlfn._xlws.FILTER(_xlpm.d,_xlpm.a*_xlpm.b)))</f>
        <v>0.44</v>
      </c>
      <c r="K28" s="13" cm="1">
        <f t="array" ref="K28">_xlfn.LET(_xlpm.d,K$2:K$19,_xlpm.a,$C$2:$C$19=$C28,_xlpm.b,$D$2:$D$19=$D28,MAX(_xlfn._xlws.FILTER(_xlpm.d,_xlpm.a*_xlpm.b)))</f>
        <v>0.44</v>
      </c>
      <c r="L28" s="13" cm="1">
        <f t="array" ref="L28">_xlfn.LET(_xlpm.d,L$2:L$19,_xlpm.a,$C$2:$C$19=$C28,_xlpm.b,$D$2:$D$19=$D28,MAX(_xlfn._xlws.FILTER(_xlpm.d,_xlpm.a*_xlpm.b)))</f>
        <v>0.46</v>
      </c>
      <c r="M28" s="13" cm="1">
        <f t="array" ref="M28">_xlfn.LET(_xlpm.d,M$2:M$19,_xlpm.a,$C$2:$C$19=$C28,_xlpm.b,$D$2:$D$19=$D28,MAX(_xlfn._xlws.FILTER(_xlpm.d,_xlpm.a*_xlpm.b)))</f>
        <v>0.43</v>
      </c>
      <c r="N28" s="13" cm="1">
        <f t="array" ref="N28">_xlfn.LET(_xlpm.d,N$2:N$19,_xlpm.a,$C$2:$C$19=$C28,_xlpm.b,$D$2:$D$19=$D28,MAX(_xlfn._xlws.FILTER(_xlpm.d,_xlpm.a*_xlpm.b)))</f>
        <v>0.42</v>
      </c>
      <c r="O28" s="13" cm="1">
        <f t="array" ref="O28">_xlfn.LET(_xlpm.d,O$2:O$19,_xlpm.a,$C$2:$C$19=$C28,_xlpm.b,$D$2:$D$19=$D28,MAX(_xlfn._xlws.FILTER(_xlpm.d,_xlpm.a*_xlpm.b)))</f>
        <v>0.36</v>
      </c>
      <c r="P28" s="13" cm="1">
        <f t="array" ref="P28">_xlfn.LET(_xlpm.d,P$2:P$19,_xlpm.a,$C$2:$C$19=$C28,_xlpm.b,$D$2:$D$19=$D28,MAX(_xlfn._xlws.FILTER(_xlpm.d,_xlpm.a*_xlpm.b)))</f>
        <v>0.53</v>
      </c>
      <c r="Q28" s="13" cm="1">
        <f t="array" ref="Q28">_xlfn.LET(_xlpm.d,Q$2:Q$19,_xlpm.a,$C$2:$C$19=$C28,_xlpm.b,$D$2:$D$19=$D28,MAX(_xlfn._xlws.FILTER(_xlpm.d,_xlpm.a*_xlpm.b)))</f>
        <v>0.49</v>
      </c>
      <c r="R28" s="13" cm="1">
        <f t="array" ref="R28">_xlfn.LET(_xlpm.d,R$2:R$19,_xlpm.a,$C$2:$C$19=$C28,_xlpm.b,$D$2:$D$19=$D28,MAX(_xlfn._xlws.FILTER(_xlpm.d,_xlpm.a*_xlpm.b)))</f>
        <v>0.43</v>
      </c>
      <c r="S28" s="13" cm="1">
        <f t="array" ref="S28">_xlfn.LET(_xlpm.d,S$2:S$19,_xlpm.a,$C$2:$C$19=$C28,_xlpm.b,$D$2:$D$19=$D28,MAX(_xlfn._xlws.FILTER(_xlpm.d,_xlpm.a*_xlpm.b)))</f>
        <v>0.53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5ADA-C931-7B4F-829D-40F809CBCE50}">
  <dimension ref="A1:T48"/>
  <sheetViews>
    <sheetView workbookViewId="0">
      <pane xSplit="9080" ySplit="3520" topLeftCell="J17" activePane="bottomLeft"/>
      <selection activeCell="B4" sqref="B4"/>
      <selection pane="topRight" activeCell="T1" sqref="T1:T1048576"/>
      <selection pane="bottomLeft" activeCell="D8" sqref="D8"/>
      <selection pane="bottomRight" activeCell="V37" sqref="V37"/>
    </sheetView>
  </sheetViews>
  <sheetFormatPr baseColWidth="10" defaultRowHeight="27" customHeight="1"/>
  <cols>
    <col min="1" max="1" width="8.875" customWidth="1"/>
    <col min="2" max="2" width="8.25" customWidth="1"/>
    <col min="3" max="3" width="10" customWidth="1"/>
    <col min="4" max="4" width="10.125" customWidth="1"/>
    <col min="5" max="5" width="8.375" customWidth="1"/>
    <col min="6" max="6" width="10" customWidth="1"/>
    <col min="7" max="7" width="15.375" customWidth="1"/>
    <col min="8" max="19" width="8" customWidth="1"/>
    <col min="20" max="20" width="8.25" customWidth="1"/>
  </cols>
  <sheetData>
    <row r="1" spans="1:20" ht="27" customHeight="1">
      <c r="A1" s="15" t="s">
        <v>0</v>
      </c>
      <c r="B1" s="15" t="s">
        <v>12</v>
      </c>
      <c r="C1" s="15" t="s">
        <v>1</v>
      </c>
      <c r="D1" s="15" t="s">
        <v>2</v>
      </c>
      <c r="E1" s="15" t="s">
        <v>13</v>
      </c>
      <c r="F1" s="15" t="s">
        <v>3</v>
      </c>
      <c r="G1" s="15" t="s">
        <v>38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  <c r="M1" s="15" t="s">
        <v>31</v>
      </c>
      <c r="N1" s="15" t="s">
        <v>32</v>
      </c>
      <c r="O1" s="15" t="s">
        <v>33</v>
      </c>
      <c r="P1" s="15" t="s">
        <v>34</v>
      </c>
      <c r="Q1" s="15" t="s">
        <v>35</v>
      </c>
      <c r="R1" s="15" t="s">
        <v>36</v>
      </c>
      <c r="S1" s="15" t="s">
        <v>37</v>
      </c>
      <c r="T1" s="15" t="s">
        <v>4</v>
      </c>
    </row>
    <row r="2" spans="1:20" ht="27" customHeight="1">
      <c r="A2" t="s">
        <v>5</v>
      </c>
      <c r="B2">
        <v>1</v>
      </c>
      <c r="C2" t="s">
        <v>6</v>
      </c>
      <c r="D2" t="b">
        <v>1</v>
      </c>
      <c r="E2">
        <v>1</v>
      </c>
      <c r="F2" t="s">
        <v>9</v>
      </c>
      <c r="G2" t="str">
        <f t="shared" ref="G2:G19" si="0">_xlfn.TEXTJOIN("-",TRUE,C2,LEFT(D2,1),F2)</f>
        <v>plurality-T-DT</v>
      </c>
      <c r="H2" s="13">
        <v>0.88</v>
      </c>
      <c r="I2" s="13">
        <v>0.89</v>
      </c>
      <c r="J2" s="13">
        <v>0.83</v>
      </c>
      <c r="K2" s="13">
        <v>0.83</v>
      </c>
      <c r="L2" s="13">
        <v>0.79</v>
      </c>
      <c r="M2" s="13">
        <v>0.85</v>
      </c>
      <c r="N2" s="13">
        <v>0.84</v>
      </c>
      <c r="O2" s="13">
        <v>0.82</v>
      </c>
      <c r="P2" s="13">
        <v>0.86</v>
      </c>
      <c r="Q2" s="13">
        <v>0.84</v>
      </c>
      <c r="R2" s="13">
        <v>0.86</v>
      </c>
      <c r="S2" s="13">
        <v>0.89</v>
      </c>
      <c r="T2" s="13">
        <f t="shared" ref="T2:T19" si="1">_xlfn.LET(_xlpm.d,$H2:$S2,MAX(_xlpm.d))</f>
        <v>0.89</v>
      </c>
    </row>
    <row r="3" spans="1:20" ht="27" customHeight="1">
      <c r="A3" t="s">
        <v>5</v>
      </c>
      <c r="B3">
        <v>1</v>
      </c>
      <c r="C3" t="s">
        <v>6</v>
      </c>
      <c r="D3" t="b">
        <v>1</v>
      </c>
      <c r="E3">
        <v>2</v>
      </c>
      <c r="F3" t="s">
        <v>8</v>
      </c>
      <c r="G3" t="str">
        <f t="shared" si="0"/>
        <v>plurality-T-RF</v>
      </c>
      <c r="H3" s="6">
        <v>0.93</v>
      </c>
      <c r="I3" s="6">
        <v>0.89</v>
      </c>
      <c r="J3" s="6">
        <v>0.89</v>
      </c>
      <c r="K3" s="6">
        <v>0.91</v>
      </c>
      <c r="L3" s="6">
        <v>0.85</v>
      </c>
      <c r="M3" s="6">
        <v>0.87</v>
      </c>
      <c r="N3" s="6">
        <v>0.91</v>
      </c>
      <c r="O3" s="6">
        <v>0.88</v>
      </c>
      <c r="P3" s="6">
        <v>0.89</v>
      </c>
      <c r="Q3" s="6">
        <v>0.88</v>
      </c>
      <c r="R3" s="6">
        <v>0.89</v>
      </c>
      <c r="S3" s="6">
        <v>0.89</v>
      </c>
      <c r="T3" s="6">
        <f t="shared" si="1"/>
        <v>0.93</v>
      </c>
    </row>
    <row r="4" spans="1:20" ht="27" customHeight="1">
      <c r="A4" t="s">
        <v>5</v>
      </c>
      <c r="B4">
        <v>1</v>
      </c>
      <c r="C4" t="s">
        <v>6</v>
      </c>
      <c r="D4" t="b">
        <v>1</v>
      </c>
      <c r="E4">
        <v>3</v>
      </c>
      <c r="F4" t="s">
        <v>7</v>
      </c>
      <c r="G4" t="str">
        <f t="shared" si="0"/>
        <v>plurality-T-NN</v>
      </c>
      <c r="H4" s="13">
        <v>0.94</v>
      </c>
      <c r="I4" s="13">
        <v>0.9</v>
      </c>
      <c r="J4" s="13">
        <v>0.87</v>
      </c>
      <c r="K4" s="13">
        <v>0.88</v>
      </c>
      <c r="L4" s="13">
        <v>0.81</v>
      </c>
      <c r="M4" s="13">
        <v>0.82</v>
      </c>
      <c r="N4" s="13">
        <v>0.9</v>
      </c>
      <c r="O4" s="13">
        <v>0.88</v>
      </c>
      <c r="P4" s="13">
        <v>0.86</v>
      </c>
      <c r="Q4" s="13">
        <v>0.87</v>
      </c>
      <c r="R4" s="13">
        <v>0.85</v>
      </c>
      <c r="S4" s="13">
        <v>0.85</v>
      </c>
      <c r="T4" s="13">
        <f t="shared" si="1"/>
        <v>0.94</v>
      </c>
    </row>
    <row r="5" spans="1:20" ht="27" customHeight="1">
      <c r="A5" t="s">
        <v>5</v>
      </c>
      <c r="B5">
        <v>1</v>
      </c>
      <c r="C5" t="s">
        <v>6</v>
      </c>
      <c r="D5" t="b">
        <v>0</v>
      </c>
      <c r="E5">
        <v>1</v>
      </c>
      <c r="F5" t="s">
        <v>9</v>
      </c>
      <c r="G5" t="str">
        <f t="shared" si="0"/>
        <v>plurality-F-DT</v>
      </c>
      <c r="H5" s="6">
        <v>0.8</v>
      </c>
      <c r="I5" s="6">
        <v>0.83</v>
      </c>
      <c r="J5" s="6">
        <v>0.8</v>
      </c>
      <c r="K5" s="6">
        <v>0.81</v>
      </c>
      <c r="L5" s="6">
        <v>0.81</v>
      </c>
      <c r="M5" s="6">
        <v>0.81</v>
      </c>
      <c r="N5" s="6">
        <v>0.83</v>
      </c>
      <c r="O5" s="6">
        <v>0.81</v>
      </c>
      <c r="P5" s="6">
        <v>0.83</v>
      </c>
      <c r="Q5" s="6">
        <v>0.8</v>
      </c>
      <c r="R5" s="6">
        <v>0.8</v>
      </c>
      <c r="S5" s="6">
        <v>0.83</v>
      </c>
      <c r="T5" s="6">
        <f t="shared" si="1"/>
        <v>0.83</v>
      </c>
    </row>
    <row r="6" spans="1:20" ht="27" customHeight="1">
      <c r="A6" t="s">
        <v>5</v>
      </c>
      <c r="B6">
        <v>1</v>
      </c>
      <c r="C6" t="s">
        <v>6</v>
      </c>
      <c r="D6" t="b">
        <v>0</v>
      </c>
      <c r="E6">
        <v>2</v>
      </c>
      <c r="F6" t="s">
        <v>8</v>
      </c>
      <c r="G6" t="str">
        <f t="shared" si="0"/>
        <v>plurality-F-RF</v>
      </c>
      <c r="H6" s="13">
        <v>0.86</v>
      </c>
      <c r="I6" s="13">
        <v>0.86</v>
      </c>
      <c r="J6" s="13">
        <v>0.84</v>
      </c>
      <c r="K6" s="13">
        <v>0.83</v>
      </c>
      <c r="L6" s="13">
        <v>0.81</v>
      </c>
      <c r="M6" s="13">
        <v>0.84</v>
      </c>
      <c r="N6" s="13">
        <v>0.83</v>
      </c>
      <c r="O6" s="13">
        <v>0.8</v>
      </c>
      <c r="P6" s="13">
        <v>0.87</v>
      </c>
      <c r="Q6" s="13">
        <v>0.84</v>
      </c>
      <c r="R6" s="13">
        <v>0.84</v>
      </c>
      <c r="S6" s="13">
        <v>0.87</v>
      </c>
      <c r="T6" s="13">
        <f t="shared" si="1"/>
        <v>0.87</v>
      </c>
    </row>
    <row r="7" spans="1:20" ht="27" customHeight="1">
      <c r="A7" t="s">
        <v>5</v>
      </c>
      <c r="B7">
        <v>1</v>
      </c>
      <c r="C7" t="s">
        <v>6</v>
      </c>
      <c r="D7" t="b">
        <v>0</v>
      </c>
      <c r="E7">
        <v>3</v>
      </c>
      <c r="F7" t="s">
        <v>7</v>
      </c>
      <c r="G7" t="str">
        <f t="shared" si="0"/>
        <v>plurality-F-NN</v>
      </c>
      <c r="H7" s="6">
        <v>0.83</v>
      </c>
      <c r="I7" s="6">
        <v>0.81</v>
      </c>
      <c r="J7" s="6">
        <v>0.83</v>
      </c>
      <c r="K7" s="6">
        <v>0.82</v>
      </c>
      <c r="L7" s="6">
        <v>0.81</v>
      </c>
      <c r="M7" s="6">
        <v>0.8</v>
      </c>
      <c r="N7" s="6">
        <v>0.82</v>
      </c>
      <c r="O7" s="6">
        <v>0.79</v>
      </c>
      <c r="P7" s="6">
        <v>0.84</v>
      </c>
      <c r="Q7" s="6">
        <v>0.81</v>
      </c>
      <c r="R7" s="6">
        <v>0.84</v>
      </c>
      <c r="S7" s="6">
        <v>0.82</v>
      </c>
      <c r="T7" s="6">
        <f t="shared" si="1"/>
        <v>0.84</v>
      </c>
    </row>
    <row r="8" spans="1:20" ht="27" customHeight="1">
      <c r="A8" t="s">
        <v>5</v>
      </c>
      <c r="B8">
        <v>2</v>
      </c>
      <c r="C8" t="s">
        <v>10</v>
      </c>
      <c r="D8" t="b">
        <v>1</v>
      </c>
      <c r="E8">
        <v>1</v>
      </c>
      <c r="F8" t="s">
        <v>9</v>
      </c>
      <c r="G8" t="str">
        <f t="shared" si="0"/>
        <v>gender-T-DT</v>
      </c>
      <c r="H8" s="13">
        <v>0.61</v>
      </c>
      <c r="I8" s="13">
        <v>0.59</v>
      </c>
      <c r="J8" s="13">
        <v>0.6</v>
      </c>
      <c r="K8" s="13">
        <v>0.52</v>
      </c>
      <c r="L8" s="13">
        <v>0.56999999999999995</v>
      </c>
      <c r="M8" s="13">
        <v>0.54</v>
      </c>
      <c r="N8" s="13">
        <v>0.56999999999999995</v>
      </c>
      <c r="O8" s="13">
        <v>0.6</v>
      </c>
      <c r="P8" s="13">
        <v>0.56000000000000005</v>
      </c>
      <c r="Q8" s="13">
        <v>0.57999999999999996</v>
      </c>
      <c r="R8" s="13">
        <v>0.55000000000000004</v>
      </c>
      <c r="S8" s="13">
        <v>0.52</v>
      </c>
      <c r="T8" s="13">
        <f t="shared" si="1"/>
        <v>0.61</v>
      </c>
    </row>
    <row r="9" spans="1:20" ht="27" customHeight="1">
      <c r="A9" t="s">
        <v>5</v>
      </c>
      <c r="B9">
        <v>2</v>
      </c>
      <c r="C9" t="s">
        <v>10</v>
      </c>
      <c r="D9" t="b">
        <v>1</v>
      </c>
      <c r="E9">
        <v>2</v>
      </c>
      <c r="F9" t="s">
        <v>8</v>
      </c>
      <c r="G9" t="str">
        <f t="shared" si="0"/>
        <v>gender-T-RF</v>
      </c>
      <c r="H9" s="6">
        <v>0.73</v>
      </c>
      <c r="I9" s="6">
        <v>0.68</v>
      </c>
      <c r="J9" s="6">
        <v>0.66</v>
      </c>
      <c r="K9" s="6">
        <v>0.69</v>
      </c>
      <c r="L9" s="6">
        <v>0.69</v>
      </c>
      <c r="M9" s="6">
        <v>0.64</v>
      </c>
      <c r="N9" s="6">
        <v>0.68</v>
      </c>
      <c r="O9" s="6">
        <v>0.66</v>
      </c>
      <c r="P9" s="6">
        <v>0.61</v>
      </c>
      <c r="Q9" s="6">
        <v>0.71</v>
      </c>
      <c r="R9" s="6">
        <v>0.56999999999999995</v>
      </c>
      <c r="S9" s="6">
        <v>0.68</v>
      </c>
      <c r="T9" s="6">
        <f t="shared" si="1"/>
        <v>0.73</v>
      </c>
    </row>
    <row r="10" spans="1:20" ht="27" customHeight="1">
      <c r="A10" t="s">
        <v>5</v>
      </c>
      <c r="B10">
        <v>2</v>
      </c>
      <c r="C10" t="s">
        <v>10</v>
      </c>
      <c r="D10" t="b">
        <v>1</v>
      </c>
      <c r="E10">
        <v>3</v>
      </c>
      <c r="F10" t="s">
        <v>7</v>
      </c>
      <c r="G10" t="str">
        <f t="shared" si="0"/>
        <v>gender-T-NN</v>
      </c>
      <c r="H10" s="13">
        <v>0.66</v>
      </c>
      <c r="I10" s="13">
        <v>0.68</v>
      </c>
      <c r="J10" s="13">
        <v>0.69</v>
      </c>
      <c r="K10" s="13">
        <v>0.69</v>
      </c>
      <c r="L10" s="13">
        <v>0.67</v>
      </c>
      <c r="M10" s="13">
        <v>0.67</v>
      </c>
      <c r="N10" s="13">
        <v>0.67</v>
      </c>
      <c r="O10" s="13">
        <v>0.68</v>
      </c>
      <c r="P10" s="13">
        <v>0.7</v>
      </c>
      <c r="Q10" s="13">
        <v>0.7</v>
      </c>
      <c r="R10" s="13">
        <v>0.66</v>
      </c>
      <c r="S10" s="13">
        <v>0.7</v>
      </c>
      <c r="T10" s="13">
        <f t="shared" si="1"/>
        <v>0.7</v>
      </c>
    </row>
    <row r="11" spans="1:20" ht="27" customHeight="1">
      <c r="A11" t="s">
        <v>5</v>
      </c>
      <c r="B11">
        <v>2</v>
      </c>
      <c r="C11" t="s">
        <v>10</v>
      </c>
      <c r="D11" t="b">
        <v>0</v>
      </c>
      <c r="E11">
        <v>1</v>
      </c>
      <c r="F11" t="s">
        <v>9</v>
      </c>
      <c r="G11" t="str">
        <f t="shared" si="0"/>
        <v>gender-F-DT</v>
      </c>
      <c r="H11" s="6">
        <v>0.56999999999999995</v>
      </c>
      <c r="I11" s="6">
        <v>0.55000000000000004</v>
      </c>
      <c r="J11" s="6">
        <v>0.48</v>
      </c>
      <c r="K11" s="6">
        <v>0.52</v>
      </c>
      <c r="L11" s="6">
        <v>0.43</v>
      </c>
      <c r="M11" s="6">
        <v>0.56000000000000005</v>
      </c>
      <c r="N11" s="6">
        <v>0.56999999999999995</v>
      </c>
      <c r="O11" s="6">
        <v>0.51</v>
      </c>
      <c r="P11" s="6">
        <v>0.49</v>
      </c>
      <c r="Q11" s="6">
        <v>0.56999999999999995</v>
      </c>
      <c r="R11" s="6">
        <v>0.51</v>
      </c>
      <c r="S11" s="6">
        <v>0.43</v>
      </c>
      <c r="T11" s="6">
        <f t="shared" si="1"/>
        <v>0.56999999999999995</v>
      </c>
    </row>
    <row r="12" spans="1:20" ht="27" customHeight="1">
      <c r="A12" t="s">
        <v>5</v>
      </c>
      <c r="B12">
        <v>2</v>
      </c>
      <c r="C12" t="s">
        <v>10</v>
      </c>
      <c r="D12" t="b">
        <v>0</v>
      </c>
      <c r="E12">
        <v>2</v>
      </c>
      <c r="F12" t="s">
        <v>8</v>
      </c>
      <c r="G12" t="str">
        <f t="shared" si="0"/>
        <v>gender-F-RF</v>
      </c>
      <c r="H12" s="13">
        <v>0.69</v>
      </c>
      <c r="I12" s="13">
        <v>0.64</v>
      </c>
      <c r="J12" s="13">
        <v>0.67</v>
      </c>
      <c r="K12" s="13">
        <v>0.66</v>
      </c>
      <c r="L12" s="13">
        <v>0.66</v>
      </c>
      <c r="M12" s="13">
        <v>0.61</v>
      </c>
      <c r="N12" s="13">
        <v>0.63</v>
      </c>
      <c r="O12" s="13">
        <v>0.63</v>
      </c>
      <c r="P12" s="13">
        <v>0.66</v>
      </c>
      <c r="Q12" s="13">
        <v>0.69</v>
      </c>
      <c r="R12" s="13">
        <v>0.55000000000000004</v>
      </c>
      <c r="S12" s="13">
        <v>0.64</v>
      </c>
      <c r="T12" s="13">
        <f t="shared" si="1"/>
        <v>0.69</v>
      </c>
    </row>
    <row r="13" spans="1:20" ht="27" customHeight="1">
      <c r="A13" t="s">
        <v>5</v>
      </c>
      <c r="B13">
        <v>2</v>
      </c>
      <c r="C13" t="s">
        <v>10</v>
      </c>
      <c r="D13" t="b">
        <v>0</v>
      </c>
      <c r="E13">
        <v>3</v>
      </c>
      <c r="F13" t="s">
        <v>7</v>
      </c>
      <c r="G13" t="str">
        <f t="shared" si="0"/>
        <v>gender-F-NN</v>
      </c>
      <c r="H13" s="6">
        <v>0.65</v>
      </c>
      <c r="I13" s="6">
        <v>0.66</v>
      </c>
      <c r="J13" s="6">
        <v>0.65</v>
      </c>
      <c r="K13" s="6">
        <v>0.67</v>
      </c>
      <c r="L13" s="6">
        <v>0.67</v>
      </c>
      <c r="M13" s="6">
        <v>0.66</v>
      </c>
      <c r="N13" s="6">
        <v>0.65</v>
      </c>
      <c r="O13" s="6">
        <v>0.67</v>
      </c>
      <c r="P13" s="6">
        <v>0.69</v>
      </c>
      <c r="Q13" s="6">
        <v>0.71</v>
      </c>
      <c r="R13" s="6">
        <v>0.67</v>
      </c>
      <c r="S13" s="6">
        <v>0.7</v>
      </c>
      <c r="T13" s="6">
        <f t="shared" si="1"/>
        <v>0.71</v>
      </c>
    </row>
    <row r="14" spans="1:20" ht="27" customHeight="1">
      <c r="A14" t="s">
        <v>5</v>
      </c>
      <c r="B14">
        <v>3</v>
      </c>
      <c r="C14" t="s">
        <v>11</v>
      </c>
      <c r="D14" t="b">
        <v>1</v>
      </c>
      <c r="E14">
        <v>1</v>
      </c>
      <c r="F14" t="s">
        <v>9</v>
      </c>
      <c r="G14" t="str">
        <f t="shared" si="0"/>
        <v>case-T-DT</v>
      </c>
      <c r="H14" s="13">
        <v>0.56000000000000005</v>
      </c>
      <c r="I14" s="13">
        <v>0.46</v>
      </c>
      <c r="J14" s="13">
        <v>0.53</v>
      </c>
      <c r="K14" s="13">
        <v>0.47</v>
      </c>
      <c r="L14" s="13">
        <v>0.44</v>
      </c>
      <c r="M14" s="13">
        <v>0.48</v>
      </c>
      <c r="N14" s="13">
        <v>0.5</v>
      </c>
      <c r="O14" s="13">
        <v>0.48</v>
      </c>
      <c r="P14" s="13">
        <v>0.54</v>
      </c>
      <c r="Q14" s="13">
        <v>0.52</v>
      </c>
      <c r="R14" s="13">
        <v>0.5</v>
      </c>
      <c r="S14" s="13">
        <v>0.47</v>
      </c>
      <c r="T14" s="13">
        <f t="shared" si="1"/>
        <v>0.56000000000000005</v>
      </c>
    </row>
    <row r="15" spans="1:20" ht="27" customHeight="1">
      <c r="A15" t="s">
        <v>5</v>
      </c>
      <c r="B15">
        <v>3</v>
      </c>
      <c r="C15" t="s">
        <v>11</v>
      </c>
      <c r="D15" t="b">
        <v>1</v>
      </c>
      <c r="E15">
        <v>2</v>
      </c>
      <c r="F15" t="s">
        <v>8</v>
      </c>
      <c r="G15" t="str">
        <f t="shared" si="0"/>
        <v>case-T-RF</v>
      </c>
      <c r="H15" s="6">
        <v>0.56999999999999995</v>
      </c>
      <c r="I15" s="6">
        <v>0.51</v>
      </c>
      <c r="J15" s="6">
        <v>0.57999999999999996</v>
      </c>
      <c r="K15" s="6">
        <v>0.54</v>
      </c>
      <c r="L15" s="6">
        <v>0.57999999999999996</v>
      </c>
      <c r="M15" s="6">
        <v>0.55000000000000004</v>
      </c>
      <c r="N15" s="6">
        <v>0.56000000000000005</v>
      </c>
      <c r="O15" s="6">
        <v>0.54</v>
      </c>
      <c r="P15" s="6">
        <v>0.56999999999999995</v>
      </c>
      <c r="Q15" s="6">
        <v>0.56999999999999995</v>
      </c>
      <c r="R15" s="6">
        <v>0.54</v>
      </c>
      <c r="S15" s="6">
        <v>0.5</v>
      </c>
      <c r="T15" s="6">
        <f t="shared" si="1"/>
        <v>0.57999999999999996</v>
      </c>
    </row>
    <row r="16" spans="1:20" ht="27" customHeight="1">
      <c r="A16" t="s">
        <v>5</v>
      </c>
      <c r="B16">
        <v>3</v>
      </c>
      <c r="C16" t="s">
        <v>11</v>
      </c>
      <c r="D16" t="b">
        <v>1</v>
      </c>
      <c r="E16">
        <v>3</v>
      </c>
      <c r="F16" t="s">
        <v>7</v>
      </c>
      <c r="G16" t="str">
        <f t="shared" si="0"/>
        <v>case-T-NN</v>
      </c>
      <c r="H16" s="13">
        <v>0.56999999999999995</v>
      </c>
      <c r="I16" s="13">
        <v>0.52</v>
      </c>
      <c r="J16" s="13">
        <v>0.49</v>
      </c>
      <c r="K16" s="13">
        <v>0.45</v>
      </c>
      <c r="L16" s="13">
        <v>0.43</v>
      </c>
      <c r="M16" s="13">
        <v>0.41</v>
      </c>
      <c r="N16" s="13">
        <v>0.47</v>
      </c>
      <c r="O16" s="13">
        <v>0.45</v>
      </c>
      <c r="P16" s="13">
        <v>0.47</v>
      </c>
      <c r="Q16" s="13">
        <v>0.44</v>
      </c>
      <c r="R16" s="13">
        <v>0.44</v>
      </c>
      <c r="S16" s="13">
        <v>0.43</v>
      </c>
      <c r="T16" s="13">
        <f t="shared" si="1"/>
        <v>0.56999999999999995</v>
      </c>
    </row>
    <row r="17" spans="1:20" ht="27" customHeight="1">
      <c r="A17" t="s">
        <v>5</v>
      </c>
      <c r="B17">
        <v>3</v>
      </c>
      <c r="C17" t="s">
        <v>11</v>
      </c>
      <c r="D17" t="b">
        <v>0</v>
      </c>
      <c r="E17">
        <v>1</v>
      </c>
      <c r="F17" t="s">
        <v>9</v>
      </c>
      <c r="G17" t="str">
        <f t="shared" si="0"/>
        <v>case-F-DT</v>
      </c>
      <c r="H17" s="6">
        <v>0.45</v>
      </c>
      <c r="I17" s="6">
        <v>0.4</v>
      </c>
      <c r="J17" s="6">
        <v>0.39</v>
      </c>
      <c r="K17" s="6">
        <v>0.46</v>
      </c>
      <c r="L17" s="6">
        <v>0.35</v>
      </c>
      <c r="M17" s="6">
        <v>0.43</v>
      </c>
      <c r="N17" s="6">
        <v>0.36</v>
      </c>
      <c r="O17" s="6">
        <v>0.42</v>
      </c>
      <c r="P17" s="6">
        <v>0.41</v>
      </c>
      <c r="Q17" s="6">
        <v>0.39</v>
      </c>
      <c r="R17" s="6">
        <v>0.43</v>
      </c>
      <c r="S17" s="6">
        <v>0.38</v>
      </c>
      <c r="T17" s="6">
        <f t="shared" si="1"/>
        <v>0.46</v>
      </c>
    </row>
    <row r="18" spans="1:20" ht="27" customHeight="1">
      <c r="A18" t="s">
        <v>5</v>
      </c>
      <c r="B18">
        <v>3</v>
      </c>
      <c r="C18" t="s">
        <v>11</v>
      </c>
      <c r="D18" t="b">
        <v>0</v>
      </c>
      <c r="E18">
        <v>2</v>
      </c>
      <c r="F18" t="s">
        <v>8</v>
      </c>
      <c r="G18" t="str">
        <f t="shared" si="0"/>
        <v>case-F-RF</v>
      </c>
      <c r="H18" s="13">
        <v>0.48</v>
      </c>
      <c r="I18" s="13">
        <v>0.45</v>
      </c>
      <c r="J18" s="13">
        <v>0.51</v>
      </c>
      <c r="K18" s="13">
        <v>0.46</v>
      </c>
      <c r="L18" s="13">
        <v>0.47</v>
      </c>
      <c r="M18" s="13">
        <v>0.49</v>
      </c>
      <c r="N18" s="13">
        <v>0.39</v>
      </c>
      <c r="O18" s="13">
        <v>0.44</v>
      </c>
      <c r="P18" s="13">
        <v>0.43</v>
      </c>
      <c r="Q18" s="13">
        <v>0.45</v>
      </c>
      <c r="R18" s="13">
        <v>0.48</v>
      </c>
      <c r="S18" s="13">
        <v>0.41</v>
      </c>
      <c r="T18" s="13">
        <f t="shared" si="1"/>
        <v>0.51</v>
      </c>
    </row>
    <row r="19" spans="1:20" ht="27" customHeight="1">
      <c r="A19" t="s">
        <v>5</v>
      </c>
      <c r="B19">
        <v>3</v>
      </c>
      <c r="C19" t="s">
        <v>11</v>
      </c>
      <c r="D19" t="b">
        <v>0</v>
      </c>
      <c r="E19">
        <v>3</v>
      </c>
      <c r="F19" t="s">
        <v>7</v>
      </c>
      <c r="G19" t="str">
        <f t="shared" si="0"/>
        <v>case-F-NN</v>
      </c>
      <c r="H19" s="6">
        <v>0.44</v>
      </c>
      <c r="I19" s="6">
        <v>0.37</v>
      </c>
      <c r="J19" s="6">
        <v>0.42</v>
      </c>
      <c r="K19" s="6">
        <v>0.43</v>
      </c>
      <c r="L19" s="6">
        <v>0.39</v>
      </c>
      <c r="M19" s="6">
        <v>0.39</v>
      </c>
      <c r="N19" s="6">
        <v>0.38</v>
      </c>
      <c r="O19" s="6">
        <v>0.39</v>
      </c>
      <c r="P19" s="6">
        <v>0.4</v>
      </c>
      <c r="Q19" s="6">
        <v>0.39</v>
      </c>
      <c r="R19" s="6">
        <v>0.42</v>
      </c>
      <c r="S19" s="6">
        <v>0.36</v>
      </c>
      <c r="T19" s="6">
        <f t="shared" si="1"/>
        <v>0.44</v>
      </c>
    </row>
    <row r="22" spans="1:20" ht="27" customHeight="1">
      <c r="B22" s="15" t="s">
        <v>12</v>
      </c>
      <c r="C22" s="15" t="s">
        <v>1</v>
      </c>
      <c r="D22" s="15" t="s">
        <v>16</v>
      </c>
      <c r="E22" s="15" t="s">
        <v>13</v>
      </c>
      <c r="F22" s="15" t="s">
        <v>14</v>
      </c>
      <c r="G22" s="15" t="s">
        <v>38</v>
      </c>
      <c r="H22" s="15" t="s">
        <v>26</v>
      </c>
      <c r="I22" s="15" t="s">
        <v>27</v>
      </c>
      <c r="J22" s="15" t="s">
        <v>28</v>
      </c>
      <c r="K22" s="15" t="s">
        <v>29</v>
      </c>
      <c r="L22" s="15" t="s">
        <v>30</v>
      </c>
      <c r="M22" s="15" t="s">
        <v>31</v>
      </c>
      <c r="N22" s="15" t="s">
        <v>32</v>
      </c>
      <c r="O22" s="15" t="s">
        <v>33</v>
      </c>
      <c r="P22" s="15" t="s">
        <v>34</v>
      </c>
      <c r="Q22" s="15" t="s">
        <v>35</v>
      </c>
      <c r="R22" s="15" t="s">
        <v>36</v>
      </c>
      <c r="S22" s="15" t="s">
        <v>37</v>
      </c>
      <c r="T22" s="15" t="s">
        <v>4</v>
      </c>
    </row>
    <row r="23" spans="1:20" ht="27" customHeight="1">
      <c r="B23" s="19">
        <v>1</v>
      </c>
      <c r="C23" t="s">
        <v>6</v>
      </c>
      <c r="D23" t="b">
        <v>0</v>
      </c>
      <c r="E23">
        <v>1</v>
      </c>
      <c r="F23" t="s">
        <v>4</v>
      </c>
      <c r="G23" t="str">
        <f t="shared" ref="G23:G28" si="2">_xlfn.TEXTJOIN("-",TRUE,C23,LEFT(D23,1),F23)</f>
        <v>plurality-F-max</v>
      </c>
      <c r="H23" s="13" cm="1">
        <f t="array" ref="H23">_xlfn.LET(_xlpm.d,H$2:H$19,_xlpm.a,$C$2:$C$19=$C23,_xlpm.b,$D$2:$D$19=$D23,MAX(_xlfn._xlws.FILTER(_xlpm.d,_xlpm.a*_xlpm.b)))</f>
        <v>0.86</v>
      </c>
      <c r="I23" s="13" cm="1">
        <f t="array" ref="I23">_xlfn.LET(_xlpm.d,I$2:I$19,_xlpm.a,$C$2:$C$19=$C23,_xlpm.b,$D$2:$D$19=$D23,MAX(_xlfn._xlws.FILTER(_xlpm.d,_xlpm.a*_xlpm.b)))</f>
        <v>0.86</v>
      </c>
      <c r="J23" s="13" cm="1">
        <f t="array" ref="J23">_xlfn.LET(_xlpm.d,J$2:J$19,_xlpm.a,$C$2:$C$19=$C23,_xlpm.b,$D$2:$D$19=$D23,MAX(_xlfn._xlws.FILTER(_xlpm.d,_xlpm.a*_xlpm.b)))</f>
        <v>0.84</v>
      </c>
      <c r="K23" s="13" cm="1">
        <f t="array" ref="K23">_xlfn.LET(_xlpm.d,K$2:K$19,_xlpm.a,$C$2:$C$19=$C23,_xlpm.b,$D$2:$D$19=$D23,MAX(_xlfn._xlws.FILTER(_xlpm.d,_xlpm.a*_xlpm.b)))</f>
        <v>0.83</v>
      </c>
      <c r="L23" s="13" cm="1">
        <f t="array" ref="L23">_xlfn.LET(_xlpm.d,L$2:L$19,_xlpm.a,$C$2:$C$19=$C23,_xlpm.b,$D$2:$D$19=$D23,MAX(_xlfn._xlws.FILTER(_xlpm.d,_xlpm.a*_xlpm.b)))</f>
        <v>0.81</v>
      </c>
      <c r="M23" s="13" cm="1">
        <f t="array" ref="M23">_xlfn.LET(_xlpm.d,M$2:M$19,_xlpm.a,$C$2:$C$19=$C23,_xlpm.b,$D$2:$D$19=$D23,MAX(_xlfn._xlws.FILTER(_xlpm.d,_xlpm.a*_xlpm.b)))</f>
        <v>0.84</v>
      </c>
      <c r="N23" s="13" cm="1">
        <f t="array" ref="N23">_xlfn.LET(_xlpm.d,N$2:N$19,_xlpm.a,$C$2:$C$19=$C23,_xlpm.b,$D$2:$D$19=$D23,MAX(_xlfn._xlws.FILTER(_xlpm.d,_xlpm.a*_xlpm.b)))</f>
        <v>0.83</v>
      </c>
      <c r="O23" s="13" cm="1">
        <f t="array" ref="O23">_xlfn.LET(_xlpm.d,O$2:O$19,_xlpm.a,$C$2:$C$19=$C23,_xlpm.b,$D$2:$D$19=$D23,MAX(_xlfn._xlws.FILTER(_xlpm.d,_xlpm.a*_xlpm.b)))</f>
        <v>0.81</v>
      </c>
      <c r="P23" s="13" cm="1">
        <f t="array" ref="P23">_xlfn.LET(_xlpm.d,P$2:P$19,_xlpm.a,$C$2:$C$19=$C23,_xlpm.b,$D$2:$D$19=$D23,MAX(_xlfn._xlws.FILTER(_xlpm.d,_xlpm.a*_xlpm.b)))</f>
        <v>0.87</v>
      </c>
      <c r="Q23" s="13" cm="1">
        <f t="array" ref="Q23">_xlfn.LET(_xlpm.d,Q$2:Q$19,_xlpm.a,$C$2:$C$19=$C23,_xlpm.b,$D$2:$D$19=$D23,MAX(_xlfn._xlws.FILTER(_xlpm.d,_xlpm.a*_xlpm.b)))</f>
        <v>0.84</v>
      </c>
      <c r="R23" s="13" cm="1">
        <f t="array" ref="R23">_xlfn.LET(_xlpm.d,R$2:R$19,_xlpm.a,$C$2:$C$19=$C23,_xlpm.b,$D$2:$D$19=$D23,MAX(_xlfn._xlws.FILTER(_xlpm.d,_xlpm.a*_xlpm.b)))</f>
        <v>0.84</v>
      </c>
      <c r="S23" s="13" cm="1">
        <f t="array" ref="S23">_xlfn.LET(_xlpm.d,S$2:S$19,_xlpm.a,$C$2:$C$19=$C23,_xlpm.b,$D$2:$D$19=$D23,MAX(_xlfn._xlws.FILTER(_xlpm.d,_xlpm.a*_xlpm.b)))</f>
        <v>0.87</v>
      </c>
      <c r="T23" s="13" cm="1">
        <f t="array" ref="T23">_xlfn.LET(_xlpm.d,T$2:T$19,_xlpm.a,$C$2:$C$19=$C23,_xlpm.b,$D$2:$D$19=$D23,MAX(_xlfn._xlws.FILTER(_xlpm.d,_xlpm.a*_xlpm.b)))</f>
        <v>0.87</v>
      </c>
    </row>
    <row r="24" spans="1:20" ht="27" customHeight="1">
      <c r="B24" s="19">
        <v>2</v>
      </c>
      <c r="C24" t="s">
        <v>10</v>
      </c>
      <c r="D24" t="b">
        <v>0</v>
      </c>
      <c r="E24">
        <v>1</v>
      </c>
      <c r="F24" t="s">
        <v>4</v>
      </c>
      <c r="G24" t="str">
        <f t="shared" si="2"/>
        <v>gender-F-max</v>
      </c>
      <c r="H24" s="13" cm="1">
        <f t="array" ref="H24">_xlfn.LET(_xlpm.d,H$2:H$19,_xlpm.a,$C$2:$C$19=$C24,_xlpm.b,$D$2:$D$19=$D24,MAX(_xlfn._xlws.FILTER(_xlpm.d,_xlpm.a*_xlpm.b)))</f>
        <v>0.69</v>
      </c>
      <c r="I24" s="13" cm="1">
        <f t="array" ref="I24">_xlfn.LET(_xlpm.d,I$2:I$19,_xlpm.a,$C$2:$C$19=$C24,_xlpm.b,$D$2:$D$19=$D24,MAX(_xlfn._xlws.FILTER(_xlpm.d,_xlpm.a*_xlpm.b)))</f>
        <v>0.66</v>
      </c>
      <c r="J24" s="13" cm="1">
        <f t="array" ref="J24">_xlfn.LET(_xlpm.d,J$2:J$19,_xlpm.a,$C$2:$C$19=$C24,_xlpm.b,$D$2:$D$19=$D24,MAX(_xlfn._xlws.FILTER(_xlpm.d,_xlpm.a*_xlpm.b)))</f>
        <v>0.67</v>
      </c>
      <c r="K24" s="13" cm="1">
        <f t="array" ref="K24">_xlfn.LET(_xlpm.d,K$2:K$19,_xlpm.a,$C$2:$C$19=$C24,_xlpm.b,$D$2:$D$19=$D24,MAX(_xlfn._xlws.FILTER(_xlpm.d,_xlpm.a*_xlpm.b)))</f>
        <v>0.67</v>
      </c>
      <c r="L24" s="13" cm="1">
        <f t="array" ref="L24">_xlfn.LET(_xlpm.d,L$2:L$19,_xlpm.a,$C$2:$C$19=$C24,_xlpm.b,$D$2:$D$19=$D24,MAX(_xlfn._xlws.FILTER(_xlpm.d,_xlpm.a*_xlpm.b)))</f>
        <v>0.67</v>
      </c>
      <c r="M24" s="13" cm="1">
        <f t="array" ref="M24">_xlfn.LET(_xlpm.d,M$2:M$19,_xlpm.a,$C$2:$C$19=$C24,_xlpm.b,$D$2:$D$19=$D24,MAX(_xlfn._xlws.FILTER(_xlpm.d,_xlpm.a*_xlpm.b)))</f>
        <v>0.66</v>
      </c>
      <c r="N24" s="13" cm="1">
        <f t="array" ref="N24">_xlfn.LET(_xlpm.d,N$2:N$19,_xlpm.a,$C$2:$C$19=$C24,_xlpm.b,$D$2:$D$19=$D24,MAX(_xlfn._xlws.FILTER(_xlpm.d,_xlpm.a*_xlpm.b)))</f>
        <v>0.65</v>
      </c>
      <c r="O24" s="13" cm="1">
        <f t="array" ref="O24">_xlfn.LET(_xlpm.d,O$2:O$19,_xlpm.a,$C$2:$C$19=$C24,_xlpm.b,$D$2:$D$19=$D24,MAX(_xlfn._xlws.FILTER(_xlpm.d,_xlpm.a*_xlpm.b)))</f>
        <v>0.67</v>
      </c>
      <c r="P24" s="13" cm="1">
        <f t="array" ref="P24">_xlfn.LET(_xlpm.d,P$2:P$19,_xlpm.a,$C$2:$C$19=$C24,_xlpm.b,$D$2:$D$19=$D24,MAX(_xlfn._xlws.FILTER(_xlpm.d,_xlpm.a*_xlpm.b)))</f>
        <v>0.69</v>
      </c>
      <c r="Q24" s="13" cm="1">
        <f t="array" ref="Q24">_xlfn.LET(_xlpm.d,Q$2:Q$19,_xlpm.a,$C$2:$C$19=$C24,_xlpm.b,$D$2:$D$19=$D24,MAX(_xlfn._xlws.FILTER(_xlpm.d,_xlpm.a*_xlpm.b)))</f>
        <v>0.71</v>
      </c>
      <c r="R24" s="13" cm="1">
        <f t="array" ref="R24">_xlfn.LET(_xlpm.d,R$2:R$19,_xlpm.a,$C$2:$C$19=$C24,_xlpm.b,$D$2:$D$19=$D24,MAX(_xlfn._xlws.FILTER(_xlpm.d,_xlpm.a*_xlpm.b)))</f>
        <v>0.67</v>
      </c>
      <c r="S24" s="13" cm="1">
        <f t="array" ref="S24">_xlfn.LET(_xlpm.d,S$2:S$19,_xlpm.a,$C$2:$C$19=$C24,_xlpm.b,$D$2:$D$19=$D24,MAX(_xlfn._xlws.FILTER(_xlpm.d,_xlpm.a*_xlpm.b)))</f>
        <v>0.7</v>
      </c>
      <c r="T24" s="13" cm="1">
        <f t="array" ref="T24">_xlfn.LET(_xlpm.d,T$2:T$19,_xlpm.a,$C$2:$C$19=$C24,_xlpm.b,$D$2:$D$19=$D24,MAX(_xlfn._xlws.FILTER(_xlpm.d,_xlpm.a*_xlpm.b)))</f>
        <v>0.71</v>
      </c>
    </row>
    <row r="25" spans="1:20" ht="27" customHeight="1">
      <c r="B25" s="19">
        <v>3</v>
      </c>
      <c r="C25" t="s">
        <v>11</v>
      </c>
      <c r="D25" t="b">
        <v>0</v>
      </c>
      <c r="E25">
        <v>1</v>
      </c>
      <c r="F25" t="s">
        <v>4</v>
      </c>
      <c r="G25" t="str">
        <f t="shared" si="2"/>
        <v>case-F-max</v>
      </c>
      <c r="H25" s="13" cm="1">
        <f t="array" ref="H25">_xlfn.LET(_xlpm.d,H$2:H$19,_xlpm.a,$C$2:$C$19=$C25,_xlpm.b,$D$2:$D$19=$D25,MAX(_xlfn._xlws.FILTER(_xlpm.d,_xlpm.a*_xlpm.b)))</f>
        <v>0.48</v>
      </c>
      <c r="I25" s="13" cm="1">
        <f t="array" ref="I25">_xlfn.LET(_xlpm.d,I$2:I$19,_xlpm.a,$C$2:$C$19=$C25,_xlpm.b,$D$2:$D$19=$D25,MAX(_xlfn._xlws.FILTER(_xlpm.d,_xlpm.a*_xlpm.b)))</f>
        <v>0.45</v>
      </c>
      <c r="J25" s="13" cm="1">
        <f t="array" ref="J25">_xlfn.LET(_xlpm.d,J$2:J$19,_xlpm.a,$C$2:$C$19=$C25,_xlpm.b,$D$2:$D$19=$D25,MAX(_xlfn._xlws.FILTER(_xlpm.d,_xlpm.a*_xlpm.b)))</f>
        <v>0.51</v>
      </c>
      <c r="K25" s="13" cm="1">
        <f t="array" ref="K25">_xlfn.LET(_xlpm.d,K$2:K$19,_xlpm.a,$C$2:$C$19=$C25,_xlpm.b,$D$2:$D$19=$D25,MAX(_xlfn._xlws.FILTER(_xlpm.d,_xlpm.a*_xlpm.b)))</f>
        <v>0.46</v>
      </c>
      <c r="L25" s="13" cm="1">
        <f t="array" ref="L25">_xlfn.LET(_xlpm.d,L$2:L$19,_xlpm.a,$C$2:$C$19=$C25,_xlpm.b,$D$2:$D$19=$D25,MAX(_xlfn._xlws.FILTER(_xlpm.d,_xlpm.a*_xlpm.b)))</f>
        <v>0.47</v>
      </c>
      <c r="M25" s="13" cm="1">
        <f t="array" ref="M25">_xlfn.LET(_xlpm.d,M$2:M$19,_xlpm.a,$C$2:$C$19=$C25,_xlpm.b,$D$2:$D$19=$D25,MAX(_xlfn._xlws.FILTER(_xlpm.d,_xlpm.a*_xlpm.b)))</f>
        <v>0.49</v>
      </c>
      <c r="N25" s="13" cm="1">
        <f t="array" ref="N25">_xlfn.LET(_xlpm.d,N$2:N$19,_xlpm.a,$C$2:$C$19=$C25,_xlpm.b,$D$2:$D$19=$D25,MAX(_xlfn._xlws.FILTER(_xlpm.d,_xlpm.a*_xlpm.b)))</f>
        <v>0.39</v>
      </c>
      <c r="O25" s="13" cm="1">
        <f t="array" ref="O25">_xlfn.LET(_xlpm.d,O$2:O$19,_xlpm.a,$C$2:$C$19=$C25,_xlpm.b,$D$2:$D$19=$D25,MAX(_xlfn._xlws.FILTER(_xlpm.d,_xlpm.a*_xlpm.b)))</f>
        <v>0.44</v>
      </c>
      <c r="P25" s="13" cm="1">
        <f t="array" ref="P25">_xlfn.LET(_xlpm.d,P$2:P$19,_xlpm.a,$C$2:$C$19=$C25,_xlpm.b,$D$2:$D$19=$D25,MAX(_xlfn._xlws.FILTER(_xlpm.d,_xlpm.a*_xlpm.b)))</f>
        <v>0.43</v>
      </c>
      <c r="Q25" s="13" cm="1">
        <f t="array" ref="Q25">_xlfn.LET(_xlpm.d,Q$2:Q$19,_xlpm.a,$C$2:$C$19=$C25,_xlpm.b,$D$2:$D$19=$D25,MAX(_xlfn._xlws.FILTER(_xlpm.d,_xlpm.a*_xlpm.b)))</f>
        <v>0.45</v>
      </c>
      <c r="R25" s="13" cm="1">
        <f t="array" ref="R25">_xlfn.LET(_xlpm.d,R$2:R$19,_xlpm.a,$C$2:$C$19=$C25,_xlpm.b,$D$2:$D$19=$D25,MAX(_xlfn._xlws.FILTER(_xlpm.d,_xlpm.a*_xlpm.b)))</f>
        <v>0.48</v>
      </c>
      <c r="S25" s="13" cm="1">
        <f t="array" ref="S25">_xlfn.LET(_xlpm.d,S$2:S$19,_xlpm.a,$C$2:$C$19=$C25,_xlpm.b,$D$2:$D$19=$D25,MAX(_xlfn._xlws.FILTER(_xlpm.d,_xlpm.a*_xlpm.b)))</f>
        <v>0.41</v>
      </c>
      <c r="T25" s="13" cm="1">
        <f t="array" ref="T25">_xlfn.LET(_xlpm.d,T$2:T$19,_xlpm.a,$C$2:$C$19=$C25,_xlpm.b,$D$2:$D$19=$D25,MAX(_xlfn._xlws.FILTER(_xlpm.d,_xlpm.a*_xlpm.b)))</f>
        <v>0.51</v>
      </c>
    </row>
    <row r="26" spans="1:20" ht="27" customHeight="1">
      <c r="B26" s="19">
        <v>1</v>
      </c>
      <c r="C26" t="s">
        <v>6</v>
      </c>
      <c r="D26" t="b">
        <v>1</v>
      </c>
      <c r="E26">
        <v>1</v>
      </c>
      <c r="F26" t="s">
        <v>4</v>
      </c>
      <c r="G26" t="str">
        <f t="shared" si="2"/>
        <v>plurality-T-max</v>
      </c>
      <c r="H26" s="6" cm="1">
        <f t="array" ref="H26">_xlfn.LET(_xlpm.d,H$2:H$19,_xlpm.a,$C$2:$C$19=$C26,_xlpm.b,$D$2:$D$19=$D26,MAX(_xlfn._xlws.FILTER(_xlpm.d,_xlpm.a*_xlpm.b)))</f>
        <v>0.94</v>
      </c>
      <c r="I26" s="6" cm="1">
        <f t="array" ref="I26">_xlfn.LET(_xlpm.d,I$2:I$19,_xlpm.a,$C$2:$C$19=$C26,_xlpm.b,$D$2:$D$19=$D26,MAX(_xlfn._xlws.FILTER(_xlpm.d,_xlpm.a*_xlpm.b)))</f>
        <v>0.9</v>
      </c>
      <c r="J26" s="6" cm="1">
        <f t="array" ref="J26">_xlfn.LET(_xlpm.d,J$2:J$19,_xlpm.a,$C$2:$C$19=$C26,_xlpm.b,$D$2:$D$19=$D26,MAX(_xlfn._xlws.FILTER(_xlpm.d,_xlpm.a*_xlpm.b)))</f>
        <v>0.89</v>
      </c>
      <c r="K26" s="6" cm="1">
        <f t="array" ref="K26">_xlfn.LET(_xlpm.d,K$2:K$19,_xlpm.a,$C$2:$C$19=$C26,_xlpm.b,$D$2:$D$19=$D26,MAX(_xlfn._xlws.FILTER(_xlpm.d,_xlpm.a*_xlpm.b)))</f>
        <v>0.91</v>
      </c>
      <c r="L26" s="6" cm="1">
        <f t="array" ref="L26">_xlfn.LET(_xlpm.d,L$2:L$19,_xlpm.a,$C$2:$C$19=$C26,_xlpm.b,$D$2:$D$19=$D26,MAX(_xlfn._xlws.FILTER(_xlpm.d,_xlpm.a*_xlpm.b)))</f>
        <v>0.85</v>
      </c>
      <c r="M26" s="6" cm="1">
        <f t="array" ref="M26">_xlfn.LET(_xlpm.d,M$2:M$19,_xlpm.a,$C$2:$C$19=$C26,_xlpm.b,$D$2:$D$19=$D26,MAX(_xlfn._xlws.FILTER(_xlpm.d,_xlpm.a*_xlpm.b)))</f>
        <v>0.87</v>
      </c>
      <c r="N26" s="6" cm="1">
        <f t="array" ref="N26">_xlfn.LET(_xlpm.d,N$2:N$19,_xlpm.a,$C$2:$C$19=$C26,_xlpm.b,$D$2:$D$19=$D26,MAX(_xlfn._xlws.FILTER(_xlpm.d,_xlpm.a*_xlpm.b)))</f>
        <v>0.91</v>
      </c>
      <c r="O26" s="6" cm="1">
        <f t="array" ref="O26">_xlfn.LET(_xlpm.d,O$2:O$19,_xlpm.a,$C$2:$C$19=$C26,_xlpm.b,$D$2:$D$19=$D26,MAX(_xlfn._xlws.FILTER(_xlpm.d,_xlpm.a*_xlpm.b)))</f>
        <v>0.88</v>
      </c>
      <c r="P26" s="6" cm="1">
        <f t="array" ref="P26">_xlfn.LET(_xlpm.d,P$2:P$19,_xlpm.a,$C$2:$C$19=$C26,_xlpm.b,$D$2:$D$19=$D26,MAX(_xlfn._xlws.FILTER(_xlpm.d,_xlpm.a*_xlpm.b)))</f>
        <v>0.89</v>
      </c>
      <c r="Q26" s="6" cm="1">
        <f t="array" ref="Q26">_xlfn.LET(_xlpm.d,Q$2:Q$19,_xlpm.a,$C$2:$C$19=$C26,_xlpm.b,$D$2:$D$19=$D26,MAX(_xlfn._xlws.FILTER(_xlpm.d,_xlpm.a*_xlpm.b)))</f>
        <v>0.88</v>
      </c>
      <c r="R26" s="6" cm="1">
        <f t="array" ref="R26">_xlfn.LET(_xlpm.d,R$2:R$19,_xlpm.a,$C$2:$C$19=$C26,_xlpm.b,$D$2:$D$19=$D26,MAX(_xlfn._xlws.FILTER(_xlpm.d,_xlpm.a*_xlpm.b)))</f>
        <v>0.89</v>
      </c>
      <c r="S26" s="6" cm="1">
        <f t="array" ref="S26">_xlfn.LET(_xlpm.d,S$2:S$19,_xlpm.a,$C$2:$C$19=$C26,_xlpm.b,$D$2:$D$19=$D26,MAX(_xlfn._xlws.FILTER(_xlpm.d,_xlpm.a*_xlpm.b)))</f>
        <v>0.89</v>
      </c>
      <c r="T26" s="6" cm="1">
        <f t="array" ref="T26">_xlfn.LET(_xlpm.d,T$2:T$19,_xlpm.a,$C$2:$C$19=$C26,_xlpm.b,$D$2:$D$19=$D26,MAX(_xlfn._xlws.FILTER(_xlpm.d,_xlpm.a*_xlpm.b)))</f>
        <v>0.94</v>
      </c>
    </row>
    <row r="27" spans="1:20" ht="27" customHeight="1">
      <c r="B27" s="19">
        <v>2</v>
      </c>
      <c r="C27" t="s">
        <v>10</v>
      </c>
      <c r="D27" t="b">
        <v>1</v>
      </c>
      <c r="E27">
        <v>1</v>
      </c>
      <c r="F27" t="s">
        <v>4</v>
      </c>
      <c r="G27" t="str">
        <f t="shared" si="2"/>
        <v>gender-T-max</v>
      </c>
      <c r="H27" s="6" cm="1">
        <f t="array" ref="H27">_xlfn.LET(_xlpm.d,H$2:H$19,_xlpm.a,$C$2:$C$19=$C27,_xlpm.b,$D$2:$D$19=$D27,MAX(_xlfn._xlws.FILTER(_xlpm.d,_xlpm.a*_xlpm.b)))</f>
        <v>0.73</v>
      </c>
      <c r="I27" s="6" cm="1">
        <f t="array" ref="I27">_xlfn.LET(_xlpm.d,I$2:I$19,_xlpm.a,$C$2:$C$19=$C27,_xlpm.b,$D$2:$D$19=$D27,MAX(_xlfn._xlws.FILTER(_xlpm.d,_xlpm.a*_xlpm.b)))</f>
        <v>0.68</v>
      </c>
      <c r="J27" s="6" cm="1">
        <f t="array" ref="J27">_xlfn.LET(_xlpm.d,J$2:J$19,_xlpm.a,$C$2:$C$19=$C27,_xlpm.b,$D$2:$D$19=$D27,MAX(_xlfn._xlws.FILTER(_xlpm.d,_xlpm.a*_xlpm.b)))</f>
        <v>0.69</v>
      </c>
      <c r="K27" s="6" cm="1">
        <f t="array" ref="K27">_xlfn.LET(_xlpm.d,K$2:K$19,_xlpm.a,$C$2:$C$19=$C27,_xlpm.b,$D$2:$D$19=$D27,MAX(_xlfn._xlws.FILTER(_xlpm.d,_xlpm.a*_xlpm.b)))</f>
        <v>0.69</v>
      </c>
      <c r="L27" s="6" cm="1">
        <f t="array" ref="L27">_xlfn.LET(_xlpm.d,L$2:L$19,_xlpm.a,$C$2:$C$19=$C27,_xlpm.b,$D$2:$D$19=$D27,MAX(_xlfn._xlws.FILTER(_xlpm.d,_xlpm.a*_xlpm.b)))</f>
        <v>0.69</v>
      </c>
      <c r="M27" s="6" cm="1">
        <f t="array" ref="M27">_xlfn.LET(_xlpm.d,M$2:M$19,_xlpm.a,$C$2:$C$19=$C27,_xlpm.b,$D$2:$D$19=$D27,MAX(_xlfn._xlws.FILTER(_xlpm.d,_xlpm.a*_xlpm.b)))</f>
        <v>0.67</v>
      </c>
      <c r="N27" s="6" cm="1">
        <f t="array" ref="N27">_xlfn.LET(_xlpm.d,N$2:N$19,_xlpm.a,$C$2:$C$19=$C27,_xlpm.b,$D$2:$D$19=$D27,MAX(_xlfn._xlws.FILTER(_xlpm.d,_xlpm.a*_xlpm.b)))</f>
        <v>0.68</v>
      </c>
      <c r="O27" s="6" cm="1">
        <f t="array" ref="O27">_xlfn.LET(_xlpm.d,O$2:O$19,_xlpm.a,$C$2:$C$19=$C27,_xlpm.b,$D$2:$D$19=$D27,MAX(_xlfn._xlws.FILTER(_xlpm.d,_xlpm.a*_xlpm.b)))</f>
        <v>0.68</v>
      </c>
      <c r="P27" s="6" cm="1">
        <f t="array" ref="P27">_xlfn.LET(_xlpm.d,P$2:P$19,_xlpm.a,$C$2:$C$19=$C27,_xlpm.b,$D$2:$D$19=$D27,MAX(_xlfn._xlws.FILTER(_xlpm.d,_xlpm.a*_xlpm.b)))</f>
        <v>0.7</v>
      </c>
      <c r="Q27" s="6" cm="1">
        <f t="array" ref="Q27">_xlfn.LET(_xlpm.d,Q$2:Q$19,_xlpm.a,$C$2:$C$19=$C27,_xlpm.b,$D$2:$D$19=$D27,MAX(_xlfn._xlws.FILTER(_xlpm.d,_xlpm.a*_xlpm.b)))</f>
        <v>0.71</v>
      </c>
      <c r="R27" s="6" cm="1">
        <f t="array" ref="R27">_xlfn.LET(_xlpm.d,R$2:R$19,_xlpm.a,$C$2:$C$19=$C27,_xlpm.b,$D$2:$D$19=$D27,MAX(_xlfn._xlws.FILTER(_xlpm.d,_xlpm.a*_xlpm.b)))</f>
        <v>0.66</v>
      </c>
      <c r="S27" s="6" cm="1">
        <f t="array" ref="S27">_xlfn.LET(_xlpm.d,S$2:S$19,_xlpm.a,$C$2:$C$19=$C27,_xlpm.b,$D$2:$D$19=$D27,MAX(_xlfn._xlws.FILTER(_xlpm.d,_xlpm.a*_xlpm.b)))</f>
        <v>0.7</v>
      </c>
      <c r="T27" s="6" cm="1">
        <f t="array" ref="T27">_xlfn.LET(_xlpm.d,T$2:T$19,_xlpm.a,$C$2:$C$19=$C27,_xlpm.b,$D$2:$D$19=$D27,MAX(_xlfn._xlws.FILTER(_xlpm.d,_xlpm.a*_xlpm.b)))</f>
        <v>0.73</v>
      </c>
    </row>
    <row r="28" spans="1:20" ht="27" customHeight="1">
      <c r="B28" s="19">
        <v>3</v>
      </c>
      <c r="C28" t="s">
        <v>11</v>
      </c>
      <c r="D28" t="b">
        <v>1</v>
      </c>
      <c r="E28">
        <v>1</v>
      </c>
      <c r="F28" t="s">
        <v>4</v>
      </c>
      <c r="G28" t="str">
        <f t="shared" si="2"/>
        <v>case-T-max</v>
      </c>
      <c r="H28" s="6" cm="1">
        <f t="array" ref="H28">_xlfn.LET(_xlpm.d,H$2:H$19,_xlpm.a,$C$2:$C$19=$C28,_xlpm.b,$D$2:$D$19=$D28,MAX(_xlfn._xlws.FILTER(_xlpm.d,_xlpm.a*_xlpm.b)))</f>
        <v>0.56999999999999995</v>
      </c>
      <c r="I28" s="6" cm="1">
        <f t="array" ref="I28">_xlfn.LET(_xlpm.d,I$2:I$19,_xlpm.a,$C$2:$C$19=$C28,_xlpm.b,$D$2:$D$19=$D28,MAX(_xlfn._xlws.FILTER(_xlpm.d,_xlpm.a*_xlpm.b)))</f>
        <v>0.52</v>
      </c>
      <c r="J28" s="6" cm="1">
        <f t="array" ref="J28">_xlfn.LET(_xlpm.d,J$2:J$19,_xlpm.a,$C$2:$C$19=$C28,_xlpm.b,$D$2:$D$19=$D28,MAX(_xlfn._xlws.FILTER(_xlpm.d,_xlpm.a*_xlpm.b)))</f>
        <v>0.57999999999999996</v>
      </c>
      <c r="K28" s="6" cm="1">
        <f t="array" ref="K28">_xlfn.LET(_xlpm.d,K$2:K$19,_xlpm.a,$C$2:$C$19=$C28,_xlpm.b,$D$2:$D$19=$D28,MAX(_xlfn._xlws.FILTER(_xlpm.d,_xlpm.a*_xlpm.b)))</f>
        <v>0.54</v>
      </c>
      <c r="L28" s="6" cm="1">
        <f t="array" ref="L28">_xlfn.LET(_xlpm.d,L$2:L$19,_xlpm.a,$C$2:$C$19=$C28,_xlpm.b,$D$2:$D$19=$D28,MAX(_xlfn._xlws.FILTER(_xlpm.d,_xlpm.a*_xlpm.b)))</f>
        <v>0.57999999999999996</v>
      </c>
      <c r="M28" s="6" cm="1">
        <f t="array" ref="M28">_xlfn.LET(_xlpm.d,M$2:M$19,_xlpm.a,$C$2:$C$19=$C28,_xlpm.b,$D$2:$D$19=$D28,MAX(_xlfn._xlws.FILTER(_xlpm.d,_xlpm.a*_xlpm.b)))</f>
        <v>0.55000000000000004</v>
      </c>
      <c r="N28" s="6" cm="1">
        <f t="array" ref="N28">_xlfn.LET(_xlpm.d,N$2:N$19,_xlpm.a,$C$2:$C$19=$C28,_xlpm.b,$D$2:$D$19=$D28,MAX(_xlfn._xlws.FILTER(_xlpm.d,_xlpm.a*_xlpm.b)))</f>
        <v>0.56000000000000005</v>
      </c>
      <c r="O28" s="6" cm="1">
        <f t="array" ref="O28">_xlfn.LET(_xlpm.d,O$2:O$19,_xlpm.a,$C$2:$C$19=$C28,_xlpm.b,$D$2:$D$19=$D28,MAX(_xlfn._xlws.FILTER(_xlpm.d,_xlpm.a*_xlpm.b)))</f>
        <v>0.54</v>
      </c>
      <c r="P28" s="6" cm="1">
        <f t="array" ref="P28">_xlfn.LET(_xlpm.d,P$2:P$19,_xlpm.a,$C$2:$C$19=$C28,_xlpm.b,$D$2:$D$19=$D28,MAX(_xlfn._xlws.FILTER(_xlpm.d,_xlpm.a*_xlpm.b)))</f>
        <v>0.56999999999999995</v>
      </c>
      <c r="Q28" s="6" cm="1">
        <f t="array" ref="Q28">_xlfn.LET(_xlpm.d,Q$2:Q$19,_xlpm.a,$C$2:$C$19=$C28,_xlpm.b,$D$2:$D$19=$D28,MAX(_xlfn._xlws.FILTER(_xlpm.d,_xlpm.a*_xlpm.b)))</f>
        <v>0.56999999999999995</v>
      </c>
      <c r="R28" s="6" cm="1">
        <f t="array" ref="R28">_xlfn.LET(_xlpm.d,R$2:R$19,_xlpm.a,$C$2:$C$19=$C28,_xlpm.b,$D$2:$D$19=$D28,MAX(_xlfn._xlws.FILTER(_xlpm.d,_xlpm.a*_xlpm.b)))</f>
        <v>0.54</v>
      </c>
      <c r="S28" s="6" cm="1">
        <f t="array" ref="S28">_xlfn.LET(_xlpm.d,S$2:S$19,_xlpm.a,$C$2:$C$19=$C28,_xlpm.b,$D$2:$D$19=$D28,MAX(_xlfn._xlws.FILTER(_xlpm.d,_xlpm.a*_xlpm.b)))</f>
        <v>0.5</v>
      </c>
      <c r="T28" s="6" cm="1">
        <f t="array" ref="T28">_xlfn.LET(_xlpm.d,T$2:T$19,_xlpm.a,$C$2:$C$19=$C28,_xlpm.b,$D$2:$D$19=$D28,MAX(_xlfn._xlws.FILTER(_xlpm.d,_xlpm.a*_xlpm.b)))</f>
        <v>0.57999999999999996</v>
      </c>
    </row>
    <row r="29" spans="1:20" ht="27" customHeight="1"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20" ht="27" customHeight="1">
      <c r="E30" t="s">
        <v>4</v>
      </c>
      <c r="F30" t="s">
        <v>19</v>
      </c>
      <c r="H30" s="16" cm="1">
        <f t="array" ref="H30">_xlfn.LET(_xlpm.d,H$23:H$28,_xlpm.c,$E$23:$E$28=1,GEOMEAN(_xlfn._xlws.FILTER(_xlpm.d,_xlpm.c)))</f>
        <v>0.69366916787394817</v>
      </c>
      <c r="I30" s="16" cm="1">
        <f t="array" ref="I30">_xlfn.LET(_xlpm.d,I$23:I$28,_xlpm.c,$E$23:$E$28=1,GEOMEAN(_xlfn._xlws.FILTER(_xlpm.d,_xlpm.c)))</f>
        <v>0.65816524368453133</v>
      </c>
      <c r="J30" s="16" cm="1">
        <f t="array" ref="J30">_xlfn.LET(_xlpm.d,J$23:J$28,_xlpm.c,$E$23:$E$28=1,GEOMEAN(_xlfn._xlws.FILTER(_xlpm.d,_xlpm.c)))</f>
        <v>0.68380440261118158</v>
      </c>
      <c r="K30" s="16" cm="1">
        <f t="array" ref="K30">_xlfn.LET(_xlpm.d,K$23:K$28,_xlpm.c,$E$23:$E$28=1,GEOMEAN(_xlfn._xlws.FILTER(_xlpm.d,_xlpm.c)))</f>
        <v>0.66532293537450937</v>
      </c>
      <c r="L30" s="16" cm="1">
        <f t="array" ref="L30">_xlfn.LET(_xlpm.d,L$23:L$28,_xlpm.c,$E$23:$E$28=1,GEOMEAN(_xlfn._xlws.FILTER(_xlpm.d,_xlpm.c)))</f>
        <v>0.6653634620998875</v>
      </c>
      <c r="M30" s="16" cm="1">
        <f t="array" ref="M30">_xlfn.LET(_xlpm.d,M$23:M$28,_xlpm.c,$E$23:$E$28=1,GEOMEAN(_xlfn._xlws.FILTER(_xlpm.d,_xlpm.c)))</f>
        <v>0.66577784802373352</v>
      </c>
      <c r="N30" s="16" cm="1">
        <f t="array" ref="N30">_xlfn.LET(_xlpm.d,N$23:N$28,_xlpm.c,$E$23:$E$28=1,GEOMEAN(_xlfn._xlws.FILTER(_xlpm.d,_xlpm.c)))</f>
        <v>0.64634699101447779</v>
      </c>
      <c r="O30" s="16" cm="1">
        <f t="array" ref="O30">_xlfn.LET(_xlpm.d,O$23:O$28,_xlpm.c,$E$23:$E$28=1,GEOMEAN(_xlfn._xlws.FILTER(_xlpm.d,_xlpm.c)))</f>
        <v>0.65247865239616731</v>
      </c>
      <c r="P30" s="16" cm="1">
        <f t="array" ref="P30">_xlfn.LET(_xlpm.d,P$23:P$28,_xlpm.c,$E$23:$E$28=1,GEOMEAN(_xlfn._xlws.FILTER(_xlpm.d,_xlpm.c)))</f>
        <v>0.67148031199211333</v>
      </c>
      <c r="Q30" s="16" cm="1">
        <f t="array" ref="Q30">_xlfn.LET(_xlpm.d,Q$23:Q$28,_xlpm.c,$E$23:$E$28=1,GEOMEAN(_xlfn._xlws.FILTER(_xlpm.d,_xlpm.c)))</f>
        <v>0.67617794962748734</v>
      </c>
      <c r="R30" s="16" cm="1">
        <f t="array" ref="R30">_xlfn.LET(_xlpm.d,R$23:R$28,_xlpm.c,$E$23:$E$28=1,GEOMEAN(_xlfn._xlws.FILTER(_xlpm.d,_xlpm.c)))</f>
        <v>0.6639782265321541</v>
      </c>
      <c r="S30" s="16" cm="1">
        <f t="array" ref="S30">_xlfn.LET(_xlpm.d,S$23:S$28,_xlpm.c,$E$23:$E$28=1,GEOMEAN(_xlfn._xlws.FILTER(_xlpm.d,_xlpm.c)))</f>
        <v>0.65334594510156785</v>
      </c>
      <c r="T30" s="16" cm="1">
        <f t="array" ref="T30">_xlfn.LET(_xlpm.d,T$23:T$28,_xlpm.c,$E$23:$E$28=1,GEOMEAN(_xlfn._xlws.FILTER(_xlpm.d,_xlpm.c)))</f>
        <v>0.70746411217620064</v>
      </c>
    </row>
    <row r="31" spans="1:20" ht="27" customHeight="1">
      <c r="E31" t="s">
        <v>4</v>
      </c>
      <c r="F31" t="s">
        <v>4</v>
      </c>
      <c r="H31" s="16" cm="1">
        <f t="array" ref="H31">_xlfn.LET(_xlpm.d,H$23:H$28,_xlpm.c,$E$23:$E$28=1,MAX(_xlfn._xlws.FILTER(_xlpm.d,_xlpm.c)))</f>
        <v>0.94</v>
      </c>
      <c r="I31" s="16" cm="1">
        <f t="array" ref="I31">_xlfn.LET(_xlpm.d,I$23:I$28,_xlpm.c,$E$23:$E$28=1,MAX(_xlfn._xlws.FILTER(_xlpm.d,_xlpm.c)))</f>
        <v>0.9</v>
      </c>
      <c r="J31" s="16" cm="1">
        <f t="array" ref="J31">_xlfn.LET(_xlpm.d,J$23:J$28,_xlpm.c,$E$23:$E$28=1,MAX(_xlfn._xlws.FILTER(_xlpm.d,_xlpm.c)))</f>
        <v>0.89</v>
      </c>
      <c r="K31" s="16" cm="1">
        <f t="array" ref="K31">_xlfn.LET(_xlpm.d,K$23:K$28,_xlpm.c,$E$23:$E$28=1,MAX(_xlfn._xlws.FILTER(_xlpm.d,_xlpm.c)))</f>
        <v>0.91</v>
      </c>
      <c r="L31" s="16" cm="1">
        <f t="array" ref="L31">_xlfn.LET(_xlpm.d,L$23:L$28,_xlpm.c,$E$23:$E$28=1,MAX(_xlfn._xlws.FILTER(_xlpm.d,_xlpm.c)))</f>
        <v>0.85</v>
      </c>
      <c r="M31" s="16" cm="1">
        <f t="array" ref="M31">_xlfn.LET(_xlpm.d,M$23:M$28,_xlpm.c,$E$23:$E$28=1,MAX(_xlfn._xlws.FILTER(_xlpm.d,_xlpm.c)))</f>
        <v>0.87</v>
      </c>
      <c r="N31" s="16" cm="1">
        <f t="array" ref="N31">_xlfn.LET(_xlpm.d,N$23:N$28,_xlpm.c,$E$23:$E$28=1,MAX(_xlfn._xlws.FILTER(_xlpm.d,_xlpm.c)))</f>
        <v>0.91</v>
      </c>
      <c r="O31" s="16" cm="1">
        <f t="array" ref="O31">_xlfn.LET(_xlpm.d,O$23:O$28,_xlpm.c,$E$23:$E$28=1,MAX(_xlfn._xlws.FILTER(_xlpm.d,_xlpm.c)))</f>
        <v>0.88</v>
      </c>
      <c r="P31" s="16" cm="1">
        <f t="array" ref="P31">_xlfn.LET(_xlpm.d,P$23:P$28,_xlpm.c,$E$23:$E$28=1,MAX(_xlfn._xlws.FILTER(_xlpm.d,_xlpm.c)))</f>
        <v>0.89</v>
      </c>
      <c r="Q31" s="16" cm="1">
        <f t="array" ref="Q31">_xlfn.LET(_xlpm.d,Q$23:Q$28,_xlpm.c,$E$23:$E$28=1,MAX(_xlfn._xlws.FILTER(_xlpm.d,_xlpm.c)))</f>
        <v>0.88</v>
      </c>
      <c r="R31" s="16" cm="1">
        <f t="array" ref="R31">_xlfn.LET(_xlpm.d,R$23:R$28,_xlpm.c,$E$23:$E$28=1,MAX(_xlfn._xlws.FILTER(_xlpm.d,_xlpm.c)))</f>
        <v>0.89</v>
      </c>
      <c r="S31" s="16" cm="1">
        <f t="array" ref="S31">_xlfn.LET(_xlpm.d,S$23:S$28,_xlpm.c,$E$23:$E$28=1,MAX(_xlfn._xlws.FILTER(_xlpm.d,_xlpm.c)))</f>
        <v>0.89</v>
      </c>
      <c r="T31" s="16" cm="1">
        <f t="array" ref="T31">_xlfn.LET(_xlpm.d,T$23:T$28,_xlpm.c,$E$23:$E$28=1,MAX(_xlfn._xlws.FILTER(_xlpm.d,_xlpm.c)))</f>
        <v>0.94</v>
      </c>
    </row>
    <row r="32" spans="1:20" ht="27" customHeight="1">
      <c r="E32" t="s">
        <v>4</v>
      </c>
      <c r="F32" t="s">
        <v>21</v>
      </c>
      <c r="H32" s="16" cm="1">
        <f t="array" ref="H32">_xlfn.LET(_xlpm.d,H$23:H$28,_xlpm.c,$E$23:$E$28=1,MIN(_xlfn._xlws.FILTER(_xlpm.d,_xlpm.c)))</f>
        <v>0.48</v>
      </c>
      <c r="I32" s="16" cm="1">
        <f t="array" ref="I32">_xlfn.LET(_xlpm.d,I$23:I$28,_xlpm.c,$E$23:$E$28=1,MIN(_xlfn._xlws.FILTER(_xlpm.d,_xlpm.c)))</f>
        <v>0.45</v>
      </c>
      <c r="J32" s="16" cm="1">
        <f t="array" ref="J32">_xlfn.LET(_xlpm.d,J$23:J$28,_xlpm.c,$E$23:$E$28=1,MIN(_xlfn._xlws.FILTER(_xlpm.d,_xlpm.c)))</f>
        <v>0.51</v>
      </c>
      <c r="K32" s="16" cm="1">
        <f t="array" ref="K32">_xlfn.LET(_xlpm.d,K$23:K$28,_xlpm.c,$E$23:$E$28=1,MIN(_xlfn._xlws.FILTER(_xlpm.d,_xlpm.c)))</f>
        <v>0.46</v>
      </c>
      <c r="L32" s="16" cm="1">
        <f t="array" ref="L32">_xlfn.LET(_xlpm.d,L$23:L$28,_xlpm.c,$E$23:$E$28=1,MIN(_xlfn._xlws.FILTER(_xlpm.d,_xlpm.c)))</f>
        <v>0.47</v>
      </c>
      <c r="M32" s="16" cm="1">
        <f t="array" ref="M32">_xlfn.LET(_xlpm.d,M$23:M$28,_xlpm.c,$E$23:$E$28=1,MIN(_xlfn._xlws.FILTER(_xlpm.d,_xlpm.c)))</f>
        <v>0.49</v>
      </c>
      <c r="N32" s="16" cm="1">
        <f t="array" ref="N32">_xlfn.LET(_xlpm.d,N$23:N$28,_xlpm.c,$E$23:$E$28=1,MIN(_xlfn._xlws.FILTER(_xlpm.d,_xlpm.c)))</f>
        <v>0.39</v>
      </c>
      <c r="O32" s="16" cm="1">
        <f t="array" ref="O32">_xlfn.LET(_xlpm.d,O$23:O$28,_xlpm.c,$E$23:$E$28=1,MIN(_xlfn._xlws.FILTER(_xlpm.d,_xlpm.c)))</f>
        <v>0.44</v>
      </c>
      <c r="P32" s="16" cm="1">
        <f t="array" ref="P32">_xlfn.LET(_xlpm.d,P$23:P$28,_xlpm.c,$E$23:$E$28=1,MIN(_xlfn._xlws.FILTER(_xlpm.d,_xlpm.c)))</f>
        <v>0.43</v>
      </c>
      <c r="Q32" s="16" cm="1">
        <f t="array" ref="Q32">_xlfn.LET(_xlpm.d,Q$23:Q$28,_xlpm.c,$E$23:$E$28=1,MIN(_xlfn._xlws.FILTER(_xlpm.d,_xlpm.c)))</f>
        <v>0.45</v>
      </c>
      <c r="R32" s="16" cm="1">
        <f t="array" ref="R32">_xlfn.LET(_xlpm.d,R$23:R$28,_xlpm.c,$E$23:$E$28=1,MIN(_xlfn._xlws.FILTER(_xlpm.d,_xlpm.c)))</f>
        <v>0.48</v>
      </c>
      <c r="S32" s="16" cm="1">
        <f t="array" ref="S32">_xlfn.LET(_xlpm.d,S$23:S$28,_xlpm.c,$E$23:$E$28=1,MIN(_xlfn._xlws.FILTER(_xlpm.d,_xlpm.c)))</f>
        <v>0.41</v>
      </c>
      <c r="T32" s="16" cm="1">
        <f t="array" ref="T32">_xlfn.LET(_xlpm.d,T$23:T$28,_xlpm.c,$E$23:$E$28=1,MIN(_xlfn._xlws.FILTER(_xlpm.d,_xlpm.c)))</f>
        <v>0.51</v>
      </c>
    </row>
    <row r="33" spans="2:20" ht="27" customHeight="1">
      <c r="E33" t="s">
        <v>4</v>
      </c>
      <c r="F33" t="s">
        <v>22</v>
      </c>
      <c r="H33" s="16" cm="1">
        <f t="array" ref="H33">_xlfn.LET(_xlpm.d,H$23:H$28,_xlpm.c,$E$23:$E$28=1,MIN(_xlfn._xlws.FILTER(_xlpm.d,_xlpm.c)))</f>
        <v>0.48</v>
      </c>
      <c r="I33" s="16" cm="1">
        <f t="array" ref="I33">_xlfn.LET(_xlpm.d,I$23:I$28,_xlpm.c,$E$23:$E$28=1,MIN(_xlfn._xlws.FILTER(_xlpm.d,_xlpm.c)))</f>
        <v>0.45</v>
      </c>
      <c r="J33" s="16" cm="1">
        <f t="array" ref="J33">_xlfn.LET(_xlpm.d,J$23:J$28,_xlpm.c,$E$23:$E$28=1,MIN(_xlfn._xlws.FILTER(_xlpm.d,_xlpm.c)))</f>
        <v>0.51</v>
      </c>
      <c r="K33" s="16" cm="1">
        <f t="array" ref="K33">_xlfn.LET(_xlpm.d,K$23:K$28,_xlpm.c,$E$23:$E$28=1,MIN(_xlfn._xlws.FILTER(_xlpm.d,_xlpm.c)))</f>
        <v>0.46</v>
      </c>
      <c r="L33" s="16" cm="1">
        <f t="array" ref="L33">_xlfn.LET(_xlpm.d,L$23:L$28,_xlpm.c,$E$23:$E$28=1,MIN(_xlfn._xlws.FILTER(_xlpm.d,_xlpm.c)))</f>
        <v>0.47</v>
      </c>
      <c r="M33" s="16" cm="1">
        <f t="array" ref="M33">_xlfn.LET(_xlpm.d,M$23:M$28,_xlpm.c,$E$23:$E$28=1,MIN(_xlfn._xlws.FILTER(_xlpm.d,_xlpm.c)))</f>
        <v>0.49</v>
      </c>
      <c r="N33" s="16" cm="1">
        <f t="array" ref="N33">_xlfn.LET(_xlpm.d,N$23:N$28,_xlpm.c,$E$23:$E$28=1,MIN(_xlfn._xlws.FILTER(_xlpm.d,_xlpm.c)))</f>
        <v>0.39</v>
      </c>
      <c r="O33" s="16" cm="1">
        <f t="array" ref="O33">_xlfn.LET(_xlpm.d,O$23:O$28,_xlpm.c,$E$23:$E$28=1,MIN(_xlfn._xlws.FILTER(_xlpm.d,_xlpm.c)))</f>
        <v>0.44</v>
      </c>
      <c r="P33" s="16" cm="1">
        <f t="array" ref="P33">_xlfn.LET(_xlpm.d,P$23:P$28,_xlpm.c,$E$23:$E$28=1,MIN(_xlfn._xlws.FILTER(_xlpm.d,_xlpm.c)))</f>
        <v>0.43</v>
      </c>
      <c r="Q33" s="16" cm="1">
        <f t="array" ref="Q33">_xlfn.LET(_xlpm.d,Q$23:Q$28,_xlpm.c,$E$23:$E$28=1,MIN(_xlfn._xlws.FILTER(_xlpm.d,_xlpm.c)))</f>
        <v>0.45</v>
      </c>
      <c r="R33" s="16" cm="1">
        <f t="array" ref="R33">_xlfn.LET(_xlpm.d,R$23:R$28,_xlpm.c,$E$23:$E$28=1,MIN(_xlfn._xlws.FILTER(_xlpm.d,_xlpm.c)))</f>
        <v>0.48</v>
      </c>
      <c r="S33" s="16" cm="1">
        <f t="array" ref="S33">_xlfn.LET(_xlpm.d,S$23:S$28,_xlpm.c,$E$23:$E$28=1,MIN(_xlfn._xlws.FILTER(_xlpm.d,_xlpm.c)))</f>
        <v>0.41</v>
      </c>
      <c r="T33" s="16" cm="1">
        <f t="array" ref="T33">_xlfn.LET(_xlpm.d,T$23:T$28,_xlpm.c,$E$23:$E$28=1,MIN(_xlfn._xlws.FILTER(_xlpm.d,_xlpm.c)))</f>
        <v>0.51</v>
      </c>
    </row>
    <row r="36" spans="2:20" ht="27" customHeight="1">
      <c r="B36" t="s">
        <v>12</v>
      </c>
      <c r="C36" t="s">
        <v>1</v>
      </c>
      <c r="D36" t="s">
        <v>16</v>
      </c>
      <c r="E36" t="s">
        <v>13</v>
      </c>
      <c r="F36" t="s">
        <v>14</v>
      </c>
      <c r="G36" t="s">
        <v>38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33</v>
      </c>
      <c r="P36" t="s">
        <v>34</v>
      </c>
      <c r="Q36" t="s">
        <v>35</v>
      </c>
      <c r="R36" t="s">
        <v>36</v>
      </c>
      <c r="S36" t="s">
        <v>37</v>
      </c>
    </row>
    <row r="37" spans="2:20" ht="27" customHeight="1">
      <c r="B37" s="20">
        <v>1</v>
      </c>
      <c r="C37" t="s">
        <v>6</v>
      </c>
      <c r="D37" t="b">
        <v>1</v>
      </c>
      <c r="E37">
        <v>1</v>
      </c>
      <c r="F37" t="s">
        <v>18</v>
      </c>
      <c r="G37" t="str">
        <f t="shared" ref="G37:G42" si="3">_xlfn.TEXTJOIN("-",TRUE,C37,LEFT(D37,1),F37)</f>
        <v>plurality-T-max.rank</v>
      </c>
      <c r="H37" s="3">
        <f t="shared" ref="H37:S37" si="4">_xlfn.LET(_xlpm.d,$H23:$S23,RANK(H23,_xlpm.d))</f>
        <v>3</v>
      </c>
      <c r="I37" s="3">
        <f t="shared" si="4"/>
        <v>3</v>
      </c>
      <c r="J37" s="3">
        <f t="shared" si="4"/>
        <v>5</v>
      </c>
      <c r="K37" s="3">
        <f t="shared" si="4"/>
        <v>9</v>
      </c>
      <c r="L37" s="3">
        <f t="shared" si="4"/>
        <v>11</v>
      </c>
      <c r="M37" s="3">
        <f t="shared" si="4"/>
        <v>5</v>
      </c>
      <c r="N37" s="3">
        <f t="shared" si="4"/>
        <v>9</v>
      </c>
      <c r="O37" s="3">
        <f t="shared" si="4"/>
        <v>11</v>
      </c>
      <c r="P37" s="3">
        <f t="shared" si="4"/>
        <v>1</v>
      </c>
      <c r="Q37" s="3">
        <f t="shared" si="4"/>
        <v>5</v>
      </c>
      <c r="R37" s="3">
        <f t="shared" si="4"/>
        <v>5</v>
      </c>
      <c r="S37" s="3">
        <f t="shared" si="4"/>
        <v>1</v>
      </c>
      <c r="T37" s="3"/>
    </row>
    <row r="38" spans="2:20" ht="27" customHeight="1">
      <c r="B38" s="3">
        <v>1</v>
      </c>
      <c r="C38" t="s">
        <v>6</v>
      </c>
      <c r="D38" t="b">
        <v>0</v>
      </c>
      <c r="E38">
        <v>1</v>
      </c>
      <c r="F38" t="s">
        <v>18</v>
      </c>
      <c r="G38" t="str">
        <f t="shared" si="3"/>
        <v>plurality-F-max.rank</v>
      </c>
      <c r="H38" s="3">
        <f t="shared" ref="H38:S38" si="5">_xlfn.LET(_xlpm.d,$H24:$S24,RANK(H24,_xlpm.d))</f>
        <v>3</v>
      </c>
      <c r="I38" s="3">
        <f t="shared" si="5"/>
        <v>10</v>
      </c>
      <c r="J38" s="3">
        <f t="shared" si="5"/>
        <v>5</v>
      </c>
      <c r="K38" s="3">
        <f t="shared" si="5"/>
        <v>5</v>
      </c>
      <c r="L38" s="3">
        <f t="shared" si="5"/>
        <v>5</v>
      </c>
      <c r="M38" s="3">
        <f t="shared" si="5"/>
        <v>10</v>
      </c>
      <c r="N38" s="3">
        <f t="shared" si="5"/>
        <v>12</v>
      </c>
      <c r="O38" s="3">
        <f t="shared" si="5"/>
        <v>5</v>
      </c>
      <c r="P38" s="3">
        <f t="shared" si="5"/>
        <v>3</v>
      </c>
      <c r="Q38" s="3">
        <f t="shared" si="5"/>
        <v>1</v>
      </c>
      <c r="R38" s="3">
        <f t="shared" si="5"/>
        <v>5</v>
      </c>
      <c r="S38" s="3">
        <f t="shared" si="5"/>
        <v>2</v>
      </c>
      <c r="T38" s="3"/>
    </row>
    <row r="39" spans="2:20" ht="27" customHeight="1">
      <c r="B39" s="3">
        <v>2</v>
      </c>
      <c r="C39" t="s">
        <v>10</v>
      </c>
      <c r="D39" t="b">
        <v>1</v>
      </c>
      <c r="E39">
        <v>1</v>
      </c>
      <c r="F39" t="s">
        <v>18</v>
      </c>
      <c r="G39" t="str">
        <f t="shared" si="3"/>
        <v>gender-T-max.rank</v>
      </c>
      <c r="H39" s="3">
        <f t="shared" ref="H39:S39" si="6">_xlfn.LET(_xlpm.d,$H25:$S25,RANK(H25,_xlpm.d))</f>
        <v>3</v>
      </c>
      <c r="I39" s="3">
        <f t="shared" si="6"/>
        <v>7</v>
      </c>
      <c r="J39" s="3">
        <f t="shared" si="6"/>
        <v>1</v>
      </c>
      <c r="K39" s="3">
        <f t="shared" si="6"/>
        <v>6</v>
      </c>
      <c r="L39" s="3">
        <f t="shared" si="6"/>
        <v>5</v>
      </c>
      <c r="M39" s="3">
        <f t="shared" si="6"/>
        <v>2</v>
      </c>
      <c r="N39" s="3">
        <f t="shared" si="6"/>
        <v>12</v>
      </c>
      <c r="O39" s="3">
        <f t="shared" si="6"/>
        <v>9</v>
      </c>
      <c r="P39" s="3">
        <f t="shared" si="6"/>
        <v>10</v>
      </c>
      <c r="Q39" s="3">
        <f t="shared" si="6"/>
        <v>7</v>
      </c>
      <c r="R39" s="3">
        <f t="shared" si="6"/>
        <v>3</v>
      </c>
      <c r="S39" s="3">
        <f t="shared" si="6"/>
        <v>11</v>
      </c>
      <c r="T39" s="3"/>
    </row>
    <row r="40" spans="2:20" ht="27" customHeight="1">
      <c r="B40" s="3">
        <v>2</v>
      </c>
      <c r="C40" t="s">
        <v>10</v>
      </c>
      <c r="D40" t="b">
        <v>0</v>
      </c>
      <c r="E40">
        <v>1</v>
      </c>
      <c r="F40" t="s">
        <v>18</v>
      </c>
      <c r="G40" t="str">
        <f t="shared" si="3"/>
        <v>gender-F-max.rank</v>
      </c>
      <c r="H40" s="3">
        <f t="shared" ref="H40:S40" si="7">_xlfn.LET(_xlpm.d,$H26:$S26,RANK(H26,_xlpm.d))</f>
        <v>1</v>
      </c>
      <c r="I40" s="3">
        <f t="shared" si="7"/>
        <v>4</v>
      </c>
      <c r="J40" s="3">
        <f t="shared" si="7"/>
        <v>5</v>
      </c>
      <c r="K40" s="3">
        <f t="shared" si="7"/>
        <v>2</v>
      </c>
      <c r="L40" s="3">
        <f t="shared" si="7"/>
        <v>12</v>
      </c>
      <c r="M40" s="3">
        <f t="shared" si="7"/>
        <v>11</v>
      </c>
      <c r="N40" s="3">
        <f t="shared" si="7"/>
        <v>2</v>
      </c>
      <c r="O40" s="3">
        <f t="shared" si="7"/>
        <v>9</v>
      </c>
      <c r="P40" s="3">
        <f t="shared" si="7"/>
        <v>5</v>
      </c>
      <c r="Q40" s="3">
        <f t="shared" si="7"/>
        <v>9</v>
      </c>
      <c r="R40" s="3">
        <f t="shared" si="7"/>
        <v>5</v>
      </c>
      <c r="S40" s="3">
        <f t="shared" si="7"/>
        <v>5</v>
      </c>
      <c r="T40" s="3"/>
    </row>
    <row r="41" spans="2:20" ht="27" customHeight="1">
      <c r="B41" s="3">
        <v>3</v>
      </c>
      <c r="C41" t="s">
        <v>11</v>
      </c>
      <c r="D41" t="b">
        <v>1</v>
      </c>
      <c r="E41">
        <v>1</v>
      </c>
      <c r="F41" t="s">
        <v>18</v>
      </c>
      <c r="G41" t="str">
        <f t="shared" si="3"/>
        <v>case-T-max.rank</v>
      </c>
      <c r="H41" s="3">
        <f t="shared" ref="H41:S41" si="8">_xlfn.LET(_xlpm.d,$H27:$S27,RANK(H27,_xlpm.d))</f>
        <v>1</v>
      </c>
      <c r="I41" s="3">
        <f t="shared" si="8"/>
        <v>8</v>
      </c>
      <c r="J41" s="3">
        <f t="shared" si="8"/>
        <v>5</v>
      </c>
      <c r="K41" s="3">
        <f t="shared" si="8"/>
        <v>5</v>
      </c>
      <c r="L41" s="3">
        <f t="shared" si="8"/>
        <v>5</v>
      </c>
      <c r="M41" s="3">
        <f t="shared" si="8"/>
        <v>11</v>
      </c>
      <c r="N41" s="3">
        <f t="shared" si="8"/>
        <v>8</v>
      </c>
      <c r="O41" s="3">
        <f t="shared" si="8"/>
        <v>8</v>
      </c>
      <c r="P41" s="3">
        <f t="shared" si="8"/>
        <v>3</v>
      </c>
      <c r="Q41" s="3">
        <f t="shared" si="8"/>
        <v>2</v>
      </c>
      <c r="R41" s="3">
        <f t="shared" si="8"/>
        <v>12</v>
      </c>
      <c r="S41" s="3">
        <f t="shared" si="8"/>
        <v>3</v>
      </c>
      <c r="T41" s="3"/>
    </row>
    <row r="42" spans="2:20" ht="27" customHeight="1">
      <c r="B42" s="11">
        <v>3</v>
      </c>
      <c r="C42" t="s">
        <v>11</v>
      </c>
      <c r="D42" t="b">
        <v>0</v>
      </c>
      <c r="E42">
        <v>1</v>
      </c>
      <c r="F42" t="s">
        <v>18</v>
      </c>
      <c r="G42" t="str">
        <f t="shared" si="3"/>
        <v>case-F-max.rank</v>
      </c>
      <c r="H42" s="3">
        <f t="shared" ref="H42:S42" si="9">_xlfn.LET(_xlpm.d,$H28:$S28,RANK(H28,_xlpm.d))</f>
        <v>3</v>
      </c>
      <c r="I42" s="3">
        <f t="shared" si="9"/>
        <v>11</v>
      </c>
      <c r="J42" s="3">
        <f t="shared" si="9"/>
        <v>1</v>
      </c>
      <c r="K42" s="3">
        <f t="shared" si="9"/>
        <v>8</v>
      </c>
      <c r="L42" s="3">
        <f t="shared" si="9"/>
        <v>1</v>
      </c>
      <c r="M42" s="3">
        <f t="shared" si="9"/>
        <v>7</v>
      </c>
      <c r="N42" s="3">
        <f t="shared" si="9"/>
        <v>6</v>
      </c>
      <c r="O42" s="3">
        <f t="shared" si="9"/>
        <v>8</v>
      </c>
      <c r="P42" s="3">
        <f t="shared" si="9"/>
        <v>3</v>
      </c>
      <c r="Q42" s="3">
        <f t="shared" si="9"/>
        <v>3</v>
      </c>
      <c r="R42" s="3">
        <f t="shared" si="9"/>
        <v>8</v>
      </c>
      <c r="S42" s="3">
        <f t="shared" si="9"/>
        <v>12</v>
      </c>
      <c r="T42" s="3"/>
    </row>
    <row r="44" spans="2:20" ht="27" customHeight="1">
      <c r="E44" t="s">
        <v>18</v>
      </c>
      <c r="F44" t="s">
        <v>19</v>
      </c>
      <c r="H44" s="3" cm="1">
        <f t="array" ref="H44">_xlfn.LET(_xlpm.d,H$37:H$42,_xlpm.c,$E$37:$E$42=1,AVERAGE(_xlfn._xlws.FILTER(_xlpm.d,_xlpm.c)))</f>
        <v>2.3333333333333335</v>
      </c>
      <c r="I44" s="3" cm="1">
        <f t="array" ref="I44">_xlfn.LET(_xlpm.d,I$37:I$42,_xlpm.c,$E$37:$E$42=1,AVERAGE(_xlfn._xlws.FILTER(_xlpm.d,_xlpm.c)))</f>
        <v>7.166666666666667</v>
      </c>
      <c r="J44" s="3" cm="1">
        <f t="array" ref="J44">_xlfn.LET(_xlpm.d,J$37:J$42,_xlpm.c,$E$37:$E$42=1,AVERAGE(_xlfn._xlws.FILTER(_xlpm.d,_xlpm.c)))</f>
        <v>3.6666666666666665</v>
      </c>
      <c r="K44" s="3" cm="1">
        <f t="array" ref="K44">_xlfn.LET(_xlpm.d,K$37:K$42,_xlpm.c,$E$37:$E$42=1,AVERAGE(_xlfn._xlws.FILTER(_xlpm.d,_xlpm.c)))</f>
        <v>5.833333333333333</v>
      </c>
      <c r="L44" s="3" cm="1">
        <f t="array" ref="L44">_xlfn.LET(_xlpm.d,L$37:L$42,_xlpm.c,$E$37:$E$42=1,AVERAGE(_xlfn._xlws.FILTER(_xlpm.d,_xlpm.c)))</f>
        <v>6.5</v>
      </c>
      <c r="M44" s="3" cm="1">
        <f t="array" ref="M44">_xlfn.LET(_xlpm.d,M$37:M$42,_xlpm.c,$E$37:$E$42=1,AVERAGE(_xlfn._xlws.FILTER(_xlpm.d,_xlpm.c)))</f>
        <v>7.666666666666667</v>
      </c>
      <c r="N44" s="3" cm="1">
        <f t="array" ref="N44">_xlfn.LET(_xlpm.d,N$37:N$42,_xlpm.c,$E$37:$E$42=1,AVERAGE(_xlfn._xlws.FILTER(_xlpm.d,_xlpm.c)))</f>
        <v>8.1666666666666661</v>
      </c>
      <c r="O44" s="3" cm="1">
        <f t="array" ref="O44">_xlfn.LET(_xlpm.d,O$37:O$42,_xlpm.c,$E$37:$E$42=1,AVERAGE(_xlfn._xlws.FILTER(_xlpm.d,_xlpm.c)))</f>
        <v>8.3333333333333339</v>
      </c>
      <c r="P44" s="3" cm="1">
        <f t="array" ref="P44">_xlfn.LET(_xlpm.d,P$37:P$42,_xlpm.c,$E$37:$E$42=1,AVERAGE(_xlfn._xlws.FILTER(_xlpm.d,_xlpm.c)))</f>
        <v>4.166666666666667</v>
      </c>
      <c r="Q44" s="3" cm="1">
        <f t="array" ref="Q44">_xlfn.LET(_xlpm.d,Q$37:Q$42,_xlpm.c,$E$37:$E$42=1,AVERAGE(_xlfn._xlws.FILTER(_xlpm.d,_xlpm.c)))</f>
        <v>4.5</v>
      </c>
      <c r="R44" s="3" cm="1">
        <f t="array" ref="R44">_xlfn.LET(_xlpm.d,R$37:R$42,_xlpm.c,$E$37:$E$42=1,AVERAGE(_xlfn._xlws.FILTER(_xlpm.d,_xlpm.c)))</f>
        <v>6.333333333333333</v>
      </c>
      <c r="S44" s="3" cm="1">
        <f t="array" ref="S44">_xlfn.LET(_xlpm.d,S$37:S$42,_xlpm.c,$E$37:$E$42=1,AVERAGE(_xlfn._xlws.FILTER(_xlpm.d,_xlpm.c)))</f>
        <v>5.666666666666667</v>
      </c>
    </row>
    <row r="45" spans="2:20" ht="27" customHeight="1">
      <c r="E45" t="s">
        <v>18</v>
      </c>
      <c r="F45" t="s">
        <v>20</v>
      </c>
      <c r="H45" s="2">
        <f>_xlfn.LET(_xlpm.d,$H44:$S44,RANK(H44,_xlpm.d,1))</f>
        <v>1</v>
      </c>
      <c r="I45" s="2">
        <f t="shared" ref="I45:S45" si="10">_xlfn.LET(_xlpm.d,$H44:$S44,RANK(I44,_xlpm.d,1))</f>
        <v>9</v>
      </c>
      <c r="J45" s="2">
        <f t="shared" si="10"/>
        <v>2</v>
      </c>
      <c r="K45" s="2">
        <f t="shared" si="10"/>
        <v>6</v>
      </c>
      <c r="L45" s="2">
        <f t="shared" si="10"/>
        <v>8</v>
      </c>
      <c r="M45" s="2">
        <f t="shared" si="10"/>
        <v>10</v>
      </c>
      <c r="N45" s="2">
        <f t="shared" si="10"/>
        <v>11</v>
      </c>
      <c r="O45" s="2">
        <f t="shared" si="10"/>
        <v>12</v>
      </c>
      <c r="P45" s="2">
        <f t="shared" si="10"/>
        <v>3</v>
      </c>
      <c r="Q45" s="2">
        <f t="shared" si="10"/>
        <v>4</v>
      </c>
      <c r="R45" s="2">
        <f t="shared" si="10"/>
        <v>7</v>
      </c>
      <c r="S45" s="2">
        <f t="shared" si="10"/>
        <v>5</v>
      </c>
    </row>
    <row r="46" spans="2:20" ht="27" customHeight="1">
      <c r="E46" t="s">
        <v>18</v>
      </c>
      <c r="F46" t="s">
        <v>23</v>
      </c>
      <c r="H46" s="3" cm="1">
        <f t="array" ref="H46">_xlfn.LET(_xlpm.d,H$37:H$42,_xlpm.c,$E$37:$E$42=1,MIN(_xlfn._xlws.FILTER(_xlpm.d,_xlpm.c)))</f>
        <v>1</v>
      </c>
      <c r="I46" s="3" cm="1">
        <f t="array" ref="I46">_xlfn.LET(_xlpm.d,I$37:I$42,_xlpm.c,$E$37:$E$42=1,MIN(_xlfn._xlws.FILTER(_xlpm.d,_xlpm.c)))</f>
        <v>3</v>
      </c>
      <c r="J46" s="3" cm="1">
        <f t="array" ref="J46">_xlfn.LET(_xlpm.d,J$37:J$42,_xlpm.c,$E$37:$E$42=1,MIN(_xlfn._xlws.FILTER(_xlpm.d,_xlpm.c)))</f>
        <v>1</v>
      </c>
      <c r="K46" s="3" cm="1">
        <f t="array" ref="K46">_xlfn.LET(_xlpm.d,K$37:K$42,_xlpm.c,$E$37:$E$42=1,MIN(_xlfn._xlws.FILTER(_xlpm.d,_xlpm.c)))</f>
        <v>2</v>
      </c>
      <c r="L46" s="3" cm="1">
        <f t="array" ref="L46">_xlfn.LET(_xlpm.d,L$37:L$42,_xlpm.c,$E$37:$E$42=1,MIN(_xlfn._xlws.FILTER(_xlpm.d,_xlpm.c)))</f>
        <v>1</v>
      </c>
      <c r="M46" s="3" cm="1">
        <f t="array" ref="M46">_xlfn.LET(_xlpm.d,M$37:M$42,_xlpm.c,$E$37:$E$42=1,MIN(_xlfn._xlws.FILTER(_xlpm.d,_xlpm.c)))</f>
        <v>2</v>
      </c>
      <c r="N46" s="3" cm="1">
        <f t="array" ref="N46">_xlfn.LET(_xlpm.d,N$37:N$42,_xlpm.c,$E$37:$E$42=1,MIN(_xlfn._xlws.FILTER(_xlpm.d,_xlpm.c)))</f>
        <v>2</v>
      </c>
      <c r="O46" s="3" cm="1">
        <f t="array" ref="O46">_xlfn.LET(_xlpm.d,O$37:O$42,_xlpm.c,$E$37:$E$42=1,MIN(_xlfn._xlws.FILTER(_xlpm.d,_xlpm.c)))</f>
        <v>5</v>
      </c>
      <c r="P46" s="3" cm="1">
        <f t="array" ref="P46">_xlfn.LET(_xlpm.d,P$37:P$42,_xlpm.c,$E$37:$E$42=1,MIN(_xlfn._xlws.FILTER(_xlpm.d,_xlpm.c)))</f>
        <v>1</v>
      </c>
      <c r="Q46" s="3" cm="1">
        <f t="array" ref="Q46">_xlfn.LET(_xlpm.d,Q$37:Q$42,_xlpm.c,$E$37:$E$42=1,MIN(_xlfn._xlws.FILTER(_xlpm.d,_xlpm.c)))</f>
        <v>1</v>
      </c>
      <c r="R46" s="3" cm="1">
        <f t="array" ref="R46">_xlfn.LET(_xlpm.d,R$37:R$42,_xlpm.c,$E$37:$E$42=1,MIN(_xlfn._xlws.FILTER(_xlpm.d,_xlpm.c)))</f>
        <v>3</v>
      </c>
      <c r="S46" s="3" cm="1">
        <f t="array" ref="S46">_xlfn.LET(_xlpm.d,S$37:S$42,_xlpm.c,$E$37:$E$42=1,MIN(_xlfn._xlws.FILTER(_xlpm.d,_xlpm.c)))</f>
        <v>1</v>
      </c>
    </row>
    <row r="47" spans="2:20" ht="27" customHeight="1">
      <c r="E47" t="s">
        <v>18</v>
      </c>
      <c r="F47" t="s">
        <v>24</v>
      </c>
      <c r="H47" s="3" cm="1">
        <f t="array" ref="H47">_xlfn.LET(_xlpm.d,H$37:H$42,_xlpm.c,$E$37:$E$42=1,MAX(_xlfn._xlws.FILTER(_xlpm.d,_xlpm.c)))</f>
        <v>3</v>
      </c>
      <c r="I47" s="3" cm="1">
        <f t="array" ref="I47">_xlfn.LET(_xlpm.d,I$37:I$42,_xlpm.c,$E$37:$E$42=1,MAX(_xlfn._xlws.FILTER(_xlpm.d,_xlpm.c)))</f>
        <v>11</v>
      </c>
      <c r="J47" s="3" cm="1">
        <f t="array" ref="J47">_xlfn.LET(_xlpm.d,J$37:J$42,_xlpm.c,$E$37:$E$42=1,MAX(_xlfn._xlws.FILTER(_xlpm.d,_xlpm.c)))</f>
        <v>5</v>
      </c>
      <c r="K47" s="3" cm="1">
        <f t="array" ref="K47">_xlfn.LET(_xlpm.d,K$37:K$42,_xlpm.c,$E$37:$E$42=1,MAX(_xlfn._xlws.FILTER(_xlpm.d,_xlpm.c)))</f>
        <v>9</v>
      </c>
      <c r="L47" s="3" cm="1">
        <f t="array" ref="L47">_xlfn.LET(_xlpm.d,L$37:L$42,_xlpm.c,$E$37:$E$42=1,MAX(_xlfn._xlws.FILTER(_xlpm.d,_xlpm.c)))</f>
        <v>12</v>
      </c>
      <c r="M47" s="3" cm="1">
        <f t="array" ref="M47">_xlfn.LET(_xlpm.d,M$37:M$42,_xlpm.c,$E$37:$E$42=1,MAX(_xlfn._xlws.FILTER(_xlpm.d,_xlpm.c)))</f>
        <v>11</v>
      </c>
      <c r="N47" s="3" cm="1">
        <f t="array" ref="N47">_xlfn.LET(_xlpm.d,N$37:N$42,_xlpm.c,$E$37:$E$42=1,MAX(_xlfn._xlws.FILTER(_xlpm.d,_xlpm.c)))</f>
        <v>12</v>
      </c>
      <c r="O47" s="3" cm="1">
        <f t="array" ref="O47">_xlfn.LET(_xlpm.d,O$37:O$42,_xlpm.c,$E$37:$E$42=1,MAX(_xlfn._xlws.FILTER(_xlpm.d,_xlpm.c)))</f>
        <v>11</v>
      </c>
      <c r="P47" s="3" cm="1">
        <f t="array" ref="P47">_xlfn.LET(_xlpm.d,P$37:P$42,_xlpm.c,$E$37:$E$42=1,MAX(_xlfn._xlws.FILTER(_xlpm.d,_xlpm.c)))</f>
        <v>10</v>
      </c>
      <c r="Q47" s="3" cm="1">
        <f t="array" ref="Q47">_xlfn.LET(_xlpm.d,Q$37:Q$42,_xlpm.c,$E$37:$E$42=1,MAX(_xlfn._xlws.FILTER(_xlpm.d,_xlpm.c)))</f>
        <v>9</v>
      </c>
      <c r="R47" s="3" cm="1">
        <f t="array" ref="R47">_xlfn.LET(_xlpm.d,R$37:R$42,_xlpm.c,$E$37:$E$42=1,MAX(_xlfn._xlws.FILTER(_xlpm.d,_xlpm.c)))</f>
        <v>12</v>
      </c>
      <c r="S47" s="3" cm="1">
        <f t="array" ref="S47">_xlfn.LET(_xlpm.d,S$37:S$42,_xlpm.c,$E$37:$E$42=1,MAX(_xlfn._xlws.FILTER(_xlpm.d,_xlpm.c)))</f>
        <v>12</v>
      </c>
    </row>
    <row r="48" spans="2:20" ht="27" customHeight="1">
      <c r="E48" t="s">
        <v>18</v>
      </c>
      <c r="F48" t="s">
        <v>25</v>
      </c>
      <c r="H48" cm="1">
        <f t="array" ref="H48">_xlfn.LET(_xlpm.d,H$37:H$42,_xlpm.c,$E$37:$E$42=1,STDEV(_xlfn._xlws.FILTER(_xlpm.d,_xlpm.c)))</f>
        <v>1.0327955589886446</v>
      </c>
      <c r="I48" cm="1">
        <f t="array" ref="I48">_xlfn.LET(_xlpm.d,I$37:I$42,_xlpm.c,$E$37:$E$42=1,STDEV(_xlfn._xlws.FILTER(_xlpm.d,_xlpm.c)))</f>
        <v>3.1885210782848312</v>
      </c>
      <c r="J48" cm="1">
        <f t="array" ref="J48">_xlfn.LET(_xlpm.d,J$37:J$42,_xlpm.c,$E$37:$E$42=1,STDEV(_xlfn._xlws.FILTER(_xlpm.d,_xlpm.c)))</f>
        <v>2.0655911179772888</v>
      </c>
      <c r="K48" cm="1">
        <f t="array" ref="K48">_xlfn.LET(_xlpm.d,K$37:K$42,_xlpm.c,$E$37:$E$42=1,STDEV(_xlfn._xlws.FILTER(_xlpm.d,_xlpm.c)))</f>
        <v>2.4832774042918904</v>
      </c>
      <c r="L48" cm="1">
        <f t="array" ref="L48">_xlfn.LET(_xlpm.d,L$37:L$42,_xlpm.c,$E$37:$E$42=1,STDEV(_xlfn._xlws.FILTER(_xlpm.d,_xlpm.c)))</f>
        <v>4.1833001326703778</v>
      </c>
      <c r="M48" cm="1">
        <f t="array" ref="M48">_xlfn.LET(_xlpm.d,M$37:M$42,_xlpm.c,$E$37:$E$42=1,STDEV(_xlfn._xlws.FILTER(_xlpm.d,_xlpm.c)))</f>
        <v>3.6696957185394354</v>
      </c>
      <c r="N48" cm="1">
        <f t="array" ref="N48">_xlfn.LET(_xlpm.d,N$37:N$42,_xlpm.c,$E$37:$E$42=1,STDEV(_xlfn._xlws.FILTER(_xlpm.d,_xlpm.c)))</f>
        <v>3.8166302763912912</v>
      </c>
      <c r="O48" cm="1">
        <f t="array" ref="O48">_xlfn.LET(_xlpm.d,O$37:O$42,_xlpm.c,$E$37:$E$42=1,STDEV(_xlfn._xlws.FILTER(_xlpm.d,_xlpm.c)))</f>
        <v>1.9663841605003491</v>
      </c>
      <c r="P48" cm="1">
        <f t="array" ref="P48">_xlfn.LET(_xlpm.d,P$37:P$42,_xlpm.c,$E$37:$E$42=1,STDEV(_xlfn._xlws.FILTER(_xlpm.d,_xlpm.c)))</f>
        <v>3.1251666622224592</v>
      </c>
      <c r="Q48" cm="1">
        <f t="array" ref="Q48">_xlfn.LET(_xlpm.d,Q$37:Q$42,_xlpm.c,$E$37:$E$42=1,STDEV(_xlfn._xlws.FILTER(_xlpm.d,_xlpm.c)))</f>
        <v>3.082207001484488</v>
      </c>
      <c r="R48" cm="1">
        <f t="array" ref="R48">_xlfn.LET(_xlpm.d,R$37:R$42,_xlpm.c,$E$37:$E$42=1,STDEV(_xlfn._xlws.FILTER(_xlpm.d,_xlpm.c)))</f>
        <v>3.2041639575194445</v>
      </c>
      <c r="S48" cm="1">
        <f t="array" ref="S48">_xlfn.LET(_xlpm.d,S$37:S$42,_xlpm.c,$E$37:$E$42=1,STDEV(_xlfn._xlws.FILTER(_xlpm.d,_xlpm.c)))</f>
        <v>4.7187568984497039</v>
      </c>
    </row>
  </sheetData>
  <conditionalFormatting sqref="G43:S43 H37:T42">
    <cfRule type="colorScale" priority="6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4:S44">
    <cfRule type="colorScale" priority="5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5:S45">
    <cfRule type="colorScale" priority="2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6:S46">
    <cfRule type="colorScale" priority="4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7:S47">
    <cfRule type="colorScale" priority="3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 H23:T28 G29:S29 H30:T32">
    <cfRule type="colorScale" priority="27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3:T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3k-sk-mgv9</vt:lpstr>
      <vt:lpstr>3k-sk-mgv6</vt:lpstr>
      <vt:lpstr>2k-sk-mgv9</vt:lpstr>
      <vt:lpstr>2k-sk-mgv6</vt:lpstr>
      <vt:lpstr>3k-sk-mgv3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2025-02-21T03:59:26Z</dcterms:created>
  <dcterms:modified xsi:type="dcterms:W3CDTF">2025-03-03T04:56:05Z</dcterms:modified>
  <cp:category/>
</cp:coreProperties>
</file>