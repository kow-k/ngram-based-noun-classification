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2k/mgv6-sk/"/>
    </mc:Choice>
  </mc:AlternateContent>
  <xr:revisionPtr revIDLastSave="0" documentId="13_ncr:1_{68C4754C-ADE7-0942-B389-DC112421591A}" xr6:coauthVersionLast="47" xr6:coauthVersionMax="47" xr10:uidLastSave="{00000000-0000-0000-0000-000000000000}"/>
  <bookViews>
    <workbookView xWindow="7300" yWindow="1240" windowWidth="27860" windowHeight="16940" xr2:uid="{712F5CE7-71F0-5945-8125-CFC736D37D43}"/>
  </bookViews>
  <sheets>
    <sheet name="1.2k-xsk-mgv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 a="1"/>
  <c r="R28" i="1" s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G28" i="1" a="1"/>
  <c r="G28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G27" i="1" a="1"/>
  <c r="G27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G24" i="1" a="1"/>
  <c r="G24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G23" i="1" a="1"/>
  <c r="G23" i="1" s="1"/>
  <c r="S2" i="1" l="1"/>
  <c r="S5" i="1"/>
  <c r="S6" i="1"/>
  <c r="S3" i="1"/>
  <c r="S7" i="1"/>
  <c r="S4" i="1"/>
  <c r="S11" i="1"/>
  <c r="S12" i="1"/>
  <c r="S13" i="1"/>
  <c r="S9" i="1"/>
  <c r="S10" i="1"/>
  <c r="S8" i="1"/>
  <c r="S16" i="1"/>
  <c r="S14" i="1"/>
  <c r="S15" i="1"/>
  <c r="S18" i="1"/>
  <c r="S17" i="1"/>
  <c r="S19" i="1"/>
  <c r="S23" i="1" l="1" a="1"/>
  <c r="S23" i="1" s="1"/>
  <c r="S24" i="1" a="1"/>
  <c r="S24" i="1" s="1"/>
  <c r="S28" i="1" a="1"/>
  <c r="S28" i="1" s="1"/>
  <c r="S26" i="1" a="1"/>
  <c r="S26" i="1" s="1"/>
  <c r="S25" i="1" a="1"/>
  <c r="S25" i="1" s="1"/>
  <c r="S27" i="1" a="1"/>
  <c r="S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<sst xmlns="http://schemas.openxmlformats.org/spreadsheetml/2006/main" count="103" uniqueCount="29">
  <si>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</si>
  <si>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</si>
  <si>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</si>
  <si>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</si>
  <si>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</si>
  <si>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</si>
  <si>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</si>
  <si>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</si>
  <si>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</si>
  <si>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</si>
  <si>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</si>
  <si>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</si>
  <si>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</si>
  <si>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</si>
  <si>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</si>
  <si>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</si>
  <si>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</si>
  <si>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</si>
  <si>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</si>
  <si>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Irish</t>
  </si>
  <si>
    <t>plurality</t>
  </si>
  <si>
    <t>DT</t>
  </si>
  <si>
    <t>RF</t>
  </si>
  <si>
    <t>NN</t>
  </si>
  <si>
    <t>gender</t>
  </si>
  <si>
    <t>case</t>
  </si>
  <si>
    <t>supplemented</t>
  </si>
  <si>
    <t>metric.index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</si>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</sst>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4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2BD53-1855-9A4F-8689-3B87C1E16BEB}" name="Table1" displayName="Table1" ref="A1:S19" totalsRowShown="0">
  <autoFilter ref="A1:S19" xr:uid="{3592BD53-1855-9A4F-8689-3B87C1E16BEB}"/>
  <sortState xmlns:xlrd2="http://schemas.microsoft.com/office/spreadsheetml/2017/richdata2" ref="A2:S19">
    <sortCondition ref="B1:B19"/>
  </sortState>
  <tableColumns count="19">
    <tableColumn id="1" xr3:uid="{B520CC7A-0C38-D146-B600-3E7FE545E77F}" name="lang"/>
    <tableColumn id="2" xr3:uid="{B98B435C-39FD-444E-AA85-7A4CED92BB7C}" name="attribute.index"/>
    <tableColumn id="3" xr3:uid="{4F84323C-6208-6E44-A0E4-264EB1164977}" name="attribute"/>
    <tableColumn id="4" xr3:uid="{E3175D92-FD97-B64F-A829-56DAA18BBAE4}" name="supplement"/>
    <tableColumn id="5" xr3:uid="{E63C49A0-8C03-6B4A-8CB4-8DB7D3F16811}" name="method.index"/>
    <tableColumn id="6" xr3:uid="{93BF89BC-0A6F-154E-80FA-794080AD5A7E}" name="method"/>
    <tableColumn id="7" xr3:uid="{BA7D568A-17FC-4B43-A4D7-BD6D655758DC}" name="2g-no-hash" dataDxfId="25"/>
    <tableColumn id="8" xr3:uid="{01E472C6-BDAC-1541-BB20-C2E930813E34}" name="3g-no-hash" dataDxfId="24"/>
    <tableColumn id="9" xr3:uid="{E9361DC1-E616-F04E-A160-19FA8F09F44A}" name="4g-no-hash" dataDxfId="23"/>
    <tableColumn id="10" xr3:uid="{F8E9C081-AE44-6F4A-A37F-C7C79A337376}" name="xsk2g-no-hash" dataDxfId="22"/>
    <tableColumn id="11" xr3:uid="{C1D2F3F4-F8F9-DA43-AAED-7F6DCD6E751E}" name="xsk3g-no-hash" dataDxfId="21"/>
    <tableColumn id="12" xr3:uid="{CFAEE5C0-2E24-BF47-89AA-272CB8DE378B}" name="xsk4g-no-hash" dataDxfId="20"/>
    <tableColumn id="13" xr3:uid="{EE8B5482-AA43-6A4D-A0BC-08541A5D1C95}" name="2g-hash-at-both" dataDxfId="19"/>
    <tableColumn id="14" xr3:uid="{615C5A2B-EDD0-0349-AEF5-BFAC4B47967F}" name="3g-hash-at-both" dataDxfId="18"/>
    <tableColumn id="15" xr3:uid="{47949B78-304E-F042-A7C1-A84FC2B37A7E}" name="4g-hash-at-both" dataDxfId="17"/>
    <tableColumn id="16" xr3:uid="{C8E95C20-F456-AF40-BFCB-198BAB35F8EC}" name="xsk2g-hash-at-both" dataDxfId="16"/>
    <tableColumn id="17" xr3:uid="{81F4257F-3401-244A-A1A2-5775F1E847A9}" name="xsk3g-hash-at-both" dataDxfId="15"/>
    <tableColumn id="18" xr3:uid="{434DE661-6BE5-A240-97B6-B017F4251F49}" name="xsk4g-hash-at-both" dataDxfId="14"/>
    <tableColumn id="19" xr3:uid="{292D8059-220D-2A4D-8F0D-23B58D4EC7BE}" name="max" dataDxfId="1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D8A4B9-EF43-4F42-B159-A67026458372}" name="Table2" displayName="Table2" ref="B22:S28" totalsRowShown="0">
  <autoFilter ref="B22:S28" xr:uid="{9DD8A4B9-EF43-4F42-B159-A67026458372}"/>
  <tableColumns count="18">
    <tableColumn id="1" xr3:uid="{3D3316BF-11C1-E549-A2E6-AB61ED188D60}" name="attribute.index"/>
    <tableColumn id="2" xr3:uid="{954B96DA-1B86-AF48-9869-2AB71564DD8E}" name="attribute"/>
    <tableColumn id="3" xr3:uid="{CA4D0FC6-58ED-5F44-B522-81BB88694360}" name="supplemented"/>
    <tableColumn id="4" xr3:uid="{BAC0830E-FF10-044D-B4D2-C52B126582D1}" name="metric.index"/>
    <tableColumn id="5" xr3:uid="{A974DAF4-428E-0B4B-8900-F9A8D28A7EE2}" name="metric"/>
    <tableColumn id="6" xr3:uid="{EF11E1B7-8D03-264F-933A-D010379FA57E}" name="2g-no-hash" dataDxfId="12">
      <calculatedColumnFormula array="1">_xlfn.LET(_xlpm.d,G$2:G$19,_xlpm.a,$C$2:$C$19=$C23,_xlpm.b,$D$2:$D$19=$D23,MAX(_xlfn._xlws.FILTER(_xlpm.d,_xlpm.a*_xlpm.b)))</calculatedColumnFormula>
    </tableColumn>
    <tableColumn id="7" xr3:uid="{0576B24F-D6EB-8543-804F-8E627FFB988A}" name="3g-no-hash" dataDxfId="11">
      <calculatedColumnFormula array="1">_xlfn.LET(_xlpm.d,H$2:H$19,_xlpm.a,$C$2:$C$19=$C23,_xlpm.b,$D$2:$D$19=$D23,MAX(_xlfn._xlws.FILTER(_xlpm.d,_xlpm.a*_xlpm.b)))</calculatedColumnFormula>
    </tableColumn>
    <tableColumn id="8" xr3:uid="{FB0BA953-C259-1449-B318-7532B762E7E1}" name="4g-no-hash" dataDxfId="10">
      <calculatedColumnFormula array="1">_xlfn.LET(_xlpm.d,I$2:I$19,_xlpm.a,$C$2:$C$19=$C23,_xlpm.b,$D$2:$D$19=$D23,MAX(_xlfn._xlws.FILTER(_xlpm.d,_xlpm.a*_xlpm.b)))</calculatedColumnFormula>
    </tableColumn>
    <tableColumn id="9" xr3:uid="{5C3B0C2D-60C9-A748-90D3-90C6F9828A42}" name="xsk2g-no-hash" dataDxfId="9">
      <calculatedColumnFormula array="1">_xlfn.LET(_xlpm.d,J$2:J$19,_xlpm.a,$C$2:$C$19=$C23,_xlpm.b,$D$2:$D$19=$D23,MAX(_xlfn._xlws.FILTER(_xlpm.d,_xlpm.a*_xlpm.b)))</calculatedColumnFormula>
    </tableColumn>
    <tableColumn id="10" xr3:uid="{A51088D3-2606-4A42-95A9-BE2B3EC294F0}" name="xsk3g-no-hash" dataDxfId="8">
      <calculatedColumnFormula array="1">_xlfn.LET(_xlpm.d,K$2:K$19,_xlpm.a,$C$2:$C$19=$C23,_xlpm.b,$D$2:$D$19=$D23,MAX(_xlfn._xlws.FILTER(_xlpm.d,_xlpm.a*_xlpm.b)))</calculatedColumnFormula>
    </tableColumn>
    <tableColumn id="11" xr3:uid="{3EEE1947-D8C9-6D4A-8E52-CAEBA749D07B}" name="xsk4g-no-hash" dataDxfId="7">
      <calculatedColumnFormula array="1">_xlfn.LET(_xlpm.d,L$2:L$19,_xlpm.a,$C$2:$C$19=$C23,_xlpm.b,$D$2:$D$19=$D23,MAX(_xlfn._xlws.FILTER(_xlpm.d,_xlpm.a*_xlpm.b)))</calculatedColumnFormula>
    </tableColumn>
    <tableColumn id="12" xr3:uid="{90541F84-6061-7943-8046-ADDB87C77888}" name="2g-hash-at-both" dataDxfId="6">
      <calculatedColumnFormula array="1">_xlfn.LET(_xlpm.d,M$2:M$19,_xlpm.a,$C$2:$C$19=$C23,_xlpm.b,$D$2:$D$19=$D23,MAX(_xlfn._xlws.FILTER(_xlpm.d,_xlpm.a*_xlpm.b)))</calculatedColumnFormula>
    </tableColumn>
    <tableColumn id="13" xr3:uid="{559621AD-FE68-0C44-9D1B-CC8255D57213}" name="3g-hash-at-both" dataDxfId="5">
      <calculatedColumnFormula array="1">_xlfn.LET(_xlpm.d,N$2:N$19,_xlpm.a,$C$2:$C$19=$C23,_xlpm.b,$D$2:$D$19=$D23,MAX(_xlfn._xlws.FILTER(_xlpm.d,_xlpm.a*_xlpm.b)))</calculatedColumnFormula>
    </tableColumn>
    <tableColumn id="14" xr3:uid="{9D701182-5CAC-9049-A9DC-1A3972763C6B}" name="4g-hash-at-both" dataDxfId="4">
      <calculatedColumnFormula array="1">_xlfn.LET(_xlpm.d,O$2:O$19,_xlpm.a,$C$2:$C$19=$C23,_xlpm.b,$D$2:$D$19=$D23,MAX(_xlfn._xlws.FILTER(_xlpm.d,_xlpm.a*_xlpm.b)))</calculatedColumnFormula>
    </tableColumn>
    <tableColumn id="15" xr3:uid="{17A91484-150C-244E-A2C0-5A47C03CC74E}" name="xsk2g-hash-at-both" dataDxfId="3">
      <calculatedColumnFormula array="1">_xlfn.LET(_xlpm.d,P$2:P$19,_xlpm.a,$C$2:$C$19=$C23,_xlpm.b,$D$2:$D$19=$D23,MAX(_xlfn._xlws.FILTER(_xlpm.d,_xlpm.a*_xlpm.b)))</calculatedColumnFormula>
    </tableColumn>
    <tableColumn id="16" xr3:uid="{91119EA5-07B2-A845-A09D-C45B42376BCB}" name="xsk3g-hash-at-both" dataDxfId="2">
      <calculatedColumnFormula array="1">_xlfn.LET(_xlpm.d,Q$2:Q$19,_xlpm.a,$C$2:$C$19=$C23,_xlpm.b,$D$2:$D$19=$D23,MAX(_xlfn._xlws.FILTER(_xlpm.d,_xlpm.a*_xlpm.b)))</calculatedColumnFormula>
    </tableColumn>
    <tableColumn id="17" xr3:uid="{D32AF471-A56E-9943-B596-60FF541BBD49}" name="xsk4g-hash-at-both" dataDxfId="1">
      <calculatedColumnFormula array="1">_xlfn.LET(_xlpm.d,R$2:R$19,_xlpm.a,$C$2:$C$19=$C23,_xlpm.b,$D$2:$D$19=$D23,MAX(_xlfn._xlws.FILTER(_xlpm.d,_xlpm.a*_xlpm.b)))</calculatedColumnFormula>
    </tableColumn>
    <tableColumn id="18" xr3:uid="{9890D3FB-540F-8D49-B920-6F88243E6759}" name="max" dataDxfId="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0C29-B8B9-7545-BAB4-0A9B52D616D0}">
  <dimension ref="A1:S28"/>
  <sheetViews>
    <sheetView tabSelected="1" topLeftCell="D1" workbookViewId="0">
      <pane xSplit="8440" ySplit="3680" topLeftCell="I15" activePane="bottomRight"/>
      <selection activeCell="G1" sqref="G1:S1"/>
      <selection pane="topRight" activeCell="O4" sqref="O4"/>
      <selection pane="bottomLeft" activeCell="G22" sqref="G22:S22"/>
      <selection pane="bottomRight" activeCell="K30" sqref="K30"/>
    </sheetView>
  </sheetViews>
  <sheetFormatPr baseColWidth="10" defaultRowHeight="25" customHeight="1"/>
  <cols>
    <col min="1" max="1" width="8.33203125" customWidth="1"/>
    <col min="2" max="2" width="8.21875" customWidth="1"/>
    <col min="3" max="3" width="9" customWidth="1"/>
    <col min="4" max="4" width="8.5546875" customWidth="1"/>
    <col min="5" max="5" width="7.5546875" customWidth="1"/>
    <col min="6" max="6" width="8" customWidth="1"/>
    <col min="7" max="19" width="8.1093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19</v>
      </c>
      <c r="B2">
        <v>1</v>
      </c>
      <c r="C2" t="s">
        <v>20</v>
      </c>
      <c r="D2" t="b">
        <v>1</v>
      </c>
      <c r="E2">
        <v>1</v>
      </c>
      <c r="F2" t="s">
        <v>21</v>
      </c>
      <c r="G2" s="1">
        <v>0.69</v>
      </c>
      <c r="H2" s="1">
        <v>0.7</v>
      </c>
      <c r="I2" s="1">
        <v>0.65</v>
      </c>
      <c r="J2" s="1">
        <v>0.57999999999999996</v>
      </c>
      <c r="K2" s="1">
        <v>0.59</v>
      </c>
      <c r="L2" s="1">
        <v>0.7</v>
      </c>
      <c r="M2" s="1">
        <v>0.67</v>
      </c>
      <c r="N2" s="1">
        <v>0.74</v>
      </c>
      <c r="O2" s="1">
        <v>0.68</v>
      </c>
      <c r="P2" s="1">
        <v>0.62</v>
      </c>
      <c r="Q2" s="1">
        <v>0.57999999999999996</v>
      </c>
      <c r="R2" s="1">
        <v>0.7</v>
      </c>
      <c r="S2" s="1">
        <f>MAX($G2:$R2)</f>
        <v>0.74</v>
      </c>
    </row>
    <row r="3" spans="1:19" ht="25" customHeight="1">
      <c r="A3" t="s">
        <v>19</v>
      </c>
      <c r="B3">
        <v>1</v>
      </c>
      <c r="C3" t="s">
        <v>20</v>
      </c>
      <c r="D3" t="b">
        <v>1</v>
      </c>
      <c r="E3">
        <v>2</v>
      </c>
      <c r="F3" t="s">
        <v>22</v>
      </c>
      <c r="G3" s="1">
        <v>0.65</v>
      </c>
      <c r="H3" s="1">
        <v>0.69</v>
      </c>
      <c r="I3" s="1">
        <v>0.66</v>
      </c>
      <c r="J3" s="1">
        <v>0.63</v>
      </c>
      <c r="K3" s="1">
        <v>0.65</v>
      </c>
      <c r="L3" s="1">
        <v>0.66</v>
      </c>
      <c r="M3" s="1">
        <v>0.72</v>
      </c>
      <c r="N3" s="1">
        <v>0.75</v>
      </c>
      <c r="O3" s="1">
        <v>0.71</v>
      </c>
      <c r="P3" s="1">
        <v>0.64</v>
      </c>
      <c r="Q3" s="1">
        <v>0.63</v>
      </c>
      <c r="R3" s="1">
        <v>0.68</v>
      </c>
      <c r="S3" s="1">
        <f>MAX($G3:$R3)</f>
        <v>0.75</v>
      </c>
    </row>
    <row r="4" spans="1:19" ht="25" customHeight="1">
      <c r="A4" t="s">
        <v>19</v>
      </c>
      <c r="B4">
        <v>1</v>
      </c>
      <c r="C4" t="s">
        <v>20</v>
      </c>
      <c r="D4" t="b">
        <v>1</v>
      </c>
      <c r="E4">
        <v>3</v>
      </c>
      <c r="F4" t="s">
        <v>23</v>
      </c>
      <c r="G4" s="1">
        <v>0.59</v>
      </c>
      <c r="H4" s="1">
        <v>0.59</v>
      </c>
      <c r="I4" s="1">
        <v>0.61</v>
      </c>
      <c r="J4" s="1">
        <v>0.7</v>
      </c>
      <c r="K4" s="1">
        <v>0.54</v>
      </c>
      <c r="L4" s="1">
        <v>0.61</v>
      </c>
      <c r="M4" s="1">
        <v>0.7</v>
      </c>
      <c r="N4" s="1">
        <v>0.68</v>
      </c>
      <c r="O4" s="1">
        <v>0.71</v>
      </c>
      <c r="P4" s="1">
        <v>0.56000000000000005</v>
      </c>
      <c r="Q4" s="1">
        <v>0.59</v>
      </c>
      <c r="R4" s="1">
        <v>0.61</v>
      </c>
      <c r="S4" s="1">
        <f>MAX($G4:$R4)</f>
        <v>0.71</v>
      </c>
    </row>
    <row r="5" spans="1:19" ht="25" customHeight="1">
      <c r="A5" t="s">
        <v>19</v>
      </c>
      <c r="B5">
        <v>1</v>
      </c>
      <c r="C5" t="s">
        <v>20</v>
      </c>
      <c r="D5" t="b">
        <v>0</v>
      </c>
      <c r="E5">
        <v>1</v>
      </c>
      <c r="F5" t="s">
        <v>21</v>
      </c>
      <c r="G5" s="1">
        <v>0.63</v>
      </c>
      <c r="H5" s="1">
        <v>0.61</v>
      </c>
      <c r="I5" s="1">
        <v>0.66</v>
      </c>
      <c r="J5" s="1">
        <v>0.61</v>
      </c>
      <c r="K5" s="1">
        <v>0.57999999999999996</v>
      </c>
      <c r="L5" s="1">
        <v>0.63</v>
      </c>
      <c r="M5" s="1">
        <v>0.6</v>
      </c>
      <c r="N5" s="1">
        <v>0.72</v>
      </c>
      <c r="O5" s="1">
        <v>0.64</v>
      </c>
      <c r="P5" s="1">
        <v>0.6</v>
      </c>
      <c r="Q5" s="1">
        <v>0.59</v>
      </c>
      <c r="R5" s="1">
        <v>0.65</v>
      </c>
      <c r="S5" s="1">
        <f>MAX($G5:$R5)</f>
        <v>0.72</v>
      </c>
    </row>
    <row r="6" spans="1:19" ht="25" customHeight="1">
      <c r="A6" t="s">
        <v>19</v>
      </c>
      <c r="B6">
        <v>1</v>
      </c>
      <c r="C6" t="s">
        <v>20</v>
      </c>
      <c r="D6" t="b">
        <v>0</v>
      </c>
      <c r="E6">
        <v>2</v>
      </c>
      <c r="F6" t="s">
        <v>22</v>
      </c>
      <c r="G6" s="1">
        <v>0.63</v>
      </c>
      <c r="H6" s="1">
        <v>0.66</v>
      </c>
      <c r="I6" s="1">
        <v>0.63</v>
      </c>
      <c r="J6" s="1">
        <v>0.63</v>
      </c>
      <c r="K6" s="1">
        <v>0.65</v>
      </c>
      <c r="L6" s="1">
        <v>0.66</v>
      </c>
      <c r="M6" s="1">
        <v>0.67</v>
      </c>
      <c r="N6" s="1">
        <v>0.71</v>
      </c>
      <c r="O6" s="1">
        <v>0.71</v>
      </c>
      <c r="P6" s="1">
        <v>0.65</v>
      </c>
      <c r="Q6" s="1">
        <v>0.63</v>
      </c>
      <c r="R6" s="1">
        <v>0.68</v>
      </c>
      <c r="S6" s="1">
        <f>MAX($G6:$R6)</f>
        <v>0.71</v>
      </c>
    </row>
    <row r="7" spans="1:19" ht="25" customHeight="1">
      <c r="A7" t="s">
        <v>19</v>
      </c>
      <c r="B7">
        <v>1</v>
      </c>
      <c r="C7" t="s">
        <v>20</v>
      </c>
      <c r="D7" t="b">
        <v>0</v>
      </c>
      <c r="E7">
        <v>3</v>
      </c>
      <c r="F7" t="s">
        <v>23</v>
      </c>
      <c r="G7" s="1">
        <v>0.47</v>
      </c>
      <c r="H7" s="1">
        <v>0.57999999999999996</v>
      </c>
      <c r="I7" s="1">
        <v>0.63</v>
      </c>
      <c r="J7" s="1">
        <v>0.63</v>
      </c>
      <c r="K7" s="1">
        <v>0.56000000000000005</v>
      </c>
      <c r="L7" s="1">
        <v>0.59</v>
      </c>
      <c r="M7" s="1">
        <v>0.67</v>
      </c>
      <c r="N7" s="1">
        <v>0.62</v>
      </c>
      <c r="O7" s="1">
        <v>0.7</v>
      </c>
      <c r="P7" s="1">
        <v>0.55000000000000004</v>
      </c>
      <c r="Q7" s="1">
        <v>0.51</v>
      </c>
      <c r="R7" s="1">
        <v>0.59</v>
      </c>
      <c r="S7" s="1">
        <f>MAX($G7:$R7)</f>
        <v>0.7</v>
      </c>
    </row>
    <row r="8" spans="1:19" ht="25" customHeight="1">
      <c r="A8" t="s">
        <v>19</v>
      </c>
      <c r="B8">
        <v>2</v>
      </c>
      <c r="C8" t="s">
        <v>24</v>
      </c>
      <c r="D8" t="b">
        <v>1</v>
      </c>
      <c r="E8">
        <v>1</v>
      </c>
      <c r="F8" t="s">
        <v>21</v>
      </c>
      <c r="G8" s="1">
        <v>0.82</v>
      </c>
      <c r="H8" s="1">
        <v>0.67</v>
      </c>
      <c r="I8" s="1">
        <v>0.68</v>
      </c>
      <c r="J8" s="1">
        <v>0.68</v>
      </c>
      <c r="K8" s="1">
        <v>0.57999999999999996</v>
      </c>
      <c r="L8" s="1">
        <v>0.59</v>
      </c>
      <c r="M8" s="1">
        <v>0.79</v>
      </c>
      <c r="N8" s="1">
        <v>0.75</v>
      </c>
      <c r="O8" s="1">
        <v>0.75</v>
      </c>
      <c r="P8" s="1">
        <v>0.69</v>
      </c>
      <c r="Q8" s="1">
        <v>0.56000000000000005</v>
      </c>
      <c r="R8" s="1">
        <v>0.68</v>
      </c>
      <c r="S8" s="1">
        <f>MAX($G8:$R8)</f>
        <v>0.82</v>
      </c>
    </row>
    <row r="9" spans="1:19" ht="25" customHeight="1">
      <c r="A9" t="s">
        <v>19</v>
      </c>
      <c r="B9">
        <v>2</v>
      </c>
      <c r="C9" t="s">
        <v>24</v>
      </c>
      <c r="D9" t="b">
        <v>1</v>
      </c>
      <c r="E9">
        <v>2</v>
      </c>
      <c r="F9" t="s">
        <v>22</v>
      </c>
      <c r="G9" s="1">
        <v>0.76</v>
      </c>
      <c r="H9" s="1">
        <v>0.77</v>
      </c>
      <c r="I9" s="1">
        <v>0.74</v>
      </c>
      <c r="J9" s="1">
        <v>0.78</v>
      </c>
      <c r="K9" s="1">
        <v>0.68</v>
      </c>
      <c r="L9" s="1">
        <v>0.7</v>
      </c>
      <c r="M9" s="1">
        <v>0.75</v>
      </c>
      <c r="N9" s="1">
        <v>0.73</v>
      </c>
      <c r="O9" s="1">
        <v>0.75</v>
      </c>
      <c r="P9" s="1">
        <v>0.75</v>
      </c>
      <c r="Q9" s="1">
        <v>0.68</v>
      </c>
      <c r="R9" s="1">
        <v>0.7</v>
      </c>
      <c r="S9" s="1">
        <f>MAX($G9:$R9)</f>
        <v>0.78</v>
      </c>
    </row>
    <row r="10" spans="1:19" ht="25" customHeight="1">
      <c r="A10" t="s">
        <v>19</v>
      </c>
      <c r="B10">
        <v>2</v>
      </c>
      <c r="C10" t="s">
        <v>24</v>
      </c>
      <c r="D10" t="b">
        <v>1</v>
      </c>
      <c r="E10">
        <v>3</v>
      </c>
      <c r="F10" t="s">
        <v>23</v>
      </c>
      <c r="G10" s="1">
        <v>0.75</v>
      </c>
      <c r="H10" s="1">
        <v>0.7</v>
      </c>
      <c r="I10" s="1">
        <v>0.68</v>
      </c>
      <c r="J10" s="1">
        <v>0.76</v>
      </c>
      <c r="K10" s="1">
        <v>0.68</v>
      </c>
      <c r="L10" s="1">
        <v>0.69</v>
      </c>
      <c r="M10" s="1">
        <v>0.69</v>
      </c>
      <c r="N10" s="1">
        <v>0.75</v>
      </c>
      <c r="O10" s="1">
        <v>0.77</v>
      </c>
      <c r="P10" s="1">
        <v>0.68</v>
      </c>
      <c r="Q10" s="1">
        <v>0.61</v>
      </c>
      <c r="R10" s="1">
        <v>0.7</v>
      </c>
      <c r="S10" s="1">
        <f>MAX($G10:$R10)</f>
        <v>0.77</v>
      </c>
    </row>
    <row r="11" spans="1:19" ht="25" customHeight="1">
      <c r="A11" t="s">
        <v>19</v>
      </c>
      <c r="B11">
        <v>2</v>
      </c>
      <c r="C11" t="s">
        <v>24</v>
      </c>
      <c r="D11" t="b">
        <v>0</v>
      </c>
      <c r="E11">
        <v>1</v>
      </c>
      <c r="F11" t="s">
        <v>21</v>
      </c>
      <c r="G11" s="1">
        <v>0.72</v>
      </c>
      <c r="H11" s="1">
        <v>0.7</v>
      </c>
      <c r="I11" s="1">
        <v>0.69</v>
      </c>
      <c r="J11" s="1">
        <v>0.67</v>
      </c>
      <c r="K11" s="1">
        <v>0.62</v>
      </c>
      <c r="L11" s="1">
        <v>0.61</v>
      </c>
      <c r="M11" s="1">
        <v>0.72</v>
      </c>
      <c r="N11" s="1">
        <v>0.7</v>
      </c>
      <c r="O11" s="1">
        <v>0.71</v>
      </c>
      <c r="P11" s="1">
        <v>0.71</v>
      </c>
      <c r="Q11" s="1">
        <v>0.64</v>
      </c>
      <c r="R11" s="1">
        <v>0.7</v>
      </c>
      <c r="S11" s="1">
        <f>MAX($G11:$R11)</f>
        <v>0.72</v>
      </c>
    </row>
    <row r="12" spans="1:19" ht="25" customHeight="1">
      <c r="A12" t="s">
        <v>19</v>
      </c>
      <c r="B12">
        <v>2</v>
      </c>
      <c r="C12" t="s">
        <v>24</v>
      </c>
      <c r="D12" t="b">
        <v>0</v>
      </c>
      <c r="E12">
        <v>2</v>
      </c>
      <c r="F12" t="s">
        <v>22</v>
      </c>
      <c r="G12" s="1">
        <v>0.72</v>
      </c>
      <c r="H12" s="1">
        <v>0.71</v>
      </c>
      <c r="I12" s="1">
        <v>0.73</v>
      </c>
      <c r="J12" s="1">
        <v>0.72</v>
      </c>
      <c r="K12" s="1">
        <v>0.65</v>
      </c>
      <c r="L12" s="1">
        <v>0.71</v>
      </c>
      <c r="M12" s="1">
        <v>0.69</v>
      </c>
      <c r="N12" s="1">
        <v>0.68</v>
      </c>
      <c r="O12" s="1">
        <v>0.69</v>
      </c>
      <c r="P12" s="1">
        <v>0.74</v>
      </c>
      <c r="Q12" s="1">
        <v>0.64</v>
      </c>
      <c r="R12" s="1">
        <v>0.71</v>
      </c>
      <c r="S12" s="1">
        <f>MAX($G12:$R12)</f>
        <v>0.74</v>
      </c>
    </row>
    <row r="13" spans="1:19" ht="25" customHeight="1">
      <c r="A13" t="s">
        <v>19</v>
      </c>
      <c r="B13">
        <v>2</v>
      </c>
      <c r="C13" t="s">
        <v>24</v>
      </c>
      <c r="D13" t="b">
        <v>0</v>
      </c>
      <c r="E13">
        <v>3</v>
      </c>
      <c r="F13" t="s">
        <v>23</v>
      </c>
      <c r="G13" s="1">
        <v>0.71</v>
      </c>
      <c r="H13" s="1">
        <v>0.65</v>
      </c>
      <c r="I13" s="1">
        <v>0.66</v>
      </c>
      <c r="J13" s="1">
        <v>0.69</v>
      </c>
      <c r="K13" s="1">
        <v>0.75</v>
      </c>
      <c r="L13" s="1">
        <v>0.7</v>
      </c>
      <c r="M13" s="1">
        <v>0.69</v>
      </c>
      <c r="N13" s="1">
        <v>0.69</v>
      </c>
      <c r="O13" s="1">
        <v>0.73</v>
      </c>
      <c r="P13" s="1">
        <v>0.62</v>
      </c>
      <c r="Q13" s="1">
        <v>0.57999999999999996</v>
      </c>
      <c r="R13" s="1">
        <v>0.68</v>
      </c>
      <c r="S13" s="1">
        <f>MAX($G13:$R13)</f>
        <v>0.75</v>
      </c>
    </row>
    <row r="14" spans="1:19" ht="25" customHeight="1">
      <c r="A14" t="s">
        <v>19</v>
      </c>
      <c r="B14">
        <v>3</v>
      </c>
      <c r="C14" t="s">
        <v>25</v>
      </c>
      <c r="D14" t="b">
        <v>1</v>
      </c>
      <c r="E14">
        <v>1</v>
      </c>
      <c r="F14" t="s">
        <v>21</v>
      </c>
      <c r="G14" s="1">
        <v>0.92</v>
      </c>
      <c r="H14" s="1">
        <v>0.97</v>
      </c>
      <c r="I14" s="1">
        <v>0.97</v>
      </c>
      <c r="J14" s="1">
        <v>0.94</v>
      </c>
      <c r="K14" s="1">
        <v>0.97</v>
      </c>
      <c r="L14" s="1">
        <v>0.95</v>
      </c>
      <c r="M14" s="1">
        <v>0.95</v>
      </c>
      <c r="N14" s="1">
        <v>0.93</v>
      </c>
      <c r="O14" s="1">
        <v>0.96</v>
      </c>
      <c r="P14" s="1">
        <v>0.96</v>
      </c>
      <c r="Q14" s="1">
        <v>0.93</v>
      </c>
      <c r="R14" s="1">
        <v>0.97</v>
      </c>
      <c r="S14" s="1">
        <f>MAX($G14:$R14)</f>
        <v>0.97</v>
      </c>
    </row>
    <row r="15" spans="1:19" ht="25" customHeight="1">
      <c r="A15" t="s">
        <v>19</v>
      </c>
      <c r="B15">
        <v>3</v>
      </c>
      <c r="C15" t="s">
        <v>25</v>
      </c>
      <c r="D15" t="b">
        <v>1</v>
      </c>
      <c r="E15">
        <v>2</v>
      </c>
      <c r="F15" t="s">
        <v>22</v>
      </c>
      <c r="G15" s="1">
        <v>0.91</v>
      </c>
      <c r="H15" s="1">
        <v>0.98</v>
      </c>
      <c r="I15" s="1">
        <v>0.98</v>
      </c>
      <c r="J15" s="1">
        <v>0.95</v>
      </c>
      <c r="K15" s="1">
        <v>0.96</v>
      </c>
      <c r="L15" s="1">
        <v>0.95</v>
      </c>
      <c r="M15" s="1">
        <v>0.96</v>
      </c>
      <c r="N15" s="1">
        <v>0.96</v>
      </c>
      <c r="O15" s="1">
        <v>0.96</v>
      </c>
      <c r="P15" s="1">
        <v>0.96</v>
      </c>
      <c r="Q15" s="1">
        <v>0.97</v>
      </c>
      <c r="R15" s="1">
        <v>0.97</v>
      </c>
      <c r="S15" s="1">
        <f>MAX($G15:$R15)</f>
        <v>0.98</v>
      </c>
    </row>
    <row r="16" spans="1:19" ht="25" customHeight="1">
      <c r="A16" t="s">
        <v>19</v>
      </c>
      <c r="B16">
        <v>3</v>
      </c>
      <c r="C16" t="s">
        <v>25</v>
      </c>
      <c r="D16" t="b">
        <v>1</v>
      </c>
      <c r="E16">
        <v>3</v>
      </c>
      <c r="F16" t="s">
        <v>23</v>
      </c>
      <c r="G16" s="1">
        <v>0.91</v>
      </c>
      <c r="H16" s="1">
        <v>0.98</v>
      </c>
      <c r="I16" s="1">
        <v>0.98</v>
      </c>
      <c r="J16" s="1">
        <v>0.95</v>
      </c>
      <c r="K16" s="1">
        <v>0.96</v>
      </c>
      <c r="L16" s="1">
        <v>0.95</v>
      </c>
      <c r="M16" s="1">
        <v>0.96</v>
      </c>
      <c r="N16" s="1">
        <v>0.96</v>
      </c>
      <c r="O16" s="1">
        <v>0.96</v>
      </c>
      <c r="P16" s="1">
        <v>0.96</v>
      </c>
      <c r="Q16" s="1">
        <v>0.97</v>
      </c>
      <c r="R16" s="1">
        <v>0.97</v>
      </c>
      <c r="S16" s="1">
        <f>MAX($G16:$R16)</f>
        <v>0.98</v>
      </c>
    </row>
    <row r="17" spans="1:19" ht="25" customHeight="1">
      <c r="A17" t="s">
        <v>19</v>
      </c>
      <c r="B17">
        <v>3</v>
      </c>
      <c r="C17" t="s">
        <v>25</v>
      </c>
      <c r="D17" t="b">
        <v>0</v>
      </c>
      <c r="E17">
        <v>1</v>
      </c>
      <c r="F17" t="s">
        <v>21</v>
      </c>
      <c r="G17" s="1">
        <v>0.9</v>
      </c>
      <c r="H17" s="1">
        <v>0.97</v>
      </c>
      <c r="I17" s="1">
        <v>0.98</v>
      </c>
      <c r="J17" s="1">
        <v>0.94</v>
      </c>
      <c r="K17" s="1">
        <v>0.95</v>
      </c>
      <c r="L17" s="1">
        <v>0.95</v>
      </c>
      <c r="M17" s="1">
        <v>0.91</v>
      </c>
      <c r="N17" s="1">
        <v>0.94</v>
      </c>
      <c r="O17" s="1">
        <v>0.93</v>
      </c>
      <c r="P17" s="1">
        <v>0.96</v>
      </c>
      <c r="Q17" s="1">
        <v>0.96</v>
      </c>
      <c r="R17" s="1">
        <v>0.97</v>
      </c>
      <c r="S17" s="1">
        <f>MAX($G17:$R17)</f>
        <v>0.98</v>
      </c>
    </row>
    <row r="18" spans="1:19" ht="25" customHeight="1">
      <c r="A18" t="s">
        <v>19</v>
      </c>
      <c r="B18">
        <v>3</v>
      </c>
      <c r="C18" t="s">
        <v>25</v>
      </c>
      <c r="D18" t="b">
        <v>0</v>
      </c>
      <c r="E18">
        <v>2</v>
      </c>
      <c r="F18" t="s">
        <v>22</v>
      </c>
      <c r="G18" s="1">
        <v>0.91</v>
      </c>
      <c r="H18" s="1">
        <v>0.98</v>
      </c>
      <c r="I18" s="1">
        <v>0.98</v>
      </c>
      <c r="J18" s="1">
        <v>0.95</v>
      </c>
      <c r="K18" s="1">
        <v>0.96</v>
      </c>
      <c r="L18" s="1">
        <v>0.95</v>
      </c>
      <c r="M18" s="1">
        <v>0.96</v>
      </c>
      <c r="N18" s="1">
        <v>0.96</v>
      </c>
      <c r="O18" s="1">
        <v>0.96</v>
      </c>
      <c r="P18" s="1">
        <v>0.96</v>
      </c>
      <c r="Q18" s="1">
        <v>0.97</v>
      </c>
      <c r="R18" s="1">
        <v>0.97</v>
      </c>
      <c r="S18" s="1">
        <f>MAX($G18:$R18)</f>
        <v>0.98</v>
      </c>
    </row>
    <row r="19" spans="1:19" ht="25" customHeight="1">
      <c r="A19" t="s">
        <v>19</v>
      </c>
      <c r="B19">
        <v>3</v>
      </c>
      <c r="C19" t="s">
        <v>25</v>
      </c>
      <c r="D19" t="b">
        <v>0</v>
      </c>
      <c r="E19">
        <v>3</v>
      </c>
      <c r="F19" t="s">
        <v>23</v>
      </c>
      <c r="G19" s="1">
        <v>0.91</v>
      </c>
      <c r="H19" s="1">
        <v>0.98</v>
      </c>
      <c r="I19" s="1">
        <v>0.98</v>
      </c>
      <c r="J19" s="1">
        <v>0.95</v>
      </c>
      <c r="K19" s="1">
        <v>0.96</v>
      </c>
      <c r="L19" s="1">
        <v>0.95</v>
      </c>
      <c r="M19" s="1">
        <v>0.96</v>
      </c>
      <c r="N19" s="1">
        <v>0.96</v>
      </c>
      <c r="O19" s="1">
        <v>0.96</v>
      </c>
      <c r="P19" s="1">
        <v>0.96</v>
      </c>
      <c r="Q19" s="1">
        <v>0.97</v>
      </c>
      <c r="R19" s="1">
        <v>0.97</v>
      </c>
      <c r="S19" s="1">
        <f>MAX($G19:$R19)</f>
        <v>0.98</v>
      </c>
    </row>
    <row r="22" spans="1:19" ht="25" customHeight="1">
      <c r="B22" t="s">
        <v>1</v>
      </c>
      <c r="C22" t="s">
        <v>2</v>
      </c>
      <c r="D22" t="s">
        <v>26</v>
      </c>
      <c r="E22" t="s">
        <v>27</v>
      </c>
      <c r="F22" t="s">
        <v>28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20</v>
      </c>
      <c r="D23" t="b">
        <v>1</v>
      </c>
      <c r="E23">
        <v>1</v>
      </c>
      <c r="F23" t="s">
        <v>18</v>
      </c>
      <c r="G23" s="1" cm="1">
        <f t="array" ref="G23">_xlfn.LET(_xlpm.d,G$2:G$19,_xlpm.a,$C$2:$C$19=$C23,_xlpm.b,$D$2:$D$19=$D23,MAX(_xlfn._xlws.FILTER(_xlpm.d,_xlpm.a*_xlpm.b)))</f>
        <v>0.69</v>
      </c>
      <c r="H23" s="1" cm="1">
        <f t="array" ref="H23">_xlfn.LET(_xlpm.d,H$2:H$19,_xlpm.a,$C$2:$C$19=$C23,_xlpm.b,$D$2:$D$19=$D23,MAX(_xlfn._xlws.FILTER(_xlpm.d,_xlpm.a*_xlpm.b)))</f>
        <v>0.7</v>
      </c>
      <c r="I23" s="1" cm="1">
        <f t="array" ref="I23">_xlfn.LET(_xlpm.d,I$2:I$19,_xlpm.a,$C$2:$C$19=$C23,_xlpm.b,$D$2:$D$19=$D23,MAX(_xlfn._xlws.FILTER(_xlpm.d,_xlpm.a*_xlpm.b)))</f>
        <v>0.66</v>
      </c>
      <c r="J23" s="1" cm="1">
        <f t="array" ref="J23">_xlfn.LET(_xlpm.d,J$2:J$19,_xlpm.a,$C$2:$C$19=$C23,_xlpm.b,$D$2:$D$19=$D23,MAX(_xlfn._xlws.FILTER(_xlpm.d,_xlpm.a*_xlpm.b)))</f>
        <v>0.7</v>
      </c>
      <c r="K23" s="1" cm="1">
        <f t="array" ref="K23">_xlfn.LET(_xlpm.d,K$2:K$19,_xlpm.a,$C$2:$C$19=$C23,_xlpm.b,$D$2:$D$19=$D23,MAX(_xlfn._xlws.FILTER(_xlpm.d,_xlpm.a*_xlpm.b)))</f>
        <v>0.65</v>
      </c>
      <c r="L23" s="1" cm="1">
        <f t="array" ref="L23">_xlfn.LET(_xlpm.d,L$2:L$19,_xlpm.a,$C$2:$C$19=$C23,_xlpm.b,$D$2:$D$19=$D23,MAX(_xlfn._xlws.FILTER(_xlpm.d,_xlpm.a*_xlpm.b)))</f>
        <v>0.7</v>
      </c>
      <c r="M23" s="1" cm="1">
        <f t="array" ref="M23">_xlfn.LET(_xlpm.d,M$2:M$19,_xlpm.a,$C$2:$C$19=$C23,_xlpm.b,$D$2:$D$19=$D23,MAX(_xlfn._xlws.FILTER(_xlpm.d,_xlpm.a*_xlpm.b)))</f>
        <v>0.72</v>
      </c>
      <c r="N23" s="1" cm="1">
        <f t="array" ref="N23">_xlfn.LET(_xlpm.d,N$2:N$19,_xlpm.a,$C$2:$C$19=$C23,_xlpm.b,$D$2:$D$19=$D23,MAX(_xlfn._xlws.FILTER(_xlpm.d,_xlpm.a*_xlpm.b)))</f>
        <v>0.75</v>
      </c>
      <c r="O23" s="1" cm="1">
        <f t="array" ref="O23">_xlfn.LET(_xlpm.d,O$2:O$19,_xlpm.a,$C$2:$C$19=$C23,_xlpm.b,$D$2:$D$19=$D23,MAX(_xlfn._xlws.FILTER(_xlpm.d,_xlpm.a*_xlpm.b)))</f>
        <v>0.71</v>
      </c>
      <c r="P23" s="1" cm="1">
        <f t="array" ref="P23">_xlfn.LET(_xlpm.d,P$2:P$19,_xlpm.a,$C$2:$C$19=$C23,_xlpm.b,$D$2:$D$19=$D23,MAX(_xlfn._xlws.FILTER(_xlpm.d,_xlpm.a*_xlpm.b)))</f>
        <v>0.64</v>
      </c>
      <c r="Q23" s="1" cm="1">
        <f t="array" ref="Q23">_xlfn.LET(_xlpm.d,Q$2:Q$19,_xlpm.a,$C$2:$C$19=$C23,_xlpm.b,$D$2:$D$19=$D23,MAX(_xlfn._xlws.FILTER(_xlpm.d,_xlpm.a*_xlpm.b)))</f>
        <v>0.63</v>
      </c>
      <c r="R23" s="1" cm="1">
        <f t="array" ref="R23">_xlfn.LET(_xlpm.d,R$2:R$19,_xlpm.a,$C$2:$C$19=$C23,_xlpm.b,$D$2:$D$19=$D23,MAX(_xlfn._xlws.FILTER(_xlpm.d,_xlpm.a*_xlpm.b)))</f>
        <v>0.7</v>
      </c>
      <c r="S23" s="1" cm="1">
        <f t="array" ref="S23">_xlfn.LET(_xlpm.d,S$2:S$19,_xlpm.a,$C$2:$C$19=$C23,_xlpm.b,$D$2:$D$19=$D23,MAX(_xlfn._xlws.FILTER(_xlpm.d,_xlpm.a*_xlpm.b)))</f>
        <v>0.75</v>
      </c>
    </row>
    <row r="24" spans="1:19" ht="25" customHeight="1">
      <c r="B24">
        <v>1</v>
      </c>
      <c r="C24" t="s">
        <v>20</v>
      </c>
      <c r="D24" t="b">
        <v>0</v>
      </c>
      <c r="E24">
        <v>1</v>
      </c>
      <c r="F24" t="s">
        <v>18</v>
      </c>
      <c r="G24" s="1" cm="1">
        <f t="array" ref="G24">_xlfn.LET(_xlpm.d,G$2:G$19,_xlpm.a,$C$2:$C$19=$C24,_xlpm.b,$D$2:$D$19=$D24,MAX(_xlfn._xlws.FILTER(_xlpm.d,_xlpm.a*_xlpm.b)))</f>
        <v>0.63</v>
      </c>
      <c r="H24" s="1" cm="1">
        <f t="array" ref="H24">_xlfn.LET(_xlpm.d,H$2:H$19,_xlpm.a,$C$2:$C$19=$C24,_xlpm.b,$D$2:$D$19=$D24,MAX(_xlfn._xlws.FILTER(_xlpm.d,_xlpm.a*_xlpm.b)))</f>
        <v>0.66</v>
      </c>
      <c r="I24" s="1" cm="1">
        <f t="array" ref="I24">_xlfn.LET(_xlpm.d,I$2:I$19,_xlpm.a,$C$2:$C$19=$C24,_xlpm.b,$D$2:$D$19=$D24,MAX(_xlfn._xlws.FILTER(_xlpm.d,_xlpm.a*_xlpm.b)))</f>
        <v>0.66</v>
      </c>
      <c r="J24" s="1" cm="1">
        <f t="array" ref="J24">_xlfn.LET(_xlpm.d,J$2:J$19,_xlpm.a,$C$2:$C$19=$C24,_xlpm.b,$D$2:$D$19=$D24,MAX(_xlfn._xlws.FILTER(_xlpm.d,_xlpm.a*_xlpm.b)))</f>
        <v>0.63</v>
      </c>
      <c r="K24" s="1" cm="1">
        <f t="array" ref="K24">_xlfn.LET(_xlpm.d,K$2:K$19,_xlpm.a,$C$2:$C$19=$C24,_xlpm.b,$D$2:$D$19=$D24,MAX(_xlfn._xlws.FILTER(_xlpm.d,_xlpm.a*_xlpm.b)))</f>
        <v>0.65</v>
      </c>
      <c r="L24" s="1" cm="1">
        <f t="array" ref="L24">_xlfn.LET(_xlpm.d,L$2:L$19,_xlpm.a,$C$2:$C$19=$C24,_xlpm.b,$D$2:$D$19=$D24,MAX(_xlfn._xlws.FILTER(_xlpm.d,_xlpm.a*_xlpm.b)))</f>
        <v>0.66</v>
      </c>
      <c r="M24" s="1" cm="1">
        <f t="array" ref="M24">_xlfn.LET(_xlpm.d,M$2:M$19,_xlpm.a,$C$2:$C$19=$C24,_xlpm.b,$D$2:$D$19=$D24,MAX(_xlfn._xlws.FILTER(_xlpm.d,_xlpm.a*_xlpm.b)))</f>
        <v>0.67</v>
      </c>
      <c r="N24" s="1" cm="1">
        <f t="array" ref="N24">_xlfn.LET(_xlpm.d,N$2:N$19,_xlpm.a,$C$2:$C$19=$C24,_xlpm.b,$D$2:$D$19=$D24,MAX(_xlfn._xlws.FILTER(_xlpm.d,_xlpm.a*_xlpm.b)))</f>
        <v>0.72</v>
      </c>
      <c r="O24" s="1" cm="1">
        <f t="array" ref="O24">_xlfn.LET(_xlpm.d,O$2:O$19,_xlpm.a,$C$2:$C$19=$C24,_xlpm.b,$D$2:$D$19=$D24,MAX(_xlfn._xlws.FILTER(_xlpm.d,_xlpm.a*_xlpm.b)))</f>
        <v>0.71</v>
      </c>
      <c r="P24" s="1" cm="1">
        <f t="array" ref="P24">_xlfn.LET(_xlpm.d,P$2:P$19,_xlpm.a,$C$2:$C$19=$C24,_xlpm.b,$D$2:$D$19=$D24,MAX(_xlfn._xlws.FILTER(_xlpm.d,_xlpm.a*_xlpm.b)))</f>
        <v>0.65</v>
      </c>
      <c r="Q24" s="1" cm="1">
        <f t="array" ref="Q24">_xlfn.LET(_xlpm.d,Q$2:Q$19,_xlpm.a,$C$2:$C$19=$C24,_xlpm.b,$D$2:$D$19=$D24,MAX(_xlfn._xlws.FILTER(_xlpm.d,_xlpm.a*_xlpm.b)))</f>
        <v>0.63</v>
      </c>
      <c r="R24" s="1" cm="1">
        <f t="array" ref="R24">_xlfn.LET(_xlpm.d,R$2:R$19,_xlpm.a,$C$2:$C$19=$C24,_xlpm.b,$D$2:$D$19=$D24,MAX(_xlfn._xlws.FILTER(_xlpm.d,_xlpm.a*_xlpm.b)))</f>
        <v>0.68</v>
      </c>
      <c r="S24" s="1" cm="1">
        <f t="array" ref="S24">_xlfn.LET(_xlpm.d,S$2:S$19,_xlpm.a,$C$2:$C$19=$C24,_xlpm.b,$D$2:$D$19=$D24,MAX(_xlfn._xlws.FILTER(_xlpm.d,_xlpm.a*_xlpm.b)))</f>
        <v>0.72</v>
      </c>
    </row>
    <row r="25" spans="1:19" ht="25" customHeight="1">
      <c r="B25">
        <v>2</v>
      </c>
      <c r="C25" t="s">
        <v>24</v>
      </c>
      <c r="D25" t="b">
        <v>1</v>
      </c>
      <c r="E25">
        <v>1</v>
      </c>
      <c r="F25" t="s">
        <v>18</v>
      </c>
      <c r="G25" s="1" cm="1">
        <f t="array" ref="G25">_xlfn.LET(_xlpm.d,G$2:G$19,_xlpm.a,$C$2:$C$19=$C25,_xlpm.b,$D$2:$D$19=$D25,MAX(_xlfn._xlws.FILTER(_xlpm.d,_xlpm.a*_xlpm.b)))</f>
        <v>0.82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0.74</v>
      </c>
      <c r="J25" s="1" cm="1">
        <f t="array" ref="J25">_xlfn.LET(_xlpm.d,J$2:J$19,_xlpm.a,$C$2:$C$19=$C25,_xlpm.b,$D$2:$D$19=$D25,MAX(_xlfn._xlws.FILTER(_xlpm.d,_xlpm.a*_xlpm.b)))</f>
        <v>0.78</v>
      </c>
      <c r="K25" s="1" cm="1">
        <f t="array" ref="K25">_xlfn.LET(_xlpm.d,K$2:K$19,_xlpm.a,$C$2:$C$19=$C25,_xlpm.b,$D$2:$D$19=$D25,MAX(_xlfn._xlws.FILTER(_xlpm.d,_xlpm.a*_xlpm.b)))</f>
        <v>0.68</v>
      </c>
      <c r="L25" s="1" cm="1">
        <f t="array" ref="L25">_xlfn.LET(_xlpm.d,L$2:L$19,_xlpm.a,$C$2:$C$19=$C25,_xlpm.b,$D$2:$D$19=$D25,MAX(_xlfn._xlws.FILTER(_xlpm.d,_xlpm.a*_xlpm.b)))</f>
        <v>0.7</v>
      </c>
      <c r="M25" s="1" cm="1">
        <f t="array" ref="M25">_xlfn.LET(_xlpm.d,M$2:M$19,_xlpm.a,$C$2:$C$19=$C25,_xlpm.b,$D$2:$D$19=$D25,MAX(_xlfn._xlws.FILTER(_xlpm.d,_xlpm.a*_xlpm.b)))</f>
        <v>0.79</v>
      </c>
      <c r="N25" s="1" cm="1">
        <f t="array" ref="N25">_xlfn.LET(_xlpm.d,N$2:N$19,_xlpm.a,$C$2:$C$19=$C25,_xlpm.b,$D$2:$D$19=$D25,MAX(_xlfn._xlws.FILTER(_xlpm.d,_xlpm.a*_xlpm.b)))</f>
        <v>0.75</v>
      </c>
      <c r="O25" s="1" cm="1">
        <f t="array" ref="O25">_xlfn.LET(_xlpm.d,O$2:O$19,_xlpm.a,$C$2:$C$19=$C25,_xlpm.b,$D$2:$D$19=$D25,MAX(_xlfn._xlws.FILTER(_xlpm.d,_xlpm.a*_xlpm.b)))</f>
        <v>0.77</v>
      </c>
      <c r="P25" s="1" cm="1">
        <f t="array" ref="P25">_xlfn.LET(_xlpm.d,P$2:P$19,_xlpm.a,$C$2:$C$19=$C25,_xlpm.b,$D$2:$D$19=$D25,MAX(_xlfn._xlws.FILTER(_xlpm.d,_xlpm.a*_xlpm.b)))</f>
        <v>0.75</v>
      </c>
      <c r="Q25" s="1" cm="1">
        <f t="array" ref="Q25">_xlfn.LET(_xlpm.d,Q$2:Q$19,_xlpm.a,$C$2:$C$19=$C25,_xlpm.b,$D$2:$D$19=$D25,MAX(_xlfn._xlws.FILTER(_xlpm.d,_xlpm.a*_xlpm.b)))</f>
        <v>0.68</v>
      </c>
      <c r="R25" s="1" cm="1">
        <f t="array" ref="R25">_xlfn.LET(_xlpm.d,R$2:R$19,_xlpm.a,$C$2:$C$19=$C25,_xlpm.b,$D$2:$D$19=$D25,MAX(_xlfn._xlws.FILTER(_xlpm.d,_xlpm.a*_xlpm.b)))</f>
        <v>0.7</v>
      </c>
      <c r="S25" s="1" cm="1">
        <f t="array" ref="S25">_xlfn.LET(_xlpm.d,S$2:S$19,_xlpm.a,$C$2:$C$19=$C25,_xlpm.b,$D$2:$D$19=$D25,MAX(_xlfn._xlws.FILTER(_xlpm.d,_xlpm.a*_xlpm.b)))</f>
        <v>0.82</v>
      </c>
    </row>
    <row r="26" spans="1:19" ht="25" customHeight="1">
      <c r="B26">
        <v>2</v>
      </c>
      <c r="C26" t="s">
        <v>24</v>
      </c>
      <c r="D26" t="b">
        <v>0</v>
      </c>
      <c r="E26">
        <v>1</v>
      </c>
      <c r="F26" t="s">
        <v>18</v>
      </c>
      <c r="G26" s="1" cm="1">
        <f t="array" ref="G26">_xlfn.LET(_xlpm.d,G$2:G$19,_xlpm.a,$C$2:$C$19=$C26,_xlpm.b,$D$2:$D$19=$D26,MAX(_xlfn._xlws.FILTER(_xlpm.d,_xlpm.a*_xlpm.b)))</f>
        <v>0.72</v>
      </c>
      <c r="H26" s="1" cm="1">
        <f t="array" ref="H26">_xlfn.LET(_xlpm.d,H$2:H$19,_xlpm.a,$C$2:$C$19=$C26,_xlpm.b,$D$2:$D$19=$D26,MAX(_xlfn._xlws.FILTER(_xlpm.d,_xlpm.a*_xlpm.b)))</f>
        <v>0.71</v>
      </c>
      <c r="I26" s="1" cm="1">
        <f t="array" ref="I26">_xlfn.LET(_xlpm.d,I$2:I$19,_xlpm.a,$C$2:$C$19=$C26,_xlpm.b,$D$2:$D$19=$D26,MAX(_xlfn._xlws.FILTER(_xlpm.d,_xlpm.a*_xlpm.b)))</f>
        <v>0.73</v>
      </c>
      <c r="J26" s="1" cm="1">
        <f t="array" ref="J26">_xlfn.LET(_xlpm.d,J$2:J$19,_xlpm.a,$C$2:$C$19=$C26,_xlpm.b,$D$2:$D$19=$D26,MAX(_xlfn._xlws.FILTER(_xlpm.d,_xlpm.a*_xlpm.b)))</f>
        <v>0.72</v>
      </c>
      <c r="K26" s="1" cm="1">
        <f t="array" ref="K26">_xlfn.LET(_xlpm.d,K$2:K$19,_xlpm.a,$C$2:$C$19=$C26,_xlpm.b,$D$2:$D$19=$D26,MAX(_xlfn._xlws.FILTER(_xlpm.d,_xlpm.a*_xlpm.b)))</f>
        <v>0.75</v>
      </c>
      <c r="L26" s="1" cm="1">
        <f t="array" ref="L26">_xlfn.LET(_xlpm.d,L$2:L$19,_xlpm.a,$C$2:$C$19=$C26,_xlpm.b,$D$2:$D$19=$D26,MAX(_xlfn._xlws.FILTER(_xlpm.d,_xlpm.a*_xlpm.b)))</f>
        <v>0.71</v>
      </c>
      <c r="M26" s="1" cm="1">
        <f t="array" ref="M26">_xlfn.LET(_xlpm.d,M$2:M$19,_xlpm.a,$C$2:$C$19=$C26,_xlpm.b,$D$2:$D$19=$D26,MAX(_xlfn._xlws.FILTER(_xlpm.d,_xlpm.a*_xlpm.b)))</f>
        <v>0.72</v>
      </c>
      <c r="N26" s="1" cm="1">
        <f t="array" ref="N26">_xlfn.LET(_xlpm.d,N$2:N$19,_xlpm.a,$C$2:$C$19=$C26,_xlpm.b,$D$2:$D$19=$D26,MAX(_xlfn._xlws.FILTER(_xlpm.d,_xlpm.a*_xlpm.b)))</f>
        <v>0.7</v>
      </c>
      <c r="O26" s="1" cm="1">
        <f t="array" ref="O26">_xlfn.LET(_xlpm.d,O$2:O$19,_xlpm.a,$C$2:$C$19=$C26,_xlpm.b,$D$2:$D$19=$D26,MAX(_xlfn._xlws.FILTER(_xlpm.d,_xlpm.a*_xlpm.b)))</f>
        <v>0.73</v>
      </c>
      <c r="P26" s="1" cm="1">
        <f t="array" ref="P26">_xlfn.LET(_xlpm.d,P$2:P$19,_xlpm.a,$C$2:$C$19=$C26,_xlpm.b,$D$2:$D$19=$D26,MAX(_xlfn._xlws.FILTER(_xlpm.d,_xlpm.a*_xlpm.b)))</f>
        <v>0.74</v>
      </c>
      <c r="Q26" s="1" cm="1">
        <f t="array" ref="Q26">_xlfn.LET(_xlpm.d,Q$2:Q$19,_xlpm.a,$C$2:$C$19=$C26,_xlpm.b,$D$2:$D$19=$D26,MAX(_xlfn._xlws.FILTER(_xlpm.d,_xlpm.a*_xlpm.b)))</f>
        <v>0.64</v>
      </c>
      <c r="R26" s="1" cm="1">
        <f t="array" ref="R26">_xlfn.LET(_xlpm.d,R$2:R$19,_xlpm.a,$C$2:$C$19=$C26,_xlpm.b,$D$2:$D$19=$D26,MAX(_xlfn._xlws.FILTER(_xlpm.d,_xlpm.a*_xlpm.b)))</f>
        <v>0.71</v>
      </c>
      <c r="S26" s="1" cm="1">
        <f t="array" ref="S26">_xlfn.LET(_xlpm.d,S$2:S$19,_xlpm.a,$C$2:$C$19=$C26,_xlpm.b,$D$2:$D$19=$D26,MAX(_xlfn._xlws.FILTER(_xlpm.d,_xlpm.a*_xlpm.b)))</f>
        <v>0.75</v>
      </c>
    </row>
    <row r="27" spans="1:19" ht="25" customHeight="1">
      <c r="B27">
        <v>3</v>
      </c>
      <c r="C27" t="s">
        <v>25</v>
      </c>
      <c r="D27" t="b">
        <v>1</v>
      </c>
      <c r="E27">
        <v>1</v>
      </c>
      <c r="F27" t="s">
        <v>18</v>
      </c>
      <c r="G27" s="1" cm="1">
        <f t="array" ref="G27">_xlfn.LET(_xlpm.d,G$2:G$19,_xlpm.a,$C$2:$C$19=$C27,_xlpm.b,$D$2:$D$19=$D27,MAX(_xlfn._xlws.FILTER(_xlpm.d,_xlpm.a*_xlpm.b)))</f>
        <v>0.92</v>
      </c>
      <c r="H27" s="1" cm="1">
        <f t="array" ref="H27">_xlfn.LET(_xlpm.d,H$2:H$19,_xlpm.a,$C$2:$C$19=$C27,_xlpm.b,$D$2:$D$19=$D27,MAX(_xlfn._xlws.FILTER(_xlpm.d,_xlpm.a*_xlpm.b)))</f>
        <v>0.98</v>
      </c>
      <c r="I27" s="1" cm="1">
        <f t="array" ref="I27">_xlfn.LET(_xlpm.d,I$2:I$19,_xlpm.a,$C$2:$C$19=$C27,_xlpm.b,$D$2:$D$19=$D27,MAX(_xlfn._xlws.FILTER(_xlpm.d,_xlpm.a*_xlpm.b)))</f>
        <v>0.98</v>
      </c>
      <c r="J27" s="1" cm="1">
        <f t="array" ref="J27">_xlfn.LET(_xlpm.d,J$2:J$19,_xlpm.a,$C$2:$C$19=$C27,_xlpm.b,$D$2:$D$19=$D27,MAX(_xlfn._xlws.FILTER(_xlpm.d,_xlpm.a*_xlpm.b)))</f>
        <v>0.95</v>
      </c>
      <c r="K27" s="1" cm="1">
        <f t="array" ref="K27">_xlfn.LET(_xlpm.d,K$2:K$19,_xlpm.a,$C$2:$C$19=$C27,_xlpm.b,$D$2:$D$19=$D27,MAX(_xlfn._xlws.FILTER(_xlpm.d,_xlpm.a*_xlpm.b)))</f>
        <v>0.97</v>
      </c>
      <c r="L27" s="1" cm="1">
        <f t="array" ref="L27">_xlfn.LET(_xlpm.d,L$2:L$19,_xlpm.a,$C$2:$C$19=$C27,_xlpm.b,$D$2:$D$19=$D27,MAX(_xlfn._xlws.FILTER(_xlpm.d,_xlpm.a*_xlpm.b)))</f>
        <v>0.95</v>
      </c>
      <c r="M27" s="1" cm="1">
        <f t="array" ref="M27">_xlfn.LET(_xlpm.d,M$2:M$19,_xlpm.a,$C$2:$C$19=$C27,_xlpm.b,$D$2:$D$19=$D27,MAX(_xlfn._xlws.FILTER(_xlpm.d,_xlpm.a*_xlpm.b)))</f>
        <v>0.96</v>
      </c>
      <c r="N27" s="1" cm="1">
        <f t="array" ref="N27">_xlfn.LET(_xlpm.d,N$2:N$19,_xlpm.a,$C$2:$C$19=$C27,_xlpm.b,$D$2:$D$19=$D27,MAX(_xlfn._xlws.FILTER(_xlpm.d,_xlpm.a*_xlpm.b)))</f>
        <v>0.96</v>
      </c>
      <c r="O27" s="1" cm="1">
        <f t="array" ref="O27">_xlfn.LET(_xlpm.d,O$2:O$19,_xlpm.a,$C$2:$C$19=$C27,_xlpm.b,$D$2:$D$19=$D27,MAX(_xlfn._xlws.FILTER(_xlpm.d,_xlpm.a*_xlpm.b)))</f>
        <v>0.96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0.97</v>
      </c>
      <c r="R27" s="1" cm="1">
        <f t="array" ref="R27">_xlfn.LET(_xlpm.d,R$2:R$19,_xlpm.a,$C$2:$C$19=$C27,_xlpm.b,$D$2:$D$19=$D27,MAX(_xlfn._xlws.FILTER(_xlpm.d,_xlpm.a*_xlpm.b)))</f>
        <v>0.97</v>
      </c>
      <c r="S27" s="1" cm="1">
        <f t="array" ref="S27">_xlfn.LET(_xlpm.d,S$2:S$19,_xlpm.a,$C$2:$C$19=$C27,_xlpm.b,$D$2:$D$19=$D27,MAX(_xlfn._xlws.FILTER(_xlpm.d,_xlpm.a*_xlpm.b)))</f>
        <v>0.98</v>
      </c>
    </row>
    <row r="28" spans="1:19" ht="25" customHeight="1">
      <c r="B28">
        <v>3</v>
      </c>
      <c r="C28" t="s">
        <v>25</v>
      </c>
      <c r="D28" t="b">
        <v>0</v>
      </c>
      <c r="E28">
        <v>1</v>
      </c>
      <c r="F28" t="s">
        <v>18</v>
      </c>
      <c r="G28" s="1" cm="1">
        <f t="array" ref="G28">_xlfn.LET(_xlpm.d,G$2:G$19,_xlpm.a,$C$2:$C$19=$C28,_xlpm.b,$D$2:$D$19=$D28,MAX(_xlfn._xlws.FILTER(_xlpm.d,_xlpm.a*_xlpm.b)))</f>
        <v>0.91</v>
      </c>
      <c r="H28" s="1" cm="1">
        <f t="array" ref="H28">_xlfn.LET(_xlpm.d,H$2:H$19,_xlpm.a,$C$2:$C$19=$C28,_xlpm.b,$D$2:$D$19=$D28,MAX(_xlfn._xlws.FILTER(_xlpm.d,_xlpm.a*_xlpm.b)))</f>
        <v>0.98</v>
      </c>
      <c r="I28" s="1" cm="1">
        <f t="array" ref="I28">_xlfn.LET(_xlpm.d,I$2:I$19,_xlpm.a,$C$2:$C$19=$C28,_xlpm.b,$D$2:$D$19=$D28,MAX(_xlfn._xlws.FILTER(_xlpm.d,_xlpm.a*_xlpm.b)))</f>
        <v>0.98</v>
      </c>
      <c r="J28" s="1" cm="1">
        <f t="array" ref="J28">_xlfn.LET(_xlpm.d,J$2:J$19,_xlpm.a,$C$2:$C$19=$C28,_xlpm.b,$D$2:$D$19=$D28,MAX(_xlfn._xlws.FILTER(_xlpm.d,_xlpm.a*_xlpm.b)))</f>
        <v>0.95</v>
      </c>
      <c r="K28" s="1" cm="1">
        <f t="array" ref="K28">_xlfn.LET(_xlpm.d,K$2:K$19,_xlpm.a,$C$2:$C$19=$C28,_xlpm.b,$D$2:$D$19=$D28,MAX(_xlfn._xlws.FILTER(_xlpm.d,_xlpm.a*_xlpm.b)))</f>
        <v>0.96</v>
      </c>
      <c r="L28" s="1" cm="1">
        <f t="array" ref="L28">_xlfn.LET(_xlpm.d,L$2:L$19,_xlpm.a,$C$2:$C$19=$C28,_xlpm.b,$D$2:$D$19=$D28,MAX(_xlfn._xlws.FILTER(_xlpm.d,_xlpm.a*_xlpm.b)))</f>
        <v>0.95</v>
      </c>
      <c r="M28" s="1" cm="1">
        <f t="array" ref="M28">_xlfn.LET(_xlpm.d,M$2:M$19,_xlpm.a,$C$2:$C$19=$C28,_xlpm.b,$D$2:$D$19=$D28,MAX(_xlfn._xlws.FILTER(_xlpm.d,_xlpm.a*_xlpm.b)))</f>
        <v>0.96</v>
      </c>
      <c r="N28" s="1" cm="1">
        <f t="array" ref="N28">_xlfn.LET(_xlpm.d,N$2:N$19,_xlpm.a,$C$2:$C$19=$C28,_xlpm.b,$D$2:$D$19=$D28,MAX(_xlfn._xlws.FILTER(_xlpm.d,_xlpm.a*_xlpm.b)))</f>
        <v>0.96</v>
      </c>
      <c r="O28" s="1" cm="1">
        <f t="array" ref="O28">_xlfn.LET(_xlpm.d,O$2:O$19,_xlpm.a,$C$2:$C$19=$C28,_xlpm.b,$D$2:$D$19=$D28,MAX(_xlfn._xlws.FILTER(_xlpm.d,_xlpm.a*_xlpm.b)))</f>
        <v>0.96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0.97</v>
      </c>
      <c r="R28" s="1" cm="1">
        <f t="array" ref="R28">_xlfn.LET(_xlpm.d,R$2:R$19,_xlpm.a,$C$2:$C$19=$C28,_xlpm.b,$D$2:$D$19=$D28,MAX(_xlfn._xlws.FILTER(_xlpm.d,_xlpm.a*_xlpm.b)))</f>
        <v>0.97</v>
      </c>
      <c r="S28" s="1" cm="1">
        <f t="array" ref="S28">_xlfn.LET(_xlpm.d,S$2:S$19,_xlpm.a,$C$2:$C$19=$C28,_xlpm.b,$D$2:$D$19=$D28,MAX(_xlfn._xlws.FILTER(_xlpm.d,_xlpm.a*_xlpm.b)))</f>
        <v>0.98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1.2k-xsk-mgv9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Kow Kuroda</dc:creator>
  <cp:keywords/>
  <dc:description/>
  <cp:lastModifiedBy>Kow Kuroda</cp:lastModifiedBy>
  <dcterms:created xsi:type="dcterms:W3CDTF">2025-02-25T12:51:41Z</dcterms:created>
  <dcterms:modified xsi:type="dcterms:W3CDTF">2025-02-25T12:56:28Z</dcterms:modified>
  <cp:category/>
</cp:coreProperties>
</file>