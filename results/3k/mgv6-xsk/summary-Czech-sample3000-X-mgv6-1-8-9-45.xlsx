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3k/mgv6-xsk/"/>
    </mc:Choice>
  </mc:AlternateContent>
  <xr:revisionPtr revIDLastSave="0" documentId="13_ncr:1_{72E4B262-7E1A-2D4A-96CA-B55FF5BB10CF}" xr6:coauthVersionLast="47" xr6:coauthVersionMax="47" xr10:uidLastSave="{00000000-0000-0000-0000-000000000000}"/>
  <bookViews>
    <workbookView xWindow="5200" yWindow="500" windowWidth="29860" windowHeight="18920" xr2:uid="{6741FC58-07E3-934E-BF31-BF19321D0051}"/>
  </bookViews>
  <sheets>
    <sheet name="extracts-Czech-sample3000-X-mg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R38" i="1" a="1"/>
  <c r="R38" i="1" s="1"/>
  <c r="Q38" i="1"/>
  <c r="Q38" i="1" a="1"/>
  <c r="P38" i="1" a="1"/>
  <c r="P38" i="1" s="1"/>
  <c r="O38" i="1" a="1"/>
  <c r="O38" i="1" s="1"/>
  <c r="N38" i="1" a="1"/>
  <c r="N38" i="1" s="1"/>
  <c r="M38" i="1"/>
  <c r="M38" i="1" a="1"/>
  <c r="L38" i="1" a="1"/>
  <c r="L38" i="1" s="1"/>
  <c r="K38" i="1" a="1"/>
  <c r="K38" i="1" s="1"/>
  <c r="J38" i="1" a="1"/>
  <c r="J38" i="1" s="1"/>
  <c r="I38" i="1" a="1"/>
  <c r="I38" i="1" s="1"/>
  <c r="H38" i="1" a="1"/>
  <c r="H38" i="1" s="1"/>
  <c r="G38" i="1" a="1"/>
  <c r="G38" i="1" s="1"/>
  <c r="R39" i="1" a="1"/>
  <c r="R39" i="1" s="1"/>
  <c r="Q39" i="1" a="1"/>
  <c r="Q39" i="1" s="1"/>
  <c r="P39" i="1" a="1"/>
  <c r="P39" i="1" s="1"/>
  <c r="O39" i="1"/>
  <c r="O39" i="1" a="1"/>
  <c r="N39" i="1" a="1"/>
  <c r="N39" i="1" s="1"/>
  <c r="M39" i="1" a="1"/>
  <c r="M39" i="1" s="1"/>
  <c r="L39" i="1" a="1"/>
  <c r="L39" i="1" s="1"/>
  <c r="K39" i="1" a="1"/>
  <c r="K39" i="1" s="1"/>
  <c r="J39" i="1" a="1"/>
  <c r="J39" i="1" s="1"/>
  <c r="I39" i="1" a="1"/>
  <c r="I39" i="1" s="1"/>
  <c r="H39" i="1" a="1"/>
  <c r="H39" i="1" s="1"/>
  <c r="G39" i="1" a="1"/>
  <c r="G39" i="1" s="1"/>
  <c r="S38" i="1" a="1"/>
  <c r="S38" i="1" s="1"/>
  <c r="H23" i="1" a="1"/>
  <c r="H23" i="1" s="1"/>
  <c r="I23" i="1" a="1"/>
  <c r="I23" i="1" s="1"/>
  <c r="J23" i="1" a="1"/>
  <c r="J23" i="1" s="1"/>
  <c r="K23" i="1" a="1"/>
  <c r="K23" i="1"/>
  <c r="L23" i="1" a="1"/>
  <c r="L23" i="1" s="1"/>
  <c r="M23" i="1" a="1"/>
  <c r="M23" i="1"/>
  <c r="N23" i="1" a="1"/>
  <c r="N23" i="1" s="1"/>
  <c r="O23" i="1" a="1"/>
  <c r="O23" i="1" s="1"/>
  <c r="P23" i="1" a="1"/>
  <c r="P23" i="1" s="1"/>
  <c r="Q23" i="1" a="1"/>
  <c r="Q23" i="1"/>
  <c r="R23" i="1" a="1"/>
  <c r="R23" i="1" s="1"/>
  <c r="H25" i="1" a="1"/>
  <c r="H25" i="1" s="1"/>
  <c r="I25" i="1" a="1"/>
  <c r="I25" i="1" s="1"/>
  <c r="J25" i="1" a="1"/>
  <c r="J25" i="1"/>
  <c r="K25" i="1" a="1"/>
  <c r="K25" i="1" s="1"/>
  <c r="L25" i="1" a="1"/>
  <c r="L25" i="1" s="1"/>
  <c r="M25" i="1" a="1"/>
  <c r="M25" i="1" s="1"/>
  <c r="N25" i="1" a="1"/>
  <c r="N25" i="1" s="1"/>
  <c r="O25" i="1" a="1"/>
  <c r="O25" i="1" s="1"/>
  <c r="P25" i="1" a="1"/>
  <c r="P25" i="1" s="1"/>
  <c r="Q25" i="1" a="1"/>
  <c r="Q25" i="1"/>
  <c r="R25" i="1" a="1"/>
  <c r="R25" i="1" s="1"/>
  <c r="H27" i="1" a="1"/>
  <c r="H27" i="1" s="1"/>
  <c r="I27" i="1" a="1"/>
  <c r="I27" i="1" s="1"/>
  <c r="J27" i="1" a="1"/>
  <c r="J27" i="1" s="1"/>
  <c r="K27" i="1" a="1"/>
  <c r="K27" i="1" s="1"/>
  <c r="L27" i="1" a="1"/>
  <c r="L27" i="1"/>
  <c r="M27" i="1" a="1"/>
  <c r="M27" i="1" s="1"/>
  <c r="N27" i="1" a="1"/>
  <c r="N27" i="1" s="1"/>
  <c r="O27" i="1" a="1"/>
  <c r="O27" i="1" s="1"/>
  <c r="P27" i="1" a="1"/>
  <c r="P27" i="1" s="1"/>
  <c r="Q27" i="1" a="1"/>
  <c r="Q27" i="1" s="1"/>
  <c r="R27" i="1" a="1"/>
  <c r="R27" i="1"/>
  <c r="H29" i="1" a="1"/>
  <c r="H29" i="1"/>
  <c r="I29" i="1" a="1"/>
  <c r="I29" i="1" s="1"/>
  <c r="J29" i="1" a="1"/>
  <c r="J29" i="1" s="1"/>
  <c r="K29" i="1" a="1"/>
  <c r="K29" i="1"/>
  <c r="L29" i="1" a="1"/>
  <c r="L29" i="1"/>
  <c r="M29" i="1" a="1"/>
  <c r="M29" i="1" s="1"/>
  <c r="N29" i="1" a="1"/>
  <c r="N29" i="1" s="1"/>
  <c r="O29" i="1" a="1"/>
  <c r="O29" i="1" s="1"/>
  <c r="P29" i="1" a="1"/>
  <c r="P29" i="1" s="1"/>
  <c r="Q29" i="1" a="1"/>
  <c r="Q29" i="1"/>
  <c r="R29" i="1" a="1"/>
  <c r="R29" i="1" s="1"/>
  <c r="H31" i="1" a="1"/>
  <c r="H31" i="1" s="1"/>
  <c r="I31" i="1" a="1"/>
  <c r="I31" i="1" s="1"/>
  <c r="J31" i="1" a="1"/>
  <c r="J31" i="1" s="1"/>
  <c r="K31" i="1" a="1"/>
  <c r="K31" i="1" s="1"/>
  <c r="L31" i="1" a="1"/>
  <c r="L31" i="1" s="1"/>
  <c r="M31" i="1" a="1"/>
  <c r="M31" i="1" s="1"/>
  <c r="N31" i="1" a="1"/>
  <c r="N31" i="1" s="1"/>
  <c r="O31" i="1" a="1"/>
  <c r="O31" i="1" s="1"/>
  <c r="P31" i="1" a="1"/>
  <c r="P31" i="1" s="1"/>
  <c r="Q31" i="1" a="1"/>
  <c r="Q31" i="1"/>
  <c r="R31" i="1" a="1"/>
  <c r="R31" i="1" s="1"/>
  <c r="H33" i="1" a="1"/>
  <c r="H33" i="1" s="1"/>
  <c r="I33" i="1" a="1"/>
  <c r="I33" i="1" s="1"/>
  <c r="J33" i="1" a="1"/>
  <c r="J33" i="1"/>
  <c r="K33" i="1" a="1"/>
  <c r="K33" i="1" s="1"/>
  <c r="L33" i="1" a="1"/>
  <c r="L33" i="1" s="1"/>
  <c r="M33" i="1" a="1"/>
  <c r="M33" i="1" s="1"/>
  <c r="N33" i="1" a="1"/>
  <c r="N33" i="1" s="1"/>
  <c r="O33" i="1" a="1"/>
  <c r="O33" i="1"/>
  <c r="P33" i="1" a="1"/>
  <c r="P33" i="1"/>
  <c r="Q33" i="1" a="1"/>
  <c r="Q33" i="1" s="1"/>
  <c r="R33" i="1" a="1"/>
  <c r="R33" i="1" s="1"/>
  <c r="G33" i="1" a="1"/>
  <c r="G33" i="1" s="1"/>
  <c r="G31" i="1" a="1"/>
  <c r="G31" i="1" s="1"/>
  <c r="G29" i="1" a="1"/>
  <c r="G29" i="1" s="1"/>
  <c r="G27" i="1" a="1"/>
  <c r="G27" i="1" s="1"/>
  <c r="G23" i="1" a="1"/>
  <c r="G23" i="1" s="1"/>
  <c r="G25" i="1" a="1"/>
  <c r="G25" i="1" s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Q34" i="1" l="1"/>
  <c r="M32" i="1"/>
  <c r="R30" i="1"/>
  <c r="O28" i="1"/>
  <c r="R24" i="1"/>
  <c r="I26" i="1"/>
  <c r="O24" i="1"/>
  <c r="J24" i="1"/>
  <c r="L32" i="1"/>
  <c r="N28" i="1"/>
  <c r="K26" i="1"/>
  <c r="P26" i="1"/>
  <c r="H26" i="1"/>
  <c r="K32" i="1"/>
  <c r="H28" i="1"/>
  <c r="K24" i="1"/>
  <c r="P24" i="1"/>
  <c r="R26" i="1"/>
  <c r="Q28" i="1"/>
  <c r="P34" i="1"/>
  <c r="Q30" i="1"/>
  <c r="L24" i="1"/>
  <c r="L30" i="1"/>
  <c r="J26" i="1"/>
  <c r="O34" i="1"/>
  <c r="R28" i="1"/>
  <c r="N26" i="1"/>
  <c r="P32" i="1"/>
  <c r="N34" i="1"/>
  <c r="I32" i="1"/>
  <c r="O30" i="1"/>
  <c r="I34" i="1"/>
  <c r="K34" i="1"/>
  <c r="J34" i="1"/>
  <c r="L34" i="1"/>
  <c r="M30" i="1"/>
  <c r="J30" i="1"/>
  <c r="P28" i="1"/>
  <c r="K28" i="1"/>
  <c r="Q26" i="1"/>
  <c r="N24" i="1"/>
  <c r="R32" i="1"/>
  <c r="H30" i="1"/>
  <c r="L28" i="1"/>
  <c r="I28" i="1"/>
  <c r="Q32" i="1"/>
  <c r="O26" i="1"/>
  <c r="P30" i="1"/>
  <c r="M28" i="1"/>
  <c r="J32" i="1"/>
  <c r="O32" i="1"/>
  <c r="M34" i="1"/>
  <c r="R34" i="1"/>
  <c r="N32" i="1"/>
  <c r="H32" i="1"/>
  <c r="N30" i="1"/>
  <c r="I30" i="1"/>
  <c r="J28" i="1"/>
  <c r="Q24" i="1"/>
  <c r="H24" i="1"/>
  <c r="I24" i="1"/>
  <c r="M24" i="1"/>
  <c r="S33" i="1"/>
  <c r="L26" i="1"/>
  <c r="K30" i="1"/>
  <c r="H34" i="1"/>
  <c r="S31" i="1"/>
  <c r="M26" i="1"/>
  <c r="S27" i="1"/>
  <c r="S29" i="1"/>
  <c r="S25" i="1"/>
  <c r="S23" i="1"/>
  <c r="G34" i="1"/>
  <c r="G32" i="1"/>
  <c r="G30" i="1"/>
  <c r="G28" i="1"/>
  <c r="G2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<sst xmlns="http://schemas.openxmlformats.org/spreadsheetml/2006/main" count="127" uniqueCount="30">
  <si>
    <t>lang</t>
  </si>
  <si>
    <t>attribute</t>
  </si>
  <si>
    <t>supplement</t>
  </si>
  <si>
    <t>method</t>
  </si>
  <si>
    <t>2gram-no-hash</t>
  </si>
  <si>
    <t>3gram-no-hash</t>
  </si>
  <si>
    <t>4gram-no-hash</t>
  </si>
  <si>
    <t>sk2gram-no-hash</t>
  </si>
  <si>
    <t>sk3gram-no-hash</t>
  </si>
  <si>
    <t>sk4gram-no-hash</t>
  </si>
  <si>
    <t>2gram-hash-at-both</t>
  </si>
  <si>
    <t>3gram-hash-at-both</t>
  </si>
  <si>
    <t>4gram-hash-at-both</t>
  </si>
  <si>
    <t>sk2gram-hash-at-both</t>
  </si>
  <si>
    <t>sk3gram-hash-at-both</t>
  </si>
  <si>
    <t>sk4gram-hash-at-both</t>
  </si>
  <si>
    <t>Czech</t>
  </si>
  <si>
    <t>plurality</t>
  </si>
  <si>
    <t>NN</t>
  </si>
  <si>
    <t>RF</t>
  </si>
  <si>
    <t>DT</t>
  </si>
  <si>
    <t>gender</t>
  </si>
  <si>
    <t>case</t>
  </si>
  <si>
    <t>max</t>
  </si>
  <si>
    <t>method.index</t>
  </si>
  <si>
    <t>attr.index</t>
  </si>
  <si>
    <t>rank.max</t>
  </si>
  <si>
    <t>metric</t>
  </si>
  <si>
    <t>max.geomean</t>
  </si>
  <si>
    <t>rank.max.geomean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</si>
</sst>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b/>
      <sz val="13"/>
      <color theme="0"/>
      <name val="LucidaSansUnicode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2" fontId="0" fillId="0" borderId="0" xfId="0" applyNumberFormat="1"/>
    <xf numFmtId="2" fontId="0" fillId="0" borderId="2" xfId="0" applyNumberFormat="1" applyFont="1" applyBorder="1"/>
    <xf numFmtId="0" fontId="0" fillId="3" borderId="4" xfId="0" applyFont="1" applyFill="1" applyBorder="1"/>
    <xf numFmtId="2" fontId="0" fillId="3" borderId="5" xfId="0" applyNumberFormat="1" applyFont="1" applyFill="1" applyBorder="1"/>
    <xf numFmtId="2" fontId="0" fillId="3" borderId="6" xfId="0" applyNumberFormat="1" applyFont="1" applyFill="1" applyBorder="1"/>
    <xf numFmtId="0" fontId="1" fillId="2" borderId="7" xfId="0" applyFont="1" applyFill="1" applyBorder="1"/>
    <xf numFmtId="0" fontId="1" fillId="2" borderId="0" xfId="0" applyFont="1" applyFill="1" applyBorder="1"/>
    <xf numFmtId="0" fontId="1" fillId="2" borderId="8" xfId="0" applyFont="1" applyFill="1" applyBorder="1"/>
  </cellXfs>
  <cellStyles count="1">
    <cellStyle name="Normal" xfId="0" builtinId="0"/>
  </cellStyles>
  <dxfs count="2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5ECEE-449C-7349-9026-EA38DC39217F}" name="Table1" displayName="Table1" ref="A1:S19" totalsRowShown="0">
  <autoFilter ref="A1:S19" xr:uid="{EEA5ECEE-449C-7349-9026-EA38DC39217F}"/>
  <sortState xmlns:xlrd2="http://schemas.microsoft.com/office/spreadsheetml/2017/richdata2" ref="A2:S19">
    <sortCondition ref="B1:B19"/>
  </sortState>
  <tableColumns count="19">
    <tableColumn id="1" xr3:uid="{8FDA2281-CEE0-5D45-9D86-20E30278DBCB}" name="lang"/>
    <tableColumn id="19" xr3:uid="{E7DAE428-84F7-0E4B-932B-FDFE1BE25203}" name="attr.index"/>
    <tableColumn id="2" xr3:uid="{94AE299C-3F4C-C647-9965-0919A883400E}" name="attribute"/>
    <tableColumn id="3" xr3:uid="{E8370AEA-4272-3646-B5D5-C53611826A09}" name="supplement"/>
    <tableColumn id="18" xr3:uid="{00263259-EEE1-4D4B-9CB7-B82C4F8B94ED}" name="method.index"/>
    <tableColumn id="4" xr3:uid="{1E052A55-E8E7-344A-A602-0469E2A57FB4}" name="method"/>
    <tableColumn id="5" xr3:uid="{44B970AF-53CB-1941-A4A7-C8CEAF9A711A}" name="2gram-no-hash" dataDxfId="26"/>
    <tableColumn id="6" xr3:uid="{6E4DB4A4-0910-174D-BAC5-7E88FFA44E2E}" name="3gram-no-hash" dataDxfId="25"/>
    <tableColumn id="7" xr3:uid="{11321E1F-484D-7E46-87CD-1B241B9A007B}" name="4gram-no-hash" dataDxfId="24"/>
    <tableColumn id="8" xr3:uid="{79DFFC75-B757-5C44-A0E4-850113FD48C0}" name="sk2gram-no-hash" dataDxfId="23"/>
    <tableColumn id="9" xr3:uid="{D0CA451B-B2A5-0640-8E67-D172512477D7}" name="sk3gram-no-hash" dataDxfId="22"/>
    <tableColumn id="10" xr3:uid="{42D8E13F-BAE5-0842-AD81-47DF5C4A82DF}" name="sk4gram-no-hash" dataDxfId="21"/>
    <tableColumn id="11" xr3:uid="{0955A917-BF20-A54D-BAC8-89553F64B66B}" name="2gram-hash-at-both" dataDxfId="20"/>
    <tableColumn id="12" xr3:uid="{8C04DE2F-4E83-B047-BCB3-4E9F1D52CDA4}" name="3gram-hash-at-both" dataDxfId="19"/>
    <tableColumn id="13" xr3:uid="{D1E6A447-507A-DF45-9EC8-9298C735D294}" name="4gram-hash-at-both" dataDxfId="18"/>
    <tableColumn id="14" xr3:uid="{48F5DC02-BB0D-4B41-B389-81F0327FFB1F}" name="sk2gram-hash-at-both" dataDxfId="17"/>
    <tableColumn id="15" xr3:uid="{5E3DCA25-EC2E-6747-977C-C5BB9D29536D}" name="sk3gram-hash-at-both" dataDxfId="16"/>
    <tableColumn id="16" xr3:uid="{C810CDE7-3FDA-3444-BB89-3A705009627E}" name="sk4gram-hash-at-both" dataDxfId="15"/>
    <tableColumn id="17" xr3:uid="{5DD487BE-0488-8743-920C-D672BA37179F}" name="max" dataDxfId="14">
      <calculatedColumnFormula>_xlfn.LET(_xlpm.d,$G2:$R2,MAX(_xlpm.d))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A564AB-6F0D-764C-9275-C0A6BED1D7E4}" name="Table3" displayName="Table3" ref="F22:S34" totalsRowShown="0" headerRowDxfId="12" tableBorderDxfId="13">
  <autoFilter ref="F22:S34" xr:uid="{ECA564AB-6F0D-764C-9275-C0A6BED1D7E4}"/>
  <tableColumns count="14">
    <tableColumn id="1" xr3:uid="{68A6ABD2-713D-9344-BBCA-2B325EB9085F}" name="metric"/>
    <tableColumn id="2" xr3:uid="{0E122255-1337-574E-9123-E5A1860E68BB}" name="2gram-no-hash"/>
    <tableColumn id="3" xr3:uid="{A0707149-C709-ED42-B81F-AC1E507A5487}" name="3gram-no-hash"/>
    <tableColumn id="4" xr3:uid="{5E263A82-317A-1E48-B873-CAF4605B43DA}" name="4gram-no-hash"/>
    <tableColumn id="5" xr3:uid="{8F235E88-D152-BA47-9EA0-9FE9A9792517}" name="sk2gram-no-hash"/>
    <tableColumn id="6" xr3:uid="{AF43C2F1-DCD3-894C-8280-839143890570}" name="sk3gram-no-hash"/>
    <tableColumn id="7" xr3:uid="{E52950F5-1EB7-7040-942C-61398FDA75D0}" name="sk4gram-no-hash"/>
    <tableColumn id="8" xr3:uid="{8679D9E1-FA23-AD47-8B2B-57753C900054}" name="2gram-hash-at-both"/>
    <tableColumn id="9" xr3:uid="{00C3C010-2A4D-3849-8FC3-E850271278BF}" name="3gram-hash-at-both"/>
    <tableColumn id="10" xr3:uid="{4913513F-C480-B145-BE4D-0F2DBA083A74}" name="4gram-hash-at-both"/>
    <tableColumn id="11" xr3:uid="{5AFFEF5D-83E3-B647-AA1B-0D2150B5C19C}" name="sk2gram-hash-at-both"/>
    <tableColumn id="12" xr3:uid="{9CDB85B2-F7CC-374F-B465-784337B8315C}" name="sk3gram-hash-at-both"/>
    <tableColumn id="13" xr3:uid="{48EC62DB-ECF9-B44A-BF24-4E191FD285C7}" name="sk4gram-hash-at-both"/>
    <tableColumn id="14" xr3:uid="{82BE4494-9A42-4B4C-A8AC-EB41B34151CB}" name="ma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FFC6BB-01A3-6F4E-B495-4101F22D06B8}" name="Table4" displayName="Table4" ref="F37:S39" totalsRowShown="0">
  <autoFilter ref="F37:S39" xr:uid="{E9FFC6BB-01A3-6F4E-B495-4101F22D06B8}"/>
  <tableColumns count="14">
    <tableColumn id="1" xr3:uid="{36F5B356-F689-0A4A-B593-134CD1D53E37}" name="metric"/>
    <tableColumn id="2" xr3:uid="{12EC3D2F-E471-1B46-942C-71270701D512}" name="2gram-no-hash" dataDxfId="11">
      <calculatedColumnFormula array="1">_xlfn.LET(_xlpm.d,G$23:G$34,_xlpm.c,$F$23:$F$34="rank.max",AVERAGE(_xlfn._xlws.FILTER(_xlpm.d,_xlpm.c)))</calculatedColumnFormula>
    </tableColumn>
    <tableColumn id="3" xr3:uid="{A870CDAA-7C4B-BB42-A5D2-8702B23392AA}" name="3gram-no-hash" dataDxfId="10">
      <calculatedColumnFormula array="1">_xlfn.LET(_xlpm.d,H$23:H$34,_xlpm.c,$F$23:$F$34="rank.max",AVERAGE(_xlfn._xlws.FILTER(_xlpm.d,_xlpm.c)))</calculatedColumnFormula>
    </tableColumn>
    <tableColumn id="4" xr3:uid="{4085085A-AEB4-BF4F-A891-075AE72DC5D7}" name="4gram-no-hash" dataDxfId="9">
      <calculatedColumnFormula array="1">_xlfn.LET(_xlpm.d,I$23:I$34,_xlpm.c,$F$23:$F$34="rank.max",AVERAGE(_xlfn._xlws.FILTER(_xlpm.d,_xlpm.c)))</calculatedColumnFormula>
    </tableColumn>
    <tableColumn id="5" xr3:uid="{70E34E81-C790-DF47-B232-CB6DFF679553}" name="sk2gram-no-hash" dataDxfId="8">
      <calculatedColumnFormula array="1">_xlfn.LET(_xlpm.d,J$23:J$34,_xlpm.c,$F$23:$F$34="rank.max",AVERAGE(_xlfn._xlws.FILTER(_xlpm.d,_xlpm.c)))</calculatedColumnFormula>
    </tableColumn>
    <tableColumn id="6" xr3:uid="{6E21F308-F604-3E4B-9EFB-44C4F72E8858}" name="sk3gram-no-hash" dataDxfId="7">
      <calculatedColumnFormula array="1">_xlfn.LET(_xlpm.d,K$23:K$34,_xlpm.c,$F$23:$F$34="rank.max",AVERAGE(_xlfn._xlws.FILTER(_xlpm.d,_xlpm.c)))</calculatedColumnFormula>
    </tableColumn>
    <tableColumn id="7" xr3:uid="{BF9FC03F-4CD8-7B43-893F-AF7EBBEBD06C}" name="sk4gram-no-hash" dataDxfId="6">
      <calculatedColumnFormula array="1">_xlfn.LET(_xlpm.d,L$23:L$34,_xlpm.c,$F$23:$F$34="rank.max",AVERAGE(_xlfn._xlws.FILTER(_xlpm.d,_xlpm.c)))</calculatedColumnFormula>
    </tableColumn>
    <tableColumn id="8" xr3:uid="{0073E197-57FA-F44B-837C-FA4106806B3D}" name="2gram-hash-at-both" dataDxfId="5">
      <calculatedColumnFormula array="1">_xlfn.LET(_xlpm.d,M$23:M$34,_xlpm.c,$F$23:$F$34="rank.max",AVERAGE(_xlfn._xlws.FILTER(_xlpm.d,_xlpm.c)))</calculatedColumnFormula>
    </tableColumn>
    <tableColumn id="9" xr3:uid="{5BEF7EE7-A6ED-8242-AE5A-9BCD2E4D8D31}" name="3gram-hash-at-both" dataDxfId="4">
      <calculatedColumnFormula array="1">_xlfn.LET(_xlpm.d,N$23:N$34,_xlpm.c,$F$23:$F$34="rank.max",AVERAGE(_xlfn._xlws.FILTER(_xlpm.d,_xlpm.c)))</calculatedColumnFormula>
    </tableColumn>
    <tableColumn id="10" xr3:uid="{07FC622D-1E9D-0D47-BFB4-5EBEC739EBBE}" name="4gram-hash-at-both" dataDxfId="3">
      <calculatedColumnFormula array="1">_xlfn.LET(_xlpm.d,O$23:O$34,_xlpm.c,$F$23:$F$34="rank.max",AVERAGE(_xlfn._xlws.FILTER(_xlpm.d,_xlpm.c)))</calculatedColumnFormula>
    </tableColumn>
    <tableColumn id="11" xr3:uid="{7D7BD329-1900-FF4D-BC98-DB4D7D10E8C7}" name="sk2gram-hash-at-both" dataDxfId="2">
      <calculatedColumnFormula array="1">_xlfn.LET(_xlpm.d,P$23:P$34,_xlpm.c,$F$23:$F$34="rank.max",AVERAGE(_xlfn._xlws.FILTER(_xlpm.d,_xlpm.c)))</calculatedColumnFormula>
    </tableColumn>
    <tableColumn id="12" xr3:uid="{E6024443-38A7-2140-8C3D-551914F78101}" name="sk3gram-hash-at-both" dataDxfId="1">
      <calculatedColumnFormula array="1">_xlfn.LET(_xlpm.d,Q$23:Q$34,_xlpm.c,$F$23:$F$34="rank.max",AVERAGE(_xlfn._xlws.FILTER(_xlpm.d,_xlpm.c)))</calculatedColumnFormula>
    </tableColumn>
    <tableColumn id="13" xr3:uid="{35CC57A9-CD2C-8D47-9895-BA495EC666DD}" name="sk4gram-hash-at-both" dataDxfId="0">
      <calculatedColumnFormula array="1">_xlfn.LET(_xlpm.d,R$23:R$34,_xlpm.c,$F$23:$F$34="rank.max",AVERAGE(_xlfn._xlws.FILTER(_xlpm.d,_xlpm.c)))</calculatedColumnFormula>
    </tableColumn>
    <tableColumn id="14" xr3:uid="{7DC4928D-6C07-B04D-AFAC-C8969C5C770F}" name="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EF2C-25BA-F74B-9A0F-A213681087FE}">
  <dimension ref="A1:S39"/>
  <sheetViews>
    <sheetView tabSelected="1" topLeftCell="B1" workbookViewId="0">
      <pane xSplit="10780" ySplit="3080" topLeftCell="F37" activePane="bottomLeft"/>
      <selection activeCell="F1" sqref="F1:F1048576"/>
      <selection pane="topRight" activeCell="W3" sqref="W3"/>
      <selection pane="bottomLeft" activeCell="D50" sqref="D50"/>
      <selection pane="bottomRight" activeCell="Q38" sqref="Q38"/>
    </sheetView>
  </sheetViews>
  <sheetFormatPr baseColWidth="10" defaultRowHeight="27" customHeight="1"/>
  <cols>
    <col min="1" max="1" width="9" customWidth="1"/>
    <col min="2" max="2" width="5.5" customWidth="1"/>
    <col min="3" max="3" width="10.5" customWidth="1"/>
    <col min="4" max="4" width="8.75" customWidth="1"/>
    <col min="5" max="5" width="4.875" customWidth="1"/>
    <col min="6" max="6" width="11.125" customWidth="1"/>
    <col min="7" max="19" width="8.125" customWidth="1"/>
  </cols>
  <sheetData>
    <row r="1" spans="1:19" ht="27" customHeight="1">
      <c r="A1" t="s">
        <v>0</v>
      </c>
      <c r="B1" t="s">
        <v>25</v>
      </c>
      <c r="C1" t="s">
        <v>1</v>
      </c>
      <c r="D1" t="s">
        <v>2</v>
      </c>
      <c r="E1" t="s">
        <v>24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23</v>
      </c>
    </row>
    <row r="2" spans="1:19" ht="27" customHeight="1">
      <c r="A2" t="s">
        <v>16</v>
      </c>
      <c r="B2">
        <v>1</v>
      </c>
      <c r="C2" t="s">
        <v>21</v>
      </c>
      <c r="D2" t="b">
        <v>1</v>
      </c>
      <c r="E2">
        <v>1</v>
      </c>
      <c r="F2" t="s">
        <v>20</v>
      </c>
      <c r="G2" s="4">
        <v>0.57999999999999996</v>
      </c>
      <c r="H2" s="4">
        <v>0.6</v>
      </c>
      <c r="I2" s="4">
        <v>0.54</v>
      </c>
      <c r="J2" s="4">
        <v>0.5</v>
      </c>
      <c r="K2" s="4">
        <v>0.48</v>
      </c>
      <c r="L2" s="4">
        <v>0.51</v>
      </c>
      <c r="M2" s="4">
        <v>0.59</v>
      </c>
      <c r="N2" s="4">
        <v>0.54</v>
      </c>
      <c r="O2" s="4">
        <v>0.55000000000000004</v>
      </c>
      <c r="P2" s="4">
        <v>0.53</v>
      </c>
      <c r="Q2" s="4">
        <v>0.45</v>
      </c>
      <c r="R2" s="4">
        <v>0.5</v>
      </c>
      <c r="S2" s="4">
        <f t="shared" ref="S2:S19" si="0">_xlfn.LET(_xlpm.d,$G2:$R2,MAX(_xlpm.d))</f>
        <v>0.6</v>
      </c>
    </row>
    <row r="3" spans="1:19" ht="27" customHeight="1">
      <c r="A3" t="s">
        <v>16</v>
      </c>
      <c r="B3">
        <v>1</v>
      </c>
      <c r="C3" t="s">
        <v>21</v>
      </c>
      <c r="D3" t="b">
        <v>1</v>
      </c>
      <c r="E3">
        <v>2</v>
      </c>
      <c r="F3" t="s">
        <v>19</v>
      </c>
      <c r="G3" s="4">
        <v>0.7</v>
      </c>
      <c r="H3" s="4">
        <v>0.71</v>
      </c>
      <c r="I3" s="4">
        <v>0.71</v>
      </c>
      <c r="J3" s="4">
        <v>0.74</v>
      </c>
      <c r="K3" s="4">
        <v>0.57999999999999996</v>
      </c>
      <c r="L3" s="4">
        <v>0.65</v>
      </c>
      <c r="M3" s="4">
        <v>0.74</v>
      </c>
      <c r="N3" s="4">
        <v>0.68</v>
      </c>
      <c r="O3" s="4">
        <v>0.7</v>
      </c>
      <c r="P3" s="4">
        <v>0.7</v>
      </c>
      <c r="Q3" s="4">
        <v>0.63</v>
      </c>
      <c r="R3" s="4">
        <v>0.63</v>
      </c>
      <c r="S3" s="4">
        <f t="shared" si="0"/>
        <v>0.74</v>
      </c>
    </row>
    <row r="4" spans="1:19" ht="27" customHeight="1">
      <c r="A4" t="s">
        <v>16</v>
      </c>
      <c r="B4">
        <v>1</v>
      </c>
      <c r="C4" t="s">
        <v>21</v>
      </c>
      <c r="D4" t="b">
        <v>1</v>
      </c>
      <c r="E4">
        <v>3</v>
      </c>
      <c r="F4" t="s">
        <v>18</v>
      </c>
      <c r="G4" s="4">
        <v>0.68</v>
      </c>
      <c r="H4" s="4">
        <v>0.74</v>
      </c>
      <c r="I4" s="4">
        <v>0.68</v>
      </c>
      <c r="J4" s="4">
        <v>0.74</v>
      </c>
      <c r="K4" s="4">
        <v>0.67</v>
      </c>
      <c r="L4" s="4">
        <v>0.72</v>
      </c>
      <c r="M4" s="4">
        <v>0.68</v>
      </c>
      <c r="N4" s="4">
        <v>0.7</v>
      </c>
      <c r="O4" s="4">
        <v>0.68</v>
      </c>
      <c r="P4" s="4">
        <v>0.67</v>
      </c>
      <c r="Q4" s="4">
        <v>0.67</v>
      </c>
      <c r="R4" s="4">
        <v>0.7</v>
      </c>
      <c r="S4" s="4">
        <f t="shared" si="0"/>
        <v>0.74</v>
      </c>
    </row>
    <row r="5" spans="1:19" ht="27" customHeight="1">
      <c r="A5" t="s">
        <v>16</v>
      </c>
      <c r="B5">
        <v>1</v>
      </c>
      <c r="C5" t="s">
        <v>21</v>
      </c>
      <c r="D5" t="b">
        <v>0</v>
      </c>
      <c r="E5">
        <v>1</v>
      </c>
      <c r="F5" t="s">
        <v>20</v>
      </c>
      <c r="G5" s="4">
        <v>0.56000000000000005</v>
      </c>
      <c r="H5" s="4">
        <v>0.56000000000000005</v>
      </c>
      <c r="I5" s="4">
        <v>0.55000000000000004</v>
      </c>
      <c r="J5" s="4">
        <v>0.55000000000000004</v>
      </c>
      <c r="K5" s="4">
        <v>0.53</v>
      </c>
      <c r="L5" s="4">
        <v>0.44</v>
      </c>
      <c r="M5" s="4">
        <v>0.6</v>
      </c>
      <c r="N5" s="4">
        <v>0.55000000000000004</v>
      </c>
      <c r="O5" s="4">
        <v>0.59</v>
      </c>
      <c r="P5" s="4">
        <v>0.55000000000000004</v>
      </c>
      <c r="Q5" s="4">
        <v>0.48</v>
      </c>
      <c r="R5" s="4">
        <v>0.54</v>
      </c>
      <c r="S5" s="4">
        <f t="shared" si="0"/>
        <v>0.6</v>
      </c>
    </row>
    <row r="6" spans="1:19" ht="27" customHeight="1">
      <c r="A6" t="s">
        <v>16</v>
      </c>
      <c r="B6">
        <v>1</v>
      </c>
      <c r="C6" t="s">
        <v>21</v>
      </c>
      <c r="D6" t="b">
        <v>0</v>
      </c>
      <c r="E6">
        <v>2</v>
      </c>
      <c r="F6" t="s">
        <v>19</v>
      </c>
      <c r="G6" s="4">
        <v>0.7</v>
      </c>
      <c r="H6" s="4">
        <v>0.73</v>
      </c>
      <c r="I6" s="4">
        <v>0.68</v>
      </c>
      <c r="J6" s="4">
        <v>0.7</v>
      </c>
      <c r="K6" s="4">
        <v>0.61</v>
      </c>
      <c r="L6" s="4">
        <v>0.62</v>
      </c>
      <c r="M6" s="4">
        <v>0.7</v>
      </c>
      <c r="N6" s="4">
        <v>0.66</v>
      </c>
      <c r="O6" s="4">
        <v>0.63</v>
      </c>
      <c r="P6" s="4">
        <v>0.67</v>
      </c>
      <c r="Q6" s="4">
        <v>0.57999999999999996</v>
      </c>
      <c r="R6" s="4">
        <v>0.6</v>
      </c>
      <c r="S6" s="4">
        <f t="shared" si="0"/>
        <v>0.73</v>
      </c>
    </row>
    <row r="7" spans="1:19" ht="27" customHeight="1">
      <c r="A7" t="s">
        <v>16</v>
      </c>
      <c r="B7">
        <v>1</v>
      </c>
      <c r="C7" t="s">
        <v>21</v>
      </c>
      <c r="D7" t="b">
        <v>0</v>
      </c>
      <c r="E7">
        <v>3</v>
      </c>
      <c r="F7" t="s">
        <v>18</v>
      </c>
      <c r="G7" s="4">
        <v>0.67</v>
      </c>
      <c r="H7" s="4">
        <v>0.69</v>
      </c>
      <c r="I7" s="4">
        <v>0.68</v>
      </c>
      <c r="J7" s="4">
        <v>0.72</v>
      </c>
      <c r="K7" s="4">
        <v>0.68</v>
      </c>
      <c r="L7" s="4">
        <v>0.67</v>
      </c>
      <c r="M7" s="4">
        <v>0.67</v>
      </c>
      <c r="N7" s="4">
        <v>0.66</v>
      </c>
      <c r="O7" s="4">
        <v>0.68</v>
      </c>
      <c r="P7" s="4">
        <v>0.67</v>
      </c>
      <c r="Q7" s="4">
        <v>0.62</v>
      </c>
      <c r="R7" s="4">
        <v>0.73</v>
      </c>
      <c r="S7" s="4">
        <f t="shared" si="0"/>
        <v>0.73</v>
      </c>
    </row>
    <row r="8" spans="1:19" ht="27" customHeight="1">
      <c r="A8" t="s">
        <v>16</v>
      </c>
      <c r="B8">
        <v>2</v>
      </c>
      <c r="C8" t="s">
        <v>17</v>
      </c>
      <c r="D8" t="b">
        <v>1</v>
      </c>
      <c r="E8">
        <v>1</v>
      </c>
      <c r="F8" t="s">
        <v>20</v>
      </c>
      <c r="G8" s="4">
        <v>0.87</v>
      </c>
      <c r="H8" s="4">
        <v>0.84</v>
      </c>
      <c r="I8" s="4">
        <v>0.84</v>
      </c>
      <c r="J8" s="4">
        <v>0.88</v>
      </c>
      <c r="K8" s="4">
        <v>0.84</v>
      </c>
      <c r="L8" s="4">
        <v>0.86</v>
      </c>
      <c r="M8" s="4">
        <v>0.85</v>
      </c>
      <c r="N8" s="4">
        <v>0.91</v>
      </c>
      <c r="O8" s="4">
        <v>0.88</v>
      </c>
      <c r="P8" s="4">
        <v>0.81</v>
      </c>
      <c r="Q8" s="4">
        <v>0.82</v>
      </c>
      <c r="R8" s="4">
        <v>0.76</v>
      </c>
      <c r="S8" s="4">
        <f t="shared" si="0"/>
        <v>0.91</v>
      </c>
    </row>
    <row r="9" spans="1:19" ht="27" customHeight="1">
      <c r="A9" t="s">
        <v>16</v>
      </c>
      <c r="B9">
        <v>2</v>
      </c>
      <c r="C9" t="s">
        <v>17</v>
      </c>
      <c r="D9" t="b">
        <v>1</v>
      </c>
      <c r="E9">
        <v>2</v>
      </c>
      <c r="F9" t="s">
        <v>19</v>
      </c>
      <c r="G9" s="4">
        <v>0.9</v>
      </c>
      <c r="H9" s="4">
        <v>0.9</v>
      </c>
      <c r="I9" s="4">
        <v>0.88</v>
      </c>
      <c r="J9" s="4">
        <v>0.85</v>
      </c>
      <c r="K9" s="4">
        <v>0.85</v>
      </c>
      <c r="L9" s="4">
        <v>0.89</v>
      </c>
      <c r="M9" s="4">
        <v>0.87</v>
      </c>
      <c r="N9" s="4">
        <v>0.88</v>
      </c>
      <c r="O9" s="4">
        <v>0.91</v>
      </c>
      <c r="P9" s="4">
        <v>0.89</v>
      </c>
      <c r="Q9" s="4">
        <v>0.85</v>
      </c>
      <c r="R9" s="4">
        <v>0.86</v>
      </c>
      <c r="S9" s="4">
        <f t="shared" si="0"/>
        <v>0.91</v>
      </c>
    </row>
    <row r="10" spans="1:19" ht="27" customHeight="1">
      <c r="A10" t="s">
        <v>16</v>
      </c>
      <c r="B10">
        <v>2</v>
      </c>
      <c r="C10" t="s">
        <v>17</v>
      </c>
      <c r="D10" t="b">
        <v>1</v>
      </c>
      <c r="E10">
        <v>3</v>
      </c>
      <c r="F10" t="s">
        <v>18</v>
      </c>
      <c r="G10" s="4">
        <v>0.87</v>
      </c>
      <c r="H10" s="4">
        <v>0.89</v>
      </c>
      <c r="I10" s="4">
        <v>0.86</v>
      </c>
      <c r="J10" s="4">
        <v>0.86</v>
      </c>
      <c r="K10" s="4">
        <v>0.85</v>
      </c>
      <c r="L10" s="4">
        <v>0.88</v>
      </c>
      <c r="M10" s="4">
        <v>0.88</v>
      </c>
      <c r="N10" s="4">
        <v>0.86</v>
      </c>
      <c r="O10" s="4">
        <v>0.89</v>
      </c>
      <c r="P10" s="4">
        <v>0.83</v>
      </c>
      <c r="Q10" s="4">
        <v>0.82</v>
      </c>
      <c r="R10" s="4">
        <v>0.8</v>
      </c>
      <c r="S10" s="4">
        <f t="shared" si="0"/>
        <v>0.89</v>
      </c>
    </row>
    <row r="11" spans="1:19" ht="27" customHeight="1">
      <c r="A11" t="s">
        <v>16</v>
      </c>
      <c r="B11">
        <v>2</v>
      </c>
      <c r="C11" t="s">
        <v>17</v>
      </c>
      <c r="D11" t="b">
        <v>0</v>
      </c>
      <c r="E11">
        <v>1</v>
      </c>
      <c r="F11" t="s">
        <v>20</v>
      </c>
      <c r="G11" s="4">
        <v>0.8</v>
      </c>
      <c r="H11" s="4">
        <v>0.81</v>
      </c>
      <c r="I11" s="4">
        <v>0.81</v>
      </c>
      <c r="J11" s="4">
        <v>0.83</v>
      </c>
      <c r="K11" s="4">
        <v>0.82</v>
      </c>
      <c r="L11" s="4">
        <v>0.83</v>
      </c>
      <c r="M11" s="4">
        <v>0.8</v>
      </c>
      <c r="N11" s="4">
        <v>0.82</v>
      </c>
      <c r="O11" s="4">
        <v>0.84</v>
      </c>
      <c r="P11" s="4">
        <v>0.84</v>
      </c>
      <c r="Q11" s="4">
        <v>0.79</v>
      </c>
      <c r="R11" s="4">
        <v>0.76</v>
      </c>
      <c r="S11" s="4">
        <f t="shared" si="0"/>
        <v>0.84</v>
      </c>
    </row>
    <row r="12" spans="1:19" ht="27" customHeight="1">
      <c r="A12" t="s">
        <v>16</v>
      </c>
      <c r="B12">
        <v>2</v>
      </c>
      <c r="C12" t="s">
        <v>17</v>
      </c>
      <c r="D12" t="b">
        <v>0</v>
      </c>
      <c r="E12">
        <v>2</v>
      </c>
      <c r="F12" t="s">
        <v>19</v>
      </c>
      <c r="G12" s="4">
        <v>0.84</v>
      </c>
      <c r="H12" s="4">
        <v>0.83</v>
      </c>
      <c r="I12" s="4">
        <v>0.83</v>
      </c>
      <c r="J12" s="4">
        <v>0.84</v>
      </c>
      <c r="K12" s="4">
        <v>0.84</v>
      </c>
      <c r="L12" s="4">
        <v>0.88</v>
      </c>
      <c r="M12" s="4">
        <v>0.81</v>
      </c>
      <c r="N12" s="4">
        <v>0.83</v>
      </c>
      <c r="O12" s="4">
        <v>0.86</v>
      </c>
      <c r="P12" s="4">
        <v>0.85</v>
      </c>
      <c r="Q12" s="4">
        <v>0.85</v>
      </c>
      <c r="R12" s="4">
        <v>0.83</v>
      </c>
      <c r="S12" s="4">
        <f t="shared" si="0"/>
        <v>0.88</v>
      </c>
    </row>
    <row r="13" spans="1:19" ht="27" customHeight="1">
      <c r="A13" t="s">
        <v>16</v>
      </c>
      <c r="B13">
        <v>2</v>
      </c>
      <c r="C13" t="s">
        <v>17</v>
      </c>
      <c r="D13" t="b">
        <v>0</v>
      </c>
      <c r="E13">
        <v>3</v>
      </c>
      <c r="F13" t="s">
        <v>18</v>
      </c>
      <c r="G13" s="4">
        <v>0.78</v>
      </c>
      <c r="H13" s="4">
        <v>0.81</v>
      </c>
      <c r="I13" s="4">
        <v>0.82</v>
      </c>
      <c r="J13" s="4">
        <v>0.84</v>
      </c>
      <c r="K13" s="4">
        <v>0.83</v>
      </c>
      <c r="L13" s="4">
        <v>0.86</v>
      </c>
      <c r="M13" s="4">
        <v>0.8</v>
      </c>
      <c r="N13" s="4">
        <v>0.81</v>
      </c>
      <c r="O13" s="4">
        <v>0.86</v>
      </c>
      <c r="P13" s="4">
        <v>0.84</v>
      </c>
      <c r="Q13" s="4">
        <v>0.81</v>
      </c>
      <c r="R13" s="4">
        <v>0.82</v>
      </c>
      <c r="S13" s="4">
        <f t="shared" si="0"/>
        <v>0.86</v>
      </c>
    </row>
    <row r="14" spans="1:19" ht="27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s="4">
        <v>0.52</v>
      </c>
      <c r="H14" s="4">
        <v>0.47</v>
      </c>
      <c r="I14" s="4">
        <v>0.47</v>
      </c>
      <c r="J14" s="4">
        <v>0.44</v>
      </c>
      <c r="K14" s="4">
        <v>0.33</v>
      </c>
      <c r="L14" s="4">
        <v>0.4</v>
      </c>
      <c r="M14" s="4">
        <v>0.56999999999999995</v>
      </c>
      <c r="N14" s="4">
        <v>0.45</v>
      </c>
      <c r="O14" s="4">
        <v>0.53</v>
      </c>
      <c r="P14" s="4">
        <v>0.45</v>
      </c>
      <c r="Q14" s="4">
        <v>0.38</v>
      </c>
      <c r="R14" s="4">
        <v>0.38</v>
      </c>
      <c r="S14" s="4">
        <f t="shared" si="0"/>
        <v>0.56999999999999995</v>
      </c>
    </row>
    <row r="15" spans="1:19" ht="27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19</v>
      </c>
      <c r="G15" s="4">
        <v>0.59</v>
      </c>
      <c r="H15" s="4">
        <v>0.53</v>
      </c>
      <c r="I15" s="4">
        <v>0.55000000000000004</v>
      </c>
      <c r="J15" s="4">
        <v>0.59</v>
      </c>
      <c r="K15" s="4">
        <v>0.54</v>
      </c>
      <c r="L15" s="4">
        <v>0.55000000000000004</v>
      </c>
      <c r="M15" s="4">
        <v>0.62</v>
      </c>
      <c r="N15" s="4">
        <v>0.52</v>
      </c>
      <c r="O15" s="4">
        <v>0.55000000000000004</v>
      </c>
      <c r="P15" s="4">
        <v>0.56000000000000005</v>
      </c>
      <c r="Q15" s="4">
        <v>0.54</v>
      </c>
      <c r="R15" s="4">
        <v>0.53</v>
      </c>
      <c r="S15" s="4">
        <f t="shared" si="0"/>
        <v>0.62</v>
      </c>
    </row>
    <row r="16" spans="1:19" ht="27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18</v>
      </c>
      <c r="G16" s="4">
        <v>0.56000000000000005</v>
      </c>
      <c r="H16" s="4">
        <v>0.44</v>
      </c>
      <c r="I16" s="4">
        <v>0.45</v>
      </c>
      <c r="J16" s="4">
        <v>0.47</v>
      </c>
      <c r="K16" s="4">
        <v>0.36</v>
      </c>
      <c r="L16" s="4">
        <v>0.48</v>
      </c>
      <c r="M16" s="4">
        <v>0.51</v>
      </c>
      <c r="N16" s="4">
        <v>0.44</v>
      </c>
      <c r="O16" s="4">
        <v>0.52</v>
      </c>
      <c r="P16" s="4">
        <v>0.42</v>
      </c>
      <c r="Q16" s="4">
        <v>0.4</v>
      </c>
      <c r="R16" s="4">
        <v>0.38</v>
      </c>
      <c r="S16" s="4">
        <f t="shared" si="0"/>
        <v>0.56000000000000005</v>
      </c>
    </row>
    <row r="17" spans="1:19" ht="27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G17" s="4">
        <v>0.39</v>
      </c>
      <c r="H17" s="4">
        <v>0.38</v>
      </c>
      <c r="I17" s="4">
        <v>0.4</v>
      </c>
      <c r="J17" s="4">
        <v>0.4</v>
      </c>
      <c r="K17" s="4">
        <v>0.39</v>
      </c>
      <c r="L17" s="4">
        <v>0.41</v>
      </c>
      <c r="M17" s="4">
        <v>0.41</v>
      </c>
      <c r="N17" s="4">
        <v>0.39</v>
      </c>
      <c r="O17" s="4">
        <v>0.41</v>
      </c>
      <c r="P17" s="4">
        <v>0.46</v>
      </c>
      <c r="Q17" s="4">
        <v>0.41</v>
      </c>
      <c r="R17" s="4">
        <v>0.33</v>
      </c>
      <c r="S17" s="4">
        <f t="shared" si="0"/>
        <v>0.46</v>
      </c>
    </row>
    <row r="18" spans="1:19" ht="27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19</v>
      </c>
      <c r="G18" s="4">
        <v>0.42</v>
      </c>
      <c r="H18" s="4">
        <v>0.39</v>
      </c>
      <c r="I18" s="4">
        <v>0.44</v>
      </c>
      <c r="J18" s="4">
        <v>0.48</v>
      </c>
      <c r="K18" s="4">
        <v>0.44</v>
      </c>
      <c r="L18" s="4">
        <v>0.5</v>
      </c>
      <c r="M18" s="4">
        <v>0.46</v>
      </c>
      <c r="N18" s="4">
        <v>0.42</v>
      </c>
      <c r="O18" s="4">
        <v>0.45</v>
      </c>
      <c r="P18" s="4">
        <v>0.47</v>
      </c>
      <c r="Q18" s="4">
        <v>0.47</v>
      </c>
      <c r="R18" s="4">
        <v>0.43</v>
      </c>
      <c r="S18" s="4">
        <f t="shared" si="0"/>
        <v>0.5</v>
      </c>
    </row>
    <row r="19" spans="1:19" ht="27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18</v>
      </c>
      <c r="G19" s="4">
        <v>0.39</v>
      </c>
      <c r="H19" s="4">
        <v>0.34</v>
      </c>
      <c r="I19" s="4">
        <v>0.39</v>
      </c>
      <c r="J19" s="4">
        <v>0.4</v>
      </c>
      <c r="K19" s="4">
        <v>0.39</v>
      </c>
      <c r="L19" s="4">
        <v>0.42</v>
      </c>
      <c r="M19" s="4">
        <v>0.45</v>
      </c>
      <c r="N19" s="4">
        <v>0.36</v>
      </c>
      <c r="O19" s="4">
        <v>0.41</v>
      </c>
      <c r="P19" s="4">
        <v>0.44</v>
      </c>
      <c r="Q19" s="4">
        <v>0.42</v>
      </c>
      <c r="R19" s="4">
        <v>0.36</v>
      </c>
      <c r="S19" s="4">
        <f t="shared" si="0"/>
        <v>0.45</v>
      </c>
    </row>
    <row r="22" spans="1:19" ht="27" customHeight="1">
      <c r="F22" s="9" t="s">
        <v>27</v>
      </c>
      <c r="G22" s="10" t="s">
        <v>4</v>
      </c>
      <c r="H22" s="10" t="s">
        <v>5</v>
      </c>
      <c r="I22" s="10" t="s">
        <v>6</v>
      </c>
      <c r="J22" s="10" t="s">
        <v>7</v>
      </c>
      <c r="K22" s="10" t="s">
        <v>8</v>
      </c>
      <c r="L22" s="10" t="s">
        <v>9</v>
      </c>
      <c r="M22" s="10" t="s">
        <v>10</v>
      </c>
      <c r="N22" s="10" t="s">
        <v>11</v>
      </c>
      <c r="O22" s="10" t="s">
        <v>12</v>
      </c>
      <c r="P22" s="10" t="s">
        <v>13</v>
      </c>
      <c r="Q22" s="10" t="s">
        <v>14</v>
      </c>
      <c r="R22" s="10" t="s">
        <v>15</v>
      </c>
      <c r="S22" s="11" t="s">
        <v>23</v>
      </c>
    </row>
    <row r="23" spans="1:19" ht="27" customHeight="1">
      <c r="C23" t="s">
        <v>21</v>
      </c>
      <c r="D23" t="b">
        <v>1</v>
      </c>
      <c r="F23" s="6" t="s">
        <v>23</v>
      </c>
      <c r="G23" s="7" cm="1">
        <f t="array" ref="G23">_xlfn.LET(_xlpm.d,G$2:G$19,_xlpm.a,$C$2:$C$19=$C23,_xlpm.b,$D$2:$D$19=$D23,MAX(_xlfn._xlws.FILTER(_xlpm.d,_xlpm.a*_xlpm.b)))</f>
        <v>0.7</v>
      </c>
      <c r="H23" s="7" cm="1">
        <f t="array" ref="H23">_xlfn.LET(_xlpm.d,H$2:H$19,_xlpm.a,$C$2:$C$19=$C23,_xlpm.b,$D$2:$D$19=$D23,MAX(_xlfn._xlws.FILTER(_xlpm.d,_xlpm.a*_xlpm.b)))</f>
        <v>0.74</v>
      </c>
      <c r="I23" s="7" cm="1">
        <f t="array" ref="I23">_xlfn.LET(_xlpm.d,I$2:I$19,_xlpm.a,$C$2:$C$19=$C23,_xlpm.b,$D$2:$D$19=$D23,MAX(_xlfn._xlws.FILTER(_xlpm.d,_xlpm.a*_xlpm.b)))</f>
        <v>0.71</v>
      </c>
      <c r="J23" s="7" cm="1">
        <f t="array" ref="J23">_xlfn.LET(_xlpm.d,J$2:J$19,_xlpm.a,$C$2:$C$19=$C23,_xlpm.b,$D$2:$D$19=$D23,MAX(_xlfn._xlws.FILTER(_xlpm.d,_xlpm.a*_xlpm.b)))</f>
        <v>0.74</v>
      </c>
      <c r="K23" s="7" cm="1">
        <f t="array" ref="K23">_xlfn.LET(_xlpm.d,K$2:K$19,_xlpm.a,$C$2:$C$19=$C23,_xlpm.b,$D$2:$D$19=$D23,MAX(_xlfn._xlws.FILTER(_xlpm.d,_xlpm.a*_xlpm.b)))</f>
        <v>0.67</v>
      </c>
      <c r="L23" s="7" cm="1">
        <f t="array" ref="L23">_xlfn.LET(_xlpm.d,L$2:L$19,_xlpm.a,$C$2:$C$19=$C23,_xlpm.b,$D$2:$D$19=$D23,MAX(_xlfn._xlws.FILTER(_xlpm.d,_xlpm.a*_xlpm.b)))</f>
        <v>0.72</v>
      </c>
      <c r="M23" s="7" cm="1">
        <f t="array" ref="M23">_xlfn.LET(_xlpm.d,M$2:M$19,_xlpm.a,$C$2:$C$19=$C23,_xlpm.b,$D$2:$D$19=$D23,MAX(_xlfn._xlws.FILTER(_xlpm.d,_xlpm.a*_xlpm.b)))</f>
        <v>0.74</v>
      </c>
      <c r="N23" s="7" cm="1">
        <f t="array" ref="N23">_xlfn.LET(_xlpm.d,N$2:N$19,_xlpm.a,$C$2:$C$19=$C23,_xlpm.b,$D$2:$D$19=$D23,MAX(_xlfn._xlws.FILTER(_xlpm.d,_xlpm.a*_xlpm.b)))</f>
        <v>0.7</v>
      </c>
      <c r="O23" s="7" cm="1">
        <f t="array" ref="O23">_xlfn.LET(_xlpm.d,O$2:O$19,_xlpm.a,$C$2:$C$19=$C23,_xlpm.b,$D$2:$D$19=$D23,MAX(_xlfn._xlws.FILTER(_xlpm.d,_xlpm.a*_xlpm.b)))</f>
        <v>0.7</v>
      </c>
      <c r="P23" s="7" cm="1">
        <f t="array" ref="P23">_xlfn.LET(_xlpm.d,P$2:P$19,_xlpm.a,$C$2:$C$19=$C23,_xlpm.b,$D$2:$D$19=$D23,MAX(_xlfn._xlws.FILTER(_xlpm.d,_xlpm.a*_xlpm.b)))</f>
        <v>0.7</v>
      </c>
      <c r="Q23" s="7" cm="1">
        <f t="array" ref="Q23">_xlfn.LET(_xlpm.d,Q$2:Q$19,_xlpm.a,$C$2:$C$19=$C23,_xlpm.b,$D$2:$D$19=$D23,MAX(_xlfn._xlws.FILTER(_xlpm.d,_xlpm.a*_xlpm.b)))</f>
        <v>0.67</v>
      </c>
      <c r="R23" s="7" cm="1">
        <f t="array" ref="R23">_xlfn.LET(_xlpm.d,R$2:R$19,_xlpm.a,$C$2:$C$19=$C23,_xlpm.b,$D$2:$D$19=$D23,MAX(_xlfn._xlws.FILTER(_xlpm.d,_xlpm.a*_xlpm.b)))</f>
        <v>0.7</v>
      </c>
      <c r="S23" s="8">
        <f>_xlfn.LET(_xlpm.d,G23:R23,MAX(_xlpm.d))</f>
        <v>0.74</v>
      </c>
    </row>
    <row r="24" spans="1:19" ht="27" customHeight="1">
      <c r="C24" t="s">
        <v>21</v>
      </c>
      <c r="D24" t="b">
        <v>1</v>
      </c>
      <c r="F24" s="1" t="s">
        <v>26</v>
      </c>
      <c r="G24" s="2">
        <f>RANK(G$23,$G$23:$R$23)</f>
        <v>6</v>
      </c>
      <c r="H24" s="2">
        <f t="shared" ref="H24:R24" si="1">RANK(H$23,$G$23:$R$23)</f>
        <v>1</v>
      </c>
      <c r="I24" s="2">
        <f t="shared" si="1"/>
        <v>5</v>
      </c>
      <c r="J24" s="2">
        <f t="shared" si="1"/>
        <v>1</v>
      </c>
      <c r="K24" s="2">
        <f t="shared" si="1"/>
        <v>11</v>
      </c>
      <c r="L24" s="2">
        <f t="shared" si="1"/>
        <v>4</v>
      </c>
      <c r="M24" s="2">
        <f t="shared" si="1"/>
        <v>1</v>
      </c>
      <c r="N24" s="2">
        <f t="shared" si="1"/>
        <v>6</v>
      </c>
      <c r="O24" s="2">
        <f t="shared" si="1"/>
        <v>6</v>
      </c>
      <c r="P24" s="2">
        <f t="shared" si="1"/>
        <v>6</v>
      </c>
      <c r="Q24" s="2">
        <f t="shared" si="1"/>
        <v>11</v>
      </c>
      <c r="R24" s="2">
        <f t="shared" si="1"/>
        <v>6</v>
      </c>
      <c r="S24" s="3"/>
    </row>
    <row r="25" spans="1:19" ht="27" customHeight="1">
      <c r="C25" t="s">
        <v>21</v>
      </c>
      <c r="D25" t="b">
        <v>0</v>
      </c>
      <c r="F25" t="s">
        <v>23</v>
      </c>
      <c r="G25" s="7" cm="1">
        <f t="array" ref="G25">_xlfn.LET(_xlpm.d,G$2:G$19,_xlpm.a,$C$2:$C$19=$C25,_xlpm.b,$D$2:$D$19=$D25,MAX(_xlfn._xlws.FILTER(_xlpm.d,_xlpm.a*_xlpm.b)))</f>
        <v>0.7</v>
      </c>
      <c r="H25" s="7" cm="1">
        <f t="array" ref="H25">_xlfn.LET(_xlpm.d,H$2:H$19,_xlpm.a,$C$2:$C$19=$C25,_xlpm.b,$D$2:$D$19=$D25,MAX(_xlfn._xlws.FILTER(_xlpm.d,_xlpm.a*_xlpm.b)))</f>
        <v>0.73</v>
      </c>
      <c r="I25" s="7" cm="1">
        <f t="array" ref="I25">_xlfn.LET(_xlpm.d,I$2:I$19,_xlpm.a,$C$2:$C$19=$C25,_xlpm.b,$D$2:$D$19=$D25,MAX(_xlfn._xlws.FILTER(_xlpm.d,_xlpm.a*_xlpm.b)))</f>
        <v>0.68</v>
      </c>
      <c r="J25" s="7" cm="1">
        <f t="array" ref="J25">_xlfn.LET(_xlpm.d,J$2:J$19,_xlpm.a,$C$2:$C$19=$C25,_xlpm.b,$D$2:$D$19=$D25,MAX(_xlfn._xlws.FILTER(_xlpm.d,_xlpm.a*_xlpm.b)))</f>
        <v>0.72</v>
      </c>
      <c r="K25" s="7" cm="1">
        <f t="array" ref="K25">_xlfn.LET(_xlpm.d,K$2:K$19,_xlpm.a,$C$2:$C$19=$C25,_xlpm.b,$D$2:$D$19=$D25,MAX(_xlfn._xlws.FILTER(_xlpm.d,_xlpm.a*_xlpm.b)))</f>
        <v>0.68</v>
      </c>
      <c r="L25" s="7" cm="1">
        <f t="array" ref="L25">_xlfn.LET(_xlpm.d,L$2:L$19,_xlpm.a,$C$2:$C$19=$C25,_xlpm.b,$D$2:$D$19=$D25,MAX(_xlfn._xlws.FILTER(_xlpm.d,_xlpm.a*_xlpm.b)))</f>
        <v>0.67</v>
      </c>
      <c r="M25" s="7" cm="1">
        <f t="array" ref="M25">_xlfn.LET(_xlpm.d,M$2:M$19,_xlpm.a,$C$2:$C$19=$C25,_xlpm.b,$D$2:$D$19=$D25,MAX(_xlfn._xlws.FILTER(_xlpm.d,_xlpm.a*_xlpm.b)))</f>
        <v>0.7</v>
      </c>
      <c r="N25" s="7" cm="1">
        <f t="array" ref="N25">_xlfn.LET(_xlpm.d,N$2:N$19,_xlpm.a,$C$2:$C$19=$C25,_xlpm.b,$D$2:$D$19=$D25,MAX(_xlfn._xlws.FILTER(_xlpm.d,_xlpm.a*_xlpm.b)))</f>
        <v>0.66</v>
      </c>
      <c r="O25" s="7" cm="1">
        <f t="array" ref="O25">_xlfn.LET(_xlpm.d,O$2:O$19,_xlpm.a,$C$2:$C$19=$C25,_xlpm.b,$D$2:$D$19=$D25,MAX(_xlfn._xlws.FILTER(_xlpm.d,_xlpm.a*_xlpm.b)))</f>
        <v>0.68</v>
      </c>
      <c r="P25" s="7" cm="1">
        <f t="array" ref="P25">_xlfn.LET(_xlpm.d,P$2:P$19,_xlpm.a,$C$2:$C$19=$C25,_xlpm.b,$D$2:$D$19=$D25,MAX(_xlfn._xlws.FILTER(_xlpm.d,_xlpm.a*_xlpm.b)))</f>
        <v>0.67</v>
      </c>
      <c r="Q25" s="7" cm="1">
        <f t="array" ref="Q25">_xlfn.LET(_xlpm.d,Q$2:Q$19,_xlpm.a,$C$2:$C$19=$C25,_xlpm.b,$D$2:$D$19=$D25,MAX(_xlfn._xlws.FILTER(_xlpm.d,_xlpm.a*_xlpm.b)))</f>
        <v>0.62</v>
      </c>
      <c r="R25" s="7" cm="1">
        <f t="array" ref="R25">_xlfn.LET(_xlpm.d,R$2:R$19,_xlpm.a,$C$2:$C$19=$C25,_xlpm.b,$D$2:$D$19=$D25,MAX(_xlfn._xlws.FILTER(_xlpm.d,_xlpm.a*_xlpm.b)))</f>
        <v>0.73</v>
      </c>
      <c r="S25" s="8">
        <f>_xlfn.LET(_xlpm.d,G25:R25,MAX(_xlpm.d))</f>
        <v>0.73</v>
      </c>
    </row>
    <row r="26" spans="1:19" ht="27" customHeight="1">
      <c r="C26" t="s">
        <v>21</v>
      </c>
      <c r="D26" t="b">
        <v>0</v>
      </c>
      <c r="F26" t="s">
        <v>26</v>
      </c>
      <c r="G26" s="2">
        <f>RANK(G$25,$G$25:$R$25)</f>
        <v>4</v>
      </c>
      <c r="H26" s="2">
        <f t="shared" ref="H26:R26" si="2">RANK(H$25,$G$25:$R$25)</f>
        <v>1</v>
      </c>
      <c r="I26" s="2">
        <f t="shared" si="2"/>
        <v>6</v>
      </c>
      <c r="J26" s="2">
        <f t="shared" si="2"/>
        <v>3</v>
      </c>
      <c r="K26" s="2">
        <f t="shared" si="2"/>
        <v>6</v>
      </c>
      <c r="L26" s="2">
        <f t="shared" si="2"/>
        <v>9</v>
      </c>
      <c r="M26" s="2">
        <f t="shared" si="2"/>
        <v>4</v>
      </c>
      <c r="N26" s="2">
        <f t="shared" si="2"/>
        <v>11</v>
      </c>
      <c r="O26" s="2">
        <f t="shared" si="2"/>
        <v>6</v>
      </c>
      <c r="P26" s="2">
        <f t="shared" si="2"/>
        <v>9</v>
      </c>
      <c r="Q26" s="2">
        <f t="shared" si="2"/>
        <v>12</v>
      </c>
      <c r="R26" s="2">
        <f t="shared" si="2"/>
        <v>1</v>
      </c>
    </row>
    <row r="27" spans="1:19" ht="27" customHeight="1">
      <c r="C27" t="s">
        <v>17</v>
      </c>
      <c r="D27" t="b">
        <v>1</v>
      </c>
      <c r="F27" t="s">
        <v>23</v>
      </c>
      <c r="G27" s="7" cm="1">
        <f t="array" ref="G27">_xlfn.LET(_xlpm.d,G$2:G$19,_xlpm.a,$C$2:$C$19=$C27,_xlpm.b,$D$2:$D$19=$D27,MAX(_xlfn._xlws.FILTER(_xlpm.d,_xlpm.a*_xlpm.b)))</f>
        <v>0.9</v>
      </c>
      <c r="H27" s="7" cm="1">
        <f t="array" ref="H27">_xlfn.LET(_xlpm.d,H$2:H$19,_xlpm.a,$C$2:$C$19=$C27,_xlpm.b,$D$2:$D$19=$D27,MAX(_xlfn._xlws.FILTER(_xlpm.d,_xlpm.a*_xlpm.b)))</f>
        <v>0.9</v>
      </c>
      <c r="I27" s="7" cm="1">
        <f t="array" ref="I27">_xlfn.LET(_xlpm.d,I$2:I$19,_xlpm.a,$C$2:$C$19=$C27,_xlpm.b,$D$2:$D$19=$D27,MAX(_xlfn._xlws.FILTER(_xlpm.d,_xlpm.a*_xlpm.b)))</f>
        <v>0.88</v>
      </c>
      <c r="J27" s="7" cm="1">
        <f t="array" ref="J27">_xlfn.LET(_xlpm.d,J$2:J$19,_xlpm.a,$C$2:$C$19=$C27,_xlpm.b,$D$2:$D$19=$D27,MAX(_xlfn._xlws.FILTER(_xlpm.d,_xlpm.a*_xlpm.b)))</f>
        <v>0.88</v>
      </c>
      <c r="K27" s="7" cm="1">
        <f t="array" ref="K27">_xlfn.LET(_xlpm.d,K$2:K$19,_xlpm.a,$C$2:$C$19=$C27,_xlpm.b,$D$2:$D$19=$D27,MAX(_xlfn._xlws.FILTER(_xlpm.d,_xlpm.a*_xlpm.b)))</f>
        <v>0.85</v>
      </c>
      <c r="L27" s="7" cm="1">
        <f t="array" ref="L27">_xlfn.LET(_xlpm.d,L$2:L$19,_xlpm.a,$C$2:$C$19=$C27,_xlpm.b,$D$2:$D$19=$D27,MAX(_xlfn._xlws.FILTER(_xlpm.d,_xlpm.a*_xlpm.b)))</f>
        <v>0.89</v>
      </c>
      <c r="M27" s="7" cm="1">
        <f t="array" ref="M27">_xlfn.LET(_xlpm.d,M$2:M$19,_xlpm.a,$C$2:$C$19=$C27,_xlpm.b,$D$2:$D$19=$D27,MAX(_xlfn._xlws.FILTER(_xlpm.d,_xlpm.a*_xlpm.b)))</f>
        <v>0.88</v>
      </c>
      <c r="N27" s="7" cm="1">
        <f t="array" ref="N27">_xlfn.LET(_xlpm.d,N$2:N$19,_xlpm.a,$C$2:$C$19=$C27,_xlpm.b,$D$2:$D$19=$D27,MAX(_xlfn._xlws.FILTER(_xlpm.d,_xlpm.a*_xlpm.b)))</f>
        <v>0.91</v>
      </c>
      <c r="O27" s="7" cm="1">
        <f t="array" ref="O27">_xlfn.LET(_xlpm.d,O$2:O$19,_xlpm.a,$C$2:$C$19=$C27,_xlpm.b,$D$2:$D$19=$D27,MAX(_xlfn._xlws.FILTER(_xlpm.d,_xlpm.a*_xlpm.b)))</f>
        <v>0.91</v>
      </c>
      <c r="P27" s="7" cm="1">
        <f t="array" ref="P27">_xlfn.LET(_xlpm.d,P$2:P$19,_xlpm.a,$C$2:$C$19=$C27,_xlpm.b,$D$2:$D$19=$D27,MAX(_xlfn._xlws.FILTER(_xlpm.d,_xlpm.a*_xlpm.b)))</f>
        <v>0.89</v>
      </c>
      <c r="Q27" s="7" cm="1">
        <f t="array" ref="Q27">_xlfn.LET(_xlpm.d,Q$2:Q$19,_xlpm.a,$C$2:$C$19=$C27,_xlpm.b,$D$2:$D$19=$D27,MAX(_xlfn._xlws.FILTER(_xlpm.d,_xlpm.a*_xlpm.b)))</f>
        <v>0.85</v>
      </c>
      <c r="R27" s="7" cm="1">
        <f t="array" ref="R27">_xlfn.LET(_xlpm.d,R$2:R$19,_xlpm.a,$C$2:$C$19=$C27,_xlpm.b,$D$2:$D$19=$D27,MAX(_xlfn._xlws.FILTER(_xlpm.d,_xlpm.a*_xlpm.b)))</f>
        <v>0.86</v>
      </c>
      <c r="S27" s="8">
        <f>_xlfn.LET(_xlpm.d,G27:R27,MAX(_xlpm.d))</f>
        <v>0.91</v>
      </c>
    </row>
    <row r="28" spans="1:19" ht="27" customHeight="1">
      <c r="C28" t="s">
        <v>17</v>
      </c>
      <c r="D28" t="b">
        <v>1</v>
      </c>
      <c r="F28" t="s">
        <v>26</v>
      </c>
      <c r="G28" s="2">
        <f>RANK(G27,$G27:$R27)</f>
        <v>3</v>
      </c>
      <c r="H28" s="2">
        <f t="shared" ref="H28:R28" si="3">RANK(H27,$G27:$R27)</f>
        <v>3</v>
      </c>
      <c r="I28" s="2">
        <f t="shared" si="3"/>
        <v>7</v>
      </c>
      <c r="J28" s="2">
        <f t="shared" si="3"/>
        <v>7</v>
      </c>
      <c r="K28" s="2">
        <f t="shared" si="3"/>
        <v>11</v>
      </c>
      <c r="L28" s="2">
        <f t="shared" si="3"/>
        <v>5</v>
      </c>
      <c r="M28" s="2">
        <f t="shared" si="3"/>
        <v>7</v>
      </c>
      <c r="N28" s="2">
        <f t="shared" si="3"/>
        <v>1</v>
      </c>
      <c r="O28" s="2">
        <f t="shared" si="3"/>
        <v>1</v>
      </c>
      <c r="P28" s="2">
        <f t="shared" si="3"/>
        <v>5</v>
      </c>
      <c r="Q28" s="2">
        <f t="shared" si="3"/>
        <v>11</v>
      </c>
      <c r="R28" s="2">
        <f t="shared" si="3"/>
        <v>10</v>
      </c>
    </row>
    <row r="29" spans="1:19" ht="27" customHeight="1">
      <c r="C29" t="s">
        <v>17</v>
      </c>
      <c r="D29" t="b">
        <v>0</v>
      </c>
      <c r="F29" t="s">
        <v>23</v>
      </c>
      <c r="G29" s="7" cm="1">
        <f t="array" ref="G29">_xlfn.LET(_xlpm.d,G$2:G$19,_xlpm.a,$C$2:$C$19=$C29,_xlpm.b,$D$2:$D$19=$D29,MAX(_xlfn._xlws.FILTER(_xlpm.d,_xlpm.a*_xlpm.b)))</f>
        <v>0.84</v>
      </c>
      <c r="H29" s="7" cm="1">
        <f t="array" ref="H29">_xlfn.LET(_xlpm.d,H$2:H$19,_xlpm.a,$C$2:$C$19=$C29,_xlpm.b,$D$2:$D$19=$D29,MAX(_xlfn._xlws.FILTER(_xlpm.d,_xlpm.a*_xlpm.b)))</f>
        <v>0.83</v>
      </c>
      <c r="I29" s="7" cm="1">
        <f t="array" ref="I29">_xlfn.LET(_xlpm.d,I$2:I$19,_xlpm.a,$C$2:$C$19=$C29,_xlpm.b,$D$2:$D$19=$D29,MAX(_xlfn._xlws.FILTER(_xlpm.d,_xlpm.a*_xlpm.b)))</f>
        <v>0.83</v>
      </c>
      <c r="J29" s="7" cm="1">
        <f t="array" ref="J29">_xlfn.LET(_xlpm.d,J$2:J$19,_xlpm.a,$C$2:$C$19=$C29,_xlpm.b,$D$2:$D$19=$D29,MAX(_xlfn._xlws.FILTER(_xlpm.d,_xlpm.a*_xlpm.b)))</f>
        <v>0.84</v>
      </c>
      <c r="K29" s="7" cm="1">
        <f t="array" ref="K29">_xlfn.LET(_xlpm.d,K$2:K$19,_xlpm.a,$C$2:$C$19=$C29,_xlpm.b,$D$2:$D$19=$D29,MAX(_xlfn._xlws.FILTER(_xlpm.d,_xlpm.a*_xlpm.b)))</f>
        <v>0.84</v>
      </c>
      <c r="L29" s="7" cm="1">
        <f t="array" ref="L29">_xlfn.LET(_xlpm.d,L$2:L$19,_xlpm.a,$C$2:$C$19=$C29,_xlpm.b,$D$2:$D$19=$D29,MAX(_xlfn._xlws.FILTER(_xlpm.d,_xlpm.a*_xlpm.b)))</f>
        <v>0.88</v>
      </c>
      <c r="M29" s="7" cm="1">
        <f t="array" ref="M29">_xlfn.LET(_xlpm.d,M$2:M$19,_xlpm.a,$C$2:$C$19=$C29,_xlpm.b,$D$2:$D$19=$D29,MAX(_xlfn._xlws.FILTER(_xlpm.d,_xlpm.a*_xlpm.b)))</f>
        <v>0.81</v>
      </c>
      <c r="N29" s="7" cm="1">
        <f t="array" ref="N29">_xlfn.LET(_xlpm.d,N$2:N$19,_xlpm.a,$C$2:$C$19=$C29,_xlpm.b,$D$2:$D$19=$D29,MAX(_xlfn._xlws.FILTER(_xlpm.d,_xlpm.a*_xlpm.b)))</f>
        <v>0.83</v>
      </c>
      <c r="O29" s="7" cm="1">
        <f t="array" ref="O29">_xlfn.LET(_xlpm.d,O$2:O$19,_xlpm.a,$C$2:$C$19=$C29,_xlpm.b,$D$2:$D$19=$D29,MAX(_xlfn._xlws.FILTER(_xlpm.d,_xlpm.a*_xlpm.b)))</f>
        <v>0.86</v>
      </c>
      <c r="P29" s="7" cm="1">
        <f t="array" ref="P29">_xlfn.LET(_xlpm.d,P$2:P$19,_xlpm.a,$C$2:$C$19=$C29,_xlpm.b,$D$2:$D$19=$D29,MAX(_xlfn._xlws.FILTER(_xlpm.d,_xlpm.a*_xlpm.b)))</f>
        <v>0.85</v>
      </c>
      <c r="Q29" s="7" cm="1">
        <f t="array" ref="Q29">_xlfn.LET(_xlpm.d,Q$2:Q$19,_xlpm.a,$C$2:$C$19=$C29,_xlpm.b,$D$2:$D$19=$D29,MAX(_xlfn._xlws.FILTER(_xlpm.d,_xlpm.a*_xlpm.b)))</f>
        <v>0.85</v>
      </c>
      <c r="R29" s="7" cm="1">
        <f t="array" ref="R29">_xlfn.LET(_xlpm.d,R$2:R$19,_xlpm.a,$C$2:$C$19=$C29,_xlpm.b,$D$2:$D$19=$D29,MAX(_xlfn._xlws.FILTER(_xlpm.d,_xlpm.a*_xlpm.b)))</f>
        <v>0.83</v>
      </c>
      <c r="S29" s="8">
        <f>_xlfn.LET(_xlpm.d,G29:R29,MAX(_xlpm.d))</f>
        <v>0.88</v>
      </c>
    </row>
    <row r="30" spans="1:19" ht="27" customHeight="1">
      <c r="C30" t="s">
        <v>17</v>
      </c>
      <c r="D30" t="b">
        <v>0</v>
      </c>
      <c r="F30" t="s">
        <v>26</v>
      </c>
      <c r="G30" s="2">
        <f>RANK(G29,$G29:$R29)</f>
        <v>5</v>
      </c>
      <c r="H30" s="2">
        <f t="shared" ref="H30:R30" si="4">RANK(H29,$G29:$R29)</f>
        <v>8</v>
      </c>
      <c r="I30" s="2">
        <f t="shared" si="4"/>
        <v>8</v>
      </c>
      <c r="J30" s="2">
        <f t="shared" si="4"/>
        <v>5</v>
      </c>
      <c r="K30" s="2">
        <f t="shared" si="4"/>
        <v>5</v>
      </c>
      <c r="L30" s="2">
        <f t="shared" si="4"/>
        <v>1</v>
      </c>
      <c r="M30" s="2">
        <f t="shared" si="4"/>
        <v>12</v>
      </c>
      <c r="N30" s="2">
        <f t="shared" si="4"/>
        <v>8</v>
      </c>
      <c r="O30" s="2">
        <f t="shared" si="4"/>
        <v>2</v>
      </c>
      <c r="P30" s="2">
        <f t="shared" si="4"/>
        <v>3</v>
      </c>
      <c r="Q30" s="2">
        <f t="shared" si="4"/>
        <v>3</v>
      </c>
      <c r="R30" s="2">
        <f t="shared" si="4"/>
        <v>8</v>
      </c>
    </row>
    <row r="31" spans="1:19" ht="27" customHeight="1">
      <c r="C31" t="s">
        <v>22</v>
      </c>
      <c r="D31" t="b">
        <v>1</v>
      </c>
      <c r="F31" t="s">
        <v>23</v>
      </c>
      <c r="G31" s="7" cm="1">
        <f t="array" ref="G31">_xlfn.LET(_xlpm.d,G$2:G$19,_xlpm.a,$C$2:$C$19=$C31,_xlpm.b,$D$2:$D$19=$D31,MAX(_xlfn._xlws.FILTER(_xlpm.d,_xlpm.a*_xlpm.b)))</f>
        <v>0.59</v>
      </c>
      <c r="H31" s="7" cm="1">
        <f t="array" ref="H31">_xlfn.LET(_xlpm.d,H$2:H$19,_xlpm.a,$C$2:$C$19=$C31,_xlpm.b,$D$2:$D$19=$D31,MAX(_xlfn._xlws.FILTER(_xlpm.d,_xlpm.a*_xlpm.b)))</f>
        <v>0.53</v>
      </c>
      <c r="I31" s="7" cm="1">
        <f t="array" ref="I31">_xlfn.LET(_xlpm.d,I$2:I$19,_xlpm.a,$C$2:$C$19=$C31,_xlpm.b,$D$2:$D$19=$D31,MAX(_xlfn._xlws.FILTER(_xlpm.d,_xlpm.a*_xlpm.b)))</f>
        <v>0.55000000000000004</v>
      </c>
      <c r="J31" s="7" cm="1">
        <f t="array" ref="J31">_xlfn.LET(_xlpm.d,J$2:J$19,_xlpm.a,$C$2:$C$19=$C31,_xlpm.b,$D$2:$D$19=$D31,MAX(_xlfn._xlws.FILTER(_xlpm.d,_xlpm.a*_xlpm.b)))</f>
        <v>0.59</v>
      </c>
      <c r="K31" s="7" cm="1">
        <f t="array" ref="K31">_xlfn.LET(_xlpm.d,K$2:K$19,_xlpm.a,$C$2:$C$19=$C31,_xlpm.b,$D$2:$D$19=$D31,MAX(_xlfn._xlws.FILTER(_xlpm.d,_xlpm.a*_xlpm.b)))</f>
        <v>0.54</v>
      </c>
      <c r="L31" s="7" cm="1">
        <f t="array" ref="L31">_xlfn.LET(_xlpm.d,L$2:L$19,_xlpm.a,$C$2:$C$19=$C31,_xlpm.b,$D$2:$D$19=$D31,MAX(_xlfn._xlws.FILTER(_xlpm.d,_xlpm.a*_xlpm.b)))</f>
        <v>0.55000000000000004</v>
      </c>
      <c r="M31" s="7" cm="1">
        <f t="array" ref="M31">_xlfn.LET(_xlpm.d,M$2:M$19,_xlpm.a,$C$2:$C$19=$C31,_xlpm.b,$D$2:$D$19=$D31,MAX(_xlfn._xlws.FILTER(_xlpm.d,_xlpm.a*_xlpm.b)))</f>
        <v>0.62</v>
      </c>
      <c r="N31" s="7" cm="1">
        <f t="array" ref="N31">_xlfn.LET(_xlpm.d,N$2:N$19,_xlpm.a,$C$2:$C$19=$C31,_xlpm.b,$D$2:$D$19=$D31,MAX(_xlfn._xlws.FILTER(_xlpm.d,_xlpm.a*_xlpm.b)))</f>
        <v>0.52</v>
      </c>
      <c r="O31" s="7" cm="1">
        <f t="array" ref="O31">_xlfn.LET(_xlpm.d,O$2:O$19,_xlpm.a,$C$2:$C$19=$C31,_xlpm.b,$D$2:$D$19=$D31,MAX(_xlfn._xlws.FILTER(_xlpm.d,_xlpm.a*_xlpm.b)))</f>
        <v>0.55000000000000004</v>
      </c>
      <c r="P31" s="7" cm="1">
        <f t="array" ref="P31">_xlfn.LET(_xlpm.d,P$2:P$19,_xlpm.a,$C$2:$C$19=$C31,_xlpm.b,$D$2:$D$19=$D31,MAX(_xlfn._xlws.FILTER(_xlpm.d,_xlpm.a*_xlpm.b)))</f>
        <v>0.56000000000000005</v>
      </c>
      <c r="Q31" s="7" cm="1">
        <f t="array" ref="Q31">_xlfn.LET(_xlpm.d,Q$2:Q$19,_xlpm.a,$C$2:$C$19=$C31,_xlpm.b,$D$2:$D$19=$D31,MAX(_xlfn._xlws.FILTER(_xlpm.d,_xlpm.a*_xlpm.b)))</f>
        <v>0.54</v>
      </c>
      <c r="R31" s="7" cm="1">
        <f t="array" ref="R31">_xlfn.LET(_xlpm.d,R$2:R$19,_xlpm.a,$C$2:$C$19=$C31,_xlpm.b,$D$2:$D$19=$D31,MAX(_xlfn._xlws.FILTER(_xlpm.d,_xlpm.a*_xlpm.b)))</f>
        <v>0.53</v>
      </c>
      <c r="S31" s="8">
        <f>_xlfn.LET(_xlpm.d,G31:R31,MAX(_xlpm.d))</f>
        <v>0.62</v>
      </c>
    </row>
    <row r="32" spans="1:19" ht="27" customHeight="1">
      <c r="C32" t="s">
        <v>22</v>
      </c>
      <c r="D32" t="b">
        <v>1</v>
      </c>
      <c r="F32" t="s">
        <v>26</v>
      </c>
      <c r="G32" s="2">
        <f>RANK(G31,$G31:$R31)</f>
        <v>2</v>
      </c>
      <c r="H32" s="2">
        <f t="shared" ref="H32:R32" si="5">RANK(H31,$G31:$R31)</f>
        <v>10</v>
      </c>
      <c r="I32" s="2">
        <f t="shared" si="5"/>
        <v>5</v>
      </c>
      <c r="J32" s="2">
        <f t="shared" si="5"/>
        <v>2</v>
      </c>
      <c r="K32" s="2">
        <f t="shared" si="5"/>
        <v>8</v>
      </c>
      <c r="L32" s="2">
        <f t="shared" si="5"/>
        <v>5</v>
      </c>
      <c r="M32" s="2">
        <f t="shared" si="5"/>
        <v>1</v>
      </c>
      <c r="N32" s="2">
        <f t="shared" si="5"/>
        <v>12</v>
      </c>
      <c r="O32" s="2">
        <f t="shared" si="5"/>
        <v>5</v>
      </c>
      <c r="P32" s="2">
        <f t="shared" si="5"/>
        <v>4</v>
      </c>
      <c r="Q32" s="2">
        <f t="shared" si="5"/>
        <v>8</v>
      </c>
      <c r="R32" s="2">
        <f t="shared" si="5"/>
        <v>10</v>
      </c>
    </row>
    <row r="33" spans="3:19" ht="27" customHeight="1">
      <c r="C33" t="s">
        <v>22</v>
      </c>
      <c r="D33" t="b">
        <v>0</v>
      </c>
      <c r="F33" t="s">
        <v>23</v>
      </c>
      <c r="G33" s="7" cm="1">
        <f t="array" ref="G33">_xlfn.LET(_xlpm.d,G$2:G$19,_xlpm.a,$C$2:$C$19=$C33,_xlpm.b,$D$2:$D$19=$D33,MAX(_xlfn._xlws.FILTER(_xlpm.d,_xlpm.a*_xlpm.b)))</f>
        <v>0.42</v>
      </c>
      <c r="H33" s="7" cm="1">
        <f t="array" ref="H33">_xlfn.LET(_xlpm.d,H$2:H$19,_xlpm.a,$C$2:$C$19=$C33,_xlpm.b,$D$2:$D$19=$D33,MAX(_xlfn._xlws.FILTER(_xlpm.d,_xlpm.a*_xlpm.b)))</f>
        <v>0.39</v>
      </c>
      <c r="I33" s="7" cm="1">
        <f t="array" ref="I33">_xlfn.LET(_xlpm.d,I$2:I$19,_xlpm.a,$C$2:$C$19=$C33,_xlpm.b,$D$2:$D$19=$D33,MAX(_xlfn._xlws.FILTER(_xlpm.d,_xlpm.a*_xlpm.b)))</f>
        <v>0.44</v>
      </c>
      <c r="J33" s="7" cm="1">
        <f t="array" ref="J33">_xlfn.LET(_xlpm.d,J$2:J$19,_xlpm.a,$C$2:$C$19=$C33,_xlpm.b,$D$2:$D$19=$D33,MAX(_xlfn._xlws.FILTER(_xlpm.d,_xlpm.a*_xlpm.b)))</f>
        <v>0.48</v>
      </c>
      <c r="K33" s="7" cm="1">
        <f t="array" ref="K33">_xlfn.LET(_xlpm.d,K$2:K$19,_xlpm.a,$C$2:$C$19=$C33,_xlpm.b,$D$2:$D$19=$D33,MAX(_xlfn._xlws.FILTER(_xlpm.d,_xlpm.a*_xlpm.b)))</f>
        <v>0.44</v>
      </c>
      <c r="L33" s="7" cm="1">
        <f t="array" ref="L33">_xlfn.LET(_xlpm.d,L$2:L$19,_xlpm.a,$C$2:$C$19=$C33,_xlpm.b,$D$2:$D$19=$D33,MAX(_xlfn._xlws.FILTER(_xlpm.d,_xlpm.a*_xlpm.b)))</f>
        <v>0.5</v>
      </c>
      <c r="M33" s="7" cm="1">
        <f t="array" ref="M33">_xlfn.LET(_xlpm.d,M$2:M$19,_xlpm.a,$C$2:$C$19=$C33,_xlpm.b,$D$2:$D$19=$D33,MAX(_xlfn._xlws.FILTER(_xlpm.d,_xlpm.a*_xlpm.b)))</f>
        <v>0.46</v>
      </c>
      <c r="N33" s="7" cm="1">
        <f t="array" ref="N33">_xlfn.LET(_xlpm.d,N$2:N$19,_xlpm.a,$C$2:$C$19=$C33,_xlpm.b,$D$2:$D$19=$D33,MAX(_xlfn._xlws.FILTER(_xlpm.d,_xlpm.a*_xlpm.b)))</f>
        <v>0.42</v>
      </c>
      <c r="O33" s="7" cm="1">
        <f t="array" ref="O33">_xlfn.LET(_xlpm.d,O$2:O$19,_xlpm.a,$C$2:$C$19=$C33,_xlpm.b,$D$2:$D$19=$D33,MAX(_xlfn._xlws.FILTER(_xlpm.d,_xlpm.a*_xlpm.b)))</f>
        <v>0.45</v>
      </c>
      <c r="P33" s="7" cm="1">
        <f t="array" ref="P33">_xlfn.LET(_xlpm.d,P$2:P$19,_xlpm.a,$C$2:$C$19=$C33,_xlpm.b,$D$2:$D$19=$D33,MAX(_xlfn._xlws.FILTER(_xlpm.d,_xlpm.a*_xlpm.b)))</f>
        <v>0.47</v>
      </c>
      <c r="Q33" s="7" cm="1">
        <f t="array" ref="Q33">_xlfn.LET(_xlpm.d,Q$2:Q$19,_xlpm.a,$C$2:$C$19=$C33,_xlpm.b,$D$2:$D$19=$D33,MAX(_xlfn._xlws.FILTER(_xlpm.d,_xlpm.a*_xlpm.b)))</f>
        <v>0.47</v>
      </c>
      <c r="R33" s="7" cm="1">
        <f t="array" ref="R33">_xlfn.LET(_xlpm.d,R$2:R$19,_xlpm.a,$C$2:$C$19=$C33,_xlpm.b,$D$2:$D$19=$D33,MAX(_xlfn._xlws.FILTER(_xlpm.d,_xlpm.a*_xlpm.b)))</f>
        <v>0.43</v>
      </c>
      <c r="S33" s="5">
        <f>_xlfn.LET(_xlpm.d,G33:R33,MAX(_xlpm.d))</f>
        <v>0.5</v>
      </c>
    </row>
    <row r="34" spans="3:19" ht="27" customHeight="1">
      <c r="C34" t="s">
        <v>22</v>
      </c>
      <c r="D34" t="b">
        <v>0</v>
      </c>
      <c r="F34" t="s">
        <v>26</v>
      </c>
      <c r="G34" s="2">
        <f>RANK(G33,$G33:$R33)</f>
        <v>10</v>
      </c>
      <c r="H34" s="2">
        <f t="shared" ref="H34:R34" si="6">RANK(H33,$G33:$R33)</f>
        <v>12</v>
      </c>
      <c r="I34" s="2">
        <f t="shared" si="6"/>
        <v>7</v>
      </c>
      <c r="J34" s="2">
        <f t="shared" si="6"/>
        <v>2</v>
      </c>
      <c r="K34" s="2">
        <f t="shared" si="6"/>
        <v>7</v>
      </c>
      <c r="L34" s="2">
        <f t="shared" si="6"/>
        <v>1</v>
      </c>
      <c r="M34" s="2">
        <f t="shared" si="6"/>
        <v>5</v>
      </c>
      <c r="N34" s="2">
        <f t="shared" si="6"/>
        <v>10</v>
      </c>
      <c r="O34" s="2">
        <f t="shared" si="6"/>
        <v>6</v>
      </c>
      <c r="P34" s="2">
        <f t="shared" si="6"/>
        <v>3</v>
      </c>
      <c r="Q34" s="2">
        <f t="shared" si="6"/>
        <v>3</v>
      </c>
      <c r="R34" s="2">
        <f t="shared" si="6"/>
        <v>9</v>
      </c>
    </row>
    <row r="37" spans="3:19" ht="27" customHeight="1">
      <c r="F37" t="s">
        <v>27</v>
      </c>
      <c r="G37" t="s">
        <v>4</v>
      </c>
      <c r="H37" t="s">
        <v>5</v>
      </c>
      <c r="I37" t="s">
        <v>6</v>
      </c>
      <c r="J37" t="s">
        <v>7</v>
      </c>
      <c r="K37" t="s">
        <v>8</v>
      </c>
      <c r="L37" t="s">
        <v>9</v>
      </c>
      <c r="M37" t="s">
        <v>10</v>
      </c>
      <c r="N37" t="s">
        <v>11</v>
      </c>
      <c r="O37" t="s">
        <v>12</v>
      </c>
      <c r="P37" t="s">
        <v>13</v>
      </c>
      <c r="Q37" t="s">
        <v>14</v>
      </c>
      <c r="R37" t="s">
        <v>15</v>
      </c>
      <c r="S37" t="s">
        <v>23</v>
      </c>
    </row>
    <row r="38" spans="3:19" ht="27" customHeight="1">
      <c r="F38" t="s">
        <v>28</v>
      </c>
      <c r="G38" s="7" cm="1">
        <f t="array" ref="G38">_xlfn.LET(_xlpm.d,G$23:G$34,_xlpm.c,$F$23:$F$34="max",GEOMEAN(_xlfn._xlws.FILTER(_xlpm.d,_xlpm.c)))</f>
        <v>0.67163996387450553</v>
      </c>
      <c r="H38" s="7" cm="1">
        <f t="array" ref="H38">_xlfn.LET(_xlpm.d,H$23:H$34,_xlpm.c,$F$23:$F$34="max",GEOMEAN(_xlfn._xlws.FILTER(_xlpm.d,_xlpm.c)))</f>
        <v>0.66100175066250921</v>
      </c>
      <c r="I38" s="7" cm="1">
        <f t="array" ref="I38">_xlfn.LET(_xlpm.d,I$23:I$34,_xlpm.c,$F$23:$F$34="max",GEOMEAN(_xlfn._xlws.FILTER(_xlpm.d,_xlpm.c)))</f>
        <v>0.66352491035577443</v>
      </c>
      <c r="J38" s="7" cm="1">
        <f t="array" ref="J38">_xlfn.LET(_xlpm.d,J$23:J$34,_xlpm.c,$F$23:$F$34="max",GEOMEAN(_xlfn._xlws.FILTER(_xlpm.d,_xlpm.c)))</f>
        <v>0.69380363449304594</v>
      </c>
      <c r="K38" s="7" cm="1">
        <f t="array" ref="K38">_xlfn.LET(_xlpm.d,K$23:K$34,_xlpm.c,$F$23:$F$34="max",GEOMEAN(_xlfn._xlws.FILTER(_xlpm.d,_xlpm.c)))</f>
        <v>0.65266159892693631</v>
      </c>
      <c r="L38" s="7" cm="1">
        <f t="array" ref="L38">_xlfn.LET(_xlpm.d,L$23:L$34,_xlpm.c,$F$23:$F$34="max",GEOMEAN(_xlfn._xlws.FILTER(_xlpm.d,_xlpm.c)))</f>
        <v>0.6856494184052998</v>
      </c>
      <c r="M38" s="7" cm="1">
        <f t="array" ref="M38">_xlfn.LET(_xlpm.d,M$23:M$34,_xlpm.c,$F$23:$F$34="max",GEOMEAN(_xlfn._xlws.FILTER(_xlpm.d,_xlpm.c)))</f>
        <v>0.68718630422700544</v>
      </c>
      <c r="N38" s="7" cm="1">
        <f t="array" ref="N38">_xlfn.LET(_xlpm.d,N$23:N$34,_xlpm.c,$F$23:$F$34="max",GEOMEAN(_xlfn._xlws.FILTER(_xlpm.d,_xlpm.c)))</f>
        <v>0.65113196455990341</v>
      </c>
      <c r="O38" s="7" cm="1">
        <f t="array" ref="O38">_xlfn.LET(_xlpm.d,O$23:O$34,_xlpm.c,$F$23:$F$34="max",GEOMEAN(_xlfn._xlws.FILTER(_xlpm.d,_xlpm.c)))</f>
        <v>0.67213059794898855</v>
      </c>
      <c r="P38" s="7" cm="1">
        <f t="array" ref="P38">_xlfn.LET(_xlpm.d,P$23:P$34,_xlpm.c,$F$23:$F$34="max",GEOMEAN(_xlfn._xlws.FILTER(_xlpm.d,_xlpm.c)))</f>
        <v>0.67356256689934901</v>
      </c>
      <c r="Q38" s="7" cm="1">
        <f t="array" ref="Q38">_xlfn.LET(_xlpm.d,Q$23:Q$34,_xlpm.c,$F$23:$F$34="max",GEOMEAN(_xlfn._xlws.FILTER(_xlpm.d,_xlpm.c)))</f>
        <v>0.65107745954673635</v>
      </c>
      <c r="R38" s="7" cm="1">
        <f t="array" ref="R38">_xlfn.LET(_xlpm.d,R$23:R$34,_xlpm.c,$F$23:$F$34="max",GEOMEAN(_xlfn._xlws.FILTER(_xlpm.d,_xlpm.c)))</f>
        <v>0.66062797664100992</v>
      </c>
      <c r="S38" s="7" cm="1">
        <f t="array" ref="S38">_xlfn.LET(_xlpm.d,S$23:S$34,_xlpm.c,$F$23:$F$34="max",AVERAGE(_xlfn._xlws.FILTER(_xlpm.d,_xlpm.c)))</f>
        <v>0.73</v>
      </c>
    </row>
    <row r="39" spans="3:19" ht="27" customHeight="1">
      <c r="F39" t="s">
        <v>29</v>
      </c>
      <c r="G39" s="5" cm="1">
        <f t="array" ref="G39">_xlfn.LET(_xlpm.d,G$23:G$34,_xlpm.c,$F$23:$F$34="rank.max",GEOMEAN(_xlfn._xlws.FILTER(_xlpm.d,_xlpm.c)))</f>
        <v>4.3942903513664859</v>
      </c>
      <c r="H39" s="5" cm="1">
        <f t="array" ref="H39">_xlfn.LET(_xlpm.d,H$23:H$34,_xlpm.c,$F$23:$F$34="rank.max",GEOMEAN(_xlfn._xlws.FILTER(_xlpm.d,_xlpm.c)))</f>
        <v>3.7719455481170789</v>
      </c>
      <c r="I39" s="5" cm="1">
        <f t="array" ref="I39">_xlfn.LET(_xlpm.d,I$23:I$34,_xlpm.c,$F$23:$F$34="rank.max",GEOMEAN(_xlfn._xlws.FILTER(_xlpm.d,_xlpm.c)))</f>
        <v>6.2358580564464177</v>
      </c>
      <c r="J39" s="5" cm="1">
        <f t="array" ref="J39">_xlfn.LET(_xlpm.d,J$23:J$34,_xlpm.c,$F$23:$F$34="rank.max",GEOMEAN(_xlfn._xlws.FILTER(_xlpm.d,_xlpm.c)))</f>
        <v>2.736580418554972</v>
      </c>
      <c r="K39" s="5" cm="1">
        <f t="array" ref="K39">_xlfn.LET(_xlpm.d,K$23:K$34,_xlpm.c,$F$23:$F$34="rank.max",GEOMEAN(_xlfn._xlws.FILTER(_xlpm.d,_xlpm.c)))</f>
        <v>7.6680059642924139</v>
      </c>
      <c r="L39" s="5" cm="1">
        <f t="array" ref="L39">_xlfn.LET(_xlpm.d,L$23:L$34,_xlpm.c,$F$23:$F$34="rank.max",GEOMEAN(_xlfn._xlws.FILTER(_xlpm.d,_xlpm.c)))</f>
        <v>3.1072325059538586</v>
      </c>
      <c r="M39" s="5" cm="1">
        <f t="array" ref="M39">_xlfn.LET(_xlpm.d,M$23:M$34,_xlpm.c,$F$23:$F$34="rank.max",GEOMEAN(_xlfn._xlws.FILTER(_xlpm.d,_xlpm.c)))</f>
        <v>3.447875274067532</v>
      </c>
      <c r="N39" s="5" cm="1">
        <f t="array" ref="N39">_xlfn.LET(_xlpm.d,N$23:N$34,_xlpm.c,$F$23:$F$34="rank.max",GEOMEAN(_xlfn._xlws.FILTER(_xlpm.d,_xlpm.c)))</f>
        <v>6.3139702039607259</v>
      </c>
      <c r="O39" s="5" cm="1">
        <f t="array" ref="O39">_xlfn.LET(_xlpm.d,O$23:O$34,_xlpm.c,$F$23:$F$34="rank.max",GEOMEAN(_xlfn._xlws.FILTER(_xlpm.d,_xlpm.c)))</f>
        <v>3.5953592505049201</v>
      </c>
      <c r="P39" s="5" cm="1">
        <f t="array" ref="P39">_xlfn.LET(_xlpm.d,P$23:P$34,_xlpm.c,$F$23:$F$34="rank.max",GEOMEAN(_xlfn._xlws.FILTER(_xlpm.d,_xlpm.c)))</f>
        <v>4.6196709652247288</v>
      </c>
      <c r="Q39" s="5" cm="1">
        <f t="array" ref="Q39">_xlfn.LET(_xlpm.d,Q$23:Q$34,_xlpm.c,$F$23:$F$34="rank.max",GEOMEAN(_xlfn._xlws.FILTER(_xlpm.d,_xlpm.c)))</f>
        <v>6.8635665993154129</v>
      </c>
      <c r="R39" s="5" cm="1">
        <f t="array" ref="R39">_xlfn.LET(_xlpm.d,R$23:R$34,_xlpm.c,$F$23:$F$34="rank.max",GEOMEAN(_xlfn._xlws.FILTER(_xlpm.d,_xlpm.c)))</f>
        <v>5.9235304387294567</v>
      </c>
    </row>
  </sheetData>
  <conditionalFormatting sqref="G2:S19">
    <cfRule type="colorScale" priority="2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3">
    <cfRule type="colorScale" priority="2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7:R27">
    <cfRule type="colorScale" priority="2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5:R25">
    <cfRule type="colorScale" priority="20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9:R29">
    <cfRule type="colorScale" priority="18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31:R31">
    <cfRule type="colorScale" priority="16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33:R33">
    <cfRule type="colorScale" priority="1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33">
    <cfRule type="colorScale" priority="1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4:R24">
    <cfRule type="colorScale" priority="12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26:R26">
    <cfRule type="colorScale" priority="1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28:R28">
    <cfRule type="colorScale" priority="10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30:R30">
    <cfRule type="colorScale" priority="9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32:R32">
    <cfRule type="colorScale" priority="8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34:R34">
    <cfRule type="colorScale" priority="7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39:R39">
    <cfRule type="colorScale" priority="6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38:S38">
    <cfRule type="colorScale" priority="5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25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27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2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31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extracts-Czech-sample3000-X-mgv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2025-02-18T09:30:05Z</dcterms:created>
  <dcterms:modified xsi:type="dcterms:W3CDTF">2025-02-18T10:16:25Z</dcterms:modified>
  <cp:category/>
</cp:coreProperties>
</file>