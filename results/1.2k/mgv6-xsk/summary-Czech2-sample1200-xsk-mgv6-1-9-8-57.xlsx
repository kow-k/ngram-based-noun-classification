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1.2k/mgv6-xsk/"/>
    </mc:Choice>
  </mc:AlternateContent>
  <xr:revisionPtr revIDLastSave="0" documentId="13_ncr:1_{D430FF15-69F8-174A-85C5-54C2F4419FEB}" xr6:coauthVersionLast="47" xr6:coauthVersionMax="47" xr10:uidLastSave="{00000000-0000-0000-0000-000000000000}"/>
  <bookViews>
    <workbookView xWindow="4960" yWindow="1080" windowWidth="30820" windowHeight="16160" xr2:uid="{FA1B81E2-6241-374C-9318-3557C5B434ED}"/>
  </bookViews>
  <sheets>
    <sheet name="char-Czech2-sample1200-xs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F32" i="1"/>
  <c r="F31" i="1"/>
  <c r="P26" i="1"/>
  <c r="O26" i="1"/>
  <c r="N26" i="1"/>
  <c r="M26" i="1"/>
  <c r="L26" i="1"/>
  <c r="K26" i="1"/>
  <c r="J26" i="1"/>
  <c r="I26" i="1"/>
  <c r="H26" i="1"/>
  <c r="G26" i="1"/>
  <c r="F26" i="1"/>
  <c r="P25" i="1"/>
  <c r="P31" i="1" s="1"/>
  <c r="O25" i="1"/>
  <c r="N25" i="1"/>
  <c r="M25" i="1"/>
  <c r="M31" i="1" s="1"/>
  <c r="L25" i="1"/>
  <c r="K25" i="1"/>
  <c r="K31" i="1" s="1"/>
  <c r="J25" i="1"/>
  <c r="I25" i="1"/>
  <c r="H25" i="1"/>
  <c r="H31" i="1" s="1"/>
  <c r="G25" i="1"/>
  <c r="F25" i="1"/>
  <c r="P24" i="1"/>
  <c r="P30" i="1" s="1"/>
  <c r="O24" i="1"/>
  <c r="N24" i="1"/>
  <c r="M24" i="1"/>
  <c r="L24" i="1"/>
  <c r="L30" i="1" s="1"/>
  <c r="K24" i="1"/>
  <c r="K30" i="1" s="1"/>
  <c r="J24" i="1"/>
  <c r="I24" i="1"/>
  <c r="I30" i="1" s="1"/>
  <c r="H24" i="1"/>
  <c r="J30" i="1" s="1"/>
  <c r="G24" i="1"/>
  <c r="F24" i="1"/>
  <c r="O30" i="1" s="1"/>
  <c r="P23" i="1"/>
  <c r="P29" i="1" s="1"/>
  <c r="O23" i="1"/>
  <c r="O29" i="1" s="1"/>
  <c r="N23" i="1"/>
  <c r="N29" i="1" s="1"/>
  <c r="M23" i="1"/>
  <c r="M29" i="1" s="1"/>
  <c r="L23" i="1"/>
  <c r="L29" i="1" s="1"/>
  <c r="K23" i="1"/>
  <c r="K29" i="1" s="1"/>
  <c r="J23" i="1"/>
  <c r="I23" i="1"/>
  <c r="H23" i="1"/>
  <c r="H29" i="1" s="1"/>
  <c r="G23" i="1"/>
  <c r="G29" i="1" s="1"/>
  <c r="F23" i="1"/>
  <c r="F29" i="1" s="1"/>
  <c r="E23" i="1"/>
  <c r="E29" i="1" s="1"/>
  <c r="E26" i="1"/>
  <c r="E25" i="1"/>
  <c r="O31" i="1" s="1"/>
  <c r="E24" i="1"/>
  <c r="Q14" i="1"/>
  <c r="Q15" i="1"/>
  <c r="Q16" i="1"/>
  <c r="Q17" i="1"/>
  <c r="Q18" i="1"/>
  <c r="Q19" i="1"/>
  <c r="Q8" i="1"/>
  <c r="Q9" i="1"/>
  <c r="Q10" i="1"/>
  <c r="Q11" i="1"/>
  <c r="Q12" i="1"/>
  <c r="Q13" i="1"/>
  <c r="Q2" i="1"/>
  <c r="Q3" i="1"/>
  <c r="Q4" i="1"/>
  <c r="Q5" i="1"/>
  <c r="Q6" i="1"/>
  <c r="Q7" i="1"/>
  <c r="M30" i="1" l="1"/>
  <c r="F30" i="1"/>
  <c r="N30" i="1"/>
  <c r="G30" i="1"/>
  <c r="E30" i="1"/>
  <c r="E32" i="1" s="1"/>
  <c r="J29" i="1"/>
  <c r="J31" i="1"/>
  <c r="H30" i="1"/>
  <c r="L31" i="1"/>
  <c r="E31" i="1"/>
  <c r="I29" i="1"/>
  <c r="I31" i="1"/>
  <c r="N31" i="1"/>
  <c r="G31" i="1"/>
  <c r="Q25" i="1"/>
  <c r="Q26" i="1"/>
  <c r="Q23" i="1"/>
  <c r="Q24" i="1"/>
</calcChain>
</file>

<file path=xl/sharedStrings.xml><?xml version="1.0" encoding="utf-8"?>
<sst xmlns="http://schemas.openxmlformats.org/spreadsheetml/2006/main" count="106" uniqueCount="33">
  <si>
    <t>DT</t>
  </si>
  <si>
    <t>Czech</t>
  </si>
  <si>
    <t>NN</t>
  </si>
  <si>
    <t>RF</t>
  </si>
  <si>
    <t>gender</t>
  </si>
  <si>
    <t>plurality</t>
  </si>
  <si>
    <t>xsk4gram-hash-at-both</t>
  </si>
  <si>
    <t>xsk3gram-hash-at-both</t>
  </si>
  <si>
    <t>xsk2gram-hash-at-both</t>
  </si>
  <si>
    <t>4gram-hash-at-both</t>
  </si>
  <si>
    <t>3gram-hash-at-both</t>
  </si>
  <si>
    <t>2gram-hash-at-both</t>
  </si>
  <si>
    <t>xsk4gram-no-hash</t>
  </si>
  <si>
    <t>xsk3gram-no-hash</t>
  </si>
  <si>
    <t>xsk2gram-no-hash</t>
  </si>
  <si>
    <t>4gram-no-hash</t>
  </si>
  <si>
    <t>3gram-no-hash</t>
  </si>
  <si>
    <t>2gram-no-hash</t>
  </si>
  <si>
    <t>method</t>
  </si>
  <si>
    <t>supplement</t>
  </si>
  <si>
    <t>attribute</t>
  </si>
  <si>
    <t>lang</t>
  </si>
  <si>
    <t>max</t>
  </si>
  <si>
    <t>average</t>
  </si>
  <si>
    <t>min</t>
  </si>
  <si>
    <t>stdv</t>
  </si>
  <si>
    <t>Column1</t>
  </si>
  <si>
    <t>indicator</t>
  </si>
  <si>
    <t>rank.average</t>
  </si>
  <si>
    <t>rank.max</t>
  </si>
  <si>
    <t>rank.min</t>
  </si>
  <si>
    <t>rank.mixed</t>
  </si>
  <si>
    <t>case2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</si>
</sst>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4E95D-8CD2-8247-BBE8-86263F95029F}" name="Table1" displayName="Table1" ref="A1:Q19" totalsRowShown="0">
  <autoFilter ref="A1:Q19" xr:uid="{9C74E95D-8CD2-8247-BBE8-86263F95029F}"/>
  <sortState xmlns:xlrd2="http://schemas.microsoft.com/office/spreadsheetml/2017/richdata2" ref="A2:Q19">
    <sortCondition ref="B1:B19"/>
  </sortState>
  <tableColumns count="17">
    <tableColumn id="1" xr3:uid="{5DEC317B-64C6-A34E-A77F-EE30A64C7A35}" name="lang"/>
    <tableColumn id="2" xr3:uid="{43427490-7EE5-9C48-8E4B-56186B95C316}" name="attribute"/>
    <tableColumn id="3" xr3:uid="{C6AF6485-7836-FA4C-A75C-70D064C09CBB}" name="supplement"/>
    <tableColumn id="4" xr3:uid="{03340727-6713-0D45-B533-D823FABAF9E0}" name="method"/>
    <tableColumn id="5" xr3:uid="{46A5E57A-90B5-C842-A0E8-EEA8D62AEA75}" name="2gram-no-hash"/>
    <tableColumn id="6" xr3:uid="{2C505D2C-C8B3-4740-A865-AA2E54A9EF40}" name="3gram-no-hash"/>
    <tableColumn id="7" xr3:uid="{120F8113-778F-D147-9672-86B38E91891E}" name="4gram-no-hash"/>
    <tableColumn id="8" xr3:uid="{8F08752B-25E6-1C43-AB24-408950363DBF}" name="xsk2gram-no-hash"/>
    <tableColumn id="9" xr3:uid="{3F49BBB6-FB89-8649-A9E6-7947F972FE5D}" name="xsk3gram-no-hash"/>
    <tableColumn id="10" xr3:uid="{1C167476-2B7C-2345-83B9-0B67EE0A0016}" name="xsk4gram-no-hash"/>
    <tableColumn id="11" xr3:uid="{82A8B190-CF41-AE4A-BF98-2738C0FEB3ED}" name="2gram-hash-at-both"/>
    <tableColumn id="12" xr3:uid="{76AF7F38-8178-484C-9DD7-7088BF7DD9EB}" name="3gram-hash-at-both"/>
    <tableColumn id="13" xr3:uid="{241D8569-2B85-D341-99A6-162649D6E3A1}" name="4gram-hash-at-both"/>
    <tableColumn id="14" xr3:uid="{3448D35C-8406-5944-BD26-DB66926608CE}" name="xsk2gram-hash-at-both"/>
    <tableColumn id="15" xr3:uid="{FCC91956-53B0-DB49-9363-4FFA850CA506}" name="xsk3gram-hash-at-both"/>
    <tableColumn id="16" xr3:uid="{5415A5CD-DB67-3849-961A-DD42BCDCD582}" name="xsk4gram-hash-at-both"/>
    <tableColumn id="17" xr3:uid="{A3222117-2369-6A4B-A135-5468CE4D5D72}" name="max" dataDxfId="13">
      <calculatedColumnFormula>_xlfn.LET(_xlpm.d,$D2:$P2,MAX(_xlpm.d))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472A5C-C9A2-464D-8F8B-683435590755}" name="Table2" displayName="Table2" ref="D22:Q26" totalsRowShown="0">
  <autoFilter ref="D22:Q26" xr:uid="{DF472A5C-C9A2-464D-8F8B-683435590755}"/>
  <tableColumns count="14">
    <tableColumn id="1" xr3:uid="{498A8F7C-06FC-F947-BC11-1839F0E808FE}" name="indicator"/>
    <tableColumn id="2" xr3:uid="{F9EEFE3F-9A8F-0849-95BB-61A1E9586034}" name="2gram-no-hash" dataDxfId="12"/>
    <tableColumn id="3" xr3:uid="{2B3B549D-514E-E846-B424-6ADDB6F3877D}" name="3gram-no-hash" dataDxfId="11"/>
    <tableColumn id="4" xr3:uid="{EDD2CD33-6D26-B543-86B2-8DF00FF3833D}" name="4gram-no-hash" dataDxfId="10"/>
    <tableColumn id="5" xr3:uid="{FF2C0B58-8233-E34E-BFAD-DE694065DD34}" name="xsk2gram-no-hash" dataDxfId="9"/>
    <tableColumn id="6" xr3:uid="{27012E35-9EE6-454B-A294-B30EB07B422F}" name="xsk3gram-no-hash" dataDxfId="8"/>
    <tableColumn id="7" xr3:uid="{CF2E270C-460A-ED4C-A16A-A94D8F2F4E6D}" name="xsk4gram-no-hash" dataDxfId="7"/>
    <tableColumn id="8" xr3:uid="{BFA444CA-6159-DF43-9B4E-8761278B3099}" name="2gram-hash-at-both" dataDxfId="6"/>
    <tableColumn id="9" xr3:uid="{597FE93F-73C6-9C4A-AF49-F47FEE9C83CB}" name="3gram-hash-at-both" dataDxfId="5"/>
    <tableColumn id="10" xr3:uid="{044E366B-6F12-2F4B-81AD-791147A5B5FD}" name="4gram-hash-at-both" dataDxfId="4"/>
    <tableColumn id="11" xr3:uid="{85DDFAF2-68C3-164F-B9D9-947C26118DE4}" name="xsk2gram-hash-at-both" dataDxfId="3"/>
    <tableColumn id="12" xr3:uid="{63D592BC-3413-5E40-A6D0-E6063F6B3921}" name="xsk3gram-hash-at-both" dataDxfId="2"/>
    <tableColumn id="13" xr3:uid="{F315B3E4-BC03-6B4F-B16B-F390DA227E42}" name="xsk4gram-hash-at-both" dataDxfId="1"/>
    <tableColumn id="14" xr3:uid="{E206450B-7322-504F-B972-F617B38B79E7}" name="max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D6505D-3E22-5744-ABEF-7FCE7B6B00B6}" name="Table3" displayName="Table3" ref="D28:P32" totalsRowShown="0">
  <autoFilter ref="D28:P32" xr:uid="{29D6505D-3E22-5744-ABEF-7FCE7B6B00B6}"/>
  <tableColumns count="13">
    <tableColumn id="1" xr3:uid="{4984B307-9464-6844-AB38-9CB49DD579BE}" name="Column1"/>
    <tableColumn id="2" xr3:uid="{34A60919-B5DA-9B40-8842-7432570102E0}" name="2gram-no-hash"/>
    <tableColumn id="3" xr3:uid="{D3C3CB27-0374-424A-97D9-2A3251C85B16}" name="3gram-no-hash"/>
    <tableColumn id="4" xr3:uid="{D8BE1C1F-0F6F-8B41-8130-0D3058AD6421}" name="4gram-no-hash"/>
    <tableColumn id="5" xr3:uid="{C8E4508D-E548-BF48-AA7A-E1CBB6D8A94B}" name="xsk2gram-no-hash"/>
    <tableColumn id="6" xr3:uid="{2E5F787F-866E-254E-AA1E-6440C1952ECB}" name="xsk3gram-no-hash"/>
    <tableColumn id="7" xr3:uid="{281FC68E-EB17-A04E-B2AA-5A14750DFA4E}" name="xsk4gram-no-hash"/>
    <tableColumn id="8" xr3:uid="{3D4BBBDE-CA17-AB40-9CFF-BCA838C33B14}" name="2gram-hash-at-both"/>
    <tableColumn id="9" xr3:uid="{8B485225-9584-7A43-98DB-80718D8CA65D}" name="3gram-hash-at-both"/>
    <tableColumn id="10" xr3:uid="{0FB7C2FB-57F8-2042-B250-BC4DCF527FEB}" name="4gram-hash-at-both"/>
    <tableColumn id="11" xr3:uid="{07571150-CF90-CD42-84D4-6B0F0DC71807}" name="xsk2gram-hash-at-both"/>
    <tableColumn id="12" xr3:uid="{CF4D6E00-DD70-F74C-8E58-8F7C0775ACB7}" name="xsk3gram-hash-at-both"/>
    <tableColumn id="13" xr3:uid="{747E2BE8-9E34-0249-AC1A-4A1666F5E8BF}" name="xsk4gram-hash-at-bo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6B92-D414-764A-A79F-3EDDF04790EA}">
  <dimension ref="A1:Q32"/>
  <sheetViews>
    <sheetView tabSelected="1" workbookViewId="0">
      <pane xSplit="14180" ySplit="4400" topLeftCell="G2" activePane="bottomLeft"/>
      <selection activeCell="E1" sqref="E1:P1048576"/>
      <selection pane="topRight" activeCell="Q3" sqref="Q3"/>
      <selection pane="bottomLeft" activeCell="B10" sqref="B10"/>
      <selection pane="bottomRight" activeCell="O39" sqref="O39"/>
    </sheetView>
  </sheetViews>
  <sheetFormatPr baseColWidth="10" defaultRowHeight="27" customHeight="1"/>
  <cols>
    <col min="3" max="3" width="11.875" customWidth="1"/>
    <col min="5" max="16" width="9.375" customWidth="1"/>
    <col min="17" max="17" width="9.125" customWidth="1"/>
  </cols>
  <sheetData>
    <row r="1" spans="1:17" ht="27" customHeight="1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K1" t="s">
        <v>11</v>
      </c>
      <c r="L1" t="s">
        <v>10</v>
      </c>
      <c r="M1" t="s">
        <v>9</v>
      </c>
      <c r="N1" t="s">
        <v>8</v>
      </c>
      <c r="O1" t="s">
        <v>7</v>
      </c>
      <c r="P1" t="s">
        <v>6</v>
      </c>
      <c r="Q1" t="s">
        <v>22</v>
      </c>
    </row>
    <row r="2" spans="1:17" ht="27" customHeight="1">
      <c r="A2" t="s">
        <v>1</v>
      </c>
      <c r="B2" t="s">
        <v>32</v>
      </c>
      <c r="C2" t="b">
        <v>0</v>
      </c>
      <c r="D2" t="s">
        <v>3</v>
      </c>
      <c r="E2">
        <v>0.37</v>
      </c>
      <c r="F2">
        <v>0.46</v>
      </c>
      <c r="G2">
        <v>0.41</v>
      </c>
      <c r="H2">
        <v>0.44</v>
      </c>
      <c r="I2">
        <v>0.41</v>
      </c>
      <c r="J2">
        <v>0.44</v>
      </c>
      <c r="K2">
        <v>0.42</v>
      </c>
      <c r="L2">
        <v>0.36</v>
      </c>
      <c r="M2">
        <v>0.35</v>
      </c>
      <c r="N2">
        <v>0.37</v>
      </c>
      <c r="O2">
        <v>0.42</v>
      </c>
      <c r="P2">
        <v>0.36</v>
      </c>
      <c r="Q2">
        <f>_xlfn.LET(_xlpm.d,$D2:$P2,MAX(_xlpm.d))</f>
        <v>0.46</v>
      </c>
    </row>
    <row r="3" spans="1:17" ht="27" customHeight="1">
      <c r="A3" t="s">
        <v>1</v>
      </c>
      <c r="B3" t="s">
        <v>32</v>
      </c>
      <c r="C3" t="b">
        <v>0</v>
      </c>
      <c r="D3" t="s">
        <v>2</v>
      </c>
      <c r="E3">
        <v>0.36</v>
      </c>
      <c r="F3">
        <v>0.28999999999999998</v>
      </c>
      <c r="G3">
        <v>0.32</v>
      </c>
      <c r="H3">
        <v>0.36</v>
      </c>
      <c r="I3">
        <v>0.36</v>
      </c>
      <c r="J3">
        <v>0.42</v>
      </c>
      <c r="K3">
        <v>0.45</v>
      </c>
      <c r="L3">
        <v>0.36</v>
      </c>
      <c r="M3">
        <v>0.35</v>
      </c>
      <c r="N3">
        <v>0.39</v>
      </c>
      <c r="O3">
        <v>0.36</v>
      </c>
      <c r="P3">
        <v>0.28999999999999998</v>
      </c>
      <c r="Q3">
        <f>_xlfn.LET(_xlpm.d,$D3:$P3,MAX(_xlpm.d))</f>
        <v>0.45</v>
      </c>
    </row>
    <row r="4" spans="1:17" ht="27" customHeight="1">
      <c r="A4" t="s">
        <v>1</v>
      </c>
      <c r="B4" t="s">
        <v>32</v>
      </c>
      <c r="C4" t="b">
        <v>0</v>
      </c>
      <c r="D4" t="s">
        <v>0</v>
      </c>
      <c r="E4">
        <v>0.36</v>
      </c>
      <c r="F4">
        <v>0.37</v>
      </c>
      <c r="G4">
        <v>0.44</v>
      </c>
      <c r="H4">
        <v>0.42</v>
      </c>
      <c r="I4">
        <v>0.39</v>
      </c>
      <c r="J4">
        <v>0.35</v>
      </c>
      <c r="K4">
        <v>0.38</v>
      </c>
      <c r="L4">
        <v>0.39</v>
      </c>
      <c r="M4">
        <v>0.42</v>
      </c>
      <c r="N4">
        <v>0.36</v>
      </c>
      <c r="O4">
        <v>0.34</v>
      </c>
      <c r="P4">
        <v>0.37</v>
      </c>
      <c r="Q4">
        <f>_xlfn.LET(_xlpm.d,$D4:$P4,MAX(_xlpm.d))</f>
        <v>0.44</v>
      </c>
    </row>
    <row r="5" spans="1:17" ht="27" customHeight="1">
      <c r="A5" t="s">
        <v>1</v>
      </c>
      <c r="B5" t="s">
        <v>32</v>
      </c>
      <c r="C5" t="b">
        <v>1</v>
      </c>
      <c r="D5" t="s">
        <v>3</v>
      </c>
      <c r="E5">
        <v>0.45</v>
      </c>
      <c r="F5">
        <v>0.56000000000000005</v>
      </c>
      <c r="G5">
        <v>0.47</v>
      </c>
      <c r="H5">
        <v>0.47</v>
      </c>
      <c r="I5">
        <v>0.5</v>
      </c>
      <c r="J5">
        <v>0.5</v>
      </c>
      <c r="K5">
        <v>0.46</v>
      </c>
      <c r="L5">
        <v>0.45</v>
      </c>
      <c r="M5">
        <v>0.48</v>
      </c>
      <c r="N5">
        <v>0.45</v>
      </c>
      <c r="O5">
        <v>0.43</v>
      </c>
      <c r="P5">
        <v>0.45</v>
      </c>
      <c r="Q5">
        <f>_xlfn.LET(_xlpm.d,$D5:$P5,MAX(_xlpm.d))</f>
        <v>0.56000000000000005</v>
      </c>
    </row>
    <row r="6" spans="1:17" ht="27" customHeight="1">
      <c r="A6" t="s">
        <v>1</v>
      </c>
      <c r="B6" t="s">
        <v>32</v>
      </c>
      <c r="C6" t="b">
        <v>1</v>
      </c>
      <c r="D6" t="s">
        <v>2</v>
      </c>
      <c r="E6">
        <v>0.4</v>
      </c>
      <c r="F6">
        <v>0.37</v>
      </c>
      <c r="G6">
        <v>0.39</v>
      </c>
      <c r="H6">
        <v>0.36</v>
      </c>
      <c r="I6">
        <v>0.39</v>
      </c>
      <c r="J6">
        <v>0.45</v>
      </c>
      <c r="K6">
        <v>0.44</v>
      </c>
      <c r="L6">
        <v>0.38</v>
      </c>
      <c r="M6">
        <v>0.42</v>
      </c>
      <c r="N6">
        <v>0.42</v>
      </c>
      <c r="O6">
        <v>0.38</v>
      </c>
      <c r="P6">
        <v>0.28999999999999998</v>
      </c>
      <c r="Q6">
        <f>_xlfn.LET(_xlpm.d,$D6:$P6,MAX(_xlpm.d))</f>
        <v>0.45</v>
      </c>
    </row>
    <row r="7" spans="1:17" ht="27" customHeight="1">
      <c r="A7" t="s">
        <v>1</v>
      </c>
      <c r="B7" t="s">
        <v>32</v>
      </c>
      <c r="C7" t="b">
        <v>1</v>
      </c>
      <c r="D7" t="s">
        <v>0</v>
      </c>
      <c r="E7">
        <v>0.37</v>
      </c>
      <c r="F7">
        <v>0.41</v>
      </c>
      <c r="G7">
        <v>0.41</v>
      </c>
      <c r="H7">
        <v>0.43</v>
      </c>
      <c r="I7">
        <v>0.37</v>
      </c>
      <c r="J7">
        <v>0.41</v>
      </c>
      <c r="K7">
        <v>0.47</v>
      </c>
      <c r="L7">
        <v>0.42</v>
      </c>
      <c r="M7">
        <v>0.31</v>
      </c>
      <c r="N7">
        <v>0.4</v>
      </c>
      <c r="O7">
        <v>0.42</v>
      </c>
      <c r="P7">
        <v>0.38</v>
      </c>
      <c r="Q7">
        <f>_xlfn.LET(_xlpm.d,$D7:$P7,MAX(_xlpm.d))</f>
        <v>0.47</v>
      </c>
    </row>
    <row r="8" spans="1:17" ht="27" customHeight="1">
      <c r="A8" t="s">
        <v>1</v>
      </c>
      <c r="B8" t="s">
        <v>4</v>
      </c>
      <c r="C8" t="b">
        <v>0</v>
      </c>
      <c r="D8" t="s">
        <v>3</v>
      </c>
      <c r="E8">
        <v>0.75</v>
      </c>
      <c r="F8">
        <v>0.7</v>
      </c>
      <c r="G8">
        <v>0.69</v>
      </c>
      <c r="H8">
        <v>0.68</v>
      </c>
      <c r="I8">
        <v>0.69</v>
      </c>
      <c r="J8">
        <v>0.63</v>
      </c>
      <c r="K8">
        <v>0.67</v>
      </c>
      <c r="L8">
        <v>0.72</v>
      </c>
      <c r="M8">
        <v>0.71</v>
      </c>
      <c r="N8">
        <v>0.67</v>
      </c>
      <c r="O8">
        <v>0.69</v>
      </c>
      <c r="P8">
        <v>0.56999999999999995</v>
      </c>
      <c r="Q8">
        <f>_xlfn.LET(_xlpm.d,$D8:$P8,MAX(_xlpm.d))</f>
        <v>0.75</v>
      </c>
    </row>
    <row r="9" spans="1:17" ht="27" customHeight="1">
      <c r="A9" t="s">
        <v>1</v>
      </c>
      <c r="B9" t="s">
        <v>4</v>
      </c>
      <c r="C9" t="b">
        <v>0</v>
      </c>
      <c r="D9" t="s">
        <v>2</v>
      </c>
      <c r="E9">
        <v>0.72</v>
      </c>
      <c r="F9">
        <v>0.61</v>
      </c>
      <c r="G9">
        <v>0.68</v>
      </c>
      <c r="H9">
        <v>0.67</v>
      </c>
      <c r="I9">
        <v>0.66</v>
      </c>
      <c r="J9">
        <v>0.67</v>
      </c>
      <c r="K9">
        <v>0.59</v>
      </c>
      <c r="L9">
        <v>0.75</v>
      </c>
      <c r="M9">
        <v>0.69</v>
      </c>
      <c r="N9">
        <v>0.67</v>
      </c>
      <c r="O9">
        <v>0.69</v>
      </c>
      <c r="P9">
        <v>0.67</v>
      </c>
      <c r="Q9">
        <f>_xlfn.LET(_xlpm.d,$D9:$P9,MAX(_xlpm.d))</f>
        <v>0.75</v>
      </c>
    </row>
    <row r="10" spans="1:17" ht="27" customHeight="1">
      <c r="A10" t="s">
        <v>1</v>
      </c>
      <c r="B10" t="s">
        <v>4</v>
      </c>
      <c r="C10" t="b">
        <v>0</v>
      </c>
      <c r="D10" t="s">
        <v>0</v>
      </c>
      <c r="E10">
        <v>0.63</v>
      </c>
      <c r="F10">
        <v>0.61</v>
      </c>
      <c r="G10">
        <v>0.57999999999999996</v>
      </c>
      <c r="H10">
        <v>0.56000000000000005</v>
      </c>
      <c r="I10">
        <v>0.5</v>
      </c>
      <c r="J10">
        <v>0.56999999999999995</v>
      </c>
      <c r="K10">
        <v>0.63</v>
      </c>
      <c r="L10">
        <v>0.59</v>
      </c>
      <c r="M10">
        <v>0.64</v>
      </c>
      <c r="N10">
        <v>0.56999999999999995</v>
      </c>
      <c r="O10">
        <v>0.59</v>
      </c>
      <c r="P10">
        <v>0.52</v>
      </c>
      <c r="Q10">
        <f>_xlfn.LET(_xlpm.d,$D10:$P10,MAX(_xlpm.d))</f>
        <v>0.64</v>
      </c>
    </row>
    <row r="11" spans="1:17" ht="27" customHeight="1">
      <c r="A11" t="s">
        <v>1</v>
      </c>
      <c r="B11" t="s">
        <v>4</v>
      </c>
      <c r="C11" t="b">
        <v>1</v>
      </c>
      <c r="D11" t="s">
        <v>3</v>
      </c>
      <c r="E11">
        <v>0.9</v>
      </c>
      <c r="F11">
        <v>0.92</v>
      </c>
      <c r="G11">
        <v>0.91</v>
      </c>
      <c r="H11">
        <v>0.87</v>
      </c>
      <c r="I11">
        <v>0.88</v>
      </c>
      <c r="J11">
        <v>0.89</v>
      </c>
      <c r="K11">
        <v>0.93</v>
      </c>
      <c r="L11">
        <v>0.93</v>
      </c>
      <c r="M11">
        <v>0.88</v>
      </c>
      <c r="N11">
        <v>0.84</v>
      </c>
      <c r="O11">
        <v>0.84</v>
      </c>
      <c r="P11">
        <v>0.78</v>
      </c>
      <c r="Q11">
        <f>_xlfn.LET(_xlpm.d,$D11:$P11,MAX(_xlpm.d))</f>
        <v>0.93</v>
      </c>
    </row>
    <row r="12" spans="1:17" ht="27" customHeight="1">
      <c r="A12" t="s">
        <v>1</v>
      </c>
      <c r="B12" t="s">
        <v>4</v>
      </c>
      <c r="C12" t="b">
        <v>1</v>
      </c>
      <c r="D12" t="s">
        <v>2</v>
      </c>
      <c r="E12">
        <v>0.94</v>
      </c>
      <c r="F12">
        <v>0.91</v>
      </c>
      <c r="G12">
        <v>0.88</v>
      </c>
      <c r="H12">
        <v>0.84</v>
      </c>
      <c r="I12">
        <v>0.79</v>
      </c>
      <c r="J12">
        <v>0.72</v>
      </c>
      <c r="K12">
        <v>0.9</v>
      </c>
      <c r="L12">
        <v>0.95</v>
      </c>
      <c r="M12">
        <v>0.91</v>
      </c>
      <c r="N12">
        <v>0.86</v>
      </c>
      <c r="O12">
        <v>0.84</v>
      </c>
      <c r="P12">
        <v>0.8</v>
      </c>
      <c r="Q12">
        <f>_xlfn.LET(_xlpm.d,$D12:$P12,MAX(_xlpm.d))</f>
        <v>0.95</v>
      </c>
    </row>
    <row r="13" spans="1:17" ht="27" customHeight="1">
      <c r="A13" t="s">
        <v>1</v>
      </c>
      <c r="B13" t="s">
        <v>4</v>
      </c>
      <c r="C13" t="b">
        <v>1</v>
      </c>
      <c r="D13" t="s">
        <v>0</v>
      </c>
      <c r="E13">
        <v>0.88</v>
      </c>
      <c r="F13">
        <v>0.88</v>
      </c>
      <c r="G13">
        <v>0.74</v>
      </c>
      <c r="H13">
        <v>0.75</v>
      </c>
      <c r="I13">
        <v>0.55000000000000004</v>
      </c>
      <c r="J13">
        <v>0.66</v>
      </c>
      <c r="K13">
        <v>0.91</v>
      </c>
      <c r="L13">
        <v>0.65</v>
      </c>
      <c r="M13">
        <v>0.66</v>
      </c>
      <c r="N13">
        <v>0.75</v>
      </c>
      <c r="O13">
        <v>0.57999999999999996</v>
      </c>
      <c r="P13">
        <v>0.44</v>
      </c>
      <c r="Q13">
        <f>_xlfn.LET(_xlpm.d,$D13:$P13,MAX(_xlpm.d))</f>
        <v>0.91</v>
      </c>
    </row>
    <row r="14" spans="1:17" ht="27" customHeight="1">
      <c r="A14" t="s">
        <v>1</v>
      </c>
      <c r="B14" t="s">
        <v>5</v>
      </c>
      <c r="C14" t="b">
        <v>0</v>
      </c>
      <c r="D14" t="s">
        <v>3</v>
      </c>
      <c r="E14">
        <v>0.81</v>
      </c>
      <c r="F14">
        <v>0.87</v>
      </c>
      <c r="G14">
        <v>0.79</v>
      </c>
      <c r="H14">
        <v>0.82</v>
      </c>
      <c r="I14">
        <v>0.86</v>
      </c>
      <c r="J14">
        <v>0.82</v>
      </c>
      <c r="K14">
        <v>0.84</v>
      </c>
      <c r="L14">
        <v>0.83</v>
      </c>
      <c r="M14">
        <v>0.79</v>
      </c>
      <c r="N14">
        <v>0.88</v>
      </c>
      <c r="O14">
        <v>0.85</v>
      </c>
      <c r="P14">
        <v>0.82</v>
      </c>
      <c r="Q14">
        <f>_xlfn.LET(_xlpm.d,$D14:$P14,MAX(_xlpm.d))</f>
        <v>0.88</v>
      </c>
    </row>
    <row r="15" spans="1:17" ht="27" customHeight="1">
      <c r="A15" t="s">
        <v>1</v>
      </c>
      <c r="B15" t="s">
        <v>5</v>
      </c>
      <c r="C15" t="b">
        <v>0</v>
      </c>
      <c r="D15" t="s">
        <v>2</v>
      </c>
      <c r="E15">
        <v>0.76</v>
      </c>
      <c r="F15">
        <v>0.78</v>
      </c>
      <c r="G15">
        <v>0.78</v>
      </c>
      <c r="H15">
        <v>0.76</v>
      </c>
      <c r="I15">
        <v>0.85</v>
      </c>
      <c r="J15">
        <v>0.82</v>
      </c>
      <c r="K15">
        <v>0.78</v>
      </c>
      <c r="L15">
        <v>0.8</v>
      </c>
      <c r="M15">
        <v>0.75</v>
      </c>
      <c r="N15">
        <v>0.79</v>
      </c>
      <c r="O15">
        <v>0.8</v>
      </c>
      <c r="P15">
        <v>0.78</v>
      </c>
      <c r="Q15">
        <f>_xlfn.LET(_xlpm.d,$D15:$P15,MAX(_xlpm.d))</f>
        <v>0.85</v>
      </c>
    </row>
    <row r="16" spans="1:17" ht="27" customHeight="1">
      <c r="A16" t="s">
        <v>1</v>
      </c>
      <c r="B16" t="s">
        <v>5</v>
      </c>
      <c r="C16" t="b">
        <v>0</v>
      </c>
      <c r="D16" t="s">
        <v>0</v>
      </c>
      <c r="E16">
        <v>0.8</v>
      </c>
      <c r="F16">
        <v>0.83</v>
      </c>
      <c r="G16">
        <v>0.78</v>
      </c>
      <c r="H16">
        <v>0.82</v>
      </c>
      <c r="I16">
        <v>0.77</v>
      </c>
      <c r="J16">
        <v>0.8</v>
      </c>
      <c r="K16">
        <v>0.8</v>
      </c>
      <c r="L16">
        <v>0.82</v>
      </c>
      <c r="M16">
        <v>0.77</v>
      </c>
      <c r="N16">
        <v>0.82</v>
      </c>
      <c r="O16">
        <v>0.78</v>
      </c>
      <c r="P16">
        <v>0.73</v>
      </c>
      <c r="Q16">
        <f>_xlfn.LET(_xlpm.d,$D16:$P16,MAX(_xlpm.d))</f>
        <v>0.83</v>
      </c>
    </row>
    <row r="17" spans="1:17" ht="27" customHeight="1">
      <c r="A17" t="s">
        <v>1</v>
      </c>
      <c r="B17" t="s">
        <v>5</v>
      </c>
      <c r="C17" t="b">
        <v>1</v>
      </c>
      <c r="D17" t="s">
        <v>3</v>
      </c>
      <c r="E17">
        <v>0.86</v>
      </c>
      <c r="F17">
        <v>0.93</v>
      </c>
      <c r="G17">
        <v>0.81</v>
      </c>
      <c r="H17">
        <v>0.82</v>
      </c>
      <c r="I17">
        <v>0.85</v>
      </c>
      <c r="J17">
        <v>0.82</v>
      </c>
      <c r="K17">
        <v>0.92</v>
      </c>
      <c r="L17">
        <v>0.84</v>
      </c>
      <c r="M17">
        <v>0.87</v>
      </c>
      <c r="N17">
        <v>0.88</v>
      </c>
      <c r="O17">
        <v>0.87</v>
      </c>
      <c r="P17">
        <v>0.82</v>
      </c>
      <c r="Q17">
        <f>_xlfn.LET(_xlpm.d,$D17:$P17,MAX(_xlpm.d))</f>
        <v>0.93</v>
      </c>
    </row>
    <row r="18" spans="1:17" ht="27" customHeight="1">
      <c r="A18" t="s">
        <v>1</v>
      </c>
      <c r="B18" t="s">
        <v>5</v>
      </c>
      <c r="C18" t="b">
        <v>1</v>
      </c>
      <c r="D18" t="s">
        <v>2</v>
      </c>
      <c r="E18">
        <v>0.82</v>
      </c>
      <c r="F18">
        <v>0.87</v>
      </c>
      <c r="G18">
        <v>0.82</v>
      </c>
      <c r="H18">
        <v>0.82</v>
      </c>
      <c r="I18">
        <v>0.81</v>
      </c>
      <c r="J18">
        <v>0.84</v>
      </c>
      <c r="K18">
        <v>0.85</v>
      </c>
      <c r="L18">
        <v>0.83</v>
      </c>
      <c r="M18">
        <v>0.78</v>
      </c>
      <c r="N18">
        <v>0.81</v>
      </c>
      <c r="O18">
        <v>0.78</v>
      </c>
      <c r="P18">
        <v>0.74</v>
      </c>
      <c r="Q18">
        <f>_xlfn.LET(_xlpm.d,$D18:$P18,MAX(_xlpm.d))</f>
        <v>0.87</v>
      </c>
    </row>
    <row r="19" spans="1:17" ht="27" customHeight="1">
      <c r="A19" t="s">
        <v>1</v>
      </c>
      <c r="B19" t="s">
        <v>5</v>
      </c>
      <c r="C19" t="b">
        <v>1</v>
      </c>
      <c r="D19" t="s">
        <v>0</v>
      </c>
      <c r="E19">
        <v>0.85</v>
      </c>
      <c r="F19">
        <v>0.89</v>
      </c>
      <c r="G19">
        <v>0.84</v>
      </c>
      <c r="H19">
        <v>0.82</v>
      </c>
      <c r="I19">
        <v>0.76</v>
      </c>
      <c r="J19">
        <v>0.77</v>
      </c>
      <c r="K19">
        <v>0.89</v>
      </c>
      <c r="L19">
        <v>0.86</v>
      </c>
      <c r="M19">
        <v>0.82</v>
      </c>
      <c r="N19">
        <v>0.82</v>
      </c>
      <c r="O19">
        <v>0.8</v>
      </c>
      <c r="P19">
        <v>0.78</v>
      </c>
      <c r="Q19">
        <f>_xlfn.LET(_xlpm.d,$D19:$P19,MAX(_xlpm.d))</f>
        <v>0.89</v>
      </c>
    </row>
    <row r="22" spans="1:17" ht="27" customHeight="1">
      <c r="D22" t="s">
        <v>27</v>
      </c>
      <c r="E22" t="s">
        <v>17</v>
      </c>
      <c r="F22" t="s">
        <v>16</v>
      </c>
      <c r="G22" t="s">
        <v>15</v>
      </c>
      <c r="H22" t="s">
        <v>14</v>
      </c>
      <c r="I22" t="s">
        <v>13</v>
      </c>
      <c r="J22" t="s">
        <v>12</v>
      </c>
      <c r="K22" t="s">
        <v>11</v>
      </c>
      <c r="L22" t="s">
        <v>10</v>
      </c>
      <c r="M22" t="s">
        <v>9</v>
      </c>
      <c r="N22" t="s">
        <v>8</v>
      </c>
      <c r="O22" t="s">
        <v>7</v>
      </c>
      <c r="P22" t="s">
        <v>6</v>
      </c>
      <c r="Q22" t="s">
        <v>22</v>
      </c>
    </row>
    <row r="23" spans="1:17" ht="27" customHeight="1">
      <c r="D23" t="s">
        <v>23</v>
      </c>
      <c r="E23" s="1">
        <f>_xlfn.LET(_xlpm.d,E$2:E$19,AVERAGE(_xlpm.d))</f>
        <v>0.66833333333333333</v>
      </c>
      <c r="F23" s="1">
        <f t="shared" ref="F23:Q23" si="0">_xlfn.LET(_xlpm.d,F$2:F$19,AVERAGE(_xlpm.d))</f>
        <v>0.68111111111111111</v>
      </c>
      <c r="G23" s="1">
        <f t="shared" si="0"/>
        <v>0.65222222222222226</v>
      </c>
      <c r="H23" s="1">
        <f t="shared" si="0"/>
        <v>0.65055555555555566</v>
      </c>
      <c r="I23" s="1">
        <f t="shared" si="0"/>
        <v>0.63277777777777777</v>
      </c>
      <c r="J23" s="1">
        <f t="shared" si="0"/>
        <v>0.64333333333333331</v>
      </c>
      <c r="K23" s="1">
        <f t="shared" si="0"/>
        <v>0.68500000000000005</v>
      </c>
      <c r="L23" s="1">
        <f t="shared" si="0"/>
        <v>0.6627777777777778</v>
      </c>
      <c r="M23" s="1">
        <f t="shared" si="0"/>
        <v>0.64444444444444438</v>
      </c>
      <c r="N23" s="1">
        <f t="shared" si="0"/>
        <v>0.6527777777777779</v>
      </c>
      <c r="O23" s="1">
        <f t="shared" si="0"/>
        <v>0.6366666666666666</v>
      </c>
      <c r="P23" s="1">
        <f t="shared" si="0"/>
        <v>0.58833333333333337</v>
      </c>
      <c r="Q23" s="1">
        <f t="shared" si="0"/>
        <v>0.72277777777777774</v>
      </c>
    </row>
    <row r="24" spans="1:17" ht="27" customHeight="1">
      <c r="D24" t="s">
        <v>22</v>
      </c>
      <c r="E24" s="1">
        <f>_xlfn.LET(_xlpm.d,E$2:E$19,MAX(_xlpm.d))</f>
        <v>0.94</v>
      </c>
      <c r="F24" s="1">
        <f t="shared" ref="F24:Q24" si="1">_xlfn.LET(_xlpm.d,F$2:F$19,MAX(_xlpm.d))</f>
        <v>0.93</v>
      </c>
      <c r="G24" s="1">
        <f t="shared" si="1"/>
        <v>0.91</v>
      </c>
      <c r="H24" s="1">
        <f t="shared" si="1"/>
        <v>0.87</v>
      </c>
      <c r="I24" s="1">
        <f t="shared" si="1"/>
        <v>0.88</v>
      </c>
      <c r="J24" s="1">
        <f t="shared" si="1"/>
        <v>0.89</v>
      </c>
      <c r="K24" s="1">
        <f t="shared" si="1"/>
        <v>0.93</v>
      </c>
      <c r="L24" s="1">
        <f t="shared" si="1"/>
        <v>0.95</v>
      </c>
      <c r="M24" s="1">
        <f t="shared" si="1"/>
        <v>0.91</v>
      </c>
      <c r="N24" s="1">
        <f t="shared" si="1"/>
        <v>0.88</v>
      </c>
      <c r="O24" s="1">
        <f t="shared" si="1"/>
        <v>0.87</v>
      </c>
      <c r="P24" s="1">
        <f t="shared" si="1"/>
        <v>0.82</v>
      </c>
      <c r="Q24" s="1">
        <f t="shared" si="1"/>
        <v>0.95</v>
      </c>
    </row>
    <row r="25" spans="1:17" ht="27" customHeight="1">
      <c r="D25" t="s">
        <v>24</v>
      </c>
      <c r="E25" s="1">
        <f>_xlfn.LET(_xlpm.d,E$2:E$19,MIN(_xlpm.d))</f>
        <v>0.36</v>
      </c>
      <c r="F25" s="1">
        <f t="shared" ref="F25:Q25" si="2">_xlfn.LET(_xlpm.d,F$2:F$19,MIN(_xlpm.d))</f>
        <v>0.28999999999999998</v>
      </c>
      <c r="G25" s="1">
        <f t="shared" si="2"/>
        <v>0.32</v>
      </c>
      <c r="H25" s="1">
        <f t="shared" si="2"/>
        <v>0.36</v>
      </c>
      <c r="I25" s="1">
        <f t="shared" si="2"/>
        <v>0.36</v>
      </c>
      <c r="J25" s="1">
        <f t="shared" si="2"/>
        <v>0.35</v>
      </c>
      <c r="K25" s="1">
        <f t="shared" si="2"/>
        <v>0.38</v>
      </c>
      <c r="L25" s="1">
        <f t="shared" si="2"/>
        <v>0.36</v>
      </c>
      <c r="M25" s="1">
        <f t="shared" si="2"/>
        <v>0.31</v>
      </c>
      <c r="N25" s="1">
        <f t="shared" si="2"/>
        <v>0.36</v>
      </c>
      <c r="O25" s="1">
        <f t="shared" si="2"/>
        <v>0.34</v>
      </c>
      <c r="P25" s="1">
        <f t="shared" si="2"/>
        <v>0.28999999999999998</v>
      </c>
      <c r="Q25" s="1">
        <f t="shared" si="2"/>
        <v>0.44</v>
      </c>
    </row>
    <row r="26" spans="1:17" ht="27" customHeight="1">
      <c r="D26" t="s">
        <v>25</v>
      </c>
      <c r="E26" s="1">
        <f>_xlfn.LET(_xlpm.d,E$2:E$19,STDEV(_xlpm.d))</f>
        <v>0.21820794184069733</v>
      </c>
      <c r="F26" s="1">
        <f t="shared" ref="F26:Q26" si="3">_xlfn.LET(_xlpm.d,F$2:F$19,STDEV(_xlpm.d))</f>
        <v>0.22386679045647001</v>
      </c>
      <c r="G26" s="1">
        <f t="shared" si="3"/>
        <v>0.19525414978057692</v>
      </c>
      <c r="H26" s="1">
        <f t="shared" si="3"/>
        <v>0.18888129550288832</v>
      </c>
      <c r="I26" s="1">
        <f t="shared" si="3"/>
        <v>0.19634320358691149</v>
      </c>
      <c r="J26" s="1">
        <f t="shared" si="3"/>
        <v>0.17753210148821955</v>
      </c>
      <c r="K26" s="1">
        <f t="shared" si="3"/>
        <v>0.2051183302675913</v>
      </c>
      <c r="L26" s="1">
        <f t="shared" si="3"/>
        <v>0.21447077287663396</v>
      </c>
      <c r="M26" s="1">
        <f t="shared" si="3"/>
        <v>0.20202568917087615</v>
      </c>
      <c r="N26" s="1">
        <f t="shared" si="3"/>
        <v>0.20169299779485925</v>
      </c>
      <c r="O26" s="1">
        <f t="shared" si="3"/>
        <v>0.19631906802597723</v>
      </c>
      <c r="P26" s="1">
        <f t="shared" si="3"/>
        <v>0.19991910128555385</v>
      </c>
      <c r="Q26" s="1">
        <f t="shared" si="3"/>
        <v>0.19869591178350179</v>
      </c>
    </row>
    <row r="28" spans="1:17" ht="27" customHeight="1">
      <c r="D28" t="s">
        <v>26</v>
      </c>
      <c r="E28" t="s">
        <v>17</v>
      </c>
      <c r="F28" t="s">
        <v>16</v>
      </c>
      <c r="G28" t="s">
        <v>15</v>
      </c>
      <c r="H28" t="s">
        <v>14</v>
      </c>
      <c r="I28" t="s">
        <v>13</v>
      </c>
      <c r="J28" t="s">
        <v>12</v>
      </c>
      <c r="K28" t="s">
        <v>11</v>
      </c>
      <c r="L28" t="s">
        <v>10</v>
      </c>
      <c r="M28" t="s">
        <v>9</v>
      </c>
      <c r="N28" t="s">
        <v>8</v>
      </c>
      <c r="O28" t="s">
        <v>7</v>
      </c>
      <c r="P28" t="s">
        <v>6</v>
      </c>
    </row>
    <row r="29" spans="1:17" ht="27" customHeight="1">
      <c r="D29" t="s">
        <v>28</v>
      </c>
      <c r="E29">
        <f>RANK(E$23,$E$23:$P$23)</f>
        <v>3</v>
      </c>
      <c r="F29">
        <f t="shared" ref="F29:P29" si="4">RANK(F$23,$E$23:$P$23)</f>
        <v>2</v>
      </c>
      <c r="G29">
        <f t="shared" si="4"/>
        <v>6</v>
      </c>
      <c r="H29">
        <f t="shared" si="4"/>
        <v>7</v>
      </c>
      <c r="I29">
        <f t="shared" si="4"/>
        <v>11</v>
      </c>
      <c r="J29">
        <f t="shared" si="4"/>
        <v>9</v>
      </c>
      <c r="K29">
        <f t="shared" si="4"/>
        <v>1</v>
      </c>
      <c r="L29">
        <f t="shared" si="4"/>
        <v>4</v>
      </c>
      <c r="M29">
        <f t="shared" si="4"/>
        <v>8</v>
      </c>
      <c r="N29">
        <f t="shared" si="4"/>
        <v>5</v>
      </c>
      <c r="O29">
        <f t="shared" si="4"/>
        <v>10</v>
      </c>
      <c r="P29">
        <f t="shared" si="4"/>
        <v>12</v>
      </c>
    </row>
    <row r="30" spans="1:17" ht="27" customHeight="1">
      <c r="D30" t="s">
        <v>29</v>
      </c>
      <c r="E30">
        <f>RANK(E$24,$E$24:$P$24)</f>
        <v>2</v>
      </c>
      <c r="F30">
        <f t="shared" ref="F30:P30" si="5">RANK(F$24,$E$24:$P$24)</f>
        <v>3</v>
      </c>
      <c r="G30">
        <f t="shared" si="5"/>
        <v>5</v>
      </c>
      <c r="H30">
        <f t="shared" si="5"/>
        <v>10</v>
      </c>
      <c r="I30">
        <f t="shared" si="5"/>
        <v>8</v>
      </c>
      <c r="J30">
        <f t="shared" si="5"/>
        <v>7</v>
      </c>
      <c r="K30">
        <f t="shared" si="5"/>
        <v>3</v>
      </c>
      <c r="L30">
        <f t="shared" si="5"/>
        <v>1</v>
      </c>
      <c r="M30">
        <f t="shared" si="5"/>
        <v>5</v>
      </c>
      <c r="N30">
        <f t="shared" si="5"/>
        <v>8</v>
      </c>
      <c r="O30">
        <f t="shared" si="5"/>
        <v>10</v>
      </c>
      <c r="P30">
        <f t="shared" si="5"/>
        <v>12</v>
      </c>
    </row>
    <row r="31" spans="1:17" ht="27" customHeight="1">
      <c r="D31" t="s">
        <v>30</v>
      </c>
      <c r="E31">
        <f>RANK(E$25,$E$25:$P$25,0)</f>
        <v>2</v>
      </c>
      <c r="F31">
        <f t="shared" ref="F31:P31" si="6">RANK(F$25,$E$25:$P$25,0)</f>
        <v>11</v>
      </c>
      <c r="G31">
        <f t="shared" si="6"/>
        <v>9</v>
      </c>
      <c r="H31">
        <f t="shared" si="6"/>
        <v>2</v>
      </c>
      <c r="I31">
        <f t="shared" si="6"/>
        <v>2</v>
      </c>
      <c r="J31">
        <f t="shared" si="6"/>
        <v>7</v>
      </c>
      <c r="K31">
        <f t="shared" si="6"/>
        <v>1</v>
      </c>
      <c r="L31">
        <f t="shared" si="6"/>
        <v>2</v>
      </c>
      <c r="M31">
        <f t="shared" si="6"/>
        <v>10</v>
      </c>
      <c r="N31">
        <f t="shared" si="6"/>
        <v>2</v>
      </c>
      <c r="O31">
        <f t="shared" si="6"/>
        <v>8</v>
      </c>
      <c r="P31">
        <f t="shared" si="6"/>
        <v>11</v>
      </c>
    </row>
    <row r="32" spans="1:17" ht="27" customHeight="1">
      <c r="D32" t="s">
        <v>31</v>
      </c>
      <c r="E32" s="2">
        <f>GEOMEAN(E29:E31)</f>
        <v>2.2894284851066637</v>
      </c>
      <c r="F32" s="2">
        <f t="shared" ref="F32:P32" si="7">GEOMEAN(F29:F31)</f>
        <v>4.0412400206221903</v>
      </c>
      <c r="G32" s="2">
        <f t="shared" si="7"/>
        <v>6.463304070095651</v>
      </c>
      <c r="H32" s="2">
        <f t="shared" si="7"/>
        <v>5.1924941018511035</v>
      </c>
      <c r="I32" s="2">
        <f t="shared" si="7"/>
        <v>5.6040786613107745</v>
      </c>
      <c r="J32" s="2">
        <f t="shared" si="7"/>
        <v>7.611662611020245</v>
      </c>
      <c r="K32" s="2">
        <f t="shared" si="7"/>
        <v>1.4422495703074083</v>
      </c>
      <c r="L32" s="2">
        <f t="shared" si="7"/>
        <v>2</v>
      </c>
      <c r="M32" s="2">
        <f t="shared" si="7"/>
        <v>7.3680629972807727</v>
      </c>
      <c r="N32" s="2">
        <f t="shared" si="7"/>
        <v>4.3088693800637676</v>
      </c>
      <c r="O32" s="2">
        <f t="shared" si="7"/>
        <v>9.2831776672255586</v>
      </c>
      <c r="P32" s="2">
        <f t="shared" si="7"/>
        <v>11.656953366502911</v>
      </c>
    </row>
  </sheetData>
  <conditionalFormatting sqref="E2:Q1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23:Q25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32:P32">
    <cfRule type="colorScale" priority="1">
      <colorScale>
        <cfvo type="min"/>
        <cfvo type="percentile" val="50"/>
        <cfvo type="max"/>
        <color theme="9" tint="0.39997558519241921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char-Czech2-sample1200-xsk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2025-02-18T06:17:49Z</dcterms:created>
  <dcterms:modified xsi:type="dcterms:W3CDTF">2025-02-18T06:30:09Z</dcterms:modified>
  <cp:category/>
</cp:coreProperties>
</file>